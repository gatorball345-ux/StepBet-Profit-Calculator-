
<file path=[Content_Types].xml><?xml version="1.0" encoding="utf-8"?>
<ns0:Types xmlns:ns0="http://schemas.openxmlformats.org/package/2006/content-types">
  <ns0:Default Extension="xml" ContentType="applicatio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tables/table1.xml" ContentType="application/vnd.openxmlformats-officedocument.spreadsheetml.table+xml"/>
  <ns0:Override PartName="/xl/workbook.xml" ContentType="application/vnd.openxmlformats-officedocument.spreadsheetml.sheet.main+xml"/>
  <ns0:Override PartName="/xl/drawings/drawing1.xml" ContentType="application/vnd.openxmlformats-officedocument.drawing+xml"/>
  <ns0:Override PartName="/xl/drawings/charts/chart1.xml" ContentType="application/vnd.openxmlformats-officedocument.drawingml.chart+xml"/>
</ns0:Types>
</file>

<file path=_rels/.rels><?xml version="1.0" encoding="utf-8"?><Relationships xmlns="http://schemas.openxmlformats.org/package/2006/relationships"><Relationship Type="http://schemas.openxmlformats.org/officeDocument/2006/relationships/officeDocument" Target="/xl/workbook.xml" Id="Re1b3d477db8d4a73" /></Relationships>
</file>

<file path=xl/workbook.xml><?xml version="1.0" encoding="utf-8"?>
<ns0:workbook xmlns:ns0="http://schemas.openxmlformats.org/spreadsheetml/2006/main" xmlns:r="http://schemas.openxmlformats.org/officeDocument/2006/relationships">
  <ns0:sheets>
    <ns0:sheet name="Instructions" sheetId="1" r:id="R3182b9b9652a4b0f"/>
    <ns0:sheet name="Game Records" sheetId="2" r:id="R7c1fb6ae00154350"/>
    <ns0:sheet name="Record Review" sheetId="3" r:id="Rcd45e256a16a420a"/>
    <ns0:sheet name="Summary" sheetId="4" r:id="R9fec62ff31d641db"/>
    <ns0:sheet name="Game Comparisons" sheetId="5" r:id="Ra37a1ea70d9c49db"/>
    <ns0:sheet name="Best Results" sheetId="6" r:id="R27adad88702f4b35"/>
  </ns0:sheets>
  <ns0:calcPr calcMode="auto" fullCalcOnLoad="1" forceFullCalc="1" calcId="0"/>
</ns0:workbook>
</file>

<file path=xl/sharedStrings.xml><?xml version="1.0" encoding="utf-8"?>
<x:sst xmlns:x="http://schemas.openxmlformats.org/spreadsheetml/2006/main"/>
</file>

<file path=xl/styles.xml><?xml version="1.0" encoding="utf-8"?>
<styleSheet xmlns="http://schemas.openxmlformats.org/spreadsheetml/2006/main">
  <numFmts count="11">
    <numFmt numFmtId="200" formatCode="mm-dd-yyyy"/>
    <numFmt numFmtId="201" formatCode="$#,##0.00"/>
    <numFmt numFmtId="202" formatCode="0.0%"/>
    <numFmt numFmtId="203" formatCode="0"/>
    <numFmt numFmtId="204" formatCode="m/d/yyyy"/>
    <numFmt numFmtId="205" formatCode="@"/>
    <numFmt numFmtId="206" formatCode="mm/dd/yyyy"/>
    <numFmt numFmtId="207" formatCode="$0.00;[Red]-$0.00"/>
    <numFmt numFmtId="208" formatCode="#,##0"/>
    <numFmt numFmtId="209" formatCode="#,##0.00 &quot;chips&quot;"/>
    <numFmt numFmtId="210" formatCode="#,##0.00"/>
  </numFmts>
  <fonts count="28">
    <font>
      <sz val="11"/>
      <name val="Carlito"/>
    </font>
    <font>
      <b/>
      <sz val="16"/>
      <color rgb="FFFFFFFF"/>
      <name val="Carlito"/>
    </font>
    <font>
      <b/>
      <sz val="11"/>
      <color rgb="FF020C1B"/>
      <name val="Carlito"/>
    </font>
    <font>
      <sz val="11"/>
      <color rgb="FF020C1B"/>
      <name val="Carlito"/>
    </font>
    <font>
      <b/>
      <sz val="11"/>
      <color rgb="FF000000"/>
      <name val="Carlito"/>
    </font>
    <font>
      <sz val="11"/>
      <color rgb="FF000000"/>
      <name val="Carlito"/>
    </font>
    <font>
      <b/>
      <sz val="12"/>
      <color rgb="FFFFFFFF"/>
      <name val="Carlito"/>
    </font>
    <font>
      <sz val="11"/>
      <color rgb="FFFFFFFF"/>
      <name val="Carlito"/>
    </font>
    <font>
      <b/>
      <sz val="15"/>
      <color rgb="FFFFFFFF"/>
      <name val="Carlito"/>
    </font>
    <font>
      <b/>
      <sz val="11"/>
      <color rgb="FFFFFFFF"/>
      <name val="Carlito"/>
    </font>
    <font>
      <b/>
      <sz val="14"/>
      <color rgb="FFFFFFFF"/>
      <name val="Carlito"/>
    </font>
    <font>
      <b/>
      <sz val="11"/>
      <name val="Carlito"/>
    </font>
    <font>
      <sz val="11"/>
      <color rgb="FFD7D9DC"/>
      <name val="Carlito"/>
    </font>
    <font>
      <b/>
      <sz val="16"/>
      <color rgb="FF020C1B"/>
      <name val="Carlito"/>
    </font>
    <font>
      <b/>
      <sz val="10"/>
      <color rgb="FF020C1B"/>
      <name val="Carlito"/>
    </font>
    <font>
      <sz val="10"/>
      <color rgb="FFFFFFFF"/>
      <name val="Carlito"/>
    </font>
    <font>
      <sz val="10"/>
      <color rgb="FF020C1B"/>
      <name val="Carlito"/>
    </font>
    <font>
      <b/>
      <sz val="18"/>
      <color rgb="FFFF9D3C"/>
      <name val="Carlito"/>
    </font>
    <font>
      <i/>
      <sz val="10"/>
      <color rgb="FFFFFFFF"/>
      <name val="Carlito"/>
    </font>
    <font>
      <b/>
      <sz val="12"/>
      <color rgb="FF020C1B"/>
      <name val="Carlito"/>
    </font>
    <font>
      <sz val="10"/>
      <color rgb="FF020C1B"/>
      <name val="Carlito"/>
    </font>
    <font>
      <i/>
      <sz val="10"/>
      <color rgb="FF020C1B"/>
      <name val="Carlito"/>
    </font>
    <font>
      <b/>
      <sz val="18"/>
      <color rgb="FF020C1B"/>
      <name val="Carlito"/>
    </font>
    <font>
      <b/>
      <sz val="9"/>
      <color rgb="FF020C1B"/>
      <name val="Carlito"/>
    </font>
    <font>
      <b/>
      <sz val="12"/>
      <color rgb="FF1C0B04"/>
      <name val="Carlito"/>
    </font>
    <font>
      <b/>
      <sz val="10"/>
      <color rgb="FF1C0B04"/>
      <name val="Carlito"/>
    </font>
    <font>
      <sz val="10"/>
      <color rgb="FF020C1B"/>
      <name val="Carlito"/>
    </font>
    <font>
      <b/>
      <sz val="10"/>
      <color rgb="FF5B1712"/>
      <name val="Carlito"/>
    </font>
  </fonts>
  <fills count="98">
    <fill>
      <patternFill patternType="none"/>
    </fill>
    <fill>
      <patternFill patternType="gray125"/>
    </fill>
    <fill>
      <patternFill patternType="solid">
        <fgColor rgb="FF020C1B"/>
      </patternFill>
    </fill>
    <fill>
      <patternFill patternType="solid">
        <fgColor rgb="FFE8D8B8"/>
      </patternFill>
    </fill>
    <fill>
      <patternFill patternType="solid">
        <fgColor rgb="FFF5F7FA"/>
      </patternFill>
    </fill>
    <fill>
      <patternFill patternType="solid">
        <fgColor rgb="FFD9EAD3"/>
      </patternFill>
    </fill>
    <fill>
      <patternFill patternType="solid">
        <fgColor rgb="FFE7E6E6"/>
      </patternFill>
    </fill>
    <fill>
      <patternFill patternType="solid">
        <fgColor rgb="FFFFF2CC"/>
      </patternFill>
    </fill>
    <fill>
      <patternFill patternType="solid">
        <fgColor rgb="FFD9EAF7"/>
      </patternFill>
    </fill>
    <fill>
      <patternFill patternType="solid">
        <fgColor rgb="FFF4CCCC"/>
      </patternFill>
    </fill>
    <fill>
      <patternFill patternType="solid">
        <fgColor rgb="FF0C1F3A"/>
      </patternFill>
    </fill>
    <fill>
      <patternFill patternType="solid">
        <fgColor rgb="FFFFAA00"/>
      </patternFill>
    </fill>
    <fill>
      <patternFill patternType="solid">
        <fgColor rgb="FFE8D8B8"/>
      </patternFill>
    </fill>
    <fill>
      <patternFill patternType="solid">
        <fgColor rgb="FFFFAA00"/>
      </patternFill>
    </fill>
    <fill>
      <patternFill patternType="solid">
        <fgColor rgb="FF020C1B"/>
      </patternFill>
    </fill>
    <fill>
      <patternFill patternType="solid">
        <fgColor rgb="FF0C1F3A"/>
      </patternFill>
    </fill>
    <fill>
      <patternFill patternType="solid">
        <fgColor rgb="FFE8D8B8"/>
      </patternFill>
    </fill>
    <fill>
      <patternFill patternType="solid">
        <fgColor rgb="FFFFAA00"/>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F8E1"/>
      </patternFill>
    </fill>
    <fill>
      <patternFill patternType="solid">
        <fgColor rgb="FF7A1A1A"/>
      </patternFill>
    </fill>
    <fill>
      <patternFill patternType="solid">
        <fgColor rgb="FF0C1F3A"/>
      </patternFill>
    </fill>
    <fill>
      <patternFill patternType="solid">
        <fgColor rgb="FFFF9D3C"/>
      </patternFill>
    </fill>
    <fill>
      <patternFill patternType="solid">
        <fgColor rgb="FFFFF2A8"/>
      </patternFill>
    </fill>
    <fill>
      <patternFill patternType="solid">
        <fgColor rgb="FF5A5F66"/>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9D3C"/>
      </patternFill>
    </fill>
    <fill>
      <patternFill patternType="solid">
        <fgColor rgb="FFE8D8B8"/>
      </patternFill>
    </fill>
    <fill>
      <patternFill patternType="solid">
        <fgColor rgb="FFFFF2A8"/>
      </patternFill>
    </fill>
    <fill>
      <patternFill patternType="solid">
        <fgColor rgb="FFD9E5F5"/>
      </patternFill>
    </fill>
    <fill>
      <patternFill patternType="solid">
        <fgColor rgb="FFFFF2A8"/>
      </patternFill>
    </fill>
    <fill>
      <patternFill patternType="solid">
        <fgColor rgb="FFFF9D3C"/>
      </patternFill>
    </fill>
    <fill>
      <patternFill patternType="solid">
        <fgColor rgb="FFFFF2A8"/>
      </patternFill>
    </fill>
    <fill>
      <patternFill patternType="solid">
        <fgColor rgb="FFFFE699"/>
      </patternFill>
    </fill>
    <fill>
      <patternFill patternType="solid">
        <fgColor rgb="FFFF9D3C"/>
      </patternFill>
    </fill>
    <fill>
      <patternFill patternType="solid">
        <fgColor rgb="FF0C1F3A"/>
      </patternFill>
    </fill>
    <fill>
      <patternFill patternType="solid">
        <fgColor rgb="FFFFF2A8"/>
      </patternFill>
    </fill>
    <fill>
      <patternFill patternType="solid">
        <fgColor rgb="FFFFF2A8"/>
      </patternFill>
    </fill>
    <fill>
      <patternFill patternType="solid">
        <fgColor rgb="FFFFF2A8"/>
      </patternFill>
    </fill>
    <fill>
      <patternFill patternType="solid">
        <fgColor rgb="FFFFF2A8"/>
      </patternFill>
    </fill>
    <fill>
      <patternFill patternType="solid">
        <fgColor rgb="FF020C1B"/>
      </patternFill>
    </fill>
    <fill>
      <patternFill patternType="solid">
        <fgColor rgb="FF0C1F3A"/>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2A8"/>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2A8"/>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F2A8"/>
      </patternFill>
    </fill>
    <fill>
      <patternFill patternType="solid">
        <fgColor rgb="FFFFFFFF"/>
      </patternFill>
    </fill>
    <fill>
      <patternFill patternType="solid">
        <fgColor rgb="FFFF9D3C"/>
      </patternFill>
    </fill>
    <fill>
      <patternFill patternType="solid">
        <fgColor rgb="FF0C1F3A"/>
      </patternFill>
    </fill>
    <fill>
      <patternFill patternType="solid">
        <fgColor rgb="FFE7D7B2"/>
      </patternFill>
    </fill>
    <fill>
      <patternFill patternType="solid">
        <fgColor rgb="FFFFFDF7"/>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FFF2A8"/>
      </patternFill>
    </fill>
    <fill>
      <patternFill patternType="solid">
        <fgColor rgb="FFFFAA00"/>
      </patternFill>
    </fill>
    <fill>
      <patternFill patternType="solid">
        <fgColor rgb="FFE7D7B2"/>
      </patternFill>
    </fill>
    <fill>
      <patternFill patternType="solid">
        <fgColor rgb="FFFF9D3C"/>
      </patternFill>
    </fill>
    <fill>
      <patternFill patternType="solid">
        <fgColor rgb="FF0C1F3A"/>
      </patternFill>
    </fill>
    <fill>
      <patternFill patternType="solid">
        <fgColor rgb="FFFF9D3C"/>
      </patternFill>
    </fill>
    <fill>
      <patternFill patternType="solid">
        <fgColor rgb="FFFFF4D6"/>
      </patternFill>
    </fill>
    <fill>
      <patternFill patternType="solid">
        <fgColor rgb="FFF5F7FA"/>
      </patternFill>
    </fill>
    <fill>
      <patternFill patternType="solid">
        <fgColor rgb="FFFF9D3C"/>
      </patternFill>
    </fill>
    <fill>
      <patternFill patternType="solid">
        <fgColor rgb="FF0C1F3A"/>
      </patternFill>
    </fill>
    <fill>
      <patternFill patternType="solid">
        <fgColor rgb="FFF5F7FA"/>
      </patternFill>
    </fill>
    <fill>
      <patternFill patternType="solid">
        <fgColor rgb="FFF5F7FA"/>
      </patternFill>
    </fill>
    <fill>
      <patternFill patternType="solid">
        <fgColor rgb="FFF8E7DE"/>
      </patternFill>
    </fill>
    <fill>
      <patternFill patternType="solid">
        <fgColor rgb="FFF3A1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4DE"/>
      </patternFill>
    </fill>
    <fill>
      <patternFill patternType="solid">
        <fgColor rgb="FFF3C4BE"/>
      </patternFill>
    </fill>
    <fill>
      <patternFill patternType="solid">
        <fgColor rgb="FFFBE9E6"/>
      </patternFill>
    </fill>
  </fills>
  <borders count="54">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991">
    <xf numFmtId="0" fontId="0" fillId="0" borderId="0" xfId="0"/>
    <xf numFmtId="0" fontId="0" fillId="0" borderId="1" xfId="0" applyNumberFormat="1" applyFont="1" applyFill="1" applyBorder="1"/>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horizontal="center"/>
    </xf>
    <xf numFmtId="0" fontId="1" fillId="2" borderId="0" xfId="0" applyNumberFormat="1" applyFont="1" applyFill="1" applyBorder="1" applyAlignment="1">
      <alignment horizontal="center" vertical="center"/>
    </xf>
    <xf numFmtId="0" fontId="0" fillId="2" borderId="1" xfId="0" applyNumberFormat="1" applyFont="1" applyFill="1" applyBorder="1"/>
    <xf numFmtId="0" fontId="1" fillId="2" borderId="1" xfId="0" applyNumberFormat="1" applyFont="1" applyFill="1" applyBorder="1"/>
    <xf numFmtId="0" fontId="1" fillId="2" borderId="1" xfId="0" applyNumberFormat="1" applyFont="1" applyFill="1" applyBorder="1" applyAlignment="1">
      <alignment horizontal="center"/>
    </xf>
    <xf numFmtId="0" fontId="1" fillId="2" borderId="1" xfId="0" applyNumberFormat="1" applyFont="1" applyFill="1" applyBorder="1" applyAlignment="1">
      <alignment horizontal="center" vertical="center"/>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wrapText="1"/>
    </xf>
    <xf numFmtId="0" fontId="2" fillId="3" borderId="0" xfId="0" applyNumberFormat="1" applyFont="1" applyFill="1" applyBorder="1" applyAlignment="1">
      <alignment vertical="top" wrapText="1"/>
    </xf>
    <xf numFmtId="0" fontId="0" fillId="3" borderId="1" xfId="0" applyNumberFormat="1" applyFont="1" applyFill="1" applyBorder="1"/>
    <xf numFmtId="0" fontId="2" fillId="3" borderId="1" xfId="0" applyNumberFormat="1" applyFont="1" applyFill="1" applyBorder="1"/>
    <xf numFmtId="0" fontId="2" fillId="3" borderId="1" xfId="0" applyNumberFormat="1" applyFont="1" applyFill="1" applyBorder="1" applyAlignment="1">
      <alignment wrapText="1"/>
    </xf>
    <xf numFmtId="0" fontId="2" fillId="3" borderId="1" xfId="0" applyNumberFormat="1" applyFont="1" applyFill="1" applyBorder="1" applyAlignment="1">
      <alignment vertical="top" wrapText="1"/>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wrapText="1"/>
    </xf>
    <xf numFmtId="0" fontId="3" fillId="4" borderId="0" xfId="0" applyNumberFormat="1" applyFont="1" applyFill="1" applyBorder="1" applyAlignment="1">
      <alignment vertical="top" wrapText="1"/>
    </xf>
    <xf numFmtId="0" fontId="0" fillId="4" borderId="1" xfId="0" applyNumberFormat="1" applyFont="1" applyFill="1" applyBorder="1"/>
    <xf numFmtId="0" fontId="3" fillId="4" borderId="1" xfId="0" applyNumberFormat="1" applyFont="1" applyFill="1" applyBorder="1"/>
    <xf numFmtId="0" fontId="3" fillId="4" borderId="1" xfId="0" applyNumberFormat="1" applyFont="1" applyFill="1" applyBorder="1" applyAlignment="1">
      <alignment wrapText="1"/>
    </xf>
    <xf numFmtId="0" fontId="3" fillId="4" borderId="1" xfId="0" applyNumberFormat="1" applyFont="1" applyFill="1" applyBorder="1" applyAlignment="1">
      <alignment vertical="top" wrapText="1"/>
    </xf>
    <xf numFmtId="0" fontId="2" fillId="5" borderId="0" xfId="0" applyNumberFormat="1" applyFont="1" applyFill="1" applyBorder="1" applyAlignment="1">
      <alignment vertical="top" wrapText="1"/>
    </xf>
    <xf numFmtId="0" fontId="3" fillId="5" borderId="0" xfId="0" applyNumberFormat="1" applyFont="1" applyFill="1" applyBorder="1" applyAlignment="1">
      <alignment vertical="top" wrapText="1"/>
    </xf>
    <xf numFmtId="0" fontId="2" fillId="5" borderId="1" xfId="0" applyNumberFormat="1" applyFont="1" applyFill="1" applyBorder="1" applyAlignment="1">
      <alignment vertical="top" wrapText="1"/>
    </xf>
    <xf numFmtId="0" fontId="3" fillId="5" borderId="1" xfId="0" applyNumberFormat="1" applyFont="1" applyFill="1" applyBorder="1" applyAlignment="1">
      <alignment vertical="top" wrapText="1"/>
    </xf>
    <xf numFmtId="0" fontId="4" fillId="5" borderId="0" xfId="0" applyNumberFormat="1" applyFont="1" applyFill="1" applyBorder="1" applyAlignment="1">
      <alignment vertical="top" wrapText="1"/>
    </xf>
    <xf numFmtId="0" fontId="5" fillId="5" borderId="0" xfId="0" applyNumberFormat="1" applyFont="1" applyFill="1" applyBorder="1" applyAlignment="1">
      <alignment vertical="top" wrapText="1"/>
    </xf>
    <xf numFmtId="0" fontId="4" fillId="5" borderId="1" xfId="0" applyNumberFormat="1" applyFont="1" applyFill="1" applyBorder="1" applyAlignment="1">
      <alignment vertical="top" wrapText="1"/>
    </xf>
    <xf numFmtId="0" fontId="5" fillId="5" borderId="1" xfId="0" applyNumberFormat="1" applyFont="1" applyFill="1" applyBorder="1" applyAlignment="1">
      <alignment vertical="top" wrapText="1"/>
    </xf>
    <xf numFmtId="0" fontId="2" fillId="6" borderId="0" xfId="0" applyNumberFormat="1" applyFont="1" applyFill="1" applyBorder="1" applyAlignment="1">
      <alignment vertical="top" wrapText="1"/>
    </xf>
    <xf numFmtId="0" fontId="3" fillId="6" borderId="0" xfId="0" applyNumberFormat="1" applyFont="1" applyFill="1" applyBorder="1" applyAlignment="1">
      <alignment vertical="top" wrapText="1"/>
    </xf>
    <xf numFmtId="0" fontId="2" fillId="6" borderId="1" xfId="0" applyNumberFormat="1" applyFont="1" applyFill="1" applyBorder="1" applyAlignment="1">
      <alignment vertical="top" wrapText="1"/>
    </xf>
    <xf numFmtId="0" fontId="3" fillId="6" borderId="1" xfId="0" applyNumberFormat="1" applyFont="1" applyFill="1" applyBorder="1" applyAlignment="1">
      <alignment vertical="top" wrapText="1"/>
    </xf>
    <xf numFmtId="0" fontId="4" fillId="6" borderId="0" xfId="0" applyNumberFormat="1" applyFont="1" applyFill="1" applyBorder="1" applyAlignment="1">
      <alignment vertical="top" wrapText="1"/>
    </xf>
    <xf numFmtId="0" fontId="5" fillId="6" borderId="0" xfId="0" applyNumberFormat="1" applyFont="1" applyFill="1" applyBorder="1" applyAlignment="1">
      <alignment vertical="top" wrapText="1"/>
    </xf>
    <xf numFmtId="0" fontId="4" fillId="6" borderId="1" xfId="0" applyNumberFormat="1" applyFont="1" applyFill="1" applyBorder="1" applyAlignment="1">
      <alignment vertical="top" wrapText="1"/>
    </xf>
    <xf numFmtId="0" fontId="5" fillId="6" borderId="1" xfId="0" applyNumberFormat="1" applyFont="1" applyFill="1" applyBorder="1" applyAlignment="1">
      <alignment vertical="top" wrapText="1"/>
    </xf>
    <xf numFmtId="0" fontId="2" fillId="7" borderId="0" xfId="0" applyNumberFormat="1" applyFont="1" applyFill="1" applyBorder="1" applyAlignment="1">
      <alignment vertical="top" wrapText="1"/>
    </xf>
    <xf numFmtId="0" fontId="3" fillId="7" borderId="0" xfId="0" applyNumberFormat="1" applyFont="1" applyFill="1" applyBorder="1" applyAlignment="1">
      <alignment vertical="top" wrapText="1"/>
    </xf>
    <xf numFmtId="0" fontId="2" fillId="7" borderId="1" xfId="0" applyNumberFormat="1" applyFont="1" applyFill="1" applyBorder="1" applyAlignment="1">
      <alignment vertical="top" wrapText="1"/>
    </xf>
    <xf numFmtId="0" fontId="3" fillId="7" borderId="1" xfId="0" applyNumberFormat="1" applyFont="1" applyFill="1" applyBorder="1" applyAlignment="1">
      <alignment vertical="top" wrapText="1"/>
    </xf>
    <xf numFmtId="0" fontId="4" fillId="7" borderId="0" xfId="0" applyNumberFormat="1" applyFont="1" applyFill="1" applyBorder="1" applyAlignment="1">
      <alignment vertical="top" wrapText="1"/>
    </xf>
    <xf numFmtId="0" fontId="5" fillId="7" borderId="0" xfId="0" applyNumberFormat="1" applyFont="1" applyFill="1" applyBorder="1" applyAlignment="1">
      <alignment vertical="top" wrapText="1"/>
    </xf>
    <xf numFmtId="0" fontId="4" fillId="7" borderId="1" xfId="0" applyNumberFormat="1" applyFont="1" applyFill="1" applyBorder="1" applyAlignment="1">
      <alignment vertical="top" wrapText="1"/>
    </xf>
    <xf numFmtId="0" fontId="5" fillId="7" borderId="1" xfId="0" applyNumberFormat="1" applyFont="1" applyFill="1" applyBorder="1" applyAlignment="1">
      <alignment vertical="top" wrapText="1"/>
    </xf>
    <xf numFmtId="0" fontId="2" fillId="8" borderId="0" xfId="0" applyNumberFormat="1" applyFont="1" applyFill="1" applyBorder="1" applyAlignment="1">
      <alignment vertical="top" wrapText="1"/>
    </xf>
    <xf numFmtId="0" fontId="3" fillId="8" borderId="0" xfId="0" applyNumberFormat="1" applyFont="1" applyFill="1" applyBorder="1" applyAlignment="1">
      <alignment vertical="top" wrapText="1"/>
    </xf>
    <xf numFmtId="0" fontId="2" fillId="8" borderId="1" xfId="0" applyNumberFormat="1" applyFont="1" applyFill="1" applyBorder="1" applyAlignment="1">
      <alignment vertical="top" wrapText="1"/>
    </xf>
    <xf numFmtId="0" fontId="3" fillId="8" borderId="1" xfId="0" applyNumberFormat="1" applyFont="1" applyFill="1" applyBorder="1" applyAlignment="1">
      <alignment vertical="top" wrapText="1"/>
    </xf>
    <xf numFmtId="0" fontId="4" fillId="8" borderId="0" xfId="0" applyNumberFormat="1" applyFont="1" applyFill="1" applyBorder="1" applyAlignment="1">
      <alignment vertical="top" wrapText="1"/>
    </xf>
    <xf numFmtId="0" fontId="5" fillId="8" borderId="0" xfId="0" applyNumberFormat="1" applyFont="1" applyFill="1" applyBorder="1" applyAlignment="1">
      <alignment vertical="top" wrapText="1"/>
    </xf>
    <xf numFmtId="0" fontId="4" fillId="8" borderId="1" xfId="0" applyNumberFormat="1" applyFont="1" applyFill="1" applyBorder="1" applyAlignment="1">
      <alignment vertical="top" wrapText="1"/>
    </xf>
    <xf numFmtId="0" fontId="5" fillId="8" borderId="1" xfId="0" applyNumberFormat="1" applyFont="1" applyFill="1" applyBorder="1" applyAlignment="1">
      <alignment vertical="top" wrapText="1"/>
    </xf>
    <xf numFmtId="0" fontId="2" fillId="9" borderId="0" xfId="0" applyNumberFormat="1" applyFont="1" applyFill="1" applyBorder="1" applyAlignment="1">
      <alignment vertical="top" wrapText="1"/>
    </xf>
    <xf numFmtId="0" fontId="3" fillId="9" borderId="0" xfId="0" applyNumberFormat="1" applyFont="1" applyFill="1" applyBorder="1" applyAlignment="1">
      <alignment vertical="top" wrapText="1"/>
    </xf>
    <xf numFmtId="0" fontId="2" fillId="9" borderId="1" xfId="0" applyNumberFormat="1" applyFont="1" applyFill="1" applyBorder="1" applyAlignment="1">
      <alignment vertical="top" wrapText="1"/>
    </xf>
    <xf numFmtId="0" fontId="3" fillId="9" borderId="1" xfId="0" applyNumberFormat="1" applyFont="1" applyFill="1" applyBorder="1" applyAlignment="1">
      <alignment vertical="top" wrapText="1"/>
    </xf>
    <xf numFmtId="0" fontId="4" fillId="9" borderId="0" xfId="0" applyNumberFormat="1" applyFont="1" applyFill="1" applyBorder="1" applyAlignment="1">
      <alignment vertical="top" wrapText="1"/>
    </xf>
    <xf numFmtId="0" fontId="5" fillId="9" borderId="0" xfId="0" applyNumberFormat="1" applyFont="1" applyFill="1" applyBorder="1" applyAlignment="1">
      <alignment vertical="top" wrapText="1"/>
    </xf>
    <xf numFmtId="0" fontId="4" fillId="9" borderId="1" xfId="0" applyNumberFormat="1" applyFont="1" applyFill="1" applyBorder="1" applyAlignment="1">
      <alignment vertical="top" wrapText="1"/>
    </xf>
    <xf numFmtId="0" fontId="5" fillId="9" borderId="1" xfId="0" applyNumberFormat="1" applyFont="1" applyFill="1" applyBorder="1" applyAlignment="1">
      <alignment vertical="top" wrapText="1"/>
    </xf>
    <xf numFmtId="0" fontId="6" fillId="2" borderId="0" xfId="0" applyNumberFormat="1" applyFont="1" applyFill="1" applyBorder="1"/>
    <xf numFmtId="0" fontId="6" fillId="2" borderId="0" xfId="0" applyNumberFormat="1" applyFont="1" applyFill="1" applyBorder="1" applyAlignment="1">
      <alignment horizontal="center"/>
    </xf>
    <xf numFmtId="0" fontId="6" fillId="2" borderId="0" xfId="0" applyNumberFormat="1" applyFont="1" applyFill="1" applyBorder="1" applyAlignment="1">
      <alignment horizontal="center" vertical="center"/>
    </xf>
    <xf numFmtId="0" fontId="6" fillId="2" borderId="1" xfId="0" applyNumberFormat="1" applyFont="1" applyFill="1" applyBorder="1"/>
    <xf numFmtId="0" fontId="6" fillId="2" borderId="1" xfId="0" applyNumberFormat="1" applyFont="1" applyFill="1" applyBorder="1" applyAlignment="1">
      <alignment horizontal="center"/>
    </xf>
    <xf numFmtId="0" fontId="6" fillId="2" borderId="1" xfId="0" applyNumberFormat="1" applyFont="1" applyFill="1" applyBorder="1" applyAlignment="1">
      <alignment horizontal="center" vertical="center"/>
    </xf>
    <xf numFmtId="0" fontId="0" fillId="10" borderId="0" xfId="0" applyNumberFormat="1" applyFont="1" applyFill="1" applyBorder="1"/>
    <xf numFmtId="0" fontId="7" fillId="10" borderId="0" xfId="0" applyNumberFormat="1" applyFont="1" applyFill="1" applyBorder="1"/>
    <xf numFmtId="0" fontId="7" fillId="10" borderId="0" xfId="0" applyNumberFormat="1" applyFont="1" applyFill="1" applyBorder="1" applyAlignment="1">
      <alignment wrapText="1"/>
    </xf>
    <xf numFmtId="0" fontId="7" fillId="10" borderId="0" xfId="0" applyNumberFormat="1" applyFont="1" applyFill="1" applyBorder="1" applyAlignment="1">
      <alignment horizontal="center" wrapText="1"/>
    </xf>
    <xf numFmtId="0" fontId="7" fillId="10" borderId="0" xfId="0" applyNumberFormat="1" applyFont="1" applyFill="1" applyBorder="1" applyAlignment="1">
      <alignment horizontal="center" vertical="center" wrapText="1"/>
    </xf>
    <xf numFmtId="0" fontId="0" fillId="10" borderId="1" xfId="0" applyNumberFormat="1" applyFont="1" applyFill="1" applyBorder="1"/>
    <xf numFmtId="0" fontId="7" fillId="10" borderId="1" xfId="0" applyNumberFormat="1" applyFont="1" applyFill="1" applyBorder="1"/>
    <xf numFmtId="0" fontId="7" fillId="10" borderId="1" xfId="0" applyNumberFormat="1" applyFont="1" applyFill="1" applyBorder="1" applyAlignment="1">
      <alignment wrapText="1"/>
    </xf>
    <xf numFmtId="0" fontId="7" fillId="10" borderId="1" xfId="0" applyNumberFormat="1" applyFont="1" applyFill="1" applyBorder="1" applyAlignment="1">
      <alignment horizontal="center" wrapText="1"/>
    </xf>
    <xf numFmtId="0" fontId="7" fillId="10" borderId="1" xfId="0" applyNumberFormat="1" applyFont="1" applyFill="1" applyBorder="1" applyAlignment="1">
      <alignment horizontal="center" vertical="center" wrapText="1"/>
    </xf>
    <xf numFmtId="0" fontId="2" fillId="3" borderId="0" xfId="0" applyNumberFormat="1" applyFont="1" applyFill="1" applyBorder="1" applyAlignment="1">
      <alignment horizontal="center"/>
    </xf>
    <xf numFmtId="0" fontId="2" fillId="3" borderId="0" xfId="0" applyNumberFormat="1" applyFont="1" applyFill="1" applyBorder="1" applyAlignment="1">
      <alignment horizontal="center" vertical="center"/>
    </xf>
    <xf numFmtId="0" fontId="2" fillId="3" borderId="1" xfId="0" applyNumberFormat="1" applyFont="1" applyFill="1" applyBorder="1" applyAlignment="1">
      <alignment horizontal="center"/>
    </xf>
    <xf numFmtId="0" fontId="2" fillId="3" borderId="1" xfId="0" applyNumberFormat="1" applyFont="1" applyFill="1" applyBorder="1" applyAlignment="1">
      <alignment horizontal="center" vertical="center"/>
    </xf>
    <xf numFmtId="0" fontId="0" fillId="11" borderId="0" xfId="0" applyNumberFormat="1" applyFont="1" applyFill="1" applyBorder="1"/>
    <xf numFmtId="0" fontId="2" fillId="11" borderId="0" xfId="0" applyNumberFormat="1" applyFont="1" applyFill="1" applyBorder="1"/>
    <xf numFmtId="0" fontId="2" fillId="11" borderId="0" xfId="0" applyNumberFormat="1" applyFont="1" applyFill="1" applyBorder="1" applyAlignment="1">
      <alignment horizontal="center"/>
    </xf>
    <xf numFmtId="0" fontId="2" fillId="11" borderId="0" xfId="0" applyNumberFormat="1" applyFont="1" applyFill="1" applyBorder="1" applyAlignment="1">
      <alignment horizontal="center" vertical="center"/>
    </xf>
    <xf numFmtId="0" fontId="0" fillId="11" borderId="1" xfId="0" applyNumberFormat="1" applyFont="1" applyFill="1" applyBorder="1"/>
    <xf numFmtId="0" fontId="2" fillId="11" borderId="1" xfId="0" applyNumberFormat="1" applyFont="1" applyFill="1" applyBorder="1"/>
    <xf numFmtId="0" fontId="2" fillId="11" borderId="1" xfId="0" applyNumberFormat="1" applyFont="1" applyFill="1" applyBorder="1" applyAlignment="1">
      <alignment horizontal="center"/>
    </xf>
    <xf numFmtId="0" fontId="2" fillId="11" borderId="1" xfId="0" applyNumberFormat="1" applyFont="1" applyFill="1" applyBorder="1" applyAlignment="1">
      <alignment horizontal="center" vertical="center"/>
    </xf>
    <xf numFmtId="0" fontId="2" fillId="3" borderId="0" xfId="0" applyNumberFormat="1" applyFont="1" applyFill="1" applyBorder="1" applyAlignment="1">
      <alignment horizontal="center" wrapText="1"/>
    </xf>
    <xf numFmtId="0" fontId="2" fillId="3" borderId="0" xfId="0" applyNumberFormat="1" applyFont="1" applyFill="1" applyBorder="1" applyAlignment="1">
      <alignment horizontal="center" vertical="center" wrapText="1"/>
    </xf>
    <xf numFmtId="0" fontId="2" fillId="3" borderId="1" xfId="0" applyNumberFormat="1" applyFont="1" applyFill="1" applyBorder="1" applyAlignment="1">
      <alignment horizontal="center" wrapText="1"/>
    </xf>
    <xf numFmtId="0" fontId="2" fillId="3" borderId="1" xfId="0" applyNumberFormat="1" applyFont="1" applyFill="1" applyBorder="1" applyAlignment="1">
      <alignment horizontal="center" vertical="center" wrapText="1"/>
    </xf>
    <xf numFmtId="0" fontId="2" fillId="11" borderId="0" xfId="0" applyNumberFormat="1" applyFont="1" applyFill="1" applyBorder="1" applyAlignment="1">
      <alignment wrapText="1"/>
    </xf>
    <xf numFmtId="0" fontId="2" fillId="11" borderId="0" xfId="0" applyNumberFormat="1" applyFont="1" applyFill="1" applyBorder="1" applyAlignment="1">
      <alignment horizontal="center" wrapText="1"/>
    </xf>
    <xf numFmtId="0" fontId="2" fillId="11" borderId="0" xfId="0" applyNumberFormat="1" applyFont="1" applyFill="1" applyBorder="1" applyAlignment="1">
      <alignment horizontal="center" vertical="center" wrapText="1"/>
    </xf>
    <xf numFmtId="0" fontId="2" fillId="11" borderId="1" xfId="0" applyNumberFormat="1" applyFont="1" applyFill="1" applyBorder="1" applyAlignment="1">
      <alignment wrapText="1"/>
    </xf>
    <xf numFmtId="0" fontId="2" fillId="11" borderId="1" xfId="0" applyNumberFormat="1" applyFont="1" applyFill="1" applyBorder="1" applyAlignment="1">
      <alignment horizontal="center" wrapText="1"/>
    </xf>
    <xf numFmtId="0" fontId="2" fillId="11" borderId="1"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1" xfId="0" applyNumberFormat="1" applyFont="1" applyFill="1" applyBorder="1" applyAlignment="1">
      <alignment wrapText="1"/>
    </xf>
    <xf numFmtId="0" fontId="0" fillId="0" borderId="0" xfId="0" applyNumberFormat="1" applyFont="1" applyFill="1" applyBorder="1" applyAlignment="1">
      <alignment vertical="top" wrapText="1"/>
    </xf>
    <xf numFmtId="0" fontId="0" fillId="0" borderId="0" xfId="0" applyNumberFormat="1" applyFont="1" applyFill="1" applyBorder="1" applyAlignment="1">
      <alignment vertical="top"/>
    </xf>
    <xf numFmtId="0" fontId="0" fillId="0" borderId="1" xfId="0" applyNumberFormat="1" applyFont="1" applyFill="1" applyBorder="1" applyAlignment="1">
      <alignment vertical="top" wrapText="1"/>
    </xf>
    <xf numFmtId="0" fontId="0" fillId="0" borderId="1" xfId="0" applyNumberFormat="1" applyFont="1" applyFill="1" applyBorder="1" applyAlignment="1">
      <alignment vertical="top"/>
    </xf>
    <xf numFmtId="200" fontId="0" fillId="0" borderId="0" xfId="0" applyNumberFormat="1" applyFont="1" applyFill="1" applyBorder="1" applyAlignment="1">
      <alignment vertical="top"/>
    </xf>
    <xf numFmtId="200" fontId="0" fillId="0" borderId="1" xfId="0" applyNumberFormat="1" applyFont="1" applyFill="1" applyBorder="1" applyAlignment="1">
      <alignment vertical="top"/>
    </xf>
    <xf numFmtId="201" fontId="0" fillId="0" borderId="0" xfId="0" applyNumberFormat="1" applyFont="1" applyFill="1" applyBorder="1" applyAlignment="1">
      <alignment vertical="top"/>
    </xf>
    <xf numFmtId="201" fontId="0" fillId="0" borderId="1" xfId="0" applyNumberFormat="1" applyFont="1" applyFill="1" applyBorder="1" applyAlignment="1">
      <alignment vertical="top"/>
    </xf>
    <xf numFmtId="201" fontId="0" fillId="0" borderId="0" xfId="0" applyNumberFormat="1" applyFont="1" applyFill="1" applyBorder="1" applyAlignment="1">
      <alignment vertical="top" wrapText="1"/>
    </xf>
    <xf numFmtId="201" fontId="0" fillId="0" borderId="1" xfId="0" applyNumberFormat="1" applyFont="1" applyFill="1" applyBorder="1" applyAlignment="1">
      <alignment vertical="top" wrapText="1"/>
    </xf>
    <xf numFmtId="202" fontId="0" fillId="0" borderId="0" xfId="0" applyNumberFormat="1" applyFont="1" applyFill="1" applyBorder="1" applyAlignment="1">
      <alignment vertical="top"/>
    </xf>
    <xf numFmtId="202" fontId="0" fillId="0" borderId="1" xfId="0" applyNumberFormat="1" applyFont="1" applyFill="1" applyBorder="1" applyAlignment="1">
      <alignment vertical="top"/>
    </xf>
    <xf numFmtId="201" fontId="5" fillId="0" borderId="0" xfId="0" applyNumberFormat="1" applyFont="1" applyFill="1" applyBorder="1" applyAlignment="1">
      <alignment vertical="top"/>
    </xf>
    <xf numFmtId="201" fontId="5" fillId="0" borderId="1" xfId="0" applyNumberFormat="1" applyFont="1" applyFill="1" applyBorder="1" applyAlignment="1">
      <alignment vertical="top"/>
    </xf>
    <xf numFmtId="0" fontId="8" fillId="2" borderId="0" xfId="0" applyNumberFormat="1" applyFont="1" applyFill="1" applyBorder="1"/>
    <xf numFmtId="0" fontId="8" fillId="2" borderId="0" xfId="0" applyNumberFormat="1" applyFont="1" applyFill="1" applyBorder="1" applyAlignment="1">
      <alignment horizontal="center"/>
    </xf>
    <xf numFmtId="0" fontId="8" fillId="2" borderId="0" xfId="0" applyNumberFormat="1" applyFont="1" applyFill="1" applyBorder="1" applyAlignment="1">
      <alignment horizontal="center" vertical="center"/>
    </xf>
    <xf numFmtId="0" fontId="8" fillId="2" borderId="1" xfId="0" applyNumberFormat="1" applyFont="1" applyFill="1" applyBorder="1"/>
    <xf numFmtId="0" fontId="8" fillId="2" borderId="1" xfId="0" applyNumberFormat="1" applyFont="1" applyFill="1" applyBorder="1" applyAlignment="1">
      <alignment horizontal="center"/>
    </xf>
    <xf numFmtId="0" fontId="8" fillId="2" borderId="1" xfId="0" applyNumberFormat="1" applyFont="1" applyFill="1" applyBorder="1" applyAlignment="1">
      <alignment horizontal="center" vertical="center"/>
    </xf>
    <xf numFmtId="0" fontId="3" fillId="4" borderId="0" xfId="0" applyNumberFormat="1" applyFont="1" applyFill="1" applyBorder="1" applyAlignment="1">
      <alignment vertical="center" wrapText="1"/>
    </xf>
    <xf numFmtId="0" fontId="3" fillId="4" borderId="1" xfId="0" applyNumberFormat="1" applyFont="1" applyFill="1" applyBorder="1" applyAlignment="1">
      <alignment vertical="center" wrapText="1"/>
    </xf>
    <xf numFmtId="202" fontId="3" fillId="4" borderId="0" xfId="0" applyNumberFormat="1" applyFont="1" applyFill="1" applyBorder="1" applyAlignment="1">
      <alignment vertical="center" wrapText="1"/>
    </xf>
    <xf numFmtId="202" fontId="3" fillId="4" borderId="1" xfId="0" applyNumberFormat="1" applyFont="1" applyFill="1" applyBorder="1" applyAlignment="1">
      <alignment vertical="center" wrapText="1"/>
    </xf>
    <xf numFmtId="201" fontId="3" fillId="4" borderId="0" xfId="0" applyNumberFormat="1" applyFont="1" applyFill="1" applyBorder="1" applyAlignment="1">
      <alignment vertical="center" wrapText="1"/>
    </xf>
    <xf numFmtId="201" fontId="3" fillId="4" borderId="1" xfId="0" applyNumberFormat="1" applyFont="1" applyFill="1" applyBorder="1" applyAlignment="1">
      <alignment vertical="center" wrapText="1"/>
    </xf>
    <xf numFmtId="203" fontId="3" fillId="4" borderId="0" xfId="0" applyNumberFormat="1" applyFont="1" applyFill="1" applyBorder="1" applyAlignment="1">
      <alignment vertical="center" wrapText="1"/>
    </xf>
    <xf numFmtId="0" fontId="0" fillId="0" borderId="0" xfId="0" applyNumberFormat="1" applyFont="1" applyFill="1" applyBorder="1"/>
    <xf numFmtId="0" fontId="2" fillId="12" borderId="0" xfId="0" applyNumberFormat="1" applyFont="1" applyFill="1" applyBorder="1" applyAlignment="1">
      <alignment horizontal="center" vertical="center"/>
    </xf>
    <xf numFmtId="0" fontId="2" fillId="12" borderId="0" xfId="0" applyNumberFormat="1" applyFont="1" applyFill="1" applyBorder="1" applyAlignment="1">
      <alignment horizontal="center" vertical="center" wrapText="1"/>
    </xf>
    <xf numFmtId="0" fontId="2" fillId="13" borderId="0" xfId="0" applyNumberFormat="1" applyFont="1" applyFill="1" applyBorder="1" applyAlignment="1">
      <alignment horizontal="center" vertical="center"/>
    </xf>
    <xf numFmtId="0" fontId="2" fillId="13" borderId="0" xfId="0" applyNumberFormat="1" applyFont="1" applyFill="1" applyBorder="1" applyAlignment="1">
      <alignment horizontal="center" vertical="center" wrapText="1"/>
    </xf>
    <xf numFmtId="0" fontId="6" fillId="14" borderId="0" xfId="0" applyNumberFormat="1" applyFont="1" applyFill="1" applyBorder="1" applyAlignment="1">
      <alignment horizontal="center" vertical="center"/>
    </xf>
    <xf numFmtId="0" fontId="6" fillId="14" borderId="0" xfId="0" applyNumberFormat="1" applyFont="1" applyFill="1" applyBorder="1" applyAlignment="1">
      <alignment horizontal="center" vertical="center" wrapText="1"/>
    </xf>
    <xf numFmtId="0" fontId="7" fillId="15" borderId="0" xfId="0" applyNumberFormat="1" applyFont="1" applyFill="1" applyBorder="1" applyAlignment="1">
      <alignment horizontal="center" vertical="center" wrapText="1"/>
    </xf>
    <xf numFmtId="0" fontId="2" fillId="16" borderId="0" xfId="0" applyNumberFormat="1" applyFont="1" applyFill="1" applyBorder="1" applyAlignment="1">
      <alignment horizontal="center" vertical="center" wrapText="1"/>
    </xf>
    <xf numFmtId="0" fontId="2" fillId="17"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203" fontId="0" fillId="0" borderId="0" xfId="0" applyNumberFormat="1" applyFont="1" applyFill="1" applyBorder="1" applyAlignment="1">
      <alignment vertical="top"/>
    </xf>
    <xf numFmtId="0" fontId="0" fillId="18" borderId="0" xfId="0" applyNumberFormat="1" applyFont="1" applyFill="1" applyBorder="1"/>
    <xf numFmtId="0" fontId="2" fillId="18" borderId="0" xfId="0" applyNumberFormat="1" applyFont="1" applyFill="1" applyBorder="1"/>
    <xf numFmtId="0" fontId="2" fillId="18" borderId="0" xfId="0" applyNumberFormat="1" applyFont="1" applyFill="1" applyBorder="1" applyAlignment="1">
      <alignment horizontal="center"/>
    </xf>
    <xf numFmtId="0" fontId="2" fillId="18" borderId="0" xfId="0" applyNumberFormat="1" applyFont="1" applyFill="1" applyBorder="1" applyAlignment="1">
      <alignment horizontal="center" vertical="center"/>
    </xf>
    <xf numFmtId="0" fontId="0" fillId="19" borderId="0" xfId="0" applyNumberFormat="1" applyFont="1" applyFill="1" applyBorder="1"/>
    <xf numFmtId="0" fontId="2" fillId="19" borderId="0" xfId="0" applyNumberFormat="1" applyFont="1" applyFill="1" applyBorder="1"/>
    <xf numFmtId="0" fontId="2" fillId="19" borderId="0" xfId="0" applyNumberFormat="1" applyFont="1" applyFill="1" applyBorder="1" applyAlignment="1">
      <alignment wrapText="1"/>
    </xf>
    <xf numFmtId="0" fontId="2" fillId="19" borderId="0" xfId="0" applyNumberFormat="1" applyFont="1" applyFill="1" applyBorder="1" applyAlignment="1">
      <alignment vertical="center" wrapText="1"/>
    </xf>
    <xf numFmtId="0" fontId="0" fillId="20" borderId="0" xfId="0" applyNumberFormat="1" applyFont="1" applyFill="1" applyBorder="1"/>
    <xf numFmtId="0" fontId="3" fillId="20" borderId="0" xfId="0" applyNumberFormat="1" applyFont="1" applyFill="1" applyBorder="1"/>
    <xf numFmtId="0" fontId="3" fillId="20" xfId="0" applyNumberFormat="1" applyFont="1" applyFill="1" applyBorder="0"/>
    <xf numFmtId="0" fontId="3" fillId="20" xfId="0" applyNumberFormat="1" applyFont="1" applyFill="1" applyBorder="0" applyAlignment="1">
      <alignment horizontal="center"/>
    </xf>
    <xf numFmtId="0" fontId="3" fillId="20" xfId="0" applyNumberFormat="1" applyFont="1" applyFill="1" applyBorder="0" applyAlignment="1">
      <alignment horizontal="center" vertical="center"/>
    </xf>
    <xf numFmtId="201" fontId="3" fillId="20" xfId="0" applyNumberFormat="1" applyFont="1" applyFill="1" applyBorder="0" applyAlignment="1">
      <alignment horizontal="center" vertical="center"/>
    </xf>
    <xf numFmtId="203" fontId="3" fillId="20" xfId="0" applyNumberFormat="1" applyFont="1" applyFill="1" applyBorder="0" applyAlignment="1">
      <alignment horizontal="center" vertical="center"/>
    </xf>
    <xf numFmtId="0" fontId="0" fillId="21" borderId="0" xfId="0" applyNumberFormat="1" applyFont="1" applyFill="1" applyBorder="1"/>
    <xf numFmtId="0" fontId="3" fillId="21" borderId="0" xfId="0" applyNumberFormat="1" applyFont="1" applyFill="1" applyBorder="1"/>
    <xf numFmtId="0" fontId="3" fillId="21" borderId="0" xfId="0" applyNumberFormat="1" applyFont="1" applyFill="1" applyBorder="1" applyAlignment="1">
      <alignment wrapText="1"/>
    </xf>
    <xf numFmtId="0" fontId="3" fillId="21" borderId="0" xfId="0" applyNumberFormat="1" applyFont="1" applyFill="1" applyBorder="1" applyAlignment="1">
      <alignment vertical="center" wrapText="1"/>
    </xf>
    <xf numFmtId="0" fontId="0" fillId="20" borderId="0" xfId="0" applyNumberFormat="1" applyFont="1" applyFill="1" applyBorder="1" applyAlignment="1">
      <alignment vertical="top" wrapText="1"/>
    </xf>
    <xf numFmtId="200" fontId="0" fillId="20" borderId="0" xfId="0" applyNumberFormat="1" applyFont="1" applyFill="1" applyBorder="1" applyAlignment="1">
      <alignment vertical="top"/>
    </xf>
    <xf numFmtId="0" fontId="0" fillId="20" borderId="0" xfId="0" applyNumberFormat="1" applyFont="1" applyFill="1" applyBorder="1" applyAlignment="1">
      <alignment vertical="top"/>
    </xf>
    <xf numFmtId="201" fontId="0" fillId="20" borderId="0" xfId="0" applyNumberFormat="1" applyFont="1" applyFill="1" applyBorder="1" applyAlignment="1">
      <alignment vertical="top"/>
    </xf>
    <xf numFmtId="203" fontId="0" fillId="20" borderId="0" xfId="0" applyNumberFormat="1" applyFont="1" applyFill="1" applyBorder="1" applyAlignment="1">
      <alignment vertical="top"/>
    </xf>
    <xf numFmtId="201" fontId="0" fillId="20" borderId="0" xfId="0" applyNumberFormat="1" applyFont="1" applyFill="1" applyBorder="1" applyAlignment="1">
      <alignment vertical="top" wrapText="1"/>
    </xf>
    <xf numFmtId="0" fontId="0" fillId="20" xfId="0" applyNumberFormat="1" applyFont="1" applyFill="1" applyBorder="0" applyAlignment="1">
      <alignment vertical="top" wrapText="1"/>
    </xf>
    <xf numFmtId="200" fontId="0" fillId="20" xfId="0" applyNumberFormat="1" applyFont="1" applyFill="1" applyBorder="0" applyAlignment="1">
      <alignment vertical="top"/>
    </xf>
    <xf numFmtId="0" fontId="0" fillId="20" xfId="0" applyNumberFormat="1" applyFont="1" applyFill="1" applyBorder="0" applyAlignment="1">
      <alignment vertical="top"/>
    </xf>
    <xf numFmtId="201" fontId="0" fillId="20" xfId="0" applyNumberFormat="1" applyFont="1" applyFill="1" applyBorder="0" applyAlignment="1">
      <alignment vertical="top"/>
    </xf>
    <xf numFmtId="203" fontId="0" fillId="20" xfId="0" applyNumberFormat="1" applyFont="1" applyFill="1" applyBorder="0" applyAlignment="1">
      <alignment vertical="top"/>
    </xf>
    <xf numFmtId="201" fontId="0" fillId="20" xfId="0" applyNumberFormat="1" applyFont="1" applyFill="1" applyBorder="0" applyAlignment="1">
      <alignment vertical="top" wrapText="1"/>
    </xf>
    <xf numFmtId="0" fontId="0" fillId="20" xfId="0" applyNumberFormat="1" applyFont="1" applyFill="1" applyBorder="0"/>
    <xf numFmtId="0" fontId="3" fillId="20" xfId="0" applyNumberFormat="1" applyFont="1" applyFill="1" applyBorder="0" applyAlignment="1">
      <alignment vertical="top" wrapText="1"/>
    </xf>
    <xf numFmtId="200" fontId="3" fillId="20" xfId="0" applyNumberFormat="1" applyFont="1" applyFill="1" applyBorder="0" applyAlignment="1">
      <alignment vertical="top"/>
    </xf>
    <xf numFmtId="0" fontId="3" fillId="20" xfId="0" applyNumberFormat="1" applyFont="1" applyFill="1" applyBorder="0" applyAlignment="1">
      <alignment vertical="top"/>
    </xf>
    <xf numFmtId="201" fontId="3" fillId="20" xfId="0" applyNumberFormat="1" applyFont="1" applyFill="1" applyBorder="0" applyAlignment="1">
      <alignment vertical="top"/>
    </xf>
    <xf numFmtId="203" fontId="3" fillId="20" xfId="0" applyNumberFormat="1" applyFont="1" applyFill="1" applyBorder="0" applyAlignment="1">
      <alignment vertical="top"/>
    </xf>
    <xf numFmtId="201" fontId="3" fillId="20" xfId="0" applyNumberFormat="1" applyFont="1" applyFill="1" applyBorder="0" applyAlignment="1">
      <alignment vertical="top" wrapText="1"/>
    </xf>
    <xf numFmtId="0" fontId="3" fillId="20" xfId="0" applyNumberFormat="1" applyFont="1" applyFill="1" applyBorder="0" applyAlignment="1">
      <alignment vertical="center" wrapText="1"/>
    </xf>
    <xf numFmtId="200" fontId="3" fillId="20" xfId="0" applyNumberFormat="1" applyFont="1" applyFill="1" applyBorder="0" applyAlignment="1">
      <alignment vertical="center"/>
    </xf>
    <xf numFmtId="0" fontId="3" fillId="20" xfId="0" applyNumberFormat="1" applyFont="1" applyFill="1" applyBorder="0" applyAlignment="1">
      <alignment vertical="center"/>
    </xf>
    <xf numFmtId="201" fontId="3" fillId="20" xfId="0" applyNumberFormat="1" applyFont="1" applyFill="1" applyBorder="0" applyAlignment="1">
      <alignment vertical="center"/>
    </xf>
    <xf numFmtId="203" fontId="3" fillId="20" xfId="0" applyNumberFormat="1" applyFont="1" applyFill="1" applyBorder="0" applyAlignment="1">
      <alignment vertical="center"/>
    </xf>
    <xf numFmtId="201" fontId="3" fillId="20" xfId="0" applyNumberFormat="1" applyFont="1" applyFill="1" applyBorder="0" applyAlignment="1">
      <alignment vertical="center" wrapText="1"/>
    </xf>
    <xf numFmtId="200" fontId="3" fillId="20" xfId="0" applyNumberFormat="1" applyFont="1" applyFill="1" applyBorder="0" applyAlignment="1">
      <alignment vertical="center" wrapText="1"/>
    </xf>
    <xf numFmtId="203" fontId="3" fillId="20" xfId="0" applyNumberFormat="1" applyFont="1" applyFill="1" applyBorder="0" applyAlignment="1">
      <alignment vertical="center" wrapText="1"/>
    </xf>
    <xf numFmtId="204" fontId="3" fillId="20" xfId="0" applyNumberFormat="1" applyFont="1" applyFill="1" applyBorder="0" applyAlignment="1">
      <alignment vertical="center" wrapText="1"/>
    </xf>
    <xf numFmtId="205" fontId="3" fillId="20" xfId="0" applyNumberFormat="1" applyFont="1" applyFill="1" applyBorder="0" applyAlignment="1">
      <alignment vertical="center" wrapText="1"/>
    </xf>
    <xf numFmtId="0" fontId="0" fillId="22" borderId="0" xfId="0" applyNumberFormat="1" applyFont="1" applyFill="1" applyBorder="1"/>
    <xf numFmtId="0" fontId="9" fillId="22" borderId="0" xfId="0" applyNumberFormat="1" applyFont="1" applyFill="1" applyBorder="1"/>
    <xf numFmtId="0" fontId="9" fillId="22" xfId="0" applyNumberFormat="1" applyFont="1" applyFill="1" applyBorder="0"/>
    <xf numFmtId="0" fontId="9" fillId="22" xfId="0" applyNumberFormat="1" applyFont="1" applyFill="1" applyBorder="0" applyAlignment="1">
      <alignment wrapText="1"/>
    </xf>
    <xf numFmtId="0" fontId="9" fillId="22" xfId="0" applyNumberFormat="1" applyFont="1" applyFill="1" applyBorder="0" applyAlignment="1">
      <alignment horizontal="center" wrapText="1"/>
    </xf>
    <xf numFmtId="0" fontId="9" fillId="22" xfId="0" applyNumberFormat="1" applyFont="1" applyFill="1" applyBorder="0" applyAlignment="1">
      <alignment horizontal="center" vertical="center" wrapText="1"/>
    </xf>
    <xf numFmtId="0" fontId="2" fillId="3" borderId="0" xfId="0" applyNumberFormat="1" applyFont="1" applyFill="1" applyBorder="1" applyAlignment="1">
      <alignment vertical="center" wrapText="1"/>
    </xf>
    <xf numFmtId="0" fontId="1" fillId="2" borderId="0" xfId="0" applyNumberFormat="1" applyFont="1" applyFill="1" applyBorder="1" applyAlignment="1">
      <alignment horizontal="center" vertical="center" wrapText="0"/>
    </xf>
    <xf numFmtId="0" fontId="0" fillId="0" borderId="0" xfId="0" applyNumberFormat="1" applyFont="1" applyFill="1" applyBorder="1" applyAlignment="1">
      <alignment wrapText="0"/>
    </xf>
    <xf numFmtId="0" fontId="2" fillId="3" borderId="0" xfId="0" applyNumberFormat="1" applyFont="1" applyFill="1" applyBorder="1" applyAlignment="1">
      <alignment vertical="top" wrapText="0"/>
    </xf>
    <xf numFmtId="0" fontId="3" fillId="4" borderId="0" xfId="0" applyNumberFormat="1" applyFont="1" applyFill="1" applyBorder="1" applyAlignment="1">
      <alignment vertical="top" wrapText="0"/>
    </xf>
    <xf numFmtId="0" fontId="4" fillId="5" borderId="0" xfId="0" applyNumberFormat="1" applyFont="1" applyFill="1" applyBorder="1" applyAlignment="1">
      <alignment vertical="top" wrapText="0"/>
    </xf>
    <xf numFmtId="0" fontId="5" fillId="5" borderId="0" xfId="0" applyNumberFormat="1" applyFont="1" applyFill="1" applyBorder="1" applyAlignment="1">
      <alignment vertical="top" wrapText="0"/>
    </xf>
    <xf numFmtId="0" fontId="4" fillId="6" borderId="0" xfId="0" applyNumberFormat="1" applyFont="1" applyFill="1" applyBorder="1" applyAlignment="1">
      <alignment vertical="top" wrapText="0"/>
    </xf>
    <xf numFmtId="0" fontId="5" fillId="6" borderId="0" xfId="0" applyNumberFormat="1" applyFont="1" applyFill="1" applyBorder="1" applyAlignment="1">
      <alignment vertical="top" wrapText="0"/>
    </xf>
    <xf numFmtId="0" fontId="4" fillId="7" borderId="0" xfId="0" applyNumberFormat="1" applyFont="1" applyFill="1" applyBorder="1" applyAlignment="1">
      <alignment vertical="top" wrapText="0"/>
    </xf>
    <xf numFmtId="0" fontId="5" fillId="7" borderId="0" xfId="0" applyNumberFormat="1" applyFont="1" applyFill="1" applyBorder="1" applyAlignment="1">
      <alignment vertical="top" wrapText="0"/>
    </xf>
    <xf numFmtId="0" fontId="4" fillId="8" borderId="0" xfId="0" applyNumberFormat="1" applyFont="1" applyFill="1" applyBorder="1" applyAlignment="1">
      <alignment vertical="top" wrapText="0"/>
    </xf>
    <xf numFmtId="0" fontId="5" fillId="8" borderId="0" xfId="0" applyNumberFormat="1" applyFont="1" applyFill="1" applyBorder="1" applyAlignment="1">
      <alignment vertical="top" wrapText="0"/>
    </xf>
    <xf numFmtId="0" fontId="4" fillId="9" borderId="0" xfId="0" applyNumberFormat="1" applyFont="1" applyFill="1" applyBorder="1" applyAlignment="1">
      <alignment vertical="top" wrapText="0"/>
    </xf>
    <xf numFmtId="0" fontId="5" fillId="9" borderId="0" xfId="0" applyNumberFormat="1" applyFont="1" applyFill="1" applyBorder="1" applyAlignment="1">
      <alignment vertical="top" wrapText="0"/>
    </xf>
    <xf numFmtId="0" fontId="2" fillId="18" borderId="0" xfId="0" applyNumberFormat="1" applyFont="1" applyFill="1" applyBorder="1" applyAlignment="1">
      <alignment horizontal="center" vertical="center" wrapText="0"/>
    </xf>
    <xf numFmtId="0" fontId="2" fillId="3" borderId="0" xfId="0" applyNumberFormat="1" applyFont="1" applyFill="1" applyBorder="1" applyAlignment="1">
      <alignment vertical="center" wrapText="0"/>
    </xf>
    <xf numFmtId="201" fontId="3" fillId="20" xfId="0" applyNumberFormat="1" applyFont="1" applyFill="1" applyBorder="0" applyAlignment="1">
      <alignment horizontal="center" vertical="center" wrapText="0"/>
    </xf>
    <xf numFmtId="203" fontId="3" fillId="20" xfId="0" applyNumberFormat="1" applyFont="1" applyFill="1" applyBorder="0" applyAlignment="1">
      <alignment horizontal="center" vertical="center" wrapText="0"/>
    </xf>
    <xf numFmtId="0" fontId="3" fillId="21" borderId="0" xfId="0" applyNumberFormat="1" applyFont="1" applyFill="1" applyBorder="1" applyAlignment="1">
      <alignment vertical="center" wrapText="0"/>
    </xf>
    <xf numFmtId="0" fontId="0" fillId="0" borderId="0" xfId="0" applyNumberFormat="1" applyFont="1" applyFill="1" applyBorder="1" applyAlignment="1">
      <alignment vertical="center" wrapText="0"/>
    </xf>
    <xf numFmtId="0" fontId="3" fillId="4" borderId="0" xfId="0" applyNumberFormat="1" applyFont="1" applyFill="1" applyBorder="1" applyAlignment="1">
      <alignment vertical="center" wrapText="0"/>
    </xf>
    <xf numFmtId="0" fontId="4" fillId="5" borderId="0" xfId="0" applyNumberFormat="1" applyFont="1" applyFill="1" applyBorder="1" applyAlignment="1">
      <alignment vertical="center" wrapText="0"/>
    </xf>
    <xf numFmtId="0" fontId="5" fillId="5" borderId="0" xfId="0" applyNumberFormat="1" applyFont="1" applyFill="1" applyBorder="1" applyAlignment="1">
      <alignment vertical="center" wrapText="0"/>
    </xf>
    <xf numFmtId="0" fontId="4" fillId="6" borderId="0" xfId="0" applyNumberFormat="1" applyFont="1" applyFill="1" applyBorder="1" applyAlignment="1">
      <alignment vertical="center" wrapText="0"/>
    </xf>
    <xf numFmtId="0" fontId="5" fillId="6" borderId="0" xfId="0" applyNumberFormat="1" applyFont="1" applyFill="1" applyBorder="1" applyAlignment="1">
      <alignment vertical="center" wrapText="0"/>
    </xf>
    <xf numFmtId="0" fontId="4" fillId="7" borderId="0" xfId="0" applyNumberFormat="1" applyFont="1" applyFill="1" applyBorder="1" applyAlignment="1">
      <alignment vertical="center" wrapText="0"/>
    </xf>
    <xf numFmtId="0" fontId="5" fillId="7" borderId="0" xfId="0" applyNumberFormat="1" applyFont="1" applyFill="1" applyBorder="1" applyAlignment="1">
      <alignment vertical="center" wrapText="0"/>
    </xf>
    <xf numFmtId="0" fontId="4" fillId="8" borderId="0" xfId="0" applyNumberFormat="1" applyFont="1" applyFill="1" applyBorder="1" applyAlignment="1">
      <alignment vertical="center" wrapText="0"/>
    </xf>
    <xf numFmtId="0" fontId="5" fillId="8" borderId="0" xfId="0" applyNumberFormat="1" applyFont="1" applyFill="1" applyBorder="1" applyAlignment="1">
      <alignment vertical="center" wrapText="0"/>
    </xf>
    <xf numFmtId="0" fontId="4" fillId="9" borderId="0" xfId="0" applyNumberFormat="1" applyFont="1" applyFill="1" applyBorder="1" applyAlignment="1">
      <alignment vertical="center" wrapText="0"/>
    </xf>
    <xf numFmtId="0" fontId="5" fillId="9" borderId="0" xfId="0" applyNumberFormat="1" applyFont="1" applyFill="1" applyBorder="1" applyAlignment="1">
      <alignment vertical="center" wrapText="0"/>
    </xf>
    <xf numFmtId="0" fontId="1" fillId="23" borderId="0" xfId="0" applyNumberFormat="1" applyFont="1" applyFill="1" applyBorder="1" applyAlignment="1">
      <alignment horizontal="center" vertical="center" wrapText="0"/>
    </xf>
    <xf numFmtId="0" fontId="0" fillId="23" borderId="0" xfId="0" applyNumberFormat="1" applyFont="1" applyFill="1" applyBorder="1" applyAlignment="1">
      <alignment vertical="center" wrapText="0"/>
    </xf>
    <xf numFmtId="0" fontId="10" fillId="23" borderId="0" xfId="0" applyNumberFormat="1" applyFont="1" applyFill="1" applyBorder="1" applyAlignment="1">
      <alignment horizontal="center" vertical="center" wrapText="0"/>
    </xf>
    <xf numFmtId="0" fontId="10" fillId="23" borderId="0" xfId="0" applyNumberFormat="1" applyFont="1" applyFill="1" applyBorder="1" applyAlignment="1">
      <alignment vertical="center" wrapText="0"/>
    </xf>
    <xf numFmtId="0" fontId="0" fillId="24" borderId="0" xfId="0" applyNumberFormat="1" applyFont="1" applyFill="1" applyBorder="1" applyAlignment="1">
      <alignment vertical="center" wrapText="0"/>
    </xf>
    <xf numFmtId="0" fontId="2" fillId="24" borderId="0" xfId="0" applyNumberFormat="1" applyFont="1" applyFill="1" applyBorder="1" applyAlignment="1">
      <alignment vertical="center" wrapText="0"/>
    </xf>
    <xf numFmtId="0" fontId="2" fillId="24" borderId="0" xfId="0" applyNumberFormat="1" applyFont="1" applyFill="1" applyBorder="1" applyAlignment="1">
      <alignment horizontal="center" vertical="center" wrapText="0"/>
    </xf>
    <xf numFmtId="0" fontId="11" fillId="0" borderId="0" xfId="0" applyNumberFormat="1" applyFont="1" applyFill="1" applyBorder="1" applyAlignment="1">
      <alignment vertical="center" wrapText="0"/>
    </xf>
    <xf numFmtId="205" fontId="3" fillId="25" xfId="0" applyNumberFormat="1" applyFont="1" applyFill="1" applyBorder="0" applyAlignment="1">
      <alignment vertical="center" wrapText="1"/>
    </xf>
    <xf numFmtId="204" fontId="3" fillId="25" xfId="0" applyNumberFormat="1" applyFont="1" applyFill="1" applyBorder="0" applyAlignment="1">
      <alignment vertical="center" wrapText="1"/>
    </xf>
    <xf numFmtId="201" fontId="3" fillId="25" xfId="0" applyNumberFormat="1" applyFont="1" applyFill="1" applyBorder="0" applyAlignment="1">
      <alignment vertical="center" wrapText="1"/>
    </xf>
    <xf numFmtId="203" fontId="3" fillId="25" xfId="0" applyNumberFormat="1" applyFont="1" applyFill="1" applyBorder="0" applyAlignment="1">
      <alignment vertical="center" wrapText="1"/>
    </xf>
    <xf numFmtId="0" fontId="0" fillId="26" borderId="0" xfId="0" applyNumberFormat="1" applyFont="1" applyFill="1" applyBorder="1"/>
    <xf numFmtId="0" fontId="12" fillId="26" borderId="0" xfId="0" applyNumberFormat="1" applyFont="1" applyFill="1" applyBorder="1"/>
    <xf numFmtId="0" fontId="12" fillId="26" xfId="0" applyNumberFormat="1" applyFont="1" applyFill="1" applyBorder="0"/>
    <xf numFmtId="0" fontId="1" fillId="10" borderId="0" xfId="0" applyNumberFormat="1" applyFont="1" applyFill="1" applyBorder="1" applyAlignment="1">
      <alignment horizontal="center" vertical="center" wrapText="0"/>
    </xf>
    <xf numFmtId="0" fontId="0" fillId="10" borderId="0" xfId="0" applyNumberFormat="1" applyFont="1" applyFill="1" applyBorder="1" applyAlignment="1">
      <alignment vertical="center" wrapText="0"/>
    </xf>
    <xf numFmtId="0" fontId="10" fillId="10" borderId="0" xfId="0" applyNumberFormat="1" applyFont="1" applyFill="1" applyBorder="1" applyAlignment="1">
      <alignment horizontal="center" vertical="center" wrapText="0"/>
    </xf>
    <xf numFmtId="0" fontId="10" fillId="10" borderId="0" xfId="0" applyNumberFormat="1" applyFont="1" applyFill="1" applyBorder="1" applyAlignment="1">
      <alignment vertical="center" wrapText="0"/>
    </xf>
    <xf numFmtId="0" fontId="0" fillId="18" borderId="0" xfId="0" applyNumberFormat="1" applyFont="1" applyFill="1" applyBorder="1" applyAlignment="1">
      <alignment vertical="center" wrapText="0"/>
    </xf>
    <xf numFmtId="0" fontId="2" fillId="18" borderId="0" xfId="0" applyNumberFormat="1" applyFont="1" applyFill="1" applyBorder="1" applyAlignment="1">
      <alignment vertical="center" wrapText="0"/>
    </xf>
    <xf numFmtId="0" fontId="2" fillId="27" borderId="0" xfId="0" applyNumberFormat="1" applyFont="1" applyFill="1" applyBorder="1" applyAlignment="1">
      <alignment horizontal="center" vertical="center" wrapText="0"/>
    </xf>
    <xf numFmtId="0" fontId="0" fillId="27" borderId="0" xfId="0" applyNumberFormat="1" applyFont="1" applyFill="1" applyBorder="1" applyAlignment="1">
      <alignment vertical="center" wrapText="0"/>
    </xf>
    <xf numFmtId="0" fontId="2" fillId="27" borderId="0" xfId="0" applyNumberFormat="1" applyFont="1" applyFill="1" applyBorder="1" applyAlignment="1">
      <alignment vertical="center" wrapText="0"/>
    </xf>
    <xf numFmtId="0" fontId="2" fillId="28" borderId="0" xfId="0" applyNumberFormat="1" applyFont="1" applyFill="1" applyBorder="1" applyAlignment="1">
      <alignment vertical="center" wrapText="0"/>
    </xf>
    <xf numFmtId="0" fontId="3" fillId="28" borderId="0" xfId="0" applyNumberFormat="1" applyFont="1" applyFill="1" applyBorder="1" applyAlignment="1">
      <alignment vertical="center" wrapText="0"/>
    </xf>
    <xf numFmtId="201" fontId="3" fillId="29" xfId="0" applyNumberFormat="1" applyFont="1" applyFill="1" applyBorder="0" applyAlignment="1">
      <alignment horizontal="center" vertical="center" wrapText="0"/>
    </xf>
    <xf numFmtId="203" fontId="3" fillId="29" xfId="0" applyNumberFormat="1" applyFont="1" applyFill="1" applyBorder="0" applyAlignment="1">
      <alignment horizontal="center" vertical="center" wrapText="0"/>
    </xf>
    <xf numFmtId="205" fontId="3" fillId="20" xfId="0" applyNumberFormat="1" applyFont="1" applyFill="1" applyBorder="0" applyAlignment="1">
      <alignment vertical="center" wrapText="0"/>
    </xf>
    <xf numFmtId="205" fontId="3" fillId="29" xfId="0" applyNumberFormat="1" applyFont="1" applyFill="1" applyBorder="0" applyAlignment="1">
      <alignment vertical="center" wrapText="1"/>
    </xf>
    <xf numFmtId="204" fontId="3" fillId="29" xfId="0" applyNumberFormat="1" applyFont="1" applyFill="1" applyBorder="0" applyAlignment="1">
      <alignment vertical="center" wrapText="1"/>
    </xf>
    <xf numFmtId="205" fontId="3" fillId="29" xfId="0" applyNumberFormat="1" applyFont="1" applyFill="1" applyBorder="0" applyAlignment="1">
      <alignment vertical="center" wrapText="0"/>
    </xf>
    <xf numFmtId="201" fontId="3" fillId="29" xfId="0" applyNumberFormat="1" applyFont="1" applyFill="1" applyBorder="0" applyAlignment="1">
      <alignment vertical="center" wrapText="1"/>
    </xf>
    <xf numFmtId="203" fontId="3" fillId="29" xfId="0" applyNumberFormat="1" applyFont="1" applyFill="1" applyBorder="0" applyAlignment="1">
      <alignment vertical="center" wrapText="1"/>
    </xf>
    <xf numFmtId="0" fontId="3" fillId="3" borderId="0" xfId="0" applyNumberFormat="1" applyFont="1" applyFill="1" applyBorder="1" applyAlignment="1">
      <alignment vertical="center" wrapText="0"/>
    </xf>
    <xf numFmtId="0" fontId="10" fillId="30" borderId="0" xfId="0" applyNumberFormat="1" applyFont="1" applyFill="1" applyBorder="1" applyAlignment="1">
      <alignment horizontal="center" vertical="center" wrapText="0"/>
    </xf>
    <xf numFmtId="0" fontId="0" fillId="30" borderId="0" xfId="0" applyNumberFormat="1" applyFont="1" applyFill="1" applyBorder="1"/>
    <xf numFmtId="0" fontId="13" fillId="30" borderId="0" xfId="0" applyNumberFormat="1" applyFont="1" applyFill="1" applyBorder="1" applyAlignment="1">
      <alignment horizontal="center" vertical="center" wrapText="0"/>
    </xf>
    <xf numFmtId="0" fontId="13" fillId="30" borderId="0" xfId="0" applyNumberFormat="1" applyFont="1" applyFill="1" applyBorder="1"/>
    <xf numFmtId="0" fontId="13" fillId="30" borderId="0" xfId="0" applyNumberFormat="1" applyFont="1" applyFill="1" applyBorder="1" applyAlignment="1">
      <alignment wrapText="0"/>
    </xf>
    <xf numFmtId="0" fontId="13" fillId="30" borderId="0" xfId="0" applyNumberFormat="1" applyFont="1" applyFill="1" applyBorder="1" applyAlignment="1">
      <alignment horizontal="center" wrapText="0"/>
    </xf>
    <xf numFmtId="0" fontId="2" fillId="30" borderId="0" xfId="0" applyNumberFormat="1" applyFont="1" applyFill="1" applyBorder="1" applyAlignment="1">
      <alignment horizontal="center" vertical="center" wrapText="0"/>
    </xf>
    <xf numFmtId="0" fontId="2" fillId="30" borderId="0" xfId="0" applyNumberFormat="1" applyFont="1" applyFill="1" applyBorder="1"/>
    <xf numFmtId="0" fontId="2" fillId="30" borderId="0" xfId="0" applyNumberFormat="1" applyFont="1" applyFill="1" applyBorder="1" applyAlignment="1">
      <alignment wrapText="0"/>
    </xf>
    <xf numFmtId="0" fontId="2" fillId="30" borderId="0" xfId="0" applyNumberFormat="1" applyFont="1" applyFill="1" applyBorder="1" applyAlignment="1">
      <alignment horizontal="center" wrapText="0"/>
    </xf>
    <xf numFmtId="0" fontId="2" fillId="31" borderId="0" xfId="0" applyNumberFormat="1" applyFont="1" applyFill="1" applyBorder="1" applyAlignment="1">
      <alignment vertical="center" wrapText="0"/>
    </xf>
    <xf numFmtId="201" fontId="3" fillId="32" xfId="0" applyNumberFormat="1" applyFont="1" applyFill="1" applyBorder="0" applyAlignment="1">
      <alignment horizontal="center" vertical="center" wrapText="0"/>
    </xf>
    <xf numFmtId="203" fontId="3" fillId="32" xfId="0" applyNumberFormat="1" applyFont="1" applyFill="1" applyBorder="0" applyAlignment="1">
      <alignment horizontal="center" vertical="center" wrapText="0"/>
    </xf>
    <xf numFmtId="0" fontId="3" fillId="21" borderId="0" xfId="0" applyNumberFormat="1" applyFont="1" applyFill="1" applyBorder="1" applyAlignment="1">
      <alignment vertical="top" wrapText="1"/>
    </xf>
    <xf numFmtId="205" fontId="3" fillId="32" xfId="0" applyNumberFormat="1" applyFont="1" applyFill="1" applyBorder="0" applyAlignment="1">
      <alignment vertical="center" wrapText="1"/>
    </xf>
    <xf numFmtId="204" fontId="3" fillId="32" xfId="0" applyNumberFormat="1" applyFont="1" applyFill="1" applyBorder="0" applyAlignment="1">
      <alignment vertical="center" wrapText="1"/>
    </xf>
    <xf numFmtId="205" fontId="3" fillId="32" xfId="0" applyNumberFormat="1" applyFont="1" applyFill="1" applyBorder="0" applyAlignment="1">
      <alignment vertical="center" wrapText="0"/>
    </xf>
    <xf numFmtId="201" fontId="3" fillId="32" xfId="0" applyNumberFormat="1" applyFont="1" applyFill="1" applyBorder="0" applyAlignment="1">
      <alignment vertical="center" wrapText="1"/>
    </xf>
    <xf numFmtId="203" fontId="3" fillId="32" xfId="0" applyNumberFormat="1" applyFont="1" applyFill="1" applyBorder="0" applyAlignment="1">
      <alignment vertical="center" wrapText="1"/>
    </xf>
    <xf numFmtId="204" fontId="3" fillId="32" xfId="0" applyNumberFormat="1" applyFont="1" applyFill="1" applyBorder="0" applyAlignment="1">
      <alignment vertical="center" wrapText="0"/>
    </xf>
    <xf numFmtId="201" fontId="3" fillId="32" xfId="0" applyNumberFormat="1" applyFont="1" applyFill="1" applyBorder="0" applyAlignment="1">
      <alignment vertical="center" wrapText="0"/>
    </xf>
    <xf numFmtId="203" fontId="3" fillId="32" xfId="0" applyNumberFormat="1" applyFont="1" applyFill="1" applyBorder="0" applyAlignment="1">
      <alignment vertical="center" wrapText="0"/>
    </xf>
    <xf numFmtId="201" fontId="0" fillId="0" borderId="0" xfId="0" applyNumberFormat="1" applyFont="1" applyFill="1" applyBorder="1"/>
    <xf numFmtId="202" fontId="0" fillId="0" borderId="0" xfId="0" applyNumberFormat="1" applyFont="1" applyFill="1" applyBorder="1"/>
    <xf numFmtId="205" fontId="0" fillId="0" borderId="0" xfId="0" applyNumberFormat="1" applyFont="1" applyFill="1" applyBorder="1" applyAlignment="1">
      <alignment vertical="top"/>
    </xf>
    <xf numFmtId="205" fontId="0" fillId="0" borderId="0" xfId="0" applyNumberFormat="1" applyFont="1" applyFill="1" applyBorder="1"/>
    <xf numFmtId="203" fontId="0" fillId="0" borderId="0" xfId="0" applyNumberFormat="1" applyFont="1" applyFill="1" applyBorder="1"/>
    <xf numFmtId="0" fontId="2" fillId="33" borderId="0" xfId="0" applyNumberFormat="1" applyFont="1" applyFill="1" applyBorder="1" applyAlignment="1">
      <alignment horizontal="center" vertical="center" wrapText="1"/>
    </xf>
    <xf numFmtId="0" fontId="14" fillId="33" borderId="0" xfId="0" applyNumberFormat="1" applyFont="1" applyFill="1" applyBorder="1" applyAlignment="1">
      <alignment horizontal="center" vertical="center" wrapText="1"/>
    </xf>
    <xf numFmtId="0" fontId="10" fillId="18" borderId="0" xfId="0" applyNumberFormat="1" applyFont="1" applyFill="1" applyBorder="1" applyAlignment="1">
      <alignment horizontal="center" vertical="center" wrapText="0"/>
    </xf>
    <xf numFmtId="0" fontId="13" fillId="18" borderId="0" xfId="0" applyNumberFormat="1" applyFont="1" applyFill="1" applyBorder="1" applyAlignment="1">
      <alignment horizontal="center" vertical="center" wrapText="0"/>
    </xf>
    <xf numFmtId="0" fontId="13" fillId="18" borderId="0" xfId="0" applyNumberFormat="1" applyFont="1" applyFill="1" applyBorder="1"/>
    <xf numFmtId="0" fontId="13" fillId="18" borderId="0" xfId="0" applyNumberFormat="1" applyFont="1" applyFill="1" applyBorder="1" applyAlignment="1">
      <alignment wrapText="0"/>
    </xf>
    <xf numFmtId="0" fontId="13" fillId="18" borderId="0" xfId="0" applyNumberFormat="1" applyFont="1" applyFill="1" applyBorder="1" applyAlignment="1">
      <alignment horizontal="center" wrapText="0"/>
    </xf>
    <xf numFmtId="0" fontId="2" fillId="18" borderId="0" xfId="0" applyNumberFormat="1" applyFont="1" applyFill="1" applyBorder="1" applyAlignment="1">
      <alignment wrapText="0"/>
    </xf>
    <xf numFmtId="0" fontId="2" fillId="18" borderId="0" xfId="0" applyNumberFormat="1" applyFont="1" applyFill="1" applyBorder="1" applyAlignment="1">
      <alignment horizontal="center" wrapText="0"/>
    </xf>
    <xf numFmtId="204" fontId="3" fillId="20" xfId="0" applyNumberFormat="1" applyFont="1" applyFill="1" applyBorder="0" applyAlignment="1">
      <alignment vertical="center" wrapText="0"/>
    </xf>
    <xf numFmtId="201" fontId="3" fillId="20" xfId="0" applyNumberFormat="1" applyFont="1" applyFill="1" applyBorder="0" applyAlignment="1">
      <alignment vertical="center" wrapText="0"/>
    </xf>
    <xf numFmtId="203" fontId="3" fillId="20" xfId="0" applyNumberFormat="1" applyFont="1" applyFill="1" applyBorder="0" applyAlignment="1">
      <alignment vertical="center" wrapText="0"/>
    </xf>
    <xf numFmtId="205" fontId="3" fillId="34" xfId="0" applyNumberFormat="1" applyFont="1" applyFill="1" applyBorder="0" applyAlignment="1">
      <alignment vertical="center" wrapText="0"/>
    </xf>
    <xf numFmtId="204" fontId="3" fillId="34" xfId="0" applyNumberFormat="1" applyFont="1" applyFill="1" applyBorder="0" applyAlignment="1">
      <alignment vertical="center" wrapText="0"/>
    </xf>
    <xf numFmtId="201" fontId="3" fillId="34" xfId="0" applyNumberFormat="1" applyFont="1" applyFill="1" applyBorder="0" applyAlignment="1">
      <alignment vertical="center" wrapText="0"/>
    </xf>
    <xf numFmtId="203" fontId="3" fillId="34" xfId="0" applyNumberFormat="1" applyFont="1" applyFill="1" applyBorder="0" applyAlignment="1">
      <alignment vertical="center" wrapText="0"/>
    </xf>
    <xf numFmtId="0" fontId="2" fillId="35" borderId="0" xfId="0" applyNumberFormat="1" applyFont="1" applyFill="1" applyBorder="1" applyAlignment="1">
      <alignment horizontal="center" vertical="center" wrapText="1"/>
    </xf>
    <xf numFmtId="0" fontId="2" fillId="18" borderId="0" xfId="0" applyNumberFormat="1" applyFont="1" applyFill="1" applyBorder="1" applyAlignment="1">
      <alignment horizontal="center" vertical="center" wrapText="1"/>
    </xf>
    <xf numFmtId="205" fontId="3" fillId="36" xfId="0" applyNumberFormat="1" applyFont="1" applyFill="1" applyBorder="0" applyAlignment="1">
      <alignment vertical="center" wrapText="0"/>
    </xf>
    <xf numFmtId="204" fontId="3" fillId="36" xfId="0" applyNumberFormat="1" applyFont="1" applyFill="1" applyBorder="0" applyAlignment="1">
      <alignment vertical="center" wrapText="0"/>
    </xf>
    <xf numFmtId="201" fontId="3" fillId="36" xfId="0" applyNumberFormat="1" applyFont="1" applyFill="1" applyBorder="0" applyAlignment="1">
      <alignment vertical="center" wrapText="0"/>
    </xf>
    <xf numFmtId="203" fontId="3" fillId="36" xfId="0" applyNumberFormat="1" applyFont="1" applyFill="1" applyBorder="0" applyAlignment="1">
      <alignment vertical="center" wrapText="0"/>
    </xf>
    <xf numFmtId="205" fontId="3" fillId="37" xfId="0" applyNumberFormat="1" applyFont="1" applyFill="1" applyBorder="0" applyAlignment="1">
      <alignment vertical="center" wrapText="0"/>
    </xf>
    <xf numFmtId="204" fontId="3" fillId="37" xfId="0" applyNumberFormat="1" applyFont="1" applyFill="1" applyBorder="0" applyAlignment="1">
      <alignment vertical="center" wrapText="0"/>
    </xf>
    <xf numFmtId="201" fontId="3" fillId="37" xfId="0" applyNumberFormat="1" applyFont="1" applyFill="1" applyBorder="0" applyAlignment="1">
      <alignment vertical="center" wrapText="0"/>
    </xf>
    <xf numFmtId="203" fontId="3" fillId="37" xfId="0" applyNumberFormat="1" applyFont="1" applyFill="1" applyBorder="0" applyAlignment="1">
      <alignment vertical="center" wrapText="0"/>
    </xf>
    <xf numFmtId="205" fontId="3" fillId="37" xfId="0" applyNumberFormat="1" applyFont="1" applyFill="1" applyBorder="0" applyAlignment="1">
      <alignment horizontal="general" vertical="center" wrapText="0"/>
    </xf>
    <xf numFmtId="204" fontId="3" fillId="37" xfId="0" applyNumberFormat="1" applyFont="1" applyFill="1" applyBorder="0" applyAlignment="1">
      <alignment horizontal="general" vertical="center" wrapText="0"/>
    </xf>
    <xf numFmtId="201" fontId="3" fillId="37" xfId="0" applyNumberFormat="1" applyFont="1" applyFill="1" applyBorder="0" applyAlignment="1">
      <alignment horizontal="general" vertical="center" wrapText="0"/>
    </xf>
    <xf numFmtId="203" fontId="3" fillId="37" xfId="0" applyNumberFormat="1" applyFont="1" applyFill="1" applyBorder="0" applyAlignment="1">
      <alignment horizontal="general" vertical="center" wrapText="0"/>
    </xf>
    <xf numFmtId="0" fontId="2" fillId="38" borderId="0" xfId="0" applyNumberFormat="1" applyFont="1" applyFill="1" applyBorder="1" applyAlignment="1">
      <alignment horizontal="center" vertical="center" wrapText="1"/>
    </xf>
    <xf numFmtId="0" fontId="0" fillId="38" borderId="0" xfId="0" applyNumberFormat="1" applyFont="1" applyFill="1" applyBorder="1"/>
    <xf numFmtId="0" fontId="2" fillId="38" borderId="0" xfId="0" applyNumberFormat="1" applyFont="1" applyFill="1" applyBorder="1"/>
    <xf numFmtId="0" fontId="2" fillId="38" borderId="0" xfId="0" applyNumberFormat="1" applyFont="1" applyFill="1" applyBorder="1" applyAlignment="1">
      <alignment wrapText="1"/>
    </xf>
    <xf numFmtId="0" fontId="2" fillId="38" borderId="0" xfId="0" applyNumberFormat="1" applyFont="1" applyFill="1" applyBorder="1" applyAlignment="1">
      <alignment horizontal="center" wrapText="1"/>
    </xf>
    <xf numFmtId="0" fontId="15" fillId="0" borderId="0" xfId="0" applyNumberFormat="1" applyFont="1" applyFill="1" applyBorder="1" applyAlignment="1">
      <alignment vertical="top" wrapText="1"/>
    </xf>
    <xf numFmtId="0" fontId="15" fillId="0" borderId="0" xfId="0" applyNumberFormat="1" applyFont="1" applyFill="1" applyBorder="1"/>
    <xf numFmtId="0" fontId="15" fillId="0" borderId="0" xfId="0" applyNumberFormat="1" applyFont="1" applyFill="1" applyBorder="1" applyAlignment="1">
      <alignment wrapText="1"/>
    </xf>
    <xf numFmtId="0" fontId="15" fillId="0" borderId="0" xfId="0" applyNumberFormat="1" applyFont="1" applyFill="1" applyBorder="1" applyAlignment="1">
      <alignment vertical="center" wrapText="1"/>
    </xf>
    <xf numFmtId="0" fontId="15" fillId="0" borderId="0" xfId="0" applyNumberFormat="1" applyFont="1" applyFill="1" applyBorder="1" applyAlignment="1">
      <alignment horizontal="center" vertical="center" wrapText="1"/>
    </xf>
    <xf numFmtId="0" fontId="2" fillId="38" borderId="0" xfId="0" applyNumberFormat="1" applyFont="1" applyFill="1" applyBorder="1" applyAlignment="1">
      <alignment horizontal="center"/>
    </xf>
    <xf numFmtId="0" fontId="0" fillId="39" borderId="0" xfId="0" applyNumberFormat="1" applyFont="1" applyFill="1" applyBorder="1"/>
    <xf numFmtId="0" fontId="9" fillId="39" borderId="0" xfId="0" applyNumberFormat="1" applyFont="1" applyFill="1" applyBorder="1"/>
    <xf numFmtId="0" fontId="0" fillId="40" borderId="0" xfId="0" applyNumberFormat="1" applyFont="1" applyFill="1" applyBorder="1"/>
    <xf numFmtId="0" fontId="2" fillId="40" borderId="0" xfId="0" applyNumberFormat="1" applyFont="1" applyFill="1" applyBorder="1"/>
    <xf numFmtId="203" fontId="2" fillId="40" borderId="0" xfId="0" applyNumberFormat="1" applyFont="1" applyFill="1" applyBorder="1"/>
    <xf numFmtId="203" fontId="2" fillId="40" borderId="0" xfId="0" applyNumberFormat="1" applyFont="1" applyFill="1" applyBorder="1" applyAlignment="1">
      <alignment horizontal="center"/>
    </xf>
    <xf numFmtId="0" fontId="2" fillId="18" borderId="0" xfId="0" applyNumberFormat="1" applyFont="1" applyFill="1" applyBorder="1" applyAlignment="1">
      <alignment wrapText="1"/>
    </xf>
    <xf numFmtId="0" fontId="2" fillId="18" borderId="0" xfId="0" applyNumberFormat="1" applyFont="1" applyFill="1" applyBorder="1" applyAlignment="1">
      <alignment horizontal="center" wrapText="1"/>
    </xf>
    <xf numFmtId="0" fontId="9" fillId="10" borderId="0" xfId="0" applyNumberFormat="1" applyFont="1" applyFill="1" applyBorder="1"/>
    <xf numFmtId="0" fontId="2" fillId="20" borderId="0" xfId="0" applyNumberFormat="1" applyFont="1" applyFill="1" applyBorder="1"/>
    <xf numFmtId="203" fontId="2" fillId="20" borderId="0" xfId="0" applyNumberFormat="1" applyFont="1" applyFill="1" applyBorder="1"/>
    <xf numFmtId="203" fontId="2" fillId="20" borderId="0" xfId="0" applyNumberFormat="1" applyFont="1" applyFill="1" applyBorder="1" applyAlignment="1">
      <alignment horizontal="center"/>
    </xf>
    <xf numFmtId="205" fontId="3" fillId="41" xfId="0" applyNumberFormat="1" applyFont="1" applyFill="1" applyBorder="0" applyAlignment="1">
      <alignment horizontal="general" vertical="center" wrapText="0"/>
    </xf>
    <xf numFmtId="204" fontId="3" fillId="41" xfId="0" applyNumberFormat="1" applyFont="1" applyFill="1" applyBorder="0" applyAlignment="1">
      <alignment horizontal="general" vertical="center" wrapText="0"/>
    </xf>
    <xf numFmtId="201" fontId="3" fillId="41" xfId="0" applyNumberFormat="1" applyFont="1" applyFill="1" applyBorder="0" applyAlignment="1">
      <alignment horizontal="general" vertical="center" wrapText="0"/>
    </xf>
    <xf numFmtId="203" fontId="3" fillId="41" xfId="0" applyNumberFormat="1" applyFont="1" applyFill="1" applyBorder="0" applyAlignment="1">
      <alignment horizontal="general" vertical="center" wrapText="0"/>
    </xf>
    <xf numFmtId="205" fontId="16" fillId="41" xfId="0" applyNumberFormat="1" applyFont="1" applyFill="1" applyBorder="0" applyAlignment="1">
      <alignment horizontal="general" vertical="center" wrapText="0"/>
    </xf>
    <xf numFmtId="204" fontId="16" fillId="41" xfId="0" applyNumberFormat="1" applyFont="1" applyFill="1" applyBorder="0" applyAlignment="1">
      <alignment horizontal="general" vertical="center" wrapText="0"/>
    </xf>
    <xf numFmtId="201" fontId="16" fillId="41" xfId="0" applyNumberFormat="1" applyFont="1" applyFill="1" applyBorder="0" applyAlignment="1">
      <alignment horizontal="general" vertical="center" wrapText="0"/>
    </xf>
    <xf numFmtId="203" fontId="16" fillId="41" xfId="0" applyNumberFormat="1" applyFont="1" applyFill="1" applyBorder="0" applyAlignment="1">
      <alignment horizontal="general" vertical="center" wrapText="0"/>
    </xf>
    <xf numFmtId="205" fontId="16" fillId="41" borderId="2" xfId="0" applyNumberFormat="1" applyFont="1" applyFill="1" applyBorder="1" applyAlignment="1">
      <alignment horizontal="general" vertical="center" wrapText="0"/>
    </xf>
    <xf numFmtId="204" fontId="16" fillId="41" borderId="3" xfId="0" applyNumberFormat="1" applyFont="1" applyFill="1" applyBorder="1" applyAlignment="1">
      <alignment horizontal="general" vertical="center" wrapText="0"/>
    </xf>
    <xf numFmtId="205" fontId="16" fillId="41" borderId="3" xfId="0" applyNumberFormat="1" applyFont="1" applyFill="1" applyBorder="1" applyAlignment="1">
      <alignment horizontal="general" vertical="center" wrapText="0"/>
    </xf>
    <xf numFmtId="201" fontId="16" fillId="41" borderId="3" xfId="0" applyNumberFormat="1" applyFont="1" applyFill="1" applyBorder="1" applyAlignment="1">
      <alignment horizontal="general" vertical="center" wrapText="0"/>
    </xf>
    <xf numFmtId="203" fontId="16" fillId="41" borderId="3" xfId="0" applyNumberFormat="1" applyFont="1" applyFill="1" applyBorder="1" applyAlignment="1">
      <alignment horizontal="general" vertical="center" wrapText="0"/>
    </xf>
    <xf numFmtId="205" fontId="16" fillId="41" borderId="4" xfId="0" applyNumberFormat="1" applyFont="1" applyFill="1" applyBorder="1" applyAlignment="1">
      <alignment horizontal="general" vertical="center" wrapText="0"/>
    </xf>
    <xf numFmtId="205" fontId="16" fillId="41" borderId="5" xfId="0" applyNumberFormat="1" applyFont="1" applyFill="1" applyBorder="1" applyAlignment="1">
      <alignment horizontal="general" vertical="center" wrapText="0"/>
    </xf>
    <xf numFmtId="205" fontId="16" fillId="41" borderId="6" xfId="0" applyNumberFormat="1" applyFont="1" applyFill="1" applyBorder="1" applyAlignment="1">
      <alignment horizontal="general" vertical="center" wrapText="0"/>
    </xf>
    <xf numFmtId="205" fontId="16" fillId="41" borderId="7" xfId="0" applyNumberFormat="1" applyFont="1" applyFill="1" applyBorder="1" applyAlignment="1">
      <alignment horizontal="general" vertical="center" wrapText="0"/>
    </xf>
    <xf numFmtId="204" fontId="16" fillId="41" borderId="8" xfId="0" applyNumberFormat="1" applyFont="1" applyFill="1" applyBorder="1" applyAlignment="1">
      <alignment horizontal="general" vertical="center" wrapText="0"/>
    </xf>
    <xf numFmtId="205" fontId="16" fillId="41" borderId="8" xfId="0" applyNumberFormat="1" applyFont="1" applyFill="1" applyBorder="1" applyAlignment="1">
      <alignment horizontal="general" vertical="center" wrapText="0"/>
    </xf>
    <xf numFmtId="201" fontId="16" fillId="41" borderId="8" xfId="0" applyNumberFormat="1" applyFont="1" applyFill="1" applyBorder="1" applyAlignment="1">
      <alignment horizontal="general" vertical="center" wrapText="0"/>
    </xf>
    <xf numFmtId="203" fontId="16" fillId="41" borderId="8" xfId="0" applyNumberFormat="1" applyFont="1" applyFill="1" applyBorder="1" applyAlignment="1">
      <alignment horizontal="general" vertical="center" wrapText="0"/>
    </xf>
    <xf numFmtId="205" fontId="16" fillId="41" borderId="9" xfId="0" applyNumberFormat="1" applyFont="1" applyFill="1" applyBorder="1" applyAlignment="1">
      <alignment horizontal="general" vertical="center" wrapText="0"/>
    </xf>
    <xf numFmtId="205" fontId="16" fillId="41" borderId="2" xfId="0" applyNumberFormat="1" applyFont="1" applyFill="1" applyBorder="1" applyAlignment="1">
      <alignment horizontal="general" vertical="center" wrapText="1"/>
    </xf>
    <xf numFmtId="204" fontId="16" fillId="41" borderId="3" xfId="0" applyNumberFormat="1" applyFont="1" applyFill="1" applyBorder="1" applyAlignment="1">
      <alignment horizontal="general" vertical="center" wrapText="1"/>
    </xf>
    <xf numFmtId="205" fontId="16" fillId="41" borderId="3" xfId="0" applyNumberFormat="1" applyFont="1" applyFill="1" applyBorder="1" applyAlignment="1">
      <alignment horizontal="general" vertical="center" wrapText="1"/>
    </xf>
    <xf numFmtId="201" fontId="16" fillId="41" borderId="3" xfId="0" applyNumberFormat="1" applyFont="1" applyFill="1" applyBorder="1" applyAlignment="1">
      <alignment horizontal="general" vertical="center" wrapText="1"/>
    </xf>
    <xf numFmtId="203" fontId="16" fillId="41" borderId="3" xfId="0" applyNumberFormat="1" applyFont="1" applyFill="1" applyBorder="1" applyAlignment="1">
      <alignment horizontal="general" vertical="center" wrapText="1"/>
    </xf>
    <xf numFmtId="205" fontId="16" fillId="41" borderId="4" xfId="0" applyNumberFormat="1" applyFont="1" applyFill="1" applyBorder="1" applyAlignment="1">
      <alignment horizontal="general" vertical="center" wrapText="1"/>
    </xf>
    <xf numFmtId="205" fontId="16" fillId="41" borderId="5" xfId="0" applyNumberFormat="1" applyFont="1" applyFill="1" applyBorder="1" applyAlignment="1">
      <alignment horizontal="general" vertical="center" wrapText="1"/>
    </xf>
    <xf numFmtId="204" fontId="16" fillId="41" xfId="0" applyNumberFormat="1" applyFont="1" applyFill="1" applyBorder="0" applyAlignment="1">
      <alignment horizontal="general" vertical="center" wrapText="1"/>
    </xf>
    <xf numFmtId="205" fontId="16" fillId="41" xfId="0" applyNumberFormat="1" applyFont="1" applyFill="1" applyBorder="0" applyAlignment="1">
      <alignment horizontal="general" vertical="center" wrapText="1"/>
    </xf>
    <xf numFmtId="201" fontId="16" fillId="41" xfId="0" applyNumberFormat="1" applyFont="1" applyFill="1" applyBorder="0" applyAlignment="1">
      <alignment horizontal="general" vertical="center" wrapText="1"/>
    </xf>
    <xf numFmtId="203" fontId="16" fillId="41" xfId="0" applyNumberFormat="1" applyFont="1" applyFill="1" applyBorder="0" applyAlignment="1">
      <alignment horizontal="general" vertical="center" wrapText="1"/>
    </xf>
    <xf numFmtId="205" fontId="16" fillId="41" borderId="6" xfId="0" applyNumberFormat="1" applyFont="1" applyFill="1" applyBorder="1" applyAlignment="1">
      <alignment horizontal="general" vertical="center" wrapText="1"/>
    </xf>
    <xf numFmtId="205" fontId="16" fillId="41" borderId="7" xfId="0" applyNumberFormat="1" applyFont="1" applyFill="1" applyBorder="1" applyAlignment="1">
      <alignment horizontal="general" vertical="center" wrapText="1"/>
    </xf>
    <xf numFmtId="204" fontId="16" fillId="41" borderId="8" xfId="0" applyNumberFormat="1" applyFont="1" applyFill="1" applyBorder="1" applyAlignment="1">
      <alignment horizontal="general" vertical="center" wrapText="1"/>
    </xf>
    <xf numFmtId="205" fontId="16" fillId="41" borderId="8" xfId="0" applyNumberFormat="1" applyFont="1" applyFill="1" applyBorder="1" applyAlignment="1">
      <alignment horizontal="general" vertical="center" wrapText="1"/>
    </xf>
    <xf numFmtId="201" fontId="16" fillId="41" borderId="8" xfId="0" applyNumberFormat="1" applyFont="1" applyFill="1" applyBorder="1" applyAlignment="1">
      <alignment horizontal="general" vertical="center" wrapText="1"/>
    </xf>
    <xf numFmtId="203" fontId="16" fillId="41" borderId="8" xfId="0" applyNumberFormat="1" applyFont="1" applyFill="1" applyBorder="1" applyAlignment="1">
      <alignment horizontal="general" vertical="center" wrapText="1"/>
    </xf>
    <xf numFmtId="205" fontId="16" fillId="41" borderId="9" xfId="0" applyNumberFormat="1" applyFont="1" applyFill="1" applyBorder="1" applyAlignment="1">
      <alignment horizontal="general" vertical="center" wrapText="1"/>
    </xf>
    <xf numFmtId="205" fontId="16" fillId="41" borderId="2" xfId="0" applyNumberFormat="1" applyFont="1" applyFill="1" applyBorder="1" applyAlignment="1">
      <alignment horizontal="left" vertical="center" wrapText="1"/>
    </xf>
    <xf numFmtId="204" fontId="16" fillId="41" borderId="3" xfId="0" applyNumberFormat="1" applyFont="1" applyFill="1" applyBorder="1" applyAlignment="1">
      <alignment horizontal="left" vertical="center" wrapText="1"/>
    </xf>
    <xf numFmtId="205" fontId="16" fillId="41" borderId="3" xfId="0" applyNumberFormat="1" applyFont="1" applyFill="1" applyBorder="1" applyAlignment="1">
      <alignment horizontal="left" vertical="center" wrapText="1"/>
    </xf>
    <xf numFmtId="201" fontId="16" fillId="41" borderId="3" xfId="0" applyNumberFormat="1" applyFont="1" applyFill="1" applyBorder="1" applyAlignment="1">
      <alignment horizontal="left" vertical="center" wrapText="1"/>
    </xf>
    <xf numFmtId="203" fontId="16" fillId="41" borderId="3" xfId="0" applyNumberFormat="1" applyFont="1" applyFill="1" applyBorder="1" applyAlignment="1">
      <alignment horizontal="left" vertical="center" wrapText="1"/>
    </xf>
    <xf numFmtId="205" fontId="16" fillId="41" borderId="4" xfId="0" applyNumberFormat="1" applyFont="1" applyFill="1" applyBorder="1" applyAlignment="1">
      <alignment horizontal="left" vertical="center" wrapText="1"/>
    </xf>
    <xf numFmtId="205" fontId="16" fillId="41" borderId="5" xfId="0" applyNumberFormat="1" applyFont="1" applyFill="1" applyBorder="1" applyAlignment="1">
      <alignment horizontal="left" vertical="center" wrapText="1"/>
    </xf>
    <xf numFmtId="204" fontId="16" fillId="41" xfId="0" applyNumberFormat="1" applyFont="1" applyFill="1" applyBorder="0" applyAlignment="1">
      <alignment horizontal="left" vertical="center" wrapText="1"/>
    </xf>
    <xf numFmtId="205" fontId="16" fillId="41" xfId="0" applyNumberFormat="1" applyFont="1" applyFill="1" applyBorder="0" applyAlignment="1">
      <alignment horizontal="left" vertical="center" wrapText="1"/>
    </xf>
    <xf numFmtId="201" fontId="16" fillId="41" xfId="0" applyNumberFormat="1" applyFont="1" applyFill="1" applyBorder="0" applyAlignment="1">
      <alignment horizontal="left" vertical="center" wrapText="1"/>
    </xf>
    <xf numFmtId="203" fontId="16" fillId="41" xfId="0" applyNumberFormat="1" applyFont="1" applyFill="1" applyBorder="0" applyAlignment="1">
      <alignment horizontal="left" vertical="center" wrapText="1"/>
    </xf>
    <xf numFmtId="205" fontId="16" fillId="41" borderId="6" xfId="0" applyNumberFormat="1" applyFont="1" applyFill="1" applyBorder="1" applyAlignment="1">
      <alignment horizontal="left" vertical="center" wrapText="1"/>
    </xf>
    <xf numFmtId="205" fontId="16" fillId="41" borderId="7" xfId="0" applyNumberFormat="1" applyFont="1" applyFill="1" applyBorder="1" applyAlignment="1">
      <alignment horizontal="left" vertical="center" wrapText="1"/>
    </xf>
    <xf numFmtId="204" fontId="16" fillId="41" borderId="8" xfId="0" applyNumberFormat="1" applyFont="1" applyFill="1" applyBorder="1" applyAlignment="1">
      <alignment horizontal="left" vertical="center" wrapText="1"/>
    </xf>
    <xf numFmtId="205" fontId="16" fillId="41" borderId="8" xfId="0" applyNumberFormat="1" applyFont="1" applyFill="1" applyBorder="1" applyAlignment="1">
      <alignment horizontal="left" vertical="center" wrapText="1"/>
    </xf>
    <xf numFmtId="201" fontId="16" fillId="41" borderId="8" xfId="0" applyNumberFormat="1" applyFont="1" applyFill="1" applyBorder="1" applyAlignment="1">
      <alignment horizontal="left" vertical="center" wrapText="1"/>
    </xf>
    <xf numFmtId="203" fontId="16" fillId="41" borderId="8" xfId="0" applyNumberFormat="1" applyFont="1" applyFill="1" applyBorder="1" applyAlignment="1">
      <alignment horizontal="left" vertical="center" wrapText="1"/>
    </xf>
    <xf numFmtId="205" fontId="16" fillId="41" borderId="9" xfId="0" applyNumberFormat="1" applyFont="1" applyFill="1" applyBorder="1" applyAlignment="1">
      <alignment horizontal="left" vertical="center" wrapText="1"/>
    </xf>
    <xf numFmtId="206" fontId="16" fillId="41" borderId="3" xfId="0" applyNumberFormat="1" applyFont="1" applyFill="1" applyBorder="1" applyAlignment="1">
      <alignment horizontal="left" vertical="center" wrapText="1"/>
    </xf>
    <xf numFmtId="206" fontId="16" fillId="41" xfId="0" applyNumberFormat="1" applyFont="1" applyFill="1" applyBorder="0" applyAlignment="1">
      <alignment horizontal="left" vertical="center" wrapText="1"/>
    </xf>
    <xf numFmtId="206" fontId="16" fillId="41" borderId="8" xfId="0" applyNumberFormat="1" applyFont="1" applyFill="1" applyBorder="1" applyAlignment="1">
      <alignment horizontal="left" vertical="center" wrapText="1"/>
    </xf>
    <xf numFmtId="206" fontId="16" fillId="41" borderId="3" xfId="0" applyNumberFormat="1" applyFont="1" applyFill="1" applyBorder="1" applyAlignment="1">
      <alignment horizontal="center" vertical="center" wrapText="1"/>
    </xf>
    <xf numFmtId="205" fontId="16" fillId="41" borderId="3" xfId="0" applyNumberFormat="1" applyFont="1" applyFill="1" applyBorder="1" applyAlignment="1">
      <alignment horizontal="center" vertical="center" wrapText="1"/>
    </xf>
    <xf numFmtId="201" fontId="16" fillId="41" borderId="3" xfId="0" applyNumberFormat="1" applyFont="1" applyFill="1" applyBorder="1" applyAlignment="1">
      <alignment horizontal="center" vertical="center" wrapText="1"/>
    </xf>
    <xf numFmtId="203" fontId="16" fillId="41" borderId="3" xfId="0" applyNumberFormat="1" applyFont="1" applyFill="1" applyBorder="1" applyAlignment="1">
      <alignment horizontal="center" vertical="center" wrapText="1"/>
    </xf>
    <xf numFmtId="206" fontId="16" fillId="41" xfId="0" applyNumberFormat="1" applyFont="1" applyFill="1" applyBorder="0" applyAlignment="1">
      <alignment horizontal="center" vertical="center" wrapText="1"/>
    </xf>
    <xf numFmtId="205" fontId="16" fillId="41" xfId="0" applyNumberFormat="1" applyFont="1" applyFill="1" applyBorder="0" applyAlignment="1">
      <alignment horizontal="center" vertical="center" wrapText="1"/>
    </xf>
    <xf numFmtId="201" fontId="16" fillId="41" xfId="0" applyNumberFormat="1" applyFont="1" applyFill="1" applyBorder="0" applyAlignment="1">
      <alignment horizontal="center" vertical="center" wrapText="1"/>
    </xf>
    <xf numFmtId="203" fontId="16" fillId="41" xfId="0" applyNumberFormat="1" applyFont="1" applyFill="1" applyBorder="0" applyAlignment="1">
      <alignment horizontal="center" vertical="center" wrapText="1"/>
    </xf>
    <xf numFmtId="206" fontId="16" fillId="41" borderId="8" xfId="0" applyNumberFormat="1" applyFont="1" applyFill="1" applyBorder="1" applyAlignment="1">
      <alignment horizontal="center" vertical="center" wrapText="1"/>
    </xf>
    <xf numFmtId="205" fontId="16" fillId="41" borderId="8" xfId="0" applyNumberFormat="1" applyFont="1" applyFill="1" applyBorder="1" applyAlignment="1">
      <alignment horizontal="center" vertical="center" wrapText="1"/>
    </xf>
    <xf numFmtId="201" fontId="16" fillId="41" borderId="8" xfId="0" applyNumberFormat="1" applyFont="1" applyFill="1" applyBorder="1" applyAlignment="1">
      <alignment horizontal="center" vertical="center" wrapText="1"/>
    </xf>
    <xf numFmtId="203" fontId="16" fillId="41" borderId="8" xfId="0" applyNumberFormat="1" applyFont="1" applyFill="1" applyBorder="1" applyAlignment="1">
      <alignment horizontal="center" vertical="center" wrapText="1"/>
    </xf>
    <xf numFmtId="205" fontId="3" fillId="20" xfId="0" applyNumberFormat="1" applyFont="1" applyFill="1" applyBorder="0" applyAlignment="1">
      <alignment horizontal="general" vertical="center" wrapText="0"/>
    </xf>
    <xf numFmtId="204" fontId="3" fillId="20" xfId="0" applyNumberFormat="1" applyFont="1" applyFill="1" applyBorder="0" applyAlignment="1">
      <alignment horizontal="general" vertical="center" wrapText="0"/>
    </xf>
    <xf numFmtId="201" fontId="3" fillId="20" xfId="0" applyNumberFormat="1" applyFont="1" applyFill="1" applyBorder="0" applyAlignment="1">
      <alignment horizontal="general" vertical="center" wrapText="0"/>
    </xf>
    <xf numFmtId="203" fontId="3" fillId="20" xfId="0" applyNumberFormat="1" applyFont="1" applyFill="1" applyBorder="0" applyAlignment="1">
      <alignment horizontal="general" vertical="center" wrapText="0"/>
    </xf>
    <xf numFmtId="205" fontId="16" fillId="20" xfId="0" applyNumberFormat="1" applyFont="1" applyFill="1" applyBorder="0" applyAlignment="1">
      <alignment horizontal="general" vertical="center" wrapText="0"/>
    </xf>
    <xf numFmtId="204" fontId="16" fillId="20" xfId="0" applyNumberFormat="1" applyFont="1" applyFill="1" applyBorder="0" applyAlignment="1">
      <alignment horizontal="general" vertical="center" wrapText="0"/>
    </xf>
    <xf numFmtId="201" fontId="16" fillId="20" xfId="0" applyNumberFormat="1" applyFont="1" applyFill="1" applyBorder="0" applyAlignment="1">
      <alignment horizontal="general" vertical="center" wrapText="0"/>
    </xf>
    <xf numFmtId="203" fontId="16" fillId="20" xfId="0" applyNumberFormat="1" applyFont="1" applyFill="1" applyBorder="0" applyAlignment="1">
      <alignment horizontal="general" vertical="center" wrapText="0"/>
    </xf>
    <xf numFmtId="205" fontId="16" fillId="20" borderId="0" xfId="0" applyNumberFormat="1" applyFont="1" applyFill="1" applyBorder="1" applyAlignment="1">
      <alignment horizontal="general" vertical="center" wrapText="0"/>
    </xf>
    <xf numFmtId="204" fontId="16" fillId="20" borderId="0" xfId="0" applyNumberFormat="1" applyFont="1" applyFill="1" applyBorder="1" applyAlignment="1">
      <alignment horizontal="general" vertical="center" wrapText="0"/>
    </xf>
    <xf numFmtId="201" fontId="16" fillId="20" borderId="0" xfId="0" applyNumberFormat="1" applyFont="1" applyFill="1" applyBorder="1" applyAlignment="1">
      <alignment horizontal="general" vertical="center" wrapText="0"/>
    </xf>
    <xf numFmtId="203" fontId="16" fillId="20" borderId="0" xfId="0" applyNumberFormat="1" applyFont="1" applyFill="1" applyBorder="1" applyAlignment="1">
      <alignment horizontal="general" vertical="center" wrapText="0"/>
    </xf>
    <xf numFmtId="205" fontId="16" fillId="20" borderId="0" xfId="0" applyNumberFormat="1" applyFont="1" applyFill="1" applyBorder="1" applyAlignment="1">
      <alignment horizontal="general" vertical="center" wrapText="1"/>
    </xf>
    <xf numFmtId="204" fontId="16" fillId="20" borderId="0" xfId="0" applyNumberFormat="1" applyFont="1" applyFill="1" applyBorder="1" applyAlignment="1">
      <alignment horizontal="general" vertical="center" wrapText="1"/>
    </xf>
    <xf numFmtId="201" fontId="16" fillId="20" borderId="0" xfId="0" applyNumberFormat="1" applyFont="1" applyFill="1" applyBorder="1" applyAlignment="1">
      <alignment horizontal="general" vertical="center" wrapText="1"/>
    </xf>
    <xf numFmtId="203" fontId="16" fillId="20" borderId="0" xfId="0" applyNumberFormat="1" applyFont="1" applyFill="1" applyBorder="1" applyAlignment="1">
      <alignment horizontal="general" vertical="center" wrapText="1"/>
    </xf>
    <xf numFmtId="204" fontId="16" fillId="20" xfId="0" applyNumberFormat="1" applyFont="1" applyFill="1" applyBorder="0" applyAlignment="1">
      <alignment horizontal="general" vertical="center" wrapText="1"/>
    </xf>
    <xf numFmtId="205" fontId="16" fillId="20" xfId="0" applyNumberFormat="1" applyFont="1" applyFill="1" applyBorder="0" applyAlignment="1">
      <alignment horizontal="general" vertical="center" wrapText="1"/>
    </xf>
    <xf numFmtId="201" fontId="16" fillId="20" xfId="0" applyNumberFormat="1" applyFont="1" applyFill="1" applyBorder="0" applyAlignment="1">
      <alignment horizontal="general" vertical="center" wrapText="1"/>
    </xf>
    <xf numFmtId="203" fontId="16" fillId="20" xfId="0" applyNumberFormat="1" applyFont="1" applyFill="1" applyBorder="0" applyAlignment="1">
      <alignment horizontal="general" vertical="center" wrapText="1"/>
    </xf>
    <xf numFmtId="205" fontId="16" fillId="20" borderId="0" xfId="0" applyNumberFormat="1" applyFont="1" applyFill="1" applyBorder="1" applyAlignment="1">
      <alignment horizontal="left" vertical="center" wrapText="1"/>
    </xf>
    <xf numFmtId="204" fontId="16" fillId="20" borderId="0" xfId="0" applyNumberFormat="1" applyFont="1" applyFill="1" applyBorder="1" applyAlignment="1">
      <alignment horizontal="left" vertical="center" wrapText="1"/>
    </xf>
    <xf numFmtId="201" fontId="16" fillId="20" borderId="0" xfId="0" applyNumberFormat="1" applyFont="1" applyFill="1" applyBorder="1" applyAlignment="1">
      <alignment horizontal="left" vertical="center" wrapText="1"/>
    </xf>
    <xf numFmtId="203" fontId="16" fillId="20" borderId="0" xfId="0" applyNumberFormat="1" applyFont="1" applyFill="1" applyBorder="1" applyAlignment="1">
      <alignment horizontal="left" vertical="center" wrapText="1"/>
    </xf>
    <xf numFmtId="204" fontId="16" fillId="20" xfId="0" applyNumberFormat="1" applyFont="1" applyFill="1" applyBorder="0" applyAlignment="1">
      <alignment horizontal="left" vertical="center" wrapText="1"/>
    </xf>
    <xf numFmtId="205" fontId="16" fillId="20" xfId="0" applyNumberFormat="1" applyFont="1" applyFill="1" applyBorder="0" applyAlignment="1">
      <alignment horizontal="left" vertical="center" wrapText="1"/>
    </xf>
    <xf numFmtId="201" fontId="16" fillId="20" xfId="0" applyNumberFormat="1" applyFont="1" applyFill="1" applyBorder="0" applyAlignment="1">
      <alignment horizontal="left" vertical="center" wrapText="1"/>
    </xf>
    <xf numFmtId="203"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left" vertical="center" wrapText="1"/>
    </xf>
    <xf numFmtId="206"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center" vertical="center" wrapText="1"/>
    </xf>
    <xf numFmtId="205" fontId="16" fillId="20" borderId="0" xfId="0" applyNumberFormat="1" applyFont="1" applyFill="1" applyBorder="1" applyAlignment="1">
      <alignment horizontal="center" vertical="center" wrapText="1"/>
    </xf>
    <xf numFmtId="201" fontId="16" fillId="20" borderId="0" xfId="0" applyNumberFormat="1" applyFont="1" applyFill="1" applyBorder="1" applyAlignment="1">
      <alignment horizontal="center" vertical="center" wrapText="1"/>
    </xf>
    <xf numFmtId="203" fontId="16" fillId="20" borderId="0" xfId="0" applyNumberFormat="1" applyFont="1" applyFill="1" applyBorder="1" applyAlignment="1">
      <alignment horizontal="center" vertical="center" wrapText="1"/>
    </xf>
    <xf numFmtId="206" fontId="16" fillId="20" xfId="0" applyNumberFormat="1" applyFont="1" applyFill="1" applyBorder="0" applyAlignment="1">
      <alignment horizontal="center" vertical="center" wrapText="1"/>
    </xf>
    <xf numFmtId="205" fontId="16" fillId="20" xfId="0" applyNumberFormat="1" applyFont="1" applyFill="1" applyBorder="0" applyAlignment="1">
      <alignment horizontal="center" vertical="center" wrapText="1"/>
    </xf>
    <xf numFmtId="201" fontId="16" fillId="20" xfId="0" applyNumberFormat="1" applyFont="1" applyFill="1" applyBorder="0" applyAlignment="1">
      <alignment horizontal="center" vertical="center" wrapText="1"/>
    </xf>
    <xf numFmtId="203" fontId="16" fillId="20" xfId="0" applyNumberFormat="1" applyFont="1" applyFill="1" applyBorder="0" applyAlignment="1">
      <alignment horizontal="center" vertical="center" wrapText="1"/>
    </xf>
    <xf numFmtId="205" fontId="16" fillId="42" borderId="2" xfId="0" applyNumberFormat="1" applyFont="1" applyFill="1" applyBorder="1" applyAlignment="1">
      <alignment horizontal="left" vertical="center" wrapText="1"/>
    </xf>
    <xf numFmtId="206" fontId="16" fillId="42" borderId="3" xfId="0" applyNumberFormat="1" applyFont="1" applyFill="1" applyBorder="1" applyAlignment="1">
      <alignment horizontal="center" vertical="center" wrapText="1"/>
    </xf>
    <xf numFmtId="205" fontId="16" fillId="42" borderId="3" xfId="0" applyNumberFormat="1" applyFont="1" applyFill="1" applyBorder="1" applyAlignment="1">
      <alignment horizontal="center" vertical="center" wrapText="1"/>
    </xf>
    <xf numFmtId="201" fontId="16" fillId="42" borderId="3" xfId="0" applyNumberFormat="1" applyFont="1" applyFill="1" applyBorder="1" applyAlignment="1">
      <alignment horizontal="center" vertical="center" wrapText="1"/>
    </xf>
    <xf numFmtId="203" fontId="16" fillId="42" borderId="3" xfId="0" applyNumberFormat="1" applyFont="1" applyFill="1" applyBorder="1" applyAlignment="1">
      <alignment horizontal="center" vertical="center" wrapText="1"/>
    </xf>
    <xf numFmtId="205" fontId="16" fillId="42" borderId="4" xfId="0" applyNumberFormat="1" applyFont="1" applyFill="1" applyBorder="1" applyAlignment="1">
      <alignment horizontal="left" vertical="center" wrapText="1"/>
    </xf>
    <xf numFmtId="205" fontId="16" fillId="42" borderId="5" xfId="0" applyNumberFormat="1" applyFont="1" applyFill="1" applyBorder="1" applyAlignment="1">
      <alignment horizontal="left" vertical="center" wrapText="1"/>
    </xf>
    <xf numFmtId="206" fontId="16" fillId="42" xfId="0" applyNumberFormat="1" applyFont="1" applyFill="1" applyBorder="0" applyAlignment="1">
      <alignment horizontal="center" vertical="center" wrapText="1"/>
    </xf>
    <xf numFmtId="205" fontId="16" fillId="42" xfId="0" applyNumberFormat="1" applyFont="1" applyFill="1" applyBorder="0" applyAlignment="1">
      <alignment horizontal="center" vertical="center" wrapText="1"/>
    </xf>
    <xf numFmtId="201" fontId="16" fillId="42" xfId="0" applyNumberFormat="1" applyFont="1" applyFill="1" applyBorder="0" applyAlignment="1">
      <alignment horizontal="center" vertical="center" wrapText="1"/>
    </xf>
    <xf numFmtId="203" fontId="16" fillId="42" xfId="0" applyNumberFormat="1" applyFont="1" applyFill="1" applyBorder="0" applyAlignment="1">
      <alignment horizontal="center" vertical="center" wrapText="1"/>
    </xf>
    <xf numFmtId="205" fontId="16" fillId="42" borderId="6" xfId="0" applyNumberFormat="1" applyFont="1" applyFill="1" applyBorder="1" applyAlignment="1">
      <alignment horizontal="left" vertical="center" wrapText="1"/>
    </xf>
    <xf numFmtId="205" fontId="16" fillId="42" borderId="7" xfId="0" applyNumberFormat="1" applyFont="1" applyFill="1" applyBorder="1" applyAlignment="1">
      <alignment horizontal="left" vertical="center" wrapText="1"/>
    </xf>
    <xf numFmtId="206" fontId="16" fillId="42" borderId="8" xfId="0" applyNumberFormat="1" applyFont="1" applyFill="1" applyBorder="1" applyAlignment="1">
      <alignment horizontal="center" vertical="center" wrapText="1"/>
    </xf>
    <xf numFmtId="205" fontId="16" fillId="42" borderId="8" xfId="0" applyNumberFormat="1" applyFont="1" applyFill="1" applyBorder="1" applyAlignment="1">
      <alignment horizontal="center" vertical="center" wrapText="1"/>
    </xf>
    <xf numFmtId="201" fontId="16" fillId="42" borderId="8" xfId="0" applyNumberFormat="1" applyFont="1" applyFill="1" applyBorder="1" applyAlignment="1">
      <alignment horizontal="center" vertical="center" wrapText="1"/>
    </xf>
    <xf numFmtId="203" fontId="16" fillId="42" borderId="8" xfId="0" applyNumberFormat="1" applyFont="1" applyFill="1" applyBorder="1" applyAlignment="1">
      <alignment horizontal="center" vertical="center" wrapText="1"/>
    </xf>
    <xf numFmtId="205" fontId="16" fillId="42" borderId="9" xfId="0" applyNumberFormat="1" applyFont="1" applyFill="1" applyBorder="1" applyAlignment="1">
      <alignment horizontal="left" vertical="center" wrapText="1"/>
    </xf>
    <xf numFmtId="0" fontId="11"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205" fontId="16" fillId="43" borderId="0" xfId="0" applyNumberFormat="1" applyFont="1" applyFill="1" applyBorder="1" applyAlignment="1">
      <alignment horizontal="left" vertical="center" wrapText="1"/>
    </xf>
    <xf numFmtId="206" fontId="16" fillId="43" borderId="0" xfId="0" applyNumberFormat="1" applyFont="1" applyFill="1" applyBorder="1" applyAlignment="1">
      <alignment horizontal="center" vertical="center" wrapText="1"/>
    </xf>
    <xf numFmtId="205" fontId="16" fillId="43" borderId="0" xfId="0" applyNumberFormat="1" applyFont="1" applyFill="1" applyBorder="1" applyAlignment="1">
      <alignment horizontal="center" vertical="center" wrapText="1"/>
    </xf>
    <xf numFmtId="201" fontId="16" fillId="43" borderId="0" xfId="0" applyNumberFormat="1" applyFont="1" applyFill="1" applyBorder="1" applyAlignment="1">
      <alignment horizontal="center" vertical="center" wrapText="1"/>
    </xf>
    <xf numFmtId="203" fontId="16" fillId="43" borderId="0" xfId="0" applyNumberFormat="1" applyFont="1" applyFill="1" applyBorder="1" applyAlignment="1">
      <alignment horizontal="center" vertical="center" wrapText="1"/>
    </xf>
    <xf numFmtId="206" fontId="16" fillId="43" xfId="0" applyNumberFormat="1" applyFont="1" applyFill="1" applyBorder="0" applyAlignment="1">
      <alignment horizontal="center" vertical="center" wrapText="1"/>
    </xf>
    <xf numFmtId="205" fontId="16" fillId="43" xfId="0" applyNumberFormat="1" applyFont="1" applyFill="1" applyBorder="0" applyAlignment="1">
      <alignment horizontal="center" vertical="center" wrapText="1"/>
    </xf>
    <xf numFmtId="201" fontId="16" fillId="43" xfId="0" applyNumberFormat="1" applyFont="1" applyFill="1" applyBorder="0" applyAlignment="1">
      <alignment horizontal="center" vertical="center" wrapText="1"/>
    </xf>
    <xf numFmtId="203" fontId="16" fillId="43" xfId="0" applyNumberFormat="1" applyFont="1" applyFill="1" applyBorder="0" applyAlignment="1">
      <alignment horizontal="center" vertical="center" wrapText="1"/>
    </xf>
    <xf numFmtId="0" fontId="13" fillId="18" borderId="0" xfId="0" applyNumberFormat="1" applyFont="1" applyFill="1" applyBorder="1" applyAlignment="1">
      <alignment horizontal="center" vertical="center" wrapText="1"/>
    </xf>
    <xf numFmtId="0" fontId="4" fillId="5" borderId="0" xfId="0" applyNumberFormat="1" applyFont="1" applyFill="1" applyBorder="1" applyAlignment="1">
      <alignment vertical="center" wrapText="1"/>
    </xf>
    <xf numFmtId="0" fontId="5" fillId="5" borderId="0" xfId="0" applyNumberFormat="1" applyFont="1" applyFill="1" applyBorder="1" applyAlignment="1">
      <alignment vertical="center" wrapText="1"/>
    </xf>
    <xf numFmtId="0" fontId="4" fillId="6" borderId="0" xfId="0" applyNumberFormat="1" applyFont="1" applyFill="1" applyBorder="1" applyAlignment="1">
      <alignment vertical="center" wrapText="1"/>
    </xf>
    <xf numFmtId="0" fontId="5" fillId="6" borderId="0" xfId="0" applyNumberFormat="1" applyFont="1" applyFill="1" applyBorder="1" applyAlignment="1">
      <alignment vertical="center" wrapText="1"/>
    </xf>
    <xf numFmtId="0" fontId="4" fillId="7" borderId="0" xfId="0" applyNumberFormat="1" applyFont="1" applyFill="1" applyBorder="1" applyAlignment="1">
      <alignment vertical="center" wrapText="1"/>
    </xf>
    <xf numFmtId="0" fontId="5" fillId="7" borderId="0" xfId="0" applyNumberFormat="1" applyFont="1" applyFill="1" applyBorder="1" applyAlignment="1">
      <alignment vertical="center" wrapText="1"/>
    </xf>
    <xf numFmtId="0" fontId="4" fillId="8" borderId="0" xfId="0" applyNumberFormat="1" applyFont="1" applyFill="1" applyBorder="1" applyAlignment="1">
      <alignment vertical="center" wrapText="1"/>
    </xf>
    <xf numFmtId="0" fontId="5" fillId="8" borderId="0" xfId="0" applyNumberFormat="1" applyFont="1" applyFill="1" applyBorder="1" applyAlignment="1">
      <alignment vertical="center" wrapText="1"/>
    </xf>
    <xf numFmtId="0" fontId="4" fillId="9" borderId="0" xfId="0" applyNumberFormat="1" applyFont="1" applyFill="1" applyBorder="1" applyAlignment="1">
      <alignment vertical="center" wrapText="1"/>
    </xf>
    <xf numFmtId="0" fontId="5" fillId="9" borderId="0" xfId="0" applyNumberFormat="1" applyFont="1" applyFill="1" applyBorder="1" applyAlignment="1">
      <alignment vertical="center" wrapText="1"/>
    </xf>
    <xf numFmtId="201" fontId="3" fillId="20" xfId="0" applyNumberFormat="1" applyFont="1" applyFill="1" applyBorder="0" applyAlignment="1">
      <alignment horizontal="center" vertical="center" wrapText="1"/>
    </xf>
    <xf numFmtId="203" fontId="3" fillId="20" xfId="0" applyNumberFormat="1" applyFont="1" applyFill="1" applyBorder="0" applyAlignment="1">
      <alignment horizontal="center" vertical="center" wrapText="1"/>
    </xf>
    <xf numFmtId="0" fontId="13" fillId="18" borderId="0" xfId="0" applyNumberFormat="1" applyFont="1" applyFill="1" applyBorder="1" applyAlignment="1">
      <alignment horizontal="left" vertical="center" wrapText="1"/>
    </xf>
    <xf numFmtId="0" fontId="0" fillId="0" borderId="0" xfId="0" applyNumberFormat="1" applyFont="1" applyFill="1" applyBorder="1" applyAlignment="1">
      <alignment horizontal="left" vertical="center" wrapText="1"/>
    </xf>
    <xf numFmtId="0" fontId="2" fillId="3" borderId="0" xfId="0" applyNumberFormat="1" applyFont="1" applyFill="1" applyBorder="1" applyAlignment="1">
      <alignment horizontal="left" vertical="center" wrapText="1"/>
    </xf>
    <xf numFmtId="0" fontId="4" fillId="5" borderId="0" xfId="0" applyNumberFormat="1" applyFont="1" applyFill="1" applyBorder="1" applyAlignment="1">
      <alignment horizontal="left" vertical="center" wrapText="1"/>
    </xf>
    <xf numFmtId="0" fontId="4" fillId="6" borderId="0" xfId="0" applyNumberFormat="1" applyFont="1" applyFill="1" applyBorder="1" applyAlignment="1">
      <alignment horizontal="left" vertical="center" wrapText="1"/>
    </xf>
    <xf numFmtId="0" fontId="4" fillId="7" borderId="0" xfId="0" applyNumberFormat="1" applyFont="1" applyFill="1" applyBorder="1" applyAlignment="1">
      <alignment horizontal="left" vertical="center" wrapText="1"/>
    </xf>
    <xf numFmtId="0" fontId="4" fillId="8" borderId="0" xfId="0" applyNumberFormat="1" applyFont="1" applyFill="1" applyBorder="1" applyAlignment="1">
      <alignment horizontal="left" vertical="center" wrapText="1"/>
    </xf>
    <xf numFmtId="0" fontId="4" fillId="9" borderId="0" xfId="0" applyNumberFormat="1" applyFont="1" applyFill="1" applyBorder="1" applyAlignment="1">
      <alignment horizontal="left" vertical="center" wrapText="1"/>
    </xf>
    <xf numFmtId="0" fontId="2" fillId="18" borderId="0" xfId="0" applyNumberFormat="1" applyFont="1" applyFill="1" applyBorder="1" applyAlignment="1">
      <alignment horizontal="left" vertical="center" wrapText="1"/>
    </xf>
    <xf numFmtId="0" fontId="11" fillId="0" borderId="0" xfId="0" applyNumberFormat="1" applyFont="1" applyFill="1" applyBorder="1" applyAlignment="1">
      <alignment horizontal="left" vertical="center" wrapText="1"/>
    </xf>
    <xf numFmtId="0" fontId="3" fillId="4" borderId="0" xfId="0" applyNumberFormat="1" applyFont="1" applyFill="1" applyBorder="1" applyAlignment="1">
      <alignment horizontal="left" vertical="center" wrapText="1"/>
    </xf>
    <xf numFmtId="0" fontId="5" fillId="5" borderId="0" xfId="0" applyNumberFormat="1" applyFont="1" applyFill="1" applyBorder="1" applyAlignment="1">
      <alignment horizontal="left" vertical="center" wrapText="1"/>
    </xf>
    <xf numFmtId="0" fontId="5" fillId="6" borderId="0" xfId="0" applyNumberFormat="1" applyFont="1" applyFill="1" applyBorder="1" applyAlignment="1">
      <alignment horizontal="left" vertical="center" wrapText="1"/>
    </xf>
    <xf numFmtId="0" fontId="5" fillId="7" borderId="0" xfId="0" applyNumberFormat="1" applyFont="1" applyFill="1" applyBorder="1" applyAlignment="1">
      <alignment horizontal="left" vertical="center" wrapText="1"/>
    </xf>
    <xf numFmtId="0" fontId="5" fillId="8" borderId="0" xfId="0" applyNumberFormat="1" applyFont="1" applyFill="1" applyBorder="1" applyAlignment="1">
      <alignment horizontal="left" vertical="center" wrapText="1"/>
    </xf>
    <xf numFmtId="0" fontId="5" fillId="9" borderId="0" xfId="0" applyNumberFormat="1" applyFont="1" applyFill="1" applyBorder="1" applyAlignment="1">
      <alignment horizontal="left" vertical="center" wrapText="1"/>
    </xf>
    <xf numFmtId="201" fontId="3" fillId="20" xfId="0" applyNumberFormat="1" applyFont="1" applyFill="1" applyBorder="0" applyAlignment="1">
      <alignment horizontal="left" vertical="center" wrapText="1"/>
    </xf>
    <xf numFmtId="203" fontId="3" fillId="20" xfId="0" applyNumberFormat="1" applyFont="1" applyFill="1" applyBorder="0" applyAlignment="1">
      <alignment horizontal="left" vertical="center" wrapText="1"/>
    </xf>
    <xf numFmtId="0" fontId="3" fillId="21" borderId="0" xfId="0" applyNumberFormat="1" applyFont="1" applyFill="1" applyBorder="1" applyAlignment="1">
      <alignment horizontal="left" vertical="center" wrapText="1"/>
    </xf>
    <xf numFmtId="0" fontId="13" fillId="44" borderId="0" xfId="0" applyNumberFormat="1" applyFont="1" applyFill="1" applyBorder="1" applyAlignment="1">
      <alignment horizontal="left" vertical="center" wrapText="1"/>
    </xf>
    <xf numFmtId="0" fontId="13" fillId="44" borderId="0" xfId="0" applyNumberFormat="1" applyFont="1" applyFill="1" applyBorder="1" applyAlignment="1">
      <alignment horizontal="center" vertical="center" wrapText="1"/>
    </xf>
    <xf numFmtId="0" fontId="17" fillId="44" borderId="0" xfId="0" applyNumberFormat="1" applyFont="1" applyFill="1" applyBorder="1" applyAlignment="1">
      <alignment horizontal="left" vertical="center" wrapText="1"/>
    </xf>
    <xf numFmtId="0" fontId="17" fillId="44" borderId="0" xfId="0" applyNumberFormat="1" applyFont="1" applyFill="1" applyBorder="1" applyAlignment="1">
      <alignment horizontal="center" vertical="center" wrapText="1"/>
    </xf>
    <xf numFmtId="0" fontId="0" fillId="45" borderId="0" xfId="0" applyNumberFormat="1" applyFont="1" applyFill="1" applyBorder="1" applyAlignment="1">
      <alignment horizontal="left" vertical="center" wrapText="1"/>
    </xf>
    <xf numFmtId="0" fontId="0" fillId="45" borderId="0" xfId="0" applyNumberFormat="1" applyFont="1" applyFill="1" applyBorder="1" applyAlignment="1">
      <alignment vertical="center" wrapText="1"/>
    </xf>
    <xf numFmtId="0" fontId="18" fillId="45" borderId="0" xfId="0" applyNumberFormat="1" applyFont="1" applyFill="1" applyBorder="1" applyAlignment="1">
      <alignment horizontal="left" vertical="center" wrapText="1"/>
    </xf>
    <xf numFmtId="0" fontId="18" fillId="45" borderId="0" xfId="0" applyNumberFormat="1" applyFont="1" applyFill="1" applyBorder="1" applyAlignment="1">
      <alignment vertical="center" wrapText="1"/>
    </xf>
    <xf numFmtId="0" fontId="18" fillId="45" borderId="0" xfId="0" applyNumberFormat="1" applyFont="1" applyFill="1" applyBorder="1" applyAlignment="1">
      <alignment horizontal="center" vertical="center" wrapText="1"/>
    </xf>
    <xf numFmtId="0" fontId="2" fillId="46" borderId="0" xfId="0" applyNumberFormat="1" applyFont="1" applyFill="1" applyBorder="1" applyAlignment="1">
      <alignment horizontal="left" vertical="center" wrapText="1"/>
    </xf>
    <xf numFmtId="0" fontId="14" fillId="46" borderId="0" xfId="0" applyNumberFormat="1" applyFont="1" applyFill="1" applyBorder="1" applyAlignment="1">
      <alignment horizontal="left" vertical="center" wrapText="1"/>
    </xf>
    <xf numFmtId="0" fontId="0" fillId="46" borderId="0" xfId="0" applyNumberFormat="1" applyFont="1" applyFill="1" applyBorder="1" applyAlignment="1">
      <alignment horizontal="left" vertical="center" wrapText="1"/>
    </xf>
    <xf numFmtId="0" fontId="11" fillId="46" borderId="0" xfId="0" applyNumberFormat="1" applyFont="1" applyFill="1" applyBorder="1" applyAlignment="1">
      <alignment horizontal="left" vertical="center" wrapText="1"/>
    </xf>
    <xf numFmtId="0" fontId="3" fillId="47" borderId="0" xfId="0" applyNumberFormat="1" applyFont="1" applyFill="1" applyBorder="1" applyAlignment="1">
      <alignment horizontal="left" vertical="center" wrapText="1"/>
    </xf>
    <xf numFmtId="0" fontId="16" fillId="47" borderId="0" xfId="0" applyNumberFormat="1" applyFont="1" applyFill="1" applyBorder="1" applyAlignment="1">
      <alignment horizontal="left" vertical="center" wrapText="1"/>
    </xf>
    <xf numFmtId="0" fontId="0" fillId="47" borderId="0" xfId="0" applyNumberFormat="1" applyFont="1" applyFill="1" applyBorder="1" applyAlignment="1">
      <alignment horizontal="left" vertical="center" wrapText="1"/>
    </xf>
    <xf numFmtId="0" fontId="2"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center" vertical="center" wrapText="1"/>
    </xf>
    <xf numFmtId="201" fontId="3" fillId="49" xfId="0" applyNumberFormat="1" applyFont="1" applyFill="1" applyBorder="0" applyAlignment="1">
      <alignment horizontal="left" vertical="center" wrapText="1"/>
    </xf>
    <xf numFmtId="203" fontId="3" fillId="49" xfId="0" applyNumberFormat="1" applyFont="1" applyFill="1" applyBorder="0" applyAlignment="1">
      <alignment horizontal="left" vertical="center" wrapText="1"/>
    </xf>
    <xf numFmtId="201" fontId="14" fillId="49" xfId="0" applyNumberFormat="1" applyFont="1" applyFill="1" applyBorder="0" applyAlignment="1">
      <alignment horizontal="left" vertical="center" wrapText="1"/>
    </xf>
    <xf numFmtId="203" fontId="14" fillId="49" xfId="0" applyNumberFormat="1" applyFont="1" applyFill="1" applyBorder="0" applyAlignment="1">
      <alignment horizontal="left" vertical="center" wrapText="1"/>
    </xf>
    <xf numFmtId="201" fontId="14" fillId="49" xfId="0" applyNumberFormat="1" applyFont="1" applyFill="1" applyBorder="0" applyAlignment="1">
      <alignment horizontal="center" vertical="center" wrapText="1"/>
    </xf>
    <xf numFmtId="203" fontId="14" fillId="49" xfId="0" applyNumberFormat="1" applyFont="1" applyFill="1" applyBorder="0" applyAlignment="1">
      <alignment horizontal="center" vertical="center" wrapText="1"/>
    </xf>
    <xf numFmtId="0" fontId="4" fillId="50" borderId="0" xfId="0" applyNumberFormat="1" applyFont="1" applyFill="1" applyBorder="1" applyAlignment="1">
      <alignment horizontal="left" vertical="center" wrapText="1"/>
    </xf>
    <xf numFmtId="0" fontId="5" fillId="50" borderId="0" xfId="0" applyNumberFormat="1" applyFont="1" applyFill="1" applyBorder="1" applyAlignment="1">
      <alignment horizontal="left" vertical="center" wrapText="1"/>
    </xf>
    <xf numFmtId="0" fontId="14" fillId="50" borderId="0" xfId="0" applyNumberFormat="1" applyFont="1" applyFill="1" applyBorder="1" applyAlignment="1">
      <alignment horizontal="left" vertical="center" wrapText="1"/>
    </xf>
    <xf numFmtId="0" fontId="4" fillId="51" borderId="0" xfId="0" applyNumberFormat="1" applyFont="1" applyFill="1" applyBorder="1" applyAlignment="1">
      <alignment horizontal="left" vertical="center" wrapText="1"/>
    </xf>
    <xf numFmtId="0" fontId="5" fillId="51" borderId="0" xfId="0" applyNumberFormat="1" applyFont="1" applyFill="1" applyBorder="1" applyAlignment="1">
      <alignment horizontal="left" vertical="center" wrapText="1"/>
    </xf>
    <xf numFmtId="0" fontId="14" fillId="51" borderId="0" xfId="0" applyNumberFormat="1" applyFont="1" applyFill="1" applyBorder="1" applyAlignment="1">
      <alignment horizontal="left" vertical="center" wrapText="1"/>
    </xf>
    <xf numFmtId="0" fontId="4" fillId="52" borderId="0" xfId="0" applyNumberFormat="1" applyFont="1" applyFill="1" applyBorder="1" applyAlignment="1">
      <alignment horizontal="left" vertical="center" wrapText="1"/>
    </xf>
    <xf numFmtId="0" fontId="5" fillId="52" borderId="0" xfId="0" applyNumberFormat="1" applyFont="1" applyFill="1" applyBorder="1" applyAlignment="1">
      <alignment horizontal="left" vertical="center" wrapText="1"/>
    </xf>
    <xf numFmtId="0" fontId="14" fillId="52" borderId="0" xfId="0" applyNumberFormat="1" applyFont="1" applyFill="1" applyBorder="1" applyAlignment="1">
      <alignment horizontal="left" vertical="center" wrapText="1"/>
    </xf>
    <xf numFmtId="0" fontId="4" fillId="53" borderId="0" xfId="0" applyNumberFormat="1" applyFont="1" applyFill="1" applyBorder="1" applyAlignment="1">
      <alignment horizontal="left" vertical="center" wrapText="1"/>
    </xf>
    <xf numFmtId="0" fontId="5" fillId="53" borderId="0" xfId="0" applyNumberFormat="1" applyFont="1" applyFill="1" applyBorder="1" applyAlignment="1">
      <alignment horizontal="left" vertical="center" wrapText="1"/>
    </xf>
    <xf numFmtId="0" fontId="14" fillId="53" borderId="0" xfId="0" applyNumberFormat="1" applyFont="1" applyFill="1" applyBorder="1" applyAlignment="1">
      <alignment horizontal="left" vertical="center" wrapText="1"/>
    </xf>
    <xf numFmtId="0" fontId="4" fillId="54" borderId="0" xfId="0" applyNumberFormat="1" applyFont="1" applyFill="1" applyBorder="1" applyAlignment="1">
      <alignment horizontal="left" vertical="center" wrapText="1"/>
    </xf>
    <xf numFmtId="0" fontId="5" fillId="54" borderId="0" xfId="0" applyNumberFormat="1" applyFont="1" applyFill="1" applyBorder="1" applyAlignment="1">
      <alignment horizontal="left" vertical="center" wrapText="1"/>
    </xf>
    <xf numFmtId="0" fontId="14" fillId="54" borderId="0" xfId="0" applyNumberFormat="1" applyFont="1" applyFill="1" applyBorder="1" applyAlignment="1">
      <alignment horizontal="left" vertical="center" wrapText="1"/>
    </xf>
    <xf numFmtId="0" fontId="14" fillId="46" borderId="10" xfId="0" applyNumberFormat="1" applyFont="1" applyFill="1" applyBorder="1" applyAlignment="1">
      <alignment horizontal="left" vertical="center" wrapText="1"/>
    </xf>
    <xf numFmtId="0" fontId="16" fillId="47" borderId="11" xfId="0" applyNumberFormat="1" applyFont="1" applyFill="1" applyBorder="1" applyAlignment="1">
      <alignment horizontal="left" vertical="center" wrapText="1"/>
    </xf>
    <xf numFmtId="0" fontId="14" fillId="46" borderId="12" xfId="0" applyNumberFormat="1" applyFont="1" applyFill="1" applyBorder="1" applyAlignment="1">
      <alignment horizontal="left" vertical="center" wrapText="1"/>
    </xf>
    <xf numFmtId="0" fontId="16" fillId="47" borderId="13" xfId="0" applyNumberFormat="1" applyFont="1" applyFill="1" applyBorder="1" applyAlignment="1">
      <alignment horizontal="left" vertical="center" wrapText="1"/>
    </xf>
    <xf numFmtId="0" fontId="14" fillId="50" borderId="12" xfId="0" applyNumberFormat="1" applyFont="1" applyFill="1" applyBorder="1" applyAlignment="1">
      <alignment horizontal="left" vertical="center" wrapText="1"/>
    </xf>
    <xf numFmtId="0" fontId="14" fillId="50" borderId="13" xfId="0" applyNumberFormat="1" applyFont="1" applyFill="1" applyBorder="1" applyAlignment="1">
      <alignment horizontal="left" vertical="center" wrapText="1"/>
    </xf>
    <xf numFmtId="0" fontId="14" fillId="51" borderId="12" xfId="0" applyNumberFormat="1" applyFont="1" applyFill="1" applyBorder="1" applyAlignment="1">
      <alignment horizontal="left" vertical="center" wrapText="1"/>
    </xf>
    <xf numFmtId="0" fontId="14" fillId="51" borderId="13" xfId="0" applyNumberFormat="1" applyFont="1" applyFill="1" applyBorder="1" applyAlignment="1">
      <alignment horizontal="left" vertical="center" wrapText="1"/>
    </xf>
    <xf numFmtId="0" fontId="14" fillId="52" borderId="12" xfId="0" applyNumberFormat="1" applyFont="1" applyFill="1" applyBorder="1" applyAlignment="1">
      <alignment horizontal="left" vertical="center" wrapText="1"/>
    </xf>
    <xf numFmtId="0" fontId="14" fillId="52" borderId="13" xfId="0" applyNumberFormat="1" applyFont="1" applyFill="1" applyBorder="1" applyAlignment="1">
      <alignment horizontal="left" vertical="center" wrapText="1"/>
    </xf>
    <xf numFmtId="0" fontId="14" fillId="53" borderId="12" xfId="0" applyNumberFormat="1" applyFont="1" applyFill="1" applyBorder="1" applyAlignment="1">
      <alignment horizontal="left" vertical="center" wrapText="1"/>
    </xf>
    <xf numFmtId="0" fontId="14" fillId="53" borderId="13" xfId="0" applyNumberFormat="1" applyFont="1" applyFill="1" applyBorder="1" applyAlignment="1">
      <alignment horizontal="left" vertical="center" wrapText="1"/>
    </xf>
    <xf numFmtId="0" fontId="14" fillId="54" borderId="12" xfId="0" applyNumberFormat="1" applyFont="1" applyFill="1" applyBorder="1" applyAlignment="1">
      <alignment horizontal="left" vertical="center" wrapText="1"/>
    </xf>
    <xf numFmtId="0" fontId="14" fillId="54" borderId="13" xfId="0" applyNumberFormat="1" applyFont="1" applyFill="1" applyBorder="1" applyAlignment="1">
      <alignment horizontal="left" vertical="center" wrapText="1"/>
    </xf>
    <xf numFmtId="0" fontId="14" fillId="46" borderId="14" xfId="0" applyNumberFormat="1" applyFont="1" applyFill="1" applyBorder="1" applyAlignment="1">
      <alignment horizontal="left" vertical="center" wrapText="1"/>
    </xf>
    <xf numFmtId="0" fontId="16" fillId="47" borderId="15" xfId="0" applyNumberFormat="1" applyFont="1" applyFill="1" applyBorder="1" applyAlignment="1">
      <alignment horizontal="left" vertical="center" wrapText="1"/>
    </xf>
    <xf numFmtId="201" fontId="14" fillId="49" borderId="11" xfId="0" applyNumberFormat="1" applyFont="1" applyFill="1" applyBorder="1" applyAlignment="1">
      <alignment horizontal="center" vertical="center" wrapText="1"/>
    </xf>
    <xf numFmtId="201" fontId="14" fillId="49" borderId="13" xfId="0" applyNumberFormat="1" applyFont="1" applyFill="1" applyBorder="1" applyAlignment="1">
      <alignment horizontal="center" vertical="center" wrapText="1"/>
    </xf>
    <xf numFmtId="203" fontId="14" fillId="49" borderId="13" xfId="0" applyNumberFormat="1" applyFont="1" applyFill="1" applyBorder="1" applyAlignment="1">
      <alignment horizontal="center" vertical="center" wrapText="1"/>
    </xf>
    <xf numFmtId="0" fontId="14" fillId="46" borderId="16" xfId="0" applyNumberFormat="1" applyFont="1" applyFill="1" applyBorder="1" applyAlignment="1">
      <alignment horizontal="left" vertical="center" wrapText="1"/>
    </xf>
    <xf numFmtId="0" fontId="16" fillId="47" borderId="17" xfId="0" applyNumberFormat="1" applyFont="1" applyFill="1" applyBorder="1" applyAlignment="1">
      <alignment horizontal="left" vertical="center" wrapText="1"/>
    </xf>
    <xf numFmtId="0" fontId="14" fillId="46" borderId="18" xfId="0" applyNumberFormat="1" applyFont="1" applyFill="1" applyBorder="1" applyAlignment="1">
      <alignment horizontal="left" vertical="center" wrapText="1"/>
    </xf>
    <xf numFmtId="0" fontId="16" fillId="47" borderId="19" xfId="0" applyNumberFormat="1" applyFont="1" applyFill="1" applyBorder="1" applyAlignment="1">
      <alignment horizontal="left" vertical="center" wrapText="1"/>
    </xf>
    <xf numFmtId="0" fontId="14" fillId="46" borderId="20" xfId="0" applyNumberFormat="1" applyFont="1" applyFill="1" applyBorder="1" applyAlignment="1">
      <alignment horizontal="left" vertical="center" wrapText="1"/>
    </xf>
    <xf numFmtId="0" fontId="16" fillId="47" borderId="21" xfId="0" applyNumberFormat="1" applyFont="1" applyFill="1" applyBorder="1" applyAlignment="1">
      <alignment horizontal="left" vertical="center" wrapText="1"/>
    </xf>
    <xf numFmtId="0" fontId="13" fillId="2" borderId="0" xfId="0" applyNumberFormat="1" applyFont="1" applyFill="1" applyBorder="1" applyAlignment="1">
      <alignment horizontal="left" vertical="center" wrapText="1"/>
    </xf>
    <xf numFmtId="0" fontId="13" fillId="2" borderId="0" xfId="0" applyNumberFormat="1" applyFont="1" applyFill="1" applyBorder="1" applyAlignment="1">
      <alignment horizontal="center" vertical="center" wrapText="1"/>
    </xf>
    <xf numFmtId="0" fontId="17" fillId="2" borderId="0" xfId="0" applyNumberFormat="1" applyFont="1" applyFill="1" applyBorder="1" applyAlignment="1">
      <alignment horizontal="left" vertical="center" wrapText="1"/>
    </xf>
    <xf numFmtId="0" fontId="17" fillId="2" borderId="0" xfId="0" applyNumberFormat="1" applyFont="1" applyFill="1" applyBorder="1" applyAlignment="1">
      <alignment horizontal="center" vertical="center" wrapText="1"/>
    </xf>
    <xf numFmtId="0" fontId="0" fillId="10" borderId="0" xfId="0" applyNumberFormat="1" applyFont="1" applyFill="1" applyBorder="1" applyAlignment="1">
      <alignment horizontal="left" vertical="center" wrapText="1"/>
    </xf>
    <xf numFmtId="0" fontId="0" fillId="10" borderId="0" xfId="0" applyNumberFormat="1" applyFont="1" applyFill="1" applyBorder="1" applyAlignment="1">
      <alignment vertical="center" wrapText="1"/>
    </xf>
    <xf numFmtId="0" fontId="18" fillId="10" borderId="0" xfId="0" applyNumberFormat="1" applyFont="1" applyFill="1" applyBorder="1" applyAlignment="1">
      <alignment horizontal="left" vertical="center" wrapText="1"/>
    </xf>
    <xf numFmtId="0" fontId="18" fillId="10" borderId="0" xfId="0" applyNumberFormat="1" applyFont="1" applyFill="1" applyBorder="1" applyAlignment="1">
      <alignment vertical="center" wrapText="1"/>
    </xf>
    <xf numFmtId="0" fontId="18" fillId="10" borderId="0" xfId="0" applyNumberFormat="1" applyFont="1" applyFill="1" applyBorder="1" applyAlignment="1">
      <alignment horizontal="center" vertical="center" wrapText="1"/>
    </xf>
    <xf numFmtId="0" fontId="19" fillId="18" borderId="0" xfId="0" applyNumberFormat="1" applyFont="1" applyFill="1" applyBorder="1" applyAlignment="1">
      <alignment horizontal="left" vertical="center" wrapText="1"/>
    </xf>
    <xf numFmtId="0" fontId="19" fillId="18" borderId="0" xfId="0" applyNumberFormat="1" applyFont="1" applyFill="1" applyBorder="1" applyAlignment="1">
      <alignment horizontal="center" vertical="center" wrapText="1"/>
    </xf>
    <xf numFmtId="201" fontId="14" fillId="20" xfId="0" applyNumberFormat="1" applyFont="1" applyFill="1" applyBorder="0" applyAlignment="1">
      <alignment horizontal="left" vertical="center" wrapText="1"/>
    </xf>
    <xf numFmtId="203" fontId="14" fillId="20" xfId="0" applyNumberFormat="1" applyFont="1" applyFill="1" applyBorder="0" applyAlignment="1">
      <alignment horizontal="left" vertical="center" wrapText="1"/>
    </xf>
    <xf numFmtId="201" fontId="14" fillId="20" xfId="0" applyNumberFormat="1" applyFont="1" applyFill="1" applyBorder="0" applyAlignment="1">
      <alignment horizontal="center" vertical="center" wrapText="1"/>
    </xf>
    <xf numFmtId="203" fontId="14" fillId="20" xfId="0" applyNumberFormat="1" applyFont="1" applyFill="1" applyBorder="0" applyAlignment="1">
      <alignment horizontal="center" vertical="center" wrapText="1"/>
    </xf>
    <xf numFmtId="0" fontId="14" fillId="5" borderId="0" xfId="0" applyNumberFormat="1" applyFont="1" applyFill="1" applyBorder="1" applyAlignment="1">
      <alignment horizontal="left" vertical="center" wrapText="1"/>
    </xf>
    <xf numFmtId="0" fontId="14" fillId="6" borderId="0" xfId="0" applyNumberFormat="1" applyFont="1" applyFill="1" applyBorder="1" applyAlignment="1">
      <alignment horizontal="left" vertical="center" wrapText="1"/>
    </xf>
    <xf numFmtId="0" fontId="14" fillId="7" borderId="0" xfId="0" applyNumberFormat="1" applyFont="1" applyFill="1" applyBorder="1" applyAlignment="1">
      <alignment horizontal="left" vertical="center" wrapText="1"/>
    </xf>
    <xf numFmtId="0" fontId="14" fillId="9" borderId="0" xfId="0" applyNumberFormat="1" applyFont="1" applyFill="1" applyBorder="1" applyAlignment="1">
      <alignment horizontal="left" vertical="center" wrapText="1"/>
    </xf>
    <xf numFmtId="201" fontId="14" fillId="20" borderId="0" xfId="0" applyNumberFormat="1" applyFont="1" applyFill="1" applyBorder="1" applyAlignment="1">
      <alignment horizontal="center" vertical="center" wrapText="1"/>
    </xf>
    <xf numFmtId="203" fontId="14" fillId="20" borderId="0" xfId="0" applyNumberFormat="1" applyFont="1" applyFill="1" applyBorder="1" applyAlignment="1">
      <alignment horizontal="center" vertical="center" wrapText="1"/>
    </xf>
    <xf numFmtId="0" fontId="11" fillId="55" borderId="0" xfId="0" applyNumberFormat="1" applyFont="1" applyFill="1" applyBorder="1" applyAlignment="1">
      <alignment vertical="center" wrapText="0"/>
    </xf>
    <xf numFmtId="0" fontId="0" fillId="55" borderId="0" xfId="0" applyNumberFormat="1" applyFont="1" applyFill="1" applyBorder="1"/>
    <xf numFmtId="0" fontId="14" fillId="55" borderId="0" xfId="0" applyNumberFormat="1" applyFont="1" applyFill="1" applyBorder="1" applyAlignment="1">
      <alignment vertical="center" wrapText="0"/>
    </xf>
    <xf numFmtId="0" fontId="14" fillId="55" borderId="0" xfId="0" applyNumberFormat="1" applyFont="1" applyFill="1" applyBorder="1"/>
    <xf numFmtId="0" fontId="14" fillId="55" borderId="22" xfId="0" applyNumberFormat="1" applyFont="1" applyFill="1" applyBorder="1" applyAlignment="1">
      <alignment vertical="center" wrapText="0"/>
    </xf>
    <xf numFmtId="0" fontId="14" fillId="55" borderId="23" xfId="0" applyNumberFormat="1" applyFont="1" applyFill="1" applyBorder="1"/>
    <xf numFmtId="0" fontId="14" fillId="55" borderId="24" xfId="0" applyNumberFormat="1" applyFont="1" applyFill="1" applyBorder="1"/>
    <xf numFmtId="0" fontId="14" fillId="55" borderId="22" xfId="0" applyNumberFormat="1" applyFont="1" applyFill="1" applyBorder="1" applyAlignment="1">
      <alignment vertical="center" wrapText="1"/>
    </xf>
    <xf numFmtId="0" fontId="14" fillId="55" borderId="23" xfId="0" applyNumberFormat="1" applyFont="1" applyFill="1" applyBorder="1" applyAlignment="1">
      <alignment wrapText="1"/>
    </xf>
    <xf numFmtId="0" fontId="14" fillId="55" borderId="24" xfId="0" applyNumberFormat="1" applyFont="1" applyFill="1" applyBorder="1" applyAlignment="1">
      <alignment wrapText="1"/>
    </xf>
    <xf numFmtId="0" fontId="14" fillId="55" borderId="22" xfId="0" applyNumberFormat="1" applyFont="1" applyFill="1" applyBorder="1" applyAlignment="1">
      <alignment horizontal="left" vertical="center" wrapText="1"/>
    </xf>
    <xf numFmtId="0" fontId="14" fillId="55" borderId="23" xfId="0" applyNumberFormat="1" applyFont="1" applyFill="1" applyBorder="1" applyAlignment="1">
      <alignment horizontal="left" wrapText="1"/>
    </xf>
    <xf numFmtId="0" fontId="14" fillId="55" borderId="24" xfId="0" applyNumberFormat="1" applyFont="1" applyFill="1" applyBorder="1" applyAlignment="1">
      <alignment horizontal="left" wrapText="1"/>
    </xf>
    <xf numFmtId="0" fontId="14" fillId="55" borderId="23" xfId="0" applyNumberFormat="1" applyFont="1" applyFill="1" applyBorder="1" applyAlignment="1">
      <alignment horizontal="left" vertical="center" wrapText="1"/>
    </xf>
    <xf numFmtId="0" fontId="14" fillId="55" borderId="24" xfId="0" applyNumberFormat="1" applyFont="1" applyFill="1" applyBorder="1" applyAlignment="1">
      <alignment horizontal="left" vertical="center" wrapText="1"/>
    </xf>
    <xf numFmtId="0" fontId="0" fillId="56" borderId="0" xfId="0" applyNumberFormat="1" applyFont="1" applyFill="1" applyBorder="1" applyAlignment="1">
      <alignment vertical="center" wrapText="0"/>
    </xf>
    <xf numFmtId="0" fontId="0" fillId="56" borderId="0" xfId="0" applyNumberFormat="1" applyFont="1" applyFill="1" applyBorder="1"/>
    <xf numFmtId="0" fontId="16" fillId="56" borderId="0" xfId="0" applyNumberFormat="1" applyFont="1" applyFill="1" applyBorder="1" applyAlignment="1">
      <alignment vertical="center" wrapText="0"/>
    </xf>
    <xf numFmtId="0" fontId="16" fillId="56" borderId="0" xfId="0" applyNumberFormat="1" applyFont="1" applyFill="1" applyBorder="1"/>
    <xf numFmtId="0" fontId="16" fillId="56" borderId="22" xfId="0" applyNumberFormat="1" applyFont="1" applyFill="1" applyBorder="1" applyAlignment="1">
      <alignment vertical="center" wrapText="0"/>
    </xf>
    <xf numFmtId="0" fontId="16" fillId="56" borderId="23" xfId="0" applyNumberFormat="1" applyFont="1" applyFill="1" applyBorder="1"/>
    <xf numFmtId="0" fontId="16" fillId="56" borderId="24" xfId="0" applyNumberFormat="1" applyFont="1" applyFill="1" applyBorder="1"/>
    <xf numFmtId="0" fontId="16" fillId="56" borderId="22" xfId="0" applyNumberFormat="1" applyFont="1" applyFill="1" applyBorder="1" applyAlignment="1">
      <alignment vertical="center" wrapText="1"/>
    </xf>
    <xf numFmtId="0" fontId="16" fillId="56" borderId="23" xfId="0" applyNumberFormat="1" applyFont="1" applyFill="1" applyBorder="1" applyAlignment="1">
      <alignment wrapText="1"/>
    </xf>
    <xf numFmtId="0" fontId="16" fillId="56" borderId="24" xfId="0" applyNumberFormat="1" applyFont="1" applyFill="1" applyBorder="1" applyAlignment="1">
      <alignment wrapText="1"/>
    </xf>
    <xf numFmtId="0" fontId="16" fillId="56" borderId="22" xfId="0" applyNumberFormat="1" applyFont="1" applyFill="1" applyBorder="1" applyAlignment="1">
      <alignment horizontal="left" vertical="center" wrapText="1"/>
    </xf>
    <xf numFmtId="0" fontId="16" fillId="56" borderId="23" xfId="0" applyNumberFormat="1" applyFont="1" applyFill="1" applyBorder="1" applyAlignment="1">
      <alignment horizontal="left" wrapText="1"/>
    </xf>
    <xf numFmtId="0" fontId="16" fillId="56" borderId="24" xfId="0" applyNumberFormat="1" applyFont="1" applyFill="1" applyBorder="1" applyAlignment="1">
      <alignment horizontal="left" wrapText="1"/>
    </xf>
    <xf numFmtId="0" fontId="16" fillId="56" borderId="23" xfId="0" applyNumberFormat="1" applyFont="1" applyFill="1" applyBorder="1" applyAlignment="1">
      <alignment horizontal="left" vertical="center" wrapText="1"/>
    </xf>
    <xf numFmtId="0" fontId="16" fillId="56" borderId="24" xfId="0" applyNumberFormat="1" applyFont="1" applyFill="1" applyBorder="1" applyAlignment="1">
      <alignment horizontal="left" vertical="center" wrapText="1"/>
    </xf>
    <xf numFmtId="0" fontId="11" fillId="46" borderId="0" xfId="0" applyNumberFormat="1" applyFont="1" applyFill="1" applyBorder="1" applyAlignment="1">
      <alignment vertical="center" wrapText="0"/>
    </xf>
    <xf numFmtId="0" fontId="0" fillId="46" borderId="0" xfId="0" applyNumberFormat="1" applyFont="1" applyFill="1" applyBorder="1"/>
    <xf numFmtId="0" fontId="14" fillId="46" borderId="0" xfId="0" applyNumberFormat="1" applyFont="1" applyFill="1" applyBorder="1" applyAlignment="1">
      <alignment vertical="center" wrapText="0"/>
    </xf>
    <xf numFmtId="0" fontId="14" fillId="46" borderId="0" xfId="0" applyNumberFormat="1" applyFont="1" applyFill="1" applyBorder="1"/>
    <xf numFmtId="0" fontId="14" fillId="46" borderId="0" xfId="0" applyNumberFormat="1" applyFont="1" applyFill="1" applyBorder="1" applyAlignment="1">
      <alignment vertical="center" wrapText="1"/>
    </xf>
    <xf numFmtId="0" fontId="14" fillId="46" borderId="0" xfId="0" applyNumberFormat="1" applyFont="1" applyFill="1" applyBorder="1" applyAlignment="1">
      <alignment wrapText="1"/>
    </xf>
    <xf numFmtId="0" fontId="14" fillId="46" borderId="0" xfId="0" applyNumberFormat="1" applyFont="1" applyFill="1" applyBorder="1" applyAlignment="1">
      <alignment horizontal="left" wrapText="1"/>
    </xf>
    <xf numFmtId="0" fontId="0" fillId="47" borderId="0" xfId="0" applyNumberFormat="1" applyFont="1" applyFill="1" applyBorder="1" applyAlignment="1">
      <alignment vertical="center" wrapText="0"/>
    </xf>
    <xf numFmtId="0" fontId="0" fillId="47" borderId="0" xfId="0" applyNumberFormat="1" applyFont="1" applyFill="1" applyBorder="1"/>
    <xf numFmtId="0" fontId="16" fillId="47" borderId="0" xfId="0" applyNumberFormat="1" applyFont="1" applyFill="1" applyBorder="1" applyAlignment="1">
      <alignment vertical="center" wrapText="0"/>
    </xf>
    <xf numFmtId="0" fontId="16" fillId="47" borderId="0" xfId="0" applyNumberFormat="1" applyFont="1" applyFill="1" applyBorder="1"/>
    <xf numFmtId="0" fontId="16" fillId="47" borderId="0" xfId="0" applyNumberFormat="1" applyFont="1" applyFill="1" applyBorder="1" applyAlignment="1">
      <alignment vertical="center" wrapText="1"/>
    </xf>
    <xf numFmtId="0" fontId="16" fillId="47" borderId="0" xfId="0" applyNumberFormat="1" applyFont="1" applyFill="1" applyBorder="1" applyAlignment="1">
      <alignment wrapText="1"/>
    </xf>
    <xf numFmtId="0" fontId="16" fillId="47" borderId="0" xfId="0" applyNumberFormat="1" applyFont="1" applyFill="1" applyBorder="1" applyAlignment="1">
      <alignment horizontal="left" wrapText="1"/>
    </xf>
    <xf numFmtId="0" fontId="14" fillId="57" borderId="22" xfId="0" applyNumberFormat="1" applyFont="1" applyFill="1" applyBorder="1" applyAlignment="1">
      <alignment horizontal="left" vertical="center" wrapText="1"/>
    </xf>
    <xf numFmtId="0" fontId="16" fillId="57" borderId="22" xfId="0" applyNumberFormat="1" applyFont="1" applyFill="1" applyBorder="1" applyAlignment="1">
      <alignment horizontal="left" vertical="center" wrapText="1"/>
    </xf>
    <xf numFmtId="0" fontId="19" fillId="57" borderId="22" xfId="0" applyNumberFormat="1" applyFont="1" applyFill="1" applyBorder="1" applyAlignment="1">
      <alignment horizontal="left" vertical="center" wrapText="1"/>
    </xf>
    <xf numFmtId="0" fontId="19" fillId="57" borderId="25" xfId="0" applyNumberFormat="1" applyFont="1" applyFill="1" applyBorder="1" applyAlignment="1">
      <alignment horizontal="left" vertical="center" wrapText="1"/>
    </xf>
    <xf numFmtId="0" fontId="19" fillId="57" borderId="26" xfId="0" applyNumberFormat="1" applyFont="1" applyFill="1" applyBorder="1" applyAlignment="1">
      <alignment horizontal="left" vertical="center" wrapText="1"/>
    </xf>
    <xf numFmtId="0" fontId="19" fillId="57" borderId="25" xfId="0" applyNumberFormat="1" applyFont="1" applyFill="1" applyBorder="1" applyAlignment="1">
      <alignment horizontal="center" vertical="center" wrapText="1"/>
    </xf>
    <xf numFmtId="0" fontId="19" fillId="57" borderId="26" xfId="0" applyNumberFormat="1" applyFont="1" applyFill="1" applyBorder="1" applyAlignment="1">
      <alignment horizontal="center" vertical="center" wrapText="1"/>
    </xf>
    <xf numFmtId="0" fontId="14" fillId="57" borderId="0" xfId="0" applyNumberFormat="1" applyFont="1" applyFill="1" applyBorder="1" applyAlignment="1">
      <alignment horizontal="left" vertical="center" wrapText="1"/>
    </xf>
    <xf numFmtId="0" fontId="16" fillId="57" borderId="0" xfId="0" applyNumberFormat="1" applyFont="1" applyFill="1" applyBorder="1" applyAlignment="1">
      <alignment horizontal="left" vertical="center" wrapText="1"/>
    </xf>
    <xf numFmtId="0" fontId="19" fillId="57" borderId="0" xfId="0" applyNumberFormat="1" applyFont="1" applyFill="1" applyBorder="1" applyAlignment="1">
      <alignment horizontal="left" vertical="center" wrapText="1"/>
    </xf>
    <xf numFmtId="0" fontId="19" fillId="57" borderId="27" xfId="0" applyNumberFormat="1" applyFont="1" applyFill="1" applyBorder="1" applyAlignment="1">
      <alignment horizontal="left" vertical="center" wrapText="1"/>
    </xf>
    <xf numFmtId="0" fontId="19" fillId="57" borderId="28" xfId="0" applyNumberFormat="1" applyFont="1" applyFill="1" applyBorder="1" applyAlignment="1">
      <alignment horizontal="left" vertical="center" wrapText="1"/>
    </xf>
    <xf numFmtId="0" fontId="19" fillId="57" borderId="27" xfId="0" applyNumberFormat="1" applyFont="1" applyFill="1" applyBorder="1" applyAlignment="1">
      <alignment horizontal="center" vertical="center" wrapText="1"/>
    </xf>
    <xf numFmtId="0" fontId="19" fillId="57" borderId="28" xfId="0" applyNumberFormat="1" applyFont="1" applyFill="1" applyBorder="1" applyAlignment="1">
      <alignment horizontal="center" vertical="center" wrapText="1"/>
    </xf>
    <xf numFmtId="0" fontId="14" fillId="58" borderId="23" xfId="0" applyNumberFormat="1" applyFont="1" applyFill="1" applyBorder="1" applyAlignment="1">
      <alignment horizontal="left" vertical="center" wrapText="1"/>
    </xf>
    <xf numFmtId="0" fontId="14" fillId="58" borderId="24" xfId="0" applyNumberFormat="1" applyFont="1" applyFill="1" applyBorder="1" applyAlignment="1">
      <alignment horizontal="left" vertical="center" wrapText="1"/>
    </xf>
    <xf numFmtId="0" fontId="0" fillId="58" borderId="0" xfId="0" applyNumberFormat="1" applyFont="1" applyFill="1" applyBorder="1"/>
    <xf numFmtId="0" fontId="14" fillId="58" borderId="0" xfId="0" applyNumberFormat="1" applyFont="1" applyFill="1" applyBorder="1"/>
    <xf numFmtId="0" fontId="14" fillId="58" borderId="29" xfId="0" applyNumberFormat="1" applyFont="1" applyFill="1" applyBorder="1" applyAlignment="1">
      <alignment horizontal="left" vertical="center" wrapText="1"/>
    </xf>
    <xf numFmtId="0" fontId="14" fillId="58" borderId="30" xfId="0" applyNumberFormat="1" applyFont="1" applyFill="1" applyBorder="1" applyAlignment="1">
      <alignment horizontal="left" vertical="center" wrapText="1"/>
    </xf>
    <xf numFmtId="0" fontId="14" fillId="58" borderId="31" xfId="0" applyNumberFormat="1" applyFont="1" applyFill="1" applyBorder="1" applyAlignment="1">
      <alignment horizontal="left" vertical="center" wrapText="1"/>
    </xf>
    <xf numFmtId="0" fontId="14" fillId="58" borderId="32" xfId="0" applyNumberFormat="1" applyFont="1" applyFill="1" applyBorder="1"/>
    <xf numFmtId="0" fontId="14" fillId="58" borderId="32" xfId="0" applyNumberFormat="1" applyFont="1" applyFill="1" applyBorder="1" applyAlignment="1">
      <alignment wrapText="1"/>
    </xf>
    <xf numFmtId="0" fontId="14" fillId="58" borderId="32" xfId="0" applyNumberFormat="1" applyFont="1" applyFill="1" applyBorder="1" applyAlignment="1">
      <alignment horizontal="left" wrapText="1"/>
    </xf>
    <xf numFmtId="0" fontId="14" fillId="58" borderId="32" xfId="0" applyNumberFormat="1" applyFont="1" applyFill="1" applyBorder="1" applyAlignment="1">
      <alignment horizontal="left" vertical="center" wrapText="1"/>
    </xf>
    <xf numFmtId="0" fontId="14" fillId="58" borderId="0" xfId="0" applyNumberFormat="1" applyFont="1" applyFill="1" applyBorder="1" applyAlignment="1">
      <alignment horizontal="left" vertical="center" wrapText="1"/>
    </xf>
    <xf numFmtId="0" fontId="16" fillId="59" borderId="23" xfId="0" applyNumberFormat="1" applyFont="1" applyFill="1" applyBorder="1" applyAlignment="1">
      <alignment horizontal="left" vertical="center" wrapText="1"/>
    </xf>
    <xf numFmtId="0" fontId="16" fillId="59" borderId="24" xfId="0" applyNumberFormat="1" applyFont="1" applyFill="1" applyBorder="1" applyAlignment="1">
      <alignment horizontal="left" vertical="center" wrapText="1"/>
    </xf>
    <xf numFmtId="0" fontId="0" fillId="59" borderId="0" xfId="0" applyNumberFormat="1" applyFont="1" applyFill="1" applyBorder="1"/>
    <xf numFmtId="0" fontId="16" fillId="59" borderId="0" xfId="0" applyNumberFormat="1" applyFont="1" applyFill="1" applyBorder="1"/>
    <xf numFmtId="0" fontId="16" fillId="59" borderId="29" xfId="0" applyNumberFormat="1" applyFont="1" applyFill="1" applyBorder="1" applyAlignment="1">
      <alignment horizontal="left" vertical="center" wrapText="1"/>
    </xf>
    <xf numFmtId="0" fontId="16" fillId="59" borderId="30" xfId="0" applyNumberFormat="1" applyFont="1" applyFill="1" applyBorder="1" applyAlignment="1">
      <alignment horizontal="left" vertical="center" wrapText="1"/>
    </xf>
    <xf numFmtId="0" fontId="16" fillId="59" borderId="31" xfId="0" applyNumberFormat="1" applyFont="1" applyFill="1" applyBorder="1" applyAlignment="1">
      <alignment horizontal="left" vertical="center" wrapText="1"/>
    </xf>
    <xf numFmtId="0" fontId="16" fillId="59" borderId="32" xfId="0" applyNumberFormat="1" applyFont="1" applyFill="1" applyBorder="1"/>
    <xf numFmtId="0" fontId="16" fillId="59" borderId="32" xfId="0" applyNumberFormat="1" applyFont="1" applyFill="1" applyBorder="1" applyAlignment="1">
      <alignment wrapText="1"/>
    </xf>
    <xf numFmtId="0" fontId="16" fillId="59" borderId="32" xfId="0" applyNumberFormat="1" applyFont="1" applyFill="1" applyBorder="1" applyAlignment="1">
      <alignment horizontal="left" wrapText="1"/>
    </xf>
    <xf numFmtId="0" fontId="16" fillId="59" borderId="32" xfId="0" applyNumberFormat="1" applyFont="1" applyFill="1" applyBorder="1" applyAlignment="1">
      <alignment horizontal="left" vertical="center" wrapText="1"/>
    </xf>
    <xf numFmtId="0" fontId="14" fillId="18" borderId="0" xfId="0" applyNumberFormat="1" applyFont="1" applyFill="1" applyBorder="1" applyAlignment="1">
      <alignment horizontal="left" vertical="center" wrapText="1"/>
    </xf>
    <xf numFmtId="0" fontId="16" fillId="18" borderId="0" xfId="0" applyNumberFormat="1" applyFont="1" applyFill="1" applyBorder="1" applyAlignment="1">
      <alignment horizontal="left" vertical="center" wrapText="1"/>
    </xf>
    <xf numFmtId="0" fontId="19" fillId="18" borderId="25" xfId="0" applyNumberFormat="1" applyFont="1" applyFill="1" applyBorder="1" applyAlignment="1">
      <alignment horizontal="center" vertical="center" wrapText="1"/>
    </xf>
    <xf numFmtId="0" fontId="19" fillId="18" borderId="26" xfId="0" applyNumberFormat="1" applyFont="1" applyFill="1" applyBorder="1" applyAlignment="1">
      <alignment horizontal="center" vertical="center" wrapText="1"/>
    </xf>
    <xf numFmtId="0" fontId="14" fillId="46" borderId="29" xfId="0" applyNumberFormat="1" applyFont="1" applyFill="1" applyBorder="1" applyAlignment="1">
      <alignment horizontal="left" vertical="center" wrapText="1"/>
    </xf>
    <xf numFmtId="0" fontId="16" fillId="47" borderId="29" xfId="0" applyNumberFormat="1" applyFont="1" applyFill="1" applyBorder="1" applyAlignment="1">
      <alignment horizontal="left" vertical="center" wrapText="1"/>
    </xf>
    <xf numFmtId="0" fontId="19" fillId="18" borderId="25" xfId="0" applyNumberFormat="1" applyFont="1" applyFill="1" applyBorder="1" applyAlignment="1">
      <alignment horizontal="left" vertical="center" wrapText="1"/>
    </xf>
    <xf numFmtId="201" fontId="14" fillId="20" borderId="0" xfId="0" applyNumberFormat="1" applyFont="1" applyFill="1" applyBorder="1" applyAlignment="1">
      <alignment horizontal="left" vertical="center" wrapText="1"/>
    </xf>
    <xf numFmtId="203" fontId="14" fillId="20" borderId="0" xfId="0" applyNumberFormat="1" applyFont="1" applyFill="1" applyBorder="1" applyAlignment="1">
      <alignment horizontal="left" vertical="center" wrapText="1"/>
    </xf>
    <xf numFmtId="0" fontId="19" fillId="18" borderId="26" xfId="0" applyNumberFormat="1" applyFont="1" applyFill="1" applyBorder="1" applyAlignment="1">
      <alignment horizontal="left" vertical="center" wrapText="1"/>
    </xf>
    <xf numFmtId="0" fontId="19" fillId="60" borderId="0" xfId="0" applyNumberFormat="1" applyFont="1" applyFill="1" applyBorder="1" applyAlignment="1">
      <alignment horizontal="left" vertical="center" wrapText="1"/>
    </xf>
    <xf numFmtId="0" fontId="19" fillId="60" borderId="33" xfId="0" applyNumberFormat="1" applyFont="1" applyFill="1" applyBorder="1" applyAlignment="1">
      <alignment horizontal="left" vertical="center" wrapText="1"/>
    </xf>
    <xf numFmtId="0" fontId="19" fillId="60" borderId="34" xfId="0" applyNumberFormat="1" applyFont="1" applyFill="1" applyBorder="1" applyAlignment="1">
      <alignment horizontal="left" vertical="center" wrapText="1"/>
    </xf>
    <xf numFmtId="0" fontId="19" fillId="60" borderId="33" xfId="0" applyNumberFormat="1" applyFont="1" applyFill="1" applyBorder="1" applyAlignment="1">
      <alignment horizontal="center" vertical="center" wrapText="1"/>
    </xf>
    <xf numFmtId="0" fontId="19" fillId="60" borderId="34" xfId="0" applyNumberFormat="1" applyFont="1" applyFill="1" applyBorder="1" applyAlignment="1">
      <alignment horizontal="center" vertical="center" wrapText="1"/>
    </xf>
    <xf numFmtId="0" fontId="14" fillId="60" borderId="0" xfId="0" applyNumberFormat="1" applyFont="1" applyFill="1" applyBorder="1" applyAlignment="1">
      <alignment horizontal="left" vertical="center" wrapText="1"/>
    </xf>
    <xf numFmtId="0" fontId="16" fillId="60" borderId="0" xfId="0" applyNumberFormat="1" applyFont="1" applyFill="1" applyBorder="1" applyAlignment="1">
      <alignment horizontal="left" vertical="center" wrapText="1"/>
    </xf>
    <xf numFmtId="0" fontId="14" fillId="61" borderId="0" xfId="0" applyNumberFormat="1" applyFont="1" applyFill="1" applyBorder="1" applyAlignment="1">
      <alignment horizontal="left" vertical="center" wrapText="1"/>
    </xf>
    <xf numFmtId="0" fontId="14" fillId="61" borderId="35" xfId="0" applyNumberFormat="1" applyFont="1" applyFill="1" applyBorder="1" applyAlignment="1">
      <alignment horizontal="left" vertical="center" wrapText="1"/>
    </xf>
    <xf numFmtId="0" fontId="14" fillId="61" borderId="36" xfId="0" applyNumberFormat="1" applyFont="1" applyFill="1" applyBorder="1" applyAlignment="1">
      <alignment horizontal="left" vertical="center" wrapText="1"/>
    </xf>
    <xf numFmtId="0" fontId="14" fillId="61" borderId="37" xfId="0" applyNumberFormat="1" applyFont="1" applyFill="1" applyBorder="1" applyAlignment="1">
      <alignment horizontal="left" vertical="center" wrapText="1"/>
    </xf>
    <xf numFmtId="201" fontId="14" fillId="62" borderId="0" xfId="0" applyNumberFormat="1" applyFont="1" applyFill="1" applyBorder="1" applyAlignment="1">
      <alignment horizontal="left" vertical="center" wrapText="1"/>
    </xf>
    <xf numFmtId="203" fontId="14" fillId="62" borderId="0" xfId="0" applyNumberFormat="1" applyFont="1" applyFill="1" applyBorder="1" applyAlignment="1">
      <alignment horizontal="left" vertical="center" wrapText="1"/>
    </xf>
    <xf numFmtId="201" fontId="14" fillId="62" borderId="35" xfId="0" applyNumberFormat="1" applyFont="1" applyFill="1" applyBorder="1" applyAlignment="1">
      <alignment horizontal="left" vertical="center" wrapText="1"/>
    </xf>
    <xf numFmtId="201" fontId="14" fillId="62" borderId="36" xfId="0" applyNumberFormat="1" applyFont="1" applyFill="1" applyBorder="1" applyAlignment="1">
      <alignment horizontal="left" vertical="center" wrapText="1"/>
    </xf>
    <xf numFmtId="203" fontId="14" fillId="62" borderId="37" xfId="0" applyNumberFormat="1" applyFont="1" applyFill="1" applyBorder="1" applyAlignment="1">
      <alignment horizontal="left" vertical="center" wrapText="1"/>
    </xf>
    <xf numFmtId="201" fontId="14" fillId="62" borderId="35" xfId="0" applyNumberFormat="1" applyFont="1" applyFill="1" applyBorder="1" applyAlignment="1">
      <alignment horizontal="center" vertical="center" wrapText="1"/>
    </xf>
    <xf numFmtId="201" fontId="14" fillId="62" borderId="36" xfId="0" applyNumberFormat="1" applyFont="1" applyFill="1" applyBorder="1" applyAlignment="1">
      <alignment horizontal="center" vertical="center" wrapText="1"/>
    </xf>
    <xf numFmtId="203" fontId="14" fillId="62" borderId="37" xfId="0" applyNumberFormat="1" applyFont="1" applyFill="1" applyBorder="1" applyAlignment="1">
      <alignment horizontal="center" vertical="center" wrapText="1"/>
    </xf>
    <xf numFmtId="0" fontId="19" fillId="61" borderId="0" xfId="0" applyNumberFormat="1" applyFont="1" applyFill="1" applyBorder="1" applyAlignment="1">
      <alignment horizontal="left" vertical="center" wrapText="1"/>
    </xf>
    <xf numFmtId="0" fontId="16" fillId="63" borderId="0" xfId="0" applyNumberFormat="1" applyFont="1" applyFill="1" applyBorder="1" applyAlignment="1">
      <alignment horizontal="left" vertical="center" wrapText="1"/>
    </xf>
    <xf numFmtId="0" fontId="19" fillId="63" borderId="0" xfId="0" applyNumberFormat="1" applyFont="1" applyFill="1" applyBorder="1" applyAlignment="1">
      <alignment horizontal="left" vertical="center" wrapText="1"/>
    </xf>
    <xf numFmtId="0" fontId="14" fillId="63" borderId="0" xfId="0" applyNumberFormat="1" applyFont="1" applyFill="1" applyBorder="1" applyAlignment="1">
      <alignment horizontal="left" vertical="center" wrapText="1"/>
    </xf>
    <xf numFmtId="0" fontId="16" fillId="63" borderId="38" xfId="0" applyNumberFormat="1" applyFont="1" applyFill="1" applyBorder="1" applyAlignment="1">
      <alignment horizontal="left" vertical="center" wrapText="1"/>
    </xf>
    <xf numFmtId="0" fontId="16" fillId="63" borderId="39" xfId="0" applyNumberFormat="1" applyFont="1" applyFill="1" applyBorder="1" applyAlignment="1">
      <alignment horizontal="left" vertical="center" wrapText="1"/>
    </xf>
    <xf numFmtId="0" fontId="14" fillId="63" borderId="39" xfId="0" applyNumberFormat="1" applyFont="1" applyFill="1" applyBorder="1" applyAlignment="1">
      <alignment horizontal="left" vertical="center" wrapText="1"/>
    </xf>
    <xf numFmtId="0" fontId="16" fillId="63" borderId="40" xfId="0" applyNumberFormat="1" applyFont="1" applyFill="1" applyBorder="1" applyAlignment="1">
      <alignment horizontal="left" vertical="center" wrapText="1"/>
    </xf>
    <xf numFmtId="0" fontId="19" fillId="61" borderId="25" xfId="0" applyNumberFormat="1" applyFont="1" applyFill="1" applyBorder="1" applyAlignment="1">
      <alignment horizontal="left" vertical="center" wrapText="1"/>
    </xf>
    <xf numFmtId="0" fontId="14" fillId="61" borderId="29" xfId="0" applyNumberFormat="1" applyFont="1" applyFill="1" applyBorder="1" applyAlignment="1">
      <alignment horizontal="left" vertical="center" wrapText="1"/>
    </xf>
    <xf numFmtId="0" fontId="14" fillId="61" borderId="25" xfId="0" applyNumberFormat="1" applyFont="1" applyFill="1" applyBorder="1" applyAlignment="1">
      <alignment horizontal="left" vertical="center" wrapText="1"/>
    </xf>
    <xf numFmtId="0" fontId="14" fillId="61" borderId="41" xfId="0" applyNumberFormat="1" applyFont="1" applyFill="1" applyBorder="1" applyAlignment="1">
      <alignment horizontal="left" vertical="center" wrapText="1"/>
    </xf>
    <xf numFmtId="0" fontId="14" fillId="61" borderId="42" xfId="0" applyNumberFormat="1" applyFont="1" applyFill="1" applyBorder="1" applyAlignment="1">
      <alignment horizontal="left" vertical="center" wrapText="1"/>
    </xf>
    <xf numFmtId="0" fontId="19" fillId="63" borderId="26" xfId="0" applyNumberFormat="1" applyFont="1" applyFill="1" applyBorder="1" applyAlignment="1">
      <alignment horizontal="left" vertical="center" wrapText="1"/>
    </xf>
    <xf numFmtId="0" fontId="16" fillId="63" borderId="29" xfId="0" applyNumberFormat="1" applyFont="1" applyFill="1" applyBorder="1" applyAlignment="1">
      <alignment horizontal="left" vertical="center" wrapText="1"/>
    </xf>
    <xf numFmtId="0" fontId="14" fillId="63" borderId="26" xfId="0" applyNumberFormat="1" applyFont="1" applyFill="1" applyBorder="1" applyAlignment="1">
      <alignment horizontal="left" vertical="center" wrapText="1"/>
    </xf>
    <xf numFmtId="0" fontId="14" fillId="63" borderId="43" xfId="0" applyNumberFormat="1" applyFont="1" applyFill="1" applyBorder="1" applyAlignment="1">
      <alignment horizontal="left" vertical="center" wrapText="1"/>
    </xf>
    <xf numFmtId="0" fontId="16" fillId="63" borderId="44" xfId="0" applyNumberFormat="1" applyFont="1" applyFill="1" applyBorder="1" applyAlignment="1">
      <alignment horizontal="left" vertical="center" wrapText="1"/>
    </xf>
    <xf numFmtId="0" fontId="19" fillId="46" borderId="0" xfId="0" applyNumberFormat="1" applyFont="1" applyFill="1" applyBorder="1" applyAlignment="1">
      <alignment horizontal="left" vertical="center" wrapText="1"/>
    </xf>
    <xf numFmtId="0" fontId="19" fillId="47" borderId="0" xfId="0" applyNumberFormat="1" applyFont="1" applyFill="1" applyBorder="1" applyAlignment="1">
      <alignment horizontal="left" vertical="center" wrapText="1"/>
    </xf>
    <xf numFmtId="0" fontId="14" fillId="47" borderId="0" xfId="0" applyNumberFormat="1" applyFont="1" applyFill="1" applyBorder="1" applyAlignment="1">
      <alignment horizontal="left" vertical="center" wrapText="1"/>
    </xf>
    <xf numFmtId="0" fontId="19" fillId="18" borderId="33" xfId="0" applyNumberFormat="1" applyFont="1" applyFill="1" applyBorder="1" applyAlignment="1">
      <alignment horizontal="center" vertical="center" wrapText="1"/>
    </xf>
    <xf numFmtId="0" fontId="19" fillId="18" borderId="34" xfId="0" applyNumberFormat="1" applyFont="1" applyFill="1" applyBorder="1" applyAlignment="1">
      <alignment horizontal="center" vertical="center" wrapText="1"/>
    </xf>
    <xf numFmtId="0" fontId="14" fillId="46" borderId="35" xfId="0" applyNumberFormat="1" applyFont="1" applyFill="1" applyBorder="1" applyAlignment="1">
      <alignment horizontal="left" vertical="center" wrapText="1"/>
    </xf>
    <xf numFmtId="201" fontId="14" fillId="20" borderId="35" xfId="0" applyNumberFormat="1" applyFont="1" applyFill="1" applyBorder="1" applyAlignment="1">
      <alignment horizontal="center" vertical="center" wrapText="1"/>
    </xf>
    <xf numFmtId="0" fontId="14" fillId="46" borderId="36" xfId="0" applyNumberFormat="1" applyFont="1" applyFill="1" applyBorder="1" applyAlignment="1">
      <alignment horizontal="left" vertical="center" wrapText="1"/>
    </xf>
    <xf numFmtId="201" fontId="14" fillId="20" borderId="36" xfId="0" applyNumberFormat="1" applyFont="1" applyFill="1" applyBorder="1" applyAlignment="1">
      <alignment horizontal="center" vertical="center" wrapText="1"/>
    </xf>
    <xf numFmtId="0" fontId="14" fillId="46" borderId="37" xfId="0" applyNumberFormat="1" applyFont="1" applyFill="1" applyBorder="1" applyAlignment="1">
      <alignment horizontal="left" vertical="center" wrapText="1"/>
    </xf>
    <xf numFmtId="203" fontId="14" fillId="20" borderId="37" xfId="0" applyNumberFormat="1" applyFont="1" applyFill="1" applyBorder="1" applyAlignment="1">
      <alignment horizontal="center" vertical="center" wrapText="1"/>
    </xf>
    <xf numFmtId="0" fontId="16" fillId="47" borderId="35" xfId="0" applyNumberFormat="1" applyFont="1" applyFill="1" applyBorder="1" applyAlignment="1">
      <alignment horizontal="left" vertical="center" wrapText="1"/>
    </xf>
    <xf numFmtId="0" fontId="16" fillId="47" borderId="36" xfId="0" applyNumberFormat="1" applyFont="1" applyFill="1" applyBorder="1" applyAlignment="1">
      <alignment horizontal="left" vertical="center" wrapText="1"/>
    </xf>
    <xf numFmtId="0" fontId="14" fillId="47" borderId="36" xfId="0" applyNumberFormat="1" applyFont="1" applyFill="1" applyBorder="1" applyAlignment="1">
      <alignment horizontal="left" vertical="center" wrapText="1"/>
    </xf>
    <xf numFmtId="0" fontId="16" fillId="47" borderId="37" xfId="0" applyNumberFormat="1" applyFont="1" applyFill="1" applyBorder="1" applyAlignment="1">
      <alignment horizontal="left" vertical="center" wrapText="1"/>
    </xf>
    <xf numFmtId="0" fontId="19" fillId="18" borderId="33" xfId="0" applyNumberFormat="1" applyFont="1" applyFill="1" applyBorder="1" applyAlignment="1">
      <alignment horizontal="left" vertical="center" wrapText="1"/>
    </xf>
    <xf numFmtId="0" fontId="19" fillId="18" borderId="34" xfId="0" applyNumberFormat="1" applyFont="1" applyFill="1" applyBorder="1" applyAlignment="1">
      <alignment horizontal="left" vertical="center" wrapText="1"/>
    </xf>
    <xf numFmtId="201" fontId="14" fillId="20" borderId="35" xfId="0" applyNumberFormat="1" applyFont="1" applyFill="1" applyBorder="1" applyAlignment="1">
      <alignment horizontal="left" vertical="center" wrapText="1"/>
    </xf>
    <xf numFmtId="201" fontId="14" fillId="20" borderId="36" xfId="0" applyNumberFormat="1" applyFont="1" applyFill="1" applyBorder="1" applyAlignment="1">
      <alignment horizontal="left" vertical="center" wrapText="1"/>
    </xf>
    <xf numFmtId="203" fontId="14" fillId="20" borderId="37" xfId="0" applyNumberFormat="1" applyFont="1" applyFill="1" applyBorder="1" applyAlignment="1">
      <alignment horizontal="left" vertical="center" wrapText="1"/>
    </xf>
    <xf numFmtId="0" fontId="19" fillId="64" borderId="33" xfId="0" applyNumberFormat="1" applyFont="1" applyFill="1" applyBorder="1" applyAlignment="1">
      <alignment horizontal="left" vertical="center" wrapText="1"/>
    </xf>
    <xf numFmtId="0" fontId="19" fillId="64" borderId="45" xfId="0" applyNumberFormat="1" applyFont="1" applyFill="1" applyBorder="1" applyAlignment="1">
      <alignment horizontal="left" vertical="center" wrapText="1"/>
    </xf>
    <xf numFmtId="0" fontId="19" fillId="64" borderId="45" xfId="0" applyNumberFormat="1" applyFont="1" applyFill="1" applyBorder="1" applyAlignment="1">
      <alignment horizontal="center" vertical="center" wrapText="1"/>
    </xf>
    <xf numFmtId="0" fontId="19" fillId="64" borderId="0" xfId="0" applyNumberFormat="1" applyFont="1" applyFill="1" applyBorder="1" applyAlignment="1">
      <alignment horizontal="left" vertical="center" wrapText="1"/>
    </xf>
    <xf numFmtId="0" fontId="19" fillId="65" borderId="34" xfId="0" applyNumberFormat="1" applyFont="1" applyFill="1" applyBorder="1" applyAlignment="1">
      <alignment horizontal="left" vertical="center" wrapText="1"/>
    </xf>
    <xf numFmtId="0" fontId="14" fillId="65" borderId="34" xfId="0" applyNumberFormat="1" applyFont="1" applyFill="1" applyBorder="1" applyAlignment="1">
      <alignment horizontal="left" vertical="center" wrapText="1"/>
    </xf>
    <xf numFmtId="0" fontId="14" fillId="65" borderId="46" xfId="0" applyNumberFormat="1" applyFont="1" applyFill="1" applyBorder="1" applyAlignment="1">
      <alignment horizontal="left" vertical="center" wrapText="1"/>
    </xf>
    <xf numFmtId="0" fontId="19" fillId="65" borderId="0" xfId="0" applyNumberFormat="1" applyFont="1" applyFill="1" applyBorder="1" applyAlignment="1">
      <alignment horizontal="left" vertical="center" wrapText="1"/>
    </xf>
    <xf numFmtId="0" fontId="14" fillId="65" borderId="0" xfId="0" applyNumberFormat="1" applyFont="1" applyFill="1" applyBorder="1" applyAlignment="1">
      <alignment horizontal="left" vertical="center" wrapText="1"/>
    </xf>
    <xf numFmtId="0" fontId="14" fillId="65" borderId="35" xfId="0" applyNumberFormat="1" applyFont="1" applyFill="1" applyBorder="1" applyAlignment="1">
      <alignment horizontal="left" vertical="center" wrapText="1"/>
    </xf>
    <xf numFmtId="0" fontId="14" fillId="65" borderId="36" xfId="0" applyNumberFormat="1" applyFont="1" applyFill="1" applyBorder="1" applyAlignment="1">
      <alignment horizontal="left" vertical="center" wrapText="1"/>
    </xf>
    <xf numFmtId="0" fontId="14" fillId="65" borderId="37" xfId="0" applyNumberFormat="1" applyFont="1" applyFill="1" applyBorder="1" applyAlignment="1">
      <alignment horizontal="left" vertical="center" wrapText="1"/>
    </xf>
    <xf numFmtId="0" fontId="19" fillId="65" borderId="33" xfId="0" applyNumberFormat="1" applyFont="1" applyFill="1" applyBorder="1" applyAlignment="1">
      <alignment horizontal="left" vertical="center" wrapText="1"/>
    </xf>
    <xf numFmtId="0" fontId="14" fillId="65" borderId="33" xfId="0" applyNumberFormat="1" applyFont="1" applyFill="1" applyBorder="1" applyAlignment="1">
      <alignment horizontal="left" vertical="center" wrapText="1"/>
    </xf>
    <xf numFmtId="0" fontId="14" fillId="65" borderId="47" xfId="0" applyNumberFormat="1" applyFont="1" applyFill="1" applyBorder="1" applyAlignment="1">
      <alignment horizontal="left" vertical="center" wrapText="1"/>
    </xf>
    <xf numFmtId="0" fontId="14" fillId="65" borderId="48" xfId="0" applyNumberFormat="1" applyFont="1" applyFill="1" applyBorder="1" applyAlignment="1">
      <alignment horizontal="left" vertical="center" wrapText="1"/>
    </xf>
    <xf numFmtId="0" fontId="14" fillId="65" borderId="49" xfId="0" applyNumberFormat="1" applyFont="1" applyFill="1" applyBorder="1" applyAlignment="1">
      <alignment horizontal="left" vertical="center" wrapText="1"/>
    </xf>
    <xf numFmtId="0" fontId="14" fillId="65" borderId="50" xfId="0" applyNumberFormat="1" applyFont="1" applyFill="1" applyBorder="1" applyAlignment="1">
      <alignment horizontal="left" vertical="center" wrapText="1"/>
    </xf>
    <xf numFmtId="0" fontId="14" fillId="65" borderId="51" xfId="0" applyNumberFormat="1" applyFont="1" applyFill="1" applyBorder="1" applyAlignment="1">
      <alignment horizontal="left" vertical="center" wrapText="1"/>
    </xf>
    <xf numFmtId="0" fontId="14" fillId="65" borderId="52" xfId="0" applyNumberFormat="1" applyFont="1" applyFill="1" applyBorder="1" applyAlignment="1">
      <alignment horizontal="left" vertical="center" wrapText="1"/>
    </xf>
    <xf numFmtId="0" fontId="19" fillId="66" borderId="34" xfId="0" applyNumberFormat="1" applyFont="1" applyFill="1" applyBorder="1" applyAlignment="1">
      <alignment horizontal="left" vertical="center" wrapText="1"/>
    </xf>
    <xf numFmtId="0" fontId="16" fillId="66" borderId="35" xfId="0" applyNumberFormat="1" applyFont="1" applyFill="1" applyBorder="1" applyAlignment="1">
      <alignment horizontal="left" vertical="center" wrapText="1"/>
    </xf>
    <xf numFmtId="0" fontId="16" fillId="66" borderId="36" xfId="0" applyNumberFormat="1" applyFont="1" applyFill="1" applyBorder="1" applyAlignment="1">
      <alignment horizontal="left" vertical="center" wrapText="1"/>
    </xf>
    <xf numFmtId="0" fontId="14" fillId="66" borderId="36" xfId="0" applyNumberFormat="1" applyFont="1" applyFill="1" applyBorder="1" applyAlignment="1">
      <alignment horizontal="left" vertical="center" wrapText="1"/>
    </xf>
    <xf numFmtId="0" fontId="20" fillId="66" borderId="34" xfId="0" applyNumberFormat="1" applyFont="1" applyFill="1" applyBorder="1" applyAlignment="1">
      <alignment horizontal="left" vertical="center" wrapText="1"/>
    </xf>
    <xf numFmtId="0" fontId="20" fillId="66" borderId="35" xfId="0" applyNumberFormat="1" applyFont="1" applyFill="1" applyBorder="1" applyAlignment="1">
      <alignment horizontal="left" vertical="center" wrapText="1"/>
    </xf>
    <xf numFmtId="0" fontId="20" fillId="66" borderId="36" xfId="0" applyNumberFormat="1" applyFont="1" applyFill="1" applyBorder="1" applyAlignment="1">
      <alignment horizontal="left" vertical="center" wrapText="1"/>
    </xf>
    <xf numFmtId="0" fontId="20" fillId="66" borderId="53" xfId="0" applyNumberFormat="1" applyFont="1" applyFill="1" applyBorder="1" applyAlignment="1">
      <alignment horizontal="left" vertical="center" wrapText="1"/>
    </xf>
    <xf numFmtId="0" fontId="20" fillId="66" borderId="51" xfId="0" applyNumberFormat="1" applyFont="1" applyFill="1" applyBorder="1" applyAlignment="1">
      <alignment horizontal="left" vertical="center" wrapText="1"/>
    </xf>
    <xf numFmtId="0" fontId="20" fillId="66" borderId="48" xfId="0" applyNumberFormat="1" applyFont="1" applyFill="1" applyBorder="1" applyAlignment="1">
      <alignment horizontal="left" vertical="center" wrapText="1"/>
    </xf>
    <xf numFmtId="0" fontId="20" fillId="66" borderId="52" xfId="0" applyNumberFormat="1" applyFont="1" applyFill="1" applyBorder="1" applyAlignment="1">
      <alignment horizontal="left" vertical="center" wrapText="1"/>
    </xf>
    <xf numFmtId="0" fontId="19" fillId="66" borderId="0" xfId="0" applyNumberFormat="1" applyFont="1" applyFill="1" applyBorder="1" applyAlignment="1">
      <alignment horizontal="left" vertical="center" wrapText="1"/>
    </xf>
    <xf numFmtId="0" fontId="16" fillId="66" borderId="0" xfId="0" applyNumberFormat="1" applyFont="1" applyFill="1" applyBorder="1" applyAlignment="1">
      <alignment horizontal="left" vertical="center" wrapText="1"/>
    </xf>
    <xf numFmtId="0" fontId="14" fillId="66" borderId="0" xfId="0" applyNumberFormat="1" applyFont="1" applyFill="1" applyBorder="1" applyAlignment="1">
      <alignment horizontal="left" vertical="center" wrapText="1"/>
    </xf>
    <xf numFmtId="0" fontId="20" fillId="66" borderId="0" xfId="0" applyNumberFormat="1" applyFont="1" applyFill="1" applyBorder="1" applyAlignment="1">
      <alignment horizontal="left" vertical="center" wrapText="1"/>
    </xf>
    <xf numFmtId="0" fontId="20" fillId="66" borderId="47" xfId="0" applyNumberFormat="1" applyFont="1" applyFill="1" applyBorder="1" applyAlignment="1">
      <alignment horizontal="left" vertical="center" wrapText="1"/>
    </xf>
    <xf numFmtId="0" fontId="16" fillId="66" borderId="37" xfId="0" applyNumberFormat="1" applyFont="1" applyFill="1" applyBorder="1" applyAlignment="1">
      <alignment horizontal="left" vertical="center" wrapText="1"/>
    </xf>
    <xf numFmtId="0" fontId="20" fillId="66" borderId="37" xfId="0" applyNumberFormat="1" applyFont="1" applyFill="1" applyBorder="1" applyAlignment="1">
      <alignment horizontal="left" vertical="center" wrapText="1"/>
    </xf>
    <xf numFmtId="201" fontId="14" fillId="67" borderId="35" xfId="0" applyNumberFormat="1" applyFont="1" applyFill="1" applyBorder="1" applyAlignment="1">
      <alignment horizontal="left" vertical="center" wrapText="1"/>
    </xf>
    <xf numFmtId="201" fontId="14" fillId="67" borderId="36" xfId="0" applyNumberFormat="1" applyFont="1" applyFill="1" applyBorder="1" applyAlignment="1">
      <alignment horizontal="left" vertical="center" wrapText="1"/>
    </xf>
    <xf numFmtId="203" fontId="14" fillId="67" borderId="37" xfId="0" applyNumberFormat="1" applyFont="1" applyFill="1" applyBorder="1" applyAlignment="1">
      <alignment horizontal="left" vertical="center" wrapText="1"/>
    </xf>
    <xf numFmtId="201" fontId="14" fillId="67" borderId="47" xfId="0" applyNumberFormat="1" applyFont="1" applyFill="1" applyBorder="1" applyAlignment="1">
      <alignment horizontal="left" vertical="center" wrapText="1"/>
    </xf>
    <xf numFmtId="201" fontId="14" fillId="67" borderId="48" xfId="0" applyNumberFormat="1" applyFont="1" applyFill="1" applyBorder="1" applyAlignment="1">
      <alignment horizontal="left" vertical="center" wrapText="1"/>
    </xf>
    <xf numFmtId="203" fontId="14" fillId="67" borderId="52" xfId="0" applyNumberFormat="1" applyFont="1" applyFill="1" applyBorder="1" applyAlignment="1">
      <alignment horizontal="left" vertical="center" wrapText="1"/>
    </xf>
    <xf numFmtId="201" fontId="14" fillId="67" borderId="47" xfId="0" applyNumberFormat="1" applyFont="1" applyFill="1" applyBorder="1" applyAlignment="1">
      <alignment horizontal="center" vertical="center" wrapText="1"/>
    </xf>
    <xf numFmtId="201" fontId="14" fillId="67" borderId="48" xfId="0" applyNumberFormat="1" applyFont="1" applyFill="1" applyBorder="1" applyAlignment="1">
      <alignment horizontal="center" vertical="center" wrapText="1"/>
    </xf>
    <xf numFmtId="203" fontId="14" fillId="67" borderId="52" xfId="0" applyNumberFormat="1" applyFont="1" applyFill="1" applyBorder="1" applyAlignment="1">
      <alignment horizontal="center" vertical="center" wrapText="1"/>
    </xf>
    <xf numFmtId="201" fontId="14" fillId="67" borderId="0" xfId="0" applyNumberFormat="1" applyFont="1" applyFill="1" applyBorder="1" applyAlignment="1">
      <alignment horizontal="left" vertical="center" wrapText="1"/>
    </xf>
    <xf numFmtId="203" fontId="14" fillId="67" borderId="0" xfId="0" applyNumberFormat="1" applyFont="1" applyFill="1" applyBorder="1" applyAlignment="1">
      <alignment horizontal="left" vertical="center" wrapText="1"/>
    </xf>
    <xf numFmtId="0" fontId="17" fillId="68" borderId="0" xfId="0" applyNumberFormat="1" applyFont="1" applyFill="1" applyBorder="1" applyAlignment="1">
      <alignment horizontal="left" vertical="center" wrapText="1"/>
    </xf>
    <xf numFmtId="0" fontId="17" fillId="68" borderId="0" xfId="0" applyNumberFormat="1" applyFont="1" applyFill="1" applyBorder="1" applyAlignment="1">
      <alignment horizontal="center" vertical="center" wrapText="1"/>
    </xf>
    <xf numFmtId="0" fontId="13" fillId="68" borderId="0" xfId="0" applyNumberFormat="1" applyFont="1" applyFill="1" applyBorder="1" applyAlignment="1">
      <alignment horizontal="center" vertical="center" wrapText="0"/>
    </xf>
    <xf numFmtId="0" fontId="18" fillId="68" borderId="0" xfId="0" applyNumberFormat="1" applyFont="1" applyFill="1" applyBorder="1" applyAlignment="1">
      <alignment horizontal="left" vertical="center" wrapText="1"/>
    </xf>
    <xf numFmtId="0" fontId="18" fillId="68" borderId="0" xfId="0" applyNumberFormat="1" applyFont="1" applyFill="1" applyBorder="1" applyAlignment="1">
      <alignment horizontal="center" vertical="center" wrapText="1"/>
    </xf>
    <xf numFmtId="0" fontId="0" fillId="68" borderId="0" xfId="0" applyNumberFormat="1" applyFont="1" applyFill="1" applyBorder="1" applyAlignment="1">
      <alignment vertical="center" wrapText="0"/>
    </xf>
    <xf numFmtId="0" fontId="0" fillId="68" borderId="0" xfId="0" applyNumberFormat="1" applyFont="1" applyFill="1" applyBorder="1"/>
    <xf numFmtId="0" fontId="14" fillId="68" borderId="0" xfId="0" applyNumberFormat="1" applyFont="1" applyFill="1" applyBorder="1" applyAlignment="1">
      <alignment horizontal="left" vertical="center" wrapText="1"/>
    </xf>
    <xf numFmtId="0" fontId="16" fillId="68" borderId="0" xfId="0" applyNumberFormat="1" applyFont="1" applyFill="1" applyBorder="1" applyAlignment="1">
      <alignment horizontal="left" vertical="center" wrapText="1"/>
    </xf>
    <xf numFmtId="0" fontId="0" fillId="68" borderId="0" xfId="0" applyNumberFormat="1" applyFont="1" applyFill="1" applyBorder="1" applyAlignment="1">
      <alignment horizontal="left" vertical="center" wrapText="1"/>
    </xf>
    <xf numFmtId="0" fontId="19" fillId="68" borderId="45" xfId="0" applyNumberFormat="1" applyFont="1" applyFill="1" applyBorder="1" applyAlignment="1">
      <alignment horizontal="center" vertical="center" wrapText="1"/>
    </xf>
    <xf numFmtId="0" fontId="14" fillId="68" borderId="45" xfId="0" applyNumberFormat="1" applyFont="1" applyFill="1" applyBorder="1" applyAlignment="1">
      <alignment horizontal="left" vertical="center" wrapText="1"/>
    </xf>
    <xf numFmtId="0" fontId="2" fillId="68" borderId="0" xfId="0" applyNumberFormat="1" applyFont="1" applyFill="1" applyBorder="1" applyAlignment="1">
      <alignment horizontal="center" vertical="center" wrapText="0"/>
    </xf>
    <xf numFmtId="0" fontId="14" fillId="68" borderId="47" xfId="0" applyNumberFormat="1" applyFont="1" applyFill="1" applyBorder="1" applyAlignment="1">
      <alignment horizontal="left" vertical="center" wrapText="1"/>
    </xf>
    <xf numFmtId="201" fontId="14" fillId="68" borderId="47" xfId="0" applyNumberFormat="1" applyFont="1" applyFill="1" applyBorder="1" applyAlignment="1">
      <alignment horizontal="center" vertical="center" wrapText="1"/>
    </xf>
    <xf numFmtId="0" fontId="14" fillId="68" borderId="48" xfId="0" applyNumberFormat="1" applyFont="1" applyFill="1" applyBorder="1" applyAlignment="1">
      <alignment horizontal="left" vertical="center" wrapText="1"/>
    </xf>
    <xf numFmtId="201" fontId="14" fillId="68" borderId="48" xfId="0" applyNumberFormat="1" applyFont="1" applyFill="1" applyBorder="1" applyAlignment="1">
      <alignment horizontal="center" vertical="center" wrapText="1"/>
    </xf>
    <xf numFmtId="203" fontId="14" fillId="68" borderId="52" xfId="0" applyNumberFormat="1" applyFont="1" applyFill="1" applyBorder="1" applyAlignment="1">
      <alignment horizontal="center" vertical="center" wrapText="1"/>
    </xf>
    <xf numFmtId="0" fontId="16" fillId="68" borderId="47" xfId="0" applyNumberFormat="1" applyFont="1" applyFill="1" applyBorder="1" applyAlignment="1">
      <alignment horizontal="left" vertical="center" wrapText="1"/>
    </xf>
    <xf numFmtId="0" fontId="16" fillId="68" borderId="48" xfId="0" applyNumberFormat="1" applyFont="1" applyFill="1" applyBorder="1" applyAlignment="1">
      <alignment horizontal="left" vertical="center" wrapText="1"/>
    </xf>
    <xf numFmtId="0" fontId="14" fillId="68" borderId="52" xfId="0" applyNumberFormat="1" applyFont="1" applyFill="1" applyBorder="1" applyAlignment="1">
      <alignment horizontal="left" vertical="center" wrapText="1"/>
    </xf>
    <xf numFmtId="0" fontId="16" fillId="68" borderId="52" xfId="0" applyNumberFormat="1" applyFont="1" applyFill="1" applyBorder="1" applyAlignment="1">
      <alignment horizontal="left" vertical="center" wrapText="1"/>
    </xf>
    <xf numFmtId="0" fontId="19" fillId="68" borderId="0" xfId="0" applyNumberFormat="1" applyFont="1" applyFill="1" applyBorder="1" applyAlignment="1">
      <alignment horizontal="center" vertical="center" wrapText="1"/>
    </xf>
    <xf numFmtId="201" fontId="14" fillId="68" borderId="0" xfId="0" applyNumberFormat="1" applyFont="1" applyFill="1" applyBorder="1" applyAlignment="1">
      <alignment horizontal="center" vertical="center" wrapText="1"/>
    </xf>
    <xf numFmtId="203"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0"/>
    </xf>
    <xf numFmtId="0" fontId="21" fillId="68" borderId="0" xfId="0" applyNumberFormat="1" applyFont="1" applyFill="1" applyBorder="1" applyAlignment="1">
      <alignment horizontal="left" vertical="center" wrapText="1"/>
    </xf>
    <xf numFmtId="0" fontId="21" fillId="68" borderId="0"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0"/>
    </xf>
    <xf numFmtId="0" fontId="16" fillId="68" borderId="0" xfId="0" applyNumberFormat="1" applyFont="1" applyFill="1" applyBorder="1"/>
    <xf numFmtId="0" fontId="14" fillId="68" borderId="45"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1"/>
    </xf>
    <xf numFmtId="0" fontId="16" fillId="68" borderId="0" xfId="0" applyNumberFormat="1" applyFont="1" applyFill="1" applyBorder="1" applyAlignment="1">
      <alignment wrapText="1"/>
    </xf>
    <xf numFmtId="0" fontId="14" fillId="69" borderId="0" xfId="0" applyNumberFormat="1" applyFont="1" applyFill="1" applyBorder="1" applyAlignment="1">
      <alignment horizontal="left" vertical="center" wrapText="1"/>
    </xf>
    <xf numFmtId="0" fontId="14" fillId="69" borderId="0" xfId="0" applyNumberFormat="1" applyFont="1" applyFill="1" applyBorder="1" applyAlignment="1">
      <alignment horizontal="center" vertical="center" wrapText="1"/>
    </xf>
    <xf numFmtId="0" fontId="22" fillId="69" borderId="0" xfId="0" applyNumberFormat="1" applyFont="1" applyFill="1" applyBorder="1" applyAlignment="1">
      <alignment horizontal="left" vertical="center" wrapText="1"/>
    </xf>
    <xf numFmtId="0" fontId="22" fillId="69" borderId="0" xfId="0" applyNumberFormat="1" applyFont="1" applyFill="1" applyBorder="1" applyAlignment="1">
      <alignment horizontal="center" vertical="center" wrapText="1"/>
    </xf>
    <xf numFmtId="0" fontId="21" fillId="70" borderId="0" xfId="0" applyNumberFormat="1" applyFont="1" applyFill="1" applyBorder="1" applyAlignment="1">
      <alignment horizontal="left" vertical="center" wrapText="1"/>
    </xf>
    <xf numFmtId="0" fontId="21" fillId="70" borderId="0" xfId="0" applyNumberFormat="1" applyFont="1" applyFill="1" applyBorder="1" applyAlignment="1">
      <alignment horizontal="center" vertical="center" wrapText="1"/>
    </xf>
    <xf numFmtId="0" fontId="18" fillId="70" borderId="0" xfId="0" applyNumberFormat="1" applyFont="1" applyFill="1" applyBorder="1" applyAlignment="1">
      <alignment horizontal="left" vertical="center" wrapText="1"/>
    </xf>
    <xf numFmtId="0" fontId="18" fillId="70" borderId="0" xfId="0" applyNumberFormat="1" applyFont="1" applyFill="1" applyBorder="1" applyAlignment="1">
      <alignment horizontal="center" vertical="center" wrapText="1"/>
    </xf>
    <xf numFmtId="0" fontId="14" fillId="71" borderId="0" xfId="0" applyNumberFormat="1" applyFont="1" applyFill="1" applyBorder="1" applyAlignment="1">
      <alignment horizontal="left" vertical="center" wrapText="1"/>
    </xf>
    <xf numFmtId="0" fontId="14" fillId="71" borderId="47" xfId="0" applyNumberFormat="1" applyFont="1" applyFill="1" applyBorder="1" applyAlignment="1">
      <alignment horizontal="left" vertical="center" wrapText="1"/>
    </xf>
    <xf numFmtId="0" fontId="14" fillId="71" borderId="48" xfId="0" applyNumberFormat="1" applyFont="1" applyFill="1" applyBorder="1" applyAlignment="1">
      <alignment horizontal="left" vertical="center" wrapText="1"/>
    </xf>
    <xf numFmtId="0" fontId="14" fillId="71" borderId="52" xfId="0" applyNumberFormat="1" applyFont="1" applyFill="1" applyBorder="1" applyAlignment="1">
      <alignment horizontal="left" vertical="center" wrapText="1"/>
    </xf>
    <xf numFmtId="0" fontId="16" fillId="72" borderId="0" xfId="0" applyNumberFormat="1" applyFont="1" applyFill="1" applyBorder="1" applyAlignment="1">
      <alignment horizontal="left" vertical="center" wrapText="1"/>
    </xf>
    <xf numFmtId="0" fontId="16" fillId="72" borderId="47" xfId="0" applyNumberFormat="1" applyFont="1" applyFill="1" applyBorder="1" applyAlignment="1">
      <alignment horizontal="left" vertical="center" wrapText="1"/>
    </xf>
    <xf numFmtId="0" fontId="16" fillId="72" borderId="48" xfId="0" applyNumberFormat="1" applyFont="1" applyFill="1" applyBorder="1" applyAlignment="1">
      <alignment horizontal="left" vertical="center" wrapText="1"/>
    </xf>
    <xf numFmtId="0" fontId="16" fillId="72" borderId="52" xfId="0" applyNumberFormat="1" applyFont="1" applyFill="1" applyBorder="1" applyAlignment="1">
      <alignment horizontal="left" vertical="center" wrapText="1"/>
    </xf>
    <xf numFmtId="0" fontId="14" fillId="73" borderId="0" xfId="0" applyNumberFormat="1" applyFont="1" applyFill="1" applyBorder="1" applyAlignment="1">
      <alignment horizontal="left" vertical="center" wrapText="1"/>
    </xf>
    <xf numFmtId="0" fontId="14" fillId="74" borderId="0" xfId="0" applyNumberFormat="1" applyFont="1" applyFill="1" applyBorder="1" applyAlignment="1">
      <alignment horizontal="left" vertical="center" wrapText="1"/>
    </xf>
    <xf numFmtId="0" fontId="14" fillId="75" borderId="0" xfId="0" applyNumberFormat="1" applyFont="1" applyFill="1" applyBorder="1" applyAlignment="1">
      <alignment horizontal="left" vertical="center" wrapText="1"/>
    </xf>
    <xf numFmtId="0" fontId="14" fillId="76" borderId="0" xfId="0" applyNumberFormat="1" applyFont="1" applyFill="1" applyBorder="1" applyAlignment="1">
      <alignment horizontal="left" vertical="center" wrapText="1"/>
    </xf>
    <xf numFmtId="0" fontId="14" fillId="77" borderId="0" xfId="0" applyNumberFormat="1" applyFont="1" applyFill="1" applyBorder="1" applyAlignment="1">
      <alignment horizontal="left" vertical="center" wrapText="1"/>
    </xf>
    <xf numFmtId="0" fontId="14" fillId="69" borderId="45" xfId="0" applyNumberFormat="1" applyFont="1" applyFill="1" applyBorder="1" applyAlignment="1">
      <alignment horizontal="center" vertical="center" wrapText="1"/>
    </xf>
    <xf numFmtId="0" fontId="14" fillId="69" borderId="45" xfId="0" applyNumberFormat="1" applyFont="1" applyFill="1" applyBorder="1" applyAlignment="1">
      <alignment horizontal="left" vertical="center" wrapText="1"/>
    </xf>
    <xf numFmtId="0" fontId="19" fillId="69" borderId="45" xfId="0" applyNumberFormat="1" applyFont="1" applyFill="1" applyBorder="1" applyAlignment="1">
      <alignment horizontal="left" vertical="center" wrapText="1"/>
    </xf>
    <xf numFmtId="0" fontId="19" fillId="69" borderId="0" xfId="0" applyNumberFormat="1" applyFont="1" applyFill="1" applyBorder="1" applyAlignment="1">
      <alignment horizontal="left" vertical="center" wrapText="1"/>
    </xf>
    <xf numFmtId="0" fontId="19" fillId="69" borderId="45" xfId="0" applyNumberFormat="1" applyFont="1" applyFill="1" applyBorder="1" applyAlignment="1">
      <alignment horizontal="center" vertical="center" wrapText="1"/>
    </xf>
    <xf numFmtId="0" fontId="19" fillId="69" borderId="0" xfId="0" applyNumberFormat="1" applyFont="1" applyFill="1" applyBorder="1" applyAlignment="1">
      <alignment horizontal="center" vertical="center" wrapText="1"/>
    </xf>
    <xf numFmtId="0" fontId="16" fillId="69" borderId="0" xfId="0" applyNumberFormat="1" applyFont="1" applyFill="1" applyBorder="1" applyAlignment="1">
      <alignment vertical="center" wrapText="1"/>
    </xf>
    <xf numFmtId="0" fontId="14" fillId="69" borderId="0" xfId="0" applyNumberFormat="1" applyFont="1" applyFill="1" applyBorder="1" applyAlignment="1">
      <alignment vertical="center" wrapText="1"/>
    </xf>
    <xf numFmtId="201" fontId="14" fillId="78" borderId="47" xfId="0" applyNumberFormat="1" applyFont="1" applyFill="1" applyBorder="1" applyAlignment="1">
      <alignment horizontal="center" vertical="center" wrapText="1"/>
    </xf>
    <xf numFmtId="201" fontId="14" fillId="78" borderId="48" xfId="0" applyNumberFormat="1" applyFont="1" applyFill="1" applyBorder="1" applyAlignment="1">
      <alignment horizontal="center" vertical="center" wrapText="1"/>
    </xf>
    <xf numFmtId="203" fontId="14" fillId="78" borderId="52" xfId="0" applyNumberFormat="1" applyFont="1" applyFill="1" applyBorder="1" applyAlignment="1">
      <alignment horizontal="center" vertical="center" wrapText="1"/>
    </xf>
    <xf numFmtId="201" fontId="14" fillId="78" borderId="0" xfId="0" applyNumberFormat="1" applyFont="1" applyFill="1" applyBorder="1" applyAlignment="1">
      <alignment horizontal="center" vertical="center" wrapText="1"/>
    </xf>
    <xf numFmtId="203" fontId="14" fillId="78" borderId="0" xfId="0" applyNumberFormat="1" applyFont="1" applyFill="1" applyBorder="1" applyAlignment="1">
      <alignment horizontal="center" vertical="center" wrapText="1"/>
    </xf>
    <xf numFmtId="0" fontId="14" fillId="18" borderId="0" xfId="0" applyNumberFormat="1" applyFont="1" applyFill="1" applyBorder="1" applyAlignment="1">
      <alignment horizontal="center" vertical="center" wrapText="1"/>
    </xf>
    <xf numFmtId="0" fontId="22" fillId="18" borderId="0" xfId="0" applyNumberFormat="1" applyFont="1" applyFill="1" applyBorder="1" applyAlignment="1">
      <alignment horizontal="left" vertical="center" wrapText="1"/>
    </xf>
    <xf numFmtId="0" fontId="22" fillId="18" borderId="0" xfId="0" applyNumberFormat="1" applyFont="1" applyFill="1" applyBorder="1" applyAlignment="1">
      <alignment horizontal="center" vertical="center" wrapText="1"/>
    </xf>
    <xf numFmtId="0" fontId="21" fillId="10" borderId="0" xfId="0" applyNumberFormat="1" applyFont="1" applyFill="1" applyBorder="1" applyAlignment="1">
      <alignment horizontal="left" vertical="center" wrapText="1"/>
    </xf>
    <xf numFmtId="0" fontId="21" fillId="10" borderId="0" xfId="0" applyNumberFormat="1" applyFont="1" applyFill="1" applyBorder="1" applyAlignment="1">
      <alignment horizontal="center" vertical="center" wrapText="1"/>
    </xf>
    <xf numFmtId="0" fontId="16" fillId="18" borderId="0" xfId="0" applyNumberFormat="1" applyFont="1" applyFill="1" applyBorder="1" applyAlignment="1">
      <alignment vertical="center" wrapText="1"/>
    </xf>
    <xf numFmtId="0" fontId="14" fillId="18" borderId="0" xfId="0" applyNumberFormat="1" applyFont="1" applyFill="1" applyBorder="1" applyAlignment="1">
      <alignment vertical="center" wrapText="1"/>
    </xf>
    <xf numFmtId="0" fontId="2" fillId="79" borderId="0" xfId="0" applyNumberFormat="1" applyFont="1" applyFill="1" applyBorder="1" applyAlignment="1">
      <alignment horizontal="center" vertical="center" wrapText="1"/>
    </xf>
    <xf numFmtId="0" fontId="14" fillId="80" borderId="0" xfId="0" applyNumberFormat="1" applyFont="1" applyFill="1" applyBorder="1" applyAlignment="1">
      <alignment horizontal="left" vertical="center" wrapText="1"/>
    </xf>
    <xf numFmtId="0" fontId="14" fillId="33" borderId="0" xfId="0" applyNumberFormat="1" applyFont="1" applyFill="1" applyBorder="1" applyAlignment="1">
      <alignment horizontal="center" vertical="center" wrapText="0"/>
    </xf>
    <xf numFmtId="0" fontId="23" fillId="33" borderId="0" xfId="0" applyNumberFormat="1" applyFont="1" applyFill="1" applyBorder="1" applyAlignment="1">
      <alignment horizontal="center" vertical="center" wrapText="0"/>
    </xf>
    <xf numFmtId="0" fontId="1"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wrapText="1"/>
    </xf>
    <xf numFmtId="0" fontId="0" fillId="82" borderId="0" xfId="0" applyNumberFormat="1" applyFont="1" applyFill="1" applyBorder="1"/>
    <xf numFmtId="0" fontId="18" fillId="82" borderId="0" xfId="0" applyNumberFormat="1" applyFont="1" applyFill="1" applyBorder="1"/>
    <xf numFmtId="0" fontId="18" fillId="82" borderId="0" xfId="0" applyNumberFormat="1" applyFont="1" applyFill="1" applyBorder="1" applyAlignment="1">
      <alignment wrapText="1"/>
    </xf>
    <xf numFmtId="0" fontId="18" fillId="82" borderId="0" xfId="0" applyNumberFormat="1" applyFont="1" applyFill="1" applyBorder="1" applyAlignment="1">
      <alignment horizontal="center" wrapText="1"/>
    </xf>
    <xf numFmtId="0" fontId="18" fillId="82" borderId="0" xfId="0" applyNumberFormat="1" applyFont="1" applyFill="1" applyBorder="1" applyAlignment="1">
      <alignment horizontal="center" vertical="center" wrapText="1"/>
    </xf>
    <xf numFmtId="0" fontId="2" fillId="81" borderId="0" xfId="0" applyNumberFormat="1" applyFont="1" applyFill="1" applyBorder="1" applyAlignment="1">
      <alignment horizontal="center" vertical="center" wrapText="1"/>
    </xf>
    <xf numFmtId="0" fontId="13" fillId="81" borderId="0" xfId="0" applyNumberFormat="1" applyFont="1" applyFill="1" applyBorder="1" applyAlignment="1">
      <alignment horizontal="center" vertical="center" wrapText="0"/>
    </xf>
    <xf numFmtId="0" fontId="1" fillId="18" borderId="0" xfId="0" applyNumberFormat="1" applyFont="1" applyFill="1" applyBorder="1" applyAlignment="1">
      <alignment horizontal="center" vertical="center"/>
    </xf>
    <xf numFmtId="0" fontId="13" fillId="18" borderId="0" xfId="0" applyNumberFormat="1" applyFont="1" applyFill="1" applyBorder="1" applyAlignment="1">
      <alignment horizontal="center" vertical="center"/>
    </xf>
    <xf numFmtId="0" fontId="18" fillId="10" borderId="0" xfId="0" applyNumberFormat="1" applyFont="1" applyFill="1" applyBorder="1"/>
    <xf numFmtId="0" fontId="18" fillId="10" borderId="0" xfId="0" applyNumberFormat="1" applyFont="1" applyFill="1" applyBorder="1" applyAlignment="1">
      <alignment wrapText="1"/>
    </xf>
    <xf numFmtId="0" fontId="18" fillId="10" borderId="0" xfId="0" applyNumberFormat="1" applyFont="1" applyFill="1" applyBorder="1" applyAlignment="1">
      <alignment horizontal="center" wrapText="1"/>
    </xf>
    <xf numFmtId="0" fontId="2" fillId="83" borderId="0" xfId="0" applyNumberFormat="1" applyFont="1" applyFill="1" applyBorder="1" applyAlignment="1">
      <alignment horizontal="center" vertical="center" wrapText="1"/>
    </xf>
    <xf numFmtId="0" fontId="1" fillId="2" borderId="0" xfId="0" applyNumberFormat="1" applyFont="1" applyFill="1" applyBorder="1" applyAlignment="1">
      <alignment horizontal="center" vertical="center" wrapText="1"/>
    </xf>
    <xf numFmtId="0" fontId="0" fillId="84" borderId="0" xfId="0" applyNumberFormat="1" applyFont="1" applyFill="1" applyBorder="1" applyAlignment="1">
      <alignment wrapText="1"/>
    </xf>
    <xf numFmtId="0" fontId="3" fillId="84" borderId="0" xfId="0" applyNumberFormat="1" applyFont="1" applyFill="1" applyBorder="1" applyAlignment="1">
      <alignment wrapText="1"/>
    </xf>
    <xf numFmtId="0" fontId="3" fillId="84" borderId="0" xfId="0" applyNumberFormat="1" applyFont="1" applyFill="1" applyBorder="1" applyAlignment="1">
      <alignment vertical="center" wrapText="1"/>
    </xf>
    <xf numFmtId="203" fontId="3" fillId="84" borderId="0" xfId="0" applyNumberFormat="1" applyFont="1" applyFill="1" applyBorder="1" applyAlignment="1">
      <alignment vertical="center" wrapText="1"/>
    </xf>
    <xf numFmtId="201" fontId="3" fillId="84" borderId="0" xfId="0" applyNumberFormat="1" applyFont="1" applyFill="1" applyBorder="1" applyAlignment="1">
      <alignment vertical="center" wrapText="1"/>
    </xf>
    <xf numFmtId="203" fontId="3" fillId="84" borderId="0" xfId="0" applyNumberFormat="1" applyFont="1" applyFill="1" applyBorder="1" applyAlignment="1">
      <alignment horizontal="center" vertical="center" wrapText="1"/>
    </xf>
    <xf numFmtId="0" fontId="3" fillId="84" borderId="0" xfId="0" applyNumberFormat="1" applyFont="1" applyFill="1" applyBorder="1" applyAlignment="1">
      <alignment horizontal="center" vertical="center" wrapText="1"/>
    </xf>
    <xf numFmtId="202" fontId="3" fillId="84" borderId="0" xfId="0" applyNumberFormat="1" applyFont="1" applyFill="1" applyBorder="1" applyAlignment="1">
      <alignment vertical="center" wrapText="1"/>
    </xf>
    <xf numFmtId="202" fontId="3" fillId="84" borderId="0" xfId="0" applyNumberFormat="1" applyFont="1" applyFill="1" applyBorder="1" applyAlignment="1">
      <alignment horizontal="center" vertical="center" wrapText="1"/>
    </xf>
    <xf numFmtId="0" fontId="0" fillId="85" borderId="0" xfId="0" applyNumberFormat="1" applyFont="1" applyFill="1" applyBorder="1"/>
    <xf numFmtId="0" fontId="3" fillId="85" borderId="0" xfId="0" applyNumberFormat="1" applyFont="1" applyFill="1" applyBorder="1"/>
    <xf numFmtId="0" fontId="3" fillId="85" borderId="0" xfId="0" applyNumberFormat="1" applyFont="1" applyFill="1" applyBorder="1" applyAlignment="1">
      <alignment wrapText="1"/>
    </xf>
    <xf numFmtId="0" fontId="3" fillId="85" borderId="0" xfId="0" applyNumberFormat="1" applyFont="1" applyFill="1" applyBorder="1" applyAlignment="1">
      <alignment vertical="center" wrapText="1"/>
    </xf>
    <xf numFmtId="0" fontId="3" fillId="85" borderId="0" xfId="0" applyNumberFormat="1" applyFont="1" applyFill="1" applyBorder="1" applyAlignment="1">
      <alignment horizontal="center" vertical="center" wrapText="1"/>
    </xf>
    <xf numFmtId="203" fontId="3" fillId="85" borderId="0" xfId="0" applyNumberFormat="1" applyFont="1" applyFill="1" applyBorder="1" applyAlignment="1">
      <alignment horizontal="center" vertical="center" wrapText="1"/>
    </xf>
    <xf numFmtId="202" fontId="3" fillId="85" borderId="0" xfId="0" applyNumberFormat="1" applyFont="1" applyFill="1" applyBorder="1" applyAlignment="1">
      <alignment horizontal="center" vertical="center" wrapText="1"/>
    </xf>
    <xf numFmtId="0" fontId="3" fillId="4" borderId="0" xfId="0" applyNumberFormat="1" applyFont="1" applyFill="1" applyBorder="1" applyAlignment="1">
      <alignment horizontal="center" vertical="center" wrapText="1"/>
    </xf>
    <xf numFmtId="203" fontId="3" fillId="4" borderId="0" xfId="0" applyNumberFormat="1" applyFont="1" applyFill="1" applyBorder="1" applyAlignment="1">
      <alignment horizontal="center" vertical="center" wrapText="1"/>
    </xf>
    <xf numFmtId="202" fontId="3" fillId="4" borderId="0" xfId="0" applyNumberFormat="1" applyFont="1" applyFill="1" applyBorder="1" applyAlignment="1">
      <alignment horizontal="center" vertical="center" wrapText="1"/>
    </xf>
    <xf numFmtId="205" fontId="0" fillId="0" borderId="0" xfId="0" applyNumberFormat="1" applyFont="1" applyFill="1" applyBorder="1" applyAlignment="1">
      <alignment vertical="top" wrapText="1"/>
    </xf>
    <xf numFmtId="205" fontId="0" fillId="0" borderId="0" xfId="0" applyNumberFormat="1" applyFont="1" applyFill="1" applyBorder="1" applyAlignment="1">
      <alignment wrapText="1"/>
    </xf>
    <xf numFmtId="205" fontId="0" fillId="0" borderId="0" xfId="0" applyNumberFormat="1" applyFont="1" applyFill="1" applyBorder="1" applyAlignment="1">
      <alignment horizontal="center" vertical="top" wrapText="1"/>
    </xf>
    <xf numFmtId="205" fontId="0" fillId="0" borderId="0" xfId="0" applyNumberFormat="1" applyFont="1" applyFill="1" applyBorder="1" applyAlignment="1">
      <alignment horizontal="center" wrapText="1"/>
    </xf>
    <xf numFmtId="205" fontId="0" fillId="0" borderId="0" xfId="0" applyNumberFormat="1" applyFont="1" applyFill="1" applyBorder="1" applyAlignment="1">
      <alignment horizontal="center" vertical="center" wrapText="1"/>
    </xf>
    <xf numFmtId="0" fontId="0" fillId="86" borderId="0" xfId="0" applyNumberFormat="1" applyFont="1" applyFill="1" applyBorder="1"/>
    <xf numFmtId="0" fontId="13" fillId="86" borderId="0" xfId="0" applyNumberFormat="1" applyFont="1" applyFill="1" applyBorder="1"/>
    <xf numFmtId="0" fontId="13" fillId="86" borderId="0" xfId="0" applyNumberFormat="1" applyFont="1" applyFill="1" applyBorder="1" applyAlignment="1">
      <alignment wrapText="1"/>
    </xf>
    <xf numFmtId="0" fontId="13" fillId="86" borderId="0" xfId="0" applyNumberFormat="1" applyFont="1" applyFill="1" applyBorder="1" applyAlignment="1">
      <alignment horizontal="center" wrapText="1"/>
    </xf>
    <xf numFmtId="0" fontId="13" fillId="86" borderId="0" xfId="0" applyNumberFormat="1" applyFont="1" applyFill="1" applyBorder="1" applyAlignment="1">
      <alignment horizontal="center" vertical="center" wrapText="1"/>
    </xf>
    <xf numFmtId="0" fontId="0" fillId="87" borderId="0" xfId="0" applyNumberFormat="1" applyFont="1" applyFill="1" applyBorder="1"/>
    <xf numFmtId="0" fontId="18" fillId="87" borderId="0" xfId="0" applyNumberFormat="1" applyFont="1" applyFill="1" applyBorder="1"/>
    <xf numFmtId="0" fontId="18" fillId="87" borderId="0" xfId="0" applyNumberFormat="1" applyFont="1" applyFill="1" applyBorder="1" applyAlignment="1">
      <alignment wrapText="1"/>
    </xf>
    <xf numFmtId="0" fontId="18" fillId="87" borderId="0" xfId="0" applyNumberFormat="1" applyFont="1" applyFill="1" applyBorder="1" applyAlignment="1">
      <alignment horizontal="center" wrapText="1"/>
    </xf>
    <xf numFmtId="0" fontId="18" fillId="87" borderId="0" xfId="0" applyNumberFormat="1" applyFont="1" applyFill="1" applyBorder="1" applyAlignment="1">
      <alignment horizontal="center" vertical="center" wrapText="1"/>
    </xf>
    <xf numFmtId="0" fontId="2" fillId="86" borderId="0" xfId="0" applyNumberFormat="1" applyFont="1" applyFill="1" applyBorder="1"/>
    <xf numFmtId="0" fontId="2" fillId="86" borderId="0" xfId="0" applyNumberFormat="1" applyFont="1" applyFill="1" applyBorder="1" applyAlignment="1">
      <alignment wrapText="1"/>
    </xf>
    <xf numFmtId="0" fontId="2" fillId="86" borderId="0" xfId="0" applyNumberFormat="1" applyFont="1" applyFill="1" applyBorder="1" applyAlignment="1">
      <alignment horizontal="center" wrapText="1"/>
    </xf>
    <xf numFmtId="0" fontId="2" fillId="86" borderId="0" xfId="0" applyNumberFormat="1" applyFont="1" applyFill="1" applyBorder="1" applyAlignment="1">
      <alignment horizontal="center" vertical="center" wrapText="1"/>
    </xf>
    <xf numFmtId="0" fontId="0" fillId="88" borderId="0" xfId="0" applyNumberFormat="1" applyFont="1" applyFill="1" applyBorder="1"/>
    <xf numFmtId="0" fontId="3" fillId="88" borderId="0" xfId="0" applyNumberFormat="1" applyFont="1" applyFill="1" applyBorder="1"/>
    <xf numFmtId="0" fontId="3" fillId="88" borderId="0" xfId="0" applyNumberFormat="1" applyFont="1" applyFill="1" applyBorder="1" applyAlignment="1">
      <alignment wrapText="1"/>
    </xf>
    <xf numFmtId="0" fontId="3" fillId="88" borderId="0" xfId="0" applyNumberFormat="1" applyFont="1" applyFill="1" applyBorder="1" applyAlignment="1">
      <alignment vertical="center" wrapText="1"/>
    </xf>
    <xf numFmtId="0" fontId="3" fillId="88" borderId="0" xfId="0" applyNumberFormat="1" applyFont="1" applyFill="1" applyBorder="1" applyAlignment="1">
      <alignment horizontal="left" vertical="center" wrapText="1"/>
    </xf>
    <xf numFmtId="0" fontId="3" fillId="88" borderId="0" xfId="0" applyNumberFormat="1" applyFont="1" applyFill="1" applyBorder="1" applyAlignment="1">
      <alignment horizontal="center" vertical="center" wrapText="1"/>
    </xf>
    <xf numFmtId="202" fontId="3" fillId="88" borderId="0" xfId="0" applyNumberFormat="1" applyFont="1" applyFill="1" applyBorder="1" applyAlignment="1">
      <alignment horizontal="center" vertical="center" wrapText="1"/>
    </xf>
    <xf numFmtId="207" fontId="3" fillId="88" borderId="0" xfId="0" applyNumberFormat="1" applyFont="1" applyFill="1" applyBorder="1" applyAlignment="1">
      <alignment horizontal="center" vertical="center" wrapText="1"/>
    </xf>
    <xf numFmtId="208" fontId="3" fillId="88" borderId="0" xfId="0" applyNumberFormat="1" applyFont="1" applyFill="1" applyBorder="1" applyAlignment="1">
      <alignment horizontal="center" vertical="center" wrapText="1"/>
    </xf>
    <xf numFmtId="203" fontId="3" fillId="88" borderId="0" xfId="0" applyNumberFormat="1" applyFont="1" applyFill="1" applyBorder="1" applyAlignment="1">
      <alignment horizontal="center" vertical="center" wrapText="1"/>
    </xf>
    <xf numFmtId="0" fontId="13" fillId="18" borderId="0" xfId="0" applyNumberFormat="1" applyFont="1" applyFill="1" applyBorder="1" applyAlignment="1">
      <alignment wrapText="1"/>
    </xf>
    <xf numFmtId="0" fontId="13" fillId="18" borderId="0" xfId="0" applyNumberFormat="1" applyFont="1" applyFill="1" applyBorder="1" applyAlignment="1">
      <alignment horizontal="center" wrapText="1"/>
    </xf>
    <xf numFmtId="207" fontId="3" fillId="4" borderId="0" xfId="0" applyNumberFormat="1" applyFont="1" applyFill="1" applyBorder="1" applyAlignment="1">
      <alignment horizontal="center" vertical="center" wrapText="1"/>
    </xf>
    <xf numFmtId="208" fontId="3" fillId="4" borderId="0" xfId="0" applyNumberFormat="1" applyFont="1" applyFill="1" applyBorder="1" applyAlignment="1">
      <alignment horizontal="center" vertical="center" wrapText="1"/>
    </xf>
    <xf numFmtId="0" fontId="3" fillId="89" borderId="0" xfId="0" applyNumberFormat="1" applyFont="1" applyFill="1" applyBorder="1" applyAlignment="1">
      <alignment vertical="center" wrapText="1"/>
    </xf>
    <xf numFmtId="203" fontId="3" fillId="89" borderId="0" xfId="0" applyNumberFormat="1" applyFont="1" applyFill="1" applyBorder="1" applyAlignment="1">
      <alignment horizontal="center" vertical="center" wrapText="1"/>
    </xf>
    <xf numFmtId="0" fontId="3" fillId="89" borderId="0" xfId="0" applyNumberFormat="1" applyFont="1" applyFill="1" applyBorder="1" applyAlignment="1">
      <alignment horizontal="center" vertical="center" wrapText="1"/>
    </xf>
    <xf numFmtId="201" fontId="3" fillId="89" borderId="0" xfId="0" applyNumberFormat="1" applyFont="1" applyFill="1" applyBorder="1" applyAlignment="1">
      <alignment vertical="center" wrapText="1"/>
    </xf>
    <xf numFmtId="202" fontId="3" fillId="89" borderId="0" xfId="0" applyNumberFormat="1" applyFont="1" applyFill="1" applyBorder="1" applyAlignment="1">
      <alignment horizontal="center" vertical="center" wrapText="1"/>
    </xf>
    <xf numFmtId="0" fontId="23" fillId="33" borderId="0" xfId="0" applyNumberFormat="1" applyFont="1" applyFill="1" applyBorder="1" applyAlignment="1">
      <alignment horizontal="center" vertical="center" wrapText="1"/>
    </xf>
    <xf numFmtId="202" fontId="0" fillId="0" borderId="0" xfId="0" applyNumberFormat="1" applyFont="1" applyFill="1" applyBorder="1" applyAlignment="1">
      <alignment vertical="top" wrapText="1"/>
    </xf>
    <xf numFmtId="203" fontId="0" fillId="0" borderId="0" xfId="0" applyNumberFormat="1" applyFont="1" applyFill="1" applyBorder="1" applyAlignment="1">
      <alignment vertical="top" wrapText="1"/>
    </xf>
    <xf numFmtId="201" fontId="5" fillId="0" borderId="0" xfId="0" applyNumberFormat="1" applyFont="1" applyFill="1" applyBorder="1" applyAlignment="1">
      <alignment vertical="top" wrapText="1"/>
    </xf>
    <xf numFmtId="201" fontId="0" fillId="0" borderId="0" xfId="0" applyNumberFormat="1" applyFont="1" applyFill="1" applyBorder="1" applyAlignment="1">
      <alignment wrapText="1"/>
    </xf>
    <xf numFmtId="202" fontId="0" fillId="0" borderId="0" xfId="0" applyNumberFormat="1" applyFont="1" applyFill="1" applyBorder="1" applyAlignment="1">
      <alignment wrapText="1"/>
    </xf>
    <xf numFmtId="203" fontId="0" fillId="0" borderId="0" xfId="0" applyNumberFormat="1" applyFont="1" applyFill="1" applyBorder="1" applyAlignment="1">
      <alignment wrapText="1"/>
    </xf>
    <xf numFmtId="0" fontId="8" fillId="2" borderId="0" xfId="0" applyNumberFormat="1" applyFont="1" applyFill="1" applyBorder="1" applyAlignment="1">
      <alignment horizontal="center" vertical="center" wrapText="1"/>
    </xf>
    <xf numFmtId="0" fontId="9" fillId="10" borderId="0" xfId="0" applyNumberFormat="1" applyFont="1" applyFill="1" applyBorder="1" applyAlignment="1">
      <alignment wrapText="1"/>
    </xf>
    <xf numFmtId="203" fontId="2" fillId="20" borderId="0" xfId="0" applyNumberFormat="1" applyFont="1" applyFill="1" applyBorder="1" applyAlignment="1">
      <alignment horizontal="center" wrapText="1"/>
    </xf>
    <xf numFmtId="0" fontId="14" fillId="90" borderId="0" xfId="0" applyNumberFormat="1" applyFont="1" applyFill="1" applyBorder="1" applyAlignment="1">
      <alignment horizontal="left" vertical="center" wrapText="1"/>
    </xf>
    <xf numFmtId="0" fontId="16" fillId="90" borderId="0" xfId="0" applyNumberFormat="1" applyFont="1" applyFill="1" applyBorder="1" applyAlignment="1">
      <alignment horizontal="left" vertical="center" wrapText="1"/>
    </xf>
    <xf numFmtId="0" fontId="19" fillId="91" borderId="0" xfId="0" applyNumberFormat="1" applyFont="1" applyFill="1" applyBorder="1" applyAlignment="1">
      <alignment horizontal="center" vertical="center" wrapText="1"/>
    </xf>
    <xf numFmtId="0" fontId="14" fillId="91" borderId="0" xfId="0" applyNumberFormat="1" applyFont="1" applyFill="1" applyBorder="1" applyAlignment="1">
      <alignment horizontal="left" vertical="center" wrapText="1"/>
    </xf>
    <xf numFmtId="0" fontId="24" fillId="91" borderId="0" xfId="0" applyNumberFormat="1" applyFont="1" applyFill="1" applyBorder="1" applyAlignment="1">
      <alignment horizontal="center" vertical="center" wrapText="1"/>
    </xf>
    <xf numFmtId="0" fontId="25" fillId="91" borderId="0" xfId="0" applyNumberFormat="1" applyFont="1" applyFill="1" applyBorder="1" applyAlignment="1">
      <alignment horizontal="left" vertical="center" wrapText="1"/>
    </xf>
    <xf numFmtId="0" fontId="14" fillId="92" borderId="0" xfId="0" applyNumberFormat="1" applyFont="1" applyFill="1" applyBorder="1" applyAlignment="1">
      <alignment horizontal="left" vertical="center" wrapText="1"/>
    </xf>
    <xf numFmtId="0" fontId="16" fillId="93" borderId="0" xfId="0" applyNumberFormat="1" applyFont="1" applyFill="1" applyBorder="1" applyAlignment="1">
      <alignment horizontal="left" vertical="center" wrapText="1"/>
    </xf>
    <xf numFmtId="0" fontId="26" fillId="93" borderId="0" xfId="0" applyNumberFormat="1" applyFont="1" applyFill="1" applyBorder="1" applyAlignment="1">
      <alignment horizontal="left" vertical="center" wrapText="1"/>
    </xf>
    <xf numFmtId="0" fontId="14" fillId="94" borderId="0" xfId="0" applyNumberFormat="1" applyFont="1" applyFill="1" applyBorder="1" applyAlignment="1">
      <alignment horizontal="left" vertical="center" wrapText="1"/>
    </xf>
    <xf numFmtId="0" fontId="16" fillId="95" borderId="0" xfId="0" applyNumberFormat="1" applyFont="1" applyFill="1" applyBorder="1" applyAlignment="1">
      <alignment horizontal="left" vertical="center" wrapText="1"/>
    </xf>
    <xf numFmtId="0" fontId="14" fillId="95" borderId="0" xfId="0" applyNumberFormat="1" applyFont="1" applyFill="1" applyBorder="1" applyAlignment="1">
      <alignment horizontal="left" vertical="center" wrapText="1"/>
    </xf>
    <xf numFmtId="0" fontId="14" fillId="96" borderId="0" xfId="0" applyNumberFormat="1" applyFont="1" applyFill="1" applyBorder="1" applyAlignment="1">
      <alignment horizontal="left" vertical="center" wrapText="1"/>
    </xf>
    <xf numFmtId="0" fontId="27" fillId="96" borderId="0" xfId="0" applyNumberFormat="1" applyFont="1" applyFill="1" applyBorder="1" applyAlignment="1">
      <alignment horizontal="left" vertical="center" wrapText="1"/>
    </xf>
    <xf numFmtId="0" fontId="16" fillId="97" borderId="0" xfId="0" applyNumberFormat="1" applyFont="1" applyFill="1" applyBorder="1" applyAlignment="1">
      <alignment horizontal="left" vertical="center" wrapText="1"/>
    </xf>
    <xf numFmtId="0" fontId="27" fillId="97" borderId="0" xfId="0" applyNumberFormat="1" applyFont="1" applyFill="1" applyBorder="1" applyAlignment="1">
      <alignment horizontal="left" vertical="center" wrapText="1"/>
    </xf>
    <xf numFmtId="0" fontId="9" fillId="10" borderId="0" xfId="0" applyNumberFormat="1" applyFont="1" applyFill="1" applyBorder="1" applyAlignment="1">
      <alignment vertical="center" wrapText="1"/>
    </xf>
    <xf numFmtId="203" fontId="2" fillId="20"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209" fontId="3" fillId="4" borderId="0" xfId="0" applyNumberFormat="1" applyFont="1" applyFill="1" applyBorder="1" applyAlignment="1">
      <alignment vertical="center" wrapText="1"/>
    </xf>
    <xf numFmtId="209" fontId="3" fillId="4" borderId="0" xfId="0" applyNumberFormat="1" applyFont="1" applyFill="1" applyBorder="1" applyAlignment="1">
      <alignment horizontal="center" vertical="center" wrapText="1"/>
    </xf>
    <xf numFmtId="210" fontId="16" fillId="20" borderId="0" xfId="0" applyNumberFormat="1" applyFont="1" applyFill="1" applyBorder="1" applyAlignment="1">
      <alignment horizontal="center" vertical="center" wrapText="1"/>
    </xf>
    <xf numFmtId="210" fontId="16" fillId="20" xfId="0" applyNumberFormat="1" applyFont="1" applyFill="1" applyBorder="0" applyAlignment="1">
      <alignment horizontal="center" vertical="center" wrapText="1"/>
    </xf>
    <xf numFmtId="210" fontId="0" fillId="0" borderId="0" xfId="0" applyNumberFormat="1" applyFont="1" applyFill="1" applyBorder="1" applyAlignment="1">
      <alignment vertical="top" wrapText="1"/>
    </xf>
    <xf numFmtId="210" fontId="0" fillId="0" borderId="0" xfId="0" applyNumberFormat="1" applyFont="1" applyFill="1" applyBorder="1" applyAlignment="1">
      <alignment wrapText="1"/>
    </xf>
    <xf numFmtId="0" fontId="16" fillId="5" borderId="0" xfId="0" applyNumberFormat="1" applyFont="1" applyFill="1" applyBorder="1" applyAlignment="1">
      <alignment horizontal="left" vertical="center" wrapText="1"/>
    </xf>
    <xf numFmtId="0" fontId="16" fillId="53" borderId="0" xfId="0" applyNumberFormat="1" applyFont="1" applyFill="1" applyBorder="1" applyAlignment="1">
      <alignment horizontal="left" vertical="center" wrapText="1"/>
    </xf>
  </cellXfs>
  <cellStyles count="1">
    <cellStyle name="Normal" xfId="0"/>
  </cellStyles>
  <dxfs count="40">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b/>
        <color rgb="FF7A4E00"/>
      </font>
      <fill>
        <patternFill>
          <bgColor rgb="FFFFF8E1"/>
        </patternFill>
      </fill>
    </dxf>
    <dxf>
      <font>
        <color rgb="FF020C1B"/>
      </font>
      <fill>
        <patternFill>
          <bgColor rgb="FFF5F7FA"/>
        </patternFill>
      </fill>
    </dxf>
    <dxf>
      <font>
        <color rgb="FF020C1B"/>
      </font>
      <fill>
        <patternFill>
          <bgColor rgb="FFFFF2A8"/>
        </patternFill>
      </fill>
    </dxf>
    <dxf>
      <font>
        <color rgb="FF020C1B"/>
      </font>
      <fill>
        <patternFill>
          <bgColor rgb="FFFFE699"/>
        </patternFill>
      </fill>
    </dxf>
    <dxf>
      <fill>
        <patternFill>
          <bgColor rgb="FF0C1F3A"/>
        </patternFill>
      </fill>
    </dxf>
    <dxf>
      <fill>
        <patternFill>
          <bgColor rgb="FF132A49"/>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numFmt numFmtId="209" formatCode="#,##0.00 &quot;chips&quot;"/>
    </dxf>
    <dxf>
      <numFmt numFmtId="209" formatCode="#,##0.00 &quot;chips&quot;"/>
    </dxf>
    <dxf>
      <numFmt numFmtId="209" formatCode="#,##0.00 &quot;chips&quot;"/>
    </dxf>
    <dxf>
      <numFmt numFmtId="209" formatCode="#,##0.00 &quot;chips&quot;"/>
    </dxf>
    <dxf>
      <numFmt numFmtId="209" formatCode="#,##0.00 &quot;chips&quot;"/>
    </dxf>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s>
</styleSheet>
</file>

<file path=xl/_rels/workbook.xml.rels><?xml version="1.0" encoding="utf-8"?><Relationships xmlns="http://schemas.openxmlformats.org/package/2006/relationships"><Relationship Type="http://schemas.openxmlformats.org/officeDocument/2006/relationships/styles" Target="/xl/styles.xml" Id="R17e320cc035d4e12" /><Relationship Type="http://schemas.openxmlformats.org/officeDocument/2006/relationships/theme" Target="/xl/theme/theme1.xml" Id="Rebb5cb105ed94b12" /><Relationship Type="http://schemas.openxmlformats.org/officeDocument/2006/relationships/sharedStrings" Target="/xl/sharedStrings.xml" Id="R87c1255f40594c70" /><Relationship Type="http://schemas.openxmlformats.org/officeDocument/2006/relationships/worksheet" Target="/xl/worksheets/sheet1.xml" Id="R3182b9b9652a4b0f" /><Relationship Type="http://schemas.openxmlformats.org/officeDocument/2006/relationships/worksheet" Target="/xl/worksheets/sheet2.xml" Id="R7c1fb6ae00154350" /><Relationship Type="http://schemas.openxmlformats.org/officeDocument/2006/relationships/worksheet" Target="/xl/worksheets/sheet3.xml" Id="Rcd45e256a16a420a" /><Relationship Type="http://schemas.openxmlformats.org/officeDocument/2006/relationships/worksheet" Target="/xl/worksheets/sheet4.xml" Id="R9fec62ff31d641db" /><Relationship Type="http://schemas.openxmlformats.org/officeDocument/2006/relationships/worksheet" Target="/xl/worksheets/sheet5.xml" Id="Ra37a1ea70d9c49db" /><Relationship Type="http://schemas.openxmlformats.org/officeDocument/2006/relationships/worksheet" Target="/xl/worksheets/sheet6.xml" Id="R27adad88702f4b35" /></Relationships>
</file>

<file path=xl/drawings/_rels/drawing1.xml.rels>&#65279;<?xml version="1.0" encoding="utf-8"?><Relationships xmlns="http://schemas.openxmlformats.org/package/2006/relationships"><Relationship Type="http://schemas.openxmlformats.org/officeDocument/2006/relationships/chart" Target="/xl/drawings/charts/chart1.xml" Id="R439c5daf944c428a" /></Relationships>
</file>

<file path=xl/drawings/charts/chart1.xml><?xml version="1.0" encoding="utf-8"?>
<ns0:chartSpace xmlns:ns0="http://schemas.openxmlformats.org/drawingml/2006/chart" xmlns:ns1="http://schemas.openxmlformats.org/drawingml/2006/main">
  <ns0:lang val="en-US"/>
  <ns0:roundedCorners val="0"/>
  <ns0:chart>
    <ns0:title>
      <ns0:tx>
        <ns0:rich>
          <ns1:bodyPr/>
          <ns1:lstStyle/>
          <ns1:p>
            <ns1:r>
              <ns1:rPr/>
              <ns1:t>Games by Result — Exact Counts</ns1:t>
            </ns1:r>
          </ns1:p>
        </ns0:rich>
      </ns0:tx>
      <ns0:overlay val="0"/>
    </ns0:title>
    <ns0:autoTitleDeleted val="0"/>
    <ns0:plotArea>
      <ns0:layout/>
      <ns0:barChart>
        <ns0:barDir val="col"/>
        <ns0:grouping val="clustered"/>
        <ns0:varyColors val="0"/>
        <ns0:ser>
          <ns0:idx val="0"/>
          <ns0:order val="0"/>
          <ns0:tx>
            <ns0:v>Exact Count</ns0:v>
          </ns0:tx>
          <ns0:cat>
            <ns0:strRef>
              <ns0:f>'Summary'!$A$32:$A$34</ns0:f>
              <ns0:strCache>
                <ns0:ptCount val="0"/>
              </ns0:strCache>
            </ns0:strRef>
          </ns0:cat>
          <ns0:val>
            <ns0:numRef>
              <ns0:f>'Summary'!$B$32:$B$34</ns0:f>
              <ns0:numCache>
                <ns0:formatCode>General</ns0:formatCode>
                <ns0:ptCount val="0"/>
              </ns0:numCache>
            </ns0:numRef>
          </ns0:val>
        </ns0:ser>
        <ns0:dLbls>
          <ns0:showLegendKey val="0"/>
          <ns0:showVal val="1"/>
          <ns0:showCatName val="0"/>
          <ns0:showSerName val="0"/>
          <ns0:showPercent val="0"/>
          <ns0:showBubbleSize val="0"/>
          <ns0:showLeaderLines val="0"/>
        </ns0:dLbls>
        <ns0:axId val="48650112"/>
        <ns0:axId val="48672768"/>
      </ns0:barChart>
      <ns0:catAx>
        <ns0:axId val="48650112"/>
        <ns0:scaling>
          <ns0:orientation val="minMax"/>
        </ns0:scaling>
        <ns0:delete val="0"/>
        <ns0:axPos val="b"/>
        <ns0:majorGridlines>
          <ns0:spPr>
            <ns1:ln w="9525">
              <ns1:solidFill>
                <ns1:srgbClr val="CCCCCC"/>
              </ns1:solidFill>
              <ns1:prstDash val="dash"/>
            </ns1:ln>
          </ns0:spPr>
        </ns0:majorGridlines>
        <ns0:numFmt formatCode="General"/>
        <ns0:majorTickMark val="none"/>
        <ns0:minorTickMark val="none"/>
        <ns0:tickLblPos val="nextTo"/>
        <ns0:crossAx val="48672768"/>
        <ns0:crosses val="autoZero"/>
        <ns0:lblAlgn val="ctr"/>
        <ns0:lblOffset val="100"/>
        <ns0:noMultiLvlLbl val="0"/>
      </ns0:catAx>
      <ns0:valAx>
        <ns0:axId val="48672768"/>
        <ns0:scaling>
          <ns0:orientation val="minMax"/>
        </ns0:scaling>
        <ns0:delete val="0"/>
        <ns0:axPos val="l"/>
        <ns0:majorGridlines>
          <ns0:spPr>
            <ns1:ln w="9525">
              <ns1:solidFill>
                <ns1:srgbClr val="CCCCCC"/>
              </ns1:solidFill>
              <ns1:prstDash val="dash"/>
            </ns1:ln>
          </ns0:spPr>
        </ns0:majorGridlines>
        <ns0:numFmt formatCode="General"/>
        <ns0:majorTickMark val="none"/>
        <ns0:minorTickMark val="none"/>
        <ns0:crossAx val="48650112"/>
        <ns0:crosses val="autoZero"/>
        <ns0:crossBetween val="between"/>
      </ns0:valAx>
    </ns0:plotArea>
    <ns0:plotVisOnly val="1"/>
  </ns0:chart>
  <ns0:spPr>
    <ns1:ln w="9525">
      <ns1:solidFill>
        <ns1:srgbClr val="D9D9D9"/>
      </ns1:solidFill>
      <ns1:prstDash val="solid"/>
    </ns1:ln>
  </ns0:spPr>
</ns0:chartSpace>
</file>

<file path=xl/drawings/drawing1.xml><?xml version="1.0" encoding="utf-8"?>
<xdr:wsDr xmlns:xdr="http://schemas.openxmlformats.org/drawingml/2006/spreadsheetDrawing">
  <xdr:twoCellAnchor>
    <xdr:from>
      <xdr:col>7</xdr:col>
      <xdr:colOff>0</xdr:colOff>
      <xdr:row>2</xdr:row>
      <xdr:rowOff>0</xdr:rowOff>
    </xdr:from>
    <xdr:to>
      <xdr:col>12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9c5daf944c428a"/>
        </a:graphicData>
      </a:graphic>
    </xdr:graphicFrame>
    <xdr:clientData/>
  </xdr:twoCellAnchor>
</xdr:wsDr>
</file>

<file path=xl/tables/table1.xml><?xml version="1.0" encoding="utf-8"?>
<table xmlns="http://schemas.openxmlformats.org/spreadsheetml/2006/main" id="1" name="GameRecordsTable" displayName="GameRecordsTable" ref="A4:Z504" headerRowCount="1" totalsRowShown="0" insertRow="1" insertRowShift="0">
  <tableColumns count="26">
    <tableColumn id="1" name="Game Name"/>
    <tableColumn id="2" name="Start Date"/>
    <tableColumn id="3" name="End Date"/>
    <tableColumn id="4" name="Entry Mode"/>
    <tableColumn id="5" name="Game Type"/>
    <tableColumn id="6" name="Payment / Record Type"/>
    <tableColumn id="7" name="Gross Pot / Chips"/>
    <tableColumn id="8" name="Entry Fee"/>
    <tableColumn id="9" name="Eligible Players"/>
    <tableColumn id="10" name="Total Players"/>
    <tableColumn id="11" name="Final Earned / Chips"/>
    <tableColumn id="12" name="Disqualified / Lost Entry Fee"/>
    <tableColumn id="13" name="Notes"/>
    <tableColumn id="14" name="Adjusted Pot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entry"),IF(ISNUMBER([@[Gross Pot / Chips]]),IF(ISNUMBER(SEARCH("non",LOWER([@[Game Type]]&amp;""))),[@[Gross Pot / Chips]]*0.85,[@[Gross Pot / Chips]]),"N/A"),IF([@[Gross Pot / Chips]]="","",IFERROR(IF(ISNUMBER(SEARCH("non",LOWER([@[Game Type]]&amp;""))),[@[Gross Pot / Chips]]*0.85,[@[Gross Pot / Chips]]),"")))))</calculatedColumnFormula>
    </tableColumn>
    <tableColumn id="15" name="Estimated Earned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entry"),IF(OR(NOT(ISNUMBER([@[Adjusted Pot / Chips]])),NOT(ISNUMBER([@[Eligible Players]])),[@[Eligible Players]]=0),"N/A",IFERROR([@[Adjusted Pot / Chips]]/[@[Eligible Players]],"N/A")),IF(OR([@[Adjusted Pot / Chips]]="",[@[Eligible Players]]="",[@[Eligible Players]]=0),"",IFERROR([@[Adjusted Pot / Chips]]/[@[Eligible Players]],"")))))</calculatedColumnFormula>
    </tableColumn>
    <tableColumn id="16" name="Result Earned / Chips">
      <calculatedColumnFormula>IF(COUNTA([@[Game Name]:[Notes]])=0,"",IF(OR(LEFT(LOWER(TRIM([@[Payment / Record Type]]&amp;"")),12)="subscription",LOWER(TRIM([@[Payment / Record Type]]&amp;""))="membership"),"",IF(LOWER(TRIM([@[Entry Mode]]&amp;""))="estimate","N/A",IF(LOWER([@[Disqualified / Lost Entry Fee]]&amp;"")="yes",0,IF(OR(AND([@[Entry Fee]]&lt;&gt;"",[@[Entry Fee]]=0),LEFT(LOWER(TRIM([@[Payment / Record Type]]&amp;"")),9)="free game",LOWER(TRIM([@[Payment / Record Type]]&amp;""))="free",LOWER(TRIM([@[Payment / Record Type]]&amp;""))="free entry"),IF(ISNUMBER([@[Final Earned / Chips]]),[@[Final Earned / Chips]],""),IF([@[Final Earned / Chips]]&lt;&gt;"",[@[Final Earned / Chips]],""))))))</calculatedColumnFormula>
    </tableColumn>
    <tableColumn id="17" name="Profit">
      <calculatedColumnFormula>IF(COUNTA([@[Game Name]:[Notes]])=0,"",IF(OR([@Result]="Subscription",[@Result]=""),"",IF([@Result]="Estimate","N/A",IF([@Result]="Profit",ROUND(IFERROR([@[Result Earned / Chips]],0)-IFERROR([@[Entry Fee]],0),2),0))))</calculatedColumnFormula>
    </tableColumn>
    <tableColumn id="18" name="Draw">
      <calculatedColumnFormula>IF(COUNTA([@[Game Name]:[Notes]])=0,"",IF(OR([@Result]="Subscription",[@Result]=""),"",IF([@Result]="Estimate","N/A",IF([@Result]="Draw",[@[Entry Fee]],0))))</calculatedColumnFormula>
    </tableColumn>
    <tableColumn id="19" name="Lost">
      <calculatedColumnFormula>IF(COUNTA([@[Game Name]:[Notes]])=0,"",IF(OR([@Result]="Subscription",[@Result]=""),"",IF([@Result]="Estimate","N/A",IF([@Result]="Disqualified",[@[Entry Fee]],0))))</calculatedColumnFormula>
    </tableColumn>
    <tableColumn id="20" name="ROI">
      <calculatedColumnFormula>IF(COUNTA([@[Game Name]:[Notes]])=0,"",IF(OR([@Result]="Subscription",[@Result]=""),"",IF([@Result]="Estimate","N/A",IF(OR([@Result]="Free Game",[@Result]="Disqualified — Free Game",[@[Entry Fee]]=0),"N/A",IF([@Result]="Profit",[@Profit]/[@[Entry Fee]],IF([@Result]="Disqualified",-[@Lost]/[@[Entry Fee]],0))))))</calculatedColumnFormula>
    </tableColumn>
    <tableColumn id="21" name="Result">
      <calculatedColumnFormula>IF(COUNTA([@[Game Name]:[Notes]])=0,"",IF(OR(LEFT(LOWER(TRIM([@[Payment / Record Type]]&amp;"")),12)="subscription",LOWER(TRIM([@[Payment / Record Type]]&amp;""))="membership"),"Subscription",IF(LOWER(TRIM([@[Entry Mode]]&amp;""))="estimate","Estimate",IF(OR(AND([@[Entry Fee]]&lt;&gt;"",[@[Entry Fee]]=0),LEFT(LOWER(TRIM([@[Payment / Record Type]]&amp;"")),9)="free game",LOWER(TRIM([@[Payment / Record Type]]&amp;""))="free",LOWER(TRIM([@[Payment / Record Type]]&amp;""))="free entry"),IF(LOWER([@[Disqualified / Lost Entry Fee]]&amp;"")="yes","Disqualified — Free Game","Free Game"),IF(LOWER([@[Disqualified / Lost Entry Fee]]&amp;"")="yes","Disqualified",IF([@[Result Earned / Chips]]="","",IF(ROUND(IFERROR(VALUE([@[Result Earned / Chips]]),0)-IFERROR(VALUE([@[Entry Fee]]),0),2)&gt;0,"Profit","Draw")))))))</calculatedColumnFormula>
    </tableColumn>
    <tableColumn id="22" name="Challenge Length (Weeks)">
      <calculatedColumnFormula>IF(COUNTA([@[Game Name]:[Notes]])=0,"",IF(OR([@[Start Date]]="",[@[End Date]]="",[@[Result]]="Subscription"),"",IFERROR(ROUNDUP(([@[End Date]]-[@[Start Date]])/7,0),"")))</calculatedColumnFormula>
    </tableColumn>
    <tableColumn id="23" name="Net Profit">
      <calculatedColumnFormula>IF(COUNTA([@[Game Name]:[Notes]])=0,"",IF(OR([@Result]="Subscription",[@Result]=""),"",IF([@Result]="Estimate","N/A",IF(OR([@Result]="Free Game",[@Result]="Disqualified — Free Game"),0,ROUND(IFERROR([@Profit],0)-IFERROR([@Lost],0),2)))))</calculatedColumnFormula>
    </tableColumn>
    <tableColumn id="24" name="Eliminated Players">
      <calculatedColumnFormula>IF(COUNTA([@[Game Name]:[Notes]])=0,"",IF(OR([@[Result]]="Subscription",NOT(ISNUMBER([@[Total Players]])),NOT(ISNUMBER([@[Eligible Players]])),[@[Total Players]]=0,[@[Eligible Players]]=0,[@[Eligible Players]]&gt;[@[Total Players]]),"",[@[Total Players]]-[@[Eligible Players]]))</calculatedColumnFormula>
    </tableColumn>
    <tableColumn id="25" name="Elimination Rate">
      <calculatedColumnFormula>IF(COUNTA([@[Game Name]:[Notes]])=0,"",IF(OR([@[Result]]="Subscription",NOT(ISNUMBER([@[Total Players]])),[@[Total Players]]=0,[@[Eliminated Players]]=""),"",[@[Eliminated Players]]/[@[Total Players]]))</calculatedColumnFormula>
    </tableColumn>
    <tableColumn id="26" name="Running Net Profit">
      <calculatedColumnFormula>IF(COUNTA([@[Game Name]:[Notes]])=0,"",Instructions!$B$29+SUM(INDEX([Net Profit],1):[@[Net Profit]]))</calculatedColumnFormula>
    </tableColumn>
  </tableColumns>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StepCatChart" Type="http://schemas.openxmlformats.org/officeDocument/2006/relationships/drawing" Target="/xl/drawings/drawing1.xml" /></Relationships>
</file>

<file path=xl/worksheets/sheet1.xml><?xml version="1.0" encoding="utf-8"?>
<ns0:worksheet xmlns:ns0="http://schemas.openxmlformats.org/spreadsheetml/2006/main">
  <ns0:sheetViews>
    <ns0:sheetView workbookViewId="0">
      <ns0:pane ySplit="2" topLeftCell="A3" activePane="bottomLeft" state="frozen"/>
      <ns0:selection pane="bottomLeft" activeCell="A3" sqref="A3"/>
    </ns0:sheetView>
  </ns0:sheetViews>
  <ns0:sheetFormatPr defaultRowHeight="15"/>
  <ns0:cols>
    <ns0:col min="1" max="1" width="25" hidden="0" customWidth="1"/>
    <ns0:col min="2" max="2" width="82" hidden="0" customWidth="1"/>
    <ns0:col min="3" max="3" width="12" hidden="0" customWidth="1"/>
    <ns0:col min="4" max="4" width="12" hidden="0" customWidth="1"/>
    <ns0:col min="5" max="5" width="12" hidden="0" customWidth="1"/>
    <ns0:col min="6" max="6" width="12" hidden="0" customWidth="1"/>
    <ns0:col min="7" max="7" width="12" hidden="0" customWidth="1"/>
    <ns0:col min="8" max="8" width="12" hidden="0" customWidth="1"/>
    <ns0:col min="9" max="9" width="12" hidden="0" customWidth="1"/>
    <ns0:col min="10" max="10" width="12" hidden="0" customWidth="1"/>
  </ns0:cols>
  <ns0:sheetData>
    <ns0:row r="1" ht="22" customHeight="1">
      <ns0:c r="A1" s="870" t="inlineStr">
        <ns0:is>
          <ns0:t>StepCat Workbook Instructions — v251.1</ns0:t>
        </ns0:is>
      </ns0:c>
      <ns0:c r="B1" s="870"/>
      <ns0:c r="C1" s="837"/>
      <ns0:c r="D1" s="837"/>
      <ns0:c r="E1" s="837"/>
      <ns0:c r="F1" s="837"/>
      <ns0:c r="G1" s="837"/>
      <ns0:c r="H1" s="837"/>
      <ns0:c r="I1" s="837"/>
      <ns0:c r="J1" s="837"/>
    </ns0:row>
    <ns0:row r="2" ht="20" customHeight="1">
      <ns0:c r="A2" s="589" t="str">
        <ns0:v>Use this sheet as the reference for entering records, carrying totals forward, and understanding calculations.</ns0:v>
      </ns0:c>
      <ns0:c r="B2" s="589"/>
      <ns0:c r="C2" s="589"/>
      <ns0:c r="D2" s="589"/>
      <ns0:c r="E2" s="589"/>
      <ns0:c r="F2" s="589"/>
      <ns0:c r="G2" s="589"/>
      <ns0:c r="H2" s="589"/>
      <ns0:c r="I2" s="589"/>
      <ns0:c r="J2" s="589"/>
    </ns0:row>
    <ns0:row r="3" ht="72" hidden="0" customHeight="1">
      <ns0:c r="A3" s="528" t="str">
        <ns0:v>Start here</ns0:v>
      </ns0:c>
      <ns0:c r="B3" s="532" t="str">
        <ns0:v>Enter or paste each new record in a prepared Game Records row beginning with A5. In Microsoft Excel, a forgotten game may also be added directly above or below an existing game by choosing Insert Table Rows Above/Below inside the Game Records table. Paste while the column-A cell is selected, not while a text cursor is editing inside the cell.</ns0:v>
      </ns0:c>
      <ns0:c r="C3" s="833"/>
      <ns0:c r="D3" s="833"/>
      <ns0:c r="E3" s="833"/>
      <ns0:c r="F3" s="833"/>
      <ns0:c r="G3" s="833"/>
      <ns0:c r="H3" s="833"/>
      <ns0:c r="I3" s="833"/>
      <ns0:c r="J3" s="833"/>
    </ns0:row>
    <ns0:row r="4" ht="52" hidden="0" customHeight="1">
      <ns0:c r="A4" s="970" t="str">
        <ns0:v>Editable columns</ns0:v>
      </ns0:c>
      <ns0:c r="B4" s="972" t="str">
        <ns0:v>Use columns A–M for record information. Columns N–Z contain formulas and update automatically in prepared rows and in Excel table rows inserted inside Game Records.</ns0:v>
      </ns0:c>
      <ns0:c r="C4" s="833"/>
      <ns0:c r="D4" s="833"/>
      <ns0:c r="E4" s="833"/>
      <ns0:c r="F4" s="833"/>
      <ns0:c r="G4" s="833"/>
      <ns0:c r="H4" s="833"/>
      <ns0:c r="I4" s="833"/>
      <ns0:c r="J4" s="833"/>
    </ns0:row>
    <ns0:row r="5" ht="44" hidden="0" customHeight="1">
      <ns0:c r="A5" s="528" t="str">
        <ns0:v>Calculation fields</ns0:v>
      </ns0:c>
      <ns0:c r="B5" s="532" t="inlineStr">
        <ns0:is>
          <ns0:t>Use the fields that apply to the selected Estimate or Finalized mode. Estimate records are projections only; their accounting columns remain N/A and cash totals do not change until the same row is Finalized. Other fields may remain blank when they do not apply.</ns0:t>
        </ns0:is>
      </ns0:c>
      <ns0:c r="C5" s="833"/>
      <ns0:c r="D5" s="833"/>
      <ns0:c r="E5" s="833"/>
      <ns0:c r="F5" s="833"/>
      <ns0:c r="G5" s="833"/>
      <ns0:c r="H5" s="833"/>
      <ns0:c r="I5" s="833"/>
      <ns0:c r="J5" s="833"/>
    </ns0:row>
    <ns0:row r="6" ht="44" hidden="0" customHeight="1">
      <ns0:c r="A6" s="528" t="str">
        <ns0:v>Yellow input cells</ns0:v>
      </ns0:c>
      <ns0:c r="B6" s="532" t="str">
        <ns0:v>All A:M input cells are yellow because they are editable. They remain yellow whether blank or filled.</ns0:v>
      </ns0:c>
      <ns0:c r="C6" s="833"/>
      <ns0:c r="D6" s="833"/>
      <ns0:c r="E6" s="833"/>
      <ns0:c r="F6" s="833"/>
      <ns0:c r="G6" s="833"/>
      <ns0:c r="H6" s="833"/>
      <ns0:c r="I6" s="833"/>
      <ns0:c r="J6" s="833"/>
    </ns0:row>
    <ns0:row r="7" ht="78" hidden="0" customHeight="1">
      <ns0:c r="A7" s="528" t="str">
        <ns0:v>Record Review</ns0:v>
      </ns0:c>
      <ns0:c r="B7" s="532" t="str">
        <ns0:v>Record Review is formula-driven and should not be edited directly. Enter or revise records only in Game Records A–M. It assigns each non-subscription game a Game # and Game Records ID, shows the calculated result, review flags, and Notes. Prepared rows may remain blank until a matching game exists. Selecting a cell may show its formula in the formula bar; this is normal. Formula text should not appear as the displayed cell value.</ns0:v>
      </ns0:c>
      <ns0:c r="C7" s="833"/>
      <ns0:c r="D7" s="833"/>
      <ns0:c r="E7" s="833"/>
      <ns0:c r="F7" s="833"/>
      <ns0:c r="G7" s="833"/>
      <ns0:c r="H7" s="833"/>
      <ns0:c r="I7" s="833"/>
      <ns0:c r="J7" s="833"/>
    </ns0:row>
    <ns0:row r="8" ht="28" hidden="0" customHeight="1">
      <ns0:c r="A8" s="528" t="str">
        <ns0:v>Profit rule</ns0:v>
      </ns0:c>
      <ns0:c r="B8" s="532" t="str">
        <ns0:v>Profit means Result Earned is above Entry Fee.</ns0:v>
      </ns0:c>
      <ns0:c r="C8" s="833"/>
      <ns0:c r="D8" s="833"/>
      <ns0:c r="E8" s="833"/>
      <ns0:c r="F8" s="833"/>
      <ns0:c r="G8" s="833"/>
      <ns0:c r="H8" s="833"/>
      <ns0:c r="I8" s="833"/>
      <ns0:c r="J8" s="833"/>
    </ns0:row>
    <ns0:row r="9" ht="61" hidden="0" customHeight="1">
      <ns0:c r="A9" s="528" t="str">
        <ns0:v>Draw rule</ns0:v>
      </ns0:c>
      <ns0:c r="B9" s="532" t="inlineStr">
        <ns0:is>
          <ns0:t>A finalized paid game earning the Entry Fee or less is treated as a Draw with $0.00 net profit. Estimate rows preserve the exact projection but do not post Profit, Draw, Lost, ROI, or Net Profit accounting until finalized.</ns0:t>
        </ns0:is>
      </ns0:c>
      <ns0:c r="C9" s="833"/>
      <ns0:c r="D9" s="833"/>
      <ns0:c r="E9" s="833"/>
      <ns0:c r="F9" s="833"/>
      <ns0:c r="G9" s="833"/>
      <ns0:c r="H9" s="833"/>
      <ns0:c r="I9" s="833"/>
      <ns0:c r="J9" s="833"/>
    </ns0:row>
    <ns0:row r="10" ht="44" hidden="0" customHeight="1">
      <ns0:c r="A10" s="528" t="str">
        <ns0:v>Loss rule</ns0:v>
      </ns0:c>
      <ns0:c r="B10" s="532" t="str">
        <ns0:v>A monetary loss occurs only when Disqualified / Lost Entry Fee is Yes on a paid entry; the full Entry Fee is counted as lost.</ns0:v>
      </ns0:c>
      <ns0:c r="C10" s="833"/>
      <ns0:c r="D10" s="833"/>
      <ns0:c r="E10" s="833"/>
      <ns0:c r="F10" s="833"/>
      <ns0:c r="G10" s="833"/>
      <ns0:c r="H10" s="833"/>
      <ns0:c r="I10" s="833"/>
      <ns0:c r="J10" s="833"/>
    </ns0:row>
    <ns0:row r="11" ht="61" hidden="0" customHeight="1">
      <ns0:c r="A11" s="528" t="str">
        <ns0:v>Subscriptions</ns0:v>
      </ns0:c>
      <ns0:c r="B11" s="532" t="str">
        <ns0:v>For the annual platform membership, select “Subscription — membership charge only” and enter the annual cost in Entry Fee. This is a non-game expense and must not be used for a free-entry challenge.</ns0:v>
      </ns0:c>
      <ns0:c r="C11" s="833"/>
      <ns0:c r="D11" s="833"/>
      <ns0:c r="E11" s="833"/>
      <ns0:c r="F11" s="833"/>
      <ns0:c r="G11" s="833"/>
      <ns0:c r="H11" s="833"/>
      <ns0:c r="I11" s="833"/>
      <ns0:c r="J11" s="833"/>
    </ns0:row>
    <ns0:row r="12" ht="52" hidden="0" customHeight="1">
      <ns0:c r="A12" s="528" t="str">
        <ns0:v>Free games</ns0:v>
      </ns0:c>
      <ns0:c r="B12" s="532" t="str">
        <ns0:v>Select “Free Game — completed challenge/chips” for a completed free-entry challenge or a record that awards chips/game credit. Enter chips in Final Earned / Chips when known. When the estimate inputs are unavailable, Adjusted Pot / Chips and Estimated Earned / Chips display N/A instead of an error or misleading zero.</ns0:v>
      </ns0:c>
      <ns0:c r="C12" s="833"/>
      <ns0:c r="D12" s="833"/>
      <ns0:c r="E12" s="833"/>
      <ns0:c r="F12" s="833"/>
      <ns0:c r="G12" s="833"/>
      <ns0:c r="H12" s="833"/>
      <ns0:c r="I12" s="833"/>
      <ns0:c r="J12" s="833"/>
    </ns0:row>
    <ns0:row r="13" ht="61" hidden="0" customHeight="1">
      <ns0:c r="A13" s="528" t="str">
        <ns0:v>Summary</ns0:v>
      </ns0:c>
      <ns0:c r="B13" s="532" t="str">
        <ns0:v>Summary uses exact counts and cash totals. Free Games are shown separately from paid-game Profit, Draw, and Disqualified counts, and their chips are reported in a separate non-cash total.</ns0:v>
      </ns0:c>
      <ns0:c r="C13" s="833"/>
      <ns0:c r="D13" s="833"/>
      <ns0:c r="E13" s="833"/>
      <ns0:c r="F13" s="833"/>
      <ns0:c r="G13" s="833"/>
      <ns0:c r="H13" s="833"/>
      <ns0:c r="I13" s="833"/>
      <ns0:c r="J13" s="833"/>
    </ns0:row>
    <ns0:row r="14" ht="78" hidden="0" customHeight="1">
      <ns0:c r="A14" s="528" t="str">
        <ns0:v>Game Comparisons</ns0:v>
      </ns0:c>
      <ns0:c r="B14" s="532" t="str">
        <ns0:v>The paid table compares Member, Non-Member, Unclassified, and All Paid Games. A separate Free Game Chip Performance section shows completed, disqualified, chips-earned, eliminated-player, and elimination-rate statistics. Subscription rows are excluded.</ns0:v>
      </ns0:c>
      <ns0:c r="C14" s="833"/>
      <ns0:c r="D14" s="833"/>
      <ns0:c r="E14" s="833"/>
      <ns0:c r="F14" s="833"/>
      <ns0:c r="G14" s="833"/>
      <ns0:c r="H14" s="833"/>
      <ns0:c r="I14" s="833"/>
      <ns0:c r="J14" s="833"/>
    </ns0:row>
    <ns0:row r="15" ht="44" hidden="0" customHeight="1">
      <ns0:c r="A15" s="528" t="str">
        <ns0:v>Gross Profit Earned</ns0:v>
      </ns0:c>
      <ns0:c r="B15" s="532" t="str">
        <ns0:v>The sum of positive paid-game cash profit before subtracting lost entry fees or membership fees. Free Game chips are excluded.</ns0:v>
      </ns0:c>
      <ns0:c r="C15" s="833"/>
      <ns0:c r="D15" s="833"/>
      <ns0:c r="E15" s="833"/>
      <ns0:c r="F15" s="833"/>
      <ns0:c r="G15" s="833"/>
      <ns0:c r="H15" s="833"/>
      <ns0:c r="I15" s="833"/>
      <ns0:c r="J15" s="833"/>
    </ns0:row>
    <ns0:row r="16" ht="44" hidden="0" customHeight="1">
      <ns0:c r="A16" s="528" t="str">
        <ns0:v>Net Game Profit</ns0:v>
      </ns0:c>
      <ns0:c r="B16" s="532" t="str">
        <ns0:v>Gross paid-game cash profit minus total lost entry fees. Free Game chips are excluded from cash net profit.</ns0:v>
      </ns0:c>
      <ns0:c r="C16" s="833"/>
      <ns0:c r="D16" s="833"/>
      <ns0:c r="E16" s="833"/>
      <ns0:c r="F16" s="833"/>
      <ns0:c r="G16" s="833"/>
      <ns0:c r="H16" s="833"/>
      <ns0:c r="I16" s="833"/>
      <ns0:c r="J16" s="833"/>
    </ns0:row>
    <ns0:row r="17" ht="68" hidden="0" customHeight="1">
      <ns0:c r="A17" s="528" t="str">
        <ns0:v>Actual Running Net Profit</ns0:v>
      </ns0:c>
      <ns0:c r="B17" s="532" t="inlineStr">
        <ns0:is>
          <ns0:t>Running Net Game Profit minus current and carryover annual subscription or membership costs. Estimate rows and Free Game chips do not change cash totals.</ns0:t>
        </ns0:is>
      </ns0:c>
      <ns0:c r="C17" s="833"/>
      <ns0:c r="D17" s="833"/>
      <ns0:c r="E17" s="833"/>
      <ns0:c r="F17" s="833"/>
      <ns0:c r="G17" s="833"/>
      <ns0:c r="H17" s="833"/>
      <ns0:c r="I17" s="833"/>
      <ns0:c r="J17" s="833"/>
    </ns0:row>
    <ns0:row r="18" ht="96" hidden="0" customHeight="1">
      <ns0:c r="A18" s="528" t="str">
        <ns0:v>Column Z colors</ns0:v>
      </ns0:c>
      <ns0:c r="B18" s="532" t="inlineStr">
        <ns0:is>
          <ns0:t>Column Z shows cumulative net game profit. Estimate rows carry forward the preceding total unchanged. Its color describes the current finalized result or record type, not whether the cumulative total is positive or negative.</ns0:t>
        </ns0:is>
      </ns0:c>
      <ns0:c r="C18" s="833"/>
      <ns0:c r="D18" s="833"/>
      <ns0:c r="E18" s="833"/>
      <ns0:c r="F18" s="833"/>
      <ns0:c r="G18" s="833"/>
      <ns0:c r="H18" s="833"/>
      <ns0:c r="I18" s="833"/>
      <ns0:c r="J18" s="833"/>
    </ns0:row>
    <ns0:row r="19" ht="28" hidden="0" customHeight="1">
      <ns0:c r="A19" s="528" t="str">
        <ns0:v>Light green</ns0:v>
      </ns0:c>
      <ns0:c r="B19" s="598" t="str">
        <ns0:v>Profit</ns0:v>
      </ns0:c>
      <ns0:c r="C19" s="833"/>
      <ns0:c r="D19" s="833"/>
      <ns0:c r="E19" s="833"/>
      <ns0:c r="F19" s="833"/>
      <ns0:c r="G19" s="833"/>
      <ns0:c r="H19" s="833"/>
      <ns0:c r="I19" s="833"/>
      <ns0:c r="J19" s="833"/>
    </ns0:row>
    <ns0:row r="20" ht="28" hidden="0" customHeight="1">
      <ns0:c r="A20" s="528" t="str">
        <ns0:v>Light gray</ns0:v>
      </ns0:c>
      <ns0:c r="B20" s="599" t="str">
        <ns0:v>Draw</ns0:v>
      </ns0:c>
      <ns0:c r="C20" s="833"/>
      <ns0:c r="D20" s="833"/>
      <ns0:c r="E20" s="833"/>
      <ns0:c r="F20" s="833"/>
      <ns0:c r="G20" s="833"/>
      <ns0:c r="H20" s="833"/>
      <ns0:c r="I20" s="833"/>
      <ns0:c r="J20" s="833"/>
    </ns0:row>
    <ns0:row r="21" ht="28" hidden="0" customHeight="1">
      <ns0:c r="A21" s="528" t="str">
        <ns0:v>Pale yellow / cream</ns0:v>
      </ns0:c>
      <ns0:c r="B21" s="600" t="str">
        <ns0:v>Free Game / chips</ns0:v>
      </ns0:c>
      <ns0:c r="C21" s="833"/>
      <ns0:c r="D21" s="833"/>
      <ns0:c r="E21" s="833"/>
      <ns0:c r="F21" s="833"/>
      <ns0:c r="G21" s="833"/>
      <ns0:c r="H21" s="833"/>
      <ns0:c r="I21" s="833"/>
      <ns0:c r="J21" s="833"/>
    </ns0:row>
    <ns0:row r="22" ht="28" hidden="0" customHeight="1">
      <ns0:c r="A22" s="528" t="str">
        <ns0:v>Light blue</ns0:v>
      </ns0:c>
      <ns0:c r="B22" s="554" t="str">
        <ns0:v>Subscription</ns0:v>
      </ns0:c>
      <ns0:c r="C22" s="833"/>
      <ns0:c r="D22" s="833"/>
      <ns0:c r="E22" s="833"/>
      <ns0:c r="F22" s="833"/>
      <ns0:c r="G22" s="833"/>
      <ns0:c r="H22" s="833"/>
      <ns0:c r="I22" s="833"/>
      <ns0:c r="J22" s="833"/>
    </ns0:row>
    <ns0:row r="23" ht="28" hidden="0" customHeight="1">
      <ns0:c r="A23" s="528" t="str">
        <ns0:v>Light red</ns0:v>
      </ns0:c>
      <ns0:c r="B23" s="601" t="str">
        <ns0:v>Disqualified / Lost Entry Fee</ns0:v>
      </ns0:c>
      <ns0:c r="C23" s="833"/>
      <ns0:c r="D23" s="833"/>
      <ns0:c r="E23" s="833"/>
      <ns0:c r="F23" s="833"/>
      <ns0:c r="G23" s="833"/>
      <ns0:c r="H23" s="833"/>
      <ns0:c r="I23" s="833"/>
      <ns0:c r="J23" s="833"/>
    </ns0:row>
    <ns0:row r="24" ht="44" hidden="0" customHeight="1">
      <ns0:c r="A24" s="528" t="str">
        <ns0:v>Workbook Capacity</ns0:v>
      </ns0:c>
      <ns0:c r="B24" s="532" t="str">
        <ns0:v>Rows 5–504 provide exactly 500 record rows. Row 505 marks the archive boundary; rows beneath it are inactive.</ns0:v>
      </ns0:c>
      <ns0:c r="C24" s="833"/>
      <ns0:c r="D24" s="833"/>
      <ns0:c r="E24" s="833"/>
      <ns0:c r="F24" s="833"/>
      <ns0:c r="G24" s="833"/>
      <ns0:c r="H24" s="833"/>
      <ns0:c r="I24" s="833"/>
      <ns0:c r="J24" s="833"/>
    </ns0:row>
    <ns0:row r="25" ht="44" hidden="0" customHeight="1">
      <ns0:c r="A25" s="528" t="str">
        <ns0:v>Starting Midyear</ns0:v>
      </ns0:c>
      <ns0:c r="B25" s="532" t="str">
        <ns0:v>Enter prior net game profit, prior subscription costs, and prior completed-game count in Carryover Setup.</ns0:v>
      </ns0:c>
      <ns0:c r="C25" s="833"/>
      <ns0:c r="D25" s="833"/>
      <ns0:c r="E25" s="833"/>
      <ns0:c r="F25" s="833"/>
      <ns0:c r="G25" s="833"/>
      <ns0:c r="H25" s="833"/>
      <ns0:c r="I25" s="833"/>
      <ns0:c r="J25" s="833"/>
    </ns0:row>
    <ns0:row r="26" ht="52" hidden="0" customHeight="1">
      <ns0:c r="A26" s="528" t="str">
        <ns0:v>Manual Entry</ns0:v>
      </ns0:c>
      <ns0:c r="B26" s="532" t="str">
        <ns0:v>All A:M input cells remain yellow to identify editable cells. Categorical fields provide dropdown choices, and all record information may be entered manually or copied from StepCat. Changes made later in A:M recalculate the row when its N:Z formulas are present.</ns0:v>
      </ns0:c>
      <ns0:c r="C26" s="833"/>
      <ns0:c r="D26" s="833"/>
      <ns0:c r="E26" s="833"/>
      <ns0:c r="F26" s="833"/>
      <ns0:c r="G26" s="833"/>
      <ns0:c r="H26" s="833"/>
      <ns0:c r="I26" s="833"/>
      <ns0:c r="J26" s="833"/>
    </ns0:row>
    <ns0:row r="27" ht="12" hidden="0" customHeight="1">
      <ns0:c r="A27" s="809"/>
      <ns0:c r="B27" s="809"/>
      <ns0:c r="C27" s="833"/>
      <ns0:c r="D27" s="833"/>
      <ns0:c r="E27" s="833"/>
      <ns0:c r="F27" s="833"/>
      <ns0:c r="G27" s="833"/>
      <ns0:c r="H27" s="833"/>
      <ns0:c r="I27" s="833"/>
      <ns0:c r="J27" s="833"/>
    </ns0:row>
    <ns0:row r="28" ht="30" hidden="0" customHeight="1">
      <ns0:c r="A28" s="968" t="str">
        <ns0:v>Carryover</ns0:v>
      </ns0:c>
      <ns0:c r="B28" s="969" t="str">
        <ns0:v>Enter prior totals once, then continue with only new records.</ns0:v>
      </ns0:c>
      <ns0:c r="C28" s="835"/>
      <ns0:c r="D28" s="835"/>
      <ns0:c r="E28" s="835"/>
      <ns0:c r="F28" s="835"/>
      <ns0:c r="G28" s="835"/>
      <ns0:c r="H28" s="835"/>
      <ns0:c r="I28" s="835"/>
      <ns0:c r="J28" s="835"/>
    </ns0:row>
    <ns0:row r="29" ht="26" hidden="0" customHeight="1">
      <ns0:c r="A29" s="528" t="str">
        <ns0:v>Prior Net Game Profit</ns0:v>
      </ns0:c>
      <ns0:c r="B29" s="602" t="n">
        <ns0:v>0</ns0:v>
      </ns0:c>
      <ns0:c r="C29" s="833"/>
      <ns0:c r="D29" s="833"/>
      <ns0:c r="E29" s="833"/>
      <ns0:c r="F29" s="833"/>
      <ns0:c r="G29" s="833"/>
      <ns0:c r="H29" s="833"/>
      <ns0:c r="I29" s="833"/>
      <ns0:c r="J29" s="833"/>
    </ns0:row>
    <ns0:row r="30" ht="26" hidden="0" customHeight="1">
      <ns0:c r="A30" s="528" t="str">
        <ns0:v>Prior Subscription Costs</ns0:v>
      </ns0:c>
      <ns0:c r="B30" s="602" t="n">
        <ns0:v>0</ns0:v>
      </ns0:c>
      <ns0:c r="C30" s="833"/>
      <ns0:c r="D30" s="833"/>
      <ns0:c r="E30" s="833"/>
      <ns0:c r="F30" s="833"/>
      <ns0:c r="G30" s="833"/>
      <ns0:c r="H30" s="833"/>
      <ns0:c r="I30" s="833"/>
      <ns0:c r="J30" s="833"/>
    </ns0:row>
    <ns0:row r="31" ht="26" hidden="0" customHeight="1">
      <ns0:c r="A31" s="528" t="str">
        <ns0:v>Prior Game Count</ns0:v>
      </ns0:c>
      <ns0:c r="B31" s="603" t="n">
        <ns0:v>0</ns0:v>
      </ns0:c>
      <ns0:c r="C31" s="833"/>
      <ns0:c r="D31" s="833"/>
      <ns0:c r="E31" s="833"/>
      <ns0:c r="F31" s="833"/>
      <ns0:c r="G31" s="833"/>
      <ns0:c r="H31" s="833"/>
      <ns0:c r="I31" s="833"/>
      <ns0:c r="J31" s="833"/>
    </ns0:row>
    <ns0:row r="32" ht="44" hidden="0" customHeight="1">
      <ns0:c r="A32" s="528" t="str">
        <ns0:v>Step 1 — Note prior totals</ns0:v>
      </ns0:c>
      <ns0:c r="B32" s="532" t="str">
        <ns0:v>Open the completed or archived workbook and note its ending Net Game Profit, subscription costs already paid, and completed-game count.</ns0:v>
      </ns0:c>
      <ns0:c r="C32" s="833"/>
      <ns0:c r="D32" s="833"/>
      <ns0:c r="E32" s="833"/>
      <ns0:c r="F32" s="833"/>
      <ns0:c r="G32" s="833"/>
      <ns0:c r="H32" s="833"/>
      <ns0:c r="I32" s="833"/>
      <ns0:c r="J32" s="833"/>
    </ns0:row>
    <ns0:row r="33" ht="44" hidden="0" customHeight="1">
      <ns0:c r="A33" s="528" t="str">
        <ns0:v>Step 2 — Enter once</ns0:v>
      </ns0:c>
      <ns0:c r="B33" s="532" t="str">
        <ns0:v>Enter those three figures once in B29:B31. Do not create Game Records rows for the carryover values.</ns0:v>
      </ns0:c>
      <ns0:c r="C33" s="833"/>
      <ns0:c r="D33" s="833"/>
      <ns0:c r="E33" s="833"/>
      <ns0:c r="F33" s="833"/>
      <ns0:c r="G33" s="833"/>
      <ns0:c r="H33" s="833"/>
      <ns0:c r="I33" s="833"/>
      <ns0:c r="J33" s="833"/>
    </ns0:row>
    <ns0:row r="34" ht="44" hidden="0" customHeight="1">
      <ns0:c r="A34" s="528" t="str">
        <ns0:v>Step 3 — Continue records</ns0:v>
      </ns0:c>
      <ns0:c r="B34" s="532" t="str">
        <ns0:v>Begin new records on Game Records row 5. Enter only activity that occurred after the previous workbook ended.</ns0:v>
      </ns0:c>
      <ns0:c r="C34" s="833"/>
      <ns0:c r="D34" s="833"/>
      <ns0:c r="E34" s="833"/>
      <ns0:c r="F34" s="833"/>
      <ns0:c r="G34" s="833"/>
      <ns0:c r="H34" s="833"/>
      <ns0:c r="I34" s="833"/>
      <ns0:c r="J34" s="833"/>
    </ns0:row>
    <ns0:row r="35" ht="44" hidden="0" customHeight="1">
      <ns0:c r="A35" s="528" t="str">
        <ns0:v>Step 4 — Check totals</ns0:v>
      </ns0:c>
      <ns0:c r="B35" s="532" t="str">
        <ns0:v>Running totals and Summary should begin with the carryover figures and then add the new workbook's records.</ns0:v>
      </ns0:c>
      <ns0:c r="C35" s="826"/>
      <ns0:c r="D35" s="826"/>
      <ns0:c r="E35" s="826"/>
      <ns0:c r="F35" s="826"/>
      <ns0:c r="G35" s="826"/>
      <ns0:c r="H35" s="826"/>
      <ns0:c r="I35" s="833"/>
      <ns0:c r="J35" s="833"/>
    </ns0:row>
    <ns0:row r="36" ht="78" hidden="0" customHeight="1">
      <ns0:c r="A36" s="964" t="str">
        <ns0:v>Important</ns0:v>
      </ns0:c>
      <ns0:c r="B36" s="965" t="inlineStr">
        <ns0:is>
          <ns0:t>Use Carryover only when continuing from another workbook or starting partway through a year. Prior Game Count includes finalized completed games only; exclude Subscription rows and Estimate rows. Do not re-enter prior games or prior subscription payments.</ns0:t>
        </ns0:is>
      </ns0:c>
      <ns0:c r="C36" s="833"/>
      <ns0:c r="D36" s="833"/>
      <ns0:c r="E36" s="833"/>
      <ns0:c r="F36" s="833"/>
      <ns0:c r="G36" s="833"/>
      <ns0:c r="H36" s="833"/>
      <ns0:c r="I36" s="833"/>
      <ns0:c r="J36" s="833"/>
    </ns0:row>
    <ns0:row r="37" ht="12" hidden="0" customHeight="1">
      <ns0:c r="A37" s="808"/>
      <ns0:c r="B37" s="809"/>
      <ns0:c r="C37" s="833"/>
      <ns0:c r="D37" s="833"/>
      <ns0:c r="E37" s="833"/>
      <ns0:c r="F37" s="833"/>
      <ns0:c r="G37" s="833"/>
      <ns0:c r="H37" s="833"/>
      <ns0:c r="I37" s="833"/>
      <ns0:c r="J37" s="833"/>
    </ns0:row>
    <ns0:row r="38" ht="30" hidden="0" customHeight="1">
      <ns0:c r="A38" s="968" t="str">
        <ns0:v>Calculations</ns0:v>
      </ns0:c>
      <ns0:c r="B38" s="969" t="str">
        <ns0:v>Reference for how the workbook determines results and totals.</ns0:v>
      </ns0:c>
      <ns0:c r="C38" s="835"/>
      <ns0:c r="D38" s="835"/>
      <ns0:c r="E38" s="835"/>
      <ns0:c r="F38" s="835"/>
      <ns0:c r="G38" s="835"/>
      <ns0:c r="H38" s="835"/>
      <ns0:c r="I38" s="835"/>
      <ns0:c r="J38" s="835"/>
    </ns0:row>
    <ns0:row r="39" ht="28" hidden="0" customHeight="1">
      <ns0:c r="A39" s="528" t="str">
        <ns0:v>Member games</ns0:v>
      </ns0:c>
      <ns0:c r="B39" s="532" t="str">
        <ns0:v>Adjusted Pot uses 100% of Gross Pot.</ns0:v>
      </ns0:c>
      <ns0:c r="C39" s="833"/>
      <ns0:c r="D39" s="833"/>
      <ns0:c r="E39" s="833"/>
      <ns0:c r="F39" s="833"/>
      <ns0:c r="G39" s="833"/>
      <ns0:c r="H39" s="833"/>
      <ns0:c r="I39" s="833"/>
      <ns0:c r="J39" s="833"/>
    </ns0:row>
    <ns0:row r="40" ht="28" hidden="0" customHeight="1">
      <ns0:c r="A40" s="528" t="str">
        <ns0:v>Non-Member games</ns0:v>
      </ns0:c>
      <ns0:c r="B40" s="532" t="str">
        <ns0:v>Adjusted Pot uses 85% of Gross Pot.</ns0:v>
      </ns0:c>
      <ns0:c r="C40" s="833"/>
      <ns0:c r="D40" s="833"/>
      <ns0:c r="E40" s="833"/>
      <ns0:c r="F40" s="833"/>
      <ns0:c r="G40" s="833"/>
      <ns0:c r="H40" s="833"/>
      <ns0:c r="I40" s="833"/>
      <ns0:c r="J40" s="833"/>
    </ns0:row>
    <ns0:row r="41" ht="61" hidden="0" customHeight="1">
      <ns0:c r="A41" s="528" t="str">
        <ns0:v>Estimated Earned</ns0:v>
      </ns0:c>
      <ns0:c r="B41" s="532" t="inlineStr">
        <ns0:is>
          <ns0:t>Adjusted Pot divided by Eligible Players. This is a projection only. On Estimate rows, Result Earned / Chips, Profit, Draw, Lost Entry Fee, ROI, and Net Profit show N/A; Result shows Estimate; Running Net Profit remains unchanged. When the game ends, replace the same row’s A–M values with the Finalized record—do not add a second row for that game.</ns0:t>
        </ns0:is>
      </ns0:c>
      <ns0:c r="C41" s="833"/>
      <ns0:c r="D41" s="833"/>
      <ns0:c r="E41" s="833"/>
      <ns0:c r="F41" s="833"/>
      <ns0:c r="G41" s="833"/>
      <ns0:c r="H41" s="833"/>
      <ns0:c r="I41" s="833"/>
      <ns0:c r="J41" s="833"/>
    </ns0:row>
    <ns0:row r="42" ht="61" hidden="0" customHeight="1">
      <ns0:c r="A42" s="528" t="str">
        <ns0:v>Profit</ns0:v>
      </ns0:c>
      <ns0:c r="B42" s="532" t="inlineStr">
        <ns0:is>
          <ns0:t>On Finalized rows, Result Earned above Entry Fee is Profit; Net Profit is Result Earned minus Entry Fee. Estimate rows remain outside accounting until finalized.</ns0:t>
        </ns0:is>
      </ns0:c>
      <ns0:c r="C42" s="833"/>
      <ns0:c r="D42" s="833"/>
      <ns0:c r="E42" s="833"/>
      <ns0:c r="F42" s="833"/>
      <ns0:c r="G42" s="833"/>
      <ns0:c r="H42" s="833"/>
      <ns0:c r="I42" s="833"/>
      <ns0:c r="J42" s="833"/>
    </ns0:row>
    <ns0:row r="43" ht="12" hidden="0" customHeight="1"/>
    <ns0:row r="44" ht="61" hidden="0" customHeight="1">
      <ns0:c r="A44" s="528" t="str">
        <ns0:v>Draw</ns0:v>
      </ns0:c>
      <ns0:c r="B44" s="532" t="str">
        <ns0:v>A normal completed paid game earning the Entry Fee or less records $0.00 Net Profit while preserving the exact Estimated Earned or Final Earned amount.</ns0:v>
      </ns0:c>
      <ns0:c r="C44" s="833"/>
      <ns0:c r="D44" s="833"/>
      <ns0:c r="E44" s="833"/>
      <ns0:c r="F44" s="833"/>
      <ns0:c r="G44" s="833"/>
      <ns0:c r="H44" s="833"/>
      <ns0:c r="I44" s="833"/>
      <ns0:c r="J44" s="833"/>
    </ns0:row>
    <ns0:row r="45" ht="52" hidden="0" customHeight="1">
      <ns0:c r="A45" s="528" t="str">
        <ns0:v>Disqualified</ns0:v>
      </ns0:c>
      <ns0:c r="B45" s="532" t="str">
        <ns0:v>Paid entry: Final Earned / Chips and Result Earned / Chips should show $0.00, and the full Entry Fee is recorded as lost. Free Game: the disqualification status is preserved, 0.00 chips are earned, and no monetary Entry Fee loss is recorded.</ns0:v>
      </ns0:c>
      <ns0:c r="C45" s="833"/>
      <ns0:c r="D45" s="833"/>
      <ns0:c r="E45" s="833"/>
      <ns0:c r="F45" s="833"/>
      <ns0:c r="G45" s="833"/>
      <ns0:c r="H45" s="833"/>
      <ns0:c r="I45" s="833"/>
      <ns0:c r="J45" s="833"/>
    </ns0:row>
    <ns0:row r="46" ht="44" hidden="0" customHeight="1">
      <ns0:c r="A46" s="528" t="str">
        <ns0:v>ROI</ns0:v>
      </ns0:c>
      <ns0:c r="B46" s="532" t="str">
        <ns0:v>Net Profit divided by Entry Fee. When Entry Fee is $0, ROI displays N/A because division by zero is undefined.</ns0:v>
      </ns0:c>
      <ns0:c r="C46" s="833"/>
      <ns0:c r="D46" s="833"/>
      <ns0:c r="E46" s="833"/>
      <ns0:c r="F46" s="833"/>
      <ns0:c r="G46" s="833"/>
      <ns0:c r="H46" s="833"/>
      <ns0:c r="I46" s="833"/>
      <ns0:c r="J46" s="833"/>
    </ns0:row>
    <ns0:row r="47" ht="61" hidden="0" customHeight="1">
      <ns0:c r="A47" s="528" t="str">
        <ns0:v>Running Net Profit</ns0:v>
      </ns0:c>
      <ns0:c r="B47" s="532" t="str">
        <ns0:v>Prior Net Game Profit plus current-workbook cash Net Profit, accumulated row by row. Free Game chips do not change the total; Draw and Subscription rows may repeat the preceding total.</ns0:v>
      </ns0:c>
      <ns0:c r="C47" s="833"/>
      <ns0:c r="D47" s="833"/>
      <ns0:c r="E47" s="833"/>
      <ns0:c r="F47" s="833"/>
      <ns0:c r="G47" s="833"/>
      <ns0:c r="H47" s="833"/>
      <ns0:c r="I47" s="833"/>
      <ns0:c r="J47" s="833"/>
    </ns0:row>
    <ns0:row r="48" ht="44" hidden="0" customHeight="1">
      <ns0:c r="A48" s="528" t="str">
        <ns0:v>Subscription effect</ns0:v>
      </ns0:c>
      <ns0:c r="B48" s="532" t="str">
        <ns0:v>A Subscription row is excluded from game counts and game results. Its cost is subtracted only in Actual Net Profit.</ns0:v>
      </ns0:c>
      <ns0:c r="C48" s="833"/>
      <ns0:c r="D48" s="833"/>
      <ns0:c r="E48" s="833"/>
      <ns0:c r="F48" s="833"/>
      <ns0:c r="G48" s="833"/>
      <ns0:c r="H48" s="833"/>
      <ns0:c r="I48" s="833"/>
      <ns0:c r="J48" s="833"/>
    </ns0:row>
    <ns0:row r="49" ht="88" customHeight="1">
      <ns0:c r="A49" s="973" t="inlineStr">
        <ns0:is>
          <ns0:t>What changed in v251.1</ns0:t>
        </ns0:is>
      </ns0:c>
      <ns0:c r="B49" s="975" t="inlineStr">
        <ns0:is>
          <ns0:t>v251.1 separates projections from finalized accounting. Estimate rows now show Result = Estimate, display N/A in Result Earned / Chips, Profit, Draw, Lost Entry Fee, ROI, and Net Profit, and leave all cash totals unchanged until the same row is Finalized. The frozen instruction band is taller and shorter so its text remains readable, while all v250.3 validation, membership, restore, and row-copy behavior is preserved.</ns0:t>
        </ns0:is>
      </ns0:c>
      <ns0:c r="C49" s="833"/>
      <ns0:c r="D49" s="833"/>
      <ns0:c r="E49" s="833"/>
      <ns0:c r="F49" s="833"/>
      <ns0:c r="G49" s="833"/>
      <ns0:c r="H49" s="833"/>
      <ns0:c r="I49" s="833"/>
      <ns0:c r="J49" s="833"/>
    </ns0:row>
    <ns0:row r="50" ht="72" customHeight="1">
      <ns0:c r="A50" s="598" t="str">
        <ns0:v>Adding a forgotten game in Excel</ns0:v>
      </ns0:c>
      <ns0:c r="B50" s="989" t="str">
        <ns0:v>Click a cell inside Game Records, insert a Table Row Above or Table Row Below at the correct location, and enter or paste A:M. The table is designed to extend formulas, dropdowns, and formatting into the inserted row. Confirm that Record Review does not show “Formula columns missing.”</ns0:v>
      </ns0:c>
      <ns0:c r="C50" s="833"/>
      <ns0:c r="D50" s="833"/>
      <ns0:c r="E50" s="833"/>
      <ns0:c r="F50" s="833"/>
      <ns0:c r="G50" s="833"/>
      <ns0:c r="H50" s="833"/>
      <ns0:c r="I50" s="833"/>
      <ns0:c r="J50" s="833"/>
    </ns0:row>
    <ns0:row r="51" ht="72" customHeight="1">
      <ns0:c r="A51" s="977" t="str">
        <ns0:v>Google Sheets or manual fallback</ns0:v>
      </ns0:c>
      <ns0:c r="B51" s="979" t="str">
        <ns0:v>Some spreadsheet programs may not preserve Excel calculated-table behavior. Use the next prepared blank row, enter or paste A:M, then sort the complete A:Z record area by Start Date. If an inserted row ever lacks formulas, copy N:Z from the adjacent working row before entering data.</ns0:v>
      </ns0:c>
      <ns0:c r="C51" s="833"/>
      <ns0:c r="D51" s="833"/>
      <ns0:c r="E51" s="833"/>
      <ns0:c r="F51" s="833"/>
      <ns0:c r="G51" s="833"/>
      <ns0:c r="H51" s="833"/>
      <ns0:c r="I51" s="833"/>
      <ns0:c r="J51" s="833"/>
    </ns0:row>
    <ns0:row r="52" ht="78" customHeight="1">
      <ns0:c r="A52" s="554" t="inlineStr">
        <ns0:is>
          <ns0:t>Migrating to v251.1</ns0:t>
        </ns0:is>
      </ns0:c>
      <ns0:c r="B52" s="990" t="inlineStr">
        <ns0:is>
          <ns0:t>New users should begin with v251.1. Existing users should copy only populated Game Records A5:M cells into the v251.1 workbook, preferably as values only. Do not replace formula columns N–Z or copy entire sheets. Keep the older workbook as a backup until records, Record Review, and totals are verified.</ns0:t>
        </ns0:is>
      </ns0:c>
      <ns0:c r="C52" s="833"/>
      <ns0:c r="D52" s="833"/>
      <ns0:c r="E52" s="833"/>
      <ns0:c r="F52" s="833"/>
      <ns0:c r="G52" s="833"/>
      <ns0:c r="H52" s="833"/>
      <ns0:c r="I52" s="833"/>
      <ns0:c r="J52" s="833"/>
    </ns0:row>
    <ns0:row r="53" ht="64" customHeight="1">
      <ns0:c r="A53" s="973" t="inlineStr">
        <ns0:is>
          <ns0:t>Workflow updates in v251.1</ns0:t>
        </ns0:is>
      </ns0:c>
      <ns0:c r="B53" s="975" t="inlineStr">
        <ns0:is>
          <ns0:t>The app now begins with Entry Mode, provides Start New Entry, shortens the form, and uses tap-accessible information controls instead of permanently expanded helper text.</ns0:t>
        </ns0:is>
      </ns0:c>
      <ns0:c r="C53" s="833"/>
      <ns0:c r="D53" s="833"/>
      <ns0:c r="E53" s="833"/>
      <ns0:c r="F53" s="833"/>
      <ns0:c r="G53" s="833"/>
      <ns0:c r="H53" s="833"/>
      <ns0:c r="I53" s="833"/>
      <ns0:c r="J53" s="833"/>
    </ns0:row>
    <ns0:row r="54" ht="72" hidden="0" customHeight="1">
      <ns0:c r="A54" s="528" t="inlineStr">
        <ns0:is>
          <ns0:t>Finalize This Estimate</ns0:t>
        </ns0:is>
      </ns0:c>
      <ns0:c r="B54" s="532" t="inlineStr">
        <ns0:is>
          <ns0:t>Use the visible action on an Estimate card. StepCat asks only for completed information and updates the existing Saved History record rather than creating a duplicate.</ns0:t>
        </ns0:is>
      </ns0:c>
      <ns0:c r="C54" s="833"/>
      <ns0:c r="D54" s="833"/>
      <ns0:c r="E54" s="833"/>
      <ns0:c r="F54" s="833"/>
      <ns0:c r="G54" s="833"/>
      <ns0:c r="H54" s="833"/>
      <ns0:c r="I54" s="833"/>
      <ns0:c r="J54" s="833"/>
    </ns0:row>
    <ns0:row r="55" ht="76" hidden="0" customHeight="1">
      <ns0:c r="A55" s="528" t="inlineStr">
        <ns0:is>
          <ns0:t>Disqualification control</ns0:t>
        </ns0:is>
      </ns0:c>
      <ns0:c r="B55" s="532" t="inlineStr">
        <ns0:is>
          <ns0:t>The status control appears immediately before Final Earned / Chips. It is dimmed in Estimate mode, neutral when off, red when on, and automatically locks Final Earned at 0.00.</ns0:t>
        </ns0:is>
      </ns0:c>
      <ns0:c r="C55" s="833"/>
      <ns0:c r="D55" s="833"/>
      <ns0:c r="E55" s="833"/>
      <ns0:c r="F55" s="833"/>
      <ns0:c r="G55" s="833"/>
      <ns0:c r="H55" s="833"/>
      <ns0:c r="I55" s="833"/>
      <ns0:c r="J55" s="833"/>
    </ns0:row>
    <ns0:row r="56" ht="70" hidden="0" customHeight="1">
      <ns0:c r="A56" s="528" t="inlineStr">
        <ns0:is>
          <ns0:t>Remembered choices</ns0:t>
        </ns0:is>
      </ns0:c>
      <ns0:c r="B56" s="532" t="inlineStr">
        <ns0:is>
          <ns0:t>Entry Mode, Membership Type, and Payment / Record Type can be remembered when enabled. Missing required values still block saving, and Disqualified always resets for a new entry.</ns0:t>
        </ns0:is>
      </ns0:c>
      <ns0:c r="C56" s="833"/>
      <ns0:c r="D56" s="833"/>
      <ns0:c r="E56" s="833"/>
      <ns0:c r="F56" s="833"/>
      <ns0:c r="G56" s="833"/>
      <ns0:c r="H56" s="833"/>
      <ns0:c r="I56" s="833"/>
      <ns0:c r="J56" s="833"/>
    </ns0:row>
    <ns0:row r="57" ht="70" hidden="0" customHeight="1">
      <ns0:c r="A57" s="528" t="inlineStr">
        <ns0:is>
          <ns0:t>Validation display</ns0:t>
        </ns0:is>
      </ns0:c>
      <ns0:c r="B57" s="532" t="inlineStr">
        <ns0:is>
          <ns0:t>Blocking errors appear beside the affected field, in a short summary near Calculate &amp; Save, and in one brief toast after a save attempt. The app scrolls to the first error.</ns0:t>
        </ns0:is>
      </ns0:c>
      <ns0:c r="C57" s="833"/>
      <ns0:c r="D57" s="833"/>
      <ns0:c r="E57" s="833"/>
      <ns0:c r="F57" s="833"/>
      <ns0:c r="G57" s="833"/>
      <ns0:c r="H57" s="833"/>
      <ns0:c r="I57" s="833"/>
      <ns0:c r="J57" s="833"/>
    </ns0:row>
    <ns0:row r="58" ht="64" customHeight="1">
      <ns0:c r="A58" s="973" t="inlineStr">
        <ns0:is>
          <ns0:t>Workbook appearance in v251.1</ns0:t>
        </ns0:is>
      </ns0:c>
      <ns0:c r="B58" s="975" t="inlineStr">
        <ns0:is>
          <ns0:t>The workbook keeps the StepCat brown, amber, orange, cream, and gold structure. Pale gold marks editable A–M cells; blue-gray marks formulas; result colors remain semantic.</ns0:t>
        </ns0:is>
      </ns0:c>
      <ns0:c r="C58" s="833"/>
      <ns0:c r="D58" s="833"/>
      <ns0:c r="E58" s="833"/>
      <ns0:c r="F58" s="833"/>
      <ns0:c r="G58" s="833"/>
      <ns0:c r="H58" s="833"/>
      <ns0:c r="I58" s="833"/>
      <ns0:c r="J58" s="833"/>
    </ns0:row>
    <ns0:row r="59" ht="70" hidden="0" customHeight="1">
      <ns0:c r="A59" s="528" t="inlineStr">
        <ns0:is>
          <ns0:t>Games by Result</ns0:t>
        </ns0:is>
      </ns0:c>
      <ns0:c r="B59" s="532" t="inlineStr">
        <ns0:is>
          <ns0:t>The Summary chart and tally show exact Profit, Draw, and Disqualified counts. Subscription / Membership Fee rows remain separate non-game costs, and Free Games remain separate credit.</ns0:t>
        </ns0:is>
      </ns0:c>
      <ns0:c r="C59" s="833"/>
      <ns0:c r="D59" s="833"/>
      <ns0:c r="E59" s="833"/>
      <ns0:c r="F59" s="833"/>
      <ns0:c r="G59" s="833"/>
      <ns0:c r="H59" s="833"/>
      <ns0:c r="I59" s="833"/>
      <ns0:c r="J59" s="833"/>
    </ns0:row>
    <ns0:row r="60" ht="52" hidden="0" customHeight="1">
      <ns0:c r="A60" s="528" t="inlineStr">
        <ns0:is>
          <ns0:t>Blank report states</ns0:t>
        </ns0:is>
      </ns0:c>
      <ns0:c r="B60" s="532" t="inlineStr">
        <ns0:is>
          <ns0:t>Reports use clear no-data messages instead of presenting a category named None when no qualifying finalized records exist.</ns0:t>
        </ns0:is>
      </ns0:c>
      <ns0:c r="C60" s="833"/>
      <ns0:c r="D60" s="833"/>
      <ns0:c r="E60" s="833"/>
      <ns0:c r="F60" s="833"/>
      <ns0:c r="G60" s="833"/>
      <ns0:c r="H60" s="833"/>
      <ns0:c r="I60" s="833"/>
      <ns0:c r="J60" s="833"/>
    </ns0:row>
    <ns0:row r="61" ht="46" hidden="0" customHeight="1">
      <ns0:c r="A61" s="528" t="inlineStr">
        <ns0:is>
          <ns0:t>Header readability</ns0:t>
        </ns0:is>
      </ns0:c>
      <ns0:c r="B61" s="532" t="inlineStr">
        <ns0:is>
          <ns0:t>Game Records row 4 is taller and wrapped so the frozen header remains readable without clipping.</ns0:t>
        </ns0:is>
      </ns0:c>
      <ns0:c r="C61" s="833"/>
      <ns0:c r="D61" s="833"/>
      <ns0:c r="E61" s="833"/>
      <ns0:c r="F61" s="833"/>
      <ns0:c r="G61" s="833"/>
      <ns0:c r="H61" s="833"/>
      <ns0:c r="I61" s="833"/>
      <ns0:c r="J61" s="833"/>
    </ns0:row>
    <ns0:row r="62" ht="58" hidden="0" customHeight="1">
      <ns0:c r="A62" s="528" t="inlineStr">
        <ns0:is>
          <ns0:t>Spreadsheet Copy Help</ns0:t>
        </ns0:is>
      </ns0:c>
      <ns0:c r="B62" s="532" t="inlineStr">
        <ns0:is>
          <ns0:t>Users may hide the extra copying guidance after learning the workflow. Copy This Sheet Row and Copy All Sheet Rows remain available and automatic.</ns0:t>
        </ns0:is>
      </ns0:c>
      <ns0:c r="C62" s="833"/>
      <ns0:c r="D62" s="833"/>
      <ns0:c r="E62" s="833"/>
      <ns0:c r="F62" s="833"/>
      <ns0:c r="G62" s="833"/>
      <ns0:c r="H62" s="833"/>
      <ns0:c r="I62" s="833"/>
      <ns0:c r="J62" s="833"/>
    </ns0:row>
    <ns0:row r="63" ht="58" customHeight="1">
      <ns0:c r="A63" s="598" t="inlineStr">
        <ns0:is>
          <ns0:t>Release safety</ns0:t>
        </ns0:is>
      </ns0:c>
      <ns0:c r="B63" s="989" t="inlineStr">
        <ns0:is>
          <ns0:t>The version currently published on GitHub remains live until v251.1 is deliberately uploaded. Keep the older workbook as a backup while migrating records.</ns0:t>
        </ns0:is>
      </ns0:c>
      <ns0:c r="C63" s="833"/>
      <ns0:c r="D63" s="833"/>
      <ns0:c r="E63" s="833"/>
      <ns0:c r="F63" s="833"/>
      <ns0:c r="G63" s="833"/>
      <ns0:c r="H63" s="833"/>
      <ns0:c r="I63" s="833"/>
      <ns0:c r="J63" s="833"/>
    </ns0:row>
    <ns0:row r="64" ht="12" hidden="0" customHeight="1"/>
    <ns0:row r="65" ht="74" hidden="0" customHeight="1">
      <ns0:c r="A65" s="528" t="inlineStr">
        <ns0:is>
          <ns0:t>v251.1 release checklist</ns0:t>
        </ns0:is>
      </ns0:c>
      <ns0:c r="B65" s="532" t="inlineStr">
        <ns0:is>
          <ns0:t>Regression-test Start New Entry, Finalize This Estimate, remembered choices, changed validation, a complete A–M row paste, Estimate-to-Finalized row replacement, and hosted installation/update behavior.</ns0:t>
        </ns0:is>
      </ns0:c>
      <ns0:c r="C65" s="833"/>
      <ns0:c r="D65" s="833"/>
      <ns0:c r="E65" s="833"/>
      <ns0:c r="F65" s="833"/>
      <ns0:c r="G65" s="833"/>
      <ns0:c r="H65" s="833"/>
      <ns0:c r="I65" s="833"/>
      <ns0:c r="J65" s="833"/>
    </ns0:row>
  </ns0:sheetData>
  <ns0:mergeCells>
    <ns0:mergeCell ref="A1:B1"/>
    <ns0:mergeCell ref="A2:B2"/>
  </ns0:mergeCells>
  <ns0:pageMargins left="0.7" right="0.7" top="0.75" bottom="0.75" header="0.3" footer="0.3"/>
</ns0:worksheet>
</file>

<file path=xl/worksheets/sheet2.xml><?xml version="1.0" encoding="utf-8"?>
<ns0:worksheet xmlns:ns0="http://schemas.openxmlformats.org/spreadsheetml/2006/main" xmlns:r="http://schemas.openxmlformats.org/officeDocument/2006/relationships">
  <ns0:sheetViews>
    <ns0:sheetView workbookViewId="0">
      <ns0:pane ySplit="4" topLeftCell="A5" activePane="bottomLeft" state="frozen"/>
      <ns0:selection pane="bottomLeft" activeCell="A5" sqref="A5"/>
    </ns0:sheetView>
  </ns0:sheetViews>
  <ns0:sheetFormatPr defaultRowHeight="15"/>
  <ns0:cols>
    <ns0:col min="1" max="1" width="27" hidden="0" customWidth="1"/>
    <ns0:col min="2" max="2" width="12" hidden="0" customWidth="1"/>
    <ns0:col min="3" max="3" width="12" hidden="0" customWidth="1"/>
    <ns0:col min="4" max="4" width="15" hidden="0" customWidth="1"/>
    <ns0:col min="5" max="5" width="15" hidden="0" customWidth="1"/>
    <ns0:col min="6" max="6" width="18" hidden="0" customWidth="1"/>
    <ns0:col min="7" max="7" width="13" hidden="0" customWidth="1"/>
    <ns0:col min="8" max="8" width="13" hidden="0" customWidth="1"/>
    <ns0:col min="9" max="9" width="14" hidden="0" customWidth="1"/>
    <ns0:col min="10" max="10" width="14" hidden="0" customWidth="1"/>
    <ns0:col min="11" max="11" width="17" hidden="0" customWidth="1"/>
    <ns0:col min="12" max="12" width="18" hidden="0" customWidth="1"/>
    <ns0:col min="13" max="13" width="34" hidden="0" customWidth="1"/>
    <ns0:col min="14" max="14" width="14" hidden="0" customWidth="1"/>
    <ns0:col min="15" max="15" width="14" hidden="0" customWidth="1"/>
    <ns0:col min="16" max="16" width="14" hidden="0" customWidth="1"/>
    <ns0:col min="17" max="17" width="12" hidden="0" customWidth="1"/>
    <ns0:col min="18" max="18" width="12" hidden="0" customWidth="1"/>
    <ns0:col min="19" max="19" width="14" hidden="0" customWidth="1"/>
    <ns0:col min="20" max="20" width="10" hidden="0" customWidth="1"/>
    <ns0:col min="21" max="21" width="28" hidden="0" customWidth="1"/>
    <ns0:col min="22" max="22" width="21" hidden="0" customWidth="1"/>
    <ns0:col min="23" max="23" width="12" hidden="0" customWidth="1"/>
    <ns0:col min="24" max="24" width="12" hidden="0" customWidth="1"/>
    <ns0:col min="25" max="25" width="12" hidden="0" customWidth="1"/>
    <ns0:col min="26" max="26" width="16" hidden="0" customWidth="1"/>
  </ns0:cols>
  <ns0:sheetData>
    <ns0:row r="1" ht="18" customHeight="1">
      <ns0:c r="A1" s="143">
        <ns0:f>"Running Net Game Profit: "&amp;TEXT(Instructions!$B$29+SUM($W$5:$W$504),"$#,##0.00")&amp;"  |  Gross Profit Earned: "&amp;TEXT(SUM($Q$5:$Q$504),"$#,##0.00")&amp;"  |  Total Lost Entry Fees: "&amp;TEXT(SUM($S$5:$S$504),"$#,##0.00")&amp;"  |  StepCat v251.1"</ns0:f>
      </ns0:c>
      <ns0:c r="B1" s="143"/>
      <ns0:c r="C1" s="143"/>
      <ns0:c r="D1" s="143"/>
      <ns0:c r="E1" s="143"/>
      <ns0:c r="F1" s="143"/>
      <ns0:c r="G1" s="143"/>
      <ns0:c r="H1" s="143"/>
      <ns0:c r="I1" s="143"/>
      <ns0:c r="J1" s="143"/>
      <ns0:c r="K1" s="143"/>
      <ns0:c r="L1" s="143"/>
      <ns0:c r="M1" s="143"/>
      <ns0:c r="N1" s="143"/>
      <ns0:c r="O1" s="143"/>
      <ns0:c r="P1" s="143"/>
      <ns0:c r="Q1" s="143"/>
      <ns0:c r="R1" s="143"/>
      <ns0:c r="S1" s="143"/>
      <ns0:c r="T1" s="143"/>
      <ns0:c r="U1" s="143"/>
      <ns0:c r="V1" s="143"/>
      <ns0:c r="W1" s="143"/>
      <ns0:c r="X1" s="143"/>
      <ns0:c r="Y1" s="143"/>
      <ns0:c r="Z1" s="143"/>
    </ns0:row>
    <ns0:row r="2" ht="42" customHeight="1">
      <ns0:c r="A2" s="76" t="inlineStr">
        <ns0:is>
          <ns0:t>Rows 5–504 are prepared. Enter or paste only in A:M; N:Z calculate automatically. Estimate rows remain projections: accounting columns show N/A and cash totals do not change until the same row is Finalized. Archive at row 505.</ns0:t>
        </ns0:is>
      </ns0:c>
      <ns0:c r="B2" s="76"/>
      <ns0:c r="C2" s="76"/>
      <ns0:c r="D2" s="76"/>
      <ns0:c r="E2" s="76"/>
      <ns0:c r="F2" s="76"/>
      <ns0:c r="G2" s="76"/>
      <ns0:c r="H2" s="76"/>
      <ns0:c r="I2" s="76"/>
      <ns0:c r="J2" s="76"/>
      <ns0:c r="K2" s="76"/>
      <ns0:c r="L2" s="76"/>
      <ns0:c r="M2" s="76"/>
      <ns0:c r="N2" s="76"/>
      <ns0:c r="O2" s="76"/>
      <ns0:c r="P2" s="76"/>
      <ns0:c r="Q2" s="76"/>
      <ns0:c r="R2" s="76"/>
      <ns0:c r="S2" s="76"/>
      <ns0:c r="T2" s="76"/>
      <ns0:c r="U2" s="76"/>
      <ns0:c r="V2" s="76"/>
      <ns0:c r="W2" s="76"/>
      <ns0:c r="X2" s="76"/>
      <ns0:c r="Y2" s="76"/>
      <ns0:c r="Z2" s="76"/>
    </ns0:row>
    <ns0:row r="3" ht="12" customHeight="1">
      <ns0:c r="A3" s="100" t="str">
        <ns0:v>A:M — Inputs only</ns0:v>
      </ns0:c>
      <ns0:c r="B3" s="100"/>
      <ns0:c r="C3" s="100"/>
      <ns0:c r="D3" s="100"/>
      <ns0:c r="E3" s="100"/>
      <ns0:c r="F3" s="100"/>
      <ns0:c r="G3" s="100"/>
      <ns0:c r="H3" s="100"/>
      <ns0:c r="I3" s="100"/>
      <ns0:c r="J3" s="100"/>
      <ns0:c r="K3" s="100"/>
      <ns0:c r="L3" s="100"/>
      <ns0:c r="M3" s="100"/>
      <ns0:c r="N3" s="100" t="str">
        <ns0:v>N:Z — Formula columns — do not edit</ns0:v>
      </ns0:c>
      <ns0:c r="O3" s="100"/>
      <ns0:c r="P3" s="100"/>
      <ns0:c r="Q3" s="100"/>
      <ns0:c r="R3" s="100"/>
      <ns0:c r="S3" s="100"/>
      <ns0:c r="T3" s="100"/>
      <ns0:c r="U3" s="100"/>
      <ns0:c r="V3" s="100"/>
      <ns0:c r="W3" s="100"/>
      <ns0:c r="X3" s="100"/>
      <ns0:c r="Y3" s="100"/>
      <ns0:c r="Z3" s="100"/>
    </ns0:row>
    <ns0:row r="4" ht="52" customHeight="1">
      <ns0:c r="A4" s="95" t="str">
        <ns0:v>Game Name</ns0:v>
      </ns0:c>
      <ns0:c r="B4" s="95" t="str">
        <ns0:v>Start Date</ns0:v>
      </ns0:c>
      <ns0:c r="C4" s="95" t="str">
        <ns0:v>End Date</ns0:v>
      </ns0:c>
      <ns0:c r="D4" s="95" t="str">
        <ns0:v>Entry Mode</ns0:v>
      </ns0:c>
      <ns0:c r="E4" s="95" t="str">
        <ns0:v>Game Type</ns0:v>
      </ns0:c>
      <ns0:c r="F4" s="95" t="str">
        <ns0:v>Payment / Record Type</ns0:v>
      </ns0:c>
      <ns0:c r="G4" s="95" t="str">
        <ns0:v>Gross Pot / Chips</ns0:v>
      </ns0:c>
      <ns0:c r="H4" s="95" t="str">
        <ns0:v>Entry Fee</ns0:v>
      </ns0:c>
      <ns0:c r="I4" s="95" t="str">
        <ns0:v>Eligible Players</ns0:v>
      </ns0:c>
      <ns0:c r="J4" s="95" t="str">
        <ns0:v>Total Players</ns0:v>
      </ns0:c>
      <ns0:c r="K4" s="95" t="str">
        <ns0:v>Final Earned / Chips</ns0:v>
      </ns0:c>
      <ns0:c r="L4" s="95" t="str">
        <ns0:v>Disqualified / Lost Entry Fee</ns0:v>
      </ns0:c>
      <ns0:c r="M4" s="95" t="str">
        <ns0:v>Notes</ns0:v>
      </ns0:c>
      <ns0:c r="N4" s="294" t="str">
        <ns0:v>Adjusted Pot / Chips</ns0:v>
      </ns0:c>
      <ns0:c r="O4" s="294" t="str">
        <ns0:v>Estimated Earned / Chips</ns0:v>
      </ns0:c>
      <ns0:c r="P4" s="294" t="str">
        <ns0:v>Result Earned / Chips</ns0:v>
      </ns0:c>
      <ns0:c r="Q4" s="294" t="str">
        <ns0:v>Profit</ns0:v>
      </ns0:c>
      <ns0:c r="R4" s="294" t="str">
        <ns0:v>Draw</ns0:v>
      </ns0:c>
      <ns0:c r="S4" s="294" t="str">
        <ns0:v>Lost</ns0:v>
      </ns0:c>
      <ns0:c r="T4" s="294" t="str">
        <ns0:v>ROI</ns0:v>
      </ns0:c>
      <ns0:c r="U4" s="294" t="str">
        <ns0:v>Result</ns0:v>
      </ns0:c>
      <ns0:c r="V4" s="954" t="str">
        <ns0:v>Challenge Length (Weeks)</ns0:v>
      </ns0:c>
      <ns0:c r="W4" s="294" t="str">
        <ns0:v>Net Profit</ns0:v>
      </ns0:c>
      <ns0:c r="X4" s="294" t="str">
        <ns0:v>Eliminated Players</ns0:v>
      </ns0:c>
      <ns0:c r="Y4" s="294" t="str">
        <ns0:v>Elimination Rate</ns0:v>
      </ns0:c>
      <ns0:c r="Z4" s="294" t="str">
        <ns0:v>Running Net Profit</ns0:v>
      </ns0:c>
    </ns0:row>
    <ns0:row r="5" ht="36" customHeight="1">
      <ns0:c r="A5" s="439"/>
      <ns0:c r="B5" s="449"/>
      <ns0:c r="C5" s="449"/>
      <ns0:c r="D5" s="450"/>
      <ns0:c r="E5" s="450"/>
      <ns0:c r="F5" s="450"/>
      <ns0:c r="G5" s="985"/>
      <ns0:c r="H5" s="451"/>
      <ns0:c r="I5" s="452"/>
      <ns0:c r="J5" s="452"/>
      <ns0:c r="K5" s="985"/>
      <ns0:c r="L5" s="450"/>
      <ns0:c r="M5" s="439"/>
      <ns0:c r="N5" s="987" t="str">
        <ns0:f>IF(COUNTA($A5:$M5)=0,"",IF(OR(LEFT(LOWER(TRIM($F5&amp;"")),12)="subscription",LOWER(TRIM($F5&amp;""))="membership"),"",IF(OR(AND($H5&lt;&gt;"",$H5=0),LEFT(LOWER(TRIM($F5&amp;"")),9)="free game",LOWER(TRIM($F5&amp;""))="free",LOWER(TRIM($F5&amp;""))="free entry"),IF(ISNUMBER($G5),IF(ISNUMBER(SEARCH("non",LOWER($E5&amp;""))),$G5*0.85,$G5),"N/A"),IF($G5="","",IFERROR(IF(ISNUMBER(SEARCH("non",LOWER($E5&amp;""))),$G5*0.85,$G5),"")))))</ns0:f>
        <ns0:v/>
      </ns0:c>
      <ns0:c r="O5" s="987" t="str">
        <ns0:f>IF(COUNTA($A5:$M5)=0,"",IF(OR(LEFT(LOWER(TRIM($F5&amp;"")),12)="subscription",LOWER(TRIM($F5&amp;""))="membership"),"",IF(OR(AND($H5&lt;&gt;"",$H5=0),LEFT(LOWER(TRIM($F5&amp;"")),9)="free game",LOWER(TRIM($F5&amp;""))="free",LOWER(TRIM($F5&amp;""))="free entry"),IF(OR(NOT(ISNUMBER($N5)),NOT(ISNUMBER($I5)),$I5=0),"N/A",IFERROR($N5/$I5,"N/A")),IF(OR($N5="",$I5="",$I5=0),"",IFERROR($N5/$I5,"")))))</ns0:f>
        <ns0:v/>
      </ns0:c>
      <ns0:c r="P5" s="987">
        <ns0:f>IF(COUNTA($A5:$M5)=0,"",IF(OR(LEFT(LOWER(TRIM($F5&amp;"")),12)="subscription",LOWER(TRIM($F5&amp;""))="membership"),"",IF(LOWER(TRIM($D5&amp;""))="estimate","N/A",IF(LOWER($L5&amp;"")="yes",0,IF(OR(AND($H5&lt;&gt;"",$H5=0),LEFT(LOWER(TRIM($F5&amp;"")),9)="free game",LOWER(TRIM($F5&amp;""))="free",LOWER(TRIM($F5&amp;""))="free entry"),IF(ISNUMBER($K5),$K5,""),IF($K5&lt;&gt;"",$K5,""))))))</ns0:f>
      </ns0:c>
      <ns0:c r="Q5" s="114">
        <ns0:f>IF(COUNTA($A5:$M5)=0,"",IF(OR($U5="Subscription",$U5=""),"",IF($U5="Estimate","N/A",IF($U5="Profit",ROUND(IFERROR($P5,0)-IFERROR($H5,0),2),0))))</ns0:f>
      </ns0:c>
      <ns0:c r="R5" s="114">
        <ns0:f>IF(COUNTA($A5:$M5)=0,"",IF(OR($U5="Subscription",$U5=""),"",IF($U5="Estimate","N/A",IF($U5="Draw",$H5,0))))</ns0:f>
      </ns0:c>
      <ns0:c r="S5" s="114">
        <ns0:f>IF(COUNTA($A5:$M5)=0,"",IF(OR($U5="Subscription",$U5=""),"",IF($U5="Estimate","N/A",IF($U5="Disqualified",$H5,0))))</ns0:f>
      </ns0:c>
      <ns0:c r="T5" s="955">
        <ns0:f>IF(COUNTA($A5:$M5)=0,"",IF(OR($U5="Subscription",$U5=""),"",IF($U5="Estimate","N/A",IF(OR($U5="Free Game",$U5="Disqualified — Free Game",$H5=0),"N/A",IF($U5="Profit",$Q5/$H5,IF($U5="Disqualified",-$S5/$H5,0))))))</ns0:f>
      </ns0:c>
      <ns0:c r="U5" s="920">
        <ns0:f>IF(COUNTA($A5:$M5)=0,"",IF(OR(LEFT(LOWER(TRIM($F5&amp;"")),12)="subscription",LOWER(TRIM($F5&amp;""))="membership"),"Subscription",IF(LOWER(TRIM($D5&amp;""))="estimate","Estimate",IF(OR(AND($H5&lt;&gt;"",$H5=0),LEFT(LOWER(TRIM($F5&amp;"")),9)="free game",LOWER(TRIM($F5&amp;""))="free",LOWER(TRIM($F5&amp;""))="free entry"),IF(LOWER($L5&amp;"")="yes","Disqualified — Free Game","Free Game"),IF(LOWER($L5&amp;"")="yes","Disqualified",IF($P5="","",IF(ROUND(IFERROR(VALUE($P5),0)-IFERROR(VALUE($H5),0),2)&gt;0,"Profit","Draw")))))))</ns0:f>
      </ns0:c>
      <ns0:c r="V5" s="956" t="str">
        <ns0:f>IF(COUNTA($A5:$M5)=0,"",IF(OR($B5="",$C5="",$U5="Subscription"),"",IFERROR(ROUNDUP(($C5-$B5)/7,0),"")))</ns0:f>
      </ns0:c>
      <ns0:c r="W5" s="114">
        <ns0:f>IF(COUNTA($A5:$M5)=0,"",IF(OR($U5="Subscription",$U5=""),"",IF($U5="Estimate","N/A",IF(OR($U5="Free Game",$U5="Disqualified — Free Game"),0,ROUND(IFERROR($Q5,0)-IFERROR($S5,0),2)))))</ns0:f>
      </ns0:c>
      <ns0:c r="X5" s="956" t="str">
        <ns0:f>IF(COUNTA($A5:$M5)=0,"",IF(OR($U5="Subscription",NOT(ISNUMBER($J5)),NOT(ISNUMBER($I5)),$J5=0,$I5=0,$I5&gt;$J5),"",$J5-$I5))</ns0:f>
      </ns0:c>
      <ns0:c r="Y5" s="955" t="str">
        <ns0:f>IF(COUNTA($A5:$M5)=0,"",IF(OR($U5="Subscription",NOT(ISNUMBER($J5)),$J5=0,$X5=""),"",$X5/$J5))</ns0:f>
      </ns0:c>
      <ns0:c r="Z5" s="957" t="str">
        <ns0:f>IF(COUNTA($A5:$M5)=0,"",Instructions!$B$29+SUM($W$5:W5))</ns0:f>
      </ns0:c>
    </ns0:row>
    <ns0:row r="6" ht="36" customHeight="1">
      <ns0:c r="A6" s="439"/>
      <ns0:c r="B6" s="453"/>
      <ns0:c r="C6" s="453"/>
      <ns0:c r="D6" s="454"/>
      <ns0:c r="E6" s="454"/>
      <ns0:c r="F6" s="454"/>
      <ns0:c r="G6" s="986"/>
      <ns0:c r="H6" s="455"/>
      <ns0:c r="I6" s="456"/>
      <ns0:c r="J6" s="456"/>
      <ns0:c r="K6" s="986"/>
      <ns0:c r="L6" s="454"/>
      <ns0:c r="M6" s="439"/>
      <ns0:c r="N6" s="987" t="str">
        <ns0:f>IF(COUNTA($A6:$M6)=0,"",IF(OR(LEFT(LOWER(TRIM($F6&amp;"")),12)="subscription",LOWER(TRIM($F6&amp;""))="membership"),"",IF(OR(AND($H6&lt;&gt;"",$H6=0),LEFT(LOWER(TRIM($F6&amp;"")),9)="free game",LOWER(TRIM($F6&amp;""))="free",LOWER(TRIM($F6&amp;""))="free entry"),IF(ISNUMBER($G6),IF(ISNUMBER(SEARCH("non",LOWER($E6&amp;""))),$G6*0.85,$G6),"N/A"),IF($G6="","",IFERROR(IF(ISNUMBER(SEARCH("non",LOWER($E6&amp;""))),$G6*0.85,$G6),"")))))</ns0:f>
        <ns0:v/>
      </ns0:c>
      <ns0:c r="O6" s="987" t="str">
        <ns0:f>IF(COUNTA($A6:$M6)=0,"",IF(OR(LEFT(LOWER(TRIM($F6&amp;"")),12)="subscription",LOWER(TRIM($F6&amp;""))="membership"),"",IF(OR(AND($H6&lt;&gt;"",$H6=0),LEFT(LOWER(TRIM($F6&amp;"")),9)="free game",LOWER(TRIM($F6&amp;""))="free",LOWER(TRIM($F6&amp;""))="free entry"),IF(OR(NOT(ISNUMBER($N6)),NOT(ISNUMBER($I6)),$I6=0),"N/A",IFERROR($N6/$I6,"N/A")),IF(OR($N6="",$I6="",$I6=0),"",IFERROR($N6/$I6,"")))))</ns0:f>
        <ns0:v/>
      </ns0:c>
      <ns0:c r="P6" s="987">
        <ns0:f>IF(COUNTA($A6:$M6)=0,"",IF(OR(LEFT(LOWER(TRIM($F6&amp;"")),12)="subscription",LOWER(TRIM($F6&amp;""))="membership"),"",IF(LOWER(TRIM($D6&amp;""))="estimate","N/A",IF(LOWER($L6&amp;"")="yes",0,IF(OR(AND($H6&lt;&gt;"",$H6=0),LEFT(LOWER(TRIM($F6&amp;"")),9)="free game",LOWER(TRIM($F6&amp;""))="free",LOWER(TRIM($F6&amp;""))="free entry"),IF(ISNUMBER($K6),$K6,""),IF($K6&lt;&gt;"",$K6,""))))))</ns0:f>
      </ns0:c>
      <ns0:c r="Q6" s="114">
        <ns0:f>IF(COUNTA($A6:$M6)=0,"",IF(OR($U6="Subscription",$U6=""),"",IF($U6="Estimate","N/A",IF($U6="Profit",ROUND(IFERROR($P6,0)-IFERROR($H6,0),2),0))))</ns0:f>
      </ns0:c>
      <ns0:c r="R6" s="114">
        <ns0:f>IF(COUNTA($A6:$M6)=0,"",IF(OR($U6="Subscription",$U6=""),"",IF($U6="Estimate","N/A",IF($U6="Draw",$H6,0))))</ns0:f>
      </ns0:c>
      <ns0:c r="S6" s="114">
        <ns0:f>IF(COUNTA($A6:$M6)=0,"",IF(OR($U6="Subscription",$U6=""),"",IF($U6="Estimate","N/A",IF($U6="Disqualified",$H6,0))))</ns0:f>
      </ns0:c>
      <ns0:c r="T6" s="955">
        <ns0:f>IF(COUNTA($A6:$M6)=0,"",IF(OR($U6="Subscription",$U6=""),"",IF($U6="Estimate","N/A",IF(OR($U6="Free Game",$U6="Disqualified — Free Game",$H6=0),"N/A",IF($U6="Profit",$Q6/$H6,IF($U6="Disqualified",-$S6/$H6,0))))))</ns0:f>
      </ns0:c>
      <ns0:c r="U6" s="920">
        <ns0:f>IF(COUNTA($A6:$M6)=0,"",IF(OR(LEFT(LOWER(TRIM($F6&amp;"")),12)="subscription",LOWER(TRIM($F6&amp;""))="membership"),"Subscription",IF(LOWER(TRIM($D6&amp;""))="estimate","Estimate",IF(OR(AND($H6&lt;&gt;"",$H6=0),LEFT(LOWER(TRIM($F6&amp;"")),9)="free game",LOWER(TRIM($F6&amp;""))="free",LOWER(TRIM($F6&amp;""))="free entry"),IF(LOWER($L6&amp;"")="yes","Disqualified — Free Game","Free Game"),IF(LOWER($L6&amp;"")="yes","Disqualified",IF($P6="","",IF(ROUND(IFERROR(VALUE($P6),0)-IFERROR(VALUE($H6),0),2)&gt;0,"Profit","Draw")))))))</ns0:f>
      </ns0:c>
      <ns0:c r="V6" s="956" t="str">
        <ns0:f>IF(COUNTA($A6:$M6)=0,"",IF(OR($B6="",$C6="",$U6="Subscription"),"",IFERROR(ROUNDUP(($C6-$B6)/7,0),"")))</ns0:f>
      </ns0:c>
      <ns0:c r="W6" s="114">
        <ns0:f>IF(COUNTA($A6:$M6)=0,"",IF(OR($U6="Subscription",$U6=""),"",IF($U6="Estimate","N/A",IF(OR($U6="Free Game",$U6="Disqualified — Free Game"),0,ROUND(IFERROR($Q6,0)-IFERROR($S6,0),2)))))</ns0:f>
      </ns0:c>
      <ns0:c r="X6" s="956" t="str">
        <ns0:f>IF(COUNTA($A6:$M6)=0,"",IF(OR($U6="Subscription",NOT(ISNUMBER($J6)),NOT(ISNUMBER($I6)),$J6=0,$I6=0,$I6&gt;$J6),"",$J6-$I6))</ns0:f>
      </ns0:c>
      <ns0:c r="Y6" s="955" t="str">
        <ns0:f>IF(COUNTA($A6:$M6)=0,"",IF(OR($U6="Subscription",NOT(ISNUMBER($J6)),$J6=0,$X6=""),"",$X6/$J6))</ns0:f>
      </ns0:c>
      <ns0:c r="Z6" s="957" t="str">
        <ns0:f>IF(COUNTA($A6:$M6)=0,"",Instructions!$B$29+SUM($W$5:W6))</ns0:f>
      </ns0:c>
    </ns0:row>
    <ns0:row r="7" ht="36" customHeight="1">
      <ns0:c r="A7" s="439"/>
      <ns0:c r="B7" s="453"/>
      <ns0:c r="C7" s="453"/>
      <ns0:c r="D7" s="454"/>
      <ns0:c r="E7" s="454"/>
      <ns0:c r="F7" s="454"/>
      <ns0:c r="G7" s="986"/>
      <ns0:c r="H7" s="455"/>
      <ns0:c r="I7" s="456"/>
      <ns0:c r="J7" s="456"/>
      <ns0:c r="K7" s="986"/>
      <ns0:c r="L7" s="454"/>
      <ns0:c r="M7" s="439"/>
      <ns0:c r="N7" s="987" t="str">
        <ns0:f>IF(COUNTA($A7:$M7)=0,"",IF(OR(LEFT(LOWER(TRIM($F7&amp;"")),12)="subscription",LOWER(TRIM($F7&amp;""))="membership"),"",IF(OR(AND($H7&lt;&gt;"",$H7=0),LEFT(LOWER(TRIM($F7&amp;"")),9)="free game",LOWER(TRIM($F7&amp;""))="free",LOWER(TRIM($F7&amp;""))="free entry"),IF(ISNUMBER($G7),IF(ISNUMBER(SEARCH("non",LOWER($E7&amp;""))),$G7*0.85,$G7),"N/A"),IF($G7="","",IFERROR(IF(ISNUMBER(SEARCH("non",LOWER($E7&amp;""))),$G7*0.85,$G7),"")))))</ns0:f>
        <ns0:v/>
      </ns0:c>
      <ns0:c r="O7" s="987" t="str">
        <ns0:f>IF(COUNTA($A7:$M7)=0,"",IF(OR(LEFT(LOWER(TRIM($F7&amp;"")),12)="subscription",LOWER(TRIM($F7&amp;""))="membership"),"",IF(OR(AND($H7&lt;&gt;"",$H7=0),LEFT(LOWER(TRIM($F7&amp;"")),9)="free game",LOWER(TRIM($F7&amp;""))="free",LOWER(TRIM($F7&amp;""))="free entry"),IF(OR(NOT(ISNUMBER($N7)),NOT(ISNUMBER($I7)),$I7=0),"N/A",IFERROR($N7/$I7,"N/A")),IF(OR($N7="",$I7="",$I7=0),"",IFERROR($N7/$I7,"")))))</ns0:f>
        <ns0:v/>
      </ns0:c>
      <ns0:c r="P7" s="987">
        <ns0:f>IF(COUNTA($A7:$M7)=0,"",IF(OR(LEFT(LOWER(TRIM($F7&amp;"")),12)="subscription",LOWER(TRIM($F7&amp;""))="membership"),"",IF(LOWER(TRIM($D7&amp;""))="estimate","N/A",IF(LOWER($L7&amp;"")="yes",0,IF(OR(AND($H7&lt;&gt;"",$H7=0),LEFT(LOWER(TRIM($F7&amp;"")),9)="free game",LOWER(TRIM($F7&amp;""))="free",LOWER(TRIM($F7&amp;""))="free entry"),IF(ISNUMBER($K7),$K7,""),IF($K7&lt;&gt;"",$K7,""))))))</ns0:f>
      </ns0:c>
      <ns0:c r="Q7" s="114">
        <ns0:f>IF(COUNTA($A7:$M7)=0,"",IF(OR($U7="Subscription",$U7=""),"",IF($U7="Estimate","N/A",IF($U7="Profit",ROUND(IFERROR($P7,0)-IFERROR($H7,0),2),0))))</ns0:f>
      </ns0:c>
      <ns0:c r="R7" s="114">
        <ns0:f>IF(COUNTA($A7:$M7)=0,"",IF(OR($U7="Subscription",$U7=""),"",IF($U7="Estimate","N/A",IF($U7="Draw",$H7,0))))</ns0:f>
      </ns0:c>
      <ns0:c r="S7" s="114">
        <ns0:f>IF(COUNTA($A7:$M7)=0,"",IF(OR($U7="Subscription",$U7=""),"",IF($U7="Estimate","N/A",IF($U7="Disqualified",$H7,0))))</ns0:f>
      </ns0:c>
      <ns0:c r="T7" s="955">
        <ns0:f>IF(COUNTA($A7:$M7)=0,"",IF(OR($U7="Subscription",$U7=""),"",IF($U7="Estimate","N/A",IF(OR($U7="Free Game",$U7="Disqualified — Free Game",$H7=0),"N/A",IF($U7="Profit",$Q7/$H7,IF($U7="Disqualified",-$S7/$H7,0))))))</ns0:f>
      </ns0:c>
      <ns0:c r="U7" s="920">
        <ns0:f>IF(COUNTA($A7:$M7)=0,"",IF(OR(LEFT(LOWER(TRIM($F7&amp;"")),12)="subscription",LOWER(TRIM($F7&amp;""))="membership"),"Subscription",IF(LOWER(TRIM($D7&amp;""))="estimate","Estimate",IF(OR(AND($H7&lt;&gt;"",$H7=0),LEFT(LOWER(TRIM($F7&amp;"")),9)="free game",LOWER(TRIM($F7&amp;""))="free",LOWER(TRIM($F7&amp;""))="free entry"),IF(LOWER($L7&amp;"")="yes","Disqualified — Free Game","Free Game"),IF(LOWER($L7&amp;"")="yes","Disqualified",IF($P7="","",IF(ROUND(IFERROR(VALUE($P7),0)-IFERROR(VALUE($H7),0),2)&gt;0,"Profit","Draw")))))))</ns0:f>
      </ns0:c>
      <ns0:c r="V7" s="956" t="str">
        <ns0:f>IF(COUNTA($A7:$M7)=0,"",IF(OR($B7="",$C7="",$U7="Subscription"),"",IFERROR(ROUNDUP(($C7-$B7)/7,0),"")))</ns0:f>
      </ns0:c>
      <ns0:c r="W7" s="114">
        <ns0:f>IF(COUNTA($A7:$M7)=0,"",IF(OR($U7="Subscription",$U7=""),"",IF($U7="Estimate","N/A",IF(OR($U7="Free Game",$U7="Disqualified — Free Game"),0,ROUND(IFERROR($Q7,0)-IFERROR($S7,0),2)))))</ns0:f>
      </ns0:c>
      <ns0:c r="X7" s="956" t="str">
        <ns0:f>IF(COUNTA($A7:$M7)=0,"",IF(OR($U7="Subscription",NOT(ISNUMBER($J7)),NOT(ISNUMBER($I7)),$J7=0,$I7=0,$I7&gt;$J7),"",$J7-$I7))</ns0:f>
      </ns0:c>
      <ns0:c r="Y7" s="955" t="str">
        <ns0:f>IF(COUNTA($A7:$M7)=0,"",IF(OR($U7="Subscription",NOT(ISNUMBER($J7)),$J7=0,$X7=""),"",$X7/$J7))</ns0:f>
      </ns0:c>
      <ns0:c r="Z7" s="957" t="str">
        <ns0:f>IF(COUNTA($A7:$M7)=0,"",Instructions!$B$29+SUM($W$5:W7))</ns0:f>
      </ns0:c>
    </ns0:row>
    <ns0:row r="8" ht="36" customHeight="1">
      <ns0:c r="A8" s="439"/>
      <ns0:c r="B8" s="453"/>
      <ns0:c r="C8" s="453"/>
      <ns0:c r="D8" s="454"/>
      <ns0:c r="E8" s="454"/>
      <ns0:c r="F8" s="454"/>
      <ns0:c r="G8" s="986"/>
      <ns0:c r="H8" s="455"/>
      <ns0:c r="I8" s="456"/>
      <ns0:c r="J8" s="456"/>
      <ns0:c r="K8" s="986"/>
      <ns0:c r="L8" s="454"/>
      <ns0:c r="M8" s="439"/>
      <ns0:c r="N8" s="987" t="str">
        <ns0:f>IF(COUNTA($A8:$M8)=0,"",IF(OR(LEFT(LOWER(TRIM($F8&amp;"")),12)="subscription",LOWER(TRIM($F8&amp;""))="membership"),"",IF(OR(AND($H8&lt;&gt;"",$H8=0),LEFT(LOWER(TRIM($F8&amp;"")),9)="free game",LOWER(TRIM($F8&amp;""))="free",LOWER(TRIM($F8&amp;""))="free entry"),IF(ISNUMBER($G8),IF(ISNUMBER(SEARCH("non",LOWER($E8&amp;""))),$G8*0.85,$G8),"N/A"),IF($G8="","",IFERROR(IF(ISNUMBER(SEARCH("non",LOWER($E8&amp;""))),$G8*0.85,$G8),"")))))</ns0:f>
        <ns0:v/>
      </ns0:c>
      <ns0:c r="O8" s="987" t="str">
        <ns0:f>IF(COUNTA($A8:$M8)=0,"",IF(OR(LEFT(LOWER(TRIM($F8&amp;"")),12)="subscription",LOWER(TRIM($F8&amp;""))="membership"),"",IF(OR(AND($H8&lt;&gt;"",$H8=0),LEFT(LOWER(TRIM($F8&amp;"")),9)="free game",LOWER(TRIM($F8&amp;""))="free",LOWER(TRIM($F8&amp;""))="free entry"),IF(OR(NOT(ISNUMBER($N8)),NOT(ISNUMBER($I8)),$I8=0),"N/A",IFERROR($N8/$I8,"N/A")),IF(OR($N8="",$I8="",$I8=0),"",IFERROR($N8/$I8,"")))))</ns0:f>
        <ns0:v/>
      </ns0:c>
      <ns0:c r="P8" s="987">
        <ns0:f>IF(COUNTA($A8:$M8)=0,"",IF(OR(LEFT(LOWER(TRIM($F8&amp;"")),12)="subscription",LOWER(TRIM($F8&amp;""))="membership"),"",IF(LOWER(TRIM($D8&amp;""))="estimate","N/A",IF(LOWER($L8&amp;"")="yes",0,IF(OR(AND($H8&lt;&gt;"",$H8=0),LEFT(LOWER(TRIM($F8&amp;"")),9)="free game",LOWER(TRIM($F8&amp;""))="free",LOWER(TRIM($F8&amp;""))="free entry"),IF(ISNUMBER($K8),$K8,""),IF($K8&lt;&gt;"",$K8,""))))))</ns0:f>
      </ns0:c>
      <ns0:c r="Q8" s="114">
        <ns0:f>IF(COUNTA($A8:$M8)=0,"",IF(OR($U8="Subscription",$U8=""),"",IF($U8="Estimate","N/A",IF($U8="Profit",ROUND(IFERROR($P8,0)-IFERROR($H8,0),2),0))))</ns0:f>
      </ns0:c>
      <ns0:c r="R8" s="114">
        <ns0:f>IF(COUNTA($A8:$M8)=0,"",IF(OR($U8="Subscription",$U8=""),"",IF($U8="Estimate","N/A",IF($U8="Draw",$H8,0))))</ns0:f>
      </ns0:c>
      <ns0:c r="S8" s="114">
        <ns0:f>IF(COUNTA($A8:$M8)=0,"",IF(OR($U8="Subscription",$U8=""),"",IF($U8="Estimate","N/A",IF($U8="Disqualified",$H8,0))))</ns0:f>
      </ns0:c>
      <ns0:c r="T8" s="955">
        <ns0:f>IF(COUNTA($A8:$M8)=0,"",IF(OR($U8="Subscription",$U8=""),"",IF($U8="Estimate","N/A",IF(OR($U8="Free Game",$U8="Disqualified — Free Game",$H8=0),"N/A",IF($U8="Profit",$Q8/$H8,IF($U8="Disqualified",-$S8/$H8,0))))))</ns0:f>
      </ns0:c>
      <ns0:c r="U8" s="920">
        <ns0:f>IF(COUNTA($A8:$M8)=0,"",IF(OR(LEFT(LOWER(TRIM($F8&amp;"")),12)="subscription",LOWER(TRIM($F8&amp;""))="membership"),"Subscription",IF(LOWER(TRIM($D8&amp;""))="estimate","Estimate",IF(OR(AND($H8&lt;&gt;"",$H8=0),LEFT(LOWER(TRIM($F8&amp;"")),9)="free game",LOWER(TRIM($F8&amp;""))="free",LOWER(TRIM($F8&amp;""))="free entry"),IF(LOWER($L8&amp;"")="yes","Disqualified — Free Game","Free Game"),IF(LOWER($L8&amp;"")="yes","Disqualified",IF($P8="","",IF(ROUND(IFERROR(VALUE($P8),0)-IFERROR(VALUE($H8),0),2)&gt;0,"Profit","Draw")))))))</ns0:f>
      </ns0:c>
      <ns0:c r="V8" s="956" t="str">
        <ns0:f>IF(COUNTA($A8:$M8)=0,"",IF(OR($B8="",$C8="",$U8="Subscription"),"",IFERROR(ROUNDUP(($C8-$B8)/7,0),"")))</ns0:f>
      </ns0:c>
      <ns0:c r="W8" s="114">
        <ns0:f>IF(COUNTA($A8:$M8)=0,"",IF(OR($U8="Subscription",$U8=""),"",IF($U8="Estimate","N/A",IF(OR($U8="Free Game",$U8="Disqualified — Free Game"),0,ROUND(IFERROR($Q8,0)-IFERROR($S8,0),2)))))</ns0:f>
      </ns0:c>
      <ns0:c r="X8" s="956" t="str">
        <ns0:f>IF(COUNTA($A8:$M8)=0,"",IF(OR($U8="Subscription",NOT(ISNUMBER($J8)),NOT(ISNUMBER($I8)),$J8=0,$I8=0,$I8&gt;$J8),"",$J8-$I8))</ns0:f>
      </ns0:c>
      <ns0:c r="Y8" s="955" t="str">
        <ns0:f>IF(COUNTA($A8:$M8)=0,"",IF(OR($U8="Subscription",NOT(ISNUMBER($J8)),$J8=0,$X8=""),"",$X8/$J8))</ns0:f>
      </ns0:c>
      <ns0:c r="Z8" s="957" t="str">
        <ns0:f>IF(COUNTA($A8:$M8)=0,"",Instructions!$B$29+SUM($W$5:W8))</ns0:f>
      </ns0:c>
    </ns0:row>
    <ns0:row r="9" ht="36" customHeight="1">
      <ns0:c r="A9" s="439"/>
      <ns0:c r="B9" s="453"/>
      <ns0:c r="C9" s="453"/>
      <ns0:c r="D9" s="454"/>
      <ns0:c r="E9" s="454"/>
      <ns0:c r="F9" s="454"/>
      <ns0:c r="G9" s="986"/>
      <ns0:c r="H9" s="455"/>
      <ns0:c r="I9" s="456"/>
      <ns0:c r="J9" s="456"/>
      <ns0:c r="K9" s="986"/>
      <ns0:c r="L9" s="454"/>
      <ns0:c r="M9" s="439"/>
      <ns0:c r="N9" s="987" t="str">
        <ns0:f>IF(COUNTA($A9:$M9)=0,"",IF(OR(LEFT(LOWER(TRIM($F9&amp;"")),12)="subscription",LOWER(TRIM($F9&amp;""))="membership"),"",IF(OR(AND($H9&lt;&gt;"",$H9=0),LEFT(LOWER(TRIM($F9&amp;"")),9)="free game",LOWER(TRIM($F9&amp;""))="free",LOWER(TRIM($F9&amp;""))="free entry"),IF(ISNUMBER($G9),IF(ISNUMBER(SEARCH("non",LOWER($E9&amp;""))),$G9*0.85,$G9),"N/A"),IF($G9="","",IFERROR(IF(ISNUMBER(SEARCH("non",LOWER($E9&amp;""))),$G9*0.85,$G9),"")))))</ns0:f>
        <ns0:v/>
      </ns0:c>
      <ns0:c r="O9" s="987" t="str">
        <ns0:f>IF(COUNTA($A9:$M9)=0,"",IF(OR(LEFT(LOWER(TRIM($F9&amp;"")),12)="subscription",LOWER(TRIM($F9&amp;""))="membership"),"",IF(OR(AND($H9&lt;&gt;"",$H9=0),LEFT(LOWER(TRIM($F9&amp;"")),9)="free game",LOWER(TRIM($F9&amp;""))="free",LOWER(TRIM($F9&amp;""))="free entry"),IF(OR(NOT(ISNUMBER($N9)),NOT(ISNUMBER($I9)),$I9=0),"N/A",IFERROR($N9/$I9,"N/A")),IF(OR($N9="",$I9="",$I9=0),"",IFERROR($N9/$I9,"")))))</ns0:f>
        <ns0:v/>
      </ns0:c>
      <ns0:c r="P9" s="987">
        <ns0:f>IF(COUNTA($A9:$M9)=0,"",IF(OR(LEFT(LOWER(TRIM($F9&amp;"")),12)="subscription",LOWER(TRIM($F9&amp;""))="membership"),"",IF(LOWER(TRIM($D9&amp;""))="estimate","N/A",IF(LOWER($L9&amp;"")="yes",0,IF(OR(AND($H9&lt;&gt;"",$H9=0),LEFT(LOWER(TRIM($F9&amp;"")),9)="free game",LOWER(TRIM($F9&amp;""))="free",LOWER(TRIM($F9&amp;""))="free entry"),IF(ISNUMBER($K9),$K9,""),IF($K9&lt;&gt;"",$K9,""))))))</ns0:f>
      </ns0:c>
      <ns0:c r="Q9" s="114">
        <ns0:f>IF(COUNTA($A9:$M9)=0,"",IF(OR($U9="Subscription",$U9=""),"",IF($U9="Estimate","N/A",IF($U9="Profit",ROUND(IFERROR($P9,0)-IFERROR($H9,0),2),0))))</ns0:f>
      </ns0:c>
      <ns0:c r="R9" s="114">
        <ns0:f>IF(COUNTA($A9:$M9)=0,"",IF(OR($U9="Subscription",$U9=""),"",IF($U9="Estimate","N/A",IF($U9="Draw",$H9,0))))</ns0:f>
      </ns0:c>
      <ns0:c r="S9" s="114">
        <ns0:f>IF(COUNTA($A9:$M9)=0,"",IF(OR($U9="Subscription",$U9=""),"",IF($U9="Estimate","N/A",IF($U9="Disqualified",$H9,0))))</ns0:f>
      </ns0:c>
      <ns0:c r="T9" s="955">
        <ns0:f>IF(COUNTA($A9:$M9)=0,"",IF(OR($U9="Subscription",$U9=""),"",IF($U9="Estimate","N/A",IF(OR($U9="Free Game",$U9="Disqualified — Free Game",$H9=0),"N/A",IF($U9="Profit",$Q9/$H9,IF($U9="Disqualified",-$S9/$H9,0))))))</ns0:f>
      </ns0:c>
      <ns0:c r="U9" s="920">
        <ns0:f>IF(COUNTA($A9:$M9)=0,"",IF(OR(LEFT(LOWER(TRIM($F9&amp;"")),12)="subscription",LOWER(TRIM($F9&amp;""))="membership"),"Subscription",IF(LOWER(TRIM($D9&amp;""))="estimate","Estimate",IF(OR(AND($H9&lt;&gt;"",$H9=0),LEFT(LOWER(TRIM($F9&amp;"")),9)="free game",LOWER(TRIM($F9&amp;""))="free",LOWER(TRIM($F9&amp;""))="free entry"),IF(LOWER($L9&amp;"")="yes","Disqualified — Free Game","Free Game"),IF(LOWER($L9&amp;"")="yes","Disqualified",IF($P9="","",IF(ROUND(IFERROR(VALUE($P9),0)-IFERROR(VALUE($H9),0),2)&gt;0,"Profit","Draw")))))))</ns0:f>
      </ns0:c>
      <ns0:c r="V9" s="956" t="str">
        <ns0:f>IF(COUNTA($A9:$M9)=0,"",IF(OR($B9="",$C9="",$U9="Subscription"),"",IFERROR(ROUNDUP(($C9-$B9)/7,0),"")))</ns0:f>
      </ns0:c>
      <ns0:c r="W9" s="114">
        <ns0:f>IF(COUNTA($A9:$M9)=0,"",IF(OR($U9="Subscription",$U9=""),"",IF($U9="Estimate","N/A",IF(OR($U9="Free Game",$U9="Disqualified — Free Game"),0,ROUND(IFERROR($Q9,0)-IFERROR($S9,0),2)))))</ns0:f>
      </ns0:c>
      <ns0:c r="X9" s="956" t="str">
        <ns0:f>IF(COUNTA($A9:$M9)=0,"",IF(OR($U9="Subscription",NOT(ISNUMBER($J9)),NOT(ISNUMBER($I9)),$J9=0,$I9=0,$I9&gt;$J9),"",$J9-$I9))</ns0:f>
      </ns0:c>
      <ns0:c r="Y9" s="955" t="str">
        <ns0:f>IF(COUNTA($A9:$M9)=0,"",IF(OR($U9="Subscription",NOT(ISNUMBER($J9)),$J9=0,$X9=""),"",$X9/$J9))</ns0:f>
      </ns0:c>
      <ns0:c r="Z9" s="957" t="str">
        <ns0:f>IF(COUNTA($A9:$M9)=0,"",Instructions!$B$29+SUM($W$5:W9))</ns0:f>
      </ns0:c>
    </ns0:row>
    <ns0:row r="10" ht="36" customHeight="1">
      <ns0:c r="A10" s="439"/>
      <ns0:c r="B10" s="453"/>
      <ns0:c r="C10" s="453"/>
      <ns0:c r="D10" s="454"/>
      <ns0:c r="E10" s="454"/>
      <ns0:c r="F10" s="454"/>
      <ns0:c r="G10" s="986"/>
      <ns0:c r="H10" s="455"/>
      <ns0:c r="I10" s="456"/>
      <ns0:c r="J10" s="456"/>
      <ns0:c r="K10" s="986"/>
      <ns0:c r="L10" s="454"/>
      <ns0:c r="M10" s="439"/>
      <ns0:c r="N10" s="987" t="str">
        <ns0:f>IF(COUNTA($A10:$M10)=0,"",IF(OR(LEFT(LOWER(TRIM($F10&amp;"")),12)="subscription",LOWER(TRIM($F10&amp;""))="membership"),"",IF(OR(AND($H10&lt;&gt;"",$H10=0),LEFT(LOWER(TRIM($F10&amp;"")),9)="free game",LOWER(TRIM($F10&amp;""))="free",LOWER(TRIM($F10&amp;""))="free entry"),IF(ISNUMBER($G10),IF(ISNUMBER(SEARCH("non",LOWER($E10&amp;""))),$G10*0.85,$G10),"N/A"),IF($G10="","",IFERROR(IF(ISNUMBER(SEARCH("non",LOWER($E10&amp;""))),$G10*0.85,$G10),"")))))</ns0:f>
        <ns0:v/>
      </ns0:c>
      <ns0:c r="O10" s="987" t="str">
        <ns0:f>IF(COUNTA($A10:$M10)=0,"",IF(OR(LEFT(LOWER(TRIM($F10&amp;"")),12)="subscription",LOWER(TRIM($F10&amp;""))="membership"),"",IF(OR(AND($H10&lt;&gt;"",$H10=0),LEFT(LOWER(TRIM($F10&amp;"")),9)="free game",LOWER(TRIM($F10&amp;""))="free",LOWER(TRIM($F10&amp;""))="free entry"),IF(OR(NOT(ISNUMBER($N10)),NOT(ISNUMBER($I10)),$I10=0),"N/A",IFERROR($N10/$I10,"N/A")),IF(OR($N10="",$I10="",$I10=0),"",IFERROR($N10/$I10,"")))))</ns0:f>
        <ns0:v/>
      </ns0:c>
      <ns0:c r="P10" s="987">
        <ns0:f>IF(COUNTA($A10:$M10)=0,"",IF(OR(LEFT(LOWER(TRIM($F10&amp;"")),12)="subscription",LOWER(TRIM($F10&amp;""))="membership"),"",IF(LOWER(TRIM($D10&amp;""))="estimate","N/A",IF(LOWER($L10&amp;"")="yes",0,IF(OR(AND($H10&lt;&gt;"",$H10=0),LEFT(LOWER(TRIM($F10&amp;"")),9)="free game",LOWER(TRIM($F10&amp;""))="free",LOWER(TRIM($F10&amp;""))="free entry"),IF(ISNUMBER($K10),$K10,""),IF($K10&lt;&gt;"",$K10,""))))))</ns0:f>
      </ns0:c>
      <ns0:c r="Q10" s="114">
        <ns0:f>IF(COUNTA($A10:$M10)=0,"",IF(OR($U10="Subscription",$U10=""),"",IF($U10="Estimate","N/A",IF($U10="Profit",ROUND(IFERROR($P10,0)-IFERROR($H10,0),2),0))))</ns0:f>
      </ns0:c>
      <ns0:c r="R10" s="114">
        <ns0:f>IF(COUNTA($A10:$M10)=0,"",IF(OR($U10="Subscription",$U10=""),"",IF($U10="Estimate","N/A",IF($U10="Draw",$H10,0))))</ns0:f>
      </ns0:c>
      <ns0:c r="S10" s="114">
        <ns0:f>IF(COUNTA($A10:$M10)=0,"",IF(OR($U10="Subscription",$U10=""),"",IF($U10="Estimate","N/A",IF($U10="Disqualified",$H10,0))))</ns0:f>
      </ns0:c>
      <ns0:c r="T10" s="955">
        <ns0:f>IF(COUNTA($A10:$M10)=0,"",IF(OR($U10="Subscription",$U10=""),"",IF($U10="Estimate","N/A",IF(OR($U10="Free Game",$U10="Disqualified — Free Game",$H10=0),"N/A",IF($U10="Profit",$Q10/$H10,IF($U10="Disqualified",-$S10/$H10,0))))))</ns0:f>
      </ns0:c>
      <ns0:c r="U10" s="920">
        <ns0:f>IF(COUNTA($A10:$M10)=0,"",IF(OR(LEFT(LOWER(TRIM($F10&amp;"")),12)="subscription",LOWER(TRIM($F10&amp;""))="membership"),"Subscription",IF(LOWER(TRIM($D10&amp;""))="estimate","Estimate",IF(OR(AND($H10&lt;&gt;"",$H10=0),LEFT(LOWER(TRIM($F10&amp;"")),9)="free game",LOWER(TRIM($F10&amp;""))="free",LOWER(TRIM($F10&amp;""))="free entry"),IF(LOWER($L10&amp;"")="yes","Disqualified — Free Game","Free Game"),IF(LOWER($L10&amp;"")="yes","Disqualified",IF($P10="","",IF(ROUND(IFERROR(VALUE($P10),0)-IFERROR(VALUE($H10),0),2)&gt;0,"Profit","Draw")))))))</ns0:f>
      </ns0:c>
      <ns0:c r="V10" s="956" t="str">
        <ns0:f>IF(COUNTA($A10:$M10)=0,"",IF(OR($B10="",$C10="",$U10="Subscription"),"",IFERROR(ROUNDUP(($C10-$B10)/7,0),"")))</ns0:f>
      </ns0:c>
      <ns0:c r="W10" s="114">
        <ns0:f>IF(COUNTA($A10:$M10)=0,"",IF(OR($U10="Subscription",$U10=""),"",IF($U10="Estimate","N/A",IF(OR($U10="Free Game",$U10="Disqualified — Free Game"),0,ROUND(IFERROR($Q10,0)-IFERROR($S10,0),2)))))</ns0:f>
      </ns0:c>
      <ns0:c r="X10" s="956" t="str">
        <ns0:f>IF(COUNTA($A10:$M10)=0,"",IF(OR($U10="Subscription",NOT(ISNUMBER($J10)),NOT(ISNUMBER($I10)),$J10=0,$I10=0,$I10&gt;$J10),"",$J10-$I10))</ns0:f>
      </ns0:c>
      <ns0:c r="Y10" s="955" t="str">
        <ns0:f>IF(COUNTA($A10:$M10)=0,"",IF(OR($U10="Subscription",NOT(ISNUMBER($J10)),$J10=0,$X10=""),"",$X10/$J10))</ns0:f>
      </ns0:c>
      <ns0:c r="Z10" s="957" t="str">
        <ns0:f>IF(COUNTA($A10:$M10)=0,"",Instructions!$B$29+SUM($W$5:W10))</ns0:f>
      </ns0:c>
    </ns0:row>
    <ns0:row r="11" ht="36" customHeight="1">
      <ns0:c r="A11" s="439"/>
      <ns0:c r="B11" s="453"/>
      <ns0:c r="C11" s="453"/>
      <ns0:c r="D11" s="454"/>
      <ns0:c r="E11" s="454"/>
      <ns0:c r="F11" s="454"/>
      <ns0:c r="G11" s="986"/>
      <ns0:c r="H11" s="455"/>
      <ns0:c r="I11" s="456"/>
      <ns0:c r="J11" s="456"/>
      <ns0:c r="K11" s="986"/>
      <ns0:c r="L11" s="454"/>
      <ns0:c r="M11" s="439"/>
      <ns0:c r="N11" s="987" t="str">
        <ns0:f>IF(COUNTA($A11:$M11)=0,"",IF(OR(LEFT(LOWER(TRIM($F11&amp;"")),12)="subscription",LOWER(TRIM($F11&amp;""))="membership"),"",IF(OR(AND($H11&lt;&gt;"",$H11=0),LEFT(LOWER(TRIM($F11&amp;"")),9)="free game",LOWER(TRIM($F11&amp;""))="free",LOWER(TRIM($F11&amp;""))="free entry"),IF(ISNUMBER($G11),IF(ISNUMBER(SEARCH("non",LOWER($E11&amp;""))),$G11*0.85,$G11),"N/A"),IF($G11="","",IFERROR(IF(ISNUMBER(SEARCH("non",LOWER($E11&amp;""))),$G11*0.85,$G11),"")))))</ns0:f>
        <ns0:v/>
      </ns0:c>
      <ns0:c r="O11" s="987" t="str">
        <ns0:f>IF(COUNTA($A11:$M11)=0,"",IF(OR(LEFT(LOWER(TRIM($F11&amp;"")),12)="subscription",LOWER(TRIM($F11&amp;""))="membership"),"",IF(OR(AND($H11&lt;&gt;"",$H11=0),LEFT(LOWER(TRIM($F11&amp;"")),9)="free game",LOWER(TRIM($F11&amp;""))="free",LOWER(TRIM($F11&amp;""))="free entry"),IF(OR(NOT(ISNUMBER($N11)),NOT(ISNUMBER($I11)),$I11=0),"N/A",IFERROR($N11/$I11,"N/A")),IF(OR($N11="",$I11="",$I11=0),"",IFERROR($N11/$I11,"")))))</ns0:f>
        <ns0:v/>
      </ns0:c>
      <ns0:c r="P11" s="987">
        <ns0:f>IF(COUNTA($A11:$M11)=0,"",IF(OR(LEFT(LOWER(TRIM($F11&amp;"")),12)="subscription",LOWER(TRIM($F11&amp;""))="membership"),"",IF(LOWER(TRIM($D11&amp;""))="estimate","N/A",IF(LOWER($L11&amp;"")="yes",0,IF(OR(AND($H11&lt;&gt;"",$H11=0),LEFT(LOWER(TRIM($F11&amp;"")),9)="free game",LOWER(TRIM($F11&amp;""))="free",LOWER(TRIM($F11&amp;""))="free entry"),IF(ISNUMBER($K11),$K11,""),IF($K11&lt;&gt;"",$K11,""))))))</ns0:f>
      </ns0:c>
      <ns0:c r="Q11" s="114">
        <ns0:f>IF(COUNTA($A11:$M11)=0,"",IF(OR($U11="Subscription",$U11=""),"",IF($U11="Estimate","N/A",IF($U11="Profit",ROUND(IFERROR($P11,0)-IFERROR($H11,0),2),0))))</ns0:f>
      </ns0:c>
      <ns0:c r="R11" s="114">
        <ns0:f>IF(COUNTA($A11:$M11)=0,"",IF(OR($U11="Subscription",$U11=""),"",IF($U11="Estimate","N/A",IF($U11="Draw",$H11,0))))</ns0:f>
      </ns0:c>
      <ns0:c r="S11" s="114">
        <ns0:f>IF(COUNTA($A11:$M11)=0,"",IF(OR($U11="Subscription",$U11=""),"",IF($U11="Estimate","N/A",IF($U11="Disqualified",$H11,0))))</ns0:f>
      </ns0:c>
      <ns0:c r="T11" s="955">
        <ns0:f>IF(COUNTA($A11:$M11)=0,"",IF(OR($U11="Subscription",$U11=""),"",IF($U11="Estimate","N/A",IF(OR($U11="Free Game",$U11="Disqualified — Free Game",$H11=0),"N/A",IF($U11="Profit",$Q11/$H11,IF($U11="Disqualified",-$S11/$H11,0))))))</ns0:f>
      </ns0:c>
      <ns0:c r="U11" s="920">
        <ns0:f>IF(COUNTA($A11:$M11)=0,"",IF(OR(LEFT(LOWER(TRIM($F11&amp;"")),12)="subscription",LOWER(TRIM($F11&amp;""))="membership"),"Subscription",IF(LOWER(TRIM($D11&amp;""))="estimate","Estimate",IF(OR(AND($H11&lt;&gt;"",$H11=0),LEFT(LOWER(TRIM($F11&amp;"")),9)="free game",LOWER(TRIM($F11&amp;""))="free",LOWER(TRIM($F11&amp;""))="free entry"),IF(LOWER($L11&amp;"")="yes","Disqualified — Free Game","Free Game"),IF(LOWER($L11&amp;"")="yes","Disqualified",IF($P11="","",IF(ROUND(IFERROR(VALUE($P11),0)-IFERROR(VALUE($H11),0),2)&gt;0,"Profit","Draw")))))))</ns0:f>
      </ns0:c>
      <ns0:c r="V11" s="956" t="str">
        <ns0:f>IF(COUNTA($A11:$M11)=0,"",IF(OR($B11="",$C11="",$U11="Subscription"),"",IFERROR(ROUNDUP(($C11-$B11)/7,0),"")))</ns0:f>
      </ns0:c>
      <ns0:c r="W11" s="114">
        <ns0:f>IF(COUNTA($A11:$M11)=0,"",IF(OR($U11="Subscription",$U11=""),"",IF($U11="Estimate","N/A",IF(OR($U11="Free Game",$U11="Disqualified — Free Game"),0,ROUND(IFERROR($Q11,0)-IFERROR($S11,0),2)))))</ns0:f>
      </ns0:c>
      <ns0:c r="X11" s="956" t="str">
        <ns0:f>IF(COUNTA($A11:$M11)=0,"",IF(OR($U11="Subscription",NOT(ISNUMBER($J11)),NOT(ISNUMBER($I11)),$J11=0,$I11=0,$I11&gt;$J11),"",$J11-$I11))</ns0:f>
      </ns0:c>
      <ns0:c r="Y11" s="955" t="str">
        <ns0:f>IF(COUNTA($A11:$M11)=0,"",IF(OR($U11="Subscription",NOT(ISNUMBER($J11)),$J11=0,$X11=""),"",$X11/$J11))</ns0:f>
      </ns0:c>
      <ns0:c r="Z11" s="957" t="str">
        <ns0:f>IF(COUNTA($A11:$M11)=0,"",Instructions!$B$29+SUM($W$5:W11))</ns0:f>
      </ns0:c>
    </ns0:row>
    <ns0:row r="12" ht="36" customHeight="1">
      <ns0:c r="A12" s="439"/>
      <ns0:c r="B12" s="453"/>
      <ns0:c r="C12" s="453"/>
      <ns0:c r="D12" s="454"/>
      <ns0:c r="E12" s="454"/>
      <ns0:c r="F12" s="454"/>
      <ns0:c r="G12" s="986"/>
      <ns0:c r="H12" s="455"/>
      <ns0:c r="I12" s="456"/>
      <ns0:c r="J12" s="456"/>
      <ns0:c r="K12" s="986"/>
      <ns0:c r="L12" s="454"/>
      <ns0:c r="M12" s="439"/>
      <ns0:c r="N12" s="987" t="str">
        <ns0:f>IF(COUNTA($A12:$M12)=0,"",IF(OR(LEFT(LOWER(TRIM($F12&amp;"")),12)="subscription",LOWER(TRIM($F12&amp;""))="membership"),"",IF(OR(AND($H12&lt;&gt;"",$H12=0),LEFT(LOWER(TRIM($F12&amp;"")),9)="free game",LOWER(TRIM($F12&amp;""))="free",LOWER(TRIM($F12&amp;""))="free entry"),IF(ISNUMBER($G12),IF(ISNUMBER(SEARCH("non",LOWER($E12&amp;""))),$G12*0.85,$G12),"N/A"),IF($G12="","",IFERROR(IF(ISNUMBER(SEARCH("non",LOWER($E12&amp;""))),$G12*0.85,$G12),"")))))</ns0:f>
        <ns0:v/>
      </ns0:c>
      <ns0:c r="O12" s="987" t="str">
        <ns0:f>IF(COUNTA($A12:$M12)=0,"",IF(OR(LEFT(LOWER(TRIM($F12&amp;"")),12)="subscription",LOWER(TRIM($F12&amp;""))="membership"),"",IF(OR(AND($H12&lt;&gt;"",$H12=0),LEFT(LOWER(TRIM($F12&amp;"")),9)="free game",LOWER(TRIM($F12&amp;""))="free",LOWER(TRIM($F12&amp;""))="free entry"),IF(OR(NOT(ISNUMBER($N12)),NOT(ISNUMBER($I12)),$I12=0),"N/A",IFERROR($N12/$I12,"N/A")),IF(OR($N12="",$I12="",$I12=0),"",IFERROR($N12/$I12,"")))))</ns0:f>
        <ns0:v/>
      </ns0:c>
      <ns0:c r="P12" s="987">
        <ns0:f>IF(COUNTA($A12:$M12)=0,"",IF(OR(LEFT(LOWER(TRIM($F12&amp;"")),12)="subscription",LOWER(TRIM($F12&amp;""))="membership"),"",IF(LOWER(TRIM($D12&amp;""))="estimate","N/A",IF(LOWER($L12&amp;"")="yes",0,IF(OR(AND($H12&lt;&gt;"",$H12=0),LEFT(LOWER(TRIM($F12&amp;"")),9)="free game",LOWER(TRIM($F12&amp;""))="free",LOWER(TRIM($F12&amp;""))="free entry"),IF(ISNUMBER($K12),$K12,""),IF($K12&lt;&gt;"",$K12,""))))))</ns0:f>
      </ns0:c>
      <ns0:c r="Q12" s="114">
        <ns0:f>IF(COUNTA($A12:$M12)=0,"",IF(OR($U12="Subscription",$U12=""),"",IF($U12="Estimate","N/A",IF($U12="Profit",ROUND(IFERROR($P12,0)-IFERROR($H12,0),2),0))))</ns0:f>
      </ns0:c>
      <ns0:c r="R12" s="114">
        <ns0:f>IF(COUNTA($A12:$M12)=0,"",IF(OR($U12="Subscription",$U12=""),"",IF($U12="Estimate","N/A",IF($U12="Draw",$H12,0))))</ns0:f>
      </ns0:c>
      <ns0:c r="S12" s="114">
        <ns0:f>IF(COUNTA($A12:$M12)=0,"",IF(OR($U12="Subscription",$U12=""),"",IF($U12="Estimate","N/A",IF($U12="Disqualified",$H12,0))))</ns0:f>
      </ns0:c>
      <ns0:c r="T12" s="955">
        <ns0:f>IF(COUNTA($A12:$M12)=0,"",IF(OR($U12="Subscription",$U12=""),"",IF($U12="Estimate","N/A",IF(OR($U12="Free Game",$U12="Disqualified — Free Game",$H12=0),"N/A",IF($U12="Profit",$Q12/$H12,IF($U12="Disqualified",-$S12/$H12,0))))))</ns0:f>
      </ns0:c>
      <ns0:c r="U12" s="920">
        <ns0:f>IF(COUNTA($A12:$M12)=0,"",IF(OR(LEFT(LOWER(TRIM($F12&amp;"")),12)="subscription",LOWER(TRIM($F12&amp;""))="membership"),"Subscription",IF(LOWER(TRIM($D12&amp;""))="estimate","Estimate",IF(OR(AND($H12&lt;&gt;"",$H12=0),LEFT(LOWER(TRIM($F12&amp;"")),9)="free game",LOWER(TRIM($F12&amp;""))="free",LOWER(TRIM($F12&amp;""))="free entry"),IF(LOWER($L12&amp;"")="yes","Disqualified — Free Game","Free Game"),IF(LOWER($L12&amp;"")="yes","Disqualified",IF($P12="","",IF(ROUND(IFERROR(VALUE($P12),0)-IFERROR(VALUE($H12),0),2)&gt;0,"Profit","Draw")))))))</ns0:f>
      </ns0:c>
      <ns0:c r="V12" s="956" t="str">
        <ns0:f>IF(COUNTA($A12:$M12)=0,"",IF(OR($B12="",$C12="",$U12="Subscription"),"",IFERROR(ROUNDUP(($C12-$B12)/7,0),"")))</ns0:f>
      </ns0:c>
      <ns0:c r="W12" s="114">
        <ns0:f>IF(COUNTA($A12:$M12)=0,"",IF(OR($U12="Subscription",$U12=""),"",IF($U12="Estimate","N/A",IF(OR($U12="Free Game",$U12="Disqualified — Free Game"),0,ROUND(IFERROR($Q12,0)-IFERROR($S12,0),2)))))</ns0:f>
      </ns0:c>
      <ns0:c r="X12" s="956" t="str">
        <ns0:f>IF(COUNTA($A12:$M12)=0,"",IF(OR($U12="Subscription",NOT(ISNUMBER($J12)),NOT(ISNUMBER($I12)),$J12=0,$I12=0,$I12&gt;$J12),"",$J12-$I12))</ns0:f>
      </ns0:c>
      <ns0:c r="Y12" s="955" t="str">
        <ns0:f>IF(COUNTA($A12:$M12)=0,"",IF(OR($U12="Subscription",NOT(ISNUMBER($J12)),$J12=0,$X12=""),"",$X12/$J12))</ns0:f>
      </ns0:c>
      <ns0:c r="Z12" s="957" t="str">
        <ns0:f>IF(COUNTA($A12:$M12)=0,"",Instructions!$B$29+SUM($W$5:W12))</ns0:f>
      </ns0:c>
    </ns0:row>
    <ns0:row r="13" ht="36" customHeight="1">
      <ns0:c r="A13" s="439"/>
      <ns0:c r="B13" s="453"/>
      <ns0:c r="C13" s="453"/>
      <ns0:c r="D13" s="454"/>
      <ns0:c r="E13" s="454"/>
      <ns0:c r="F13" s="454"/>
      <ns0:c r="G13" s="986"/>
      <ns0:c r="H13" s="455"/>
      <ns0:c r="I13" s="456"/>
      <ns0:c r="J13" s="456"/>
      <ns0:c r="K13" s="986"/>
      <ns0:c r="L13" s="454"/>
      <ns0:c r="M13" s="439"/>
      <ns0:c r="N13" s="987" t="str">
        <ns0:f>IF(COUNTA($A13:$M13)=0,"",IF(OR(LEFT(LOWER(TRIM($F13&amp;"")),12)="subscription",LOWER(TRIM($F13&amp;""))="membership"),"",IF(OR(AND($H13&lt;&gt;"",$H13=0),LEFT(LOWER(TRIM($F13&amp;"")),9)="free game",LOWER(TRIM($F13&amp;""))="free",LOWER(TRIM($F13&amp;""))="free entry"),IF(ISNUMBER($G13),IF(ISNUMBER(SEARCH("non",LOWER($E13&amp;""))),$G13*0.85,$G13),"N/A"),IF($G13="","",IFERROR(IF(ISNUMBER(SEARCH("non",LOWER($E13&amp;""))),$G13*0.85,$G13),"")))))</ns0:f>
        <ns0:v/>
      </ns0:c>
      <ns0:c r="O13" s="987" t="str">
        <ns0:f>IF(COUNTA($A13:$M13)=0,"",IF(OR(LEFT(LOWER(TRIM($F13&amp;"")),12)="subscription",LOWER(TRIM($F13&amp;""))="membership"),"",IF(OR(AND($H13&lt;&gt;"",$H13=0),LEFT(LOWER(TRIM($F13&amp;"")),9)="free game",LOWER(TRIM($F13&amp;""))="free",LOWER(TRIM($F13&amp;""))="free entry"),IF(OR(NOT(ISNUMBER($N13)),NOT(ISNUMBER($I13)),$I13=0),"N/A",IFERROR($N13/$I13,"N/A")),IF(OR($N13="",$I13="",$I13=0),"",IFERROR($N13/$I13,"")))))</ns0:f>
        <ns0:v/>
      </ns0:c>
      <ns0:c r="P13" s="987">
        <ns0:f>IF(COUNTA($A13:$M13)=0,"",IF(OR(LEFT(LOWER(TRIM($F13&amp;"")),12)="subscription",LOWER(TRIM($F13&amp;""))="membership"),"",IF(LOWER(TRIM($D13&amp;""))="estimate","N/A",IF(LOWER($L13&amp;"")="yes",0,IF(OR(AND($H13&lt;&gt;"",$H13=0),LEFT(LOWER(TRIM($F13&amp;"")),9)="free game",LOWER(TRIM($F13&amp;""))="free",LOWER(TRIM($F13&amp;""))="free entry"),IF(ISNUMBER($K13),$K13,""),IF($K13&lt;&gt;"",$K13,""))))))</ns0:f>
      </ns0:c>
      <ns0:c r="Q13" s="114">
        <ns0:f>IF(COUNTA($A13:$M13)=0,"",IF(OR($U13="Subscription",$U13=""),"",IF($U13="Estimate","N/A",IF($U13="Profit",ROUND(IFERROR($P13,0)-IFERROR($H13,0),2),0))))</ns0:f>
      </ns0:c>
      <ns0:c r="R13" s="114">
        <ns0:f>IF(COUNTA($A13:$M13)=0,"",IF(OR($U13="Subscription",$U13=""),"",IF($U13="Estimate","N/A",IF($U13="Draw",$H13,0))))</ns0:f>
      </ns0:c>
      <ns0:c r="S13" s="114">
        <ns0:f>IF(COUNTA($A13:$M13)=0,"",IF(OR($U13="Subscription",$U13=""),"",IF($U13="Estimate","N/A",IF($U13="Disqualified",$H13,0))))</ns0:f>
      </ns0:c>
      <ns0:c r="T13" s="955">
        <ns0:f>IF(COUNTA($A13:$M13)=0,"",IF(OR($U13="Subscription",$U13=""),"",IF($U13="Estimate","N/A",IF(OR($U13="Free Game",$U13="Disqualified — Free Game",$H13=0),"N/A",IF($U13="Profit",$Q13/$H13,IF($U13="Disqualified",-$S13/$H13,0))))))</ns0:f>
      </ns0:c>
      <ns0:c r="U13" s="920">
        <ns0:f>IF(COUNTA($A13:$M13)=0,"",IF(OR(LEFT(LOWER(TRIM($F13&amp;"")),12)="subscription",LOWER(TRIM($F13&amp;""))="membership"),"Subscription",IF(LOWER(TRIM($D13&amp;""))="estimate","Estimate",IF(OR(AND($H13&lt;&gt;"",$H13=0),LEFT(LOWER(TRIM($F13&amp;"")),9)="free game",LOWER(TRIM($F13&amp;""))="free",LOWER(TRIM($F13&amp;""))="free entry"),IF(LOWER($L13&amp;"")="yes","Disqualified — Free Game","Free Game"),IF(LOWER($L13&amp;"")="yes","Disqualified",IF($P13="","",IF(ROUND(IFERROR(VALUE($P13),0)-IFERROR(VALUE($H13),0),2)&gt;0,"Profit","Draw")))))))</ns0:f>
      </ns0:c>
      <ns0:c r="V13" s="956" t="str">
        <ns0:f>IF(COUNTA($A13:$M13)=0,"",IF(OR($B13="",$C13="",$U13="Subscription"),"",IFERROR(ROUNDUP(($C13-$B13)/7,0),"")))</ns0:f>
      </ns0:c>
      <ns0:c r="W13" s="114">
        <ns0:f>IF(COUNTA($A13:$M13)=0,"",IF(OR($U13="Subscription",$U13=""),"",IF($U13="Estimate","N/A",IF(OR($U13="Free Game",$U13="Disqualified — Free Game"),0,ROUND(IFERROR($Q13,0)-IFERROR($S13,0),2)))))</ns0:f>
      </ns0:c>
      <ns0:c r="X13" s="956" t="str">
        <ns0:f>IF(COUNTA($A13:$M13)=0,"",IF(OR($U13="Subscription",NOT(ISNUMBER($J13)),NOT(ISNUMBER($I13)),$J13=0,$I13=0,$I13&gt;$J13),"",$J13-$I13))</ns0:f>
      </ns0:c>
      <ns0:c r="Y13" s="955" t="str">
        <ns0:f>IF(COUNTA($A13:$M13)=0,"",IF(OR($U13="Subscription",NOT(ISNUMBER($J13)),$J13=0,$X13=""),"",$X13/$J13))</ns0:f>
      </ns0:c>
      <ns0:c r="Z13" s="957" t="str">
        <ns0:f>IF(COUNTA($A13:$M13)=0,"",Instructions!$B$29+SUM($W$5:W13))</ns0:f>
      </ns0:c>
    </ns0:row>
    <ns0:row r="14" ht="36" customHeight="1">
      <ns0:c r="A14" s="439"/>
      <ns0:c r="B14" s="453"/>
      <ns0:c r="C14" s="453"/>
      <ns0:c r="D14" s="454"/>
      <ns0:c r="E14" s="454"/>
      <ns0:c r="F14" s="454"/>
      <ns0:c r="G14" s="986"/>
      <ns0:c r="H14" s="455"/>
      <ns0:c r="I14" s="456"/>
      <ns0:c r="J14" s="456"/>
      <ns0:c r="K14" s="986"/>
      <ns0:c r="L14" s="454"/>
      <ns0:c r="M14" s="439"/>
      <ns0:c r="N14" s="987" t="str">
        <ns0:f>IF(COUNTA($A14:$M14)=0,"",IF(OR(LEFT(LOWER(TRIM($F14&amp;"")),12)="subscription",LOWER(TRIM($F14&amp;""))="membership"),"",IF(OR(AND($H14&lt;&gt;"",$H14=0),LEFT(LOWER(TRIM($F14&amp;"")),9)="free game",LOWER(TRIM($F14&amp;""))="free",LOWER(TRIM($F14&amp;""))="free entry"),IF(ISNUMBER($G14),IF(ISNUMBER(SEARCH("non",LOWER($E14&amp;""))),$G14*0.85,$G14),"N/A"),IF($G14="","",IFERROR(IF(ISNUMBER(SEARCH("non",LOWER($E14&amp;""))),$G14*0.85,$G14),"")))))</ns0:f>
        <ns0:v/>
      </ns0:c>
      <ns0:c r="O14" s="987" t="str">
        <ns0:f>IF(COUNTA($A14:$M14)=0,"",IF(OR(LEFT(LOWER(TRIM($F14&amp;"")),12)="subscription",LOWER(TRIM($F14&amp;""))="membership"),"",IF(OR(AND($H14&lt;&gt;"",$H14=0),LEFT(LOWER(TRIM($F14&amp;"")),9)="free game",LOWER(TRIM($F14&amp;""))="free",LOWER(TRIM($F14&amp;""))="free entry"),IF(OR(NOT(ISNUMBER($N14)),NOT(ISNUMBER($I14)),$I14=0),"N/A",IFERROR($N14/$I14,"N/A")),IF(OR($N14="",$I14="",$I14=0),"",IFERROR($N14/$I14,"")))))</ns0:f>
        <ns0:v/>
      </ns0:c>
      <ns0:c r="P14" s="987">
        <ns0:f>IF(COUNTA($A14:$M14)=0,"",IF(OR(LEFT(LOWER(TRIM($F14&amp;"")),12)="subscription",LOWER(TRIM($F14&amp;""))="membership"),"",IF(LOWER(TRIM($D14&amp;""))="estimate","N/A",IF(LOWER($L14&amp;"")="yes",0,IF(OR(AND($H14&lt;&gt;"",$H14=0),LEFT(LOWER(TRIM($F14&amp;"")),9)="free game",LOWER(TRIM($F14&amp;""))="free",LOWER(TRIM($F14&amp;""))="free entry"),IF(ISNUMBER($K14),$K14,""),IF($K14&lt;&gt;"",$K14,""))))))</ns0:f>
      </ns0:c>
      <ns0:c r="Q14" s="114">
        <ns0:f>IF(COUNTA($A14:$M14)=0,"",IF(OR($U14="Subscription",$U14=""),"",IF($U14="Estimate","N/A",IF($U14="Profit",ROUND(IFERROR($P14,0)-IFERROR($H14,0),2),0))))</ns0:f>
      </ns0:c>
      <ns0:c r="R14" s="114">
        <ns0:f>IF(COUNTA($A14:$M14)=0,"",IF(OR($U14="Subscription",$U14=""),"",IF($U14="Estimate","N/A",IF($U14="Draw",$H14,0))))</ns0:f>
      </ns0:c>
      <ns0:c r="S14" s="114">
        <ns0:f>IF(COUNTA($A14:$M14)=0,"",IF(OR($U14="Subscription",$U14=""),"",IF($U14="Estimate","N/A",IF($U14="Disqualified",$H14,0))))</ns0:f>
      </ns0:c>
      <ns0:c r="T14" s="955">
        <ns0:f>IF(COUNTA($A14:$M14)=0,"",IF(OR($U14="Subscription",$U14=""),"",IF($U14="Estimate","N/A",IF(OR($U14="Free Game",$U14="Disqualified — Free Game",$H14=0),"N/A",IF($U14="Profit",$Q14/$H14,IF($U14="Disqualified",-$S14/$H14,0))))))</ns0:f>
      </ns0:c>
      <ns0:c r="U14" s="920">
        <ns0:f>IF(COUNTA($A14:$M14)=0,"",IF(OR(LEFT(LOWER(TRIM($F14&amp;"")),12)="subscription",LOWER(TRIM($F14&amp;""))="membership"),"Subscription",IF(LOWER(TRIM($D14&amp;""))="estimate","Estimate",IF(OR(AND($H14&lt;&gt;"",$H14=0),LEFT(LOWER(TRIM($F14&amp;"")),9)="free game",LOWER(TRIM($F14&amp;""))="free",LOWER(TRIM($F14&amp;""))="free entry"),IF(LOWER($L14&amp;"")="yes","Disqualified — Free Game","Free Game"),IF(LOWER($L14&amp;"")="yes","Disqualified",IF($P14="","",IF(ROUND(IFERROR(VALUE($P14),0)-IFERROR(VALUE($H14),0),2)&gt;0,"Profit","Draw")))))))</ns0:f>
      </ns0:c>
      <ns0:c r="V14" s="956" t="str">
        <ns0:f>IF(COUNTA($A14:$M14)=0,"",IF(OR($B14="",$C14="",$U14="Subscription"),"",IFERROR(ROUNDUP(($C14-$B14)/7,0),"")))</ns0:f>
      </ns0:c>
      <ns0:c r="W14" s="114">
        <ns0:f>IF(COUNTA($A14:$M14)=0,"",IF(OR($U14="Subscription",$U14=""),"",IF($U14="Estimate","N/A",IF(OR($U14="Free Game",$U14="Disqualified — Free Game"),0,ROUND(IFERROR($Q14,0)-IFERROR($S14,0),2)))))</ns0:f>
      </ns0:c>
      <ns0:c r="X14" s="956" t="str">
        <ns0:f>IF(COUNTA($A14:$M14)=0,"",IF(OR($U14="Subscription",NOT(ISNUMBER($J14)),NOT(ISNUMBER($I14)),$J14=0,$I14=0,$I14&gt;$J14),"",$J14-$I14))</ns0:f>
      </ns0:c>
      <ns0:c r="Y14" s="955" t="str">
        <ns0:f>IF(COUNTA($A14:$M14)=0,"",IF(OR($U14="Subscription",NOT(ISNUMBER($J14)),$J14=0,$X14=""),"",$X14/$J14))</ns0:f>
      </ns0:c>
      <ns0:c r="Z14" s="957" t="str">
        <ns0:f>IF(COUNTA($A14:$M14)=0,"",Instructions!$B$29+SUM($W$5:W14))</ns0:f>
      </ns0:c>
    </ns0:row>
    <ns0:row r="15" ht="36" customHeight="1">
      <ns0:c r="A15" s="439"/>
      <ns0:c r="B15" s="453"/>
      <ns0:c r="C15" s="453"/>
      <ns0:c r="D15" s="454"/>
      <ns0:c r="E15" s="454"/>
      <ns0:c r="F15" s="454"/>
      <ns0:c r="G15" s="986"/>
      <ns0:c r="H15" s="455"/>
      <ns0:c r="I15" s="456"/>
      <ns0:c r="J15" s="456"/>
      <ns0:c r="K15" s="986"/>
      <ns0:c r="L15" s="454"/>
      <ns0:c r="M15" s="439"/>
      <ns0:c r="N15" s="987" t="str">
        <ns0:f>IF(COUNTA($A15:$M15)=0,"",IF(OR(LEFT(LOWER(TRIM($F15&amp;"")),12)="subscription",LOWER(TRIM($F15&amp;""))="membership"),"",IF(OR(AND($H15&lt;&gt;"",$H15=0),LEFT(LOWER(TRIM($F15&amp;"")),9)="free game",LOWER(TRIM($F15&amp;""))="free",LOWER(TRIM($F15&amp;""))="free entry"),IF(ISNUMBER($G15),IF(ISNUMBER(SEARCH("non",LOWER($E15&amp;""))),$G15*0.85,$G15),"N/A"),IF($G15="","",IFERROR(IF(ISNUMBER(SEARCH("non",LOWER($E15&amp;""))),$G15*0.85,$G15),"")))))</ns0:f>
        <ns0:v/>
      </ns0:c>
      <ns0:c r="O15" s="987" t="str">
        <ns0:f>IF(COUNTA($A15:$M15)=0,"",IF(OR(LEFT(LOWER(TRIM($F15&amp;"")),12)="subscription",LOWER(TRIM($F15&amp;""))="membership"),"",IF(OR(AND($H15&lt;&gt;"",$H15=0),LEFT(LOWER(TRIM($F15&amp;"")),9)="free game",LOWER(TRIM($F15&amp;""))="free",LOWER(TRIM($F15&amp;""))="free entry"),IF(OR(NOT(ISNUMBER($N15)),NOT(ISNUMBER($I15)),$I15=0),"N/A",IFERROR($N15/$I15,"N/A")),IF(OR($N15="",$I15="",$I15=0),"",IFERROR($N15/$I15,"")))))</ns0:f>
        <ns0:v/>
      </ns0:c>
      <ns0:c r="P15" s="987">
        <ns0:f>IF(COUNTA($A15:$M15)=0,"",IF(OR(LEFT(LOWER(TRIM($F15&amp;"")),12)="subscription",LOWER(TRIM($F15&amp;""))="membership"),"",IF(LOWER(TRIM($D15&amp;""))="estimate","N/A",IF(LOWER($L15&amp;"")="yes",0,IF(OR(AND($H15&lt;&gt;"",$H15=0),LEFT(LOWER(TRIM($F15&amp;"")),9)="free game",LOWER(TRIM($F15&amp;""))="free",LOWER(TRIM($F15&amp;""))="free entry"),IF(ISNUMBER($K15),$K15,""),IF($K15&lt;&gt;"",$K15,""))))))</ns0:f>
      </ns0:c>
      <ns0:c r="Q15" s="114">
        <ns0:f>IF(COUNTA($A15:$M15)=0,"",IF(OR($U15="Subscription",$U15=""),"",IF($U15="Estimate","N/A",IF($U15="Profit",ROUND(IFERROR($P15,0)-IFERROR($H15,0),2),0))))</ns0:f>
      </ns0:c>
      <ns0:c r="R15" s="114">
        <ns0:f>IF(COUNTA($A15:$M15)=0,"",IF(OR($U15="Subscription",$U15=""),"",IF($U15="Estimate","N/A",IF($U15="Draw",$H15,0))))</ns0:f>
      </ns0:c>
      <ns0:c r="S15" s="114">
        <ns0:f>IF(COUNTA($A15:$M15)=0,"",IF(OR($U15="Subscription",$U15=""),"",IF($U15="Estimate","N/A",IF($U15="Disqualified",$H15,0))))</ns0:f>
      </ns0:c>
      <ns0:c r="T15" s="955">
        <ns0:f>IF(COUNTA($A15:$M15)=0,"",IF(OR($U15="Subscription",$U15=""),"",IF($U15="Estimate","N/A",IF(OR($U15="Free Game",$U15="Disqualified — Free Game",$H15=0),"N/A",IF($U15="Profit",$Q15/$H15,IF($U15="Disqualified",-$S15/$H15,0))))))</ns0:f>
      </ns0:c>
      <ns0:c r="U15" s="920">
        <ns0:f>IF(COUNTA($A15:$M15)=0,"",IF(OR(LEFT(LOWER(TRIM($F15&amp;"")),12)="subscription",LOWER(TRIM($F15&amp;""))="membership"),"Subscription",IF(LOWER(TRIM($D15&amp;""))="estimate","Estimate",IF(OR(AND($H15&lt;&gt;"",$H15=0),LEFT(LOWER(TRIM($F15&amp;"")),9)="free game",LOWER(TRIM($F15&amp;""))="free",LOWER(TRIM($F15&amp;""))="free entry"),IF(LOWER($L15&amp;"")="yes","Disqualified — Free Game","Free Game"),IF(LOWER($L15&amp;"")="yes","Disqualified",IF($P15="","",IF(ROUND(IFERROR(VALUE($P15),0)-IFERROR(VALUE($H15),0),2)&gt;0,"Profit","Draw")))))))</ns0:f>
      </ns0:c>
      <ns0:c r="V15" s="956" t="str">
        <ns0:f>IF(COUNTA($A15:$M15)=0,"",IF(OR($B15="",$C15="",$U15="Subscription"),"",IFERROR(ROUNDUP(($C15-$B15)/7,0),"")))</ns0:f>
      </ns0:c>
      <ns0:c r="W15" s="114">
        <ns0:f>IF(COUNTA($A15:$M15)=0,"",IF(OR($U15="Subscription",$U15=""),"",IF($U15="Estimate","N/A",IF(OR($U15="Free Game",$U15="Disqualified — Free Game"),0,ROUND(IFERROR($Q15,0)-IFERROR($S15,0),2)))))</ns0:f>
      </ns0:c>
      <ns0:c r="X15" s="956" t="str">
        <ns0:f>IF(COUNTA($A15:$M15)=0,"",IF(OR($U15="Subscription",NOT(ISNUMBER($J15)),NOT(ISNUMBER($I15)),$J15=0,$I15=0,$I15&gt;$J15),"",$J15-$I15))</ns0:f>
      </ns0:c>
      <ns0:c r="Y15" s="955" t="str">
        <ns0:f>IF(COUNTA($A15:$M15)=0,"",IF(OR($U15="Subscription",NOT(ISNUMBER($J15)),$J15=0,$X15=""),"",$X15/$J15))</ns0:f>
      </ns0:c>
      <ns0:c r="Z15" s="957" t="str">
        <ns0:f>IF(COUNTA($A15:$M15)=0,"",Instructions!$B$29+SUM($W$5:W15))</ns0:f>
      </ns0:c>
    </ns0:row>
    <ns0:row r="16" ht="36" customHeight="1">
      <ns0:c r="A16" s="439"/>
      <ns0:c r="B16" s="453"/>
      <ns0:c r="C16" s="453"/>
      <ns0:c r="D16" s="454"/>
      <ns0:c r="E16" s="454"/>
      <ns0:c r="F16" s="454"/>
      <ns0:c r="G16" s="986"/>
      <ns0:c r="H16" s="455"/>
      <ns0:c r="I16" s="456"/>
      <ns0:c r="J16" s="456"/>
      <ns0:c r="K16" s="986"/>
      <ns0:c r="L16" s="454"/>
      <ns0:c r="M16" s="439"/>
      <ns0:c r="N16" s="987" t="str">
        <ns0:f>IF(COUNTA($A16:$M16)=0,"",IF(OR(LEFT(LOWER(TRIM($F16&amp;"")),12)="subscription",LOWER(TRIM($F16&amp;""))="membership"),"",IF(OR(AND($H16&lt;&gt;"",$H16=0),LEFT(LOWER(TRIM($F16&amp;"")),9)="free game",LOWER(TRIM($F16&amp;""))="free",LOWER(TRIM($F16&amp;""))="free entry"),IF(ISNUMBER($G16),IF(ISNUMBER(SEARCH("non",LOWER($E16&amp;""))),$G16*0.85,$G16),"N/A"),IF($G16="","",IFERROR(IF(ISNUMBER(SEARCH("non",LOWER($E16&amp;""))),$G16*0.85,$G16),"")))))</ns0:f>
        <ns0:v/>
      </ns0:c>
      <ns0:c r="O16" s="987" t="str">
        <ns0:f>IF(COUNTA($A16:$M16)=0,"",IF(OR(LEFT(LOWER(TRIM($F16&amp;"")),12)="subscription",LOWER(TRIM($F16&amp;""))="membership"),"",IF(OR(AND($H16&lt;&gt;"",$H16=0),LEFT(LOWER(TRIM($F16&amp;"")),9)="free game",LOWER(TRIM($F16&amp;""))="free",LOWER(TRIM($F16&amp;""))="free entry"),IF(OR(NOT(ISNUMBER($N16)),NOT(ISNUMBER($I16)),$I16=0),"N/A",IFERROR($N16/$I16,"N/A")),IF(OR($N16="",$I16="",$I16=0),"",IFERROR($N16/$I16,"")))))</ns0:f>
        <ns0:v/>
      </ns0:c>
      <ns0:c r="P16" s="987">
        <ns0:f>IF(COUNTA($A16:$M16)=0,"",IF(OR(LEFT(LOWER(TRIM($F16&amp;"")),12)="subscription",LOWER(TRIM($F16&amp;""))="membership"),"",IF(LOWER(TRIM($D16&amp;""))="estimate","N/A",IF(LOWER($L16&amp;"")="yes",0,IF(OR(AND($H16&lt;&gt;"",$H16=0),LEFT(LOWER(TRIM($F16&amp;"")),9)="free game",LOWER(TRIM($F16&amp;""))="free",LOWER(TRIM($F16&amp;""))="free entry"),IF(ISNUMBER($K16),$K16,""),IF($K16&lt;&gt;"",$K16,""))))))</ns0:f>
      </ns0:c>
      <ns0:c r="Q16" s="114">
        <ns0:f>IF(COUNTA($A16:$M16)=0,"",IF(OR($U16="Subscription",$U16=""),"",IF($U16="Estimate","N/A",IF($U16="Profit",ROUND(IFERROR($P16,0)-IFERROR($H16,0),2),0))))</ns0:f>
      </ns0:c>
      <ns0:c r="R16" s="114">
        <ns0:f>IF(COUNTA($A16:$M16)=0,"",IF(OR($U16="Subscription",$U16=""),"",IF($U16="Estimate","N/A",IF($U16="Draw",$H16,0))))</ns0:f>
      </ns0:c>
      <ns0:c r="S16" s="114">
        <ns0:f>IF(COUNTA($A16:$M16)=0,"",IF(OR($U16="Subscription",$U16=""),"",IF($U16="Estimate","N/A",IF($U16="Disqualified",$H16,0))))</ns0:f>
      </ns0:c>
      <ns0:c r="T16" s="955">
        <ns0:f>IF(COUNTA($A16:$M16)=0,"",IF(OR($U16="Subscription",$U16=""),"",IF($U16="Estimate","N/A",IF(OR($U16="Free Game",$U16="Disqualified — Free Game",$H16=0),"N/A",IF($U16="Profit",$Q16/$H16,IF($U16="Disqualified",-$S16/$H16,0))))))</ns0:f>
      </ns0:c>
      <ns0:c r="U16" s="920">
        <ns0:f>IF(COUNTA($A16:$M16)=0,"",IF(OR(LEFT(LOWER(TRIM($F16&amp;"")),12)="subscription",LOWER(TRIM($F16&amp;""))="membership"),"Subscription",IF(LOWER(TRIM($D16&amp;""))="estimate","Estimate",IF(OR(AND($H16&lt;&gt;"",$H16=0),LEFT(LOWER(TRIM($F16&amp;"")),9)="free game",LOWER(TRIM($F16&amp;""))="free",LOWER(TRIM($F16&amp;""))="free entry"),IF(LOWER($L16&amp;"")="yes","Disqualified — Free Game","Free Game"),IF(LOWER($L16&amp;"")="yes","Disqualified",IF($P16="","",IF(ROUND(IFERROR(VALUE($P16),0)-IFERROR(VALUE($H16),0),2)&gt;0,"Profit","Draw")))))))</ns0:f>
      </ns0:c>
      <ns0:c r="V16" s="956" t="str">
        <ns0:f>IF(COUNTA($A16:$M16)=0,"",IF(OR($B16="",$C16="",$U16="Subscription"),"",IFERROR(ROUNDUP(($C16-$B16)/7,0),"")))</ns0:f>
      </ns0:c>
      <ns0:c r="W16" s="114">
        <ns0:f>IF(COUNTA($A16:$M16)=0,"",IF(OR($U16="Subscription",$U16=""),"",IF($U16="Estimate","N/A",IF(OR($U16="Free Game",$U16="Disqualified — Free Game"),0,ROUND(IFERROR($Q16,0)-IFERROR($S16,0),2)))))</ns0:f>
      </ns0:c>
      <ns0:c r="X16" s="956" t="str">
        <ns0:f>IF(COUNTA($A16:$M16)=0,"",IF(OR($U16="Subscription",NOT(ISNUMBER($J16)),NOT(ISNUMBER($I16)),$J16=0,$I16=0,$I16&gt;$J16),"",$J16-$I16))</ns0:f>
      </ns0:c>
      <ns0:c r="Y16" s="955" t="str">
        <ns0:f>IF(COUNTA($A16:$M16)=0,"",IF(OR($U16="Subscription",NOT(ISNUMBER($J16)),$J16=0,$X16=""),"",$X16/$J16))</ns0:f>
      </ns0:c>
      <ns0:c r="Z16" s="957" t="str">
        <ns0:f>IF(COUNTA($A16:$M16)=0,"",Instructions!$B$29+SUM($W$5:W16))</ns0:f>
      </ns0:c>
    </ns0:row>
    <ns0:row r="17" ht="45" customHeight="1">
      <ns0:c r="A17" s="439"/>
      <ns0:c r="B17" s="453"/>
      <ns0:c r="C17" s="453"/>
      <ns0:c r="D17" s="454"/>
      <ns0:c r="E17" s="454"/>
      <ns0:c r="F17" s="454"/>
      <ns0:c r="G17" s="986"/>
      <ns0:c r="H17" s="455"/>
      <ns0:c r="I17" s="456"/>
      <ns0:c r="J17" s="456"/>
      <ns0:c r="K17" s="986"/>
      <ns0:c r="L17" s="454"/>
      <ns0:c r="M17" s="439"/>
      <ns0:c r="N17" s="987" t="str">
        <ns0:f>IF(COUNTA($A17:$M17)=0,"",IF(OR(LEFT(LOWER(TRIM($F17&amp;"")),12)="subscription",LOWER(TRIM($F17&amp;""))="membership"),"",IF(OR(AND($H17&lt;&gt;"",$H17=0),LEFT(LOWER(TRIM($F17&amp;"")),9)="free game",LOWER(TRIM($F17&amp;""))="free",LOWER(TRIM($F17&amp;""))="free entry"),IF(ISNUMBER($G17),IF(ISNUMBER(SEARCH("non",LOWER($E17&amp;""))),$G17*0.85,$G17),"N/A"),IF($G17="","",IFERROR(IF(ISNUMBER(SEARCH("non",LOWER($E17&amp;""))),$G17*0.85,$G17),"")))))</ns0:f>
        <ns0:v/>
      </ns0:c>
      <ns0:c r="O17" s="987" t="str">
        <ns0:f>IF(COUNTA($A17:$M17)=0,"",IF(OR(LEFT(LOWER(TRIM($F17&amp;"")),12)="subscription",LOWER(TRIM($F17&amp;""))="membership"),"",IF(OR(AND($H17&lt;&gt;"",$H17=0),LEFT(LOWER(TRIM($F17&amp;"")),9)="free game",LOWER(TRIM($F17&amp;""))="free",LOWER(TRIM($F17&amp;""))="free entry"),IF(OR(NOT(ISNUMBER($N17)),NOT(ISNUMBER($I17)),$I17=0),"N/A",IFERROR($N17/$I17,"N/A")),IF(OR($N17="",$I17="",$I17=0),"",IFERROR($N17/$I17,"")))))</ns0:f>
        <ns0:v/>
      </ns0:c>
      <ns0:c r="P17" s="987">
        <ns0:f>IF(COUNTA($A17:$M17)=0,"",IF(OR(LEFT(LOWER(TRIM($F17&amp;"")),12)="subscription",LOWER(TRIM($F17&amp;""))="membership"),"",IF(LOWER(TRIM($D17&amp;""))="estimate","N/A",IF(LOWER($L17&amp;"")="yes",0,IF(OR(AND($H17&lt;&gt;"",$H17=0),LEFT(LOWER(TRIM($F17&amp;"")),9)="free game",LOWER(TRIM($F17&amp;""))="free",LOWER(TRIM($F17&amp;""))="free entry"),IF(ISNUMBER($K17),$K17,""),IF($K17&lt;&gt;"",$K17,""))))))</ns0:f>
      </ns0:c>
      <ns0:c r="Q17" s="114">
        <ns0:f>IF(COUNTA($A17:$M17)=0,"",IF(OR($U17="Subscription",$U17=""),"",IF($U17="Estimate","N/A",IF($U17="Profit",ROUND(IFERROR($P17,0)-IFERROR($H17,0),2),0))))</ns0:f>
      </ns0:c>
      <ns0:c r="R17" s="114">
        <ns0:f>IF(COUNTA($A17:$M17)=0,"",IF(OR($U17="Subscription",$U17=""),"",IF($U17="Estimate","N/A",IF($U17="Draw",$H17,0))))</ns0:f>
      </ns0:c>
      <ns0:c r="S17" s="114">
        <ns0:f>IF(COUNTA($A17:$M17)=0,"",IF(OR($U17="Subscription",$U17=""),"",IF($U17="Estimate","N/A",IF($U17="Disqualified",$H17,0))))</ns0:f>
      </ns0:c>
      <ns0:c r="T17" s="955">
        <ns0:f>IF(COUNTA($A17:$M17)=0,"",IF(OR($U17="Subscription",$U17=""),"",IF($U17="Estimate","N/A",IF(OR($U17="Free Game",$U17="Disqualified — Free Game",$H17=0),"N/A",IF($U17="Profit",$Q17/$H17,IF($U17="Disqualified",-$S17/$H17,0))))))</ns0:f>
      </ns0:c>
      <ns0:c r="U17" s="920">
        <ns0:f>IF(COUNTA($A17:$M17)=0,"",IF(OR(LEFT(LOWER(TRIM($F17&amp;"")),12)="subscription",LOWER(TRIM($F17&amp;""))="membership"),"Subscription",IF(LOWER(TRIM($D17&amp;""))="estimate","Estimate",IF(OR(AND($H17&lt;&gt;"",$H17=0),LEFT(LOWER(TRIM($F17&amp;"")),9)="free game",LOWER(TRIM($F17&amp;""))="free",LOWER(TRIM($F17&amp;""))="free entry"),IF(LOWER($L17&amp;"")="yes","Disqualified — Free Game","Free Game"),IF(LOWER($L17&amp;"")="yes","Disqualified",IF($P17="","",IF(ROUND(IFERROR(VALUE($P17),0)-IFERROR(VALUE($H17),0),2)&gt;0,"Profit","Draw")))))))</ns0:f>
      </ns0:c>
      <ns0:c r="V17" s="956" t="str">
        <ns0:f>IF(COUNTA($A17:$M17)=0,"",IF(OR($B17="",$C17="",$U17="Subscription"),"",IFERROR(ROUNDUP(($C17-$B17)/7,0),"")))</ns0:f>
      </ns0:c>
      <ns0:c r="W17" s="114">
        <ns0:f>IF(COUNTA($A17:$M17)=0,"",IF(OR($U17="Subscription",$U17=""),"",IF($U17="Estimate","N/A",IF(OR($U17="Free Game",$U17="Disqualified — Free Game"),0,ROUND(IFERROR($Q17,0)-IFERROR($S17,0),2)))))</ns0:f>
      </ns0:c>
      <ns0:c r="X17" s="956" t="str">
        <ns0:f>IF(COUNTA($A17:$M17)=0,"",IF(OR($U17="Subscription",NOT(ISNUMBER($J17)),NOT(ISNUMBER($I17)),$J17=0,$I17=0,$I17&gt;$J17),"",$J17-$I17))</ns0:f>
      </ns0:c>
      <ns0:c r="Y17" s="955" t="str">
        <ns0:f>IF(COUNTA($A17:$M17)=0,"",IF(OR($U17="Subscription",NOT(ISNUMBER($J17)),$J17=0,$X17=""),"",$X17/$J17))</ns0:f>
      </ns0:c>
      <ns0:c r="Z17" s="957" t="str">
        <ns0:f>IF(COUNTA($A17:$M17)=0,"",Instructions!$B$29+SUM($W$5:W17))</ns0:f>
      </ns0:c>
    </ns0:row>
    <ns0:row r="18" ht="36" customHeight="1">
      <ns0:c r="A18" s="439"/>
      <ns0:c r="B18" s="453"/>
      <ns0:c r="C18" s="453"/>
      <ns0:c r="D18" s="454"/>
      <ns0:c r="E18" s="454"/>
      <ns0:c r="F18" s="454"/>
      <ns0:c r="G18" s="986"/>
      <ns0:c r="H18" s="455"/>
      <ns0:c r="I18" s="456"/>
      <ns0:c r="J18" s="456"/>
      <ns0:c r="K18" s="986"/>
      <ns0:c r="L18" s="454"/>
      <ns0:c r="M18" s="439"/>
      <ns0:c r="N18" s="987" t="str">
        <ns0:f>IF(COUNTA($A18:$M18)=0,"",IF(OR(LEFT(LOWER(TRIM($F18&amp;"")),12)="subscription",LOWER(TRIM($F18&amp;""))="membership"),"",IF(OR(AND($H18&lt;&gt;"",$H18=0),LEFT(LOWER(TRIM($F18&amp;"")),9)="free game",LOWER(TRIM($F18&amp;""))="free",LOWER(TRIM($F18&amp;""))="free entry"),IF(ISNUMBER($G18),IF(ISNUMBER(SEARCH("non",LOWER($E18&amp;""))),$G18*0.85,$G18),"N/A"),IF($G18="","",IFERROR(IF(ISNUMBER(SEARCH("non",LOWER($E18&amp;""))),$G18*0.85,$G18),"")))))</ns0:f>
        <ns0:v/>
      </ns0:c>
      <ns0:c r="O18" s="987" t="str">
        <ns0:f>IF(COUNTA($A18:$M18)=0,"",IF(OR(LEFT(LOWER(TRIM($F18&amp;"")),12)="subscription",LOWER(TRIM($F18&amp;""))="membership"),"",IF(OR(AND($H18&lt;&gt;"",$H18=0),LEFT(LOWER(TRIM($F18&amp;"")),9)="free game",LOWER(TRIM($F18&amp;""))="free",LOWER(TRIM($F18&amp;""))="free entry"),IF(OR(NOT(ISNUMBER($N18)),NOT(ISNUMBER($I18)),$I18=0),"N/A",IFERROR($N18/$I18,"N/A")),IF(OR($N18="",$I18="",$I18=0),"",IFERROR($N18/$I18,"")))))</ns0:f>
        <ns0:v/>
      </ns0:c>
      <ns0:c r="P18" s="987">
        <ns0:f>IF(COUNTA($A18:$M18)=0,"",IF(OR(LEFT(LOWER(TRIM($F18&amp;"")),12)="subscription",LOWER(TRIM($F18&amp;""))="membership"),"",IF(LOWER(TRIM($D18&amp;""))="estimate","N/A",IF(LOWER($L18&amp;"")="yes",0,IF(OR(AND($H18&lt;&gt;"",$H18=0),LEFT(LOWER(TRIM($F18&amp;"")),9)="free game",LOWER(TRIM($F18&amp;""))="free",LOWER(TRIM($F18&amp;""))="free entry"),IF(ISNUMBER($K18),$K18,""),IF($K18&lt;&gt;"",$K18,""))))))</ns0:f>
      </ns0:c>
      <ns0:c r="Q18" s="114">
        <ns0:f>IF(COUNTA($A18:$M18)=0,"",IF(OR($U18="Subscription",$U18=""),"",IF($U18="Estimate","N/A",IF($U18="Profit",ROUND(IFERROR($P18,0)-IFERROR($H18,0),2),0))))</ns0:f>
      </ns0:c>
      <ns0:c r="R18" s="114">
        <ns0:f>IF(COUNTA($A18:$M18)=0,"",IF(OR($U18="Subscription",$U18=""),"",IF($U18="Estimate","N/A",IF($U18="Draw",$H18,0))))</ns0:f>
      </ns0:c>
      <ns0:c r="S18" s="114">
        <ns0:f>IF(COUNTA($A18:$M18)=0,"",IF(OR($U18="Subscription",$U18=""),"",IF($U18="Estimate","N/A",IF($U18="Disqualified",$H18,0))))</ns0:f>
      </ns0:c>
      <ns0:c r="T18" s="955">
        <ns0:f>IF(COUNTA($A18:$M18)=0,"",IF(OR($U18="Subscription",$U18=""),"",IF($U18="Estimate","N/A",IF(OR($U18="Free Game",$U18="Disqualified — Free Game",$H18=0),"N/A",IF($U18="Profit",$Q18/$H18,IF($U18="Disqualified",-$S18/$H18,0))))))</ns0:f>
      </ns0:c>
      <ns0:c r="U18" s="920">
        <ns0:f>IF(COUNTA($A18:$M18)=0,"",IF(OR(LEFT(LOWER(TRIM($F18&amp;"")),12)="subscription",LOWER(TRIM($F18&amp;""))="membership"),"Subscription",IF(LOWER(TRIM($D18&amp;""))="estimate","Estimate",IF(OR(AND($H18&lt;&gt;"",$H18=0),LEFT(LOWER(TRIM($F18&amp;"")),9)="free game",LOWER(TRIM($F18&amp;""))="free",LOWER(TRIM($F18&amp;""))="free entry"),IF(LOWER($L18&amp;"")="yes","Disqualified — Free Game","Free Game"),IF(LOWER($L18&amp;"")="yes","Disqualified",IF($P18="","",IF(ROUND(IFERROR(VALUE($P18),0)-IFERROR(VALUE($H18),0),2)&gt;0,"Profit","Draw")))))))</ns0:f>
      </ns0:c>
      <ns0:c r="V18" s="956" t="str">
        <ns0:f>IF(COUNTA($A18:$M18)=0,"",IF(OR($B18="",$C18="",$U18="Subscription"),"",IFERROR(ROUNDUP(($C18-$B18)/7,0),"")))</ns0:f>
      </ns0:c>
      <ns0:c r="W18" s="114">
        <ns0:f>IF(COUNTA($A18:$M18)=0,"",IF(OR($U18="Subscription",$U18=""),"",IF($U18="Estimate","N/A",IF(OR($U18="Free Game",$U18="Disqualified — Free Game"),0,ROUND(IFERROR($Q18,0)-IFERROR($S18,0),2)))))</ns0:f>
      </ns0:c>
      <ns0:c r="X18" s="956" t="str">
        <ns0:f>IF(COUNTA($A18:$M18)=0,"",IF(OR($U18="Subscription",NOT(ISNUMBER($J18)),NOT(ISNUMBER($I18)),$J18=0,$I18=0,$I18&gt;$J18),"",$J18-$I18))</ns0:f>
      </ns0:c>
      <ns0:c r="Y18" s="955" t="str">
        <ns0:f>IF(COUNTA($A18:$M18)=0,"",IF(OR($U18="Subscription",NOT(ISNUMBER($J18)),$J18=0,$X18=""),"",$X18/$J18))</ns0:f>
      </ns0:c>
      <ns0:c r="Z18" s="957" t="str">
        <ns0:f>IF(COUNTA($A18:$M18)=0,"",Instructions!$B$29+SUM($W$5:W18))</ns0:f>
      </ns0:c>
    </ns0:row>
    <ns0:row r="19" ht="36" customHeight="1">
      <ns0:c r="A19" s="439"/>
      <ns0:c r="B19" s="453"/>
      <ns0:c r="C19" s="453"/>
      <ns0:c r="D19" s="454"/>
      <ns0:c r="E19" s="454"/>
      <ns0:c r="F19" s="454"/>
      <ns0:c r="G19" s="986"/>
      <ns0:c r="H19" s="455"/>
      <ns0:c r="I19" s="456"/>
      <ns0:c r="J19" s="456"/>
      <ns0:c r="K19" s="986"/>
      <ns0:c r="L19" s="454"/>
      <ns0:c r="M19" s="439"/>
      <ns0:c r="N19" s="987" t="str">
        <ns0:f>IF(COUNTA($A19:$M19)=0,"",IF(OR(LEFT(LOWER(TRIM($F19&amp;"")),12)="subscription",LOWER(TRIM($F19&amp;""))="membership"),"",IF(OR(AND($H19&lt;&gt;"",$H19=0),LEFT(LOWER(TRIM($F19&amp;"")),9)="free game",LOWER(TRIM($F19&amp;""))="free",LOWER(TRIM($F19&amp;""))="free entry"),IF(ISNUMBER($G19),IF(ISNUMBER(SEARCH("non",LOWER($E19&amp;""))),$G19*0.85,$G19),"N/A"),IF($G19="","",IFERROR(IF(ISNUMBER(SEARCH("non",LOWER($E19&amp;""))),$G19*0.85,$G19),"")))))</ns0:f>
        <ns0:v/>
      </ns0:c>
      <ns0:c r="O19" s="987" t="str">
        <ns0:f>IF(COUNTA($A19:$M19)=0,"",IF(OR(LEFT(LOWER(TRIM($F19&amp;"")),12)="subscription",LOWER(TRIM($F19&amp;""))="membership"),"",IF(OR(AND($H19&lt;&gt;"",$H19=0),LEFT(LOWER(TRIM($F19&amp;"")),9)="free game",LOWER(TRIM($F19&amp;""))="free",LOWER(TRIM($F19&amp;""))="free entry"),IF(OR(NOT(ISNUMBER($N19)),NOT(ISNUMBER($I19)),$I19=0),"N/A",IFERROR($N19/$I19,"N/A")),IF(OR($N19="",$I19="",$I19=0),"",IFERROR($N19/$I19,"")))))</ns0:f>
        <ns0:v/>
      </ns0:c>
      <ns0:c r="P19" s="987">
        <ns0:f>IF(COUNTA($A19:$M19)=0,"",IF(OR(LEFT(LOWER(TRIM($F19&amp;"")),12)="subscription",LOWER(TRIM($F19&amp;""))="membership"),"",IF(LOWER(TRIM($D19&amp;""))="estimate","N/A",IF(LOWER($L19&amp;"")="yes",0,IF(OR(AND($H19&lt;&gt;"",$H19=0),LEFT(LOWER(TRIM($F19&amp;"")),9)="free game",LOWER(TRIM($F19&amp;""))="free",LOWER(TRIM($F19&amp;""))="free entry"),IF(ISNUMBER($K19),$K19,""),IF($K19&lt;&gt;"",$K19,""))))))</ns0:f>
      </ns0:c>
      <ns0:c r="Q19" s="114">
        <ns0:f>IF(COUNTA($A19:$M19)=0,"",IF(OR($U19="Subscription",$U19=""),"",IF($U19="Estimate","N/A",IF($U19="Profit",ROUND(IFERROR($P19,0)-IFERROR($H19,0),2),0))))</ns0:f>
      </ns0:c>
      <ns0:c r="R19" s="114">
        <ns0:f>IF(COUNTA($A19:$M19)=0,"",IF(OR($U19="Subscription",$U19=""),"",IF($U19="Estimate","N/A",IF($U19="Draw",$H19,0))))</ns0:f>
      </ns0:c>
      <ns0:c r="S19" s="114">
        <ns0:f>IF(COUNTA($A19:$M19)=0,"",IF(OR($U19="Subscription",$U19=""),"",IF($U19="Estimate","N/A",IF($U19="Disqualified",$H19,0))))</ns0:f>
      </ns0:c>
      <ns0:c r="T19" s="955">
        <ns0:f>IF(COUNTA($A19:$M19)=0,"",IF(OR($U19="Subscription",$U19=""),"",IF($U19="Estimate","N/A",IF(OR($U19="Free Game",$U19="Disqualified — Free Game",$H19=0),"N/A",IF($U19="Profit",$Q19/$H19,IF($U19="Disqualified",-$S19/$H19,0))))))</ns0:f>
      </ns0:c>
      <ns0:c r="U19" s="920">
        <ns0:f>IF(COUNTA($A19:$M19)=0,"",IF(OR(LEFT(LOWER(TRIM($F19&amp;"")),12)="subscription",LOWER(TRIM($F19&amp;""))="membership"),"Subscription",IF(LOWER(TRIM($D19&amp;""))="estimate","Estimate",IF(OR(AND($H19&lt;&gt;"",$H19=0),LEFT(LOWER(TRIM($F19&amp;"")),9)="free game",LOWER(TRIM($F19&amp;""))="free",LOWER(TRIM($F19&amp;""))="free entry"),IF(LOWER($L19&amp;"")="yes","Disqualified — Free Game","Free Game"),IF(LOWER($L19&amp;"")="yes","Disqualified",IF($P19="","",IF(ROUND(IFERROR(VALUE($P19),0)-IFERROR(VALUE($H19),0),2)&gt;0,"Profit","Draw")))))))</ns0:f>
      </ns0:c>
      <ns0:c r="V19" s="956" t="str">
        <ns0:f>IF(COUNTA($A19:$M19)=0,"",IF(OR($B19="",$C19="",$U19="Subscription"),"",IFERROR(ROUNDUP(($C19-$B19)/7,0),"")))</ns0:f>
      </ns0:c>
      <ns0:c r="W19" s="114">
        <ns0:f>IF(COUNTA($A19:$M19)=0,"",IF(OR($U19="Subscription",$U19=""),"",IF($U19="Estimate","N/A",IF(OR($U19="Free Game",$U19="Disqualified — Free Game"),0,ROUND(IFERROR($Q19,0)-IFERROR($S19,0),2)))))</ns0:f>
      </ns0:c>
      <ns0:c r="X19" s="956" t="str">
        <ns0:f>IF(COUNTA($A19:$M19)=0,"",IF(OR($U19="Subscription",NOT(ISNUMBER($J19)),NOT(ISNUMBER($I19)),$J19=0,$I19=0,$I19&gt;$J19),"",$J19-$I19))</ns0:f>
      </ns0:c>
      <ns0:c r="Y19" s="955" t="str">
        <ns0:f>IF(COUNTA($A19:$M19)=0,"",IF(OR($U19="Subscription",NOT(ISNUMBER($J19)),$J19=0,$X19=""),"",$X19/$J19))</ns0:f>
      </ns0:c>
      <ns0:c r="Z19" s="957" t="str">
        <ns0:f>IF(COUNTA($A19:$M19)=0,"",Instructions!$B$29+SUM($W$5:W19))</ns0:f>
      </ns0:c>
    </ns0:row>
    <ns0:row r="20" ht="36" customHeight="1">
      <ns0:c r="A20" s="439"/>
      <ns0:c r="B20" s="453"/>
      <ns0:c r="C20" s="453"/>
      <ns0:c r="D20" s="454"/>
      <ns0:c r="E20" s="454"/>
      <ns0:c r="F20" s="454"/>
      <ns0:c r="G20" s="986"/>
      <ns0:c r="H20" s="455"/>
      <ns0:c r="I20" s="456"/>
      <ns0:c r="J20" s="456"/>
      <ns0:c r="K20" s="986"/>
      <ns0:c r="L20" s="454"/>
      <ns0:c r="M20" s="439"/>
      <ns0:c r="N20" s="987" t="str">
        <ns0:f>IF(COUNTA($A20:$M20)=0,"",IF(OR(LEFT(LOWER(TRIM($F20&amp;"")),12)="subscription",LOWER(TRIM($F20&amp;""))="membership"),"",IF(OR(AND($H20&lt;&gt;"",$H20=0),LEFT(LOWER(TRIM($F20&amp;"")),9)="free game",LOWER(TRIM($F20&amp;""))="free",LOWER(TRIM($F20&amp;""))="free entry"),IF(ISNUMBER($G20),IF(ISNUMBER(SEARCH("non",LOWER($E20&amp;""))),$G20*0.85,$G20),"N/A"),IF($G20="","",IFERROR(IF(ISNUMBER(SEARCH("non",LOWER($E20&amp;""))),$G20*0.85,$G20),"")))))</ns0:f>
        <ns0:v/>
      </ns0:c>
      <ns0:c r="O20" s="987" t="str">
        <ns0:f>IF(COUNTA($A20:$M20)=0,"",IF(OR(LEFT(LOWER(TRIM($F20&amp;"")),12)="subscription",LOWER(TRIM($F20&amp;""))="membership"),"",IF(OR(AND($H20&lt;&gt;"",$H20=0),LEFT(LOWER(TRIM($F20&amp;"")),9)="free game",LOWER(TRIM($F20&amp;""))="free",LOWER(TRIM($F20&amp;""))="free entry"),IF(OR(NOT(ISNUMBER($N20)),NOT(ISNUMBER($I20)),$I20=0),"N/A",IFERROR($N20/$I20,"N/A")),IF(OR($N20="",$I20="",$I20=0),"",IFERROR($N20/$I20,"")))))</ns0:f>
        <ns0:v/>
      </ns0:c>
      <ns0:c r="P20" s="987">
        <ns0:f>IF(COUNTA($A20:$M20)=0,"",IF(OR(LEFT(LOWER(TRIM($F20&amp;"")),12)="subscription",LOWER(TRIM($F20&amp;""))="membership"),"",IF(LOWER(TRIM($D20&amp;""))="estimate","N/A",IF(LOWER($L20&amp;"")="yes",0,IF(OR(AND($H20&lt;&gt;"",$H20=0),LEFT(LOWER(TRIM($F20&amp;"")),9)="free game",LOWER(TRIM($F20&amp;""))="free",LOWER(TRIM($F20&amp;""))="free entry"),IF(ISNUMBER($K20),$K20,""),IF($K20&lt;&gt;"",$K20,""))))))</ns0:f>
      </ns0:c>
      <ns0:c r="Q20" s="114">
        <ns0:f>IF(COUNTA($A20:$M20)=0,"",IF(OR($U20="Subscription",$U20=""),"",IF($U20="Estimate","N/A",IF($U20="Profit",ROUND(IFERROR($P20,0)-IFERROR($H20,0),2),0))))</ns0:f>
      </ns0:c>
      <ns0:c r="R20" s="114">
        <ns0:f>IF(COUNTA($A20:$M20)=0,"",IF(OR($U20="Subscription",$U20=""),"",IF($U20="Estimate","N/A",IF($U20="Draw",$H20,0))))</ns0:f>
      </ns0:c>
      <ns0:c r="S20" s="114">
        <ns0:f>IF(COUNTA($A20:$M20)=0,"",IF(OR($U20="Subscription",$U20=""),"",IF($U20="Estimate","N/A",IF($U20="Disqualified",$H20,0))))</ns0:f>
      </ns0:c>
      <ns0:c r="T20" s="955">
        <ns0:f>IF(COUNTA($A20:$M20)=0,"",IF(OR($U20="Subscription",$U20=""),"",IF($U20="Estimate","N/A",IF(OR($U20="Free Game",$U20="Disqualified — Free Game",$H20=0),"N/A",IF($U20="Profit",$Q20/$H20,IF($U20="Disqualified",-$S20/$H20,0))))))</ns0:f>
      </ns0:c>
      <ns0:c r="U20" s="920">
        <ns0:f>IF(COUNTA($A20:$M20)=0,"",IF(OR(LEFT(LOWER(TRIM($F20&amp;"")),12)="subscription",LOWER(TRIM($F20&amp;""))="membership"),"Subscription",IF(LOWER(TRIM($D20&amp;""))="estimate","Estimate",IF(OR(AND($H20&lt;&gt;"",$H20=0),LEFT(LOWER(TRIM($F20&amp;"")),9)="free game",LOWER(TRIM($F20&amp;""))="free",LOWER(TRIM($F20&amp;""))="free entry"),IF(LOWER($L20&amp;"")="yes","Disqualified — Free Game","Free Game"),IF(LOWER($L20&amp;"")="yes","Disqualified",IF($P20="","",IF(ROUND(IFERROR(VALUE($P20),0)-IFERROR(VALUE($H20),0),2)&gt;0,"Profit","Draw")))))))</ns0:f>
      </ns0:c>
      <ns0:c r="V20" s="956" t="str">
        <ns0:f>IF(COUNTA($A20:$M20)=0,"",IF(OR($B20="",$C20="",$U20="Subscription"),"",IFERROR(ROUNDUP(($C20-$B20)/7,0),"")))</ns0:f>
      </ns0:c>
      <ns0:c r="W20" s="114">
        <ns0:f>IF(COUNTA($A20:$M20)=0,"",IF(OR($U20="Subscription",$U20=""),"",IF($U20="Estimate","N/A",IF(OR($U20="Free Game",$U20="Disqualified — Free Game"),0,ROUND(IFERROR($Q20,0)-IFERROR($S20,0),2)))))</ns0:f>
      </ns0:c>
      <ns0:c r="X20" s="956" t="str">
        <ns0:f>IF(COUNTA($A20:$M20)=0,"",IF(OR($U20="Subscription",NOT(ISNUMBER($J20)),NOT(ISNUMBER($I20)),$J20=0,$I20=0,$I20&gt;$J20),"",$J20-$I20))</ns0:f>
      </ns0:c>
      <ns0:c r="Y20" s="955" t="str">
        <ns0:f>IF(COUNTA($A20:$M20)=0,"",IF(OR($U20="Subscription",NOT(ISNUMBER($J20)),$J20=0,$X20=""),"",$X20/$J20))</ns0:f>
      </ns0:c>
      <ns0:c r="Z20" s="957" t="str">
        <ns0:f>IF(COUNTA($A20:$M20)=0,"",Instructions!$B$29+SUM($W$5:W20))</ns0:f>
      </ns0:c>
    </ns0:row>
    <ns0:row r="21" ht="36" customHeight="1">
      <ns0:c r="A21" s="439"/>
      <ns0:c r="B21" s="453"/>
      <ns0:c r="C21" s="453"/>
      <ns0:c r="D21" s="454"/>
      <ns0:c r="E21" s="454"/>
      <ns0:c r="F21" s="454"/>
      <ns0:c r="G21" s="986"/>
      <ns0:c r="H21" s="455"/>
      <ns0:c r="I21" s="456"/>
      <ns0:c r="J21" s="456"/>
      <ns0:c r="K21" s="986"/>
      <ns0:c r="L21" s="454"/>
      <ns0:c r="M21" s="439"/>
      <ns0:c r="N21" s="987" t="str">
        <ns0:f>IF(COUNTA($A21:$M21)=0,"",IF(OR(LEFT(LOWER(TRIM($F21&amp;"")),12)="subscription",LOWER(TRIM($F21&amp;""))="membership"),"",IF(OR(AND($H21&lt;&gt;"",$H21=0),LEFT(LOWER(TRIM($F21&amp;"")),9)="free game",LOWER(TRIM($F21&amp;""))="free",LOWER(TRIM($F21&amp;""))="free entry"),IF(ISNUMBER($G21),IF(ISNUMBER(SEARCH("non",LOWER($E21&amp;""))),$G21*0.85,$G21),"N/A"),IF($G21="","",IFERROR(IF(ISNUMBER(SEARCH("non",LOWER($E21&amp;""))),$G21*0.85,$G21),"")))))</ns0:f>
        <ns0:v/>
      </ns0:c>
      <ns0:c r="O21" s="987" t="str">
        <ns0:f>IF(COUNTA($A21:$M21)=0,"",IF(OR(LEFT(LOWER(TRIM($F21&amp;"")),12)="subscription",LOWER(TRIM($F21&amp;""))="membership"),"",IF(OR(AND($H21&lt;&gt;"",$H21=0),LEFT(LOWER(TRIM($F21&amp;"")),9)="free game",LOWER(TRIM($F21&amp;""))="free",LOWER(TRIM($F21&amp;""))="free entry"),IF(OR(NOT(ISNUMBER($N21)),NOT(ISNUMBER($I21)),$I21=0),"N/A",IFERROR($N21/$I21,"N/A")),IF(OR($N21="",$I21="",$I21=0),"",IFERROR($N21/$I21,"")))))</ns0:f>
        <ns0:v/>
      </ns0:c>
      <ns0:c r="P21" s="987">
        <ns0:f>IF(COUNTA($A21:$M21)=0,"",IF(OR(LEFT(LOWER(TRIM($F21&amp;"")),12)="subscription",LOWER(TRIM($F21&amp;""))="membership"),"",IF(LOWER(TRIM($D21&amp;""))="estimate","N/A",IF(LOWER($L21&amp;"")="yes",0,IF(OR(AND($H21&lt;&gt;"",$H21=0),LEFT(LOWER(TRIM($F21&amp;"")),9)="free game",LOWER(TRIM($F21&amp;""))="free",LOWER(TRIM($F21&amp;""))="free entry"),IF(ISNUMBER($K21),$K21,""),IF($K21&lt;&gt;"",$K21,""))))))</ns0:f>
      </ns0:c>
      <ns0:c r="Q21" s="114">
        <ns0:f>IF(COUNTA($A21:$M21)=0,"",IF(OR($U21="Subscription",$U21=""),"",IF($U21="Estimate","N/A",IF($U21="Profit",ROUND(IFERROR($P21,0)-IFERROR($H21,0),2),0))))</ns0:f>
      </ns0:c>
      <ns0:c r="R21" s="114">
        <ns0:f>IF(COUNTA($A21:$M21)=0,"",IF(OR($U21="Subscription",$U21=""),"",IF($U21="Estimate","N/A",IF($U21="Draw",$H21,0))))</ns0:f>
      </ns0:c>
      <ns0:c r="S21" s="114">
        <ns0:f>IF(COUNTA($A21:$M21)=0,"",IF(OR($U21="Subscription",$U21=""),"",IF($U21="Estimate","N/A",IF($U21="Disqualified",$H21,0))))</ns0:f>
      </ns0:c>
      <ns0:c r="T21" s="955">
        <ns0:f>IF(COUNTA($A21:$M21)=0,"",IF(OR($U21="Subscription",$U21=""),"",IF($U21="Estimate","N/A",IF(OR($U21="Free Game",$U21="Disqualified — Free Game",$H21=0),"N/A",IF($U21="Profit",$Q21/$H21,IF($U21="Disqualified",-$S21/$H21,0))))))</ns0:f>
      </ns0:c>
      <ns0:c r="U21" s="920">
        <ns0:f>IF(COUNTA($A21:$M21)=0,"",IF(OR(LEFT(LOWER(TRIM($F21&amp;"")),12)="subscription",LOWER(TRIM($F21&amp;""))="membership"),"Subscription",IF(LOWER(TRIM($D21&amp;""))="estimate","Estimate",IF(OR(AND($H21&lt;&gt;"",$H21=0),LEFT(LOWER(TRIM($F21&amp;"")),9)="free game",LOWER(TRIM($F21&amp;""))="free",LOWER(TRIM($F21&amp;""))="free entry"),IF(LOWER($L21&amp;"")="yes","Disqualified — Free Game","Free Game"),IF(LOWER($L21&amp;"")="yes","Disqualified",IF($P21="","",IF(ROUND(IFERROR(VALUE($P21),0)-IFERROR(VALUE($H21),0),2)&gt;0,"Profit","Draw")))))))</ns0:f>
      </ns0:c>
      <ns0:c r="V21" s="956" t="str">
        <ns0:f>IF(COUNTA($A21:$M21)=0,"",IF(OR($B21="",$C21="",$U21="Subscription"),"",IFERROR(ROUNDUP(($C21-$B21)/7,0),"")))</ns0:f>
      </ns0:c>
      <ns0:c r="W21" s="114">
        <ns0:f>IF(COUNTA($A21:$M21)=0,"",IF(OR($U21="Subscription",$U21=""),"",IF($U21="Estimate","N/A",IF(OR($U21="Free Game",$U21="Disqualified — Free Game"),0,ROUND(IFERROR($Q21,0)-IFERROR($S21,0),2)))))</ns0:f>
      </ns0:c>
      <ns0:c r="X21" s="956" t="str">
        <ns0:f>IF(COUNTA($A21:$M21)=0,"",IF(OR($U21="Subscription",NOT(ISNUMBER($J21)),NOT(ISNUMBER($I21)),$J21=0,$I21=0,$I21&gt;$J21),"",$J21-$I21))</ns0:f>
      </ns0:c>
      <ns0:c r="Y21" s="955" t="str">
        <ns0:f>IF(COUNTA($A21:$M21)=0,"",IF(OR($U21="Subscription",NOT(ISNUMBER($J21)),$J21=0,$X21=""),"",$X21/$J21))</ns0:f>
      </ns0:c>
      <ns0:c r="Z21" s="957" t="str">
        <ns0:f>IF(COUNTA($A21:$M21)=0,"",Instructions!$B$29+SUM($W$5:W21))</ns0:f>
      </ns0:c>
    </ns0:row>
    <ns0:row r="22" ht="36" customHeight="1">
      <ns0:c r="A22" s="439"/>
      <ns0:c r="B22" s="453"/>
      <ns0:c r="C22" s="453"/>
      <ns0:c r="D22" s="454"/>
      <ns0:c r="E22" s="454"/>
      <ns0:c r="F22" s="454"/>
      <ns0:c r="G22" s="986"/>
      <ns0:c r="H22" s="455"/>
      <ns0:c r="I22" s="456"/>
      <ns0:c r="J22" s="456"/>
      <ns0:c r="K22" s="986"/>
      <ns0:c r="L22" s="454"/>
      <ns0:c r="M22" s="439"/>
      <ns0:c r="N22" s="987" t="str">
        <ns0:f>IF(COUNTA($A22:$M22)=0,"",IF(OR(LEFT(LOWER(TRIM($F22&amp;"")),12)="subscription",LOWER(TRIM($F22&amp;""))="membership"),"",IF(OR(AND($H22&lt;&gt;"",$H22=0),LEFT(LOWER(TRIM($F22&amp;"")),9)="free game",LOWER(TRIM($F22&amp;""))="free",LOWER(TRIM($F22&amp;""))="free entry"),IF(ISNUMBER($G22),IF(ISNUMBER(SEARCH("non",LOWER($E22&amp;""))),$G22*0.85,$G22),"N/A"),IF($G22="","",IFERROR(IF(ISNUMBER(SEARCH("non",LOWER($E22&amp;""))),$G22*0.85,$G22),"")))))</ns0:f>
        <ns0:v/>
      </ns0:c>
      <ns0:c r="O22" s="987" t="str">
        <ns0:f>IF(COUNTA($A22:$M22)=0,"",IF(OR(LEFT(LOWER(TRIM($F22&amp;"")),12)="subscription",LOWER(TRIM($F22&amp;""))="membership"),"",IF(OR(AND($H22&lt;&gt;"",$H22=0),LEFT(LOWER(TRIM($F22&amp;"")),9)="free game",LOWER(TRIM($F22&amp;""))="free",LOWER(TRIM($F22&amp;""))="free entry"),IF(OR(NOT(ISNUMBER($N22)),NOT(ISNUMBER($I22)),$I22=0),"N/A",IFERROR($N22/$I22,"N/A")),IF(OR($N22="",$I22="",$I22=0),"",IFERROR($N22/$I22,"")))))</ns0:f>
        <ns0:v/>
      </ns0:c>
      <ns0:c r="P22" s="987">
        <ns0:f>IF(COUNTA($A22:$M22)=0,"",IF(OR(LEFT(LOWER(TRIM($F22&amp;"")),12)="subscription",LOWER(TRIM($F22&amp;""))="membership"),"",IF(LOWER(TRIM($D22&amp;""))="estimate","N/A",IF(LOWER($L22&amp;"")="yes",0,IF(OR(AND($H22&lt;&gt;"",$H22=0),LEFT(LOWER(TRIM($F22&amp;"")),9)="free game",LOWER(TRIM($F22&amp;""))="free",LOWER(TRIM($F22&amp;""))="free entry"),IF(ISNUMBER($K22),$K22,""),IF($K22&lt;&gt;"",$K22,""))))))</ns0:f>
      </ns0:c>
      <ns0:c r="Q22" s="114">
        <ns0:f>IF(COUNTA($A22:$M22)=0,"",IF(OR($U22="Subscription",$U22=""),"",IF($U22="Estimate","N/A",IF($U22="Profit",ROUND(IFERROR($P22,0)-IFERROR($H22,0),2),0))))</ns0:f>
      </ns0:c>
      <ns0:c r="R22" s="114">
        <ns0:f>IF(COUNTA($A22:$M22)=0,"",IF(OR($U22="Subscription",$U22=""),"",IF($U22="Estimate","N/A",IF($U22="Draw",$H22,0))))</ns0:f>
      </ns0:c>
      <ns0:c r="S22" s="114">
        <ns0:f>IF(COUNTA($A22:$M22)=0,"",IF(OR($U22="Subscription",$U22=""),"",IF($U22="Estimate","N/A",IF($U22="Disqualified",$H22,0))))</ns0:f>
      </ns0:c>
      <ns0:c r="T22" s="955">
        <ns0:f>IF(COUNTA($A22:$M22)=0,"",IF(OR($U22="Subscription",$U22=""),"",IF($U22="Estimate","N/A",IF(OR($U22="Free Game",$U22="Disqualified — Free Game",$H22=0),"N/A",IF($U22="Profit",$Q22/$H22,IF($U22="Disqualified",-$S22/$H22,0))))))</ns0:f>
      </ns0:c>
      <ns0:c r="U22" s="920">
        <ns0:f>IF(COUNTA($A22:$M22)=0,"",IF(OR(LEFT(LOWER(TRIM($F22&amp;"")),12)="subscription",LOWER(TRIM($F22&amp;""))="membership"),"Subscription",IF(LOWER(TRIM($D22&amp;""))="estimate","Estimate",IF(OR(AND($H22&lt;&gt;"",$H22=0),LEFT(LOWER(TRIM($F22&amp;"")),9)="free game",LOWER(TRIM($F22&amp;""))="free",LOWER(TRIM($F22&amp;""))="free entry"),IF(LOWER($L22&amp;"")="yes","Disqualified — Free Game","Free Game"),IF(LOWER($L22&amp;"")="yes","Disqualified",IF($P22="","",IF(ROUND(IFERROR(VALUE($P22),0)-IFERROR(VALUE($H22),0),2)&gt;0,"Profit","Draw")))))))</ns0:f>
      </ns0:c>
      <ns0:c r="V22" s="956" t="str">
        <ns0:f>IF(COUNTA($A22:$M22)=0,"",IF(OR($B22="",$C22="",$U22="Subscription"),"",IFERROR(ROUNDUP(($C22-$B22)/7,0),"")))</ns0:f>
      </ns0:c>
      <ns0:c r="W22" s="114">
        <ns0:f>IF(COUNTA($A22:$M22)=0,"",IF(OR($U22="Subscription",$U22=""),"",IF($U22="Estimate","N/A",IF(OR($U22="Free Game",$U22="Disqualified — Free Game"),0,ROUND(IFERROR($Q22,0)-IFERROR($S22,0),2)))))</ns0:f>
      </ns0:c>
      <ns0:c r="X22" s="956" t="str">
        <ns0:f>IF(COUNTA($A22:$M22)=0,"",IF(OR($U22="Subscription",NOT(ISNUMBER($J22)),NOT(ISNUMBER($I22)),$J22=0,$I22=0,$I22&gt;$J22),"",$J22-$I22))</ns0:f>
      </ns0:c>
      <ns0:c r="Y22" s="955" t="str">
        <ns0:f>IF(COUNTA($A22:$M22)=0,"",IF(OR($U22="Subscription",NOT(ISNUMBER($J22)),$J22=0,$X22=""),"",$X22/$J22))</ns0:f>
      </ns0:c>
      <ns0:c r="Z22" s="957" t="str">
        <ns0:f>IF(COUNTA($A22:$M22)=0,"",Instructions!$B$29+SUM($W$5:W22))</ns0:f>
      </ns0:c>
    </ns0:row>
    <ns0:row r="23" ht="36" customHeight="1">
      <ns0:c r="A23" s="439"/>
      <ns0:c r="B23" s="453"/>
      <ns0:c r="C23" s="453"/>
      <ns0:c r="D23" s="454"/>
      <ns0:c r="E23" s="454"/>
      <ns0:c r="F23" s="454"/>
      <ns0:c r="G23" s="986"/>
      <ns0:c r="H23" s="455"/>
      <ns0:c r="I23" s="456"/>
      <ns0:c r="J23" s="456"/>
      <ns0:c r="K23" s="986"/>
      <ns0:c r="L23" s="454"/>
      <ns0:c r="M23" s="439"/>
      <ns0:c r="N23" s="987" t="str">
        <ns0:f>IF(COUNTA($A23:$M23)=0,"",IF(OR(LEFT(LOWER(TRIM($F23&amp;"")),12)="subscription",LOWER(TRIM($F23&amp;""))="membership"),"",IF(OR(AND($H23&lt;&gt;"",$H23=0),LEFT(LOWER(TRIM($F23&amp;"")),9)="free game",LOWER(TRIM($F23&amp;""))="free",LOWER(TRIM($F23&amp;""))="free entry"),IF(ISNUMBER($G23),IF(ISNUMBER(SEARCH("non",LOWER($E23&amp;""))),$G23*0.85,$G23),"N/A"),IF($G23="","",IFERROR(IF(ISNUMBER(SEARCH("non",LOWER($E23&amp;""))),$G23*0.85,$G23),"")))))</ns0:f>
        <ns0:v/>
      </ns0:c>
      <ns0:c r="O23" s="987" t="str">
        <ns0:f>IF(COUNTA($A23:$M23)=0,"",IF(OR(LEFT(LOWER(TRIM($F23&amp;"")),12)="subscription",LOWER(TRIM($F23&amp;""))="membership"),"",IF(OR(AND($H23&lt;&gt;"",$H23=0),LEFT(LOWER(TRIM($F23&amp;"")),9)="free game",LOWER(TRIM($F23&amp;""))="free",LOWER(TRIM($F23&amp;""))="free entry"),IF(OR(NOT(ISNUMBER($N23)),NOT(ISNUMBER($I23)),$I23=0),"N/A",IFERROR($N23/$I23,"N/A")),IF(OR($N23="",$I23="",$I23=0),"",IFERROR($N23/$I23,"")))))</ns0:f>
        <ns0:v/>
      </ns0:c>
      <ns0:c r="P23" s="987">
        <ns0:f>IF(COUNTA($A23:$M23)=0,"",IF(OR(LEFT(LOWER(TRIM($F23&amp;"")),12)="subscription",LOWER(TRIM($F23&amp;""))="membership"),"",IF(LOWER(TRIM($D23&amp;""))="estimate","N/A",IF(LOWER($L23&amp;"")="yes",0,IF(OR(AND($H23&lt;&gt;"",$H23=0),LEFT(LOWER(TRIM($F23&amp;"")),9)="free game",LOWER(TRIM($F23&amp;""))="free",LOWER(TRIM($F23&amp;""))="free entry"),IF(ISNUMBER($K23),$K23,""),IF($K23&lt;&gt;"",$K23,""))))))</ns0:f>
      </ns0:c>
      <ns0:c r="Q23" s="114">
        <ns0:f>IF(COUNTA($A23:$M23)=0,"",IF(OR($U23="Subscription",$U23=""),"",IF($U23="Estimate","N/A",IF($U23="Profit",ROUND(IFERROR($P23,0)-IFERROR($H23,0),2),0))))</ns0:f>
      </ns0:c>
      <ns0:c r="R23" s="114">
        <ns0:f>IF(COUNTA($A23:$M23)=0,"",IF(OR($U23="Subscription",$U23=""),"",IF($U23="Estimate","N/A",IF($U23="Draw",$H23,0))))</ns0:f>
      </ns0:c>
      <ns0:c r="S23" s="114">
        <ns0:f>IF(COUNTA($A23:$M23)=0,"",IF(OR($U23="Subscription",$U23=""),"",IF($U23="Estimate","N/A",IF($U23="Disqualified",$H23,0))))</ns0:f>
      </ns0:c>
      <ns0:c r="T23" s="955">
        <ns0:f>IF(COUNTA($A23:$M23)=0,"",IF(OR($U23="Subscription",$U23=""),"",IF($U23="Estimate","N/A",IF(OR($U23="Free Game",$U23="Disqualified — Free Game",$H23=0),"N/A",IF($U23="Profit",$Q23/$H23,IF($U23="Disqualified",-$S23/$H23,0))))))</ns0:f>
      </ns0:c>
      <ns0:c r="U23" s="920">
        <ns0:f>IF(COUNTA($A23:$M23)=0,"",IF(OR(LEFT(LOWER(TRIM($F23&amp;"")),12)="subscription",LOWER(TRIM($F23&amp;""))="membership"),"Subscription",IF(LOWER(TRIM($D23&amp;""))="estimate","Estimate",IF(OR(AND($H23&lt;&gt;"",$H23=0),LEFT(LOWER(TRIM($F23&amp;"")),9)="free game",LOWER(TRIM($F23&amp;""))="free",LOWER(TRIM($F23&amp;""))="free entry"),IF(LOWER($L23&amp;"")="yes","Disqualified — Free Game","Free Game"),IF(LOWER($L23&amp;"")="yes","Disqualified",IF($P23="","",IF(ROUND(IFERROR(VALUE($P23),0)-IFERROR(VALUE($H23),0),2)&gt;0,"Profit","Draw")))))))</ns0:f>
      </ns0:c>
      <ns0:c r="V23" s="956" t="str">
        <ns0:f>IF(COUNTA($A23:$M23)=0,"",IF(OR($B23="",$C23="",$U23="Subscription"),"",IFERROR(ROUNDUP(($C23-$B23)/7,0),"")))</ns0:f>
      </ns0:c>
      <ns0:c r="W23" s="114">
        <ns0:f>IF(COUNTA($A23:$M23)=0,"",IF(OR($U23="Subscription",$U23=""),"",IF($U23="Estimate","N/A",IF(OR($U23="Free Game",$U23="Disqualified — Free Game"),0,ROUND(IFERROR($Q23,0)-IFERROR($S23,0),2)))))</ns0:f>
      </ns0:c>
      <ns0:c r="X23" s="956" t="str">
        <ns0:f>IF(COUNTA($A23:$M23)=0,"",IF(OR($U23="Subscription",NOT(ISNUMBER($J23)),NOT(ISNUMBER($I23)),$J23=0,$I23=0,$I23&gt;$J23),"",$J23-$I23))</ns0:f>
      </ns0:c>
      <ns0:c r="Y23" s="955" t="str">
        <ns0:f>IF(COUNTA($A23:$M23)=0,"",IF(OR($U23="Subscription",NOT(ISNUMBER($J23)),$J23=0,$X23=""),"",$X23/$J23))</ns0:f>
      </ns0:c>
      <ns0:c r="Z23" s="957" t="str">
        <ns0:f>IF(COUNTA($A23:$M23)=0,"",Instructions!$B$29+SUM($W$5:W23))</ns0:f>
      </ns0:c>
    </ns0:row>
    <ns0:row r="24" ht="36" customHeight="1">
      <ns0:c r="A24" s="439"/>
      <ns0:c r="B24" s="453"/>
      <ns0:c r="C24" s="453"/>
      <ns0:c r="D24" s="454"/>
      <ns0:c r="E24" s="454"/>
      <ns0:c r="F24" s="454"/>
      <ns0:c r="G24" s="986"/>
      <ns0:c r="H24" s="455"/>
      <ns0:c r="I24" s="456"/>
      <ns0:c r="J24" s="456"/>
      <ns0:c r="K24" s="986"/>
      <ns0:c r="L24" s="454"/>
      <ns0:c r="M24" s="439"/>
      <ns0:c r="N24" s="987" t="str">
        <ns0:f>IF(COUNTA($A24:$M24)=0,"",IF(OR(LEFT(LOWER(TRIM($F24&amp;"")),12)="subscription",LOWER(TRIM($F24&amp;""))="membership"),"",IF(OR(AND($H24&lt;&gt;"",$H24=0),LEFT(LOWER(TRIM($F24&amp;"")),9)="free game",LOWER(TRIM($F24&amp;""))="free",LOWER(TRIM($F24&amp;""))="free entry"),IF(ISNUMBER($G24),IF(ISNUMBER(SEARCH("non",LOWER($E24&amp;""))),$G24*0.85,$G24),"N/A"),IF($G24="","",IFERROR(IF(ISNUMBER(SEARCH("non",LOWER($E24&amp;""))),$G24*0.85,$G24),"")))))</ns0:f>
        <ns0:v/>
      </ns0:c>
      <ns0:c r="O24" s="987" t="str">
        <ns0:f>IF(COUNTA($A24:$M24)=0,"",IF(OR(LEFT(LOWER(TRIM($F24&amp;"")),12)="subscription",LOWER(TRIM($F24&amp;""))="membership"),"",IF(OR(AND($H24&lt;&gt;"",$H24=0),LEFT(LOWER(TRIM($F24&amp;"")),9)="free game",LOWER(TRIM($F24&amp;""))="free",LOWER(TRIM($F24&amp;""))="free entry"),IF(OR(NOT(ISNUMBER($N24)),NOT(ISNUMBER($I24)),$I24=0),"N/A",IFERROR($N24/$I24,"N/A")),IF(OR($N24="",$I24="",$I24=0),"",IFERROR($N24/$I24,"")))))</ns0:f>
        <ns0:v/>
      </ns0:c>
      <ns0:c r="P24" s="987">
        <ns0:f>IF(COUNTA($A24:$M24)=0,"",IF(OR(LEFT(LOWER(TRIM($F24&amp;"")),12)="subscription",LOWER(TRIM($F24&amp;""))="membership"),"",IF(LOWER(TRIM($D24&amp;""))="estimate","N/A",IF(LOWER($L24&amp;"")="yes",0,IF(OR(AND($H24&lt;&gt;"",$H24=0),LEFT(LOWER(TRIM($F24&amp;"")),9)="free game",LOWER(TRIM($F24&amp;""))="free",LOWER(TRIM($F24&amp;""))="free entry"),IF(ISNUMBER($K24),$K24,""),IF($K24&lt;&gt;"",$K24,""))))))</ns0:f>
      </ns0:c>
      <ns0:c r="Q24" s="114">
        <ns0:f>IF(COUNTA($A24:$M24)=0,"",IF(OR($U24="Subscription",$U24=""),"",IF($U24="Estimate","N/A",IF($U24="Profit",ROUND(IFERROR($P24,0)-IFERROR($H24,0),2),0))))</ns0:f>
      </ns0:c>
      <ns0:c r="R24" s="114">
        <ns0:f>IF(COUNTA($A24:$M24)=0,"",IF(OR($U24="Subscription",$U24=""),"",IF($U24="Estimate","N/A",IF($U24="Draw",$H24,0))))</ns0:f>
      </ns0:c>
      <ns0:c r="S24" s="114">
        <ns0:f>IF(COUNTA($A24:$M24)=0,"",IF(OR($U24="Subscription",$U24=""),"",IF($U24="Estimate","N/A",IF($U24="Disqualified",$H24,0))))</ns0:f>
      </ns0:c>
      <ns0:c r="T24" s="955">
        <ns0:f>IF(COUNTA($A24:$M24)=0,"",IF(OR($U24="Subscription",$U24=""),"",IF($U24="Estimate","N/A",IF(OR($U24="Free Game",$U24="Disqualified — Free Game",$H24=0),"N/A",IF($U24="Profit",$Q24/$H24,IF($U24="Disqualified",-$S24/$H24,0))))))</ns0:f>
      </ns0:c>
      <ns0:c r="U24" s="920">
        <ns0:f>IF(COUNTA($A24:$M24)=0,"",IF(OR(LEFT(LOWER(TRIM($F24&amp;"")),12)="subscription",LOWER(TRIM($F24&amp;""))="membership"),"Subscription",IF(LOWER(TRIM($D24&amp;""))="estimate","Estimate",IF(OR(AND($H24&lt;&gt;"",$H24=0),LEFT(LOWER(TRIM($F24&amp;"")),9)="free game",LOWER(TRIM($F24&amp;""))="free",LOWER(TRIM($F24&amp;""))="free entry"),IF(LOWER($L24&amp;"")="yes","Disqualified — Free Game","Free Game"),IF(LOWER($L24&amp;"")="yes","Disqualified",IF($P24="","",IF(ROUND(IFERROR(VALUE($P24),0)-IFERROR(VALUE($H24),0),2)&gt;0,"Profit","Draw")))))))</ns0:f>
      </ns0:c>
      <ns0:c r="V24" s="956" t="str">
        <ns0:f>IF(COUNTA($A24:$M24)=0,"",IF(OR($B24="",$C24="",$U24="Subscription"),"",IFERROR(ROUNDUP(($C24-$B24)/7,0),"")))</ns0:f>
      </ns0:c>
      <ns0:c r="W24" s="114">
        <ns0:f>IF(COUNTA($A24:$M24)=0,"",IF(OR($U24="Subscription",$U24=""),"",IF($U24="Estimate","N/A",IF(OR($U24="Free Game",$U24="Disqualified — Free Game"),0,ROUND(IFERROR($Q24,0)-IFERROR($S24,0),2)))))</ns0:f>
      </ns0:c>
      <ns0:c r="X24" s="956" t="str">
        <ns0:f>IF(COUNTA($A24:$M24)=0,"",IF(OR($U24="Subscription",NOT(ISNUMBER($J24)),NOT(ISNUMBER($I24)),$J24=0,$I24=0,$I24&gt;$J24),"",$J24-$I24))</ns0:f>
      </ns0:c>
      <ns0:c r="Y24" s="955" t="str">
        <ns0:f>IF(COUNTA($A24:$M24)=0,"",IF(OR($U24="Subscription",NOT(ISNUMBER($J24)),$J24=0,$X24=""),"",$X24/$J24))</ns0:f>
      </ns0:c>
      <ns0:c r="Z24" s="957" t="str">
        <ns0:f>IF(COUNTA($A24:$M24)=0,"",Instructions!$B$29+SUM($W$5:W24))</ns0:f>
      </ns0:c>
    </ns0:row>
    <ns0:row r="25" ht="36" customHeight="1">
      <ns0:c r="A25" s="439"/>
      <ns0:c r="B25" s="453"/>
      <ns0:c r="C25" s="453"/>
      <ns0:c r="D25" s="454"/>
      <ns0:c r="E25" s="454"/>
      <ns0:c r="F25" s="454"/>
      <ns0:c r="G25" s="986"/>
      <ns0:c r="H25" s="455"/>
      <ns0:c r="I25" s="456"/>
      <ns0:c r="J25" s="456"/>
      <ns0:c r="K25" s="986"/>
      <ns0:c r="L25" s="454"/>
      <ns0:c r="M25" s="439"/>
      <ns0:c r="N25" s="987" t="str">
        <ns0:f>IF(COUNTA($A25:$M25)=0,"",IF(OR(LEFT(LOWER(TRIM($F25&amp;"")),12)="subscription",LOWER(TRIM($F25&amp;""))="membership"),"",IF(OR(AND($H25&lt;&gt;"",$H25=0),LEFT(LOWER(TRIM($F25&amp;"")),9)="free game",LOWER(TRIM($F25&amp;""))="free",LOWER(TRIM($F25&amp;""))="free entry"),IF(ISNUMBER($G25),IF(ISNUMBER(SEARCH("non",LOWER($E25&amp;""))),$G25*0.85,$G25),"N/A"),IF($G25="","",IFERROR(IF(ISNUMBER(SEARCH("non",LOWER($E25&amp;""))),$G25*0.85,$G25),"")))))</ns0:f>
        <ns0:v/>
      </ns0:c>
      <ns0:c r="O25" s="987" t="str">
        <ns0:f>IF(COUNTA($A25:$M25)=0,"",IF(OR(LEFT(LOWER(TRIM($F25&amp;"")),12)="subscription",LOWER(TRIM($F25&amp;""))="membership"),"",IF(OR(AND($H25&lt;&gt;"",$H25=0),LEFT(LOWER(TRIM($F25&amp;"")),9)="free game",LOWER(TRIM($F25&amp;""))="free",LOWER(TRIM($F25&amp;""))="free entry"),IF(OR(NOT(ISNUMBER($N25)),NOT(ISNUMBER($I25)),$I25=0),"N/A",IFERROR($N25/$I25,"N/A")),IF(OR($N25="",$I25="",$I25=0),"",IFERROR($N25/$I25,"")))))</ns0:f>
        <ns0:v/>
      </ns0:c>
      <ns0:c r="P25" s="987">
        <ns0:f>IF(COUNTA($A25:$M25)=0,"",IF(OR(LEFT(LOWER(TRIM($F25&amp;"")),12)="subscription",LOWER(TRIM($F25&amp;""))="membership"),"",IF(LOWER(TRIM($D25&amp;""))="estimate","N/A",IF(LOWER($L25&amp;"")="yes",0,IF(OR(AND($H25&lt;&gt;"",$H25=0),LEFT(LOWER(TRIM($F25&amp;"")),9)="free game",LOWER(TRIM($F25&amp;""))="free",LOWER(TRIM($F25&amp;""))="free entry"),IF(ISNUMBER($K25),$K25,""),IF($K25&lt;&gt;"",$K25,""))))))</ns0:f>
      </ns0:c>
      <ns0:c r="Q25" s="114">
        <ns0:f>IF(COUNTA($A25:$M25)=0,"",IF(OR($U25="Subscription",$U25=""),"",IF($U25="Estimate","N/A",IF($U25="Profit",ROUND(IFERROR($P25,0)-IFERROR($H25,0),2),0))))</ns0:f>
      </ns0:c>
      <ns0:c r="R25" s="114">
        <ns0:f>IF(COUNTA($A25:$M25)=0,"",IF(OR($U25="Subscription",$U25=""),"",IF($U25="Estimate","N/A",IF($U25="Draw",$H25,0))))</ns0:f>
      </ns0:c>
      <ns0:c r="S25" s="114">
        <ns0:f>IF(COUNTA($A25:$M25)=0,"",IF(OR($U25="Subscription",$U25=""),"",IF($U25="Estimate","N/A",IF($U25="Disqualified",$H25,0))))</ns0:f>
      </ns0:c>
      <ns0:c r="T25" s="955">
        <ns0:f>IF(COUNTA($A25:$M25)=0,"",IF(OR($U25="Subscription",$U25=""),"",IF($U25="Estimate","N/A",IF(OR($U25="Free Game",$U25="Disqualified — Free Game",$H25=0),"N/A",IF($U25="Profit",$Q25/$H25,IF($U25="Disqualified",-$S25/$H25,0))))))</ns0:f>
      </ns0:c>
      <ns0:c r="U25" s="920">
        <ns0:f>IF(COUNTA($A25:$M25)=0,"",IF(OR(LEFT(LOWER(TRIM($F25&amp;"")),12)="subscription",LOWER(TRIM($F25&amp;""))="membership"),"Subscription",IF(LOWER(TRIM($D25&amp;""))="estimate","Estimate",IF(OR(AND($H25&lt;&gt;"",$H25=0),LEFT(LOWER(TRIM($F25&amp;"")),9)="free game",LOWER(TRIM($F25&amp;""))="free",LOWER(TRIM($F25&amp;""))="free entry"),IF(LOWER($L25&amp;"")="yes","Disqualified — Free Game","Free Game"),IF(LOWER($L25&amp;"")="yes","Disqualified",IF($P25="","",IF(ROUND(IFERROR(VALUE($P25),0)-IFERROR(VALUE($H25),0),2)&gt;0,"Profit","Draw")))))))</ns0:f>
      </ns0:c>
      <ns0:c r="V25" s="956" t="str">
        <ns0:f>IF(COUNTA($A25:$M25)=0,"",IF(OR($B25="",$C25="",$U25="Subscription"),"",IFERROR(ROUNDUP(($C25-$B25)/7,0),"")))</ns0:f>
      </ns0:c>
      <ns0:c r="W25" s="114">
        <ns0:f>IF(COUNTA($A25:$M25)=0,"",IF(OR($U25="Subscription",$U25=""),"",IF($U25="Estimate","N/A",IF(OR($U25="Free Game",$U25="Disqualified — Free Game"),0,ROUND(IFERROR($Q25,0)-IFERROR($S25,0),2)))))</ns0:f>
      </ns0:c>
      <ns0:c r="X25" s="956" t="str">
        <ns0:f>IF(COUNTA($A25:$M25)=0,"",IF(OR($U25="Subscription",NOT(ISNUMBER($J25)),NOT(ISNUMBER($I25)),$J25=0,$I25=0,$I25&gt;$J25),"",$J25-$I25))</ns0:f>
      </ns0:c>
      <ns0:c r="Y25" s="955" t="str">
        <ns0:f>IF(COUNTA($A25:$M25)=0,"",IF(OR($U25="Subscription",NOT(ISNUMBER($J25)),$J25=0,$X25=""),"",$X25/$J25))</ns0:f>
      </ns0:c>
      <ns0:c r="Z25" s="957" t="str">
        <ns0:f>IF(COUNTA($A25:$M25)=0,"",Instructions!$B$29+SUM($W$5:W25))</ns0:f>
      </ns0:c>
    </ns0:row>
    <ns0:row r="26" ht="36" customHeight="1">
      <ns0:c r="A26" s="439"/>
      <ns0:c r="B26" s="453"/>
      <ns0:c r="C26" s="453"/>
      <ns0:c r="D26" s="454"/>
      <ns0:c r="E26" s="454"/>
      <ns0:c r="F26" s="454"/>
      <ns0:c r="G26" s="986"/>
      <ns0:c r="H26" s="455"/>
      <ns0:c r="I26" s="456"/>
      <ns0:c r="J26" s="456"/>
      <ns0:c r="K26" s="986"/>
      <ns0:c r="L26" s="454"/>
      <ns0:c r="M26" s="439"/>
      <ns0:c r="N26" s="987" t="str">
        <ns0:f>IF(COUNTA($A26:$M26)=0,"",IF(OR(LEFT(LOWER(TRIM($F26&amp;"")),12)="subscription",LOWER(TRIM($F26&amp;""))="membership"),"",IF(OR(AND($H26&lt;&gt;"",$H26=0),LEFT(LOWER(TRIM($F26&amp;"")),9)="free game",LOWER(TRIM($F26&amp;""))="free",LOWER(TRIM($F26&amp;""))="free entry"),IF(ISNUMBER($G26),IF(ISNUMBER(SEARCH("non",LOWER($E26&amp;""))),$G26*0.85,$G26),"N/A"),IF($G26="","",IFERROR(IF(ISNUMBER(SEARCH("non",LOWER($E26&amp;""))),$G26*0.85,$G26),"")))))</ns0:f>
        <ns0:v/>
      </ns0:c>
      <ns0:c r="O26" s="987" t="str">
        <ns0:f>IF(COUNTA($A26:$M26)=0,"",IF(OR(LEFT(LOWER(TRIM($F26&amp;"")),12)="subscription",LOWER(TRIM($F26&amp;""))="membership"),"",IF(OR(AND($H26&lt;&gt;"",$H26=0),LEFT(LOWER(TRIM($F26&amp;"")),9)="free game",LOWER(TRIM($F26&amp;""))="free",LOWER(TRIM($F26&amp;""))="free entry"),IF(OR(NOT(ISNUMBER($N26)),NOT(ISNUMBER($I26)),$I26=0),"N/A",IFERROR($N26/$I26,"N/A")),IF(OR($N26="",$I26="",$I26=0),"",IFERROR($N26/$I26,"")))))</ns0:f>
        <ns0:v/>
      </ns0:c>
      <ns0:c r="P26" s="987">
        <ns0:f>IF(COUNTA($A26:$M26)=0,"",IF(OR(LEFT(LOWER(TRIM($F26&amp;"")),12)="subscription",LOWER(TRIM($F26&amp;""))="membership"),"",IF(LOWER(TRIM($D26&amp;""))="estimate","N/A",IF(LOWER($L26&amp;"")="yes",0,IF(OR(AND($H26&lt;&gt;"",$H26=0),LEFT(LOWER(TRIM($F26&amp;"")),9)="free game",LOWER(TRIM($F26&amp;""))="free",LOWER(TRIM($F26&amp;""))="free entry"),IF(ISNUMBER($K26),$K26,""),IF($K26&lt;&gt;"",$K26,""))))))</ns0:f>
      </ns0:c>
      <ns0:c r="Q26" s="114">
        <ns0:f>IF(COUNTA($A26:$M26)=0,"",IF(OR($U26="Subscription",$U26=""),"",IF($U26="Estimate","N/A",IF($U26="Profit",ROUND(IFERROR($P26,0)-IFERROR($H26,0),2),0))))</ns0:f>
      </ns0:c>
      <ns0:c r="R26" s="114">
        <ns0:f>IF(COUNTA($A26:$M26)=0,"",IF(OR($U26="Subscription",$U26=""),"",IF($U26="Estimate","N/A",IF($U26="Draw",$H26,0))))</ns0:f>
      </ns0:c>
      <ns0:c r="S26" s="114">
        <ns0:f>IF(COUNTA($A26:$M26)=0,"",IF(OR($U26="Subscription",$U26=""),"",IF($U26="Estimate","N/A",IF($U26="Disqualified",$H26,0))))</ns0:f>
      </ns0:c>
      <ns0:c r="T26" s="955">
        <ns0:f>IF(COUNTA($A26:$M26)=0,"",IF(OR($U26="Subscription",$U26=""),"",IF($U26="Estimate","N/A",IF(OR($U26="Free Game",$U26="Disqualified — Free Game",$H26=0),"N/A",IF($U26="Profit",$Q26/$H26,IF($U26="Disqualified",-$S26/$H26,0))))))</ns0:f>
      </ns0:c>
      <ns0:c r="U26" s="920">
        <ns0:f>IF(COUNTA($A26:$M26)=0,"",IF(OR(LEFT(LOWER(TRIM($F26&amp;"")),12)="subscription",LOWER(TRIM($F26&amp;""))="membership"),"Subscription",IF(LOWER(TRIM($D26&amp;""))="estimate","Estimate",IF(OR(AND($H26&lt;&gt;"",$H26=0),LEFT(LOWER(TRIM($F26&amp;"")),9)="free game",LOWER(TRIM($F26&amp;""))="free",LOWER(TRIM($F26&amp;""))="free entry"),IF(LOWER($L26&amp;"")="yes","Disqualified — Free Game","Free Game"),IF(LOWER($L26&amp;"")="yes","Disqualified",IF($P26="","",IF(ROUND(IFERROR(VALUE($P26),0)-IFERROR(VALUE($H26),0),2)&gt;0,"Profit","Draw")))))))</ns0:f>
      </ns0:c>
      <ns0:c r="V26" s="956" t="str">
        <ns0:f>IF(COUNTA($A26:$M26)=0,"",IF(OR($B26="",$C26="",$U26="Subscription"),"",IFERROR(ROUNDUP(($C26-$B26)/7,0),"")))</ns0:f>
      </ns0:c>
      <ns0:c r="W26" s="114">
        <ns0:f>IF(COUNTA($A26:$M26)=0,"",IF(OR($U26="Subscription",$U26=""),"",IF($U26="Estimate","N/A",IF(OR($U26="Free Game",$U26="Disqualified — Free Game"),0,ROUND(IFERROR($Q26,0)-IFERROR($S26,0),2)))))</ns0:f>
      </ns0:c>
      <ns0:c r="X26" s="956" t="str">
        <ns0:f>IF(COUNTA($A26:$M26)=0,"",IF(OR($U26="Subscription",NOT(ISNUMBER($J26)),NOT(ISNUMBER($I26)),$J26=0,$I26=0,$I26&gt;$J26),"",$J26-$I26))</ns0:f>
      </ns0:c>
      <ns0:c r="Y26" s="955" t="str">
        <ns0:f>IF(COUNTA($A26:$M26)=0,"",IF(OR($U26="Subscription",NOT(ISNUMBER($J26)),$J26=0,$X26=""),"",$X26/$J26))</ns0:f>
      </ns0:c>
      <ns0:c r="Z26" s="957" t="str">
        <ns0:f>IF(COUNTA($A26:$M26)=0,"",Instructions!$B$29+SUM($W$5:W26))</ns0:f>
      </ns0:c>
    </ns0:row>
    <ns0:row r="27" ht="36" customHeight="1">
      <ns0:c r="A27" s="439"/>
      <ns0:c r="B27" s="453"/>
      <ns0:c r="C27" s="453"/>
      <ns0:c r="D27" s="454"/>
      <ns0:c r="E27" s="454"/>
      <ns0:c r="F27" s="454"/>
      <ns0:c r="G27" s="986"/>
      <ns0:c r="H27" s="455"/>
      <ns0:c r="I27" s="456"/>
      <ns0:c r="J27" s="456"/>
      <ns0:c r="K27" s="986"/>
      <ns0:c r="L27" s="454"/>
      <ns0:c r="M27" s="439"/>
      <ns0:c r="N27" s="987" t="str">
        <ns0:f>IF(COUNTA($A27:$M27)=0,"",IF(OR(LEFT(LOWER(TRIM($F27&amp;"")),12)="subscription",LOWER(TRIM($F27&amp;""))="membership"),"",IF(OR(AND($H27&lt;&gt;"",$H27=0),LEFT(LOWER(TRIM($F27&amp;"")),9)="free game",LOWER(TRIM($F27&amp;""))="free",LOWER(TRIM($F27&amp;""))="free entry"),IF(ISNUMBER($G27),IF(ISNUMBER(SEARCH("non",LOWER($E27&amp;""))),$G27*0.85,$G27),"N/A"),IF($G27="","",IFERROR(IF(ISNUMBER(SEARCH("non",LOWER($E27&amp;""))),$G27*0.85,$G27),"")))))</ns0:f>
        <ns0:v/>
      </ns0:c>
      <ns0:c r="O27" s="987" t="str">
        <ns0:f>IF(COUNTA($A27:$M27)=0,"",IF(OR(LEFT(LOWER(TRIM($F27&amp;"")),12)="subscription",LOWER(TRIM($F27&amp;""))="membership"),"",IF(OR(AND($H27&lt;&gt;"",$H27=0),LEFT(LOWER(TRIM($F27&amp;"")),9)="free game",LOWER(TRIM($F27&amp;""))="free",LOWER(TRIM($F27&amp;""))="free entry"),IF(OR(NOT(ISNUMBER($N27)),NOT(ISNUMBER($I27)),$I27=0),"N/A",IFERROR($N27/$I27,"N/A")),IF(OR($N27="",$I27="",$I27=0),"",IFERROR($N27/$I27,"")))))</ns0:f>
        <ns0:v/>
      </ns0:c>
      <ns0:c r="P27" s="987">
        <ns0:f>IF(COUNTA($A27:$M27)=0,"",IF(OR(LEFT(LOWER(TRIM($F27&amp;"")),12)="subscription",LOWER(TRIM($F27&amp;""))="membership"),"",IF(LOWER(TRIM($D27&amp;""))="estimate","N/A",IF(LOWER($L27&amp;"")="yes",0,IF(OR(AND($H27&lt;&gt;"",$H27=0),LEFT(LOWER(TRIM($F27&amp;"")),9)="free game",LOWER(TRIM($F27&amp;""))="free",LOWER(TRIM($F27&amp;""))="free entry"),IF(ISNUMBER($K27),$K27,""),IF($K27&lt;&gt;"",$K27,""))))))</ns0:f>
      </ns0:c>
      <ns0:c r="Q27" s="114">
        <ns0:f>IF(COUNTA($A27:$M27)=0,"",IF(OR($U27="Subscription",$U27=""),"",IF($U27="Estimate","N/A",IF($U27="Profit",ROUND(IFERROR($P27,0)-IFERROR($H27,0),2),0))))</ns0:f>
      </ns0:c>
      <ns0:c r="R27" s="114">
        <ns0:f>IF(COUNTA($A27:$M27)=0,"",IF(OR($U27="Subscription",$U27=""),"",IF($U27="Estimate","N/A",IF($U27="Draw",$H27,0))))</ns0:f>
      </ns0:c>
      <ns0:c r="S27" s="114">
        <ns0:f>IF(COUNTA($A27:$M27)=0,"",IF(OR($U27="Subscription",$U27=""),"",IF($U27="Estimate","N/A",IF($U27="Disqualified",$H27,0))))</ns0:f>
      </ns0:c>
      <ns0:c r="T27" s="955">
        <ns0:f>IF(COUNTA($A27:$M27)=0,"",IF(OR($U27="Subscription",$U27=""),"",IF($U27="Estimate","N/A",IF(OR($U27="Free Game",$U27="Disqualified — Free Game",$H27=0),"N/A",IF($U27="Profit",$Q27/$H27,IF($U27="Disqualified",-$S27/$H27,0))))))</ns0:f>
      </ns0:c>
      <ns0:c r="U27" s="920">
        <ns0:f>IF(COUNTA($A27:$M27)=0,"",IF(OR(LEFT(LOWER(TRIM($F27&amp;"")),12)="subscription",LOWER(TRIM($F27&amp;""))="membership"),"Subscription",IF(LOWER(TRIM($D27&amp;""))="estimate","Estimate",IF(OR(AND($H27&lt;&gt;"",$H27=0),LEFT(LOWER(TRIM($F27&amp;"")),9)="free game",LOWER(TRIM($F27&amp;""))="free",LOWER(TRIM($F27&amp;""))="free entry"),IF(LOWER($L27&amp;"")="yes","Disqualified — Free Game","Free Game"),IF(LOWER($L27&amp;"")="yes","Disqualified",IF($P27="","",IF(ROUND(IFERROR(VALUE($P27),0)-IFERROR(VALUE($H27),0),2)&gt;0,"Profit","Draw")))))))</ns0:f>
      </ns0:c>
      <ns0:c r="V27" s="956" t="str">
        <ns0:f>IF(COUNTA($A27:$M27)=0,"",IF(OR($B27="",$C27="",$U27="Subscription"),"",IFERROR(ROUNDUP(($C27-$B27)/7,0),"")))</ns0:f>
      </ns0:c>
      <ns0:c r="W27" s="114">
        <ns0:f>IF(COUNTA($A27:$M27)=0,"",IF(OR($U27="Subscription",$U27=""),"",IF($U27="Estimate","N/A",IF(OR($U27="Free Game",$U27="Disqualified — Free Game"),0,ROUND(IFERROR($Q27,0)-IFERROR($S27,0),2)))))</ns0:f>
      </ns0:c>
      <ns0:c r="X27" s="956" t="str">
        <ns0:f>IF(COUNTA($A27:$M27)=0,"",IF(OR($U27="Subscription",NOT(ISNUMBER($J27)),NOT(ISNUMBER($I27)),$J27=0,$I27=0,$I27&gt;$J27),"",$J27-$I27))</ns0:f>
      </ns0:c>
      <ns0:c r="Y27" s="955" t="str">
        <ns0:f>IF(COUNTA($A27:$M27)=0,"",IF(OR($U27="Subscription",NOT(ISNUMBER($J27)),$J27=0,$X27=""),"",$X27/$J27))</ns0:f>
      </ns0:c>
      <ns0:c r="Z27" s="957" t="str">
        <ns0:f>IF(COUNTA($A27:$M27)=0,"",Instructions!$B$29+SUM($W$5:W27))</ns0:f>
      </ns0:c>
    </ns0:row>
    <ns0:row r="28" ht="36" customHeight="1">
      <ns0:c r="A28" s="439"/>
      <ns0:c r="B28" s="453"/>
      <ns0:c r="C28" s="453"/>
      <ns0:c r="D28" s="454"/>
      <ns0:c r="E28" s="454"/>
      <ns0:c r="F28" s="454"/>
      <ns0:c r="G28" s="986"/>
      <ns0:c r="H28" s="455"/>
      <ns0:c r="I28" s="456"/>
      <ns0:c r="J28" s="456"/>
      <ns0:c r="K28" s="986"/>
      <ns0:c r="L28" s="454"/>
      <ns0:c r="M28" s="439"/>
      <ns0:c r="N28" s="987" t="str">
        <ns0:f>IF(COUNTA($A28:$M28)=0,"",IF(OR(LEFT(LOWER(TRIM($F28&amp;"")),12)="subscription",LOWER(TRIM($F28&amp;""))="membership"),"",IF(OR(AND($H28&lt;&gt;"",$H28=0),LEFT(LOWER(TRIM($F28&amp;"")),9)="free game",LOWER(TRIM($F28&amp;""))="free",LOWER(TRIM($F28&amp;""))="free entry"),IF(ISNUMBER($G28),IF(ISNUMBER(SEARCH("non",LOWER($E28&amp;""))),$G28*0.85,$G28),"N/A"),IF($G28="","",IFERROR(IF(ISNUMBER(SEARCH("non",LOWER($E28&amp;""))),$G28*0.85,$G28),"")))))</ns0:f>
        <ns0:v/>
      </ns0:c>
      <ns0:c r="O28" s="987" t="str">
        <ns0:f>IF(COUNTA($A28:$M28)=0,"",IF(OR(LEFT(LOWER(TRIM($F28&amp;"")),12)="subscription",LOWER(TRIM($F28&amp;""))="membership"),"",IF(OR(AND($H28&lt;&gt;"",$H28=0),LEFT(LOWER(TRIM($F28&amp;"")),9)="free game",LOWER(TRIM($F28&amp;""))="free",LOWER(TRIM($F28&amp;""))="free entry"),IF(OR(NOT(ISNUMBER($N28)),NOT(ISNUMBER($I28)),$I28=0),"N/A",IFERROR($N28/$I28,"N/A")),IF(OR($N28="",$I28="",$I28=0),"",IFERROR($N28/$I28,"")))))</ns0:f>
        <ns0:v/>
      </ns0:c>
      <ns0:c r="P28" s="987">
        <ns0:f>IF(COUNTA($A28:$M28)=0,"",IF(OR(LEFT(LOWER(TRIM($F28&amp;"")),12)="subscription",LOWER(TRIM($F28&amp;""))="membership"),"",IF(LOWER(TRIM($D28&amp;""))="estimate","N/A",IF(LOWER($L28&amp;"")="yes",0,IF(OR(AND($H28&lt;&gt;"",$H28=0),LEFT(LOWER(TRIM($F28&amp;"")),9)="free game",LOWER(TRIM($F28&amp;""))="free",LOWER(TRIM($F28&amp;""))="free entry"),IF(ISNUMBER($K28),$K28,""),IF($K28&lt;&gt;"",$K28,""))))))</ns0:f>
      </ns0:c>
      <ns0:c r="Q28" s="114">
        <ns0:f>IF(COUNTA($A28:$M28)=0,"",IF(OR($U28="Subscription",$U28=""),"",IF($U28="Estimate","N/A",IF($U28="Profit",ROUND(IFERROR($P28,0)-IFERROR($H28,0),2),0))))</ns0:f>
      </ns0:c>
      <ns0:c r="R28" s="114">
        <ns0:f>IF(COUNTA($A28:$M28)=0,"",IF(OR($U28="Subscription",$U28=""),"",IF($U28="Estimate","N/A",IF($U28="Draw",$H28,0))))</ns0:f>
      </ns0:c>
      <ns0:c r="S28" s="114">
        <ns0:f>IF(COUNTA($A28:$M28)=0,"",IF(OR($U28="Subscription",$U28=""),"",IF($U28="Estimate","N/A",IF($U28="Disqualified",$H28,0))))</ns0:f>
      </ns0:c>
      <ns0:c r="T28" s="955">
        <ns0:f>IF(COUNTA($A28:$M28)=0,"",IF(OR($U28="Subscription",$U28=""),"",IF($U28="Estimate","N/A",IF(OR($U28="Free Game",$U28="Disqualified — Free Game",$H28=0),"N/A",IF($U28="Profit",$Q28/$H28,IF($U28="Disqualified",-$S28/$H28,0))))))</ns0:f>
      </ns0:c>
      <ns0:c r="U28" s="920">
        <ns0:f>IF(COUNTA($A28:$M28)=0,"",IF(OR(LEFT(LOWER(TRIM($F28&amp;"")),12)="subscription",LOWER(TRIM($F28&amp;""))="membership"),"Subscription",IF(LOWER(TRIM($D28&amp;""))="estimate","Estimate",IF(OR(AND($H28&lt;&gt;"",$H28=0),LEFT(LOWER(TRIM($F28&amp;"")),9)="free game",LOWER(TRIM($F28&amp;""))="free",LOWER(TRIM($F28&amp;""))="free entry"),IF(LOWER($L28&amp;"")="yes","Disqualified — Free Game","Free Game"),IF(LOWER($L28&amp;"")="yes","Disqualified",IF($P28="","",IF(ROUND(IFERROR(VALUE($P28),0)-IFERROR(VALUE($H28),0),2)&gt;0,"Profit","Draw")))))))</ns0:f>
      </ns0:c>
      <ns0:c r="V28" s="956" t="str">
        <ns0:f>IF(COUNTA($A28:$M28)=0,"",IF(OR($B28="",$C28="",$U28="Subscription"),"",IFERROR(ROUNDUP(($C28-$B28)/7,0),"")))</ns0:f>
      </ns0:c>
      <ns0:c r="W28" s="114">
        <ns0:f>IF(COUNTA($A28:$M28)=0,"",IF(OR($U28="Subscription",$U28=""),"",IF($U28="Estimate","N/A",IF(OR($U28="Free Game",$U28="Disqualified — Free Game"),0,ROUND(IFERROR($Q28,0)-IFERROR($S28,0),2)))))</ns0:f>
      </ns0:c>
      <ns0:c r="X28" s="956" t="str">
        <ns0:f>IF(COUNTA($A28:$M28)=0,"",IF(OR($U28="Subscription",NOT(ISNUMBER($J28)),NOT(ISNUMBER($I28)),$J28=0,$I28=0,$I28&gt;$J28),"",$J28-$I28))</ns0:f>
      </ns0:c>
      <ns0:c r="Y28" s="955" t="str">
        <ns0:f>IF(COUNTA($A28:$M28)=0,"",IF(OR($U28="Subscription",NOT(ISNUMBER($J28)),$J28=0,$X28=""),"",$X28/$J28))</ns0:f>
      </ns0:c>
      <ns0:c r="Z28" s="957" t="str">
        <ns0:f>IF(COUNTA($A28:$M28)=0,"",Instructions!$B$29+SUM($W$5:W28))</ns0:f>
      </ns0:c>
    </ns0:row>
    <ns0:row r="29" ht="36" customHeight="1">
      <ns0:c r="A29" s="439"/>
      <ns0:c r="B29" s="453"/>
      <ns0:c r="C29" s="453"/>
      <ns0:c r="D29" s="454"/>
      <ns0:c r="E29" s="454"/>
      <ns0:c r="F29" s="454"/>
      <ns0:c r="G29" s="986"/>
      <ns0:c r="H29" s="455"/>
      <ns0:c r="I29" s="456"/>
      <ns0:c r="J29" s="456"/>
      <ns0:c r="K29" s="986"/>
      <ns0:c r="L29" s="454"/>
      <ns0:c r="M29" s="439"/>
      <ns0:c r="N29" s="987" t="str">
        <ns0:f>IF(COUNTA($A29:$M29)=0,"",IF(OR(LEFT(LOWER(TRIM($F29&amp;"")),12)="subscription",LOWER(TRIM($F29&amp;""))="membership"),"",IF(OR(AND($H29&lt;&gt;"",$H29=0),LEFT(LOWER(TRIM($F29&amp;"")),9)="free game",LOWER(TRIM($F29&amp;""))="free",LOWER(TRIM($F29&amp;""))="free entry"),IF(ISNUMBER($G29),IF(ISNUMBER(SEARCH("non",LOWER($E29&amp;""))),$G29*0.85,$G29),"N/A"),IF($G29="","",IFERROR(IF(ISNUMBER(SEARCH("non",LOWER($E29&amp;""))),$G29*0.85,$G29),"")))))</ns0:f>
        <ns0:v/>
      </ns0:c>
      <ns0:c r="O29" s="987" t="str">
        <ns0:f>IF(COUNTA($A29:$M29)=0,"",IF(OR(LEFT(LOWER(TRIM($F29&amp;"")),12)="subscription",LOWER(TRIM($F29&amp;""))="membership"),"",IF(OR(AND($H29&lt;&gt;"",$H29=0),LEFT(LOWER(TRIM($F29&amp;"")),9)="free game",LOWER(TRIM($F29&amp;""))="free",LOWER(TRIM($F29&amp;""))="free entry"),IF(OR(NOT(ISNUMBER($N29)),NOT(ISNUMBER($I29)),$I29=0),"N/A",IFERROR($N29/$I29,"N/A")),IF(OR($N29="",$I29="",$I29=0),"",IFERROR($N29/$I29,"")))))</ns0:f>
        <ns0:v/>
      </ns0:c>
      <ns0:c r="P29" s="987">
        <ns0:f>IF(COUNTA($A29:$M29)=0,"",IF(OR(LEFT(LOWER(TRIM($F29&amp;"")),12)="subscription",LOWER(TRIM($F29&amp;""))="membership"),"",IF(LOWER(TRIM($D29&amp;""))="estimate","N/A",IF(LOWER($L29&amp;"")="yes",0,IF(OR(AND($H29&lt;&gt;"",$H29=0),LEFT(LOWER(TRIM($F29&amp;"")),9)="free game",LOWER(TRIM($F29&amp;""))="free",LOWER(TRIM($F29&amp;""))="free entry"),IF(ISNUMBER($K29),$K29,""),IF($K29&lt;&gt;"",$K29,""))))))</ns0:f>
      </ns0:c>
      <ns0:c r="Q29" s="114">
        <ns0:f>IF(COUNTA($A29:$M29)=0,"",IF(OR($U29="Subscription",$U29=""),"",IF($U29="Estimate","N/A",IF($U29="Profit",ROUND(IFERROR($P29,0)-IFERROR($H29,0),2),0))))</ns0:f>
      </ns0:c>
      <ns0:c r="R29" s="114">
        <ns0:f>IF(COUNTA($A29:$M29)=0,"",IF(OR($U29="Subscription",$U29=""),"",IF($U29="Estimate","N/A",IF($U29="Draw",$H29,0))))</ns0:f>
      </ns0:c>
      <ns0:c r="S29" s="114">
        <ns0:f>IF(COUNTA($A29:$M29)=0,"",IF(OR($U29="Subscription",$U29=""),"",IF($U29="Estimate","N/A",IF($U29="Disqualified",$H29,0))))</ns0:f>
      </ns0:c>
      <ns0:c r="T29" s="955">
        <ns0:f>IF(COUNTA($A29:$M29)=0,"",IF(OR($U29="Subscription",$U29=""),"",IF($U29="Estimate","N/A",IF(OR($U29="Free Game",$U29="Disqualified — Free Game",$H29=0),"N/A",IF($U29="Profit",$Q29/$H29,IF($U29="Disqualified",-$S29/$H29,0))))))</ns0:f>
      </ns0:c>
      <ns0:c r="U29" s="920">
        <ns0:f>IF(COUNTA($A29:$M29)=0,"",IF(OR(LEFT(LOWER(TRIM($F29&amp;"")),12)="subscription",LOWER(TRIM($F29&amp;""))="membership"),"Subscription",IF(LOWER(TRIM($D29&amp;""))="estimate","Estimate",IF(OR(AND($H29&lt;&gt;"",$H29=0),LEFT(LOWER(TRIM($F29&amp;"")),9)="free game",LOWER(TRIM($F29&amp;""))="free",LOWER(TRIM($F29&amp;""))="free entry"),IF(LOWER($L29&amp;"")="yes","Disqualified — Free Game","Free Game"),IF(LOWER($L29&amp;"")="yes","Disqualified",IF($P29="","",IF(ROUND(IFERROR(VALUE($P29),0)-IFERROR(VALUE($H29),0),2)&gt;0,"Profit","Draw")))))))</ns0:f>
      </ns0:c>
      <ns0:c r="V29" s="956" t="str">
        <ns0:f>IF(COUNTA($A29:$M29)=0,"",IF(OR($B29="",$C29="",$U29="Subscription"),"",IFERROR(ROUNDUP(($C29-$B29)/7,0),"")))</ns0:f>
      </ns0:c>
      <ns0:c r="W29" s="114">
        <ns0:f>IF(COUNTA($A29:$M29)=0,"",IF(OR($U29="Subscription",$U29=""),"",IF($U29="Estimate","N/A",IF(OR($U29="Free Game",$U29="Disqualified — Free Game"),0,ROUND(IFERROR($Q29,0)-IFERROR($S29,0),2)))))</ns0:f>
      </ns0:c>
      <ns0:c r="X29" s="956" t="str">
        <ns0:f>IF(COUNTA($A29:$M29)=0,"",IF(OR($U29="Subscription",NOT(ISNUMBER($J29)),NOT(ISNUMBER($I29)),$J29=0,$I29=0,$I29&gt;$J29),"",$J29-$I29))</ns0:f>
      </ns0:c>
      <ns0:c r="Y29" s="955" t="str">
        <ns0:f>IF(COUNTA($A29:$M29)=0,"",IF(OR($U29="Subscription",NOT(ISNUMBER($J29)),$J29=0,$X29=""),"",$X29/$J29))</ns0:f>
      </ns0:c>
      <ns0:c r="Z29" s="957" t="str">
        <ns0:f>IF(COUNTA($A29:$M29)=0,"",Instructions!$B$29+SUM($W$5:W29))</ns0:f>
      </ns0:c>
    </ns0:row>
    <ns0:row r="30" ht="36" customHeight="1">
      <ns0:c r="A30" s="439"/>
      <ns0:c r="B30" s="453"/>
      <ns0:c r="C30" s="453"/>
      <ns0:c r="D30" s="454"/>
      <ns0:c r="E30" s="454"/>
      <ns0:c r="F30" s="454"/>
      <ns0:c r="G30" s="986"/>
      <ns0:c r="H30" s="455"/>
      <ns0:c r="I30" s="456"/>
      <ns0:c r="J30" s="456"/>
      <ns0:c r="K30" s="986"/>
      <ns0:c r="L30" s="454"/>
      <ns0:c r="M30" s="439"/>
      <ns0:c r="N30" s="987" t="str">
        <ns0:f>IF(COUNTA($A30:$M30)=0,"",IF(OR(LEFT(LOWER(TRIM($F30&amp;"")),12)="subscription",LOWER(TRIM($F30&amp;""))="membership"),"",IF(OR(AND($H30&lt;&gt;"",$H30=0),LEFT(LOWER(TRIM($F30&amp;"")),9)="free game",LOWER(TRIM($F30&amp;""))="free",LOWER(TRIM($F30&amp;""))="free entry"),IF(ISNUMBER($G30),IF(ISNUMBER(SEARCH("non",LOWER($E30&amp;""))),$G30*0.85,$G30),"N/A"),IF($G30="","",IFERROR(IF(ISNUMBER(SEARCH("non",LOWER($E30&amp;""))),$G30*0.85,$G30),"")))))</ns0:f>
        <ns0:v/>
      </ns0:c>
      <ns0:c r="O30" s="987" t="str">
        <ns0:f>IF(COUNTA($A30:$M30)=0,"",IF(OR(LEFT(LOWER(TRIM($F30&amp;"")),12)="subscription",LOWER(TRIM($F30&amp;""))="membership"),"",IF(OR(AND($H30&lt;&gt;"",$H30=0),LEFT(LOWER(TRIM($F30&amp;"")),9)="free game",LOWER(TRIM($F30&amp;""))="free",LOWER(TRIM($F30&amp;""))="free entry"),IF(OR(NOT(ISNUMBER($N30)),NOT(ISNUMBER($I30)),$I30=0),"N/A",IFERROR($N30/$I30,"N/A")),IF(OR($N30="",$I30="",$I30=0),"",IFERROR($N30/$I30,"")))))</ns0:f>
        <ns0:v/>
      </ns0:c>
      <ns0:c r="P30" s="987">
        <ns0:f>IF(COUNTA($A30:$M30)=0,"",IF(OR(LEFT(LOWER(TRIM($F30&amp;"")),12)="subscription",LOWER(TRIM($F30&amp;""))="membership"),"",IF(LOWER(TRIM($D30&amp;""))="estimate","N/A",IF(LOWER($L30&amp;"")="yes",0,IF(OR(AND($H30&lt;&gt;"",$H30=0),LEFT(LOWER(TRIM($F30&amp;"")),9)="free game",LOWER(TRIM($F30&amp;""))="free",LOWER(TRIM($F30&amp;""))="free entry"),IF(ISNUMBER($K30),$K30,""),IF($K30&lt;&gt;"",$K30,""))))))</ns0:f>
      </ns0:c>
      <ns0:c r="Q30" s="114">
        <ns0:f>IF(COUNTA($A30:$M30)=0,"",IF(OR($U30="Subscription",$U30=""),"",IF($U30="Estimate","N/A",IF($U30="Profit",ROUND(IFERROR($P30,0)-IFERROR($H30,0),2),0))))</ns0:f>
      </ns0:c>
      <ns0:c r="R30" s="114">
        <ns0:f>IF(COUNTA($A30:$M30)=0,"",IF(OR($U30="Subscription",$U30=""),"",IF($U30="Estimate","N/A",IF($U30="Draw",$H30,0))))</ns0:f>
      </ns0:c>
      <ns0:c r="S30" s="114">
        <ns0:f>IF(COUNTA($A30:$M30)=0,"",IF(OR($U30="Subscription",$U30=""),"",IF($U30="Estimate","N/A",IF($U30="Disqualified",$H30,0))))</ns0:f>
      </ns0:c>
      <ns0:c r="T30" s="955">
        <ns0:f>IF(COUNTA($A30:$M30)=0,"",IF(OR($U30="Subscription",$U30=""),"",IF($U30="Estimate","N/A",IF(OR($U30="Free Game",$U30="Disqualified — Free Game",$H30=0),"N/A",IF($U30="Profit",$Q30/$H30,IF($U30="Disqualified",-$S30/$H30,0))))))</ns0:f>
      </ns0:c>
      <ns0:c r="U30" s="920">
        <ns0:f>IF(COUNTA($A30:$M30)=0,"",IF(OR(LEFT(LOWER(TRIM($F30&amp;"")),12)="subscription",LOWER(TRIM($F30&amp;""))="membership"),"Subscription",IF(LOWER(TRIM($D30&amp;""))="estimate","Estimate",IF(OR(AND($H30&lt;&gt;"",$H30=0),LEFT(LOWER(TRIM($F30&amp;"")),9)="free game",LOWER(TRIM($F30&amp;""))="free",LOWER(TRIM($F30&amp;""))="free entry"),IF(LOWER($L30&amp;"")="yes","Disqualified — Free Game","Free Game"),IF(LOWER($L30&amp;"")="yes","Disqualified",IF($P30="","",IF(ROUND(IFERROR(VALUE($P30),0)-IFERROR(VALUE($H30),0),2)&gt;0,"Profit","Draw")))))))</ns0:f>
      </ns0:c>
      <ns0:c r="V30" s="956" t="str">
        <ns0:f>IF(COUNTA($A30:$M30)=0,"",IF(OR($B30="",$C30="",$U30="Subscription"),"",IFERROR(ROUNDUP(($C30-$B30)/7,0),"")))</ns0:f>
      </ns0:c>
      <ns0:c r="W30" s="114">
        <ns0:f>IF(COUNTA($A30:$M30)=0,"",IF(OR($U30="Subscription",$U30=""),"",IF($U30="Estimate","N/A",IF(OR($U30="Free Game",$U30="Disqualified — Free Game"),0,ROUND(IFERROR($Q30,0)-IFERROR($S30,0),2)))))</ns0:f>
      </ns0:c>
      <ns0:c r="X30" s="956" t="str">
        <ns0:f>IF(COUNTA($A30:$M30)=0,"",IF(OR($U30="Subscription",NOT(ISNUMBER($J30)),NOT(ISNUMBER($I30)),$J30=0,$I30=0,$I30&gt;$J30),"",$J30-$I30))</ns0:f>
      </ns0:c>
      <ns0:c r="Y30" s="955" t="str">
        <ns0:f>IF(COUNTA($A30:$M30)=0,"",IF(OR($U30="Subscription",NOT(ISNUMBER($J30)),$J30=0,$X30=""),"",$X30/$J30))</ns0:f>
      </ns0:c>
      <ns0:c r="Z30" s="957" t="str">
        <ns0:f>IF(COUNTA($A30:$M30)=0,"",Instructions!$B$29+SUM($W$5:W30))</ns0:f>
      </ns0:c>
    </ns0:row>
    <ns0:row r="31" ht="36" customHeight="1">
      <ns0:c r="A31" s="439"/>
      <ns0:c r="B31" s="453"/>
      <ns0:c r="C31" s="453"/>
      <ns0:c r="D31" s="454"/>
      <ns0:c r="E31" s="454"/>
      <ns0:c r="F31" s="454"/>
      <ns0:c r="G31" s="986"/>
      <ns0:c r="H31" s="455"/>
      <ns0:c r="I31" s="456"/>
      <ns0:c r="J31" s="456"/>
      <ns0:c r="K31" s="986"/>
      <ns0:c r="L31" s="454"/>
      <ns0:c r="M31" s="439"/>
      <ns0:c r="N31" s="987" t="str">
        <ns0:f>IF(COUNTA($A31:$M31)=0,"",IF(OR(LEFT(LOWER(TRIM($F31&amp;"")),12)="subscription",LOWER(TRIM($F31&amp;""))="membership"),"",IF(OR(AND($H31&lt;&gt;"",$H31=0),LEFT(LOWER(TRIM($F31&amp;"")),9)="free game",LOWER(TRIM($F31&amp;""))="free",LOWER(TRIM($F31&amp;""))="free entry"),IF(ISNUMBER($G31),IF(ISNUMBER(SEARCH("non",LOWER($E31&amp;""))),$G31*0.85,$G31),"N/A"),IF($G31="","",IFERROR(IF(ISNUMBER(SEARCH("non",LOWER($E31&amp;""))),$G31*0.85,$G31),"")))))</ns0:f>
        <ns0:v/>
      </ns0:c>
      <ns0:c r="O31" s="987" t="str">
        <ns0:f>IF(COUNTA($A31:$M31)=0,"",IF(OR(LEFT(LOWER(TRIM($F31&amp;"")),12)="subscription",LOWER(TRIM($F31&amp;""))="membership"),"",IF(OR(AND($H31&lt;&gt;"",$H31=0),LEFT(LOWER(TRIM($F31&amp;"")),9)="free game",LOWER(TRIM($F31&amp;""))="free",LOWER(TRIM($F31&amp;""))="free entry"),IF(OR(NOT(ISNUMBER($N31)),NOT(ISNUMBER($I31)),$I31=0),"N/A",IFERROR($N31/$I31,"N/A")),IF(OR($N31="",$I31="",$I31=0),"",IFERROR($N31/$I31,"")))))</ns0:f>
        <ns0:v/>
      </ns0:c>
      <ns0:c r="P31" s="987">
        <ns0:f>IF(COUNTA($A31:$M31)=0,"",IF(OR(LEFT(LOWER(TRIM($F31&amp;"")),12)="subscription",LOWER(TRIM($F31&amp;""))="membership"),"",IF(LOWER(TRIM($D31&amp;""))="estimate","N/A",IF(LOWER($L31&amp;"")="yes",0,IF(OR(AND($H31&lt;&gt;"",$H31=0),LEFT(LOWER(TRIM($F31&amp;"")),9)="free game",LOWER(TRIM($F31&amp;""))="free",LOWER(TRIM($F31&amp;""))="free entry"),IF(ISNUMBER($K31),$K31,""),IF($K31&lt;&gt;"",$K31,""))))))</ns0:f>
      </ns0:c>
      <ns0:c r="Q31" s="114">
        <ns0:f>IF(COUNTA($A31:$M31)=0,"",IF(OR($U31="Subscription",$U31=""),"",IF($U31="Estimate","N/A",IF($U31="Profit",ROUND(IFERROR($P31,0)-IFERROR($H31,0),2),0))))</ns0:f>
      </ns0:c>
      <ns0:c r="R31" s="114">
        <ns0:f>IF(COUNTA($A31:$M31)=0,"",IF(OR($U31="Subscription",$U31=""),"",IF($U31="Estimate","N/A",IF($U31="Draw",$H31,0))))</ns0:f>
      </ns0:c>
      <ns0:c r="S31" s="114">
        <ns0:f>IF(COUNTA($A31:$M31)=0,"",IF(OR($U31="Subscription",$U31=""),"",IF($U31="Estimate","N/A",IF($U31="Disqualified",$H31,0))))</ns0:f>
      </ns0:c>
      <ns0:c r="T31" s="955">
        <ns0:f>IF(COUNTA($A31:$M31)=0,"",IF(OR($U31="Subscription",$U31=""),"",IF($U31="Estimate","N/A",IF(OR($U31="Free Game",$U31="Disqualified — Free Game",$H31=0),"N/A",IF($U31="Profit",$Q31/$H31,IF($U31="Disqualified",-$S31/$H31,0))))))</ns0:f>
      </ns0:c>
      <ns0:c r="U31" s="920">
        <ns0:f>IF(COUNTA($A31:$M31)=0,"",IF(OR(LEFT(LOWER(TRIM($F31&amp;"")),12)="subscription",LOWER(TRIM($F31&amp;""))="membership"),"Subscription",IF(LOWER(TRIM($D31&amp;""))="estimate","Estimate",IF(OR(AND($H31&lt;&gt;"",$H31=0),LEFT(LOWER(TRIM($F31&amp;"")),9)="free game",LOWER(TRIM($F31&amp;""))="free",LOWER(TRIM($F31&amp;""))="free entry"),IF(LOWER($L31&amp;"")="yes","Disqualified — Free Game","Free Game"),IF(LOWER($L31&amp;"")="yes","Disqualified",IF($P31="","",IF(ROUND(IFERROR(VALUE($P31),0)-IFERROR(VALUE($H31),0),2)&gt;0,"Profit","Draw")))))))</ns0:f>
      </ns0:c>
      <ns0:c r="V31" s="956" t="str">
        <ns0:f>IF(COUNTA($A31:$M31)=0,"",IF(OR($B31="",$C31="",$U31="Subscription"),"",IFERROR(ROUNDUP(($C31-$B31)/7,0),"")))</ns0:f>
      </ns0:c>
      <ns0:c r="W31" s="114">
        <ns0:f>IF(COUNTA($A31:$M31)=0,"",IF(OR($U31="Subscription",$U31=""),"",IF($U31="Estimate","N/A",IF(OR($U31="Free Game",$U31="Disqualified — Free Game"),0,ROUND(IFERROR($Q31,0)-IFERROR($S31,0),2)))))</ns0:f>
      </ns0:c>
      <ns0:c r="X31" s="956" t="str">
        <ns0:f>IF(COUNTA($A31:$M31)=0,"",IF(OR($U31="Subscription",NOT(ISNUMBER($J31)),NOT(ISNUMBER($I31)),$J31=0,$I31=0,$I31&gt;$J31),"",$J31-$I31))</ns0:f>
      </ns0:c>
      <ns0:c r="Y31" s="955" t="str">
        <ns0:f>IF(COUNTA($A31:$M31)=0,"",IF(OR($U31="Subscription",NOT(ISNUMBER($J31)),$J31=0,$X31=""),"",$X31/$J31))</ns0:f>
      </ns0:c>
      <ns0:c r="Z31" s="957" t="str">
        <ns0:f>IF(COUNTA($A31:$M31)=0,"",Instructions!$B$29+SUM($W$5:W31))</ns0:f>
      </ns0:c>
    </ns0:row>
    <ns0:row r="32" ht="36" customHeight="1">
      <ns0:c r="A32" s="439"/>
      <ns0:c r="B32" s="453"/>
      <ns0:c r="C32" s="453"/>
      <ns0:c r="D32" s="454"/>
      <ns0:c r="E32" s="454"/>
      <ns0:c r="F32" s="454"/>
      <ns0:c r="G32" s="986"/>
      <ns0:c r="H32" s="455"/>
      <ns0:c r="I32" s="456"/>
      <ns0:c r="J32" s="456"/>
      <ns0:c r="K32" s="986"/>
      <ns0:c r="L32" s="454"/>
      <ns0:c r="M32" s="439"/>
      <ns0:c r="N32" s="987" t="str">
        <ns0:f>IF(COUNTA($A32:$M32)=0,"",IF(OR(LEFT(LOWER(TRIM($F32&amp;"")),12)="subscription",LOWER(TRIM($F32&amp;""))="membership"),"",IF(OR(AND($H32&lt;&gt;"",$H32=0),LEFT(LOWER(TRIM($F32&amp;"")),9)="free game",LOWER(TRIM($F32&amp;""))="free",LOWER(TRIM($F32&amp;""))="free entry"),IF(ISNUMBER($G32),IF(ISNUMBER(SEARCH("non",LOWER($E32&amp;""))),$G32*0.85,$G32),"N/A"),IF($G32="","",IFERROR(IF(ISNUMBER(SEARCH("non",LOWER($E32&amp;""))),$G32*0.85,$G32),"")))))</ns0:f>
        <ns0:v/>
      </ns0:c>
      <ns0:c r="O32" s="987" t="str">
        <ns0:f>IF(COUNTA($A32:$M32)=0,"",IF(OR(LEFT(LOWER(TRIM($F32&amp;"")),12)="subscription",LOWER(TRIM($F32&amp;""))="membership"),"",IF(OR(AND($H32&lt;&gt;"",$H32=0),LEFT(LOWER(TRIM($F32&amp;"")),9)="free game",LOWER(TRIM($F32&amp;""))="free",LOWER(TRIM($F32&amp;""))="free entry"),IF(OR(NOT(ISNUMBER($N32)),NOT(ISNUMBER($I32)),$I32=0),"N/A",IFERROR($N32/$I32,"N/A")),IF(OR($N32="",$I32="",$I32=0),"",IFERROR($N32/$I32,"")))))</ns0:f>
        <ns0:v/>
      </ns0:c>
      <ns0:c r="P32" s="987">
        <ns0:f>IF(COUNTA($A32:$M32)=0,"",IF(OR(LEFT(LOWER(TRIM($F32&amp;"")),12)="subscription",LOWER(TRIM($F32&amp;""))="membership"),"",IF(LOWER(TRIM($D32&amp;""))="estimate","N/A",IF(LOWER($L32&amp;"")="yes",0,IF(OR(AND($H32&lt;&gt;"",$H32=0),LEFT(LOWER(TRIM($F32&amp;"")),9)="free game",LOWER(TRIM($F32&amp;""))="free",LOWER(TRIM($F32&amp;""))="free entry"),IF(ISNUMBER($K32),$K32,""),IF($K32&lt;&gt;"",$K32,""))))))</ns0:f>
      </ns0:c>
      <ns0:c r="Q32" s="114">
        <ns0:f>IF(COUNTA($A32:$M32)=0,"",IF(OR($U32="Subscription",$U32=""),"",IF($U32="Estimate","N/A",IF($U32="Profit",ROUND(IFERROR($P32,0)-IFERROR($H32,0),2),0))))</ns0:f>
      </ns0:c>
      <ns0:c r="R32" s="114">
        <ns0:f>IF(COUNTA($A32:$M32)=0,"",IF(OR($U32="Subscription",$U32=""),"",IF($U32="Estimate","N/A",IF($U32="Draw",$H32,0))))</ns0:f>
      </ns0:c>
      <ns0:c r="S32" s="114">
        <ns0:f>IF(COUNTA($A32:$M32)=0,"",IF(OR($U32="Subscription",$U32=""),"",IF($U32="Estimate","N/A",IF($U32="Disqualified",$H32,0))))</ns0:f>
      </ns0:c>
      <ns0:c r="T32" s="955">
        <ns0:f>IF(COUNTA($A32:$M32)=0,"",IF(OR($U32="Subscription",$U32=""),"",IF($U32="Estimate","N/A",IF(OR($U32="Free Game",$U32="Disqualified — Free Game",$H32=0),"N/A",IF($U32="Profit",$Q32/$H32,IF($U32="Disqualified",-$S32/$H32,0))))))</ns0:f>
      </ns0:c>
      <ns0:c r="U32" s="920">
        <ns0:f>IF(COUNTA($A32:$M32)=0,"",IF(OR(LEFT(LOWER(TRIM($F32&amp;"")),12)="subscription",LOWER(TRIM($F32&amp;""))="membership"),"Subscription",IF(LOWER(TRIM($D32&amp;""))="estimate","Estimate",IF(OR(AND($H32&lt;&gt;"",$H32=0),LEFT(LOWER(TRIM($F32&amp;"")),9)="free game",LOWER(TRIM($F32&amp;""))="free",LOWER(TRIM($F32&amp;""))="free entry"),IF(LOWER($L32&amp;"")="yes","Disqualified — Free Game","Free Game"),IF(LOWER($L32&amp;"")="yes","Disqualified",IF($P32="","",IF(ROUND(IFERROR(VALUE($P32),0)-IFERROR(VALUE($H32),0),2)&gt;0,"Profit","Draw")))))))</ns0:f>
      </ns0:c>
      <ns0:c r="V32" s="956" t="str">
        <ns0:f>IF(COUNTA($A32:$M32)=0,"",IF(OR($B32="",$C32="",$U32="Subscription"),"",IFERROR(ROUNDUP(($C32-$B32)/7,0),"")))</ns0:f>
      </ns0:c>
      <ns0:c r="W32" s="114">
        <ns0:f>IF(COUNTA($A32:$M32)=0,"",IF(OR($U32="Subscription",$U32=""),"",IF($U32="Estimate","N/A",IF(OR($U32="Free Game",$U32="Disqualified — Free Game"),0,ROUND(IFERROR($Q32,0)-IFERROR($S32,0),2)))))</ns0:f>
      </ns0:c>
      <ns0:c r="X32" s="956" t="str">
        <ns0:f>IF(COUNTA($A32:$M32)=0,"",IF(OR($U32="Subscription",NOT(ISNUMBER($J32)),NOT(ISNUMBER($I32)),$J32=0,$I32=0,$I32&gt;$J32),"",$J32-$I32))</ns0:f>
      </ns0:c>
      <ns0:c r="Y32" s="955" t="str">
        <ns0:f>IF(COUNTA($A32:$M32)=0,"",IF(OR($U32="Subscription",NOT(ISNUMBER($J32)),$J32=0,$X32=""),"",$X32/$J32))</ns0:f>
      </ns0:c>
      <ns0:c r="Z32" s="957" t="str">
        <ns0:f>IF(COUNTA($A32:$M32)=0,"",Instructions!$B$29+SUM($W$5:W32))</ns0:f>
      </ns0:c>
    </ns0:row>
    <ns0:row r="33" ht="36" customHeight="1">
      <ns0:c r="A33" s="439"/>
      <ns0:c r="B33" s="453"/>
      <ns0:c r="C33" s="453"/>
      <ns0:c r="D33" s="454"/>
      <ns0:c r="E33" s="454"/>
      <ns0:c r="F33" s="454"/>
      <ns0:c r="G33" s="986"/>
      <ns0:c r="H33" s="455"/>
      <ns0:c r="I33" s="456"/>
      <ns0:c r="J33" s="456"/>
      <ns0:c r="K33" s="986"/>
      <ns0:c r="L33" s="454"/>
      <ns0:c r="M33" s="439"/>
      <ns0:c r="N33" s="987" t="str">
        <ns0:f>IF(COUNTA($A33:$M33)=0,"",IF(OR(LEFT(LOWER(TRIM($F33&amp;"")),12)="subscription",LOWER(TRIM($F33&amp;""))="membership"),"",IF(OR(AND($H33&lt;&gt;"",$H33=0),LEFT(LOWER(TRIM($F33&amp;"")),9)="free game",LOWER(TRIM($F33&amp;""))="free",LOWER(TRIM($F33&amp;""))="free entry"),IF(ISNUMBER($G33),IF(ISNUMBER(SEARCH("non",LOWER($E33&amp;""))),$G33*0.85,$G33),"N/A"),IF($G33="","",IFERROR(IF(ISNUMBER(SEARCH("non",LOWER($E33&amp;""))),$G33*0.85,$G33),"")))))</ns0:f>
        <ns0:v/>
      </ns0:c>
      <ns0:c r="O33" s="987" t="str">
        <ns0:f>IF(COUNTA($A33:$M33)=0,"",IF(OR(LEFT(LOWER(TRIM($F33&amp;"")),12)="subscription",LOWER(TRIM($F33&amp;""))="membership"),"",IF(OR(AND($H33&lt;&gt;"",$H33=0),LEFT(LOWER(TRIM($F33&amp;"")),9)="free game",LOWER(TRIM($F33&amp;""))="free",LOWER(TRIM($F33&amp;""))="free entry"),IF(OR(NOT(ISNUMBER($N33)),NOT(ISNUMBER($I33)),$I33=0),"N/A",IFERROR($N33/$I33,"N/A")),IF(OR($N33="",$I33="",$I33=0),"",IFERROR($N33/$I33,"")))))</ns0:f>
        <ns0:v/>
      </ns0:c>
      <ns0:c r="P33" s="987">
        <ns0:f>IF(COUNTA($A33:$M33)=0,"",IF(OR(LEFT(LOWER(TRIM($F33&amp;"")),12)="subscription",LOWER(TRIM($F33&amp;""))="membership"),"",IF(LOWER(TRIM($D33&amp;""))="estimate","N/A",IF(LOWER($L33&amp;"")="yes",0,IF(OR(AND($H33&lt;&gt;"",$H33=0),LEFT(LOWER(TRIM($F33&amp;"")),9)="free game",LOWER(TRIM($F33&amp;""))="free",LOWER(TRIM($F33&amp;""))="free entry"),IF(ISNUMBER($K33),$K33,""),IF($K33&lt;&gt;"",$K33,""))))))</ns0:f>
      </ns0:c>
      <ns0:c r="Q33" s="114">
        <ns0:f>IF(COUNTA($A33:$M33)=0,"",IF(OR($U33="Subscription",$U33=""),"",IF($U33="Estimate","N/A",IF($U33="Profit",ROUND(IFERROR($P33,0)-IFERROR($H33,0),2),0))))</ns0:f>
      </ns0:c>
      <ns0:c r="R33" s="114">
        <ns0:f>IF(COUNTA($A33:$M33)=0,"",IF(OR($U33="Subscription",$U33=""),"",IF($U33="Estimate","N/A",IF($U33="Draw",$H33,0))))</ns0:f>
      </ns0:c>
      <ns0:c r="S33" s="114">
        <ns0:f>IF(COUNTA($A33:$M33)=0,"",IF(OR($U33="Subscription",$U33=""),"",IF($U33="Estimate","N/A",IF($U33="Disqualified",$H33,0))))</ns0:f>
      </ns0:c>
      <ns0:c r="T33" s="955">
        <ns0:f>IF(COUNTA($A33:$M33)=0,"",IF(OR($U33="Subscription",$U33=""),"",IF($U33="Estimate","N/A",IF(OR($U33="Free Game",$U33="Disqualified — Free Game",$H33=0),"N/A",IF($U33="Profit",$Q33/$H33,IF($U33="Disqualified",-$S33/$H33,0))))))</ns0:f>
      </ns0:c>
      <ns0:c r="U33" s="920">
        <ns0:f>IF(COUNTA($A33:$M33)=0,"",IF(OR(LEFT(LOWER(TRIM($F33&amp;"")),12)="subscription",LOWER(TRIM($F33&amp;""))="membership"),"Subscription",IF(LOWER(TRIM($D33&amp;""))="estimate","Estimate",IF(OR(AND($H33&lt;&gt;"",$H33=0),LEFT(LOWER(TRIM($F33&amp;"")),9)="free game",LOWER(TRIM($F33&amp;""))="free",LOWER(TRIM($F33&amp;""))="free entry"),IF(LOWER($L33&amp;"")="yes","Disqualified — Free Game","Free Game"),IF(LOWER($L33&amp;"")="yes","Disqualified",IF($P33="","",IF(ROUND(IFERROR(VALUE($P33),0)-IFERROR(VALUE($H33),0),2)&gt;0,"Profit","Draw")))))))</ns0:f>
      </ns0:c>
      <ns0:c r="V33" s="956" t="str">
        <ns0:f>IF(COUNTA($A33:$M33)=0,"",IF(OR($B33="",$C33="",$U33="Subscription"),"",IFERROR(ROUNDUP(($C33-$B33)/7,0),"")))</ns0:f>
      </ns0:c>
      <ns0:c r="W33" s="114">
        <ns0:f>IF(COUNTA($A33:$M33)=0,"",IF(OR($U33="Subscription",$U33=""),"",IF($U33="Estimate","N/A",IF(OR($U33="Free Game",$U33="Disqualified — Free Game"),0,ROUND(IFERROR($Q33,0)-IFERROR($S33,0),2)))))</ns0:f>
      </ns0:c>
      <ns0:c r="X33" s="956" t="str">
        <ns0:f>IF(COUNTA($A33:$M33)=0,"",IF(OR($U33="Subscription",NOT(ISNUMBER($J33)),NOT(ISNUMBER($I33)),$J33=0,$I33=0,$I33&gt;$J33),"",$J33-$I33))</ns0:f>
      </ns0:c>
      <ns0:c r="Y33" s="955" t="str">
        <ns0:f>IF(COUNTA($A33:$M33)=0,"",IF(OR($U33="Subscription",NOT(ISNUMBER($J33)),$J33=0,$X33=""),"",$X33/$J33))</ns0:f>
      </ns0:c>
      <ns0:c r="Z33" s="957" t="str">
        <ns0:f>IF(COUNTA($A33:$M33)=0,"",Instructions!$B$29+SUM($W$5:W33))</ns0:f>
      </ns0:c>
    </ns0:row>
    <ns0:row r="34" ht="36" customHeight="1">
      <ns0:c r="A34" s="439"/>
      <ns0:c r="B34" s="453"/>
      <ns0:c r="C34" s="453"/>
      <ns0:c r="D34" s="454"/>
      <ns0:c r="E34" s="454"/>
      <ns0:c r="F34" s="454"/>
      <ns0:c r="G34" s="986"/>
      <ns0:c r="H34" s="455"/>
      <ns0:c r="I34" s="456"/>
      <ns0:c r="J34" s="456"/>
      <ns0:c r="K34" s="986"/>
      <ns0:c r="L34" s="454"/>
      <ns0:c r="M34" s="439"/>
      <ns0:c r="N34" s="987" t="str">
        <ns0:f>IF(COUNTA($A34:$M34)=0,"",IF(OR(LEFT(LOWER(TRIM($F34&amp;"")),12)="subscription",LOWER(TRIM($F34&amp;""))="membership"),"",IF(OR(AND($H34&lt;&gt;"",$H34=0),LEFT(LOWER(TRIM($F34&amp;"")),9)="free game",LOWER(TRIM($F34&amp;""))="free",LOWER(TRIM($F34&amp;""))="free entry"),IF(ISNUMBER($G34),IF(ISNUMBER(SEARCH("non",LOWER($E34&amp;""))),$G34*0.85,$G34),"N/A"),IF($G34="","",IFERROR(IF(ISNUMBER(SEARCH("non",LOWER($E34&amp;""))),$G34*0.85,$G34),"")))))</ns0:f>
        <ns0:v/>
      </ns0:c>
      <ns0:c r="O34" s="987" t="str">
        <ns0:f>IF(COUNTA($A34:$M34)=0,"",IF(OR(LEFT(LOWER(TRIM($F34&amp;"")),12)="subscription",LOWER(TRIM($F34&amp;""))="membership"),"",IF(OR(AND($H34&lt;&gt;"",$H34=0),LEFT(LOWER(TRIM($F34&amp;"")),9)="free game",LOWER(TRIM($F34&amp;""))="free",LOWER(TRIM($F34&amp;""))="free entry"),IF(OR(NOT(ISNUMBER($N34)),NOT(ISNUMBER($I34)),$I34=0),"N/A",IFERROR($N34/$I34,"N/A")),IF(OR($N34="",$I34="",$I34=0),"",IFERROR($N34/$I34,"")))))</ns0:f>
        <ns0:v/>
      </ns0:c>
      <ns0:c r="P34" s="987">
        <ns0:f>IF(COUNTA($A34:$M34)=0,"",IF(OR(LEFT(LOWER(TRIM($F34&amp;"")),12)="subscription",LOWER(TRIM($F34&amp;""))="membership"),"",IF(LOWER(TRIM($D34&amp;""))="estimate","N/A",IF(LOWER($L34&amp;"")="yes",0,IF(OR(AND($H34&lt;&gt;"",$H34=0),LEFT(LOWER(TRIM($F34&amp;"")),9)="free game",LOWER(TRIM($F34&amp;""))="free",LOWER(TRIM($F34&amp;""))="free entry"),IF(ISNUMBER($K34),$K34,""),IF($K34&lt;&gt;"",$K34,""))))))</ns0:f>
      </ns0:c>
      <ns0:c r="Q34" s="114">
        <ns0:f>IF(COUNTA($A34:$M34)=0,"",IF(OR($U34="Subscription",$U34=""),"",IF($U34="Estimate","N/A",IF($U34="Profit",ROUND(IFERROR($P34,0)-IFERROR($H34,0),2),0))))</ns0:f>
      </ns0:c>
      <ns0:c r="R34" s="114">
        <ns0:f>IF(COUNTA($A34:$M34)=0,"",IF(OR($U34="Subscription",$U34=""),"",IF($U34="Estimate","N/A",IF($U34="Draw",$H34,0))))</ns0:f>
      </ns0:c>
      <ns0:c r="S34" s="114">
        <ns0:f>IF(COUNTA($A34:$M34)=0,"",IF(OR($U34="Subscription",$U34=""),"",IF($U34="Estimate","N/A",IF($U34="Disqualified",$H34,0))))</ns0:f>
      </ns0:c>
      <ns0:c r="T34" s="955">
        <ns0:f>IF(COUNTA($A34:$M34)=0,"",IF(OR($U34="Subscription",$U34=""),"",IF($U34="Estimate","N/A",IF(OR($U34="Free Game",$U34="Disqualified — Free Game",$H34=0),"N/A",IF($U34="Profit",$Q34/$H34,IF($U34="Disqualified",-$S34/$H34,0))))))</ns0:f>
      </ns0:c>
      <ns0:c r="U34" s="920">
        <ns0:f>IF(COUNTA($A34:$M34)=0,"",IF(OR(LEFT(LOWER(TRIM($F34&amp;"")),12)="subscription",LOWER(TRIM($F34&amp;""))="membership"),"Subscription",IF(LOWER(TRIM($D34&amp;""))="estimate","Estimate",IF(OR(AND($H34&lt;&gt;"",$H34=0),LEFT(LOWER(TRIM($F34&amp;"")),9)="free game",LOWER(TRIM($F34&amp;""))="free",LOWER(TRIM($F34&amp;""))="free entry"),IF(LOWER($L34&amp;"")="yes","Disqualified — Free Game","Free Game"),IF(LOWER($L34&amp;"")="yes","Disqualified",IF($P34="","",IF(ROUND(IFERROR(VALUE($P34),0)-IFERROR(VALUE($H34),0),2)&gt;0,"Profit","Draw")))))))</ns0:f>
      </ns0:c>
      <ns0:c r="V34" s="956" t="str">
        <ns0:f>IF(COUNTA($A34:$M34)=0,"",IF(OR($B34="",$C34="",$U34="Subscription"),"",IFERROR(ROUNDUP(($C34-$B34)/7,0),"")))</ns0:f>
      </ns0:c>
      <ns0:c r="W34" s="114">
        <ns0:f>IF(COUNTA($A34:$M34)=0,"",IF(OR($U34="Subscription",$U34=""),"",IF($U34="Estimate","N/A",IF(OR($U34="Free Game",$U34="Disqualified — Free Game"),0,ROUND(IFERROR($Q34,0)-IFERROR($S34,0),2)))))</ns0:f>
      </ns0:c>
      <ns0:c r="X34" s="956" t="str">
        <ns0:f>IF(COUNTA($A34:$M34)=0,"",IF(OR($U34="Subscription",NOT(ISNUMBER($J34)),NOT(ISNUMBER($I34)),$J34=0,$I34=0,$I34&gt;$J34),"",$J34-$I34))</ns0:f>
      </ns0:c>
      <ns0:c r="Y34" s="955" t="str">
        <ns0:f>IF(COUNTA($A34:$M34)=0,"",IF(OR($U34="Subscription",NOT(ISNUMBER($J34)),$J34=0,$X34=""),"",$X34/$J34))</ns0:f>
      </ns0:c>
      <ns0:c r="Z34" s="957" t="str">
        <ns0:f>IF(COUNTA($A34:$M34)=0,"",Instructions!$B$29+SUM($W$5:W34))</ns0:f>
      </ns0:c>
    </ns0:row>
    <ns0:row r="35" ht="36" customHeight="1">
      <ns0:c r="A35" s="439"/>
      <ns0:c r="B35" s="453"/>
      <ns0:c r="C35" s="453"/>
      <ns0:c r="D35" s="454"/>
      <ns0:c r="E35" s="454"/>
      <ns0:c r="F35" s="454"/>
      <ns0:c r="G35" s="986"/>
      <ns0:c r="H35" s="455"/>
      <ns0:c r="I35" s="456"/>
      <ns0:c r="J35" s="456"/>
      <ns0:c r="K35" s="986"/>
      <ns0:c r="L35" s="454"/>
      <ns0:c r="M35" s="439"/>
      <ns0:c r="N35" s="987" t="str">
        <ns0:f>IF(COUNTA($A35:$M35)=0,"",IF(OR(LEFT(LOWER(TRIM($F35&amp;"")),12)="subscription",LOWER(TRIM($F35&amp;""))="membership"),"",IF(OR(AND($H35&lt;&gt;"",$H35=0),LEFT(LOWER(TRIM($F35&amp;"")),9)="free game",LOWER(TRIM($F35&amp;""))="free",LOWER(TRIM($F35&amp;""))="free entry"),IF(ISNUMBER($G35),IF(ISNUMBER(SEARCH("non",LOWER($E35&amp;""))),$G35*0.85,$G35),"N/A"),IF($G35="","",IFERROR(IF(ISNUMBER(SEARCH("non",LOWER($E35&amp;""))),$G35*0.85,$G35),"")))))</ns0:f>
        <ns0:v/>
      </ns0:c>
      <ns0:c r="O35" s="987" t="str">
        <ns0:f>IF(COUNTA($A35:$M35)=0,"",IF(OR(LEFT(LOWER(TRIM($F35&amp;"")),12)="subscription",LOWER(TRIM($F35&amp;""))="membership"),"",IF(OR(AND($H35&lt;&gt;"",$H35=0),LEFT(LOWER(TRIM($F35&amp;"")),9)="free game",LOWER(TRIM($F35&amp;""))="free",LOWER(TRIM($F35&amp;""))="free entry"),IF(OR(NOT(ISNUMBER($N35)),NOT(ISNUMBER($I35)),$I35=0),"N/A",IFERROR($N35/$I35,"N/A")),IF(OR($N35="",$I35="",$I35=0),"",IFERROR($N35/$I35,"")))))</ns0:f>
        <ns0:v/>
      </ns0:c>
      <ns0:c r="P35" s="987">
        <ns0:f>IF(COUNTA($A35:$M35)=0,"",IF(OR(LEFT(LOWER(TRIM($F35&amp;"")),12)="subscription",LOWER(TRIM($F35&amp;""))="membership"),"",IF(LOWER(TRIM($D35&amp;""))="estimate","N/A",IF(LOWER($L35&amp;"")="yes",0,IF(OR(AND($H35&lt;&gt;"",$H35=0),LEFT(LOWER(TRIM($F35&amp;"")),9)="free game",LOWER(TRIM($F35&amp;""))="free",LOWER(TRIM($F35&amp;""))="free entry"),IF(ISNUMBER($K35),$K35,""),IF($K35&lt;&gt;"",$K35,""))))))</ns0:f>
      </ns0:c>
      <ns0:c r="Q35" s="114">
        <ns0:f>IF(COUNTA($A35:$M35)=0,"",IF(OR($U35="Subscription",$U35=""),"",IF($U35="Estimate","N/A",IF($U35="Profit",ROUND(IFERROR($P35,0)-IFERROR($H35,0),2),0))))</ns0:f>
      </ns0:c>
      <ns0:c r="R35" s="114">
        <ns0:f>IF(COUNTA($A35:$M35)=0,"",IF(OR($U35="Subscription",$U35=""),"",IF($U35="Estimate","N/A",IF($U35="Draw",$H35,0))))</ns0:f>
      </ns0:c>
      <ns0:c r="S35" s="114">
        <ns0:f>IF(COUNTA($A35:$M35)=0,"",IF(OR($U35="Subscription",$U35=""),"",IF($U35="Estimate","N/A",IF($U35="Disqualified",$H35,0))))</ns0:f>
      </ns0:c>
      <ns0:c r="T35" s="955">
        <ns0:f>IF(COUNTA($A35:$M35)=0,"",IF(OR($U35="Subscription",$U35=""),"",IF($U35="Estimate","N/A",IF(OR($U35="Free Game",$U35="Disqualified — Free Game",$H35=0),"N/A",IF($U35="Profit",$Q35/$H35,IF($U35="Disqualified",-$S35/$H35,0))))))</ns0:f>
      </ns0:c>
      <ns0:c r="U35" s="920">
        <ns0:f>IF(COUNTA($A35:$M35)=0,"",IF(OR(LEFT(LOWER(TRIM($F35&amp;"")),12)="subscription",LOWER(TRIM($F35&amp;""))="membership"),"Subscription",IF(LOWER(TRIM($D35&amp;""))="estimate","Estimate",IF(OR(AND($H35&lt;&gt;"",$H35=0),LEFT(LOWER(TRIM($F35&amp;"")),9)="free game",LOWER(TRIM($F35&amp;""))="free",LOWER(TRIM($F35&amp;""))="free entry"),IF(LOWER($L35&amp;"")="yes","Disqualified — Free Game","Free Game"),IF(LOWER($L35&amp;"")="yes","Disqualified",IF($P35="","",IF(ROUND(IFERROR(VALUE($P35),0)-IFERROR(VALUE($H35),0),2)&gt;0,"Profit","Draw")))))))</ns0:f>
      </ns0:c>
      <ns0:c r="V35" s="956" t="str">
        <ns0:f>IF(COUNTA($A35:$M35)=0,"",IF(OR($B35="",$C35="",$U35="Subscription"),"",IFERROR(ROUNDUP(($C35-$B35)/7,0),"")))</ns0:f>
      </ns0:c>
      <ns0:c r="W35" s="114">
        <ns0:f>IF(COUNTA($A35:$M35)=0,"",IF(OR($U35="Subscription",$U35=""),"",IF($U35="Estimate","N/A",IF(OR($U35="Free Game",$U35="Disqualified — Free Game"),0,ROUND(IFERROR($Q35,0)-IFERROR($S35,0),2)))))</ns0:f>
      </ns0:c>
      <ns0:c r="X35" s="956" t="str">
        <ns0:f>IF(COUNTA($A35:$M35)=0,"",IF(OR($U35="Subscription",NOT(ISNUMBER($J35)),NOT(ISNUMBER($I35)),$J35=0,$I35=0,$I35&gt;$J35),"",$J35-$I35))</ns0:f>
      </ns0:c>
      <ns0:c r="Y35" s="955" t="str">
        <ns0:f>IF(COUNTA($A35:$M35)=0,"",IF(OR($U35="Subscription",NOT(ISNUMBER($J35)),$J35=0,$X35=""),"",$X35/$J35))</ns0:f>
      </ns0:c>
      <ns0:c r="Z35" s="957" t="str">
        <ns0:f>IF(COUNTA($A35:$M35)=0,"",Instructions!$B$29+SUM($W$5:W35))</ns0:f>
      </ns0:c>
    </ns0:row>
    <ns0:row r="36" ht="36" customHeight="1">
      <ns0:c r="A36" s="439"/>
      <ns0:c r="B36" s="453"/>
      <ns0:c r="C36" s="453"/>
      <ns0:c r="D36" s="454"/>
      <ns0:c r="E36" s="454"/>
      <ns0:c r="F36" s="454"/>
      <ns0:c r="G36" s="986"/>
      <ns0:c r="H36" s="455"/>
      <ns0:c r="I36" s="456"/>
      <ns0:c r="J36" s="456"/>
      <ns0:c r="K36" s="986"/>
      <ns0:c r="L36" s="454"/>
      <ns0:c r="M36" s="439"/>
      <ns0:c r="N36" s="987" t="str">
        <ns0:f>IF(COUNTA($A36:$M36)=0,"",IF(OR(LEFT(LOWER(TRIM($F36&amp;"")),12)="subscription",LOWER(TRIM($F36&amp;""))="membership"),"",IF(OR(AND($H36&lt;&gt;"",$H36=0),LEFT(LOWER(TRIM($F36&amp;"")),9)="free game",LOWER(TRIM($F36&amp;""))="free",LOWER(TRIM($F36&amp;""))="free entry"),IF(ISNUMBER($G36),IF(ISNUMBER(SEARCH("non",LOWER($E36&amp;""))),$G36*0.85,$G36),"N/A"),IF($G36="","",IFERROR(IF(ISNUMBER(SEARCH("non",LOWER($E36&amp;""))),$G36*0.85,$G36),"")))))</ns0:f>
        <ns0:v/>
      </ns0:c>
      <ns0:c r="O36" s="987" t="str">
        <ns0:f>IF(COUNTA($A36:$M36)=0,"",IF(OR(LEFT(LOWER(TRIM($F36&amp;"")),12)="subscription",LOWER(TRIM($F36&amp;""))="membership"),"",IF(OR(AND($H36&lt;&gt;"",$H36=0),LEFT(LOWER(TRIM($F36&amp;"")),9)="free game",LOWER(TRIM($F36&amp;""))="free",LOWER(TRIM($F36&amp;""))="free entry"),IF(OR(NOT(ISNUMBER($N36)),NOT(ISNUMBER($I36)),$I36=0),"N/A",IFERROR($N36/$I36,"N/A")),IF(OR($N36="",$I36="",$I36=0),"",IFERROR($N36/$I36,"")))))</ns0:f>
        <ns0:v/>
      </ns0:c>
      <ns0:c r="P36" s="987">
        <ns0:f>IF(COUNTA($A36:$M36)=0,"",IF(OR(LEFT(LOWER(TRIM($F36&amp;"")),12)="subscription",LOWER(TRIM($F36&amp;""))="membership"),"",IF(LOWER(TRIM($D36&amp;""))="estimate","N/A",IF(LOWER($L36&amp;"")="yes",0,IF(OR(AND($H36&lt;&gt;"",$H36=0),LEFT(LOWER(TRIM($F36&amp;"")),9)="free game",LOWER(TRIM($F36&amp;""))="free",LOWER(TRIM($F36&amp;""))="free entry"),IF(ISNUMBER($K36),$K36,""),IF($K36&lt;&gt;"",$K36,""))))))</ns0:f>
      </ns0:c>
      <ns0:c r="Q36" s="114">
        <ns0:f>IF(COUNTA($A36:$M36)=0,"",IF(OR($U36="Subscription",$U36=""),"",IF($U36="Estimate","N/A",IF($U36="Profit",ROUND(IFERROR($P36,0)-IFERROR($H36,0),2),0))))</ns0:f>
      </ns0:c>
      <ns0:c r="R36" s="114">
        <ns0:f>IF(COUNTA($A36:$M36)=0,"",IF(OR($U36="Subscription",$U36=""),"",IF($U36="Estimate","N/A",IF($U36="Draw",$H36,0))))</ns0:f>
      </ns0:c>
      <ns0:c r="S36" s="114">
        <ns0:f>IF(COUNTA($A36:$M36)=0,"",IF(OR($U36="Subscription",$U36=""),"",IF($U36="Estimate","N/A",IF($U36="Disqualified",$H36,0))))</ns0:f>
      </ns0:c>
      <ns0:c r="T36" s="955">
        <ns0:f>IF(COUNTA($A36:$M36)=0,"",IF(OR($U36="Subscription",$U36=""),"",IF($U36="Estimate","N/A",IF(OR($U36="Free Game",$U36="Disqualified — Free Game",$H36=0),"N/A",IF($U36="Profit",$Q36/$H36,IF($U36="Disqualified",-$S36/$H36,0))))))</ns0:f>
      </ns0:c>
      <ns0:c r="U36" s="920">
        <ns0:f>IF(COUNTA($A36:$M36)=0,"",IF(OR(LEFT(LOWER(TRIM($F36&amp;"")),12)="subscription",LOWER(TRIM($F36&amp;""))="membership"),"Subscription",IF(LOWER(TRIM($D36&amp;""))="estimate","Estimate",IF(OR(AND($H36&lt;&gt;"",$H36=0),LEFT(LOWER(TRIM($F36&amp;"")),9)="free game",LOWER(TRIM($F36&amp;""))="free",LOWER(TRIM($F36&amp;""))="free entry"),IF(LOWER($L36&amp;"")="yes","Disqualified — Free Game","Free Game"),IF(LOWER($L36&amp;"")="yes","Disqualified",IF($P36="","",IF(ROUND(IFERROR(VALUE($P36),0)-IFERROR(VALUE($H36),0),2)&gt;0,"Profit","Draw")))))))</ns0:f>
      </ns0:c>
      <ns0:c r="V36" s="956" t="str">
        <ns0:f>IF(COUNTA($A36:$M36)=0,"",IF(OR($B36="",$C36="",$U36="Subscription"),"",IFERROR(ROUNDUP(($C36-$B36)/7,0),"")))</ns0:f>
      </ns0:c>
      <ns0:c r="W36" s="114">
        <ns0:f>IF(COUNTA($A36:$M36)=0,"",IF(OR($U36="Subscription",$U36=""),"",IF($U36="Estimate","N/A",IF(OR($U36="Free Game",$U36="Disqualified — Free Game"),0,ROUND(IFERROR($Q36,0)-IFERROR($S36,0),2)))))</ns0:f>
      </ns0:c>
      <ns0:c r="X36" s="956" t="str">
        <ns0:f>IF(COUNTA($A36:$M36)=0,"",IF(OR($U36="Subscription",NOT(ISNUMBER($J36)),NOT(ISNUMBER($I36)),$J36=0,$I36=0,$I36&gt;$J36),"",$J36-$I36))</ns0:f>
      </ns0:c>
      <ns0:c r="Y36" s="955" t="str">
        <ns0:f>IF(COUNTA($A36:$M36)=0,"",IF(OR($U36="Subscription",NOT(ISNUMBER($J36)),$J36=0,$X36=""),"",$X36/$J36))</ns0:f>
      </ns0:c>
      <ns0:c r="Z36" s="957" t="str">
        <ns0:f>IF(COUNTA($A36:$M36)=0,"",Instructions!$B$29+SUM($W$5:W36))</ns0:f>
      </ns0:c>
    </ns0:row>
    <ns0:row r="37" ht="36" customHeight="1">
      <ns0:c r="A37" s="439"/>
      <ns0:c r="B37" s="453"/>
      <ns0:c r="C37" s="453"/>
      <ns0:c r="D37" s="454"/>
      <ns0:c r="E37" s="454"/>
      <ns0:c r="F37" s="454"/>
      <ns0:c r="G37" s="986"/>
      <ns0:c r="H37" s="455"/>
      <ns0:c r="I37" s="456"/>
      <ns0:c r="J37" s="456"/>
      <ns0:c r="K37" s="986"/>
      <ns0:c r="L37" s="454"/>
      <ns0:c r="M37" s="439"/>
      <ns0:c r="N37" s="987" t="str">
        <ns0:f>IF(COUNTA($A37:$M37)=0,"",IF(OR(LEFT(LOWER(TRIM($F37&amp;"")),12)="subscription",LOWER(TRIM($F37&amp;""))="membership"),"",IF(OR(AND($H37&lt;&gt;"",$H37=0),LEFT(LOWER(TRIM($F37&amp;"")),9)="free game",LOWER(TRIM($F37&amp;""))="free",LOWER(TRIM($F37&amp;""))="free entry"),IF(ISNUMBER($G37),IF(ISNUMBER(SEARCH("non",LOWER($E37&amp;""))),$G37*0.85,$G37),"N/A"),IF($G37="","",IFERROR(IF(ISNUMBER(SEARCH("non",LOWER($E37&amp;""))),$G37*0.85,$G37),"")))))</ns0:f>
        <ns0:v/>
      </ns0:c>
      <ns0:c r="O37" s="987" t="str">
        <ns0:f>IF(COUNTA($A37:$M37)=0,"",IF(OR(LEFT(LOWER(TRIM($F37&amp;"")),12)="subscription",LOWER(TRIM($F37&amp;""))="membership"),"",IF(OR(AND($H37&lt;&gt;"",$H37=0),LEFT(LOWER(TRIM($F37&amp;"")),9)="free game",LOWER(TRIM($F37&amp;""))="free",LOWER(TRIM($F37&amp;""))="free entry"),IF(OR(NOT(ISNUMBER($N37)),NOT(ISNUMBER($I37)),$I37=0),"N/A",IFERROR($N37/$I37,"N/A")),IF(OR($N37="",$I37="",$I37=0),"",IFERROR($N37/$I37,"")))))</ns0:f>
        <ns0:v/>
      </ns0:c>
      <ns0:c r="P37" s="987">
        <ns0:f>IF(COUNTA($A37:$M37)=0,"",IF(OR(LEFT(LOWER(TRIM($F37&amp;"")),12)="subscription",LOWER(TRIM($F37&amp;""))="membership"),"",IF(LOWER(TRIM($D37&amp;""))="estimate","N/A",IF(LOWER($L37&amp;"")="yes",0,IF(OR(AND($H37&lt;&gt;"",$H37=0),LEFT(LOWER(TRIM($F37&amp;"")),9)="free game",LOWER(TRIM($F37&amp;""))="free",LOWER(TRIM($F37&amp;""))="free entry"),IF(ISNUMBER($K37),$K37,""),IF($K37&lt;&gt;"",$K37,""))))))</ns0:f>
      </ns0:c>
      <ns0:c r="Q37" s="114">
        <ns0:f>IF(COUNTA($A37:$M37)=0,"",IF(OR($U37="Subscription",$U37=""),"",IF($U37="Estimate","N/A",IF($U37="Profit",ROUND(IFERROR($P37,0)-IFERROR($H37,0),2),0))))</ns0:f>
      </ns0:c>
      <ns0:c r="R37" s="114">
        <ns0:f>IF(COUNTA($A37:$M37)=0,"",IF(OR($U37="Subscription",$U37=""),"",IF($U37="Estimate","N/A",IF($U37="Draw",$H37,0))))</ns0:f>
      </ns0:c>
      <ns0:c r="S37" s="114">
        <ns0:f>IF(COUNTA($A37:$M37)=0,"",IF(OR($U37="Subscription",$U37=""),"",IF($U37="Estimate","N/A",IF($U37="Disqualified",$H37,0))))</ns0:f>
      </ns0:c>
      <ns0:c r="T37" s="955">
        <ns0:f>IF(COUNTA($A37:$M37)=0,"",IF(OR($U37="Subscription",$U37=""),"",IF($U37="Estimate","N/A",IF(OR($U37="Free Game",$U37="Disqualified — Free Game",$H37=0),"N/A",IF($U37="Profit",$Q37/$H37,IF($U37="Disqualified",-$S37/$H37,0))))))</ns0:f>
      </ns0:c>
      <ns0:c r="U37" s="920">
        <ns0:f>IF(COUNTA($A37:$M37)=0,"",IF(OR(LEFT(LOWER(TRIM($F37&amp;"")),12)="subscription",LOWER(TRIM($F37&amp;""))="membership"),"Subscription",IF(LOWER(TRIM($D37&amp;""))="estimate","Estimate",IF(OR(AND($H37&lt;&gt;"",$H37=0),LEFT(LOWER(TRIM($F37&amp;"")),9)="free game",LOWER(TRIM($F37&amp;""))="free",LOWER(TRIM($F37&amp;""))="free entry"),IF(LOWER($L37&amp;"")="yes","Disqualified — Free Game","Free Game"),IF(LOWER($L37&amp;"")="yes","Disqualified",IF($P37="","",IF(ROUND(IFERROR(VALUE($P37),0)-IFERROR(VALUE($H37),0),2)&gt;0,"Profit","Draw")))))))</ns0:f>
      </ns0:c>
      <ns0:c r="V37" s="956" t="str">
        <ns0:f>IF(COUNTA($A37:$M37)=0,"",IF(OR($B37="",$C37="",$U37="Subscription"),"",IFERROR(ROUNDUP(($C37-$B37)/7,0),"")))</ns0:f>
      </ns0:c>
      <ns0:c r="W37" s="114">
        <ns0:f>IF(COUNTA($A37:$M37)=0,"",IF(OR($U37="Subscription",$U37=""),"",IF($U37="Estimate","N/A",IF(OR($U37="Free Game",$U37="Disqualified — Free Game"),0,ROUND(IFERROR($Q37,0)-IFERROR($S37,0),2)))))</ns0:f>
      </ns0:c>
      <ns0:c r="X37" s="956" t="str">
        <ns0:f>IF(COUNTA($A37:$M37)=0,"",IF(OR($U37="Subscription",NOT(ISNUMBER($J37)),NOT(ISNUMBER($I37)),$J37=0,$I37=0,$I37&gt;$J37),"",$J37-$I37))</ns0:f>
      </ns0:c>
      <ns0:c r="Y37" s="955" t="str">
        <ns0:f>IF(COUNTA($A37:$M37)=0,"",IF(OR($U37="Subscription",NOT(ISNUMBER($J37)),$J37=0,$X37=""),"",$X37/$J37))</ns0:f>
      </ns0:c>
      <ns0:c r="Z37" s="957" t="str">
        <ns0:f>IF(COUNTA($A37:$M37)=0,"",Instructions!$B$29+SUM($W$5:W37))</ns0:f>
      </ns0:c>
    </ns0:row>
    <ns0:row r="38" ht="36" customHeight="1">
      <ns0:c r="A38" s="439"/>
      <ns0:c r="B38" s="453"/>
      <ns0:c r="C38" s="453"/>
      <ns0:c r="D38" s="454"/>
      <ns0:c r="E38" s="454"/>
      <ns0:c r="F38" s="454"/>
      <ns0:c r="G38" s="986"/>
      <ns0:c r="H38" s="455"/>
      <ns0:c r="I38" s="456"/>
      <ns0:c r="J38" s="456"/>
      <ns0:c r="K38" s="986"/>
      <ns0:c r="L38" s="454"/>
      <ns0:c r="M38" s="439"/>
      <ns0:c r="N38" s="987" t="str">
        <ns0:f>IF(COUNTA($A38:$M38)=0,"",IF(OR(LEFT(LOWER(TRIM($F38&amp;"")),12)="subscription",LOWER(TRIM($F38&amp;""))="membership"),"",IF(OR(AND($H38&lt;&gt;"",$H38=0),LEFT(LOWER(TRIM($F38&amp;"")),9)="free game",LOWER(TRIM($F38&amp;""))="free",LOWER(TRIM($F38&amp;""))="free entry"),IF(ISNUMBER($G38),IF(ISNUMBER(SEARCH("non",LOWER($E38&amp;""))),$G38*0.85,$G38),"N/A"),IF($G38="","",IFERROR(IF(ISNUMBER(SEARCH("non",LOWER($E38&amp;""))),$G38*0.85,$G38),"")))))</ns0:f>
        <ns0:v/>
      </ns0:c>
      <ns0:c r="O38" s="987" t="str">
        <ns0:f>IF(COUNTA($A38:$M38)=0,"",IF(OR(LEFT(LOWER(TRIM($F38&amp;"")),12)="subscription",LOWER(TRIM($F38&amp;""))="membership"),"",IF(OR(AND($H38&lt;&gt;"",$H38=0),LEFT(LOWER(TRIM($F38&amp;"")),9)="free game",LOWER(TRIM($F38&amp;""))="free",LOWER(TRIM($F38&amp;""))="free entry"),IF(OR(NOT(ISNUMBER($N38)),NOT(ISNUMBER($I38)),$I38=0),"N/A",IFERROR($N38/$I38,"N/A")),IF(OR($N38="",$I38="",$I38=0),"",IFERROR($N38/$I38,"")))))</ns0:f>
        <ns0:v/>
      </ns0:c>
      <ns0:c r="P38" s="987">
        <ns0:f>IF(COUNTA($A38:$M38)=0,"",IF(OR(LEFT(LOWER(TRIM($F38&amp;"")),12)="subscription",LOWER(TRIM($F38&amp;""))="membership"),"",IF(LOWER(TRIM($D38&amp;""))="estimate","N/A",IF(LOWER($L38&amp;"")="yes",0,IF(OR(AND($H38&lt;&gt;"",$H38=0),LEFT(LOWER(TRIM($F38&amp;"")),9)="free game",LOWER(TRIM($F38&amp;""))="free",LOWER(TRIM($F38&amp;""))="free entry"),IF(ISNUMBER($K38),$K38,""),IF($K38&lt;&gt;"",$K38,""))))))</ns0:f>
      </ns0:c>
      <ns0:c r="Q38" s="114">
        <ns0:f>IF(COUNTA($A38:$M38)=0,"",IF(OR($U38="Subscription",$U38=""),"",IF($U38="Estimate","N/A",IF($U38="Profit",ROUND(IFERROR($P38,0)-IFERROR($H38,0),2),0))))</ns0:f>
      </ns0:c>
      <ns0:c r="R38" s="114">
        <ns0:f>IF(COUNTA($A38:$M38)=0,"",IF(OR($U38="Subscription",$U38=""),"",IF($U38="Estimate","N/A",IF($U38="Draw",$H38,0))))</ns0:f>
      </ns0:c>
      <ns0:c r="S38" s="114">
        <ns0:f>IF(COUNTA($A38:$M38)=0,"",IF(OR($U38="Subscription",$U38=""),"",IF($U38="Estimate","N/A",IF($U38="Disqualified",$H38,0))))</ns0:f>
      </ns0:c>
      <ns0:c r="T38" s="955">
        <ns0:f>IF(COUNTA($A38:$M38)=0,"",IF(OR($U38="Subscription",$U38=""),"",IF($U38="Estimate","N/A",IF(OR($U38="Free Game",$U38="Disqualified — Free Game",$H38=0),"N/A",IF($U38="Profit",$Q38/$H38,IF($U38="Disqualified",-$S38/$H38,0))))))</ns0:f>
      </ns0:c>
      <ns0:c r="U38" s="920">
        <ns0:f>IF(COUNTA($A38:$M38)=0,"",IF(OR(LEFT(LOWER(TRIM($F38&amp;"")),12)="subscription",LOWER(TRIM($F38&amp;""))="membership"),"Subscription",IF(LOWER(TRIM($D38&amp;""))="estimate","Estimate",IF(OR(AND($H38&lt;&gt;"",$H38=0),LEFT(LOWER(TRIM($F38&amp;"")),9)="free game",LOWER(TRIM($F38&amp;""))="free",LOWER(TRIM($F38&amp;""))="free entry"),IF(LOWER($L38&amp;"")="yes","Disqualified — Free Game","Free Game"),IF(LOWER($L38&amp;"")="yes","Disqualified",IF($P38="","",IF(ROUND(IFERROR(VALUE($P38),0)-IFERROR(VALUE($H38),0),2)&gt;0,"Profit","Draw")))))))</ns0:f>
      </ns0:c>
      <ns0:c r="V38" s="956" t="str">
        <ns0:f>IF(COUNTA($A38:$M38)=0,"",IF(OR($B38="",$C38="",$U38="Subscription"),"",IFERROR(ROUNDUP(($C38-$B38)/7,0),"")))</ns0:f>
      </ns0:c>
      <ns0:c r="W38" s="114">
        <ns0:f>IF(COUNTA($A38:$M38)=0,"",IF(OR($U38="Subscription",$U38=""),"",IF($U38="Estimate","N/A",IF(OR($U38="Free Game",$U38="Disqualified — Free Game"),0,ROUND(IFERROR($Q38,0)-IFERROR($S38,0),2)))))</ns0:f>
      </ns0:c>
      <ns0:c r="X38" s="956" t="str">
        <ns0:f>IF(COUNTA($A38:$M38)=0,"",IF(OR($U38="Subscription",NOT(ISNUMBER($J38)),NOT(ISNUMBER($I38)),$J38=0,$I38=0,$I38&gt;$J38),"",$J38-$I38))</ns0:f>
      </ns0:c>
      <ns0:c r="Y38" s="955" t="str">
        <ns0:f>IF(COUNTA($A38:$M38)=0,"",IF(OR($U38="Subscription",NOT(ISNUMBER($J38)),$J38=0,$X38=""),"",$X38/$J38))</ns0:f>
      </ns0:c>
      <ns0:c r="Z38" s="957" t="str">
        <ns0:f>IF(COUNTA($A38:$M38)=0,"",Instructions!$B$29+SUM($W$5:W38))</ns0:f>
      </ns0:c>
    </ns0:row>
    <ns0:row r="39" ht="36" customHeight="1">
      <ns0:c r="A39" s="439"/>
      <ns0:c r="B39" s="453"/>
      <ns0:c r="C39" s="453"/>
      <ns0:c r="D39" s="454"/>
      <ns0:c r="E39" s="454"/>
      <ns0:c r="F39" s="454"/>
      <ns0:c r="G39" s="986"/>
      <ns0:c r="H39" s="455"/>
      <ns0:c r="I39" s="456"/>
      <ns0:c r="J39" s="456"/>
      <ns0:c r="K39" s="986"/>
      <ns0:c r="L39" s="454"/>
      <ns0:c r="M39" s="439"/>
      <ns0:c r="N39" s="987" t="str">
        <ns0:f>IF(COUNTA($A39:$M39)=0,"",IF(OR(LEFT(LOWER(TRIM($F39&amp;"")),12)="subscription",LOWER(TRIM($F39&amp;""))="membership"),"",IF(OR(AND($H39&lt;&gt;"",$H39=0),LEFT(LOWER(TRIM($F39&amp;"")),9)="free game",LOWER(TRIM($F39&amp;""))="free",LOWER(TRIM($F39&amp;""))="free entry"),IF(ISNUMBER($G39),IF(ISNUMBER(SEARCH("non",LOWER($E39&amp;""))),$G39*0.85,$G39),"N/A"),IF($G39="","",IFERROR(IF(ISNUMBER(SEARCH("non",LOWER($E39&amp;""))),$G39*0.85,$G39),"")))))</ns0:f>
        <ns0:v/>
      </ns0:c>
      <ns0:c r="O39" s="987" t="str">
        <ns0:f>IF(COUNTA($A39:$M39)=0,"",IF(OR(LEFT(LOWER(TRIM($F39&amp;"")),12)="subscription",LOWER(TRIM($F39&amp;""))="membership"),"",IF(OR(AND($H39&lt;&gt;"",$H39=0),LEFT(LOWER(TRIM($F39&amp;"")),9)="free game",LOWER(TRIM($F39&amp;""))="free",LOWER(TRIM($F39&amp;""))="free entry"),IF(OR(NOT(ISNUMBER($N39)),NOT(ISNUMBER($I39)),$I39=0),"N/A",IFERROR($N39/$I39,"N/A")),IF(OR($N39="",$I39="",$I39=0),"",IFERROR($N39/$I39,"")))))</ns0:f>
        <ns0:v/>
      </ns0:c>
      <ns0:c r="P39" s="987">
        <ns0:f>IF(COUNTA($A39:$M39)=0,"",IF(OR(LEFT(LOWER(TRIM($F39&amp;"")),12)="subscription",LOWER(TRIM($F39&amp;""))="membership"),"",IF(LOWER(TRIM($D39&amp;""))="estimate","N/A",IF(LOWER($L39&amp;"")="yes",0,IF(OR(AND($H39&lt;&gt;"",$H39=0),LEFT(LOWER(TRIM($F39&amp;"")),9)="free game",LOWER(TRIM($F39&amp;""))="free",LOWER(TRIM($F39&amp;""))="free entry"),IF(ISNUMBER($K39),$K39,""),IF($K39&lt;&gt;"",$K39,""))))))</ns0:f>
      </ns0:c>
      <ns0:c r="Q39" s="114">
        <ns0:f>IF(COUNTA($A39:$M39)=0,"",IF(OR($U39="Subscription",$U39=""),"",IF($U39="Estimate","N/A",IF($U39="Profit",ROUND(IFERROR($P39,0)-IFERROR($H39,0),2),0))))</ns0:f>
      </ns0:c>
      <ns0:c r="R39" s="114">
        <ns0:f>IF(COUNTA($A39:$M39)=0,"",IF(OR($U39="Subscription",$U39=""),"",IF($U39="Estimate","N/A",IF($U39="Draw",$H39,0))))</ns0:f>
      </ns0:c>
      <ns0:c r="S39" s="114">
        <ns0:f>IF(COUNTA($A39:$M39)=0,"",IF(OR($U39="Subscription",$U39=""),"",IF($U39="Estimate","N/A",IF($U39="Disqualified",$H39,0))))</ns0:f>
      </ns0:c>
      <ns0:c r="T39" s="955">
        <ns0:f>IF(COUNTA($A39:$M39)=0,"",IF(OR($U39="Subscription",$U39=""),"",IF($U39="Estimate","N/A",IF(OR($U39="Free Game",$U39="Disqualified — Free Game",$H39=0),"N/A",IF($U39="Profit",$Q39/$H39,IF($U39="Disqualified",-$S39/$H39,0))))))</ns0:f>
      </ns0:c>
      <ns0:c r="U39" s="920">
        <ns0:f>IF(COUNTA($A39:$M39)=0,"",IF(OR(LEFT(LOWER(TRIM($F39&amp;"")),12)="subscription",LOWER(TRIM($F39&amp;""))="membership"),"Subscription",IF(LOWER(TRIM($D39&amp;""))="estimate","Estimate",IF(OR(AND($H39&lt;&gt;"",$H39=0),LEFT(LOWER(TRIM($F39&amp;"")),9)="free game",LOWER(TRIM($F39&amp;""))="free",LOWER(TRIM($F39&amp;""))="free entry"),IF(LOWER($L39&amp;"")="yes","Disqualified — Free Game","Free Game"),IF(LOWER($L39&amp;"")="yes","Disqualified",IF($P39="","",IF(ROUND(IFERROR(VALUE($P39),0)-IFERROR(VALUE($H39),0),2)&gt;0,"Profit","Draw")))))))</ns0:f>
      </ns0:c>
      <ns0:c r="V39" s="956" t="str">
        <ns0:f>IF(COUNTA($A39:$M39)=0,"",IF(OR($B39="",$C39="",$U39="Subscription"),"",IFERROR(ROUNDUP(($C39-$B39)/7,0),"")))</ns0:f>
      </ns0:c>
      <ns0:c r="W39" s="114">
        <ns0:f>IF(COUNTA($A39:$M39)=0,"",IF(OR($U39="Subscription",$U39=""),"",IF($U39="Estimate","N/A",IF(OR($U39="Free Game",$U39="Disqualified — Free Game"),0,ROUND(IFERROR($Q39,0)-IFERROR($S39,0),2)))))</ns0:f>
      </ns0:c>
      <ns0:c r="X39" s="956" t="str">
        <ns0:f>IF(COUNTA($A39:$M39)=0,"",IF(OR($U39="Subscription",NOT(ISNUMBER($J39)),NOT(ISNUMBER($I39)),$J39=0,$I39=0,$I39&gt;$J39),"",$J39-$I39))</ns0:f>
      </ns0:c>
      <ns0:c r="Y39" s="955" t="str">
        <ns0:f>IF(COUNTA($A39:$M39)=0,"",IF(OR($U39="Subscription",NOT(ISNUMBER($J39)),$J39=0,$X39=""),"",$X39/$J39))</ns0:f>
      </ns0:c>
      <ns0:c r="Z39" s="957" t="str">
        <ns0:f>IF(COUNTA($A39:$M39)=0,"",Instructions!$B$29+SUM($W$5:W39))</ns0:f>
      </ns0:c>
    </ns0:row>
    <ns0:row r="40" ht="36" customHeight="1">
      <ns0:c r="A40" s="439"/>
      <ns0:c r="B40" s="453"/>
      <ns0:c r="C40" s="453"/>
      <ns0:c r="D40" s="454"/>
      <ns0:c r="E40" s="454"/>
      <ns0:c r="F40" s="454"/>
      <ns0:c r="G40" s="986"/>
      <ns0:c r="H40" s="455"/>
      <ns0:c r="I40" s="456"/>
      <ns0:c r="J40" s="456"/>
      <ns0:c r="K40" s="986"/>
      <ns0:c r="L40" s="454"/>
      <ns0:c r="M40" s="439"/>
      <ns0:c r="N40" s="987" t="str">
        <ns0:f>IF(COUNTA($A40:$M40)=0,"",IF(OR(LEFT(LOWER(TRIM($F40&amp;"")),12)="subscription",LOWER(TRIM($F40&amp;""))="membership"),"",IF(OR(AND($H40&lt;&gt;"",$H40=0),LEFT(LOWER(TRIM($F40&amp;"")),9)="free game",LOWER(TRIM($F40&amp;""))="free",LOWER(TRIM($F40&amp;""))="free entry"),IF(ISNUMBER($G40),IF(ISNUMBER(SEARCH("non",LOWER($E40&amp;""))),$G40*0.85,$G40),"N/A"),IF($G40="","",IFERROR(IF(ISNUMBER(SEARCH("non",LOWER($E40&amp;""))),$G40*0.85,$G40),"")))))</ns0:f>
        <ns0:v/>
      </ns0:c>
      <ns0:c r="O40" s="987" t="str">
        <ns0:f>IF(COUNTA($A40:$M40)=0,"",IF(OR(LEFT(LOWER(TRIM($F40&amp;"")),12)="subscription",LOWER(TRIM($F40&amp;""))="membership"),"",IF(OR(AND($H40&lt;&gt;"",$H40=0),LEFT(LOWER(TRIM($F40&amp;"")),9)="free game",LOWER(TRIM($F40&amp;""))="free",LOWER(TRIM($F40&amp;""))="free entry"),IF(OR(NOT(ISNUMBER($N40)),NOT(ISNUMBER($I40)),$I40=0),"N/A",IFERROR($N40/$I40,"N/A")),IF(OR($N40="",$I40="",$I40=0),"",IFERROR($N40/$I40,"")))))</ns0:f>
        <ns0:v/>
      </ns0:c>
      <ns0:c r="P40" s="987">
        <ns0:f>IF(COUNTA($A40:$M40)=0,"",IF(OR(LEFT(LOWER(TRIM($F40&amp;"")),12)="subscription",LOWER(TRIM($F40&amp;""))="membership"),"",IF(LOWER(TRIM($D40&amp;""))="estimate","N/A",IF(LOWER($L40&amp;"")="yes",0,IF(OR(AND($H40&lt;&gt;"",$H40=0),LEFT(LOWER(TRIM($F40&amp;"")),9)="free game",LOWER(TRIM($F40&amp;""))="free",LOWER(TRIM($F40&amp;""))="free entry"),IF(ISNUMBER($K40),$K40,""),IF($K40&lt;&gt;"",$K40,""))))))</ns0:f>
      </ns0:c>
      <ns0:c r="Q40" s="114">
        <ns0:f>IF(COUNTA($A40:$M40)=0,"",IF(OR($U40="Subscription",$U40=""),"",IF($U40="Estimate","N/A",IF($U40="Profit",ROUND(IFERROR($P40,0)-IFERROR($H40,0),2),0))))</ns0:f>
      </ns0:c>
      <ns0:c r="R40" s="114">
        <ns0:f>IF(COUNTA($A40:$M40)=0,"",IF(OR($U40="Subscription",$U40=""),"",IF($U40="Estimate","N/A",IF($U40="Draw",$H40,0))))</ns0:f>
      </ns0:c>
      <ns0:c r="S40" s="114">
        <ns0:f>IF(COUNTA($A40:$M40)=0,"",IF(OR($U40="Subscription",$U40=""),"",IF($U40="Estimate","N/A",IF($U40="Disqualified",$H40,0))))</ns0:f>
      </ns0:c>
      <ns0:c r="T40" s="955">
        <ns0:f>IF(COUNTA($A40:$M40)=0,"",IF(OR($U40="Subscription",$U40=""),"",IF($U40="Estimate","N/A",IF(OR($U40="Free Game",$U40="Disqualified — Free Game",$H40=0),"N/A",IF($U40="Profit",$Q40/$H40,IF($U40="Disqualified",-$S40/$H40,0))))))</ns0:f>
      </ns0:c>
      <ns0:c r="U40" s="920">
        <ns0:f>IF(COUNTA($A40:$M40)=0,"",IF(OR(LEFT(LOWER(TRIM($F40&amp;"")),12)="subscription",LOWER(TRIM($F40&amp;""))="membership"),"Subscription",IF(LOWER(TRIM($D40&amp;""))="estimate","Estimate",IF(OR(AND($H40&lt;&gt;"",$H40=0),LEFT(LOWER(TRIM($F40&amp;"")),9)="free game",LOWER(TRIM($F40&amp;""))="free",LOWER(TRIM($F40&amp;""))="free entry"),IF(LOWER($L40&amp;"")="yes","Disqualified — Free Game","Free Game"),IF(LOWER($L40&amp;"")="yes","Disqualified",IF($P40="","",IF(ROUND(IFERROR(VALUE($P40),0)-IFERROR(VALUE($H40),0),2)&gt;0,"Profit","Draw")))))))</ns0:f>
      </ns0:c>
      <ns0:c r="V40" s="956" t="str">
        <ns0:f>IF(COUNTA($A40:$M40)=0,"",IF(OR($B40="",$C40="",$U40="Subscription"),"",IFERROR(ROUNDUP(($C40-$B40)/7,0),"")))</ns0:f>
      </ns0:c>
      <ns0:c r="W40" s="114">
        <ns0:f>IF(COUNTA($A40:$M40)=0,"",IF(OR($U40="Subscription",$U40=""),"",IF($U40="Estimate","N/A",IF(OR($U40="Free Game",$U40="Disqualified — Free Game"),0,ROUND(IFERROR($Q40,0)-IFERROR($S40,0),2)))))</ns0:f>
      </ns0:c>
      <ns0:c r="X40" s="956" t="str">
        <ns0:f>IF(COUNTA($A40:$M40)=0,"",IF(OR($U40="Subscription",NOT(ISNUMBER($J40)),NOT(ISNUMBER($I40)),$J40=0,$I40=0,$I40&gt;$J40),"",$J40-$I40))</ns0:f>
      </ns0:c>
      <ns0:c r="Y40" s="955" t="str">
        <ns0:f>IF(COUNTA($A40:$M40)=0,"",IF(OR($U40="Subscription",NOT(ISNUMBER($J40)),$J40=0,$X40=""),"",$X40/$J40))</ns0:f>
      </ns0:c>
      <ns0:c r="Z40" s="957" t="str">
        <ns0:f>IF(COUNTA($A40:$M40)=0,"",Instructions!$B$29+SUM($W$5:W40))</ns0:f>
      </ns0:c>
    </ns0:row>
    <ns0:row r="41" ht="36" customHeight="1">
      <ns0:c r="A41" s="439"/>
      <ns0:c r="B41" s="453"/>
      <ns0:c r="C41" s="453"/>
      <ns0:c r="D41" s="454"/>
      <ns0:c r="E41" s="454"/>
      <ns0:c r="F41" s="454"/>
      <ns0:c r="G41" s="986"/>
      <ns0:c r="H41" s="455"/>
      <ns0:c r="I41" s="456"/>
      <ns0:c r="J41" s="456"/>
      <ns0:c r="K41" s="986"/>
      <ns0:c r="L41" s="454"/>
      <ns0:c r="M41" s="439"/>
      <ns0:c r="N41" s="987" t="str">
        <ns0:f>IF(COUNTA($A41:$M41)=0,"",IF(OR(LEFT(LOWER(TRIM($F41&amp;"")),12)="subscription",LOWER(TRIM($F41&amp;""))="membership"),"",IF(OR(AND($H41&lt;&gt;"",$H41=0),LEFT(LOWER(TRIM($F41&amp;"")),9)="free game",LOWER(TRIM($F41&amp;""))="free",LOWER(TRIM($F41&amp;""))="free entry"),IF(ISNUMBER($G41),IF(ISNUMBER(SEARCH("non",LOWER($E41&amp;""))),$G41*0.85,$G41),"N/A"),IF($G41="","",IFERROR(IF(ISNUMBER(SEARCH("non",LOWER($E41&amp;""))),$G41*0.85,$G41),"")))))</ns0:f>
        <ns0:v/>
      </ns0:c>
      <ns0:c r="O41" s="987" t="str">
        <ns0:f>IF(COUNTA($A41:$M41)=0,"",IF(OR(LEFT(LOWER(TRIM($F41&amp;"")),12)="subscription",LOWER(TRIM($F41&amp;""))="membership"),"",IF(OR(AND($H41&lt;&gt;"",$H41=0),LEFT(LOWER(TRIM($F41&amp;"")),9)="free game",LOWER(TRIM($F41&amp;""))="free",LOWER(TRIM($F41&amp;""))="free entry"),IF(OR(NOT(ISNUMBER($N41)),NOT(ISNUMBER($I41)),$I41=0),"N/A",IFERROR($N41/$I41,"N/A")),IF(OR($N41="",$I41="",$I41=0),"",IFERROR($N41/$I41,"")))))</ns0:f>
        <ns0:v/>
      </ns0:c>
      <ns0:c r="P41" s="987">
        <ns0:f>IF(COUNTA($A41:$M41)=0,"",IF(OR(LEFT(LOWER(TRIM($F41&amp;"")),12)="subscription",LOWER(TRIM($F41&amp;""))="membership"),"",IF(LOWER(TRIM($D41&amp;""))="estimate","N/A",IF(LOWER($L41&amp;"")="yes",0,IF(OR(AND($H41&lt;&gt;"",$H41=0),LEFT(LOWER(TRIM($F41&amp;"")),9)="free game",LOWER(TRIM($F41&amp;""))="free",LOWER(TRIM($F41&amp;""))="free entry"),IF(ISNUMBER($K41),$K41,""),IF($K41&lt;&gt;"",$K41,""))))))</ns0:f>
      </ns0:c>
      <ns0:c r="Q41" s="114">
        <ns0:f>IF(COUNTA($A41:$M41)=0,"",IF(OR($U41="Subscription",$U41=""),"",IF($U41="Estimate","N/A",IF($U41="Profit",ROUND(IFERROR($P41,0)-IFERROR($H41,0),2),0))))</ns0:f>
      </ns0:c>
      <ns0:c r="R41" s="114">
        <ns0:f>IF(COUNTA($A41:$M41)=0,"",IF(OR($U41="Subscription",$U41=""),"",IF($U41="Estimate","N/A",IF($U41="Draw",$H41,0))))</ns0:f>
      </ns0:c>
      <ns0:c r="S41" s="114">
        <ns0:f>IF(COUNTA($A41:$M41)=0,"",IF(OR($U41="Subscription",$U41=""),"",IF($U41="Estimate","N/A",IF($U41="Disqualified",$H41,0))))</ns0:f>
      </ns0:c>
      <ns0:c r="T41" s="955">
        <ns0:f>IF(COUNTA($A41:$M41)=0,"",IF(OR($U41="Subscription",$U41=""),"",IF($U41="Estimate","N/A",IF(OR($U41="Free Game",$U41="Disqualified — Free Game",$H41=0),"N/A",IF($U41="Profit",$Q41/$H41,IF($U41="Disqualified",-$S41/$H41,0))))))</ns0:f>
      </ns0:c>
      <ns0:c r="U41" s="920">
        <ns0:f>IF(COUNTA($A41:$M41)=0,"",IF(OR(LEFT(LOWER(TRIM($F41&amp;"")),12)="subscription",LOWER(TRIM($F41&amp;""))="membership"),"Subscription",IF(LOWER(TRIM($D41&amp;""))="estimate","Estimate",IF(OR(AND($H41&lt;&gt;"",$H41=0),LEFT(LOWER(TRIM($F41&amp;"")),9)="free game",LOWER(TRIM($F41&amp;""))="free",LOWER(TRIM($F41&amp;""))="free entry"),IF(LOWER($L41&amp;"")="yes","Disqualified — Free Game","Free Game"),IF(LOWER($L41&amp;"")="yes","Disqualified",IF($P41="","",IF(ROUND(IFERROR(VALUE($P41),0)-IFERROR(VALUE($H41),0),2)&gt;0,"Profit","Draw")))))))</ns0:f>
      </ns0:c>
      <ns0:c r="V41" s="956" t="str">
        <ns0:f>IF(COUNTA($A41:$M41)=0,"",IF(OR($B41="",$C41="",$U41="Subscription"),"",IFERROR(ROUNDUP(($C41-$B41)/7,0),"")))</ns0:f>
      </ns0:c>
      <ns0:c r="W41" s="114">
        <ns0:f>IF(COUNTA($A41:$M41)=0,"",IF(OR($U41="Subscription",$U41=""),"",IF($U41="Estimate","N/A",IF(OR($U41="Free Game",$U41="Disqualified — Free Game"),0,ROUND(IFERROR($Q41,0)-IFERROR($S41,0),2)))))</ns0:f>
      </ns0:c>
      <ns0:c r="X41" s="956" t="str">
        <ns0:f>IF(COUNTA($A41:$M41)=0,"",IF(OR($U41="Subscription",NOT(ISNUMBER($J41)),NOT(ISNUMBER($I41)),$J41=0,$I41=0,$I41&gt;$J41),"",$J41-$I41))</ns0:f>
      </ns0:c>
      <ns0:c r="Y41" s="955" t="str">
        <ns0:f>IF(COUNTA($A41:$M41)=0,"",IF(OR($U41="Subscription",NOT(ISNUMBER($J41)),$J41=0,$X41=""),"",$X41/$J41))</ns0:f>
      </ns0:c>
      <ns0:c r="Z41" s="957" t="str">
        <ns0:f>IF(COUNTA($A41:$M41)=0,"",Instructions!$B$29+SUM($W$5:W41))</ns0:f>
      </ns0:c>
    </ns0:row>
    <ns0:row r="42" ht="36" customHeight="1">
      <ns0:c r="A42" s="439"/>
      <ns0:c r="B42" s="453"/>
      <ns0:c r="C42" s="453"/>
      <ns0:c r="D42" s="454"/>
      <ns0:c r="E42" s="454"/>
      <ns0:c r="F42" s="454"/>
      <ns0:c r="G42" s="986"/>
      <ns0:c r="H42" s="455"/>
      <ns0:c r="I42" s="456"/>
      <ns0:c r="J42" s="456"/>
      <ns0:c r="K42" s="986"/>
      <ns0:c r="L42" s="454"/>
      <ns0:c r="M42" s="439"/>
      <ns0:c r="N42" s="987" t="str">
        <ns0:f>IF(COUNTA($A42:$M42)=0,"",IF(OR(LEFT(LOWER(TRIM($F42&amp;"")),12)="subscription",LOWER(TRIM($F42&amp;""))="membership"),"",IF(OR(AND($H42&lt;&gt;"",$H42=0),LEFT(LOWER(TRIM($F42&amp;"")),9)="free game",LOWER(TRIM($F42&amp;""))="free",LOWER(TRIM($F42&amp;""))="free entry"),IF(ISNUMBER($G42),IF(ISNUMBER(SEARCH("non",LOWER($E42&amp;""))),$G42*0.85,$G42),"N/A"),IF($G42="","",IFERROR(IF(ISNUMBER(SEARCH("non",LOWER($E42&amp;""))),$G42*0.85,$G42),"")))))</ns0:f>
        <ns0:v/>
      </ns0:c>
      <ns0:c r="O42" s="987" t="str">
        <ns0:f>IF(COUNTA($A42:$M42)=0,"",IF(OR(LEFT(LOWER(TRIM($F42&amp;"")),12)="subscription",LOWER(TRIM($F42&amp;""))="membership"),"",IF(OR(AND($H42&lt;&gt;"",$H42=0),LEFT(LOWER(TRIM($F42&amp;"")),9)="free game",LOWER(TRIM($F42&amp;""))="free",LOWER(TRIM($F42&amp;""))="free entry"),IF(OR(NOT(ISNUMBER($N42)),NOT(ISNUMBER($I42)),$I42=0),"N/A",IFERROR($N42/$I42,"N/A")),IF(OR($N42="",$I42="",$I42=0),"",IFERROR($N42/$I42,"")))))</ns0:f>
        <ns0:v/>
      </ns0:c>
      <ns0:c r="P42" s="987">
        <ns0:f>IF(COUNTA($A42:$M42)=0,"",IF(OR(LEFT(LOWER(TRIM($F42&amp;"")),12)="subscription",LOWER(TRIM($F42&amp;""))="membership"),"",IF(LOWER(TRIM($D42&amp;""))="estimate","N/A",IF(LOWER($L42&amp;"")="yes",0,IF(OR(AND($H42&lt;&gt;"",$H42=0),LEFT(LOWER(TRIM($F42&amp;"")),9)="free game",LOWER(TRIM($F42&amp;""))="free",LOWER(TRIM($F42&amp;""))="free entry"),IF(ISNUMBER($K42),$K42,""),IF($K42&lt;&gt;"",$K42,""))))))</ns0:f>
      </ns0:c>
      <ns0:c r="Q42" s="114">
        <ns0:f>IF(COUNTA($A42:$M42)=0,"",IF(OR($U42="Subscription",$U42=""),"",IF($U42="Estimate","N/A",IF($U42="Profit",ROUND(IFERROR($P42,0)-IFERROR($H42,0),2),0))))</ns0:f>
      </ns0:c>
      <ns0:c r="R42" s="114">
        <ns0:f>IF(COUNTA($A42:$M42)=0,"",IF(OR($U42="Subscription",$U42=""),"",IF($U42="Estimate","N/A",IF($U42="Draw",$H42,0))))</ns0:f>
      </ns0:c>
      <ns0:c r="S42" s="114">
        <ns0:f>IF(COUNTA($A42:$M42)=0,"",IF(OR($U42="Subscription",$U42=""),"",IF($U42="Estimate","N/A",IF($U42="Disqualified",$H42,0))))</ns0:f>
      </ns0:c>
      <ns0:c r="T42" s="955">
        <ns0:f>IF(COUNTA($A42:$M42)=0,"",IF(OR($U42="Subscription",$U42=""),"",IF($U42="Estimate","N/A",IF(OR($U42="Free Game",$U42="Disqualified — Free Game",$H42=0),"N/A",IF($U42="Profit",$Q42/$H42,IF($U42="Disqualified",-$S42/$H42,0))))))</ns0:f>
      </ns0:c>
      <ns0:c r="U42" s="920">
        <ns0:f>IF(COUNTA($A42:$M42)=0,"",IF(OR(LEFT(LOWER(TRIM($F42&amp;"")),12)="subscription",LOWER(TRIM($F42&amp;""))="membership"),"Subscription",IF(LOWER(TRIM($D42&amp;""))="estimate","Estimate",IF(OR(AND($H42&lt;&gt;"",$H42=0),LEFT(LOWER(TRIM($F42&amp;"")),9)="free game",LOWER(TRIM($F42&amp;""))="free",LOWER(TRIM($F42&amp;""))="free entry"),IF(LOWER($L42&amp;"")="yes","Disqualified — Free Game","Free Game"),IF(LOWER($L42&amp;"")="yes","Disqualified",IF($P42="","",IF(ROUND(IFERROR(VALUE($P42),0)-IFERROR(VALUE($H42),0),2)&gt;0,"Profit","Draw")))))))</ns0:f>
      </ns0:c>
      <ns0:c r="V42" s="956" t="str">
        <ns0:f>IF(COUNTA($A42:$M42)=0,"",IF(OR($B42="",$C42="",$U42="Subscription"),"",IFERROR(ROUNDUP(($C42-$B42)/7,0),"")))</ns0:f>
      </ns0:c>
      <ns0:c r="W42" s="114">
        <ns0:f>IF(COUNTA($A42:$M42)=0,"",IF(OR($U42="Subscription",$U42=""),"",IF($U42="Estimate","N/A",IF(OR($U42="Free Game",$U42="Disqualified — Free Game"),0,ROUND(IFERROR($Q42,0)-IFERROR($S42,0),2)))))</ns0:f>
      </ns0:c>
      <ns0:c r="X42" s="956" t="str">
        <ns0:f>IF(COUNTA($A42:$M42)=0,"",IF(OR($U42="Subscription",NOT(ISNUMBER($J42)),NOT(ISNUMBER($I42)),$J42=0,$I42=0,$I42&gt;$J42),"",$J42-$I42))</ns0:f>
      </ns0:c>
      <ns0:c r="Y42" s="955" t="str">
        <ns0:f>IF(COUNTA($A42:$M42)=0,"",IF(OR($U42="Subscription",NOT(ISNUMBER($J42)),$J42=0,$X42=""),"",$X42/$J42))</ns0:f>
      </ns0:c>
      <ns0:c r="Z42" s="957" t="str">
        <ns0:f>IF(COUNTA($A42:$M42)=0,"",Instructions!$B$29+SUM($W$5:W42))</ns0:f>
      </ns0:c>
    </ns0:row>
    <ns0:row r="43" ht="36" customHeight="1">
      <ns0:c r="A43" s="439"/>
      <ns0:c r="B43" s="453"/>
      <ns0:c r="C43" s="453"/>
      <ns0:c r="D43" s="454"/>
      <ns0:c r="E43" s="454"/>
      <ns0:c r="F43" s="454"/>
      <ns0:c r="G43" s="986"/>
      <ns0:c r="H43" s="455"/>
      <ns0:c r="I43" s="456"/>
      <ns0:c r="J43" s="456"/>
      <ns0:c r="K43" s="986"/>
      <ns0:c r="L43" s="454"/>
      <ns0:c r="M43" s="439"/>
      <ns0:c r="N43" s="987" t="str">
        <ns0:f>IF(COUNTA($A43:$M43)=0,"",IF(OR(LEFT(LOWER(TRIM($F43&amp;"")),12)="subscription",LOWER(TRIM($F43&amp;""))="membership"),"",IF(OR(AND($H43&lt;&gt;"",$H43=0),LEFT(LOWER(TRIM($F43&amp;"")),9)="free game",LOWER(TRIM($F43&amp;""))="free",LOWER(TRIM($F43&amp;""))="free entry"),IF(ISNUMBER($G43),IF(ISNUMBER(SEARCH("non",LOWER($E43&amp;""))),$G43*0.85,$G43),"N/A"),IF($G43="","",IFERROR(IF(ISNUMBER(SEARCH("non",LOWER($E43&amp;""))),$G43*0.85,$G43),"")))))</ns0:f>
        <ns0:v/>
      </ns0:c>
      <ns0:c r="O43" s="987" t="str">
        <ns0:f>IF(COUNTA($A43:$M43)=0,"",IF(OR(LEFT(LOWER(TRIM($F43&amp;"")),12)="subscription",LOWER(TRIM($F43&amp;""))="membership"),"",IF(OR(AND($H43&lt;&gt;"",$H43=0),LEFT(LOWER(TRIM($F43&amp;"")),9)="free game",LOWER(TRIM($F43&amp;""))="free",LOWER(TRIM($F43&amp;""))="free entry"),IF(OR(NOT(ISNUMBER($N43)),NOT(ISNUMBER($I43)),$I43=0),"N/A",IFERROR($N43/$I43,"N/A")),IF(OR($N43="",$I43="",$I43=0),"",IFERROR($N43/$I43,"")))))</ns0:f>
        <ns0:v/>
      </ns0:c>
      <ns0:c r="P43" s="987">
        <ns0:f>IF(COUNTA($A43:$M43)=0,"",IF(OR(LEFT(LOWER(TRIM($F43&amp;"")),12)="subscription",LOWER(TRIM($F43&amp;""))="membership"),"",IF(LOWER(TRIM($D43&amp;""))="estimate","N/A",IF(LOWER($L43&amp;"")="yes",0,IF(OR(AND($H43&lt;&gt;"",$H43=0),LEFT(LOWER(TRIM($F43&amp;"")),9)="free game",LOWER(TRIM($F43&amp;""))="free",LOWER(TRIM($F43&amp;""))="free entry"),IF(ISNUMBER($K43),$K43,""),IF($K43&lt;&gt;"",$K43,""))))))</ns0:f>
      </ns0:c>
      <ns0:c r="Q43" s="114">
        <ns0:f>IF(COUNTA($A43:$M43)=0,"",IF(OR($U43="Subscription",$U43=""),"",IF($U43="Estimate","N/A",IF($U43="Profit",ROUND(IFERROR($P43,0)-IFERROR($H43,0),2),0))))</ns0:f>
      </ns0:c>
      <ns0:c r="R43" s="114">
        <ns0:f>IF(COUNTA($A43:$M43)=0,"",IF(OR($U43="Subscription",$U43=""),"",IF($U43="Estimate","N/A",IF($U43="Draw",$H43,0))))</ns0:f>
      </ns0:c>
      <ns0:c r="S43" s="114">
        <ns0:f>IF(COUNTA($A43:$M43)=0,"",IF(OR($U43="Subscription",$U43=""),"",IF($U43="Estimate","N/A",IF($U43="Disqualified",$H43,0))))</ns0:f>
      </ns0:c>
      <ns0:c r="T43" s="955">
        <ns0:f>IF(COUNTA($A43:$M43)=0,"",IF(OR($U43="Subscription",$U43=""),"",IF($U43="Estimate","N/A",IF(OR($U43="Free Game",$U43="Disqualified — Free Game",$H43=0),"N/A",IF($U43="Profit",$Q43/$H43,IF($U43="Disqualified",-$S43/$H43,0))))))</ns0:f>
      </ns0:c>
      <ns0:c r="U43" s="920">
        <ns0:f>IF(COUNTA($A43:$M43)=0,"",IF(OR(LEFT(LOWER(TRIM($F43&amp;"")),12)="subscription",LOWER(TRIM($F43&amp;""))="membership"),"Subscription",IF(LOWER(TRIM($D43&amp;""))="estimate","Estimate",IF(OR(AND($H43&lt;&gt;"",$H43=0),LEFT(LOWER(TRIM($F43&amp;"")),9)="free game",LOWER(TRIM($F43&amp;""))="free",LOWER(TRIM($F43&amp;""))="free entry"),IF(LOWER($L43&amp;"")="yes","Disqualified — Free Game","Free Game"),IF(LOWER($L43&amp;"")="yes","Disqualified",IF($P43="","",IF(ROUND(IFERROR(VALUE($P43),0)-IFERROR(VALUE($H43),0),2)&gt;0,"Profit","Draw")))))))</ns0:f>
      </ns0:c>
      <ns0:c r="V43" s="956" t="str">
        <ns0:f>IF(COUNTA($A43:$M43)=0,"",IF(OR($B43="",$C43="",$U43="Subscription"),"",IFERROR(ROUNDUP(($C43-$B43)/7,0),"")))</ns0:f>
      </ns0:c>
      <ns0:c r="W43" s="114">
        <ns0:f>IF(COUNTA($A43:$M43)=0,"",IF(OR($U43="Subscription",$U43=""),"",IF($U43="Estimate","N/A",IF(OR($U43="Free Game",$U43="Disqualified — Free Game"),0,ROUND(IFERROR($Q43,0)-IFERROR($S43,0),2)))))</ns0:f>
      </ns0:c>
      <ns0:c r="X43" s="956" t="str">
        <ns0:f>IF(COUNTA($A43:$M43)=0,"",IF(OR($U43="Subscription",NOT(ISNUMBER($J43)),NOT(ISNUMBER($I43)),$J43=0,$I43=0,$I43&gt;$J43),"",$J43-$I43))</ns0:f>
      </ns0:c>
      <ns0:c r="Y43" s="955" t="str">
        <ns0:f>IF(COUNTA($A43:$M43)=0,"",IF(OR($U43="Subscription",NOT(ISNUMBER($J43)),$J43=0,$X43=""),"",$X43/$J43))</ns0:f>
      </ns0:c>
      <ns0:c r="Z43" s="957" t="str">
        <ns0:f>IF(COUNTA($A43:$M43)=0,"",Instructions!$B$29+SUM($W$5:W43))</ns0:f>
      </ns0:c>
    </ns0:row>
    <ns0:row r="44" ht="36" customHeight="1">
      <ns0:c r="A44" s="439"/>
      <ns0:c r="B44" s="453"/>
      <ns0:c r="C44" s="453"/>
      <ns0:c r="D44" s="454"/>
      <ns0:c r="E44" s="454"/>
      <ns0:c r="F44" s="454"/>
      <ns0:c r="G44" s="986"/>
      <ns0:c r="H44" s="455"/>
      <ns0:c r="I44" s="456"/>
      <ns0:c r="J44" s="456"/>
      <ns0:c r="K44" s="986"/>
      <ns0:c r="L44" s="454"/>
      <ns0:c r="M44" s="439"/>
      <ns0:c r="N44" s="987" t="str">
        <ns0:f>IF(COUNTA($A44:$M44)=0,"",IF(OR(LEFT(LOWER(TRIM($F44&amp;"")),12)="subscription",LOWER(TRIM($F44&amp;""))="membership"),"",IF(OR(AND($H44&lt;&gt;"",$H44=0),LEFT(LOWER(TRIM($F44&amp;"")),9)="free game",LOWER(TRIM($F44&amp;""))="free",LOWER(TRIM($F44&amp;""))="free entry"),IF(ISNUMBER($G44),IF(ISNUMBER(SEARCH("non",LOWER($E44&amp;""))),$G44*0.85,$G44),"N/A"),IF($G44="","",IFERROR(IF(ISNUMBER(SEARCH("non",LOWER($E44&amp;""))),$G44*0.85,$G44),"")))))</ns0:f>
        <ns0:v/>
      </ns0:c>
      <ns0:c r="O44" s="987" t="str">
        <ns0:f>IF(COUNTA($A44:$M44)=0,"",IF(OR(LEFT(LOWER(TRIM($F44&amp;"")),12)="subscription",LOWER(TRIM($F44&amp;""))="membership"),"",IF(OR(AND($H44&lt;&gt;"",$H44=0),LEFT(LOWER(TRIM($F44&amp;"")),9)="free game",LOWER(TRIM($F44&amp;""))="free",LOWER(TRIM($F44&amp;""))="free entry"),IF(OR(NOT(ISNUMBER($N44)),NOT(ISNUMBER($I44)),$I44=0),"N/A",IFERROR($N44/$I44,"N/A")),IF(OR($N44="",$I44="",$I44=0),"",IFERROR($N44/$I44,"")))))</ns0:f>
        <ns0:v/>
      </ns0:c>
      <ns0:c r="P44" s="987">
        <ns0:f>IF(COUNTA($A44:$M44)=0,"",IF(OR(LEFT(LOWER(TRIM($F44&amp;"")),12)="subscription",LOWER(TRIM($F44&amp;""))="membership"),"",IF(LOWER(TRIM($D44&amp;""))="estimate","N/A",IF(LOWER($L44&amp;"")="yes",0,IF(OR(AND($H44&lt;&gt;"",$H44=0),LEFT(LOWER(TRIM($F44&amp;"")),9)="free game",LOWER(TRIM($F44&amp;""))="free",LOWER(TRIM($F44&amp;""))="free entry"),IF(ISNUMBER($K44),$K44,""),IF($K44&lt;&gt;"",$K44,""))))))</ns0:f>
      </ns0:c>
      <ns0:c r="Q44" s="114">
        <ns0:f>IF(COUNTA($A44:$M44)=0,"",IF(OR($U44="Subscription",$U44=""),"",IF($U44="Estimate","N/A",IF($U44="Profit",ROUND(IFERROR($P44,0)-IFERROR($H44,0),2),0))))</ns0:f>
      </ns0:c>
      <ns0:c r="R44" s="114">
        <ns0:f>IF(COUNTA($A44:$M44)=0,"",IF(OR($U44="Subscription",$U44=""),"",IF($U44="Estimate","N/A",IF($U44="Draw",$H44,0))))</ns0:f>
      </ns0:c>
      <ns0:c r="S44" s="114">
        <ns0:f>IF(COUNTA($A44:$M44)=0,"",IF(OR($U44="Subscription",$U44=""),"",IF($U44="Estimate","N/A",IF($U44="Disqualified",$H44,0))))</ns0:f>
      </ns0:c>
      <ns0:c r="T44" s="955">
        <ns0:f>IF(COUNTA($A44:$M44)=0,"",IF(OR($U44="Subscription",$U44=""),"",IF($U44="Estimate","N/A",IF(OR($U44="Free Game",$U44="Disqualified — Free Game",$H44=0),"N/A",IF($U44="Profit",$Q44/$H44,IF($U44="Disqualified",-$S44/$H44,0))))))</ns0:f>
      </ns0:c>
      <ns0:c r="U44" s="920">
        <ns0:f>IF(COUNTA($A44:$M44)=0,"",IF(OR(LEFT(LOWER(TRIM($F44&amp;"")),12)="subscription",LOWER(TRIM($F44&amp;""))="membership"),"Subscription",IF(LOWER(TRIM($D44&amp;""))="estimate","Estimate",IF(OR(AND($H44&lt;&gt;"",$H44=0),LEFT(LOWER(TRIM($F44&amp;"")),9)="free game",LOWER(TRIM($F44&amp;""))="free",LOWER(TRIM($F44&amp;""))="free entry"),IF(LOWER($L44&amp;"")="yes","Disqualified — Free Game","Free Game"),IF(LOWER($L44&amp;"")="yes","Disqualified",IF($P44="","",IF(ROUND(IFERROR(VALUE($P44),0)-IFERROR(VALUE($H44),0),2)&gt;0,"Profit","Draw")))))))</ns0:f>
      </ns0:c>
      <ns0:c r="V44" s="956" t="str">
        <ns0:f>IF(COUNTA($A44:$M44)=0,"",IF(OR($B44="",$C44="",$U44="Subscription"),"",IFERROR(ROUNDUP(($C44-$B44)/7,0),"")))</ns0:f>
      </ns0:c>
      <ns0:c r="W44" s="114">
        <ns0:f>IF(COUNTA($A44:$M44)=0,"",IF(OR($U44="Subscription",$U44=""),"",IF($U44="Estimate","N/A",IF(OR($U44="Free Game",$U44="Disqualified — Free Game"),0,ROUND(IFERROR($Q44,0)-IFERROR($S44,0),2)))))</ns0:f>
      </ns0:c>
      <ns0:c r="X44" s="956" t="str">
        <ns0:f>IF(COUNTA($A44:$M44)=0,"",IF(OR($U44="Subscription",NOT(ISNUMBER($J44)),NOT(ISNUMBER($I44)),$J44=0,$I44=0,$I44&gt;$J44),"",$J44-$I44))</ns0:f>
      </ns0:c>
      <ns0:c r="Y44" s="955" t="str">
        <ns0:f>IF(COUNTA($A44:$M44)=0,"",IF(OR($U44="Subscription",NOT(ISNUMBER($J44)),$J44=0,$X44=""),"",$X44/$J44))</ns0:f>
      </ns0:c>
      <ns0:c r="Z44" s="957" t="str">
        <ns0:f>IF(COUNTA($A44:$M44)=0,"",Instructions!$B$29+SUM($W$5:W44))</ns0:f>
      </ns0:c>
    </ns0:row>
    <ns0:row r="45" ht="36" customHeight="1">
      <ns0:c r="A45" s="439"/>
      <ns0:c r="B45" s="453"/>
      <ns0:c r="C45" s="453"/>
      <ns0:c r="D45" s="454"/>
      <ns0:c r="E45" s="454"/>
      <ns0:c r="F45" s="454"/>
      <ns0:c r="G45" s="986"/>
      <ns0:c r="H45" s="455"/>
      <ns0:c r="I45" s="456"/>
      <ns0:c r="J45" s="456"/>
      <ns0:c r="K45" s="986"/>
      <ns0:c r="L45" s="454"/>
      <ns0:c r="M45" s="439"/>
      <ns0:c r="N45" s="987" t="str">
        <ns0:f>IF(COUNTA($A45:$M45)=0,"",IF(OR(LEFT(LOWER(TRIM($F45&amp;"")),12)="subscription",LOWER(TRIM($F45&amp;""))="membership"),"",IF(OR(AND($H45&lt;&gt;"",$H45=0),LEFT(LOWER(TRIM($F45&amp;"")),9)="free game",LOWER(TRIM($F45&amp;""))="free",LOWER(TRIM($F45&amp;""))="free entry"),IF(ISNUMBER($G45),IF(ISNUMBER(SEARCH("non",LOWER($E45&amp;""))),$G45*0.85,$G45),"N/A"),IF($G45="","",IFERROR(IF(ISNUMBER(SEARCH("non",LOWER($E45&amp;""))),$G45*0.85,$G45),"")))))</ns0:f>
        <ns0:v/>
      </ns0:c>
      <ns0:c r="O45" s="987" t="str">
        <ns0:f>IF(COUNTA($A45:$M45)=0,"",IF(OR(LEFT(LOWER(TRIM($F45&amp;"")),12)="subscription",LOWER(TRIM($F45&amp;""))="membership"),"",IF(OR(AND($H45&lt;&gt;"",$H45=0),LEFT(LOWER(TRIM($F45&amp;"")),9)="free game",LOWER(TRIM($F45&amp;""))="free",LOWER(TRIM($F45&amp;""))="free entry"),IF(OR(NOT(ISNUMBER($N45)),NOT(ISNUMBER($I45)),$I45=0),"N/A",IFERROR($N45/$I45,"N/A")),IF(OR($N45="",$I45="",$I45=0),"",IFERROR($N45/$I45,"")))))</ns0:f>
        <ns0:v/>
      </ns0:c>
      <ns0:c r="P45" s="987">
        <ns0:f>IF(COUNTA($A45:$M45)=0,"",IF(OR(LEFT(LOWER(TRIM($F45&amp;"")),12)="subscription",LOWER(TRIM($F45&amp;""))="membership"),"",IF(LOWER(TRIM($D45&amp;""))="estimate","N/A",IF(LOWER($L45&amp;"")="yes",0,IF(OR(AND($H45&lt;&gt;"",$H45=0),LEFT(LOWER(TRIM($F45&amp;"")),9)="free game",LOWER(TRIM($F45&amp;""))="free",LOWER(TRIM($F45&amp;""))="free entry"),IF(ISNUMBER($K45),$K45,""),IF($K45&lt;&gt;"",$K45,""))))))</ns0:f>
      </ns0:c>
      <ns0:c r="Q45" s="114">
        <ns0:f>IF(COUNTA($A45:$M45)=0,"",IF(OR($U45="Subscription",$U45=""),"",IF($U45="Estimate","N/A",IF($U45="Profit",ROUND(IFERROR($P45,0)-IFERROR($H45,0),2),0))))</ns0:f>
      </ns0:c>
      <ns0:c r="R45" s="114">
        <ns0:f>IF(COUNTA($A45:$M45)=0,"",IF(OR($U45="Subscription",$U45=""),"",IF($U45="Estimate","N/A",IF($U45="Draw",$H45,0))))</ns0:f>
      </ns0:c>
      <ns0:c r="S45" s="114">
        <ns0:f>IF(COUNTA($A45:$M45)=0,"",IF(OR($U45="Subscription",$U45=""),"",IF($U45="Estimate","N/A",IF($U45="Disqualified",$H45,0))))</ns0:f>
      </ns0:c>
      <ns0:c r="T45" s="955">
        <ns0:f>IF(COUNTA($A45:$M45)=0,"",IF(OR($U45="Subscription",$U45=""),"",IF($U45="Estimate","N/A",IF(OR($U45="Free Game",$U45="Disqualified — Free Game",$H45=0),"N/A",IF($U45="Profit",$Q45/$H45,IF($U45="Disqualified",-$S45/$H45,0))))))</ns0:f>
      </ns0:c>
      <ns0:c r="U45" s="920">
        <ns0:f>IF(COUNTA($A45:$M45)=0,"",IF(OR(LEFT(LOWER(TRIM($F45&amp;"")),12)="subscription",LOWER(TRIM($F45&amp;""))="membership"),"Subscription",IF(LOWER(TRIM($D45&amp;""))="estimate","Estimate",IF(OR(AND($H45&lt;&gt;"",$H45=0),LEFT(LOWER(TRIM($F45&amp;"")),9)="free game",LOWER(TRIM($F45&amp;""))="free",LOWER(TRIM($F45&amp;""))="free entry"),IF(LOWER($L45&amp;"")="yes","Disqualified — Free Game","Free Game"),IF(LOWER($L45&amp;"")="yes","Disqualified",IF($P45="","",IF(ROUND(IFERROR(VALUE($P45),0)-IFERROR(VALUE($H45),0),2)&gt;0,"Profit","Draw")))))))</ns0:f>
      </ns0:c>
      <ns0:c r="V45" s="956" t="str">
        <ns0:f>IF(COUNTA($A45:$M45)=0,"",IF(OR($B45="",$C45="",$U45="Subscription"),"",IFERROR(ROUNDUP(($C45-$B45)/7,0),"")))</ns0:f>
      </ns0:c>
      <ns0:c r="W45" s="114">
        <ns0:f>IF(COUNTA($A45:$M45)=0,"",IF(OR($U45="Subscription",$U45=""),"",IF($U45="Estimate","N/A",IF(OR($U45="Free Game",$U45="Disqualified — Free Game"),0,ROUND(IFERROR($Q45,0)-IFERROR($S45,0),2)))))</ns0:f>
      </ns0:c>
      <ns0:c r="X45" s="956" t="str">
        <ns0:f>IF(COUNTA($A45:$M45)=0,"",IF(OR($U45="Subscription",NOT(ISNUMBER($J45)),NOT(ISNUMBER($I45)),$J45=0,$I45=0,$I45&gt;$J45),"",$J45-$I45))</ns0:f>
      </ns0:c>
      <ns0:c r="Y45" s="955" t="str">
        <ns0:f>IF(COUNTA($A45:$M45)=0,"",IF(OR($U45="Subscription",NOT(ISNUMBER($J45)),$J45=0,$X45=""),"",$X45/$J45))</ns0:f>
      </ns0:c>
      <ns0:c r="Z45" s="957" t="str">
        <ns0:f>IF(COUNTA($A45:$M45)=0,"",Instructions!$B$29+SUM($W$5:W45))</ns0:f>
      </ns0:c>
    </ns0:row>
    <ns0:row r="46" ht="36" customHeight="1">
      <ns0:c r="A46" s="439"/>
      <ns0:c r="B46" s="453"/>
      <ns0:c r="C46" s="453"/>
      <ns0:c r="D46" s="454"/>
      <ns0:c r="E46" s="454"/>
      <ns0:c r="F46" s="454"/>
      <ns0:c r="G46" s="986"/>
      <ns0:c r="H46" s="455"/>
      <ns0:c r="I46" s="456"/>
      <ns0:c r="J46" s="456"/>
      <ns0:c r="K46" s="986"/>
      <ns0:c r="L46" s="454"/>
      <ns0:c r="M46" s="439"/>
      <ns0:c r="N46" s="987" t="str">
        <ns0:f>IF(COUNTA($A46:$M46)=0,"",IF(OR(LEFT(LOWER(TRIM($F46&amp;"")),12)="subscription",LOWER(TRIM($F46&amp;""))="membership"),"",IF(OR(AND($H46&lt;&gt;"",$H46=0),LEFT(LOWER(TRIM($F46&amp;"")),9)="free game",LOWER(TRIM($F46&amp;""))="free",LOWER(TRIM($F46&amp;""))="free entry"),IF(ISNUMBER($G46),IF(ISNUMBER(SEARCH("non",LOWER($E46&amp;""))),$G46*0.85,$G46),"N/A"),IF($G46="","",IFERROR(IF(ISNUMBER(SEARCH("non",LOWER($E46&amp;""))),$G46*0.85,$G46),"")))))</ns0:f>
        <ns0:v/>
      </ns0:c>
      <ns0:c r="O46" s="987" t="str">
        <ns0:f>IF(COUNTA($A46:$M46)=0,"",IF(OR(LEFT(LOWER(TRIM($F46&amp;"")),12)="subscription",LOWER(TRIM($F46&amp;""))="membership"),"",IF(OR(AND($H46&lt;&gt;"",$H46=0),LEFT(LOWER(TRIM($F46&amp;"")),9)="free game",LOWER(TRIM($F46&amp;""))="free",LOWER(TRIM($F46&amp;""))="free entry"),IF(OR(NOT(ISNUMBER($N46)),NOT(ISNUMBER($I46)),$I46=0),"N/A",IFERROR($N46/$I46,"N/A")),IF(OR($N46="",$I46="",$I46=0),"",IFERROR($N46/$I46,"")))))</ns0:f>
        <ns0:v/>
      </ns0:c>
      <ns0:c r="P46" s="987">
        <ns0:f>IF(COUNTA($A46:$M46)=0,"",IF(OR(LEFT(LOWER(TRIM($F46&amp;"")),12)="subscription",LOWER(TRIM($F46&amp;""))="membership"),"",IF(LOWER(TRIM($D46&amp;""))="estimate","N/A",IF(LOWER($L46&amp;"")="yes",0,IF(OR(AND($H46&lt;&gt;"",$H46=0),LEFT(LOWER(TRIM($F46&amp;"")),9)="free game",LOWER(TRIM($F46&amp;""))="free",LOWER(TRIM($F46&amp;""))="free entry"),IF(ISNUMBER($K46),$K46,""),IF($K46&lt;&gt;"",$K46,""))))))</ns0:f>
      </ns0:c>
      <ns0:c r="Q46" s="114">
        <ns0:f>IF(COUNTA($A46:$M46)=0,"",IF(OR($U46="Subscription",$U46=""),"",IF($U46="Estimate","N/A",IF($U46="Profit",ROUND(IFERROR($P46,0)-IFERROR($H46,0),2),0))))</ns0:f>
      </ns0:c>
      <ns0:c r="R46" s="114">
        <ns0:f>IF(COUNTA($A46:$M46)=0,"",IF(OR($U46="Subscription",$U46=""),"",IF($U46="Estimate","N/A",IF($U46="Draw",$H46,0))))</ns0:f>
      </ns0:c>
      <ns0:c r="S46" s="114">
        <ns0:f>IF(COUNTA($A46:$M46)=0,"",IF(OR($U46="Subscription",$U46=""),"",IF($U46="Estimate","N/A",IF($U46="Disqualified",$H46,0))))</ns0:f>
      </ns0:c>
      <ns0:c r="T46" s="955">
        <ns0:f>IF(COUNTA($A46:$M46)=0,"",IF(OR($U46="Subscription",$U46=""),"",IF($U46="Estimate","N/A",IF(OR($U46="Free Game",$U46="Disqualified — Free Game",$H46=0),"N/A",IF($U46="Profit",$Q46/$H46,IF($U46="Disqualified",-$S46/$H46,0))))))</ns0:f>
      </ns0:c>
      <ns0:c r="U46" s="920">
        <ns0:f>IF(COUNTA($A46:$M46)=0,"",IF(OR(LEFT(LOWER(TRIM($F46&amp;"")),12)="subscription",LOWER(TRIM($F46&amp;""))="membership"),"Subscription",IF(LOWER(TRIM($D46&amp;""))="estimate","Estimate",IF(OR(AND($H46&lt;&gt;"",$H46=0),LEFT(LOWER(TRIM($F46&amp;"")),9)="free game",LOWER(TRIM($F46&amp;""))="free",LOWER(TRIM($F46&amp;""))="free entry"),IF(LOWER($L46&amp;"")="yes","Disqualified — Free Game","Free Game"),IF(LOWER($L46&amp;"")="yes","Disqualified",IF($P46="","",IF(ROUND(IFERROR(VALUE($P46),0)-IFERROR(VALUE($H46),0),2)&gt;0,"Profit","Draw")))))))</ns0:f>
      </ns0:c>
      <ns0:c r="V46" s="956" t="str">
        <ns0:f>IF(COUNTA($A46:$M46)=0,"",IF(OR($B46="",$C46="",$U46="Subscription"),"",IFERROR(ROUNDUP(($C46-$B46)/7,0),"")))</ns0:f>
      </ns0:c>
      <ns0:c r="W46" s="114">
        <ns0:f>IF(COUNTA($A46:$M46)=0,"",IF(OR($U46="Subscription",$U46=""),"",IF($U46="Estimate","N/A",IF(OR($U46="Free Game",$U46="Disqualified — Free Game"),0,ROUND(IFERROR($Q46,0)-IFERROR($S46,0),2)))))</ns0:f>
      </ns0:c>
      <ns0:c r="X46" s="956" t="str">
        <ns0:f>IF(COUNTA($A46:$M46)=0,"",IF(OR($U46="Subscription",NOT(ISNUMBER($J46)),NOT(ISNUMBER($I46)),$J46=0,$I46=0,$I46&gt;$J46),"",$J46-$I46))</ns0:f>
      </ns0:c>
      <ns0:c r="Y46" s="955" t="str">
        <ns0:f>IF(COUNTA($A46:$M46)=0,"",IF(OR($U46="Subscription",NOT(ISNUMBER($J46)),$J46=0,$X46=""),"",$X46/$J46))</ns0:f>
      </ns0:c>
      <ns0:c r="Z46" s="957" t="str">
        <ns0:f>IF(COUNTA($A46:$M46)=0,"",Instructions!$B$29+SUM($W$5:W46))</ns0:f>
      </ns0:c>
    </ns0:row>
    <ns0:row r="47" ht="36" customHeight="1">
      <ns0:c r="A47" s="439"/>
      <ns0:c r="B47" s="453"/>
      <ns0:c r="C47" s="453"/>
      <ns0:c r="D47" s="454"/>
      <ns0:c r="E47" s="454"/>
      <ns0:c r="F47" s="454"/>
      <ns0:c r="G47" s="986"/>
      <ns0:c r="H47" s="455"/>
      <ns0:c r="I47" s="456"/>
      <ns0:c r="J47" s="456"/>
      <ns0:c r="K47" s="986"/>
      <ns0:c r="L47" s="454"/>
      <ns0:c r="M47" s="439"/>
      <ns0:c r="N47" s="987" t="str">
        <ns0:f>IF(COUNTA($A47:$M47)=0,"",IF(OR(LEFT(LOWER(TRIM($F47&amp;"")),12)="subscription",LOWER(TRIM($F47&amp;""))="membership"),"",IF(OR(AND($H47&lt;&gt;"",$H47=0),LEFT(LOWER(TRIM($F47&amp;"")),9)="free game",LOWER(TRIM($F47&amp;""))="free",LOWER(TRIM($F47&amp;""))="free entry"),IF(ISNUMBER($G47),IF(ISNUMBER(SEARCH("non",LOWER($E47&amp;""))),$G47*0.85,$G47),"N/A"),IF($G47="","",IFERROR(IF(ISNUMBER(SEARCH("non",LOWER($E47&amp;""))),$G47*0.85,$G47),"")))))</ns0:f>
        <ns0:v/>
      </ns0:c>
      <ns0:c r="O47" s="987" t="str">
        <ns0:f>IF(COUNTA($A47:$M47)=0,"",IF(OR(LEFT(LOWER(TRIM($F47&amp;"")),12)="subscription",LOWER(TRIM($F47&amp;""))="membership"),"",IF(OR(AND($H47&lt;&gt;"",$H47=0),LEFT(LOWER(TRIM($F47&amp;"")),9)="free game",LOWER(TRIM($F47&amp;""))="free",LOWER(TRIM($F47&amp;""))="free entry"),IF(OR(NOT(ISNUMBER($N47)),NOT(ISNUMBER($I47)),$I47=0),"N/A",IFERROR($N47/$I47,"N/A")),IF(OR($N47="",$I47="",$I47=0),"",IFERROR($N47/$I47,"")))))</ns0:f>
        <ns0:v/>
      </ns0:c>
      <ns0:c r="P47" s="987">
        <ns0:f>IF(COUNTA($A47:$M47)=0,"",IF(OR(LEFT(LOWER(TRIM($F47&amp;"")),12)="subscription",LOWER(TRIM($F47&amp;""))="membership"),"",IF(LOWER(TRIM($D47&amp;""))="estimate","N/A",IF(LOWER($L47&amp;"")="yes",0,IF(OR(AND($H47&lt;&gt;"",$H47=0),LEFT(LOWER(TRIM($F47&amp;"")),9)="free game",LOWER(TRIM($F47&amp;""))="free",LOWER(TRIM($F47&amp;""))="free entry"),IF(ISNUMBER($K47),$K47,""),IF($K47&lt;&gt;"",$K47,""))))))</ns0:f>
      </ns0:c>
      <ns0:c r="Q47" s="114">
        <ns0:f>IF(COUNTA($A47:$M47)=0,"",IF(OR($U47="Subscription",$U47=""),"",IF($U47="Estimate","N/A",IF($U47="Profit",ROUND(IFERROR($P47,0)-IFERROR($H47,0),2),0))))</ns0:f>
      </ns0:c>
      <ns0:c r="R47" s="114">
        <ns0:f>IF(COUNTA($A47:$M47)=0,"",IF(OR($U47="Subscription",$U47=""),"",IF($U47="Estimate","N/A",IF($U47="Draw",$H47,0))))</ns0:f>
      </ns0:c>
      <ns0:c r="S47" s="114">
        <ns0:f>IF(COUNTA($A47:$M47)=0,"",IF(OR($U47="Subscription",$U47=""),"",IF($U47="Estimate","N/A",IF($U47="Disqualified",$H47,0))))</ns0:f>
      </ns0:c>
      <ns0:c r="T47" s="955">
        <ns0:f>IF(COUNTA($A47:$M47)=0,"",IF(OR($U47="Subscription",$U47=""),"",IF($U47="Estimate","N/A",IF(OR($U47="Free Game",$U47="Disqualified — Free Game",$H47=0),"N/A",IF($U47="Profit",$Q47/$H47,IF($U47="Disqualified",-$S47/$H47,0))))))</ns0:f>
      </ns0:c>
      <ns0:c r="U47" s="920">
        <ns0:f>IF(COUNTA($A47:$M47)=0,"",IF(OR(LEFT(LOWER(TRIM($F47&amp;"")),12)="subscription",LOWER(TRIM($F47&amp;""))="membership"),"Subscription",IF(LOWER(TRIM($D47&amp;""))="estimate","Estimate",IF(OR(AND($H47&lt;&gt;"",$H47=0),LEFT(LOWER(TRIM($F47&amp;"")),9)="free game",LOWER(TRIM($F47&amp;""))="free",LOWER(TRIM($F47&amp;""))="free entry"),IF(LOWER($L47&amp;"")="yes","Disqualified — Free Game","Free Game"),IF(LOWER($L47&amp;"")="yes","Disqualified",IF($P47="","",IF(ROUND(IFERROR(VALUE($P47),0)-IFERROR(VALUE($H47),0),2)&gt;0,"Profit","Draw")))))))</ns0:f>
      </ns0:c>
      <ns0:c r="V47" s="956" t="str">
        <ns0:f>IF(COUNTA($A47:$M47)=0,"",IF(OR($B47="",$C47="",$U47="Subscription"),"",IFERROR(ROUNDUP(($C47-$B47)/7,0),"")))</ns0:f>
      </ns0:c>
      <ns0:c r="W47" s="114">
        <ns0:f>IF(COUNTA($A47:$M47)=0,"",IF(OR($U47="Subscription",$U47=""),"",IF($U47="Estimate","N/A",IF(OR($U47="Free Game",$U47="Disqualified — Free Game"),0,ROUND(IFERROR($Q47,0)-IFERROR($S47,0),2)))))</ns0:f>
      </ns0:c>
      <ns0:c r="X47" s="956" t="str">
        <ns0:f>IF(COUNTA($A47:$M47)=0,"",IF(OR($U47="Subscription",NOT(ISNUMBER($J47)),NOT(ISNUMBER($I47)),$J47=0,$I47=0,$I47&gt;$J47),"",$J47-$I47))</ns0:f>
      </ns0:c>
      <ns0:c r="Y47" s="955" t="str">
        <ns0:f>IF(COUNTA($A47:$M47)=0,"",IF(OR($U47="Subscription",NOT(ISNUMBER($J47)),$J47=0,$X47=""),"",$X47/$J47))</ns0:f>
      </ns0:c>
      <ns0:c r="Z47" s="957" t="str">
        <ns0:f>IF(COUNTA($A47:$M47)=0,"",Instructions!$B$29+SUM($W$5:W47))</ns0:f>
      </ns0:c>
    </ns0:row>
    <ns0:row r="48" ht="36" customHeight="1">
      <ns0:c r="A48" s="439"/>
      <ns0:c r="B48" s="453"/>
      <ns0:c r="C48" s="453"/>
      <ns0:c r="D48" s="454"/>
      <ns0:c r="E48" s="454"/>
      <ns0:c r="F48" s="454"/>
      <ns0:c r="G48" s="986"/>
      <ns0:c r="H48" s="455"/>
      <ns0:c r="I48" s="456"/>
      <ns0:c r="J48" s="456"/>
      <ns0:c r="K48" s="986"/>
      <ns0:c r="L48" s="454"/>
      <ns0:c r="M48" s="439"/>
      <ns0:c r="N48" s="987" t="str">
        <ns0:f>IF(COUNTA($A48:$M48)=0,"",IF(OR(LEFT(LOWER(TRIM($F48&amp;"")),12)="subscription",LOWER(TRIM($F48&amp;""))="membership"),"",IF(OR(AND($H48&lt;&gt;"",$H48=0),LEFT(LOWER(TRIM($F48&amp;"")),9)="free game",LOWER(TRIM($F48&amp;""))="free",LOWER(TRIM($F48&amp;""))="free entry"),IF(ISNUMBER($G48),IF(ISNUMBER(SEARCH("non",LOWER($E48&amp;""))),$G48*0.85,$G48),"N/A"),IF($G48="","",IFERROR(IF(ISNUMBER(SEARCH("non",LOWER($E48&amp;""))),$G48*0.85,$G48),"")))))</ns0:f>
        <ns0:v/>
      </ns0:c>
      <ns0:c r="O48" s="987" t="str">
        <ns0:f>IF(COUNTA($A48:$M48)=0,"",IF(OR(LEFT(LOWER(TRIM($F48&amp;"")),12)="subscription",LOWER(TRIM($F48&amp;""))="membership"),"",IF(OR(AND($H48&lt;&gt;"",$H48=0),LEFT(LOWER(TRIM($F48&amp;"")),9)="free game",LOWER(TRIM($F48&amp;""))="free",LOWER(TRIM($F48&amp;""))="free entry"),IF(OR(NOT(ISNUMBER($N48)),NOT(ISNUMBER($I48)),$I48=0),"N/A",IFERROR($N48/$I48,"N/A")),IF(OR($N48="",$I48="",$I48=0),"",IFERROR($N48/$I48,"")))))</ns0:f>
        <ns0:v/>
      </ns0:c>
      <ns0:c r="P48" s="987">
        <ns0:f>IF(COUNTA($A48:$M48)=0,"",IF(OR(LEFT(LOWER(TRIM($F48&amp;"")),12)="subscription",LOWER(TRIM($F48&amp;""))="membership"),"",IF(LOWER(TRIM($D48&amp;""))="estimate","N/A",IF(LOWER($L48&amp;"")="yes",0,IF(OR(AND($H48&lt;&gt;"",$H48=0),LEFT(LOWER(TRIM($F48&amp;"")),9)="free game",LOWER(TRIM($F48&amp;""))="free",LOWER(TRIM($F48&amp;""))="free entry"),IF(ISNUMBER($K48),$K48,""),IF($K48&lt;&gt;"",$K48,""))))))</ns0:f>
      </ns0:c>
      <ns0:c r="Q48" s="114">
        <ns0:f>IF(COUNTA($A48:$M48)=0,"",IF(OR($U48="Subscription",$U48=""),"",IF($U48="Estimate","N/A",IF($U48="Profit",ROUND(IFERROR($P48,0)-IFERROR($H48,0),2),0))))</ns0:f>
      </ns0:c>
      <ns0:c r="R48" s="114">
        <ns0:f>IF(COUNTA($A48:$M48)=0,"",IF(OR($U48="Subscription",$U48=""),"",IF($U48="Estimate","N/A",IF($U48="Draw",$H48,0))))</ns0:f>
      </ns0:c>
      <ns0:c r="S48" s="114">
        <ns0:f>IF(COUNTA($A48:$M48)=0,"",IF(OR($U48="Subscription",$U48=""),"",IF($U48="Estimate","N/A",IF($U48="Disqualified",$H48,0))))</ns0:f>
      </ns0:c>
      <ns0:c r="T48" s="955">
        <ns0:f>IF(COUNTA($A48:$M48)=0,"",IF(OR($U48="Subscription",$U48=""),"",IF($U48="Estimate","N/A",IF(OR($U48="Free Game",$U48="Disqualified — Free Game",$H48=0),"N/A",IF($U48="Profit",$Q48/$H48,IF($U48="Disqualified",-$S48/$H48,0))))))</ns0:f>
      </ns0:c>
      <ns0:c r="U48" s="920">
        <ns0:f>IF(COUNTA($A48:$M48)=0,"",IF(OR(LEFT(LOWER(TRIM($F48&amp;"")),12)="subscription",LOWER(TRIM($F48&amp;""))="membership"),"Subscription",IF(LOWER(TRIM($D48&amp;""))="estimate","Estimate",IF(OR(AND($H48&lt;&gt;"",$H48=0),LEFT(LOWER(TRIM($F48&amp;"")),9)="free game",LOWER(TRIM($F48&amp;""))="free",LOWER(TRIM($F48&amp;""))="free entry"),IF(LOWER($L48&amp;"")="yes","Disqualified — Free Game","Free Game"),IF(LOWER($L48&amp;"")="yes","Disqualified",IF($P48="","",IF(ROUND(IFERROR(VALUE($P48),0)-IFERROR(VALUE($H48),0),2)&gt;0,"Profit","Draw")))))))</ns0:f>
      </ns0:c>
      <ns0:c r="V48" s="956" t="str">
        <ns0:f>IF(COUNTA($A48:$M48)=0,"",IF(OR($B48="",$C48="",$U48="Subscription"),"",IFERROR(ROUNDUP(($C48-$B48)/7,0),"")))</ns0:f>
      </ns0:c>
      <ns0:c r="W48" s="114">
        <ns0:f>IF(COUNTA($A48:$M48)=0,"",IF(OR($U48="Subscription",$U48=""),"",IF($U48="Estimate","N/A",IF(OR($U48="Free Game",$U48="Disqualified — Free Game"),0,ROUND(IFERROR($Q48,0)-IFERROR($S48,0),2)))))</ns0:f>
      </ns0:c>
      <ns0:c r="X48" s="956" t="str">
        <ns0:f>IF(COUNTA($A48:$M48)=0,"",IF(OR($U48="Subscription",NOT(ISNUMBER($J48)),NOT(ISNUMBER($I48)),$J48=0,$I48=0,$I48&gt;$J48),"",$J48-$I48))</ns0:f>
      </ns0:c>
      <ns0:c r="Y48" s="955" t="str">
        <ns0:f>IF(COUNTA($A48:$M48)=0,"",IF(OR($U48="Subscription",NOT(ISNUMBER($J48)),$J48=0,$X48=""),"",$X48/$J48))</ns0:f>
      </ns0:c>
      <ns0:c r="Z48" s="957" t="str">
        <ns0:f>IF(COUNTA($A48:$M48)=0,"",Instructions!$B$29+SUM($W$5:W48))</ns0:f>
      </ns0:c>
    </ns0:row>
    <ns0:row r="49" ht="36" customHeight="1">
      <ns0:c r="A49" s="439"/>
      <ns0:c r="B49" s="453"/>
      <ns0:c r="C49" s="453"/>
      <ns0:c r="D49" s="454"/>
      <ns0:c r="E49" s="454"/>
      <ns0:c r="F49" s="454"/>
      <ns0:c r="G49" s="986"/>
      <ns0:c r="H49" s="455"/>
      <ns0:c r="I49" s="456"/>
      <ns0:c r="J49" s="456"/>
      <ns0:c r="K49" s="986"/>
      <ns0:c r="L49" s="454"/>
      <ns0:c r="M49" s="439"/>
      <ns0:c r="N49" s="987" t="str">
        <ns0:f>IF(COUNTA($A49:$M49)=0,"",IF(OR(LEFT(LOWER(TRIM($F49&amp;"")),12)="subscription",LOWER(TRIM($F49&amp;""))="membership"),"",IF(OR(AND($H49&lt;&gt;"",$H49=0),LEFT(LOWER(TRIM($F49&amp;"")),9)="free game",LOWER(TRIM($F49&amp;""))="free",LOWER(TRIM($F49&amp;""))="free entry"),IF(ISNUMBER($G49),IF(ISNUMBER(SEARCH("non",LOWER($E49&amp;""))),$G49*0.85,$G49),"N/A"),IF($G49="","",IFERROR(IF(ISNUMBER(SEARCH("non",LOWER($E49&amp;""))),$G49*0.85,$G49),"")))))</ns0:f>
        <ns0:v/>
      </ns0:c>
      <ns0:c r="O49" s="987" t="str">
        <ns0:f>IF(COUNTA($A49:$M49)=0,"",IF(OR(LEFT(LOWER(TRIM($F49&amp;"")),12)="subscription",LOWER(TRIM($F49&amp;""))="membership"),"",IF(OR(AND($H49&lt;&gt;"",$H49=0),LEFT(LOWER(TRIM($F49&amp;"")),9)="free game",LOWER(TRIM($F49&amp;""))="free",LOWER(TRIM($F49&amp;""))="free entry"),IF(OR(NOT(ISNUMBER($N49)),NOT(ISNUMBER($I49)),$I49=0),"N/A",IFERROR($N49/$I49,"N/A")),IF(OR($N49="",$I49="",$I49=0),"",IFERROR($N49/$I49,"")))))</ns0:f>
        <ns0:v/>
      </ns0:c>
      <ns0:c r="P49" s="987">
        <ns0:f>IF(COUNTA($A49:$M49)=0,"",IF(OR(LEFT(LOWER(TRIM($F49&amp;"")),12)="subscription",LOWER(TRIM($F49&amp;""))="membership"),"",IF(LOWER(TRIM($D49&amp;""))="estimate","N/A",IF(LOWER($L49&amp;"")="yes",0,IF(OR(AND($H49&lt;&gt;"",$H49=0),LEFT(LOWER(TRIM($F49&amp;"")),9)="free game",LOWER(TRIM($F49&amp;""))="free",LOWER(TRIM($F49&amp;""))="free entry"),IF(ISNUMBER($K49),$K49,""),IF($K49&lt;&gt;"",$K49,""))))))</ns0:f>
      </ns0:c>
      <ns0:c r="Q49" s="114">
        <ns0:f>IF(COUNTA($A49:$M49)=0,"",IF(OR($U49="Subscription",$U49=""),"",IF($U49="Estimate","N/A",IF($U49="Profit",ROUND(IFERROR($P49,0)-IFERROR($H49,0),2),0))))</ns0:f>
      </ns0:c>
      <ns0:c r="R49" s="114">
        <ns0:f>IF(COUNTA($A49:$M49)=0,"",IF(OR($U49="Subscription",$U49=""),"",IF($U49="Estimate","N/A",IF($U49="Draw",$H49,0))))</ns0:f>
      </ns0:c>
      <ns0:c r="S49" s="114">
        <ns0:f>IF(COUNTA($A49:$M49)=0,"",IF(OR($U49="Subscription",$U49=""),"",IF($U49="Estimate","N/A",IF($U49="Disqualified",$H49,0))))</ns0:f>
      </ns0:c>
      <ns0:c r="T49" s="955">
        <ns0:f>IF(COUNTA($A49:$M49)=0,"",IF(OR($U49="Subscription",$U49=""),"",IF($U49="Estimate","N/A",IF(OR($U49="Free Game",$U49="Disqualified — Free Game",$H49=0),"N/A",IF($U49="Profit",$Q49/$H49,IF($U49="Disqualified",-$S49/$H49,0))))))</ns0:f>
      </ns0:c>
      <ns0:c r="U49" s="920">
        <ns0:f>IF(COUNTA($A49:$M49)=0,"",IF(OR(LEFT(LOWER(TRIM($F49&amp;"")),12)="subscription",LOWER(TRIM($F49&amp;""))="membership"),"Subscription",IF(LOWER(TRIM($D49&amp;""))="estimate","Estimate",IF(OR(AND($H49&lt;&gt;"",$H49=0),LEFT(LOWER(TRIM($F49&amp;"")),9)="free game",LOWER(TRIM($F49&amp;""))="free",LOWER(TRIM($F49&amp;""))="free entry"),IF(LOWER($L49&amp;"")="yes","Disqualified — Free Game","Free Game"),IF(LOWER($L49&amp;"")="yes","Disqualified",IF($P49="","",IF(ROUND(IFERROR(VALUE($P49),0)-IFERROR(VALUE($H49),0),2)&gt;0,"Profit","Draw")))))))</ns0:f>
      </ns0:c>
      <ns0:c r="V49" s="956" t="str">
        <ns0:f>IF(COUNTA($A49:$M49)=0,"",IF(OR($B49="",$C49="",$U49="Subscription"),"",IFERROR(ROUNDUP(($C49-$B49)/7,0),"")))</ns0:f>
      </ns0:c>
      <ns0:c r="W49" s="114">
        <ns0:f>IF(COUNTA($A49:$M49)=0,"",IF(OR($U49="Subscription",$U49=""),"",IF($U49="Estimate","N/A",IF(OR($U49="Free Game",$U49="Disqualified — Free Game"),0,ROUND(IFERROR($Q49,0)-IFERROR($S49,0),2)))))</ns0:f>
      </ns0:c>
      <ns0:c r="X49" s="956" t="str">
        <ns0:f>IF(COUNTA($A49:$M49)=0,"",IF(OR($U49="Subscription",NOT(ISNUMBER($J49)),NOT(ISNUMBER($I49)),$J49=0,$I49=0,$I49&gt;$J49),"",$J49-$I49))</ns0:f>
      </ns0:c>
      <ns0:c r="Y49" s="955" t="str">
        <ns0:f>IF(COUNTA($A49:$M49)=0,"",IF(OR($U49="Subscription",NOT(ISNUMBER($J49)),$J49=0,$X49=""),"",$X49/$J49))</ns0:f>
      </ns0:c>
      <ns0:c r="Z49" s="957" t="str">
        <ns0:f>IF(COUNTA($A49:$M49)=0,"",Instructions!$B$29+SUM($W$5:W49))</ns0:f>
      </ns0:c>
    </ns0:row>
    <ns0:row r="50" ht="36" customHeight="1">
      <ns0:c r="A50" s="439"/>
      <ns0:c r="B50" s="453"/>
      <ns0:c r="C50" s="453"/>
      <ns0:c r="D50" s="454"/>
      <ns0:c r="E50" s="454"/>
      <ns0:c r="F50" s="454"/>
      <ns0:c r="G50" s="986"/>
      <ns0:c r="H50" s="455"/>
      <ns0:c r="I50" s="456"/>
      <ns0:c r="J50" s="456"/>
      <ns0:c r="K50" s="986"/>
      <ns0:c r="L50" s="454"/>
      <ns0:c r="M50" s="439"/>
      <ns0:c r="N50" s="987" t="str">
        <ns0:f>IF(COUNTA($A50:$M50)=0,"",IF(OR(LEFT(LOWER(TRIM($F50&amp;"")),12)="subscription",LOWER(TRIM($F50&amp;""))="membership"),"",IF(OR(AND($H50&lt;&gt;"",$H50=0),LEFT(LOWER(TRIM($F50&amp;"")),9)="free game",LOWER(TRIM($F50&amp;""))="free",LOWER(TRIM($F50&amp;""))="free entry"),IF(ISNUMBER($G50),IF(ISNUMBER(SEARCH("non",LOWER($E50&amp;""))),$G50*0.85,$G50),"N/A"),IF($G50="","",IFERROR(IF(ISNUMBER(SEARCH("non",LOWER($E50&amp;""))),$G50*0.85,$G50),"")))))</ns0:f>
        <ns0:v/>
      </ns0:c>
      <ns0:c r="O50" s="987" t="str">
        <ns0:f>IF(COUNTA($A50:$M50)=0,"",IF(OR(LEFT(LOWER(TRIM($F50&amp;"")),12)="subscription",LOWER(TRIM($F50&amp;""))="membership"),"",IF(OR(AND($H50&lt;&gt;"",$H50=0),LEFT(LOWER(TRIM($F50&amp;"")),9)="free game",LOWER(TRIM($F50&amp;""))="free",LOWER(TRIM($F50&amp;""))="free entry"),IF(OR(NOT(ISNUMBER($N50)),NOT(ISNUMBER($I50)),$I50=0),"N/A",IFERROR($N50/$I50,"N/A")),IF(OR($N50="",$I50="",$I50=0),"",IFERROR($N50/$I50,"")))))</ns0:f>
        <ns0:v/>
      </ns0:c>
      <ns0:c r="P50" s="987">
        <ns0:f>IF(COUNTA($A50:$M50)=0,"",IF(OR(LEFT(LOWER(TRIM($F50&amp;"")),12)="subscription",LOWER(TRIM($F50&amp;""))="membership"),"",IF(LOWER(TRIM($D50&amp;""))="estimate","N/A",IF(LOWER($L50&amp;"")="yes",0,IF(OR(AND($H50&lt;&gt;"",$H50=0),LEFT(LOWER(TRIM($F50&amp;"")),9)="free game",LOWER(TRIM($F50&amp;""))="free",LOWER(TRIM($F50&amp;""))="free entry"),IF(ISNUMBER($K50),$K50,""),IF($K50&lt;&gt;"",$K50,""))))))</ns0:f>
      </ns0:c>
      <ns0:c r="Q50" s="114">
        <ns0:f>IF(COUNTA($A50:$M50)=0,"",IF(OR($U50="Subscription",$U50=""),"",IF($U50="Estimate","N/A",IF($U50="Profit",ROUND(IFERROR($P50,0)-IFERROR($H50,0),2),0))))</ns0:f>
      </ns0:c>
      <ns0:c r="R50" s="114">
        <ns0:f>IF(COUNTA($A50:$M50)=0,"",IF(OR($U50="Subscription",$U50=""),"",IF($U50="Estimate","N/A",IF($U50="Draw",$H50,0))))</ns0:f>
      </ns0:c>
      <ns0:c r="S50" s="114">
        <ns0:f>IF(COUNTA($A50:$M50)=0,"",IF(OR($U50="Subscription",$U50=""),"",IF($U50="Estimate","N/A",IF($U50="Disqualified",$H50,0))))</ns0:f>
      </ns0:c>
      <ns0:c r="T50" s="955">
        <ns0:f>IF(COUNTA($A50:$M50)=0,"",IF(OR($U50="Subscription",$U50=""),"",IF($U50="Estimate","N/A",IF(OR($U50="Free Game",$U50="Disqualified — Free Game",$H50=0),"N/A",IF($U50="Profit",$Q50/$H50,IF($U50="Disqualified",-$S50/$H50,0))))))</ns0:f>
      </ns0:c>
      <ns0:c r="U50" s="920">
        <ns0:f>IF(COUNTA($A50:$M50)=0,"",IF(OR(LEFT(LOWER(TRIM($F50&amp;"")),12)="subscription",LOWER(TRIM($F50&amp;""))="membership"),"Subscription",IF(LOWER(TRIM($D50&amp;""))="estimate","Estimate",IF(OR(AND($H50&lt;&gt;"",$H50=0),LEFT(LOWER(TRIM($F50&amp;"")),9)="free game",LOWER(TRIM($F50&amp;""))="free",LOWER(TRIM($F50&amp;""))="free entry"),IF(LOWER($L50&amp;"")="yes","Disqualified — Free Game","Free Game"),IF(LOWER($L50&amp;"")="yes","Disqualified",IF($P50="","",IF(ROUND(IFERROR(VALUE($P50),0)-IFERROR(VALUE($H50),0),2)&gt;0,"Profit","Draw")))))))</ns0:f>
      </ns0:c>
      <ns0:c r="V50" s="956" t="str">
        <ns0:f>IF(COUNTA($A50:$M50)=0,"",IF(OR($B50="",$C50="",$U50="Subscription"),"",IFERROR(ROUNDUP(($C50-$B50)/7,0),"")))</ns0:f>
      </ns0:c>
      <ns0:c r="W50" s="114">
        <ns0:f>IF(COUNTA($A50:$M50)=0,"",IF(OR($U50="Subscription",$U50=""),"",IF($U50="Estimate","N/A",IF(OR($U50="Free Game",$U50="Disqualified — Free Game"),0,ROUND(IFERROR($Q50,0)-IFERROR($S50,0),2)))))</ns0:f>
      </ns0:c>
      <ns0:c r="X50" s="956" t="str">
        <ns0:f>IF(COUNTA($A50:$M50)=0,"",IF(OR($U50="Subscription",NOT(ISNUMBER($J50)),NOT(ISNUMBER($I50)),$J50=0,$I50=0,$I50&gt;$J50),"",$J50-$I50))</ns0:f>
      </ns0:c>
      <ns0:c r="Y50" s="955" t="str">
        <ns0:f>IF(COUNTA($A50:$M50)=0,"",IF(OR($U50="Subscription",NOT(ISNUMBER($J50)),$J50=0,$X50=""),"",$X50/$J50))</ns0:f>
      </ns0:c>
      <ns0:c r="Z50" s="957" t="str">
        <ns0:f>IF(COUNTA($A50:$M50)=0,"",Instructions!$B$29+SUM($W$5:W50))</ns0:f>
      </ns0:c>
    </ns0:row>
    <ns0:row r="51" ht="36" customHeight="1">
      <ns0:c r="A51" s="439"/>
      <ns0:c r="B51" s="453"/>
      <ns0:c r="C51" s="453"/>
      <ns0:c r="D51" s="454"/>
      <ns0:c r="E51" s="454"/>
      <ns0:c r="F51" s="454"/>
      <ns0:c r="G51" s="986"/>
      <ns0:c r="H51" s="455"/>
      <ns0:c r="I51" s="456"/>
      <ns0:c r="J51" s="456"/>
      <ns0:c r="K51" s="986"/>
      <ns0:c r="L51" s="454"/>
      <ns0:c r="M51" s="439"/>
      <ns0:c r="N51" s="987" t="str">
        <ns0:f>IF(COUNTA($A51:$M51)=0,"",IF(OR(LEFT(LOWER(TRIM($F51&amp;"")),12)="subscription",LOWER(TRIM($F51&amp;""))="membership"),"",IF(OR(AND($H51&lt;&gt;"",$H51=0),LEFT(LOWER(TRIM($F51&amp;"")),9)="free game",LOWER(TRIM($F51&amp;""))="free",LOWER(TRIM($F51&amp;""))="free entry"),IF(ISNUMBER($G51),IF(ISNUMBER(SEARCH("non",LOWER($E51&amp;""))),$G51*0.85,$G51),"N/A"),IF($G51="","",IFERROR(IF(ISNUMBER(SEARCH("non",LOWER($E51&amp;""))),$G51*0.85,$G51),"")))))</ns0:f>
        <ns0:v/>
      </ns0:c>
      <ns0:c r="O51" s="987" t="str">
        <ns0:f>IF(COUNTA($A51:$M51)=0,"",IF(OR(LEFT(LOWER(TRIM($F51&amp;"")),12)="subscription",LOWER(TRIM($F51&amp;""))="membership"),"",IF(OR(AND($H51&lt;&gt;"",$H51=0),LEFT(LOWER(TRIM($F51&amp;"")),9)="free game",LOWER(TRIM($F51&amp;""))="free",LOWER(TRIM($F51&amp;""))="free entry"),IF(OR(NOT(ISNUMBER($N51)),NOT(ISNUMBER($I51)),$I51=0),"N/A",IFERROR($N51/$I51,"N/A")),IF(OR($N51="",$I51="",$I51=0),"",IFERROR($N51/$I51,"")))))</ns0:f>
        <ns0:v/>
      </ns0:c>
      <ns0:c r="P51" s="987">
        <ns0:f>IF(COUNTA($A51:$M51)=0,"",IF(OR(LEFT(LOWER(TRIM($F51&amp;"")),12)="subscription",LOWER(TRIM($F51&amp;""))="membership"),"",IF(LOWER(TRIM($D51&amp;""))="estimate","N/A",IF(LOWER($L51&amp;"")="yes",0,IF(OR(AND($H51&lt;&gt;"",$H51=0),LEFT(LOWER(TRIM($F51&amp;"")),9)="free game",LOWER(TRIM($F51&amp;""))="free",LOWER(TRIM($F51&amp;""))="free entry"),IF(ISNUMBER($K51),$K51,""),IF($K51&lt;&gt;"",$K51,""))))))</ns0:f>
      </ns0:c>
      <ns0:c r="Q51" s="114">
        <ns0:f>IF(COUNTA($A51:$M51)=0,"",IF(OR($U51="Subscription",$U51=""),"",IF($U51="Estimate","N/A",IF($U51="Profit",ROUND(IFERROR($P51,0)-IFERROR($H51,0),2),0))))</ns0:f>
      </ns0:c>
      <ns0:c r="R51" s="114">
        <ns0:f>IF(COUNTA($A51:$M51)=0,"",IF(OR($U51="Subscription",$U51=""),"",IF($U51="Estimate","N/A",IF($U51="Draw",$H51,0))))</ns0:f>
      </ns0:c>
      <ns0:c r="S51" s="114">
        <ns0:f>IF(COUNTA($A51:$M51)=0,"",IF(OR($U51="Subscription",$U51=""),"",IF($U51="Estimate","N/A",IF($U51="Disqualified",$H51,0))))</ns0:f>
      </ns0:c>
      <ns0:c r="T51" s="955">
        <ns0:f>IF(COUNTA($A51:$M51)=0,"",IF(OR($U51="Subscription",$U51=""),"",IF($U51="Estimate","N/A",IF(OR($U51="Free Game",$U51="Disqualified — Free Game",$H51=0),"N/A",IF($U51="Profit",$Q51/$H51,IF($U51="Disqualified",-$S51/$H51,0))))))</ns0:f>
      </ns0:c>
      <ns0:c r="U51" s="920">
        <ns0:f>IF(COUNTA($A51:$M51)=0,"",IF(OR(LEFT(LOWER(TRIM($F51&amp;"")),12)="subscription",LOWER(TRIM($F51&amp;""))="membership"),"Subscription",IF(LOWER(TRIM($D51&amp;""))="estimate","Estimate",IF(OR(AND($H51&lt;&gt;"",$H51=0),LEFT(LOWER(TRIM($F51&amp;"")),9)="free game",LOWER(TRIM($F51&amp;""))="free",LOWER(TRIM($F51&amp;""))="free entry"),IF(LOWER($L51&amp;"")="yes","Disqualified — Free Game","Free Game"),IF(LOWER($L51&amp;"")="yes","Disqualified",IF($P51="","",IF(ROUND(IFERROR(VALUE($P51),0)-IFERROR(VALUE($H51),0),2)&gt;0,"Profit","Draw")))))))</ns0:f>
      </ns0:c>
      <ns0:c r="V51" s="956" t="str">
        <ns0:f>IF(COUNTA($A51:$M51)=0,"",IF(OR($B51="",$C51="",$U51="Subscription"),"",IFERROR(ROUNDUP(($C51-$B51)/7,0),"")))</ns0:f>
      </ns0:c>
      <ns0:c r="W51" s="114">
        <ns0:f>IF(COUNTA($A51:$M51)=0,"",IF(OR($U51="Subscription",$U51=""),"",IF($U51="Estimate","N/A",IF(OR($U51="Free Game",$U51="Disqualified — Free Game"),0,ROUND(IFERROR($Q51,0)-IFERROR($S51,0),2)))))</ns0:f>
      </ns0:c>
      <ns0:c r="X51" s="956" t="str">
        <ns0:f>IF(COUNTA($A51:$M51)=0,"",IF(OR($U51="Subscription",NOT(ISNUMBER($J51)),NOT(ISNUMBER($I51)),$J51=0,$I51=0,$I51&gt;$J51),"",$J51-$I51))</ns0:f>
      </ns0:c>
      <ns0:c r="Y51" s="955" t="str">
        <ns0:f>IF(COUNTA($A51:$M51)=0,"",IF(OR($U51="Subscription",NOT(ISNUMBER($J51)),$J51=0,$X51=""),"",$X51/$J51))</ns0:f>
      </ns0:c>
      <ns0:c r="Z51" s="957" t="str">
        <ns0:f>IF(COUNTA($A51:$M51)=0,"",Instructions!$B$29+SUM($W$5:W51))</ns0:f>
      </ns0:c>
    </ns0:row>
    <ns0:row r="52" ht="36" customHeight="1">
      <ns0:c r="A52" s="439"/>
      <ns0:c r="B52" s="453"/>
      <ns0:c r="C52" s="453"/>
      <ns0:c r="D52" s="454"/>
      <ns0:c r="E52" s="454"/>
      <ns0:c r="F52" s="454"/>
      <ns0:c r="G52" s="986"/>
      <ns0:c r="H52" s="455"/>
      <ns0:c r="I52" s="456"/>
      <ns0:c r="J52" s="456"/>
      <ns0:c r="K52" s="986"/>
      <ns0:c r="L52" s="454"/>
      <ns0:c r="M52" s="439"/>
      <ns0:c r="N52" s="987" t="str">
        <ns0:f>IF(COUNTA($A52:$M52)=0,"",IF(OR(LEFT(LOWER(TRIM($F52&amp;"")),12)="subscription",LOWER(TRIM($F52&amp;""))="membership"),"",IF(OR(AND($H52&lt;&gt;"",$H52=0),LEFT(LOWER(TRIM($F52&amp;"")),9)="free game",LOWER(TRIM($F52&amp;""))="free",LOWER(TRIM($F52&amp;""))="free entry"),IF(ISNUMBER($G52),IF(ISNUMBER(SEARCH("non",LOWER($E52&amp;""))),$G52*0.85,$G52),"N/A"),IF($G52="","",IFERROR(IF(ISNUMBER(SEARCH("non",LOWER($E52&amp;""))),$G52*0.85,$G52),"")))))</ns0:f>
        <ns0:v/>
      </ns0:c>
      <ns0:c r="O52" s="987" t="str">
        <ns0:f>IF(COUNTA($A52:$M52)=0,"",IF(OR(LEFT(LOWER(TRIM($F52&amp;"")),12)="subscription",LOWER(TRIM($F52&amp;""))="membership"),"",IF(OR(AND($H52&lt;&gt;"",$H52=0),LEFT(LOWER(TRIM($F52&amp;"")),9)="free game",LOWER(TRIM($F52&amp;""))="free",LOWER(TRIM($F52&amp;""))="free entry"),IF(OR(NOT(ISNUMBER($N52)),NOT(ISNUMBER($I52)),$I52=0),"N/A",IFERROR($N52/$I52,"N/A")),IF(OR($N52="",$I52="",$I52=0),"",IFERROR($N52/$I52,"")))))</ns0:f>
        <ns0:v/>
      </ns0:c>
      <ns0:c r="P52" s="987">
        <ns0:f>IF(COUNTA($A52:$M52)=0,"",IF(OR(LEFT(LOWER(TRIM($F52&amp;"")),12)="subscription",LOWER(TRIM($F52&amp;""))="membership"),"",IF(LOWER(TRIM($D52&amp;""))="estimate","N/A",IF(LOWER($L52&amp;"")="yes",0,IF(OR(AND($H52&lt;&gt;"",$H52=0),LEFT(LOWER(TRIM($F52&amp;"")),9)="free game",LOWER(TRIM($F52&amp;""))="free",LOWER(TRIM($F52&amp;""))="free entry"),IF(ISNUMBER($K52),$K52,""),IF($K52&lt;&gt;"",$K52,""))))))</ns0:f>
      </ns0:c>
      <ns0:c r="Q52" s="114">
        <ns0:f>IF(COUNTA($A52:$M52)=0,"",IF(OR($U52="Subscription",$U52=""),"",IF($U52="Estimate","N/A",IF($U52="Profit",ROUND(IFERROR($P52,0)-IFERROR($H52,0),2),0))))</ns0:f>
      </ns0:c>
      <ns0:c r="R52" s="114">
        <ns0:f>IF(COUNTA($A52:$M52)=0,"",IF(OR($U52="Subscription",$U52=""),"",IF($U52="Estimate","N/A",IF($U52="Draw",$H52,0))))</ns0:f>
      </ns0:c>
      <ns0:c r="S52" s="114">
        <ns0:f>IF(COUNTA($A52:$M52)=0,"",IF(OR($U52="Subscription",$U52=""),"",IF($U52="Estimate","N/A",IF($U52="Disqualified",$H52,0))))</ns0:f>
      </ns0:c>
      <ns0:c r="T52" s="955">
        <ns0:f>IF(COUNTA($A52:$M52)=0,"",IF(OR($U52="Subscription",$U52=""),"",IF($U52="Estimate","N/A",IF(OR($U52="Free Game",$U52="Disqualified — Free Game",$H52=0),"N/A",IF($U52="Profit",$Q52/$H52,IF($U52="Disqualified",-$S52/$H52,0))))))</ns0:f>
      </ns0:c>
      <ns0:c r="U52" s="920">
        <ns0:f>IF(COUNTA($A52:$M52)=0,"",IF(OR(LEFT(LOWER(TRIM($F52&amp;"")),12)="subscription",LOWER(TRIM($F52&amp;""))="membership"),"Subscription",IF(LOWER(TRIM($D52&amp;""))="estimate","Estimate",IF(OR(AND($H52&lt;&gt;"",$H52=0),LEFT(LOWER(TRIM($F52&amp;"")),9)="free game",LOWER(TRIM($F52&amp;""))="free",LOWER(TRIM($F52&amp;""))="free entry"),IF(LOWER($L52&amp;"")="yes","Disqualified — Free Game","Free Game"),IF(LOWER($L52&amp;"")="yes","Disqualified",IF($P52="","",IF(ROUND(IFERROR(VALUE($P52),0)-IFERROR(VALUE($H52),0),2)&gt;0,"Profit","Draw")))))))</ns0:f>
      </ns0:c>
      <ns0:c r="V52" s="956" t="str">
        <ns0:f>IF(COUNTA($A52:$M52)=0,"",IF(OR($B52="",$C52="",$U52="Subscription"),"",IFERROR(ROUNDUP(($C52-$B52)/7,0),"")))</ns0:f>
      </ns0:c>
      <ns0:c r="W52" s="114">
        <ns0:f>IF(COUNTA($A52:$M52)=0,"",IF(OR($U52="Subscription",$U52=""),"",IF($U52="Estimate","N/A",IF(OR($U52="Free Game",$U52="Disqualified — Free Game"),0,ROUND(IFERROR($Q52,0)-IFERROR($S52,0),2)))))</ns0:f>
      </ns0:c>
      <ns0:c r="X52" s="956" t="str">
        <ns0:f>IF(COUNTA($A52:$M52)=0,"",IF(OR($U52="Subscription",NOT(ISNUMBER($J52)),NOT(ISNUMBER($I52)),$J52=0,$I52=0,$I52&gt;$J52),"",$J52-$I52))</ns0:f>
      </ns0:c>
      <ns0:c r="Y52" s="955" t="str">
        <ns0:f>IF(COUNTA($A52:$M52)=0,"",IF(OR($U52="Subscription",NOT(ISNUMBER($J52)),$J52=0,$X52=""),"",$X52/$J52))</ns0:f>
      </ns0:c>
      <ns0:c r="Z52" s="957" t="str">
        <ns0:f>IF(COUNTA($A52:$M52)=0,"",Instructions!$B$29+SUM($W$5:W52))</ns0:f>
      </ns0:c>
    </ns0:row>
    <ns0:row r="53" ht="36" customHeight="1">
      <ns0:c r="A53" s="439"/>
      <ns0:c r="B53" s="453"/>
      <ns0:c r="C53" s="453"/>
      <ns0:c r="D53" s="454"/>
      <ns0:c r="E53" s="454"/>
      <ns0:c r="F53" s="454"/>
      <ns0:c r="G53" s="986"/>
      <ns0:c r="H53" s="455"/>
      <ns0:c r="I53" s="456"/>
      <ns0:c r="J53" s="456"/>
      <ns0:c r="K53" s="986"/>
      <ns0:c r="L53" s="454"/>
      <ns0:c r="M53" s="439"/>
      <ns0:c r="N53" s="987" t="str">
        <ns0:f>IF(COUNTA($A53:$M53)=0,"",IF(OR(LEFT(LOWER(TRIM($F53&amp;"")),12)="subscription",LOWER(TRIM($F53&amp;""))="membership"),"",IF(OR(AND($H53&lt;&gt;"",$H53=0),LEFT(LOWER(TRIM($F53&amp;"")),9)="free game",LOWER(TRIM($F53&amp;""))="free",LOWER(TRIM($F53&amp;""))="free entry"),IF(ISNUMBER($G53),IF(ISNUMBER(SEARCH("non",LOWER($E53&amp;""))),$G53*0.85,$G53),"N/A"),IF($G53="","",IFERROR(IF(ISNUMBER(SEARCH("non",LOWER($E53&amp;""))),$G53*0.85,$G53),"")))))</ns0:f>
        <ns0:v/>
      </ns0:c>
      <ns0:c r="O53" s="987" t="str">
        <ns0:f>IF(COUNTA($A53:$M53)=0,"",IF(OR(LEFT(LOWER(TRIM($F53&amp;"")),12)="subscription",LOWER(TRIM($F53&amp;""))="membership"),"",IF(OR(AND($H53&lt;&gt;"",$H53=0),LEFT(LOWER(TRIM($F53&amp;"")),9)="free game",LOWER(TRIM($F53&amp;""))="free",LOWER(TRIM($F53&amp;""))="free entry"),IF(OR(NOT(ISNUMBER($N53)),NOT(ISNUMBER($I53)),$I53=0),"N/A",IFERROR($N53/$I53,"N/A")),IF(OR($N53="",$I53="",$I53=0),"",IFERROR($N53/$I53,"")))))</ns0:f>
        <ns0:v/>
      </ns0:c>
      <ns0:c r="P53" s="987">
        <ns0:f>IF(COUNTA($A53:$M53)=0,"",IF(OR(LEFT(LOWER(TRIM($F53&amp;"")),12)="subscription",LOWER(TRIM($F53&amp;""))="membership"),"",IF(LOWER(TRIM($D53&amp;""))="estimate","N/A",IF(LOWER($L53&amp;"")="yes",0,IF(OR(AND($H53&lt;&gt;"",$H53=0),LEFT(LOWER(TRIM($F53&amp;"")),9)="free game",LOWER(TRIM($F53&amp;""))="free",LOWER(TRIM($F53&amp;""))="free entry"),IF(ISNUMBER($K53),$K53,""),IF($K53&lt;&gt;"",$K53,""))))))</ns0:f>
      </ns0:c>
      <ns0:c r="Q53" s="114">
        <ns0:f>IF(COUNTA($A53:$M53)=0,"",IF(OR($U53="Subscription",$U53=""),"",IF($U53="Estimate","N/A",IF($U53="Profit",ROUND(IFERROR($P53,0)-IFERROR($H53,0),2),0))))</ns0:f>
      </ns0:c>
      <ns0:c r="R53" s="114">
        <ns0:f>IF(COUNTA($A53:$M53)=0,"",IF(OR($U53="Subscription",$U53=""),"",IF($U53="Estimate","N/A",IF($U53="Draw",$H53,0))))</ns0:f>
      </ns0:c>
      <ns0:c r="S53" s="114">
        <ns0:f>IF(COUNTA($A53:$M53)=0,"",IF(OR($U53="Subscription",$U53=""),"",IF($U53="Estimate","N/A",IF($U53="Disqualified",$H53,0))))</ns0:f>
      </ns0:c>
      <ns0:c r="T53" s="955">
        <ns0:f>IF(COUNTA($A53:$M53)=0,"",IF(OR($U53="Subscription",$U53=""),"",IF($U53="Estimate","N/A",IF(OR($U53="Free Game",$U53="Disqualified — Free Game",$H53=0),"N/A",IF($U53="Profit",$Q53/$H53,IF($U53="Disqualified",-$S53/$H53,0))))))</ns0:f>
      </ns0:c>
      <ns0:c r="U53" s="920">
        <ns0:f>IF(COUNTA($A53:$M53)=0,"",IF(OR(LEFT(LOWER(TRIM($F53&amp;"")),12)="subscription",LOWER(TRIM($F53&amp;""))="membership"),"Subscription",IF(LOWER(TRIM($D53&amp;""))="estimate","Estimate",IF(OR(AND($H53&lt;&gt;"",$H53=0),LEFT(LOWER(TRIM($F53&amp;"")),9)="free game",LOWER(TRIM($F53&amp;""))="free",LOWER(TRIM($F53&amp;""))="free entry"),IF(LOWER($L53&amp;"")="yes","Disqualified — Free Game","Free Game"),IF(LOWER($L53&amp;"")="yes","Disqualified",IF($P53="","",IF(ROUND(IFERROR(VALUE($P53),0)-IFERROR(VALUE($H53),0),2)&gt;0,"Profit","Draw")))))))</ns0:f>
      </ns0:c>
      <ns0:c r="V53" s="956" t="str">
        <ns0:f>IF(COUNTA($A53:$M53)=0,"",IF(OR($B53="",$C53="",$U53="Subscription"),"",IFERROR(ROUNDUP(($C53-$B53)/7,0),"")))</ns0:f>
      </ns0:c>
      <ns0:c r="W53" s="114">
        <ns0:f>IF(COUNTA($A53:$M53)=0,"",IF(OR($U53="Subscription",$U53=""),"",IF($U53="Estimate","N/A",IF(OR($U53="Free Game",$U53="Disqualified — Free Game"),0,ROUND(IFERROR($Q53,0)-IFERROR($S53,0),2)))))</ns0:f>
      </ns0:c>
      <ns0:c r="X53" s="956" t="str">
        <ns0:f>IF(COUNTA($A53:$M53)=0,"",IF(OR($U53="Subscription",NOT(ISNUMBER($J53)),NOT(ISNUMBER($I53)),$J53=0,$I53=0,$I53&gt;$J53),"",$J53-$I53))</ns0:f>
      </ns0:c>
      <ns0:c r="Y53" s="955" t="str">
        <ns0:f>IF(COUNTA($A53:$M53)=0,"",IF(OR($U53="Subscription",NOT(ISNUMBER($J53)),$J53=0,$X53=""),"",$X53/$J53))</ns0:f>
      </ns0:c>
      <ns0:c r="Z53" s="957" t="str">
        <ns0:f>IF(COUNTA($A53:$M53)=0,"",Instructions!$B$29+SUM($W$5:W53))</ns0:f>
      </ns0:c>
    </ns0:row>
    <ns0:row r="54" ht="36" customHeight="1">
      <ns0:c r="A54" s="439"/>
      <ns0:c r="B54" s="453"/>
      <ns0:c r="C54" s="453"/>
      <ns0:c r="D54" s="454"/>
      <ns0:c r="E54" s="454"/>
      <ns0:c r="F54" s="454"/>
      <ns0:c r="G54" s="986"/>
      <ns0:c r="H54" s="455"/>
      <ns0:c r="I54" s="456"/>
      <ns0:c r="J54" s="456"/>
      <ns0:c r="K54" s="986"/>
      <ns0:c r="L54" s="454"/>
      <ns0:c r="M54" s="439"/>
      <ns0:c r="N54" s="987" t="str">
        <ns0:f>IF(COUNTA($A54:$M54)=0,"",IF(OR(LEFT(LOWER(TRIM($F54&amp;"")),12)="subscription",LOWER(TRIM($F54&amp;""))="membership"),"",IF(OR(AND($H54&lt;&gt;"",$H54=0),LEFT(LOWER(TRIM($F54&amp;"")),9)="free game",LOWER(TRIM($F54&amp;""))="free",LOWER(TRIM($F54&amp;""))="free entry"),IF(ISNUMBER($G54),IF(ISNUMBER(SEARCH("non",LOWER($E54&amp;""))),$G54*0.85,$G54),"N/A"),IF($G54="","",IFERROR(IF(ISNUMBER(SEARCH("non",LOWER($E54&amp;""))),$G54*0.85,$G54),"")))))</ns0:f>
        <ns0:v/>
      </ns0:c>
      <ns0:c r="O54" s="987" t="str">
        <ns0:f>IF(COUNTA($A54:$M54)=0,"",IF(OR(LEFT(LOWER(TRIM($F54&amp;"")),12)="subscription",LOWER(TRIM($F54&amp;""))="membership"),"",IF(OR(AND($H54&lt;&gt;"",$H54=0),LEFT(LOWER(TRIM($F54&amp;"")),9)="free game",LOWER(TRIM($F54&amp;""))="free",LOWER(TRIM($F54&amp;""))="free entry"),IF(OR(NOT(ISNUMBER($N54)),NOT(ISNUMBER($I54)),$I54=0),"N/A",IFERROR($N54/$I54,"N/A")),IF(OR($N54="",$I54="",$I54=0),"",IFERROR($N54/$I54,"")))))</ns0:f>
        <ns0:v/>
      </ns0:c>
      <ns0:c r="P54" s="987">
        <ns0:f>IF(COUNTA($A54:$M54)=0,"",IF(OR(LEFT(LOWER(TRIM($F54&amp;"")),12)="subscription",LOWER(TRIM($F54&amp;""))="membership"),"",IF(LOWER(TRIM($D54&amp;""))="estimate","N/A",IF(LOWER($L54&amp;"")="yes",0,IF(OR(AND($H54&lt;&gt;"",$H54=0),LEFT(LOWER(TRIM($F54&amp;"")),9)="free game",LOWER(TRIM($F54&amp;""))="free",LOWER(TRIM($F54&amp;""))="free entry"),IF(ISNUMBER($K54),$K54,""),IF($K54&lt;&gt;"",$K54,""))))))</ns0:f>
      </ns0:c>
      <ns0:c r="Q54" s="114">
        <ns0:f>IF(COUNTA($A54:$M54)=0,"",IF(OR($U54="Subscription",$U54=""),"",IF($U54="Estimate","N/A",IF($U54="Profit",ROUND(IFERROR($P54,0)-IFERROR($H54,0),2),0))))</ns0:f>
      </ns0:c>
      <ns0:c r="R54" s="114">
        <ns0:f>IF(COUNTA($A54:$M54)=0,"",IF(OR($U54="Subscription",$U54=""),"",IF($U54="Estimate","N/A",IF($U54="Draw",$H54,0))))</ns0:f>
      </ns0:c>
      <ns0:c r="S54" s="114">
        <ns0:f>IF(COUNTA($A54:$M54)=0,"",IF(OR($U54="Subscription",$U54=""),"",IF($U54="Estimate","N/A",IF($U54="Disqualified",$H54,0))))</ns0:f>
      </ns0:c>
      <ns0:c r="T54" s="955">
        <ns0:f>IF(COUNTA($A54:$M54)=0,"",IF(OR($U54="Subscription",$U54=""),"",IF($U54="Estimate","N/A",IF(OR($U54="Free Game",$U54="Disqualified — Free Game",$H54=0),"N/A",IF($U54="Profit",$Q54/$H54,IF($U54="Disqualified",-$S54/$H54,0))))))</ns0:f>
      </ns0:c>
      <ns0:c r="U54" s="920">
        <ns0:f>IF(COUNTA($A54:$M54)=0,"",IF(OR(LEFT(LOWER(TRIM($F54&amp;"")),12)="subscription",LOWER(TRIM($F54&amp;""))="membership"),"Subscription",IF(LOWER(TRIM($D54&amp;""))="estimate","Estimate",IF(OR(AND($H54&lt;&gt;"",$H54=0),LEFT(LOWER(TRIM($F54&amp;"")),9)="free game",LOWER(TRIM($F54&amp;""))="free",LOWER(TRIM($F54&amp;""))="free entry"),IF(LOWER($L54&amp;"")="yes","Disqualified — Free Game","Free Game"),IF(LOWER($L54&amp;"")="yes","Disqualified",IF($P54="","",IF(ROUND(IFERROR(VALUE($P54),0)-IFERROR(VALUE($H54),0),2)&gt;0,"Profit","Draw")))))))</ns0:f>
      </ns0:c>
      <ns0:c r="V54" s="956" t="str">
        <ns0:f>IF(COUNTA($A54:$M54)=0,"",IF(OR($B54="",$C54="",$U54="Subscription"),"",IFERROR(ROUNDUP(($C54-$B54)/7,0),"")))</ns0:f>
      </ns0:c>
      <ns0:c r="W54" s="114">
        <ns0:f>IF(COUNTA($A54:$M54)=0,"",IF(OR($U54="Subscription",$U54=""),"",IF($U54="Estimate","N/A",IF(OR($U54="Free Game",$U54="Disqualified — Free Game"),0,ROUND(IFERROR($Q54,0)-IFERROR($S54,0),2)))))</ns0:f>
      </ns0:c>
      <ns0:c r="X54" s="956" t="str">
        <ns0:f>IF(COUNTA($A54:$M54)=0,"",IF(OR($U54="Subscription",NOT(ISNUMBER($J54)),NOT(ISNUMBER($I54)),$J54=0,$I54=0,$I54&gt;$J54),"",$J54-$I54))</ns0:f>
      </ns0:c>
      <ns0:c r="Y54" s="955" t="str">
        <ns0:f>IF(COUNTA($A54:$M54)=0,"",IF(OR($U54="Subscription",NOT(ISNUMBER($J54)),$J54=0,$X54=""),"",$X54/$J54))</ns0:f>
      </ns0:c>
      <ns0:c r="Z54" s="957" t="str">
        <ns0:f>IF(COUNTA($A54:$M54)=0,"",Instructions!$B$29+SUM($W$5:W54))</ns0:f>
      </ns0:c>
    </ns0:row>
    <ns0:row r="55" ht="36" customHeight="1">
      <ns0:c r="A55" s="439"/>
      <ns0:c r="B55" s="453"/>
      <ns0:c r="C55" s="453"/>
      <ns0:c r="D55" s="454"/>
      <ns0:c r="E55" s="454"/>
      <ns0:c r="F55" s="454"/>
      <ns0:c r="G55" s="986"/>
      <ns0:c r="H55" s="455"/>
      <ns0:c r="I55" s="456"/>
      <ns0:c r="J55" s="456"/>
      <ns0:c r="K55" s="986"/>
      <ns0:c r="L55" s="454"/>
      <ns0:c r="M55" s="439"/>
      <ns0:c r="N55" s="987" t="str">
        <ns0:f>IF(COUNTA($A55:$M55)=0,"",IF(OR(LEFT(LOWER(TRIM($F55&amp;"")),12)="subscription",LOWER(TRIM($F55&amp;""))="membership"),"",IF(OR(AND($H55&lt;&gt;"",$H55=0),LEFT(LOWER(TRIM($F55&amp;"")),9)="free game",LOWER(TRIM($F55&amp;""))="free",LOWER(TRIM($F55&amp;""))="free entry"),IF(ISNUMBER($G55),IF(ISNUMBER(SEARCH("non",LOWER($E55&amp;""))),$G55*0.85,$G55),"N/A"),IF($G55="","",IFERROR(IF(ISNUMBER(SEARCH("non",LOWER($E55&amp;""))),$G55*0.85,$G55),"")))))</ns0:f>
        <ns0:v/>
      </ns0:c>
      <ns0:c r="O55" s="987" t="str">
        <ns0:f>IF(COUNTA($A55:$M55)=0,"",IF(OR(LEFT(LOWER(TRIM($F55&amp;"")),12)="subscription",LOWER(TRIM($F55&amp;""))="membership"),"",IF(OR(AND($H55&lt;&gt;"",$H55=0),LEFT(LOWER(TRIM($F55&amp;"")),9)="free game",LOWER(TRIM($F55&amp;""))="free",LOWER(TRIM($F55&amp;""))="free entry"),IF(OR(NOT(ISNUMBER($N55)),NOT(ISNUMBER($I55)),$I55=0),"N/A",IFERROR($N55/$I55,"N/A")),IF(OR($N55="",$I55="",$I55=0),"",IFERROR($N55/$I55,"")))))</ns0:f>
        <ns0:v/>
      </ns0:c>
      <ns0:c r="P55" s="987">
        <ns0:f>IF(COUNTA($A55:$M55)=0,"",IF(OR(LEFT(LOWER(TRIM($F55&amp;"")),12)="subscription",LOWER(TRIM($F55&amp;""))="membership"),"",IF(LOWER(TRIM($D55&amp;""))="estimate","N/A",IF(LOWER($L55&amp;"")="yes",0,IF(OR(AND($H55&lt;&gt;"",$H55=0),LEFT(LOWER(TRIM($F55&amp;"")),9)="free game",LOWER(TRIM($F55&amp;""))="free",LOWER(TRIM($F55&amp;""))="free entry"),IF(ISNUMBER($K55),$K55,""),IF($K55&lt;&gt;"",$K55,""))))))</ns0:f>
      </ns0:c>
      <ns0:c r="Q55" s="114">
        <ns0:f>IF(COUNTA($A55:$M55)=0,"",IF(OR($U55="Subscription",$U55=""),"",IF($U55="Estimate","N/A",IF($U55="Profit",ROUND(IFERROR($P55,0)-IFERROR($H55,0),2),0))))</ns0:f>
      </ns0:c>
      <ns0:c r="R55" s="114">
        <ns0:f>IF(COUNTA($A55:$M55)=0,"",IF(OR($U55="Subscription",$U55=""),"",IF($U55="Estimate","N/A",IF($U55="Draw",$H55,0))))</ns0:f>
      </ns0:c>
      <ns0:c r="S55" s="114">
        <ns0:f>IF(COUNTA($A55:$M55)=0,"",IF(OR($U55="Subscription",$U55=""),"",IF($U55="Estimate","N/A",IF($U55="Disqualified",$H55,0))))</ns0:f>
      </ns0:c>
      <ns0:c r="T55" s="955">
        <ns0:f>IF(COUNTA($A55:$M55)=0,"",IF(OR($U55="Subscription",$U55=""),"",IF($U55="Estimate","N/A",IF(OR($U55="Free Game",$U55="Disqualified — Free Game",$H55=0),"N/A",IF($U55="Profit",$Q55/$H55,IF($U55="Disqualified",-$S55/$H55,0))))))</ns0:f>
      </ns0:c>
      <ns0:c r="U55" s="920">
        <ns0:f>IF(COUNTA($A55:$M55)=0,"",IF(OR(LEFT(LOWER(TRIM($F55&amp;"")),12)="subscription",LOWER(TRIM($F55&amp;""))="membership"),"Subscription",IF(LOWER(TRIM($D55&amp;""))="estimate","Estimate",IF(OR(AND($H55&lt;&gt;"",$H55=0),LEFT(LOWER(TRIM($F55&amp;"")),9)="free game",LOWER(TRIM($F55&amp;""))="free",LOWER(TRIM($F55&amp;""))="free entry"),IF(LOWER($L55&amp;"")="yes","Disqualified — Free Game","Free Game"),IF(LOWER($L55&amp;"")="yes","Disqualified",IF($P55="","",IF(ROUND(IFERROR(VALUE($P55),0)-IFERROR(VALUE($H55),0),2)&gt;0,"Profit","Draw")))))))</ns0:f>
      </ns0:c>
      <ns0:c r="V55" s="956" t="str">
        <ns0:f>IF(COUNTA($A55:$M55)=0,"",IF(OR($B55="",$C55="",$U55="Subscription"),"",IFERROR(ROUNDUP(($C55-$B55)/7,0),"")))</ns0:f>
      </ns0:c>
      <ns0:c r="W55" s="114">
        <ns0:f>IF(COUNTA($A55:$M55)=0,"",IF(OR($U55="Subscription",$U55=""),"",IF($U55="Estimate","N/A",IF(OR($U55="Free Game",$U55="Disqualified — Free Game"),0,ROUND(IFERROR($Q55,0)-IFERROR($S55,0),2)))))</ns0:f>
      </ns0:c>
      <ns0:c r="X55" s="956" t="str">
        <ns0:f>IF(COUNTA($A55:$M55)=0,"",IF(OR($U55="Subscription",NOT(ISNUMBER($J55)),NOT(ISNUMBER($I55)),$J55=0,$I55=0,$I55&gt;$J55),"",$J55-$I55))</ns0:f>
      </ns0:c>
      <ns0:c r="Y55" s="955" t="str">
        <ns0:f>IF(COUNTA($A55:$M55)=0,"",IF(OR($U55="Subscription",NOT(ISNUMBER($J55)),$J55=0,$X55=""),"",$X55/$J55))</ns0:f>
      </ns0:c>
      <ns0:c r="Z55" s="957" t="str">
        <ns0:f>IF(COUNTA($A55:$M55)=0,"",Instructions!$B$29+SUM($W$5:W55))</ns0:f>
      </ns0:c>
    </ns0:row>
    <ns0:row r="56" ht="36" customHeight="1">
      <ns0:c r="A56" s="439"/>
      <ns0:c r="B56" s="453"/>
      <ns0:c r="C56" s="453"/>
      <ns0:c r="D56" s="454"/>
      <ns0:c r="E56" s="454"/>
      <ns0:c r="F56" s="454"/>
      <ns0:c r="G56" s="986"/>
      <ns0:c r="H56" s="455"/>
      <ns0:c r="I56" s="456"/>
      <ns0:c r="J56" s="456"/>
      <ns0:c r="K56" s="986"/>
      <ns0:c r="L56" s="454"/>
      <ns0:c r="M56" s="439"/>
      <ns0:c r="N56" s="987" t="str">
        <ns0:f>IF(COUNTA($A56:$M56)=0,"",IF(OR(LEFT(LOWER(TRIM($F56&amp;"")),12)="subscription",LOWER(TRIM($F56&amp;""))="membership"),"",IF(OR(AND($H56&lt;&gt;"",$H56=0),LEFT(LOWER(TRIM($F56&amp;"")),9)="free game",LOWER(TRIM($F56&amp;""))="free",LOWER(TRIM($F56&amp;""))="free entry"),IF(ISNUMBER($G56),IF(ISNUMBER(SEARCH("non",LOWER($E56&amp;""))),$G56*0.85,$G56),"N/A"),IF($G56="","",IFERROR(IF(ISNUMBER(SEARCH("non",LOWER($E56&amp;""))),$G56*0.85,$G56),"")))))</ns0:f>
        <ns0:v/>
      </ns0:c>
      <ns0:c r="O56" s="987" t="str">
        <ns0:f>IF(COUNTA($A56:$M56)=0,"",IF(OR(LEFT(LOWER(TRIM($F56&amp;"")),12)="subscription",LOWER(TRIM($F56&amp;""))="membership"),"",IF(OR(AND($H56&lt;&gt;"",$H56=0),LEFT(LOWER(TRIM($F56&amp;"")),9)="free game",LOWER(TRIM($F56&amp;""))="free",LOWER(TRIM($F56&amp;""))="free entry"),IF(OR(NOT(ISNUMBER($N56)),NOT(ISNUMBER($I56)),$I56=0),"N/A",IFERROR($N56/$I56,"N/A")),IF(OR($N56="",$I56="",$I56=0),"",IFERROR($N56/$I56,"")))))</ns0:f>
        <ns0:v/>
      </ns0:c>
      <ns0:c r="P56" s="987">
        <ns0:f>IF(COUNTA($A56:$M56)=0,"",IF(OR(LEFT(LOWER(TRIM($F56&amp;"")),12)="subscription",LOWER(TRIM($F56&amp;""))="membership"),"",IF(LOWER(TRIM($D56&amp;""))="estimate","N/A",IF(LOWER($L56&amp;"")="yes",0,IF(OR(AND($H56&lt;&gt;"",$H56=0),LEFT(LOWER(TRIM($F56&amp;"")),9)="free game",LOWER(TRIM($F56&amp;""))="free",LOWER(TRIM($F56&amp;""))="free entry"),IF(ISNUMBER($K56),$K56,""),IF($K56&lt;&gt;"",$K56,""))))))</ns0:f>
      </ns0:c>
      <ns0:c r="Q56" s="114">
        <ns0:f>IF(COUNTA($A56:$M56)=0,"",IF(OR($U56="Subscription",$U56=""),"",IF($U56="Estimate","N/A",IF($U56="Profit",ROUND(IFERROR($P56,0)-IFERROR($H56,0),2),0))))</ns0:f>
      </ns0:c>
      <ns0:c r="R56" s="114">
        <ns0:f>IF(COUNTA($A56:$M56)=0,"",IF(OR($U56="Subscription",$U56=""),"",IF($U56="Estimate","N/A",IF($U56="Draw",$H56,0))))</ns0:f>
      </ns0:c>
      <ns0:c r="S56" s="114">
        <ns0:f>IF(COUNTA($A56:$M56)=0,"",IF(OR($U56="Subscription",$U56=""),"",IF($U56="Estimate","N/A",IF($U56="Disqualified",$H56,0))))</ns0:f>
      </ns0:c>
      <ns0:c r="T56" s="955">
        <ns0:f>IF(COUNTA($A56:$M56)=0,"",IF(OR($U56="Subscription",$U56=""),"",IF($U56="Estimate","N/A",IF(OR($U56="Free Game",$U56="Disqualified — Free Game",$H56=0),"N/A",IF($U56="Profit",$Q56/$H56,IF($U56="Disqualified",-$S56/$H56,0))))))</ns0:f>
      </ns0:c>
      <ns0:c r="U56" s="920">
        <ns0:f>IF(COUNTA($A56:$M56)=0,"",IF(OR(LEFT(LOWER(TRIM($F56&amp;"")),12)="subscription",LOWER(TRIM($F56&amp;""))="membership"),"Subscription",IF(LOWER(TRIM($D56&amp;""))="estimate","Estimate",IF(OR(AND($H56&lt;&gt;"",$H56=0),LEFT(LOWER(TRIM($F56&amp;"")),9)="free game",LOWER(TRIM($F56&amp;""))="free",LOWER(TRIM($F56&amp;""))="free entry"),IF(LOWER($L56&amp;"")="yes","Disqualified — Free Game","Free Game"),IF(LOWER($L56&amp;"")="yes","Disqualified",IF($P56="","",IF(ROUND(IFERROR(VALUE($P56),0)-IFERROR(VALUE($H56),0),2)&gt;0,"Profit","Draw")))))))</ns0:f>
      </ns0:c>
      <ns0:c r="V56" s="956" t="str">
        <ns0:f>IF(COUNTA($A56:$M56)=0,"",IF(OR($B56="",$C56="",$U56="Subscription"),"",IFERROR(ROUNDUP(($C56-$B56)/7,0),"")))</ns0:f>
      </ns0:c>
      <ns0:c r="W56" s="114">
        <ns0:f>IF(COUNTA($A56:$M56)=0,"",IF(OR($U56="Subscription",$U56=""),"",IF($U56="Estimate","N/A",IF(OR($U56="Free Game",$U56="Disqualified — Free Game"),0,ROUND(IFERROR($Q56,0)-IFERROR($S56,0),2)))))</ns0:f>
      </ns0:c>
      <ns0:c r="X56" s="956" t="str">
        <ns0:f>IF(COUNTA($A56:$M56)=0,"",IF(OR($U56="Subscription",NOT(ISNUMBER($J56)),NOT(ISNUMBER($I56)),$J56=0,$I56=0,$I56&gt;$J56),"",$J56-$I56))</ns0:f>
      </ns0:c>
      <ns0:c r="Y56" s="955" t="str">
        <ns0:f>IF(COUNTA($A56:$M56)=0,"",IF(OR($U56="Subscription",NOT(ISNUMBER($J56)),$J56=0,$X56=""),"",$X56/$J56))</ns0:f>
      </ns0:c>
      <ns0:c r="Z56" s="957" t="str">
        <ns0:f>IF(COUNTA($A56:$M56)=0,"",Instructions!$B$29+SUM($W$5:W56))</ns0:f>
      </ns0:c>
    </ns0:row>
    <ns0:row r="57" ht="36" customHeight="1">
      <ns0:c r="A57" s="439"/>
      <ns0:c r="B57" s="453"/>
      <ns0:c r="C57" s="453"/>
      <ns0:c r="D57" s="454"/>
      <ns0:c r="E57" s="454"/>
      <ns0:c r="F57" s="454"/>
      <ns0:c r="G57" s="986"/>
      <ns0:c r="H57" s="455"/>
      <ns0:c r="I57" s="456"/>
      <ns0:c r="J57" s="456"/>
      <ns0:c r="K57" s="986"/>
      <ns0:c r="L57" s="454"/>
      <ns0:c r="M57" s="439"/>
      <ns0:c r="N57" s="987" t="str">
        <ns0:f>IF(COUNTA($A57:$M57)=0,"",IF(OR(LEFT(LOWER(TRIM($F57&amp;"")),12)="subscription",LOWER(TRIM($F57&amp;""))="membership"),"",IF(OR(AND($H57&lt;&gt;"",$H57=0),LEFT(LOWER(TRIM($F57&amp;"")),9)="free game",LOWER(TRIM($F57&amp;""))="free",LOWER(TRIM($F57&amp;""))="free entry"),IF(ISNUMBER($G57),IF(ISNUMBER(SEARCH("non",LOWER($E57&amp;""))),$G57*0.85,$G57),"N/A"),IF($G57="","",IFERROR(IF(ISNUMBER(SEARCH("non",LOWER($E57&amp;""))),$G57*0.85,$G57),"")))))</ns0:f>
        <ns0:v/>
      </ns0:c>
      <ns0:c r="O57" s="987" t="str">
        <ns0:f>IF(COUNTA($A57:$M57)=0,"",IF(OR(LEFT(LOWER(TRIM($F57&amp;"")),12)="subscription",LOWER(TRIM($F57&amp;""))="membership"),"",IF(OR(AND($H57&lt;&gt;"",$H57=0),LEFT(LOWER(TRIM($F57&amp;"")),9)="free game",LOWER(TRIM($F57&amp;""))="free",LOWER(TRIM($F57&amp;""))="free entry"),IF(OR(NOT(ISNUMBER($N57)),NOT(ISNUMBER($I57)),$I57=0),"N/A",IFERROR($N57/$I57,"N/A")),IF(OR($N57="",$I57="",$I57=0),"",IFERROR($N57/$I57,"")))))</ns0:f>
        <ns0:v/>
      </ns0:c>
      <ns0:c r="P57" s="987">
        <ns0:f>IF(COUNTA($A57:$M57)=0,"",IF(OR(LEFT(LOWER(TRIM($F57&amp;"")),12)="subscription",LOWER(TRIM($F57&amp;""))="membership"),"",IF(LOWER(TRIM($D57&amp;""))="estimate","N/A",IF(LOWER($L57&amp;"")="yes",0,IF(OR(AND($H57&lt;&gt;"",$H57=0),LEFT(LOWER(TRIM($F57&amp;"")),9)="free game",LOWER(TRIM($F57&amp;""))="free",LOWER(TRIM($F57&amp;""))="free entry"),IF(ISNUMBER($K57),$K57,""),IF($K57&lt;&gt;"",$K57,""))))))</ns0:f>
      </ns0:c>
      <ns0:c r="Q57" s="114">
        <ns0:f>IF(COUNTA($A57:$M57)=0,"",IF(OR($U57="Subscription",$U57=""),"",IF($U57="Estimate","N/A",IF($U57="Profit",ROUND(IFERROR($P57,0)-IFERROR($H57,0),2),0))))</ns0:f>
      </ns0:c>
      <ns0:c r="R57" s="114">
        <ns0:f>IF(COUNTA($A57:$M57)=0,"",IF(OR($U57="Subscription",$U57=""),"",IF($U57="Estimate","N/A",IF($U57="Draw",$H57,0))))</ns0:f>
      </ns0:c>
      <ns0:c r="S57" s="114">
        <ns0:f>IF(COUNTA($A57:$M57)=0,"",IF(OR($U57="Subscription",$U57=""),"",IF($U57="Estimate","N/A",IF($U57="Disqualified",$H57,0))))</ns0:f>
      </ns0:c>
      <ns0:c r="T57" s="955">
        <ns0:f>IF(COUNTA($A57:$M57)=0,"",IF(OR($U57="Subscription",$U57=""),"",IF($U57="Estimate","N/A",IF(OR($U57="Free Game",$U57="Disqualified — Free Game",$H57=0),"N/A",IF($U57="Profit",$Q57/$H57,IF($U57="Disqualified",-$S57/$H57,0))))))</ns0:f>
      </ns0:c>
      <ns0:c r="U57" s="920">
        <ns0:f>IF(COUNTA($A57:$M57)=0,"",IF(OR(LEFT(LOWER(TRIM($F57&amp;"")),12)="subscription",LOWER(TRIM($F57&amp;""))="membership"),"Subscription",IF(LOWER(TRIM($D57&amp;""))="estimate","Estimate",IF(OR(AND($H57&lt;&gt;"",$H57=0),LEFT(LOWER(TRIM($F57&amp;"")),9)="free game",LOWER(TRIM($F57&amp;""))="free",LOWER(TRIM($F57&amp;""))="free entry"),IF(LOWER($L57&amp;"")="yes","Disqualified — Free Game","Free Game"),IF(LOWER($L57&amp;"")="yes","Disqualified",IF($P57="","",IF(ROUND(IFERROR(VALUE($P57),0)-IFERROR(VALUE($H57),0),2)&gt;0,"Profit","Draw")))))))</ns0:f>
      </ns0:c>
      <ns0:c r="V57" s="956" t="str">
        <ns0:f>IF(COUNTA($A57:$M57)=0,"",IF(OR($B57="",$C57="",$U57="Subscription"),"",IFERROR(ROUNDUP(($C57-$B57)/7,0),"")))</ns0:f>
      </ns0:c>
      <ns0:c r="W57" s="114">
        <ns0:f>IF(COUNTA($A57:$M57)=0,"",IF(OR($U57="Subscription",$U57=""),"",IF($U57="Estimate","N/A",IF(OR($U57="Free Game",$U57="Disqualified — Free Game"),0,ROUND(IFERROR($Q57,0)-IFERROR($S57,0),2)))))</ns0:f>
      </ns0:c>
      <ns0:c r="X57" s="956" t="str">
        <ns0:f>IF(COUNTA($A57:$M57)=0,"",IF(OR($U57="Subscription",NOT(ISNUMBER($J57)),NOT(ISNUMBER($I57)),$J57=0,$I57=0,$I57&gt;$J57),"",$J57-$I57))</ns0:f>
      </ns0:c>
      <ns0:c r="Y57" s="955" t="str">
        <ns0:f>IF(COUNTA($A57:$M57)=0,"",IF(OR($U57="Subscription",NOT(ISNUMBER($J57)),$J57=0,$X57=""),"",$X57/$J57))</ns0:f>
      </ns0:c>
      <ns0:c r="Z57" s="957" t="str">
        <ns0:f>IF(COUNTA($A57:$M57)=0,"",Instructions!$B$29+SUM($W$5:W57))</ns0:f>
      </ns0:c>
    </ns0:row>
    <ns0:row r="58" ht="36" customHeight="1">
      <ns0:c r="A58" s="439"/>
      <ns0:c r="B58" s="453"/>
      <ns0:c r="C58" s="453"/>
      <ns0:c r="D58" s="454"/>
      <ns0:c r="E58" s="454"/>
      <ns0:c r="F58" s="454"/>
      <ns0:c r="G58" s="986"/>
      <ns0:c r="H58" s="455"/>
      <ns0:c r="I58" s="456"/>
      <ns0:c r="J58" s="456"/>
      <ns0:c r="K58" s="986"/>
      <ns0:c r="L58" s="454"/>
      <ns0:c r="M58" s="439"/>
      <ns0:c r="N58" s="987" t="str">
        <ns0:f>IF(COUNTA($A58:$M58)=0,"",IF(OR(LEFT(LOWER(TRIM($F58&amp;"")),12)="subscription",LOWER(TRIM($F58&amp;""))="membership"),"",IF(OR(AND($H58&lt;&gt;"",$H58=0),LEFT(LOWER(TRIM($F58&amp;"")),9)="free game",LOWER(TRIM($F58&amp;""))="free",LOWER(TRIM($F58&amp;""))="free entry"),IF(ISNUMBER($G58),IF(ISNUMBER(SEARCH("non",LOWER($E58&amp;""))),$G58*0.85,$G58),"N/A"),IF($G58="","",IFERROR(IF(ISNUMBER(SEARCH("non",LOWER($E58&amp;""))),$G58*0.85,$G58),"")))))</ns0:f>
        <ns0:v/>
      </ns0:c>
      <ns0:c r="O58" s="987" t="str">
        <ns0:f>IF(COUNTA($A58:$M58)=0,"",IF(OR(LEFT(LOWER(TRIM($F58&amp;"")),12)="subscription",LOWER(TRIM($F58&amp;""))="membership"),"",IF(OR(AND($H58&lt;&gt;"",$H58=0),LEFT(LOWER(TRIM($F58&amp;"")),9)="free game",LOWER(TRIM($F58&amp;""))="free",LOWER(TRIM($F58&amp;""))="free entry"),IF(OR(NOT(ISNUMBER($N58)),NOT(ISNUMBER($I58)),$I58=0),"N/A",IFERROR($N58/$I58,"N/A")),IF(OR($N58="",$I58="",$I58=0),"",IFERROR($N58/$I58,"")))))</ns0:f>
        <ns0:v/>
      </ns0:c>
      <ns0:c r="P58" s="987">
        <ns0:f>IF(COUNTA($A58:$M58)=0,"",IF(OR(LEFT(LOWER(TRIM($F58&amp;"")),12)="subscription",LOWER(TRIM($F58&amp;""))="membership"),"",IF(LOWER(TRIM($D58&amp;""))="estimate","N/A",IF(LOWER($L58&amp;"")="yes",0,IF(OR(AND($H58&lt;&gt;"",$H58=0),LEFT(LOWER(TRIM($F58&amp;"")),9)="free game",LOWER(TRIM($F58&amp;""))="free",LOWER(TRIM($F58&amp;""))="free entry"),IF(ISNUMBER($K58),$K58,""),IF($K58&lt;&gt;"",$K58,""))))))</ns0:f>
      </ns0:c>
      <ns0:c r="Q58" s="114">
        <ns0:f>IF(COUNTA($A58:$M58)=0,"",IF(OR($U58="Subscription",$U58=""),"",IF($U58="Estimate","N/A",IF($U58="Profit",ROUND(IFERROR($P58,0)-IFERROR($H58,0),2),0))))</ns0:f>
      </ns0:c>
      <ns0:c r="R58" s="114">
        <ns0:f>IF(COUNTA($A58:$M58)=0,"",IF(OR($U58="Subscription",$U58=""),"",IF($U58="Estimate","N/A",IF($U58="Draw",$H58,0))))</ns0:f>
      </ns0:c>
      <ns0:c r="S58" s="114">
        <ns0:f>IF(COUNTA($A58:$M58)=0,"",IF(OR($U58="Subscription",$U58=""),"",IF($U58="Estimate","N/A",IF($U58="Disqualified",$H58,0))))</ns0:f>
      </ns0:c>
      <ns0:c r="T58" s="955">
        <ns0:f>IF(COUNTA($A58:$M58)=0,"",IF(OR($U58="Subscription",$U58=""),"",IF($U58="Estimate","N/A",IF(OR($U58="Free Game",$U58="Disqualified — Free Game",$H58=0),"N/A",IF($U58="Profit",$Q58/$H58,IF($U58="Disqualified",-$S58/$H58,0))))))</ns0:f>
      </ns0:c>
      <ns0:c r="U58" s="920">
        <ns0:f>IF(COUNTA($A58:$M58)=0,"",IF(OR(LEFT(LOWER(TRIM($F58&amp;"")),12)="subscription",LOWER(TRIM($F58&amp;""))="membership"),"Subscription",IF(LOWER(TRIM($D58&amp;""))="estimate","Estimate",IF(OR(AND($H58&lt;&gt;"",$H58=0),LEFT(LOWER(TRIM($F58&amp;"")),9)="free game",LOWER(TRIM($F58&amp;""))="free",LOWER(TRIM($F58&amp;""))="free entry"),IF(LOWER($L58&amp;"")="yes","Disqualified — Free Game","Free Game"),IF(LOWER($L58&amp;"")="yes","Disqualified",IF($P58="","",IF(ROUND(IFERROR(VALUE($P58),0)-IFERROR(VALUE($H58),0),2)&gt;0,"Profit","Draw")))))))</ns0:f>
      </ns0:c>
      <ns0:c r="V58" s="956" t="str">
        <ns0:f>IF(COUNTA($A58:$M58)=0,"",IF(OR($B58="",$C58="",$U58="Subscription"),"",IFERROR(ROUNDUP(($C58-$B58)/7,0),"")))</ns0:f>
      </ns0:c>
      <ns0:c r="W58" s="114">
        <ns0:f>IF(COUNTA($A58:$M58)=0,"",IF(OR($U58="Subscription",$U58=""),"",IF($U58="Estimate","N/A",IF(OR($U58="Free Game",$U58="Disqualified — Free Game"),0,ROUND(IFERROR($Q58,0)-IFERROR($S58,0),2)))))</ns0:f>
      </ns0:c>
      <ns0:c r="X58" s="956" t="str">
        <ns0:f>IF(COUNTA($A58:$M58)=0,"",IF(OR($U58="Subscription",NOT(ISNUMBER($J58)),NOT(ISNUMBER($I58)),$J58=0,$I58=0,$I58&gt;$J58),"",$J58-$I58))</ns0:f>
      </ns0:c>
      <ns0:c r="Y58" s="955" t="str">
        <ns0:f>IF(COUNTA($A58:$M58)=0,"",IF(OR($U58="Subscription",NOT(ISNUMBER($J58)),$J58=0,$X58=""),"",$X58/$J58))</ns0:f>
      </ns0:c>
      <ns0:c r="Z58" s="957" t="str">
        <ns0:f>IF(COUNTA($A58:$M58)=0,"",Instructions!$B$29+SUM($W$5:W58))</ns0:f>
      </ns0:c>
    </ns0:row>
    <ns0:row r="59" ht="36" customHeight="1">
      <ns0:c r="A59" s="439"/>
      <ns0:c r="B59" s="453"/>
      <ns0:c r="C59" s="453"/>
      <ns0:c r="D59" s="454"/>
      <ns0:c r="E59" s="454"/>
      <ns0:c r="F59" s="454"/>
      <ns0:c r="G59" s="986"/>
      <ns0:c r="H59" s="455"/>
      <ns0:c r="I59" s="456"/>
      <ns0:c r="J59" s="456"/>
      <ns0:c r="K59" s="986"/>
      <ns0:c r="L59" s="454"/>
      <ns0:c r="M59" s="439"/>
      <ns0:c r="N59" s="987" t="str">
        <ns0:f>IF(COUNTA($A59:$M59)=0,"",IF(OR(LEFT(LOWER(TRIM($F59&amp;"")),12)="subscription",LOWER(TRIM($F59&amp;""))="membership"),"",IF(OR(AND($H59&lt;&gt;"",$H59=0),LEFT(LOWER(TRIM($F59&amp;"")),9)="free game",LOWER(TRIM($F59&amp;""))="free",LOWER(TRIM($F59&amp;""))="free entry"),IF(ISNUMBER($G59),IF(ISNUMBER(SEARCH("non",LOWER($E59&amp;""))),$G59*0.85,$G59),"N/A"),IF($G59="","",IFERROR(IF(ISNUMBER(SEARCH("non",LOWER($E59&amp;""))),$G59*0.85,$G59),"")))))</ns0:f>
        <ns0:v/>
      </ns0:c>
      <ns0:c r="O59" s="987" t="str">
        <ns0:f>IF(COUNTA($A59:$M59)=0,"",IF(OR(LEFT(LOWER(TRIM($F59&amp;"")),12)="subscription",LOWER(TRIM($F59&amp;""))="membership"),"",IF(OR(AND($H59&lt;&gt;"",$H59=0),LEFT(LOWER(TRIM($F59&amp;"")),9)="free game",LOWER(TRIM($F59&amp;""))="free",LOWER(TRIM($F59&amp;""))="free entry"),IF(OR(NOT(ISNUMBER($N59)),NOT(ISNUMBER($I59)),$I59=0),"N/A",IFERROR($N59/$I59,"N/A")),IF(OR($N59="",$I59="",$I59=0),"",IFERROR($N59/$I59,"")))))</ns0:f>
        <ns0:v/>
      </ns0:c>
      <ns0:c r="P59" s="987">
        <ns0:f>IF(COUNTA($A59:$M59)=0,"",IF(OR(LEFT(LOWER(TRIM($F59&amp;"")),12)="subscription",LOWER(TRIM($F59&amp;""))="membership"),"",IF(LOWER(TRIM($D59&amp;""))="estimate","N/A",IF(LOWER($L59&amp;"")="yes",0,IF(OR(AND($H59&lt;&gt;"",$H59=0),LEFT(LOWER(TRIM($F59&amp;"")),9)="free game",LOWER(TRIM($F59&amp;""))="free",LOWER(TRIM($F59&amp;""))="free entry"),IF(ISNUMBER($K59),$K59,""),IF($K59&lt;&gt;"",$K59,""))))))</ns0:f>
      </ns0:c>
      <ns0:c r="Q59" s="114">
        <ns0:f>IF(COUNTA($A59:$M59)=0,"",IF(OR($U59="Subscription",$U59=""),"",IF($U59="Estimate","N/A",IF($U59="Profit",ROUND(IFERROR($P59,0)-IFERROR($H59,0),2),0))))</ns0:f>
      </ns0:c>
      <ns0:c r="R59" s="114">
        <ns0:f>IF(COUNTA($A59:$M59)=0,"",IF(OR($U59="Subscription",$U59=""),"",IF($U59="Estimate","N/A",IF($U59="Draw",$H59,0))))</ns0:f>
      </ns0:c>
      <ns0:c r="S59" s="114">
        <ns0:f>IF(COUNTA($A59:$M59)=0,"",IF(OR($U59="Subscription",$U59=""),"",IF($U59="Estimate","N/A",IF($U59="Disqualified",$H59,0))))</ns0:f>
      </ns0:c>
      <ns0:c r="T59" s="955">
        <ns0:f>IF(COUNTA($A59:$M59)=0,"",IF(OR($U59="Subscription",$U59=""),"",IF($U59="Estimate","N/A",IF(OR($U59="Free Game",$U59="Disqualified — Free Game",$H59=0),"N/A",IF($U59="Profit",$Q59/$H59,IF($U59="Disqualified",-$S59/$H59,0))))))</ns0:f>
      </ns0:c>
      <ns0:c r="U59" s="920">
        <ns0:f>IF(COUNTA($A59:$M59)=0,"",IF(OR(LEFT(LOWER(TRIM($F59&amp;"")),12)="subscription",LOWER(TRIM($F59&amp;""))="membership"),"Subscription",IF(LOWER(TRIM($D59&amp;""))="estimate","Estimate",IF(OR(AND($H59&lt;&gt;"",$H59=0),LEFT(LOWER(TRIM($F59&amp;"")),9)="free game",LOWER(TRIM($F59&amp;""))="free",LOWER(TRIM($F59&amp;""))="free entry"),IF(LOWER($L59&amp;"")="yes","Disqualified — Free Game","Free Game"),IF(LOWER($L59&amp;"")="yes","Disqualified",IF($P59="","",IF(ROUND(IFERROR(VALUE($P59),0)-IFERROR(VALUE($H59),0),2)&gt;0,"Profit","Draw")))))))</ns0:f>
      </ns0:c>
      <ns0:c r="V59" s="956" t="str">
        <ns0:f>IF(COUNTA($A59:$M59)=0,"",IF(OR($B59="",$C59="",$U59="Subscription"),"",IFERROR(ROUNDUP(($C59-$B59)/7,0),"")))</ns0:f>
      </ns0:c>
      <ns0:c r="W59" s="114">
        <ns0:f>IF(COUNTA($A59:$M59)=0,"",IF(OR($U59="Subscription",$U59=""),"",IF($U59="Estimate","N/A",IF(OR($U59="Free Game",$U59="Disqualified — Free Game"),0,ROUND(IFERROR($Q59,0)-IFERROR($S59,0),2)))))</ns0:f>
      </ns0:c>
      <ns0:c r="X59" s="956" t="str">
        <ns0:f>IF(COUNTA($A59:$M59)=0,"",IF(OR($U59="Subscription",NOT(ISNUMBER($J59)),NOT(ISNUMBER($I59)),$J59=0,$I59=0,$I59&gt;$J59),"",$J59-$I59))</ns0:f>
      </ns0:c>
      <ns0:c r="Y59" s="955" t="str">
        <ns0:f>IF(COUNTA($A59:$M59)=0,"",IF(OR($U59="Subscription",NOT(ISNUMBER($J59)),$J59=0,$X59=""),"",$X59/$J59))</ns0:f>
      </ns0:c>
      <ns0:c r="Z59" s="957" t="str">
        <ns0:f>IF(COUNTA($A59:$M59)=0,"",Instructions!$B$29+SUM($W$5:W59))</ns0:f>
      </ns0:c>
    </ns0:row>
    <ns0:row r="60" ht="36" customHeight="1">
      <ns0:c r="A60" s="439"/>
      <ns0:c r="B60" s="453"/>
      <ns0:c r="C60" s="453"/>
      <ns0:c r="D60" s="454"/>
      <ns0:c r="E60" s="454"/>
      <ns0:c r="F60" s="454"/>
      <ns0:c r="G60" s="986"/>
      <ns0:c r="H60" s="455"/>
      <ns0:c r="I60" s="456"/>
      <ns0:c r="J60" s="456"/>
      <ns0:c r="K60" s="986"/>
      <ns0:c r="L60" s="454"/>
      <ns0:c r="M60" s="439"/>
      <ns0:c r="N60" s="987" t="str">
        <ns0:f>IF(COUNTA($A60:$M60)=0,"",IF(OR(LEFT(LOWER(TRIM($F60&amp;"")),12)="subscription",LOWER(TRIM($F60&amp;""))="membership"),"",IF(OR(AND($H60&lt;&gt;"",$H60=0),LEFT(LOWER(TRIM($F60&amp;"")),9)="free game",LOWER(TRIM($F60&amp;""))="free",LOWER(TRIM($F60&amp;""))="free entry"),IF(ISNUMBER($G60),IF(ISNUMBER(SEARCH("non",LOWER($E60&amp;""))),$G60*0.85,$G60),"N/A"),IF($G60="","",IFERROR(IF(ISNUMBER(SEARCH("non",LOWER($E60&amp;""))),$G60*0.85,$G60),"")))))</ns0:f>
        <ns0:v/>
      </ns0:c>
      <ns0:c r="O60" s="987" t="str">
        <ns0:f>IF(COUNTA($A60:$M60)=0,"",IF(OR(LEFT(LOWER(TRIM($F60&amp;"")),12)="subscription",LOWER(TRIM($F60&amp;""))="membership"),"",IF(OR(AND($H60&lt;&gt;"",$H60=0),LEFT(LOWER(TRIM($F60&amp;"")),9)="free game",LOWER(TRIM($F60&amp;""))="free",LOWER(TRIM($F60&amp;""))="free entry"),IF(OR(NOT(ISNUMBER($N60)),NOT(ISNUMBER($I60)),$I60=0),"N/A",IFERROR($N60/$I60,"N/A")),IF(OR($N60="",$I60="",$I60=0),"",IFERROR($N60/$I60,"")))))</ns0:f>
        <ns0:v/>
      </ns0:c>
      <ns0:c r="P60" s="987">
        <ns0:f>IF(COUNTA($A60:$M60)=0,"",IF(OR(LEFT(LOWER(TRIM($F60&amp;"")),12)="subscription",LOWER(TRIM($F60&amp;""))="membership"),"",IF(LOWER(TRIM($D60&amp;""))="estimate","N/A",IF(LOWER($L60&amp;"")="yes",0,IF(OR(AND($H60&lt;&gt;"",$H60=0),LEFT(LOWER(TRIM($F60&amp;"")),9)="free game",LOWER(TRIM($F60&amp;""))="free",LOWER(TRIM($F60&amp;""))="free entry"),IF(ISNUMBER($K60),$K60,""),IF($K60&lt;&gt;"",$K60,""))))))</ns0:f>
      </ns0:c>
      <ns0:c r="Q60" s="114">
        <ns0:f>IF(COUNTA($A60:$M60)=0,"",IF(OR($U60="Subscription",$U60=""),"",IF($U60="Estimate","N/A",IF($U60="Profit",ROUND(IFERROR($P60,0)-IFERROR($H60,0),2),0))))</ns0:f>
      </ns0:c>
      <ns0:c r="R60" s="114">
        <ns0:f>IF(COUNTA($A60:$M60)=0,"",IF(OR($U60="Subscription",$U60=""),"",IF($U60="Estimate","N/A",IF($U60="Draw",$H60,0))))</ns0:f>
      </ns0:c>
      <ns0:c r="S60" s="114">
        <ns0:f>IF(COUNTA($A60:$M60)=0,"",IF(OR($U60="Subscription",$U60=""),"",IF($U60="Estimate","N/A",IF($U60="Disqualified",$H60,0))))</ns0:f>
      </ns0:c>
      <ns0:c r="T60" s="955">
        <ns0:f>IF(COUNTA($A60:$M60)=0,"",IF(OR($U60="Subscription",$U60=""),"",IF($U60="Estimate","N/A",IF(OR($U60="Free Game",$U60="Disqualified — Free Game",$H60=0),"N/A",IF($U60="Profit",$Q60/$H60,IF($U60="Disqualified",-$S60/$H60,0))))))</ns0:f>
      </ns0:c>
      <ns0:c r="U60" s="920">
        <ns0:f>IF(COUNTA($A60:$M60)=0,"",IF(OR(LEFT(LOWER(TRIM($F60&amp;"")),12)="subscription",LOWER(TRIM($F60&amp;""))="membership"),"Subscription",IF(LOWER(TRIM($D60&amp;""))="estimate","Estimate",IF(OR(AND($H60&lt;&gt;"",$H60=0),LEFT(LOWER(TRIM($F60&amp;"")),9)="free game",LOWER(TRIM($F60&amp;""))="free",LOWER(TRIM($F60&amp;""))="free entry"),IF(LOWER($L60&amp;"")="yes","Disqualified — Free Game","Free Game"),IF(LOWER($L60&amp;"")="yes","Disqualified",IF($P60="","",IF(ROUND(IFERROR(VALUE($P60),0)-IFERROR(VALUE($H60),0),2)&gt;0,"Profit","Draw")))))))</ns0:f>
      </ns0:c>
      <ns0:c r="V60" s="956" t="str">
        <ns0:f>IF(COUNTA($A60:$M60)=0,"",IF(OR($B60="",$C60="",$U60="Subscription"),"",IFERROR(ROUNDUP(($C60-$B60)/7,0),"")))</ns0:f>
      </ns0:c>
      <ns0:c r="W60" s="114">
        <ns0:f>IF(COUNTA($A60:$M60)=0,"",IF(OR($U60="Subscription",$U60=""),"",IF($U60="Estimate","N/A",IF(OR($U60="Free Game",$U60="Disqualified — Free Game"),0,ROUND(IFERROR($Q60,0)-IFERROR($S60,0),2)))))</ns0:f>
      </ns0:c>
      <ns0:c r="X60" s="956" t="str">
        <ns0:f>IF(COUNTA($A60:$M60)=0,"",IF(OR($U60="Subscription",NOT(ISNUMBER($J60)),NOT(ISNUMBER($I60)),$J60=0,$I60=0,$I60&gt;$J60),"",$J60-$I60))</ns0:f>
      </ns0:c>
      <ns0:c r="Y60" s="955" t="str">
        <ns0:f>IF(COUNTA($A60:$M60)=0,"",IF(OR($U60="Subscription",NOT(ISNUMBER($J60)),$J60=0,$X60=""),"",$X60/$J60))</ns0:f>
      </ns0:c>
      <ns0:c r="Z60" s="957" t="str">
        <ns0:f>IF(COUNTA($A60:$M60)=0,"",Instructions!$B$29+SUM($W$5:W60))</ns0:f>
      </ns0:c>
    </ns0:row>
    <ns0:row r="61" ht="36" customHeight="1">
      <ns0:c r="A61" s="439"/>
      <ns0:c r="B61" s="453"/>
      <ns0:c r="C61" s="453"/>
      <ns0:c r="D61" s="454"/>
      <ns0:c r="E61" s="454"/>
      <ns0:c r="F61" s="454"/>
      <ns0:c r="G61" s="986"/>
      <ns0:c r="H61" s="455"/>
      <ns0:c r="I61" s="456"/>
      <ns0:c r="J61" s="456"/>
      <ns0:c r="K61" s="986"/>
      <ns0:c r="L61" s="454"/>
      <ns0:c r="M61" s="439"/>
      <ns0:c r="N61" s="987" t="str">
        <ns0:f>IF(COUNTA($A61:$M61)=0,"",IF(OR(LEFT(LOWER(TRIM($F61&amp;"")),12)="subscription",LOWER(TRIM($F61&amp;""))="membership"),"",IF(OR(AND($H61&lt;&gt;"",$H61=0),LEFT(LOWER(TRIM($F61&amp;"")),9)="free game",LOWER(TRIM($F61&amp;""))="free",LOWER(TRIM($F61&amp;""))="free entry"),IF(ISNUMBER($G61),IF(ISNUMBER(SEARCH("non",LOWER($E61&amp;""))),$G61*0.85,$G61),"N/A"),IF($G61="","",IFERROR(IF(ISNUMBER(SEARCH("non",LOWER($E61&amp;""))),$G61*0.85,$G61),"")))))</ns0:f>
        <ns0:v/>
      </ns0:c>
      <ns0:c r="O61" s="987" t="str">
        <ns0:f>IF(COUNTA($A61:$M61)=0,"",IF(OR(LEFT(LOWER(TRIM($F61&amp;"")),12)="subscription",LOWER(TRIM($F61&amp;""))="membership"),"",IF(OR(AND($H61&lt;&gt;"",$H61=0),LEFT(LOWER(TRIM($F61&amp;"")),9)="free game",LOWER(TRIM($F61&amp;""))="free",LOWER(TRIM($F61&amp;""))="free entry"),IF(OR(NOT(ISNUMBER($N61)),NOT(ISNUMBER($I61)),$I61=0),"N/A",IFERROR($N61/$I61,"N/A")),IF(OR($N61="",$I61="",$I61=0),"",IFERROR($N61/$I61,"")))))</ns0:f>
        <ns0:v/>
      </ns0:c>
      <ns0:c r="P61" s="987">
        <ns0:f>IF(COUNTA($A61:$M61)=0,"",IF(OR(LEFT(LOWER(TRIM($F61&amp;"")),12)="subscription",LOWER(TRIM($F61&amp;""))="membership"),"",IF(LOWER(TRIM($D61&amp;""))="estimate","N/A",IF(LOWER($L61&amp;"")="yes",0,IF(OR(AND($H61&lt;&gt;"",$H61=0),LEFT(LOWER(TRIM($F61&amp;"")),9)="free game",LOWER(TRIM($F61&amp;""))="free",LOWER(TRIM($F61&amp;""))="free entry"),IF(ISNUMBER($K61),$K61,""),IF($K61&lt;&gt;"",$K61,""))))))</ns0:f>
      </ns0:c>
      <ns0:c r="Q61" s="114">
        <ns0:f>IF(COUNTA($A61:$M61)=0,"",IF(OR($U61="Subscription",$U61=""),"",IF($U61="Estimate","N/A",IF($U61="Profit",ROUND(IFERROR($P61,0)-IFERROR($H61,0),2),0))))</ns0:f>
      </ns0:c>
      <ns0:c r="R61" s="114">
        <ns0:f>IF(COUNTA($A61:$M61)=0,"",IF(OR($U61="Subscription",$U61=""),"",IF($U61="Estimate","N/A",IF($U61="Draw",$H61,0))))</ns0:f>
      </ns0:c>
      <ns0:c r="S61" s="114">
        <ns0:f>IF(COUNTA($A61:$M61)=0,"",IF(OR($U61="Subscription",$U61=""),"",IF($U61="Estimate","N/A",IF($U61="Disqualified",$H61,0))))</ns0:f>
      </ns0:c>
      <ns0:c r="T61" s="955">
        <ns0:f>IF(COUNTA($A61:$M61)=0,"",IF(OR($U61="Subscription",$U61=""),"",IF($U61="Estimate","N/A",IF(OR($U61="Free Game",$U61="Disqualified — Free Game",$H61=0),"N/A",IF($U61="Profit",$Q61/$H61,IF($U61="Disqualified",-$S61/$H61,0))))))</ns0:f>
      </ns0:c>
      <ns0:c r="U61" s="920">
        <ns0:f>IF(COUNTA($A61:$M61)=0,"",IF(OR(LEFT(LOWER(TRIM($F61&amp;"")),12)="subscription",LOWER(TRIM($F61&amp;""))="membership"),"Subscription",IF(LOWER(TRIM($D61&amp;""))="estimate","Estimate",IF(OR(AND($H61&lt;&gt;"",$H61=0),LEFT(LOWER(TRIM($F61&amp;"")),9)="free game",LOWER(TRIM($F61&amp;""))="free",LOWER(TRIM($F61&amp;""))="free entry"),IF(LOWER($L61&amp;"")="yes","Disqualified — Free Game","Free Game"),IF(LOWER($L61&amp;"")="yes","Disqualified",IF($P61="","",IF(ROUND(IFERROR(VALUE($P61),0)-IFERROR(VALUE($H61),0),2)&gt;0,"Profit","Draw")))))))</ns0:f>
      </ns0:c>
      <ns0:c r="V61" s="956" t="str">
        <ns0:f>IF(COUNTA($A61:$M61)=0,"",IF(OR($B61="",$C61="",$U61="Subscription"),"",IFERROR(ROUNDUP(($C61-$B61)/7,0),"")))</ns0:f>
      </ns0:c>
      <ns0:c r="W61" s="114">
        <ns0:f>IF(COUNTA($A61:$M61)=0,"",IF(OR($U61="Subscription",$U61=""),"",IF($U61="Estimate","N/A",IF(OR($U61="Free Game",$U61="Disqualified — Free Game"),0,ROUND(IFERROR($Q61,0)-IFERROR($S61,0),2)))))</ns0:f>
      </ns0:c>
      <ns0:c r="X61" s="956" t="str">
        <ns0:f>IF(COUNTA($A61:$M61)=0,"",IF(OR($U61="Subscription",NOT(ISNUMBER($J61)),NOT(ISNUMBER($I61)),$J61=0,$I61=0,$I61&gt;$J61),"",$J61-$I61))</ns0:f>
      </ns0:c>
      <ns0:c r="Y61" s="955" t="str">
        <ns0:f>IF(COUNTA($A61:$M61)=0,"",IF(OR($U61="Subscription",NOT(ISNUMBER($J61)),$J61=0,$X61=""),"",$X61/$J61))</ns0:f>
      </ns0:c>
      <ns0:c r="Z61" s="957" t="str">
        <ns0:f>IF(COUNTA($A61:$M61)=0,"",Instructions!$B$29+SUM($W$5:W61))</ns0:f>
      </ns0:c>
    </ns0:row>
    <ns0:row r="62" ht="36" customHeight="1">
      <ns0:c r="A62" s="439"/>
      <ns0:c r="B62" s="453"/>
      <ns0:c r="C62" s="453"/>
      <ns0:c r="D62" s="454"/>
      <ns0:c r="E62" s="454"/>
      <ns0:c r="F62" s="454"/>
      <ns0:c r="G62" s="986"/>
      <ns0:c r="H62" s="455"/>
      <ns0:c r="I62" s="456"/>
      <ns0:c r="J62" s="456"/>
      <ns0:c r="K62" s="986"/>
      <ns0:c r="L62" s="454"/>
      <ns0:c r="M62" s="439"/>
      <ns0:c r="N62" s="987" t="str">
        <ns0:f>IF(COUNTA($A62:$M62)=0,"",IF(OR(LEFT(LOWER(TRIM($F62&amp;"")),12)="subscription",LOWER(TRIM($F62&amp;""))="membership"),"",IF(OR(AND($H62&lt;&gt;"",$H62=0),LEFT(LOWER(TRIM($F62&amp;"")),9)="free game",LOWER(TRIM($F62&amp;""))="free",LOWER(TRIM($F62&amp;""))="free entry"),IF(ISNUMBER($G62),IF(ISNUMBER(SEARCH("non",LOWER($E62&amp;""))),$G62*0.85,$G62),"N/A"),IF($G62="","",IFERROR(IF(ISNUMBER(SEARCH("non",LOWER($E62&amp;""))),$G62*0.85,$G62),"")))))</ns0:f>
        <ns0:v/>
      </ns0:c>
      <ns0:c r="O62" s="987" t="str">
        <ns0:f>IF(COUNTA($A62:$M62)=0,"",IF(OR(LEFT(LOWER(TRIM($F62&amp;"")),12)="subscription",LOWER(TRIM($F62&amp;""))="membership"),"",IF(OR(AND($H62&lt;&gt;"",$H62=0),LEFT(LOWER(TRIM($F62&amp;"")),9)="free game",LOWER(TRIM($F62&amp;""))="free",LOWER(TRIM($F62&amp;""))="free entry"),IF(OR(NOT(ISNUMBER($N62)),NOT(ISNUMBER($I62)),$I62=0),"N/A",IFERROR($N62/$I62,"N/A")),IF(OR($N62="",$I62="",$I62=0),"",IFERROR($N62/$I62,"")))))</ns0:f>
        <ns0:v/>
      </ns0:c>
      <ns0:c r="P62" s="987">
        <ns0:f>IF(COUNTA($A62:$M62)=0,"",IF(OR(LEFT(LOWER(TRIM($F62&amp;"")),12)="subscription",LOWER(TRIM($F62&amp;""))="membership"),"",IF(LOWER(TRIM($D62&amp;""))="estimate","N/A",IF(LOWER($L62&amp;"")="yes",0,IF(OR(AND($H62&lt;&gt;"",$H62=0),LEFT(LOWER(TRIM($F62&amp;"")),9)="free game",LOWER(TRIM($F62&amp;""))="free",LOWER(TRIM($F62&amp;""))="free entry"),IF(ISNUMBER($K62),$K62,""),IF($K62&lt;&gt;"",$K62,""))))))</ns0:f>
      </ns0:c>
      <ns0:c r="Q62" s="114">
        <ns0:f>IF(COUNTA($A62:$M62)=0,"",IF(OR($U62="Subscription",$U62=""),"",IF($U62="Estimate","N/A",IF($U62="Profit",ROUND(IFERROR($P62,0)-IFERROR($H62,0),2),0))))</ns0:f>
      </ns0:c>
      <ns0:c r="R62" s="114">
        <ns0:f>IF(COUNTA($A62:$M62)=0,"",IF(OR($U62="Subscription",$U62=""),"",IF($U62="Estimate","N/A",IF($U62="Draw",$H62,0))))</ns0:f>
      </ns0:c>
      <ns0:c r="S62" s="114">
        <ns0:f>IF(COUNTA($A62:$M62)=0,"",IF(OR($U62="Subscription",$U62=""),"",IF($U62="Estimate","N/A",IF($U62="Disqualified",$H62,0))))</ns0:f>
      </ns0:c>
      <ns0:c r="T62" s="955">
        <ns0:f>IF(COUNTA($A62:$M62)=0,"",IF(OR($U62="Subscription",$U62=""),"",IF($U62="Estimate","N/A",IF(OR($U62="Free Game",$U62="Disqualified — Free Game",$H62=0),"N/A",IF($U62="Profit",$Q62/$H62,IF($U62="Disqualified",-$S62/$H62,0))))))</ns0:f>
      </ns0:c>
      <ns0:c r="U62" s="920">
        <ns0:f>IF(COUNTA($A62:$M62)=0,"",IF(OR(LEFT(LOWER(TRIM($F62&amp;"")),12)="subscription",LOWER(TRIM($F62&amp;""))="membership"),"Subscription",IF(LOWER(TRIM($D62&amp;""))="estimate","Estimate",IF(OR(AND($H62&lt;&gt;"",$H62=0),LEFT(LOWER(TRIM($F62&amp;"")),9)="free game",LOWER(TRIM($F62&amp;""))="free",LOWER(TRIM($F62&amp;""))="free entry"),IF(LOWER($L62&amp;"")="yes","Disqualified — Free Game","Free Game"),IF(LOWER($L62&amp;"")="yes","Disqualified",IF($P62="","",IF(ROUND(IFERROR(VALUE($P62),0)-IFERROR(VALUE($H62),0),2)&gt;0,"Profit","Draw")))))))</ns0:f>
      </ns0:c>
      <ns0:c r="V62" s="956" t="str">
        <ns0:f>IF(COUNTA($A62:$M62)=0,"",IF(OR($B62="",$C62="",$U62="Subscription"),"",IFERROR(ROUNDUP(($C62-$B62)/7,0),"")))</ns0:f>
      </ns0:c>
      <ns0:c r="W62" s="114">
        <ns0:f>IF(COUNTA($A62:$M62)=0,"",IF(OR($U62="Subscription",$U62=""),"",IF($U62="Estimate","N/A",IF(OR($U62="Free Game",$U62="Disqualified — Free Game"),0,ROUND(IFERROR($Q62,0)-IFERROR($S62,0),2)))))</ns0:f>
      </ns0:c>
      <ns0:c r="X62" s="956" t="str">
        <ns0:f>IF(COUNTA($A62:$M62)=0,"",IF(OR($U62="Subscription",NOT(ISNUMBER($J62)),NOT(ISNUMBER($I62)),$J62=0,$I62=0,$I62&gt;$J62),"",$J62-$I62))</ns0:f>
      </ns0:c>
      <ns0:c r="Y62" s="955" t="str">
        <ns0:f>IF(COUNTA($A62:$M62)=0,"",IF(OR($U62="Subscription",NOT(ISNUMBER($J62)),$J62=0,$X62=""),"",$X62/$J62))</ns0:f>
      </ns0:c>
      <ns0:c r="Z62" s="957" t="str">
        <ns0:f>IF(COUNTA($A62:$M62)=0,"",Instructions!$B$29+SUM($W$5:W62))</ns0:f>
      </ns0:c>
    </ns0:row>
    <ns0:row r="63" ht="36" customHeight="1">
      <ns0:c r="A63" s="439"/>
      <ns0:c r="B63" s="453"/>
      <ns0:c r="C63" s="453"/>
      <ns0:c r="D63" s="454"/>
      <ns0:c r="E63" s="454"/>
      <ns0:c r="F63" s="454"/>
      <ns0:c r="G63" s="986"/>
      <ns0:c r="H63" s="455"/>
      <ns0:c r="I63" s="456"/>
      <ns0:c r="J63" s="456"/>
      <ns0:c r="K63" s="986"/>
      <ns0:c r="L63" s="454"/>
      <ns0:c r="M63" s="439"/>
      <ns0:c r="N63" s="987" t="str">
        <ns0:f>IF(COUNTA($A63:$M63)=0,"",IF(OR(LEFT(LOWER(TRIM($F63&amp;"")),12)="subscription",LOWER(TRIM($F63&amp;""))="membership"),"",IF(OR(AND($H63&lt;&gt;"",$H63=0),LEFT(LOWER(TRIM($F63&amp;"")),9)="free game",LOWER(TRIM($F63&amp;""))="free",LOWER(TRIM($F63&amp;""))="free entry"),IF(ISNUMBER($G63),IF(ISNUMBER(SEARCH("non",LOWER($E63&amp;""))),$G63*0.85,$G63),"N/A"),IF($G63="","",IFERROR(IF(ISNUMBER(SEARCH("non",LOWER($E63&amp;""))),$G63*0.85,$G63),"")))))</ns0:f>
        <ns0:v/>
      </ns0:c>
      <ns0:c r="O63" s="987" t="str">
        <ns0:f>IF(COUNTA($A63:$M63)=0,"",IF(OR(LEFT(LOWER(TRIM($F63&amp;"")),12)="subscription",LOWER(TRIM($F63&amp;""))="membership"),"",IF(OR(AND($H63&lt;&gt;"",$H63=0),LEFT(LOWER(TRIM($F63&amp;"")),9)="free game",LOWER(TRIM($F63&amp;""))="free",LOWER(TRIM($F63&amp;""))="free entry"),IF(OR(NOT(ISNUMBER($N63)),NOT(ISNUMBER($I63)),$I63=0),"N/A",IFERROR($N63/$I63,"N/A")),IF(OR($N63="",$I63="",$I63=0),"",IFERROR($N63/$I63,"")))))</ns0:f>
        <ns0:v/>
      </ns0:c>
      <ns0:c r="P63" s="987">
        <ns0:f>IF(COUNTA($A63:$M63)=0,"",IF(OR(LEFT(LOWER(TRIM($F63&amp;"")),12)="subscription",LOWER(TRIM($F63&amp;""))="membership"),"",IF(LOWER(TRIM($D63&amp;""))="estimate","N/A",IF(LOWER($L63&amp;"")="yes",0,IF(OR(AND($H63&lt;&gt;"",$H63=0),LEFT(LOWER(TRIM($F63&amp;"")),9)="free game",LOWER(TRIM($F63&amp;""))="free",LOWER(TRIM($F63&amp;""))="free entry"),IF(ISNUMBER($K63),$K63,""),IF($K63&lt;&gt;"",$K63,""))))))</ns0:f>
      </ns0:c>
      <ns0:c r="Q63" s="114">
        <ns0:f>IF(COUNTA($A63:$M63)=0,"",IF(OR($U63="Subscription",$U63=""),"",IF($U63="Estimate","N/A",IF($U63="Profit",ROUND(IFERROR($P63,0)-IFERROR($H63,0),2),0))))</ns0:f>
      </ns0:c>
      <ns0:c r="R63" s="114">
        <ns0:f>IF(COUNTA($A63:$M63)=0,"",IF(OR($U63="Subscription",$U63=""),"",IF($U63="Estimate","N/A",IF($U63="Draw",$H63,0))))</ns0:f>
      </ns0:c>
      <ns0:c r="S63" s="114">
        <ns0:f>IF(COUNTA($A63:$M63)=0,"",IF(OR($U63="Subscription",$U63=""),"",IF($U63="Estimate","N/A",IF($U63="Disqualified",$H63,0))))</ns0:f>
      </ns0:c>
      <ns0:c r="T63" s="955">
        <ns0:f>IF(COUNTA($A63:$M63)=0,"",IF(OR($U63="Subscription",$U63=""),"",IF($U63="Estimate","N/A",IF(OR($U63="Free Game",$U63="Disqualified — Free Game",$H63=0),"N/A",IF($U63="Profit",$Q63/$H63,IF($U63="Disqualified",-$S63/$H63,0))))))</ns0:f>
      </ns0:c>
      <ns0:c r="U63" s="920">
        <ns0:f>IF(COUNTA($A63:$M63)=0,"",IF(OR(LEFT(LOWER(TRIM($F63&amp;"")),12)="subscription",LOWER(TRIM($F63&amp;""))="membership"),"Subscription",IF(LOWER(TRIM($D63&amp;""))="estimate","Estimate",IF(OR(AND($H63&lt;&gt;"",$H63=0),LEFT(LOWER(TRIM($F63&amp;"")),9)="free game",LOWER(TRIM($F63&amp;""))="free",LOWER(TRIM($F63&amp;""))="free entry"),IF(LOWER($L63&amp;"")="yes","Disqualified — Free Game","Free Game"),IF(LOWER($L63&amp;"")="yes","Disqualified",IF($P63="","",IF(ROUND(IFERROR(VALUE($P63),0)-IFERROR(VALUE($H63),0),2)&gt;0,"Profit","Draw")))))))</ns0:f>
      </ns0:c>
      <ns0:c r="V63" s="956" t="str">
        <ns0:f>IF(COUNTA($A63:$M63)=0,"",IF(OR($B63="",$C63="",$U63="Subscription"),"",IFERROR(ROUNDUP(($C63-$B63)/7,0),"")))</ns0:f>
      </ns0:c>
      <ns0:c r="W63" s="114">
        <ns0:f>IF(COUNTA($A63:$M63)=0,"",IF(OR($U63="Subscription",$U63=""),"",IF($U63="Estimate","N/A",IF(OR($U63="Free Game",$U63="Disqualified — Free Game"),0,ROUND(IFERROR($Q63,0)-IFERROR($S63,0),2)))))</ns0:f>
      </ns0:c>
      <ns0:c r="X63" s="956" t="str">
        <ns0:f>IF(COUNTA($A63:$M63)=0,"",IF(OR($U63="Subscription",NOT(ISNUMBER($J63)),NOT(ISNUMBER($I63)),$J63=0,$I63=0,$I63&gt;$J63),"",$J63-$I63))</ns0:f>
      </ns0:c>
      <ns0:c r="Y63" s="955" t="str">
        <ns0:f>IF(COUNTA($A63:$M63)=0,"",IF(OR($U63="Subscription",NOT(ISNUMBER($J63)),$J63=0,$X63=""),"",$X63/$J63))</ns0:f>
      </ns0:c>
      <ns0:c r="Z63" s="957" t="str">
        <ns0:f>IF(COUNTA($A63:$M63)=0,"",Instructions!$B$29+SUM($W$5:W63))</ns0:f>
      </ns0:c>
    </ns0:row>
    <ns0:row r="64" ht="36" customHeight="1">
      <ns0:c r="A64" s="439"/>
      <ns0:c r="B64" s="453"/>
      <ns0:c r="C64" s="453"/>
      <ns0:c r="D64" s="454"/>
      <ns0:c r="E64" s="454"/>
      <ns0:c r="F64" s="454"/>
      <ns0:c r="G64" s="986"/>
      <ns0:c r="H64" s="455"/>
      <ns0:c r="I64" s="456"/>
      <ns0:c r="J64" s="456"/>
      <ns0:c r="K64" s="986"/>
      <ns0:c r="L64" s="454"/>
      <ns0:c r="M64" s="439"/>
      <ns0:c r="N64" s="987" t="str">
        <ns0:f>IF(COUNTA($A64:$M64)=0,"",IF(OR(LEFT(LOWER(TRIM($F64&amp;"")),12)="subscription",LOWER(TRIM($F64&amp;""))="membership"),"",IF(OR(AND($H64&lt;&gt;"",$H64=0),LEFT(LOWER(TRIM($F64&amp;"")),9)="free game",LOWER(TRIM($F64&amp;""))="free",LOWER(TRIM($F64&amp;""))="free entry"),IF(ISNUMBER($G64),IF(ISNUMBER(SEARCH("non",LOWER($E64&amp;""))),$G64*0.85,$G64),"N/A"),IF($G64="","",IFERROR(IF(ISNUMBER(SEARCH("non",LOWER($E64&amp;""))),$G64*0.85,$G64),"")))))</ns0:f>
        <ns0:v/>
      </ns0:c>
      <ns0:c r="O64" s="987" t="str">
        <ns0:f>IF(COUNTA($A64:$M64)=0,"",IF(OR(LEFT(LOWER(TRIM($F64&amp;"")),12)="subscription",LOWER(TRIM($F64&amp;""))="membership"),"",IF(OR(AND($H64&lt;&gt;"",$H64=0),LEFT(LOWER(TRIM($F64&amp;"")),9)="free game",LOWER(TRIM($F64&amp;""))="free",LOWER(TRIM($F64&amp;""))="free entry"),IF(OR(NOT(ISNUMBER($N64)),NOT(ISNUMBER($I64)),$I64=0),"N/A",IFERROR($N64/$I64,"N/A")),IF(OR($N64="",$I64="",$I64=0),"",IFERROR($N64/$I64,"")))))</ns0:f>
        <ns0:v/>
      </ns0:c>
      <ns0:c r="P64" s="987">
        <ns0:f>IF(COUNTA($A64:$M64)=0,"",IF(OR(LEFT(LOWER(TRIM($F64&amp;"")),12)="subscription",LOWER(TRIM($F64&amp;""))="membership"),"",IF(LOWER(TRIM($D64&amp;""))="estimate","N/A",IF(LOWER($L64&amp;"")="yes",0,IF(OR(AND($H64&lt;&gt;"",$H64=0),LEFT(LOWER(TRIM($F64&amp;"")),9)="free game",LOWER(TRIM($F64&amp;""))="free",LOWER(TRIM($F64&amp;""))="free entry"),IF(ISNUMBER($K64),$K64,""),IF($K64&lt;&gt;"",$K64,""))))))</ns0:f>
      </ns0:c>
      <ns0:c r="Q64" s="114">
        <ns0:f>IF(COUNTA($A64:$M64)=0,"",IF(OR($U64="Subscription",$U64=""),"",IF($U64="Estimate","N/A",IF($U64="Profit",ROUND(IFERROR($P64,0)-IFERROR($H64,0),2),0))))</ns0:f>
      </ns0:c>
      <ns0:c r="R64" s="114">
        <ns0:f>IF(COUNTA($A64:$M64)=0,"",IF(OR($U64="Subscription",$U64=""),"",IF($U64="Estimate","N/A",IF($U64="Draw",$H64,0))))</ns0:f>
      </ns0:c>
      <ns0:c r="S64" s="114">
        <ns0:f>IF(COUNTA($A64:$M64)=0,"",IF(OR($U64="Subscription",$U64=""),"",IF($U64="Estimate","N/A",IF($U64="Disqualified",$H64,0))))</ns0:f>
      </ns0:c>
      <ns0:c r="T64" s="955">
        <ns0:f>IF(COUNTA($A64:$M64)=0,"",IF(OR($U64="Subscription",$U64=""),"",IF($U64="Estimate","N/A",IF(OR($U64="Free Game",$U64="Disqualified — Free Game",$H64=0),"N/A",IF($U64="Profit",$Q64/$H64,IF($U64="Disqualified",-$S64/$H64,0))))))</ns0:f>
      </ns0:c>
      <ns0:c r="U64" s="920">
        <ns0:f>IF(COUNTA($A64:$M64)=0,"",IF(OR(LEFT(LOWER(TRIM($F64&amp;"")),12)="subscription",LOWER(TRIM($F64&amp;""))="membership"),"Subscription",IF(LOWER(TRIM($D64&amp;""))="estimate","Estimate",IF(OR(AND($H64&lt;&gt;"",$H64=0),LEFT(LOWER(TRIM($F64&amp;"")),9)="free game",LOWER(TRIM($F64&amp;""))="free",LOWER(TRIM($F64&amp;""))="free entry"),IF(LOWER($L64&amp;"")="yes","Disqualified — Free Game","Free Game"),IF(LOWER($L64&amp;"")="yes","Disqualified",IF($P64="","",IF(ROUND(IFERROR(VALUE($P64),0)-IFERROR(VALUE($H64),0),2)&gt;0,"Profit","Draw")))))))</ns0:f>
      </ns0:c>
      <ns0:c r="V64" s="956" t="str">
        <ns0:f>IF(COUNTA($A64:$M64)=0,"",IF(OR($B64="",$C64="",$U64="Subscription"),"",IFERROR(ROUNDUP(($C64-$B64)/7,0),"")))</ns0:f>
      </ns0:c>
      <ns0:c r="W64" s="114">
        <ns0:f>IF(COUNTA($A64:$M64)=0,"",IF(OR($U64="Subscription",$U64=""),"",IF($U64="Estimate","N/A",IF(OR($U64="Free Game",$U64="Disqualified — Free Game"),0,ROUND(IFERROR($Q64,0)-IFERROR($S64,0),2)))))</ns0:f>
      </ns0:c>
      <ns0:c r="X64" s="956" t="str">
        <ns0:f>IF(COUNTA($A64:$M64)=0,"",IF(OR($U64="Subscription",NOT(ISNUMBER($J64)),NOT(ISNUMBER($I64)),$J64=0,$I64=0,$I64&gt;$J64),"",$J64-$I64))</ns0:f>
      </ns0:c>
      <ns0:c r="Y64" s="955" t="str">
        <ns0:f>IF(COUNTA($A64:$M64)=0,"",IF(OR($U64="Subscription",NOT(ISNUMBER($J64)),$J64=0,$X64=""),"",$X64/$J64))</ns0:f>
      </ns0:c>
      <ns0:c r="Z64" s="957" t="str">
        <ns0:f>IF(COUNTA($A64:$M64)=0,"",Instructions!$B$29+SUM($W$5:W64))</ns0:f>
      </ns0:c>
    </ns0:row>
    <ns0:row r="65" ht="36" customHeight="1">
      <ns0:c r="A65" s="439"/>
      <ns0:c r="B65" s="453"/>
      <ns0:c r="C65" s="453"/>
      <ns0:c r="D65" s="454"/>
      <ns0:c r="E65" s="454"/>
      <ns0:c r="F65" s="454"/>
      <ns0:c r="G65" s="986"/>
      <ns0:c r="H65" s="455"/>
      <ns0:c r="I65" s="456"/>
      <ns0:c r="J65" s="456"/>
      <ns0:c r="K65" s="986"/>
      <ns0:c r="L65" s="454"/>
      <ns0:c r="M65" s="439"/>
      <ns0:c r="N65" s="987" t="str">
        <ns0:f>IF(COUNTA($A65:$M65)=0,"",IF(OR(LEFT(LOWER(TRIM($F65&amp;"")),12)="subscription",LOWER(TRIM($F65&amp;""))="membership"),"",IF(OR(AND($H65&lt;&gt;"",$H65=0),LEFT(LOWER(TRIM($F65&amp;"")),9)="free game",LOWER(TRIM($F65&amp;""))="free",LOWER(TRIM($F65&amp;""))="free entry"),IF(ISNUMBER($G65),IF(ISNUMBER(SEARCH("non",LOWER($E65&amp;""))),$G65*0.85,$G65),"N/A"),IF($G65="","",IFERROR(IF(ISNUMBER(SEARCH("non",LOWER($E65&amp;""))),$G65*0.85,$G65),"")))))</ns0:f>
        <ns0:v/>
      </ns0:c>
      <ns0:c r="O65" s="987" t="str">
        <ns0:f>IF(COUNTA($A65:$M65)=0,"",IF(OR(LEFT(LOWER(TRIM($F65&amp;"")),12)="subscription",LOWER(TRIM($F65&amp;""))="membership"),"",IF(OR(AND($H65&lt;&gt;"",$H65=0),LEFT(LOWER(TRIM($F65&amp;"")),9)="free game",LOWER(TRIM($F65&amp;""))="free",LOWER(TRIM($F65&amp;""))="free entry"),IF(OR(NOT(ISNUMBER($N65)),NOT(ISNUMBER($I65)),$I65=0),"N/A",IFERROR($N65/$I65,"N/A")),IF(OR($N65="",$I65="",$I65=0),"",IFERROR($N65/$I65,"")))))</ns0:f>
        <ns0:v/>
      </ns0:c>
      <ns0:c r="P65" s="987">
        <ns0:f>IF(COUNTA($A65:$M65)=0,"",IF(OR(LEFT(LOWER(TRIM($F65&amp;"")),12)="subscription",LOWER(TRIM($F65&amp;""))="membership"),"",IF(LOWER(TRIM($D65&amp;""))="estimate","N/A",IF(LOWER($L65&amp;"")="yes",0,IF(OR(AND($H65&lt;&gt;"",$H65=0),LEFT(LOWER(TRIM($F65&amp;"")),9)="free game",LOWER(TRIM($F65&amp;""))="free",LOWER(TRIM($F65&amp;""))="free entry"),IF(ISNUMBER($K65),$K65,""),IF($K65&lt;&gt;"",$K65,""))))))</ns0:f>
      </ns0:c>
      <ns0:c r="Q65" s="114">
        <ns0:f>IF(COUNTA($A65:$M65)=0,"",IF(OR($U65="Subscription",$U65=""),"",IF($U65="Estimate","N/A",IF($U65="Profit",ROUND(IFERROR($P65,0)-IFERROR($H65,0),2),0))))</ns0:f>
      </ns0:c>
      <ns0:c r="R65" s="114">
        <ns0:f>IF(COUNTA($A65:$M65)=0,"",IF(OR($U65="Subscription",$U65=""),"",IF($U65="Estimate","N/A",IF($U65="Draw",$H65,0))))</ns0:f>
      </ns0:c>
      <ns0:c r="S65" s="114">
        <ns0:f>IF(COUNTA($A65:$M65)=0,"",IF(OR($U65="Subscription",$U65=""),"",IF($U65="Estimate","N/A",IF($U65="Disqualified",$H65,0))))</ns0:f>
      </ns0:c>
      <ns0:c r="T65" s="955">
        <ns0:f>IF(COUNTA($A65:$M65)=0,"",IF(OR($U65="Subscription",$U65=""),"",IF($U65="Estimate","N/A",IF(OR($U65="Free Game",$U65="Disqualified — Free Game",$H65=0),"N/A",IF($U65="Profit",$Q65/$H65,IF($U65="Disqualified",-$S65/$H65,0))))))</ns0:f>
      </ns0:c>
      <ns0:c r="U65" s="920">
        <ns0:f>IF(COUNTA($A65:$M65)=0,"",IF(OR(LEFT(LOWER(TRIM($F65&amp;"")),12)="subscription",LOWER(TRIM($F65&amp;""))="membership"),"Subscription",IF(LOWER(TRIM($D65&amp;""))="estimate","Estimate",IF(OR(AND($H65&lt;&gt;"",$H65=0),LEFT(LOWER(TRIM($F65&amp;"")),9)="free game",LOWER(TRIM($F65&amp;""))="free",LOWER(TRIM($F65&amp;""))="free entry"),IF(LOWER($L65&amp;"")="yes","Disqualified — Free Game","Free Game"),IF(LOWER($L65&amp;"")="yes","Disqualified",IF($P65="","",IF(ROUND(IFERROR(VALUE($P65),0)-IFERROR(VALUE($H65),0),2)&gt;0,"Profit","Draw")))))))</ns0:f>
      </ns0:c>
      <ns0:c r="V65" s="956" t="str">
        <ns0:f>IF(COUNTA($A65:$M65)=0,"",IF(OR($B65="",$C65="",$U65="Subscription"),"",IFERROR(ROUNDUP(($C65-$B65)/7,0),"")))</ns0:f>
      </ns0:c>
      <ns0:c r="W65" s="114">
        <ns0:f>IF(COUNTA($A65:$M65)=0,"",IF(OR($U65="Subscription",$U65=""),"",IF($U65="Estimate","N/A",IF(OR($U65="Free Game",$U65="Disqualified — Free Game"),0,ROUND(IFERROR($Q65,0)-IFERROR($S65,0),2)))))</ns0:f>
      </ns0:c>
      <ns0:c r="X65" s="956" t="str">
        <ns0:f>IF(COUNTA($A65:$M65)=0,"",IF(OR($U65="Subscription",NOT(ISNUMBER($J65)),NOT(ISNUMBER($I65)),$J65=0,$I65=0,$I65&gt;$J65),"",$J65-$I65))</ns0:f>
      </ns0:c>
      <ns0:c r="Y65" s="955" t="str">
        <ns0:f>IF(COUNTA($A65:$M65)=0,"",IF(OR($U65="Subscription",NOT(ISNUMBER($J65)),$J65=0,$X65=""),"",$X65/$J65))</ns0:f>
      </ns0:c>
      <ns0:c r="Z65" s="957" t="str">
        <ns0:f>IF(COUNTA($A65:$M65)=0,"",Instructions!$B$29+SUM($W$5:W65))</ns0:f>
      </ns0:c>
    </ns0:row>
    <ns0:row r="66" ht="36" customHeight="1">
      <ns0:c r="A66" s="439"/>
      <ns0:c r="B66" s="453"/>
      <ns0:c r="C66" s="453"/>
      <ns0:c r="D66" s="454"/>
      <ns0:c r="E66" s="454"/>
      <ns0:c r="F66" s="454"/>
      <ns0:c r="G66" s="986"/>
      <ns0:c r="H66" s="455"/>
      <ns0:c r="I66" s="456"/>
      <ns0:c r="J66" s="456"/>
      <ns0:c r="K66" s="986"/>
      <ns0:c r="L66" s="454"/>
      <ns0:c r="M66" s="439"/>
      <ns0:c r="N66" s="987" t="str">
        <ns0:f>IF(COUNTA($A66:$M66)=0,"",IF(OR(LEFT(LOWER(TRIM($F66&amp;"")),12)="subscription",LOWER(TRIM($F66&amp;""))="membership"),"",IF(OR(AND($H66&lt;&gt;"",$H66=0),LEFT(LOWER(TRIM($F66&amp;"")),9)="free game",LOWER(TRIM($F66&amp;""))="free",LOWER(TRIM($F66&amp;""))="free entry"),IF(ISNUMBER($G66),IF(ISNUMBER(SEARCH("non",LOWER($E66&amp;""))),$G66*0.85,$G66),"N/A"),IF($G66="","",IFERROR(IF(ISNUMBER(SEARCH("non",LOWER($E66&amp;""))),$G66*0.85,$G66),"")))))</ns0:f>
        <ns0:v/>
      </ns0:c>
      <ns0:c r="O66" s="987" t="str">
        <ns0:f>IF(COUNTA($A66:$M66)=0,"",IF(OR(LEFT(LOWER(TRIM($F66&amp;"")),12)="subscription",LOWER(TRIM($F66&amp;""))="membership"),"",IF(OR(AND($H66&lt;&gt;"",$H66=0),LEFT(LOWER(TRIM($F66&amp;"")),9)="free game",LOWER(TRIM($F66&amp;""))="free",LOWER(TRIM($F66&amp;""))="free entry"),IF(OR(NOT(ISNUMBER($N66)),NOT(ISNUMBER($I66)),$I66=0),"N/A",IFERROR($N66/$I66,"N/A")),IF(OR($N66="",$I66="",$I66=0),"",IFERROR($N66/$I66,"")))))</ns0:f>
        <ns0:v/>
      </ns0:c>
      <ns0:c r="P66" s="987">
        <ns0:f>IF(COUNTA($A66:$M66)=0,"",IF(OR(LEFT(LOWER(TRIM($F66&amp;"")),12)="subscription",LOWER(TRIM($F66&amp;""))="membership"),"",IF(LOWER(TRIM($D66&amp;""))="estimate","N/A",IF(LOWER($L66&amp;"")="yes",0,IF(OR(AND($H66&lt;&gt;"",$H66=0),LEFT(LOWER(TRIM($F66&amp;"")),9)="free game",LOWER(TRIM($F66&amp;""))="free",LOWER(TRIM($F66&amp;""))="free entry"),IF(ISNUMBER($K66),$K66,""),IF($K66&lt;&gt;"",$K66,""))))))</ns0:f>
      </ns0:c>
      <ns0:c r="Q66" s="114">
        <ns0:f>IF(COUNTA($A66:$M66)=0,"",IF(OR($U66="Subscription",$U66=""),"",IF($U66="Estimate","N/A",IF($U66="Profit",ROUND(IFERROR($P66,0)-IFERROR($H66,0),2),0))))</ns0:f>
      </ns0:c>
      <ns0:c r="R66" s="114">
        <ns0:f>IF(COUNTA($A66:$M66)=0,"",IF(OR($U66="Subscription",$U66=""),"",IF($U66="Estimate","N/A",IF($U66="Draw",$H66,0))))</ns0:f>
      </ns0:c>
      <ns0:c r="S66" s="114">
        <ns0:f>IF(COUNTA($A66:$M66)=0,"",IF(OR($U66="Subscription",$U66=""),"",IF($U66="Estimate","N/A",IF($U66="Disqualified",$H66,0))))</ns0:f>
      </ns0:c>
      <ns0:c r="T66" s="955">
        <ns0:f>IF(COUNTA($A66:$M66)=0,"",IF(OR($U66="Subscription",$U66=""),"",IF($U66="Estimate","N/A",IF(OR($U66="Free Game",$U66="Disqualified — Free Game",$H66=0),"N/A",IF($U66="Profit",$Q66/$H66,IF($U66="Disqualified",-$S66/$H66,0))))))</ns0:f>
      </ns0:c>
      <ns0:c r="U66" s="920">
        <ns0:f>IF(COUNTA($A66:$M66)=0,"",IF(OR(LEFT(LOWER(TRIM($F66&amp;"")),12)="subscription",LOWER(TRIM($F66&amp;""))="membership"),"Subscription",IF(LOWER(TRIM($D66&amp;""))="estimate","Estimate",IF(OR(AND($H66&lt;&gt;"",$H66=0),LEFT(LOWER(TRIM($F66&amp;"")),9)="free game",LOWER(TRIM($F66&amp;""))="free",LOWER(TRIM($F66&amp;""))="free entry"),IF(LOWER($L66&amp;"")="yes","Disqualified — Free Game","Free Game"),IF(LOWER($L66&amp;"")="yes","Disqualified",IF($P66="","",IF(ROUND(IFERROR(VALUE($P66),0)-IFERROR(VALUE($H66),0),2)&gt;0,"Profit","Draw")))))))</ns0:f>
      </ns0:c>
      <ns0:c r="V66" s="956" t="str">
        <ns0:f>IF(COUNTA($A66:$M66)=0,"",IF(OR($B66="",$C66="",$U66="Subscription"),"",IFERROR(ROUNDUP(($C66-$B66)/7,0),"")))</ns0:f>
      </ns0:c>
      <ns0:c r="W66" s="114">
        <ns0:f>IF(COUNTA($A66:$M66)=0,"",IF(OR($U66="Subscription",$U66=""),"",IF($U66="Estimate","N/A",IF(OR($U66="Free Game",$U66="Disqualified — Free Game"),0,ROUND(IFERROR($Q66,0)-IFERROR($S66,0),2)))))</ns0:f>
      </ns0:c>
      <ns0:c r="X66" s="956" t="str">
        <ns0:f>IF(COUNTA($A66:$M66)=0,"",IF(OR($U66="Subscription",NOT(ISNUMBER($J66)),NOT(ISNUMBER($I66)),$J66=0,$I66=0,$I66&gt;$J66),"",$J66-$I66))</ns0:f>
      </ns0:c>
      <ns0:c r="Y66" s="955" t="str">
        <ns0:f>IF(COUNTA($A66:$M66)=0,"",IF(OR($U66="Subscription",NOT(ISNUMBER($J66)),$J66=0,$X66=""),"",$X66/$J66))</ns0:f>
      </ns0:c>
      <ns0:c r="Z66" s="957" t="str">
        <ns0:f>IF(COUNTA($A66:$M66)=0,"",Instructions!$B$29+SUM($W$5:W66))</ns0:f>
      </ns0:c>
    </ns0:row>
    <ns0:row r="67" ht="36" customHeight="1">
      <ns0:c r="A67" s="439"/>
      <ns0:c r="B67" s="453"/>
      <ns0:c r="C67" s="453"/>
      <ns0:c r="D67" s="454"/>
      <ns0:c r="E67" s="454"/>
      <ns0:c r="F67" s="454"/>
      <ns0:c r="G67" s="986"/>
      <ns0:c r="H67" s="455"/>
      <ns0:c r="I67" s="456"/>
      <ns0:c r="J67" s="456"/>
      <ns0:c r="K67" s="986"/>
      <ns0:c r="L67" s="454"/>
      <ns0:c r="M67" s="439"/>
      <ns0:c r="N67" s="987" t="str">
        <ns0:f>IF(COUNTA($A67:$M67)=0,"",IF(OR(LEFT(LOWER(TRIM($F67&amp;"")),12)="subscription",LOWER(TRIM($F67&amp;""))="membership"),"",IF(OR(AND($H67&lt;&gt;"",$H67=0),LEFT(LOWER(TRIM($F67&amp;"")),9)="free game",LOWER(TRIM($F67&amp;""))="free",LOWER(TRIM($F67&amp;""))="free entry"),IF(ISNUMBER($G67),IF(ISNUMBER(SEARCH("non",LOWER($E67&amp;""))),$G67*0.85,$G67),"N/A"),IF($G67="","",IFERROR(IF(ISNUMBER(SEARCH("non",LOWER($E67&amp;""))),$G67*0.85,$G67),"")))))</ns0:f>
        <ns0:v/>
      </ns0:c>
      <ns0:c r="O67" s="987" t="str">
        <ns0:f>IF(COUNTA($A67:$M67)=0,"",IF(OR(LEFT(LOWER(TRIM($F67&amp;"")),12)="subscription",LOWER(TRIM($F67&amp;""))="membership"),"",IF(OR(AND($H67&lt;&gt;"",$H67=0),LEFT(LOWER(TRIM($F67&amp;"")),9)="free game",LOWER(TRIM($F67&amp;""))="free",LOWER(TRIM($F67&amp;""))="free entry"),IF(OR(NOT(ISNUMBER($N67)),NOT(ISNUMBER($I67)),$I67=0),"N/A",IFERROR($N67/$I67,"N/A")),IF(OR($N67="",$I67="",$I67=0),"",IFERROR($N67/$I67,"")))))</ns0:f>
        <ns0:v/>
      </ns0:c>
      <ns0:c r="P67" s="987">
        <ns0:f>IF(COUNTA($A67:$M67)=0,"",IF(OR(LEFT(LOWER(TRIM($F67&amp;"")),12)="subscription",LOWER(TRIM($F67&amp;""))="membership"),"",IF(LOWER(TRIM($D67&amp;""))="estimate","N/A",IF(LOWER($L67&amp;"")="yes",0,IF(OR(AND($H67&lt;&gt;"",$H67=0),LEFT(LOWER(TRIM($F67&amp;"")),9)="free game",LOWER(TRIM($F67&amp;""))="free",LOWER(TRIM($F67&amp;""))="free entry"),IF(ISNUMBER($K67),$K67,""),IF($K67&lt;&gt;"",$K67,""))))))</ns0:f>
      </ns0:c>
      <ns0:c r="Q67" s="114">
        <ns0:f>IF(COUNTA($A67:$M67)=0,"",IF(OR($U67="Subscription",$U67=""),"",IF($U67="Estimate","N/A",IF($U67="Profit",ROUND(IFERROR($P67,0)-IFERROR($H67,0),2),0))))</ns0:f>
      </ns0:c>
      <ns0:c r="R67" s="114">
        <ns0:f>IF(COUNTA($A67:$M67)=0,"",IF(OR($U67="Subscription",$U67=""),"",IF($U67="Estimate","N/A",IF($U67="Draw",$H67,0))))</ns0:f>
      </ns0:c>
      <ns0:c r="S67" s="114">
        <ns0:f>IF(COUNTA($A67:$M67)=0,"",IF(OR($U67="Subscription",$U67=""),"",IF($U67="Estimate","N/A",IF($U67="Disqualified",$H67,0))))</ns0:f>
      </ns0:c>
      <ns0:c r="T67" s="955">
        <ns0:f>IF(COUNTA($A67:$M67)=0,"",IF(OR($U67="Subscription",$U67=""),"",IF($U67="Estimate","N/A",IF(OR($U67="Free Game",$U67="Disqualified — Free Game",$H67=0),"N/A",IF($U67="Profit",$Q67/$H67,IF($U67="Disqualified",-$S67/$H67,0))))))</ns0:f>
      </ns0:c>
      <ns0:c r="U67" s="920">
        <ns0:f>IF(COUNTA($A67:$M67)=0,"",IF(OR(LEFT(LOWER(TRIM($F67&amp;"")),12)="subscription",LOWER(TRIM($F67&amp;""))="membership"),"Subscription",IF(LOWER(TRIM($D67&amp;""))="estimate","Estimate",IF(OR(AND($H67&lt;&gt;"",$H67=0),LEFT(LOWER(TRIM($F67&amp;"")),9)="free game",LOWER(TRIM($F67&amp;""))="free",LOWER(TRIM($F67&amp;""))="free entry"),IF(LOWER($L67&amp;"")="yes","Disqualified — Free Game","Free Game"),IF(LOWER($L67&amp;"")="yes","Disqualified",IF($P67="","",IF(ROUND(IFERROR(VALUE($P67),0)-IFERROR(VALUE($H67),0),2)&gt;0,"Profit","Draw")))))))</ns0:f>
      </ns0:c>
      <ns0:c r="V67" s="956" t="str">
        <ns0:f>IF(COUNTA($A67:$M67)=0,"",IF(OR($B67="",$C67="",$U67="Subscription"),"",IFERROR(ROUNDUP(($C67-$B67)/7,0),"")))</ns0:f>
      </ns0:c>
      <ns0:c r="W67" s="114">
        <ns0:f>IF(COUNTA($A67:$M67)=0,"",IF(OR($U67="Subscription",$U67=""),"",IF($U67="Estimate","N/A",IF(OR($U67="Free Game",$U67="Disqualified — Free Game"),0,ROUND(IFERROR($Q67,0)-IFERROR($S67,0),2)))))</ns0:f>
      </ns0:c>
      <ns0:c r="X67" s="956" t="str">
        <ns0:f>IF(COUNTA($A67:$M67)=0,"",IF(OR($U67="Subscription",NOT(ISNUMBER($J67)),NOT(ISNUMBER($I67)),$J67=0,$I67=0,$I67&gt;$J67),"",$J67-$I67))</ns0:f>
      </ns0:c>
      <ns0:c r="Y67" s="955" t="str">
        <ns0:f>IF(COUNTA($A67:$M67)=0,"",IF(OR($U67="Subscription",NOT(ISNUMBER($J67)),$J67=0,$X67=""),"",$X67/$J67))</ns0:f>
      </ns0:c>
      <ns0:c r="Z67" s="957" t="str">
        <ns0:f>IF(COUNTA($A67:$M67)=0,"",Instructions!$B$29+SUM($W$5:W67))</ns0:f>
      </ns0:c>
    </ns0:row>
    <ns0:row r="68" ht="36" customHeight="1">
      <ns0:c r="A68" s="439"/>
      <ns0:c r="B68" s="453"/>
      <ns0:c r="C68" s="453"/>
      <ns0:c r="D68" s="454"/>
      <ns0:c r="E68" s="454"/>
      <ns0:c r="F68" s="454"/>
      <ns0:c r="G68" s="986"/>
      <ns0:c r="H68" s="455"/>
      <ns0:c r="I68" s="456"/>
      <ns0:c r="J68" s="456"/>
      <ns0:c r="K68" s="986"/>
      <ns0:c r="L68" s="454"/>
      <ns0:c r="M68" s="439"/>
      <ns0:c r="N68" s="987" t="str">
        <ns0:f>IF(COUNTA($A68:$M68)=0,"",IF(OR(LEFT(LOWER(TRIM($F68&amp;"")),12)="subscription",LOWER(TRIM($F68&amp;""))="membership"),"",IF(OR(AND($H68&lt;&gt;"",$H68=0),LEFT(LOWER(TRIM($F68&amp;"")),9)="free game",LOWER(TRIM($F68&amp;""))="free",LOWER(TRIM($F68&amp;""))="free entry"),IF(ISNUMBER($G68),IF(ISNUMBER(SEARCH("non",LOWER($E68&amp;""))),$G68*0.85,$G68),"N/A"),IF($G68="","",IFERROR(IF(ISNUMBER(SEARCH("non",LOWER($E68&amp;""))),$G68*0.85,$G68),"")))))</ns0:f>
        <ns0:v/>
      </ns0:c>
      <ns0:c r="O68" s="987" t="str">
        <ns0:f>IF(COUNTA($A68:$M68)=0,"",IF(OR(LEFT(LOWER(TRIM($F68&amp;"")),12)="subscription",LOWER(TRIM($F68&amp;""))="membership"),"",IF(OR(AND($H68&lt;&gt;"",$H68=0),LEFT(LOWER(TRIM($F68&amp;"")),9)="free game",LOWER(TRIM($F68&amp;""))="free",LOWER(TRIM($F68&amp;""))="free entry"),IF(OR(NOT(ISNUMBER($N68)),NOT(ISNUMBER($I68)),$I68=0),"N/A",IFERROR($N68/$I68,"N/A")),IF(OR($N68="",$I68="",$I68=0),"",IFERROR($N68/$I68,"")))))</ns0:f>
        <ns0:v/>
      </ns0:c>
      <ns0:c r="P68" s="987">
        <ns0:f>IF(COUNTA($A68:$M68)=0,"",IF(OR(LEFT(LOWER(TRIM($F68&amp;"")),12)="subscription",LOWER(TRIM($F68&amp;""))="membership"),"",IF(LOWER(TRIM($D68&amp;""))="estimate","N/A",IF(LOWER($L68&amp;"")="yes",0,IF(OR(AND($H68&lt;&gt;"",$H68=0),LEFT(LOWER(TRIM($F68&amp;"")),9)="free game",LOWER(TRIM($F68&amp;""))="free",LOWER(TRIM($F68&amp;""))="free entry"),IF(ISNUMBER($K68),$K68,""),IF($K68&lt;&gt;"",$K68,""))))))</ns0:f>
      </ns0:c>
      <ns0:c r="Q68" s="114">
        <ns0:f>IF(COUNTA($A68:$M68)=0,"",IF(OR($U68="Subscription",$U68=""),"",IF($U68="Estimate","N/A",IF($U68="Profit",ROUND(IFERROR($P68,0)-IFERROR($H68,0),2),0))))</ns0:f>
      </ns0:c>
      <ns0:c r="R68" s="114">
        <ns0:f>IF(COUNTA($A68:$M68)=0,"",IF(OR($U68="Subscription",$U68=""),"",IF($U68="Estimate","N/A",IF($U68="Draw",$H68,0))))</ns0:f>
      </ns0:c>
      <ns0:c r="S68" s="114">
        <ns0:f>IF(COUNTA($A68:$M68)=0,"",IF(OR($U68="Subscription",$U68=""),"",IF($U68="Estimate","N/A",IF($U68="Disqualified",$H68,0))))</ns0:f>
      </ns0:c>
      <ns0:c r="T68" s="955">
        <ns0:f>IF(COUNTA($A68:$M68)=0,"",IF(OR($U68="Subscription",$U68=""),"",IF($U68="Estimate","N/A",IF(OR($U68="Free Game",$U68="Disqualified — Free Game",$H68=0),"N/A",IF($U68="Profit",$Q68/$H68,IF($U68="Disqualified",-$S68/$H68,0))))))</ns0:f>
      </ns0:c>
      <ns0:c r="U68" s="920">
        <ns0:f>IF(COUNTA($A68:$M68)=0,"",IF(OR(LEFT(LOWER(TRIM($F68&amp;"")),12)="subscription",LOWER(TRIM($F68&amp;""))="membership"),"Subscription",IF(LOWER(TRIM($D68&amp;""))="estimate","Estimate",IF(OR(AND($H68&lt;&gt;"",$H68=0),LEFT(LOWER(TRIM($F68&amp;"")),9)="free game",LOWER(TRIM($F68&amp;""))="free",LOWER(TRIM($F68&amp;""))="free entry"),IF(LOWER($L68&amp;"")="yes","Disqualified — Free Game","Free Game"),IF(LOWER($L68&amp;"")="yes","Disqualified",IF($P68="","",IF(ROUND(IFERROR(VALUE($P68),0)-IFERROR(VALUE($H68),0),2)&gt;0,"Profit","Draw")))))))</ns0:f>
      </ns0:c>
      <ns0:c r="V68" s="956" t="str">
        <ns0:f>IF(COUNTA($A68:$M68)=0,"",IF(OR($B68="",$C68="",$U68="Subscription"),"",IFERROR(ROUNDUP(($C68-$B68)/7,0),"")))</ns0:f>
      </ns0:c>
      <ns0:c r="W68" s="114">
        <ns0:f>IF(COUNTA($A68:$M68)=0,"",IF(OR($U68="Subscription",$U68=""),"",IF($U68="Estimate","N/A",IF(OR($U68="Free Game",$U68="Disqualified — Free Game"),0,ROUND(IFERROR($Q68,0)-IFERROR($S68,0),2)))))</ns0:f>
      </ns0:c>
      <ns0:c r="X68" s="956" t="str">
        <ns0:f>IF(COUNTA($A68:$M68)=0,"",IF(OR($U68="Subscription",NOT(ISNUMBER($J68)),NOT(ISNUMBER($I68)),$J68=0,$I68=0,$I68&gt;$J68),"",$J68-$I68))</ns0:f>
      </ns0:c>
      <ns0:c r="Y68" s="955" t="str">
        <ns0:f>IF(COUNTA($A68:$M68)=0,"",IF(OR($U68="Subscription",NOT(ISNUMBER($J68)),$J68=0,$X68=""),"",$X68/$J68))</ns0:f>
      </ns0:c>
      <ns0:c r="Z68" s="957" t="str">
        <ns0:f>IF(COUNTA($A68:$M68)=0,"",Instructions!$B$29+SUM($W$5:W68))</ns0:f>
      </ns0:c>
    </ns0:row>
    <ns0:row r="69" ht="36" customHeight="1">
      <ns0:c r="A69" s="439"/>
      <ns0:c r="B69" s="453"/>
      <ns0:c r="C69" s="453"/>
      <ns0:c r="D69" s="454"/>
      <ns0:c r="E69" s="454"/>
      <ns0:c r="F69" s="454"/>
      <ns0:c r="G69" s="986"/>
      <ns0:c r="H69" s="455"/>
      <ns0:c r="I69" s="456"/>
      <ns0:c r="J69" s="456"/>
      <ns0:c r="K69" s="986"/>
      <ns0:c r="L69" s="454"/>
      <ns0:c r="M69" s="439"/>
      <ns0:c r="N69" s="987" t="str">
        <ns0:f>IF(COUNTA($A69:$M69)=0,"",IF(OR(LEFT(LOWER(TRIM($F69&amp;"")),12)="subscription",LOWER(TRIM($F69&amp;""))="membership"),"",IF(OR(AND($H69&lt;&gt;"",$H69=0),LEFT(LOWER(TRIM($F69&amp;"")),9)="free game",LOWER(TRIM($F69&amp;""))="free",LOWER(TRIM($F69&amp;""))="free entry"),IF(ISNUMBER($G69),IF(ISNUMBER(SEARCH("non",LOWER($E69&amp;""))),$G69*0.85,$G69),"N/A"),IF($G69="","",IFERROR(IF(ISNUMBER(SEARCH("non",LOWER($E69&amp;""))),$G69*0.85,$G69),"")))))</ns0:f>
        <ns0:v/>
      </ns0:c>
      <ns0:c r="O69" s="987" t="str">
        <ns0:f>IF(COUNTA($A69:$M69)=0,"",IF(OR(LEFT(LOWER(TRIM($F69&amp;"")),12)="subscription",LOWER(TRIM($F69&amp;""))="membership"),"",IF(OR(AND($H69&lt;&gt;"",$H69=0),LEFT(LOWER(TRIM($F69&amp;"")),9)="free game",LOWER(TRIM($F69&amp;""))="free",LOWER(TRIM($F69&amp;""))="free entry"),IF(OR(NOT(ISNUMBER($N69)),NOT(ISNUMBER($I69)),$I69=0),"N/A",IFERROR($N69/$I69,"N/A")),IF(OR($N69="",$I69="",$I69=0),"",IFERROR($N69/$I69,"")))))</ns0:f>
        <ns0:v/>
      </ns0:c>
      <ns0:c r="P69" s="987">
        <ns0:f>IF(COUNTA($A69:$M69)=0,"",IF(OR(LEFT(LOWER(TRIM($F69&amp;"")),12)="subscription",LOWER(TRIM($F69&amp;""))="membership"),"",IF(LOWER(TRIM($D69&amp;""))="estimate","N/A",IF(LOWER($L69&amp;"")="yes",0,IF(OR(AND($H69&lt;&gt;"",$H69=0),LEFT(LOWER(TRIM($F69&amp;"")),9)="free game",LOWER(TRIM($F69&amp;""))="free",LOWER(TRIM($F69&amp;""))="free entry"),IF(ISNUMBER($K69),$K69,""),IF($K69&lt;&gt;"",$K69,""))))))</ns0:f>
      </ns0:c>
      <ns0:c r="Q69" s="114">
        <ns0:f>IF(COUNTA($A69:$M69)=0,"",IF(OR($U69="Subscription",$U69=""),"",IF($U69="Estimate","N/A",IF($U69="Profit",ROUND(IFERROR($P69,0)-IFERROR($H69,0),2),0))))</ns0:f>
      </ns0:c>
      <ns0:c r="R69" s="114">
        <ns0:f>IF(COUNTA($A69:$M69)=0,"",IF(OR($U69="Subscription",$U69=""),"",IF($U69="Estimate","N/A",IF($U69="Draw",$H69,0))))</ns0:f>
      </ns0:c>
      <ns0:c r="S69" s="114">
        <ns0:f>IF(COUNTA($A69:$M69)=0,"",IF(OR($U69="Subscription",$U69=""),"",IF($U69="Estimate","N/A",IF($U69="Disqualified",$H69,0))))</ns0:f>
      </ns0:c>
      <ns0:c r="T69" s="955">
        <ns0:f>IF(COUNTA($A69:$M69)=0,"",IF(OR($U69="Subscription",$U69=""),"",IF($U69="Estimate","N/A",IF(OR($U69="Free Game",$U69="Disqualified — Free Game",$H69=0),"N/A",IF($U69="Profit",$Q69/$H69,IF($U69="Disqualified",-$S69/$H69,0))))))</ns0:f>
      </ns0:c>
      <ns0:c r="U69" s="920">
        <ns0:f>IF(COUNTA($A69:$M69)=0,"",IF(OR(LEFT(LOWER(TRIM($F69&amp;"")),12)="subscription",LOWER(TRIM($F69&amp;""))="membership"),"Subscription",IF(LOWER(TRIM($D69&amp;""))="estimate","Estimate",IF(OR(AND($H69&lt;&gt;"",$H69=0),LEFT(LOWER(TRIM($F69&amp;"")),9)="free game",LOWER(TRIM($F69&amp;""))="free",LOWER(TRIM($F69&amp;""))="free entry"),IF(LOWER($L69&amp;"")="yes","Disqualified — Free Game","Free Game"),IF(LOWER($L69&amp;"")="yes","Disqualified",IF($P69="","",IF(ROUND(IFERROR(VALUE($P69),0)-IFERROR(VALUE($H69),0),2)&gt;0,"Profit","Draw")))))))</ns0:f>
      </ns0:c>
      <ns0:c r="V69" s="956" t="str">
        <ns0:f>IF(COUNTA($A69:$M69)=0,"",IF(OR($B69="",$C69="",$U69="Subscription"),"",IFERROR(ROUNDUP(($C69-$B69)/7,0),"")))</ns0:f>
      </ns0:c>
      <ns0:c r="W69" s="114">
        <ns0:f>IF(COUNTA($A69:$M69)=0,"",IF(OR($U69="Subscription",$U69=""),"",IF($U69="Estimate","N/A",IF(OR($U69="Free Game",$U69="Disqualified — Free Game"),0,ROUND(IFERROR($Q69,0)-IFERROR($S69,0),2)))))</ns0:f>
      </ns0:c>
      <ns0:c r="X69" s="956" t="str">
        <ns0:f>IF(COUNTA($A69:$M69)=0,"",IF(OR($U69="Subscription",NOT(ISNUMBER($J69)),NOT(ISNUMBER($I69)),$J69=0,$I69=0,$I69&gt;$J69),"",$J69-$I69))</ns0:f>
      </ns0:c>
      <ns0:c r="Y69" s="955" t="str">
        <ns0:f>IF(COUNTA($A69:$M69)=0,"",IF(OR($U69="Subscription",NOT(ISNUMBER($J69)),$J69=0,$X69=""),"",$X69/$J69))</ns0:f>
      </ns0:c>
      <ns0:c r="Z69" s="957" t="str">
        <ns0:f>IF(COUNTA($A69:$M69)=0,"",Instructions!$B$29+SUM($W$5:W69))</ns0:f>
      </ns0:c>
    </ns0:row>
    <ns0:row r="70" ht="36" customHeight="1">
      <ns0:c r="A70" s="439"/>
      <ns0:c r="B70" s="453"/>
      <ns0:c r="C70" s="453"/>
      <ns0:c r="D70" s="454"/>
      <ns0:c r="E70" s="454"/>
      <ns0:c r="F70" s="454"/>
      <ns0:c r="G70" s="986"/>
      <ns0:c r="H70" s="455"/>
      <ns0:c r="I70" s="456"/>
      <ns0:c r="J70" s="456"/>
      <ns0:c r="K70" s="986"/>
      <ns0:c r="L70" s="454"/>
      <ns0:c r="M70" s="439"/>
      <ns0:c r="N70" s="987" t="str">
        <ns0:f>IF(COUNTA($A70:$M70)=0,"",IF(OR(LEFT(LOWER(TRIM($F70&amp;"")),12)="subscription",LOWER(TRIM($F70&amp;""))="membership"),"",IF(OR(AND($H70&lt;&gt;"",$H70=0),LEFT(LOWER(TRIM($F70&amp;"")),9)="free game",LOWER(TRIM($F70&amp;""))="free",LOWER(TRIM($F70&amp;""))="free entry"),IF(ISNUMBER($G70),IF(ISNUMBER(SEARCH("non",LOWER($E70&amp;""))),$G70*0.85,$G70),"N/A"),IF($G70="","",IFERROR(IF(ISNUMBER(SEARCH("non",LOWER($E70&amp;""))),$G70*0.85,$G70),"")))))</ns0:f>
        <ns0:v/>
      </ns0:c>
      <ns0:c r="O70" s="987" t="str">
        <ns0:f>IF(COUNTA($A70:$M70)=0,"",IF(OR(LEFT(LOWER(TRIM($F70&amp;"")),12)="subscription",LOWER(TRIM($F70&amp;""))="membership"),"",IF(OR(AND($H70&lt;&gt;"",$H70=0),LEFT(LOWER(TRIM($F70&amp;"")),9)="free game",LOWER(TRIM($F70&amp;""))="free",LOWER(TRIM($F70&amp;""))="free entry"),IF(OR(NOT(ISNUMBER($N70)),NOT(ISNUMBER($I70)),$I70=0),"N/A",IFERROR($N70/$I70,"N/A")),IF(OR($N70="",$I70="",$I70=0),"",IFERROR($N70/$I70,"")))))</ns0:f>
        <ns0:v/>
      </ns0:c>
      <ns0:c r="P70" s="987">
        <ns0:f>IF(COUNTA($A70:$M70)=0,"",IF(OR(LEFT(LOWER(TRIM($F70&amp;"")),12)="subscription",LOWER(TRIM($F70&amp;""))="membership"),"",IF(LOWER(TRIM($D70&amp;""))="estimate","N/A",IF(LOWER($L70&amp;"")="yes",0,IF(OR(AND($H70&lt;&gt;"",$H70=0),LEFT(LOWER(TRIM($F70&amp;"")),9)="free game",LOWER(TRIM($F70&amp;""))="free",LOWER(TRIM($F70&amp;""))="free entry"),IF(ISNUMBER($K70),$K70,""),IF($K70&lt;&gt;"",$K70,""))))))</ns0:f>
      </ns0:c>
      <ns0:c r="Q70" s="114">
        <ns0:f>IF(COUNTA($A70:$M70)=0,"",IF(OR($U70="Subscription",$U70=""),"",IF($U70="Estimate","N/A",IF($U70="Profit",ROUND(IFERROR($P70,0)-IFERROR($H70,0),2),0))))</ns0:f>
      </ns0:c>
      <ns0:c r="R70" s="114">
        <ns0:f>IF(COUNTA($A70:$M70)=0,"",IF(OR($U70="Subscription",$U70=""),"",IF($U70="Estimate","N/A",IF($U70="Draw",$H70,0))))</ns0:f>
      </ns0:c>
      <ns0:c r="S70" s="114">
        <ns0:f>IF(COUNTA($A70:$M70)=0,"",IF(OR($U70="Subscription",$U70=""),"",IF($U70="Estimate","N/A",IF($U70="Disqualified",$H70,0))))</ns0:f>
      </ns0:c>
      <ns0:c r="T70" s="955">
        <ns0:f>IF(COUNTA($A70:$M70)=0,"",IF(OR($U70="Subscription",$U70=""),"",IF($U70="Estimate","N/A",IF(OR($U70="Free Game",$U70="Disqualified — Free Game",$H70=0),"N/A",IF($U70="Profit",$Q70/$H70,IF($U70="Disqualified",-$S70/$H70,0))))))</ns0:f>
      </ns0:c>
      <ns0:c r="U70" s="920">
        <ns0:f>IF(COUNTA($A70:$M70)=0,"",IF(OR(LEFT(LOWER(TRIM($F70&amp;"")),12)="subscription",LOWER(TRIM($F70&amp;""))="membership"),"Subscription",IF(LOWER(TRIM($D70&amp;""))="estimate","Estimate",IF(OR(AND($H70&lt;&gt;"",$H70=0),LEFT(LOWER(TRIM($F70&amp;"")),9)="free game",LOWER(TRIM($F70&amp;""))="free",LOWER(TRIM($F70&amp;""))="free entry"),IF(LOWER($L70&amp;"")="yes","Disqualified — Free Game","Free Game"),IF(LOWER($L70&amp;"")="yes","Disqualified",IF($P70="","",IF(ROUND(IFERROR(VALUE($P70),0)-IFERROR(VALUE($H70),0),2)&gt;0,"Profit","Draw")))))))</ns0:f>
      </ns0:c>
      <ns0:c r="V70" s="956" t="str">
        <ns0:f>IF(COUNTA($A70:$M70)=0,"",IF(OR($B70="",$C70="",$U70="Subscription"),"",IFERROR(ROUNDUP(($C70-$B70)/7,0),"")))</ns0:f>
      </ns0:c>
      <ns0:c r="W70" s="114">
        <ns0:f>IF(COUNTA($A70:$M70)=0,"",IF(OR($U70="Subscription",$U70=""),"",IF($U70="Estimate","N/A",IF(OR($U70="Free Game",$U70="Disqualified — Free Game"),0,ROUND(IFERROR($Q70,0)-IFERROR($S70,0),2)))))</ns0:f>
      </ns0:c>
      <ns0:c r="X70" s="956" t="str">
        <ns0:f>IF(COUNTA($A70:$M70)=0,"",IF(OR($U70="Subscription",NOT(ISNUMBER($J70)),NOT(ISNUMBER($I70)),$J70=0,$I70=0,$I70&gt;$J70),"",$J70-$I70))</ns0:f>
      </ns0:c>
      <ns0:c r="Y70" s="955" t="str">
        <ns0:f>IF(COUNTA($A70:$M70)=0,"",IF(OR($U70="Subscription",NOT(ISNUMBER($J70)),$J70=0,$X70=""),"",$X70/$J70))</ns0:f>
      </ns0:c>
      <ns0:c r="Z70" s="957" t="str">
        <ns0:f>IF(COUNTA($A70:$M70)=0,"",Instructions!$B$29+SUM($W$5:W70))</ns0:f>
      </ns0:c>
    </ns0:row>
    <ns0:row r="71" ht="36" customHeight="1">
      <ns0:c r="A71" s="439"/>
      <ns0:c r="B71" s="453"/>
      <ns0:c r="C71" s="453"/>
      <ns0:c r="D71" s="454"/>
      <ns0:c r="E71" s="454"/>
      <ns0:c r="F71" s="454"/>
      <ns0:c r="G71" s="986"/>
      <ns0:c r="H71" s="455"/>
      <ns0:c r="I71" s="456"/>
      <ns0:c r="J71" s="456"/>
      <ns0:c r="K71" s="986"/>
      <ns0:c r="L71" s="454"/>
      <ns0:c r="M71" s="439"/>
      <ns0:c r="N71" s="987" t="str">
        <ns0:f>IF(COUNTA($A71:$M71)=0,"",IF(OR(LEFT(LOWER(TRIM($F71&amp;"")),12)="subscription",LOWER(TRIM($F71&amp;""))="membership"),"",IF(OR(AND($H71&lt;&gt;"",$H71=0),LEFT(LOWER(TRIM($F71&amp;"")),9)="free game",LOWER(TRIM($F71&amp;""))="free",LOWER(TRIM($F71&amp;""))="free entry"),IF(ISNUMBER($G71),IF(ISNUMBER(SEARCH("non",LOWER($E71&amp;""))),$G71*0.85,$G71),"N/A"),IF($G71="","",IFERROR(IF(ISNUMBER(SEARCH("non",LOWER($E71&amp;""))),$G71*0.85,$G71),"")))))</ns0:f>
        <ns0:v/>
      </ns0:c>
      <ns0:c r="O71" s="987" t="str">
        <ns0:f>IF(COUNTA($A71:$M71)=0,"",IF(OR(LEFT(LOWER(TRIM($F71&amp;"")),12)="subscription",LOWER(TRIM($F71&amp;""))="membership"),"",IF(OR(AND($H71&lt;&gt;"",$H71=0),LEFT(LOWER(TRIM($F71&amp;"")),9)="free game",LOWER(TRIM($F71&amp;""))="free",LOWER(TRIM($F71&amp;""))="free entry"),IF(OR(NOT(ISNUMBER($N71)),NOT(ISNUMBER($I71)),$I71=0),"N/A",IFERROR($N71/$I71,"N/A")),IF(OR($N71="",$I71="",$I71=0),"",IFERROR($N71/$I71,"")))))</ns0:f>
        <ns0:v/>
      </ns0:c>
      <ns0:c r="P71" s="987">
        <ns0:f>IF(COUNTA($A71:$M71)=0,"",IF(OR(LEFT(LOWER(TRIM($F71&amp;"")),12)="subscription",LOWER(TRIM($F71&amp;""))="membership"),"",IF(LOWER(TRIM($D71&amp;""))="estimate","N/A",IF(LOWER($L71&amp;"")="yes",0,IF(OR(AND($H71&lt;&gt;"",$H71=0),LEFT(LOWER(TRIM($F71&amp;"")),9)="free game",LOWER(TRIM($F71&amp;""))="free",LOWER(TRIM($F71&amp;""))="free entry"),IF(ISNUMBER($K71),$K71,""),IF($K71&lt;&gt;"",$K71,""))))))</ns0:f>
      </ns0:c>
      <ns0:c r="Q71" s="114">
        <ns0:f>IF(COUNTA($A71:$M71)=0,"",IF(OR($U71="Subscription",$U71=""),"",IF($U71="Estimate","N/A",IF($U71="Profit",ROUND(IFERROR($P71,0)-IFERROR($H71,0),2),0))))</ns0:f>
      </ns0:c>
      <ns0:c r="R71" s="114">
        <ns0:f>IF(COUNTA($A71:$M71)=0,"",IF(OR($U71="Subscription",$U71=""),"",IF($U71="Estimate","N/A",IF($U71="Draw",$H71,0))))</ns0:f>
      </ns0:c>
      <ns0:c r="S71" s="114">
        <ns0:f>IF(COUNTA($A71:$M71)=0,"",IF(OR($U71="Subscription",$U71=""),"",IF($U71="Estimate","N/A",IF($U71="Disqualified",$H71,0))))</ns0:f>
      </ns0:c>
      <ns0:c r="T71" s="955">
        <ns0:f>IF(COUNTA($A71:$M71)=0,"",IF(OR($U71="Subscription",$U71=""),"",IF($U71="Estimate","N/A",IF(OR($U71="Free Game",$U71="Disqualified — Free Game",$H71=0),"N/A",IF($U71="Profit",$Q71/$H71,IF($U71="Disqualified",-$S71/$H71,0))))))</ns0:f>
      </ns0:c>
      <ns0:c r="U71" s="920">
        <ns0:f>IF(COUNTA($A71:$M71)=0,"",IF(OR(LEFT(LOWER(TRIM($F71&amp;"")),12)="subscription",LOWER(TRIM($F71&amp;""))="membership"),"Subscription",IF(LOWER(TRIM($D71&amp;""))="estimate","Estimate",IF(OR(AND($H71&lt;&gt;"",$H71=0),LEFT(LOWER(TRIM($F71&amp;"")),9)="free game",LOWER(TRIM($F71&amp;""))="free",LOWER(TRIM($F71&amp;""))="free entry"),IF(LOWER($L71&amp;"")="yes","Disqualified — Free Game","Free Game"),IF(LOWER($L71&amp;"")="yes","Disqualified",IF($P71="","",IF(ROUND(IFERROR(VALUE($P71),0)-IFERROR(VALUE($H71),0),2)&gt;0,"Profit","Draw")))))))</ns0:f>
      </ns0:c>
      <ns0:c r="V71" s="956" t="str">
        <ns0:f>IF(COUNTA($A71:$M71)=0,"",IF(OR($B71="",$C71="",$U71="Subscription"),"",IFERROR(ROUNDUP(($C71-$B71)/7,0),"")))</ns0:f>
      </ns0:c>
      <ns0:c r="W71" s="114">
        <ns0:f>IF(COUNTA($A71:$M71)=0,"",IF(OR($U71="Subscription",$U71=""),"",IF($U71="Estimate","N/A",IF(OR($U71="Free Game",$U71="Disqualified — Free Game"),0,ROUND(IFERROR($Q71,0)-IFERROR($S71,0),2)))))</ns0:f>
      </ns0:c>
      <ns0:c r="X71" s="956" t="str">
        <ns0:f>IF(COUNTA($A71:$M71)=0,"",IF(OR($U71="Subscription",NOT(ISNUMBER($J71)),NOT(ISNUMBER($I71)),$J71=0,$I71=0,$I71&gt;$J71),"",$J71-$I71))</ns0:f>
      </ns0:c>
      <ns0:c r="Y71" s="955" t="str">
        <ns0:f>IF(COUNTA($A71:$M71)=0,"",IF(OR($U71="Subscription",NOT(ISNUMBER($J71)),$J71=0,$X71=""),"",$X71/$J71))</ns0:f>
      </ns0:c>
      <ns0:c r="Z71" s="957" t="str">
        <ns0:f>IF(COUNTA($A71:$M71)=0,"",Instructions!$B$29+SUM($W$5:W71))</ns0:f>
      </ns0:c>
    </ns0:row>
    <ns0:row r="72" ht="36" customHeight="1">
      <ns0:c r="A72" s="439"/>
      <ns0:c r="B72" s="453"/>
      <ns0:c r="C72" s="453"/>
      <ns0:c r="D72" s="454"/>
      <ns0:c r="E72" s="454"/>
      <ns0:c r="F72" s="454"/>
      <ns0:c r="G72" s="986"/>
      <ns0:c r="H72" s="455"/>
      <ns0:c r="I72" s="456"/>
      <ns0:c r="J72" s="456"/>
      <ns0:c r="K72" s="986"/>
      <ns0:c r="L72" s="454"/>
      <ns0:c r="M72" s="439"/>
      <ns0:c r="N72" s="987" t="str">
        <ns0:f>IF(COUNTA($A72:$M72)=0,"",IF(OR(LEFT(LOWER(TRIM($F72&amp;"")),12)="subscription",LOWER(TRIM($F72&amp;""))="membership"),"",IF(OR(AND($H72&lt;&gt;"",$H72=0),LEFT(LOWER(TRIM($F72&amp;"")),9)="free game",LOWER(TRIM($F72&amp;""))="free",LOWER(TRIM($F72&amp;""))="free entry"),IF(ISNUMBER($G72),IF(ISNUMBER(SEARCH("non",LOWER($E72&amp;""))),$G72*0.85,$G72),"N/A"),IF($G72="","",IFERROR(IF(ISNUMBER(SEARCH("non",LOWER($E72&amp;""))),$G72*0.85,$G72),"")))))</ns0:f>
        <ns0:v/>
      </ns0:c>
      <ns0:c r="O72" s="987" t="str">
        <ns0:f>IF(COUNTA($A72:$M72)=0,"",IF(OR(LEFT(LOWER(TRIM($F72&amp;"")),12)="subscription",LOWER(TRIM($F72&amp;""))="membership"),"",IF(OR(AND($H72&lt;&gt;"",$H72=0),LEFT(LOWER(TRIM($F72&amp;"")),9)="free game",LOWER(TRIM($F72&amp;""))="free",LOWER(TRIM($F72&amp;""))="free entry"),IF(OR(NOT(ISNUMBER($N72)),NOT(ISNUMBER($I72)),$I72=0),"N/A",IFERROR($N72/$I72,"N/A")),IF(OR($N72="",$I72="",$I72=0),"",IFERROR($N72/$I72,"")))))</ns0:f>
        <ns0:v/>
      </ns0:c>
      <ns0:c r="P72" s="987">
        <ns0:f>IF(COUNTA($A72:$M72)=0,"",IF(OR(LEFT(LOWER(TRIM($F72&amp;"")),12)="subscription",LOWER(TRIM($F72&amp;""))="membership"),"",IF(LOWER(TRIM($D72&amp;""))="estimate","N/A",IF(LOWER($L72&amp;"")="yes",0,IF(OR(AND($H72&lt;&gt;"",$H72=0),LEFT(LOWER(TRIM($F72&amp;"")),9)="free game",LOWER(TRIM($F72&amp;""))="free",LOWER(TRIM($F72&amp;""))="free entry"),IF(ISNUMBER($K72),$K72,""),IF($K72&lt;&gt;"",$K72,""))))))</ns0:f>
      </ns0:c>
      <ns0:c r="Q72" s="114">
        <ns0:f>IF(COUNTA($A72:$M72)=0,"",IF(OR($U72="Subscription",$U72=""),"",IF($U72="Estimate","N/A",IF($U72="Profit",ROUND(IFERROR($P72,0)-IFERROR($H72,0),2),0))))</ns0:f>
      </ns0:c>
      <ns0:c r="R72" s="114">
        <ns0:f>IF(COUNTA($A72:$M72)=0,"",IF(OR($U72="Subscription",$U72=""),"",IF($U72="Estimate","N/A",IF($U72="Draw",$H72,0))))</ns0:f>
      </ns0:c>
      <ns0:c r="S72" s="114">
        <ns0:f>IF(COUNTA($A72:$M72)=0,"",IF(OR($U72="Subscription",$U72=""),"",IF($U72="Estimate","N/A",IF($U72="Disqualified",$H72,0))))</ns0:f>
      </ns0:c>
      <ns0:c r="T72" s="955">
        <ns0:f>IF(COUNTA($A72:$M72)=0,"",IF(OR($U72="Subscription",$U72=""),"",IF($U72="Estimate","N/A",IF(OR($U72="Free Game",$U72="Disqualified — Free Game",$H72=0),"N/A",IF($U72="Profit",$Q72/$H72,IF($U72="Disqualified",-$S72/$H72,0))))))</ns0:f>
      </ns0:c>
      <ns0:c r="U72" s="920">
        <ns0:f>IF(COUNTA($A72:$M72)=0,"",IF(OR(LEFT(LOWER(TRIM($F72&amp;"")),12)="subscription",LOWER(TRIM($F72&amp;""))="membership"),"Subscription",IF(LOWER(TRIM($D72&amp;""))="estimate","Estimate",IF(OR(AND($H72&lt;&gt;"",$H72=0),LEFT(LOWER(TRIM($F72&amp;"")),9)="free game",LOWER(TRIM($F72&amp;""))="free",LOWER(TRIM($F72&amp;""))="free entry"),IF(LOWER($L72&amp;"")="yes","Disqualified — Free Game","Free Game"),IF(LOWER($L72&amp;"")="yes","Disqualified",IF($P72="","",IF(ROUND(IFERROR(VALUE($P72),0)-IFERROR(VALUE($H72),0),2)&gt;0,"Profit","Draw")))))))</ns0:f>
      </ns0:c>
      <ns0:c r="V72" s="956" t="str">
        <ns0:f>IF(COUNTA($A72:$M72)=0,"",IF(OR($B72="",$C72="",$U72="Subscription"),"",IFERROR(ROUNDUP(($C72-$B72)/7,0),"")))</ns0:f>
      </ns0:c>
      <ns0:c r="W72" s="114">
        <ns0:f>IF(COUNTA($A72:$M72)=0,"",IF(OR($U72="Subscription",$U72=""),"",IF($U72="Estimate","N/A",IF(OR($U72="Free Game",$U72="Disqualified — Free Game"),0,ROUND(IFERROR($Q72,0)-IFERROR($S72,0),2)))))</ns0:f>
      </ns0:c>
      <ns0:c r="X72" s="956" t="str">
        <ns0:f>IF(COUNTA($A72:$M72)=0,"",IF(OR($U72="Subscription",NOT(ISNUMBER($J72)),NOT(ISNUMBER($I72)),$J72=0,$I72=0,$I72&gt;$J72),"",$J72-$I72))</ns0:f>
      </ns0:c>
      <ns0:c r="Y72" s="955" t="str">
        <ns0:f>IF(COUNTA($A72:$M72)=0,"",IF(OR($U72="Subscription",NOT(ISNUMBER($J72)),$J72=0,$X72=""),"",$X72/$J72))</ns0:f>
      </ns0:c>
      <ns0:c r="Z72" s="957" t="str">
        <ns0:f>IF(COUNTA($A72:$M72)=0,"",Instructions!$B$29+SUM($W$5:W72))</ns0:f>
      </ns0:c>
    </ns0:row>
    <ns0:row r="73" ht="36" customHeight="1">
      <ns0:c r="A73" s="439"/>
      <ns0:c r="B73" s="453"/>
      <ns0:c r="C73" s="453"/>
      <ns0:c r="D73" s="454"/>
      <ns0:c r="E73" s="454"/>
      <ns0:c r="F73" s="454"/>
      <ns0:c r="G73" s="986"/>
      <ns0:c r="H73" s="455"/>
      <ns0:c r="I73" s="456"/>
      <ns0:c r="J73" s="456"/>
      <ns0:c r="K73" s="986"/>
      <ns0:c r="L73" s="454"/>
      <ns0:c r="M73" s="439"/>
      <ns0:c r="N73" s="987" t="str">
        <ns0:f>IF(COUNTA($A73:$M73)=0,"",IF(OR(LEFT(LOWER(TRIM($F73&amp;"")),12)="subscription",LOWER(TRIM($F73&amp;""))="membership"),"",IF(OR(AND($H73&lt;&gt;"",$H73=0),LEFT(LOWER(TRIM($F73&amp;"")),9)="free game",LOWER(TRIM($F73&amp;""))="free",LOWER(TRIM($F73&amp;""))="free entry"),IF(ISNUMBER($G73),IF(ISNUMBER(SEARCH("non",LOWER($E73&amp;""))),$G73*0.85,$G73),"N/A"),IF($G73="","",IFERROR(IF(ISNUMBER(SEARCH("non",LOWER($E73&amp;""))),$G73*0.85,$G73),"")))))</ns0:f>
        <ns0:v/>
      </ns0:c>
      <ns0:c r="O73" s="987" t="str">
        <ns0:f>IF(COUNTA($A73:$M73)=0,"",IF(OR(LEFT(LOWER(TRIM($F73&amp;"")),12)="subscription",LOWER(TRIM($F73&amp;""))="membership"),"",IF(OR(AND($H73&lt;&gt;"",$H73=0),LEFT(LOWER(TRIM($F73&amp;"")),9)="free game",LOWER(TRIM($F73&amp;""))="free",LOWER(TRIM($F73&amp;""))="free entry"),IF(OR(NOT(ISNUMBER($N73)),NOT(ISNUMBER($I73)),$I73=0),"N/A",IFERROR($N73/$I73,"N/A")),IF(OR($N73="",$I73="",$I73=0),"",IFERROR($N73/$I73,"")))))</ns0:f>
        <ns0:v/>
      </ns0:c>
      <ns0:c r="P73" s="987">
        <ns0:f>IF(COUNTA($A73:$M73)=0,"",IF(OR(LEFT(LOWER(TRIM($F73&amp;"")),12)="subscription",LOWER(TRIM($F73&amp;""))="membership"),"",IF(LOWER(TRIM($D73&amp;""))="estimate","N/A",IF(LOWER($L73&amp;"")="yes",0,IF(OR(AND($H73&lt;&gt;"",$H73=0),LEFT(LOWER(TRIM($F73&amp;"")),9)="free game",LOWER(TRIM($F73&amp;""))="free",LOWER(TRIM($F73&amp;""))="free entry"),IF(ISNUMBER($K73),$K73,""),IF($K73&lt;&gt;"",$K73,""))))))</ns0:f>
      </ns0:c>
      <ns0:c r="Q73" s="114">
        <ns0:f>IF(COUNTA($A73:$M73)=0,"",IF(OR($U73="Subscription",$U73=""),"",IF($U73="Estimate","N/A",IF($U73="Profit",ROUND(IFERROR($P73,0)-IFERROR($H73,0),2),0))))</ns0:f>
      </ns0:c>
      <ns0:c r="R73" s="114">
        <ns0:f>IF(COUNTA($A73:$M73)=0,"",IF(OR($U73="Subscription",$U73=""),"",IF($U73="Estimate","N/A",IF($U73="Draw",$H73,0))))</ns0:f>
      </ns0:c>
      <ns0:c r="S73" s="114">
        <ns0:f>IF(COUNTA($A73:$M73)=0,"",IF(OR($U73="Subscription",$U73=""),"",IF($U73="Estimate","N/A",IF($U73="Disqualified",$H73,0))))</ns0:f>
      </ns0:c>
      <ns0:c r="T73" s="955">
        <ns0:f>IF(COUNTA($A73:$M73)=0,"",IF(OR($U73="Subscription",$U73=""),"",IF($U73="Estimate","N/A",IF(OR($U73="Free Game",$U73="Disqualified — Free Game",$H73=0),"N/A",IF($U73="Profit",$Q73/$H73,IF($U73="Disqualified",-$S73/$H73,0))))))</ns0:f>
      </ns0:c>
      <ns0:c r="U73" s="920">
        <ns0:f>IF(COUNTA($A73:$M73)=0,"",IF(OR(LEFT(LOWER(TRIM($F73&amp;"")),12)="subscription",LOWER(TRIM($F73&amp;""))="membership"),"Subscription",IF(LOWER(TRIM($D73&amp;""))="estimate","Estimate",IF(OR(AND($H73&lt;&gt;"",$H73=0),LEFT(LOWER(TRIM($F73&amp;"")),9)="free game",LOWER(TRIM($F73&amp;""))="free",LOWER(TRIM($F73&amp;""))="free entry"),IF(LOWER($L73&amp;"")="yes","Disqualified — Free Game","Free Game"),IF(LOWER($L73&amp;"")="yes","Disqualified",IF($P73="","",IF(ROUND(IFERROR(VALUE($P73),0)-IFERROR(VALUE($H73),0),2)&gt;0,"Profit","Draw")))))))</ns0:f>
      </ns0:c>
      <ns0:c r="V73" s="956" t="str">
        <ns0:f>IF(COUNTA($A73:$M73)=0,"",IF(OR($B73="",$C73="",$U73="Subscription"),"",IFERROR(ROUNDUP(($C73-$B73)/7,0),"")))</ns0:f>
      </ns0:c>
      <ns0:c r="W73" s="114">
        <ns0:f>IF(COUNTA($A73:$M73)=0,"",IF(OR($U73="Subscription",$U73=""),"",IF($U73="Estimate","N/A",IF(OR($U73="Free Game",$U73="Disqualified — Free Game"),0,ROUND(IFERROR($Q73,0)-IFERROR($S73,0),2)))))</ns0:f>
      </ns0:c>
      <ns0:c r="X73" s="956" t="str">
        <ns0:f>IF(COUNTA($A73:$M73)=0,"",IF(OR($U73="Subscription",NOT(ISNUMBER($J73)),NOT(ISNUMBER($I73)),$J73=0,$I73=0,$I73&gt;$J73),"",$J73-$I73))</ns0:f>
      </ns0:c>
      <ns0:c r="Y73" s="955" t="str">
        <ns0:f>IF(COUNTA($A73:$M73)=0,"",IF(OR($U73="Subscription",NOT(ISNUMBER($J73)),$J73=0,$X73=""),"",$X73/$J73))</ns0:f>
      </ns0:c>
      <ns0:c r="Z73" s="957" t="str">
        <ns0:f>IF(COUNTA($A73:$M73)=0,"",Instructions!$B$29+SUM($W$5:W73))</ns0:f>
      </ns0:c>
    </ns0:row>
    <ns0:row r="74" ht="36" customHeight="1">
      <ns0:c r="A74" s="439"/>
      <ns0:c r="B74" s="453"/>
      <ns0:c r="C74" s="453"/>
      <ns0:c r="D74" s="454"/>
      <ns0:c r="E74" s="454"/>
      <ns0:c r="F74" s="454"/>
      <ns0:c r="G74" s="986"/>
      <ns0:c r="H74" s="455"/>
      <ns0:c r="I74" s="456"/>
      <ns0:c r="J74" s="456"/>
      <ns0:c r="K74" s="986"/>
      <ns0:c r="L74" s="454"/>
      <ns0:c r="M74" s="439"/>
      <ns0:c r="N74" s="987" t="str">
        <ns0:f>IF(COUNTA($A74:$M74)=0,"",IF(OR(LEFT(LOWER(TRIM($F74&amp;"")),12)="subscription",LOWER(TRIM($F74&amp;""))="membership"),"",IF(OR(AND($H74&lt;&gt;"",$H74=0),LEFT(LOWER(TRIM($F74&amp;"")),9)="free game",LOWER(TRIM($F74&amp;""))="free",LOWER(TRIM($F74&amp;""))="free entry"),IF(ISNUMBER($G74),IF(ISNUMBER(SEARCH("non",LOWER($E74&amp;""))),$G74*0.85,$G74),"N/A"),IF($G74="","",IFERROR(IF(ISNUMBER(SEARCH("non",LOWER($E74&amp;""))),$G74*0.85,$G74),"")))))</ns0:f>
        <ns0:v/>
      </ns0:c>
      <ns0:c r="O74" s="987" t="str">
        <ns0:f>IF(COUNTA($A74:$M74)=0,"",IF(OR(LEFT(LOWER(TRIM($F74&amp;"")),12)="subscription",LOWER(TRIM($F74&amp;""))="membership"),"",IF(OR(AND($H74&lt;&gt;"",$H74=0),LEFT(LOWER(TRIM($F74&amp;"")),9)="free game",LOWER(TRIM($F74&amp;""))="free",LOWER(TRIM($F74&amp;""))="free entry"),IF(OR(NOT(ISNUMBER($N74)),NOT(ISNUMBER($I74)),$I74=0),"N/A",IFERROR($N74/$I74,"N/A")),IF(OR($N74="",$I74="",$I74=0),"",IFERROR($N74/$I74,"")))))</ns0:f>
        <ns0:v/>
      </ns0:c>
      <ns0:c r="P74" s="987">
        <ns0:f>IF(COUNTA($A74:$M74)=0,"",IF(OR(LEFT(LOWER(TRIM($F74&amp;"")),12)="subscription",LOWER(TRIM($F74&amp;""))="membership"),"",IF(LOWER(TRIM($D74&amp;""))="estimate","N/A",IF(LOWER($L74&amp;"")="yes",0,IF(OR(AND($H74&lt;&gt;"",$H74=0),LEFT(LOWER(TRIM($F74&amp;"")),9)="free game",LOWER(TRIM($F74&amp;""))="free",LOWER(TRIM($F74&amp;""))="free entry"),IF(ISNUMBER($K74),$K74,""),IF($K74&lt;&gt;"",$K74,""))))))</ns0:f>
      </ns0:c>
      <ns0:c r="Q74" s="114">
        <ns0:f>IF(COUNTA($A74:$M74)=0,"",IF(OR($U74="Subscription",$U74=""),"",IF($U74="Estimate","N/A",IF($U74="Profit",ROUND(IFERROR($P74,0)-IFERROR($H74,0),2),0))))</ns0:f>
      </ns0:c>
      <ns0:c r="R74" s="114">
        <ns0:f>IF(COUNTA($A74:$M74)=0,"",IF(OR($U74="Subscription",$U74=""),"",IF($U74="Estimate","N/A",IF($U74="Draw",$H74,0))))</ns0:f>
      </ns0:c>
      <ns0:c r="S74" s="114">
        <ns0:f>IF(COUNTA($A74:$M74)=0,"",IF(OR($U74="Subscription",$U74=""),"",IF($U74="Estimate","N/A",IF($U74="Disqualified",$H74,0))))</ns0:f>
      </ns0:c>
      <ns0:c r="T74" s="955">
        <ns0:f>IF(COUNTA($A74:$M74)=0,"",IF(OR($U74="Subscription",$U74=""),"",IF($U74="Estimate","N/A",IF(OR($U74="Free Game",$U74="Disqualified — Free Game",$H74=0),"N/A",IF($U74="Profit",$Q74/$H74,IF($U74="Disqualified",-$S74/$H74,0))))))</ns0:f>
      </ns0:c>
      <ns0:c r="U74" s="920">
        <ns0:f>IF(COUNTA($A74:$M74)=0,"",IF(OR(LEFT(LOWER(TRIM($F74&amp;"")),12)="subscription",LOWER(TRIM($F74&amp;""))="membership"),"Subscription",IF(LOWER(TRIM($D74&amp;""))="estimate","Estimate",IF(OR(AND($H74&lt;&gt;"",$H74=0),LEFT(LOWER(TRIM($F74&amp;"")),9)="free game",LOWER(TRIM($F74&amp;""))="free",LOWER(TRIM($F74&amp;""))="free entry"),IF(LOWER($L74&amp;"")="yes","Disqualified — Free Game","Free Game"),IF(LOWER($L74&amp;"")="yes","Disqualified",IF($P74="","",IF(ROUND(IFERROR(VALUE($P74),0)-IFERROR(VALUE($H74),0),2)&gt;0,"Profit","Draw")))))))</ns0:f>
      </ns0:c>
      <ns0:c r="V74" s="956" t="str">
        <ns0:f>IF(COUNTA($A74:$M74)=0,"",IF(OR($B74="",$C74="",$U74="Subscription"),"",IFERROR(ROUNDUP(($C74-$B74)/7,0),"")))</ns0:f>
      </ns0:c>
      <ns0:c r="W74" s="114">
        <ns0:f>IF(COUNTA($A74:$M74)=0,"",IF(OR($U74="Subscription",$U74=""),"",IF($U74="Estimate","N/A",IF(OR($U74="Free Game",$U74="Disqualified — Free Game"),0,ROUND(IFERROR($Q74,0)-IFERROR($S74,0),2)))))</ns0:f>
      </ns0:c>
      <ns0:c r="X74" s="956" t="str">
        <ns0:f>IF(COUNTA($A74:$M74)=0,"",IF(OR($U74="Subscription",NOT(ISNUMBER($J74)),NOT(ISNUMBER($I74)),$J74=0,$I74=0,$I74&gt;$J74),"",$J74-$I74))</ns0:f>
      </ns0:c>
      <ns0:c r="Y74" s="955" t="str">
        <ns0:f>IF(COUNTA($A74:$M74)=0,"",IF(OR($U74="Subscription",NOT(ISNUMBER($J74)),$J74=0,$X74=""),"",$X74/$J74))</ns0:f>
      </ns0:c>
      <ns0:c r="Z74" s="957" t="str">
        <ns0:f>IF(COUNTA($A74:$M74)=0,"",Instructions!$B$29+SUM($W$5:W74))</ns0:f>
      </ns0:c>
    </ns0:row>
    <ns0:row r="75" ht="36" customHeight="1">
      <ns0:c r="A75" s="439"/>
      <ns0:c r="B75" s="453"/>
      <ns0:c r="C75" s="453"/>
      <ns0:c r="D75" s="454"/>
      <ns0:c r="E75" s="454"/>
      <ns0:c r="F75" s="454"/>
      <ns0:c r="G75" s="986"/>
      <ns0:c r="H75" s="455"/>
      <ns0:c r="I75" s="456"/>
      <ns0:c r="J75" s="456"/>
      <ns0:c r="K75" s="986"/>
      <ns0:c r="L75" s="454"/>
      <ns0:c r="M75" s="439"/>
      <ns0:c r="N75" s="987" t="str">
        <ns0:f>IF(COUNTA($A75:$M75)=0,"",IF(OR(LEFT(LOWER(TRIM($F75&amp;"")),12)="subscription",LOWER(TRIM($F75&amp;""))="membership"),"",IF(OR(AND($H75&lt;&gt;"",$H75=0),LEFT(LOWER(TRIM($F75&amp;"")),9)="free game",LOWER(TRIM($F75&amp;""))="free",LOWER(TRIM($F75&amp;""))="free entry"),IF(ISNUMBER($G75),IF(ISNUMBER(SEARCH("non",LOWER($E75&amp;""))),$G75*0.85,$G75),"N/A"),IF($G75="","",IFERROR(IF(ISNUMBER(SEARCH("non",LOWER($E75&amp;""))),$G75*0.85,$G75),"")))))</ns0:f>
        <ns0:v/>
      </ns0:c>
      <ns0:c r="O75" s="987" t="str">
        <ns0:f>IF(COUNTA($A75:$M75)=0,"",IF(OR(LEFT(LOWER(TRIM($F75&amp;"")),12)="subscription",LOWER(TRIM($F75&amp;""))="membership"),"",IF(OR(AND($H75&lt;&gt;"",$H75=0),LEFT(LOWER(TRIM($F75&amp;"")),9)="free game",LOWER(TRIM($F75&amp;""))="free",LOWER(TRIM($F75&amp;""))="free entry"),IF(OR(NOT(ISNUMBER($N75)),NOT(ISNUMBER($I75)),$I75=0),"N/A",IFERROR($N75/$I75,"N/A")),IF(OR($N75="",$I75="",$I75=0),"",IFERROR($N75/$I75,"")))))</ns0:f>
        <ns0:v/>
      </ns0:c>
      <ns0:c r="P75" s="987">
        <ns0:f>IF(COUNTA($A75:$M75)=0,"",IF(OR(LEFT(LOWER(TRIM($F75&amp;"")),12)="subscription",LOWER(TRIM($F75&amp;""))="membership"),"",IF(LOWER(TRIM($D75&amp;""))="estimate","N/A",IF(LOWER($L75&amp;"")="yes",0,IF(OR(AND($H75&lt;&gt;"",$H75=0),LEFT(LOWER(TRIM($F75&amp;"")),9)="free game",LOWER(TRIM($F75&amp;""))="free",LOWER(TRIM($F75&amp;""))="free entry"),IF(ISNUMBER($K75),$K75,""),IF($K75&lt;&gt;"",$K75,""))))))</ns0:f>
      </ns0:c>
      <ns0:c r="Q75" s="114">
        <ns0:f>IF(COUNTA($A75:$M75)=0,"",IF(OR($U75="Subscription",$U75=""),"",IF($U75="Estimate","N/A",IF($U75="Profit",ROUND(IFERROR($P75,0)-IFERROR($H75,0),2),0))))</ns0:f>
      </ns0:c>
      <ns0:c r="R75" s="114">
        <ns0:f>IF(COUNTA($A75:$M75)=0,"",IF(OR($U75="Subscription",$U75=""),"",IF($U75="Estimate","N/A",IF($U75="Draw",$H75,0))))</ns0:f>
      </ns0:c>
      <ns0:c r="S75" s="114">
        <ns0:f>IF(COUNTA($A75:$M75)=0,"",IF(OR($U75="Subscription",$U75=""),"",IF($U75="Estimate","N/A",IF($U75="Disqualified",$H75,0))))</ns0:f>
      </ns0:c>
      <ns0:c r="T75" s="955">
        <ns0:f>IF(COUNTA($A75:$M75)=0,"",IF(OR($U75="Subscription",$U75=""),"",IF($U75="Estimate","N/A",IF(OR($U75="Free Game",$U75="Disqualified — Free Game",$H75=0),"N/A",IF($U75="Profit",$Q75/$H75,IF($U75="Disqualified",-$S75/$H75,0))))))</ns0:f>
      </ns0:c>
      <ns0:c r="U75" s="920">
        <ns0:f>IF(COUNTA($A75:$M75)=0,"",IF(OR(LEFT(LOWER(TRIM($F75&amp;"")),12)="subscription",LOWER(TRIM($F75&amp;""))="membership"),"Subscription",IF(LOWER(TRIM($D75&amp;""))="estimate","Estimate",IF(OR(AND($H75&lt;&gt;"",$H75=0),LEFT(LOWER(TRIM($F75&amp;"")),9)="free game",LOWER(TRIM($F75&amp;""))="free",LOWER(TRIM($F75&amp;""))="free entry"),IF(LOWER($L75&amp;"")="yes","Disqualified — Free Game","Free Game"),IF(LOWER($L75&amp;"")="yes","Disqualified",IF($P75="","",IF(ROUND(IFERROR(VALUE($P75),0)-IFERROR(VALUE($H75),0),2)&gt;0,"Profit","Draw")))))))</ns0:f>
      </ns0:c>
      <ns0:c r="V75" s="956" t="str">
        <ns0:f>IF(COUNTA($A75:$M75)=0,"",IF(OR($B75="",$C75="",$U75="Subscription"),"",IFERROR(ROUNDUP(($C75-$B75)/7,0),"")))</ns0:f>
      </ns0:c>
      <ns0:c r="W75" s="114">
        <ns0:f>IF(COUNTA($A75:$M75)=0,"",IF(OR($U75="Subscription",$U75=""),"",IF($U75="Estimate","N/A",IF(OR($U75="Free Game",$U75="Disqualified — Free Game"),0,ROUND(IFERROR($Q75,0)-IFERROR($S75,0),2)))))</ns0:f>
      </ns0:c>
      <ns0:c r="X75" s="956" t="str">
        <ns0:f>IF(COUNTA($A75:$M75)=0,"",IF(OR($U75="Subscription",NOT(ISNUMBER($J75)),NOT(ISNUMBER($I75)),$J75=0,$I75=0,$I75&gt;$J75),"",$J75-$I75))</ns0:f>
      </ns0:c>
      <ns0:c r="Y75" s="955" t="str">
        <ns0:f>IF(COUNTA($A75:$M75)=0,"",IF(OR($U75="Subscription",NOT(ISNUMBER($J75)),$J75=0,$X75=""),"",$X75/$J75))</ns0:f>
      </ns0:c>
      <ns0:c r="Z75" s="957" t="str">
        <ns0:f>IF(COUNTA($A75:$M75)=0,"",Instructions!$B$29+SUM($W$5:W75))</ns0:f>
      </ns0:c>
    </ns0:row>
    <ns0:row r="76" ht="36" customHeight="1">
      <ns0:c r="A76" s="439"/>
      <ns0:c r="B76" s="453"/>
      <ns0:c r="C76" s="453"/>
      <ns0:c r="D76" s="454"/>
      <ns0:c r="E76" s="454"/>
      <ns0:c r="F76" s="454"/>
      <ns0:c r="G76" s="986"/>
      <ns0:c r="H76" s="455"/>
      <ns0:c r="I76" s="456"/>
      <ns0:c r="J76" s="456"/>
      <ns0:c r="K76" s="986"/>
      <ns0:c r="L76" s="454"/>
      <ns0:c r="M76" s="439"/>
      <ns0:c r="N76" s="987" t="str">
        <ns0:f>IF(COUNTA($A76:$M76)=0,"",IF(OR(LEFT(LOWER(TRIM($F76&amp;"")),12)="subscription",LOWER(TRIM($F76&amp;""))="membership"),"",IF(OR(AND($H76&lt;&gt;"",$H76=0),LEFT(LOWER(TRIM($F76&amp;"")),9)="free game",LOWER(TRIM($F76&amp;""))="free",LOWER(TRIM($F76&amp;""))="free entry"),IF(ISNUMBER($G76),IF(ISNUMBER(SEARCH("non",LOWER($E76&amp;""))),$G76*0.85,$G76),"N/A"),IF($G76="","",IFERROR(IF(ISNUMBER(SEARCH("non",LOWER($E76&amp;""))),$G76*0.85,$G76),"")))))</ns0:f>
        <ns0:v/>
      </ns0:c>
      <ns0:c r="O76" s="987" t="str">
        <ns0:f>IF(COUNTA($A76:$M76)=0,"",IF(OR(LEFT(LOWER(TRIM($F76&amp;"")),12)="subscription",LOWER(TRIM($F76&amp;""))="membership"),"",IF(OR(AND($H76&lt;&gt;"",$H76=0),LEFT(LOWER(TRIM($F76&amp;"")),9)="free game",LOWER(TRIM($F76&amp;""))="free",LOWER(TRIM($F76&amp;""))="free entry"),IF(OR(NOT(ISNUMBER($N76)),NOT(ISNUMBER($I76)),$I76=0),"N/A",IFERROR($N76/$I76,"N/A")),IF(OR($N76="",$I76="",$I76=0),"",IFERROR($N76/$I76,"")))))</ns0:f>
        <ns0:v/>
      </ns0:c>
      <ns0:c r="P76" s="987">
        <ns0:f>IF(COUNTA($A76:$M76)=0,"",IF(OR(LEFT(LOWER(TRIM($F76&amp;"")),12)="subscription",LOWER(TRIM($F76&amp;""))="membership"),"",IF(LOWER(TRIM($D76&amp;""))="estimate","N/A",IF(LOWER($L76&amp;"")="yes",0,IF(OR(AND($H76&lt;&gt;"",$H76=0),LEFT(LOWER(TRIM($F76&amp;"")),9)="free game",LOWER(TRIM($F76&amp;""))="free",LOWER(TRIM($F76&amp;""))="free entry"),IF(ISNUMBER($K76),$K76,""),IF($K76&lt;&gt;"",$K76,""))))))</ns0:f>
      </ns0:c>
      <ns0:c r="Q76" s="114">
        <ns0:f>IF(COUNTA($A76:$M76)=0,"",IF(OR($U76="Subscription",$U76=""),"",IF($U76="Estimate","N/A",IF($U76="Profit",ROUND(IFERROR($P76,0)-IFERROR($H76,0),2),0))))</ns0:f>
      </ns0:c>
      <ns0:c r="R76" s="114">
        <ns0:f>IF(COUNTA($A76:$M76)=0,"",IF(OR($U76="Subscription",$U76=""),"",IF($U76="Estimate","N/A",IF($U76="Draw",$H76,0))))</ns0:f>
      </ns0:c>
      <ns0:c r="S76" s="114">
        <ns0:f>IF(COUNTA($A76:$M76)=0,"",IF(OR($U76="Subscription",$U76=""),"",IF($U76="Estimate","N/A",IF($U76="Disqualified",$H76,0))))</ns0:f>
      </ns0:c>
      <ns0:c r="T76" s="955">
        <ns0:f>IF(COUNTA($A76:$M76)=0,"",IF(OR($U76="Subscription",$U76=""),"",IF($U76="Estimate","N/A",IF(OR($U76="Free Game",$U76="Disqualified — Free Game",$H76=0),"N/A",IF($U76="Profit",$Q76/$H76,IF($U76="Disqualified",-$S76/$H76,0))))))</ns0:f>
      </ns0:c>
      <ns0:c r="U76" s="920">
        <ns0:f>IF(COUNTA($A76:$M76)=0,"",IF(OR(LEFT(LOWER(TRIM($F76&amp;"")),12)="subscription",LOWER(TRIM($F76&amp;""))="membership"),"Subscription",IF(LOWER(TRIM($D76&amp;""))="estimate","Estimate",IF(OR(AND($H76&lt;&gt;"",$H76=0),LEFT(LOWER(TRIM($F76&amp;"")),9)="free game",LOWER(TRIM($F76&amp;""))="free",LOWER(TRIM($F76&amp;""))="free entry"),IF(LOWER($L76&amp;"")="yes","Disqualified — Free Game","Free Game"),IF(LOWER($L76&amp;"")="yes","Disqualified",IF($P76="","",IF(ROUND(IFERROR(VALUE($P76),0)-IFERROR(VALUE($H76),0),2)&gt;0,"Profit","Draw")))))))</ns0:f>
      </ns0:c>
      <ns0:c r="V76" s="956" t="str">
        <ns0:f>IF(COUNTA($A76:$M76)=0,"",IF(OR($B76="",$C76="",$U76="Subscription"),"",IFERROR(ROUNDUP(($C76-$B76)/7,0),"")))</ns0:f>
      </ns0:c>
      <ns0:c r="W76" s="114">
        <ns0:f>IF(COUNTA($A76:$M76)=0,"",IF(OR($U76="Subscription",$U76=""),"",IF($U76="Estimate","N/A",IF(OR($U76="Free Game",$U76="Disqualified — Free Game"),0,ROUND(IFERROR($Q76,0)-IFERROR($S76,0),2)))))</ns0:f>
      </ns0:c>
      <ns0:c r="X76" s="956" t="str">
        <ns0:f>IF(COUNTA($A76:$M76)=0,"",IF(OR($U76="Subscription",NOT(ISNUMBER($J76)),NOT(ISNUMBER($I76)),$J76=0,$I76=0,$I76&gt;$J76),"",$J76-$I76))</ns0:f>
      </ns0:c>
      <ns0:c r="Y76" s="955" t="str">
        <ns0:f>IF(COUNTA($A76:$M76)=0,"",IF(OR($U76="Subscription",NOT(ISNUMBER($J76)),$J76=0,$X76=""),"",$X76/$J76))</ns0:f>
      </ns0:c>
      <ns0:c r="Z76" s="957" t="str">
        <ns0:f>IF(COUNTA($A76:$M76)=0,"",Instructions!$B$29+SUM($W$5:W76))</ns0:f>
      </ns0:c>
    </ns0:row>
    <ns0:row r="77" ht="36" customHeight="1">
      <ns0:c r="A77" s="439"/>
      <ns0:c r="B77" s="453"/>
      <ns0:c r="C77" s="453"/>
      <ns0:c r="D77" s="454"/>
      <ns0:c r="E77" s="454"/>
      <ns0:c r="F77" s="454"/>
      <ns0:c r="G77" s="986"/>
      <ns0:c r="H77" s="455"/>
      <ns0:c r="I77" s="456"/>
      <ns0:c r="J77" s="456"/>
      <ns0:c r="K77" s="986"/>
      <ns0:c r="L77" s="454"/>
      <ns0:c r="M77" s="439"/>
      <ns0:c r="N77" s="987" t="str">
        <ns0:f>IF(COUNTA($A77:$M77)=0,"",IF(OR(LEFT(LOWER(TRIM($F77&amp;"")),12)="subscription",LOWER(TRIM($F77&amp;""))="membership"),"",IF(OR(AND($H77&lt;&gt;"",$H77=0),LEFT(LOWER(TRIM($F77&amp;"")),9)="free game",LOWER(TRIM($F77&amp;""))="free",LOWER(TRIM($F77&amp;""))="free entry"),IF(ISNUMBER($G77),IF(ISNUMBER(SEARCH("non",LOWER($E77&amp;""))),$G77*0.85,$G77),"N/A"),IF($G77="","",IFERROR(IF(ISNUMBER(SEARCH("non",LOWER($E77&amp;""))),$G77*0.85,$G77),"")))))</ns0:f>
        <ns0:v/>
      </ns0:c>
      <ns0:c r="O77" s="987" t="str">
        <ns0:f>IF(COUNTA($A77:$M77)=0,"",IF(OR(LEFT(LOWER(TRIM($F77&amp;"")),12)="subscription",LOWER(TRIM($F77&amp;""))="membership"),"",IF(OR(AND($H77&lt;&gt;"",$H77=0),LEFT(LOWER(TRIM($F77&amp;"")),9)="free game",LOWER(TRIM($F77&amp;""))="free",LOWER(TRIM($F77&amp;""))="free entry"),IF(OR(NOT(ISNUMBER($N77)),NOT(ISNUMBER($I77)),$I77=0),"N/A",IFERROR($N77/$I77,"N/A")),IF(OR($N77="",$I77="",$I77=0),"",IFERROR($N77/$I77,"")))))</ns0:f>
        <ns0:v/>
      </ns0:c>
      <ns0:c r="P77" s="987">
        <ns0:f>IF(COUNTA($A77:$M77)=0,"",IF(OR(LEFT(LOWER(TRIM($F77&amp;"")),12)="subscription",LOWER(TRIM($F77&amp;""))="membership"),"",IF(LOWER(TRIM($D77&amp;""))="estimate","N/A",IF(LOWER($L77&amp;"")="yes",0,IF(OR(AND($H77&lt;&gt;"",$H77=0),LEFT(LOWER(TRIM($F77&amp;"")),9)="free game",LOWER(TRIM($F77&amp;""))="free",LOWER(TRIM($F77&amp;""))="free entry"),IF(ISNUMBER($K77),$K77,""),IF($K77&lt;&gt;"",$K77,""))))))</ns0:f>
      </ns0:c>
      <ns0:c r="Q77" s="114">
        <ns0:f>IF(COUNTA($A77:$M77)=0,"",IF(OR($U77="Subscription",$U77=""),"",IF($U77="Estimate","N/A",IF($U77="Profit",ROUND(IFERROR($P77,0)-IFERROR($H77,0),2),0))))</ns0:f>
      </ns0:c>
      <ns0:c r="R77" s="114">
        <ns0:f>IF(COUNTA($A77:$M77)=0,"",IF(OR($U77="Subscription",$U77=""),"",IF($U77="Estimate","N/A",IF($U77="Draw",$H77,0))))</ns0:f>
      </ns0:c>
      <ns0:c r="S77" s="114">
        <ns0:f>IF(COUNTA($A77:$M77)=0,"",IF(OR($U77="Subscription",$U77=""),"",IF($U77="Estimate","N/A",IF($U77="Disqualified",$H77,0))))</ns0:f>
      </ns0:c>
      <ns0:c r="T77" s="955">
        <ns0:f>IF(COUNTA($A77:$M77)=0,"",IF(OR($U77="Subscription",$U77=""),"",IF($U77="Estimate","N/A",IF(OR($U77="Free Game",$U77="Disqualified — Free Game",$H77=0),"N/A",IF($U77="Profit",$Q77/$H77,IF($U77="Disqualified",-$S77/$H77,0))))))</ns0:f>
      </ns0:c>
      <ns0:c r="U77" s="920">
        <ns0:f>IF(COUNTA($A77:$M77)=0,"",IF(OR(LEFT(LOWER(TRIM($F77&amp;"")),12)="subscription",LOWER(TRIM($F77&amp;""))="membership"),"Subscription",IF(LOWER(TRIM($D77&amp;""))="estimate","Estimate",IF(OR(AND($H77&lt;&gt;"",$H77=0),LEFT(LOWER(TRIM($F77&amp;"")),9)="free game",LOWER(TRIM($F77&amp;""))="free",LOWER(TRIM($F77&amp;""))="free entry"),IF(LOWER($L77&amp;"")="yes","Disqualified — Free Game","Free Game"),IF(LOWER($L77&amp;"")="yes","Disqualified",IF($P77="","",IF(ROUND(IFERROR(VALUE($P77),0)-IFERROR(VALUE($H77),0),2)&gt;0,"Profit","Draw")))))))</ns0:f>
      </ns0:c>
      <ns0:c r="V77" s="956" t="str">
        <ns0:f>IF(COUNTA($A77:$M77)=0,"",IF(OR($B77="",$C77="",$U77="Subscription"),"",IFERROR(ROUNDUP(($C77-$B77)/7,0),"")))</ns0:f>
      </ns0:c>
      <ns0:c r="W77" s="114">
        <ns0:f>IF(COUNTA($A77:$M77)=0,"",IF(OR($U77="Subscription",$U77=""),"",IF($U77="Estimate","N/A",IF(OR($U77="Free Game",$U77="Disqualified — Free Game"),0,ROUND(IFERROR($Q77,0)-IFERROR($S77,0),2)))))</ns0:f>
      </ns0:c>
      <ns0:c r="X77" s="956" t="str">
        <ns0:f>IF(COUNTA($A77:$M77)=0,"",IF(OR($U77="Subscription",NOT(ISNUMBER($J77)),NOT(ISNUMBER($I77)),$J77=0,$I77=0,$I77&gt;$J77),"",$J77-$I77))</ns0:f>
      </ns0:c>
      <ns0:c r="Y77" s="955" t="str">
        <ns0:f>IF(COUNTA($A77:$M77)=0,"",IF(OR($U77="Subscription",NOT(ISNUMBER($J77)),$J77=0,$X77=""),"",$X77/$J77))</ns0:f>
      </ns0:c>
      <ns0:c r="Z77" s="957" t="str">
        <ns0:f>IF(COUNTA($A77:$M77)=0,"",Instructions!$B$29+SUM($W$5:W77))</ns0:f>
      </ns0:c>
    </ns0:row>
    <ns0:row r="78" ht="36" customHeight="1">
      <ns0:c r="A78" s="439"/>
      <ns0:c r="B78" s="453"/>
      <ns0:c r="C78" s="453"/>
      <ns0:c r="D78" s="454"/>
      <ns0:c r="E78" s="454"/>
      <ns0:c r="F78" s="454"/>
      <ns0:c r="G78" s="986"/>
      <ns0:c r="H78" s="455"/>
      <ns0:c r="I78" s="456"/>
      <ns0:c r="J78" s="456"/>
      <ns0:c r="K78" s="986"/>
      <ns0:c r="L78" s="454"/>
      <ns0:c r="M78" s="439"/>
      <ns0:c r="N78" s="987" t="str">
        <ns0:f>IF(COUNTA($A78:$M78)=0,"",IF(OR(LEFT(LOWER(TRIM($F78&amp;"")),12)="subscription",LOWER(TRIM($F78&amp;""))="membership"),"",IF(OR(AND($H78&lt;&gt;"",$H78=0),LEFT(LOWER(TRIM($F78&amp;"")),9)="free game",LOWER(TRIM($F78&amp;""))="free",LOWER(TRIM($F78&amp;""))="free entry"),IF(ISNUMBER($G78),IF(ISNUMBER(SEARCH("non",LOWER($E78&amp;""))),$G78*0.85,$G78),"N/A"),IF($G78="","",IFERROR(IF(ISNUMBER(SEARCH("non",LOWER($E78&amp;""))),$G78*0.85,$G78),"")))))</ns0:f>
        <ns0:v/>
      </ns0:c>
      <ns0:c r="O78" s="987" t="str">
        <ns0:f>IF(COUNTA($A78:$M78)=0,"",IF(OR(LEFT(LOWER(TRIM($F78&amp;"")),12)="subscription",LOWER(TRIM($F78&amp;""))="membership"),"",IF(OR(AND($H78&lt;&gt;"",$H78=0),LEFT(LOWER(TRIM($F78&amp;"")),9)="free game",LOWER(TRIM($F78&amp;""))="free",LOWER(TRIM($F78&amp;""))="free entry"),IF(OR(NOT(ISNUMBER($N78)),NOT(ISNUMBER($I78)),$I78=0),"N/A",IFERROR($N78/$I78,"N/A")),IF(OR($N78="",$I78="",$I78=0),"",IFERROR($N78/$I78,"")))))</ns0:f>
        <ns0:v/>
      </ns0:c>
      <ns0:c r="P78" s="987">
        <ns0:f>IF(COUNTA($A78:$M78)=0,"",IF(OR(LEFT(LOWER(TRIM($F78&amp;"")),12)="subscription",LOWER(TRIM($F78&amp;""))="membership"),"",IF(LOWER(TRIM($D78&amp;""))="estimate","N/A",IF(LOWER($L78&amp;"")="yes",0,IF(OR(AND($H78&lt;&gt;"",$H78=0),LEFT(LOWER(TRIM($F78&amp;"")),9)="free game",LOWER(TRIM($F78&amp;""))="free",LOWER(TRIM($F78&amp;""))="free entry"),IF(ISNUMBER($K78),$K78,""),IF($K78&lt;&gt;"",$K78,""))))))</ns0:f>
      </ns0:c>
      <ns0:c r="Q78" s="114">
        <ns0:f>IF(COUNTA($A78:$M78)=0,"",IF(OR($U78="Subscription",$U78=""),"",IF($U78="Estimate","N/A",IF($U78="Profit",ROUND(IFERROR($P78,0)-IFERROR($H78,0),2),0))))</ns0:f>
      </ns0:c>
      <ns0:c r="R78" s="114">
        <ns0:f>IF(COUNTA($A78:$M78)=0,"",IF(OR($U78="Subscription",$U78=""),"",IF($U78="Estimate","N/A",IF($U78="Draw",$H78,0))))</ns0:f>
      </ns0:c>
      <ns0:c r="S78" s="114">
        <ns0:f>IF(COUNTA($A78:$M78)=0,"",IF(OR($U78="Subscription",$U78=""),"",IF($U78="Estimate","N/A",IF($U78="Disqualified",$H78,0))))</ns0:f>
      </ns0:c>
      <ns0:c r="T78" s="955">
        <ns0:f>IF(COUNTA($A78:$M78)=0,"",IF(OR($U78="Subscription",$U78=""),"",IF($U78="Estimate","N/A",IF(OR($U78="Free Game",$U78="Disqualified — Free Game",$H78=0),"N/A",IF($U78="Profit",$Q78/$H78,IF($U78="Disqualified",-$S78/$H78,0))))))</ns0:f>
      </ns0:c>
      <ns0:c r="U78" s="920">
        <ns0:f>IF(COUNTA($A78:$M78)=0,"",IF(OR(LEFT(LOWER(TRIM($F78&amp;"")),12)="subscription",LOWER(TRIM($F78&amp;""))="membership"),"Subscription",IF(LOWER(TRIM($D78&amp;""))="estimate","Estimate",IF(OR(AND($H78&lt;&gt;"",$H78=0),LEFT(LOWER(TRIM($F78&amp;"")),9)="free game",LOWER(TRIM($F78&amp;""))="free",LOWER(TRIM($F78&amp;""))="free entry"),IF(LOWER($L78&amp;"")="yes","Disqualified — Free Game","Free Game"),IF(LOWER($L78&amp;"")="yes","Disqualified",IF($P78="","",IF(ROUND(IFERROR(VALUE($P78),0)-IFERROR(VALUE($H78),0),2)&gt;0,"Profit","Draw")))))))</ns0:f>
      </ns0:c>
      <ns0:c r="V78" s="956" t="str">
        <ns0:f>IF(COUNTA($A78:$M78)=0,"",IF(OR($B78="",$C78="",$U78="Subscription"),"",IFERROR(ROUNDUP(($C78-$B78)/7,0),"")))</ns0:f>
      </ns0:c>
      <ns0:c r="W78" s="114">
        <ns0:f>IF(COUNTA($A78:$M78)=0,"",IF(OR($U78="Subscription",$U78=""),"",IF($U78="Estimate","N/A",IF(OR($U78="Free Game",$U78="Disqualified — Free Game"),0,ROUND(IFERROR($Q78,0)-IFERROR($S78,0),2)))))</ns0:f>
      </ns0:c>
      <ns0:c r="X78" s="956" t="str">
        <ns0:f>IF(COUNTA($A78:$M78)=0,"",IF(OR($U78="Subscription",NOT(ISNUMBER($J78)),NOT(ISNUMBER($I78)),$J78=0,$I78=0,$I78&gt;$J78),"",$J78-$I78))</ns0:f>
      </ns0:c>
      <ns0:c r="Y78" s="955" t="str">
        <ns0:f>IF(COUNTA($A78:$M78)=0,"",IF(OR($U78="Subscription",NOT(ISNUMBER($J78)),$J78=0,$X78=""),"",$X78/$J78))</ns0:f>
      </ns0:c>
      <ns0:c r="Z78" s="957" t="str">
        <ns0:f>IF(COUNTA($A78:$M78)=0,"",Instructions!$B$29+SUM($W$5:W78))</ns0:f>
      </ns0:c>
    </ns0:row>
    <ns0:row r="79" ht="36" customHeight="1">
      <ns0:c r="A79" s="439"/>
      <ns0:c r="B79" s="453"/>
      <ns0:c r="C79" s="453"/>
      <ns0:c r="D79" s="454"/>
      <ns0:c r="E79" s="454"/>
      <ns0:c r="F79" s="454"/>
      <ns0:c r="G79" s="986"/>
      <ns0:c r="H79" s="455"/>
      <ns0:c r="I79" s="456"/>
      <ns0:c r="J79" s="456"/>
      <ns0:c r="K79" s="986"/>
      <ns0:c r="L79" s="454"/>
      <ns0:c r="M79" s="439"/>
      <ns0:c r="N79" s="987" t="str">
        <ns0:f>IF(COUNTA($A79:$M79)=0,"",IF(OR(LEFT(LOWER(TRIM($F79&amp;"")),12)="subscription",LOWER(TRIM($F79&amp;""))="membership"),"",IF(OR(AND($H79&lt;&gt;"",$H79=0),LEFT(LOWER(TRIM($F79&amp;"")),9)="free game",LOWER(TRIM($F79&amp;""))="free",LOWER(TRIM($F79&amp;""))="free entry"),IF(ISNUMBER($G79),IF(ISNUMBER(SEARCH("non",LOWER($E79&amp;""))),$G79*0.85,$G79),"N/A"),IF($G79="","",IFERROR(IF(ISNUMBER(SEARCH("non",LOWER($E79&amp;""))),$G79*0.85,$G79),"")))))</ns0:f>
        <ns0:v/>
      </ns0:c>
      <ns0:c r="O79" s="987" t="str">
        <ns0:f>IF(COUNTA($A79:$M79)=0,"",IF(OR(LEFT(LOWER(TRIM($F79&amp;"")),12)="subscription",LOWER(TRIM($F79&amp;""))="membership"),"",IF(OR(AND($H79&lt;&gt;"",$H79=0),LEFT(LOWER(TRIM($F79&amp;"")),9)="free game",LOWER(TRIM($F79&amp;""))="free",LOWER(TRIM($F79&amp;""))="free entry"),IF(OR(NOT(ISNUMBER($N79)),NOT(ISNUMBER($I79)),$I79=0),"N/A",IFERROR($N79/$I79,"N/A")),IF(OR($N79="",$I79="",$I79=0),"",IFERROR($N79/$I79,"")))))</ns0:f>
        <ns0:v/>
      </ns0:c>
      <ns0:c r="P79" s="987">
        <ns0:f>IF(COUNTA($A79:$M79)=0,"",IF(OR(LEFT(LOWER(TRIM($F79&amp;"")),12)="subscription",LOWER(TRIM($F79&amp;""))="membership"),"",IF(LOWER(TRIM($D79&amp;""))="estimate","N/A",IF(LOWER($L79&amp;"")="yes",0,IF(OR(AND($H79&lt;&gt;"",$H79=0),LEFT(LOWER(TRIM($F79&amp;"")),9)="free game",LOWER(TRIM($F79&amp;""))="free",LOWER(TRIM($F79&amp;""))="free entry"),IF(ISNUMBER($K79),$K79,""),IF($K79&lt;&gt;"",$K79,""))))))</ns0:f>
      </ns0:c>
      <ns0:c r="Q79" s="114">
        <ns0:f>IF(COUNTA($A79:$M79)=0,"",IF(OR($U79="Subscription",$U79=""),"",IF($U79="Estimate","N/A",IF($U79="Profit",ROUND(IFERROR($P79,0)-IFERROR($H79,0),2),0))))</ns0:f>
      </ns0:c>
      <ns0:c r="R79" s="114">
        <ns0:f>IF(COUNTA($A79:$M79)=0,"",IF(OR($U79="Subscription",$U79=""),"",IF($U79="Estimate","N/A",IF($U79="Draw",$H79,0))))</ns0:f>
      </ns0:c>
      <ns0:c r="S79" s="114">
        <ns0:f>IF(COUNTA($A79:$M79)=0,"",IF(OR($U79="Subscription",$U79=""),"",IF($U79="Estimate","N/A",IF($U79="Disqualified",$H79,0))))</ns0:f>
      </ns0:c>
      <ns0:c r="T79" s="955">
        <ns0:f>IF(COUNTA($A79:$M79)=0,"",IF(OR($U79="Subscription",$U79=""),"",IF($U79="Estimate","N/A",IF(OR($U79="Free Game",$U79="Disqualified — Free Game",$H79=0),"N/A",IF($U79="Profit",$Q79/$H79,IF($U79="Disqualified",-$S79/$H79,0))))))</ns0:f>
      </ns0:c>
      <ns0:c r="U79" s="920">
        <ns0:f>IF(COUNTA($A79:$M79)=0,"",IF(OR(LEFT(LOWER(TRIM($F79&amp;"")),12)="subscription",LOWER(TRIM($F79&amp;""))="membership"),"Subscription",IF(LOWER(TRIM($D79&amp;""))="estimate","Estimate",IF(OR(AND($H79&lt;&gt;"",$H79=0),LEFT(LOWER(TRIM($F79&amp;"")),9)="free game",LOWER(TRIM($F79&amp;""))="free",LOWER(TRIM($F79&amp;""))="free entry"),IF(LOWER($L79&amp;"")="yes","Disqualified — Free Game","Free Game"),IF(LOWER($L79&amp;"")="yes","Disqualified",IF($P79="","",IF(ROUND(IFERROR(VALUE($P79),0)-IFERROR(VALUE($H79),0),2)&gt;0,"Profit","Draw")))))))</ns0:f>
      </ns0:c>
      <ns0:c r="V79" s="956" t="str">
        <ns0:f>IF(COUNTA($A79:$M79)=0,"",IF(OR($B79="",$C79="",$U79="Subscription"),"",IFERROR(ROUNDUP(($C79-$B79)/7,0),"")))</ns0:f>
      </ns0:c>
      <ns0:c r="W79" s="114">
        <ns0:f>IF(COUNTA($A79:$M79)=0,"",IF(OR($U79="Subscription",$U79=""),"",IF($U79="Estimate","N/A",IF(OR($U79="Free Game",$U79="Disqualified — Free Game"),0,ROUND(IFERROR($Q79,0)-IFERROR($S79,0),2)))))</ns0:f>
      </ns0:c>
      <ns0:c r="X79" s="956" t="str">
        <ns0:f>IF(COUNTA($A79:$M79)=0,"",IF(OR($U79="Subscription",NOT(ISNUMBER($J79)),NOT(ISNUMBER($I79)),$J79=0,$I79=0,$I79&gt;$J79),"",$J79-$I79))</ns0:f>
      </ns0:c>
      <ns0:c r="Y79" s="955" t="str">
        <ns0:f>IF(COUNTA($A79:$M79)=0,"",IF(OR($U79="Subscription",NOT(ISNUMBER($J79)),$J79=0,$X79=""),"",$X79/$J79))</ns0:f>
      </ns0:c>
      <ns0:c r="Z79" s="957" t="str">
        <ns0:f>IF(COUNTA($A79:$M79)=0,"",Instructions!$B$29+SUM($W$5:W79))</ns0:f>
      </ns0:c>
    </ns0:row>
    <ns0:row r="80" ht="36" customHeight="1">
      <ns0:c r="A80" s="439"/>
      <ns0:c r="B80" s="453"/>
      <ns0:c r="C80" s="453"/>
      <ns0:c r="D80" s="454"/>
      <ns0:c r="E80" s="454"/>
      <ns0:c r="F80" s="454"/>
      <ns0:c r="G80" s="986"/>
      <ns0:c r="H80" s="455"/>
      <ns0:c r="I80" s="456"/>
      <ns0:c r="J80" s="456"/>
      <ns0:c r="K80" s="986"/>
      <ns0:c r="L80" s="454"/>
      <ns0:c r="M80" s="439"/>
      <ns0:c r="N80" s="987" t="str">
        <ns0:f>IF(COUNTA($A80:$M80)=0,"",IF(OR(LEFT(LOWER(TRIM($F80&amp;"")),12)="subscription",LOWER(TRIM($F80&amp;""))="membership"),"",IF(OR(AND($H80&lt;&gt;"",$H80=0),LEFT(LOWER(TRIM($F80&amp;"")),9)="free game",LOWER(TRIM($F80&amp;""))="free",LOWER(TRIM($F80&amp;""))="free entry"),IF(ISNUMBER($G80),IF(ISNUMBER(SEARCH("non",LOWER($E80&amp;""))),$G80*0.85,$G80),"N/A"),IF($G80="","",IFERROR(IF(ISNUMBER(SEARCH("non",LOWER($E80&amp;""))),$G80*0.85,$G80),"")))))</ns0:f>
        <ns0:v/>
      </ns0:c>
      <ns0:c r="O80" s="987" t="str">
        <ns0:f>IF(COUNTA($A80:$M80)=0,"",IF(OR(LEFT(LOWER(TRIM($F80&amp;"")),12)="subscription",LOWER(TRIM($F80&amp;""))="membership"),"",IF(OR(AND($H80&lt;&gt;"",$H80=0),LEFT(LOWER(TRIM($F80&amp;"")),9)="free game",LOWER(TRIM($F80&amp;""))="free",LOWER(TRIM($F80&amp;""))="free entry"),IF(OR(NOT(ISNUMBER($N80)),NOT(ISNUMBER($I80)),$I80=0),"N/A",IFERROR($N80/$I80,"N/A")),IF(OR($N80="",$I80="",$I80=0),"",IFERROR($N80/$I80,"")))))</ns0:f>
        <ns0:v/>
      </ns0:c>
      <ns0:c r="P80" s="987">
        <ns0:f>IF(COUNTA($A80:$M80)=0,"",IF(OR(LEFT(LOWER(TRIM($F80&amp;"")),12)="subscription",LOWER(TRIM($F80&amp;""))="membership"),"",IF(LOWER(TRIM($D80&amp;""))="estimate","N/A",IF(LOWER($L80&amp;"")="yes",0,IF(OR(AND($H80&lt;&gt;"",$H80=0),LEFT(LOWER(TRIM($F80&amp;"")),9)="free game",LOWER(TRIM($F80&amp;""))="free",LOWER(TRIM($F80&amp;""))="free entry"),IF(ISNUMBER($K80),$K80,""),IF($K80&lt;&gt;"",$K80,""))))))</ns0:f>
      </ns0:c>
      <ns0:c r="Q80" s="114">
        <ns0:f>IF(COUNTA($A80:$M80)=0,"",IF(OR($U80="Subscription",$U80=""),"",IF($U80="Estimate","N/A",IF($U80="Profit",ROUND(IFERROR($P80,0)-IFERROR($H80,0),2),0))))</ns0:f>
      </ns0:c>
      <ns0:c r="R80" s="114">
        <ns0:f>IF(COUNTA($A80:$M80)=0,"",IF(OR($U80="Subscription",$U80=""),"",IF($U80="Estimate","N/A",IF($U80="Draw",$H80,0))))</ns0:f>
      </ns0:c>
      <ns0:c r="S80" s="114">
        <ns0:f>IF(COUNTA($A80:$M80)=0,"",IF(OR($U80="Subscription",$U80=""),"",IF($U80="Estimate","N/A",IF($U80="Disqualified",$H80,0))))</ns0:f>
      </ns0:c>
      <ns0:c r="T80" s="955">
        <ns0:f>IF(COUNTA($A80:$M80)=0,"",IF(OR($U80="Subscription",$U80=""),"",IF($U80="Estimate","N/A",IF(OR($U80="Free Game",$U80="Disqualified — Free Game",$H80=0),"N/A",IF($U80="Profit",$Q80/$H80,IF($U80="Disqualified",-$S80/$H80,0))))))</ns0:f>
      </ns0:c>
      <ns0:c r="U80" s="920">
        <ns0:f>IF(COUNTA($A80:$M80)=0,"",IF(OR(LEFT(LOWER(TRIM($F80&amp;"")),12)="subscription",LOWER(TRIM($F80&amp;""))="membership"),"Subscription",IF(LOWER(TRIM($D80&amp;""))="estimate","Estimate",IF(OR(AND($H80&lt;&gt;"",$H80=0),LEFT(LOWER(TRIM($F80&amp;"")),9)="free game",LOWER(TRIM($F80&amp;""))="free",LOWER(TRIM($F80&amp;""))="free entry"),IF(LOWER($L80&amp;"")="yes","Disqualified — Free Game","Free Game"),IF(LOWER($L80&amp;"")="yes","Disqualified",IF($P80="","",IF(ROUND(IFERROR(VALUE($P80),0)-IFERROR(VALUE($H80),0),2)&gt;0,"Profit","Draw")))))))</ns0:f>
      </ns0:c>
      <ns0:c r="V80" s="956" t="str">
        <ns0:f>IF(COUNTA($A80:$M80)=0,"",IF(OR($B80="",$C80="",$U80="Subscription"),"",IFERROR(ROUNDUP(($C80-$B80)/7,0),"")))</ns0:f>
      </ns0:c>
      <ns0:c r="W80" s="114">
        <ns0:f>IF(COUNTA($A80:$M80)=0,"",IF(OR($U80="Subscription",$U80=""),"",IF($U80="Estimate","N/A",IF(OR($U80="Free Game",$U80="Disqualified — Free Game"),0,ROUND(IFERROR($Q80,0)-IFERROR($S80,0),2)))))</ns0:f>
      </ns0:c>
      <ns0:c r="X80" s="956" t="str">
        <ns0:f>IF(COUNTA($A80:$M80)=0,"",IF(OR($U80="Subscription",NOT(ISNUMBER($J80)),NOT(ISNUMBER($I80)),$J80=0,$I80=0,$I80&gt;$J80),"",$J80-$I80))</ns0:f>
      </ns0:c>
      <ns0:c r="Y80" s="955" t="str">
        <ns0:f>IF(COUNTA($A80:$M80)=0,"",IF(OR($U80="Subscription",NOT(ISNUMBER($J80)),$J80=0,$X80=""),"",$X80/$J80))</ns0:f>
      </ns0:c>
      <ns0:c r="Z80" s="957" t="str">
        <ns0:f>IF(COUNTA($A80:$M80)=0,"",Instructions!$B$29+SUM($W$5:W80))</ns0:f>
      </ns0:c>
    </ns0:row>
    <ns0:row r="81" ht="36" customHeight="1">
      <ns0:c r="A81" s="439"/>
      <ns0:c r="B81" s="453"/>
      <ns0:c r="C81" s="453"/>
      <ns0:c r="D81" s="454"/>
      <ns0:c r="E81" s="454"/>
      <ns0:c r="F81" s="454"/>
      <ns0:c r="G81" s="986"/>
      <ns0:c r="H81" s="455"/>
      <ns0:c r="I81" s="456"/>
      <ns0:c r="J81" s="456"/>
      <ns0:c r="K81" s="986"/>
      <ns0:c r="L81" s="454"/>
      <ns0:c r="M81" s="439"/>
      <ns0:c r="N81" s="987" t="str">
        <ns0:f>IF(COUNTA($A81:$M81)=0,"",IF(OR(LEFT(LOWER(TRIM($F81&amp;"")),12)="subscription",LOWER(TRIM($F81&amp;""))="membership"),"",IF(OR(AND($H81&lt;&gt;"",$H81=0),LEFT(LOWER(TRIM($F81&amp;"")),9)="free game",LOWER(TRIM($F81&amp;""))="free",LOWER(TRIM($F81&amp;""))="free entry"),IF(ISNUMBER($G81),IF(ISNUMBER(SEARCH("non",LOWER($E81&amp;""))),$G81*0.85,$G81),"N/A"),IF($G81="","",IFERROR(IF(ISNUMBER(SEARCH("non",LOWER($E81&amp;""))),$G81*0.85,$G81),"")))))</ns0:f>
        <ns0:v/>
      </ns0:c>
      <ns0:c r="O81" s="987" t="str">
        <ns0:f>IF(COUNTA($A81:$M81)=0,"",IF(OR(LEFT(LOWER(TRIM($F81&amp;"")),12)="subscription",LOWER(TRIM($F81&amp;""))="membership"),"",IF(OR(AND($H81&lt;&gt;"",$H81=0),LEFT(LOWER(TRIM($F81&amp;"")),9)="free game",LOWER(TRIM($F81&amp;""))="free",LOWER(TRIM($F81&amp;""))="free entry"),IF(OR(NOT(ISNUMBER($N81)),NOT(ISNUMBER($I81)),$I81=0),"N/A",IFERROR($N81/$I81,"N/A")),IF(OR($N81="",$I81="",$I81=0),"",IFERROR($N81/$I81,"")))))</ns0:f>
        <ns0:v/>
      </ns0:c>
      <ns0:c r="P81" s="987">
        <ns0:f>IF(COUNTA($A81:$M81)=0,"",IF(OR(LEFT(LOWER(TRIM($F81&amp;"")),12)="subscription",LOWER(TRIM($F81&amp;""))="membership"),"",IF(LOWER(TRIM($D81&amp;""))="estimate","N/A",IF(LOWER($L81&amp;"")="yes",0,IF(OR(AND($H81&lt;&gt;"",$H81=0),LEFT(LOWER(TRIM($F81&amp;"")),9)="free game",LOWER(TRIM($F81&amp;""))="free",LOWER(TRIM($F81&amp;""))="free entry"),IF(ISNUMBER($K81),$K81,""),IF($K81&lt;&gt;"",$K81,""))))))</ns0:f>
      </ns0:c>
      <ns0:c r="Q81" s="114">
        <ns0:f>IF(COUNTA($A81:$M81)=0,"",IF(OR($U81="Subscription",$U81=""),"",IF($U81="Estimate","N/A",IF($U81="Profit",ROUND(IFERROR($P81,0)-IFERROR($H81,0),2),0))))</ns0:f>
      </ns0:c>
      <ns0:c r="R81" s="114">
        <ns0:f>IF(COUNTA($A81:$M81)=0,"",IF(OR($U81="Subscription",$U81=""),"",IF($U81="Estimate","N/A",IF($U81="Draw",$H81,0))))</ns0:f>
      </ns0:c>
      <ns0:c r="S81" s="114">
        <ns0:f>IF(COUNTA($A81:$M81)=0,"",IF(OR($U81="Subscription",$U81=""),"",IF($U81="Estimate","N/A",IF($U81="Disqualified",$H81,0))))</ns0:f>
      </ns0:c>
      <ns0:c r="T81" s="955">
        <ns0:f>IF(COUNTA($A81:$M81)=0,"",IF(OR($U81="Subscription",$U81=""),"",IF($U81="Estimate","N/A",IF(OR($U81="Free Game",$U81="Disqualified — Free Game",$H81=0),"N/A",IF($U81="Profit",$Q81/$H81,IF($U81="Disqualified",-$S81/$H81,0))))))</ns0:f>
      </ns0:c>
      <ns0:c r="U81" s="920">
        <ns0:f>IF(COUNTA($A81:$M81)=0,"",IF(OR(LEFT(LOWER(TRIM($F81&amp;"")),12)="subscription",LOWER(TRIM($F81&amp;""))="membership"),"Subscription",IF(LOWER(TRIM($D81&amp;""))="estimate","Estimate",IF(OR(AND($H81&lt;&gt;"",$H81=0),LEFT(LOWER(TRIM($F81&amp;"")),9)="free game",LOWER(TRIM($F81&amp;""))="free",LOWER(TRIM($F81&amp;""))="free entry"),IF(LOWER($L81&amp;"")="yes","Disqualified — Free Game","Free Game"),IF(LOWER($L81&amp;"")="yes","Disqualified",IF($P81="","",IF(ROUND(IFERROR(VALUE($P81),0)-IFERROR(VALUE($H81),0),2)&gt;0,"Profit","Draw")))))))</ns0:f>
      </ns0:c>
      <ns0:c r="V81" s="956" t="str">
        <ns0:f>IF(COUNTA($A81:$M81)=0,"",IF(OR($B81="",$C81="",$U81="Subscription"),"",IFERROR(ROUNDUP(($C81-$B81)/7,0),"")))</ns0:f>
      </ns0:c>
      <ns0:c r="W81" s="114">
        <ns0:f>IF(COUNTA($A81:$M81)=0,"",IF(OR($U81="Subscription",$U81=""),"",IF($U81="Estimate","N/A",IF(OR($U81="Free Game",$U81="Disqualified — Free Game"),0,ROUND(IFERROR($Q81,0)-IFERROR($S81,0),2)))))</ns0:f>
      </ns0:c>
      <ns0:c r="X81" s="956" t="str">
        <ns0:f>IF(COUNTA($A81:$M81)=0,"",IF(OR($U81="Subscription",NOT(ISNUMBER($J81)),NOT(ISNUMBER($I81)),$J81=0,$I81=0,$I81&gt;$J81),"",$J81-$I81))</ns0:f>
      </ns0:c>
      <ns0:c r="Y81" s="955" t="str">
        <ns0:f>IF(COUNTA($A81:$M81)=0,"",IF(OR($U81="Subscription",NOT(ISNUMBER($J81)),$J81=0,$X81=""),"",$X81/$J81))</ns0:f>
      </ns0:c>
      <ns0:c r="Z81" s="957" t="str">
        <ns0:f>IF(COUNTA($A81:$M81)=0,"",Instructions!$B$29+SUM($W$5:W81))</ns0:f>
      </ns0:c>
    </ns0:row>
    <ns0:row r="82" ht="36" customHeight="1">
      <ns0:c r="A82" s="439"/>
      <ns0:c r="B82" s="453"/>
      <ns0:c r="C82" s="453"/>
      <ns0:c r="D82" s="454"/>
      <ns0:c r="E82" s="454"/>
      <ns0:c r="F82" s="454"/>
      <ns0:c r="G82" s="986"/>
      <ns0:c r="H82" s="455"/>
      <ns0:c r="I82" s="456"/>
      <ns0:c r="J82" s="456"/>
      <ns0:c r="K82" s="986"/>
      <ns0:c r="L82" s="454"/>
      <ns0:c r="M82" s="439"/>
      <ns0:c r="N82" s="987" t="str">
        <ns0:f>IF(COUNTA($A82:$M82)=0,"",IF(OR(LEFT(LOWER(TRIM($F82&amp;"")),12)="subscription",LOWER(TRIM($F82&amp;""))="membership"),"",IF(OR(AND($H82&lt;&gt;"",$H82=0),LEFT(LOWER(TRIM($F82&amp;"")),9)="free game",LOWER(TRIM($F82&amp;""))="free",LOWER(TRIM($F82&amp;""))="free entry"),IF(ISNUMBER($G82),IF(ISNUMBER(SEARCH("non",LOWER($E82&amp;""))),$G82*0.85,$G82),"N/A"),IF($G82="","",IFERROR(IF(ISNUMBER(SEARCH("non",LOWER($E82&amp;""))),$G82*0.85,$G82),"")))))</ns0:f>
        <ns0:v/>
      </ns0:c>
      <ns0:c r="O82" s="987" t="str">
        <ns0:f>IF(COUNTA($A82:$M82)=0,"",IF(OR(LEFT(LOWER(TRIM($F82&amp;"")),12)="subscription",LOWER(TRIM($F82&amp;""))="membership"),"",IF(OR(AND($H82&lt;&gt;"",$H82=0),LEFT(LOWER(TRIM($F82&amp;"")),9)="free game",LOWER(TRIM($F82&amp;""))="free",LOWER(TRIM($F82&amp;""))="free entry"),IF(OR(NOT(ISNUMBER($N82)),NOT(ISNUMBER($I82)),$I82=0),"N/A",IFERROR($N82/$I82,"N/A")),IF(OR($N82="",$I82="",$I82=0),"",IFERROR($N82/$I82,"")))))</ns0:f>
        <ns0:v/>
      </ns0:c>
      <ns0:c r="P82" s="987">
        <ns0:f>IF(COUNTA($A82:$M82)=0,"",IF(OR(LEFT(LOWER(TRIM($F82&amp;"")),12)="subscription",LOWER(TRIM($F82&amp;""))="membership"),"",IF(LOWER(TRIM($D82&amp;""))="estimate","N/A",IF(LOWER($L82&amp;"")="yes",0,IF(OR(AND($H82&lt;&gt;"",$H82=0),LEFT(LOWER(TRIM($F82&amp;"")),9)="free game",LOWER(TRIM($F82&amp;""))="free",LOWER(TRIM($F82&amp;""))="free entry"),IF(ISNUMBER($K82),$K82,""),IF($K82&lt;&gt;"",$K82,""))))))</ns0:f>
      </ns0:c>
      <ns0:c r="Q82" s="114">
        <ns0:f>IF(COUNTA($A82:$M82)=0,"",IF(OR($U82="Subscription",$U82=""),"",IF($U82="Estimate","N/A",IF($U82="Profit",ROUND(IFERROR($P82,0)-IFERROR($H82,0),2),0))))</ns0:f>
      </ns0:c>
      <ns0:c r="R82" s="114">
        <ns0:f>IF(COUNTA($A82:$M82)=0,"",IF(OR($U82="Subscription",$U82=""),"",IF($U82="Estimate","N/A",IF($U82="Draw",$H82,0))))</ns0:f>
      </ns0:c>
      <ns0:c r="S82" s="114">
        <ns0:f>IF(COUNTA($A82:$M82)=0,"",IF(OR($U82="Subscription",$U82=""),"",IF($U82="Estimate","N/A",IF($U82="Disqualified",$H82,0))))</ns0:f>
      </ns0:c>
      <ns0:c r="T82" s="955">
        <ns0:f>IF(COUNTA($A82:$M82)=0,"",IF(OR($U82="Subscription",$U82=""),"",IF($U82="Estimate","N/A",IF(OR($U82="Free Game",$U82="Disqualified — Free Game",$H82=0),"N/A",IF($U82="Profit",$Q82/$H82,IF($U82="Disqualified",-$S82/$H82,0))))))</ns0:f>
      </ns0:c>
      <ns0:c r="U82" s="920">
        <ns0:f>IF(COUNTA($A82:$M82)=0,"",IF(OR(LEFT(LOWER(TRIM($F82&amp;"")),12)="subscription",LOWER(TRIM($F82&amp;""))="membership"),"Subscription",IF(LOWER(TRIM($D82&amp;""))="estimate","Estimate",IF(OR(AND($H82&lt;&gt;"",$H82=0),LEFT(LOWER(TRIM($F82&amp;"")),9)="free game",LOWER(TRIM($F82&amp;""))="free",LOWER(TRIM($F82&amp;""))="free entry"),IF(LOWER($L82&amp;"")="yes","Disqualified — Free Game","Free Game"),IF(LOWER($L82&amp;"")="yes","Disqualified",IF($P82="","",IF(ROUND(IFERROR(VALUE($P82),0)-IFERROR(VALUE($H82),0),2)&gt;0,"Profit","Draw")))))))</ns0:f>
      </ns0:c>
      <ns0:c r="V82" s="956" t="str">
        <ns0:f>IF(COUNTA($A82:$M82)=0,"",IF(OR($B82="",$C82="",$U82="Subscription"),"",IFERROR(ROUNDUP(($C82-$B82)/7,0),"")))</ns0:f>
      </ns0:c>
      <ns0:c r="W82" s="114">
        <ns0:f>IF(COUNTA($A82:$M82)=0,"",IF(OR($U82="Subscription",$U82=""),"",IF($U82="Estimate","N/A",IF(OR($U82="Free Game",$U82="Disqualified — Free Game"),0,ROUND(IFERROR($Q82,0)-IFERROR($S82,0),2)))))</ns0:f>
      </ns0:c>
      <ns0:c r="X82" s="956" t="str">
        <ns0:f>IF(COUNTA($A82:$M82)=0,"",IF(OR($U82="Subscription",NOT(ISNUMBER($J82)),NOT(ISNUMBER($I82)),$J82=0,$I82=0,$I82&gt;$J82),"",$J82-$I82))</ns0:f>
      </ns0:c>
      <ns0:c r="Y82" s="955" t="str">
        <ns0:f>IF(COUNTA($A82:$M82)=0,"",IF(OR($U82="Subscription",NOT(ISNUMBER($J82)),$J82=0,$X82=""),"",$X82/$J82))</ns0:f>
      </ns0:c>
      <ns0:c r="Z82" s="957" t="str">
        <ns0:f>IF(COUNTA($A82:$M82)=0,"",Instructions!$B$29+SUM($W$5:W82))</ns0:f>
      </ns0:c>
    </ns0:row>
    <ns0:row r="83" ht="36" customHeight="1">
      <ns0:c r="A83" s="439"/>
      <ns0:c r="B83" s="453"/>
      <ns0:c r="C83" s="453"/>
      <ns0:c r="D83" s="454"/>
      <ns0:c r="E83" s="454"/>
      <ns0:c r="F83" s="454"/>
      <ns0:c r="G83" s="986"/>
      <ns0:c r="H83" s="455"/>
      <ns0:c r="I83" s="456"/>
      <ns0:c r="J83" s="456"/>
      <ns0:c r="K83" s="986"/>
      <ns0:c r="L83" s="454"/>
      <ns0:c r="M83" s="439"/>
      <ns0:c r="N83" s="987" t="str">
        <ns0:f>IF(COUNTA($A83:$M83)=0,"",IF(OR(LEFT(LOWER(TRIM($F83&amp;"")),12)="subscription",LOWER(TRIM($F83&amp;""))="membership"),"",IF(OR(AND($H83&lt;&gt;"",$H83=0),LEFT(LOWER(TRIM($F83&amp;"")),9)="free game",LOWER(TRIM($F83&amp;""))="free",LOWER(TRIM($F83&amp;""))="free entry"),IF(ISNUMBER($G83),IF(ISNUMBER(SEARCH("non",LOWER($E83&amp;""))),$G83*0.85,$G83),"N/A"),IF($G83="","",IFERROR(IF(ISNUMBER(SEARCH("non",LOWER($E83&amp;""))),$G83*0.85,$G83),"")))))</ns0:f>
        <ns0:v/>
      </ns0:c>
      <ns0:c r="O83" s="987" t="str">
        <ns0:f>IF(COUNTA($A83:$M83)=0,"",IF(OR(LEFT(LOWER(TRIM($F83&amp;"")),12)="subscription",LOWER(TRIM($F83&amp;""))="membership"),"",IF(OR(AND($H83&lt;&gt;"",$H83=0),LEFT(LOWER(TRIM($F83&amp;"")),9)="free game",LOWER(TRIM($F83&amp;""))="free",LOWER(TRIM($F83&amp;""))="free entry"),IF(OR(NOT(ISNUMBER($N83)),NOT(ISNUMBER($I83)),$I83=0),"N/A",IFERROR($N83/$I83,"N/A")),IF(OR($N83="",$I83="",$I83=0),"",IFERROR($N83/$I83,"")))))</ns0:f>
        <ns0:v/>
      </ns0:c>
      <ns0:c r="P83" s="987">
        <ns0:f>IF(COUNTA($A83:$M83)=0,"",IF(OR(LEFT(LOWER(TRIM($F83&amp;"")),12)="subscription",LOWER(TRIM($F83&amp;""))="membership"),"",IF(LOWER(TRIM($D83&amp;""))="estimate","N/A",IF(LOWER($L83&amp;"")="yes",0,IF(OR(AND($H83&lt;&gt;"",$H83=0),LEFT(LOWER(TRIM($F83&amp;"")),9)="free game",LOWER(TRIM($F83&amp;""))="free",LOWER(TRIM($F83&amp;""))="free entry"),IF(ISNUMBER($K83),$K83,""),IF($K83&lt;&gt;"",$K83,""))))))</ns0:f>
      </ns0:c>
      <ns0:c r="Q83" s="114">
        <ns0:f>IF(COUNTA($A83:$M83)=0,"",IF(OR($U83="Subscription",$U83=""),"",IF($U83="Estimate","N/A",IF($U83="Profit",ROUND(IFERROR($P83,0)-IFERROR($H83,0),2),0))))</ns0:f>
      </ns0:c>
      <ns0:c r="R83" s="114">
        <ns0:f>IF(COUNTA($A83:$M83)=0,"",IF(OR($U83="Subscription",$U83=""),"",IF($U83="Estimate","N/A",IF($U83="Draw",$H83,0))))</ns0:f>
      </ns0:c>
      <ns0:c r="S83" s="114">
        <ns0:f>IF(COUNTA($A83:$M83)=0,"",IF(OR($U83="Subscription",$U83=""),"",IF($U83="Estimate","N/A",IF($U83="Disqualified",$H83,0))))</ns0:f>
      </ns0:c>
      <ns0:c r="T83" s="955">
        <ns0:f>IF(COUNTA($A83:$M83)=0,"",IF(OR($U83="Subscription",$U83=""),"",IF($U83="Estimate","N/A",IF(OR($U83="Free Game",$U83="Disqualified — Free Game",$H83=0),"N/A",IF($U83="Profit",$Q83/$H83,IF($U83="Disqualified",-$S83/$H83,0))))))</ns0:f>
      </ns0:c>
      <ns0:c r="U83" s="920">
        <ns0:f>IF(COUNTA($A83:$M83)=0,"",IF(OR(LEFT(LOWER(TRIM($F83&amp;"")),12)="subscription",LOWER(TRIM($F83&amp;""))="membership"),"Subscription",IF(LOWER(TRIM($D83&amp;""))="estimate","Estimate",IF(OR(AND($H83&lt;&gt;"",$H83=0),LEFT(LOWER(TRIM($F83&amp;"")),9)="free game",LOWER(TRIM($F83&amp;""))="free",LOWER(TRIM($F83&amp;""))="free entry"),IF(LOWER($L83&amp;"")="yes","Disqualified — Free Game","Free Game"),IF(LOWER($L83&amp;"")="yes","Disqualified",IF($P83="","",IF(ROUND(IFERROR(VALUE($P83),0)-IFERROR(VALUE($H83),0),2)&gt;0,"Profit","Draw")))))))</ns0:f>
      </ns0:c>
      <ns0:c r="V83" s="956" t="str">
        <ns0:f>IF(COUNTA($A83:$M83)=0,"",IF(OR($B83="",$C83="",$U83="Subscription"),"",IFERROR(ROUNDUP(($C83-$B83)/7,0),"")))</ns0:f>
      </ns0:c>
      <ns0:c r="W83" s="114">
        <ns0:f>IF(COUNTA($A83:$M83)=0,"",IF(OR($U83="Subscription",$U83=""),"",IF($U83="Estimate","N/A",IF(OR($U83="Free Game",$U83="Disqualified — Free Game"),0,ROUND(IFERROR($Q83,0)-IFERROR($S83,0),2)))))</ns0:f>
      </ns0:c>
      <ns0:c r="X83" s="956" t="str">
        <ns0:f>IF(COUNTA($A83:$M83)=0,"",IF(OR($U83="Subscription",NOT(ISNUMBER($J83)),NOT(ISNUMBER($I83)),$J83=0,$I83=0,$I83&gt;$J83),"",$J83-$I83))</ns0:f>
      </ns0:c>
      <ns0:c r="Y83" s="955" t="str">
        <ns0:f>IF(COUNTA($A83:$M83)=0,"",IF(OR($U83="Subscription",NOT(ISNUMBER($J83)),$J83=0,$X83=""),"",$X83/$J83))</ns0:f>
      </ns0:c>
      <ns0:c r="Z83" s="957" t="str">
        <ns0:f>IF(COUNTA($A83:$M83)=0,"",Instructions!$B$29+SUM($W$5:W83))</ns0:f>
      </ns0:c>
    </ns0:row>
    <ns0:row r="84" ht="36" customHeight="1">
      <ns0:c r="A84" s="439"/>
      <ns0:c r="B84" s="453"/>
      <ns0:c r="C84" s="453"/>
      <ns0:c r="D84" s="454"/>
      <ns0:c r="E84" s="454"/>
      <ns0:c r="F84" s="454"/>
      <ns0:c r="G84" s="986"/>
      <ns0:c r="H84" s="455"/>
      <ns0:c r="I84" s="456"/>
      <ns0:c r="J84" s="456"/>
      <ns0:c r="K84" s="986"/>
      <ns0:c r="L84" s="454"/>
      <ns0:c r="M84" s="439"/>
      <ns0:c r="N84" s="987" t="str">
        <ns0:f>IF(COUNTA($A84:$M84)=0,"",IF(OR(LEFT(LOWER(TRIM($F84&amp;"")),12)="subscription",LOWER(TRIM($F84&amp;""))="membership"),"",IF(OR(AND($H84&lt;&gt;"",$H84=0),LEFT(LOWER(TRIM($F84&amp;"")),9)="free game",LOWER(TRIM($F84&amp;""))="free",LOWER(TRIM($F84&amp;""))="free entry"),IF(ISNUMBER($G84),IF(ISNUMBER(SEARCH("non",LOWER($E84&amp;""))),$G84*0.85,$G84),"N/A"),IF($G84="","",IFERROR(IF(ISNUMBER(SEARCH("non",LOWER($E84&amp;""))),$G84*0.85,$G84),"")))))</ns0:f>
        <ns0:v/>
      </ns0:c>
      <ns0:c r="O84" s="987" t="str">
        <ns0:f>IF(COUNTA($A84:$M84)=0,"",IF(OR(LEFT(LOWER(TRIM($F84&amp;"")),12)="subscription",LOWER(TRIM($F84&amp;""))="membership"),"",IF(OR(AND($H84&lt;&gt;"",$H84=0),LEFT(LOWER(TRIM($F84&amp;"")),9)="free game",LOWER(TRIM($F84&amp;""))="free",LOWER(TRIM($F84&amp;""))="free entry"),IF(OR(NOT(ISNUMBER($N84)),NOT(ISNUMBER($I84)),$I84=0),"N/A",IFERROR($N84/$I84,"N/A")),IF(OR($N84="",$I84="",$I84=0),"",IFERROR($N84/$I84,"")))))</ns0:f>
        <ns0:v/>
      </ns0:c>
      <ns0:c r="P84" s="987">
        <ns0:f>IF(COUNTA($A84:$M84)=0,"",IF(OR(LEFT(LOWER(TRIM($F84&amp;"")),12)="subscription",LOWER(TRIM($F84&amp;""))="membership"),"",IF(LOWER(TRIM($D84&amp;""))="estimate","N/A",IF(LOWER($L84&amp;"")="yes",0,IF(OR(AND($H84&lt;&gt;"",$H84=0),LEFT(LOWER(TRIM($F84&amp;"")),9)="free game",LOWER(TRIM($F84&amp;""))="free",LOWER(TRIM($F84&amp;""))="free entry"),IF(ISNUMBER($K84),$K84,""),IF($K84&lt;&gt;"",$K84,""))))))</ns0:f>
      </ns0:c>
      <ns0:c r="Q84" s="114">
        <ns0:f>IF(COUNTA($A84:$M84)=0,"",IF(OR($U84="Subscription",$U84=""),"",IF($U84="Estimate","N/A",IF($U84="Profit",ROUND(IFERROR($P84,0)-IFERROR($H84,0),2),0))))</ns0:f>
      </ns0:c>
      <ns0:c r="R84" s="114">
        <ns0:f>IF(COUNTA($A84:$M84)=0,"",IF(OR($U84="Subscription",$U84=""),"",IF($U84="Estimate","N/A",IF($U84="Draw",$H84,0))))</ns0:f>
      </ns0:c>
      <ns0:c r="S84" s="114">
        <ns0:f>IF(COUNTA($A84:$M84)=0,"",IF(OR($U84="Subscription",$U84=""),"",IF($U84="Estimate","N/A",IF($U84="Disqualified",$H84,0))))</ns0:f>
      </ns0:c>
      <ns0:c r="T84" s="955">
        <ns0:f>IF(COUNTA($A84:$M84)=0,"",IF(OR($U84="Subscription",$U84=""),"",IF($U84="Estimate","N/A",IF(OR($U84="Free Game",$U84="Disqualified — Free Game",$H84=0),"N/A",IF($U84="Profit",$Q84/$H84,IF($U84="Disqualified",-$S84/$H84,0))))))</ns0:f>
      </ns0:c>
      <ns0:c r="U84" s="920">
        <ns0:f>IF(COUNTA($A84:$M84)=0,"",IF(OR(LEFT(LOWER(TRIM($F84&amp;"")),12)="subscription",LOWER(TRIM($F84&amp;""))="membership"),"Subscription",IF(LOWER(TRIM($D84&amp;""))="estimate","Estimate",IF(OR(AND($H84&lt;&gt;"",$H84=0),LEFT(LOWER(TRIM($F84&amp;"")),9)="free game",LOWER(TRIM($F84&amp;""))="free",LOWER(TRIM($F84&amp;""))="free entry"),IF(LOWER($L84&amp;"")="yes","Disqualified — Free Game","Free Game"),IF(LOWER($L84&amp;"")="yes","Disqualified",IF($P84="","",IF(ROUND(IFERROR(VALUE($P84),0)-IFERROR(VALUE($H84),0),2)&gt;0,"Profit","Draw")))))))</ns0:f>
      </ns0:c>
      <ns0:c r="V84" s="956" t="str">
        <ns0:f>IF(COUNTA($A84:$M84)=0,"",IF(OR($B84="",$C84="",$U84="Subscription"),"",IFERROR(ROUNDUP(($C84-$B84)/7,0),"")))</ns0:f>
      </ns0:c>
      <ns0:c r="W84" s="114">
        <ns0:f>IF(COUNTA($A84:$M84)=0,"",IF(OR($U84="Subscription",$U84=""),"",IF($U84="Estimate","N/A",IF(OR($U84="Free Game",$U84="Disqualified — Free Game"),0,ROUND(IFERROR($Q84,0)-IFERROR($S84,0),2)))))</ns0:f>
      </ns0:c>
      <ns0:c r="X84" s="956" t="str">
        <ns0:f>IF(COUNTA($A84:$M84)=0,"",IF(OR($U84="Subscription",NOT(ISNUMBER($J84)),NOT(ISNUMBER($I84)),$J84=0,$I84=0,$I84&gt;$J84),"",$J84-$I84))</ns0:f>
      </ns0:c>
      <ns0:c r="Y84" s="955" t="str">
        <ns0:f>IF(COUNTA($A84:$M84)=0,"",IF(OR($U84="Subscription",NOT(ISNUMBER($J84)),$J84=0,$X84=""),"",$X84/$J84))</ns0:f>
      </ns0:c>
      <ns0:c r="Z84" s="957" t="str">
        <ns0:f>IF(COUNTA($A84:$M84)=0,"",Instructions!$B$29+SUM($W$5:W84))</ns0:f>
      </ns0:c>
    </ns0:row>
    <ns0:row r="85" ht="36" customHeight="1">
      <ns0:c r="A85" s="439"/>
      <ns0:c r="B85" s="453"/>
      <ns0:c r="C85" s="453"/>
      <ns0:c r="D85" s="454"/>
      <ns0:c r="E85" s="454"/>
      <ns0:c r="F85" s="454"/>
      <ns0:c r="G85" s="986"/>
      <ns0:c r="H85" s="455"/>
      <ns0:c r="I85" s="456"/>
      <ns0:c r="J85" s="456"/>
      <ns0:c r="K85" s="986"/>
      <ns0:c r="L85" s="454"/>
      <ns0:c r="M85" s="439"/>
      <ns0:c r="N85" s="987" t="str">
        <ns0:f>IF(COUNTA($A85:$M85)=0,"",IF(OR(LEFT(LOWER(TRIM($F85&amp;"")),12)="subscription",LOWER(TRIM($F85&amp;""))="membership"),"",IF(OR(AND($H85&lt;&gt;"",$H85=0),LEFT(LOWER(TRIM($F85&amp;"")),9)="free game",LOWER(TRIM($F85&amp;""))="free",LOWER(TRIM($F85&amp;""))="free entry"),IF(ISNUMBER($G85),IF(ISNUMBER(SEARCH("non",LOWER($E85&amp;""))),$G85*0.85,$G85),"N/A"),IF($G85="","",IFERROR(IF(ISNUMBER(SEARCH("non",LOWER($E85&amp;""))),$G85*0.85,$G85),"")))))</ns0:f>
        <ns0:v/>
      </ns0:c>
      <ns0:c r="O85" s="987" t="str">
        <ns0:f>IF(COUNTA($A85:$M85)=0,"",IF(OR(LEFT(LOWER(TRIM($F85&amp;"")),12)="subscription",LOWER(TRIM($F85&amp;""))="membership"),"",IF(OR(AND($H85&lt;&gt;"",$H85=0),LEFT(LOWER(TRIM($F85&amp;"")),9)="free game",LOWER(TRIM($F85&amp;""))="free",LOWER(TRIM($F85&amp;""))="free entry"),IF(OR(NOT(ISNUMBER($N85)),NOT(ISNUMBER($I85)),$I85=0),"N/A",IFERROR($N85/$I85,"N/A")),IF(OR($N85="",$I85="",$I85=0),"",IFERROR($N85/$I85,"")))))</ns0:f>
        <ns0:v/>
      </ns0:c>
      <ns0:c r="P85" s="987">
        <ns0:f>IF(COUNTA($A85:$M85)=0,"",IF(OR(LEFT(LOWER(TRIM($F85&amp;"")),12)="subscription",LOWER(TRIM($F85&amp;""))="membership"),"",IF(LOWER(TRIM($D85&amp;""))="estimate","N/A",IF(LOWER($L85&amp;"")="yes",0,IF(OR(AND($H85&lt;&gt;"",$H85=0),LEFT(LOWER(TRIM($F85&amp;"")),9)="free game",LOWER(TRIM($F85&amp;""))="free",LOWER(TRIM($F85&amp;""))="free entry"),IF(ISNUMBER($K85),$K85,""),IF($K85&lt;&gt;"",$K85,""))))))</ns0:f>
      </ns0:c>
      <ns0:c r="Q85" s="114">
        <ns0:f>IF(COUNTA($A85:$M85)=0,"",IF(OR($U85="Subscription",$U85=""),"",IF($U85="Estimate","N/A",IF($U85="Profit",ROUND(IFERROR($P85,0)-IFERROR($H85,0),2),0))))</ns0:f>
      </ns0:c>
      <ns0:c r="R85" s="114">
        <ns0:f>IF(COUNTA($A85:$M85)=0,"",IF(OR($U85="Subscription",$U85=""),"",IF($U85="Estimate","N/A",IF($U85="Draw",$H85,0))))</ns0:f>
      </ns0:c>
      <ns0:c r="S85" s="114">
        <ns0:f>IF(COUNTA($A85:$M85)=0,"",IF(OR($U85="Subscription",$U85=""),"",IF($U85="Estimate","N/A",IF($U85="Disqualified",$H85,0))))</ns0:f>
      </ns0:c>
      <ns0:c r="T85" s="955">
        <ns0:f>IF(COUNTA($A85:$M85)=0,"",IF(OR($U85="Subscription",$U85=""),"",IF($U85="Estimate","N/A",IF(OR($U85="Free Game",$U85="Disqualified — Free Game",$H85=0),"N/A",IF($U85="Profit",$Q85/$H85,IF($U85="Disqualified",-$S85/$H85,0))))))</ns0:f>
      </ns0:c>
      <ns0:c r="U85" s="920">
        <ns0:f>IF(COUNTA($A85:$M85)=0,"",IF(OR(LEFT(LOWER(TRIM($F85&amp;"")),12)="subscription",LOWER(TRIM($F85&amp;""))="membership"),"Subscription",IF(LOWER(TRIM($D85&amp;""))="estimate","Estimate",IF(OR(AND($H85&lt;&gt;"",$H85=0),LEFT(LOWER(TRIM($F85&amp;"")),9)="free game",LOWER(TRIM($F85&amp;""))="free",LOWER(TRIM($F85&amp;""))="free entry"),IF(LOWER($L85&amp;"")="yes","Disqualified — Free Game","Free Game"),IF(LOWER($L85&amp;"")="yes","Disqualified",IF($P85="","",IF(ROUND(IFERROR(VALUE($P85),0)-IFERROR(VALUE($H85),0),2)&gt;0,"Profit","Draw")))))))</ns0:f>
      </ns0:c>
      <ns0:c r="V85" s="956" t="str">
        <ns0:f>IF(COUNTA($A85:$M85)=0,"",IF(OR($B85="",$C85="",$U85="Subscription"),"",IFERROR(ROUNDUP(($C85-$B85)/7,0),"")))</ns0:f>
      </ns0:c>
      <ns0:c r="W85" s="114">
        <ns0:f>IF(COUNTA($A85:$M85)=0,"",IF(OR($U85="Subscription",$U85=""),"",IF($U85="Estimate","N/A",IF(OR($U85="Free Game",$U85="Disqualified — Free Game"),0,ROUND(IFERROR($Q85,0)-IFERROR($S85,0),2)))))</ns0:f>
      </ns0:c>
      <ns0:c r="X85" s="956" t="str">
        <ns0:f>IF(COUNTA($A85:$M85)=0,"",IF(OR($U85="Subscription",NOT(ISNUMBER($J85)),NOT(ISNUMBER($I85)),$J85=0,$I85=0,$I85&gt;$J85),"",$J85-$I85))</ns0:f>
      </ns0:c>
      <ns0:c r="Y85" s="955" t="str">
        <ns0:f>IF(COUNTA($A85:$M85)=0,"",IF(OR($U85="Subscription",NOT(ISNUMBER($J85)),$J85=0,$X85=""),"",$X85/$J85))</ns0:f>
      </ns0:c>
      <ns0:c r="Z85" s="957" t="str">
        <ns0:f>IF(COUNTA($A85:$M85)=0,"",Instructions!$B$29+SUM($W$5:W85))</ns0:f>
      </ns0:c>
    </ns0:row>
    <ns0:row r="86" ht="36" customHeight="1">
      <ns0:c r="A86" s="439"/>
      <ns0:c r="B86" s="453"/>
      <ns0:c r="C86" s="453"/>
      <ns0:c r="D86" s="454"/>
      <ns0:c r="E86" s="454"/>
      <ns0:c r="F86" s="454"/>
      <ns0:c r="G86" s="986"/>
      <ns0:c r="H86" s="455"/>
      <ns0:c r="I86" s="456"/>
      <ns0:c r="J86" s="456"/>
      <ns0:c r="K86" s="986"/>
      <ns0:c r="L86" s="454"/>
      <ns0:c r="M86" s="439"/>
      <ns0:c r="N86" s="987" t="str">
        <ns0:f>IF(COUNTA($A86:$M86)=0,"",IF(OR(LEFT(LOWER(TRIM($F86&amp;"")),12)="subscription",LOWER(TRIM($F86&amp;""))="membership"),"",IF(OR(AND($H86&lt;&gt;"",$H86=0),LEFT(LOWER(TRIM($F86&amp;"")),9)="free game",LOWER(TRIM($F86&amp;""))="free",LOWER(TRIM($F86&amp;""))="free entry"),IF(ISNUMBER($G86),IF(ISNUMBER(SEARCH("non",LOWER($E86&amp;""))),$G86*0.85,$G86),"N/A"),IF($G86="","",IFERROR(IF(ISNUMBER(SEARCH("non",LOWER($E86&amp;""))),$G86*0.85,$G86),"")))))</ns0:f>
        <ns0:v/>
      </ns0:c>
      <ns0:c r="O86" s="987" t="str">
        <ns0:f>IF(COUNTA($A86:$M86)=0,"",IF(OR(LEFT(LOWER(TRIM($F86&amp;"")),12)="subscription",LOWER(TRIM($F86&amp;""))="membership"),"",IF(OR(AND($H86&lt;&gt;"",$H86=0),LEFT(LOWER(TRIM($F86&amp;"")),9)="free game",LOWER(TRIM($F86&amp;""))="free",LOWER(TRIM($F86&amp;""))="free entry"),IF(OR(NOT(ISNUMBER($N86)),NOT(ISNUMBER($I86)),$I86=0),"N/A",IFERROR($N86/$I86,"N/A")),IF(OR($N86="",$I86="",$I86=0),"",IFERROR($N86/$I86,"")))))</ns0:f>
        <ns0:v/>
      </ns0:c>
      <ns0:c r="P86" s="987">
        <ns0:f>IF(COUNTA($A86:$M86)=0,"",IF(OR(LEFT(LOWER(TRIM($F86&amp;"")),12)="subscription",LOWER(TRIM($F86&amp;""))="membership"),"",IF(LOWER(TRIM($D86&amp;""))="estimate","N/A",IF(LOWER($L86&amp;"")="yes",0,IF(OR(AND($H86&lt;&gt;"",$H86=0),LEFT(LOWER(TRIM($F86&amp;"")),9)="free game",LOWER(TRIM($F86&amp;""))="free",LOWER(TRIM($F86&amp;""))="free entry"),IF(ISNUMBER($K86),$K86,""),IF($K86&lt;&gt;"",$K86,""))))))</ns0:f>
      </ns0:c>
      <ns0:c r="Q86" s="114">
        <ns0:f>IF(COUNTA($A86:$M86)=0,"",IF(OR($U86="Subscription",$U86=""),"",IF($U86="Estimate","N/A",IF($U86="Profit",ROUND(IFERROR($P86,0)-IFERROR($H86,0),2),0))))</ns0:f>
      </ns0:c>
      <ns0:c r="R86" s="114">
        <ns0:f>IF(COUNTA($A86:$M86)=0,"",IF(OR($U86="Subscription",$U86=""),"",IF($U86="Estimate","N/A",IF($U86="Draw",$H86,0))))</ns0:f>
      </ns0:c>
      <ns0:c r="S86" s="114">
        <ns0:f>IF(COUNTA($A86:$M86)=0,"",IF(OR($U86="Subscription",$U86=""),"",IF($U86="Estimate","N/A",IF($U86="Disqualified",$H86,0))))</ns0:f>
      </ns0:c>
      <ns0:c r="T86" s="955">
        <ns0:f>IF(COUNTA($A86:$M86)=0,"",IF(OR($U86="Subscription",$U86=""),"",IF($U86="Estimate","N/A",IF(OR($U86="Free Game",$U86="Disqualified — Free Game",$H86=0),"N/A",IF($U86="Profit",$Q86/$H86,IF($U86="Disqualified",-$S86/$H86,0))))))</ns0:f>
      </ns0:c>
      <ns0:c r="U86" s="920">
        <ns0:f>IF(COUNTA($A86:$M86)=0,"",IF(OR(LEFT(LOWER(TRIM($F86&amp;"")),12)="subscription",LOWER(TRIM($F86&amp;""))="membership"),"Subscription",IF(LOWER(TRIM($D86&amp;""))="estimate","Estimate",IF(OR(AND($H86&lt;&gt;"",$H86=0),LEFT(LOWER(TRIM($F86&amp;"")),9)="free game",LOWER(TRIM($F86&amp;""))="free",LOWER(TRIM($F86&amp;""))="free entry"),IF(LOWER($L86&amp;"")="yes","Disqualified — Free Game","Free Game"),IF(LOWER($L86&amp;"")="yes","Disqualified",IF($P86="","",IF(ROUND(IFERROR(VALUE($P86),0)-IFERROR(VALUE($H86),0),2)&gt;0,"Profit","Draw")))))))</ns0:f>
      </ns0:c>
      <ns0:c r="V86" s="956" t="str">
        <ns0:f>IF(COUNTA($A86:$M86)=0,"",IF(OR($B86="",$C86="",$U86="Subscription"),"",IFERROR(ROUNDUP(($C86-$B86)/7,0),"")))</ns0:f>
      </ns0:c>
      <ns0:c r="W86" s="114">
        <ns0:f>IF(COUNTA($A86:$M86)=0,"",IF(OR($U86="Subscription",$U86=""),"",IF($U86="Estimate","N/A",IF(OR($U86="Free Game",$U86="Disqualified — Free Game"),0,ROUND(IFERROR($Q86,0)-IFERROR($S86,0),2)))))</ns0:f>
      </ns0:c>
      <ns0:c r="X86" s="956" t="str">
        <ns0:f>IF(COUNTA($A86:$M86)=0,"",IF(OR($U86="Subscription",NOT(ISNUMBER($J86)),NOT(ISNUMBER($I86)),$J86=0,$I86=0,$I86&gt;$J86),"",$J86-$I86))</ns0:f>
      </ns0:c>
      <ns0:c r="Y86" s="955" t="str">
        <ns0:f>IF(COUNTA($A86:$M86)=0,"",IF(OR($U86="Subscription",NOT(ISNUMBER($J86)),$J86=0,$X86=""),"",$X86/$J86))</ns0:f>
      </ns0:c>
      <ns0:c r="Z86" s="957" t="str">
        <ns0:f>IF(COUNTA($A86:$M86)=0,"",Instructions!$B$29+SUM($W$5:W86))</ns0:f>
      </ns0:c>
    </ns0:row>
    <ns0:row r="87" ht="36" customHeight="1">
      <ns0:c r="A87" s="439"/>
      <ns0:c r="B87" s="453"/>
      <ns0:c r="C87" s="453"/>
      <ns0:c r="D87" s="454"/>
      <ns0:c r="E87" s="454"/>
      <ns0:c r="F87" s="454"/>
      <ns0:c r="G87" s="986"/>
      <ns0:c r="H87" s="455"/>
      <ns0:c r="I87" s="456"/>
      <ns0:c r="J87" s="456"/>
      <ns0:c r="K87" s="986"/>
      <ns0:c r="L87" s="454"/>
      <ns0:c r="M87" s="439"/>
      <ns0:c r="N87" s="987" t="str">
        <ns0:f>IF(COUNTA($A87:$M87)=0,"",IF(OR(LEFT(LOWER(TRIM($F87&amp;"")),12)="subscription",LOWER(TRIM($F87&amp;""))="membership"),"",IF(OR(AND($H87&lt;&gt;"",$H87=0),LEFT(LOWER(TRIM($F87&amp;"")),9)="free game",LOWER(TRIM($F87&amp;""))="free",LOWER(TRIM($F87&amp;""))="free entry"),IF(ISNUMBER($G87),IF(ISNUMBER(SEARCH("non",LOWER($E87&amp;""))),$G87*0.85,$G87),"N/A"),IF($G87="","",IFERROR(IF(ISNUMBER(SEARCH("non",LOWER($E87&amp;""))),$G87*0.85,$G87),"")))))</ns0:f>
        <ns0:v/>
      </ns0:c>
      <ns0:c r="O87" s="987" t="str">
        <ns0:f>IF(COUNTA($A87:$M87)=0,"",IF(OR(LEFT(LOWER(TRIM($F87&amp;"")),12)="subscription",LOWER(TRIM($F87&amp;""))="membership"),"",IF(OR(AND($H87&lt;&gt;"",$H87=0),LEFT(LOWER(TRIM($F87&amp;"")),9)="free game",LOWER(TRIM($F87&amp;""))="free",LOWER(TRIM($F87&amp;""))="free entry"),IF(OR(NOT(ISNUMBER($N87)),NOT(ISNUMBER($I87)),$I87=0),"N/A",IFERROR($N87/$I87,"N/A")),IF(OR($N87="",$I87="",$I87=0),"",IFERROR($N87/$I87,"")))))</ns0:f>
        <ns0:v/>
      </ns0:c>
      <ns0:c r="P87" s="987">
        <ns0:f>IF(COUNTA($A87:$M87)=0,"",IF(OR(LEFT(LOWER(TRIM($F87&amp;"")),12)="subscription",LOWER(TRIM($F87&amp;""))="membership"),"",IF(LOWER(TRIM($D87&amp;""))="estimate","N/A",IF(LOWER($L87&amp;"")="yes",0,IF(OR(AND($H87&lt;&gt;"",$H87=0),LEFT(LOWER(TRIM($F87&amp;"")),9)="free game",LOWER(TRIM($F87&amp;""))="free",LOWER(TRIM($F87&amp;""))="free entry"),IF(ISNUMBER($K87),$K87,""),IF($K87&lt;&gt;"",$K87,""))))))</ns0:f>
      </ns0:c>
      <ns0:c r="Q87" s="114">
        <ns0:f>IF(COUNTA($A87:$M87)=0,"",IF(OR($U87="Subscription",$U87=""),"",IF($U87="Estimate","N/A",IF($U87="Profit",ROUND(IFERROR($P87,0)-IFERROR($H87,0),2),0))))</ns0:f>
      </ns0:c>
      <ns0:c r="R87" s="114">
        <ns0:f>IF(COUNTA($A87:$M87)=0,"",IF(OR($U87="Subscription",$U87=""),"",IF($U87="Estimate","N/A",IF($U87="Draw",$H87,0))))</ns0:f>
      </ns0:c>
      <ns0:c r="S87" s="114">
        <ns0:f>IF(COUNTA($A87:$M87)=0,"",IF(OR($U87="Subscription",$U87=""),"",IF($U87="Estimate","N/A",IF($U87="Disqualified",$H87,0))))</ns0:f>
      </ns0:c>
      <ns0:c r="T87" s="955">
        <ns0:f>IF(COUNTA($A87:$M87)=0,"",IF(OR($U87="Subscription",$U87=""),"",IF($U87="Estimate","N/A",IF(OR($U87="Free Game",$U87="Disqualified — Free Game",$H87=0),"N/A",IF($U87="Profit",$Q87/$H87,IF($U87="Disqualified",-$S87/$H87,0))))))</ns0:f>
      </ns0:c>
      <ns0:c r="U87" s="920">
        <ns0:f>IF(COUNTA($A87:$M87)=0,"",IF(OR(LEFT(LOWER(TRIM($F87&amp;"")),12)="subscription",LOWER(TRIM($F87&amp;""))="membership"),"Subscription",IF(LOWER(TRIM($D87&amp;""))="estimate","Estimate",IF(OR(AND($H87&lt;&gt;"",$H87=0),LEFT(LOWER(TRIM($F87&amp;"")),9)="free game",LOWER(TRIM($F87&amp;""))="free",LOWER(TRIM($F87&amp;""))="free entry"),IF(LOWER($L87&amp;"")="yes","Disqualified — Free Game","Free Game"),IF(LOWER($L87&amp;"")="yes","Disqualified",IF($P87="","",IF(ROUND(IFERROR(VALUE($P87),0)-IFERROR(VALUE($H87),0),2)&gt;0,"Profit","Draw")))))))</ns0:f>
      </ns0:c>
      <ns0:c r="V87" s="956" t="str">
        <ns0:f>IF(COUNTA($A87:$M87)=0,"",IF(OR($B87="",$C87="",$U87="Subscription"),"",IFERROR(ROUNDUP(($C87-$B87)/7,0),"")))</ns0:f>
      </ns0:c>
      <ns0:c r="W87" s="114">
        <ns0:f>IF(COUNTA($A87:$M87)=0,"",IF(OR($U87="Subscription",$U87=""),"",IF($U87="Estimate","N/A",IF(OR($U87="Free Game",$U87="Disqualified — Free Game"),0,ROUND(IFERROR($Q87,0)-IFERROR($S87,0),2)))))</ns0:f>
      </ns0:c>
      <ns0:c r="X87" s="956" t="str">
        <ns0:f>IF(COUNTA($A87:$M87)=0,"",IF(OR($U87="Subscription",NOT(ISNUMBER($J87)),NOT(ISNUMBER($I87)),$J87=0,$I87=0,$I87&gt;$J87),"",$J87-$I87))</ns0:f>
      </ns0:c>
      <ns0:c r="Y87" s="955" t="str">
        <ns0:f>IF(COUNTA($A87:$M87)=0,"",IF(OR($U87="Subscription",NOT(ISNUMBER($J87)),$J87=0,$X87=""),"",$X87/$J87))</ns0:f>
      </ns0:c>
      <ns0:c r="Z87" s="957" t="str">
        <ns0:f>IF(COUNTA($A87:$M87)=0,"",Instructions!$B$29+SUM($W$5:W87))</ns0:f>
      </ns0:c>
    </ns0:row>
    <ns0:row r="88" ht="36" customHeight="1">
      <ns0:c r="A88" s="439"/>
      <ns0:c r="B88" s="453"/>
      <ns0:c r="C88" s="453"/>
      <ns0:c r="D88" s="454"/>
      <ns0:c r="E88" s="454"/>
      <ns0:c r="F88" s="454"/>
      <ns0:c r="G88" s="986"/>
      <ns0:c r="H88" s="455"/>
      <ns0:c r="I88" s="456"/>
      <ns0:c r="J88" s="456"/>
      <ns0:c r="K88" s="986"/>
      <ns0:c r="L88" s="454"/>
      <ns0:c r="M88" s="439"/>
      <ns0:c r="N88" s="987" t="str">
        <ns0:f>IF(COUNTA($A88:$M88)=0,"",IF(OR(LEFT(LOWER(TRIM($F88&amp;"")),12)="subscription",LOWER(TRIM($F88&amp;""))="membership"),"",IF(OR(AND($H88&lt;&gt;"",$H88=0),LEFT(LOWER(TRIM($F88&amp;"")),9)="free game",LOWER(TRIM($F88&amp;""))="free",LOWER(TRIM($F88&amp;""))="free entry"),IF(ISNUMBER($G88),IF(ISNUMBER(SEARCH("non",LOWER($E88&amp;""))),$G88*0.85,$G88),"N/A"),IF($G88="","",IFERROR(IF(ISNUMBER(SEARCH("non",LOWER($E88&amp;""))),$G88*0.85,$G88),"")))))</ns0:f>
        <ns0:v/>
      </ns0:c>
      <ns0:c r="O88" s="987" t="str">
        <ns0:f>IF(COUNTA($A88:$M88)=0,"",IF(OR(LEFT(LOWER(TRIM($F88&amp;"")),12)="subscription",LOWER(TRIM($F88&amp;""))="membership"),"",IF(OR(AND($H88&lt;&gt;"",$H88=0),LEFT(LOWER(TRIM($F88&amp;"")),9)="free game",LOWER(TRIM($F88&amp;""))="free",LOWER(TRIM($F88&amp;""))="free entry"),IF(OR(NOT(ISNUMBER($N88)),NOT(ISNUMBER($I88)),$I88=0),"N/A",IFERROR($N88/$I88,"N/A")),IF(OR($N88="",$I88="",$I88=0),"",IFERROR($N88/$I88,"")))))</ns0:f>
        <ns0:v/>
      </ns0:c>
      <ns0:c r="P88" s="987">
        <ns0:f>IF(COUNTA($A88:$M88)=0,"",IF(OR(LEFT(LOWER(TRIM($F88&amp;"")),12)="subscription",LOWER(TRIM($F88&amp;""))="membership"),"",IF(LOWER(TRIM($D88&amp;""))="estimate","N/A",IF(LOWER($L88&amp;"")="yes",0,IF(OR(AND($H88&lt;&gt;"",$H88=0),LEFT(LOWER(TRIM($F88&amp;"")),9)="free game",LOWER(TRIM($F88&amp;""))="free",LOWER(TRIM($F88&amp;""))="free entry"),IF(ISNUMBER($K88),$K88,""),IF($K88&lt;&gt;"",$K88,""))))))</ns0:f>
      </ns0:c>
      <ns0:c r="Q88" s="114">
        <ns0:f>IF(COUNTA($A88:$M88)=0,"",IF(OR($U88="Subscription",$U88=""),"",IF($U88="Estimate","N/A",IF($U88="Profit",ROUND(IFERROR($P88,0)-IFERROR($H88,0),2),0))))</ns0:f>
      </ns0:c>
      <ns0:c r="R88" s="114">
        <ns0:f>IF(COUNTA($A88:$M88)=0,"",IF(OR($U88="Subscription",$U88=""),"",IF($U88="Estimate","N/A",IF($U88="Draw",$H88,0))))</ns0:f>
      </ns0:c>
      <ns0:c r="S88" s="114">
        <ns0:f>IF(COUNTA($A88:$M88)=0,"",IF(OR($U88="Subscription",$U88=""),"",IF($U88="Estimate","N/A",IF($U88="Disqualified",$H88,0))))</ns0:f>
      </ns0:c>
      <ns0:c r="T88" s="955">
        <ns0:f>IF(COUNTA($A88:$M88)=0,"",IF(OR($U88="Subscription",$U88=""),"",IF($U88="Estimate","N/A",IF(OR($U88="Free Game",$U88="Disqualified — Free Game",$H88=0),"N/A",IF($U88="Profit",$Q88/$H88,IF($U88="Disqualified",-$S88/$H88,0))))))</ns0:f>
      </ns0:c>
      <ns0:c r="U88" s="920">
        <ns0:f>IF(COUNTA($A88:$M88)=0,"",IF(OR(LEFT(LOWER(TRIM($F88&amp;"")),12)="subscription",LOWER(TRIM($F88&amp;""))="membership"),"Subscription",IF(LOWER(TRIM($D88&amp;""))="estimate","Estimate",IF(OR(AND($H88&lt;&gt;"",$H88=0),LEFT(LOWER(TRIM($F88&amp;"")),9)="free game",LOWER(TRIM($F88&amp;""))="free",LOWER(TRIM($F88&amp;""))="free entry"),IF(LOWER($L88&amp;"")="yes","Disqualified — Free Game","Free Game"),IF(LOWER($L88&amp;"")="yes","Disqualified",IF($P88="","",IF(ROUND(IFERROR(VALUE($P88),0)-IFERROR(VALUE($H88),0),2)&gt;0,"Profit","Draw")))))))</ns0:f>
      </ns0:c>
      <ns0:c r="V88" s="956" t="str">
        <ns0:f>IF(COUNTA($A88:$M88)=0,"",IF(OR($B88="",$C88="",$U88="Subscription"),"",IFERROR(ROUNDUP(($C88-$B88)/7,0),"")))</ns0:f>
      </ns0:c>
      <ns0:c r="W88" s="114">
        <ns0:f>IF(COUNTA($A88:$M88)=0,"",IF(OR($U88="Subscription",$U88=""),"",IF($U88="Estimate","N/A",IF(OR($U88="Free Game",$U88="Disqualified — Free Game"),0,ROUND(IFERROR($Q88,0)-IFERROR($S88,0),2)))))</ns0:f>
      </ns0:c>
      <ns0:c r="X88" s="956" t="str">
        <ns0:f>IF(COUNTA($A88:$M88)=0,"",IF(OR($U88="Subscription",NOT(ISNUMBER($J88)),NOT(ISNUMBER($I88)),$J88=0,$I88=0,$I88&gt;$J88),"",$J88-$I88))</ns0:f>
      </ns0:c>
      <ns0:c r="Y88" s="955" t="str">
        <ns0:f>IF(COUNTA($A88:$M88)=0,"",IF(OR($U88="Subscription",NOT(ISNUMBER($J88)),$J88=0,$X88=""),"",$X88/$J88))</ns0:f>
      </ns0:c>
      <ns0:c r="Z88" s="957" t="str">
        <ns0:f>IF(COUNTA($A88:$M88)=0,"",Instructions!$B$29+SUM($W$5:W88))</ns0:f>
      </ns0:c>
    </ns0:row>
    <ns0:row r="89" ht="36" customHeight="1">
      <ns0:c r="A89" s="439"/>
      <ns0:c r="B89" s="453"/>
      <ns0:c r="C89" s="453"/>
      <ns0:c r="D89" s="454"/>
      <ns0:c r="E89" s="454"/>
      <ns0:c r="F89" s="454"/>
      <ns0:c r="G89" s="986"/>
      <ns0:c r="H89" s="455"/>
      <ns0:c r="I89" s="456"/>
      <ns0:c r="J89" s="456"/>
      <ns0:c r="K89" s="986"/>
      <ns0:c r="L89" s="454"/>
      <ns0:c r="M89" s="439"/>
      <ns0:c r="N89" s="987" t="str">
        <ns0:f>IF(COUNTA($A89:$M89)=0,"",IF(OR(LEFT(LOWER(TRIM($F89&amp;"")),12)="subscription",LOWER(TRIM($F89&amp;""))="membership"),"",IF(OR(AND($H89&lt;&gt;"",$H89=0),LEFT(LOWER(TRIM($F89&amp;"")),9)="free game",LOWER(TRIM($F89&amp;""))="free",LOWER(TRIM($F89&amp;""))="free entry"),IF(ISNUMBER($G89),IF(ISNUMBER(SEARCH("non",LOWER($E89&amp;""))),$G89*0.85,$G89),"N/A"),IF($G89="","",IFERROR(IF(ISNUMBER(SEARCH("non",LOWER($E89&amp;""))),$G89*0.85,$G89),"")))))</ns0:f>
        <ns0:v/>
      </ns0:c>
      <ns0:c r="O89" s="987" t="str">
        <ns0:f>IF(COUNTA($A89:$M89)=0,"",IF(OR(LEFT(LOWER(TRIM($F89&amp;"")),12)="subscription",LOWER(TRIM($F89&amp;""))="membership"),"",IF(OR(AND($H89&lt;&gt;"",$H89=0),LEFT(LOWER(TRIM($F89&amp;"")),9)="free game",LOWER(TRIM($F89&amp;""))="free",LOWER(TRIM($F89&amp;""))="free entry"),IF(OR(NOT(ISNUMBER($N89)),NOT(ISNUMBER($I89)),$I89=0),"N/A",IFERROR($N89/$I89,"N/A")),IF(OR($N89="",$I89="",$I89=0),"",IFERROR($N89/$I89,"")))))</ns0:f>
        <ns0:v/>
      </ns0:c>
      <ns0:c r="P89" s="987">
        <ns0:f>IF(COUNTA($A89:$M89)=0,"",IF(OR(LEFT(LOWER(TRIM($F89&amp;"")),12)="subscription",LOWER(TRIM($F89&amp;""))="membership"),"",IF(LOWER(TRIM($D89&amp;""))="estimate","N/A",IF(LOWER($L89&amp;"")="yes",0,IF(OR(AND($H89&lt;&gt;"",$H89=0),LEFT(LOWER(TRIM($F89&amp;"")),9)="free game",LOWER(TRIM($F89&amp;""))="free",LOWER(TRIM($F89&amp;""))="free entry"),IF(ISNUMBER($K89),$K89,""),IF($K89&lt;&gt;"",$K89,""))))))</ns0:f>
      </ns0:c>
      <ns0:c r="Q89" s="114">
        <ns0:f>IF(COUNTA($A89:$M89)=0,"",IF(OR($U89="Subscription",$U89=""),"",IF($U89="Estimate","N/A",IF($U89="Profit",ROUND(IFERROR($P89,0)-IFERROR($H89,0),2),0))))</ns0:f>
      </ns0:c>
      <ns0:c r="R89" s="114">
        <ns0:f>IF(COUNTA($A89:$M89)=0,"",IF(OR($U89="Subscription",$U89=""),"",IF($U89="Estimate","N/A",IF($U89="Draw",$H89,0))))</ns0:f>
      </ns0:c>
      <ns0:c r="S89" s="114">
        <ns0:f>IF(COUNTA($A89:$M89)=0,"",IF(OR($U89="Subscription",$U89=""),"",IF($U89="Estimate","N/A",IF($U89="Disqualified",$H89,0))))</ns0:f>
      </ns0:c>
      <ns0:c r="T89" s="955">
        <ns0:f>IF(COUNTA($A89:$M89)=0,"",IF(OR($U89="Subscription",$U89=""),"",IF($U89="Estimate","N/A",IF(OR($U89="Free Game",$U89="Disqualified — Free Game",$H89=0),"N/A",IF($U89="Profit",$Q89/$H89,IF($U89="Disqualified",-$S89/$H89,0))))))</ns0:f>
      </ns0:c>
      <ns0:c r="U89" s="920">
        <ns0:f>IF(COUNTA($A89:$M89)=0,"",IF(OR(LEFT(LOWER(TRIM($F89&amp;"")),12)="subscription",LOWER(TRIM($F89&amp;""))="membership"),"Subscription",IF(LOWER(TRIM($D89&amp;""))="estimate","Estimate",IF(OR(AND($H89&lt;&gt;"",$H89=0),LEFT(LOWER(TRIM($F89&amp;"")),9)="free game",LOWER(TRIM($F89&amp;""))="free",LOWER(TRIM($F89&amp;""))="free entry"),IF(LOWER($L89&amp;"")="yes","Disqualified — Free Game","Free Game"),IF(LOWER($L89&amp;"")="yes","Disqualified",IF($P89="","",IF(ROUND(IFERROR(VALUE($P89),0)-IFERROR(VALUE($H89),0),2)&gt;0,"Profit","Draw")))))))</ns0:f>
      </ns0:c>
      <ns0:c r="V89" s="956" t="str">
        <ns0:f>IF(COUNTA($A89:$M89)=0,"",IF(OR($B89="",$C89="",$U89="Subscription"),"",IFERROR(ROUNDUP(($C89-$B89)/7,0),"")))</ns0:f>
      </ns0:c>
      <ns0:c r="W89" s="114">
        <ns0:f>IF(COUNTA($A89:$M89)=0,"",IF(OR($U89="Subscription",$U89=""),"",IF($U89="Estimate","N/A",IF(OR($U89="Free Game",$U89="Disqualified — Free Game"),0,ROUND(IFERROR($Q89,0)-IFERROR($S89,0),2)))))</ns0:f>
      </ns0:c>
      <ns0:c r="X89" s="956" t="str">
        <ns0:f>IF(COUNTA($A89:$M89)=0,"",IF(OR($U89="Subscription",NOT(ISNUMBER($J89)),NOT(ISNUMBER($I89)),$J89=0,$I89=0,$I89&gt;$J89),"",$J89-$I89))</ns0:f>
      </ns0:c>
      <ns0:c r="Y89" s="955" t="str">
        <ns0:f>IF(COUNTA($A89:$M89)=0,"",IF(OR($U89="Subscription",NOT(ISNUMBER($J89)),$J89=0,$X89=""),"",$X89/$J89))</ns0:f>
      </ns0:c>
      <ns0:c r="Z89" s="957" t="str">
        <ns0:f>IF(COUNTA($A89:$M89)=0,"",Instructions!$B$29+SUM($W$5:W89))</ns0:f>
      </ns0:c>
    </ns0:row>
    <ns0:row r="90" ht="36" customHeight="1">
      <ns0:c r="A90" s="439"/>
      <ns0:c r="B90" s="453"/>
      <ns0:c r="C90" s="453"/>
      <ns0:c r="D90" s="454"/>
      <ns0:c r="E90" s="454"/>
      <ns0:c r="F90" s="454"/>
      <ns0:c r="G90" s="986"/>
      <ns0:c r="H90" s="455"/>
      <ns0:c r="I90" s="456"/>
      <ns0:c r="J90" s="456"/>
      <ns0:c r="K90" s="986"/>
      <ns0:c r="L90" s="454"/>
      <ns0:c r="M90" s="439"/>
      <ns0:c r="N90" s="987" t="str">
        <ns0:f>IF(COUNTA($A90:$M90)=0,"",IF(OR(LEFT(LOWER(TRIM($F90&amp;"")),12)="subscription",LOWER(TRIM($F90&amp;""))="membership"),"",IF(OR(AND($H90&lt;&gt;"",$H90=0),LEFT(LOWER(TRIM($F90&amp;"")),9)="free game",LOWER(TRIM($F90&amp;""))="free",LOWER(TRIM($F90&amp;""))="free entry"),IF(ISNUMBER($G90),IF(ISNUMBER(SEARCH("non",LOWER($E90&amp;""))),$G90*0.85,$G90),"N/A"),IF($G90="","",IFERROR(IF(ISNUMBER(SEARCH("non",LOWER($E90&amp;""))),$G90*0.85,$G90),"")))))</ns0:f>
        <ns0:v/>
      </ns0:c>
      <ns0:c r="O90" s="987" t="str">
        <ns0:f>IF(COUNTA($A90:$M90)=0,"",IF(OR(LEFT(LOWER(TRIM($F90&amp;"")),12)="subscription",LOWER(TRIM($F90&amp;""))="membership"),"",IF(OR(AND($H90&lt;&gt;"",$H90=0),LEFT(LOWER(TRIM($F90&amp;"")),9)="free game",LOWER(TRIM($F90&amp;""))="free",LOWER(TRIM($F90&amp;""))="free entry"),IF(OR(NOT(ISNUMBER($N90)),NOT(ISNUMBER($I90)),$I90=0),"N/A",IFERROR($N90/$I90,"N/A")),IF(OR($N90="",$I90="",$I90=0),"",IFERROR($N90/$I90,"")))))</ns0:f>
        <ns0:v/>
      </ns0:c>
      <ns0:c r="P90" s="987">
        <ns0:f>IF(COUNTA($A90:$M90)=0,"",IF(OR(LEFT(LOWER(TRIM($F90&amp;"")),12)="subscription",LOWER(TRIM($F90&amp;""))="membership"),"",IF(LOWER(TRIM($D90&amp;""))="estimate","N/A",IF(LOWER($L90&amp;"")="yes",0,IF(OR(AND($H90&lt;&gt;"",$H90=0),LEFT(LOWER(TRIM($F90&amp;"")),9)="free game",LOWER(TRIM($F90&amp;""))="free",LOWER(TRIM($F90&amp;""))="free entry"),IF(ISNUMBER($K90),$K90,""),IF($K90&lt;&gt;"",$K90,""))))))</ns0:f>
      </ns0:c>
      <ns0:c r="Q90" s="114">
        <ns0:f>IF(COUNTA($A90:$M90)=0,"",IF(OR($U90="Subscription",$U90=""),"",IF($U90="Estimate","N/A",IF($U90="Profit",ROUND(IFERROR($P90,0)-IFERROR($H90,0),2),0))))</ns0:f>
      </ns0:c>
      <ns0:c r="R90" s="114">
        <ns0:f>IF(COUNTA($A90:$M90)=0,"",IF(OR($U90="Subscription",$U90=""),"",IF($U90="Estimate","N/A",IF($U90="Draw",$H90,0))))</ns0:f>
      </ns0:c>
      <ns0:c r="S90" s="114">
        <ns0:f>IF(COUNTA($A90:$M90)=0,"",IF(OR($U90="Subscription",$U90=""),"",IF($U90="Estimate","N/A",IF($U90="Disqualified",$H90,0))))</ns0:f>
      </ns0:c>
      <ns0:c r="T90" s="955">
        <ns0:f>IF(COUNTA($A90:$M90)=0,"",IF(OR($U90="Subscription",$U90=""),"",IF($U90="Estimate","N/A",IF(OR($U90="Free Game",$U90="Disqualified — Free Game",$H90=0),"N/A",IF($U90="Profit",$Q90/$H90,IF($U90="Disqualified",-$S90/$H90,0))))))</ns0:f>
      </ns0:c>
      <ns0:c r="U90" s="920">
        <ns0:f>IF(COUNTA($A90:$M90)=0,"",IF(OR(LEFT(LOWER(TRIM($F90&amp;"")),12)="subscription",LOWER(TRIM($F90&amp;""))="membership"),"Subscription",IF(LOWER(TRIM($D90&amp;""))="estimate","Estimate",IF(OR(AND($H90&lt;&gt;"",$H90=0),LEFT(LOWER(TRIM($F90&amp;"")),9)="free game",LOWER(TRIM($F90&amp;""))="free",LOWER(TRIM($F90&amp;""))="free entry"),IF(LOWER($L90&amp;"")="yes","Disqualified — Free Game","Free Game"),IF(LOWER($L90&amp;"")="yes","Disqualified",IF($P90="","",IF(ROUND(IFERROR(VALUE($P90),0)-IFERROR(VALUE($H90),0),2)&gt;0,"Profit","Draw")))))))</ns0:f>
      </ns0:c>
      <ns0:c r="V90" s="956" t="str">
        <ns0:f>IF(COUNTA($A90:$M90)=0,"",IF(OR($B90="",$C90="",$U90="Subscription"),"",IFERROR(ROUNDUP(($C90-$B90)/7,0),"")))</ns0:f>
      </ns0:c>
      <ns0:c r="W90" s="114">
        <ns0:f>IF(COUNTA($A90:$M90)=0,"",IF(OR($U90="Subscription",$U90=""),"",IF($U90="Estimate","N/A",IF(OR($U90="Free Game",$U90="Disqualified — Free Game"),0,ROUND(IFERROR($Q90,0)-IFERROR($S90,0),2)))))</ns0:f>
      </ns0:c>
      <ns0:c r="X90" s="956" t="str">
        <ns0:f>IF(COUNTA($A90:$M90)=0,"",IF(OR($U90="Subscription",NOT(ISNUMBER($J90)),NOT(ISNUMBER($I90)),$J90=0,$I90=0,$I90&gt;$J90),"",$J90-$I90))</ns0:f>
      </ns0:c>
      <ns0:c r="Y90" s="955" t="str">
        <ns0:f>IF(COUNTA($A90:$M90)=0,"",IF(OR($U90="Subscription",NOT(ISNUMBER($J90)),$J90=0,$X90=""),"",$X90/$J90))</ns0:f>
      </ns0:c>
      <ns0:c r="Z90" s="957" t="str">
        <ns0:f>IF(COUNTA($A90:$M90)=0,"",Instructions!$B$29+SUM($W$5:W90))</ns0:f>
      </ns0:c>
    </ns0:row>
    <ns0:row r="91" ht="36" customHeight="1">
      <ns0:c r="A91" s="439"/>
      <ns0:c r="B91" s="453"/>
      <ns0:c r="C91" s="453"/>
      <ns0:c r="D91" s="454"/>
      <ns0:c r="E91" s="454"/>
      <ns0:c r="F91" s="454"/>
      <ns0:c r="G91" s="986"/>
      <ns0:c r="H91" s="455"/>
      <ns0:c r="I91" s="456"/>
      <ns0:c r="J91" s="456"/>
      <ns0:c r="K91" s="986"/>
      <ns0:c r="L91" s="454"/>
      <ns0:c r="M91" s="439"/>
      <ns0:c r="N91" s="987" t="str">
        <ns0:f>IF(COUNTA($A91:$M91)=0,"",IF(OR(LEFT(LOWER(TRIM($F91&amp;"")),12)="subscription",LOWER(TRIM($F91&amp;""))="membership"),"",IF(OR(AND($H91&lt;&gt;"",$H91=0),LEFT(LOWER(TRIM($F91&amp;"")),9)="free game",LOWER(TRIM($F91&amp;""))="free",LOWER(TRIM($F91&amp;""))="free entry"),IF(ISNUMBER($G91),IF(ISNUMBER(SEARCH("non",LOWER($E91&amp;""))),$G91*0.85,$G91),"N/A"),IF($G91="","",IFERROR(IF(ISNUMBER(SEARCH("non",LOWER($E91&amp;""))),$G91*0.85,$G91),"")))))</ns0:f>
        <ns0:v/>
      </ns0:c>
      <ns0:c r="O91" s="987" t="str">
        <ns0:f>IF(COUNTA($A91:$M91)=0,"",IF(OR(LEFT(LOWER(TRIM($F91&amp;"")),12)="subscription",LOWER(TRIM($F91&amp;""))="membership"),"",IF(OR(AND($H91&lt;&gt;"",$H91=0),LEFT(LOWER(TRIM($F91&amp;"")),9)="free game",LOWER(TRIM($F91&amp;""))="free",LOWER(TRIM($F91&amp;""))="free entry"),IF(OR(NOT(ISNUMBER($N91)),NOT(ISNUMBER($I91)),$I91=0),"N/A",IFERROR($N91/$I91,"N/A")),IF(OR($N91="",$I91="",$I91=0),"",IFERROR($N91/$I91,"")))))</ns0:f>
        <ns0:v/>
      </ns0:c>
      <ns0:c r="P91" s="987">
        <ns0:f>IF(COUNTA($A91:$M91)=0,"",IF(OR(LEFT(LOWER(TRIM($F91&amp;"")),12)="subscription",LOWER(TRIM($F91&amp;""))="membership"),"",IF(LOWER(TRIM($D91&amp;""))="estimate","N/A",IF(LOWER($L91&amp;"")="yes",0,IF(OR(AND($H91&lt;&gt;"",$H91=0),LEFT(LOWER(TRIM($F91&amp;"")),9)="free game",LOWER(TRIM($F91&amp;""))="free",LOWER(TRIM($F91&amp;""))="free entry"),IF(ISNUMBER($K91),$K91,""),IF($K91&lt;&gt;"",$K91,""))))))</ns0:f>
      </ns0:c>
      <ns0:c r="Q91" s="114">
        <ns0:f>IF(COUNTA($A91:$M91)=0,"",IF(OR($U91="Subscription",$U91=""),"",IF($U91="Estimate","N/A",IF($U91="Profit",ROUND(IFERROR($P91,0)-IFERROR($H91,0),2),0))))</ns0:f>
      </ns0:c>
      <ns0:c r="R91" s="114">
        <ns0:f>IF(COUNTA($A91:$M91)=0,"",IF(OR($U91="Subscription",$U91=""),"",IF($U91="Estimate","N/A",IF($U91="Draw",$H91,0))))</ns0:f>
      </ns0:c>
      <ns0:c r="S91" s="114">
        <ns0:f>IF(COUNTA($A91:$M91)=0,"",IF(OR($U91="Subscription",$U91=""),"",IF($U91="Estimate","N/A",IF($U91="Disqualified",$H91,0))))</ns0:f>
      </ns0:c>
      <ns0:c r="T91" s="955">
        <ns0:f>IF(COUNTA($A91:$M91)=0,"",IF(OR($U91="Subscription",$U91=""),"",IF($U91="Estimate","N/A",IF(OR($U91="Free Game",$U91="Disqualified — Free Game",$H91=0),"N/A",IF($U91="Profit",$Q91/$H91,IF($U91="Disqualified",-$S91/$H91,0))))))</ns0:f>
      </ns0:c>
      <ns0:c r="U91" s="920">
        <ns0:f>IF(COUNTA($A91:$M91)=0,"",IF(OR(LEFT(LOWER(TRIM($F91&amp;"")),12)="subscription",LOWER(TRIM($F91&amp;""))="membership"),"Subscription",IF(LOWER(TRIM($D91&amp;""))="estimate","Estimate",IF(OR(AND($H91&lt;&gt;"",$H91=0),LEFT(LOWER(TRIM($F91&amp;"")),9)="free game",LOWER(TRIM($F91&amp;""))="free",LOWER(TRIM($F91&amp;""))="free entry"),IF(LOWER($L91&amp;"")="yes","Disqualified — Free Game","Free Game"),IF(LOWER($L91&amp;"")="yes","Disqualified",IF($P91="","",IF(ROUND(IFERROR(VALUE($P91),0)-IFERROR(VALUE($H91),0),2)&gt;0,"Profit","Draw")))))))</ns0:f>
      </ns0:c>
      <ns0:c r="V91" s="956" t="str">
        <ns0:f>IF(COUNTA($A91:$M91)=0,"",IF(OR($B91="",$C91="",$U91="Subscription"),"",IFERROR(ROUNDUP(($C91-$B91)/7,0),"")))</ns0:f>
      </ns0:c>
      <ns0:c r="W91" s="114">
        <ns0:f>IF(COUNTA($A91:$M91)=0,"",IF(OR($U91="Subscription",$U91=""),"",IF($U91="Estimate","N/A",IF(OR($U91="Free Game",$U91="Disqualified — Free Game"),0,ROUND(IFERROR($Q91,0)-IFERROR($S91,0),2)))))</ns0:f>
      </ns0:c>
      <ns0:c r="X91" s="956" t="str">
        <ns0:f>IF(COUNTA($A91:$M91)=0,"",IF(OR($U91="Subscription",NOT(ISNUMBER($J91)),NOT(ISNUMBER($I91)),$J91=0,$I91=0,$I91&gt;$J91),"",$J91-$I91))</ns0:f>
      </ns0:c>
      <ns0:c r="Y91" s="955" t="str">
        <ns0:f>IF(COUNTA($A91:$M91)=0,"",IF(OR($U91="Subscription",NOT(ISNUMBER($J91)),$J91=0,$X91=""),"",$X91/$J91))</ns0:f>
      </ns0:c>
      <ns0:c r="Z91" s="957" t="str">
        <ns0:f>IF(COUNTA($A91:$M91)=0,"",Instructions!$B$29+SUM($W$5:W91))</ns0:f>
      </ns0:c>
    </ns0:row>
    <ns0:row r="92" ht="36" customHeight="1">
      <ns0:c r="A92" s="439"/>
      <ns0:c r="B92" s="453"/>
      <ns0:c r="C92" s="453"/>
      <ns0:c r="D92" s="454"/>
      <ns0:c r="E92" s="454"/>
      <ns0:c r="F92" s="454"/>
      <ns0:c r="G92" s="986"/>
      <ns0:c r="H92" s="455"/>
      <ns0:c r="I92" s="456"/>
      <ns0:c r="J92" s="456"/>
      <ns0:c r="K92" s="986"/>
      <ns0:c r="L92" s="454"/>
      <ns0:c r="M92" s="439"/>
      <ns0:c r="N92" s="987" t="str">
        <ns0:f>IF(COUNTA($A92:$M92)=0,"",IF(OR(LEFT(LOWER(TRIM($F92&amp;"")),12)="subscription",LOWER(TRIM($F92&amp;""))="membership"),"",IF(OR(AND($H92&lt;&gt;"",$H92=0),LEFT(LOWER(TRIM($F92&amp;"")),9)="free game",LOWER(TRIM($F92&amp;""))="free",LOWER(TRIM($F92&amp;""))="free entry"),IF(ISNUMBER($G92),IF(ISNUMBER(SEARCH("non",LOWER($E92&amp;""))),$G92*0.85,$G92),"N/A"),IF($G92="","",IFERROR(IF(ISNUMBER(SEARCH("non",LOWER($E92&amp;""))),$G92*0.85,$G92),"")))))</ns0:f>
        <ns0:v/>
      </ns0:c>
      <ns0:c r="O92" s="987" t="str">
        <ns0:f>IF(COUNTA($A92:$M92)=0,"",IF(OR(LEFT(LOWER(TRIM($F92&amp;"")),12)="subscription",LOWER(TRIM($F92&amp;""))="membership"),"",IF(OR(AND($H92&lt;&gt;"",$H92=0),LEFT(LOWER(TRIM($F92&amp;"")),9)="free game",LOWER(TRIM($F92&amp;""))="free",LOWER(TRIM($F92&amp;""))="free entry"),IF(OR(NOT(ISNUMBER($N92)),NOT(ISNUMBER($I92)),$I92=0),"N/A",IFERROR($N92/$I92,"N/A")),IF(OR($N92="",$I92="",$I92=0),"",IFERROR($N92/$I92,"")))))</ns0:f>
        <ns0:v/>
      </ns0:c>
      <ns0:c r="P92" s="987">
        <ns0:f>IF(COUNTA($A92:$M92)=0,"",IF(OR(LEFT(LOWER(TRIM($F92&amp;"")),12)="subscription",LOWER(TRIM($F92&amp;""))="membership"),"",IF(LOWER(TRIM($D92&amp;""))="estimate","N/A",IF(LOWER($L92&amp;"")="yes",0,IF(OR(AND($H92&lt;&gt;"",$H92=0),LEFT(LOWER(TRIM($F92&amp;"")),9)="free game",LOWER(TRIM($F92&amp;""))="free",LOWER(TRIM($F92&amp;""))="free entry"),IF(ISNUMBER($K92),$K92,""),IF($K92&lt;&gt;"",$K92,""))))))</ns0:f>
      </ns0:c>
      <ns0:c r="Q92" s="114">
        <ns0:f>IF(COUNTA($A92:$M92)=0,"",IF(OR($U92="Subscription",$U92=""),"",IF($U92="Estimate","N/A",IF($U92="Profit",ROUND(IFERROR($P92,0)-IFERROR($H92,0),2),0))))</ns0:f>
      </ns0:c>
      <ns0:c r="R92" s="114">
        <ns0:f>IF(COUNTA($A92:$M92)=0,"",IF(OR($U92="Subscription",$U92=""),"",IF($U92="Estimate","N/A",IF($U92="Draw",$H92,0))))</ns0:f>
      </ns0:c>
      <ns0:c r="S92" s="114">
        <ns0:f>IF(COUNTA($A92:$M92)=0,"",IF(OR($U92="Subscription",$U92=""),"",IF($U92="Estimate","N/A",IF($U92="Disqualified",$H92,0))))</ns0:f>
      </ns0:c>
      <ns0:c r="T92" s="955">
        <ns0:f>IF(COUNTA($A92:$M92)=0,"",IF(OR($U92="Subscription",$U92=""),"",IF($U92="Estimate","N/A",IF(OR($U92="Free Game",$U92="Disqualified — Free Game",$H92=0),"N/A",IF($U92="Profit",$Q92/$H92,IF($U92="Disqualified",-$S92/$H92,0))))))</ns0:f>
      </ns0:c>
      <ns0:c r="U92" s="920">
        <ns0:f>IF(COUNTA($A92:$M92)=0,"",IF(OR(LEFT(LOWER(TRIM($F92&amp;"")),12)="subscription",LOWER(TRIM($F92&amp;""))="membership"),"Subscription",IF(LOWER(TRIM($D92&amp;""))="estimate","Estimate",IF(OR(AND($H92&lt;&gt;"",$H92=0),LEFT(LOWER(TRIM($F92&amp;"")),9)="free game",LOWER(TRIM($F92&amp;""))="free",LOWER(TRIM($F92&amp;""))="free entry"),IF(LOWER($L92&amp;"")="yes","Disqualified — Free Game","Free Game"),IF(LOWER($L92&amp;"")="yes","Disqualified",IF($P92="","",IF(ROUND(IFERROR(VALUE($P92),0)-IFERROR(VALUE($H92),0),2)&gt;0,"Profit","Draw")))))))</ns0:f>
      </ns0:c>
      <ns0:c r="V92" s="956" t="str">
        <ns0:f>IF(COUNTA($A92:$M92)=0,"",IF(OR($B92="",$C92="",$U92="Subscription"),"",IFERROR(ROUNDUP(($C92-$B92)/7,0),"")))</ns0:f>
      </ns0:c>
      <ns0:c r="W92" s="114">
        <ns0:f>IF(COUNTA($A92:$M92)=0,"",IF(OR($U92="Subscription",$U92=""),"",IF($U92="Estimate","N/A",IF(OR($U92="Free Game",$U92="Disqualified — Free Game"),0,ROUND(IFERROR($Q92,0)-IFERROR($S92,0),2)))))</ns0:f>
      </ns0:c>
      <ns0:c r="X92" s="956" t="str">
        <ns0:f>IF(COUNTA($A92:$M92)=0,"",IF(OR($U92="Subscription",NOT(ISNUMBER($J92)),NOT(ISNUMBER($I92)),$J92=0,$I92=0,$I92&gt;$J92),"",$J92-$I92))</ns0:f>
      </ns0:c>
      <ns0:c r="Y92" s="955" t="str">
        <ns0:f>IF(COUNTA($A92:$M92)=0,"",IF(OR($U92="Subscription",NOT(ISNUMBER($J92)),$J92=0,$X92=""),"",$X92/$J92))</ns0:f>
      </ns0:c>
      <ns0:c r="Z92" s="957" t="str">
        <ns0:f>IF(COUNTA($A92:$M92)=0,"",Instructions!$B$29+SUM($W$5:W92))</ns0:f>
      </ns0:c>
    </ns0:row>
    <ns0:row r="93" ht="36" customHeight="1">
      <ns0:c r="A93" s="439"/>
      <ns0:c r="B93" s="453"/>
      <ns0:c r="C93" s="453"/>
      <ns0:c r="D93" s="454"/>
      <ns0:c r="E93" s="454"/>
      <ns0:c r="F93" s="454"/>
      <ns0:c r="G93" s="986"/>
      <ns0:c r="H93" s="455"/>
      <ns0:c r="I93" s="456"/>
      <ns0:c r="J93" s="456"/>
      <ns0:c r="K93" s="986"/>
      <ns0:c r="L93" s="454"/>
      <ns0:c r="M93" s="439"/>
      <ns0:c r="N93" s="987" t="str">
        <ns0:f>IF(COUNTA($A93:$M93)=0,"",IF(OR(LEFT(LOWER(TRIM($F93&amp;"")),12)="subscription",LOWER(TRIM($F93&amp;""))="membership"),"",IF(OR(AND($H93&lt;&gt;"",$H93=0),LEFT(LOWER(TRIM($F93&amp;"")),9)="free game",LOWER(TRIM($F93&amp;""))="free",LOWER(TRIM($F93&amp;""))="free entry"),IF(ISNUMBER($G93),IF(ISNUMBER(SEARCH("non",LOWER($E93&amp;""))),$G93*0.85,$G93),"N/A"),IF($G93="","",IFERROR(IF(ISNUMBER(SEARCH("non",LOWER($E93&amp;""))),$G93*0.85,$G93),"")))))</ns0:f>
        <ns0:v/>
      </ns0:c>
      <ns0:c r="O93" s="987" t="str">
        <ns0:f>IF(COUNTA($A93:$M93)=0,"",IF(OR(LEFT(LOWER(TRIM($F93&amp;"")),12)="subscription",LOWER(TRIM($F93&amp;""))="membership"),"",IF(OR(AND($H93&lt;&gt;"",$H93=0),LEFT(LOWER(TRIM($F93&amp;"")),9)="free game",LOWER(TRIM($F93&amp;""))="free",LOWER(TRIM($F93&amp;""))="free entry"),IF(OR(NOT(ISNUMBER($N93)),NOT(ISNUMBER($I93)),$I93=0),"N/A",IFERROR($N93/$I93,"N/A")),IF(OR($N93="",$I93="",$I93=0),"",IFERROR($N93/$I93,"")))))</ns0:f>
        <ns0:v/>
      </ns0:c>
      <ns0:c r="P93" s="987">
        <ns0:f>IF(COUNTA($A93:$M93)=0,"",IF(OR(LEFT(LOWER(TRIM($F93&amp;"")),12)="subscription",LOWER(TRIM($F93&amp;""))="membership"),"",IF(LOWER(TRIM($D93&amp;""))="estimate","N/A",IF(LOWER($L93&amp;"")="yes",0,IF(OR(AND($H93&lt;&gt;"",$H93=0),LEFT(LOWER(TRIM($F93&amp;"")),9)="free game",LOWER(TRIM($F93&amp;""))="free",LOWER(TRIM($F93&amp;""))="free entry"),IF(ISNUMBER($K93),$K93,""),IF($K93&lt;&gt;"",$K93,""))))))</ns0:f>
      </ns0:c>
      <ns0:c r="Q93" s="114">
        <ns0:f>IF(COUNTA($A93:$M93)=0,"",IF(OR($U93="Subscription",$U93=""),"",IF($U93="Estimate","N/A",IF($U93="Profit",ROUND(IFERROR($P93,0)-IFERROR($H93,0),2),0))))</ns0:f>
      </ns0:c>
      <ns0:c r="R93" s="114">
        <ns0:f>IF(COUNTA($A93:$M93)=0,"",IF(OR($U93="Subscription",$U93=""),"",IF($U93="Estimate","N/A",IF($U93="Draw",$H93,0))))</ns0:f>
      </ns0:c>
      <ns0:c r="S93" s="114">
        <ns0:f>IF(COUNTA($A93:$M93)=0,"",IF(OR($U93="Subscription",$U93=""),"",IF($U93="Estimate","N/A",IF($U93="Disqualified",$H93,0))))</ns0:f>
      </ns0:c>
      <ns0:c r="T93" s="955">
        <ns0:f>IF(COUNTA($A93:$M93)=0,"",IF(OR($U93="Subscription",$U93=""),"",IF($U93="Estimate","N/A",IF(OR($U93="Free Game",$U93="Disqualified — Free Game",$H93=0),"N/A",IF($U93="Profit",$Q93/$H93,IF($U93="Disqualified",-$S93/$H93,0))))))</ns0:f>
      </ns0:c>
      <ns0:c r="U93" s="920">
        <ns0:f>IF(COUNTA($A93:$M93)=0,"",IF(OR(LEFT(LOWER(TRIM($F93&amp;"")),12)="subscription",LOWER(TRIM($F93&amp;""))="membership"),"Subscription",IF(LOWER(TRIM($D93&amp;""))="estimate","Estimate",IF(OR(AND($H93&lt;&gt;"",$H93=0),LEFT(LOWER(TRIM($F93&amp;"")),9)="free game",LOWER(TRIM($F93&amp;""))="free",LOWER(TRIM($F93&amp;""))="free entry"),IF(LOWER($L93&amp;"")="yes","Disqualified — Free Game","Free Game"),IF(LOWER($L93&amp;"")="yes","Disqualified",IF($P93="","",IF(ROUND(IFERROR(VALUE($P93),0)-IFERROR(VALUE($H93),0),2)&gt;0,"Profit","Draw")))))))</ns0:f>
      </ns0:c>
      <ns0:c r="V93" s="956" t="str">
        <ns0:f>IF(COUNTA($A93:$M93)=0,"",IF(OR($B93="",$C93="",$U93="Subscription"),"",IFERROR(ROUNDUP(($C93-$B93)/7,0),"")))</ns0:f>
      </ns0:c>
      <ns0:c r="W93" s="114">
        <ns0:f>IF(COUNTA($A93:$M93)=0,"",IF(OR($U93="Subscription",$U93=""),"",IF($U93="Estimate","N/A",IF(OR($U93="Free Game",$U93="Disqualified — Free Game"),0,ROUND(IFERROR($Q93,0)-IFERROR($S93,0),2)))))</ns0:f>
      </ns0:c>
      <ns0:c r="X93" s="956" t="str">
        <ns0:f>IF(COUNTA($A93:$M93)=0,"",IF(OR($U93="Subscription",NOT(ISNUMBER($J93)),NOT(ISNUMBER($I93)),$J93=0,$I93=0,$I93&gt;$J93),"",$J93-$I93))</ns0:f>
      </ns0:c>
      <ns0:c r="Y93" s="955" t="str">
        <ns0:f>IF(COUNTA($A93:$M93)=0,"",IF(OR($U93="Subscription",NOT(ISNUMBER($J93)),$J93=0,$X93=""),"",$X93/$J93))</ns0:f>
      </ns0:c>
      <ns0:c r="Z93" s="957" t="str">
        <ns0:f>IF(COUNTA($A93:$M93)=0,"",Instructions!$B$29+SUM($W$5:W93))</ns0:f>
      </ns0:c>
    </ns0:row>
    <ns0:row r="94" ht="36" customHeight="1">
      <ns0:c r="A94" s="439"/>
      <ns0:c r="B94" s="453"/>
      <ns0:c r="C94" s="453"/>
      <ns0:c r="D94" s="454"/>
      <ns0:c r="E94" s="454"/>
      <ns0:c r="F94" s="454"/>
      <ns0:c r="G94" s="986"/>
      <ns0:c r="H94" s="455"/>
      <ns0:c r="I94" s="456"/>
      <ns0:c r="J94" s="456"/>
      <ns0:c r="K94" s="986"/>
      <ns0:c r="L94" s="454"/>
      <ns0:c r="M94" s="439"/>
      <ns0:c r="N94" s="987" t="str">
        <ns0:f>IF(COUNTA($A94:$M94)=0,"",IF(OR(LEFT(LOWER(TRIM($F94&amp;"")),12)="subscription",LOWER(TRIM($F94&amp;""))="membership"),"",IF(OR(AND($H94&lt;&gt;"",$H94=0),LEFT(LOWER(TRIM($F94&amp;"")),9)="free game",LOWER(TRIM($F94&amp;""))="free",LOWER(TRIM($F94&amp;""))="free entry"),IF(ISNUMBER($G94),IF(ISNUMBER(SEARCH("non",LOWER($E94&amp;""))),$G94*0.85,$G94),"N/A"),IF($G94="","",IFERROR(IF(ISNUMBER(SEARCH("non",LOWER($E94&amp;""))),$G94*0.85,$G94),"")))))</ns0:f>
        <ns0:v/>
      </ns0:c>
      <ns0:c r="O94" s="987" t="str">
        <ns0:f>IF(COUNTA($A94:$M94)=0,"",IF(OR(LEFT(LOWER(TRIM($F94&amp;"")),12)="subscription",LOWER(TRIM($F94&amp;""))="membership"),"",IF(OR(AND($H94&lt;&gt;"",$H94=0),LEFT(LOWER(TRIM($F94&amp;"")),9)="free game",LOWER(TRIM($F94&amp;""))="free",LOWER(TRIM($F94&amp;""))="free entry"),IF(OR(NOT(ISNUMBER($N94)),NOT(ISNUMBER($I94)),$I94=0),"N/A",IFERROR($N94/$I94,"N/A")),IF(OR($N94="",$I94="",$I94=0),"",IFERROR($N94/$I94,"")))))</ns0:f>
        <ns0:v/>
      </ns0:c>
      <ns0:c r="P94" s="987">
        <ns0:f>IF(COUNTA($A94:$M94)=0,"",IF(OR(LEFT(LOWER(TRIM($F94&amp;"")),12)="subscription",LOWER(TRIM($F94&amp;""))="membership"),"",IF(LOWER(TRIM($D94&amp;""))="estimate","N/A",IF(LOWER($L94&amp;"")="yes",0,IF(OR(AND($H94&lt;&gt;"",$H94=0),LEFT(LOWER(TRIM($F94&amp;"")),9)="free game",LOWER(TRIM($F94&amp;""))="free",LOWER(TRIM($F94&amp;""))="free entry"),IF(ISNUMBER($K94),$K94,""),IF($K94&lt;&gt;"",$K94,""))))))</ns0:f>
      </ns0:c>
      <ns0:c r="Q94" s="114">
        <ns0:f>IF(COUNTA($A94:$M94)=0,"",IF(OR($U94="Subscription",$U94=""),"",IF($U94="Estimate","N/A",IF($U94="Profit",ROUND(IFERROR($P94,0)-IFERROR($H94,0),2),0))))</ns0:f>
      </ns0:c>
      <ns0:c r="R94" s="114">
        <ns0:f>IF(COUNTA($A94:$M94)=0,"",IF(OR($U94="Subscription",$U94=""),"",IF($U94="Estimate","N/A",IF($U94="Draw",$H94,0))))</ns0:f>
      </ns0:c>
      <ns0:c r="S94" s="114">
        <ns0:f>IF(COUNTA($A94:$M94)=0,"",IF(OR($U94="Subscription",$U94=""),"",IF($U94="Estimate","N/A",IF($U94="Disqualified",$H94,0))))</ns0:f>
      </ns0:c>
      <ns0:c r="T94" s="955">
        <ns0:f>IF(COUNTA($A94:$M94)=0,"",IF(OR($U94="Subscription",$U94=""),"",IF($U94="Estimate","N/A",IF(OR($U94="Free Game",$U94="Disqualified — Free Game",$H94=0),"N/A",IF($U94="Profit",$Q94/$H94,IF($U94="Disqualified",-$S94/$H94,0))))))</ns0:f>
      </ns0:c>
      <ns0:c r="U94" s="920">
        <ns0:f>IF(COUNTA($A94:$M94)=0,"",IF(OR(LEFT(LOWER(TRIM($F94&amp;"")),12)="subscription",LOWER(TRIM($F94&amp;""))="membership"),"Subscription",IF(LOWER(TRIM($D94&amp;""))="estimate","Estimate",IF(OR(AND($H94&lt;&gt;"",$H94=0),LEFT(LOWER(TRIM($F94&amp;"")),9)="free game",LOWER(TRIM($F94&amp;""))="free",LOWER(TRIM($F94&amp;""))="free entry"),IF(LOWER($L94&amp;"")="yes","Disqualified — Free Game","Free Game"),IF(LOWER($L94&amp;"")="yes","Disqualified",IF($P94="","",IF(ROUND(IFERROR(VALUE($P94),0)-IFERROR(VALUE($H94),0),2)&gt;0,"Profit","Draw")))))))</ns0:f>
      </ns0:c>
      <ns0:c r="V94" s="956" t="str">
        <ns0:f>IF(COUNTA($A94:$M94)=0,"",IF(OR($B94="",$C94="",$U94="Subscription"),"",IFERROR(ROUNDUP(($C94-$B94)/7,0),"")))</ns0:f>
      </ns0:c>
      <ns0:c r="W94" s="114">
        <ns0:f>IF(COUNTA($A94:$M94)=0,"",IF(OR($U94="Subscription",$U94=""),"",IF($U94="Estimate","N/A",IF(OR($U94="Free Game",$U94="Disqualified — Free Game"),0,ROUND(IFERROR($Q94,0)-IFERROR($S94,0),2)))))</ns0:f>
      </ns0:c>
      <ns0:c r="X94" s="956" t="str">
        <ns0:f>IF(COUNTA($A94:$M94)=0,"",IF(OR($U94="Subscription",NOT(ISNUMBER($J94)),NOT(ISNUMBER($I94)),$J94=0,$I94=0,$I94&gt;$J94),"",$J94-$I94))</ns0:f>
      </ns0:c>
      <ns0:c r="Y94" s="955" t="str">
        <ns0:f>IF(COUNTA($A94:$M94)=0,"",IF(OR($U94="Subscription",NOT(ISNUMBER($J94)),$J94=0,$X94=""),"",$X94/$J94))</ns0:f>
      </ns0:c>
      <ns0:c r="Z94" s="957" t="str">
        <ns0:f>IF(COUNTA($A94:$M94)=0,"",Instructions!$B$29+SUM($W$5:W94))</ns0:f>
      </ns0:c>
    </ns0:row>
    <ns0:row r="95" ht="36" customHeight="1">
      <ns0:c r="A95" s="439"/>
      <ns0:c r="B95" s="453"/>
      <ns0:c r="C95" s="453"/>
      <ns0:c r="D95" s="454"/>
      <ns0:c r="E95" s="454"/>
      <ns0:c r="F95" s="454"/>
      <ns0:c r="G95" s="986"/>
      <ns0:c r="H95" s="455"/>
      <ns0:c r="I95" s="456"/>
      <ns0:c r="J95" s="456"/>
      <ns0:c r="K95" s="986"/>
      <ns0:c r="L95" s="454"/>
      <ns0:c r="M95" s="439"/>
      <ns0:c r="N95" s="987" t="str">
        <ns0:f>IF(COUNTA($A95:$M95)=0,"",IF(OR(LEFT(LOWER(TRIM($F95&amp;"")),12)="subscription",LOWER(TRIM($F95&amp;""))="membership"),"",IF(OR(AND($H95&lt;&gt;"",$H95=0),LEFT(LOWER(TRIM($F95&amp;"")),9)="free game",LOWER(TRIM($F95&amp;""))="free",LOWER(TRIM($F95&amp;""))="free entry"),IF(ISNUMBER($G95),IF(ISNUMBER(SEARCH("non",LOWER($E95&amp;""))),$G95*0.85,$G95),"N/A"),IF($G95="","",IFERROR(IF(ISNUMBER(SEARCH("non",LOWER($E95&amp;""))),$G95*0.85,$G95),"")))))</ns0:f>
        <ns0:v/>
      </ns0:c>
      <ns0:c r="O95" s="987" t="str">
        <ns0:f>IF(COUNTA($A95:$M95)=0,"",IF(OR(LEFT(LOWER(TRIM($F95&amp;"")),12)="subscription",LOWER(TRIM($F95&amp;""))="membership"),"",IF(OR(AND($H95&lt;&gt;"",$H95=0),LEFT(LOWER(TRIM($F95&amp;"")),9)="free game",LOWER(TRIM($F95&amp;""))="free",LOWER(TRIM($F95&amp;""))="free entry"),IF(OR(NOT(ISNUMBER($N95)),NOT(ISNUMBER($I95)),$I95=0),"N/A",IFERROR($N95/$I95,"N/A")),IF(OR($N95="",$I95="",$I95=0),"",IFERROR($N95/$I95,"")))))</ns0:f>
        <ns0:v/>
      </ns0:c>
      <ns0:c r="P95" s="987">
        <ns0:f>IF(COUNTA($A95:$M95)=0,"",IF(OR(LEFT(LOWER(TRIM($F95&amp;"")),12)="subscription",LOWER(TRIM($F95&amp;""))="membership"),"",IF(LOWER(TRIM($D95&amp;""))="estimate","N/A",IF(LOWER($L95&amp;"")="yes",0,IF(OR(AND($H95&lt;&gt;"",$H95=0),LEFT(LOWER(TRIM($F95&amp;"")),9)="free game",LOWER(TRIM($F95&amp;""))="free",LOWER(TRIM($F95&amp;""))="free entry"),IF(ISNUMBER($K95),$K95,""),IF($K95&lt;&gt;"",$K95,""))))))</ns0:f>
      </ns0:c>
      <ns0:c r="Q95" s="114">
        <ns0:f>IF(COUNTA($A95:$M95)=0,"",IF(OR($U95="Subscription",$U95=""),"",IF($U95="Estimate","N/A",IF($U95="Profit",ROUND(IFERROR($P95,0)-IFERROR($H95,0),2),0))))</ns0:f>
      </ns0:c>
      <ns0:c r="R95" s="114">
        <ns0:f>IF(COUNTA($A95:$M95)=0,"",IF(OR($U95="Subscription",$U95=""),"",IF($U95="Estimate","N/A",IF($U95="Draw",$H95,0))))</ns0:f>
      </ns0:c>
      <ns0:c r="S95" s="114">
        <ns0:f>IF(COUNTA($A95:$M95)=0,"",IF(OR($U95="Subscription",$U95=""),"",IF($U95="Estimate","N/A",IF($U95="Disqualified",$H95,0))))</ns0:f>
      </ns0:c>
      <ns0:c r="T95" s="955">
        <ns0:f>IF(COUNTA($A95:$M95)=0,"",IF(OR($U95="Subscription",$U95=""),"",IF($U95="Estimate","N/A",IF(OR($U95="Free Game",$U95="Disqualified — Free Game",$H95=0),"N/A",IF($U95="Profit",$Q95/$H95,IF($U95="Disqualified",-$S95/$H95,0))))))</ns0:f>
      </ns0:c>
      <ns0:c r="U95" s="920">
        <ns0:f>IF(COUNTA($A95:$M95)=0,"",IF(OR(LEFT(LOWER(TRIM($F95&amp;"")),12)="subscription",LOWER(TRIM($F95&amp;""))="membership"),"Subscription",IF(LOWER(TRIM($D95&amp;""))="estimate","Estimate",IF(OR(AND($H95&lt;&gt;"",$H95=0),LEFT(LOWER(TRIM($F95&amp;"")),9)="free game",LOWER(TRIM($F95&amp;""))="free",LOWER(TRIM($F95&amp;""))="free entry"),IF(LOWER($L95&amp;"")="yes","Disqualified — Free Game","Free Game"),IF(LOWER($L95&amp;"")="yes","Disqualified",IF($P95="","",IF(ROUND(IFERROR(VALUE($P95),0)-IFERROR(VALUE($H95),0),2)&gt;0,"Profit","Draw")))))))</ns0:f>
      </ns0:c>
      <ns0:c r="V95" s="956" t="str">
        <ns0:f>IF(COUNTA($A95:$M95)=0,"",IF(OR($B95="",$C95="",$U95="Subscription"),"",IFERROR(ROUNDUP(($C95-$B95)/7,0),"")))</ns0:f>
      </ns0:c>
      <ns0:c r="W95" s="114">
        <ns0:f>IF(COUNTA($A95:$M95)=0,"",IF(OR($U95="Subscription",$U95=""),"",IF($U95="Estimate","N/A",IF(OR($U95="Free Game",$U95="Disqualified — Free Game"),0,ROUND(IFERROR($Q95,0)-IFERROR($S95,0),2)))))</ns0:f>
      </ns0:c>
      <ns0:c r="X95" s="956" t="str">
        <ns0:f>IF(COUNTA($A95:$M95)=0,"",IF(OR($U95="Subscription",NOT(ISNUMBER($J95)),NOT(ISNUMBER($I95)),$J95=0,$I95=0,$I95&gt;$J95),"",$J95-$I95))</ns0:f>
      </ns0:c>
      <ns0:c r="Y95" s="955" t="str">
        <ns0:f>IF(COUNTA($A95:$M95)=0,"",IF(OR($U95="Subscription",NOT(ISNUMBER($J95)),$J95=0,$X95=""),"",$X95/$J95))</ns0:f>
      </ns0:c>
      <ns0:c r="Z95" s="957" t="str">
        <ns0:f>IF(COUNTA($A95:$M95)=0,"",Instructions!$B$29+SUM($W$5:W95))</ns0:f>
      </ns0:c>
    </ns0:row>
    <ns0:row r="96" ht="36" customHeight="1">
      <ns0:c r="A96" s="439"/>
      <ns0:c r="B96" s="453"/>
      <ns0:c r="C96" s="453"/>
      <ns0:c r="D96" s="454"/>
      <ns0:c r="E96" s="454"/>
      <ns0:c r="F96" s="454"/>
      <ns0:c r="G96" s="986"/>
      <ns0:c r="H96" s="455"/>
      <ns0:c r="I96" s="456"/>
      <ns0:c r="J96" s="456"/>
      <ns0:c r="K96" s="986"/>
      <ns0:c r="L96" s="454"/>
      <ns0:c r="M96" s="439"/>
      <ns0:c r="N96" s="987" t="str">
        <ns0:f>IF(COUNTA($A96:$M96)=0,"",IF(OR(LEFT(LOWER(TRIM($F96&amp;"")),12)="subscription",LOWER(TRIM($F96&amp;""))="membership"),"",IF(OR(AND($H96&lt;&gt;"",$H96=0),LEFT(LOWER(TRIM($F96&amp;"")),9)="free game",LOWER(TRIM($F96&amp;""))="free",LOWER(TRIM($F96&amp;""))="free entry"),IF(ISNUMBER($G96),IF(ISNUMBER(SEARCH("non",LOWER($E96&amp;""))),$G96*0.85,$G96),"N/A"),IF($G96="","",IFERROR(IF(ISNUMBER(SEARCH("non",LOWER($E96&amp;""))),$G96*0.85,$G96),"")))))</ns0:f>
        <ns0:v/>
      </ns0:c>
      <ns0:c r="O96" s="987" t="str">
        <ns0:f>IF(COUNTA($A96:$M96)=0,"",IF(OR(LEFT(LOWER(TRIM($F96&amp;"")),12)="subscription",LOWER(TRIM($F96&amp;""))="membership"),"",IF(OR(AND($H96&lt;&gt;"",$H96=0),LEFT(LOWER(TRIM($F96&amp;"")),9)="free game",LOWER(TRIM($F96&amp;""))="free",LOWER(TRIM($F96&amp;""))="free entry"),IF(OR(NOT(ISNUMBER($N96)),NOT(ISNUMBER($I96)),$I96=0),"N/A",IFERROR($N96/$I96,"N/A")),IF(OR($N96="",$I96="",$I96=0),"",IFERROR($N96/$I96,"")))))</ns0:f>
        <ns0:v/>
      </ns0:c>
      <ns0:c r="P96" s="987">
        <ns0:f>IF(COUNTA($A96:$M96)=0,"",IF(OR(LEFT(LOWER(TRIM($F96&amp;"")),12)="subscription",LOWER(TRIM($F96&amp;""))="membership"),"",IF(LOWER(TRIM($D96&amp;""))="estimate","N/A",IF(LOWER($L96&amp;"")="yes",0,IF(OR(AND($H96&lt;&gt;"",$H96=0),LEFT(LOWER(TRIM($F96&amp;"")),9)="free game",LOWER(TRIM($F96&amp;""))="free",LOWER(TRIM($F96&amp;""))="free entry"),IF(ISNUMBER($K96),$K96,""),IF($K96&lt;&gt;"",$K96,""))))))</ns0:f>
      </ns0:c>
      <ns0:c r="Q96" s="114">
        <ns0:f>IF(COUNTA($A96:$M96)=0,"",IF(OR($U96="Subscription",$U96=""),"",IF($U96="Estimate","N/A",IF($U96="Profit",ROUND(IFERROR($P96,0)-IFERROR($H96,0),2),0))))</ns0:f>
      </ns0:c>
      <ns0:c r="R96" s="114">
        <ns0:f>IF(COUNTA($A96:$M96)=0,"",IF(OR($U96="Subscription",$U96=""),"",IF($U96="Estimate","N/A",IF($U96="Draw",$H96,0))))</ns0:f>
      </ns0:c>
      <ns0:c r="S96" s="114">
        <ns0:f>IF(COUNTA($A96:$M96)=0,"",IF(OR($U96="Subscription",$U96=""),"",IF($U96="Estimate","N/A",IF($U96="Disqualified",$H96,0))))</ns0:f>
      </ns0:c>
      <ns0:c r="T96" s="955">
        <ns0:f>IF(COUNTA($A96:$M96)=0,"",IF(OR($U96="Subscription",$U96=""),"",IF($U96="Estimate","N/A",IF(OR($U96="Free Game",$U96="Disqualified — Free Game",$H96=0),"N/A",IF($U96="Profit",$Q96/$H96,IF($U96="Disqualified",-$S96/$H96,0))))))</ns0:f>
      </ns0:c>
      <ns0:c r="U96" s="920">
        <ns0:f>IF(COUNTA($A96:$M96)=0,"",IF(OR(LEFT(LOWER(TRIM($F96&amp;"")),12)="subscription",LOWER(TRIM($F96&amp;""))="membership"),"Subscription",IF(LOWER(TRIM($D96&amp;""))="estimate","Estimate",IF(OR(AND($H96&lt;&gt;"",$H96=0),LEFT(LOWER(TRIM($F96&amp;"")),9)="free game",LOWER(TRIM($F96&amp;""))="free",LOWER(TRIM($F96&amp;""))="free entry"),IF(LOWER($L96&amp;"")="yes","Disqualified — Free Game","Free Game"),IF(LOWER($L96&amp;"")="yes","Disqualified",IF($P96="","",IF(ROUND(IFERROR(VALUE($P96),0)-IFERROR(VALUE($H96),0),2)&gt;0,"Profit","Draw")))))))</ns0:f>
      </ns0:c>
      <ns0:c r="V96" s="956" t="str">
        <ns0:f>IF(COUNTA($A96:$M96)=0,"",IF(OR($B96="",$C96="",$U96="Subscription"),"",IFERROR(ROUNDUP(($C96-$B96)/7,0),"")))</ns0:f>
      </ns0:c>
      <ns0:c r="W96" s="114">
        <ns0:f>IF(COUNTA($A96:$M96)=0,"",IF(OR($U96="Subscription",$U96=""),"",IF($U96="Estimate","N/A",IF(OR($U96="Free Game",$U96="Disqualified — Free Game"),0,ROUND(IFERROR($Q96,0)-IFERROR($S96,0),2)))))</ns0:f>
      </ns0:c>
      <ns0:c r="X96" s="956" t="str">
        <ns0:f>IF(COUNTA($A96:$M96)=0,"",IF(OR($U96="Subscription",NOT(ISNUMBER($J96)),NOT(ISNUMBER($I96)),$J96=0,$I96=0,$I96&gt;$J96),"",$J96-$I96))</ns0:f>
      </ns0:c>
      <ns0:c r="Y96" s="955" t="str">
        <ns0:f>IF(COUNTA($A96:$M96)=0,"",IF(OR($U96="Subscription",NOT(ISNUMBER($J96)),$J96=0,$X96=""),"",$X96/$J96))</ns0:f>
      </ns0:c>
      <ns0:c r="Z96" s="957" t="str">
        <ns0:f>IF(COUNTA($A96:$M96)=0,"",Instructions!$B$29+SUM($W$5:W96))</ns0:f>
      </ns0:c>
    </ns0:row>
    <ns0:row r="97" ht="36" customHeight="1">
      <ns0:c r="A97" s="439"/>
      <ns0:c r="B97" s="453"/>
      <ns0:c r="C97" s="453"/>
      <ns0:c r="D97" s="454"/>
      <ns0:c r="E97" s="454"/>
      <ns0:c r="F97" s="454"/>
      <ns0:c r="G97" s="986"/>
      <ns0:c r="H97" s="455"/>
      <ns0:c r="I97" s="456"/>
      <ns0:c r="J97" s="456"/>
      <ns0:c r="K97" s="986"/>
      <ns0:c r="L97" s="454"/>
      <ns0:c r="M97" s="439"/>
      <ns0:c r="N97" s="987" t="str">
        <ns0:f>IF(COUNTA($A97:$M97)=0,"",IF(OR(LEFT(LOWER(TRIM($F97&amp;"")),12)="subscription",LOWER(TRIM($F97&amp;""))="membership"),"",IF(OR(AND($H97&lt;&gt;"",$H97=0),LEFT(LOWER(TRIM($F97&amp;"")),9)="free game",LOWER(TRIM($F97&amp;""))="free",LOWER(TRIM($F97&amp;""))="free entry"),IF(ISNUMBER($G97),IF(ISNUMBER(SEARCH("non",LOWER($E97&amp;""))),$G97*0.85,$G97),"N/A"),IF($G97="","",IFERROR(IF(ISNUMBER(SEARCH("non",LOWER($E97&amp;""))),$G97*0.85,$G97),"")))))</ns0:f>
        <ns0:v/>
      </ns0:c>
      <ns0:c r="O97" s="987" t="str">
        <ns0:f>IF(COUNTA($A97:$M97)=0,"",IF(OR(LEFT(LOWER(TRIM($F97&amp;"")),12)="subscription",LOWER(TRIM($F97&amp;""))="membership"),"",IF(OR(AND($H97&lt;&gt;"",$H97=0),LEFT(LOWER(TRIM($F97&amp;"")),9)="free game",LOWER(TRIM($F97&amp;""))="free",LOWER(TRIM($F97&amp;""))="free entry"),IF(OR(NOT(ISNUMBER($N97)),NOT(ISNUMBER($I97)),$I97=0),"N/A",IFERROR($N97/$I97,"N/A")),IF(OR($N97="",$I97="",$I97=0),"",IFERROR($N97/$I97,"")))))</ns0:f>
        <ns0:v/>
      </ns0:c>
      <ns0:c r="P97" s="987">
        <ns0:f>IF(COUNTA($A97:$M97)=0,"",IF(OR(LEFT(LOWER(TRIM($F97&amp;"")),12)="subscription",LOWER(TRIM($F97&amp;""))="membership"),"",IF(LOWER(TRIM($D97&amp;""))="estimate","N/A",IF(LOWER($L97&amp;"")="yes",0,IF(OR(AND($H97&lt;&gt;"",$H97=0),LEFT(LOWER(TRIM($F97&amp;"")),9)="free game",LOWER(TRIM($F97&amp;""))="free",LOWER(TRIM($F97&amp;""))="free entry"),IF(ISNUMBER($K97),$K97,""),IF($K97&lt;&gt;"",$K97,""))))))</ns0:f>
      </ns0:c>
      <ns0:c r="Q97" s="114">
        <ns0:f>IF(COUNTA($A97:$M97)=0,"",IF(OR($U97="Subscription",$U97=""),"",IF($U97="Estimate","N/A",IF($U97="Profit",ROUND(IFERROR($P97,0)-IFERROR($H97,0),2),0))))</ns0:f>
      </ns0:c>
      <ns0:c r="R97" s="114">
        <ns0:f>IF(COUNTA($A97:$M97)=0,"",IF(OR($U97="Subscription",$U97=""),"",IF($U97="Estimate","N/A",IF($U97="Draw",$H97,0))))</ns0:f>
      </ns0:c>
      <ns0:c r="S97" s="114">
        <ns0:f>IF(COUNTA($A97:$M97)=0,"",IF(OR($U97="Subscription",$U97=""),"",IF($U97="Estimate","N/A",IF($U97="Disqualified",$H97,0))))</ns0:f>
      </ns0:c>
      <ns0:c r="T97" s="955">
        <ns0:f>IF(COUNTA($A97:$M97)=0,"",IF(OR($U97="Subscription",$U97=""),"",IF($U97="Estimate","N/A",IF(OR($U97="Free Game",$U97="Disqualified — Free Game",$H97=0),"N/A",IF($U97="Profit",$Q97/$H97,IF($U97="Disqualified",-$S97/$H97,0))))))</ns0:f>
      </ns0:c>
      <ns0:c r="U97" s="920">
        <ns0:f>IF(COUNTA($A97:$M97)=0,"",IF(OR(LEFT(LOWER(TRIM($F97&amp;"")),12)="subscription",LOWER(TRIM($F97&amp;""))="membership"),"Subscription",IF(LOWER(TRIM($D97&amp;""))="estimate","Estimate",IF(OR(AND($H97&lt;&gt;"",$H97=0),LEFT(LOWER(TRIM($F97&amp;"")),9)="free game",LOWER(TRIM($F97&amp;""))="free",LOWER(TRIM($F97&amp;""))="free entry"),IF(LOWER($L97&amp;"")="yes","Disqualified — Free Game","Free Game"),IF(LOWER($L97&amp;"")="yes","Disqualified",IF($P97="","",IF(ROUND(IFERROR(VALUE($P97),0)-IFERROR(VALUE($H97),0),2)&gt;0,"Profit","Draw")))))))</ns0:f>
      </ns0:c>
      <ns0:c r="V97" s="956" t="str">
        <ns0:f>IF(COUNTA($A97:$M97)=0,"",IF(OR($B97="",$C97="",$U97="Subscription"),"",IFERROR(ROUNDUP(($C97-$B97)/7,0),"")))</ns0:f>
      </ns0:c>
      <ns0:c r="W97" s="114">
        <ns0:f>IF(COUNTA($A97:$M97)=0,"",IF(OR($U97="Subscription",$U97=""),"",IF($U97="Estimate","N/A",IF(OR($U97="Free Game",$U97="Disqualified — Free Game"),0,ROUND(IFERROR($Q97,0)-IFERROR($S97,0),2)))))</ns0:f>
      </ns0:c>
      <ns0:c r="X97" s="956" t="str">
        <ns0:f>IF(COUNTA($A97:$M97)=0,"",IF(OR($U97="Subscription",NOT(ISNUMBER($J97)),NOT(ISNUMBER($I97)),$J97=0,$I97=0,$I97&gt;$J97),"",$J97-$I97))</ns0:f>
      </ns0:c>
      <ns0:c r="Y97" s="955" t="str">
        <ns0:f>IF(COUNTA($A97:$M97)=0,"",IF(OR($U97="Subscription",NOT(ISNUMBER($J97)),$J97=0,$X97=""),"",$X97/$J97))</ns0:f>
      </ns0:c>
      <ns0:c r="Z97" s="957" t="str">
        <ns0:f>IF(COUNTA($A97:$M97)=0,"",Instructions!$B$29+SUM($W$5:W97))</ns0:f>
      </ns0:c>
    </ns0:row>
    <ns0:row r="98" ht="36" customHeight="1">
      <ns0:c r="A98" s="439"/>
      <ns0:c r="B98" s="453"/>
      <ns0:c r="C98" s="453"/>
      <ns0:c r="D98" s="454"/>
      <ns0:c r="E98" s="454"/>
      <ns0:c r="F98" s="454"/>
      <ns0:c r="G98" s="986"/>
      <ns0:c r="H98" s="455"/>
      <ns0:c r="I98" s="456"/>
      <ns0:c r="J98" s="456"/>
      <ns0:c r="K98" s="986"/>
      <ns0:c r="L98" s="454"/>
      <ns0:c r="M98" s="439"/>
      <ns0:c r="N98" s="987" t="str">
        <ns0:f>IF(COUNTA($A98:$M98)=0,"",IF(OR(LEFT(LOWER(TRIM($F98&amp;"")),12)="subscription",LOWER(TRIM($F98&amp;""))="membership"),"",IF(OR(AND($H98&lt;&gt;"",$H98=0),LEFT(LOWER(TRIM($F98&amp;"")),9)="free game",LOWER(TRIM($F98&amp;""))="free",LOWER(TRIM($F98&amp;""))="free entry"),IF(ISNUMBER($G98),IF(ISNUMBER(SEARCH("non",LOWER($E98&amp;""))),$G98*0.85,$G98),"N/A"),IF($G98="","",IFERROR(IF(ISNUMBER(SEARCH("non",LOWER($E98&amp;""))),$G98*0.85,$G98),"")))))</ns0:f>
        <ns0:v/>
      </ns0:c>
      <ns0:c r="O98" s="987" t="str">
        <ns0:f>IF(COUNTA($A98:$M98)=0,"",IF(OR(LEFT(LOWER(TRIM($F98&amp;"")),12)="subscription",LOWER(TRIM($F98&amp;""))="membership"),"",IF(OR(AND($H98&lt;&gt;"",$H98=0),LEFT(LOWER(TRIM($F98&amp;"")),9)="free game",LOWER(TRIM($F98&amp;""))="free",LOWER(TRIM($F98&amp;""))="free entry"),IF(OR(NOT(ISNUMBER($N98)),NOT(ISNUMBER($I98)),$I98=0),"N/A",IFERROR($N98/$I98,"N/A")),IF(OR($N98="",$I98="",$I98=0),"",IFERROR($N98/$I98,"")))))</ns0:f>
        <ns0:v/>
      </ns0:c>
      <ns0:c r="P98" s="987">
        <ns0:f>IF(COUNTA($A98:$M98)=0,"",IF(OR(LEFT(LOWER(TRIM($F98&amp;"")),12)="subscription",LOWER(TRIM($F98&amp;""))="membership"),"",IF(LOWER(TRIM($D98&amp;""))="estimate","N/A",IF(LOWER($L98&amp;"")="yes",0,IF(OR(AND($H98&lt;&gt;"",$H98=0),LEFT(LOWER(TRIM($F98&amp;"")),9)="free game",LOWER(TRIM($F98&amp;""))="free",LOWER(TRIM($F98&amp;""))="free entry"),IF(ISNUMBER($K98),$K98,""),IF($K98&lt;&gt;"",$K98,""))))))</ns0:f>
      </ns0:c>
      <ns0:c r="Q98" s="114">
        <ns0:f>IF(COUNTA($A98:$M98)=0,"",IF(OR($U98="Subscription",$U98=""),"",IF($U98="Estimate","N/A",IF($U98="Profit",ROUND(IFERROR($P98,0)-IFERROR($H98,0),2),0))))</ns0:f>
      </ns0:c>
      <ns0:c r="R98" s="114">
        <ns0:f>IF(COUNTA($A98:$M98)=0,"",IF(OR($U98="Subscription",$U98=""),"",IF($U98="Estimate","N/A",IF($U98="Draw",$H98,0))))</ns0:f>
      </ns0:c>
      <ns0:c r="S98" s="114">
        <ns0:f>IF(COUNTA($A98:$M98)=0,"",IF(OR($U98="Subscription",$U98=""),"",IF($U98="Estimate","N/A",IF($U98="Disqualified",$H98,0))))</ns0:f>
      </ns0:c>
      <ns0:c r="T98" s="955">
        <ns0:f>IF(COUNTA($A98:$M98)=0,"",IF(OR($U98="Subscription",$U98=""),"",IF($U98="Estimate","N/A",IF(OR($U98="Free Game",$U98="Disqualified — Free Game",$H98=0),"N/A",IF($U98="Profit",$Q98/$H98,IF($U98="Disqualified",-$S98/$H98,0))))))</ns0:f>
      </ns0:c>
      <ns0:c r="U98" s="920">
        <ns0:f>IF(COUNTA($A98:$M98)=0,"",IF(OR(LEFT(LOWER(TRIM($F98&amp;"")),12)="subscription",LOWER(TRIM($F98&amp;""))="membership"),"Subscription",IF(LOWER(TRIM($D98&amp;""))="estimate","Estimate",IF(OR(AND($H98&lt;&gt;"",$H98=0),LEFT(LOWER(TRIM($F98&amp;"")),9)="free game",LOWER(TRIM($F98&amp;""))="free",LOWER(TRIM($F98&amp;""))="free entry"),IF(LOWER($L98&amp;"")="yes","Disqualified — Free Game","Free Game"),IF(LOWER($L98&amp;"")="yes","Disqualified",IF($P98="","",IF(ROUND(IFERROR(VALUE($P98),0)-IFERROR(VALUE($H98),0),2)&gt;0,"Profit","Draw")))))))</ns0:f>
      </ns0:c>
      <ns0:c r="V98" s="956" t="str">
        <ns0:f>IF(COUNTA($A98:$M98)=0,"",IF(OR($B98="",$C98="",$U98="Subscription"),"",IFERROR(ROUNDUP(($C98-$B98)/7,0),"")))</ns0:f>
      </ns0:c>
      <ns0:c r="W98" s="114">
        <ns0:f>IF(COUNTA($A98:$M98)=0,"",IF(OR($U98="Subscription",$U98=""),"",IF($U98="Estimate","N/A",IF(OR($U98="Free Game",$U98="Disqualified — Free Game"),0,ROUND(IFERROR($Q98,0)-IFERROR($S98,0),2)))))</ns0:f>
      </ns0:c>
      <ns0:c r="X98" s="956" t="str">
        <ns0:f>IF(COUNTA($A98:$M98)=0,"",IF(OR($U98="Subscription",NOT(ISNUMBER($J98)),NOT(ISNUMBER($I98)),$J98=0,$I98=0,$I98&gt;$J98),"",$J98-$I98))</ns0:f>
      </ns0:c>
      <ns0:c r="Y98" s="955" t="str">
        <ns0:f>IF(COUNTA($A98:$M98)=0,"",IF(OR($U98="Subscription",NOT(ISNUMBER($J98)),$J98=0,$X98=""),"",$X98/$J98))</ns0:f>
      </ns0:c>
      <ns0:c r="Z98" s="957" t="str">
        <ns0:f>IF(COUNTA($A98:$M98)=0,"",Instructions!$B$29+SUM($W$5:W98))</ns0:f>
      </ns0:c>
    </ns0:row>
    <ns0:row r="99" ht="36" customHeight="1">
      <ns0:c r="A99" s="439"/>
      <ns0:c r="B99" s="453"/>
      <ns0:c r="C99" s="453"/>
      <ns0:c r="D99" s="454"/>
      <ns0:c r="E99" s="454"/>
      <ns0:c r="F99" s="454"/>
      <ns0:c r="G99" s="986"/>
      <ns0:c r="H99" s="455"/>
      <ns0:c r="I99" s="456"/>
      <ns0:c r="J99" s="456"/>
      <ns0:c r="K99" s="986"/>
      <ns0:c r="L99" s="454"/>
      <ns0:c r="M99" s="439"/>
      <ns0:c r="N99" s="987" t="str">
        <ns0:f>IF(COUNTA($A99:$M99)=0,"",IF(OR(LEFT(LOWER(TRIM($F99&amp;"")),12)="subscription",LOWER(TRIM($F99&amp;""))="membership"),"",IF(OR(AND($H99&lt;&gt;"",$H99=0),LEFT(LOWER(TRIM($F99&amp;"")),9)="free game",LOWER(TRIM($F99&amp;""))="free",LOWER(TRIM($F99&amp;""))="free entry"),IF(ISNUMBER($G99),IF(ISNUMBER(SEARCH("non",LOWER($E99&amp;""))),$G99*0.85,$G99),"N/A"),IF($G99="","",IFERROR(IF(ISNUMBER(SEARCH("non",LOWER($E99&amp;""))),$G99*0.85,$G99),"")))))</ns0:f>
        <ns0:v/>
      </ns0:c>
      <ns0:c r="O99" s="987" t="str">
        <ns0:f>IF(COUNTA($A99:$M99)=0,"",IF(OR(LEFT(LOWER(TRIM($F99&amp;"")),12)="subscription",LOWER(TRIM($F99&amp;""))="membership"),"",IF(OR(AND($H99&lt;&gt;"",$H99=0),LEFT(LOWER(TRIM($F99&amp;"")),9)="free game",LOWER(TRIM($F99&amp;""))="free",LOWER(TRIM($F99&amp;""))="free entry"),IF(OR(NOT(ISNUMBER($N99)),NOT(ISNUMBER($I99)),$I99=0),"N/A",IFERROR($N99/$I99,"N/A")),IF(OR($N99="",$I99="",$I99=0),"",IFERROR($N99/$I99,"")))))</ns0:f>
        <ns0:v/>
      </ns0:c>
      <ns0:c r="P99" s="987">
        <ns0:f>IF(COUNTA($A99:$M99)=0,"",IF(OR(LEFT(LOWER(TRIM($F99&amp;"")),12)="subscription",LOWER(TRIM($F99&amp;""))="membership"),"",IF(LOWER(TRIM($D99&amp;""))="estimate","N/A",IF(LOWER($L99&amp;"")="yes",0,IF(OR(AND($H99&lt;&gt;"",$H99=0),LEFT(LOWER(TRIM($F99&amp;"")),9)="free game",LOWER(TRIM($F99&amp;""))="free",LOWER(TRIM($F99&amp;""))="free entry"),IF(ISNUMBER($K99),$K99,""),IF($K99&lt;&gt;"",$K99,""))))))</ns0:f>
      </ns0:c>
      <ns0:c r="Q99" s="114">
        <ns0:f>IF(COUNTA($A99:$M99)=0,"",IF(OR($U99="Subscription",$U99=""),"",IF($U99="Estimate","N/A",IF($U99="Profit",ROUND(IFERROR($P99,0)-IFERROR($H99,0),2),0))))</ns0:f>
      </ns0:c>
      <ns0:c r="R99" s="114">
        <ns0:f>IF(COUNTA($A99:$M99)=0,"",IF(OR($U99="Subscription",$U99=""),"",IF($U99="Estimate","N/A",IF($U99="Draw",$H99,0))))</ns0:f>
      </ns0:c>
      <ns0:c r="S99" s="114">
        <ns0:f>IF(COUNTA($A99:$M99)=0,"",IF(OR($U99="Subscription",$U99=""),"",IF($U99="Estimate","N/A",IF($U99="Disqualified",$H99,0))))</ns0:f>
      </ns0:c>
      <ns0:c r="T99" s="955">
        <ns0:f>IF(COUNTA($A99:$M99)=0,"",IF(OR($U99="Subscription",$U99=""),"",IF($U99="Estimate","N/A",IF(OR($U99="Free Game",$U99="Disqualified — Free Game",$H99=0),"N/A",IF($U99="Profit",$Q99/$H99,IF($U99="Disqualified",-$S99/$H99,0))))))</ns0:f>
      </ns0:c>
      <ns0:c r="U99" s="920">
        <ns0:f>IF(COUNTA($A99:$M99)=0,"",IF(OR(LEFT(LOWER(TRIM($F99&amp;"")),12)="subscription",LOWER(TRIM($F99&amp;""))="membership"),"Subscription",IF(LOWER(TRIM($D99&amp;""))="estimate","Estimate",IF(OR(AND($H99&lt;&gt;"",$H99=0),LEFT(LOWER(TRIM($F99&amp;"")),9)="free game",LOWER(TRIM($F99&amp;""))="free",LOWER(TRIM($F99&amp;""))="free entry"),IF(LOWER($L99&amp;"")="yes","Disqualified — Free Game","Free Game"),IF(LOWER($L99&amp;"")="yes","Disqualified",IF($P99="","",IF(ROUND(IFERROR(VALUE($P99),0)-IFERROR(VALUE($H99),0),2)&gt;0,"Profit","Draw")))))))</ns0:f>
      </ns0:c>
      <ns0:c r="V99" s="956" t="str">
        <ns0:f>IF(COUNTA($A99:$M99)=0,"",IF(OR($B99="",$C99="",$U99="Subscription"),"",IFERROR(ROUNDUP(($C99-$B99)/7,0),"")))</ns0:f>
      </ns0:c>
      <ns0:c r="W99" s="114">
        <ns0:f>IF(COUNTA($A99:$M99)=0,"",IF(OR($U99="Subscription",$U99=""),"",IF($U99="Estimate","N/A",IF(OR($U99="Free Game",$U99="Disqualified — Free Game"),0,ROUND(IFERROR($Q99,0)-IFERROR($S99,0),2)))))</ns0:f>
      </ns0:c>
      <ns0:c r="X99" s="956" t="str">
        <ns0:f>IF(COUNTA($A99:$M99)=0,"",IF(OR($U99="Subscription",NOT(ISNUMBER($J99)),NOT(ISNUMBER($I99)),$J99=0,$I99=0,$I99&gt;$J99),"",$J99-$I99))</ns0:f>
      </ns0:c>
      <ns0:c r="Y99" s="955" t="str">
        <ns0:f>IF(COUNTA($A99:$M99)=0,"",IF(OR($U99="Subscription",NOT(ISNUMBER($J99)),$J99=0,$X99=""),"",$X99/$J99))</ns0:f>
      </ns0:c>
      <ns0:c r="Z99" s="957" t="str">
        <ns0:f>IF(COUNTA($A99:$M99)=0,"",Instructions!$B$29+SUM($W$5:W99))</ns0:f>
      </ns0:c>
    </ns0:row>
    <ns0:row r="100" ht="36" customHeight="1">
      <ns0:c r="A100" s="439"/>
      <ns0:c r="B100" s="453"/>
      <ns0:c r="C100" s="453"/>
      <ns0:c r="D100" s="454"/>
      <ns0:c r="E100" s="454"/>
      <ns0:c r="F100" s="454"/>
      <ns0:c r="G100" s="986"/>
      <ns0:c r="H100" s="455"/>
      <ns0:c r="I100" s="456"/>
      <ns0:c r="J100" s="456"/>
      <ns0:c r="K100" s="986"/>
      <ns0:c r="L100" s="454"/>
      <ns0:c r="M100" s="439"/>
      <ns0:c r="N100" s="987" t="str">
        <ns0:f>IF(COUNTA($A100:$M100)=0,"",IF(OR(LEFT(LOWER(TRIM($F100&amp;"")),12)="subscription",LOWER(TRIM($F100&amp;""))="membership"),"",IF(OR(AND($H100&lt;&gt;"",$H100=0),LEFT(LOWER(TRIM($F100&amp;"")),9)="free game",LOWER(TRIM($F100&amp;""))="free",LOWER(TRIM($F100&amp;""))="free entry"),IF(ISNUMBER($G100),IF(ISNUMBER(SEARCH("non",LOWER($E100&amp;""))),$G100*0.85,$G100),"N/A"),IF($G100="","",IFERROR(IF(ISNUMBER(SEARCH("non",LOWER($E100&amp;""))),$G100*0.85,$G100),"")))))</ns0:f>
        <ns0:v/>
      </ns0:c>
      <ns0:c r="O100" s="987" t="str">
        <ns0:f>IF(COUNTA($A100:$M100)=0,"",IF(OR(LEFT(LOWER(TRIM($F100&amp;"")),12)="subscription",LOWER(TRIM($F100&amp;""))="membership"),"",IF(OR(AND($H100&lt;&gt;"",$H100=0),LEFT(LOWER(TRIM($F100&amp;"")),9)="free game",LOWER(TRIM($F100&amp;""))="free",LOWER(TRIM($F100&amp;""))="free entry"),IF(OR(NOT(ISNUMBER($N100)),NOT(ISNUMBER($I100)),$I100=0),"N/A",IFERROR($N100/$I100,"N/A")),IF(OR($N100="",$I100="",$I100=0),"",IFERROR($N100/$I100,"")))))</ns0:f>
        <ns0:v/>
      </ns0:c>
      <ns0:c r="P100" s="987">
        <ns0:f>IF(COUNTA($A100:$M100)=0,"",IF(OR(LEFT(LOWER(TRIM($F100&amp;"")),12)="subscription",LOWER(TRIM($F100&amp;""))="membership"),"",IF(LOWER(TRIM($D100&amp;""))="estimate","N/A",IF(LOWER($L100&amp;"")="yes",0,IF(OR(AND($H100&lt;&gt;"",$H100=0),LEFT(LOWER(TRIM($F100&amp;"")),9)="free game",LOWER(TRIM($F100&amp;""))="free",LOWER(TRIM($F100&amp;""))="free entry"),IF(ISNUMBER($K100),$K100,""),IF($K100&lt;&gt;"",$K100,""))))))</ns0:f>
      </ns0:c>
      <ns0:c r="Q100" s="114">
        <ns0:f>IF(COUNTA($A100:$M100)=0,"",IF(OR($U100="Subscription",$U100=""),"",IF($U100="Estimate","N/A",IF($U100="Profit",ROUND(IFERROR($P100,0)-IFERROR($H100,0),2),0))))</ns0:f>
      </ns0:c>
      <ns0:c r="R100" s="114">
        <ns0:f>IF(COUNTA($A100:$M100)=0,"",IF(OR($U100="Subscription",$U100=""),"",IF($U100="Estimate","N/A",IF($U100="Draw",$H100,0))))</ns0:f>
      </ns0:c>
      <ns0:c r="S100" s="114">
        <ns0:f>IF(COUNTA($A100:$M100)=0,"",IF(OR($U100="Subscription",$U100=""),"",IF($U100="Estimate","N/A",IF($U100="Disqualified",$H100,0))))</ns0:f>
      </ns0:c>
      <ns0:c r="T100" s="955">
        <ns0:f>IF(COUNTA($A100:$M100)=0,"",IF(OR($U100="Subscription",$U100=""),"",IF($U100="Estimate","N/A",IF(OR($U100="Free Game",$U100="Disqualified — Free Game",$H100=0),"N/A",IF($U100="Profit",$Q100/$H100,IF($U100="Disqualified",-$S100/$H100,0))))))</ns0:f>
      </ns0:c>
      <ns0:c r="U100" s="920">
        <ns0:f>IF(COUNTA($A100:$M100)=0,"",IF(OR(LEFT(LOWER(TRIM($F100&amp;"")),12)="subscription",LOWER(TRIM($F100&amp;""))="membership"),"Subscription",IF(LOWER(TRIM($D100&amp;""))="estimate","Estimate",IF(OR(AND($H100&lt;&gt;"",$H100=0),LEFT(LOWER(TRIM($F100&amp;"")),9)="free game",LOWER(TRIM($F100&amp;""))="free",LOWER(TRIM($F100&amp;""))="free entry"),IF(LOWER($L100&amp;"")="yes","Disqualified — Free Game","Free Game"),IF(LOWER($L100&amp;"")="yes","Disqualified",IF($P100="","",IF(ROUND(IFERROR(VALUE($P100),0)-IFERROR(VALUE($H100),0),2)&gt;0,"Profit","Draw")))))))</ns0:f>
      </ns0:c>
      <ns0:c r="V100" s="956" t="str">
        <ns0:f>IF(COUNTA($A100:$M100)=0,"",IF(OR($B100="",$C100="",$U100="Subscription"),"",IFERROR(ROUNDUP(($C100-$B100)/7,0),"")))</ns0:f>
      </ns0:c>
      <ns0:c r="W100" s="114">
        <ns0:f>IF(COUNTA($A100:$M100)=0,"",IF(OR($U100="Subscription",$U100=""),"",IF($U100="Estimate","N/A",IF(OR($U100="Free Game",$U100="Disqualified — Free Game"),0,ROUND(IFERROR($Q100,0)-IFERROR($S100,0),2)))))</ns0:f>
      </ns0:c>
      <ns0:c r="X100" s="956" t="str">
        <ns0:f>IF(COUNTA($A100:$M100)=0,"",IF(OR($U100="Subscription",NOT(ISNUMBER($J100)),NOT(ISNUMBER($I100)),$J100=0,$I100=0,$I100&gt;$J100),"",$J100-$I100))</ns0:f>
      </ns0:c>
      <ns0:c r="Y100" s="955" t="str">
        <ns0:f>IF(COUNTA($A100:$M100)=0,"",IF(OR($U100="Subscription",NOT(ISNUMBER($J100)),$J100=0,$X100=""),"",$X100/$J100))</ns0:f>
      </ns0:c>
      <ns0:c r="Z100" s="957" t="str">
        <ns0:f>IF(COUNTA($A100:$M100)=0,"",Instructions!$B$29+SUM($W$5:W100))</ns0:f>
      </ns0:c>
    </ns0:row>
    <ns0:row r="101" ht="36" customHeight="1">
      <ns0:c r="A101" s="439"/>
      <ns0:c r="B101" s="453"/>
      <ns0:c r="C101" s="453"/>
      <ns0:c r="D101" s="454"/>
      <ns0:c r="E101" s="454"/>
      <ns0:c r="F101" s="454"/>
      <ns0:c r="G101" s="986"/>
      <ns0:c r="H101" s="455"/>
      <ns0:c r="I101" s="456"/>
      <ns0:c r="J101" s="456"/>
      <ns0:c r="K101" s="986"/>
      <ns0:c r="L101" s="454"/>
      <ns0:c r="M101" s="439"/>
      <ns0:c r="N101" s="987" t="str">
        <ns0:f>IF(COUNTA($A101:$M101)=0,"",IF(OR(LEFT(LOWER(TRIM($F101&amp;"")),12)="subscription",LOWER(TRIM($F101&amp;""))="membership"),"",IF(OR(AND($H101&lt;&gt;"",$H101=0),LEFT(LOWER(TRIM($F101&amp;"")),9)="free game",LOWER(TRIM($F101&amp;""))="free",LOWER(TRIM($F101&amp;""))="free entry"),IF(ISNUMBER($G101),IF(ISNUMBER(SEARCH("non",LOWER($E101&amp;""))),$G101*0.85,$G101),"N/A"),IF($G101="","",IFERROR(IF(ISNUMBER(SEARCH("non",LOWER($E101&amp;""))),$G101*0.85,$G101),"")))))</ns0:f>
        <ns0:v/>
      </ns0:c>
      <ns0:c r="O101" s="987" t="str">
        <ns0:f>IF(COUNTA($A101:$M101)=0,"",IF(OR(LEFT(LOWER(TRIM($F101&amp;"")),12)="subscription",LOWER(TRIM($F101&amp;""))="membership"),"",IF(OR(AND($H101&lt;&gt;"",$H101=0),LEFT(LOWER(TRIM($F101&amp;"")),9)="free game",LOWER(TRIM($F101&amp;""))="free",LOWER(TRIM($F101&amp;""))="free entry"),IF(OR(NOT(ISNUMBER($N101)),NOT(ISNUMBER($I101)),$I101=0),"N/A",IFERROR($N101/$I101,"N/A")),IF(OR($N101="",$I101="",$I101=0),"",IFERROR($N101/$I101,"")))))</ns0:f>
        <ns0:v/>
      </ns0:c>
      <ns0:c r="P101" s="987">
        <ns0:f>IF(COUNTA($A101:$M101)=0,"",IF(OR(LEFT(LOWER(TRIM($F101&amp;"")),12)="subscription",LOWER(TRIM($F101&amp;""))="membership"),"",IF(LOWER(TRIM($D101&amp;""))="estimate","N/A",IF(LOWER($L101&amp;"")="yes",0,IF(OR(AND($H101&lt;&gt;"",$H101=0),LEFT(LOWER(TRIM($F101&amp;"")),9)="free game",LOWER(TRIM($F101&amp;""))="free",LOWER(TRIM($F101&amp;""))="free entry"),IF(ISNUMBER($K101),$K101,""),IF($K101&lt;&gt;"",$K101,""))))))</ns0:f>
      </ns0:c>
      <ns0:c r="Q101" s="114">
        <ns0:f>IF(COUNTA($A101:$M101)=0,"",IF(OR($U101="Subscription",$U101=""),"",IF($U101="Estimate","N/A",IF($U101="Profit",ROUND(IFERROR($P101,0)-IFERROR($H101,0),2),0))))</ns0:f>
      </ns0:c>
      <ns0:c r="R101" s="114">
        <ns0:f>IF(COUNTA($A101:$M101)=0,"",IF(OR($U101="Subscription",$U101=""),"",IF($U101="Estimate","N/A",IF($U101="Draw",$H101,0))))</ns0:f>
      </ns0:c>
      <ns0:c r="S101" s="114">
        <ns0:f>IF(COUNTA($A101:$M101)=0,"",IF(OR($U101="Subscription",$U101=""),"",IF($U101="Estimate","N/A",IF($U101="Disqualified",$H101,0))))</ns0:f>
      </ns0:c>
      <ns0:c r="T101" s="955">
        <ns0:f>IF(COUNTA($A101:$M101)=0,"",IF(OR($U101="Subscription",$U101=""),"",IF($U101="Estimate","N/A",IF(OR($U101="Free Game",$U101="Disqualified — Free Game",$H101=0),"N/A",IF($U101="Profit",$Q101/$H101,IF($U101="Disqualified",-$S101/$H101,0))))))</ns0:f>
      </ns0:c>
      <ns0:c r="U101" s="920">
        <ns0:f>IF(COUNTA($A101:$M101)=0,"",IF(OR(LEFT(LOWER(TRIM($F101&amp;"")),12)="subscription",LOWER(TRIM($F101&amp;""))="membership"),"Subscription",IF(LOWER(TRIM($D101&amp;""))="estimate","Estimate",IF(OR(AND($H101&lt;&gt;"",$H101=0),LEFT(LOWER(TRIM($F101&amp;"")),9)="free game",LOWER(TRIM($F101&amp;""))="free",LOWER(TRIM($F101&amp;""))="free entry"),IF(LOWER($L101&amp;"")="yes","Disqualified — Free Game","Free Game"),IF(LOWER($L101&amp;"")="yes","Disqualified",IF($P101="","",IF(ROUND(IFERROR(VALUE($P101),0)-IFERROR(VALUE($H101),0),2)&gt;0,"Profit","Draw")))))))</ns0:f>
      </ns0:c>
      <ns0:c r="V101" s="956" t="str">
        <ns0:f>IF(COUNTA($A101:$M101)=0,"",IF(OR($B101="",$C101="",$U101="Subscription"),"",IFERROR(ROUNDUP(($C101-$B101)/7,0),"")))</ns0:f>
      </ns0:c>
      <ns0:c r="W101" s="114">
        <ns0:f>IF(COUNTA($A101:$M101)=0,"",IF(OR($U101="Subscription",$U101=""),"",IF($U101="Estimate","N/A",IF(OR($U101="Free Game",$U101="Disqualified — Free Game"),0,ROUND(IFERROR($Q101,0)-IFERROR($S101,0),2)))))</ns0:f>
      </ns0:c>
      <ns0:c r="X101" s="956" t="str">
        <ns0:f>IF(COUNTA($A101:$M101)=0,"",IF(OR($U101="Subscription",NOT(ISNUMBER($J101)),NOT(ISNUMBER($I101)),$J101=0,$I101=0,$I101&gt;$J101),"",$J101-$I101))</ns0:f>
      </ns0:c>
      <ns0:c r="Y101" s="955" t="str">
        <ns0:f>IF(COUNTA($A101:$M101)=0,"",IF(OR($U101="Subscription",NOT(ISNUMBER($J101)),$J101=0,$X101=""),"",$X101/$J101))</ns0:f>
      </ns0:c>
      <ns0:c r="Z101" s="957" t="str">
        <ns0:f>IF(COUNTA($A101:$M101)=0,"",Instructions!$B$29+SUM($W$5:W101))</ns0:f>
      </ns0:c>
    </ns0:row>
    <ns0:row r="102" ht="36" customHeight="1">
      <ns0:c r="A102" s="439"/>
      <ns0:c r="B102" s="453"/>
      <ns0:c r="C102" s="453"/>
      <ns0:c r="D102" s="454"/>
      <ns0:c r="E102" s="454"/>
      <ns0:c r="F102" s="454"/>
      <ns0:c r="G102" s="986"/>
      <ns0:c r="H102" s="455"/>
      <ns0:c r="I102" s="456"/>
      <ns0:c r="J102" s="456"/>
      <ns0:c r="K102" s="986"/>
      <ns0:c r="L102" s="454"/>
      <ns0:c r="M102" s="439"/>
      <ns0:c r="N102" s="987" t="str">
        <ns0:f>IF(COUNTA($A102:$M102)=0,"",IF(OR(LEFT(LOWER(TRIM($F102&amp;"")),12)="subscription",LOWER(TRIM($F102&amp;""))="membership"),"",IF(OR(AND($H102&lt;&gt;"",$H102=0),LEFT(LOWER(TRIM($F102&amp;"")),9)="free game",LOWER(TRIM($F102&amp;""))="free",LOWER(TRIM($F102&amp;""))="free entry"),IF(ISNUMBER($G102),IF(ISNUMBER(SEARCH("non",LOWER($E102&amp;""))),$G102*0.85,$G102),"N/A"),IF($G102="","",IFERROR(IF(ISNUMBER(SEARCH("non",LOWER($E102&amp;""))),$G102*0.85,$G102),"")))))</ns0:f>
        <ns0:v/>
      </ns0:c>
      <ns0:c r="O102" s="987" t="str">
        <ns0:f>IF(COUNTA($A102:$M102)=0,"",IF(OR(LEFT(LOWER(TRIM($F102&amp;"")),12)="subscription",LOWER(TRIM($F102&amp;""))="membership"),"",IF(OR(AND($H102&lt;&gt;"",$H102=0),LEFT(LOWER(TRIM($F102&amp;"")),9)="free game",LOWER(TRIM($F102&amp;""))="free",LOWER(TRIM($F102&amp;""))="free entry"),IF(OR(NOT(ISNUMBER($N102)),NOT(ISNUMBER($I102)),$I102=0),"N/A",IFERROR($N102/$I102,"N/A")),IF(OR($N102="",$I102="",$I102=0),"",IFERROR($N102/$I102,"")))))</ns0:f>
        <ns0:v/>
      </ns0:c>
      <ns0:c r="P102" s="987">
        <ns0:f>IF(COUNTA($A102:$M102)=0,"",IF(OR(LEFT(LOWER(TRIM($F102&amp;"")),12)="subscription",LOWER(TRIM($F102&amp;""))="membership"),"",IF(LOWER(TRIM($D102&amp;""))="estimate","N/A",IF(LOWER($L102&amp;"")="yes",0,IF(OR(AND($H102&lt;&gt;"",$H102=0),LEFT(LOWER(TRIM($F102&amp;"")),9)="free game",LOWER(TRIM($F102&amp;""))="free",LOWER(TRIM($F102&amp;""))="free entry"),IF(ISNUMBER($K102),$K102,""),IF($K102&lt;&gt;"",$K102,""))))))</ns0:f>
      </ns0:c>
      <ns0:c r="Q102" s="114">
        <ns0:f>IF(COUNTA($A102:$M102)=0,"",IF(OR($U102="Subscription",$U102=""),"",IF($U102="Estimate","N/A",IF($U102="Profit",ROUND(IFERROR($P102,0)-IFERROR($H102,0),2),0))))</ns0:f>
      </ns0:c>
      <ns0:c r="R102" s="114">
        <ns0:f>IF(COUNTA($A102:$M102)=0,"",IF(OR($U102="Subscription",$U102=""),"",IF($U102="Estimate","N/A",IF($U102="Draw",$H102,0))))</ns0:f>
      </ns0:c>
      <ns0:c r="S102" s="114">
        <ns0:f>IF(COUNTA($A102:$M102)=0,"",IF(OR($U102="Subscription",$U102=""),"",IF($U102="Estimate","N/A",IF($U102="Disqualified",$H102,0))))</ns0:f>
      </ns0:c>
      <ns0:c r="T102" s="955">
        <ns0:f>IF(COUNTA($A102:$M102)=0,"",IF(OR($U102="Subscription",$U102=""),"",IF($U102="Estimate","N/A",IF(OR($U102="Free Game",$U102="Disqualified — Free Game",$H102=0),"N/A",IF($U102="Profit",$Q102/$H102,IF($U102="Disqualified",-$S102/$H102,0))))))</ns0:f>
      </ns0:c>
      <ns0:c r="U102" s="920">
        <ns0:f>IF(COUNTA($A102:$M102)=0,"",IF(OR(LEFT(LOWER(TRIM($F102&amp;"")),12)="subscription",LOWER(TRIM($F102&amp;""))="membership"),"Subscription",IF(LOWER(TRIM($D102&amp;""))="estimate","Estimate",IF(OR(AND($H102&lt;&gt;"",$H102=0),LEFT(LOWER(TRIM($F102&amp;"")),9)="free game",LOWER(TRIM($F102&amp;""))="free",LOWER(TRIM($F102&amp;""))="free entry"),IF(LOWER($L102&amp;"")="yes","Disqualified — Free Game","Free Game"),IF(LOWER($L102&amp;"")="yes","Disqualified",IF($P102="","",IF(ROUND(IFERROR(VALUE($P102),0)-IFERROR(VALUE($H102),0),2)&gt;0,"Profit","Draw")))))))</ns0:f>
      </ns0:c>
      <ns0:c r="V102" s="956" t="str">
        <ns0:f>IF(COUNTA($A102:$M102)=0,"",IF(OR($B102="",$C102="",$U102="Subscription"),"",IFERROR(ROUNDUP(($C102-$B102)/7,0),"")))</ns0:f>
      </ns0:c>
      <ns0:c r="W102" s="114">
        <ns0:f>IF(COUNTA($A102:$M102)=0,"",IF(OR($U102="Subscription",$U102=""),"",IF($U102="Estimate","N/A",IF(OR($U102="Free Game",$U102="Disqualified — Free Game"),0,ROUND(IFERROR($Q102,0)-IFERROR($S102,0),2)))))</ns0:f>
      </ns0:c>
      <ns0:c r="X102" s="956" t="str">
        <ns0:f>IF(COUNTA($A102:$M102)=0,"",IF(OR($U102="Subscription",NOT(ISNUMBER($J102)),NOT(ISNUMBER($I102)),$J102=0,$I102=0,$I102&gt;$J102),"",$J102-$I102))</ns0:f>
      </ns0:c>
      <ns0:c r="Y102" s="955" t="str">
        <ns0:f>IF(COUNTA($A102:$M102)=0,"",IF(OR($U102="Subscription",NOT(ISNUMBER($J102)),$J102=0,$X102=""),"",$X102/$J102))</ns0:f>
      </ns0:c>
      <ns0:c r="Z102" s="957" t="str">
        <ns0:f>IF(COUNTA($A102:$M102)=0,"",Instructions!$B$29+SUM($W$5:W102))</ns0:f>
      </ns0:c>
    </ns0:row>
    <ns0:row r="103" ht="36" customHeight="1">
      <ns0:c r="A103" s="439"/>
      <ns0:c r="B103" s="453"/>
      <ns0:c r="C103" s="453"/>
      <ns0:c r="D103" s="454"/>
      <ns0:c r="E103" s="454"/>
      <ns0:c r="F103" s="454"/>
      <ns0:c r="G103" s="986"/>
      <ns0:c r="H103" s="455"/>
      <ns0:c r="I103" s="456"/>
      <ns0:c r="J103" s="456"/>
      <ns0:c r="K103" s="986"/>
      <ns0:c r="L103" s="454"/>
      <ns0:c r="M103" s="439"/>
      <ns0:c r="N103" s="987" t="str">
        <ns0:f>IF(COUNTA($A103:$M103)=0,"",IF(OR(LEFT(LOWER(TRIM($F103&amp;"")),12)="subscription",LOWER(TRIM($F103&amp;""))="membership"),"",IF(OR(AND($H103&lt;&gt;"",$H103=0),LEFT(LOWER(TRIM($F103&amp;"")),9)="free game",LOWER(TRIM($F103&amp;""))="free",LOWER(TRIM($F103&amp;""))="free entry"),IF(ISNUMBER($G103),IF(ISNUMBER(SEARCH("non",LOWER($E103&amp;""))),$G103*0.85,$G103),"N/A"),IF($G103="","",IFERROR(IF(ISNUMBER(SEARCH("non",LOWER($E103&amp;""))),$G103*0.85,$G103),"")))))</ns0:f>
        <ns0:v/>
      </ns0:c>
      <ns0:c r="O103" s="987" t="str">
        <ns0:f>IF(COUNTA($A103:$M103)=0,"",IF(OR(LEFT(LOWER(TRIM($F103&amp;"")),12)="subscription",LOWER(TRIM($F103&amp;""))="membership"),"",IF(OR(AND($H103&lt;&gt;"",$H103=0),LEFT(LOWER(TRIM($F103&amp;"")),9)="free game",LOWER(TRIM($F103&amp;""))="free",LOWER(TRIM($F103&amp;""))="free entry"),IF(OR(NOT(ISNUMBER($N103)),NOT(ISNUMBER($I103)),$I103=0),"N/A",IFERROR($N103/$I103,"N/A")),IF(OR($N103="",$I103="",$I103=0),"",IFERROR($N103/$I103,"")))))</ns0:f>
        <ns0:v/>
      </ns0:c>
      <ns0:c r="P103" s="987">
        <ns0:f>IF(COUNTA($A103:$M103)=0,"",IF(OR(LEFT(LOWER(TRIM($F103&amp;"")),12)="subscription",LOWER(TRIM($F103&amp;""))="membership"),"",IF(LOWER(TRIM($D103&amp;""))="estimate","N/A",IF(LOWER($L103&amp;"")="yes",0,IF(OR(AND($H103&lt;&gt;"",$H103=0),LEFT(LOWER(TRIM($F103&amp;"")),9)="free game",LOWER(TRIM($F103&amp;""))="free",LOWER(TRIM($F103&amp;""))="free entry"),IF(ISNUMBER($K103),$K103,""),IF($K103&lt;&gt;"",$K103,""))))))</ns0:f>
      </ns0:c>
      <ns0:c r="Q103" s="114">
        <ns0:f>IF(COUNTA($A103:$M103)=0,"",IF(OR($U103="Subscription",$U103=""),"",IF($U103="Estimate","N/A",IF($U103="Profit",ROUND(IFERROR($P103,0)-IFERROR($H103,0),2),0))))</ns0:f>
      </ns0:c>
      <ns0:c r="R103" s="114">
        <ns0:f>IF(COUNTA($A103:$M103)=0,"",IF(OR($U103="Subscription",$U103=""),"",IF($U103="Estimate","N/A",IF($U103="Draw",$H103,0))))</ns0:f>
      </ns0:c>
      <ns0:c r="S103" s="114">
        <ns0:f>IF(COUNTA($A103:$M103)=0,"",IF(OR($U103="Subscription",$U103=""),"",IF($U103="Estimate","N/A",IF($U103="Disqualified",$H103,0))))</ns0:f>
      </ns0:c>
      <ns0:c r="T103" s="955">
        <ns0:f>IF(COUNTA($A103:$M103)=0,"",IF(OR($U103="Subscription",$U103=""),"",IF($U103="Estimate","N/A",IF(OR($U103="Free Game",$U103="Disqualified — Free Game",$H103=0),"N/A",IF($U103="Profit",$Q103/$H103,IF($U103="Disqualified",-$S103/$H103,0))))))</ns0:f>
      </ns0:c>
      <ns0:c r="U103" s="920">
        <ns0:f>IF(COUNTA($A103:$M103)=0,"",IF(OR(LEFT(LOWER(TRIM($F103&amp;"")),12)="subscription",LOWER(TRIM($F103&amp;""))="membership"),"Subscription",IF(LOWER(TRIM($D103&amp;""))="estimate","Estimate",IF(OR(AND($H103&lt;&gt;"",$H103=0),LEFT(LOWER(TRIM($F103&amp;"")),9)="free game",LOWER(TRIM($F103&amp;""))="free",LOWER(TRIM($F103&amp;""))="free entry"),IF(LOWER($L103&amp;"")="yes","Disqualified — Free Game","Free Game"),IF(LOWER($L103&amp;"")="yes","Disqualified",IF($P103="","",IF(ROUND(IFERROR(VALUE($P103),0)-IFERROR(VALUE($H103),0),2)&gt;0,"Profit","Draw")))))))</ns0:f>
      </ns0:c>
      <ns0:c r="V103" s="956" t="str">
        <ns0:f>IF(COUNTA($A103:$M103)=0,"",IF(OR($B103="",$C103="",$U103="Subscription"),"",IFERROR(ROUNDUP(($C103-$B103)/7,0),"")))</ns0:f>
      </ns0:c>
      <ns0:c r="W103" s="114">
        <ns0:f>IF(COUNTA($A103:$M103)=0,"",IF(OR($U103="Subscription",$U103=""),"",IF($U103="Estimate","N/A",IF(OR($U103="Free Game",$U103="Disqualified — Free Game"),0,ROUND(IFERROR($Q103,0)-IFERROR($S103,0),2)))))</ns0:f>
      </ns0:c>
      <ns0:c r="X103" s="956" t="str">
        <ns0:f>IF(COUNTA($A103:$M103)=0,"",IF(OR($U103="Subscription",NOT(ISNUMBER($J103)),NOT(ISNUMBER($I103)),$J103=0,$I103=0,$I103&gt;$J103),"",$J103-$I103))</ns0:f>
      </ns0:c>
      <ns0:c r="Y103" s="955" t="str">
        <ns0:f>IF(COUNTA($A103:$M103)=0,"",IF(OR($U103="Subscription",NOT(ISNUMBER($J103)),$J103=0,$X103=""),"",$X103/$J103))</ns0:f>
      </ns0:c>
      <ns0:c r="Z103" s="957" t="str">
        <ns0:f>IF(COUNTA($A103:$M103)=0,"",Instructions!$B$29+SUM($W$5:W103))</ns0:f>
      </ns0:c>
    </ns0:row>
    <ns0:row r="104" ht="36" customHeight="1">
      <ns0:c r="A104" s="439"/>
      <ns0:c r="B104" s="453"/>
      <ns0:c r="C104" s="453"/>
      <ns0:c r="D104" s="454"/>
      <ns0:c r="E104" s="454"/>
      <ns0:c r="F104" s="454"/>
      <ns0:c r="G104" s="986"/>
      <ns0:c r="H104" s="455"/>
      <ns0:c r="I104" s="456"/>
      <ns0:c r="J104" s="456"/>
      <ns0:c r="K104" s="986"/>
      <ns0:c r="L104" s="454"/>
      <ns0:c r="M104" s="439"/>
      <ns0:c r="N104" s="987" t="str">
        <ns0:f>IF(COUNTA($A104:$M104)=0,"",IF(OR(LEFT(LOWER(TRIM($F104&amp;"")),12)="subscription",LOWER(TRIM($F104&amp;""))="membership"),"",IF(OR(AND($H104&lt;&gt;"",$H104=0),LEFT(LOWER(TRIM($F104&amp;"")),9)="free game",LOWER(TRIM($F104&amp;""))="free",LOWER(TRIM($F104&amp;""))="free entry"),IF(ISNUMBER($G104),IF(ISNUMBER(SEARCH("non",LOWER($E104&amp;""))),$G104*0.85,$G104),"N/A"),IF($G104="","",IFERROR(IF(ISNUMBER(SEARCH("non",LOWER($E104&amp;""))),$G104*0.85,$G104),"")))))</ns0:f>
        <ns0:v/>
      </ns0:c>
      <ns0:c r="O104" s="987" t="str">
        <ns0:f>IF(COUNTA($A104:$M104)=0,"",IF(OR(LEFT(LOWER(TRIM($F104&amp;"")),12)="subscription",LOWER(TRIM($F104&amp;""))="membership"),"",IF(OR(AND($H104&lt;&gt;"",$H104=0),LEFT(LOWER(TRIM($F104&amp;"")),9)="free game",LOWER(TRIM($F104&amp;""))="free",LOWER(TRIM($F104&amp;""))="free entry"),IF(OR(NOT(ISNUMBER($N104)),NOT(ISNUMBER($I104)),$I104=0),"N/A",IFERROR($N104/$I104,"N/A")),IF(OR($N104="",$I104="",$I104=0),"",IFERROR($N104/$I104,"")))))</ns0:f>
        <ns0:v/>
      </ns0:c>
      <ns0:c r="P104" s="987">
        <ns0:f>IF(COUNTA($A104:$M104)=0,"",IF(OR(LEFT(LOWER(TRIM($F104&amp;"")),12)="subscription",LOWER(TRIM($F104&amp;""))="membership"),"",IF(LOWER(TRIM($D104&amp;""))="estimate","N/A",IF(LOWER($L104&amp;"")="yes",0,IF(OR(AND($H104&lt;&gt;"",$H104=0),LEFT(LOWER(TRIM($F104&amp;"")),9)="free game",LOWER(TRIM($F104&amp;""))="free",LOWER(TRIM($F104&amp;""))="free entry"),IF(ISNUMBER($K104),$K104,""),IF($K104&lt;&gt;"",$K104,""))))))</ns0:f>
      </ns0:c>
      <ns0:c r="Q104" s="114">
        <ns0:f>IF(COUNTA($A104:$M104)=0,"",IF(OR($U104="Subscription",$U104=""),"",IF($U104="Estimate","N/A",IF($U104="Profit",ROUND(IFERROR($P104,0)-IFERROR($H104,0),2),0))))</ns0:f>
      </ns0:c>
      <ns0:c r="R104" s="114">
        <ns0:f>IF(COUNTA($A104:$M104)=0,"",IF(OR($U104="Subscription",$U104=""),"",IF($U104="Estimate","N/A",IF($U104="Draw",$H104,0))))</ns0:f>
      </ns0:c>
      <ns0:c r="S104" s="114">
        <ns0:f>IF(COUNTA($A104:$M104)=0,"",IF(OR($U104="Subscription",$U104=""),"",IF($U104="Estimate","N/A",IF($U104="Disqualified",$H104,0))))</ns0:f>
      </ns0:c>
      <ns0:c r="T104" s="955">
        <ns0:f>IF(COUNTA($A104:$M104)=0,"",IF(OR($U104="Subscription",$U104=""),"",IF($U104="Estimate","N/A",IF(OR($U104="Free Game",$U104="Disqualified — Free Game",$H104=0),"N/A",IF($U104="Profit",$Q104/$H104,IF($U104="Disqualified",-$S104/$H104,0))))))</ns0:f>
      </ns0:c>
      <ns0:c r="U104" s="920">
        <ns0:f>IF(COUNTA($A104:$M104)=0,"",IF(OR(LEFT(LOWER(TRIM($F104&amp;"")),12)="subscription",LOWER(TRIM($F104&amp;""))="membership"),"Subscription",IF(LOWER(TRIM($D104&amp;""))="estimate","Estimate",IF(OR(AND($H104&lt;&gt;"",$H104=0),LEFT(LOWER(TRIM($F104&amp;"")),9)="free game",LOWER(TRIM($F104&amp;""))="free",LOWER(TRIM($F104&amp;""))="free entry"),IF(LOWER($L104&amp;"")="yes","Disqualified — Free Game","Free Game"),IF(LOWER($L104&amp;"")="yes","Disqualified",IF($P104="","",IF(ROUND(IFERROR(VALUE($P104),0)-IFERROR(VALUE($H104),0),2)&gt;0,"Profit","Draw")))))))</ns0:f>
      </ns0:c>
      <ns0:c r="V104" s="956" t="str">
        <ns0:f>IF(COUNTA($A104:$M104)=0,"",IF(OR($B104="",$C104="",$U104="Subscription"),"",IFERROR(ROUNDUP(($C104-$B104)/7,0),"")))</ns0:f>
      </ns0:c>
      <ns0:c r="W104" s="114">
        <ns0:f>IF(COUNTA($A104:$M104)=0,"",IF(OR($U104="Subscription",$U104=""),"",IF($U104="Estimate","N/A",IF(OR($U104="Free Game",$U104="Disqualified — Free Game"),0,ROUND(IFERROR($Q104,0)-IFERROR($S104,0),2)))))</ns0:f>
      </ns0:c>
      <ns0:c r="X104" s="956" t="str">
        <ns0:f>IF(COUNTA($A104:$M104)=0,"",IF(OR($U104="Subscription",NOT(ISNUMBER($J104)),NOT(ISNUMBER($I104)),$J104=0,$I104=0,$I104&gt;$J104),"",$J104-$I104))</ns0:f>
      </ns0:c>
      <ns0:c r="Y104" s="955" t="str">
        <ns0:f>IF(COUNTA($A104:$M104)=0,"",IF(OR($U104="Subscription",NOT(ISNUMBER($J104)),$J104=0,$X104=""),"",$X104/$J104))</ns0:f>
      </ns0:c>
      <ns0:c r="Z104" s="957" t="str">
        <ns0:f>IF(COUNTA($A104:$M104)=0,"",Instructions!$B$29+SUM($W$5:W104))</ns0:f>
      </ns0:c>
    </ns0:row>
    <ns0:row r="105" ht="36" customHeight="1">
      <ns0:c r="A105" s="439"/>
      <ns0:c r="B105" s="453"/>
      <ns0:c r="C105" s="453"/>
      <ns0:c r="D105" s="454"/>
      <ns0:c r="E105" s="454"/>
      <ns0:c r="F105" s="454"/>
      <ns0:c r="G105" s="986"/>
      <ns0:c r="H105" s="455"/>
      <ns0:c r="I105" s="456"/>
      <ns0:c r="J105" s="456"/>
      <ns0:c r="K105" s="986"/>
      <ns0:c r="L105" s="454"/>
      <ns0:c r="M105" s="439"/>
      <ns0:c r="N105" s="987" t="str">
        <ns0:f>IF(COUNTA($A105:$M105)=0,"",IF(OR(LEFT(LOWER(TRIM($F105&amp;"")),12)="subscription",LOWER(TRIM($F105&amp;""))="membership"),"",IF(OR(AND($H105&lt;&gt;"",$H105=0),LEFT(LOWER(TRIM($F105&amp;"")),9)="free game",LOWER(TRIM($F105&amp;""))="free",LOWER(TRIM($F105&amp;""))="free entry"),IF(ISNUMBER($G105),IF(ISNUMBER(SEARCH("non",LOWER($E105&amp;""))),$G105*0.85,$G105),"N/A"),IF($G105="","",IFERROR(IF(ISNUMBER(SEARCH("non",LOWER($E105&amp;""))),$G105*0.85,$G105),"")))))</ns0:f>
        <ns0:v/>
      </ns0:c>
      <ns0:c r="O105" s="987" t="str">
        <ns0:f>IF(COUNTA($A105:$M105)=0,"",IF(OR(LEFT(LOWER(TRIM($F105&amp;"")),12)="subscription",LOWER(TRIM($F105&amp;""))="membership"),"",IF(OR(AND($H105&lt;&gt;"",$H105=0),LEFT(LOWER(TRIM($F105&amp;"")),9)="free game",LOWER(TRIM($F105&amp;""))="free",LOWER(TRIM($F105&amp;""))="free entry"),IF(OR(NOT(ISNUMBER($N105)),NOT(ISNUMBER($I105)),$I105=0),"N/A",IFERROR($N105/$I105,"N/A")),IF(OR($N105="",$I105="",$I105=0),"",IFERROR($N105/$I105,"")))))</ns0:f>
        <ns0:v/>
      </ns0:c>
      <ns0:c r="P105" s="987">
        <ns0:f>IF(COUNTA($A105:$M105)=0,"",IF(OR(LEFT(LOWER(TRIM($F105&amp;"")),12)="subscription",LOWER(TRIM($F105&amp;""))="membership"),"",IF(LOWER(TRIM($D105&amp;""))="estimate","N/A",IF(LOWER($L105&amp;"")="yes",0,IF(OR(AND($H105&lt;&gt;"",$H105=0),LEFT(LOWER(TRIM($F105&amp;"")),9)="free game",LOWER(TRIM($F105&amp;""))="free",LOWER(TRIM($F105&amp;""))="free entry"),IF(ISNUMBER($K105),$K105,""),IF($K105&lt;&gt;"",$K105,""))))))</ns0:f>
      </ns0:c>
      <ns0:c r="Q105" s="114">
        <ns0:f>IF(COUNTA($A105:$M105)=0,"",IF(OR($U105="Subscription",$U105=""),"",IF($U105="Estimate","N/A",IF($U105="Profit",ROUND(IFERROR($P105,0)-IFERROR($H105,0),2),0))))</ns0:f>
      </ns0:c>
      <ns0:c r="R105" s="114">
        <ns0:f>IF(COUNTA($A105:$M105)=0,"",IF(OR($U105="Subscription",$U105=""),"",IF($U105="Estimate","N/A",IF($U105="Draw",$H105,0))))</ns0:f>
      </ns0:c>
      <ns0:c r="S105" s="114">
        <ns0:f>IF(COUNTA($A105:$M105)=0,"",IF(OR($U105="Subscription",$U105=""),"",IF($U105="Estimate","N/A",IF($U105="Disqualified",$H105,0))))</ns0:f>
      </ns0:c>
      <ns0:c r="T105" s="955">
        <ns0:f>IF(COUNTA($A105:$M105)=0,"",IF(OR($U105="Subscription",$U105=""),"",IF($U105="Estimate","N/A",IF(OR($U105="Free Game",$U105="Disqualified — Free Game",$H105=0),"N/A",IF($U105="Profit",$Q105/$H105,IF($U105="Disqualified",-$S105/$H105,0))))))</ns0:f>
      </ns0:c>
      <ns0:c r="U105" s="920">
        <ns0:f>IF(COUNTA($A105:$M105)=0,"",IF(OR(LEFT(LOWER(TRIM($F105&amp;"")),12)="subscription",LOWER(TRIM($F105&amp;""))="membership"),"Subscription",IF(LOWER(TRIM($D105&amp;""))="estimate","Estimate",IF(OR(AND($H105&lt;&gt;"",$H105=0),LEFT(LOWER(TRIM($F105&amp;"")),9)="free game",LOWER(TRIM($F105&amp;""))="free",LOWER(TRIM($F105&amp;""))="free entry"),IF(LOWER($L105&amp;"")="yes","Disqualified — Free Game","Free Game"),IF(LOWER($L105&amp;"")="yes","Disqualified",IF($P105="","",IF(ROUND(IFERROR(VALUE($P105),0)-IFERROR(VALUE($H105),0),2)&gt;0,"Profit","Draw")))))))</ns0:f>
      </ns0:c>
      <ns0:c r="V105" s="956" t="str">
        <ns0:f>IF(COUNTA($A105:$M105)=0,"",IF(OR($B105="",$C105="",$U105="Subscription"),"",IFERROR(ROUNDUP(($C105-$B105)/7,0),"")))</ns0:f>
      </ns0:c>
      <ns0:c r="W105" s="114">
        <ns0:f>IF(COUNTA($A105:$M105)=0,"",IF(OR($U105="Subscription",$U105=""),"",IF($U105="Estimate","N/A",IF(OR($U105="Free Game",$U105="Disqualified — Free Game"),0,ROUND(IFERROR($Q105,0)-IFERROR($S105,0),2)))))</ns0:f>
      </ns0:c>
      <ns0:c r="X105" s="956" t="str">
        <ns0:f>IF(COUNTA($A105:$M105)=0,"",IF(OR($U105="Subscription",NOT(ISNUMBER($J105)),NOT(ISNUMBER($I105)),$J105=0,$I105=0,$I105&gt;$J105),"",$J105-$I105))</ns0:f>
      </ns0:c>
      <ns0:c r="Y105" s="955" t="str">
        <ns0:f>IF(COUNTA($A105:$M105)=0,"",IF(OR($U105="Subscription",NOT(ISNUMBER($J105)),$J105=0,$X105=""),"",$X105/$J105))</ns0:f>
      </ns0:c>
      <ns0:c r="Z105" s="957" t="str">
        <ns0:f>IF(COUNTA($A105:$M105)=0,"",Instructions!$B$29+SUM($W$5:W105))</ns0:f>
      </ns0:c>
    </ns0:row>
    <ns0:row r="106" ht="36" customHeight="1">
      <ns0:c r="A106" s="439"/>
      <ns0:c r="B106" s="453"/>
      <ns0:c r="C106" s="453"/>
      <ns0:c r="D106" s="454"/>
      <ns0:c r="E106" s="454"/>
      <ns0:c r="F106" s="454"/>
      <ns0:c r="G106" s="986"/>
      <ns0:c r="H106" s="455"/>
      <ns0:c r="I106" s="456"/>
      <ns0:c r="J106" s="456"/>
      <ns0:c r="K106" s="986"/>
      <ns0:c r="L106" s="454"/>
      <ns0:c r="M106" s="439"/>
      <ns0:c r="N106" s="987" t="str">
        <ns0:f>IF(COUNTA($A106:$M106)=0,"",IF(OR(LEFT(LOWER(TRIM($F106&amp;"")),12)="subscription",LOWER(TRIM($F106&amp;""))="membership"),"",IF(OR(AND($H106&lt;&gt;"",$H106=0),LEFT(LOWER(TRIM($F106&amp;"")),9)="free game",LOWER(TRIM($F106&amp;""))="free",LOWER(TRIM($F106&amp;""))="free entry"),IF(ISNUMBER($G106),IF(ISNUMBER(SEARCH("non",LOWER($E106&amp;""))),$G106*0.85,$G106),"N/A"),IF($G106="","",IFERROR(IF(ISNUMBER(SEARCH("non",LOWER($E106&amp;""))),$G106*0.85,$G106),"")))))</ns0:f>
        <ns0:v/>
      </ns0:c>
      <ns0:c r="O106" s="987" t="str">
        <ns0:f>IF(COUNTA($A106:$M106)=0,"",IF(OR(LEFT(LOWER(TRIM($F106&amp;"")),12)="subscription",LOWER(TRIM($F106&amp;""))="membership"),"",IF(OR(AND($H106&lt;&gt;"",$H106=0),LEFT(LOWER(TRIM($F106&amp;"")),9)="free game",LOWER(TRIM($F106&amp;""))="free",LOWER(TRIM($F106&amp;""))="free entry"),IF(OR(NOT(ISNUMBER($N106)),NOT(ISNUMBER($I106)),$I106=0),"N/A",IFERROR($N106/$I106,"N/A")),IF(OR($N106="",$I106="",$I106=0),"",IFERROR($N106/$I106,"")))))</ns0:f>
        <ns0:v/>
      </ns0:c>
      <ns0:c r="P106" s="987">
        <ns0:f>IF(COUNTA($A106:$M106)=0,"",IF(OR(LEFT(LOWER(TRIM($F106&amp;"")),12)="subscription",LOWER(TRIM($F106&amp;""))="membership"),"",IF(LOWER(TRIM($D106&amp;""))="estimate","N/A",IF(LOWER($L106&amp;"")="yes",0,IF(OR(AND($H106&lt;&gt;"",$H106=0),LEFT(LOWER(TRIM($F106&amp;"")),9)="free game",LOWER(TRIM($F106&amp;""))="free",LOWER(TRIM($F106&amp;""))="free entry"),IF(ISNUMBER($K106),$K106,""),IF($K106&lt;&gt;"",$K106,""))))))</ns0:f>
      </ns0:c>
      <ns0:c r="Q106" s="114">
        <ns0:f>IF(COUNTA($A106:$M106)=0,"",IF(OR($U106="Subscription",$U106=""),"",IF($U106="Estimate","N/A",IF($U106="Profit",ROUND(IFERROR($P106,0)-IFERROR($H106,0),2),0))))</ns0:f>
      </ns0:c>
      <ns0:c r="R106" s="114">
        <ns0:f>IF(COUNTA($A106:$M106)=0,"",IF(OR($U106="Subscription",$U106=""),"",IF($U106="Estimate","N/A",IF($U106="Draw",$H106,0))))</ns0:f>
      </ns0:c>
      <ns0:c r="S106" s="114">
        <ns0:f>IF(COUNTA($A106:$M106)=0,"",IF(OR($U106="Subscription",$U106=""),"",IF($U106="Estimate","N/A",IF($U106="Disqualified",$H106,0))))</ns0:f>
      </ns0:c>
      <ns0:c r="T106" s="955">
        <ns0:f>IF(COUNTA($A106:$M106)=0,"",IF(OR($U106="Subscription",$U106=""),"",IF($U106="Estimate","N/A",IF(OR($U106="Free Game",$U106="Disqualified — Free Game",$H106=0),"N/A",IF($U106="Profit",$Q106/$H106,IF($U106="Disqualified",-$S106/$H106,0))))))</ns0:f>
      </ns0:c>
      <ns0:c r="U106" s="920">
        <ns0:f>IF(COUNTA($A106:$M106)=0,"",IF(OR(LEFT(LOWER(TRIM($F106&amp;"")),12)="subscription",LOWER(TRIM($F106&amp;""))="membership"),"Subscription",IF(LOWER(TRIM($D106&amp;""))="estimate","Estimate",IF(OR(AND($H106&lt;&gt;"",$H106=0),LEFT(LOWER(TRIM($F106&amp;"")),9)="free game",LOWER(TRIM($F106&amp;""))="free",LOWER(TRIM($F106&amp;""))="free entry"),IF(LOWER($L106&amp;"")="yes","Disqualified — Free Game","Free Game"),IF(LOWER($L106&amp;"")="yes","Disqualified",IF($P106="","",IF(ROUND(IFERROR(VALUE($P106),0)-IFERROR(VALUE($H106),0),2)&gt;0,"Profit","Draw")))))))</ns0:f>
      </ns0:c>
      <ns0:c r="V106" s="956" t="str">
        <ns0:f>IF(COUNTA($A106:$M106)=0,"",IF(OR($B106="",$C106="",$U106="Subscription"),"",IFERROR(ROUNDUP(($C106-$B106)/7,0),"")))</ns0:f>
      </ns0:c>
      <ns0:c r="W106" s="114">
        <ns0:f>IF(COUNTA($A106:$M106)=0,"",IF(OR($U106="Subscription",$U106=""),"",IF($U106="Estimate","N/A",IF(OR($U106="Free Game",$U106="Disqualified — Free Game"),0,ROUND(IFERROR($Q106,0)-IFERROR($S106,0),2)))))</ns0:f>
      </ns0:c>
      <ns0:c r="X106" s="956" t="str">
        <ns0:f>IF(COUNTA($A106:$M106)=0,"",IF(OR($U106="Subscription",NOT(ISNUMBER($J106)),NOT(ISNUMBER($I106)),$J106=0,$I106=0,$I106&gt;$J106),"",$J106-$I106))</ns0:f>
      </ns0:c>
      <ns0:c r="Y106" s="955" t="str">
        <ns0:f>IF(COUNTA($A106:$M106)=0,"",IF(OR($U106="Subscription",NOT(ISNUMBER($J106)),$J106=0,$X106=""),"",$X106/$J106))</ns0:f>
      </ns0:c>
      <ns0:c r="Z106" s="957" t="str">
        <ns0:f>IF(COUNTA($A106:$M106)=0,"",Instructions!$B$29+SUM($W$5:W106))</ns0:f>
      </ns0:c>
    </ns0:row>
    <ns0:row r="107" ht="36" customHeight="1">
      <ns0:c r="A107" s="439"/>
      <ns0:c r="B107" s="453"/>
      <ns0:c r="C107" s="453"/>
      <ns0:c r="D107" s="454"/>
      <ns0:c r="E107" s="454"/>
      <ns0:c r="F107" s="454"/>
      <ns0:c r="G107" s="986"/>
      <ns0:c r="H107" s="455"/>
      <ns0:c r="I107" s="456"/>
      <ns0:c r="J107" s="456"/>
      <ns0:c r="K107" s="986"/>
      <ns0:c r="L107" s="454"/>
      <ns0:c r="M107" s="439"/>
      <ns0:c r="N107" s="987" t="str">
        <ns0:f>IF(COUNTA($A107:$M107)=0,"",IF(OR(LEFT(LOWER(TRIM($F107&amp;"")),12)="subscription",LOWER(TRIM($F107&amp;""))="membership"),"",IF(OR(AND($H107&lt;&gt;"",$H107=0),LEFT(LOWER(TRIM($F107&amp;"")),9)="free game",LOWER(TRIM($F107&amp;""))="free",LOWER(TRIM($F107&amp;""))="free entry"),IF(ISNUMBER($G107),IF(ISNUMBER(SEARCH("non",LOWER($E107&amp;""))),$G107*0.85,$G107),"N/A"),IF($G107="","",IFERROR(IF(ISNUMBER(SEARCH("non",LOWER($E107&amp;""))),$G107*0.85,$G107),"")))))</ns0:f>
        <ns0:v/>
      </ns0:c>
      <ns0:c r="O107" s="987" t="str">
        <ns0:f>IF(COUNTA($A107:$M107)=0,"",IF(OR(LEFT(LOWER(TRIM($F107&amp;"")),12)="subscription",LOWER(TRIM($F107&amp;""))="membership"),"",IF(OR(AND($H107&lt;&gt;"",$H107=0),LEFT(LOWER(TRIM($F107&amp;"")),9)="free game",LOWER(TRIM($F107&amp;""))="free",LOWER(TRIM($F107&amp;""))="free entry"),IF(OR(NOT(ISNUMBER($N107)),NOT(ISNUMBER($I107)),$I107=0),"N/A",IFERROR($N107/$I107,"N/A")),IF(OR($N107="",$I107="",$I107=0),"",IFERROR($N107/$I107,"")))))</ns0:f>
        <ns0:v/>
      </ns0:c>
      <ns0:c r="P107" s="987">
        <ns0:f>IF(COUNTA($A107:$M107)=0,"",IF(OR(LEFT(LOWER(TRIM($F107&amp;"")),12)="subscription",LOWER(TRIM($F107&amp;""))="membership"),"",IF(LOWER(TRIM($D107&amp;""))="estimate","N/A",IF(LOWER($L107&amp;"")="yes",0,IF(OR(AND($H107&lt;&gt;"",$H107=0),LEFT(LOWER(TRIM($F107&amp;"")),9)="free game",LOWER(TRIM($F107&amp;""))="free",LOWER(TRIM($F107&amp;""))="free entry"),IF(ISNUMBER($K107),$K107,""),IF($K107&lt;&gt;"",$K107,""))))))</ns0:f>
      </ns0:c>
      <ns0:c r="Q107" s="114">
        <ns0:f>IF(COUNTA($A107:$M107)=0,"",IF(OR($U107="Subscription",$U107=""),"",IF($U107="Estimate","N/A",IF($U107="Profit",ROUND(IFERROR($P107,0)-IFERROR($H107,0),2),0))))</ns0:f>
      </ns0:c>
      <ns0:c r="R107" s="114">
        <ns0:f>IF(COUNTA($A107:$M107)=0,"",IF(OR($U107="Subscription",$U107=""),"",IF($U107="Estimate","N/A",IF($U107="Draw",$H107,0))))</ns0:f>
      </ns0:c>
      <ns0:c r="S107" s="114">
        <ns0:f>IF(COUNTA($A107:$M107)=0,"",IF(OR($U107="Subscription",$U107=""),"",IF($U107="Estimate","N/A",IF($U107="Disqualified",$H107,0))))</ns0:f>
      </ns0:c>
      <ns0:c r="T107" s="955">
        <ns0:f>IF(COUNTA($A107:$M107)=0,"",IF(OR($U107="Subscription",$U107=""),"",IF($U107="Estimate","N/A",IF(OR($U107="Free Game",$U107="Disqualified — Free Game",$H107=0),"N/A",IF($U107="Profit",$Q107/$H107,IF($U107="Disqualified",-$S107/$H107,0))))))</ns0:f>
      </ns0:c>
      <ns0:c r="U107" s="920">
        <ns0:f>IF(COUNTA($A107:$M107)=0,"",IF(OR(LEFT(LOWER(TRIM($F107&amp;"")),12)="subscription",LOWER(TRIM($F107&amp;""))="membership"),"Subscription",IF(LOWER(TRIM($D107&amp;""))="estimate","Estimate",IF(OR(AND($H107&lt;&gt;"",$H107=0),LEFT(LOWER(TRIM($F107&amp;"")),9)="free game",LOWER(TRIM($F107&amp;""))="free",LOWER(TRIM($F107&amp;""))="free entry"),IF(LOWER($L107&amp;"")="yes","Disqualified — Free Game","Free Game"),IF(LOWER($L107&amp;"")="yes","Disqualified",IF($P107="","",IF(ROUND(IFERROR(VALUE($P107),0)-IFERROR(VALUE($H107),0),2)&gt;0,"Profit","Draw")))))))</ns0:f>
      </ns0:c>
      <ns0:c r="V107" s="956" t="str">
        <ns0:f>IF(COUNTA($A107:$M107)=0,"",IF(OR($B107="",$C107="",$U107="Subscription"),"",IFERROR(ROUNDUP(($C107-$B107)/7,0),"")))</ns0:f>
      </ns0:c>
      <ns0:c r="W107" s="114">
        <ns0:f>IF(COUNTA($A107:$M107)=0,"",IF(OR($U107="Subscription",$U107=""),"",IF($U107="Estimate","N/A",IF(OR($U107="Free Game",$U107="Disqualified — Free Game"),0,ROUND(IFERROR($Q107,0)-IFERROR($S107,0),2)))))</ns0:f>
      </ns0:c>
      <ns0:c r="X107" s="956" t="str">
        <ns0:f>IF(COUNTA($A107:$M107)=0,"",IF(OR($U107="Subscription",NOT(ISNUMBER($J107)),NOT(ISNUMBER($I107)),$J107=0,$I107=0,$I107&gt;$J107),"",$J107-$I107))</ns0:f>
      </ns0:c>
      <ns0:c r="Y107" s="955" t="str">
        <ns0:f>IF(COUNTA($A107:$M107)=0,"",IF(OR($U107="Subscription",NOT(ISNUMBER($J107)),$J107=0,$X107=""),"",$X107/$J107))</ns0:f>
      </ns0:c>
      <ns0:c r="Z107" s="957" t="str">
        <ns0:f>IF(COUNTA($A107:$M107)=0,"",Instructions!$B$29+SUM($W$5:W107))</ns0:f>
      </ns0:c>
    </ns0:row>
    <ns0:row r="108" ht="36" customHeight="1">
      <ns0:c r="A108" s="439"/>
      <ns0:c r="B108" s="453"/>
      <ns0:c r="C108" s="453"/>
      <ns0:c r="D108" s="454"/>
      <ns0:c r="E108" s="454"/>
      <ns0:c r="F108" s="454"/>
      <ns0:c r="G108" s="986"/>
      <ns0:c r="H108" s="455"/>
      <ns0:c r="I108" s="456"/>
      <ns0:c r="J108" s="456"/>
      <ns0:c r="K108" s="986"/>
      <ns0:c r="L108" s="454"/>
      <ns0:c r="M108" s="439"/>
      <ns0:c r="N108" s="987" t="str">
        <ns0:f>IF(COUNTA($A108:$M108)=0,"",IF(OR(LEFT(LOWER(TRIM($F108&amp;"")),12)="subscription",LOWER(TRIM($F108&amp;""))="membership"),"",IF(OR(AND($H108&lt;&gt;"",$H108=0),LEFT(LOWER(TRIM($F108&amp;"")),9)="free game",LOWER(TRIM($F108&amp;""))="free",LOWER(TRIM($F108&amp;""))="free entry"),IF(ISNUMBER($G108),IF(ISNUMBER(SEARCH("non",LOWER($E108&amp;""))),$G108*0.85,$G108),"N/A"),IF($G108="","",IFERROR(IF(ISNUMBER(SEARCH("non",LOWER($E108&amp;""))),$G108*0.85,$G108),"")))))</ns0:f>
        <ns0:v/>
      </ns0:c>
      <ns0:c r="O108" s="987" t="str">
        <ns0:f>IF(COUNTA($A108:$M108)=0,"",IF(OR(LEFT(LOWER(TRIM($F108&amp;"")),12)="subscription",LOWER(TRIM($F108&amp;""))="membership"),"",IF(OR(AND($H108&lt;&gt;"",$H108=0),LEFT(LOWER(TRIM($F108&amp;"")),9)="free game",LOWER(TRIM($F108&amp;""))="free",LOWER(TRIM($F108&amp;""))="free entry"),IF(OR(NOT(ISNUMBER($N108)),NOT(ISNUMBER($I108)),$I108=0),"N/A",IFERROR($N108/$I108,"N/A")),IF(OR($N108="",$I108="",$I108=0),"",IFERROR($N108/$I108,"")))))</ns0:f>
        <ns0:v/>
      </ns0:c>
      <ns0:c r="P108" s="987">
        <ns0:f>IF(COUNTA($A108:$M108)=0,"",IF(OR(LEFT(LOWER(TRIM($F108&amp;"")),12)="subscription",LOWER(TRIM($F108&amp;""))="membership"),"",IF(LOWER(TRIM($D108&amp;""))="estimate","N/A",IF(LOWER($L108&amp;"")="yes",0,IF(OR(AND($H108&lt;&gt;"",$H108=0),LEFT(LOWER(TRIM($F108&amp;"")),9)="free game",LOWER(TRIM($F108&amp;""))="free",LOWER(TRIM($F108&amp;""))="free entry"),IF(ISNUMBER($K108),$K108,""),IF($K108&lt;&gt;"",$K108,""))))))</ns0:f>
      </ns0:c>
      <ns0:c r="Q108" s="114">
        <ns0:f>IF(COUNTA($A108:$M108)=0,"",IF(OR($U108="Subscription",$U108=""),"",IF($U108="Estimate","N/A",IF($U108="Profit",ROUND(IFERROR($P108,0)-IFERROR($H108,0),2),0))))</ns0:f>
      </ns0:c>
      <ns0:c r="R108" s="114">
        <ns0:f>IF(COUNTA($A108:$M108)=0,"",IF(OR($U108="Subscription",$U108=""),"",IF($U108="Estimate","N/A",IF($U108="Draw",$H108,0))))</ns0:f>
      </ns0:c>
      <ns0:c r="S108" s="114">
        <ns0:f>IF(COUNTA($A108:$M108)=0,"",IF(OR($U108="Subscription",$U108=""),"",IF($U108="Estimate","N/A",IF($U108="Disqualified",$H108,0))))</ns0:f>
      </ns0:c>
      <ns0:c r="T108" s="955">
        <ns0:f>IF(COUNTA($A108:$M108)=0,"",IF(OR($U108="Subscription",$U108=""),"",IF($U108="Estimate","N/A",IF(OR($U108="Free Game",$U108="Disqualified — Free Game",$H108=0),"N/A",IF($U108="Profit",$Q108/$H108,IF($U108="Disqualified",-$S108/$H108,0))))))</ns0:f>
      </ns0:c>
      <ns0:c r="U108" s="920">
        <ns0:f>IF(COUNTA($A108:$M108)=0,"",IF(OR(LEFT(LOWER(TRIM($F108&amp;"")),12)="subscription",LOWER(TRIM($F108&amp;""))="membership"),"Subscription",IF(LOWER(TRIM($D108&amp;""))="estimate","Estimate",IF(OR(AND($H108&lt;&gt;"",$H108=0),LEFT(LOWER(TRIM($F108&amp;"")),9)="free game",LOWER(TRIM($F108&amp;""))="free",LOWER(TRIM($F108&amp;""))="free entry"),IF(LOWER($L108&amp;"")="yes","Disqualified — Free Game","Free Game"),IF(LOWER($L108&amp;"")="yes","Disqualified",IF($P108="","",IF(ROUND(IFERROR(VALUE($P108),0)-IFERROR(VALUE($H108),0),2)&gt;0,"Profit","Draw")))))))</ns0:f>
      </ns0:c>
      <ns0:c r="V108" s="956" t="str">
        <ns0:f>IF(COUNTA($A108:$M108)=0,"",IF(OR($B108="",$C108="",$U108="Subscription"),"",IFERROR(ROUNDUP(($C108-$B108)/7,0),"")))</ns0:f>
      </ns0:c>
      <ns0:c r="W108" s="114">
        <ns0:f>IF(COUNTA($A108:$M108)=0,"",IF(OR($U108="Subscription",$U108=""),"",IF($U108="Estimate","N/A",IF(OR($U108="Free Game",$U108="Disqualified — Free Game"),0,ROUND(IFERROR($Q108,0)-IFERROR($S108,0),2)))))</ns0:f>
      </ns0:c>
      <ns0:c r="X108" s="956" t="str">
        <ns0:f>IF(COUNTA($A108:$M108)=0,"",IF(OR($U108="Subscription",NOT(ISNUMBER($J108)),NOT(ISNUMBER($I108)),$J108=0,$I108=0,$I108&gt;$J108),"",$J108-$I108))</ns0:f>
      </ns0:c>
      <ns0:c r="Y108" s="955" t="str">
        <ns0:f>IF(COUNTA($A108:$M108)=0,"",IF(OR($U108="Subscription",NOT(ISNUMBER($J108)),$J108=0,$X108=""),"",$X108/$J108))</ns0:f>
      </ns0:c>
      <ns0:c r="Z108" s="957" t="str">
        <ns0:f>IF(COUNTA($A108:$M108)=0,"",Instructions!$B$29+SUM($W$5:W108))</ns0:f>
      </ns0:c>
    </ns0:row>
    <ns0:row r="109" ht="36" customHeight="1">
      <ns0:c r="A109" s="439"/>
      <ns0:c r="B109" s="453"/>
      <ns0:c r="C109" s="453"/>
      <ns0:c r="D109" s="454"/>
      <ns0:c r="E109" s="454"/>
      <ns0:c r="F109" s="454"/>
      <ns0:c r="G109" s="986"/>
      <ns0:c r="H109" s="455"/>
      <ns0:c r="I109" s="456"/>
      <ns0:c r="J109" s="456"/>
      <ns0:c r="K109" s="986"/>
      <ns0:c r="L109" s="454"/>
      <ns0:c r="M109" s="439"/>
      <ns0:c r="N109" s="987" t="str">
        <ns0:f>IF(COUNTA($A109:$M109)=0,"",IF(OR(LEFT(LOWER(TRIM($F109&amp;"")),12)="subscription",LOWER(TRIM($F109&amp;""))="membership"),"",IF(OR(AND($H109&lt;&gt;"",$H109=0),LEFT(LOWER(TRIM($F109&amp;"")),9)="free game",LOWER(TRIM($F109&amp;""))="free",LOWER(TRIM($F109&amp;""))="free entry"),IF(ISNUMBER($G109),IF(ISNUMBER(SEARCH("non",LOWER($E109&amp;""))),$G109*0.85,$G109),"N/A"),IF($G109="","",IFERROR(IF(ISNUMBER(SEARCH("non",LOWER($E109&amp;""))),$G109*0.85,$G109),"")))))</ns0:f>
        <ns0:v/>
      </ns0:c>
      <ns0:c r="O109" s="987" t="str">
        <ns0:f>IF(COUNTA($A109:$M109)=0,"",IF(OR(LEFT(LOWER(TRIM($F109&amp;"")),12)="subscription",LOWER(TRIM($F109&amp;""))="membership"),"",IF(OR(AND($H109&lt;&gt;"",$H109=0),LEFT(LOWER(TRIM($F109&amp;"")),9)="free game",LOWER(TRIM($F109&amp;""))="free",LOWER(TRIM($F109&amp;""))="free entry"),IF(OR(NOT(ISNUMBER($N109)),NOT(ISNUMBER($I109)),$I109=0),"N/A",IFERROR($N109/$I109,"N/A")),IF(OR($N109="",$I109="",$I109=0),"",IFERROR($N109/$I109,"")))))</ns0:f>
        <ns0:v/>
      </ns0:c>
      <ns0:c r="P109" s="987">
        <ns0:f>IF(COUNTA($A109:$M109)=0,"",IF(OR(LEFT(LOWER(TRIM($F109&amp;"")),12)="subscription",LOWER(TRIM($F109&amp;""))="membership"),"",IF(LOWER(TRIM($D109&amp;""))="estimate","N/A",IF(LOWER($L109&amp;"")="yes",0,IF(OR(AND($H109&lt;&gt;"",$H109=0),LEFT(LOWER(TRIM($F109&amp;"")),9)="free game",LOWER(TRIM($F109&amp;""))="free",LOWER(TRIM($F109&amp;""))="free entry"),IF(ISNUMBER($K109),$K109,""),IF($K109&lt;&gt;"",$K109,""))))))</ns0:f>
      </ns0:c>
      <ns0:c r="Q109" s="114">
        <ns0:f>IF(COUNTA($A109:$M109)=0,"",IF(OR($U109="Subscription",$U109=""),"",IF($U109="Estimate","N/A",IF($U109="Profit",ROUND(IFERROR($P109,0)-IFERROR($H109,0),2),0))))</ns0:f>
      </ns0:c>
      <ns0:c r="R109" s="114">
        <ns0:f>IF(COUNTA($A109:$M109)=0,"",IF(OR($U109="Subscription",$U109=""),"",IF($U109="Estimate","N/A",IF($U109="Draw",$H109,0))))</ns0:f>
      </ns0:c>
      <ns0:c r="S109" s="114">
        <ns0:f>IF(COUNTA($A109:$M109)=0,"",IF(OR($U109="Subscription",$U109=""),"",IF($U109="Estimate","N/A",IF($U109="Disqualified",$H109,0))))</ns0:f>
      </ns0:c>
      <ns0:c r="T109" s="955">
        <ns0:f>IF(COUNTA($A109:$M109)=0,"",IF(OR($U109="Subscription",$U109=""),"",IF($U109="Estimate","N/A",IF(OR($U109="Free Game",$U109="Disqualified — Free Game",$H109=0),"N/A",IF($U109="Profit",$Q109/$H109,IF($U109="Disqualified",-$S109/$H109,0))))))</ns0:f>
      </ns0:c>
      <ns0:c r="U109" s="920">
        <ns0:f>IF(COUNTA($A109:$M109)=0,"",IF(OR(LEFT(LOWER(TRIM($F109&amp;"")),12)="subscription",LOWER(TRIM($F109&amp;""))="membership"),"Subscription",IF(LOWER(TRIM($D109&amp;""))="estimate","Estimate",IF(OR(AND($H109&lt;&gt;"",$H109=0),LEFT(LOWER(TRIM($F109&amp;"")),9)="free game",LOWER(TRIM($F109&amp;""))="free",LOWER(TRIM($F109&amp;""))="free entry"),IF(LOWER($L109&amp;"")="yes","Disqualified — Free Game","Free Game"),IF(LOWER($L109&amp;"")="yes","Disqualified",IF($P109="","",IF(ROUND(IFERROR(VALUE($P109),0)-IFERROR(VALUE($H109),0),2)&gt;0,"Profit","Draw")))))))</ns0:f>
      </ns0:c>
      <ns0:c r="V109" s="956" t="str">
        <ns0:f>IF(COUNTA($A109:$M109)=0,"",IF(OR($B109="",$C109="",$U109="Subscription"),"",IFERROR(ROUNDUP(($C109-$B109)/7,0),"")))</ns0:f>
      </ns0:c>
      <ns0:c r="W109" s="114">
        <ns0:f>IF(COUNTA($A109:$M109)=0,"",IF(OR($U109="Subscription",$U109=""),"",IF($U109="Estimate","N/A",IF(OR($U109="Free Game",$U109="Disqualified — Free Game"),0,ROUND(IFERROR($Q109,0)-IFERROR($S109,0),2)))))</ns0:f>
      </ns0:c>
      <ns0:c r="X109" s="956" t="str">
        <ns0:f>IF(COUNTA($A109:$M109)=0,"",IF(OR($U109="Subscription",NOT(ISNUMBER($J109)),NOT(ISNUMBER($I109)),$J109=0,$I109=0,$I109&gt;$J109),"",$J109-$I109))</ns0:f>
      </ns0:c>
      <ns0:c r="Y109" s="955" t="str">
        <ns0:f>IF(COUNTA($A109:$M109)=0,"",IF(OR($U109="Subscription",NOT(ISNUMBER($J109)),$J109=0,$X109=""),"",$X109/$J109))</ns0:f>
      </ns0:c>
      <ns0:c r="Z109" s="957" t="str">
        <ns0:f>IF(COUNTA($A109:$M109)=0,"",Instructions!$B$29+SUM($W$5:W109))</ns0:f>
      </ns0:c>
    </ns0:row>
    <ns0:row r="110" ht="36" customHeight="1">
      <ns0:c r="A110" s="439"/>
      <ns0:c r="B110" s="453"/>
      <ns0:c r="C110" s="453"/>
      <ns0:c r="D110" s="454"/>
      <ns0:c r="E110" s="454"/>
      <ns0:c r="F110" s="454"/>
      <ns0:c r="G110" s="986"/>
      <ns0:c r="H110" s="455"/>
      <ns0:c r="I110" s="456"/>
      <ns0:c r="J110" s="456"/>
      <ns0:c r="K110" s="986"/>
      <ns0:c r="L110" s="454"/>
      <ns0:c r="M110" s="439"/>
      <ns0:c r="N110" s="987" t="str">
        <ns0:f>IF(COUNTA($A110:$M110)=0,"",IF(OR(LEFT(LOWER(TRIM($F110&amp;"")),12)="subscription",LOWER(TRIM($F110&amp;""))="membership"),"",IF(OR(AND($H110&lt;&gt;"",$H110=0),LEFT(LOWER(TRIM($F110&amp;"")),9)="free game",LOWER(TRIM($F110&amp;""))="free",LOWER(TRIM($F110&amp;""))="free entry"),IF(ISNUMBER($G110),IF(ISNUMBER(SEARCH("non",LOWER($E110&amp;""))),$G110*0.85,$G110),"N/A"),IF($G110="","",IFERROR(IF(ISNUMBER(SEARCH("non",LOWER($E110&amp;""))),$G110*0.85,$G110),"")))))</ns0:f>
        <ns0:v/>
      </ns0:c>
      <ns0:c r="O110" s="987" t="str">
        <ns0:f>IF(COUNTA($A110:$M110)=0,"",IF(OR(LEFT(LOWER(TRIM($F110&amp;"")),12)="subscription",LOWER(TRIM($F110&amp;""))="membership"),"",IF(OR(AND($H110&lt;&gt;"",$H110=0),LEFT(LOWER(TRIM($F110&amp;"")),9)="free game",LOWER(TRIM($F110&amp;""))="free",LOWER(TRIM($F110&amp;""))="free entry"),IF(OR(NOT(ISNUMBER($N110)),NOT(ISNUMBER($I110)),$I110=0),"N/A",IFERROR($N110/$I110,"N/A")),IF(OR($N110="",$I110="",$I110=0),"",IFERROR($N110/$I110,"")))))</ns0:f>
        <ns0:v/>
      </ns0:c>
      <ns0:c r="P110" s="987">
        <ns0:f>IF(COUNTA($A110:$M110)=0,"",IF(OR(LEFT(LOWER(TRIM($F110&amp;"")),12)="subscription",LOWER(TRIM($F110&amp;""))="membership"),"",IF(LOWER(TRIM($D110&amp;""))="estimate","N/A",IF(LOWER($L110&amp;"")="yes",0,IF(OR(AND($H110&lt;&gt;"",$H110=0),LEFT(LOWER(TRIM($F110&amp;"")),9)="free game",LOWER(TRIM($F110&amp;""))="free",LOWER(TRIM($F110&amp;""))="free entry"),IF(ISNUMBER($K110),$K110,""),IF($K110&lt;&gt;"",$K110,""))))))</ns0:f>
      </ns0:c>
      <ns0:c r="Q110" s="114">
        <ns0:f>IF(COUNTA($A110:$M110)=0,"",IF(OR($U110="Subscription",$U110=""),"",IF($U110="Estimate","N/A",IF($U110="Profit",ROUND(IFERROR($P110,0)-IFERROR($H110,0),2),0))))</ns0:f>
      </ns0:c>
      <ns0:c r="R110" s="114">
        <ns0:f>IF(COUNTA($A110:$M110)=0,"",IF(OR($U110="Subscription",$U110=""),"",IF($U110="Estimate","N/A",IF($U110="Draw",$H110,0))))</ns0:f>
      </ns0:c>
      <ns0:c r="S110" s="114">
        <ns0:f>IF(COUNTA($A110:$M110)=0,"",IF(OR($U110="Subscription",$U110=""),"",IF($U110="Estimate","N/A",IF($U110="Disqualified",$H110,0))))</ns0:f>
      </ns0:c>
      <ns0:c r="T110" s="955">
        <ns0:f>IF(COUNTA($A110:$M110)=0,"",IF(OR($U110="Subscription",$U110=""),"",IF($U110="Estimate","N/A",IF(OR($U110="Free Game",$U110="Disqualified — Free Game",$H110=0),"N/A",IF($U110="Profit",$Q110/$H110,IF($U110="Disqualified",-$S110/$H110,0))))))</ns0:f>
      </ns0:c>
      <ns0:c r="U110" s="920">
        <ns0:f>IF(COUNTA($A110:$M110)=0,"",IF(OR(LEFT(LOWER(TRIM($F110&amp;"")),12)="subscription",LOWER(TRIM($F110&amp;""))="membership"),"Subscription",IF(LOWER(TRIM($D110&amp;""))="estimate","Estimate",IF(OR(AND($H110&lt;&gt;"",$H110=0),LEFT(LOWER(TRIM($F110&amp;"")),9)="free game",LOWER(TRIM($F110&amp;""))="free",LOWER(TRIM($F110&amp;""))="free entry"),IF(LOWER($L110&amp;"")="yes","Disqualified — Free Game","Free Game"),IF(LOWER($L110&amp;"")="yes","Disqualified",IF($P110="","",IF(ROUND(IFERROR(VALUE($P110),0)-IFERROR(VALUE($H110),0),2)&gt;0,"Profit","Draw")))))))</ns0:f>
      </ns0:c>
      <ns0:c r="V110" s="956" t="str">
        <ns0:f>IF(COUNTA($A110:$M110)=0,"",IF(OR($B110="",$C110="",$U110="Subscription"),"",IFERROR(ROUNDUP(($C110-$B110)/7,0),"")))</ns0:f>
      </ns0:c>
      <ns0:c r="W110" s="114">
        <ns0:f>IF(COUNTA($A110:$M110)=0,"",IF(OR($U110="Subscription",$U110=""),"",IF($U110="Estimate","N/A",IF(OR($U110="Free Game",$U110="Disqualified — Free Game"),0,ROUND(IFERROR($Q110,0)-IFERROR($S110,0),2)))))</ns0:f>
      </ns0:c>
      <ns0:c r="X110" s="956" t="str">
        <ns0:f>IF(COUNTA($A110:$M110)=0,"",IF(OR($U110="Subscription",NOT(ISNUMBER($J110)),NOT(ISNUMBER($I110)),$J110=0,$I110=0,$I110&gt;$J110),"",$J110-$I110))</ns0:f>
      </ns0:c>
      <ns0:c r="Y110" s="955" t="str">
        <ns0:f>IF(COUNTA($A110:$M110)=0,"",IF(OR($U110="Subscription",NOT(ISNUMBER($J110)),$J110=0,$X110=""),"",$X110/$J110))</ns0:f>
      </ns0:c>
      <ns0:c r="Z110" s="957" t="str">
        <ns0:f>IF(COUNTA($A110:$M110)=0,"",Instructions!$B$29+SUM($W$5:W110))</ns0:f>
      </ns0:c>
    </ns0:row>
    <ns0:row r="111" ht="36" customHeight="1">
      <ns0:c r="A111" s="439"/>
      <ns0:c r="B111" s="453"/>
      <ns0:c r="C111" s="453"/>
      <ns0:c r="D111" s="454"/>
      <ns0:c r="E111" s="454"/>
      <ns0:c r="F111" s="454"/>
      <ns0:c r="G111" s="986"/>
      <ns0:c r="H111" s="455"/>
      <ns0:c r="I111" s="456"/>
      <ns0:c r="J111" s="456"/>
      <ns0:c r="K111" s="986"/>
      <ns0:c r="L111" s="454"/>
      <ns0:c r="M111" s="439"/>
      <ns0:c r="N111" s="987" t="str">
        <ns0:f>IF(COUNTA($A111:$M111)=0,"",IF(OR(LEFT(LOWER(TRIM($F111&amp;"")),12)="subscription",LOWER(TRIM($F111&amp;""))="membership"),"",IF(OR(AND($H111&lt;&gt;"",$H111=0),LEFT(LOWER(TRIM($F111&amp;"")),9)="free game",LOWER(TRIM($F111&amp;""))="free",LOWER(TRIM($F111&amp;""))="free entry"),IF(ISNUMBER($G111),IF(ISNUMBER(SEARCH("non",LOWER($E111&amp;""))),$G111*0.85,$G111),"N/A"),IF($G111="","",IFERROR(IF(ISNUMBER(SEARCH("non",LOWER($E111&amp;""))),$G111*0.85,$G111),"")))))</ns0:f>
        <ns0:v/>
      </ns0:c>
      <ns0:c r="O111" s="987" t="str">
        <ns0:f>IF(COUNTA($A111:$M111)=0,"",IF(OR(LEFT(LOWER(TRIM($F111&amp;"")),12)="subscription",LOWER(TRIM($F111&amp;""))="membership"),"",IF(OR(AND($H111&lt;&gt;"",$H111=0),LEFT(LOWER(TRIM($F111&amp;"")),9)="free game",LOWER(TRIM($F111&amp;""))="free",LOWER(TRIM($F111&amp;""))="free entry"),IF(OR(NOT(ISNUMBER($N111)),NOT(ISNUMBER($I111)),$I111=0),"N/A",IFERROR($N111/$I111,"N/A")),IF(OR($N111="",$I111="",$I111=0),"",IFERROR($N111/$I111,"")))))</ns0:f>
        <ns0:v/>
      </ns0:c>
      <ns0:c r="P111" s="987">
        <ns0:f>IF(COUNTA($A111:$M111)=0,"",IF(OR(LEFT(LOWER(TRIM($F111&amp;"")),12)="subscription",LOWER(TRIM($F111&amp;""))="membership"),"",IF(LOWER(TRIM($D111&amp;""))="estimate","N/A",IF(LOWER($L111&amp;"")="yes",0,IF(OR(AND($H111&lt;&gt;"",$H111=0),LEFT(LOWER(TRIM($F111&amp;"")),9)="free game",LOWER(TRIM($F111&amp;""))="free",LOWER(TRIM($F111&amp;""))="free entry"),IF(ISNUMBER($K111),$K111,""),IF($K111&lt;&gt;"",$K111,""))))))</ns0:f>
      </ns0:c>
      <ns0:c r="Q111" s="114">
        <ns0:f>IF(COUNTA($A111:$M111)=0,"",IF(OR($U111="Subscription",$U111=""),"",IF($U111="Estimate","N/A",IF($U111="Profit",ROUND(IFERROR($P111,0)-IFERROR($H111,0),2),0))))</ns0:f>
      </ns0:c>
      <ns0:c r="R111" s="114">
        <ns0:f>IF(COUNTA($A111:$M111)=0,"",IF(OR($U111="Subscription",$U111=""),"",IF($U111="Estimate","N/A",IF($U111="Draw",$H111,0))))</ns0:f>
      </ns0:c>
      <ns0:c r="S111" s="114">
        <ns0:f>IF(COUNTA($A111:$M111)=0,"",IF(OR($U111="Subscription",$U111=""),"",IF($U111="Estimate","N/A",IF($U111="Disqualified",$H111,0))))</ns0:f>
      </ns0:c>
      <ns0:c r="T111" s="955">
        <ns0:f>IF(COUNTA($A111:$M111)=0,"",IF(OR($U111="Subscription",$U111=""),"",IF($U111="Estimate","N/A",IF(OR($U111="Free Game",$U111="Disqualified — Free Game",$H111=0),"N/A",IF($U111="Profit",$Q111/$H111,IF($U111="Disqualified",-$S111/$H111,0))))))</ns0:f>
      </ns0:c>
      <ns0:c r="U111" s="920">
        <ns0:f>IF(COUNTA($A111:$M111)=0,"",IF(OR(LEFT(LOWER(TRIM($F111&amp;"")),12)="subscription",LOWER(TRIM($F111&amp;""))="membership"),"Subscription",IF(LOWER(TRIM($D111&amp;""))="estimate","Estimate",IF(OR(AND($H111&lt;&gt;"",$H111=0),LEFT(LOWER(TRIM($F111&amp;"")),9)="free game",LOWER(TRIM($F111&amp;""))="free",LOWER(TRIM($F111&amp;""))="free entry"),IF(LOWER($L111&amp;"")="yes","Disqualified — Free Game","Free Game"),IF(LOWER($L111&amp;"")="yes","Disqualified",IF($P111="","",IF(ROUND(IFERROR(VALUE($P111),0)-IFERROR(VALUE($H111),0),2)&gt;0,"Profit","Draw")))))))</ns0:f>
      </ns0:c>
      <ns0:c r="V111" s="956" t="str">
        <ns0:f>IF(COUNTA($A111:$M111)=0,"",IF(OR($B111="",$C111="",$U111="Subscription"),"",IFERROR(ROUNDUP(($C111-$B111)/7,0),"")))</ns0:f>
      </ns0:c>
      <ns0:c r="W111" s="114">
        <ns0:f>IF(COUNTA($A111:$M111)=0,"",IF(OR($U111="Subscription",$U111=""),"",IF($U111="Estimate","N/A",IF(OR($U111="Free Game",$U111="Disqualified — Free Game"),0,ROUND(IFERROR($Q111,0)-IFERROR($S111,0),2)))))</ns0:f>
      </ns0:c>
      <ns0:c r="X111" s="956" t="str">
        <ns0:f>IF(COUNTA($A111:$M111)=0,"",IF(OR($U111="Subscription",NOT(ISNUMBER($J111)),NOT(ISNUMBER($I111)),$J111=0,$I111=0,$I111&gt;$J111),"",$J111-$I111))</ns0:f>
      </ns0:c>
      <ns0:c r="Y111" s="955" t="str">
        <ns0:f>IF(COUNTA($A111:$M111)=0,"",IF(OR($U111="Subscription",NOT(ISNUMBER($J111)),$J111=0,$X111=""),"",$X111/$J111))</ns0:f>
      </ns0:c>
      <ns0:c r="Z111" s="957" t="str">
        <ns0:f>IF(COUNTA($A111:$M111)=0,"",Instructions!$B$29+SUM($W$5:W111))</ns0:f>
      </ns0:c>
    </ns0:row>
    <ns0:row r="112" ht="36" customHeight="1">
      <ns0:c r="A112" s="439"/>
      <ns0:c r="B112" s="453"/>
      <ns0:c r="C112" s="453"/>
      <ns0:c r="D112" s="454"/>
      <ns0:c r="E112" s="454"/>
      <ns0:c r="F112" s="454"/>
      <ns0:c r="G112" s="986"/>
      <ns0:c r="H112" s="455"/>
      <ns0:c r="I112" s="456"/>
      <ns0:c r="J112" s="456"/>
      <ns0:c r="K112" s="986"/>
      <ns0:c r="L112" s="454"/>
      <ns0:c r="M112" s="439"/>
      <ns0:c r="N112" s="987" t="str">
        <ns0:f>IF(COUNTA($A112:$M112)=0,"",IF(OR(LEFT(LOWER(TRIM($F112&amp;"")),12)="subscription",LOWER(TRIM($F112&amp;""))="membership"),"",IF(OR(AND($H112&lt;&gt;"",$H112=0),LEFT(LOWER(TRIM($F112&amp;"")),9)="free game",LOWER(TRIM($F112&amp;""))="free",LOWER(TRIM($F112&amp;""))="free entry"),IF(ISNUMBER($G112),IF(ISNUMBER(SEARCH("non",LOWER($E112&amp;""))),$G112*0.85,$G112),"N/A"),IF($G112="","",IFERROR(IF(ISNUMBER(SEARCH("non",LOWER($E112&amp;""))),$G112*0.85,$G112),"")))))</ns0:f>
        <ns0:v/>
      </ns0:c>
      <ns0:c r="O112" s="987" t="str">
        <ns0:f>IF(COUNTA($A112:$M112)=0,"",IF(OR(LEFT(LOWER(TRIM($F112&amp;"")),12)="subscription",LOWER(TRIM($F112&amp;""))="membership"),"",IF(OR(AND($H112&lt;&gt;"",$H112=0),LEFT(LOWER(TRIM($F112&amp;"")),9)="free game",LOWER(TRIM($F112&amp;""))="free",LOWER(TRIM($F112&amp;""))="free entry"),IF(OR(NOT(ISNUMBER($N112)),NOT(ISNUMBER($I112)),$I112=0),"N/A",IFERROR($N112/$I112,"N/A")),IF(OR($N112="",$I112="",$I112=0),"",IFERROR($N112/$I112,"")))))</ns0:f>
        <ns0:v/>
      </ns0:c>
      <ns0:c r="P112" s="987">
        <ns0:f>IF(COUNTA($A112:$M112)=0,"",IF(OR(LEFT(LOWER(TRIM($F112&amp;"")),12)="subscription",LOWER(TRIM($F112&amp;""))="membership"),"",IF(LOWER(TRIM($D112&amp;""))="estimate","N/A",IF(LOWER($L112&amp;"")="yes",0,IF(OR(AND($H112&lt;&gt;"",$H112=0),LEFT(LOWER(TRIM($F112&amp;"")),9)="free game",LOWER(TRIM($F112&amp;""))="free",LOWER(TRIM($F112&amp;""))="free entry"),IF(ISNUMBER($K112),$K112,""),IF($K112&lt;&gt;"",$K112,""))))))</ns0:f>
      </ns0:c>
      <ns0:c r="Q112" s="114">
        <ns0:f>IF(COUNTA($A112:$M112)=0,"",IF(OR($U112="Subscription",$U112=""),"",IF($U112="Estimate","N/A",IF($U112="Profit",ROUND(IFERROR($P112,0)-IFERROR($H112,0),2),0))))</ns0:f>
      </ns0:c>
      <ns0:c r="R112" s="114">
        <ns0:f>IF(COUNTA($A112:$M112)=0,"",IF(OR($U112="Subscription",$U112=""),"",IF($U112="Estimate","N/A",IF($U112="Draw",$H112,0))))</ns0:f>
      </ns0:c>
      <ns0:c r="S112" s="114">
        <ns0:f>IF(COUNTA($A112:$M112)=0,"",IF(OR($U112="Subscription",$U112=""),"",IF($U112="Estimate","N/A",IF($U112="Disqualified",$H112,0))))</ns0:f>
      </ns0:c>
      <ns0:c r="T112" s="955">
        <ns0:f>IF(COUNTA($A112:$M112)=0,"",IF(OR($U112="Subscription",$U112=""),"",IF($U112="Estimate","N/A",IF(OR($U112="Free Game",$U112="Disqualified — Free Game",$H112=0),"N/A",IF($U112="Profit",$Q112/$H112,IF($U112="Disqualified",-$S112/$H112,0))))))</ns0:f>
      </ns0:c>
      <ns0:c r="U112" s="920">
        <ns0:f>IF(COUNTA($A112:$M112)=0,"",IF(OR(LEFT(LOWER(TRIM($F112&amp;"")),12)="subscription",LOWER(TRIM($F112&amp;""))="membership"),"Subscription",IF(LOWER(TRIM($D112&amp;""))="estimate","Estimate",IF(OR(AND($H112&lt;&gt;"",$H112=0),LEFT(LOWER(TRIM($F112&amp;"")),9)="free game",LOWER(TRIM($F112&amp;""))="free",LOWER(TRIM($F112&amp;""))="free entry"),IF(LOWER($L112&amp;"")="yes","Disqualified — Free Game","Free Game"),IF(LOWER($L112&amp;"")="yes","Disqualified",IF($P112="","",IF(ROUND(IFERROR(VALUE($P112),0)-IFERROR(VALUE($H112),0),2)&gt;0,"Profit","Draw")))))))</ns0:f>
      </ns0:c>
      <ns0:c r="V112" s="956" t="str">
        <ns0:f>IF(COUNTA($A112:$M112)=0,"",IF(OR($B112="",$C112="",$U112="Subscription"),"",IFERROR(ROUNDUP(($C112-$B112)/7,0),"")))</ns0:f>
      </ns0:c>
      <ns0:c r="W112" s="114">
        <ns0:f>IF(COUNTA($A112:$M112)=0,"",IF(OR($U112="Subscription",$U112=""),"",IF($U112="Estimate","N/A",IF(OR($U112="Free Game",$U112="Disqualified — Free Game"),0,ROUND(IFERROR($Q112,0)-IFERROR($S112,0),2)))))</ns0:f>
      </ns0:c>
      <ns0:c r="X112" s="956" t="str">
        <ns0:f>IF(COUNTA($A112:$M112)=0,"",IF(OR($U112="Subscription",NOT(ISNUMBER($J112)),NOT(ISNUMBER($I112)),$J112=0,$I112=0,$I112&gt;$J112),"",$J112-$I112))</ns0:f>
      </ns0:c>
      <ns0:c r="Y112" s="955" t="str">
        <ns0:f>IF(COUNTA($A112:$M112)=0,"",IF(OR($U112="Subscription",NOT(ISNUMBER($J112)),$J112=0,$X112=""),"",$X112/$J112))</ns0:f>
      </ns0:c>
      <ns0:c r="Z112" s="957" t="str">
        <ns0:f>IF(COUNTA($A112:$M112)=0,"",Instructions!$B$29+SUM($W$5:W112))</ns0:f>
      </ns0:c>
    </ns0:row>
    <ns0:row r="113" ht="36" customHeight="1">
      <ns0:c r="A113" s="439"/>
      <ns0:c r="B113" s="453"/>
      <ns0:c r="C113" s="453"/>
      <ns0:c r="D113" s="454"/>
      <ns0:c r="E113" s="454"/>
      <ns0:c r="F113" s="454"/>
      <ns0:c r="G113" s="986"/>
      <ns0:c r="H113" s="455"/>
      <ns0:c r="I113" s="456"/>
      <ns0:c r="J113" s="456"/>
      <ns0:c r="K113" s="986"/>
      <ns0:c r="L113" s="454"/>
      <ns0:c r="M113" s="439"/>
      <ns0:c r="N113" s="987" t="str">
        <ns0:f>IF(COUNTA($A113:$M113)=0,"",IF(OR(LEFT(LOWER(TRIM($F113&amp;"")),12)="subscription",LOWER(TRIM($F113&amp;""))="membership"),"",IF(OR(AND($H113&lt;&gt;"",$H113=0),LEFT(LOWER(TRIM($F113&amp;"")),9)="free game",LOWER(TRIM($F113&amp;""))="free",LOWER(TRIM($F113&amp;""))="free entry"),IF(ISNUMBER($G113),IF(ISNUMBER(SEARCH("non",LOWER($E113&amp;""))),$G113*0.85,$G113),"N/A"),IF($G113="","",IFERROR(IF(ISNUMBER(SEARCH("non",LOWER($E113&amp;""))),$G113*0.85,$G113),"")))))</ns0:f>
        <ns0:v/>
      </ns0:c>
      <ns0:c r="O113" s="987" t="str">
        <ns0:f>IF(COUNTA($A113:$M113)=0,"",IF(OR(LEFT(LOWER(TRIM($F113&amp;"")),12)="subscription",LOWER(TRIM($F113&amp;""))="membership"),"",IF(OR(AND($H113&lt;&gt;"",$H113=0),LEFT(LOWER(TRIM($F113&amp;"")),9)="free game",LOWER(TRIM($F113&amp;""))="free",LOWER(TRIM($F113&amp;""))="free entry"),IF(OR(NOT(ISNUMBER($N113)),NOT(ISNUMBER($I113)),$I113=0),"N/A",IFERROR($N113/$I113,"N/A")),IF(OR($N113="",$I113="",$I113=0),"",IFERROR($N113/$I113,"")))))</ns0:f>
        <ns0:v/>
      </ns0:c>
      <ns0:c r="P113" s="987">
        <ns0:f>IF(COUNTA($A113:$M113)=0,"",IF(OR(LEFT(LOWER(TRIM($F113&amp;"")),12)="subscription",LOWER(TRIM($F113&amp;""))="membership"),"",IF(LOWER(TRIM($D113&amp;""))="estimate","N/A",IF(LOWER($L113&amp;"")="yes",0,IF(OR(AND($H113&lt;&gt;"",$H113=0),LEFT(LOWER(TRIM($F113&amp;"")),9)="free game",LOWER(TRIM($F113&amp;""))="free",LOWER(TRIM($F113&amp;""))="free entry"),IF(ISNUMBER($K113),$K113,""),IF($K113&lt;&gt;"",$K113,""))))))</ns0:f>
      </ns0:c>
      <ns0:c r="Q113" s="114">
        <ns0:f>IF(COUNTA($A113:$M113)=0,"",IF(OR($U113="Subscription",$U113=""),"",IF($U113="Estimate","N/A",IF($U113="Profit",ROUND(IFERROR($P113,0)-IFERROR($H113,0),2),0))))</ns0:f>
      </ns0:c>
      <ns0:c r="R113" s="114">
        <ns0:f>IF(COUNTA($A113:$M113)=0,"",IF(OR($U113="Subscription",$U113=""),"",IF($U113="Estimate","N/A",IF($U113="Draw",$H113,0))))</ns0:f>
      </ns0:c>
      <ns0:c r="S113" s="114">
        <ns0:f>IF(COUNTA($A113:$M113)=0,"",IF(OR($U113="Subscription",$U113=""),"",IF($U113="Estimate","N/A",IF($U113="Disqualified",$H113,0))))</ns0:f>
      </ns0:c>
      <ns0:c r="T113" s="955">
        <ns0:f>IF(COUNTA($A113:$M113)=0,"",IF(OR($U113="Subscription",$U113=""),"",IF($U113="Estimate","N/A",IF(OR($U113="Free Game",$U113="Disqualified — Free Game",$H113=0),"N/A",IF($U113="Profit",$Q113/$H113,IF($U113="Disqualified",-$S113/$H113,0))))))</ns0:f>
      </ns0:c>
      <ns0:c r="U113" s="920">
        <ns0:f>IF(COUNTA($A113:$M113)=0,"",IF(OR(LEFT(LOWER(TRIM($F113&amp;"")),12)="subscription",LOWER(TRIM($F113&amp;""))="membership"),"Subscription",IF(LOWER(TRIM($D113&amp;""))="estimate","Estimate",IF(OR(AND($H113&lt;&gt;"",$H113=0),LEFT(LOWER(TRIM($F113&amp;"")),9)="free game",LOWER(TRIM($F113&amp;""))="free",LOWER(TRIM($F113&amp;""))="free entry"),IF(LOWER($L113&amp;"")="yes","Disqualified — Free Game","Free Game"),IF(LOWER($L113&amp;"")="yes","Disqualified",IF($P113="","",IF(ROUND(IFERROR(VALUE($P113),0)-IFERROR(VALUE($H113),0),2)&gt;0,"Profit","Draw")))))))</ns0:f>
      </ns0:c>
      <ns0:c r="V113" s="956" t="str">
        <ns0:f>IF(COUNTA($A113:$M113)=0,"",IF(OR($B113="",$C113="",$U113="Subscription"),"",IFERROR(ROUNDUP(($C113-$B113)/7,0),"")))</ns0:f>
      </ns0:c>
      <ns0:c r="W113" s="114">
        <ns0:f>IF(COUNTA($A113:$M113)=0,"",IF(OR($U113="Subscription",$U113=""),"",IF($U113="Estimate","N/A",IF(OR($U113="Free Game",$U113="Disqualified — Free Game"),0,ROUND(IFERROR($Q113,0)-IFERROR($S113,0),2)))))</ns0:f>
      </ns0:c>
      <ns0:c r="X113" s="956" t="str">
        <ns0:f>IF(COUNTA($A113:$M113)=0,"",IF(OR($U113="Subscription",NOT(ISNUMBER($J113)),NOT(ISNUMBER($I113)),$J113=0,$I113=0,$I113&gt;$J113),"",$J113-$I113))</ns0:f>
      </ns0:c>
      <ns0:c r="Y113" s="955" t="str">
        <ns0:f>IF(COUNTA($A113:$M113)=0,"",IF(OR($U113="Subscription",NOT(ISNUMBER($J113)),$J113=0,$X113=""),"",$X113/$J113))</ns0:f>
      </ns0:c>
      <ns0:c r="Z113" s="957" t="str">
        <ns0:f>IF(COUNTA($A113:$M113)=0,"",Instructions!$B$29+SUM($W$5:W113))</ns0:f>
      </ns0:c>
    </ns0:row>
    <ns0:row r="114" ht="36" customHeight="1">
      <ns0:c r="A114" s="439"/>
      <ns0:c r="B114" s="453"/>
      <ns0:c r="C114" s="453"/>
      <ns0:c r="D114" s="454"/>
      <ns0:c r="E114" s="454"/>
      <ns0:c r="F114" s="454"/>
      <ns0:c r="G114" s="986"/>
      <ns0:c r="H114" s="455"/>
      <ns0:c r="I114" s="456"/>
      <ns0:c r="J114" s="456"/>
      <ns0:c r="K114" s="986"/>
      <ns0:c r="L114" s="454"/>
      <ns0:c r="M114" s="439"/>
      <ns0:c r="N114" s="987" t="str">
        <ns0:f>IF(COUNTA($A114:$M114)=0,"",IF(OR(LEFT(LOWER(TRIM($F114&amp;"")),12)="subscription",LOWER(TRIM($F114&amp;""))="membership"),"",IF(OR(AND($H114&lt;&gt;"",$H114=0),LEFT(LOWER(TRIM($F114&amp;"")),9)="free game",LOWER(TRIM($F114&amp;""))="free",LOWER(TRIM($F114&amp;""))="free entry"),IF(ISNUMBER($G114),IF(ISNUMBER(SEARCH("non",LOWER($E114&amp;""))),$G114*0.85,$G114),"N/A"),IF($G114="","",IFERROR(IF(ISNUMBER(SEARCH("non",LOWER($E114&amp;""))),$G114*0.85,$G114),"")))))</ns0:f>
        <ns0:v/>
      </ns0:c>
      <ns0:c r="O114" s="987" t="str">
        <ns0:f>IF(COUNTA($A114:$M114)=0,"",IF(OR(LEFT(LOWER(TRIM($F114&amp;"")),12)="subscription",LOWER(TRIM($F114&amp;""))="membership"),"",IF(OR(AND($H114&lt;&gt;"",$H114=0),LEFT(LOWER(TRIM($F114&amp;"")),9)="free game",LOWER(TRIM($F114&amp;""))="free",LOWER(TRIM($F114&amp;""))="free entry"),IF(OR(NOT(ISNUMBER($N114)),NOT(ISNUMBER($I114)),$I114=0),"N/A",IFERROR($N114/$I114,"N/A")),IF(OR($N114="",$I114="",$I114=0),"",IFERROR($N114/$I114,"")))))</ns0:f>
        <ns0:v/>
      </ns0:c>
      <ns0:c r="P114" s="987">
        <ns0:f>IF(COUNTA($A114:$M114)=0,"",IF(OR(LEFT(LOWER(TRIM($F114&amp;"")),12)="subscription",LOWER(TRIM($F114&amp;""))="membership"),"",IF(LOWER(TRIM($D114&amp;""))="estimate","N/A",IF(LOWER($L114&amp;"")="yes",0,IF(OR(AND($H114&lt;&gt;"",$H114=0),LEFT(LOWER(TRIM($F114&amp;"")),9)="free game",LOWER(TRIM($F114&amp;""))="free",LOWER(TRIM($F114&amp;""))="free entry"),IF(ISNUMBER($K114),$K114,""),IF($K114&lt;&gt;"",$K114,""))))))</ns0:f>
      </ns0:c>
      <ns0:c r="Q114" s="114">
        <ns0:f>IF(COUNTA($A114:$M114)=0,"",IF(OR($U114="Subscription",$U114=""),"",IF($U114="Estimate","N/A",IF($U114="Profit",ROUND(IFERROR($P114,0)-IFERROR($H114,0),2),0))))</ns0:f>
      </ns0:c>
      <ns0:c r="R114" s="114">
        <ns0:f>IF(COUNTA($A114:$M114)=0,"",IF(OR($U114="Subscription",$U114=""),"",IF($U114="Estimate","N/A",IF($U114="Draw",$H114,0))))</ns0:f>
      </ns0:c>
      <ns0:c r="S114" s="114">
        <ns0:f>IF(COUNTA($A114:$M114)=0,"",IF(OR($U114="Subscription",$U114=""),"",IF($U114="Estimate","N/A",IF($U114="Disqualified",$H114,0))))</ns0:f>
      </ns0:c>
      <ns0:c r="T114" s="955">
        <ns0:f>IF(COUNTA($A114:$M114)=0,"",IF(OR($U114="Subscription",$U114=""),"",IF($U114="Estimate","N/A",IF(OR($U114="Free Game",$U114="Disqualified — Free Game",$H114=0),"N/A",IF($U114="Profit",$Q114/$H114,IF($U114="Disqualified",-$S114/$H114,0))))))</ns0:f>
      </ns0:c>
      <ns0:c r="U114" s="920">
        <ns0:f>IF(COUNTA($A114:$M114)=0,"",IF(OR(LEFT(LOWER(TRIM($F114&amp;"")),12)="subscription",LOWER(TRIM($F114&amp;""))="membership"),"Subscription",IF(LOWER(TRIM($D114&amp;""))="estimate","Estimate",IF(OR(AND($H114&lt;&gt;"",$H114=0),LEFT(LOWER(TRIM($F114&amp;"")),9)="free game",LOWER(TRIM($F114&amp;""))="free",LOWER(TRIM($F114&amp;""))="free entry"),IF(LOWER($L114&amp;"")="yes","Disqualified — Free Game","Free Game"),IF(LOWER($L114&amp;"")="yes","Disqualified",IF($P114="","",IF(ROUND(IFERROR(VALUE($P114),0)-IFERROR(VALUE($H114),0),2)&gt;0,"Profit","Draw")))))))</ns0:f>
      </ns0:c>
      <ns0:c r="V114" s="956" t="str">
        <ns0:f>IF(COUNTA($A114:$M114)=0,"",IF(OR($B114="",$C114="",$U114="Subscription"),"",IFERROR(ROUNDUP(($C114-$B114)/7,0),"")))</ns0:f>
      </ns0:c>
      <ns0:c r="W114" s="114">
        <ns0:f>IF(COUNTA($A114:$M114)=0,"",IF(OR($U114="Subscription",$U114=""),"",IF($U114="Estimate","N/A",IF(OR($U114="Free Game",$U114="Disqualified — Free Game"),0,ROUND(IFERROR($Q114,0)-IFERROR($S114,0),2)))))</ns0:f>
      </ns0:c>
      <ns0:c r="X114" s="956" t="str">
        <ns0:f>IF(COUNTA($A114:$M114)=0,"",IF(OR($U114="Subscription",NOT(ISNUMBER($J114)),NOT(ISNUMBER($I114)),$J114=0,$I114=0,$I114&gt;$J114),"",$J114-$I114))</ns0:f>
      </ns0:c>
      <ns0:c r="Y114" s="955" t="str">
        <ns0:f>IF(COUNTA($A114:$M114)=0,"",IF(OR($U114="Subscription",NOT(ISNUMBER($J114)),$J114=0,$X114=""),"",$X114/$J114))</ns0:f>
      </ns0:c>
      <ns0:c r="Z114" s="957" t="str">
        <ns0:f>IF(COUNTA($A114:$M114)=0,"",Instructions!$B$29+SUM($W$5:W114))</ns0:f>
      </ns0:c>
    </ns0:row>
    <ns0:row r="115" ht="36" customHeight="1">
      <ns0:c r="A115" s="439"/>
      <ns0:c r="B115" s="453"/>
      <ns0:c r="C115" s="453"/>
      <ns0:c r="D115" s="454"/>
      <ns0:c r="E115" s="454"/>
      <ns0:c r="F115" s="454"/>
      <ns0:c r="G115" s="986"/>
      <ns0:c r="H115" s="455"/>
      <ns0:c r="I115" s="456"/>
      <ns0:c r="J115" s="456"/>
      <ns0:c r="K115" s="986"/>
      <ns0:c r="L115" s="454"/>
      <ns0:c r="M115" s="439"/>
      <ns0:c r="N115" s="987" t="str">
        <ns0:f>IF(COUNTA($A115:$M115)=0,"",IF(OR(LEFT(LOWER(TRIM($F115&amp;"")),12)="subscription",LOWER(TRIM($F115&amp;""))="membership"),"",IF(OR(AND($H115&lt;&gt;"",$H115=0),LEFT(LOWER(TRIM($F115&amp;"")),9)="free game",LOWER(TRIM($F115&amp;""))="free",LOWER(TRIM($F115&amp;""))="free entry"),IF(ISNUMBER($G115),IF(ISNUMBER(SEARCH("non",LOWER($E115&amp;""))),$G115*0.85,$G115),"N/A"),IF($G115="","",IFERROR(IF(ISNUMBER(SEARCH("non",LOWER($E115&amp;""))),$G115*0.85,$G115),"")))))</ns0:f>
        <ns0:v/>
      </ns0:c>
      <ns0:c r="O115" s="987" t="str">
        <ns0:f>IF(COUNTA($A115:$M115)=0,"",IF(OR(LEFT(LOWER(TRIM($F115&amp;"")),12)="subscription",LOWER(TRIM($F115&amp;""))="membership"),"",IF(OR(AND($H115&lt;&gt;"",$H115=0),LEFT(LOWER(TRIM($F115&amp;"")),9)="free game",LOWER(TRIM($F115&amp;""))="free",LOWER(TRIM($F115&amp;""))="free entry"),IF(OR(NOT(ISNUMBER($N115)),NOT(ISNUMBER($I115)),$I115=0),"N/A",IFERROR($N115/$I115,"N/A")),IF(OR($N115="",$I115="",$I115=0),"",IFERROR($N115/$I115,"")))))</ns0:f>
        <ns0:v/>
      </ns0:c>
      <ns0:c r="P115" s="987">
        <ns0:f>IF(COUNTA($A115:$M115)=0,"",IF(OR(LEFT(LOWER(TRIM($F115&amp;"")),12)="subscription",LOWER(TRIM($F115&amp;""))="membership"),"",IF(LOWER(TRIM($D115&amp;""))="estimate","N/A",IF(LOWER($L115&amp;"")="yes",0,IF(OR(AND($H115&lt;&gt;"",$H115=0),LEFT(LOWER(TRIM($F115&amp;"")),9)="free game",LOWER(TRIM($F115&amp;""))="free",LOWER(TRIM($F115&amp;""))="free entry"),IF(ISNUMBER($K115),$K115,""),IF($K115&lt;&gt;"",$K115,""))))))</ns0:f>
      </ns0:c>
      <ns0:c r="Q115" s="114">
        <ns0:f>IF(COUNTA($A115:$M115)=0,"",IF(OR($U115="Subscription",$U115=""),"",IF($U115="Estimate","N/A",IF($U115="Profit",ROUND(IFERROR($P115,0)-IFERROR($H115,0),2),0))))</ns0:f>
      </ns0:c>
      <ns0:c r="R115" s="114">
        <ns0:f>IF(COUNTA($A115:$M115)=0,"",IF(OR($U115="Subscription",$U115=""),"",IF($U115="Estimate","N/A",IF($U115="Draw",$H115,0))))</ns0:f>
      </ns0:c>
      <ns0:c r="S115" s="114">
        <ns0:f>IF(COUNTA($A115:$M115)=0,"",IF(OR($U115="Subscription",$U115=""),"",IF($U115="Estimate","N/A",IF($U115="Disqualified",$H115,0))))</ns0:f>
      </ns0:c>
      <ns0:c r="T115" s="955">
        <ns0:f>IF(COUNTA($A115:$M115)=0,"",IF(OR($U115="Subscription",$U115=""),"",IF($U115="Estimate","N/A",IF(OR($U115="Free Game",$U115="Disqualified — Free Game",$H115=0),"N/A",IF($U115="Profit",$Q115/$H115,IF($U115="Disqualified",-$S115/$H115,0))))))</ns0:f>
      </ns0:c>
      <ns0:c r="U115" s="920">
        <ns0:f>IF(COUNTA($A115:$M115)=0,"",IF(OR(LEFT(LOWER(TRIM($F115&amp;"")),12)="subscription",LOWER(TRIM($F115&amp;""))="membership"),"Subscription",IF(LOWER(TRIM($D115&amp;""))="estimate","Estimate",IF(OR(AND($H115&lt;&gt;"",$H115=0),LEFT(LOWER(TRIM($F115&amp;"")),9)="free game",LOWER(TRIM($F115&amp;""))="free",LOWER(TRIM($F115&amp;""))="free entry"),IF(LOWER($L115&amp;"")="yes","Disqualified — Free Game","Free Game"),IF(LOWER($L115&amp;"")="yes","Disqualified",IF($P115="","",IF(ROUND(IFERROR(VALUE($P115),0)-IFERROR(VALUE($H115),0),2)&gt;0,"Profit","Draw")))))))</ns0:f>
      </ns0:c>
      <ns0:c r="V115" s="956" t="str">
        <ns0:f>IF(COUNTA($A115:$M115)=0,"",IF(OR($B115="",$C115="",$U115="Subscription"),"",IFERROR(ROUNDUP(($C115-$B115)/7,0),"")))</ns0:f>
      </ns0:c>
      <ns0:c r="W115" s="114">
        <ns0:f>IF(COUNTA($A115:$M115)=0,"",IF(OR($U115="Subscription",$U115=""),"",IF($U115="Estimate","N/A",IF(OR($U115="Free Game",$U115="Disqualified — Free Game"),0,ROUND(IFERROR($Q115,0)-IFERROR($S115,0),2)))))</ns0:f>
      </ns0:c>
      <ns0:c r="X115" s="956" t="str">
        <ns0:f>IF(COUNTA($A115:$M115)=0,"",IF(OR($U115="Subscription",NOT(ISNUMBER($J115)),NOT(ISNUMBER($I115)),$J115=0,$I115=0,$I115&gt;$J115),"",$J115-$I115))</ns0:f>
      </ns0:c>
      <ns0:c r="Y115" s="955" t="str">
        <ns0:f>IF(COUNTA($A115:$M115)=0,"",IF(OR($U115="Subscription",NOT(ISNUMBER($J115)),$J115=0,$X115=""),"",$X115/$J115))</ns0:f>
      </ns0:c>
      <ns0:c r="Z115" s="957" t="str">
        <ns0:f>IF(COUNTA($A115:$M115)=0,"",Instructions!$B$29+SUM($W$5:W115))</ns0:f>
      </ns0:c>
    </ns0:row>
    <ns0:row r="116" ht="36" customHeight="1">
      <ns0:c r="A116" s="439"/>
      <ns0:c r="B116" s="453"/>
      <ns0:c r="C116" s="453"/>
      <ns0:c r="D116" s="454"/>
      <ns0:c r="E116" s="454"/>
      <ns0:c r="F116" s="454"/>
      <ns0:c r="G116" s="986"/>
      <ns0:c r="H116" s="455"/>
      <ns0:c r="I116" s="456"/>
      <ns0:c r="J116" s="456"/>
      <ns0:c r="K116" s="986"/>
      <ns0:c r="L116" s="454"/>
      <ns0:c r="M116" s="439"/>
      <ns0:c r="N116" s="987" t="str">
        <ns0:f>IF(COUNTA($A116:$M116)=0,"",IF(OR(LEFT(LOWER(TRIM($F116&amp;"")),12)="subscription",LOWER(TRIM($F116&amp;""))="membership"),"",IF(OR(AND($H116&lt;&gt;"",$H116=0),LEFT(LOWER(TRIM($F116&amp;"")),9)="free game",LOWER(TRIM($F116&amp;""))="free",LOWER(TRIM($F116&amp;""))="free entry"),IF(ISNUMBER($G116),IF(ISNUMBER(SEARCH("non",LOWER($E116&amp;""))),$G116*0.85,$G116),"N/A"),IF($G116="","",IFERROR(IF(ISNUMBER(SEARCH("non",LOWER($E116&amp;""))),$G116*0.85,$G116),"")))))</ns0:f>
        <ns0:v/>
      </ns0:c>
      <ns0:c r="O116" s="987" t="str">
        <ns0:f>IF(COUNTA($A116:$M116)=0,"",IF(OR(LEFT(LOWER(TRIM($F116&amp;"")),12)="subscription",LOWER(TRIM($F116&amp;""))="membership"),"",IF(OR(AND($H116&lt;&gt;"",$H116=0),LEFT(LOWER(TRIM($F116&amp;"")),9)="free game",LOWER(TRIM($F116&amp;""))="free",LOWER(TRIM($F116&amp;""))="free entry"),IF(OR(NOT(ISNUMBER($N116)),NOT(ISNUMBER($I116)),$I116=0),"N/A",IFERROR($N116/$I116,"N/A")),IF(OR($N116="",$I116="",$I116=0),"",IFERROR($N116/$I116,"")))))</ns0:f>
        <ns0:v/>
      </ns0:c>
      <ns0:c r="P116" s="987">
        <ns0:f>IF(COUNTA($A116:$M116)=0,"",IF(OR(LEFT(LOWER(TRIM($F116&amp;"")),12)="subscription",LOWER(TRIM($F116&amp;""))="membership"),"",IF(LOWER(TRIM($D116&amp;""))="estimate","N/A",IF(LOWER($L116&amp;"")="yes",0,IF(OR(AND($H116&lt;&gt;"",$H116=0),LEFT(LOWER(TRIM($F116&amp;"")),9)="free game",LOWER(TRIM($F116&amp;""))="free",LOWER(TRIM($F116&amp;""))="free entry"),IF(ISNUMBER($K116),$K116,""),IF($K116&lt;&gt;"",$K116,""))))))</ns0:f>
      </ns0:c>
      <ns0:c r="Q116" s="114">
        <ns0:f>IF(COUNTA($A116:$M116)=0,"",IF(OR($U116="Subscription",$U116=""),"",IF($U116="Estimate","N/A",IF($U116="Profit",ROUND(IFERROR($P116,0)-IFERROR($H116,0),2),0))))</ns0:f>
      </ns0:c>
      <ns0:c r="R116" s="114">
        <ns0:f>IF(COUNTA($A116:$M116)=0,"",IF(OR($U116="Subscription",$U116=""),"",IF($U116="Estimate","N/A",IF($U116="Draw",$H116,0))))</ns0:f>
      </ns0:c>
      <ns0:c r="S116" s="114">
        <ns0:f>IF(COUNTA($A116:$M116)=0,"",IF(OR($U116="Subscription",$U116=""),"",IF($U116="Estimate","N/A",IF($U116="Disqualified",$H116,0))))</ns0:f>
      </ns0:c>
      <ns0:c r="T116" s="955">
        <ns0:f>IF(COUNTA($A116:$M116)=0,"",IF(OR($U116="Subscription",$U116=""),"",IF($U116="Estimate","N/A",IF(OR($U116="Free Game",$U116="Disqualified — Free Game",$H116=0),"N/A",IF($U116="Profit",$Q116/$H116,IF($U116="Disqualified",-$S116/$H116,0))))))</ns0:f>
      </ns0:c>
      <ns0:c r="U116" s="920">
        <ns0:f>IF(COUNTA($A116:$M116)=0,"",IF(OR(LEFT(LOWER(TRIM($F116&amp;"")),12)="subscription",LOWER(TRIM($F116&amp;""))="membership"),"Subscription",IF(LOWER(TRIM($D116&amp;""))="estimate","Estimate",IF(OR(AND($H116&lt;&gt;"",$H116=0),LEFT(LOWER(TRIM($F116&amp;"")),9)="free game",LOWER(TRIM($F116&amp;""))="free",LOWER(TRIM($F116&amp;""))="free entry"),IF(LOWER($L116&amp;"")="yes","Disqualified — Free Game","Free Game"),IF(LOWER($L116&amp;"")="yes","Disqualified",IF($P116="","",IF(ROUND(IFERROR(VALUE($P116),0)-IFERROR(VALUE($H116),0),2)&gt;0,"Profit","Draw")))))))</ns0:f>
      </ns0:c>
      <ns0:c r="V116" s="956" t="str">
        <ns0:f>IF(COUNTA($A116:$M116)=0,"",IF(OR($B116="",$C116="",$U116="Subscription"),"",IFERROR(ROUNDUP(($C116-$B116)/7,0),"")))</ns0:f>
      </ns0:c>
      <ns0:c r="W116" s="114">
        <ns0:f>IF(COUNTA($A116:$M116)=0,"",IF(OR($U116="Subscription",$U116=""),"",IF($U116="Estimate","N/A",IF(OR($U116="Free Game",$U116="Disqualified — Free Game"),0,ROUND(IFERROR($Q116,0)-IFERROR($S116,0),2)))))</ns0:f>
      </ns0:c>
      <ns0:c r="X116" s="956" t="str">
        <ns0:f>IF(COUNTA($A116:$M116)=0,"",IF(OR($U116="Subscription",NOT(ISNUMBER($J116)),NOT(ISNUMBER($I116)),$J116=0,$I116=0,$I116&gt;$J116),"",$J116-$I116))</ns0:f>
      </ns0:c>
      <ns0:c r="Y116" s="955" t="str">
        <ns0:f>IF(COUNTA($A116:$M116)=0,"",IF(OR($U116="Subscription",NOT(ISNUMBER($J116)),$J116=0,$X116=""),"",$X116/$J116))</ns0:f>
      </ns0:c>
      <ns0:c r="Z116" s="957" t="str">
        <ns0:f>IF(COUNTA($A116:$M116)=0,"",Instructions!$B$29+SUM($W$5:W116))</ns0:f>
      </ns0:c>
    </ns0:row>
    <ns0:row r="117" ht="36" customHeight="1">
      <ns0:c r="A117" s="439"/>
      <ns0:c r="B117" s="453"/>
      <ns0:c r="C117" s="453"/>
      <ns0:c r="D117" s="454"/>
      <ns0:c r="E117" s="454"/>
      <ns0:c r="F117" s="454"/>
      <ns0:c r="G117" s="986"/>
      <ns0:c r="H117" s="455"/>
      <ns0:c r="I117" s="456"/>
      <ns0:c r="J117" s="456"/>
      <ns0:c r="K117" s="986"/>
      <ns0:c r="L117" s="454"/>
      <ns0:c r="M117" s="439"/>
      <ns0:c r="N117" s="987" t="str">
        <ns0:f>IF(COUNTA($A117:$M117)=0,"",IF(OR(LEFT(LOWER(TRIM($F117&amp;"")),12)="subscription",LOWER(TRIM($F117&amp;""))="membership"),"",IF(OR(AND($H117&lt;&gt;"",$H117=0),LEFT(LOWER(TRIM($F117&amp;"")),9)="free game",LOWER(TRIM($F117&amp;""))="free",LOWER(TRIM($F117&amp;""))="free entry"),IF(ISNUMBER($G117),IF(ISNUMBER(SEARCH("non",LOWER($E117&amp;""))),$G117*0.85,$G117),"N/A"),IF($G117="","",IFERROR(IF(ISNUMBER(SEARCH("non",LOWER($E117&amp;""))),$G117*0.85,$G117),"")))))</ns0:f>
        <ns0:v/>
      </ns0:c>
      <ns0:c r="O117" s="987" t="str">
        <ns0:f>IF(COUNTA($A117:$M117)=0,"",IF(OR(LEFT(LOWER(TRIM($F117&amp;"")),12)="subscription",LOWER(TRIM($F117&amp;""))="membership"),"",IF(OR(AND($H117&lt;&gt;"",$H117=0),LEFT(LOWER(TRIM($F117&amp;"")),9)="free game",LOWER(TRIM($F117&amp;""))="free",LOWER(TRIM($F117&amp;""))="free entry"),IF(OR(NOT(ISNUMBER($N117)),NOT(ISNUMBER($I117)),$I117=0),"N/A",IFERROR($N117/$I117,"N/A")),IF(OR($N117="",$I117="",$I117=0),"",IFERROR($N117/$I117,"")))))</ns0:f>
        <ns0:v/>
      </ns0:c>
      <ns0:c r="P117" s="987">
        <ns0:f>IF(COUNTA($A117:$M117)=0,"",IF(OR(LEFT(LOWER(TRIM($F117&amp;"")),12)="subscription",LOWER(TRIM($F117&amp;""))="membership"),"",IF(LOWER(TRIM($D117&amp;""))="estimate","N/A",IF(LOWER($L117&amp;"")="yes",0,IF(OR(AND($H117&lt;&gt;"",$H117=0),LEFT(LOWER(TRIM($F117&amp;"")),9)="free game",LOWER(TRIM($F117&amp;""))="free",LOWER(TRIM($F117&amp;""))="free entry"),IF(ISNUMBER($K117),$K117,""),IF($K117&lt;&gt;"",$K117,""))))))</ns0:f>
      </ns0:c>
      <ns0:c r="Q117" s="114">
        <ns0:f>IF(COUNTA($A117:$M117)=0,"",IF(OR($U117="Subscription",$U117=""),"",IF($U117="Estimate","N/A",IF($U117="Profit",ROUND(IFERROR($P117,0)-IFERROR($H117,0),2),0))))</ns0:f>
      </ns0:c>
      <ns0:c r="R117" s="114">
        <ns0:f>IF(COUNTA($A117:$M117)=0,"",IF(OR($U117="Subscription",$U117=""),"",IF($U117="Estimate","N/A",IF($U117="Draw",$H117,0))))</ns0:f>
      </ns0:c>
      <ns0:c r="S117" s="114">
        <ns0:f>IF(COUNTA($A117:$M117)=0,"",IF(OR($U117="Subscription",$U117=""),"",IF($U117="Estimate","N/A",IF($U117="Disqualified",$H117,0))))</ns0:f>
      </ns0:c>
      <ns0:c r="T117" s="955">
        <ns0:f>IF(COUNTA($A117:$M117)=0,"",IF(OR($U117="Subscription",$U117=""),"",IF($U117="Estimate","N/A",IF(OR($U117="Free Game",$U117="Disqualified — Free Game",$H117=0),"N/A",IF($U117="Profit",$Q117/$H117,IF($U117="Disqualified",-$S117/$H117,0))))))</ns0:f>
      </ns0:c>
      <ns0:c r="U117" s="920">
        <ns0:f>IF(COUNTA($A117:$M117)=0,"",IF(OR(LEFT(LOWER(TRIM($F117&amp;"")),12)="subscription",LOWER(TRIM($F117&amp;""))="membership"),"Subscription",IF(LOWER(TRIM($D117&amp;""))="estimate","Estimate",IF(OR(AND($H117&lt;&gt;"",$H117=0),LEFT(LOWER(TRIM($F117&amp;"")),9)="free game",LOWER(TRIM($F117&amp;""))="free",LOWER(TRIM($F117&amp;""))="free entry"),IF(LOWER($L117&amp;"")="yes","Disqualified — Free Game","Free Game"),IF(LOWER($L117&amp;"")="yes","Disqualified",IF($P117="","",IF(ROUND(IFERROR(VALUE($P117),0)-IFERROR(VALUE($H117),0),2)&gt;0,"Profit","Draw")))))))</ns0:f>
      </ns0:c>
      <ns0:c r="V117" s="956" t="str">
        <ns0:f>IF(COUNTA($A117:$M117)=0,"",IF(OR($B117="",$C117="",$U117="Subscription"),"",IFERROR(ROUNDUP(($C117-$B117)/7,0),"")))</ns0:f>
      </ns0:c>
      <ns0:c r="W117" s="114">
        <ns0:f>IF(COUNTA($A117:$M117)=0,"",IF(OR($U117="Subscription",$U117=""),"",IF($U117="Estimate","N/A",IF(OR($U117="Free Game",$U117="Disqualified — Free Game"),0,ROUND(IFERROR($Q117,0)-IFERROR($S117,0),2)))))</ns0:f>
      </ns0:c>
      <ns0:c r="X117" s="956" t="str">
        <ns0:f>IF(COUNTA($A117:$M117)=0,"",IF(OR($U117="Subscription",NOT(ISNUMBER($J117)),NOT(ISNUMBER($I117)),$J117=0,$I117=0,$I117&gt;$J117),"",$J117-$I117))</ns0:f>
      </ns0:c>
      <ns0:c r="Y117" s="955" t="str">
        <ns0:f>IF(COUNTA($A117:$M117)=0,"",IF(OR($U117="Subscription",NOT(ISNUMBER($J117)),$J117=0,$X117=""),"",$X117/$J117))</ns0:f>
      </ns0:c>
      <ns0:c r="Z117" s="957" t="str">
        <ns0:f>IF(COUNTA($A117:$M117)=0,"",Instructions!$B$29+SUM($W$5:W117))</ns0:f>
      </ns0:c>
    </ns0:row>
    <ns0:row r="118" ht="36" customHeight="1">
      <ns0:c r="A118" s="439"/>
      <ns0:c r="B118" s="453"/>
      <ns0:c r="C118" s="453"/>
      <ns0:c r="D118" s="454"/>
      <ns0:c r="E118" s="454"/>
      <ns0:c r="F118" s="454"/>
      <ns0:c r="G118" s="986"/>
      <ns0:c r="H118" s="455"/>
      <ns0:c r="I118" s="456"/>
      <ns0:c r="J118" s="456"/>
      <ns0:c r="K118" s="986"/>
      <ns0:c r="L118" s="454"/>
      <ns0:c r="M118" s="439"/>
      <ns0:c r="N118" s="987" t="str">
        <ns0:f>IF(COUNTA($A118:$M118)=0,"",IF(OR(LEFT(LOWER(TRIM($F118&amp;"")),12)="subscription",LOWER(TRIM($F118&amp;""))="membership"),"",IF(OR(AND($H118&lt;&gt;"",$H118=0),LEFT(LOWER(TRIM($F118&amp;"")),9)="free game",LOWER(TRIM($F118&amp;""))="free",LOWER(TRIM($F118&amp;""))="free entry"),IF(ISNUMBER($G118),IF(ISNUMBER(SEARCH("non",LOWER($E118&amp;""))),$G118*0.85,$G118),"N/A"),IF($G118="","",IFERROR(IF(ISNUMBER(SEARCH("non",LOWER($E118&amp;""))),$G118*0.85,$G118),"")))))</ns0:f>
        <ns0:v/>
      </ns0:c>
      <ns0:c r="O118" s="987" t="str">
        <ns0:f>IF(COUNTA($A118:$M118)=0,"",IF(OR(LEFT(LOWER(TRIM($F118&amp;"")),12)="subscription",LOWER(TRIM($F118&amp;""))="membership"),"",IF(OR(AND($H118&lt;&gt;"",$H118=0),LEFT(LOWER(TRIM($F118&amp;"")),9)="free game",LOWER(TRIM($F118&amp;""))="free",LOWER(TRIM($F118&amp;""))="free entry"),IF(OR(NOT(ISNUMBER($N118)),NOT(ISNUMBER($I118)),$I118=0),"N/A",IFERROR($N118/$I118,"N/A")),IF(OR($N118="",$I118="",$I118=0),"",IFERROR($N118/$I118,"")))))</ns0:f>
        <ns0:v/>
      </ns0:c>
      <ns0:c r="P118" s="987">
        <ns0:f>IF(COUNTA($A118:$M118)=0,"",IF(OR(LEFT(LOWER(TRIM($F118&amp;"")),12)="subscription",LOWER(TRIM($F118&amp;""))="membership"),"",IF(LOWER(TRIM($D118&amp;""))="estimate","N/A",IF(LOWER($L118&amp;"")="yes",0,IF(OR(AND($H118&lt;&gt;"",$H118=0),LEFT(LOWER(TRIM($F118&amp;"")),9)="free game",LOWER(TRIM($F118&amp;""))="free",LOWER(TRIM($F118&amp;""))="free entry"),IF(ISNUMBER($K118),$K118,""),IF($K118&lt;&gt;"",$K118,""))))))</ns0:f>
      </ns0:c>
      <ns0:c r="Q118" s="114">
        <ns0:f>IF(COUNTA($A118:$M118)=0,"",IF(OR($U118="Subscription",$U118=""),"",IF($U118="Estimate","N/A",IF($U118="Profit",ROUND(IFERROR($P118,0)-IFERROR($H118,0),2),0))))</ns0:f>
      </ns0:c>
      <ns0:c r="R118" s="114">
        <ns0:f>IF(COUNTA($A118:$M118)=0,"",IF(OR($U118="Subscription",$U118=""),"",IF($U118="Estimate","N/A",IF($U118="Draw",$H118,0))))</ns0:f>
      </ns0:c>
      <ns0:c r="S118" s="114">
        <ns0:f>IF(COUNTA($A118:$M118)=0,"",IF(OR($U118="Subscription",$U118=""),"",IF($U118="Estimate","N/A",IF($U118="Disqualified",$H118,0))))</ns0:f>
      </ns0:c>
      <ns0:c r="T118" s="955">
        <ns0:f>IF(COUNTA($A118:$M118)=0,"",IF(OR($U118="Subscription",$U118=""),"",IF($U118="Estimate","N/A",IF(OR($U118="Free Game",$U118="Disqualified — Free Game",$H118=0),"N/A",IF($U118="Profit",$Q118/$H118,IF($U118="Disqualified",-$S118/$H118,0))))))</ns0:f>
      </ns0:c>
      <ns0:c r="U118" s="920">
        <ns0:f>IF(COUNTA($A118:$M118)=0,"",IF(OR(LEFT(LOWER(TRIM($F118&amp;"")),12)="subscription",LOWER(TRIM($F118&amp;""))="membership"),"Subscription",IF(LOWER(TRIM($D118&amp;""))="estimate","Estimate",IF(OR(AND($H118&lt;&gt;"",$H118=0),LEFT(LOWER(TRIM($F118&amp;"")),9)="free game",LOWER(TRIM($F118&amp;""))="free",LOWER(TRIM($F118&amp;""))="free entry"),IF(LOWER($L118&amp;"")="yes","Disqualified — Free Game","Free Game"),IF(LOWER($L118&amp;"")="yes","Disqualified",IF($P118="","",IF(ROUND(IFERROR(VALUE($P118),0)-IFERROR(VALUE($H118),0),2)&gt;0,"Profit","Draw")))))))</ns0:f>
      </ns0:c>
      <ns0:c r="V118" s="956" t="str">
        <ns0:f>IF(COUNTA($A118:$M118)=0,"",IF(OR($B118="",$C118="",$U118="Subscription"),"",IFERROR(ROUNDUP(($C118-$B118)/7,0),"")))</ns0:f>
      </ns0:c>
      <ns0:c r="W118" s="114">
        <ns0:f>IF(COUNTA($A118:$M118)=0,"",IF(OR($U118="Subscription",$U118=""),"",IF($U118="Estimate","N/A",IF(OR($U118="Free Game",$U118="Disqualified — Free Game"),0,ROUND(IFERROR($Q118,0)-IFERROR($S118,0),2)))))</ns0:f>
      </ns0:c>
      <ns0:c r="X118" s="956" t="str">
        <ns0:f>IF(COUNTA($A118:$M118)=0,"",IF(OR($U118="Subscription",NOT(ISNUMBER($J118)),NOT(ISNUMBER($I118)),$J118=0,$I118=0,$I118&gt;$J118),"",$J118-$I118))</ns0:f>
      </ns0:c>
      <ns0:c r="Y118" s="955" t="str">
        <ns0:f>IF(COUNTA($A118:$M118)=0,"",IF(OR($U118="Subscription",NOT(ISNUMBER($J118)),$J118=0,$X118=""),"",$X118/$J118))</ns0:f>
      </ns0:c>
      <ns0:c r="Z118" s="957" t="str">
        <ns0:f>IF(COUNTA($A118:$M118)=0,"",Instructions!$B$29+SUM($W$5:W118))</ns0:f>
      </ns0:c>
    </ns0:row>
    <ns0:row r="119" ht="36" customHeight="1">
      <ns0:c r="A119" s="439"/>
      <ns0:c r="B119" s="453"/>
      <ns0:c r="C119" s="453"/>
      <ns0:c r="D119" s="454"/>
      <ns0:c r="E119" s="454"/>
      <ns0:c r="F119" s="454"/>
      <ns0:c r="G119" s="986"/>
      <ns0:c r="H119" s="455"/>
      <ns0:c r="I119" s="456"/>
      <ns0:c r="J119" s="456"/>
      <ns0:c r="K119" s="986"/>
      <ns0:c r="L119" s="454"/>
      <ns0:c r="M119" s="439"/>
      <ns0:c r="N119" s="987" t="str">
        <ns0:f>IF(COUNTA($A119:$M119)=0,"",IF(OR(LEFT(LOWER(TRIM($F119&amp;"")),12)="subscription",LOWER(TRIM($F119&amp;""))="membership"),"",IF(OR(AND($H119&lt;&gt;"",$H119=0),LEFT(LOWER(TRIM($F119&amp;"")),9)="free game",LOWER(TRIM($F119&amp;""))="free",LOWER(TRIM($F119&amp;""))="free entry"),IF(ISNUMBER($G119),IF(ISNUMBER(SEARCH("non",LOWER($E119&amp;""))),$G119*0.85,$G119),"N/A"),IF($G119="","",IFERROR(IF(ISNUMBER(SEARCH("non",LOWER($E119&amp;""))),$G119*0.85,$G119),"")))))</ns0:f>
        <ns0:v/>
      </ns0:c>
      <ns0:c r="O119" s="987" t="str">
        <ns0:f>IF(COUNTA($A119:$M119)=0,"",IF(OR(LEFT(LOWER(TRIM($F119&amp;"")),12)="subscription",LOWER(TRIM($F119&amp;""))="membership"),"",IF(OR(AND($H119&lt;&gt;"",$H119=0),LEFT(LOWER(TRIM($F119&amp;"")),9)="free game",LOWER(TRIM($F119&amp;""))="free",LOWER(TRIM($F119&amp;""))="free entry"),IF(OR(NOT(ISNUMBER($N119)),NOT(ISNUMBER($I119)),$I119=0),"N/A",IFERROR($N119/$I119,"N/A")),IF(OR($N119="",$I119="",$I119=0),"",IFERROR($N119/$I119,"")))))</ns0:f>
        <ns0:v/>
      </ns0:c>
      <ns0:c r="P119" s="987">
        <ns0:f>IF(COUNTA($A119:$M119)=0,"",IF(OR(LEFT(LOWER(TRIM($F119&amp;"")),12)="subscription",LOWER(TRIM($F119&amp;""))="membership"),"",IF(LOWER(TRIM($D119&amp;""))="estimate","N/A",IF(LOWER($L119&amp;"")="yes",0,IF(OR(AND($H119&lt;&gt;"",$H119=0),LEFT(LOWER(TRIM($F119&amp;"")),9)="free game",LOWER(TRIM($F119&amp;""))="free",LOWER(TRIM($F119&amp;""))="free entry"),IF(ISNUMBER($K119),$K119,""),IF($K119&lt;&gt;"",$K119,""))))))</ns0:f>
      </ns0:c>
      <ns0:c r="Q119" s="114">
        <ns0:f>IF(COUNTA($A119:$M119)=0,"",IF(OR($U119="Subscription",$U119=""),"",IF($U119="Estimate","N/A",IF($U119="Profit",ROUND(IFERROR($P119,0)-IFERROR($H119,0),2),0))))</ns0:f>
      </ns0:c>
      <ns0:c r="R119" s="114">
        <ns0:f>IF(COUNTA($A119:$M119)=0,"",IF(OR($U119="Subscription",$U119=""),"",IF($U119="Estimate","N/A",IF($U119="Draw",$H119,0))))</ns0:f>
      </ns0:c>
      <ns0:c r="S119" s="114">
        <ns0:f>IF(COUNTA($A119:$M119)=0,"",IF(OR($U119="Subscription",$U119=""),"",IF($U119="Estimate","N/A",IF($U119="Disqualified",$H119,0))))</ns0:f>
      </ns0:c>
      <ns0:c r="T119" s="955">
        <ns0:f>IF(COUNTA($A119:$M119)=0,"",IF(OR($U119="Subscription",$U119=""),"",IF($U119="Estimate","N/A",IF(OR($U119="Free Game",$U119="Disqualified — Free Game",$H119=0),"N/A",IF($U119="Profit",$Q119/$H119,IF($U119="Disqualified",-$S119/$H119,0))))))</ns0:f>
      </ns0:c>
      <ns0:c r="U119" s="920">
        <ns0:f>IF(COUNTA($A119:$M119)=0,"",IF(OR(LEFT(LOWER(TRIM($F119&amp;"")),12)="subscription",LOWER(TRIM($F119&amp;""))="membership"),"Subscription",IF(LOWER(TRIM($D119&amp;""))="estimate","Estimate",IF(OR(AND($H119&lt;&gt;"",$H119=0),LEFT(LOWER(TRIM($F119&amp;"")),9)="free game",LOWER(TRIM($F119&amp;""))="free",LOWER(TRIM($F119&amp;""))="free entry"),IF(LOWER($L119&amp;"")="yes","Disqualified — Free Game","Free Game"),IF(LOWER($L119&amp;"")="yes","Disqualified",IF($P119="","",IF(ROUND(IFERROR(VALUE($P119),0)-IFERROR(VALUE($H119),0),2)&gt;0,"Profit","Draw")))))))</ns0:f>
      </ns0:c>
      <ns0:c r="V119" s="956" t="str">
        <ns0:f>IF(COUNTA($A119:$M119)=0,"",IF(OR($B119="",$C119="",$U119="Subscription"),"",IFERROR(ROUNDUP(($C119-$B119)/7,0),"")))</ns0:f>
      </ns0:c>
      <ns0:c r="W119" s="114">
        <ns0:f>IF(COUNTA($A119:$M119)=0,"",IF(OR($U119="Subscription",$U119=""),"",IF($U119="Estimate","N/A",IF(OR($U119="Free Game",$U119="Disqualified — Free Game"),0,ROUND(IFERROR($Q119,0)-IFERROR($S119,0),2)))))</ns0:f>
      </ns0:c>
      <ns0:c r="X119" s="956" t="str">
        <ns0:f>IF(COUNTA($A119:$M119)=0,"",IF(OR($U119="Subscription",NOT(ISNUMBER($J119)),NOT(ISNUMBER($I119)),$J119=0,$I119=0,$I119&gt;$J119),"",$J119-$I119))</ns0:f>
      </ns0:c>
      <ns0:c r="Y119" s="955" t="str">
        <ns0:f>IF(COUNTA($A119:$M119)=0,"",IF(OR($U119="Subscription",NOT(ISNUMBER($J119)),$J119=0,$X119=""),"",$X119/$J119))</ns0:f>
      </ns0:c>
      <ns0:c r="Z119" s="957" t="str">
        <ns0:f>IF(COUNTA($A119:$M119)=0,"",Instructions!$B$29+SUM($W$5:W119))</ns0:f>
      </ns0:c>
    </ns0:row>
    <ns0:row r="120" ht="36" customHeight="1">
      <ns0:c r="A120" s="439"/>
      <ns0:c r="B120" s="453"/>
      <ns0:c r="C120" s="453"/>
      <ns0:c r="D120" s="454"/>
      <ns0:c r="E120" s="454"/>
      <ns0:c r="F120" s="454"/>
      <ns0:c r="G120" s="986"/>
      <ns0:c r="H120" s="455"/>
      <ns0:c r="I120" s="456"/>
      <ns0:c r="J120" s="456"/>
      <ns0:c r="K120" s="986"/>
      <ns0:c r="L120" s="454"/>
      <ns0:c r="M120" s="439"/>
      <ns0:c r="N120" s="987" t="str">
        <ns0:f>IF(COUNTA($A120:$M120)=0,"",IF(OR(LEFT(LOWER(TRIM($F120&amp;"")),12)="subscription",LOWER(TRIM($F120&amp;""))="membership"),"",IF(OR(AND($H120&lt;&gt;"",$H120=0),LEFT(LOWER(TRIM($F120&amp;"")),9)="free game",LOWER(TRIM($F120&amp;""))="free",LOWER(TRIM($F120&amp;""))="free entry"),IF(ISNUMBER($G120),IF(ISNUMBER(SEARCH("non",LOWER($E120&amp;""))),$G120*0.85,$G120),"N/A"),IF($G120="","",IFERROR(IF(ISNUMBER(SEARCH("non",LOWER($E120&amp;""))),$G120*0.85,$G120),"")))))</ns0:f>
        <ns0:v/>
      </ns0:c>
      <ns0:c r="O120" s="987" t="str">
        <ns0:f>IF(COUNTA($A120:$M120)=0,"",IF(OR(LEFT(LOWER(TRIM($F120&amp;"")),12)="subscription",LOWER(TRIM($F120&amp;""))="membership"),"",IF(OR(AND($H120&lt;&gt;"",$H120=0),LEFT(LOWER(TRIM($F120&amp;"")),9)="free game",LOWER(TRIM($F120&amp;""))="free",LOWER(TRIM($F120&amp;""))="free entry"),IF(OR(NOT(ISNUMBER($N120)),NOT(ISNUMBER($I120)),$I120=0),"N/A",IFERROR($N120/$I120,"N/A")),IF(OR($N120="",$I120="",$I120=0),"",IFERROR($N120/$I120,"")))))</ns0:f>
        <ns0:v/>
      </ns0:c>
      <ns0:c r="P120" s="987">
        <ns0:f>IF(COUNTA($A120:$M120)=0,"",IF(OR(LEFT(LOWER(TRIM($F120&amp;"")),12)="subscription",LOWER(TRIM($F120&amp;""))="membership"),"",IF(LOWER(TRIM($D120&amp;""))="estimate","N/A",IF(LOWER($L120&amp;"")="yes",0,IF(OR(AND($H120&lt;&gt;"",$H120=0),LEFT(LOWER(TRIM($F120&amp;"")),9)="free game",LOWER(TRIM($F120&amp;""))="free",LOWER(TRIM($F120&amp;""))="free entry"),IF(ISNUMBER($K120),$K120,""),IF($K120&lt;&gt;"",$K120,""))))))</ns0:f>
      </ns0:c>
      <ns0:c r="Q120" s="114">
        <ns0:f>IF(COUNTA($A120:$M120)=0,"",IF(OR($U120="Subscription",$U120=""),"",IF($U120="Estimate","N/A",IF($U120="Profit",ROUND(IFERROR($P120,0)-IFERROR($H120,0),2),0))))</ns0:f>
      </ns0:c>
      <ns0:c r="R120" s="114">
        <ns0:f>IF(COUNTA($A120:$M120)=0,"",IF(OR($U120="Subscription",$U120=""),"",IF($U120="Estimate","N/A",IF($U120="Draw",$H120,0))))</ns0:f>
      </ns0:c>
      <ns0:c r="S120" s="114">
        <ns0:f>IF(COUNTA($A120:$M120)=0,"",IF(OR($U120="Subscription",$U120=""),"",IF($U120="Estimate","N/A",IF($U120="Disqualified",$H120,0))))</ns0:f>
      </ns0:c>
      <ns0:c r="T120" s="955">
        <ns0:f>IF(COUNTA($A120:$M120)=0,"",IF(OR($U120="Subscription",$U120=""),"",IF($U120="Estimate","N/A",IF(OR($U120="Free Game",$U120="Disqualified — Free Game",$H120=0),"N/A",IF($U120="Profit",$Q120/$H120,IF($U120="Disqualified",-$S120/$H120,0))))))</ns0:f>
      </ns0:c>
      <ns0:c r="U120" s="920">
        <ns0:f>IF(COUNTA($A120:$M120)=0,"",IF(OR(LEFT(LOWER(TRIM($F120&amp;"")),12)="subscription",LOWER(TRIM($F120&amp;""))="membership"),"Subscription",IF(LOWER(TRIM($D120&amp;""))="estimate","Estimate",IF(OR(AND($H120&lt;&gt;"",$H120=0),LEFT(LOWER(TRIM($F120&amp;"")),9)="free game",LOWER(TRIM($F120&amp;""))="free",LOWER(TRIM($F120&amp;""))="free entry"),IF(LOWER($L120&amp;"")="yes","Disqualified — Free Game","Free Game"),IF(LOWER($L120&amp;"")="yes","Disqualified",IF($P120="","",IF(ROUND(IFERROR(VALUE($P120),0)-IFERROR(VALUE($H120),0),2)&gt;0,"Profit","Draw")))))))</ns0:f>
      </ns0:c>
      <ns0:c r="V120" s="956" t="str">
        <ns0:f>IF(COUNTA($A120:$M120)=0,"",IF(OR($B120="",$C120="",$U120="Subscription"),"",IFERROR(ROUNDUP(($C120-$B120)/7,0),"")))</ns0:f>
      </ns0:c>
      <ns0:c r="W120" s="114">
        <ns0:f>IF(COUNTA($A120:$M120)=0,"",IF(OR($U120="Subscription",$U120=""),"",IF($U120="Estimate","N/A",IF(OR($U120="Free Game",$U120="Disqualified — Free Game"),0,ROUND(IFERROR($Q120,0)-IFERROR($S120,0),2)))))</ns0:f>
      </ns0:c>
      <ns0:c r="X120" s="956" t="str">
        <ns0:f>IF(COUNTA($A120:$M120)=0,"",IF(OR($U120="Subscription",NOT(ISNUMBER($J120)),NOT(ISNUMBER($I120)),$J120=0,$I120=0,$I120&gt;$J120),"",$J120-$I120))</ns0:f>
      </ns0:c>
      <ns0:c r="Y120" s="955" t="str">
        <ns0:f>IF(COUNTA($A120:$M120)=0,"",IF(OR($U120="Subscription",NOT(ISNUMBER($J120)),$J120=0,$X120=""),"",$X120/$J120))</ns0:f>
      </ns0:c>
      <ns0:c r="Z120" s="957" t="str">
        <ns0:f>IF(COUNTA($A120:$M120)=0,"",Instructions!$B$29+SUM($W$5:W120))</ns0:f>
      </ns0:c>
    </ns0:row>
    <ns0:row r="121" ht="36" customHeight="1">
      <ns0:c r="A121" s="439"/>
      <ns0:c r="B121" s="453"/>
      <ns0:c r="C121" s="453"/>
      <ns0:c r="D121" s="454"/>
      <ns0:c r="E121" s="454"/>
      <ns0:c r="F121" s="454"/>
      <ns0:c r="G121" s="986"/>
      <ns0:c r="H121" s="455"/>
      <ns0:c r="I121" s="456"/>
      <ns0:c r="J121" s="456"/>
      <ns0:c r="K121" s="986"/>
      <ns0:c r="L121" s="454"/>
      <ns0:c r="M121" s="439"/>
      <ns0:c r="N121" s="987" t="str">
        <ns0:f>IF(COUNTA($A121:$M121)=0,"",IF(OR(LEFT(LOWER(TRIM($F121&amp;"")),12)="subscription",LOWER(TRIM($F121&amp;""))="membership"),"",IF(OR(AND($H121&lt;&gt;"",$H121=0),LEFT(LOWER(TRIM($F121&amp;"")),9)="free game",LOWER(TRIM($F121&amp;""))="free",LOWER(TRIM($F121&amp;""))="free entry"),IF(ISNUMBER($G121),IF(ISNUMBER(SEARCH("non",LOWER($E121&amp;""))),$G121*0.85,$G121),"N/A"),IF($G121="","",IFERROR(IF(ISNUMBER(SEARCH("non",LOWER($E121&amp;""))),$G121*0.85,$G121),"")))))</ns0:f>
        <ns0:v/>
      </ns0:c>
      <ns0:c r="O121" s="987" t="str">
        <ns0:f>IF(COUNTA($A121:$M121)=0,"",IF(OR(LEFT(LOWER(TRIM($F121&amp;"")),12)="subscription",LOWER(TRIM($F121&amp;""))="membership"),"",IF(OR(AND($H121&lt;&gt;"",$H121=0),LEFT(LOWER(TRIM($F121&amp;"")),9)="free game",LOWER(TRIM($F121&amp;""))="free",LOWER(TRIM($F121&amp;""))="free entry"),IF(OR(NOT(ISNUMBER($N121)),NOT(ISNUMBER($I121)),$I121=0),"N/A",IFERROR($N121/$I121,"N/A")),IF(OR($N121="",$I121="",$I121=0),"",IFERROR($N121/$I121,"")))))</ns0:f>
        <ns0:v/>
      </ns0:c>
      <ns0:c r="P121" s="987">
        <ns0:f>IF(COUNTA($A121:$M121)=0,"",IF(OR(LEFT(LOWER(TRIM($F121&amp;"")),12)="subscription",LOWER(TRIM($F121&amp;""))="membership"),"",IF(LOWER(TRIM($D121&amp;""))="estimate","N/A",IF(LOWER($L121&amp;"")="yes",0,IF(OR(AND($H121&lt;&gt;"",$H121=0),LEFT(LOWER(TRIM($F121&amp;"")),9)="free game",LOWER(TRIM($F121&amp;""))="free",LOWER(TRIM($F121&amp;""))="free entry"),IF(ISNUMBER($K121),$K121,""),IF($K121&lt;&gt;"",$K121,""))))))</ns0:f>
      </ns0:c>
      <ns0:c r="Q121" s="114">
        <ns0:f>IF(COUNTA($A121:$M121)=0,"",IF(OR($U121="Subscription",$U121=""),"",IF($U121="Estimate","N/A",IF($U121="Profit",ROUND(IFERROR($P121,0)-IFERROR($H121,0),2),0))))</ns0:f>
      </ns0:c>
      <ns0:c r="R121" s="114">
        <ns0:f>IF(COUNTA($A121:$M121)=0,"",IF(OR($U121="Subscription",$U121=""),"",IF($U121="Estimate","N/A",IF($U121="Draw",$H121,0))))</ns0:f>
      </ns0:c>
      <ns0:c r="S121" s="114">
        <ns0:f>IF(COUNTA($A121:$M121)=0,"",IF(OR($U121="Subscription",$U121=""),"",IF($U121="Estimate","N/A",IF($U121="Disqualified",$H121,0))))</ns0:f>
      </ns0:c>
      <ns0:c r="T121" s="955">
        <ns0:f>IF(COUNTA($A121:$M121)=0,"",IF(OR($U121="Subscription",$U121=""),"",IF($U121="Estimate","N/A",IF(OR($U121="Free Game",$U121="Disqualified — Free Game",$H121=0),"N/A",IF($U121="Profit",$Q121/$H121,IF($U121="Disqualified",-$S121/$H121,0))))))</ns0:f>
      </ns0:c>
      <ns0:c r="U121" s="920">
        <ns0:f>IF(COUNTA($A121:$M121)=0,"",IF(OR(LEFT(LOWER(TRIM($F121&amp;"")),12)="subscription",LOWER(TRIM($F121&amp;""))="membership"),"Subscription",IF(LOWER(TRIM($D121&amp;""))="estimate","Estimate",IF(OR(AND($H121&lt;&gt;"",$H121=0),LEFT(LOWER(TRIM($F121&amp;"")),9)="free game",LOWER(TRIM($F121&amp;""))="free",LOWER(TRIM($F121&amp;""))="free entry"),IF(LOWER($L121&amp;"")="yes","Disqualified — Free Game","Free Game"),IF(LOWER($L121&amp;"")="yes","Disqualified",IF($P121="","",IF(ROUND(IFERROR(VALUE($P121),0)-IFERROR(VALUE($H121),0),2)&gt;0,"Profit","Draw")))))))</ns0:f>
      </ns0:c>
      <ns0:c r="V121" s="956" t="str">
        <ns0:f>IF(COUNTA($A121:$M121)=0,"",IF(OR($B121="",$C121="",$U121="Subscription"),"",IFERROR(ROUNDUP(($C121-$B121)/7,0),"")))</ns0:f>
      </ns0:c>
      <ns0:c r="W121" s="114">
        <ns0:f>IF(COUNTA($A121:$M121)=0,"",IF(OR($U121="Subscription",$U121=""),"",IF($U121="Estimate","N/A",IF(OR($U121="Free Game",$U121="Disqualified — Free Game"),0,ROUND(IFERROR($Q121,0)-IFERROR($S121,0),2)))))</ns0:f>
      </ns0:c>
      <ns0:c r="X121" s="956" t="str">
        <ns0:f>IF(COUNTA($A121:$M121)=0,"",IF(OR($U121="Subscription",NOT(ISNUMBER($J121)),NOT(ISNUMBER($I121)),$J121=0,$I121=0,$I121&gt;$J121),"",$J121-$I121))</ns0:f>
      </ns0:c>
      <ns0:c r="Y121" s="955" t="str">
        <ns0:f>IF(COUNTA($A121:$M121)=0,"",IF(OR($U121="Subscription",NOT(ISNUMBER($J121)),$J121=0,$X121=""),"",$X121/$J121))</ns0:f>
      </ns0:c>
      <ns0:c r="Z121" s="957" t="str">
        <ns0:f>IF(COUNTA($A121:$M121)=0,"",Instructions!$B$29+SUM($W$5:W121))</ns0:f>
      </ns0:c>
    </ns0:row>
    <ns0:row r="122" ht="36" customHeight="1">
      <ns0:c r="A122" s="439"/>
      <ns0:c r="B122" s="453"/>
      <ns0:c r="C122" s="453"/>
      <ns0:c r="D122" s="454"/>
      <ns0:c r="E122" s="454"/>
      <ns0:c r="F122" s="454"/>
      <ns0:c r="G122" s="986"/>
      <ns0:c r="H122" s="455"/>
      <ns0:c r="I122" s="456"/>
      <ns0:c r="J122" s="456"/>
      <ns0:c r="K122" s="986"/>
      <ns0:c r="L122" s="454"/>
      <ns0:c r="M122" s="439"/>
      <ns0:c r="N122" s="987" t="str">
        <ns0:f>IF(COUNTA($A122:$M122)=0,"",IF(OR(LEFT(LOWER(TRIM($F122&amp;"")),12)="subscription",LOWER(TRIM($F122&amp;""))="membership"),"",IF(OR(AND($H122&lt;&gt;"",$H122=0),LEFT(LOWER(TRIM($F122&amp;"")),9)="free game",LOWER(TRIM($F122&amp;""))="free",LOWER(TRIM($F122&amp;""))="free entry"),IF(ISNUMBER($G122),IF(ISNUMBER(SEARCH("non",LOWER($E122&amp;""))),$G122*0.85,$G122),"N/A"),IF($G122="","",IFERROR(IF(ISNUMBER(SEARCH("non",LOWER($E122&amp;""))),$G122*0.85,$G122),"")))))</ns0:f>
        <ns0:v/>
      </ns0:c>
      <ns0:c r="O122" s="987" t="str">
        <ns0:f>IF(COUNTA($A122:$M122)=0,"",IF(OR(LEFT(LOWER(TRIM($F122&amp;"")),12)="subscription",LOWER(TRIM($F122&amp;""))="membership"),"",IF(OR(AND($H122&lt;&gt;"",$H122=0),LEFT(LOWER(TRIM($F122&amp;"")),9)="free game",LOWER(TRIM($F122&amp;""))="free",LOWER(TRIM($F122&amp;""))="free entry"),IF(OR(NOT(ISNUMBER($N122)),NOT(ISNUMBER($I122)),$I122=0),"N/A",IFERROR($N122/$I122,"N/A")),IF(OR($N122="",$I122="",$I122=0),"",IFERROR($N122/$I122,"")))))</ns0:f>
        <ns0:v/>
      </ns0:c>
      <ns0:c r="P122" s="987">
        <ns0:f>IF(COUNTA($A122:$M122)=0,"",IF(OR(LEFT(LOWER(TRIM($F122&amp;"")),12)="subscription",LOWER(TRIM($F122&amp;""))="membership"),"",IF(LOWER(TRIM($D122&amp;""))="estimate","N/A",IF(LOWER($L122&amp;"")="yes",0,IF(OR(AND($H122&lt;&gt;"",$H122=0),LEFT(LOWER(TRIM($F122&amp;"")),9)="free game",LOWER(TRIM($F122&amp;""))="free",LOWER(TRIM($F122&amp;""))="free entry"),IF(ISNUMBER($K122),$K122,""),IF($K122&lt;&gt;"",$K122,""))))))</ns0:f>
      </ns0:c>
      <ns0:c r="Q122" s="114">
        <ns0:f>IF(COUNTA($A122:$M122)=0,"",IF(OR($U122="Subscription",$U122=""),"",IF($U122="Estimate","N/A",IF($U122="Profit",ROUND(IFERROR($P122,0)-IFERROR($H122,0),2),0))))</ns0:f>
      </ns0:c>
      <ns0:c r="R122" s="114">
        <ns0:f>IF(COUNTA($A122:$M122)=0,"",IF(OR($U122="Subscription",$U122=""),"",IF($U122="Estimate","N/A",IF($U122="Draw",$H122,0))))</ns0:f>
      </ns0:c>
      <ns0:c r="S122" s="114">
        <ns0:f>IF(COUNTA($A122:$M122)=0,"",IF(OR($U122="Subscription",$U122=""),"",IF($U122="Estimate","N/A",IF($U122="Disqualified",$H122,0))))</ns0:f>
      </ns0:c>
      <ns0:c r="T122" s="955">
        <ns0:f>IF(COUNTA($A122:$M122)=0,"",IF(OR($U122="Subscription",$U122=""),"",IF($U122="Estimate","N/A",IF(OR($U122="Free Game",$U122="Disqualified — Free Game",$H122=0),"N/A",IF($U122="Profit",$Q122/$H122,IF($U122="Disqualified",-$S122/$H122,0))))))</ns0:f>
      </ns0:c>
      <ns0:c r="U122" s="920">
        <ns0:f>IF(COUNTA($A122:$M122)=0,"",IF(OR(LEFT(LOWER(TRIM($F122&amp;"")),12)="subscription",LOWER(TRIM($F122&amp;""))="membership"),"Subscription",IF(LOWER(TRIM($D122&amp;""))="estimate","Estimate",IF(OR(AND($H122&lt;&gt;"",$H122=0),LEFT(LOWER(TRIM($F122&amp;"")),9)="free game",LOWER(TRIM($F122&amp;""))="free",LOWER(TRIM($F122&amp;""))="free entry"),IF(LOWER($L122&amp;"")="yes","Disqualified — Free Game","Free Game"),IF(LOWER($L122&amp;"")="yes","Disqualified",IF($P122="","",IF(ROUND(IFERROR(VALUE($P122),0)-IFERROR(VALUE($H122),0),2)&gt;0,"Profit","Draw")))))))</ns0:f>
      </ns0:c>
      <ns0:c r="V122" s="956" t="str">
        <ns0:f>IF(COUNTA($A122:$M122)=0,"",IF(OR($B122="",$C122="",$U122="Subscription"),"",IFERROR(ROUNDUP(($C122-$B122)/7,0),"")))</ns0:f>
      </ns0:c>
      <ns0:c r="W122" s="114">
        <ns0:f>IF(COUNTA($A122:$M122)=0,"",IF(OR($U122="Subscription",$U122=""),"",IF($U122="Estimate","N/A",IF(OR($U122="Free Game",$U122="Disqualified — Free Game"),0,ROUND(IFERROR($Q122,0)-IFERROR($S122,0),2)))))</ns0:f>
      </ns0:c>
      <ns0:c r="X122" s="956" t="str">
        <ns0:f>IF(COUNTA($A122:$M122)=0,"",IF(OR($U122="Subscription",NOT(ISNUMBER($J122)),NOT(ISNUMBER($I122)),$J122=0,$I122=0,$I122&gt;$J122),"",$J122-$I122))</ns0:f>
      </ns0:c>
      <ns0:c r="Y122" s="955" t="str">
        <ns0:f>IF(COUNTA($A122:$M122)=0,"",IF(OR($U122="Subscription",NOT(ISNUMBER($J122)),$J122=0,$X122=""),"",$X122/$J122))</ns0:f>
      </ns0:c>
      <ns0:c r="Z122" s="957" t="str">
        <ns0:f>IF(COUNTA($A122:$M122)=0,"",Instructions!$B$29+SUM($W$5:W122))</ns0:f>
      </ns0:c>
    </ns0:row>
    <ns0:row r="123" ht="36" customHeight="1">
      <ns0:c r="A123" s="439"/>
      <ns0:c r="B123" s="453"/>
      <ns0:c r="C123" s="453"/>
      <ns0:c r="D123" s="454"/>
      <ns0:c r="E123" s="454"/>
      <ns0:c r="F123" s="454"/>
      <ns0:c r="G123" s="986"/>
      <ns0:c r="H123" s="455"/>
      <ns0:c r="I123" s="456"/>
      <ns0:c r="J123" s="456"/>
      <ns0:c r="K123" s="986"/>
      <ns0:c r="L123" s="454"/>
      <ns0:c r="M123" s="439"/>
      <ns0:c r="N123" s="987" t="str">
        <ns0:f>IF(COUNTA($A123:$M123)=0,"",IF(OR(LEFT(LOWER(TRIM($F123&amp;"")),12)="subscription",LOWER(TRIM($F123&amp;""))="membership"),"",IF(OR(AND($H123&lt;&gt;"",$H123=0),LEFT(LOWER(TRIM($F123&amp;"")),9)="free game",LOWER(TRIM($F123&amp;""))="free",LOWER(TRIM($F123&amp;""))="free entry"),IF(ISNUMBER($G123),IF(ISNUMBER(SEARCH("non",LOWER($E123&amp;""))),$G123*0.85,$G123),"N/A"),IF($G123="","",IFERROR(IF(ISNUMBER(SEARCH("non",LOWER($E123&amp;""))),$G123*0.85,$G123),"")))))</ns0:f>
        <ns0:v/>
      </ns0:c>
      <ns0:c r="O123" s="987" t="str">
        <ns0:f>IF(COUNTA($A123:$M123)=0,"",IF(OR(LEFT(LOWER(TRIM($F123&amp;"")),12)="subscription",LOWER(TRIM($F123&amp;""))="membership"),"",IF(OR(AND($H123&lt;&gt;"",$H123=0),LEFT(LOWER(TRIM($F123&amp;"")),9)="free game",LOWER(TRIM($F123&amp;""))="free",LOWER(TRIM($F123&amp;""))="free entry"),IF(OR(NOT(ISNUMBER($N123)),NOT(ISNUMBER($I123)),$I123=0),"N/A",IFERROR($N123/$I123,"N/A")),IF(OR($N123="",$I123="",$I123=0),"",IFERROR($N123/$I123,"")))))</ns0:f>
        <ns0:v/>
      </ns0:c>
      <ns0:c r="P123" s="987">
        <ns0:f>IF(COUNTA($A123:$M123)=0,"",IF(OR(LEFT(LOWER(TRIM($F123&amp;"")),12)="subscription",LOWER(TRIM($F123&amp;""))="membership"),"",IF(LOWER(TRIM($D123&amp;""))="estimate","N/A",IF(LOWER($L123&amp;"")="yes",0,IF(OR(AND($H123&lt;&gt;"",$H123=0),LEFT(LOWER(TRIM($F123&amp;"")),9)="free game",LOWER(TRIM($F123&amp;""))="free",LOWER(TRIM($F123&amp;""))="free entry"),IF(ISNUMBER($K123),$K123,""),IF($K123&lt;&gt;"",$K123,""))))))</ns0:f>
      </ns0:c>
      <ns0:c r="Q123" s="114">
        <ns0:f>IF(COUNTA($A123:$M123)=0,"",IF(OR($U123="Subscription",$U123=""),"",IF($U123="Estimate","N/A",IF($U123="Profit",ROUND(IFERROR($P123,0)-IFERROR($H123,0),2),0))))</ns0:f>
      </ns0:c>
      <ns0:c r="R123" s="114">
        <ns0:f>IF(COUNTA($A123:$M123)=0,"",IF(OR($U123="Subscription",$U123=""),"",IF($U123="Estimate","N/A",IF($U123="Draw",$H123,0))))</ns0:f>
      </ns0:c>
      <ns0:c r="S123" s="114">
        <ns0:f>IF(COUNTA($A123:$M123)=0,"",IF(OR($U123="Subscription",$U123=""),"",IF($U123="Estimate","N/A",IF($U123="Disqualified",$H123,0))))</ns0:f>
      </ns0:c>
      <ns0:c r="T123" s="955">
        <ns0:f>IF(COUNTA($A123:$M123)=0,"",IF(OR($U123="Subscription",$U123=""),"",IF($U123="Estimate","N/A",IF(OR($U123="Free Game",$U123="Disqualified — Free Game",$H123=0),"N/A",IF($U123="Profit",$Q123/$H123,IF($U123="Disqualified",-$S123/$H123,0))))))</ns0:f>
      </ns0:c>
      <ns0:c r="U123" s="920">
        <ns0:f>IF(COUNTA($A123:$M123)=0,"",IF(OR(LEFT(LOWER(TRIM($F123&amp;"")),12)="subscription",LOWER(TRIM($F123&amp;""))="membership"),"Subscription",IF(LOWER(TRIM($D123&amp;""))="estimate","Estimate",IF(OR(AND($H123&lt;&gt;"",$H123=0),LEFT(LOWER(TRIM($F123&amp;"")),9)="free game",LOWER(TRIM($F123&amp;""))="free",LOWER(TRIM($F123&amp;""))="free entry"),IF(LOWER($L123&amp;"")="yes","Disqualified — Free Game","Free Game"),IF(LOWER($L123&amp;"")="yes","Disqualified",IF($P123="","",IF(ROUND(IFERROR(VALUE($P123),0)-IFERROR(VALUE($H123),0),2)&gt;0,"Profit","Draw")))))))</ns0:f>
      </ns0:c>
      <ns0:c r="V123" s="956" t="str">
        <ns0:f>IF(COUNTA($A123:$M123)=0,"",IF(OR($B123="",$C123="",$U123="Subscription"),"",IFERROR(ROUNDUP(($C123-$B123)/7,0),"")))</ns0:f>
      </ns0:c>
      <ns0:c r="W123" s="114">
        <ns0:f>IF(COUNTA($A123:$M123)=0,"",IF(OR($U123="Subscription",$U123=""),"",IF($U123="Estimate","N/A",IF(OR($U123="Free Game",$U123="Disqualified — Free Game"),0,ROUND(IFERROR($Q123,0)-IFERROR($S123,0),2)))))</ns0:f>
      </ns0:c>
      <ns0:c r="X123" s="956" t="str">
        <ns0:f>IF(COUNTA($A123:$M123)=0,"",IF(OR($U123="Subscription",NOT(ISNUMBER($J123)),NOT(ISNUMBER($I123)),$J123=0,$I123=0,$I123&gt;$J123),"",$J123-$I123))</ns0:f>
      </ns0:c>
      <ns0:c r="Y123" s="955" t="str">
        <ns0:f>IF(COUNTA($A123:$M123)=0,"",IF(OR($U123="Subscription",NOT(ISNUMBER($J123)),$J123=0,$X123=""),"",$X123/$J123))</ns0:f>
      </ns0:c>
      <ns0:c r="Z123" s="957" t="str">
        <ns0:f>IF(COUNTA($A123:$M123)=0,"",Instructions!$B$29+SUM($W$5:W123))</ns0:f>
      </ns0:c>
    </ns0:row>
    <ns0:row r="124" ht="36" customHeight="1">
      <ns0:c r="A124" s="439"/>
      <ns0:c r="B124" s="453"/>
      <ns0:c r="C124" s="453"/>
      <ns0:c r="D124" s="454"/>
      <ns0:c r="E124" s="454"/>
      <ns0:c r="F124" s="454"/>
      <ns0:c r="G124" s="986"/>
      <ns0:c r="H124" s="455"/>
      <ns0:c r="I124" s="456"/>
      <ns0:c r="J124" s="456"/>
      <ns0:c r="K124" s="986"/>
      <ns0:c r="L124" s="454"/>
      <ns0:c r="M124" s="439"/>
      <ns0:c r="N124" s="987" t="str">
        <ns0:f>IF(COUNTA($A124:$M124)=0,"",IF(OR(LEFT(LOWER(TRIM($F124&amp;"")),12)="subscription",LOWER(TRIM($F124&amp;""))="membership"),"",IF(OR(AND($H124&lt;&gt;"",$H124=0),LEFT(LOWER(TRIM($F124&amp;"")),9)="free game",LOWER(TRIM($F124&amp;""))="free",LOWER(TRIM($F124&amp;""))="free entry"),IF(ISNUMBER($G124),IF(ISNUMBER(SEARCH("non",LOWER($E124&amp;""))),$G124*0.85,$G124),"N/A"),IF($G124="","",IFERROR(IF(ISNUMBER(SEARCH("non",LOWER($E124&amp;""))),$G124*0.85,$G124),"")))))</ns0:f>
        <ns0:v/>
      </ns0:c>
      <ns0:c r="O124" s="987" t="str">
        <ns0:f>IF(COUNTA($A124:$M124)=0,"",IF(OR(LEFT(LOWER(TRIM($F124&amp;"")),12)="subscription",LOWER(TRIM($F124&amp;""))="membership"),"",IF(OR(AND($H124&lt;&gt;"",$H124=0),LEFT(LOWER(TRIM($F124&amp;"")),9)="free game",LOWER(TRIM($F124&amp;""))="free",LOWER(TRIM($F124&amp;""))="free entry"),IF(OR(NOT(ISNUMBER($N124)),NOT(ISNUMBER($I124)),$I124=0),"N/A",IFERROR($N124/$I124,"N/A")),IF(OR($N124="",$I124="",$I124=0),"",IFERROR($N124/$I124,"")))))</ns0:f>
        <ns0:v/>
      </ns0:c>
      <ns0:c r="P124" s="987">
        <ns0:f>IF(COUNTA($A124:$M124)=0,"",IF(OR(LEFT(LOWER(TRIM($F124&amp;"")),12)="subscription",LOWER(TRIM($F124&amp;""))="membership"),"",IF(LOWER(TRIM($D124&amp;""))="estimate","N/A",IF(LOWER($L124&amp;"")="yes",0,IF(OR(AND($H124&lt;&gt;"",$H124=0),LEFT(LOWER(TRIM($F124&amp;"")),9)="free game",LOWER(TRIM($F124&amp;""))="free",LOWER(TRIM($F124&amp;""))="free entry"),IF(ISNUMBER($K124),$K124,""),IF($K124&lt;&gt;"",$K124,""))))))</ns0:f>
      </ns0:c>
      <ns0:c r="Q124" s="114">
        <ns0:f>IF(COUNTA($A124:$M124)=0,"",IF(OR($U124="Subscription",$U124=""),"",IF($U124="Estimate","N/A",IF($U124="Profit",ROUND(IFERROR($P124,0)-IFERROR($H124,0),2),0))))</ns0:f>
      </ns0:c>
      <ns0:c r="R124" s="114">
        <ns0:f>IF(COUNTA($A124:$M124)=0,"",IF(OR($U124="Subscription",$U124=""),"",IF($U124="Estimate","N/A",IF($U124="Draw",$H124,0))))</ns0:f>
      </ns0:c>
      <ns0:c r="S124" s="114">
        <ns0:f>IF(COUNTA($A124:$M124)=0,"",IF(OR($U124="Subscription",$U124=""),"",IF($U124="Estimate","N/A",IF($U124="Disqualified",$H124,0))))</ns0:f>
      </ns0:c>
      <ns0:c r="T124" s="955">
        <ns0:f>IF(COUNTA($A124:$M124)=0,"",IF(OR($U124="Subscription",$U124=""),"",IF($U124="Estimate","N/A",IF(OR($U124="Free Game",$U124="Disqualified — Free Game",$H124=0),"N/A",IF($U124="Profit",$Q124/$H124,IF($U124="Disqualified",-$S124/$H124,0))))))</ns0:f>
      </ns0:c>
      <ns0:c r="U124" s="920">
        <ns0:f>IF(COUNTA($A124:$M124)=0,"",IF(OR(LEFT(LOWER(TRIM($F124&amp;"")),12)="subscription",LOWER(TRIM($F124&amp;""))="membership"),"Subscription",IF(LOWER(TRIM($D124&amp;""))="estimate","Estimate",IF(OR(AND($H124&lt;&gt;"",$H124=0),LEFT(LOWER(TRIM($F124&amp;"")),9)="free game",LOWER(TRIM($F124&amp;""))="free",LOWER(TRIM($F124&amp;""))="free entry"),IF(LOWER($L124&amp;"")="yes","Disqualified — Free Game","Free Game"),IF(LOWER($L124&amp;"")="yes","Disqualified",IF($P124="","",IF(ROUND(IFERROR(VALUE($P124),0)-IFERROR(VALUE($H124),0),2)&gt;0,"Profit","Draw")))))))</ns0:f>
      </ns0:c>
      <ns0:c r="V124" s="956" t="str">
        <ns0:f>IF(COUNTA($A124:$M124)=0,"",IF(OR($B124="",$C124="",$U124="Subscription"),"",IFERROR(ROUNDUP(($C124-$B124)/7,0),"")))</ns0:f>
      </ns0:c>
      <ns0:c r="W124" s="114">
        <ns0:f>IF(COUNTA($A124:$M124)=0,"",IF(OR($U124="Subscription",$U124=""),"",IF($U124="Estimate","N/A",IF(OR($U124="Free Game",$U124="Disqualified — Free Game"),0,ROUND(IFERROR($Q124,0)-IFERROR($S124,0),2)))))</ns0:f>
      </ns0:c>
      <ns0:c r="X124" s="956" t="str">
        <ns0:f>IF(COUNTA($A124:$M124)=0,"",IF(OR($U124="Subscription",NOT(ISNUMBER($J124)),NOT(ISNUMBER($I124)),$J124=0,$I124=0,$I124&gt;$J124),"",$J124-$I124))</ns0:f>
      </ns0:c>
      <ns0:c r="Y124" s="955" t="str">
        <ns0:f>IF(COUNTA($A124:$M124)=0,"",IF(OR($U124="Subscription",NOT(ISNUMBER($J124)),$J124=0,$X124=""),"",$X124/$J124))</ns0:f>
      </ns0:c>
      <ns0:c r="Z124" s="957" t="str">
        <ns0:f>IF(COUNTA($A124:$M124)=0,"",Instructions!$B$29+SUM($W$5:W124))</ns0:f>
      </ns0:c>
    </ns0:row>
    <ns0:row r="125" ht="36" customHeight="1">
      <ns0:c r="A125" s="439"/>
      <ns0:c r="B125" s="453"/>
      <ns0:c r="C125" s="453"/>
      <ns0:c r="D125" s="454"/>
      <ns0:c r="E125" s="454"/>
      <ns0:c r="F125" s="454"/>
      <ns0:c r="G125" s="986"/>
      <ns0:c r="H125" s="455"/>
      <ns0:c r="I125" s="456"/>
      <ns0:c r="J125" s="456"/>
      <ns0:c r="K125" s="986"/>
      <ns0:c r="L125" s="454"/>
      <ns0:c r="M125" s="439"/>
      <ns0:c r="N125" s="987" t="str">
        <ns0:f>IF(COUNTA($A125:$M125)=0,"",IF(OR(LEFT(LOWER(TRIM($F125&amp;"")),12)="subscription",LOWER(TRIM($F125&amp;""))="membership"),"",IF(OR(AND($H125&lt;&gt;"",$H125=0),LEFT(LOWER(TRIM($F125&amp;"")),9)="free game",LOWER(TRIM($F125&amp;""))="free",LOWER(TRIM($F125&amp;""))="free entry"),IF(ISNUMBER($G125),IF(ISNUMBER(SEARCH("non",LOWER($E125&amp;""))),$G125*0.85,$G125),"N/A"),IF($G125="","",IFERROR(IF(ISNUMBER(SEARCH("non",LOWER($E125&amp;""))),$G125*0.85,$G125),"")))))</ns0:f>
        <ns0:v/>
      </ns0:c>
      <ns0:c r="O125" s="987" t="str">
        <ns0:f>IF(COUNTA($A125:$M125)=0,"",IF(OR(LEFT(LOWER(TRIM($F125&amp;"")),12)="subscription",LOWER(TRIM($F125&amp;""))="membership"),"",IF(OR(AND($H125&lt;&gt;"",$H125=0),LEFT(LOWER(TRIM($F125&amp;"")),9)="free game",LOWER(TRIM($F125&amp;""))="free",LOWER(TRIM($F125&amp;""))="free entry"),IF(OR(NOT(ISNUMBER($N125)),NOT(ISNUMBER($I125)),$I125=0),"N/A",IFERROR($N125/$I125,"N/A")),IF(OR($N125="",$I125="",$I125=0),"",IFERROR($N125/$I125,"")))))</ns0:f>
        <ns0:v/>
      </ns0:c>
      <ns0:c r="P125" s="987">
        <ns0:f>IF(COUNTA($A125:$M125)=0,"",IF(OR(LEFT(LOWER(TRIM($F125&amp;"")),12)="subscription",LOWER(TRIM($F125&amp;""))="membership"),"",IF(LOWER(TRIM($D125&amp;""))="estimate","N/A",IF(LOWER($L125&amp;"")="yes",0,IF(OR(AND($H125&lt;&gt;"",$H125=0),LEFT(LOWER(TRIM($F125&amp;"")),9)="free game",LOWER(TRIM($F125&amp;""))="free",LOWER(TRIM($F125&amp;""))="free entry"),IF(ISNUMBER($K125),$K125,""),IF($K125&lt;&gt;"",$K125,""))))))</ns0:f>
      </ns0:c>
      <ns0:c r="Q125" s="114">
        <ns0:f>IF(COUNTA($A125:$M125)=0,"",IF(OR($U125="Subscription",$U125=""),"",IF($U125="Estimate","N/A",IF($U125="Profit",ROUND(IFERROR($P125,0)-IFERROR($H125,0),2),0))))</ns0:f>
      </ns0:c>
      <ns0:c r="R125" s="114">
        <ns0:f>IF(COUNTA($A125:$M125)=0,"",IF(OR($U125="Subscription",$U125=""),"",IF($U125="Estimate","N/A",IF($U125="Draw",$H125,0))))</ns0:f>
      </ns0:c>
      <ns0:c r="S125" s="114">
        <ns0:f>IF(COUNTA($A125:$M125)=0,"",IF(OR($U125="Subscription",$U125=""),"",IF($U125="Estimate","N/A",IF($U125="Disqualified",$H125,0))))</ns0:f>
      </ns0:c>
      <ns0:c r="T125" s="955">
        <ns0:f>IF(COUNTA($A125:$M125)=0,"",IF(OR($U125="Subscription",$U125=""),"",IF($U125="Estimate","N/A",IF(OR($U125="Free Game",$U125="Disqualified — Free Game",$H125=0),"N/A",IF($U125="Profit",$Q125/$H125,IF($U125="Disqualified",-$S125/$H125,0))))))</ns0:f>
      </ns0:c>
      <ns0:c r="U125" s="920">
        <ns0:f>IF(COUNTA($A125:$M125)=0,"",IF(OR(LEFT(LOWER(TRIM($F125&amp;"")),12)="subscription",LOWER(TRIM($F125&amp;""))="membership"),"Subscription",IF(LOWER(TRIM($D125&amp;""))="estimate","Estimate",IF(OR(AND($H125&lt;&gt;"",$H125=0),LEFT(LOWER(TRIM($F125&amp;"")),9)="free game",LOWER(TRIM($F125&amp;""))="free",LOWER(TRIM($F125&amp;""))="free entry"),IF(LOWER($L125&amp;"")="yes","Disqualified — Free Game","Free Game"),IF(LOWER($L125&amp;"")="yes","Disqualified",IF($P125="","",IF(ROUND(IFERROR(VALUE($P125),0)-IFERROR(VALUE($H125),0),2)&gt;0,"Profit","Draw")))))))</ns0:f>
      </ns0:c>
      <ns0:c r="V125" s="956" t="str">
        <ns0:f>IF(COUNTA($A125:$M125)=0,"",IF(OR($B125="",$C125="",$U125="Subscription"),"",IFERROR(ROUNDUP(($C125-$B125)/7,0),"")))</ns0:f>
      </ns0:c>
      <ns0:c r="W125" s="114">
        <ns0:f>IF(COUNTA($A125:$M125)=0,"",IF(OR($U125="Subscription",$U125=""),"",IF($U125="Estimate","N/A",IF(OR($U125="Free Game",$U125="Disqualified — Free Game"),0,ROUND(IFERROR($Q125,0)-IFERROR($S125,0),2)))))</ns0:f>
      </ns0:c>
      <ns0:c r="X125" s="956" t="str">
        <ns0:f>IF(COUNTA($A125:$M125)=0,"",IF(OR($U125="Subscription",NOT(ISNUMBER($J125)),NOT(ISNUMBER($I125)),$J125=0,$I125=0,$I125&gt;$J125),"",$J125-$I125))</ns0:f>
      </ns0:c>
      <ns0:c r="Y125" s="955" t="str">
        <ns0:f>IF(COUNTA($A125:$M125)=0,"",IF(OR($U125="Subscription",NOT(ISNUMBER($J125)),$J125=0,$X125=""),"",$X125/$J125))</ns0:f>
      </ns0:c>
      <ns0:c r="Z125" s="957" t="str">
        <ns0:f>IF(COUNTA($A125:$M125)=0,"",Instructions!$B$29+SUM($W$5:W125))</ns0:f>
      </ns0:c>
    </ns0:row>
    <ns0:row r="126" ht="36" customHeight="1">
      <ns0:c r="A126" s="439"/>
      <ns0:c r="B126" s="453"/>
      <ns0:c r="C126" s="453"/>
      <ns0:c r="D126" s="454"/>
      <ns0:c r="E126" s="454"/>
      <ns0:c r="F126" s="454"/>
      <ns0:c r="G126" s="986"/>
      <ns0:c r="H126" s="455"/>
      <ns0:c r="I126" s="456"/>
      <ns0:c r="J126" s="456"/>
      <ns0:c r="K126" s="986"/>
      <ns0:c r="L126" s="454"/>
      <ns0:c r="M126" s="439"/>
      <ns0:c r="N126" s="987" t="str">
        <ns0:f>IF(COUNTA($A126:$M126)=0,"",IF(OR(LEFT(LOWER(TRIM($F126&amp;"")),12)="subscription",LOWER(TRIM($F126&amp;""))="membership"),"",IF(OR(AND($H126&lt;&gt;"",$H126=0),LEFT(LOWER(TRIM($F126&amp;"")),9)="free game",LOWER(TRIM($F126&amp;""))="free",LOWER(TRIM($F126&amp;""))="free entry"),IF(ISNUMBER($G126),IF(ISNUMBER(SEARCH("non",LOWER($E126&amp;""))),$G126*0.85,$G126),"N/A"),IF($G126="","",IFERROR(IF(ISNUMBER(SEARCH("non",LOWER($E126&amp;""))),$G126*0.85,$G126),"")))))</ns0:f>
        <ns0:v/>
      </ns0:c>
      <ns0:c r="O126" s="987" t="str">
        <ns0:f>IF(COUNTA($A126:$M126)=0,"",IF(OR(LEFT(LOWER(TRIM($F126&amp;"")),12)="subscription",LOWER(TRIM($F126&amp;""))="membership"),"",IF(OR(AND($H126&lt;&gt;"",$H126=0),LEFT(LOWER(TRIM($F126&amp;"")),9)="free game",LOWER(TRIM($F126&amp;""))="free",LOWER(TRIM($F126&amp;""))="free entry"),IF(OR(NOT(ISNUMBER($N126)),NOT(ISNUMBER($I126)),$I126=0),"N/A",IFERROR($N126/$I126,"N/A")),IF(OR($N126="",$I126="",$I126=0),"",IFERROR($N126/$I126,"")))))</ns0:f>
        <ns0:v/>
      </ns0:c>
      <ns0:c r="P126" s="987">
        <ns0:f>IF(COUNTA($A126:$M126)=0,"",IF(OR(LEFT(LOWER(TRIM($F126&amp;"")),12)="subscription",LOWER(TRIM($F126&amp;""))="membership"),"",IF(LOWER(TRIM($D126&amp;""))="estimate","N/A",IF(LOWER($L126&amp;"")="yes",0,IF(OR(AND($H126&lt;&gt;"",$H126=0),LEFT(LOWER(TRIM($F126&amp;"")),9)="free game",LOWER(TRIM($F126&amp;""))="free",LOWER(TRIM($F126&amp;""))="free entry"),IF(ISNUMBER($K126),$K126,""),IF($K126&lt;&gt;"",$K126,""))))))</ns0:f>
      </ns0:c>
      <ns0:c r="Q126" s="114">
        <ns0:f>IF(COUNTA($A126:$M126)=0,"",IF(OR($U126="Subscription",$U126=""),"",IF($U126="Estimate","N/A",IF($U126="Profit",ROUND(IFERROR($P126,0)-IFERROR($H126,0),2),0))))</ns0:f>
      </ns0:c>
      <ns0:c r="R126" s="114">
        <ns0:f>IF(COUNTA($A126:$M126)=0,"",IF(OR($U126="Subscription",$U126=""),"",IF($U126="Estimate","N/A",IF($U126="Draw",$H126,0))))</ns0:f>
      </ns0:c>
      <ns0:c r="S126" s="114">
        <ns0:f>IF(COUNTA($A126:$M126)=0,"",IF(OR($U126="Subscription",$U126=""),"",IF($U126="Estimate","N/A",IF($U126="Disqualified",$H126,0))))</ns0:f>
      </ns0:c>
      <ns0:c r="T126" s="955">
        <ns0:f>IF(COUNTA($A126:$M126)=0,"",IF(OR($U126="Subscription",$U126=""),"",IF($U126="Estimate","N/A",IF(OR($U126="Free Game",$U126="Disqualified — Free Game",$H126=0),"N/A",IF($U126="Profit",$Q126/$H126,IF($U126="Disqualified",-$S126/$H126,0))))))</ns0:f>
      </ns0:c>
      <ns0:c r="U126" s="920">
        <ns0:f>IF(COUNTA($A126:$M126)=0,"",IF(OR(LEFT(LOWER(TRIM($F126&amp;"")),12)="subscription",LOWER(TRIM($F126&amp;""))="membership"),"Subscription",IF(LOWER(TRIM($D126&amp;""))="estimate","Estimate",IF(OR(AND($H126&lt;&gt;"",$H126=0),LEFT(LOWER(TRIM($F126&amp;"")),9)="free game",LOWER(TRIM($F126&amp;""))="free",LOWER(TRIM($F126&amp;""))="free entry"),IF(LOWER($L126&amp;"")="yes","Disqualified — Free Game","Free Game"),IF(LOWER($L126&amp;"")="yes","Disqualified",IF($P126="","",IF(ROUND(IFERROR(VALUE($P126),0)-IFERROR(VALUE($H126),0),2)&gt;0,"Profit","Draw")))))))</ns0:f>
      </ns0:c>
      <ns0:c r="V126" s="956" t="str">
        <ns0:f>IF(COUNTA($A126:$M126)=0,"",IF(OR($B126="",$C126="",$U126="Subscription"),"",IFERROR(ROUNDUP(($C126-$B126)/7,0),"")))</ns0:f>
      </ns0:c>
      <ns0:c r="W126" s="114">
        <ns0:f>IF(COUNTA($A126:$M126)=0,"",IF(OR($U126="Subscription",$U126=""),"",IF($U126="Estimate","N/A",IF(OR($U126="Free Game",$U126="Disqualified — Free Game"),0,ROUND(IFERROR($Q126,0)-IFERROR($S126,0),2)))))</ns0:f>
      </ns0:c>
      <ns0:c r="X126" s="956" t="str">
        <ns0:f>IF(COUNTA($A126:$M126)=0,"",IF(OR($U126="Subscription",NOT(ISNUMBER($J126)),NOT(ISNUMBER($I126)),$J126=0,$I126=0,$I126&gt;$J126),"",$J126-$I126))</ns0:f>
      </ns0:c>
      <ns0:c r="Y126" s="955" t="str">
        <ns0:f>IF(COUNTA($A126:$M126)=0,"",IF(OR($U126="Subscription",NOT(ISNUMBER($J126)),$J126=0,$X126=""),"",$X126/$J126))</ns0:f>
      </ns0:c>
      <ns0:c r="Z126" s="957" t="str">
        <ns0:f>IF(COUNTA($A126:$M126)=0,"",Instructions!$B$29+SUM($W$5:W126))</ns0:f>
      </ns0:c>
    </ns0:row>
    <ns0:row r="127" ht="36" customHeight="1">
      <ns0:c r="A127" s="439"/>
      <ns0:c r="B127" s="453"/>
      <ns0:c r="C127" s="453"/>
      <ns0:c r="D127" s="454"/>
      <ns0:c r="E127" s="454"/>
      <ns0:c r="F127" s="454"/>
      <ns0:c r="G127" s="986"/>
      <ns0:c r="H127" s="455"/>
      <ns0:c r="I127" s="456"/>
      <ns0:c r="J127" s="456"/>
      <ns0:c r="K127" s="986"/>
      <ns0:c r="L127" s="454"/>
      <ns0:c r="M127" s="439"/>
      <ns0:c r="N127" s="987" t="str">
        <ns0:f>IF(COUNTA($A127:$M127)=0,"",IF(OR(LEFT(LOWER(TRIM($F127&amp;"")),12)="subscription",LOWER(TRIM($F127&amp;""))="membership"),"",IF(OR(AND($H127&lt;&gt;"",$H127=0),LEFT(LOWER(TRIM($F127&amp;"")),9)="free game",LOWER(TRIM($F127&amp;""))="free",LOWER(TRIM($F127&amp;""))="free entry"),IF(ISNUMBER($G127),IF(ISNUMBER(SEARCH("non",LOWER($E127&amp;""))),$G127*0.85,$G127),"N/A"),IF($G127="","",IFERROR(IF(ISNUMBER(SEARCH("non",LOWER($E127&amp;""))),$G127*0.85,$G127),"")))))</ns0:f>
        <ns0:v/>
      </ns0:c>
      <ns0:c r="O127" s="987" t="str">
        <ns0:f>IF(COUNTA($A127:$M127)=0,"",IF(OR(LEFT(LOWER(TRIM($F127&amp;"")),12)="subscription",LOWER(TRIM($F127&amp;""))="membership"),"",IF(OR(AND($H127&lt;&gt;"",$H127=0),LEFT(LOWER(TRIM($F127&amp;"")),9)="free game",LOWER(TRIM($F127&amp;""))="free",LOWER(TRIM($F127&amp;""))="free entry"),IF(OR(NOT(ISNUMBER($N127)),NOT(ISNUMBER($I127)),$I127=0),"N/A",IFERROR($N127/$I127,"N/A")),IF(OR($N127="",$I127="",$I127=0),"",IFERROR($N127/$I127,"")))))</ns0:f>
        <ns0:v/>
      </ns0:c>
      <ns0:c r="P127" s="987">
        <ns0:f>IF(COUNTA($A127:$M127)=0,"",IF(OR(LEFT(LOWER(TRIM($F127&amp;"")),12)="subscription",LOWER(TRIM($F127&amp;""))="membership"),"",IF(LOWER(TRIM($D127&amp;""))="estimate","N/A",IF(LOWER($L127&amp;"")="yes",0,IF(OR(AND($H127&lt;&gt;"",$H127=0),LEFT(LOWER(TRIM($F127&amp;"")),9)="free game",LOWER(TRIM($F127&amp;""))="free",LOWER(TRIM($F127&amp;""))="free entry"),IF(ISNUMBER($K127),$K127,""),IF($K127&lt;&gt;"",$K127,""))))))</ns0:f>
      </ns0:c>
      <ns0:c r="Q127" s="114">
        <ns0:f>IF(COUNTA($A127:$M127)=0,"",IF(OR($U127="Subscription",$U127=""),"",IF($U127="Estimate","N/A",IF($U127="Profit",ROUND(IFERROR($P127,0)-IFERROR($H127,0),2),0))))</ns0:f>
      </ns0:c>
      <ns0:c r="R127" s="114">
        <ns0:f>IF(COUNTA($A127:$M127)=0,"",IF(OR($U127="Subscription",$U127=""),"",IF($U127="Estimate","N/A",IF($U127="Draw",$H127,0))))</ns0:f>
      </ns0:c>
      <ns0:c r="S127" s="114">
        <ns0:f>IF(COUNTA($A127:$M127)=0,"",IF(OR($U127="Subscription",$U127=""),"",IF($U127="Estimate","N/A",IF($U127="Disqualified",$H127,0))))</ns0:f>
      </ns0:c>
      <ns0:c r="T127" s="955">
        <ns0:f>IF(COUNTA($A127:$M127)=0,"",IF(OR($U127="Subscription",$U127=""),"",IF($U127="Estimate","N/A",IF(OR($U127="Free Game",$U127="Disqualified — Free Game",$H127=0),"N/A",IF($U127="Profit",$Q127/$H127,IF($U127="Disqualified",-$S127/$H127,0))))))</ns0:f>
      </ns0:c>
      <ns0:c r="U127" s="920">
        <ns0:f>IF(COUNTA($A127:$M127)=0,"",IF(OR(LEFT(LOWER(TRIM($F127&amp;"")),12)="subscription",LOWER(TRIM($F127&amp;""))="membership"),"Subscription",IF(LOWER(TRIM($D127&amp;""))="estimate","Estimate",IF(OR(AND($H127&lt;&gt;"",$H127=0),LEFT(LOWER(TRIM($F127&amp;"")),9)="free game",LOWER(TRIM($F127&amp;""))="free",LOWER(TRIM($F127&amp;""))="free entry"),IF(LOWER($L127&amp;"")="yes","Disqualified — Free Game","Free Game"),IF(LOWER($L127&amp;"")="yes","Disqualified",IF($P127="","",IF(ROUND(IFERROR(VALUE($P127),0)-IFERROR(VALUE($H127),0),2)&gt;0,"Profit","Draw")))))))</ns0:f>
      </ns0:c>
      <ns0:c r="V127" s="956" t="str">
        <ns0:f>IF(COUNTA($A127:$M127)=0,"",IF(OR($B127="",$C127="",$U127="Subscription"),"",IFERROR(ROUNDUP(($C127-$B127)/7,0),"")))</ns0:f>
      </ns0:c>
      <ns0:c r="W127" s="114">
        <ns0:f>IF(COUNTA($A127:$M127)=0,"",IF(OR($U127="Subscription",$U127=""),"",IF($U127="Estimate","N/A",IF(OR($U127="Free Game",$U127="Disqualified — Free Game"),0,ROUND(IFERROR($Q127,0)-IFERROR($S127,0),2)))))</ns0:f>
      </ns0:c>
      <ns0:c r="X127" s="956" t="str">
        <ns0:f>IF(COUNTA($A127:$M127)=0,"",IF(OR($U127="Subscription",NOT(ISNUMBER($J127)),NOT(ISNUMBER($I127)),$J127=0,$I127=0,$I127&gt;$J127),"",$J127-$I127))</ns0:f>
      </ns0:c>
      <ns0:c r="Y127" s="955" t="str">
        <ns0:f>IF(COUNTA($A127:$M127)=0,"",IF(OR($U127="Subscription",NOT(ISNUMBER($J127)),$J127=0,$X127=""),"",$X127/$J127))</ns0:f>
      </ns0:c>
      <ns0:c r="Z127" s="957" t="str">
        <ns0:f>IF(COUNTA($A127:$M127)=0,"",Instructions!$B$29+SUM($W$5:W127))</ns0:f>
      </ns0:c>
    </ns0:row>
    <ns0:row r="128" ht="36" customHeight="1">
      <ns0:c r="A128" s="439"/>
      <ns0:c r="B128" s="453"/>
      <ns0:c r="C128" s="453"/>
      <ns0:c r="D128" s="454"/>
      <ns0:c r="E128" s="454"/>
      <ns0:c r="F128" s="454"/>
      <ns0:c r="G128" s="986"/>
      <ns0:c r="H128" s="455"/>
      <ns0:c r="I128" s="456"/>
      <ns0:c r="J128" s="456"/>
      <ns0:c r="K128" s="986"/>
      <ns0:c r="L128" s="454"/>
      <ns0:c r="M128" s="439"/>
      <ns0:c r="N128" s="987" t="str">
        <ns0:f>IF(COUNTA($A128:$M128)=0,"",IF(OR(LEFT(LOWER(TRIM($F128&amp;"")),12)="subscription",LOWER(TRIM($F128&amp;""))="membership"),"",IF(OR(AND($H128&lt;&gt;"",$H128=0),LEFT(LOWER(TRIM($F128&amp;"")),9)="free game",LOWER(TRIM($F128&amp;""))="free",LOWER(TRIM($F128&amp;""))="free entry"),IF(ISNUMBER($G128),IF(ISNUMBER(SEARCH("non",LOWER($E128&amp;""))),$G128*0.85,$G128),"N/A"),IF($G128="","",IFERROR(IF(ISNUMBER(SEARCH("non",LOWER($E128&amp;""))),$G128*0.85,$G128),"")))))</ns0:f>
        <ns0:v/>
      </ns0:c>
      <ns0:c r="O128" s="987" t="str">
        <ns0:f>IF(COUNTA($A128:$M128)=0,"",IF(OR(LEFT(LOWER(TRIM($F128&amp;"")),12)="subscription",LOWER(TRIM($F128&amp;""))="membership"),"",IF(OR(AND($H128&lt;&gt;"",$H128=0),LEFT(LOWER(TRIM($F128&amp;"")),9)="free game",LOWER(TRIM($F128&amp;""))="free",LOWER(TRIM($F128&amp;""))="free entry"),IF(OR(NOT(ISNUMBER($N128)),NOT(ISNUMBER($I128)),$I128=0),"N/A",IFERROR($N128/$I128,"N/A")),IF(OR($N128="",$I128="",$I128=0),"",IFERROR($N128/$I128,"")))))</ns0:f>
        <ns0:v/>
      </ns0:c>
      <ns0:c r="P128" s="987">
        <ns0:f>IF(COUNTA($A128:$M128)=0,"",IF(OR(LEFT(LOWER(TRIM($F128&amp;"")),12)="subscription",LOWER(TRIM($F128&amp;""))="membership"),"",IF(LOWER(TRIM($D128&amp;""))="estimate","N/A",IF(LOWER($L128&amp;"")="yes",0,IF(OR(AND($H128&lt;&gt;"",$H128=0),LEFT(LOWER(TRIM($F128&amp;"")),9)="free game",LOWER(TRIM($F128&amp;""))="free",LOWER(TRIM($F128&amp;""))="free entry"),IF(ISNUMBER($K128),$K128,""),IF($K128&lt;&gt;"",$K128,""))))))</ns0:f>
      </ns0:c>
      <ns0:c r="Q128" s="114">
        <ns0:f>IF(COUNTA($A128:$M128)=0,"",IF(OR($U128="Subscription",$U128=""),"",IF($U128="Estimate","N/A",IF($U128="Profit",ROUND(IFERROR($P128,0)-IFERROR($H128,0),2),0))))</ns0:f>
      </ns0:c>
      <ns0:c r="R128" s="114">
        <ns0:f>IF(COUNTA($A128:$M128)=0,"",IF(OR($U128="Subscription",$U128=""),"",IF($U128="Estimate","N/A",IF($U128="Draw",$H128,0))))</ns0:f>
      </ns0:c>
      <ns0:c r="S128" s="114">
        <ns0:f>IF(COUNTA($A128:$M128)=0,"",IF(OR($U128="Subscription",$U128=""),"",IF($U128="Estimate","N/A",IF($U128="Disqualified",$H128,0))))</ns0:f>
      </ns0:c>
      <ns0:c r="T128" s="955">
        <ns0:f>IF(COUNTA($A128:$M128)=0,"",IF(OR($U128="Subscription",$U128=""),"",IF($U128="Estimate","N/A",IF(OR($U128="Free Game",$U128="Disqualified — Free Game",$H128=0),"N/A",IF($U128="Profit",$Q128/$H128,IF($U128="Disqualified",-$S128/$H128,0))))))</ns0:f>
      </ns0:c>
      <ns0:c r="U128" s="920">
        <ns0:f>IF(COUNTA($A128:$M128)=0,"",IF(OR(LEFT(LOWER(TRIM($F128&amp;"")),12)="subscription",LOWER(TRIM($F128&amp;""))="membership"),"Subscription",IF(LOWER(TRIM($D128&amp;""))="estimate","Estimate",IF(OR(AND($H128&lt;&gt;"",$H128=0),LEFT(LOWER(TRIM($F128&amp;"")),9)="free game",LOWER(TRIM($F128&amp;""))="free",LOWER(TRIM($F128&amp;""))="free entry"),IF(LOWER($L128&amp;"")="yes","Disqualified — Free Game","Free Game"),IF(LOWER($L128&amp;"")="yes","Disqualified",IF($P128="","",IF(ROUND(IFERROR(VALUE($P128),0)-IFERROR(VALUE($H128),0),2)&gt;0,"Profit","Draw")))))))</ns0:f>
      </ns0:c>
      <ns0:c r="V128" s="956" t="str">
        <ns0:f>IF(COUNTA($A128:$M128)=0,"",IF(OR($B128="",$C128="",$U128="Subscription"),"",IFERROR(ROUNDUP(($C128-$B128)/7,0),"")))</ns0:f>
      </ns0:c>
      <ns0:c r="W128" s="114">
        <ns0:f>IF(COUNTA($A128:$M128)=0,"",IF(OR($U128="Subscription",$U128=""),"",IF($U128="Estimate","N/A",IF(OR($U128="Free Game",$U128="Disqualified — Free Game"),0,ROUND(IFERROR($Q128,0)-IFERROR($S128,0),2)))))</ns0:f>
      </ns0:c>
      <ns0:c r="X128" s="956" t="str">
        <ns0:f>IF(COUNTA($A128:$M128)=0,"",IF(OR($U128="Subscription",NOT(ISNUMBER($J128)),NOT(ISNUMBER($I128)),$J128=0,$I128=0,$I128&gt;$J128),"",$J128-$I128))</ns0:f>
      </ns0:c>
      <ns0:c r="Y128" s="955" t="str">
        <ns0:f>IF(COUNTA($A128:$M128)=0,"",IF(OR($U128="Subscription",NOT(ISNUMBER($J128)),$J128=0,$X128=""),"",$X128/$J128))</ns0:f>
      </ns0:c>
      <ns0:c r="Z128" s="957" t="str">
        <ns0:f>IF(COUNTA($A128:$M128)=0,"",Instructions!$B$29+SUM($W$5:W128))</ns0:f>
      </ns0:c>
    </ns0:row>
    <ns0:row r="129" ht="36" customHeight="1">
      <ns0:c r="A129" s="439"/>
      <ns0:c r="B129" s="453"/>
      <ns0:c r="C129" s="453"/>
      <ns0:c r="D129" s="454"/>
      <ns0:c r="E129" s="454"/>
      <ns0:c r="F129" s="454"/>
      <ns0:c r="G129" s="986"/>
      <ns0:c r="H129" s="455"/>
      <ns0:c r="I129" s="456"/>
      <ns0:c r="J129" s="456"/>
      <ns0:c r="K129" s="986"/>
      <ns0:c r="L129" s="454"/>
      <ns0:c r="M129" s="439"/>
      <ns0:c r="N129" s="987" t="str">
        <ns0:f>IF(COUNTA($A129:$M129)=0,"",IF(OR(LEFT(LOWER(TRIM($F129&amp;"")),12)="subscription",LOWER(TRIM($F129&amp;""))="membership"),"",IF(OR(AND($H129&lt;&gt;"",$H129=0),LEFT(LOWER(TRIM($F129&amp;"")),9)="free game",LOWER(TRIM($F129&amp;""))="free",LOWER(TRIM($F129&amp;""))="free entry"),IF(ISNUMBER($G129),IF(ISNUMBER(SEARCH("non",LOWER($E129&amp;""))),$G129*0.85,$G129),"N/A"),IF($G129="","",IFERROR(IF(ISNUMBER(SEARCH("non",LOWER($E129&amp;""))),$G129*0.85,$G129),"")))))</ns0:f>
        <ns0:v/>
      </ns0:c>
      <ns0:c r="O129" s="987" t="str">
        <ns0:f>IF(COUNTA($A129:$M129)=0,"",IF(OR(LEFT(LOWER(TRIM($F129&amp;"")),12)="subscription",LOWER(TRIM($F129&amp;""))="membership"),"",IF(OR(AND($H129&lt;&gt;"",$H129=0),LEFT(LOWER(TRIM($F129&amp;"")),9)="free game",LOWER(TRIM($F129&amp;""))="free",LOWER(TRIM($F129&amp;""))="free entry"),IF(OR(NOT(ISNUMBER($N129)),NOT(ISNUMBER($I129)),$I129=0),"N/A",IFERROR($N129/$I129,"N/A")),IF(OR($N129="",$I129="",$I129=0),"",IFERROR($N129/$I129,"")))))</ns0:f>
        <ns0:v/>
      </ns0:c>
      <ns0:c r="P129" s="987">
        <ns0:f>IF(COUNTA($A129:$M129)=0,"",IF(OR(LEFT(LOWER(TRIM($F129&amp;"")),12)="subscription",LOWER(TRIM($F129&amp;""))="membership"),"",IF(LOWER(TRIM($D129&amp;""))="estimate","N/A",IF(LOWER($L129&amp;"")="yes",0,IF(OR(AND($H129&lt;&gt;"",$H129=0),LEFT(LOWER(TRIM($F129&amp;"")),9)="free game",LOWER(TRIM($F129&amp;""))="free",LOWER(TRIM($F129&amp;""))="free entry"),IF(ISNUMBER($K129),$K129,""),IF($K129&lt;&gt;"",$K129,""))))))</ns0:f>
      </ns0:c>
      <ns0:c r="Q129" s="114">
        <ns0:f>IF(COUNTA($A129:$M129)=0,"",IF(OR($U129="Subscription",$U129=""),"",IF($U129="Estimate","N/A",IF($U129="Profit",ROUND(IFERROR($P129,0)-IFERROR($H129,0),2),0))))</ns0:f>
      </ns0:c>
      <ns0:c r="R129" s="114">
        <ns0:f>IF(COUNTA($A129:$M129)=0,"",IF(OR($U129="Subscription",$U129=""),"",IF($U129="Estimate","N/A",IF($U129="Draw",$H129,0))))</ns0:f>
      </ns0:c>
      <ns0:c r="S129" s="114">
        <ns0:f>IF(COUNTA($A129:$M129)=0,"",IF(OR($U129="Subscription",$U129=""),"",IF($U129="Estimate","N/A",IF($U129="Disqualified",$H129,0))))</ns0:f>
      </ns0:c>
      <ns0:c r="T129" s="955">
        <ns0:f>IF(COUNTA($A129:$M129)=0,"",IF(OR($U129="Subscription",$U129=""),"",IF($U129="Estimate","N/A",IF(OR($U129="Free Game",$U129="Disqualified — Free Game",$H129=0),"N/A",IF($U129="Profit",$Q129/$H129,IF($U129="Disqualified",-$S129/$H129,0))))))</ns0:f>
      </ns0:c>
      <ns0:c r="U129" s="920">
        <ns0:f>IF(COUNTA($A129:$M129)=0,"",IF(OR(LEFT(LOWER(TRIM($F129&amp;"")),12)="subscription",LOWER(TRIM($F129&amp;""))="membership"),"Subscription",IF(LOWER(TRIM($D129&amp;""))="estimate","Estimate",IF(OR(AND($H129&lt;&gt;"",$H129=0),LEFT(LOWER(TRIM($F129&amp;"")),9)="free game",LOWER(TRIM($F129&amp;""))="free",LOWER(TRIM($F129&amp;""))="free entry"),IF(LOWER($L129&amp;"")="yes","Disqualified — Free Game","Free Game"),IF(LOWER($L129&amp;"")="yes","Disqualified",IF($P129="","",IF(ROUND(IFERROR(VALUE($P129),0)-IFERROR(VALUE($H129),0),2)&gt;0,"Profit","Draw")))))))</ns0:f>
      </ns0:c>
      <ns0:c r="V129" s="956" t="str">
        <ns0:f>IF(COUNTA($A129:$M129)=0,"",IF(OR($B129="",$C129="",$U129="Subscription"),"",IFERROR(ROUNDUP(($C129-$B129)/7,0),"")))</ns0:f>
      </ns0:c>
      <ns0:c r="W129" s="114">
        <ns0:f>IF(COUNTA($A129:$M129)=0,"",IF(OR($U129="Subscription",$U129=""),"",IF($U129="Estimate","N/A",IF(OR($U129="Free Game",$U129="Disqualified — Free Game"),0,ROUND(IFERROR($Q129,0)-IFERROR($S129,0),2)))))</ns0:f>
      </ns0:c>
      <ns0:c r="X129" s="956" t="str">
        <ns0:f>IF(COUNTA($A129:$M129)=0,"",IF(OR($U129="Subscription",NOT(ISNUMBER($J129)),NOT(ISNUMBER($I129)),$J129=0,$I129=0,$I129&gt;$J129),"",$J129-$I129))</ns0:f>
      </ns0:c>
      <ns0:c r="Y129" s="955" t="str">
        <ns0:f>IF(COUNTA($A129:$M129)=0,"",IF(OR($U129="Subscription",NOT(ISNUMBER($J129)),$J129=0,$X129=""),"",$X129/$J129))</ns0:f>
      </ns0:c>
      <ns0:c r="Z129" s="957" t="str">
        <ns0:f>IF(COUNTA($A129:$M129)=0,"",Instructions!$B$29+SUM($W$5:W129))</ns0:f>
      </ns0:c>
    </ns0:row>
    <ns0:row r="130" ht="36" customHeight="1">
      <ns0:c r="A130" s="439"/>
      <ns0:c r="B130" s="453"/>
      <ns0:c r="C130" s="453"/>
      <ns0:c r="D130" s="454"/>
      <ns0:c r="E130" s="454"/>
      <ns0:c r="F130" s="454"/>
      <ns0:c r="G130" s="986"/>
      <ns0:c r="H130" s="455"/>
      <ns0:c r="I130" s="456"/>
      <ns0:c r="J130" s="456"/>
      <ns0:c r="K130" s="986"/>
      <ns0:c r="L130" s="454"/>
      <ns0:c r="M130" s="439"/>
      <ns0:c r="N130" s="987" t="str">
        <ns0:f>IF(COUNTA($A130:$M130)=0,"",IF(OR(LEFT(LOWER(TRIM($F130&amp;"")),12)="subscription",LOWER(TRIM($F130&amp;""))="membership"),"",IF(OR(AND($H130&lt;&gt;"",$H130=0),LEFT(LOWER(TRIM($F130&amp;"")),9)="free game",LOWER(TRIM($F130&amp;""))="free",LOWER(TRIM($F130&amp;""))="free entry"),IF(ISNUMBER($G130),IF(ISNUMBER(SEARCH("non",LOWER($E130&amp;""))),$G130*0.85,$G130),"N/A"),IF($G130="","",IFERROR(IF(ISNUMBER(SEARCH("non",LOWER($E130&amp;""))),$G130*0.85,$G130),"")))))</ns0:f>
        <ns0:v/>
      </ns0:c>
      <ns0:c r="O130" s="987" t="str">
        <ns0:f>IF(COUNTA($A130:$M130)=0,"",IF(OR(LEFT(LOWER(TRIM($F130&amp;"")),12)="subscription",LOWER(TRIM($F130&amp;""))="membership"),"",IF(OR(AND($H130&lt;&gt;"",$H130=0),LEFT(LOWER(TRIM($F130&amp;"")),9)="free game",LOWER(TRIM($F130&amp;""))="free",LOWER(TRIM($F130&amp;""))="free entry"),IF(OR(NOT(ISNUMBER($N130)),NOT(ISNUMBER($I130)),$I130=0),"N/A",IFERROR($N130/$I130,"N/A")),IF(OR($N130="",$I130="",$I130=0),"",IFERROR($N130/$I130,"")))))</ns0:f>
        <ns0:v/>
      </ns0:c>
      <ns0:c r="P130" s="987">
        <ns0:f>IF(COUNTA($A130:$M130)=0,"",IF(OR(LEFT(LOWER(TRIM($F130&amp;"")),12)="subscription",LOWER(TRIM($F130&amp;""))="membership"),"",IF(LOWER(TRIM($D130&amp;""))="estimate","N/A",IF(LOWER($L130&amp;"")="yes",0,IF(OR(AND($H130&lt;&gt;"",$H130=0),LEFT(LOWER(TRIM($F130&amp;"")),9)="free game",LOWER(TRIM($F130&amp;""))="free",LOWER(TRIM($F130&amp;""))="free entry"),IF(ISNUMBER($K130),$K130,""),IF($K130&lt;&gt;"",$K130,""))))))</ns0:f>
      </ns0:c>
      <ns0:c r="Q130" s="114">
        <ns0:f>IF(COUNTA($A130:$M130)=0,"",IF(OR($U130="Subscription",$U130=""),"",IF($U130="Estimate","N/A",IF($U130="Profit",ROUND(IFERROR($P130,0)-IFERROR($H130,0),2),0))))</ns0:f>
      </ns0:c>
      <ns0:c r="R130" s="114">
        <ns0:f>IF(COUNTA($A130:$M130)=0,"",IF(OR($U130="Subscription",$U130=""),"",IF($U130="Estimate","N/A",IF($U130="Draw",$H130,0))))</ns0:f>
      </ns0:c>
      <ns0:c r="S130" s="114">
        <ns0:f>IF(COUNTA($A130:$M130)=0,"",IF(OR($U130="Subscription",$U130=""),"",IF($U130="Estimate","N/A",IF($U130="Disqualified",$H130,0))))</ns0:f>
      </ns0:c>
      <ns0:c r="T130" s="955">
        <ns0:f>IF(COUNTA($A130:$M130)=0,"",IF(OR($U130="Subscription",$U130=""),"",IF($U130="Estimate","N/A",IF(OR($U130="Free Game",$U130="Disqualified — Free Game",$H130=0),"N/A",IF($U130="Profit",$Q130/$H130,IF($U130="Disqualified",-$S130/$H130,0))))))</ns0:f>
      </ns0:c>
      <ns0:c r="U130" s="920">
        <ns0:f>IF(COUNTA($A130:$M130)=0,"",IF(OR(LEFT(LOWER(TRIM($F130&amp;"")),12)="subscription",LOWER(TRIM($F130&amp;""))="membership"),"Subscription",IF(LOWER(TRIM($D130&amp;""))="estimate","Estimate",IF(OR(AND($H130&lt;&gt;"",$H130=0),LEFT(LOWER(TRIM($F130&amp;"")),9)="free game",LOWER(TRIM($F130&amp;""))="free",LOWER(TRIM($F130&amp;""))="free entry"),IF(LOWER($L130&amp;"")="yes","Disqualified — Free Game","Free Game"),IF(LOWER($L130&amp;"")="yes","Disqualified",IF($P130="","",IF(ROUND(IFERROR(VALUE($P130),0)-IFERROR(VALUE($H130),0),2)&gt;0,"Profit","Draw")))))))</ns0:f>
      </ns0:c>
      <ns0:c r="V130" s="956" t="str">
        <ns0:f>IF(COUNTA($A130:$M130)=0,"",IF(OR($B130="",$C130="",$U130="Subscription"),"",IFERROR(ROUNDUP(($C130-$B130)/7,0),"")))</ns0:f>
      </ns0:c>
      <ns0:c r="W130" s="114">
        <ns0:f>IF(COUNTA($A130:$M130)=0,"",IF(OR($U130="Subscription",$U130=""),"",IF($U130="Estimate","N/A",IF(OR($U130="Free Game",$U130="Disqualified — Free Game"),0,ROUND(IFERROR($Q130,0)-IFERROR($S130,0),2)))))</ns0:f>
      </ns0:c>
      <ns0:c r="X130" s="956" t="str">
        <ns0:f>IF(COUNTA($A130:$M130)=0,"",IF(OR($U130="Subscription",NOT(ISNUMBER($J130)),NOT(ISNUMBER($I130)),$J130=0,$I130=0,$I130&gt;$J130),"",$J130-$I130))</ns0:f>
      </ns0:c>
      <ns0:c r="Y130" s="955" t="str">
        <ns0:f>IF(COUNTA($A130:$M130)=0,"",IF(OR($U130="Subscription",NOT(ISNUMBER($J130)),$J130=0,$X130=""),"",$X130/$J130))</ns0:f>
      </ns0:c>
      <ns0:c r="Z130" s="957" t="str">
        <ns0:f>IF(COUNTA($A130:$M130)=0,"",Instructions!$B$29+SUM($W$5:W130))</ns0:f>
      </ns0:c>
    </ns0:row>
    <ns0:row r="131" ht="36" customHeight="1">
      <ns0:c r="A131" s="439"/>
      <ns0:c r="B131" s="453"/>
      <ns0:c r="C131" s="453"/>
      <ns0:c r="D131" s="454"/>
      <ns0:c r="E131" s="454"/>
      <ns0:c r="F131" s="454"/>
      <ns0:c r="G131" s="986"/>
      <ns0:c r="H131" s="455"/>
      <ns0:c r="I131" s="456"/>
      <ns0:c r="J131" s="456"/>
      <ns0:c r="K131" s="986"/>
      <ns0:c r="L131" s="454"/>
      <ns0:c r="M131" s="439"/>
      <ns0:c r="N131" s="987" t="str">
        <ns0:f>IF(COUNTA($A131:$M131)=0,"",IF(OR(LEFT(LOWER(TRIM($F131&amp;"")),12)="subscription",LOWER(TRIM($F131&amp;""))="membership"),"",IF(OR(AND($H131&lt;&gt;"",$H131=0),LEFT(LOWER(TRIM($F131&amp;"")),9)="free game",LOWER(TRIM($F131&amp;""))="free",LOWER(TRIM($F131&amp;""))="free entry"),IF(ISNUMBER($G131),IF(ISNUMBER(SEARCH("non",LOWER($E131&amp;""))),$G131*0.85,$G131),"N/A"),IF($G131="","",IFERROR(IF(ISNUMBER(SEARCH("non",LOWER($E131&amp;""))),$G131*0.85,$G131),"")))))</ns0:f>
        <ns0:v/>
      </ns0:c>
      <ns0:c r="O131" s="987" t="str">
        <ns0:f>IF(COUNTA($A131:$M131)=0,"",IF(OR(LEFT(LOWER(TRIM($F131&amp;"")),12)="subscription",LOWER(TRIM($F131&amp;""))="membership"),"",IF(OR(AND($H131&lt;&gt;"",$H131=0),LEFT(LOWER(TRIM($F131&amp;"")),9)="free game",LOWER(TRIM($F131&amp;""))="free",LOWER(TRIM($F131&amp;""))="free entry"),IF(OR(NOT(ISNUMBER($N131)),NOT(ISNUMBER($I131)),$I131=0),"N/A",IFERROR($N131/$I131,"N/A")),IF(OR($N131="",$I131="",$I131=0),"",IFERROR($N131/$I131,"")))))</ns0:f>
        <ns0:v/>
      </ns0:c>
      <ns0:c r="P131" s="987">
        <ns0:f>IF(COUNTA($A131:$M131)=0,"",IF(OR(LEFT(LOWER(TRIM($F131&amp;"")),12)="subscription",LOWER(TRIM($F131&amp;""))="membership"),"",IF(LOWER(TRIM($D131&amp;""))="estimate","N/A",IF(LOWER($L131&amp;"")="yes",0,IF(OR(AND($H131&lt;&gt;"",$H131=0),LEFT(LOWER(TRIM($F131&amp;"")),9)="free game",LOWER(TRIM($F131&amp;""))="free",LOWER(TRIM($F131&amp;""))="free entry"),IF(ISNUMBER($K131),$K131,""),IF($K131&lt;&gt;"",$K131,""))))))</ns0:f>
      </ns0:c>
      <ns0:c r="Q131" s="114">
        <ns0:f>IF(COUNTA($A131:$M131)=0,"",IF(OR($U131="Subscription",$U131=""),"",IF($U131="Estimate","N/A",IF($U131="Profit",ROUND(IFERROR($P131,0)-IFERROR($H131,0),2),0))))</ns0:f>
      </ns0:c>
      <ns0:c r="R131" s="114">
        <ns0:f>IF(COUNTA($A131:$M131)=0,"",IF(OR($U131="Subscription",$U131=""),"",IF($U131="Estimate","N/A",IF($U131="Draw",$H131,0))))</ns0:f>
      </ns0:c>
      <ns0:c r="S131" s="114">
        <ns0:f>IF(COUNTA($A131:$M131)=0,"",IF(OR($U131="Subscription",$U131=""),"",IF($U131="Estimate","N/A",IF($U131="Disqualified",$H131,0))))</ns0:f>
      </ns0:c>
      <ns0:c r="T131" s="955">
        <ns0:f>IF(COUNTA($A131:$M131)=0,"",IF(OR($U131="Subscription",$U131=""),"",IF($U131="Estimate","N/A",IF(OR($U131="Free Game",$U131="Disqualified — Free Game",$H131=0),"N/A",IF($U131="Profit",$Q131/$H131,IF($U131="Disqualified",-$S131/$H131,0))))))</ns0:f>
      </ns0:c>
      <ns0:c r="U131" s="920">
        <ns0:f>IF(COUNTA($A131:$M131)=0,"",IF(OR(LEFT(LOWER(TRIM($F131&amp;"")),12)="subscription",LOWER(TRIM($F131&amp;""))="membership"),"Subscription",IF(LOWER(TRIM($D131&amp;""))="estimate","Estimate",IF(OR(AND($H131&lt;&gt;"",$H131=0),LEFT(LOWER(TRIM($F131&amp;"")),9)="free game",LOWER(TRIM($F131&amp;""))="free",LOWER(TRIM($F131&amp;""))="free entry"),IF(LOWER($L131&amp;"")="yes","Disqualified — Free Game","Free Game"),IF(LOWER($L131&amp;"")="yes","Disqualified",IF($P131="","",IF(ROUND(IFERROR(VALUE($P131),0)-IFERROR(VALUE($H131),0),2)&gt;0,"Profit","Draw")))))))</ns0:f>
      </ns0:c>
      <ns0:c r="V131" s="956" t="str">
        <ns0:f>IF(COUNTA($A131:$M131)=0,"",IF(OR($B131="",$C131="",$U131="Subscription"),"",IFERROR(ROUNDUP(($C131-$B131)/7,0),"")))</ns0:f>
      </ns0:c>
      <ns0:c r="W131" s="114">
        <ns0:f>IF(COUNTA($A131:$M131)=0,"",IF(OR($U131="Subscription",$U131=""),"",IF($U131="Estimate","N/A",IF(OR($U131="Free Game",$U131="Disqualified — Free Game"),0,ROUND(IFERROR($Q131,0)-IFERROR($S131,0),2)))))</ns0:f>
      </ns0:c>
      <ns0:c r="X131" s="956" t="str">
        <ns0:f>IF(COUNTA($A131:$M131)=0,"",IF(OR($U131="Subscription",NOT(ISNUMBER($J131)),NOT(ISNUMBER($I131)),$J131=0,$I131=0,$I131&gt;$J131),"",$J131-$I131))</ns0:f>
      </ns0:c>
      <ns0:c r="Y131" s="955" t="str">
        <ns0:f>IF(COUNTA($A131:$M131)=0,"",IF(OR($U131="Subscription",NOT(ISNUMBER($J131)),$J131=0,$X131=""),"",$X131/$J131))</ns0:f>
      </ns0:c>
      <ns0:c r="Z131" s="957" t="str">
        <ns0:f>IF(COUNTA($A131:$M131)=0,"",Instructions!$B$29+SUM($W$5:W131))</ns0:f>
      </ns0:c>
    </ns0:row>
    <ns0:row r="132" ht="36" customHeight="1">
      <ns0:c r="A132" s="439"/>
      <ns0:c r="B132" s="453"/>
      <ns0:c r="C132" s="453"/>
      <ns0:c r="D132" s="454"/>
      <ns0:c r="E132" s="454"/>
      <ns0:c r="F132" s="454"/>
      <ns0:c r="G132" s="986"/>
      <ns0:c r="H132" s="455"/>
      <ns0:c r="I132" s="456"/>
      <ns0:c r="J132" s="456"/>
      <ns0:c r="K132" s="986"/>
      <ns0:c r="L132" s="454"/>
      <ns0:c r="M132" s="439"/>
      <ns0:c r="N132" s="987" t="str">
        <ns0:f>IF(COUNTA($A132:$M132)=0,"",IF(OR(LEFT(LOWER(TRIM($F132&amp;"")),12)="subscription",LOWER(TRIM($F132&amp;""))="membership"),"",IF(OR(AND($H132&lt;&gt;"",$H132=0),LEFT(LOWER(TRIM($F132&amp;"")),9)="free game",LOWER(TRIM($F132&amp;""))="free",LOWER(TRIM($F132&amp;""))="free entry"),IF(ISNUMBER($G132),IF(ISNUMBER(SEARCH("non",LOWER($E132&amp;""))),$G132*0.85,$G132),"N/A"),IF($G132="","",IFERROR(IF(ISNUMBER(SEARCH("non",LOWER($E132&amp;""))),$G132*0.85,$G132),"")))))</ns0:f>
        <ns0:v/>
      </ns0:c>
      <ns0:c r="O132" s="987" t="str">
        <ns0:f>IF(COUNTA($A132:$M132)=0,"",IF(OR(LEFT(LOWER(TRIM($F132&amp;"")),12)="subscription",LOWER(TRIM($F132&amp;""))="membership"),"",IF(OR(AND($H132&lt;&gt;"",$H132=0),LEFT(LOWER(TRIM($F132&amp;"")),9)="free game",LOWER(TRIM($F132&amp;""))="free",LOWER(TRIM($F132&amp;""))="free entry"),IF(OR(NOT(ISNUMBER($N132)),NOT(ISNUMBER($I132)),$I132=0),"N/A",IFERROR($N132/$I132,"N/A")),IF(OR($N132="",$I132="",$I132=0),"",IFERROR($N132/$I132,"")))))</ns0:f>
        <ns0:v/>
      </ns0:c>
      <ns0:c r="P132" s="987">
        <ns0:f>IF(COUNTA($A132:$M132)=0,"",IF(OR(LEFT(LOWER(TRIM($F132&amp;"")),12)="subscription",LOWER(TRIM($F132&amp;""))="membership"),"",IF(LOWER(TRIM($D132&amp;""))="estimate","N/A",IF(LOWER($L132&amp;"")="yes",0,IF(OR(AND($H132&lt;&gt;"",$H132=0),LEFT(LOWER(TRIM($F132&amp;"")),9)="free game",LOWER(TRIM($F132&amp;""))="free",LOWER(TRIM($F132&amp;""))="free entry"),IF(ISNUMBER($K132),$K132,""),IF($K132&lt;&gt;"",$K132,""))))))</ns0:f>
      </ns0:c>
      <ns0:c r="Q132" s="114">
        <ns0:f>IF(COUNTA($A132:$M132)=0,"",IF(OR($U132="Subscription",$U132=""),"",IF($U132="Estimate","N/A",IF($U132="Profit",ROUND(IFERROR($P132,0)-IFERROR($H132,0),2),0))))</ns0:f>
      </ns0:c>
      <ns0:c r="R132" s="114">
        <ns0:f>IF(COUNTA($A132:$M132)=0,"",IF(OR($U132="Subscription",$U132=""),"",IF($U132="Estimate","N/A",IF($U132="Draw",$H132,0))))</ns0:f>
      </ns0:c>
      <ns0:c r="S132" s="114">
        <ns0:f>IF(COUNTA($A132:$M132)=0,"",IF(OR($U132="Subscription",$U132=""),"",IF($U132="Estimate","N/A",IF($U132="Disqualified",$H132,0))))</ns0:f>
      </ns0:c>
      <ns0:c r="T132" s="955">
        <ns0:f>IF(COUNTA($A132:$M132)=0,"",IF(OR($U132="Subscription",$U132=""),"",IF($U132="Estimate","N/A",IF(OR($U132="Free Game",$U132="Disqualified — Free Game",$H132=0),"N/A",IF($U132="Profit",$Q132/$H132,IF($U132="Disqualified",-$S132/$H132,0))))))</ns0:f>
      </ns0:c>
      <ns0:c r="U132" s="920">
        <ns0:f>IF(COUNTA($A132:$M132)=0,"",IF(OR(LEFT(LOWER(TRIM($F132&amp;"")),12)="subscription",LOWER(TRIM($F132&amp;""))="membership"),"Subscription",IF(LOWER(TRIM($D132&amp;""))="estimate","Estimate",IF(OR(AND($H132&lt;&gt;"",$H132=0),LEFT(LOWER(TRIM($F132&amp;"")),9)="free game",LOWER(TRIM($F132&amp;""))="free",LOWER(TRIM($F132&amp;""))="free entry"),IF(LOWER($L132&amp;"")="yes","Disqualified — Free Game","Free Game"),IF(LOWER($L132&amp;"")="yes","Disqualified",IF($P132="","",IF(ROUND(IFERROR(VALUE($P132),0)-IFERROR(VALUE($H132),0),2)&gt;0,"Profit","Draw")))))))</ns0:f>
      </ns0:c>
      <ns0:c r="V132" s="956" t="str">
        <ns0:f>IF(COUNTA($A132:$M132)=0,"",IF(OR($B132="",$C132="",$U132="Subscription"),"",IFERROR(ROUNDUP(($C132-$B132)/7,0),"")))</ns0:f>
      </ns0:c>
      <ns0:c r="W132" s="114">
        <ns0:f>IF(COUNTA($A132:$M132)=0,"",IF(OR($U132="Subscription",$U132=""),"",IF($U132="Estimate","N/A",IF(OR($U132="Free Game",$U132="Disqualified — Free Game"),0,ROUND(IFERROR($Q132,0)-IFERROR($S132,0),2)))))</ns0:f>
      </ns0:c>
      <ns0:c r="X132" s="956" t="str">
        <ns0:f>IF(COUNTA($A132:$M132)=0,"",IF(OR($U132="Subscription",NOT(ISNUMBER($J132)),NOT(ISNUMBER($I132)),$J132=0,$I132=0,$I132&gt;$J132),"",$J132-$I132))</ns0:f>
      </ns0:c>
      <ns0:c r="Y132" s="955" t="str">
        <ns0:f>IF(COUNTA($A132:$M132)=0,"",IF(OR($U132="Subscription",NOT(ISNUMBER($J132)),$J132=0,$X132=""),"",$X132/$J132))</ns0:f>
      </ns0:c>
      <ns0:c r="Z132" s="957" t="str">
        <ns0:f>IF(COUNTA($A132:$M132)=0,"",Instructions!$B$29+SUM($W$5:W132))</ns0:f>
      </ns0:c>
    </ns0:row>
    <ns0:row r="133" ht="36" customHeight="1">
      <ns0:c r="A133" s="439"/>
      <ns0:c r="B133" s="453"/>
      <ns0:c r="C133" s="453"/>
      <ns0:c r="D133" s="454"/>
      <ns0:c r="E133" s="454"/>
      <ns0:c r="F133" s="454"/>
      <ns0:c r="G133" s="986"/>
      <ns0:c r="H133" s="455"/>
      <ns0:c r="I133" s="456"/>
      <ns0:c r="J133" s="456"/>
      <ns0:c r="K133" s="986"/>
      <ns0:c r="L133" s="454"/>
      <ns0:c r="M133" s="439"/>
      <ns0:c r="N133" s="987" t="str">
        <ns0:f>IF(COUNTA($A133:$M133)=0,"",IF(OR(LEFT(LOWER(TRIM($F133&amp;"")),12)="subscription",LOWER(TRIM($F133&amp;""))="membership"),"",IF(OR(AND($H133&lt;&gt;"",$H133=0),LEFT(LOWER(TRIM($F133&amp;"")),9)="free game",LOWER(TRIM($F133&amp;""))="free",LOWER(TRIM($F133&amp;""))="free entry"),IF(ISNUMBER($G133),IF(ISNUMBER(SEARCH("non",LOWER($E133&amp;""))),$G133*0.85,$G133),"N/A"),IF($G133="","",IFERROR(IF(ISNUMBER(SEARCH("non",LOWER($E133&amp;""))),$G133*0.85,$G133),"")))))</ns0:f>
        <ns0:v/>
      </ns0:c>
      <ns0:c r="O133" s="987" t="str">
        <ns0:f>IF(COUNTA($A133:$M133)=0,"",IF(OR(LEFT(LOWER(TRIM($F133&amp;"")),12)="subscription",LOWER(TRIM($F133&amp;""))="membership"),"",IF(OR(AND($H133&lt;&gt;"",$H133=0),LEFT(LOWER(TRIM($F133&amp;"")),9)="free game",LOWER(TRIM($F133&amp;""))="free",LOWER(TRIM($F133&amp;""))="free entry"),IF(OR(NOT(ISNUMBER($N133)),NOT(ISNUMBER($I133)),$I133=0),"N/A",IFERROR($N133/$I133,"N/A")),IF(OR($N133="",$I133="",$I133=0),"",IFERROR($N133/$I133,"")))))</ns0:f>
        <ns0:v/>
      </ns0:c>
      <ns0:c r="P133" s="987">
        <ns0:f>IF(COUNTA($A133:$M133)=0,"",IF(OR(LEFT(LOWER(TRIM($F133&amp;"")),12)="subscription",LOWER(TRIM($F133&amp;""))="membership"),"",IF(LOWER(TRIM($D133&amp;""))="estimate","N/A",IF(LOWER($L133&amp;"")="yes",0,IF(OR(AND($H133&lt;&gt;"",$H133=0),LEFT(LOWER(TRIM($F133&amp;"")),9)="free game",LOWER(TRIM($F133&amp;""))="free",LOWER(TRIM($F133&amp;""))="free entry"),IF(ISNUMBER($K133),$K133,""),IF($K133&lt;&gt;"",$K133,""))))))</ns0:f>
      </ns0:c>
      <ns0:c r="Q133" s="114">
        <ns0:f>IF(COUNTA($A133:$M133)=0,"",IF(OR($U133="Subscription",$U133=""),"",IF($U133="Estimate","N/A",IF($U133="Profit",ROUND(IFERROR($P133,0)-IFERROR($H133,0),2),0))))</ns0:f>
      </ns0:c>
      <ns0:c r="R133" s="114">
        <ns0:f>IF(COUNTA($A133:$M133)=0,"",IF(OR($U133="Subscription",$U133=""),"",IF($U133="Estimate","N/A",IF($U133="Draw",$H133,0))))</ns0:f>
      </ns0:c>
      <ns0:c r="S133" s="114">
        <ns0:f>IF(COUNTA($A133:$M133)=0,"",IF(OR($U133="Subscription",$U133=""),"",IF($U133="Estimate","N/A",IF($U133="Disqualified",$H133,0))))</ns0:f>
      </ns0:c>
      <ns0:c r="T133" s="955">
        <ns0:f>IF(COUNTA($A133:$M133)=0,"",IF(OR($U133="Subscription",$U133=""),"",IF($U133="Estimate","N/A",IF(OR($U133="Free Game",$U133="Disqualified — Free Game",$H133=0),"N/A",IF($U133="Profit",$Q133/$H133,IF($U133="Disqualified",-$S133/$H133,0))))))</ns0:f>
      </ns0:c>
      <ns0:c r="U133" s="920">
        <ns0:f>IF(COUNTA($A133:$M133)=0,"",IF(OR(LEFT(LOWER(TRIM($F133&amp;"")),12)="subscription",LOWER(TRIM($F133&amp;""))="membership"),"Subscription",IF(LOWER(TRIM($D133&amp;""))="estimate","Estimate",IF(OR(AND($H133&lt;&gt;"",$H133=0),LEFT(LOWER(TRIM($F133&amp;"")),9)="free game",LOWER(TRIM($F133&amp;""))="free",LOWER(TRIM($F133&amp;""))="free entry"),IF(LOWER($L133&amp;"")="yes","Disqualified — Free Game","Free Game"),IF(LOWER($L133&amp;"")="yes","Disqualified",IF($P133="","",IF(ROUND(IFERROR(VALUE($P133),0)-IFERROR(VALUE($H133),0),2)&gt;0,"Profit","Draw")))))))</ns0:f>
      </ns0:c>
      <ns0:c r="V133" s="956" t="str">
        <ns0:f>IF(COUNTA($A133:$M133)=0,"",IF(OR($B133="",$C133="",$U133="Subscription"),"",IFERROR(ROUNDUP(($C133-$B133)/7,0),"")))</ns0:f>
      </ns0:c>
      <ns0:c r="W133" s="114">
        <ns0:f>IF(COUNTA($A133:$M133)=0,"",IF(OR($U133="Subscription",$U133=""),"",IF($U133="Estimate","N/A",IF(OR($U133="Free Game",$U133="Disqualified — Free Game"),0,ROUND(IFERROR($Q133,0)-IFERROR($S133,0),2)))))</ns0:f>
      </ns0:c>
      <ns0:c r="X133" s="956" t="str">
        <ns0:f>IF(COUNTA($A133:$M133)=0,"",IF(OR($U133="Subscription",NOT(ISNUMBER($J133)),NOT(ISNUMBER($I133)),$J133=0,$I133=0,$I133&gt;$J133),"",$J133-$I133))</ns0:f>
      </ns0:c>
      <ns0:c r="Y133" s="955" t="str">
        <ns0:f>IF(COUNTA($A133:$M133)=0,"",IF(OR($U133="Subscription",NOT(ISNUMBER($J133)),$J133=0,$X133=""),"",$X133/$J133))</ns0:f>
      </ns0:c>
      <ns0:c r="Z133" s="957" t="str">
        <ns0:f>IF(COUNTA($A133:$M133)=0,"",Instructions!$B$29+SUM($W$5:W133))</ns0:f>
      </ns0:c>
    </ns0:row>
    <ns0:row r="134" ht="36" customHeight="1">
      <ns0:c r="A134" s="439"/>
      <ns0:c r="B134" s="453"/>
      <ns0:c r="C134" s="453"/>
      <ns0:c r="D134" s="454"/>
      <ns0:c r="E134" s="454"/>
      <ns0:c r="F134" s="454"/>
      <ns0:c r="G134" s="986"/>
      <ns0:c r="H134" s="455"/>
      <ns0:c r="I134" s="456"/>
      <ns0:c r="J134" s="456"/>
      <ns0:c r="K134" s="986"/>
      <ns0:c r="L134" s="454"/>
      <ns0:c r="M134" s="439"/>
      <ns0:c r="N134" s="987" t="str">
        <ns0:f>IF(COUNTA($A134:$M134)=0,"",IF(OR(LEFT(LOWER(TRIM($F134&amp;"")),12)="subscription",LOWER(TRIM($F134&amp;""))="membership"),"",IF(OR(AND($H134&lt;&gt;"",$H134=0),LEFT(LOWER(TRIM($F134&amp;"")),9)="free game",LOWER(TRIM($F134&amp;""))="free",LOWER(TRIM($F134&amp;""))="free entry"),IF(ISNUMBER($G134),IF(ISNUMBER(SEARCH("non",LOWER($E134&amp;""))),$G134*0.85,$G134),"N/A"),IF($G134="","",IFERROR(IF(ISNUMBER(SEARCH("non",LOWER($E134&amp;""))),$G134*0.85,$G134),"")))))</ns0:f>
        <ns0:v/>
      </ns0:c>
      <ns0:c r="O134" s="987" t="str">
        <ns0:f>IF(COUNTA($A134:$M134)=0,"",IF(OR(LEFT(LOWER(TRIM($F134&amp;"")),12)="subscription",LOWER(TRIM($F134&amp;""))="membership"),"",IF(OR(AND($H134&lt;&gt;"",$H134=0),LEFT(LOWER(TRIM($F134&amp;"")),9)="free game",LOWER(TRIM($F134&amp;""))="free",LOWER(TRIM($F134&amp;""))="free entry"),IF(OR(NOT(ISNUMBER($N134)),NOT(ISNUMBER($I134)),$I134=0),"N/A",IFERROR($N134/$I134,"N/A")),IF(OR($N134="",$I134="",$I134=0),"",IFERROR($N134/$I134,"")))))</ns0:f>
        <ns0:v/>
      </ns0:c>
      <ns0:c r="P134" s="987">
        <ns0:f>IF(COUNTA($A134:$M134)=0,"",IF(OR(LEFT(LOWER(TRIM($F134&amp;"")),12)="subscription",LOWER(TRIM($F134&amp;""))="membership"),"",IF(LOWER(TRIM($D134&amp;""))="estimate","N/A",IF(LOWER($L134&amp;"")="yes",0,IF(OR(AND($H134&lt;&gt;"",$H134=0),LEFT(LOWER(TRIM($F134&amp;"")),9)="free game",LOWER(TRIM($F134&amp;""))="free",LOWER(TRIM($F134&amp;""))="free entry"),IF(ISNUMBER($K134),$K134,""),IF($K134&lt;&gt;"",$K134,""))))))</ns0:f>
      </ns0:c>
      <ns0:c r="Q134" s="114">
        <ns0:f>IF(COUNTA($A134:$M134)=0,"",IF(OR($U134="Subscription",$U134=""),"",IF($U134="Estimate","N/A",IF($U134="Profit",ROUND(IFERROR($P134,0)-IFERROR($H134,0),2),0))))</ns0:f>
      </ns0:c>
      <ns0:c r="R134" s="114">
        <ns0:f>IF(COUNTA($A134:$M134)=0,"",IF(OR($U134="Subscription",$U134=""),"",IF($U134="Estimate","N/A",IF($U134="Draw",$H134,0))))</ns0:f>
      </ns0:c>
      <ns0:c r="S134" s="114">
        <ns0:f>IF(COUNTA($A134:$M134)=0,"",IF(OR($U134="Subscription",$U134=""),"",IF($U134="Estimate","N/A",IF($U134="Disqualified",$H134,0))))</ns0:f>
      </ns0:c>
      <ns0:c r="T134" s="955">
        <ns0:f>IF(COUNTA($A134:$M134)=0,"",IF(OR($U134="Subscription",$U134=""),"",IF($U134="Estimate","N/A",IF(OR($U134="Free Game",$U134="Disqualified — Free Game",$H134=0),"N/A",IF($U134="Profit",$Q134/$H134,IF($U134="Disqualified",-$S134/$H134,0))))))</ns0:f>
      </ns0:c>
      <ns0:c r="U134" s="920">
        <ns0:f>IF(COUNTA($A134:$M134)=0,"",IF(OR(LEFT(LOWER(TRIM($F134&amp;"")),12)="subscription",LOWER(TRIM($F134&amp;""))="membership"),"Subscription",IF(LOWER(TRIM($D134&amp;""))="estimate","Estimate",IF(OR(AND($H134&lt;&gt;"",$H134=0),LEFT(LOWER(TRIM($F134&amp;"")),9)="free game",LOWER(TRIM($F134&amp;""))="free",LOWER(TRIM($F134&amp;""))="free entry"),IF(LOWER($L134&amp;"")="yes","Disqualified — Free Game","Free Game"),IF(LOWER($L134&amp;"")="yes","Disqualified",IF($P134="","",IF(ROUND(IFERROR(VALUE($P134),0)-IFERROR(VALUE($H134),0),2)&gt;0,"Profit","Draw")))))))</ns0:f>
      </ns0:c>
      <ns0:c r="V134" s="956" t="str">
        <ns0:f>IF(COUNTA($A134:$M134)=0,"",IF(OR($B134="",$C134="",$U134="Subscription"),"",IFERROR(ROUNDUP(($C134-$B134)/7,0),"")))</ns0:f>
      </ns0:c>
      <ns0:c r="W134" s="114">
        <ns0:f>IF(COUNTA($A134:$M134)=0,"",IF(OR($U134="Subscription",$U134=""),"",IF($U134="Estimate","N/A",IF(OR($U134="Free Game",$U134="Disqualified — Free Game"),0,ROUND(IFERROR($Q134,0)-IFERROR($S134,0),2)))))</ns0:f>
      </ns0:c>
      <ns0:c r="X134" s="956" t="str">
        <ns0:f>IF(COUNTA($A134:$M134)=0,"",IF(OR($U134="Subscription",NOT(ISNUMBER($J134)),NOT(ISNUMBER($I134)),$J134=0,$I134=0,$I134&gt;$J134),"",$J134-$I134))</ns0:f>
      </ns0:c>
      <ns0:c r="Y134" s="955" t="str">
        <ns0:f>IF(COUNTA($A134:$M134)=0,"",IF(OR($U134="Subscription",NOT(ISNUMBER($J134)),$J134=0,$X134=""),"",$X134/$J134))</ns0:f>
      </ns0:c>
      <ns0:c r="Z134" s="957" t="str">
        <ns0:f>IF(COUNTA($A134:$M134)=0,"",Instructions!$B$29+SUM($W$5:W134))</ns0:f>
      </ns0:c>
    </ns0:row>
    <ns0:row r="135" ht="36" customHeight="1">
      <ns0:c r="A135" s="439"/>
      <ns0:c r="B135" s="453"/>
      <ns0:c r="C135" s="453"/>
      <ns0:c r="D135" s="454"/>
      <ns0:c r="E135" s="454"/>
      <ns0:c r="F135" s="454"/>
      <ns0:c r="G135" s="986"/>
      <ns0:c r="H135" s="455"/>
      <ns0:c r="I135" s="456"/>
      <ns0:c r="J135" s="456"/>
      <ns0:c r="K135" s="986"/>
      <ns0:c r="L135" s="454"/>
      <ns0:c r="M135" s="439"/>
      <ns0:c r="N135" s="987" t="str">
        <ns0:f>IF(COUNTA($A135:$M135)=0,"",IF(OR(LEFT(LOWER(TRIM($F135&amp;"")),12)="subscription",LOWER(TRIM($F135&amp;""))="membership"),"",IF(OR(AND($H135&lt;&gt;"",$H135=0),LEFT(LOWER(TRIM($F135&amp;"")),9)="free game",LOWER(TRIM($F135&amp;""))="free",LOWER(TRIM($F135&amp;""))="free entry"),IF(ISNUMBER($G135),IF(ISNUMBER(SEARCH("non",LOWER($E135&amp;""))),$G135*0.85,$G135),"N/A"),IF($G135="","",IFERROR(IF(ISNUMBER(SEARCH("non",LOWER($E135&amp;""))),$G135*0.85,$G135),"")))))</ns0:f>
        <ns0:v/>
      </ns0:c>
      <ns0:c r="O135" s="987" t="str">
        <ns0:f>IF(COUNTA($A135:$M135)=0,"",IF(OR(LEFT(LOWER(TRIM($F135&amp;"")),12)="subscription",LOWER(TRIM($F135&amp;""))="membership"),"",IF(OR(AND($H135&lt;&gt;"",$H135=0),LEFT(LOWER(TRIM($F135&amp;"")),9)="free game",LOWER(TRIM($F135&amp;""))="free",LOWER(TRIM($F135&amp;""))="free entry"),IF(OR(NOT(ISNUMBER($N135)),NOT(ISNUMBER($I135)),$I135=0),"N/A",IFERROR($N135/$I135,"N/A")),IF(OR($N135="",$I135="",$I135=0),"",IFERROR($N135/$I135,"")))))</ns0:f>
        <ns0:v/>
      </ns0:c>
      <ns0:c r="P135" s="987">
        <ns0:f>IF(COUNTA($A135:$M135)=0,"",IF(OR(LEFT(LOWER(TRIM($F135&amp;"")),12)="subscription",LOWER(TRIM($F135&amp;""))="membership"),"",IF(LOWER(TRIM($D135&amp;""))="estimate","N/A",IF(LOWER($L135&amp;"")="yes",0,IF(OR(AND($H135&lt;&gt;"",$H135=0),LEFT(LOWER(TRIM($F135&amp;"")),9)="free game",LOWER(TRIM($F135&amp;""))="free",LOWER(TRIM($F135&amp;""))="free entry"),IF(ISNUMBER($K135),$K135,""),IF($K135&lt;&gt;"",$K135,""))))))</ns0:f>
      </ns0:c>
      <ns0:c r="Q135" s="114">
        <ns0:f>IF(COUNTA($A135:$M135)=0,"",IF(OR($U135="Subscription",$U135=""),"",IF($U135="Estimate","N/A",IF($U135="Profit",ROUND(IFERROR($P135,0)-IFERROR($H135,0),2),0))))</ns0:f>
      </ns0:c>
      <ns0:c r="R135" s="114">
        <ns0:f>IF(COUNTA($A135:$M135)=0,"",IF(OR($U135="Subscription",$U135=""),"",IF($U135="Estimate","N/A",IF($U135="Draw",$H135,0))))</ns0:f>
      </ns0:c>
      <ns0:c r="S135" s="114">
        <ns0:f>IF(COUNTA($A135:$M135)=0,"",IF(OR($U135="Subscription",$U135=""),"",IF($U135="Estimate","N/A",IF($U135="Disqualified",$H135,0))))</ns0:f>
      </ns0:c>
      <ns0:c r="T135" s="955">
        <ns0:f>IF(COUNTA($A135:$M135)=0,"",IF(OR($U135="Subscription",$U135=""),"",IF($U135="Estimate","N/A",IF(OR($U135="Free Game",$U135="Disqualified — Free Game",$H135=0),"N/A",IF($U135="Profit",$Q135/$H135,IF($U135="Disqualified",-$S135/$H135,0))))))</ns0:f>
      </ns0:c>
      <ns0:c r="U135" s="920">
        <ns0:f>IF(COUNTA($A135:$M135)=0,"",IF(OR(LEFT(LOWER(TRIM($F135&amp;"")),12)="subscription",LOWER(TRIM($F135&amp;""))="membership"),"Subscription",IF(LOWER(TRIM($D135&amp;""))="estimate","Estimate",IF(OR(AND($H135&lt;&gt;"",$H135=0),LEFT(LOWER(TRIM($F135&amp;"")),9)="free game",LOWER(TRIM($F135&amp;""))="free",LOWER(TRIM($F135&amp;""))="free entry"),IF(LOWER($L135&amp;"")="yes","Disqualified — Free Game","Free Game"),IF(LOWER($L135&amp;"")="yes","Disqualified",IF($P135="","",IF(ROUND(IFERROR(VALUE($P135),0)-IFERROR(VALUE($H135),0),2)&gt;0,"Profit","Draw")))))))</ns0:f>
      </ns0:c>
      <ns0:c r="V135" s="956" t="str">
        <ns0:f>IF(COUNTA($A135:$M135)=0,"",IF(OR($B135="",$C135="",$U135="Subscription"),"",IFERROR(ROUNDUP(($C135-$B135)/7,0),"")))</ns0:f>
      </ns0:c>
      <ns0:c r="W135" s="114">
        <ns0:f>IF(COUNTA($A135:$M135)=0,"",IF(OR($U135="Subscription",$U135=""),"",IF($U135="Estimate","N/A",IF(OR($U135="Free Game",$U135="Disqualified — Free Game"),0,ROUND(IFERROR($Q135,0)-IFERROR($S135,0),2)))))</ns0:f>
      </ns0:c>
      <ns0:c r="X135" s="956" t="str">
        <ns0:f>IF(COUNTA($A135:$M135)=0,"",IF(OR($U135="Subscription",NOT(ISNUMBER($J135)),NOT(ISNUMBER($I135)),$J135=0,$I135=0,$I135&gt;$J135),"",$J135-$I135))</ns0:f>
      </ns0:c>
      <ns0:c r="Y135" s="955" t="str">
        <ns0:f>IF(COUNTA($A135:$M135)=0,"",IF(OR($U135="Subscription",NOT(ISNUMBER($J135)),$J135=0,$X135=""),"",$X135/$J135))</ns0:f>
      </ns0:c>
      <ns0:c r="Z135" s="957" t="str">
        <ns0:f>IF(COUNTA($A135:$M135)=0,"",Instructions!$B$29+SUM($W$5:W135))</ns0:f>
      </ns0:c>
    </ns0:row>
    <ns0:row r="136" ht="36" customHeight="1">
      <ns0:c r="A136" s="439"/>
      <ns0:c r="B136" s="453"/>
      <ns0:c r="C136" s="453"/>
      <ns0:c r="D136" s="454"/>
      <ns0:c r="E136" s="454"/>
      <ns0:c r="F136" s="454"/>
      <ns0:c r="G136" s="986"/>
      <ns0:c r="H136" s="455"/>
      <ns0:c r="I136" s="456"/>
      <ns0:c r="J136" s="456"/>
      <ns0:c r="K136" s="986"/>
      <ns0:c r="L136" s="454"/>
      <ns0:c r="M136" s="439"/>
      <ns0:c r="N136" s="987" t="str">
        <ns0:f>IF(COUNTA($A136:$M136)=0,"",IF(OR(LEFT(LOWER(TRIM($F136&amp;"")),12)="subscription",LOWER(TRIM($F136&amp;""))="membership"),"",IF(OR(AND($H136&lt;&gt;"",$H136=0),LEFT(LOWER(TRIM($F136&amp;"")),9)="free game",LOWER(TRIM($F136&amp;""))="free",LOWER(TRIM($F136&amp;""))="free entry"),IF(ISNUMBER($G136),IF(ISNUMBER(SEARCH("non",LOWER($E136&amp;""))),$G136*0.85,$G136),"N/A"),IF($G136="","",IFERROR(IF(ISNUMBER(SEARCH("non",LOWER($E136&amp;""))),$G136*0.85,$G136),"")))))</ns0:f>
        <ns0:v/>
      </ns0:c>
      <ns0:c r="O136" s="987" t="str">
        <ns0:f>IF(COUNTA($A136:$M136)=0,"",IF(OR(LEFT(LOWER(TRIM($F136&amp;"")),12)="subscription",LOWER(TRIM($F136&amp;""))="membership"),"",IF(OR(AND($H136&lt;&gt;"",$H136=0),LEFT(LOWER(TRIM($F136&amp;"")),9)="free game",LOWER(TRIM($F136&amp;""))="free",LOWER(TRIM($F136&amp;""))="free entry"),IF(OR(NOT(ISNUMBER($N136)),NOT(ISNUMBER($I136)),$I136=0),"N/A",IFERROR($N136/$I136,"N/A")),IF(OR($N136="",$I136="",$I136=0),"",IFERROR($N136/$I136,"")))))</ns0:f>
        <ns0:v/>
      </ns0:c>
      <ns0:c r="P136" s="987">
        <ns0:f>IF(COUNTA($A136:$M136)=0,"",IF(OR(LEFT(LOWER(TRIM($F136&amp;"")),12)="subscription",LOWER(TRIM($F136&amp;""))="membership"),"",IF(LOWER(TRIM($D136&amp;""))="estimate","N/A",IF(LOWER($L136&amp;"")="yes",0,IF(OR(AND($H136&lt;&gt;"",$H136=0),LEFT(LOWER(TRIM($F136&amp;"")),9)="free game",LOWER(TRIM($F136&amp;""))="free",LOWER(TRIM($F136&amp;""))="free entry"),IF(ISNUMBER($K136),$K136,""),IF($K136&lt;&gt;"",$K136,""))))))</ns0:f>
      </ns0:c>
      <ns0:c r="Q136" s="114">
        <ns0:f>IF(COUNTA($A136:$M136)=0,"",IF(OR($U136="Subscription",$U136=""),"",IF($U136="Estimate","N/A",IF($U136="Profit",ROUND(IFERROR($P136,0)-IFERROR($H136,0),2),0))))</ns0:f>
      </ns0:c>
      <ns0:c r="R136" s="114">
        <ns0:f>IF(COUNTA($A136:$M136)=0,"",IF(OR($U136="Subscription",$U136=""),"",IF($U136="Estimate","N/A",IF($U136="Draw",$H136,0))))</ns0:f>
      </ns0:c>
      <ns0:c r="S136" s="114">
        <ns0:f>IF(COUNTA($A136:$M136)=0,"",IF(OR($U136="Subscription",$U136=""),"",IF($U136="Estimate","N/A",IF($U136="Disqualified",$H136,0))))</ns0:f>
      </ns0:c>
      <ns0:c r="T136" s="955">
        <ns0:f>IF(COUNTA($A136:$M136)=0,"",IF(OR($U136="Subscription",$U136=""),"",IF($U136="Estimate","N/A",IF(OR($U136="Free Game",$U136="Disqualified — Free Game",$H136=0),"N/A",IF($U136="Profit",$Q136/$H136,IF($U136="Disqualified",-$S136/$H136,0))))))</ns0:f>
      </ns0:c>
      <ns0:c r="U136" s="920">
        <ns0:f>IF(COUNTA($A136:$M136)=0,"",IF(OR(LEFT(LOWER(TRIM($F136&amp;"")),12)="subscription",LOWER(TRIM($F136&amp;""))="membership"),"Subscription",IF(LOWER(TRIM($D136&amp;""))="estimate","Estimate",IF(OR(AND($H136&lt;&gt;"",$H136=0),LEFT(LOWER(TRIM($F136&amp;"")),9)="free game",LOWER(TRIM($F136&amp;""))="free",LOWER(TRIM($F136&amp;""))="free entry"),IF(LOWER($L136&amp;"")="yes","Disqualified — Free Game","Free Game"),IF(LOWER($L136&amp;"")="yes","Disqualified",IF($P136="","",IF(ROUND(IFERROR(VALUE($P136),0)-IFERROR(VALUE($H136),0),2)&gt;0,"Profit","Draw")))))))</ns0:f>
      </ns0:c>
      <ns0:c r="V136" s="956" t="str">
        <ns0:f>IF(COUNTA($A136:$M136)=0,"",IF(OR($B136="",$C136="",$U136="Subscription"),"",IFERROR(ROUNDUP(($C136-$B136)/7,0),"")))</ns0:f>
      </ns0:c>
      <ns0:c r="W136" s="114">
        <ns0:f>IF(COUNTA($A136:$M136)=0,"",IF(OR($U136="Subscription",$U136=""),"",IF($U136="Estimate","N/A",IF(OR($U136="Free Game",$U136="Disqualified — Free Game"),0,ROUND(IFERROR($Q136,0)-IFERROR($S136,0),2)))))</ns0:f>
      </ns0:c>
      <ns0:c r="X136" s="956" t="str">
        <ns0:f>IF(COUNTA($A136:$M136)=0,"",IF(OR($U136="Subscription",NOT(ISNUMBER($J136)),NOT(ISNUMBER($I136)),$J136=0,$I136=0,$I136&gt;$J136),"",$J136-$I136))</ns0:f>
      </ns0:c>
      <ns0:c r="Y136" s="955" t="str">
        <ns0:f>IF(COUNTA($A136:$M136)=0,"",IF(OR($U136="Subscription",NOT(ISNUMBER($J136)),$J136=0,$X136=""),"",$X136/$J136))</ns0:f>
      </ns0:c>
      <ns0:c r="Z136" s="957" t="str">
        <ns0:f>IF(COUNTA($A136:$M136)=0,"",Instructions!$B$29+SUM($W$5:W136))</ns0:f>
      </ns0:c>
    </ns0:row>
    <ns0:row r="137" ht="36" customHeight="1">
      <ns0:c r="A137" s="439"/>
      <ns0:c r="B137" s="453"/>
      <ns0:c r="C137" s="453"/>
      <ns0:c r="D137" s="454"/>
      <ns0:c r="E137" s="454"/>
      <ns0:c r="F137" s="454"/>
      <ns0:c r="G137" s="986"/>
      <ns0:c r="H137" s="455"/>
      <ns0:c r="I137" s="456"/>
      <ns0:c r="J137" s="456"/>
      <ns0:c r="K137" s="986"/>
      <ns0:c r="L137" s="454"/>
      <ns0:c r="M137" s="439"/>
      <ns0:c r="N137" s="987" t="str">
        <ns0:f>IF(COUNTA($A137:$M137)=0,"",IF(OR(LEFT(LOWER(TRIM($F137&amp;"")),12)="subscription",LOWER(TRIM($F137&amp;""))="membership"),"",IF(OR(AND($H137&lt;&gt;"",$H137=0),LEFT(LOWER(TRIM($F137&amp;"")),9)="free game",LOWER(TRIM($F137&amp;""))="free",LOWER(TRIM($F137&amp;""))="free entry"),IF(ISNUMBER($G137),IF(ISNUMBER(SEARCH("non",LOWER($E137&amp;""))),$G137*0.85,$G137),"N/A"),IF($G137="","",IFERROR(IF(ISNUMBER(SEARCH("non",LOWER($E137&amp;""))),$G137*0.85,$G137),"")))))</ns0:f>
        <ns0:v/>
      </ns0:c>
      <ns0:c r="O137" s="987" t="str">
        <ns0:f>IF(COUNTA($A137:$M137)=0,"",IF(OR(LEFT(LOWER(TRIM($F137&amp;"")),12)="subscription",LOWER(TRIM($F137&amp;""))="membership"),"",IF(OR(AND($H137&lt;&gt;"",$H137=0),LEFT(LOWER(TRIM($F137&amp;"")),9)="free game",LOWER(TRIM($F137&amp;""))="free",LOWER(TRIM($F137&amp;""))="free entry"),IF(OR(NOT(ISNUMBER($N137)),NOT(ISNUMBER($I137)),$I137=0),"N/A",IFERROR($N137/$I137,"N/A")),IF(OR($N137="",$I137="",$I137=0),"",IFERROR($N137/$I137,"")))))</ns0:f>
        <ns0:v/>
      </ns0:c>
      <ns0:c r="P137" s="987">
        <ns0:f>IF(COUNTA($A137:$M137)=0,"",IF(OR(LEFT(LOWER(TRIM($F137&amp;"")),12)="subscription",LOWER(TRIM($F137&amp;""))="membership"),"",IF(LOWER(TRIM($D137&amp;""))="estimate","N/A",IF(LOWER($L137&amp;"")="yes",0,IF(OR(AND($H137&lt;&gt;"",$H137=0),LEFT(LOWER(TRIM($F137&amp;"")),9)="free game",LOWER(TRIM($F137&amp;""))="free",LOWER(TRIM($F137&amp;""))="free entry"),IF(ISNUMBER($K137),$K137,""),IF($K137&lt;&gt;"",$K137,""))))))</ns0:f>
      </ns0:c>
      <ns0:c r="Q137" s="114">
        <ns0:f>IF(COUNTA($A137:$M137)=0,"",IF(OR($U137="Subscription",$U137=""),"",IF($U137="Estimate","N/A",IF($U137="Profit",ROUND(IFERROR($P137,0)-IFERROR($H137,0),2),0))))</ns0:f>
      </ns0:c>
      <ns0:c r="R137" s="114">
        <ns0:f>IF(COUNTA($A137:$M137)=0,"",IF(OR($U137="Subscription",$U137=""),"",IF($U137="Estimate","N/A",IF($U137="Draw",$H137,0))))</ns0:f>
      </ns0:c>
      <ns0:c r="S137" s="114">
        <ns0:f>IF(COUNTA($A137:$M137)=0,"",IF(OR($U137="Subscription",$U137=""),"",IF($U137="Estimate","N/A",IF($U137="Disqualified",$H137,0))))</ns0:f>
      </ns0:c>
      <ns0:c r="T137" s="955">
        <ns0:f>IF(COUNTA($A137:$M137)=0,"",IF(OR($U137="Subscription",$U137=""),"",IF($U137="Estimate","N/A",IF(OR($U137="Free Game",$U137="Disqualified — Free Game",$H137=0),"N/A",IF($U137="Profit",$Q137/$H137,IF($U137="Disqualified",-$S137/$H137,0))))))</ns0:f>
      </ns0:c>
      <ns0:c r="U137" s="920">
        <ns0:f>IF(COUNTA($A137:$M137)=0,"",IF(OR(LEFT(LOWER(TRIM($F137&amp;"")),12)="subscription",LOWER(TRIM($F137&amp;""))="membership"),"Subscription",IF(LOWER(TRIM($D137&amp;""))="estimate","Estimate",IF(OR(AND($H137&lt;&gt;"",$H137=0),LEFT(LOWER(TRIM($F137&amp;"")),9)="free game",LOWER(TRIM($F137&amp;""))="free",LOWER(TRIM($F137&amp;""))="free entry"),IF(LOWER($L137&amp;"")="yes","Disqualified — Free Game","Free Game"),IF(LOWER($L137&amp;"")="yes","Disqualified",IF($P137="","",IF(ROUND(IFERROR(VALUE($P137),0)-IFERROR(VALUE($H137),0),2)&gt;0,"Profit","Draw")))))))</ns0:f>
      </ns0:c>
      <ns0:c r="V137" s="956" t="str">
        <ns0:f>IF(COUNTA($A137:$M137)=0,"",IF(OR($B137="",$C137="",$U137="Subscription"),"",IFERROR(ROUNDUP(($C137-$B137)/7,0),"")))</ns0:f>
      </ns0:c>
      <ns0:c r="W137" s="114">
        <ns0:f>IF(COUNTA($A137:$M137)=0,"",IF(OR($U137="Subscription",$U137=""),"",IF($U137="Estimate","N/A",IF(OR($U137="Free Game",$U137="Disqualified — Free Game"),0,ROUND(IFERROR($Q137,0)-IFERROR($S137,0),2)))))</ns0:f>
      </ns0:c>
      <ns0:c r="X137" s="956" t="str">
        <ns0:f>IF(COUNTA($A137:$M137)=0,"",IF(OR($U137="Subscription",NOT(ISNUMBER($J137)),NOT(ISNUMBER($I137)),$J137=0,$I137=0,$I137&gt;$J137),"",$J137-$I137))</ns0:f>
      </ns0:c>
      <ns0:c r="Y137" s="955" t="str">
        <ns0:f>IF(COUNTA($A137:$M137)=0,"",IF(OR($U137="Subscription",NOT(ISNUMBER($J137)),$J137=0,$X137=""),"",$X137/$J137))</ns0:f>
      </ns0:c>
      <ns0:c r="Z137" s="957" t="str">
        <ns0:f>IF(COUNTA($A137:$M137)=0,"",Instructions!$B$29+SUM($W$5:W137))</ns0:f>
      </ns0:c>
    </ns0:row>
    <ns0:row r="138" ht="36" customHeight="1">
      <ns0:c r="A138" s="439"/>
      <ns0:c r="B138" s="453"/>
      <ns0:c r="C138" s="453"/>
      <ns0:c r="D138" s="454"/>
      <ns0:c r="E138" s="454"/>
      <ns0:c r="F138" s="454"/>
      <ns0:c r="G138" s="986"/>
      <ns0:c r="H138" s="455"/>
      <ns0:c r="I138" s="456"/>
      <ns0:c r="J138" s="456"/>
      <ns0:c r="K138" s="986"/>
      <ns0:c r="L138" s="454"/>
      <ns0:c r="M138" s="439"/>
      <ns0:c r="N138" s="987" t="str">
        <ns0:f>IF(COUNTA($A138:$M138)=0,"",IF(OR(LEFT(LOWER(TRIM($F138&amp;"")),12)="subscription",LOWER(TRIM($F138&amp;""))="membership"),"",IF(OR(AND($H138&lt;&gt;"",$H138=0),LEFT(LOWER(TRIM($F138&amp;"")),9)="free game",LOWER(TRIM($F138&amp;""))="free",LOWER(TRIM($F138&amp;""))="free entry"),IF(ISNUMBER($G138),IF(ISNUMBER(SEARCH("non",LOWER($E138&amp;""))),$G138*0.85,$G138),"N/A"),IF($G138="","",IFERROR(IF(ISNUMBER(SEARCH("non",LOWER($E138&amp;""))),$G138*0.85,$G138),"")))))</ns0:f>
        <ns0:v/>
      </ns0:c>
      <ns0:c r="O138" s="987" t="str">
        <ns0:f>IF(COUNTA($A138:$M138)=0,"",IF(OR(LEFT(LOWER(TRIM($F138&amp;"")),12)="subscription",LOWER(TRIM($F138&amp;""))="membership"),"",IF(OR(AND($H138&lt;&gt;"",$H138=0),LEFT(LOWER(TRIM($F138&amp;"")),9)="free game",LOWER(TRIM($F138&amp;""))="free",LOWER(TRIM($F138&amp;""))="free entry"),IF(OR(NOT(ISNUMBER($N138)),NOT(ISNUMBER($I138)),$I138=0),"N/A",IFERROR($N138/$I138,"N/A")),IF(OR($N138="",$I138="",$I138=0),"",IFERROR($N138/$I138,"")))))</ns0:f>
        <ns0:v/>
      </ns0:c>
      <ns0:c r="P138" s="987">
        <ns0:f>IF(COUNTA($A138:$M138)=0,"",IF(OR(LEFT(LOWER(TRIM($F138&amp;"")),12)="subscription",LOWER(TRIM($F138&amp;""))="membership"),"",IF(LOWER(TRIM($D138&amp;""))="estimate","N/A",IF(LOWER($L138&amp;"")="yes",0,IF(OR(AND($H138&lt;&gt;"",$H138=0),LEFT(LOWER(TRIM($F138&amp;"")),9)="free game",LOWER(TRIM($F138&amp;""))="free",LOWER(TRIM($F138&amp;""))="free entry"),IF(ISNUMBER($K138),$K138,""),IF($K138&lt;&gt;"",$K138,""))))))</ns0:f>
      </ns0:c>
      <ns0:c r="Q138" s="114">
        <ns0:f>IF(COUNTA($A138:$M138)=0,"",IF(OR($U138="Subscription",$U138=""),"",IF($U138="Estimate","N/A",IF($U138="Profit",ROUND(IFERROR($P138,0)-IFERROR($H138,0),2),0))))</ns0:f>
      </ns0:c>
      <ns0:c r="R138" s="114">
        <ns0:f>IF(COUNTA($A138:$M138)=0,"",IF(OR($U138="Subscription",$U138=""),"",IF($U138="Estimate","N/A",IF($U138="Draw",$H138,0))))</ns0:f>
      </ns0:c>
      <ns0:c r="S138" s="114">
        <ns0:f>IF(COUNTA($A138:$M138)=0,"",IF(OR($U138="Subscription",$U138=""),"",IF($U138="Estimate","N/A",IF($U138="Disqualified",$H138,0))))</ns0:f>
      </ns0:c>
      <ns0:c r="T138" s="955">
        <ns0:f>IF(COUNTA($A138:$M138)=0,"",IF(OR($U138="Subscription",$U138=""),"",IF($U138="Estimate","N/A",IF(OR($U138="Free Game",$U138="Disqualified — Free Game",$H138=0),"N/A",IF($U138="Profit",$Q138/$H138,IF($U138="Disqualified",-$S138/$H138,0))))))</ns0:f>
      </ns0:c>
      <ns0:c r="U138" s="920">
        <ns0:f>IF(COUNTA($A138:$M138)=0,"",IF(OR(LEFT(LOWER(TRIM($F138&amp;"")),12)="subscription",LOWER(TRIM($F138&amp;""))="membership"),"Subscription",IF(LOWER(TRIM($D138&amp;""))="estimate","Estimate",IF(OR(AND($H138&lt;&gt;"",$H138=0),LEFT(LOWER(TRIM($F138&amp;"")),9)="free game",LOWER(TRIM($F138&amp;""))="free",LOWER(TRIM($F138&amp;""))="free entry"),IF(LOWER($L138&amp;"")="yes","Disqualified — Free Game","Free Game"),IF(LOWER($L138&amp;"")="yes","Disqualified",IF($P138="","",IF(ROUND(IFERROR(VALUE($P138),0)-IFERROR(VALUE($H138),0),2)&gt;0,"Profit","Draw")))))))</ns0:f>
      </ns0:c>
      <ns0:c r="V138" s="956" t="str">
        <ns0:f>IF(COUNTA($A138:$M138)=0,"",IF(OR($B138="",$C138="",$U138="Subscription"),"",IFERROR(ROUNDUP(($C138-$B138)/7,0),"")))</ns0:f>
      </ns0:c>
      <ns0:c r="W138" s="114">
        <ns0:f>IF(COUNTA($A138:$M138)=0,"",IF(OR($U138="Subscription",$U138=""),"",IF($U138="Estimate","N/A",IF(OR($U138="Free Game",$U138="Disqualified — Free Game"),0,ROUND(IFERROR($Q138,0)-IFERROR($S138,0),2)))))</ns0:f>
      </ns0:c>
      <ns0:c r="X138" s="956" t="str">
        <ns0:f>IF(COUNTA($A138:$M138)=0,"",IF(OR($U138="Subscription",NOT(ISNUMBER($J138)),NOT(ISNUMBER($I138)),$J138=0,$I138=0,$I138&gt;$J138),"",$J138-$I138))</ns0:f>
      </ns0:c>
      <ns0:c r="Y138" s="955" t="str">
        <ns0:f>IF(COUNTA($A138:$M138)=0,"",IF(OR($U138="Subscription",NOT(ISNUMBER($J138)),$J138=0,$X138=""),"",$X138/$J138))</ns0:f>
      </ns0:c>
      <ns0:c r="Z138" s="957" t="str">
        <ns0:f>IF(COUNTA($A138:$M138)=0,"",Instructions!$B$29+SUM($W$5:W138))</ns0:f>
      </ns0:c>
    </ns0:row>
    <ns0:row r="139" ht="36" customHeight="1">
      <ns0:c r="A139" s="439"/>
      <ns0:c r="B139" s="453"/>
      <ns0:c r="C139" s="453"/>
      <ns0:c r="D139" s="454"/>
      <ns0:c r="E139" s="454"/>
      <ns0:c r="F139" s="454"/>
      <ns0:c r="G139" s="986"/>
      <ns0:c r="H139" s="455"/>
      <ns0:c r="I139" s="456"/>
      <ns0:c r="J139" s="456"/>
      <ns0:c r="K139" s="986"/>
      <ns0:c r="L139" s="454"/>
      <ns0:c r="M139" s="439"/>
      <ns0:c r="N139" s="987" t="str">
        <ns0:f>IF(COUNTA($A139:$M139)=0,"",IF(OR(LEFT(LOWER(TRIM($F139&amp;"")),12)="subscription",LOWER(TRIM($F139&amp;""))="membership"),"",IF(OR(AND($H139&lt;&gt;"",$H139=0),LEFT(LOWER(TRIM($F139&amp;"")),9)="free game",LOWER(TRIM($F139&amp;""))="free",LOWER(TRIM($F139&amp;""))="free entry"),IF(ISNUMBER($G139),IF(ISNUMBER(SEARCH("non",LOWER($E139&amp;""))),$G139*0.85,$G139),"N/A"),IF($G139="","",IFERROR(IF(ISNUMBER(SEARCH("non",LOWER($E139&amp;""))),$G139*0.85,$G139),"")))))</ns0:f>
        <ns0:v/>
      </ns0:c>
      <ns0:c r="O139" s="987" t="str">
        <ns0:f>IF(COUNTA($A139:$M139)=0,"",IF(OR(LEFT(LOWER(TRIM($F139&amp;"")),12)="subscription",LOWER(TRIM($F139&amp;""))="membership"),"",IF(OR(AND($H139&lt;&gt;"",$H139=0),LEFT(LOWER(TRIM($F139&amp;"")),9)="free game",LOWER(TRIM($F139&amp;""))="free",LOWER(TRIM($F139&amp;""))="free entry"),IF(OR(NOT(ISNUMBER($N139)),NOT(ISNUMBER($I139)),$I139=0),"N/A",IFERROR($N139/$I139,"N/A")),IF(OR($N139="",$I139="",$I139=0),"",IFERROR($N139/$I139,"")))))</ns0:f>
        <ns0:v/>
      </ns0:c>
      <ns0:c r="P139" s="987">
        <ns0:f>IF(COUNTA($A139:$M139)=0,"",IF(OR(LEFT(LOWER(TRIM($F139&amp;"")),12)="subscription",LOWER(TRIM($F139&amp;""))="membership"),"",IF(LOWER(TRIM($D139&amp;""))="estimate","N/A",IF(LOWER($L139&amp;"")="yes",0,IF(OR(AND($H139&lt;&gt;"",$H139=0),LEFT(LOWER(TRIM($F139&amp;"")),9)="free game",LOWER(TRIM($F139&amp;""))="free",LOWER(TRIM($F139&amp;""))="free entry"),IF(ISNUMBER($K139),$K139,""),IF($K139&lt;&gt;"",$K139,""))))))</ns0:f>
      </ns0:c>
      <ns0:c r="Q139" s="114">
        <ns0:f>IF(COUNTA($A139:$M139)=0,"",IF(OR($U139="Subscription",$U139=""),"",IF($U139="Estimate","N/A",IF($U139="Profit",ROUND(IFERROR($P139,0)-IFERROR($H139,0),2),0))))</ns0:f>
      </ns0:c>
      <ns0:c r="R139" s="114">
        <ns0:f>IF(COUNTA($A139:$M139)=0,"",IF(OR($U139="Subscription",$U139=""),"",IF($U139="Estimate","N/A",IF($U139="Draw",$H139,0))))</ns0:f>
      </ns0:c>
      <ns0:c r="S139" s="114">
        <ns0:f>IF(COUNTA($A139:$M139)=0,"",IF(OR($U139="Subscription",$U139=""),"",IF($U139="Estimate","N/A",IF($U139="Disqualified",$H139,0))))</ns0:f>
      </ns0:c>
      <ns0:c r="T139" s="955">
        <ns0:f>IF(COUNTA($A139:$M139)=0,"",IF(OR($U139="Subscription",$U139=""),"",IF($U139="Estimate","N/A",IF(OR($U139="Free Game",$U139="Disqualified — Free Game",$H139=0),"N/A",IF($U139="Profit",$Q139/$H139,IF($U139="Disqualified",-$S139/$H139,0))))))</ns0:f>
      </ns0:c>
      <ns0:c r="U139" s="920">
        <ns0:f>IF(COUNTA($A139:$M139)=0,"",IF(OR(LEFT(LOWER(TRIM($F139&amp;"")),12)="subscription",LOWER(TRIM($F139&amp;""))="membership"),"Subscription",IF(LOWER(TRIM($D139&amp;""))="estimate","Estimate",IF(OR(AND($H139&lt;&gt;"",$H139=0),LEFT(LOWER(TRIM($F139&amp;"")),9)="free game",LOWER(TRIM($F139&amp;""))="free",LOWER(TRIM($F139&amp;""))="free entry"),IF(LOWER($L139&amp;"")="yes","Disqualified — Free Game","Free Game"),IF(LOWER($L139&amp;"")="yes","Disqualified",IF($P139="","",IF(ROUND(IFERROR(VALUE($P139),0)-IFERROR(VALUE($H139),0),2)&gt;0,"Profit","Draw")))))))</ns0:f>
      </ns0:c>
      <ns0:c r="V139" s="956" t="str">
        <ns0:f>IF(COUNTA($A139:$M139)=0,"",IF(OR($B139="",$C139="",$U139="Subscription"),"",IFERROR(ROUNDUP(($C139-$B139)/7,0),"")))</ns0:f>
      </ns0:c>
      <ns0:c r="W139" s="114">
        <ns0:f>IF(COUNTA($A139:$M139)=0,"",IF(OR($U139="Subscription",$U139=""),"",IF($U139="Estimate","N/A",IF(OR($U139="Free Game",$U139="Disqualified — Free Game"),0,ROUND(IFERROR($Q139,0)-IFERROR($S139,0),2)))))</ns0:f>
      </ns0:c>
      <ns0:c r="X139" s="956" t="str">
        <ns0:f>IF(COUNTA($A139:$M139)=0,"",IF(OR($U139="Subscription",NOT(ISNUMBER($J139)),NOT(ISNUMBER($I139)),$J139=0,$I139=0,$I139&gt;$J139),"",$J139-$I139))</ns0:f>
      </ns0:c>
      <ns0:c r="Y139" s="955" t="str">
        <ns0:f>IF(COUNTA($A139:$M139)=0,"",IF(OR($U139="Subscription",NOT(ISNUMBER($J139)),$J139=0,$X139=""),"",$X139/$J139))</ns0:f>
      </ns0:c>
      <ns0:c r="Z139" s="957" t="str">
        <ns0:f>IF(COUNTA($A139:$M139)=0,"",Instructions!$B$29+SUM($W$5:W139))</ns0:f>
      </ns0:c>
    </ns0:row>
    <ns0:row r="140" ht="36" customHeight="1">
      <ns0:c r="A140" s="439"/>
      <ns0:c r="B140" s="453"/>
      <ns0:c r="C140" s="453"/>
      <ns0:c r="D140" s="454"/>
      <ns0:c r="E140" s="454"/>
      <ns0:c r="F140" s="454"/>
      <ns0:c r="G140" s="986"/>
      <ns0:c r="H140" s="455"/>
      <ns0:c r="I140" s="456"/>
      <ns0:c r="J140" s="456"/>
      <ns0:c r="K140" s="986"/>
      <ns0:c r="L140" s="454"/>
      <ns0:c r="M140" s="439"/>
      <ns0:c r="N140" s="987" t="str">
        <ns0:f>IF(COUNTA($A140:$M140)=0,"",IF(OR(LEFT(LOWER(TRIM($F140&amp;"")),12)="subscription",LOWER(TRIM($F140&amp;""))="membership"),"",IF(OR(AND($H140&lt;&gt;"",$H140=0),LEFT(LOWER(TRIM($F140&amp;"")),9)="free game",LOWER(TRIM($F140&amp;""))="free",LOWER(TRIM($F140&amp;""))="free entry"),IF(ISNUMBER($G140),IF(ISNUMBER(SEARCH("non",LOWER($E140&amp;""))),$G140*0.85,$G140),"N/A"),IF($G140="","",IFERROR(IF(ISNUMBER(SEARCH("non",LOWER($E140&amp;""))),$G140*0.85,$G140),"")))))</ns0:f>
        <ns0:v/>
      </ns0:c>
      <ns0:c r="O140" s="987" t="str">
        <ns0:f>IF(COUNTA($A140:$M140)=0,"",IF(OR(LEFT(LOWER(TRIM($F140&amp;"")),12)="subscription",LOWER(TRIM($F140&amp;""))="membership"),"",IF(OR(AND($H140&lt;&gt;"",$H140=0),LEFT(LOWER(TRIM($F140&amp;"")),9)="free game",LOWER(TRIM($F140&amp;""))="free",LOWER(TRIM($F140&amp;""))="free entry"),IF(OR(NOT(ISNUMBER($N140)),NOT(ISNUMBER($I140)),$I140=0),"N/A",IFERROR($N140/$I140,"N/A")),IF(OR($N140="",$I140="",$I140=0),"",IFERROR($N140/$I140,"")))))</ns0:f>
        <ns0:v/>
      </ns0:c>
      <ns0:c r="P140" s="987">
        <ns0:f>IF(COUNTA($A140:$M140)=0,"",IF(OR(LEFT(LOWER(TRIM($F140&amp;"")),12)="subscription",LOWER(TRIM($F140&amp;""))="membership"),"",IF(LOWER(TRIM($D140&amp;""))="estimate","N/A",IF(LOWER($L140&amp;"")="yes",0,IF(OR(AND($H140&lt;&gt;"",$H140=0),LEFT(LOWER(TRIM($F140&amp;"")),9)="free game",LOWER(TRIM($F140&amp;""))="free",LOWER(TRIM($F140&amp;""))="free entry"),IF(ISNUMBER($K140),$K140,""),IF($K140&lt;&gt;"",$K140,""))))))</ns0:f>
      </ns0:c>
      <ns0:c r="Q140" s="114">
        <ns0:f>IF(COUNTA($A140:$M140)=0,"",IF(OR($U140="Subscription",$U140=""),"",IF($U140="Estimate","N/A",IF($U140="Profit",ROUND(IFERROR($P140,0)-IFERROR($H140,0),2),0))))</ns0:f>
      </ns0:c>
      <ns0:c r="R140" s="114">
        <ns0:f>IF(COUNTA($A140:$M140)=0,"",IF(OR($U140="Subscription",$U140=""),"",IF($U140="Estimate","N/A",IF($U140="Draw",$H140,0))))</ns0:f>
      </ns0:c>
      <ns0:c r="S140" s="114">
        <ns0:f>IF(COUNTA($A140:$M140)=0,"",IF(OR($U140="Subscription",$U140=""),"",IF($U140="Estimate","N/A",IF($U140="Disqualified",$H140,0))))</ns0:f>
      </ns0:c>
      <ns0:c r="T140" s="955">
        <ns0:f>IF(COUNTA($A140:$M140)=0,"",IF(OR($U140="Subscription",$U140=""),"",IF($U140="Estimate","N/A",IF(OR($U140="Free Game",$U140="Disqualified — Free Game",$H140=0),"N/A",IF($U140="Profit",$Q140/$H140,IF($U140="Disqualified",-$S140/$H140,0))))))</ns0:f>
      </ns0:c>
      <ns0:c r="U140" s="920">
        <ns0:f>IF(COUNTA($A140:$M140)=0,"",IF(OR(LEFT(LOWER(TRIM($F140&amp;"")),12)="subscription",LOWER(TRIM($F140&amp;""))="membership"),"Subscription",IF(LOWER(TRIM($D140&amp;""))="estimate","Estimate",IF(OR(AND($H140&lt;&gt;"",$H140=0),LEFT(LOWER(TRIM($F140&amp;"")),9)="free game",LOWER(TRIM($F140&amp;""))="free",LOWER(TRIM($F140&amp;""))="free entry"),IF(LOWER($L140&amp;"")="yes","Disqualified — Free Game","Free Game"),IF(LOWER($L140&amp;"")="yes","Disqualified",IF($P140="","",IF(ROUND(IFERROR(VALUE($P140),0)-IFERROR(VALUE($H140),0),2)&gt;0,"Profit","Draw")))))))</ns0:f>
      </ns0:c>
      <ns0:c r="V140" s="956" t="str">
        <ns0:f>IF(COUNTA($A140:$M140)=0,"",IF(OR($B140="",$C140="",$U140="Subscription"),"",IFERROR(ROUNDUP(($C140-$B140)/7,0),"")))</ns0:f>
      </ns0:c>
      <ns0:c r="W140" s="114">
        <ns0:f>IF(COUNTA($A140:$M140)=0,"",IF(OR($U140="Subscription",$U140=""),"",IF($U140="Estimate","N/A",IF(OR($U140="Free Game",$U140="Disqualified — Free Game"),0,ROUND(IFERROR($Q140,0)-IFERROR($S140,0),2)))))</ns0:f>
      </ns0:c>
      <ns0:c r="X140" s="956" t="str">
        <ns0:f>IF(COUNTA($A140:$M140)=0,"",IF(OR($U140="Subscription",NOT(ISNUMBER($J140)),NOT(ISNUMBER($I140)),$J140=0,$I140=0,$I140&gt;$J140),"",$J140-$I140))</ns0:f>
      </ns0:c>
      <ns0:c r="Y140" s="955" t="str">
        <ns0:f>IF(COUNTA($A140:$M140)=0,"",IF(OR($U140="Subscription",NOT(ISNUMBER($J140)),$J140=0,$X140=""),"",$X140/$J140))</ns0:f>
      </ns0:c>
      <ns0:c r="Z140" s="957" t="str">
        <ns0:f>IF(COUNTA($A140:$M140)=0,"",Instructions!$B$29+SUM($W$5:W140))</ns0:f>
      </ns0:c>
    </ns0:row>
    <ns0:row r="141" ht="36" customHeight="1">
      <ns0:c r="A141" s="439"/>
      <ns0:c r="B141" s="453"/>
      <ns0:c r="C141" s="453"/>
      <ns0:c r="D141" s="454"/>
      <ns0:c r="E141" s="454"/>
      <ns0:c r="F141" s="454"/>
      <ns0:c r="G141" s="986"/>
      <ns0:c r="H141" s="455"/>
      <ns0:c r="I141" s="456"/>
      <ns0:c r="J141" s="456"/>
      <ns0:c r="K141" s="986"/>
      <ns0:c r="L141" s="454"/>
      <ns0:c r="M141" s="439"/>
      <ns0:c r="N141" s="987" t="str">
        <ns0:f>IF(COUNTA($A141:$M141)=0,"",IF(OR(LEFT(LOWER(TRIM($F141&amp;"")),12)="subscription",LOWER(TRIM($F141&amp;""))="membership"),"",IF(OR(AND($H141&lt;&gt;"",$H141=0),LEFT(LOWER(TRIM($F141&amp;"")),9)="free game",LOWER(TRIM($F141&amp;""))="free",LOWER(TRIM($F141&amp;""))="free entry"),IF(ISNUMBER($G141),IF(ISNUMBER(SEARCH("non",LOWER($E141&amp;""))),$G141*0.85,$G141),"N/A"),IF($G141="","",IFERROR(IF(ISNUMBER(SEARCH("non",LOWER($E141&amp;""))),$G141*0.85,$G141),"")))))</ns0:f>
        <ns0:v/>
      </ns0:c>
      <ns0:c r="O141" s="987" t="str">
        <ns0:f>IF(COUNTA($A141:$M141)=0,"",IF(OR(LEFT(LOWER(TRIM($F141&amp;"")),12)="subscription",LOWER(TRIM($F141&amp;""))="membership"),"",IF(OR(AND($H141&lt;&gt;"",$H141=0),LEFT(LOWER(TRIM($F141&amp;"")),9)="free game",LOWER(TRIM($F141&amp;""))="free",LOWER(TRIM($F141&amp;""))="free entry"),IF(OR(NOT(ISNUMBER($N141)),NOT(ISNUMBER($I141)),$I141=0),"N/A",IFERROR($N141/$I141,"N/A")),IF(OR($N141="",$I141="",$I141=0),"",IFERROR($N141/$I141,"")))))</ns0:f>
        <ns0:v/>
      </ns0:c>
      <ns0:c r="P141" s="987">
        <ns0:f>IF(COUNTA($A141:$M141)=0,"",IF(OR(LEFT(LOWER(TRIM($F141&amp;"")),12)="subscription",LOWER(TRIM($F141&amp;""))="membership"),"",IF(LOWER(TRIM($D141&amp;""))="estimate","N/A",IF(LOWER($L141&amp;"")="yes",0,IF(OR(AND($H141&lt;&gt;"",$H141=0),LEFT(LOWER(TRIM($F141&amp;"")),9)="free game",LOWER(TRIM($F141&amp;""))="free",LOWER(TRIM($F141&amp;""))="free entry"),IF(ISNUMBER($K141),$K141,""),IF($K141&lt;&gt;"",$K141,""))))))</ns0:f>
      </ns0:c>
      <ns0:c r="Q141" s="114">
        <ns0:f>IF(COUNTA($A141:$M141)=0,"",IF(OR($U141="Subscription",$U141=""),"",IF($U141="Estimate","N/A",IF($U141="Profit",ROUND(IFERROR($P141,0)-IFERROR($H141,0),2),0))))</ns0:f>
      </ns0:c>
      <ns0:c r="R141" s="114">
        <ns0:f>IF(COUNTA($A141:$M141)=0,"",IF(OR($U141="Subscription",$U141=""),"",IF($U141="Estimate","N/A",IF($U141="Draw",$H141,0))))</ns0:f>
      </ns0:c>
      <ns0:c r="S141" s="114">
        <ns0:f>IF(COUNTA($A141:$M141)=0,"",IF(OR($U141="Subscription",$U141=""),"",IF($U141="Estimate","N/A",IF($U141="Disqualified",$H141,0))))</ns0:f>
      </ns0:c>
      <ns0:c r="T141" s="955">
        <ns0:f>IF(COUNTA($A141:$M141)=0,"",IF(OR($U141="Subscription",$U141=""),"",IF($U141="Estimate","N/A",IF(OR($U141="Free Game",$U141="Disqualified — Free Game",$H141=0),"N/A",IF($U141="Profit",$Q141/$H141,IF($U141="Disqualified",-$S141/$H141,0))))))</ns0:f>
      </ns0:c>
      <ns0:c r="U141" s="920">
        <ns0:f>IF(COUNTA($A141:$M141)=0,"",IF(OR(LEFT(LOWER(TRIM($F141&amp;"")),12)="subscription",LOWER(TRIM($F141&amp;""))="membership"),"Subscription",IF(LOWER(TRIM($D141&amp;""))="estimate","Estimate",IF(OR(AND($H141&lt;&gt;"",$H141=0),LEFT(LOWER(TRIM($F141&amp;"")),9)="free game",LOWER(TRIM($F141&amp;""))="free",LOWER(TRIM($F141&amp;""))="free entry"),IF(LOWER($L141&amp;"")="yes","Disqualified — Free Game","Free Game"),IF(LOWER($L141&amp;"")="yes","Disqualified",IF($P141="","",IF(ROUND(IFERROR(VALUE($P141),0)-IFERROR(VALUE($H141),0),2)&gt;0,"Profit","Draw")))))))</ns0:f>
      </ns0:c>
      <ns0:c r="V141" s="956" t="str">
        <ns0:f>IF(COUNTA($A141:$M141)=0,"",IF(OR($B141="",$C141="",$U141="Subscription"),"",IFERROR(ROUNDUP(($C141-$B141)/7,0),"")))</ns0:f>
      </ns0:c>
      <ns0:c r="W141" s="114">
        <ns0:f>IF(COUNTA($A141:$M141)=0,"",IF(OR($U141="Subscription",$U141=""),"",IF($U141="Estimate","N/A",IF(OR($U141="Free Game",$U141="Disqualified — Free Game"),0,ROUND(IFERROR($Q141,0)-IFERROR($S141,0),2)))))</ns0:f>
      </ns0:c>
      <ns0:c r="X141" s="956" t="str">
        <ns0:f>IF(COUNTA($A141:$M141)=0,"",IF(OR($U141="Subscription",NOT(ISNUMBER($J141)),NOT(ISNUMBER($I141)),$J141=0,$I141=0,$I141&gt;$J141),"",$J141-$I141))</ns0:f>
      </ns0:c>
      <ns0:c r="Y141" s="955" t="str">
        <ns0:f>IF(COUNTA($A141:$M141)=0,"",IF(OR($U141="Subscription",NOT(ISNUMBER($J141)),$J141=0,$X141=""),"",$X141/$J141))</ns0:f>
      </ns0:c>
      <ns0:c r="Z141" s="957" t="str">
        <ns0:f>IF(COUNTA($A141:$M141)=0,"",Instructions!$B$29+SUM($W$5:W141))</ns0:f>
      </ns0:c>
    </ns0:row>
    <ns0:row r="142" ht="36" customHeight="1">
      <ns0:c r="A142" s="439"/>
      <ns0:c r="B142" s="453"/>
      <ns0:c r="C142" s="453"/>
      <ns0:c r="D142" s="454"/>
      <ns0:c r="E142" s="454"/>
      <ns0:c r="F142" s="454"/>
      <ns0:c r="G142" s="986"/>
      <ns0:c r="H142" s="455"/>
      <ns0:c r="I142" s="456"/>
      <ns0:c r="J142" s="456"/>
      <ns0:c r="K142" s="986"/>
      <ns0:c r="L142" s="454"/>
      <ns0:c r="M142" s="439"/>
      <ns0:c r="N142" s="987" t="str">
        <ns0:f>IF(COUNTA($A142:$M142)=0,"",IF(OR(LEFT(LOWER(TRIM($F142&amp;"")),12)="subscription",LOWER(TRIM($F142&amp;""))="membership"),"",IF(OR(AND($H142&lt;&gt;"",$H142=0),LEFT(LOWER(TRIM($F142&amp;"")),9)="free game",LOWER(TRIM($F142&amp;""))="free",LOWER(TRIM($F142&amp;""))="free entry"),IF(ISNUMBER($G142),IF(ISNUMBER(SEARCH("non",LOWER($E142&amp;""))),$G142*0.85,$G142),"N/A"),IF($G142="","",IFERROR(IF(ISNUMBER(SEARCH("non",LOWER($E142&amp;""))),$G142*0.85,$G142),"")))))</ns0:f>
        <ns0:v/>
      </ns0:c>
      <ns0:c r="O142" s="987" t="str">
        <ns0:f>IF(COUNTA($A142:$M142)=0,"",IF(OR(LEFT(LOWER(TRIM($F142&amp;"")),12)="subscription",LOWER(TRIM($F142&amp;""))="membership"),"",IF(OR(AND($H142&lt;&gt;"",$H142=0),LEFT(LOWER(TRIM($F142&amp;"")),9)="free game",LOWER(TRIM($F142&amp;""))="free",LOWER(TRIM($F142&amp;""))="free entry"),IF(OR(NOT(ISNUMBER($N142)),NOT(ISNUMBER($I142)),$I142=0),"N/A",IFERROR($N142/$I142,"N/A")),IF(OR($N142="",$I142="",$I142=0),"",IFERROR($N142/$I142,"")))))</ns0:f>
        <ns0:v/>
      </ns0:c>
      <ns0:c r="P142" s="987">
        <ns0:f>IF(COUNTA($A142:$M142)=0,"",IF(OR(LEFT(LOWER(TRIM($F142&amp;"")),12)="subscription",LOWER(TRIM($F142&amp;""))="membership"),"",IF(LOWER(TRIM($D142&amp;""))="estimate","N/A",IF(LOWER($L142&amp;"")="yes",0,IF(OR(AND($H142&lt;&gt;"",$H142=0),LEFT(LOWER(TRIM($F142&amp;"")),9)="free game",LOWER(TRIM($F142&amp;""))="free",LOWER(TRIM($F142&amp;""))="free entry"),IF(ISNUMBER($K142),$K142,""),IF($K142&lt;&gt;"",$K142,""))))))</ns0:f>
      </ns0:c>
      <ns0:c r="Q142" s="114">
        <ns0:f>IF(COUNTA($A142:$M142)=0,"",IF(OR($U142="Subscription",$U142=""),"",IF($U142="Estimate","N/A",IF($U142="Profit",ROUND(IFERROR($P142,0)-IFERROR($H142,0),2),0))))</ns0:f>
      </ns0:c>
      <ns0:c r="R142" s="114">
        <ns0:f>IF(COUNTA($A142:$M142)=0,"",IF(OR($U142="Subscription",$U142=""),"",IF($U142="Estimate","N/A",IF($U142="Draw",$H142,0))))</ns0:f>
      </ns0:c>
      <ns0:c r="S142" s="114">
        <ns0:f>IF(COUNTA($A142:$M142)=0,"",IF(OR($U142="Subscription",$U142=""),"",IF($U142="Estimate","N/A",IF($U142="Disqualified",$H142,0))))</ns0:f>
      </ns0:c>
      <ns0:c r="T142" s="955">
        <ns0:f>IF(COUNTA($A142:$M142)=0,"",IF(OR($U142="Subscription",$U142=""),"",IF($U142="Estimate","N/A",IF(OR($U142="Free Game",$U142="Disqualified — Free Game",$H142=0),"N/A",IF($U142="Profit",$Q142/$H142,IF($U142="Disqualified",-$S142/$H142,0))))))</ns0:f>
      </ns0:c>
      <ns0:c r="U142" s="920">
        <ns0:f>IF(COUNTA($A142:$M142)=0,"",IF(OR(LEFT(LOWER(TRIM($F142&amp;"")),12)="subscription",LOWER(TRIM($F142&amp;""))="membership"),"Subscription",IF(LOWER(TRIM($D142&amp;""))="estimate","Estimate",IF(OR(AND($H142&lt;&gt;"",$H142=0),LEFT(LOWER(TRIM($F142&amp;"")),9)="free game",LOWER(TRIM($F142&amp;""))="free",LOWER(TRIM($F142&amp;""))="free entry"),IF(LOWER($L142&amp;"")="yes","Disqualified — Free Game","Free Game"),IF(LOWER($L142&amp;"")="yes","Disqualified",IF($P142="","",IF(ROUND(IFERROR(VALUE($P142),0)-IFERROR(VALUE($H142),0),2)&gt;0,"Profit","Draw")))))))</ns0:f>
      </ns0:c>
      <ns0:c r="V142" s="956" t="str">
        <ns0:f>IF(COUNTA($A142:$M142)=0,"",IF(OR($B142="",$C142="",$U142="Subscription"),"",IFERROR(ROUNDUP(($C142-$B142)/7,0),"")))</ns0:f>
      </ns0:c>
      <ns0:c r="W142" s="114">
        <ns0:f>IF(COUNTA($A142:$M142)=0,"",IF(OR($U142="Subscription",$U142=""),"",IF($U142="Estimate","N/A",IF(OR($U142="Free Game",$U142="Disqualified — Free Game"),0,ROUND(IFERROR($Q142,0)-IFERROR($S142,0),2)))))</ns0:f>
      </ns0:c>
      <ns0:c r="X142" s="956" t="str">
        <ns0:f>IF(COUNTA($A142:$M142)=0,"",IF(OR($U142="Subscription",NOT(ISNUMBER($J142)),NOT(ISNUMBER($I142)),$J142=0,$I142=0,$I142&gt;$J142),"",$J142-$I142))</ns0:f>
      </ns0:c>
      <ns0:c r="Y142" s="955" t="str">
        <ns0:f>IF(COUNTA($A142:$M142)=0,"",IF(OR($U142="Subscription",NOT(ISNUMBER($J142)),$J142=0,$X142=""),"",$X142/$J142))</ns0:f>
      </ns0:c>
      <ns0:c r="Z142" s="957" t="str">
        <ns0:f>IF(COUNTA($A142:$M142)=0,"",Instructions!$B$29+SUM($W$5:W142))</ns0:f>
      </ns0:c>
    </ns0:row>
    <ns0:row r="143" ht="36" customHeight="1">
      <ns0:c r="A143" s="439"/>
      <ns0:c r="B143" s="453"/>
      <ns0:c r="C143" s="453"/>
      <ns0:c r="D143" s="454"/>
      <ns0:c r="E143" s="454"/>
      <ns0:c r="F143" s="454"/>
      <ns0:c r="G143" s="986"/>
      <ns0:c r="H143" s="455"/>
      <ns0:c r="I143" s="456"/>
      <ns0:c r="J143" s="456"/>
      <ns0:c r="K143" s="986"/>
      <ns0:c r="L143" s="454"/>
      <ns0:c r="M143" s="439"/>
      <ns0:c r="N143" s="987" t="str">
        <ns0:f>IF(COUNTA($A143:$M143)=0,"",IF(OR(LEFT(LOWER(TRIM($F143&amp;"")),12)="subscription",LOWER(TRIM($F143&amp;""))="membership"),"",IF(OR(AND($H143&lt;&gt;"",$H143=0),LEFT(LOWER(TRIM($F143&amp;"")),9)="free game",LOWER(TRIM($F143&amp;""))="free",LOWER(TRIM($F143&amp;""))="free entry"),IF(ISNUMBER($G143),IF(ISNUMBER(SEARCH("non",LOWER($E143&amp;""))),$G143*0.85,$G143),"N/A"),IF($G143="","",IFERROR(IF(ISNUMBER(SEARCH("non",LOWER($E143&amp;""))),$G143*0.85,$G143),"")))))</ns0:f>
        <ns0:v/>
      </ns0:c>
      <ns0:c r="O143" s="987" t="str">
        <ns0:f>IF(COUNTA($A143:$M143)=0,"",IF(OR(LEFT(LOWER(TRIM($F143&amp;"")),12)="subscription",LOWER(TRIM($F143&amp;""))="membership"),"",IF(OR(AND($H143&lt;&gt;"",$H143=0),LEFT(LOWER(TRIM($F143&amp;"")),9)="free game",LOWER(TRIM($F143&amp;""))="free",LOWER(TRIM($F143&amp;""))="free entry"),IF(OR(NOT(ISNUMBER($N143)),NOT(ISNUMBER($I143)),$I143=0),"N/A",IFERROR($N143/$I143,"N/A")),IF(OR($N143="",$I143="",$I143=0),"",IFERROR($N143/$I143,"")))))</ns0:f>
        <ns0:v/>
      </ns0:c>
      <ns0:c r="P143" s="987">
        <ns0:f>IF(COUNTA($A143:$M143)=0,"",IF(OR(LEFT(LOWER(TRIM($F143&amp;"")),12)="subscription",LOWER(TRIM($F143&amp;""))="membership"),"",IF(LOWER(TRIM($D143&amp;""))="estimate","N/A",IF(LOWER($L143&amp;"")="yes",0,IF(OR(AND($H143&lt;&gt;"",$H143=0),LEFT(LOWER(TRIM($F143&amp;"")),9)="free game",LOWER(TRIM($F143&amp;""))="free",LOWER(TRIM($F143&amp;""))="free entry"),IF(ISNUMBER($K143),$K143,""),IF($K143&lt;&gt;"",$K143,""))))))</ns0:f>
      </ns0:c>
      <ns0:c r="Q143" s="114">
        <ns0:f>IF(COUNTA($A143:$M143)=0,"",IF(OR($U143="Subscription",$U143=""),"",IF($U143="Estimate","N/A",IF($U143="Profit",ROUND(IFERROR($P143,0)-IFERROR($H143,0),2),0))))</ns0:f>
      </ns0:c>
      <ns0:c r="R143" s="114">
        <ns0:f>IF(COUNTA($A143:$M143)=0,"",IF(OR($U143="Subscription",$U143=""),"",IF($U143="Estimate","N/A",IF($U143="Draw",$H143,0))))</ns0:f>
      </ns0:c>
      <ns0:c r="S143" s="114">
        <ns0:f>IF(COUNTA($A143:$M143)=0,"",IF(OR($U143="Subscription",$U143=""),"",IF($U143="Estimate","N/A",IF($U143="Disqualified",$H143,0))))</ns0:f>
      </ns0:c>
      <ns0:c r="T143" s="955">
        <ns0:f>IF(COUNTA($A143:$M143)=0,"",IF(OR($U143="Subscription",$U143=""),"",IF($U143="Estimate","N/A",IF(OR($U143="Free Game",$U143="Disqualified — Free Game",$H143=0),"N/A",IF($U143="Profit",$Q143/$H143,IF($U143="Disqualified",-$S143/$H143,0))))))</ns0:f>
      </ns0:c>
      <ns0:c r="U143" s="920">
        <ns0:f>IF(COUNTA($A143:$M143)=0,"",IF(OR(LEFT(LOWER(TRIM($F143&amp;"")),12)="subscription",LOWER(TRIM($F143&amp;""))="membership"),"Subscription",IF(LOWER(TRIM($D143&amp;""))="estimate","Estimate",IF(OR(AND($H143&lt;&gt;"",$H143=0),LEFT(LOWER(TRIM($F143&amp;"")),9)="free game",LOWER(TRIM($F143&amp;""))="free",LOWER(TRIM($F143&amp;""))="free entry"),IF(LOWER($L143&amp;"")="yes","Disqualified — Free Game","Free Game"),IF(LOWER($L143&amp;"")="yes","Disqualified",IF($P143="","",IF(ROUND(IFERROR(VALUE($P143),0)-IFERROR(VALUE($H143),0),2)&gt;0,"Profit","Draw")))))))</ns0:f>
      </ns0:c>
      <ns0:c r="V143" s="956" t="str">
        <ns0:f>IF(COUNTA($A143:$M143)=0,"",IF(OR($B143="",$C143="",$U143="Subscription"),"",IFERROR(ROUNDUP(($C143-$B143)/7,0),"")))</ns0:f>
      </ns0:c>
      <ns0:c r="W143" s="114">
        <ns0:f>IF(COUNTA($A143:$M143)=0,"",IF(OR($U143="Subscription",$U143=""),"",IF($U143="Estimate","N/A",IF(OR($U143="Free Game",$U143="Disqualified — Free Game"),0,ROUND(IFERROR($Q143,0)-IFERROR($S143,0),2)))))</ns0:f>
      </ns0:c>
      <ns0:c r="X143" s="956" t="str">
        <ns0:f>IF(COUNTA($A143:$M143)=0,"",IF(OR($U143="Subscription",NOT(ISNUMBER($J143)),NOT(ISNUMBER($I143)),$J143=0,$I143=0,$I143&gt;$J143),"",$J143-$I143))</ns0:f>
      </ns0:c>
      <ns0:c r="Y143" s="955" t="str">
        <ns0:f>IF(COUNTA($A143:$M143)=0,"",IF(OR($U143="Subscription",NOT(ISNUMBER($J143)),$J143=0,$X143=""),"",$X143/$J143))</ns0:f>
      </ns0:c>
      <ns0:c r="Z143" s="957" t="str">
        <ns0:f>IF(COUNTA($A143:$M143)=0,"",Instructions!$B$29+SUM($W$5:W143))</ns0:f>
      </ns0:c>
    </ns0:row>
    <ns0:row r="144" ht="36" customHeight="1">
      <ns0:c r="A144" s="439"/>
      <ns0:c r="B144" s="453"/>
      <ns0:c r="C144" s="453"/>
      <ns0:c r="D144" s="454"/>
      <ns0:c r="E144" s="454"/>
      <ns0:c r="F144" s="454"/>
      <ns0:c r="G144" s="986"/>
      <ns0:c r="H144" s="455"/>
      <ns0:c r="I144" s="456"/>
      <ns0:c r="J144" s="456"/>
      <ns0:c r="K144" s="986"/>
      <ns0:c r="L144" s="454"/>
      <ns0:c r="M144" s="439"/>
      <ns0:c r="N144" s="987" t="str">
        <ns0:f>IF(COUNTA($A144:$M144)=0,"",IF(OR(LEFT(LOWER(TRIM($F144&amp;"")),12)="subscription",LOWER(TRIM($F144&amp;""))="membership"),"",IF(OR(AND($H144&lt;&gt;"",$H144=0),LEFT(LOWER(TRIM($F144&amp;"")),9)="free game",LOWER(TRIM($F144&amp;""))="free",LOWER(TRIM($F144&amp;""))="free entry"),IF(ISNUMBER($G144),IF(ISNUMBER(SEARCH("non",LOWER($E144&amp;""))),$G144*0.85,$G144),"N/A"),IF($G144="","",IFERROR(IF(ISNUMBER(SEARCH("non",LOWER($E144&amp;""))),$G144*0.85,$G144),"")))))</ns0:f>
        <ns0:v/>
      </ns0:c>
      <ns0:c r="O144" s="987" t="str">
        <ns0:f>IF(COUNTA($A144:$M144)=0,"",IF(OR(LEFT(LOWER(TRIM($F144&amp;"")),12)="subscription",LOWER(TRIM($F144&amp;""))="membership"),"",IF(OR(AND($H144&lt;&gt;"",$H144=0),LEFT(LOWER(TRIM($F144&amp;"")),9)="free game",LOWER(TRIM($F144&amp;""))="free",LOWER(TRIM($F144&amp;""))="free entry"),IF(OR(NOT(ISNUMBER($N144)),NOT(ISNUMBER($I144)),$I144=0),"N/A",IFERROR($N144/$I144,"N/A")),IF(OR($N144="",$I144="",$I144=0),"",IFERROR($N144/$I144,"")))))</ns0:f>
        <ns0:v/>
      </ns0:c>
      <ns0:c r="P144" s="987">
        <ns0:f>IF(COUNTA($A144:$M144)=0,"",IF(OR(LEFT(LOWER(TRIM($F144&amp;"")),12)="subscription",LOWER(TRIM($F144&amp;""))="membership"),"",IF(LOWER(TRIM($D144&amp;""))="estimate","N/A",IF(LOWER($L144&amp;"")="yes",0,IF(OR(AND($H144&lt;&gt;"",$H144=0),LEFT(LOWER(TRIM($F144&amp;"")),9)="free game",LOWER(TRIM($F144&amp;""))="free",LOWER(TRIM($F144&amp;""))="free entry"),IF(ISNUMBER($K144),$K144,""),IF($K144&lt;&gt;"",$K144,""))))))</ns0:f>
      </ns0:c>
      <ns0:c r="Q144" s="114">
        <ns0:f>IF(COUNTA($A144:$M144)=0,"",IF(OR($U144="Subscription",$U144=""),"",IF($U144="Estimate","N/A",IF($U144="Profit",ROUND(IFERROR($P144,0)-IFERROR($H144,0),2),0))))</ns0:f>
      </ns0:c>
      <ns0:c r="R144" s="114">
        <ns0:f>IF(COUNTA($A144:$M144)=0,"",IF(OR($U144="Subscription",$U144=""),"",IF($U144="Estimate","N/A",IF($U144="Draw",$H144,0))))</ns0:f>
      </ns0:c>
      <ns0:c r="S144" s="114">
        <ns0:f>IF(COUNTA($A144:$M144)=0,"",IF(OR($U144="Subscription",$U144=""),"",IF($U144="Estimate","N/A",IF($U144="Disqualified",$H144,0))))</ns0:f>
      </ns0:c>
      <ns0:c r="T144" s="955">
        <ns0:f>IF(COUNTA($A144:$M144)=0,"",IF(OR($U144="Subscription",$U144=""),"",IF($U144="Estimate","N/A",IF(OR($U144="Free Game",$U144="Disqualified — Free Game",$H144=0),"N/A",IF($U144="Profit",$Q144/$H144,IF($U144="Disqualified",-$S144/$H144,0))))))</ns0:f>
      </ns0:c>
      <ns0:c r="U144" s="920">
        <ns0:f>IF(COUNTA($A144:$M144)=0,"",IF(OR(LEFT(LOWER(TRIM($F144&amp;"")),12)="subscription",LOWER(TRIM($F144&amp;""))="membership"),"Subscription",IF(LOWER(TRIM($D144&amp;""))="estimate","Estimate",IF(OR(AND($H144&lt;&gt;"",$H144=0),LEFT(LOWER(TRIM($F144&amp;"")),9)="free game",LOWER(TRIM($F144&amp;""))="free",LOWER(TRIM($F144&amp;""))="free entry"),IF(LOWER($L144&amp;"")="yes","Disqualified — Free Game","Free Game"),IF(LOWER($L144&amp;"")="yes","Disqualified",IF($P144="","",IF(ROUND(IFERROR(VALUE($P144),0)-IFERROR(VALUE($H144),0),2)&gt;0,"Profit","Draw")))))))</ns0:f>
      </ns0:c>
      <ns0:c r="V144" s="956" t="str">
        <ns0:f>IF(COUNTA($A144:$M144)=0,"",IF(OR($B144="",$C144="",$U144="Subscription"),"",IFERROR(ROUNDUP(($C144-$B144)/7,0),"")))</ns0:f>
      </ns0:c>
      <ns0:c r="W144" s="114">
        <ns0:f>IF(COUNTA($A144:$M144)=0,"",IF(OR($U144="Subscription",$U144=""),"",IF($U144="Estimate","N/A",IF(OR($U144="Free Game",$U144="Disqualified — Free Game"),0,ROUND(IFERROR($Q144,0)-IFERROR($S144,0),2)))))</ns0:f>
      </ns0:c>
      <ns0:c r="X144" s="956" t="str">
        <ns0:f>IF(COUNTA($A144:$M144)=0,"",IF(OR($U144="Subscription",NOT(ISNUMBER($J144)),NOT(ISNUMBER($I144)),$J144=0,$I144=0,$I144&gt;$J144),"",$J144-$I144))</ns0:f>
      </ns0:c>
      <ns0:c r="Y144" s="955" t="str">
        <ns0:f>IF(COUNTA($A144:$M144)=0,"",IF(OR($U144="Subscription",NOT(ISNUMBER($J144)),$J144=0,$X144=""),"",$X144/$J144))</ns0:f>
      </ns0:c>
      <ns0:c r="Z144" s="957" t="str">
        <ns0:f>IF(COUNTA($A144:$M144)=0,"",Instructions!$B$29+SUM($W$5:W144))</ns0:f>
      </ns0:c>
    </ns0:row>
    <ns0:row r="145" ht="36" customHeight="1">
      <ns0:c r="A145" s="439"/>
      <ns0:c r="B145" s="453"/>
      <ns0:c r="C145" s="453"/>
      <ns0:c r="D145" s="454"/>
      <ns0:c r="E145" s="454"/>
      <ns0:c r="F145" s="454"/>
      <ns0:c r="G145" s="986"/>
      <ns0:c r="H145" s="455"/>
      <ns0:c r="I145" s="456"/>
      <ns0:c r="J145" s="456"/>
      <ns0:c r="K145" s="986"/>
      <ns0:c r="L145" s="454"/>
      <ns0:c r="M145" s="439"/>
      <ns0:c r="N145" s="987" t="str">
        <ns0:f>IF(COUNTA($A145:$M145)=0,"",IF(OR(LEFT(LOWER(TRIM($F145&amp;"")),12)="subscription",LOWER(TRIM($F145&amp;""))="membership"),"",IF(OR(AND($H145&lt;&gt;"",$H145=0),LEFT(LOWER(TRIM($F145&amp;"")),9)="free game",LOWER(TRIM($F145&amp;""))="free",LOWER(TRIM($F145&amp;""))="free entry"),IF(ISNUMBER($G145),IF(ISNUMBER(SEARCH("non",LOWER($E145&amp;""))),$G145*0.85,$G145),"N/A"),IF($G145="","",IFERROR(IF(ISNUMBER(SEARCH("non",LOWER($E145&amp;""))),$G145*0.85,$G145),"")))))</ns0:f>
        <ns0:v/>
      </ns0:c>
      <ns0:c r="O145" s="987" t="str">
        <ns0:f>IF(COUNTA($A145:$M145)=0,"",IF(OR(LEFT(LOWER(TRIM($F145&amp;"")),12)="subscription",LOWER(TRIM($F145&amp;""))="membership"),"",IF(OR(AND($H145&lt;&gt;"",$H145=0),LEFT(LOWER(TRIM($F145&amp;"")),9)="free game",LOWER(TRIM($F145&amp;""))="free",LOWER(TRIM($F145&amp;""))="free entry"),IF(OR(NOT(ISNUMBER($N145)),NOT(ISNUMBER($I145)),$I145=0),"N/A",IFERROR($N145/$I145,"N/A")),IF(OR($N145="",$I145="",$I145=0),"",IFERROR($N145/$I145,"")))))</ns0:f>
        <ns0:v/>
      </ns0:c>
      <ns0:c r="P145" s="987">
        <ns0:f>IF(COUNTA($A145:$M145)=0,"",IF(OR(LEFT(LOWER(TRIM($F145&amp;"")),12)="subscription",LOWER(TRIM($F145&amp;""))="membership"),"",IF(LOWER(TRIM($D145&amp;""))="estimate","N/A",IF(LOWER($L145&amp;"")="yes",0,IF(OR(AND($H145&lt;&gt;"",$H145=0),LEFT(LOWER(TRIM($F145&amp;"")),9)="free game",LOWER(TRIM($F145&amp;""))="free",LOWER(TRIM($F145&amp;""))="free entry"),IF(ISNUMBER($K145),$K145,""),IF($K145&lt;&gt;"",$K145,""))))))</ns0:f>
      </ns0:c>
      <ns0:c r="Q145" s="114">
        <ns0:f>IF(COUNTA($A145:$M145)=0,"",IF(OR($U145="Subscription",$U145=""),"",IF($U145="Estimate","N/A",IF($U145="Profit",ROUND(IFERROR($P145,0)-IFERROR($H145,0),2),0))))</ns0:f>
      </ns0:c>
      <ns0:c r="R145" s="114">
        <ns0:f>IF(COUNTA($A145:$M145)=0,"",IF(OR($U145="Subscription",$U145=""),"",IF($U145="Estimate","N/A",IF($U145="Draw",$H145,0))))</ns0:f>
      </ns0:c>
      <ns0:c r="S145" s="114">
        <ns0:f>IF(COUNTA($A145:$M145)=0,"",IF(OR($U145="Subscription",$U145=""),"",IF($U145="Estimate","N/A",IF($U145="Disqualified",$H145,0))))</ns0:f>
      </ns0:c>
      <ns0:c r="T145" s="955">
        <ns0:f>IF(COUNTA($A145:$M145)=0,"",IF(OR($U145="Subscription",$U145=""),"",IF($U145="Estimate","N/A",IF(OR($U145="Free Game",$U145="Disqualified — Free Game",$H145=0),"N/A",IF($U145="Profit",$Q145/$H145,IF($U145="Disqualified",-$S145/$H145,0))))))</ns0:f>
      </ns0:c>
      <ns0:c r="U145" s="920">
        <ns0:f>IF(COUNTA($A145:$M145)=0,"",IF(OR(LEFT(LOWER(TRIM($F145&amp;"")),12)="subscription",LOWER(TRIM($F145&amp;""))="membership"),"Subscription",IF(LOWER(TRIM($D145&amp;""))="estimate","Estimate",IF(OR(AND($H145&lt;&gt;"",$H145=0),LEFT(LOWER(TRIM($F145&amp;"")),9)="free game",LOWER(TRIM($F145&amp;""))="free",LOWER(TRIM($F145&amp;""))="free entry"),IF(LOWER($L145&amp;"")="yes","Disqualified — Free Game","Free Game"),IF(LOWER($L145&amp;"")="yes","Disqualified",IF($P145="","",IF(ROUND(IFERROR(VALUE($P145),0)-IFERROR(VALUE($H145),0),2)&gt;0,"Profit","Draw")))))))</ns0:f>
      </ns0:c>
      <ns0:c r="V145" s="956" t="str">
        <ns0:f>IF(COUNTA($A145:$M145)=0,"",IF(OR($B145="",$C145="",$U145="Subscription"),"",IFERROR(ROUNDUP(($C145-$B145)/7,0),"")))</ns0:f>
      </ns0:c>
      <ns0:c r="W145" s="114">
        <ns0:f>IF(COUNTA($A145:$M145)=0,"",IF(OR($U145="Subscription",$U145=""),"",IF($U145="Estimate","N/A",IF(OR($U145="Free Game",$U145="Disqualified — Free Game"),0,ROUND(IFERROR($Q145,0)-IFERROR($S145,0),2)))))</ns0:f>
      </ns0:c>
      <ns0:c r="X145" s="956" t="str">
        <ns0:f>IF(COUNTA($A145:$M145)=0,"",IF(OR($U145="Subscription",NOT(ISNUMBER($J145)),NOT(ISNUMBER($I145)),$J145=0,$I145=0,$I145&gt;$J145),"",$J145-$I145))</ns0:f>
      </ns0:c>
      <ns0:c r="Y145" s="955" t="str">
        <ns0:f>IF(COUNTA($A145:$M145)=0,"",IF(OR($U145="Subscription",NOT(ISNUMBER($J145)),$J145=0,$X145=""),"",$X145/$J145))</ns0:f>
      </ns0:c>
      <ns0:c r="Z145" s="957" t="str">
        <ns0:f>IF(COUNTA($A145:$M145)=0,"",Instructions!$B$29+SUM($W$5:W145))</ns0:f>
      </ns0:c>
    </ns0:row>
    <ns0:row r="146" ht="36" customHeight="1">
      <ns0:c r="A146" s="439"/>
      <ns0:c r="B146" s="453"/>
      <ns0:c r="C146" s="453"/>
      <ns0:c r="D146" s="454"/>
      <ns0:c r="E146" s="454"/>
      <ns0:c r="F146" s="454"/>
      <ns0:c r="G146" s="986"/>
      <ns0:c r="H146" s="455"/>
      <ns0:c r="I146" s="456"/>
      <ns0:c r="J146" s="456"/>
      <ns0:c r="K146" s="986"/>
      <ns0:c r="L146" s="454"/>
      <ns0:c r="M146" s="439"/>
      <ns0:c r="N146" s="987" t="str">
        <ns0:f>IF(COUNTA($A146:$M146)=0,"",IF(OR(LEFT(LOWER(TRIM($F146&amp;"")),12)="subscription",LOWER(TRIM($F146&amp;""))="membership"),"",IF(OR(AND($H146&lt;&gt;"",$H146=0),LEFT(LOWER(TRIM($F146&amp;"")),9)="free game",LOWER(TRIM($F146&amp;""))="free",LOWER(TRIM($F146&amp;""))="free entry"),IF(ISNUMBER($G146),IF(ISNUMBER(SEARCH("non",LOWER($E146&amp;""))),$G146*0.85,$G146),"N/A"),IF($G146="","",IFERROR(IF(ISNUMBER(SEARCH("non",LOWER($E146&amp;""))),$G146*0.85,$G146),"")))))</ns0:f>
        <ns0:v/>
      </ns0:c>
      <ns0:c r="O146" s="987" t="str">
        <ns0:f>IF(COUNTA($A146:$M146)=0,"",IF(OR(LEFT(LOWER(TRIM($F146&amp;"")),12)="subscription",LOWER(TRIM($F146&amp;""))="membership"),"",IF(OR(AND($H146&lt;&gt;"",$H146=0),LEFT(LOWER(TRIM($F146&amp;"")),9)="free game",LOWER(TRIM($F146&amp;""))="free",LOWER(TRIM($F146&amp;""))="free entry"),IF(OR(NOT(ISNUMBER($N146)),NOT(ISNUMBER($I146)),$I146=0),"N/A",IFERROR($N146/$I146,"N/A")),IF(OR($N146="",$I146="",$I146=0),"",IFERROR($N146/$I146,"")))))</ns0:f>
        <ns0:v/>
      </ns0:c>
      <ns0:c r="P146" s="987">
        <ns0:f>IF(COUNTA($A146:$M146)=0,"",IF(OR(LEFT(LOWER(TRIM($F146&amp;"")),12)="subscription",LOWER(TRIM($F146&amp;""))="membership"),"",IF(LOWER(TRIM($D146&amp;""))="estimate","N/A",IF(LOWER($L146&amp;"")="yes",0,IF(OR(AND($H146&lt;&gt;"",$H146=0),LEFT(LOWER(TRIM($F146&amp;"")),9)="free game",LOWER(TRIM($F146&amp;""))="free",LOWER(TRIM($F146&amp;""))="free entry"),IF(ISNUMBER($K146),$K146,""),IF($K146&lt;&gt;"",$K146,""))))))</ns0:f>
      </ns0:c>
      <ns0:c r="Q146" s="114">
        <ns0:f>IF(COUNTA($A146:$M146)=0,"",IF(OR($U146="Subscription",$U146=""),"",IF($U146="Estimate","N/A",IF($U146="Profit",ROUND(IFERROR($P146,0)-IFERROR($H146,0),2),0))))</ns0:f>
      </ns0:c>
      <ns0:c r="R146" s="114">
        <ns0:f>IF(COUNTA($A146:$M146)=0,"",IF(OR($U146="Subscription",$U146=""),"",IF($U146="Estimate","N/A",IF($U146="Draw",$H146,0))))</ns0:f>
      </ns0:c>
      <ns0:c r="S146" s="114">
        <ns0:f>IF(COUNTA($A146:$M146)=0,"",IF(OR($U146="Subscription",$U146=""),"",IF($U146="Estimate","N/A",IF($U146="Disqualified",$H146,0))))</ns0:f>
      </ns0:c>
      <ns0:c r="T146" s="955">
        <ns0:f>IF(COUNTA($A146:$M146)=0,"",IF(OR($U146="Subscription",$U146=""),"",IF($U146="Estimate","N/A",IF(OR($U146="Free Game",$U146="Disqualified — Free Game",$H146=0),"N/A",IF($U146="Profit",$Q146/$H146,IF($U146="Disqualified",-$S146/$H146,0))))))</ns0:f>
      </ns0:c>
      <ns0:c r="U146" s="920">
        <ns0:f>IF(COUNTA($A146:$M146)=0,"",IF(OR(LEFT(LOWER(TRIM($F146&amp;"")),12)="subscription",LOWER(TRIM($F146&amp;""))="membership"),"Subscription",IF(LOWER(TRIM($D146&amp;""))="estimate","Estimate",IF(OR(AND($H146&lt;&gt;"",$H146=0),LEFT(LOWER(TRIM($F146&amp;"")),9)="free game",LOWER(TRIM($F146&amp;""))="free",LOWER(TRIM($F146&amp;""))="free entry"),IF(LOWER($L146&amp;"")="yes","Disqualified — Free Game","Free Game"),IF(LOWER($L146&amp;"")="yes","Disqualified",IF($P146="","",IF(ROUND(IFERROR(VALUE($P146),0)-IFERROR(VALUE($H146),0),2)&gt;0,"Profit","Draw")))))))</ns0:f>
      </ns0:c>
      <ns0:c r="V146" s="956" t="str">
        <ns0:f>IF(COUNTA($A146:$M146)=0,"",IF(OR($B146="",$C146="",$U146="Subscription"),"",IFERROR(ROUNDUP(($C146-$B146)/7,0),"")))</ns0:f>
      </ns0:c>
      <ns0:c r="W146" s="114">
        <ns0:f>IF(COUNTA($A146:$M146)=0,"",IF(OR($U146="Subscription",$U146=""),"",IF($U146="Estimate","N/A",IF(OR($U146="Free Game",$U146="Disqualified — Free Game"),0,ROUND(IFERROR($Q146,0)-IFERROR($S146,0),2)))))</ns0:f>
      </ns0:c>
      <ns0:c r="X146" s="956" t="str">
        <ns0:f>IF(COUNTA($A146:$M146)=0,"",IF(OR($U146="Subscription",NOT(ISNUMBER($J146)),NOT(ISNUMBER($I146)),$J146=0,$I146=0,$I146&gt;$J146),"",$J146-$I146))</ns0:f>
      </ns0:c>
      <ns0:c r="Y146" s="955" t="str">
        <ns0:f>IF(COUNTA($A146:$M146)=0,"",IF(OR($U146="Subscription",NOT(ISNUMBER($J146)),$J146=0,$X146=""),"",$X146/$J146))</ns0:f>
      </ns0:c>
      <ns0:c r="Z146" s="957" t="str">
        <ns0:f>IF(COUNTA($A146:$M146)=0,"",Instructions!$B$29+SUM($W$5:W146))</ns0:f>
      </ns0:c>
    </ns0:row>
    <ns0:row r="147" ht="36" customHeight="1">
      <ns0:c r="A147" s="439"/>
      <ns0:c r="B147" s="453"/>
      <ns0:c r="C147" s="453"/>
      <ns0:c r="D147" s="454"/>
      <ns0:c r="E147" s="454"/>
      <ns0:c r="F147" s="454"/>
      <ns0:c r="G147" s="986"/>
      <ns0:c r="H147" s="455"/>
      <ns0:c r="I147" s="456"/>
      <ns0:c r="J147" s="456"/>
      <ns0:c r="K147" s="986"/>
      <ns0:c r="L147" s="454"/>
      <ns0:c r="M147" s="439"/>
      <ns0:c r="N147" s="987" t="str">
        <ns0:f>IF(COUNTA($A147:$M147)=0,"",IF(OR(LEFT(LOWER(TRIM($F147&amp;"")),12)="subscription",LOWER(TRIM($F147&amp;""))="membership"),"",IF(OR(AND($H147&lt;&gt;"",$H147=0),LEFT(LOWER(TRIM($F147&amp;"")),9)="free game",LOWER(TRIM($F147&amp;""))="free",LOWER(TRIM($F147&amp;""))="free entry"),IF(ISNUMBER($G147),IF(ISNUMBER(SEARCH("non",LOWER($E147&amp;""))),$G147*0.85,$G147),"N/A"),IF($G147="","",IFERROR(IF(ISNUMBER(SEARCH("non",LOWER($E147&amp;""))),$G147*0.85,$G147),"")))))</ns0:f>
        <ns0:v/>
      </ns0:c>
      <ns0:c r="O147" s="987" t="str">
        <ns0:f>IF(COUNTA($A147:$M147)=0,"",IF(OR(LEFT(LOWER(TRIM($F147&amp;"")),12)="subscription",LOWER(TRIM($F147&amp;""))="membership"),"",IF(OR(AND($H147&lt;&gt;"",$H147=0),LEFT(LOWER(TRIM($F147&amp;"")),9)="free game",LOWER(TRIM($F147&amp;""))="free",LOWER(TRIM($F147&amp;""))="free entry"),IF(OR(NOT(ISNUMBER($N147)),NOT(ISNUMBER($I147)),$I147=0),"N/A",IFERROR($N147/$I147,"N/A")),IF(OR($N147="",$I147="",$I147=0),"",IFERROR($N147/$I147,"")))))</ns0:f>
        <ns0:v/>
      </ns0:c>
      <ns0:c r="P147" s="987">
        <ns0:f>IF(COUNTA($A147:$M147)=0,"",IF(OR(LEFT(LOWER(TRIM($F147&amp;"")),12)="subscription",LOWER(TRIM($F147&amp;""))="membership"),"",IF(LOWER(TRIM($D147&amp;""))="estimate","N/A",IF(LOWER($L147&amp;"")="yes",0,IF(OR(AND($H147&lt;&gt;"",$H147=0),LEFT(LOWER(TRIM($F147&amp;"")),9)="free game",LOWER(TRIM($F147&amp;""))="free",LOWER(TRIM($F147&amp;""))="free entry"),IF(ISNUMBER($K147),$K147,""),IF($K147&lt;&gt;"",$K147,""))))))</ns0:f>
      </ns0:c>
      <ns0:c r="Q147" s="114">
        <ns0:f>IF(COUNTA($A147:$M147)=0,"",IF(OR($U147="Subscription",$U147=""),"",IF($U147="Estimate","N/A",IF($U147="Profit",ROUND(IFERROR($P147,0)-IFERROR($H147,0),2),0))))</ns0:f>
      </ns0:c>
      <ns0:c r="R147" s="114">
        <ns0:f>IF(COUNTA($A147:$M147)=0,"",IF(OR($U147="Subscription",$U147=""),"",IF($U147="Estimate","N/A",IF($U147="Draw",$H147,0))))</ns0:f>
      </ns0:c>
      <ns0:c r="S147" s="114">
        <ns0:f>IF(COUNTA($A147:$M147)=0,"",IF(OR($U147="Subscription",$U147=""),"",IF($U147="Estimate","N/A",IF($U147="Disqualified",$H147,0))))</ns0:f>
      </ns0:c>
      <ns0:c r="T147" s="955">
        <ns0:f>IF(COUNTA($A147:$M147)=0,"",IF(OR($U147="Subscription",$U147=""),"",IF($U147="Estimate","N/A",IF(OR($U147="Free Game",$U147="Disqualified — Free Game",$H147=0),"N/A",IF($U147="Profit",$Q147/$H147,IF($U147="Disqualified",-$S147/$H147,0))))))</ns0:f>
      </ns0:c>
      <ns0:c r="U147" s="920">
        <ns0:f>IF(COUNTA($A147:$M147)=0,"",IF(OR(LEFT(LOWER(TRIM($F147&amp;"")),12)="subscription",LOWER(TRIM($F147&amp;""))="membership"),"Subscription",IF(LOWER(TRIM($D147&amp;""))="estimate","Estimate",IF(OR(AND($H147&lt;&gt;"",$H147=0),LEFT(LOWER(TRIM($F147&amp;"")),9)="free game",LOWER(TRIM($F147&amp;""))="free",LOWER(TRIM($F147&amp;""))="free entry"),IF(LOWER($L147&amp;"")="yes","Disqualified — Free Game","Free Game"),IF(LOWER($L147&amp;"")="yes","Disqualified",IF($P147="","",IF(ROUND(IFERROR(VALUE($P147),0)-IFERROR(VALUE($H147),0),2)&gt;0,"Profit","Draw")))))))</ns0:f>
      </ns0:c>
      <ns0:c r="V147" s="956" t="str">
        <ns0:f>IF(COUNTA($A147:$M147)=0,"",IF(OR($B147="",$C147="",$U147="Subscription"),"",IFERROR(ROUNDUP(($C147-$B147)/7,0),"")))</ns0:f>
      </ns0:c>
      <ns0:c r="W147" s="114">
        <ns0:f>IF(COUNTA($A147:$M147)=0,"",IF(OR($U147="Subscription",$U147=""),"",IF($U147="Estimate","N/A",IF(OR($U147="Free Game",$U147="Disqualified — Free Game"),0,ROUND(IFERROR($Q147,0)-IFERROR($S147,0),2)))))</ns0:f>
      </ns0:c>
      <ns0:c r="X147" s="956" t="str">
        <ns0:f>IF(COUNTA($A147:$M147)=0,"",IF(OR($U147="Subscription",NOT(ISNUMBER($J147)),NOT(ISNUMBER($I147)),$J147=0,$I147=0,$I147&gt;$J147),"",$J147-$I147))</ns0:f>
      </ns0:c>
      <ns0:c r="Y147" s="955" t="str">
        <ns0:f>IF(COUNTA($A147:$M147)=0,"",IF(OR($U147="Subscription",NOT(ISNUMBER($J147)),$J147=0,$X147=""),"",$X147/$J147))</ns0:f>
      </ns0:c>
      <ns0:c r="Z147" s="957" t="str">
        <ns0:f>IF(COUNTA($A147:$M147)=0,"",Instructions!$B$29+SUM($W$5:W147))</ns0:f>
      </ns0:c>
    </ns0:row>
    <ns0:row r="148" ht="36" customHeight="1">
      <ns0:c r="A148" s="439"/>
      <ns0:c r="B148" s="453"/>
      <ns0:c r="C148" s="453"/>
      <ns0:c r="D148" s="454"/>
      <ns0:c r="E148" s="454"/>
      <ns0:c r="F148" s="454"/>
      <ns0:c r="G148" s="986"/>
      <ns0:c r="H148" s="455"/>
      <ns0:c r="I148" s="456"/>
      <ns0:c r="J148" s="456"/>
      <ns0:c r="K148" s="986"/>
      <ns0:c r="L148" s="454"/>
      <ns0:c r="M148" s="439"/>
      <ns0:c r="N148" s="987" t="str">
        <ns0:f>IF(COUNTA($A148:$M148)=0,"",IF(OR(LEFT(LOWER(TRIM($F148&amp;"")),12)="subscription",LOWER(TRIM($F148&amp;""))="membership"),"",IF(OR(AND($H148&lt;&gt;"",$H148=0),LEFT(LOWER(TRIM($F148&amp;"")),9)="free game",LOWER(TRIM($F148&amp;""))="free",LOWER(TRIM($F148&amp;""))="free entry"),IF(ISNUMBER($G148),IF(ISNUMBER(SEARCH("non",LOWER($E148&amp;""))),$G148*0.85,$G148),"N/A"),IF($G148="","",IFERROR(IF(ISNUMBER(SEARCH("non",LOWER($E148&amp;""))),$G148*0.85,$G148),"")))))</ns0:f>
        <ns0:v/>
      </ns0:c>
      <ns0:c r="O148" s="987" t="str">
        <ns0:f>IF(COUNTA($A148:$M148)=0,"",IF(OR(LEFT(LOWER(TRIM($F148&amp;"")),12)="subscription",LOWER(TRIM($F148&amp;""))="membership"),"",IF(OR(AND($H148&lt;&gt;"",$H148=0),LEFT(LOWER(TRIM($F148&amp;"")),9)="free game",LOWER(TRIM($F148&amp;""))="free",LOWER(TRIM($F148&amp;""))="free entry"),IF(OR(NOT(ISNUMBER($N148)),NOT(ISNUMBER($I148)),$I148=0),"N/A",IFERROR($N148/$I148,"N/A")),IF(OR($N148="",$I148="",$I148=0),"",IFERROR($N148/$I148,"")))))</ns0:f>
        <ns0:v/>
      </ns0:c>
      <ns0:c r="P148" s="987">
        <ns0:f>IF(COUNTA($A148:$M148)=0,"",IF(OR(LEFT(LOWER(TRIM($F148&amp;"")),12)="subscription",LOWER(TRIM($F148&amp;""))="membership"),"",IF(LOWER(TRIM($D148&amp;""))="estimate","N/A",IF(LOWER($L148&amp;"")="yes",0,IF(OR(AND($H148&lt;&gt;"",$H148=0),LEFT(LOWER(TRIM($F148&amp;"")),9)="free game",LOWER(TRIM($F148&amp;""))="free",LOWER(TRIM($F148&amp;""))="free entry"),IF(ISNUMBER($K148),$K148,""),IF($K148&lt;&gt;"",$K148,""))))))</ns0:f>
      </ns0:c>
      <ns0:c r="Q148" s="114">
        <ns0:f>IF(COUNTA($A148:$M148)=0,"",IF(OR($U148="Subscription",$U148=""),"",IF($U148="Estimate","N/A",IF($U148="Profit",ROUND(IFERROR($P148,0)-IFERROR($H148,0),2),0))))</ns0:f>
      </ns0:c>
      <ns0:c r="R148" s="114">
        <ns0:f>IF(COUNTA($A148:$M148)=0,"",IF(OR($U148="Subscription",$U148=""),"",IF($U148="Estimate","N/A",IF($U148="Draw",$H148,0))))</ns0:f>
      </ns0:c>
      <ns0:c r="S148" s="114">
        <ns0:f>IF(COUNTA($A148:$M148)=0,"",IF(OR($U148="Subscription",$U148=""),"",IF($U148="Estimate","N/A",IF($U148="Disqualified",$H148,0))))</ns0:f>
      </ns0:c>
      <ns0:c r="T148" s="955">
        <ns0:f>IF(COUNTA($A148:$M148)=0,"",IF(OR($U148="Subscription",$U148=""),"",IF($U148="Estimate","N/A",IF(OR($U148="Free Game",$U148="Disqualified — Free Game",$H148=0),"N/A",IF($U148="Profit",$Q148/$H148,IF($U148="Disqualified",-$S148/$H148,0))))))</ns0:f>
      </ns0:c>
      <ns0:c r="U148" s="920">
        <ns0:f>IF(COUNTA($A148:$M148)=0,"",IF(OR(LEFT(LOWER(TRIM($F148&amp;"")),12)="subscription",LOWER(TRIM($F148&amp;""))="membership"),"Subscription",IF(LOWER(TRIM($D148&amp;""))="estimate","Estimate",IF(OR(AND($H148&lt;&gt;"",$H148=0),LEFT(LOWER(TRIM($F148&amp;"")),9)="free game",LOWER(TRIM($F148&amp;""))="free",LOWER(TRIM($F148&amp;""))="free entry"),IF(LOWER($L148&amp;"")="yes","Disqualified — Free Game","Free Game"),IF(LOWER($L148&amp;"")="yes","Disqualified",IF($P148="","",IF(ROUND(IFERROR(VALUE($P148),0)-IFERROR(VALUE($H148),0),2)&gt;0,"Profit","Draw")))))))</ns0:f>
      </ns0:c>
      <ns0:c r="V148" s="956" t="str">
        <ns0:f>IF(COUNTA($A148:$M148)=0,"",IF(OR($B148="",$C148="",$U148="Subscription"),"",IFERROR(ROUNDUP(($C148-$B148)/7,0),"")))</ns0:f>
      </ns0:c>
      <ns0:c r="W148" s="114">
        <ns0:f>IF(COUNTA($A148:$M148)=0,"",IF(OR($U148="Subscription",$U148=""),"",IF($U148="Estimate","N/A",IF(OR($U148="Free Game",$U148="Disqualified — Free Game"),0,ROUND(IFERROR($Q148,0)-IFERROR($S148,0),2)))))</ns0:f>
      </ns0:c>
      <ns0:c r="X148" s="956" t="str">
        <ns0:f>IF(COUNTA($A148:$M148)=0,"",IF(OR($U148="Subscription",NOT(ISNUMBER($J148)),NOT(ISNUMBER($I148)),$J148=0,$I148=0,$I148&gt;$J148),"",$J148-$I148))</ns0:f>
      </ns0:c>
      <ns0:c r="Y148" s="955" t="str">
        <ns0:f>IF(COUNTA($A148:$M148)=0,"",IF(OR($U148="Subscription",NOT(ISNUMBER($J148)),$J148=0,$X148=""),"",$X148/$J148))</ns0:f>
      </ns0:c>
      <ns0:c r="Z148" s="957" t="str">
        <ns0:f>IF(COUNTA($A148:$M148)=0,"",Instructions!$B$29+SUM($W$5:W148))</ns0:f>
      </ns0:c>
    </ns0:row>
    <ns0:row r="149" ht="36" customHeight="1">
      <ns0:c r="A149" s="439"/>
      <ns0:c r="B149" s="453"/>
      <ns0:c r="C149" s="453"/>
      <ns0:c r="D149" s="454"/>
      <ns0:c r="E149" s="454"/>
      <ns0:c r="F149" s="454"/>
      <ns0:c r="G149" s="986"/>
      <ns0:c r="H149" s="455"/>
      <ns0:c r="I149" s="456"/>
      <ns0:c r="J149" s="456"/>
      <ns0:c r="K149" s="986"/>
      <ns0:c r="L149" s="454"/>
      <ns0:c r="M149" s="439"/>
      <ns0:c r="N149" s="987" t="str">
        <ns0:f>IF(COUNTA($A149:$M149)=0,"",IF(OR(LEFT(LOWER(TRIM($F149&amp;"")),12)="subscription",LOWER(TRIM($F149&amp;""))="membership"),"",IF(OR(AND($H149&lt;&gt;"",$H149=0),LEFT(LOWER(TRIM($F149&amp;"")),9)="free game",LOWER(TRIM($F149&amp;""))="free",LOWER(TRIM($F149&amp;""))="free entry"),IF(ISNUMBER($G149),IF(ISNUMBER(SEARCH("non",LOWER($E149&amp;""))),$G149*0.85,$G149),"N/A"),IF($G149="","",IFERROR(IF(ISNUMBER(SEARCH("non",LOWER($E149&amp;""))),$G149*0.85,$G149),"")))))</ns0:f>
        <ns0:v/>
      </ns0:c>
      <ns0:c r="O149" s="987" t="str">
        <ns0:f>IF(COUNTA($A149:$M149)=0,"",IF(OR(LEFT(LOWER(TRIM($F149&amp;"")),12)="subscription",LOWER(TRIM($F149&amp;""))="membership"),"",IF(OR(AND($H149&lt;&gt;"",$H149=0),LEFT(LOWER(TRIM($F149&amp;"")),9)="free game",LOWER(TRIM($F149&amp;""))="free",LOWER(TRIM($F149&amp;""))="free entry"),IF(OR(NOT(ISNUMBER($N149)),NOT(ISNUMBER($I149)),$I149=0),"N/A",IFERROR($N149/$I149,"N/A")),IF(OR($N149="",$I149="",$I149=0),"",IFERROR($N149/$I149,"")))))</ns0:f>
        <ns0:v/>
      </ns0:c>
      <ns0:c r="P149" s="987">
        <ns0:f>IF(COUNTA($A149:$M149)=0,"",IF(OR(LEFT(LOWER(TRIM($F149&amp;"")),12)="subscription",LOWER(TRIM($F149&amp;""))="membership"),"",IF(LOWER(TRIM($D149&amp;""))="estimate","N/A",IF(LOWER($L149&amp;"")="yes",0,IF(OR(AND($H149&lt;&gt;"",$H149=0),LEFT(LOWER(TRIM($F149&amp;"")),9)="free game",LOWER(TRIM($F149&amp;""))="free",LOWER(TRIM($F149&amp;""))="free entry"),IF(ISNUMBER($K149),$K149,""),IF($K149&lt;&gt;"",$K149,""))))))</ns0:f>
      </ns0:c>
      <ns0:c r="Q149" s="114">
        <ns0:f>IF(COUNTA($A149:$M149)=0,"",IF(OR($U149="Subscription",$U149=""),"",IF($U149="Estimate","N/A",IF($U149="Profit",ROUND(IFERROR($P149,0)-IFERROR($H149,0),2),0))))</ns0:f>
      </ns0:c>
      <ns0:c r="R149" s="114">
        <ns0:f>IF(COUNTA($A149:$M149)=0,"",IF(OR($U149="Subscription",$U149=""),"",IF($U149="Estimate","N/A",IF($U149="Draw",$H149,0))))</ns0:f>
      </ns0:c>
      <ns0:c r="S149" s="114">
        <ns0:f>IF(COUNTA($A149:$M149)=0,"",IF(OR($U149="Subscription",$U149=""),"",IF($U149="Estimate","N/A",IF($U149="Disqualified",$H149,0))))</ns0:f>
      </ns0:c>
      <ns0:c r="T149" s="955">
        <ns0:f>IF(COUNTA($A149:$M149)=0,"",IF(OR($U149="Subscription",$U149=""),"",IF($U149="Estimate","N/A",IF(OR($U149="Free Game",$U149="Disqualified — Free Game",$H149=0),"N/A",IF($U149="Profit",$Q149/$H149,IF($U149="Disqualified",-$S149/$H149,0))))))</ns0:f>
      </ns0:c>
      <ns0:c r="U149" s="920">
        <ns0:f>IF(COUNTA($A149:$M149)=0,"",IF(OR(LEFT(LOWER(TRIM($F149&amp;"")),12)="subscription",LOWER(TRIM($F149&amp;""))="membership"),"Subscription",IF(LOWER(TRIM($D149&amp;""))="estimate","Estimate",IF(OR(AND($H149&lt;&gt;"",$H149=0),LEFT(LOWER(TRIM($F149&amp;"")),9)="free game",LOWER(TRIM($F149&amp;""))="free",LOWER(TRIM($F149&amp;""))="free entry"),IF(LOWER($L149&amp;"")="yes","Disqualified — Free Game","Free Game"),IF(LOWER($L149&amp;"")="yes","Disqualified",IF($P149="","",IF(ROUND(IFERROR(VALUE($P149),0)-IFERROR(VALUE($H149),0),2)&gt;0,"Profit","Draw")))))))</ns0:f>
      </ns0:c>
      <ns0:c r="V149" s="956" t="str">
        <ns0:f>IF(COUNTA($A149:$M149)=0,"",IF(OR($B149="",$C149="",$U149="Subscription"),"",IFERROR(ROUNDUP(($C149-$B149)/7,0),"")))</ns0:f>
      </ns0:c>
      <ns0:c r="W149" s="114">
        <ns0:f>IF(COUNTA($A149:$M149)=0,"",IF(OR($U149="Subscription",$U149=""),"",IF($U149="Estimate","N/A",IF(OR($U149="Free Game",$U149="Disqualified — Free Game"),0,ROUND(IFERROR($Q149,0)-IFERROR($S149,0),2)))))</ns0:f>
      </ns0:c>
      <ns0:c r="X149" s="956" t="str">
        <ns0:f>IF(COUNTA($A149:$M149)=0,"",IF(OR($U149="Subscription",NOT(ISNUMBER($J149)),NOT(ISNUMBER($I149)),$J149=0,$I149=0,$I149&gt;$J149),"",$J149-$I149))</ns0:f>
      </ns0:c>
      <ns0:c r="Y149" s="955" t="str">
        <ns0:f>IF(COUNTA($A149:$M149)=0,"",IF(OR($U149="Subscription",NOT(ISNUMBER($J149)),$J149=0,$X149=""),"",$X149/$J149))</ns0:f>
      </ns0:c>
      <ns0:c r="Z149" s="957" t="str">
        <ns0:f>IF(COUNTA($A149:$M149)=0,"",Instructions!$B$29+SUM($W$5:W149))</ns0:f>
      </ns0:c>
    </ns0:row>
    <ns0:row r="150" ht="36" customHeight="1">
      <ns0:c r="A150" s="439"/>
      <ns0:c r="B150" s="453"/>
      <ns0:c r="C150" s="453"/>
      <ns0:c r="D150" s="454"/>
      <ns0:c r="E150" s="454"/>
      <ns0:c r="F150" s="454"/>
      <ns0:c r="G150" s="986"/>
      <ns0:c r="H150" s="455"/>
      <ns0:c r="I150" s="456"/>
      <ns0:c r="J150" s="456"/>
      <ns0:c r="K150" s="986"/>
      <ns0:c r="L150" s="454"/>
      <ns0:c r="M150" s="439"/>
      <ns0:c r="N150" s="987" t="str">
        <ns0:f>IF(COUNTA($A150:$M150)=0,"",IF(OR(LEFT(LOWER(TRIM($F150&amp;"")),12)="subscription",LOWER(TRIM($F150&amp;""))="membership"),"",IF(OR(AND($H150&lt;&gt;"",$H150=0),LEFT(LOWER(TRIM($F150&amp;"")),9)="free game",LOWER(TRIM($F150&amp;""))="free",LOWER(TRIM($F150&amp;""))="free entry"),IF(ISNUMBER($G150),IF(ISNUMBER(SEARCH("non",LOWER($E150&amp;""))),$G150*0.85,$G150),"N/A"),IF($G150="","",IFERROR(IF(ISNUMBER(SEARCH("non",LOWER($E150&amp;""))),$G150*0.85,$G150),"")))))</ns0:f>
        <ns0:v/>
      </ns0:c>
      <ns0:c r="O150" s="987" t="str">
        <ns0:f>IF(COUNTA($A150:$M150)=0,"",IF(OR(LEFT(LOWER(TRIM($F150&amp;"")),12)="subscription",LOWER(TRIM($F150&amp;""))="membership"),"",IF(OR(AND($H150&lt;&gt;"",$H150=0),LEFT(LOWER(TRIM($F150&amp;"")),9)="free game",LOWER(TRIM($F150&amp;""))="free",LOWER(TRIM($F150&amp;""))="free entry"),IF(OR(NOT(ISNUMBER($N150)),NOT(ISNUMBER($I150)),$I150=0),"N/A",IFERROR($N150/$I150,"N/A")),IF(OR($N150="",$I150="",$I150=0),"",IFERROR($N150/$I150,"")))))</ns0:f>
        <ns0:v/>
      </ns0:c>
      <ns0:c r="P150" s="987">
        <ns0:f>IF(COUNTA($A150:$M150)=0,"",IF(OR(LEFT(LOWER(TRIM($F150&amp;"")),12)="subscription",LOWER(TRIM($F150&amp;""))="membership"),"",IF(LOWER(TRIM($D150&amp;""))="estimate","N/A",IF(LOWER($L150&amp;"")="yes",0,IF(OR(AND($H150&lt;&gt;"",$H150=0),LEFT(LOWER(TRIM($F150&amp;"")),9)="free game",LOWER(TRIM($F150&amp;""))="free",LOWER(TRIM($F150&amp;""))="free entry"),IF(ISNUMBER($K150),$K150,""),IF($K150&lt;&gt;"",$K150,""))))))</ns0:f>
      </ns0:c>
      <ns0:c r="Q150" s="114">
        <ns0:f>IF(COUNTA($A150:$M150)=0,"",IF(OR($U150="Subscription",$U150=""),"",IF($U150="Estimate","N/A",IF($U150="Profit",ROUND(IFERROR($P150,0)-IFERROR($H150,0),2),0))))</ns0:f>
      </ns0:c>
      <ns0:c r="R150" s="114">
        <ns0:f>IF(COUNTA($A150:$M150)=0,"",IF(OR($U150="Subscription",$U150=""),"",IF($U150="Estimate","N/A",IF($U150="Draw",$H150,0))))</ns0:f>
      </ns0:c>
      <ns0:c r="S150" s="114">
        <ns0:f>IF(COUNTA($A150:$M150)=0,"",IF(OR($U150="Subscription",$U150=""),"",IF($U150="Estimate","N/A",IF($U150="Disqualified",$H150,0))))</ns0:f>
      </ns0:c>
      <ns0:c r="T150" s="955">
        <ns0:f>IF(COUNTA($A150:$M150)=0,"",IF(OR($U150="Subscription",$U150=""),"",IF($U150="Estimate","N/A",IF(OR($U150="Free Game",$U150="Disqualified — Free Game",$H150=0),"N/A",IF($U150="Profit",$Q150/$H150,IF($U150="Disqualified",-$S150/$H150,0))))))</ns0:f>
      </ns0:c>
      <ns0:c r="U150" s="920">
        <ns0:f>IF(COUNTA($A150:$M150)=0,"",IF(OR(LEFT(LOWER(TRIM($F150&amp;"")),12)="subscription",LOWER(TRIM($F150&amp;""))="membership"),"Subscription",IF(LOWER(TRIM($D150&amp;""))="estimate","Estimate",IF(OR(AND($H150&lt;&gt;"",$H150=0),LEFT(LOWER(TRIM($F150&amp;"")),9)="free game",LOWER(TRIM($F150&amp;""))="free",LOWER(TRIM($F150&amp;""))="free entry"),IF(LOWER($L150&amp;"")="yes","Disqualified — Free Game","Free Game"),IF(LOWER($L150&amp;"")="yes","Disqualified",IF($P150="","",IF(ROUND(IFERROR(VALUE($P150),0)-IFERROR(VALUE($H150),0),2)&gt;0,"Profit","Draw")))))))</ns0:f>
      </ns0:c>
      <ns0:c r="V150" s="956" t="str">
        <ns0:f>IF(COUNTA($A150:$M150)=0,"",IF(OR($B150="",$C150="",$U150="Subscription"),"",IFERROR(ROUNDUP(($C150-$B150)/7,0),"")))</ns0:f>
      </ns0:c>
      <ns0:c r="W150" s="114">
        <ns0:f>IF(COUNTA($A150:$M150)=0,"",IF(OR($U150="Subscription",$U150=""),"",IF($U150="Estimate","N/A",IF(OR($U150="Free Game",$U150="Disqualified — Free Game"),0,ROUND(IFERROR($Q150,0)-IFERROR($S150,0),2)))))</ns0:f>
      </ns0:c>
      <ns0:c r="X150" s="956" t="str">
        <ns0:f>IF(COUNTA($A150:$M150)=0,"",IF(OR($U150="Subscription",NOT(ISNUMBER($J150)),NOT(ISNUMBER($I150)),$J150=0,$I150=0,$I150&gt;$J150),"",$J150-$I150))</ns0:f>
      </ns0:c>
      <ns0:c r="Y150" s="955" t="str">
        <ns0:f>IF(COUNTA($A150:$M150)=0,"",IF(OR($U150="Subscription",NOT(ISNUMBER($J150)),$J150=0,$X150=""),"",$X150/$J150))</ns0:f>
      </ns0:c>
      <ns0:c r="Z150" s="957" t="str">
        <ns0:f>IF(COUNTA($A150:$M150)=0,"",Instructions!$B$29+SUM($W$5:W150))</ns0:f>
      </ns0:c>
    </ns0:row>
    <ns0:row r="151" ht="36" customHeight="1">
      <ns0:c r="A151" s="439"/>
      <ns0:c r="B151" s="453"/>
      <ns0:c r="C151" s="453"/>
      <ns0:c r="D151" s="454"/>
      <ns0:c r="E151" s="454"/>
      <ns0:c r="F151" s="454"/>
      <ns0:c r="G151" s="986"/>
      <ns0:c r="H151" s="455"/>
      <ns0:c r="I151" s="456"/>
      <ns0:c r="J151" s="456"/>
      <ns0:c r="K151" s="986"/>
      <ns0:c r="L151" s="454"/>
      <ns0:c r="M151" s="439"/>
      <ns0:c r="N151" s="987" t="str">
        <ns0:f>IF(COUNTA($A151:$M151)=0,"",IF(OR(LEFT(LOWER(TRIM($F151&amp;"")),12)="subscription",LOWER(TRIM($F151&amp;""))="membership"),"",IF(OR(AND($H151&lt;&gt;"",$H151=0),LEFT(LOWER(TRIM($F151&amp;"")),9)="free game",LOWER(TRIM($F151&amp;""))="free",LOWER(TRIM($F151&amp;""))="free entry"),IF(ISNUMBER($G151),IF(ISNUMBER(SEARCH("non",LOWER($E151&amp;""))),$G151*0.85,$G151),"N/A"),IF($G151="","",IFERROR(IF(ISNUMBER(SEARCH("non",LOWER($E151&amp;""))),$G151*0.85,$G151),"")))))</ns0:f>
        <ns0:v/>
      </ns0:c>
      <ns0:c r="O151" s="987" t="str">
        <ns0:f>IF(COUNTA($A151:$M151)=0,"",IF(OR(LEFT(LOWER(TRIM($F151&amp;"")),12)="subscription",LOWER(TRIM($F151&amp;""))="membership"),"",IF(OR(AND($H151&lt;&gt;"",$H151=0),LEFT(LOWER(TRIM($F151&amp;"")),9)="free game",LOWER(TRIM($F151&amp;""))="free",LOWER(TRIM($F151&amp;""))="free entry"),IF(OR(NOT(ISNUMBER($N151)),NOT(ISNUMBER($I151)),$I151=0),"N/A",IFERROR($N151/$I151,"N/A")),IF(OR($N151="",$I151="",$I151=0),"",IFERROR($N151/$I151,"")))))</ns0:f>
        <ns0:v/>
      </ns0:c>
      <ns0:c r="P151" s="987">
        <ns0:f>IF(COUNTA($A151:$M151)=0,"",IF(OR(LEFT(LOWER(TRIM($F151&amp;"")),12)="subscription",LOWER(TRIM($F151&amp;""))="membership"),"",IF(LOWER(TRIM($D151&amp;""))="estimate","N/A",IF(LOWER($L151&amp;"")="yes",0,IF(OR(AND($H151&lt;&gt;"",$H151=0),LEFT(LOWER(TRIM($F151&amp;"")),9)="free game",LOWER(TRIM($F151&amp;""))="free",LOWER(TRIM($F151&amp;""))="free entry"),IF(ISNUMBER($K151),$K151,""),IF($K151&lt;&gt;"",$K151,""))))))</ns0:f>
      </ns0:c>
      <ns0:c r="Q151" s="114">
        <ns0:f>IF(COUNTA($A151:$M151)=0,"",IF(OR($U151="Subscription",$U151=""),"",IF($U151="Estimate","N/A",IF($U151="Profit",ROUND(IFERROR($P151,0)-IFERROR($H151,0),2),0))))</ns0:f>
      </ns0:c>
      <ns0:c r="R151" s="114">
        <ns0:f>IF(COUNTA($A151:$M151)=0,"",IF(OR($U151="Subscription",$U151=""),"",IF($U151="Estimate","N/A",IF($U151="Draw",$H151,0))))</ns0:f>
      </ns0:c>
      <ns0:c r="S151" s="114">
        <ns0:f>IF(COUNTA($A151:$M151)=0,"",IF(OR($U151="Subscription",$U151=""),"",IF($U151="Estimate","N/A",IF($U151="Disqualified",$H151,0))))</ns0:f>
      </ns0:c>
      <ns0:c r="T151" s="955">
        <ns0:f>IF(COUNTA($A151:$M151)=0,"",IF(OR($U151="Subscription",$U151=""),"",IF($U151="Estimate","N/A",IF(OR($U151="Free Game",$U151="Disqualified — Free Game",$H151=0),"N/A",IF($U151="Profit",$Q151/$H151,IF($U151="Disqualified",-$S151/$H151,0))))))</ns0:f>
      </ns0:c>
      <ns0:c r="U151" s="920">
        <ns0:f>IF(COUNTA($A151:$M151)=0,"",IF(OR(LEFT(LOWER(TRIM($F151&amp;"")),12)="subscription",LOWER(TRIM($F151&amp;""))="membership"),"Subscription",IF(LOWER(TRIM($D151&amp;""))="estimate","Estimate",IF(OR(AND($H151&lt;&gt;"",$H151=0),LEFT(LOWER(TRIM($F151&amp;"")),9)="free game",LOWER(TRIM($F151&amp;""))="free",LOWER(TRIM($F151&amp;""))="free entry"),IF(LOWER($L151&amp;"")="yes","Disqualified — Free Game","Free Game"),IF(LOWER($L151&amp;"")="yes","Disqualified",IF($P151="","",IF(ROUND(IFERROR(VALUE($P151),0)-IFERROR(VALUE($H151),0),2)&gt;0,"Profit","Draw")))))))</ns0:f>
      </ns0:c>
      <ns0:c r="V151" s="956" t="str">
        <ns0:f>IF(COUNTA($A151:$M151)=0,"",IF(OR($B151="",$C151="",$U151="Subscription"),"",IFERROR(ROUNDUP(($C151-$B151)/7,0),"")))</ns0:f>
      </ns0:c>
      <ns0:c r="W151" s="114">
        <ns0:f>IF(COUNTA($A151:$M151)=0,"",IF(OR($U151="Subscription",$U151=""),"",IF($U151="Estimate","N/A",IF(OR($U151="Free Game",$U151="Disqualified — Free Game"),0,ROUND(IFERROR($Q151,0)-IFERROR($S151,0),2)))))</ns0:f>
      </ns0:c>
      <ns0:c r="X151" s="956" t="str">
        <ns0:f>IF(COUNTA($A151:$M151)=0,"",IF(OR($U151="Subscription",NOT(ISNUMBER($J151)),NOT(ISNUMBER($I151)),$J151=0,$I151=0,$I151&gt;$J151),"",$J151-$I151))</ns0:f>
      </ns0:c>
      <ns0:c r="Y151" s="955" t="str">
        <ns0:f>IF(COUNTA($A151:$M151)=0,"",IF(OR($U151="Subscription",NOT(ISNUMBER($J151)),$J151=0,$X151=""),"",$X151/$J151))</ns0:f>
      </ns0:c>
      <ns0:c r="Z151" s="957" t="str">
        <ns0:f>IF(COUNTA($A151:$M151)=0,"",Instructions!$B$29+SUM($W$5:W151))</ns0:f>
      </ns0:c>
    </ns0:row>
    <ns0:row r="152" ht="36" customHeight="1">
      <ns0:c r="A152" s="439"/>
      <ns0:c r="B152" s="453"/>
      <ns0:c r="C152" s="453"/>
      <ns0:c r="D152" s="454"/>
      <ns0:c r="E152" s="454"/>
      <ns0:c r="F152" s="454"/>
      <ns0:c r="G152" s="986"/>
      <ns0:c r="H152" s="455"/>
      <ns0:c r="I152" s="456"/>
      <ns0:c r="J152" s="456"/>
      <ns0:c r="K152" s="986"/>
      <ns0:c r="L152" s="454"/>
      <ns0:c r="M152" s="439"/>
      <ns0:c r="N152" s="987" t="str">
        <ns0:f>IF(COUNTA($A152:$M152)=0,"",IF(OR(LEFT(LOWER(TRIM($F152&amp;"")),12)="subscription",LOWER(TRIM($F152&amp;""))="membership"),"",IF(OR(AND($H152&lt;&gt;"",$H152=0),LEFT(LOWER(TRIM($F152&amp;"")),9)="free game",LOWER(TRIM($F152&amp;""))="free",LOWER(TRIM($F152&amp;""))="free entry"),IF(ISNUMBER($G152),IF(ISNUMBER(SEARCH("non",LOWER($E152&amp;""))),$G152*0.85,$G152),"N/A"),IF($G152="","",IFERROR(IF(ISNUMBER(SEARCH("non",LOWER($E152&amp;""))),$G152*0.85,$G152),"")))))</ns0:f>
        <ns0:v/>
      </ns0:c>
      <ns0:c r="O152" s="987" t="str">
        <ns0:f>IF(COUNTA($A152:$M152)=0,"",IF(OR(LEFT(LOWER(TRIM($F152&amp;"")),12)="subscription",LOWER(TRIM($F152&amp;""))="membership"),"",IF(OR(AND($H152&lt;&gt;"",$H152=0),LEFT(LOWER(TRIM($F152&amp;"")),9)="free game",LOWER(TRIM($F152&amp;""))="free",LOWER(TRIM($F152&amp;""))="free entry"),IF(OR(NOT(ISNUMBER($N152)),NOT(ISNUMBER($I152)),$I152=0),"N/A",IFERROR($N152/$I152,"N/A")),IF(OR($N152="",$I152="",$I152=0),"",IFERROR($N152/$I152,"")))))</ns0:f>
        <ns0:v/>
      </ns0:c>
      <ns0:c r="P152" s="987">
        <ns0:f>IF(COUNTA($A152:$M152)=0,"",IF(OR(LEFT(LOWER(TRIM($F152&amp;"")),12)="subscription",LOWER(TRIM($F152&amp;""))="membership"),"",IF(LOWER(TRIM($D152&amp;""))="estimate","N/A",IF(LOWER($L152&amp;"")="yes",0,IF(OR(AND($H152&lt;&gt;"",$H152=0),LEFT(LOWER(TRIM($F152&amp;"")),9)="free game",LOWER(TRIM($F152&amp;""))="free",LOWER(TRIM($F152&amp;""))="free entry"),IF(ISNUMBER($K152),$K152,""),IF($K152&lt;&gt;"",$K152,""))))))</ns0:f>
      </ns0:c>
      <ns0:c r="Q152" s="114">
        <ns0:f>IF(COUNTA($A152:$M152)=0,"",IF(OR($U152="Subscription",$U152=""),"",IF($U152="Estimate","N/A",IF($U152="Profit",ROUND(IFERROR($P152,0)-IFERROR($H152,0),2),0))))</ns0:f>
      </ns0:c>
      <ns0:c r="R152" s="114">
        <ns0:f>IF(COUNTA($A152:$M152)=0,"",IF(OR($U152="Subscription",$U152=""),"",IF($U152="Estimate","N/A",IF($U152="Draw",$H152,0))))</ns0:f>
      </ns0:c>
      <ns0:c r="S152" s="114">
        <ns0:f>IF(COUNTA($A152:$M152)=0,"",IF(OR($U152="Subscription",$U152=""),"",IF($U152="Estimate","N/A",IF($U152="Disqualified",$H152,0))))</ns0:f>
      </ns0:c>
      <ns0:c r="T152" s="955">
        <ns0:f>IF(COUNTA($A152:$M152)=0,"",IF(OR($U152="Subscription",$U152=""),"",IF($U152="Estimate","N/A",IF(OR($U152="Free Game",$U152="Disqualified — Free Game",$H152=0),"N/A",IF($U152="Profit",$Q152/$H152,IF($U152="Disqualified",-$S152/$H152,0))))))</ns0:f>
      </ns0:c>
      <ns0:c r="U152" s="920">
        <ns0:f>IF(COUNTA($A152:$M152)=0,"",IF(OR(LEFT(LOWER(TRIM($F152&amp;"")),12)="subscription",LOWER(TRIM($F152&amp;""))="membership"),"Subscription",IF(LOWER(TRIM($D152&amp;""))="estimate","Estimate",IF(OR(AND($H152&lt;&gt;"",$H152=0),LEFT(LOWER(TRIM($F152&amp;"")),9)="free game",LOWER(TRIM($F152&amp;""))="free",LOWER(TRIM($F152&amp;""))="free entry"),IF(LOWER($L152&amp;"")="yes","Disqualified — Free Game","Free Game"),IF(LOWER($L152&amp;"")="yes","Disqualified",IF($P152="","",IF(ROUND(IFERROR(VALUE($P152),0)-IFERROR(VALUE($H152),0),2)&gt;0,"Profit","Draw")))))))</ns0:f>
      </ns0:c>
      <ns0:c r="V152" s="956" t="str">
        <ns0:f>IF(COUNTA($A152:$M152)=0,"",IF(OR($B152="",$C152="",$U152="Subscription"),"",IFERROR(ROUNDUP(($C152-$B152)/7,0),"")))</ns0:f>
      </ns0:c>
      <ns0:c r="W152" s="114">
        <ns0:f>IF(COUNTA($A152:$M152)=0,"",IF(OR($U152="Subscription",$U152=""),"",IF($U152="Estimate","N/A",IF(OR($U152="Free Game",$U152="Disqualified — Free Game"),0,ROUND(IFERROR($Q152,0)-IFERROR($S152,0),2)))))</ns0:f>
      </ns0:c>
      <ns0:c r="X152" s="956" t="str">
        <ns0:f>IF(COUNTA($A152:$M152)=0,"",IF(OR($U152="Subscription",NOT(ISNUMBER($J152)),NOT(ISNUMBER($I152)),$J152=0,$I152=0,$I152&gt;$J152),"",$J152-$I152))</ns0:f>
      </ns0:c>
      <ns0:c r="Y152" s="955" t="str">
        <ns0:f>IF(COUNTA($A152:$M152)=0,"",IF(OR($U152="Subscription",NOT(ISNUMBER($J152)),$J152=0,$X152=""),"",$X152/$J152))</ns0:f>
      </ns0:c>
      <ns0:c r="Z152" s="957" t="str">
        <ns0:f>IF(COUNTA($A152:$M152)=0,"",Instructions!$B$29+SUM($W$5:W152))</ns0:f>
      </ns0:c>
    </ns0:row>
    <ns0:row r="153" ht="36" customHeight="1">
      <ns0:c r="A153" s="439"/>
      <ns0:c r="B153" s="453"/>
      <ns0:c r="C153" s="453"/>
      <ns0:c r="D153" s="454"/>
      <ns0:c r="E153" s="454"/>
      <ns0:c r="F153" s="454"/>
      <ns0:c r="G153" s="986"/>
      <ns0:c r="H153" s="455"/>
      <ns0:c r="I153" s="456"/>
      <ns0:c r="J153" s="456"/>
      <ns0:c r="K153" s="986"/>
      <ns0:c r="L153" s="454"/>
      <ns0:c r="M153" s="439"/>
      <ns0:c r="N153" s="987" t="str">
        <ns0:f>IF(COUNTA($A153:$M153)=0,"",IF(OR(LEFT(LOWER(TRIM($F153&amp;"")),12)="subscription",LOWER(TRIM($F153&amp;""))="membership"),"",IF(OR(AND($H153&lt;&gt;"",$H153=0),LEFT(LOWER(TRIM($F153&amp;"")),9)="free game",LOWER(TRIM($F153&amp;""))="free",LOWER(TRIM($F153&amp;""))="free entry"),IF(ISNUMBER($G153),IF(ISNUMBER(SEARCH("non",LOWER($E153&amp;""))),$G153*0.85,$G153),"N/A"),IF($G153="","",IFERROR(IF(ISNUMBER(SEARCH("non",LOWER($E153&amp;""))),$G153*0.85,$G153),"")))))</ns0:f>
        <ns0:v/>
      </ns0:c>
      <ns0:c r="O153" s="987" t="str">
        <ns0:f>IF(COUNTA($A153:$M153)=0,"",IF(OR(LEFT(LOWER(TRIM($F153&amp;"")),12)="subscription",LOWER(TRIM($F153&amp;""))="membership"),"",IF(OR(AND($H153&lt;&gt;"",$H153=0),LEFT(LOWER(TRIM($F153&amp;"")),9)="free game",LOWER(TRIM($F153&amp;""))="free",LOWER(TRIM($F153&amp;""))="free entry"),IF(OR(NOT(ISNUMBER($N153)),NOT(ISNUMBER($I153)),$I153=0),"N/A",IFERROR($N153/$I153,"N/A")),IF(OR($N153="",$I153="",$I153=0),"",IFERROR($N153/$I153,"")))))</ns0:f>
        <ns0:v/>
      </ns0:c>
      <ns0:c r="P153" s="987">
        <ns0:f>IF(COUNTA($A153:$M153)=0,"",IF(OR(LEFT(LOWER(TRIM($F153&amp;"")),12)="subscription",LOWER(TRIM($F153&amp;""))="membership"),"",IF(LOWER(TRIM($D153&amp;""))="estimate","N/A",IF(LOWER($L153&amp;"")="yes",0,IF(OR(AND($H153&lt;&gt;"",$H153=0),LEFT(LOWER(TRIM($F153&amp;"")),9)="free game",LOWER(TRIM($F153&amp;""))="free",LOWER(TRIM($F153&amp;""))="free entry"),IF(ISNUMBER($K153),$K153,""),IF($K153&lt;&gt;"",$K153,""))))))</ns0:f>
      </ns0:c>
      <ns0:c r="Q153" s="114">
        <ns0:f>IF(COUNTA($A153:$M153)=0,"",IF(OR($U153="Subscription",$U153=""),"",IF($U153="Estimate","N/A",IF($U153="Profit",ROUND(IFERROR($P153,0)-IFERROR($H153,0),2),0))))</ns0:f>
      </ns0:c>
      <ns0:c r="R153" s="114">
        <ns0:f>IF(COUNTA($A153:$M153)=0,"",IF(OR($U153="Subscription",$U153=""),"",IF($U153="Estimate","N/A",IF($U153="Draw",$H153,0))))</ns0:f>
      </ns0:c>
      <ns0:c r="S153" s="114">
        <ns0:f>IF(COUNTA($A153:$M153)=0,"",IF(OR($U153="Subscription",$U153=""),"",IF($U153="Estimate","N/A",IF($U153="Disqualified",$H153,0))))</ns0:f>
      </ns0:c>
      <ns0:c r="T153" s="955">
        <ns0:f>IF(COUNTA($A153:$M153)=0,"",IF(OR($U153="Subscription",$U153=""),"",IF($U153="Estimate","N/A",IF(OR($U153="Free Game",$U153="Disqualified — Free Game",$H153=0),"N/A",IF($U153="Profit",$Q153/$H153,IF($U153="Disqualified",-$S153/$H153,0))))))</ns0:f>
      </ns0:c>
      <ns0:c r="U153" s="920">
        <ns0:f>IF(COUNTA($A153:$M153)=0,"",IF(OR(LEFT(LOWER(TRIM($F153&amp;"")),12)="subscription",LOWER(TRIM($F153&amp;""))="membership"),"Subscription",IF(LOWER(TRIM($D153&amp;""))="estimate","Estimate",IF(OR(AND($H153&lt;&gt;"",$H153=0),LEFT(LOWER(TRIM($F153&amp;"")),9)="free game",LOWER(TRIM($F153&amp;""))="free",LOWER(TRIM($F153&amp;""))="free entry"),IF(LOWER($L153&amp;"")="yes","Disqualified — Free Game","Free Game"),IF(LOWER($L153&amp;"")="yes","Disqualified",IF($P153="","",IF(ROUND(IFERROR(VALUE($P153),0)-IFERROR(VALUE($H153),0),2)&gt;0,"Profit","Draw")))))))</ns0:f>
      </ns0:c>
      <ns0:c r="V153" s="956" t="str">
        <ns0:f>IF(COUNTA($A153:$M153)=0,"",IF(OR($B153="",$C153="",$U153="Subscription"),"",IFERROR(ROUNDUP(($C153-$B153)/7,0),"")))</ns0:f>
      </ns0:c>
      <ns0:c r="W153" s="114">
        <ns0:f>IF(COUNTA($A153:$M153)=0,"",IF(OR($U153="Subscription",$U153=""),"",IF($U153="Estimate","N/A",IF(OR($U153="Free Game",$U153="Disqualified — Free Game"),0,ROUND(IFERROR($Q153,0)-IFERROR($S153,0),2)))))</ns0:f>
      </ns0:c>
      <ns0:c r="X153" s="956" t="str">
        <ns0:f>IF(COUNTA($A153:$M153)=0,"",IF(OR($U153="Subscription",NOT(ISNUMBER($J153)),NOT(ISNUMBER($I153)),$J153=0,$I153=0,$I153&gt;$J153),"",$J153-$I153))</ns0:f>
      </ns0:c>
      <ns0:c r="Y153" s="955" t="str">
        <ns0:f>IF(COUNTA($A153:$M153)=0,"",IF(OR($U153="Subscription",NOT(ISNUMBER($J153)),$J153=0,$X153=""),"",$X153/$J153))</ns0:f>
      </ns0:c>
      <ns0:c r="Z153" s="957" t="str">
        <ns0:f>IF(COUNTA($A153:$M153)=0,"",Instructions!$B$29+SUM($W$5:W153))</ns0:f>
      </ns0:c>
    </ns0:row>
    <ns0:row r="154" ht="36" customHeight="1">
      <ns0:c r="A154" s="439"/>
      <ns0:c r="B154" s="453"/>
      <ns0:c r="C154" s="453"/>
      <ns0:c r="D154" s="454"/>
      <ns0:c r="E154" s="454"/>
      <ns0:c r="F154" s="454"/>
      <ns0:c r="G154" s="986"/>
      <ns0:c r="H154" s="455"/>
      <ns0:c r="I154" s="456"/>
      <ns0:c r="J154" s="456"/>
      <ns0:c r="K154" s="986"/>
      <ns0:c r="L154" s="454"/>
      <ns0:c r="M154" s="439"/>
      <ns0:c r="N154" s="987" t="str">
        <ns0:f>IF(COUNTA($A154:$M154)=0,"",IF(OR(LEFT(LOWER(TRIM($F154&amp;"")),12)="subscription",LOWER(TRIM($F154&amp;""))="membership"),"",IF(OR(AND($H154&lt;&gt;"",$H154=0),LEFT(LOWER(TRIM($F154&amp;"")),9)="free game",LOWER(TRIM($F154&amp;""))="free",LOWER(TRIM($F154&amp;""))="free entry"),IF(ISNUMBER($G154),IF(ISNUMBER(SEARCH("non",LOWER($E154&amp;""))),$G154*0.85,$G154),"N/A"),IF($G154="","",IFERROR(IF(ISNUMBER(SEARCH("non",LOWER($E154&amp;""))),$G154*0.85,$G154),"")))))</ns0:f>
        <ns0:v/>
      </ns0:c>
      <ns0:c r="O154" s="987" t="str">
        <ns0:f>IF(COUNTA($A154:$M154)=0,"",IF(OR(LEFT(LOWER(TRIM($F154&amp;"")),12)="subscription",LOWER(TRIM($F154&amp;""))="membership"),"",IF(OR(AND($H154&lt;&gt;"",$H154=0),LEFT(LOWER(TRIM($F154&amp;"")),9)="free game",LOWER(TRIM($F154&amp;""))="free",LOWER(TRIM($F154&amp;""))="free entry"),IF(OR(NOT(ISNUMBER($N154)),NOT(ISNUMBER($I154)),$I154=0),"N/A",IFERROR($N154/$I154,"N/A")),IF(OR($N154="",$I154="",$I154=0),"",IFERROR($N154/$I154,"")))))</ns0:f>
        <ns0:v/>
      </ns0:c>
      <ns0:c r="P154" s="987">
        <ns0:f>IF(COUNTA($A154:$M154)=0,"",IF(OR(LEFT(LOWER(TRIM($F154&amp;"")),12)="subscription",LOWER(TRIM($F154&amp;""))="membership"),"",IF(LOWER(TRIM($D154&amp;""))="estimate","N/A",IF(LOWER($L154&amp;"")="yes",0,IF(OR(AND($H154&lt;&gt;"",$H154=0),LEFT(LOWER(TRIM($F154&amp;"")),9)="free game",LOWER(TRIM($F154&amp;""))="free",LOWER(TRIM($F154&amp;""))="free entry"),IF(ISNUMBER($K154),$K154,""),IF($K154&lt;&gt;"",$K154,""))))))</ns0:f>
      </ns0:c>
      <ns0:c r="Q154" s="114">
        <ns0:f>IF(COUNTA($A154:$M154)=0,"",IF(OR($U154="Subscription",$U154=""),"",IF($U154="Estimate","N/A",IF($U154="Profit",ROUND(IFERROR($P154,0)-IFERROR($H154,0),2),0))))</ns0:f>
      </ns0:c>
      <ns0:c r="R154" s="114">
        <ns0:f>IF(COUNTA($A154:$M154)=0,"",IF(OR($U154="Subscription",$U154=""),"",IF($U154="Estimate","N/A",IF($U154="Draw",$H154,0))))</ns0:f>
      </ns0:c>
      <ns0:c r="S154" s="114">
        <ns0:f>IF(COUNTA($A154:$M154)=0,"",IF(OR($U154="Subscription",$U154=""),"",IF($U154="Estimate","N/A",IF($U154="Disqualified",$H154,0))))</ns0:f>
      </ns0:c>
      <ns0:c r="T154" s="955">
        <ns0:f>IF(COUNTA($A154:$M154)=0,"",IF(OR($U154="Subscription",$U154=""),"",IF($U154="Estimate","N/A",IF(OR($U154="Free Game",$U154="Disqualified — Free Game",$H154=0),"N/A",IF($U154="Profit",$Q154/$H154,IF($U154="Disqualified",-$S154/$H154,0))))))</ns0:f>
      </ns0:c>
      <ns0:c r="U154" s="920">
        <ns0:f>IF(COUNTA($A154:$M154)=0,"",IF(OR(LEFT(LOWER(TRIM($F154&amp;"")),12)="subscription",LOWER(TRIM($F154&amp;""))="membership"),"Subscription",IF(LOWER(TRIM($D154&amp;""))="estimate","Estimate",IF(OR(AND($H154&lt;&gt;"",$H154=0),LEFT(LOWER(TRIM($F154&amp;"")),9)="free game",LOWER(TRIM($F154&amp;""))="free",LOWER(TRIM($F154&amp;""))="free entry"),IF(LOWER($L154&amp;"")="yes","Disqualified — Free Game","Free Game"),IF(LOWER($L154&amp;"")="yes","Disqualified",IF($P154="","",IF(ROUND(IFERROR(VALUE($P154),0)-IFERROR(VALUE($H154),0),2)&gt;0,"Profit","Draw")))))))</ns0:f>
      </ns0:c>
      <ns0:c r="V154" s="956" t="str">
        <ns0:f>IF(COUNTA($A154:$M154)=0,"",IF(OR($B154="",$C154="",$U154="Subscription"),"",IFERROR(ROUNDUP(($C154-$B154)/7,0),"")))</ns0:f>
      </ns0:c>
      <ns0:c r="W154" s="114">
        <ns0:f>IF(COUNTA($A154:$M154)=0,"",IF(OR($U154="Subscription",$U154=""),"",IF($U154="Estimate","N/A",IF(OR($U154="Free Game",$U154="Disqualified — Free Game"),0,ROUND(IFERROR($Q154,0)-IFERROR($S154,0),2)))))</ns0:f>
      </ns0:c>
      <ns0:c r="X154" s="956" t="str">
        <ns0:f>IF(COUNTA($A154:$M154)=0,"",IF(OR($U154="Subscription",NOT(ISNUMBER($J154)),NOT(ISNUMBER($I154)),$J154=0,$I154=0,$I154&gt;$J154),"",$J154-$I154))</ns0:f>
      </ns0:c>
      <ns0:c r="Y154" s="955" t="str">
        <ns0:f>IF(COUNTA($A154:$M154)=0,"",IF(OR($U154="Subscription",NOT(ISNUMBER($J154)),$J154=0,$X154=""),"",$X154/$J154))</ns0:f>
      </ns0:c>
      <ns0:c r="Z154" s="957" t="str">
        <ns0:f>IF(COUNTA($A154:$M154)=0,"",Instructions!$B$29+SUM($W$5:W154))</ns0:f>
      </ns0:c>
    </ns0:row>
    <ns0:row r="155" ht="36" customHeight="1">
      <ns0:c r="A155" s="439"/>
      <ns0:c r="B155" s="453"/>
      <ns0:c r="C155" s="453"/>
      <ns0:c r="D155" s="454"/>
      <ns0:c r="E155" s="454"/>
      <ns0:c r="F155" s="454"/>
      <ns0:c r="G155" s="986"/>
      <ns0:c r="H155" s="455"/>
      <ns0:c r="I155" s="456"/>
      <ns0:c r="J155" s="456"/>
      <ns0:c r="K155" s="986"/>
      <ns0:c r="L155" s="454"/>
      <ns0:c r="M155" s="439"/>
      <ns0:c r="N155" s="987" t="str">
        <ns0:f>IF(COUNTA($A155:$M155)=0,"",IF(OR(LEFT(LOWER(TRIM($F155&amp;"")),12)="subscription",LOWER(TRIM($F155&amp;""))="membership"),"",IF(OR(AND($H155&lt;&gt;"",$H155=0),LEFT(LOWER(TRIM($F155&amp;"")),9)="free game",LOWER(TRIM($F155&amp;""))="free",LOWER(TRIM($F155&amp;""))="free entry"),IF(ISNUMBER($G155),IF(ISNUMBER(SEARCH("non",LOWER($E155&amp;""))),$G155*0.85,$G155),"N/A"),IF($G155="","",IFERROR(IF(ISNUMBER(SEARCH("non",LOWER($E155&amp;""))),$G155*0.85,$G155),"")))))</ns0:f>
        <ns0:v/>
      </ns0:c>
      <ns0:c r="O155" s="987" t="str">
        <ns0:f>IF(COUNTA($A155:$M155)=0,"",IF(OR(LEFT(LOWER(TRIM($F155&amp;"")),12)="subscription",LOWER(TRIM($F155&amp;""))="membership"),"",IF(OR(AND($H155&lt;&gt;"",$H155=0),LEFT(LOWER(TRIM($F155&amp;"")),9)="free game",LOWER(TRIM($F155&amp;""))="free",LOWER(TRIM($F155&amp;""))="free entry"),IF(OR(NOT(ISNUMBER($N155)),NOT(ISNUMBER($I155)),$I155=0),"N/A",IFERROR($N155/$I155,"N/A")),IF(OR($N155="",$I155="",$I155=0),"",IFERROR($N155/$I155,"")))))</ns0:f>
        <ns0:v/>
      </ns0:c>
      <ns0:c r="P155" s="987">
        <ns0:f>IF(COUNTA($A155:$M155)=0,"",IF(OR(LEFT(LOWER(TRIM($F155&amp;"")),12)="subscription",LOWER(TRIM($F155&amp;""))="membership"),"",IF(LOWER(TRIM($D155&amp;""))="estimate","N/A",IF(LOWER($L155&amp;"")="yes",0,IF(OR(AND($H155&lt;&gt;"",$H155=0),LEFT(LOWER(TRIM($F155&amp;"")),9)="free game",LOWER(TRIM($F155&amp;""))="free",LOWER(TRIM($F155&amp;""))="free entry"),IF(ISNUMBER($K155),$K155,""),IF($K155&lt;&gt;"",$K155,""))))))</ns0:f>
      </ns0:c>
      <ns0:c r="Q155" s="114">
        <ns0:f>IF(COUNTA($A155:$M155)=0,"",IF(OR($U155="Subscription",$U155=""),"",IF($U155="Estimate","N/A",IF($U155="Profit",ROUND(IFERROR($P155,0)-IFERROR($H155,0),2),0))))</ns0:f>
      </ns0:c>
      <ns0:c r="R155" s="114">
        <ns0:f>IF(COUNTA($A155:$M155)=0,"",IF(OR($U155="Subscription",$U155=""),"",IF($U155="Estimate","N/A",IF($U155="Draw",$H155,0))))</ns0:f>
      </ns0:c>
      <ns0:c r="S155" s="114">
        <ns0:f>IF(COUNTA($A155:$M155)=0,"",IF(OR($U155="Subscription",$U155=""),"",IF($U155="Estimate","N/A",IF($U155="Disqualified",$H155,0))))</ns0:f>
      </ns0:c>
      <ns0:c r="T155" s="955">
        <ns0:f>IF(COUNTA($A155:$M155)=0,"",IF(OR($U155="Subscription",$U155=""),"",IF($U155="Estimate","N/A",IF(OR($U155="Free Game",$U155="Disqualified — Free Game",$H155=0),"N/A",IF($U155="Profit",$Q155/$H155,IF($U155="Disqualified",-$S155/$H155,0))))))</ns0:f>
      </ns0:c>
      <ns0:c r="U155" s="920">
        <ns0:f>IF(COUNTA($A155:$M155)=0,"",IF(OR(LEFT(LOWER(TRIM($F155&amp;"")),12)="subscription",LOWER(TRIM($F155&amp;""))="membership"),"Subscription",IF(LOWER(TRIM($D155&amp;""))="estimate","Estimate",IF(OR(AND($H155&lt;&gt;"",$H155=0),LEFT(LOWER(TRIM($F155&amp;"")),9)="free game",LOWER(TRIM($F155&amp;""))="free",LOWER(TRIM($F155&amp;""))="free entry"),IF(LOWER($L155&amp;"")="yes","Disqualified — Free Game","Free Game"),IF(LOWER($L155&amp;"")="yes","Disqualified",IF($P155="","",IF(ROUND(IFERROR(VALUE($P155),0)-IFERROR(VALUE($H155),0),2)&gt;0,"Profit","Draw")))))))</ns0:f>
      </ns0:c>
      <ns0:c r="V155" s="956" t="str">
        <ns0:f>IF(COUNTA($A155:$M155)=0,"",IF(OR($B155="",$C155="",$U155="Subscription"),"",IFERROR(ROUNDUP(($C155-$B155)/7,0),"")))</ns0:f>
      </ns0:c>
      <ns0:c r="W155" s="114">
        <ns0:f>IF(COUNTA($A155:$M155)=0,"",IF(OR($U155="Subscription",$U155=""),"",IF($U155="Estimate","N/A",IF(OR($U155="Free Game",$U155="Disqualified — Free Game"),0,ROUND(IFERROR($Q155,0)-IFERROR($S155,0),2)))))</ns0:f>
      </ns0:c>
      <ns0:c r="X155" s="956" t="str">
        <ns0:f>IF(COUNTA($A155:$M155)=0,"",IF(OR($U155="Subscription",NOT(ISNUMBER($J155)),NOT(ISNUMBER($I155)),$J155=0,$I155=0,$I155&gt;$J155),"",$J155-$I155))</ns0:f>
      </ns0:c>
      <ns0:c r="Y155" s="955" t="str">
        <ns0:f>IF(COUNTA($A155:$M155)=0,"",IF(OR($U155="Subscription",NOT(ISNUMBER($J155)),$J155=0,$X155=""),"",$X155/$J155))</ns0:f>
      </ns0:c>
      <ns0:c r="Z155" s="957" t="str">
        <ns0:f>IF(COUNTA($A155:$M155)=0,"",Instructions!$B$29+SUM($W$5:W155))</ns0:f>
      </ns0:c>
    </ns0:row>
    <ns0:row r="156" ht="36" customHeight="1">
      <ns0:c r="A156" s="439"/>
      <ns0:c r="B156" s="453"/>
      <ns0:c r="C156" s="453"/>
      <ns0:c r="D156" s="454"/>
      <ns0:c r="E156" s="454"/>
      <ns0:c r="F156" s="454"/>
      <ns0:c r="G156" s="986"/>
      <ns0:c r="H156" s="455"/>
      <ns0:c r="I156" s="456"/>
      <ns0:c r="J156" s="456"/>
      <ns0:c r="K156" s="986"/>
      <ns0:c r="L156" s="454"/>
      <ns0:c r="M156" s="439"/>
      <ns0:c r="N156" s="987" t="str">
        <ns0:f>IF(COUNTA($A156:$M156)=0,"",IF(OR(LEFT(LOWER(TRIM($F156&amp;"")),12)="subscription",LOWER(TRIM($F156&amp;""))="membership"),"",IF(OR(AND($H156&lt;&gt;"",$H156=0),LEFT(LOWER(TRIM($F156&amp;"")),9)="free game",LOWER(TRIM($F156&amp;""))="free",LOWER(TRIM($F156&amp;""))="free entry"),IF(ISNUMBER($G156),IF(ISNUMBER(SEARCH("non",LOWER($E156&amp;""))),$G156*0.85,$G156),"N/A"),IF($G156="","",IFERROR(IF(ISNUMBER(SEARCH("non",LOWER($E156&amp;""))),$G156*0.85,$G156),"")))))</ns0:f>
        <ns0:v/>
      </ns0:c>
      <ns0:c r="O156" s="987" t="str">
        <ns0:f>IF(COUNTA($A156:$M156)=0,"",IF(OR(LEFT(LOWER(TRIM($F156&amp;"")),12)="subscription",LOWER(TRIM($F156&amp;""))="membership"),"",IF(OR(AND($H156&lt;&gt;"",$H156=0),LEFT(LOWER(TRIM($F156&amp;"")),9)="free game",LOWER(TRIM($F156&amp;""))="free",LOWER(TRIM($F156&amp;""))="free entry"),IF(OR(NOT(ISNUMBER($N156)),NOT(ISNUMBER($I156)),$I156=0),"N/A",IFERROR($N156/$I156,"N/A")),IF(OR($N156="",$I156="",$I156=0),"",IFERROR($N156/$I156,"")))))</ns0:f>
        <ns0:v/>
      </ns0:c>
      <ns0:c r="P156" s="987">
        <ns0:f>IF(COUNTA($A156:$M156)=0,"",IF(OR(LEFT(LOWER(TRIM($F156&amp;"")),12)="subscription",LOWER(TRIM($F156&amp;""))="membership"),"",IF(LOWER(TRIM($D156&amp;""))="estimate","N/A",IF(LOWER($L156&amp;"")="yes",0,IF(OR(AND($H156&lt;&gt;"",$H156=0),LEFT(LOWER(TRIM($F156&amp;"")),9)="free game",LOWER(TRIM($F156&amp;""))="free",LOWER(TRIM($F156&amp;""))="free entry"),IF(ISNUMBER($K156),$K156,""),IF($K156&lt;&gt;"",$K156,""))))))</ns0:f>
      </ns0:c>
      <ns0:c r="Q156" s="114">
        <ns0:f>IF(COUNTA($A156:$M156)=0,"",IF(OR($U156="Subscription",$U156=""),"",IF($U156="Estimate","N/A",IF($U156="Profit",ROUND(IFERROR($P156,0)-IFERROR($H156,0),2),0))))</ns0:f>
      </ns0:c>
      <ns0:c r="R156" s="114">
        <ns0:f>IF(COUNTA($A156:$M156)=0,"",IF(OR($U156="Subscription",$U156=""),"",IF($U156="Estimate","N/A",IF($U156="Draw",$H156,0))))</ns0:f>
      </ns0:c>
      <ns0:c r="S156" s="114">
        <ns0:f>IF(COUNTA($A156:$M156)=0,"",IF(OR($U156="Subscription",$U156=""),"",IF($U156="Estimate","N/A",IF($U156="Disqualified",$H156,0))))</ns0:f>
      </ns0:c>
      <ns0:c r="T156" s="955">
        <ns0:f>IF(COUNTA($A156:$M156)=0,"",IF(OR($U156="Subscription",$U156=""),"",IF($U156="Estimate","N/A",IF(OR($U156="Free Game",$U156="Disqualified — Free Game",$H156=0),"N/A",IF($U156="Profit",$Q156/$H156,IF($U156="Disqualified",-$S156/$H156,0))))))</ns0:f>
      </ns0:c>
      <ns0:c r="U156" s="920">
        <ns0:f>IF(COUNTA($A156:$M156)=0,"",IF(OR(LEFT(LOWER(TRIM($F156&amp;"")),12)="subscription",LOWER(TRIM($F156&amp;""))="membership"),"Subscription",IF(LOWER(TRIM($D156&amp;""))="estimate","Estimate",IF(OR(AND($H156&lt;&gt;"",$H156=0),LEFT(LOWER(TRIM($F156&amp;"")),9)="free game",LOWER(TRIM($F156&amp;""))="free",LOWER(TRIM($F156&amp;""))="free entry"),IF(LOWER($L156&amp;"")="yes","Disqualified — Free Game","Free Game"),IF(LOWER($L156&amp;"")="yes","Disqualified",IF($P156="","",IF(ROUND(IFERROR(VALUE($P156),0)-IFERROR(VALUE($H156),0),2)&gt;0,"Profit","Draw")))))))</ns0:f>
      </ns0:c>
      <ns0:c r="V156" s="956" t="str">
        <ns0:f>IF(COUNTA($A156:$M156)=0,"",IF(OR($B156="",$C156="",$U156="Subscription"),"",IFERROR(ROUNDUP(($C156-$B156)/7,0),"")))</ns0:f>
      </ns0:c>
      <ns0:c r="W156" s="114">
        <ns0:f>IF(COUNTA($A156:$M156)=0,"",IF(OR($U156="Subscription",$U156=""),"",IF($U156="Estimate","N/A",IF(OR($U156="Free Game",$U156="Disqualified — Free Game"),0,ROUND(IFERROR($Q156,0)-IFERROR($S156,0),2)))))</ns0:f>
      </ns0:c>
      <ns0:c r="X156" s="956" t="str">
        <ns0:f>IF(COUNTA($A156:$M156)=0,"",IF(OR($U156="Subscription",NOT(ISNUMBER($J156)),NOT(ISNUMBER($I156)),$J156=0,$I156=0,$I156&gt;$J156),"",$J156-$I156))</ns0:f>
      </ns0:c>
      <ns0:c r="Y156" s="955" t="str">
        <ns0:f>IF(COUNTA($A156:$M156)=0,"",IF(OR($U156="Subscription",NOT(ISNUMBER($J156)),$J156=0,$X156=""),"",$X156/$J156))</ns0:f>
      </ns0:c>
      <ns0:c r="Z156" s="957" t="str">
        <ns0:f>IF(COUNTA($A156:$M156)=0,"",Instructions!$B$29+SUM($W$5:W156))</ns0:f>
      </ns0:c>
    </ns0:row>
    <ns0:row r="157" ht="36" customHeight="1">
      <ns0:c r="A157" s="439"/>
      <ns0:c r="B157" s="453"/>
      <ns0:c r="C157" s="453"/>
      <ns0:c r="D157" s="454"/>
      <ns0:c r="E157" s="454"/>
      <ns0:c r="F157" s="454"/>
      <ns0:c r="G157" s="986"/>
      <ns0:c r="H157" s="455"/>
      <ns0:c r="I157" s="456"/>
      <ns0:c r="J157" s="456"/>
      <ns0:c r="K157" s="986"/>
      <ns0:c r="L157" s="454"/>
      <ns0:c r="M157" s="439"/>
      <ns0:c r="N157" s="987" t="str">
        <ns0:f>IF(COUNTA($A157:$M157)=0,"",IF(OR(LEFT(LOWER(TRIM($F157&amp;"")),12)="subscription",LOWER(TRIM($F157&amp;""))="membership"),"",IF(OR(AND($H157&lt;&gt;"",$H157=0),LEFT(LOWER(TRIM($F157&amp;"")),9)="free game",LOWER(TRIM($F157&amp;""))="free",LOWER(TRIM($F157&amp;""))="free entry"),IF(ISNUMBER($G157),IF(ISNUMBER(SEARCH("non",LOWER($E157&amp;""))),$G157*0.85,$G157),"N/A"),IF($G157="","",IFERROR(IF(ISNUMBER(SEARCH("non",LOWER($E157&amp;""))),$G157*0.85,$G157),"")))))</ns0:f>
        <ns0:v/>
      </ns0:c>
      <ns0:c r="O157" s="987" t="str">
        <ns0:f>IF(COUNTA($A157:$M157)=0,"",IF(OR(LEFT(LOWER(TRIM($F157&amp;"")),12)="subscription",LOWER(TRIM($F157&amp;""))="membership"),"",IF(OR(AND($H157&lt;&gt;"",$H157=0),LEFT(LOWER(TRIM($F157&amp;"")),9)="free game",LOWER(TRIM($F157&amp;""))="free",LOWER(TRIM($F157&amp;""))="free entry"),IF(OR(NOT(ISNUMBER($N157)),NOT(ISNUMBER($I157)),$I157=0),"N/A",IFERROR($N157/$I157,"N/A")),IF(OR($N157="",$I157="",$I157=0),"",IFERROR($N157/$I157,"")))))</ns0:f>
        <ns0:v/>
      </ns0:c>
      <ns0:c r="P157" s="987">
        <ns0:f>IF(COUNTA($A157:$M157)=0,"",IF(OR(LEFT(LOWER(TRIM($F157&amp;"")),12)="subscription",LOWER(TRIM($F157&amp;""))="membership"),"",IF(LOWER(TRIM($D157&amp;""))="estimate","N/A",IF(LOWER($L157&amp;"")="yes",0,IF(OR(AND($H157&lt;&gt;"",$H157=0),LEFT(LOWER(TRIM($F157&amp;"")),9)="free game",LOWER(TRIM($F157&amp;""))="free",LOWER(TRIM($F157&amp;""))="free entry"),IF(ISNUMBER($K157),$K157,""),IF($K157&lt;&gt;"",$K157,""))))))</ns0:f>
      </ns0:c>
      <ns0:c r="Q157" s="114">
        <ns0:f>IF(COUNTA($A157:$M157)=0,"",IF(OR($U157="Subscription",$U157=""),"",IF($U157="Estimate","N/A",IF($U157="Profit",ROUND(IFERROR($P157,0)-IFERROR($H157,0),2),0))))</ns0:f>
      </ns0:c>
      <ns0:c r="R157" s="114">
        <ns0:f>IF(COUNTA($A157:$M157)=0,"",IF(OR($U157="Subscription",$U157=""),"",IF($U157="Estimate","N/A",IF($U157="Draw",$H157,0))))</ns0:f>
      </ns0:c>
      <ns0:c r="S157" s="114">
        <ns0:f>IF(COUNTA($A157:$M157)=0,"",IF(OR($U157="Subscription",$U157=""),"",IF($U157="Estimate","N/A",IF($U157="Disqualified",$H157,0))))</ns0:f>
      </ns0:c>
      <ns0:c r="T157" s="955">
        <ns0:f>IF(COUNTA($A157:$M157)=0,"",IF(OR($U157="Subscription",$U157=""),"",IF($U157="Estimate","N/A",IF(OR($U157="Free Game",$U157="Disqualified — Free Game",$H157=0),"N/A",IF($U157="Profit",$Q157/$H157,IF($U157="Disqualified",-$S157/$H157,0))))))</ns0:f>
      </ns0:c>
      <ns0:c r="U157" s="920">
        <ns0:f>IF(COUNTA($A157:$M157)=0,"",IF(OR(LEFT(LOWER(TRIM($F157&amp;"")),12)="subscription",LOWER(TRIM($F157&amp;""))="membership"),"Subscription",IF(LOWER(TRIM($D157&amp;""))="estimate","Estimate",IF(OR(AND($H157&lt;&gt;"",$H157=0),LEFT(LOWER(TRIM($F157&amp;"")),9)="free game",LOWER(TRIM($F157&amp;""))="free",LOWER(TRIM($F157&amp;""))="free entry"),IF(LOWER($L157&amp;"")="yes","Disqualified — Free Game","Free Game"),IF(LOWER($L157&amp;"")="yes","Disqualified",IF($P157="","",IF(ROUND(IFERROR(VALUE($P157),0)-IFERROR(VALUE($H157),0),2)&gt;0,"Profit","Draw")))))))</ns0:f>
      </ns0:c>
      <ns0:c r="V157" s="956" t="str">
        <ns0:f>IF(COUNTA($A157:$M157)=0,"",IF(OR($B157="",$C157="",$U157="Subscription"),"",IFERROR(ROUNDUP(($C157-$B157)/7,0),"")))</ns0:f>
      </ns0:c>
      <ns0:c r="W157" s="114">
        <ns0:f>IF(COUNTA($A157:$M157)=0,"",IF(OR($U157="Subscription",$U157=""),"",IF($U157="Estimate","N/A",IF(OR($U157="Free Game",$U157="Disqualified — Free Game"),0,ROUND(IFERROR($Q157,0)-IFERROR($S157,0),2)))))</ns0:f>
      </ns0:c>
      <ns0:c r="X157" s="956" t="str">
        <ns0:f>IF(COUNTA($A157:$M157)=0,"",IF(OR($U157="Subscription",NOT(ISNUMBER($J157)),NOT(ISNUMBER($I157)),$J157=0,$I157=0,$I157&gt;$J157),"",$J157-$I157))</ns0:f>
      </ns0:c>
      <ns0:c r="Y157" s="955" t="str">
        <ns0:f>IF(COUNTA($A157:$M157)=0,"",IF(OR($U157="Subscription",NOT(ISNUMBER($J157)),$J157=0,$X157=""),"",$X157/$J157))</ns0:f>
      </ns0:c>
      <ns0:c r="Z157" s="957" t="str">
        <ns0:f>IF(COUNTA($A157:$M157)=0,"",Instructions!$B$29+SUM($W$5:W157))</ns0:f>
      </ns0:c>
    </ns0:row>
    <ns0:row r="158" ht="36" customHeight="1">
      <ns0:c r="A158" s="439"/>
      <ns0:c r="B158" s="453"/>
      <ns0:c r="C158" s="453"/>
      <ns0:c r="D158" s="454"/>
      <ns0:c r="E158" s="454"/>
      <ns0:c r="F158" s="454"/>
      <ns0:c r="G158" s="986"/>
      <ns0:c r="H158" s="455"/>
      <ns0:c r="I158" s="456"/>
      <ns0:c r="J158" s="456"/>
      <ns0:c r="K158" s="986"/>
      <ns0:c r="L158" s="454"/>
      <ns0:c r="M158" s="439"/>
      <ns0:c r="N158" s="987" t="str">
        <ns0:f>IF(COUNTA($A158:$M158)=0,"",IF(OR(LEFT(LOWER(TRIM($F158&amp;"")),12)="subscription",LOWER(TRIM($F158&amp;""))="membership"),"",IF(OR(AND($H158&lt;&gt;"",$H158=0),LEFT(LOWER(TRIM($F158&amp;"")),9)="free game",LOWER(TRIM($F158&amp;""))="free",LOWER(TRIM($F158&amp;""))="free entry"),IF(ISNUMBER($G158),IF(ISNUMBER(SEARCH("non",LOWER($E158&amp;""))),$G158*0.85,$G158),"N/A"),IF($G158="","",IFERROR(IF(ISNUMBER(SEARCH("non",LOWER($E158&amp;""))),$G158*0.85,$G158),"")))))</ns0:f>
        <ns0:v/>
      </ns0:c>
      <ns0:c r="O158" s="987" t="str">
        <ns0:f>IF(COUNTA($A158:$M158)=0,"",IF(OR(LEFT(LOWER(TRIM($F158&amp;"")),12)="subscription",LOWER(TRIM($F158&amp;""))="membership"),"",IF(OR(AND($H158&lt;&gt;"",$H158=0),LEFT(LOWER(TRIM($F158&amp;"")),9)="free game",LOWER(TRIM($F158&amp;""))="free",LOWER(TRIM($F158&amp;""))="free entry"),IF(OR(NOT(ISNUMBER($N158)),NOT(ISNUMBER($I158)),$I158=0),"N/A",IFERROR($N158/$I158,"N/A")),IF(OR($N158="",$I158="",$I158=0),"",IFERROR($N158/$I158,"")))))</ns0:f>
        <ns0:v/>
      </ns0:c>
      <ns0:c r="P158" s="987">
        <ns0:f>IF(COUNTA($A158:$M158)=0,"",IF(OR(LEFT(LOWER(TRIM($F158&amp;"")),12)="subscription",LOWER(TRIM($F158&amp;""))="membership"),"",IF(LOWER(TRIM($D158&amp;""))="estimate","N/A",IF(LOWER($L158&amp;"")="yes",0,IF(OR(AND($H158&lt;&gt;"",$H158=0),LEFT(LOWER(TRIM($F158&amp;"")),9)="free game",LOWER(TRIM($F158&amp;""))="free",LOWER(TRIM($F158&amp;""))="free entry"),IF(ISNUMBER($K158),$K158,""),IF($K158&lt;&gt;"",$K158,""))))))</ns0:f>
      </ns0:c>
      <ns0:c r="Q158" s="114">
        <ns0:f>IF(COUNTA($A158:$M158)=0,"",IF(OR($U158="Subscription",$U158=""),"",IF($U158="Estimate","N/A",IF($U158="Profit",ROUND(IFERROR($P158,0)-IFERROR($H158,0),2),0))))</ns0:f>
      </ns0:c>
      <ns0:c r="R158" s="114">
        <ns0:f>IF(COUNTA($A158:$M158)=0,"",IF(OR($U158="Subscription",$U158=""),"",IF($U158="Estimate","N/A",IF($U158="Draw",$H158,0))))</ns0:f>
      </ns0:c>
      <ns0:c r="S158" s="114">
        <ns0:f>IF(COUNTA($A158:$M158)=0,"",IF(OR($U158="Subscription",$U158=""),"",IF($U158="Estimate","N/A",IF($U158="Disqualified",$H158,0))))</ns0:f>
      </ns0:c>
      <ns0:c r="T158" s="955">
        <ns0:f>IF(COUNTA($A158:$M158)=0,"",IF(OR($U158="Subscription",$U158=""),"",IF($U158="Estimate","N/A",IF(OR($U158="Free Game",$U158="Disqualified — Free Game",$H158=0),"N/A",IF($U158="Profit",$Q158/$H158,IF($U158="Disqualified",-$S158/$H158,0))))))</ns0:f>
      </ns0:c>
      <ns0:c r="U158" s="920">
        <ns0:f>IF(COUNTA($A158:$M158)=0,"",IF(OR(LEFT(LOWER(TRIM($F158&amp;"")),12)="subscription",LOWER(TRIM($F158&amp;""))="membership"),"Subscription",IF(LOWER(TRIM($D158&amp;""))="estimate","Estimate",IF(OR(AND($H158&lt;&gt;"",$H158=0),LEFT(LOWER(TRIM($F158&amp;"")),9)="free game",LOWER(TRIM($F158&amp;""))="free",LOWER(TRIM($F158&amp;""))="free entry"),IF(LOWER($L158&amp;"")="yes","Disqualified — Free Game","Free Game"),IF(LOWER($L158&amp;"")="yes","Disqualified",IF($P158="","",IF(ROUND(IFERROR(VALUE($P158),0)-IFERROR(VALUE($H158),0),2)&gt;0,"Profit","Draw")))))))</ns0:f>
      </ns0:c>
      <ns0:c r="V158" s="956" t="str">
        <ns0:f>IF(COUNTA($A158:$M158)=0,"",IF(OR($B158="",$C158="",$U158="Subscription"),"",IFERROR(ROUNDUP(($C158-$B158)/7,0),"")))</ns0:f>
      </ns0:c>
      <ns0:c r="W158" s="114">
        <ns0:f>IF(COUNTA($A158:$M158)=0,"",IF(OR($U158="Subscription",$U158=""),"",IF($U158="Estimate","N/A",IF(OR($U158="Free Game",$U158="Disqualified — Free Game"),0,ROUND(IFERROR($Q158,0)-IFERROR($S158,0),2)))))</ns0:f>
      </ns0:c>
      <ns0:c r="X158" s="956" t="str">
        <ns0:f>IF(COUNTA($A158:$M158)=0,"",IF(OR($U158="Subscription",NOT(ISNUMBER($J158)),NOT(ISNUMBER($I158)),$J158=0,$I158=0,$I158&gt;$J158),"",$J158-$I158))</ns0:f>
      </ns0:c>
      <ns0:c r="Y158" s="955" t="str">
        <ns0:f>IF(COUNTA($A158:$M158)=0,"",IF(OR($U158="Subscription",NOT(ISNUMBER($J158)),$J158=0,$X158=""),"",$X158/$J158))</ns0:f>
      </ns0:c>
      <ns0:c r="Z158" s="957" t="str">
        <ns0:f>IF(COUNTA($A158:$M158)=0,"",Instructions!$B$29+SUM($W$5:W158))</ns0:f>
      </ns0:c>
    </ns0:row>
    <ns0:row r="159" ht="36" customHeight="1">
      <ns0:c r="A159" s="439"/>
      <ns0:c r="B159" s="453"/>
      <ns0:c r="C159" s="453"/>
      <ns0:c r="D159" s="454"/>
      <ns0:c r="E159" s="454"/>
      <ns0:c r="F159" s="454"/>
      <ns0:c r="G159" s="986"/>
      <ns0:c r="H159" s="455"/>
      <ns0:c r="I159" s="456"/>
      <ns0:c r="J159" s="456"/>
      <ns0:c r="K159" s="986"/>
      <ns0:c r="L159" s="454"/>
      <ns0:c r="M159" s="439"/>
      <ns0:c r="N159" s="987" t="str">
        <ns0:f>IF(COUNTA($A159:$M159)=0,"",IF(OR(LEFT(LOWER(TRIM($F159&amp;"")),12)="subscription",LOWER(TRIM($F159&amp;""))="membership"),"",IF(OR(AND($H159&lt;&gt;"",$H159=0),LEFT(LOWER(TRIM($F159&amp;"")),9)="free game",LOWER(TRIM($F159&amp;""))="free",LOWER(TRIM($F159&amp;""))="free entry"),IF(ISNUMBER($G159),IF(ISNUMBER(SEARCH("non",LOWER($E159&amp;""))),$G159*0.85,$G159),"N/A"),IF($G159="","",IFERROR(IF(ISNUMBER(SEARCH("non",LOWER($E159&amp;""))),$G159*0.85,$G159),"")))))</ns0:f>
        <ns0:v/>
      </ns0:c>
      <ns0:c r="O159" s="987" t="str">
        <ns0:f>IF(COUNTA($A159:$M159)=0,"",IF(OR(LEFT(LOWER(TRIM($F159&amp;"")),12)="subscription",LOWER(TRIM($F159&amp;""))="membership"),"",IF(OR(AND($H159&lt;&gt;"",$H159=0),LEFT(LOWER(TRIM($F159&amp;"")),9)="free game",LOWER(TRIM($F159&amp;""))="free",LOWER(TRIM($F159&amp;""))="free entry"),IF(OR(NOT(ISNUMBER($N159)),NOT(ISNUMBER($I159)),$I159=0),"N/A",IFERROR($N159/$I159,"N/A")),IF(OR($N159="",$I159="",$I159=0),"",IFERROR($N159/$I159,"")))))</ns0:f>
        <ns0:v/>
      </ns0:c>
      <ns0:c r="P159" s="987">
        <ns0:f>IF(COUNTA($A159:$M159)=0,"",IF(OR(LEFT(LOWER(TRIM($F159&amp;"")),12)="subscription",LOWER(TRIM($F159&amp;""))="membership"),"",IF(LOWER(TRIM($D159&amp;""))="estimate","N/A",IF(LOWER($L159&amp;"")="yes",0,IF(OR(AND($H159&lt;&gt;"",$H159=0),LEFT(LOWER(TRIM($F159&amp;"")),9)="free game",LOWER(TRIM($F159&amp;""))="free",LOWER(TRIM($F159&amp;""))="free entry"),IF(ISNUMBER($K159),$K159,""),IF($K159&lt;&gt;"",$K159,""))))))</ns0:f>
      </ns0:c>
      <ns0:c r="Q159" s="114">
        <ns0:f>IF(COUNTA($A159:$M159)=0,"",IF(OR($U159="Subscription",$U159=""),"",IF($U159="Estimate","N/A",IF($U159="Profit",ROUND(IFERROR($P159,0)-IFERROR($H159,0),2),0))))</ns0:f>
      </ns0:c>
      <ns0:c r="R159" s="114">
        <ns0:f>IF(COUNTA($A159:$M159)=0,"",IF(OR($U159="Subscription",$U159=""),"",IF($U159="Estimate","N/A",IF($U159="Draw",$H159,0))))</ns0:f>
      </ns0:c>
      <ns0:c r="S159" s="114">
        <ns0:f>IF(COUNTA($A159:$M159)=0,"",IF(OR($U159="Subscription",$U159=""),"",IF($U159="Estimate","N/A",IF($U159="Disqualified",$H159,0))))</ns0:f>
      </ns0:c>
      <ns0:c r="T159" s="955">
        <ns0:f>IF(COUNTA($A159:$M159)=0,"",IF(OR($U159="Subscription",$U159=""),"",IF($U159="Estimate","N/A",IF(OR($U159="Free Game",$U159="Disqualified — Free Game",$H159=0),"N/A",IF($U159="Profit",$Q159/$H159,IF($U159="Disqualified",-$S159/$H159,0))))))</ns0:f>
      </ns0:c>
      <ns0:c r="U159" s="920">
        <ns0:f>IF(COUNTA($A159:$M159)=0,"",IF(OR(LEFT(LOWER(TRIM($F159&amp;"")),12)="subscription",LOWER(TRIM($F159&amp;""))="membership"),"Subscription",IF(LOWER(TRIM($D159&amp;""))="estimate","Estimate",IF(OR(AND($H159&lt;&gt;"",$H159=0),LEFT(LOWER(TRIM($F159&amp;"")),9)="free game",LOWER(TRIM($F159&amp;""))="free",LOWER(TRIM($F159&amp;""))="free entry"),IF(LOWER($L159&amp;"")="yes","Disqualified — Free Game","Free Game"),IF(LOWER($L159&amp;"")="yes","Disqualified",IF($P159="","",IF(ROUND(IFERROR(VALUE($P159),0)-IFERROR(VALUE($H159),0),2)&gt;0,"Profit","Draw")))))))</ns0:f>
      </ns0:c>
      <ns0:c r="V159" s="956" t="str">
        <ns0:f>IF(COUNTA($A159:$M159)=0,"",IF(OR($B159="",$C159="",$U159="Subscription"),"",IFERROR(ROUNDUP(($C159-$B159)/7,0),"")))</ns0:f>
      </ns0:c>
      <ns0:c r="W159" s="114">
        <ns0:f>IF(COUNTA($A159:$M159)=0,"",IF(OR($U159="Subscription",$U159=""),"",IF($U159="Estimate","N/A",IF(OR($U159="Free Game",$U159="Disqualified — Free Game"),0,ROUND(IFERROR($Q159,0)-IFERROR($S159,0),2)))))</ns0:f>
      </ns0:c>
      <ns0:c r="X159" s="956" t="str">
        <ns0:f>IF(COUNTA($A159:$M159)=0,"",IF(OR($U159="Subscription",NOT(ISNUMBER($J159)),NOT(ISNUMBER($I159)),$J159=0,$I159=0,$I159&gt;$J159),"",$J159-$I159))</ns0:f>
      </ns0:c>
      <ns0:c r="Y159" s="955" t="str">
        <ns0:f>IF(COUNTA($A159:$M159)=0,"",IF(OR($U159="Subscription",NOT(ISNUMBER($J159)),$J159=0,$X159=""),"",$X159/$J159))</ns0:f>
      </ns0:c>
      <ns0:c r="Z159" s="957" t="str">
        <ns0:f>IF(COUNTA($A159:$M159)=0,"",Instructions!$B$29+SUM($W$5:W159))</ns0:f>
      </ns0:c>
    </ns0:row>
    <ns0:row r="160" ht="36" customHeight="1">
      <ns0:c r="A160" s="439"/>
      <ns0:c r="B160" s="453"/>
      <ns0:c r="C160" s="453"/>
      <ns0:c r="D160" s="454"/>
      <ns0:c r="E160" s="454"/>
      <ns0:c r="F160" s="454"/>
      <ns0:c r="G160" s="986"/>
      <ns0:c r="H160" s="455"/>
      <ns0:c r="I160" s="456"/>
      <ns0:c r="J160" s="456"/>
      <ns0:c r="K160" s="986"/>
      <ns0:c r="L160" s="454"/>
      <ns0:c r="M160" s="439"/>
      <ns0:c r="N160" s="987" t="str">
        <ns0:f>IF(COUNTA($A160:$M160)=0,"",IF(OR(LEFT(LOWER(TRIM($F160&amp;"")),12)="subscription",LOWER(TRIM($F160&amp;""))="membership"),"",IF(OR(AND($H160&lt;&gt;"",$H160=0),LEFT(LOWER(TRIM($F160&amp;"")),9)="free game",LOWER(TRIM($F160&amp;""))="free",LOWER(TRIM($F160&amp;""))="free entry"),IF(ISNUMBER($G160),IF(ISNUMBER(SEARCH("non",LOWER($E160&amp;""))),$G160*0.85,$G160),"N/A"),IF($G160="","",IFERROR(IF(ISNUMBER(SEARCH("non",LOWER($E160&amp;""))),$G160*0.85,$G160),"")))))</ns0:f>
        <ns0:v/>
      </ns0:c>
      <ns0:c r="O160" s="987" t="str">
        <ns0:f>IF(COUNTA($A160:$M160)=0,"",IF(OR(LEFT(LOWER(TRIM($F160&amp;"")),12)="subscription",LOWER(TRIM($F160&amp;""))="membership"),"",IF(OR(AND($H160&lt;&gt;"",$H160=0),LEFT(LOWER(TRIM($F160&amp;"")),9)="free game",LOWER(TRIM($F160&amp;""))="free",LOWER(TRIM($F160&amp;""))="free entry"),IF(OR(NOT(ISNUMBER($N160)),NOT(ISNUMBER($I160)),$I160=0),"N/A",IFERROR($N160/$I160,"N/A")),IF(OR($N160="",$I160="",$I160=0),"",IFERROR($N160/$I160,"")))))</ns0:f>
        <ns0:v/>
      </ns0:c>
      <ns0:c r="P160" s="987">
        <ns0:f>IF(COUNTA($A160:$M160)=0,"",IF(OR(LEFT(LOWER(TRIM($F160&amp;"")),12)="subscription",LOWER(TRIM($F160&amp;""))="membership"),"",IF(LOWER(TRIM($D160&amp;""))="estimate","N/A",IF(LOWER($L160&amp;"")="yes",0,IF(OR(AND($H160&lt;&gt;"",$H160=0),LEFT(LOWER(TRIM($F160&amp;"")),9)="free game",LOWER(TRIM($F160&amp;""))="free",LOWER(TRIM($F160&amp;""))="free entry"),IF(ISNUMBER($K160),$K160,""),IF($K160&lt;&gt;"",$K160,""))))))</ns0:f>
      </ns0:c>
      <ns0:c r="Q160" s="114">
        <ns0:f>IF(COUNTA($A160:$M160)=0,"",IF(OR($U160="Subscription",$U160=""),"",IF($U160="Estimate","N/A",IF($U160="Profit",ROUND(IFERROR($P160,0)-IFERROR($H160,0),2),0))))</ns0:f>
      </ns0:c>
      <ns0:c r="R160" s="114">
        <ns0:f>IF(COUNTA($A160:$M160)=0,"",IF(OR($U160="Subscription",$U160=""),"",IF($U160="Estimate","N/A",IF($U160="Draw",$H160,0))))</ns0:f>
      </ns0:c>
      <ns0:c r="S160" s="114">
        <ns0:f>IF(COUNTA($A160:$M160)=0,"",IF(OR($U160="Subscription",$U160=""),"",IF($U160="Estimate","N/A",IF($U160="Disqualified",$H160,0))))</ns0:f>
      </ns0:c>
      <ns0:c r="T160" s="955">
        <ns0:f>IF(COUNTA($A160:$M160)=0,"",IF(OR($U160="Subscription",$U160=""),"",IF($U160="Estimate","N/A",IF(OR($U160="Free Game",$U160="Disqualified — Free Game",$H160=0),"N/A",IF($U160="Profit",$Q160/$H160,IF($U160="Disqualified",-$S160/$H160,0))))))</ns0:f>
      </ns0:c>
      <ns0:c r="U160" s="920">
        <ns0:f>IF(COUNTA($A160:$M160)=0,"",IF(OR(LEFT(LOWER(TRIM($F160&amp;"")),12)="subscription",LOWER(TRIM($F160&amp;""))="membership"),"Subscription",IF(LOWER(TRIM($D160&amp;""))="estimate","Estimate",IF(OR(AND($H160&lt;&gt;"",$H160=0),LEFT(LOWER(TRIM($F160&amp;"")),9)="free game",LOWER(TRIM($F160&amp;""))="free",LOWER(TRIM($F160&amp;""))="free entry"),IF(LOWER($L160&amp;"")="yes","Disqualified — Free Game","Free Game"),IF(LOWER($L160&amp;"")="yes","Disqualified",IF($P160="","",IF(ROUND(IFERROR(VALUE($P160),0)-IFERROR(VALUE($H160),0),2)&gt;0,"Profit","Draw")))))))</ns0:f>
      </ns0:c>
      <ns0:c r="V160" s="956" t="str">
        <ns0:f>IF(COUNTA($A160:$M160)=0,"",IF(OR($B160="",$C160="",$U160="Subscription"),"",IFERROR(ROUNDUP(($C160-$B160)/7,0),"")))</ns0:f>
      </ns0:c>
      <ns0:c r="W160" s="114">
        <ns0:f>IF(COUNTA($A160:$M160)=0,"",IF(OR($U160="Subscription",$U160=""),"",IF($U160="Estimate","N/A",IF(OR($U160="Free Game",$U160="Disqualified — Free Game"),0,ROUND(IFERROR($Q160,0)-IFERROR($S160,0),2)))))</ns0:f>
      </ns0:c>
      <ns0:c r="X160" s="956" t="str">
        <ns0:f>IF(COUNTA($A160:$M160)=0,"",IF(OR($U160="Subscription",NOT(ISNUMBER($J160)),NOT(ISNUMBER($I160)),$J160=0,$I160=0,$I160&gt;$J160),"",$J160-$I160))</ns0:f>
      </ns0:c>
      <ns0:c r="Y160" s="955" t="str">
        <ns0:f>IF(COUNTA($A160:$M160)=0,"",IF(OR($U160="Subscription",NOT(ISNUMBER($J160)),$J160=0,$X160=""),"",$X160/$J160))</ns0:f>
      </ns0:c>
      <ns0:c r="Z160" s="957" t="str">
        <ns0:f>IF(COUNTA($A160:$M160)=0,"",Instructions!$B$29+SUM($W$5:W160))</ns0:f>
      </ns0:c>
    </ns0:row>
    <ns0:row r="161" ht="36" customHeight="1">
      <ns0:c r="A161" s="439"/>
      <ns0:c r="B161" s="453"/>
      <ns0:c r="C161" s="453"/>
      <ns0:c r="D161" s="454"/>
      <ns0:c r="E161" s="454"/>
      <ns0:c r="F161" s="454"/>
      <ns0:c r="G161" s="986"/>
      <ns0:c r="H161" s="455"/>
      <ns0:c r="I161" s="456"/>
      <ns0:c r="J161" s="456"/>
      <ns0:c r="K161" s="986"/>
      <ns0:c r="L161" s="454"/>
      <ns0:c r="M161" s="439"/>
      <ns0:c r="N161" s="987" t="str">
        <ns0:f>IF(COUNTA($A161:$M161)=0,"",IF(OR(LEFT(LOWER(TRIM($F161&amp;"")),12)="subscription",LOWER(TRIM($F161&amp;""))="membership"),"",IF(OR(AND($H161&lt;&gt;"",$H161=0),LEFT(LOWER(TRIM($F161&amp;"")),9)="free game",LOWER(TRIM($F161&amp;""))="free",LOWER(TRIM($F161&amp;""))="free entry"),IF(ISNUMBER($G161),IF(ISNUMBER(SEARCH("non",LOWER($E161&amp;""))),$G161*0.85,$G161),"N/A"),IF($G161="","",IFERROR(IF(ISNUMBER(SEARCH("non",LOWER($E161&amp;""))),$G161*0.85,$G161),"")))))</ns0:f>
        <ns0:v/>
      </ns0:c>
      <ns0:c r="O161" s="987" t="str">
        <ns0:f>IF(COUNTA($A161:$M161)=0,"",IF(OR(LEFT(LOWER(TRIM($F161&amp;"")),12)="subscription",LOWER(TRIM($F161&amp;""))="membership"),"",IF(OR(AND($H161&lt;&gt;"",$H161=0),LEFT(LOWER(TRIM($F161&amp;"")),9)="free game",LOWER(TRIM($F161&amp;""))="free",LOWER(TRIM($F161&amp;""))="free entry"),IF(OR(NOT(ISNUMBER($N161)),NOT(ISNUMBER($I161)),$I161=0),"N/A",IFERROR($N161/$I161,"N/A")),IF(OR($N161="",$I161="",$I161=0),"",IFERROR($N161/$I161,"")))))</ns0:f>
        <ns0:v/>
      </ns0:c>
      <ns0:c r="P161" s="987">
        <ns0:f>IF(COUNTA($A161:$M161)=0,"",IF(OR(LEFT(LOWER(TRIM($F161&amp;"")),12)="subscription",LOWER(TRIM($F161&amp;""))="membership"),"",IF(LOWER(TRIM($D161&amp;""))="estimate","N/A",IF(LOWER($L161&amp;"")="yes",0,IF(OR(AND($H161&lt;&gt;"",$H161=0),LEFT(LOWER(TRIM($F161&amp;"")),9)="free game",LOWER(TRIM($F161&amp;""))="free",LOWER(TRIM($F161&amp;""))="free entry"),IF(ISNUMBER($K161),$K161,""),IF($K161&lt;&gt;"",$K161,""))))))</ns0:f>
      </ns0:c>
      <ns0:c r="Q161" s="114">
        <ns0:f>IF(COUNTA($A161:$M161)=0,"",IF(OR($U161="Subscription",$U161=""),"",IF($U161="Estimate","N/A",IF($U161="Profit",ROUND(IFERROR($P161,0)-IFERROR($H161,0),2),0))))</ns0:f>
      </ns0:c>
      <ns0:c r="R161" s="114">
        <ns0:f>IF(COUNTA($A161:$M161)=0,"",IF(OR($U161="Subscription",$U161=""),"",IF($U161="Estimate","N/A",IF($U161="Draw",$H161,0))))</ns0:f>
      </ns0:c>
      <ns0:c r="S161" s="114">
        <ns0:f>IF(COUNTA($A161:$M161)=0,"",IF(OR($U161="Subscription",$U161=""),"",IF($U161="Estimate","N/A",IF($U161="Disqualified",$H161,0))))</ns0:f>
      </ns0:c>
      <ns0:c r="T161" s="955">
        <ns0:f>IF(COUNTA($A161:$M161)=0,"",IF(OR($U161="Subscription",$U161=""),"",IF($U161="Estimate","N/A",IF(OR($U161="Free Game",$U161="Disqualified — Free Game",$H161=0),"N/A",IF($U161="Profit",$Q161/$H161,IF($U161="Disqualified",-$S161/$H161,0))))))</ns0:f>
      </ns0:c>
      <ns0:c r="U161" s="920">
        <ns0:f>IF(COUNTA($A161:$M161)=0,"",IF(OR(LEFT(LOWER(TRIM($F161&amp;"")),12)="subscription",LOWER(TRIM($F161&amp;""))="membership"),"Subscription",IF(LOWER(TRIM($D161&amp;""))="estimate","Estimate",IF(OR(AND($H161&lt;&gt;"",$H161=0),LEFT(LOWER(TRIM($F161&amp;"")),9)="free game",LOWER(TRIM($F161&amp;""))="free",LOWER(TRIM($F161&amp;""))="free entry"),IF(LOWER($L161&amp;"")="yes","Disqualified — Free Game","Free Game"),IF(LOWER($L161&amp;"")="yes","Disqualified",IF($P161="","",IF(ROUND(IFERROR(VALUE($P161),0)-IFERROR(VALUE($H161),0),2)&gt;0,"Profit","Draw")))))))</ns0:f>
      </ns0:c>
      <ns0:c r="V161" s="956" t="str">
        <ns0:f>IF(COUNTA($A161:$M161)=0,"",IF(OR($B161="",$C161="",$U161="Subscription"),"",IFERROR(ROUNDUP(($C161-$B161)/7,0),"")))</ns0:f>
      </ns0:c>
      <ns0:c r="W161" s="114">
        <ns0:f>IF(COUNTA($A161:$M161)=0,"",IF(OR($U161="Subscription",$U161=""),"",IF($U161="Estimate","N/A",IF(OR($U161="Free Game",$U161="Disqualified — Free Game"),0,ROUND(IFERROR($Q161,0)-IFERROR($S161,0),2)))))</ns0:f>
      </ns0:c>
      <ns0:c r="X161" s="956" t="str">
        <ns0:f>IF(COUNTA($A161:$M161)=0,"",IF(OR($U161="Subscription",NOT(ISNUMBER($J161)),NOT(ISNUMBER($I161)),$J161=0,$I161=0,$I161&gt;$J161),"",$J161-$I161))</ns0:f>
      </ns0:c>
      <ns0:c r="Y161" s="955" t="str">
        <ns0:f>IF(COUNTA($A161:$M161)=0,"",IF(OR($U161="Subscription",NOT(ISNUMBER($J161)),$J161=0,$X161=""),"",$X161/$J161))</ns0:f>
      </ns0:c>
      <ns0:c r="Z161" s="957" t="str">
        <ns0:f>IF(COUNTA($A161:$M161)=0,"",Instructions!$B$29+SUM($W$5:W161))</ns0:f>
      </ns0:c>
    </ns0:row>
    <ns0:row r="162" ht="36" customHeight="1">
      <ns0:c r="A162" s="439"/>
      <ns0:c r="B162" s="453"/>
      <ns0:c r="C162" s="453"/>
      <ns0:c r="D162" s="454"/>
      <ns0:c r="E162" s="454"/>
      <ns0:c r="F162" s="454"/>
      <ns0:c r="G162" s="986"/>
      <ns0:c r="H162" s="455"/>
      <ns0:c r="I162" s="456"/>
      <ns0:c r="J162" s="456"/>
      <ns0:c r="K162" s="986"/>
      <ns0:c r="L162" s="454"/>
      <ns0:c r="M162" s="439"/>
      <ns0:c r="N162" s="987" t="str">
        <ns0:f>IF(COUNTA($A162:$M162)=0,"",IF(OR(LEFT(LOWER(TRIM($F162&amp;"")),12)="subscription",LOWER(TRIM($F162&amp;""))="membership"),"",IF(OR(AND($H162&lt;&gt;"",$H162=0),LEFT(LOWER(TRIM($F162&amp;"")),9)="free game",LOWER(TRIM($F162&amp;""))="free",LOWER(TRIM($F162&amp;""))="free entry"),IF(ISNUMBER($G162),IF(ISNUMBER(SEARCH("non",LOWER($E162&amp;""))),$G162*0.85,$G162),"N/A"),IF($G162="","",IFERROR(IF(ISNUMBER(SEARCH("non",LOWER($E162&amp;""))),$G162*0.85,$G162),"")))))</ns0:f>
        <ns0:v/>
      </ns0:c>
      <ns0:c r="O162" s="987" t="str">
        <ns0:f>IF(COUNTA($A162:$M162)=0,"",IF(OR(LEFT(LOWER(TRIM($F162&amp;"")),12)="subscription",LOWER(TRIM($F162&amp;""))="membership"),"",IF(OR(AND($H162&lt;&gt;"",$H162=0),LEFT(LOWER(TRIM($F162&amp;"")),9)="free game",LOWER(TRIM($F162&amp;""))="free",LOWER(TRIM($F162&amp;""))="free entry"),IF(OR(NOT(ISNUMBER($N162)),NOT(ISNUMBER($I162)),$I162=0),"N/A",IFERROR($N162/$I162,"N/A")),IF(OR($N162="",$I162="",$I162=0),"",IFERROR($N162/$I162,"")))))</ns0:f>
        <ns0:v/>
      </ns0:c>
      <ns0:c r="P162" s="987">
        <ns0:f>IF(COUNTA($A162:$M162)=0,"",IF(OR(LEFT(LOWER(TRIM($F162&amp;"")),12)="subscription",LOWER(TRIM($F162&amp;""))="membership"),"",IF(LOWER(TRIM($D162&amp;""))="estimate","N/A",IF(LOWER($L162&amp;"")="yes",0,IF(OR(AND($H162&lt;&gt;"",$H162=0),LEFT(LOWER(TRIM($F162&amp;"")),9)="free game",LOWER(TRIM($F162&amp;""))="free",LOWER(TRIM($F162&amp;""))="free entry"),IF(ISNUMBER($K162),$K162,""),IF($K162&lt;&gt;"",$K162,""))))))</ns0:f>
      </ns0:c>
      <ns0:c r="Q162" s="114">
        <ns0:f>IF(COUNTA($A162:$M162)=0,"",IF(OR($U162="Subscription",$U162=""),"",IF($U162="Estimate","N/A",IF($U162="Profit",ROUND(IFERROR($P162,0)-IFERROR($H162,0),2),0))))</ns0:f>
      </ns0:c>
      <ns0:c r="R162" s="114">
        <ns0:f>IF(COUNTA($A162:$M162)=0,"",IF(OR($U162="Subscription",$U162=""),"",IF($U162="Estimate","N/A",IF($U162="Draw",$H162,0))))</ns0:f>
      </ns0:c>
      <ns0:c r="S162" s="114">
        <ns0:f>IF(COUNTA($A162:$M162)=0,"",IF(OR($U162="Subscription",$U162=""),"",IF($U162="Estimate","N/A",IF($U162="Disqualified",$H162,0))))</ns0:f>
      </ns0:c>
      <ns0:c r="T162" s="955">
        <ns0:f>IF(COUNTA($A162:$M162)=0,"",IF(OR($U162="Subscription",$U162=""),"",IF($U162="Estimate","N/A",IF(OR($U162="Free Game",$U162="Disqualified — Free Game",$H162=0),"N/A",IF($U162="Profit",$Q162/$H162,IF($U162="Disqualified",-$S162/$H162,0))))))</ns0:f>
      </ns0:c>
      <ns0:c r="U162" s="920">
        <ns0:f>IF(COUNTA($A162:$M162)=0,"",IF(OR(LEFT(LOWER(TRIM($F162&amp;"")),12)="subscription",LOWER(TRIM($F162&amp;""))="membership"),"Subscription",IF(LOWER(TRIM($D162&amp;""))="estimate","Estimate",IF(OR(AND($H162&lt;&gt;"",$H162=0),LEFT(LOWER(TRIM($F162&amp;"")),9)="free game",LOWER(TRIM($F162&amp;""))="free",LOWER(TRIM($F162&amp;""))="free entry"),IF(LOWER($L162&amp;"")="yes","Disqualified — Free Game","Free Game"),IF(LOWER($L162&amp;"")="yes","Disqualified",IF($P162="","",IF(ROUND(IFERROR(VALUE($P162),0)-IFERROR(VALUE($H162),0),2)&gt;0,"Profit","Draw")))))))</ns0:f>
      </ns0:c>
      <ns0:c r="V162" s="956" t="str">
        <ns0:f>IF(COUNTA($A162:$M162)=0,"",IF(OR($B162="",$C162="",$U162="Subscription"),"",IFERROR(ROUNDUP(($C162-$B162)/7,0),"")))</ns0:f>
      </ns0:c>
      <ns0:c r="W162" s="114">
        <ns0:f>IF(COUNTA($A162:$M162)=0,"",IF(OR($U162="Subscription",$U162=""),"",IF($U162="Estimate","N/A",IF(OR($U162="Free Game",$U162="Disqualified — Free Game"),0,ROUND(IFERROR($Q162,0)-IFERROR($S162,0),2)))))</ns0:f>
      </ns0:c>
      <ns0:c r="X162" s="956" t="str">
        <ns0:f>IF(COUNTA($A162:$M162)=0,"",IF(OR($U162="Subscription",NOT(ISNUMBER($J162)),NOT(ISNUMBER($I162)),$J162=0,$I162=0,$I162&gt;$J162),"",$J162-$I162))</ns0:f>
      </ns0:c>
      <ns0:c r="Y162" s="955" t="str">
        <ns0:f>IF(COUNTA($A162:$M162)=0,"",IF(OR($U162="Subscription",NOT(ISNUMBER($J162)),$J162=0,$X162=""),"",$X162/$J162))</ns0:f>
      </ns0:c>
      <ns0:c r="Z162" s="957" t="str">
        <ns0:f>IF(COUNTA($A162:$M162)=0,"",Instructions!$B$29+SUM($W$5:W162))</ns0:f>
      </ns0:c>
    </ns0:row>
    <ns0:row r="163" ht="36" customHeight="1">
      <ns0:c r="A163" s="439"/>
      <ns0:c r="B163" s="453"/>
      <ns0:c r="C163" s="453"/>
      <ns0:c r="D163" s="454"/>
      <ns0:c r="E163" s="454"/>
      <ns0:c r="F163" s="454"/>
      <ns0:c r="G163" s="986"/>
      <ns0:c r="H163" s="455"/>
      <ns0:c r="I163" s="456"/>
      <ns0:c r="J163" s="456"/>
      <ns0:c r="K163" s="986"/>
      <ns0:c r="L163" s="454"/>
      <ns0:c r="M163" s="439"/>
      <ns0:c r="N163" s="987" t="str">
        <ns0:f>IF(COUNTA($A163:$M163)=0,"",IF(OR(LEFT(LOWER(TRIM($F163&amp;"")),12)="subscription",LOWER(TRIM($F163&amp;""))="membership"),"",IF(OR(AND($H163&lt;&gt;"",$H163=0),LEFT(LOWER(TRIM($F163&amp;"")),9)="free game",LOWER(TRIM($F163&amp;""))="free",LOWER(TRIM($F163&amp;""))="free entry"),IF(ISNUMBER($G163),IF(ISNUMBER(SEARCH("non",LOWER($E163&amp;""))),$G163*0.85,$G163),"N/A"),IF($G163="","",IFERROR(IF(ISNUMBER(SEARCH("non",LOWER($E163&amp;""))),$G163*0.85,$G163),"")))))</ns0:f>
        <ns0:v/>
      </ns0:c>
      <ns0:c r="O163" s="987" t="str">
        <ns0:f>IF(COUNTA($A163:$M163)=0,"",IF(OR(LEFT(LOWER(TRIM($F163&amp;"")),12)="subscription",LOWER(TRIM($F163&amp;""))="membership"),"",IF(OR(AND($H163&lt;&gt;"",$H163=0),LEFT(LOWER(TRIM($F163&amp;"")),9)="free game",LOWER(TRIM($F163&amp;""))="free",LOWER(TRIM($F163&amp;""))="free entry"),IF(OR(NOT(ISNUMBER($N163)),NOT(ISNUMBER($I163)),$I163=0),"N/A",IFERROR($N163/$I163,"N/A")),IF(OR($N163="",$I163="",$I163=0),"",IFERROR($N163/$I163,"")))))</ns0:f>
        <ns0:v/>
      </ns0:c>
      <ns0:c r="P163" s="987">
        <ns0:f>IF(COUNTA($A163:$M163)=0,"",IF(OR(LEFT(LOWER(TRIM($F163&amp;"")),12)="subscription",LOWER(TRIM($F163&amp;""))="membership"),"",IF(LOWER(TRIM($D163&amp;""))="estimate","N/A",IF(LOWER($L163&amp;"")="yes",0,IF(OR(AND($H163&lt;&gt;"",$H163=0),LEFT(LOWER(TRIM($F163&amp;"")),9)="free game",LOWER(TRIM($F163&amp;""))="free",LOWER(TRIM($F163&amp;""))="free entry"),IF(ISNUMBER($K163),$K163,""),IF($K163&lt;&gt;"",$K163,""))))))</ns0:f>
      </ns0:c>
      <ns0:c r="Q163" s="114">
        <ns0:f>IF(COUNTA($A163:$M163)=0,"",IF(OR($U163="Subscription",$U163=""),"",IF($U163="Estimate","N/A",IF($U163="Profit",ROUND(IFERROR($P163,0)-IFERROR($H163,0),2),0))))</ns0:f>
      </ns0:c>
      <ns0:c r="R163" s="114">
        <ns0:f>IF(COUNTA($A163:$M163)=0,"",IF(OR($U163="Subscription",$U163=""),"",IF($U163="Estimate","N/A",IF($U163="Draw",$H163,0))))</ns0:f>
      </ns0:c>
      <ns0:c r="S163" s="114">
        <ns0:f>IF(COUNTA($A163:$M163)=0,"",IF(OR($U163="Subscription",$U163=""),"",IF($U163="Estimate","N/A",IF($U163="Disqualified",$H163,0))))</ns0:f>
      </ns0:c>
      <ns0:c r="T163" s="955">
        <ns0:f>IF(COUNTA($A163:$M163)=0,"",IF(OR($U163="Subscription",$U163=""),"",IF($U163="Estimate","N/A",IF(OR($U163="Free Game",$U163="Disqualified — Free Game",$H163=0),"N/A",IF($U163="Profit",$Q163/$H163,IF($U163="Disqualified",-$S163/$H163,0))))))</ns0:f>
      </ns0:c>
      <ns0:c r="U163" s="920">
        <ns0:f>IF(COUNTA($A163:$M163)=0,"",IF(OR(LEFT(LOWER(TRIM($F163&amp;"")),12)="subscription",LOWER(TRIM($F163&amp;""))="membership"),"Subscription",IF(LOWER(TRIM($D163&amp;""))="estimate","Estimate",IF(OR(AND($H163&lt;&gt;"",$H163=0),LEFT(LOWER(TRIM($F163&amp;"")),9)="free game",LOWER(TRIM($F163&amp;""))="free",LOWER(TRIM($F163&amp;""))="free entry"),IF(LOWER($L163&amp;"")="yes","Disqualified — Free Game","Free Game"),IF(LOWER($L163&amp;"")="yes","Disqualified",IF($P163="","",IF(ROUND(IFERROR(VALUE($P163),0)-IFERROR(VALUE($H163),0),2)&gt;0,"Profit","Draw")))))))</ns0:f>
      </ns0:c>
      <ns0:c r="V163" s="956" t="str">
        <ns0:f>IF(COUNTA($A163:$M163)=0,"",IF(OR($B163="",$C163="",$U163="Subscription"),"",IFERROR(ROUNDUP(($C163-$B163)/7,0),"")))</ns0:f>
      </ns0:c>
      <ns0:c r="W163" s="114">
        <ns0:f>IF(COUNTA($A163:$M163)=0,"",IF(OR($U163="Subscription",$U163=""),"",IF($U163="Estimate","N/A",IF(OR($U163="Free Game",$U163="Disqualified — Free Game"),0,ROUND(IFERROR($Q163,0)-IFERROR($S163,0),2)))))</ns0:f>
      </ns0:c>
      <ns0:c r="X163" s="956" t="str">
        <ns0:f>IF(COUNTA($A163:$M163)=0,"",IF(OR($U163="Subscription",NOT(ISNUMBER($J163)),NOT(ISNUMBER($I163)),$J163=0,$I163=0,$I163&gt;$J163),"",$J163-$I163))</ns0:f>
      </ns0:c>
      <ns0:c r="Y163" s="955" t="str">
        <ns0:f>IF(COUNTA($A163:$M163)=0,"",IF(OR($U163="Subscription",NOT(ISNUMBER($J163)),$J163=0,$X163=""),"",$X163/$J163))</ns0:f>
      </ns0:c>
      <ns0:c r="Z163" s="957" t="str">
        <ns0:f>IF(COUNTA($A163:$M163)=0,"",Instructions!$B$29+SUM($W$5:W163))</ns0:f>
      </ns0:c>
    </ns0:row>
    <ns0:row r="164" ht="36" customHeight="1">
      <ns0:c r="A164" s="439"/>
      <ns0:c r="B164" s="453"/>
      <ns0:c r="C164" s="453"/>
      <ns0:c r="D164" s="454"/>
      <ns0:c r="E164" s="454"/>
      <ns0:c r="F164" s="454"/>
      <ns0:c r="G164" s="986"/>
      <ns0:c r="H164" s="455"/>
      <ns0:c r="I164" s="456"/>
      <ns0:c r="J164" s="456"/>
      <ns0:c r="K164" s="986"/>
      <ns0:c r="L164" s="454"/>
      <ns0:c r="M164" s="439"/>
      <ns0:c r="N164" s="987" t="str">
        <ns0:f>IF(COUNTA($A164:$M164)=0,"",IF(OR(LEFT(LOWER(TRIM($F164&amp;"")),12)="subscription",LOWER(TRIM($F164&amp;""))="membership"),"",IF(OR(AND($H164&lt;&gt;"",$H164=0),LEFT(LOWER(TRIM($F164&amp;"")),9)="free game",LOWER(TRIM($F164&amp;""))="free",LOWER(TRIM($F164&amp;""))="free entry"),IF(ISNUMBER($G164),IF(ISNUMBER(SEARCH("non",LOWER($E164&amp;""))),$G164*0.85,$G164),"N/A"),IF($G164="","",IFERROR(IF(ISNUMBER(SEARCH("non",LOWER($E164&amp;""))),$G164*0.85,$G164),"")))))</ns0:f>
        <ns0:v/>
      </ns0:c>
      <ns0:c r="O164" s="987" t="str">
        <ns0:f>IF(COUNTA($A164:$M164)=0,"",IF(OR(LEFT(LOWER(TRIM($F164&amp;"")),12)="subscription",LOWER(TRIM($F164&amp;""))="membership"),"",IF(OR(AND($H164&lt;&gt;"",$H164=0),LEFT(LOWER(TRIM($F164&amp;"")),9)="free game",LOWER(TRIM($F164&amp;""))="free",LOWER(TRIM($F164&amp;""))="free entry"),IF(OR(NOT(ISNUMBER($N164)),NOT(ISNUMBER($I164)),$I164=0),"N/A",IFERROR($N164/$I164,"N/A")),IF(OR($N164="",$I164="",$I164=0),"",IFERROR($N164/$I164,"")))))</ns0:f>
        <ns0:v/>
      </ns0:c>
      <ns0:c r="P164" s="987">
        <ns0:f>IF(COUNTA($A164:$M164)=0,"",IF(OR(LEFT(LOWER(TRIM($F164&amp;"")),12)="subscription",LOWER(TRIM($F164&amp;""))="membership"),"",IF(LOWER(TRIM($D164&amp;""))="estimate","N/A",IF(LOWER($L164&amp;"")="yes",0,IF(OR(AND($H164&lt;&gt;"",$H164=0),LEFT(LOWER(TRIM($F164&amp;"")),9)="free game",LOWER(TRIM($F164&amp;""))="free",LOWER(TRIM($F164&amp;""))="free entry"),IF(ISNUMBER($K164),$K164,""),IF($K164&lt;&gt;"",$K164,""))))))</ns0:f>
      </ns0:c>
      <ns0:c r="Q164" s="114">
        <ns0:f>IF(COUNTA($A164:$M164)=0,"",IF(OR($U164="Subscription",$U164=""),"",IF($U164="Estimate","N/A",IF($U164="Profit",ROUND(IFERROR($P164,0)-IFERROR($H164,0),2),0))))</ns0:f>
      </ns0:c>
      <ns0:c r="R164" s="114">
        <ns0:f>IF(COUNTA($A164:$M164)=0,"",IF(OR($U164="Subscription",$U164=""),"",IF($U164="Estimate","N/A",IF($U164="Draw",$H164,0))))</ns0:f>
      </ns0:c>
      <ns0:c r="S164" s="114">
        <ns0:f>IF(COUNTA($A164:$M164)=0,"",IF(OR($U164="Subscription",$U164=""),"",IF($U164="Estimate","N/A",IF($U164="Disqualified",$H164,0))))</ns0:f>
      </ns0:c>
      <ns0:c r="T164" s="955">
        <ns0:f>IF(COUNTA($A164:$M164)=0,"",IF(OR($U164="Subscription",$U164=""),"",IF($U164="Estimate","N/A",IF(OR($U164="Free Game",$U164="Disqualified — Free Game",$H164=0),"N/A",IF($U164="Profit",$Q164/$H164,IF($U164="Disqualified",-$S164/$H164,0))))))</ns0:f>
      </ns0:c>
      <ns0:c r="U164" s="920">
        <ns0:f>IF(COUNTA($A164:$M164)=0,"",IF(OR(LEFT(LOWER(TRIM($F164&amp;"")),12)="subscription",LOWER(TRIM($F164&amp;""))="membership"),"Subscription",IF(LOWER(TRIM($D164&amp;""))="estimate","Estimate",IF(OR(AND($H164&lt;&gt;"",$H164=0),LEFT(LOWER(TRIM($F164&amp;"")),9)="free game",LOWER(TRIM($F164&amp;""))="free",LOWER(TRIM($F164&amp;""))="free entry"),IF(LOWER($L164&amp;"")="yes","Disqualified — Free Game","Free Game"),IF(LOWER($L164&amp;"")="yes","Disqualified",IF($P164="","",IF(ROUND(IFERROR(VALUE($P164),0)-IFERROR(VALUE($H164),0),2)&gt;0,"Profit","Draw")))))))</ns0:f>
      </ns0:c>
      <ns0:c r="V164" s="956" t="str">
        <ns0:f>IF(COUNTA($A164:$M164)=0,"",IF(OR($B164="",$C164="",$U164="Subscription"),"",IFERROR(ROUNDUP(($C164-$B164)/7,0),"")))</ns0:f>
      </ns0:c>
      <ns0:c r="W164" s="114">
        <ns0:f>IF(COUNTA($A164:$M164)=0,"",IF(OR($U164="Subscription",$U164=""),"",IF($U164="Estimate","N/A",IF(OR($U164="Free Game",$U164="Disqualified — Free Game"),0,ROUND(IFERROR($Q164,0)-IFERROR($S164,0),2)))))</ns0:f>
      </ns0:c>
      <ns0:c r="X164" s="956" t="str">
        <ns0:f>IF(COUNTA($A164:$M164)=0,"",IF(OR($U164="Subscription",NOT(ISNUMBER($J164)),NOT(ISNUMBER($I164)),$J164=0,$I164=0,$I164&gt;$J164),"",$J164-$I164))</ns0:f>
      </ns0:c>
      <ns0:c r="Y164" s="955" t="str">
        <ns0:f>IF(COUNTA($A164:$M164)=0,"",IF(OR($U164="Subscription",NOT(ISNUMBER($J164)),$J164=0,$X164=""),"",$X164/$J164))</ns0:f>
      </ns0:c>
      <ns0:c r="Z164" s="957" t="str">
        <ns0:f>IF(COUNTA($A164:$M164)=0,"",Instructions!$B$29+SUM($W$5:W164))</ns0:f>
      </ns0:c>
    </ns0:row>
    <ns0:row r="165" ht="36" customHeight="1">
      <ns0:c r="A165" s="439"/>
      <ns0:c r="B165" s="453"/>
      <ns0:c r="C165" s="453"/>
      <ns0:c r="D165" s="454"/>
      <ns0:c r="E165" s="454"/>
      <ns0:c r="F165" s="454"/>
      <ns0:c r="G165" s="986"/>
      <ns0:c r="H165" s="455"/>
      <ns0:c r="I165" s="456"/>
      <ns0:c r="J165" s="456"/>
      <ns0:c r="K165" s="986"/>
      <ns0:c r="L165" s="454"/>
      <ns0:c r="M165" s="439"/>
      <ns0:c r="N165" s="987" t="str">
        <ns0:f>IF(COUNTA($A165:$M165)=0,"",IF(OR(LEFT(LOWER(TRIM($F165&amp;"")),12)="subscription",LOWER(TRIM($F165&amp;""))="membership"),"",IF(OR(AND($H165&lt;&gt;"",$H165=0),LEFT(LOWER(TRIM($F165&amp;"")),9)="free game",LOWER(TRIM($F165&amp;""))="free",LOWER(TRIM($F165&amp;""))="free entry"),IF(ISNUMBER($G165),IF(ISNUMBER(SEARCH("non",LOWER($E165&amp;""))),$G165*0.85,$G165),"N/A"),IF($G165="","",IFERROR(IF(ISNUMBER(SEARCH("non",LOWER($E165&amp;""))),$G165*0.85,$G165),"")))))</ns0:f>
        <ns0:v/>
      </ns0:c>
      <ns0:c r="O165" s="987" t="str">
        <ns0:f>IF(COUNTA($A165:$M165)=0,"",IF(OR(LEFT(LOWER(TRIM($F165&amp;"")),12)="subscription",LOWER(TRIM($F165&amp;""))="membership"),"",IF(OR(AND($H165&lt;&gt;"",$H165=0),LEFT(LOWER(TRIM($F165&amp;"")),9)="free game",LOWER(TRIM($F165&amp;""))="free",LOWER(TRIM($F165&amp;""))="free entry"),IF(OR(NOT(ISNUMBER($N165)),NOT(ISNUMBER($I165)),$I165=0),"N/A",IFERROR($N165/$I165,"N/A")),IF(OR($N165="",$I165="",$I165=0),"",IFERROR($N165/$I165,"")))))</ns0:f>
        <ns0:v/>
      </ns0:c>
      <ns0:c r="P165" s="987">
        <ns0:f>IF(COUNTA($A165:$M165)=0,"",IF(OR(LEFT(LOWER(TRIM($F165&amp;"")),12)="subscription",LOWER(TRIM($F165&amp;""))="membership"),"",IF(LOWER(TRIM($D165&amp;""))="estimate","N/A",IF(LOWER($L165&amp;"")="yes",0,IF(OR(AND($H165&lt;&gt;"",$H165=0),LEFT(LOWER(TRIM($F165&amp;"")),9)="free game",LOWER(TRIM($F165&amp;""))="free",LOWER(TRIM($F165&amp;""))="free entry"),IF(ISNUMBER($K165),$K165,""),IF($K165&lt;&gt;"",$K165,""))))))</ns0:f>
      </ns0:c>
      <ns0:c r="Q165" s="114">
        <ns0:f>IF(COUNTA($A165:$M165)=0,"",IF(OR($U165="Subscription",$U165=""),"",IF($U165="Estimate","N/A",IF($U165="Profit",ROUND(IFERROR($P165,0)-IFERROR($H165,0),2),0))))</ns0:f>
      </ns0:c>
      <ns0:c r="R165" s="114">
        <ns0:f>IF(COUNTA($A165:$M165)=0,"",IF(OR($U165="Subscription",$U165=""),"",IF($U165="Estimate","N/A",IF($U165="Draw",$H165,0))))</ns0:f>
      </ns0:c>
      <ns0:c r="S165" s="114">
        <ns0:f>IF(COUNTA($A165:$M165)=0,"",IF(OR($U165="Subscription",$U165=""),"",IF($U165="Estimate","N/A",IF($U165="Disqualified",$H165,0))))</ns0:f>
      </ns0:c>
      <ns0:c r="T165" s="955">
        <ns0:f>IF(COUNTA($A165:$M165)=0,"",IF(OR($U165="Subscription",$U165=""),"",IF($U165="Estimate","N/A",IF(OR($U165="Free Game",$U165="Disqualified — Free Game",$H165=0),"N/A",IF($U165="Profit",$Q165/$H165,IF($U165="Disqualified",-$S165/$H165,0))))))</ns0:f>
      </ns0:c>
      <ns0:c r="U165" s="920">
        <ns0:f>IF(COUNTA($A165:$M165)=0,"",IF(OR(LEFT(LOWER(TRIM($F165&amp;"")),12)="subscription",LOWER(TRIM($F165&amp;""))="membership"),"Subscription",IF(LOWER(TRIM($D165&amp;""))="estimate","Estimate",IF(OR(AND($H165&lt;&gt;"",$H165=0),LEFT(LOWER(TRIM($F165&amp;"")),9)="free game",LOWER(TRIM($F165&amp;""))="free",LOWER(TRIM($F165&amp;""))="free entry"),IF(LOWER($L165&amp;"")="yes","Disqualified — Free Game","Free Game"),IF(LOWER($L165&amp;"")="yes","Disqualified",IF($P165="","",IF(ROUND(IFERROR(VALUE($P165),0)-IFERROR(VALUE($H165),0),2)&gt;0,"Profit","Draw")))))))</ns0:f>
      </ns0:c>
      <ns0:c r="V165" s="956" t="str">
        <ns0:f>IF(COUNTA($A165:$M165)=0,"",IF(OR($B165="",$C165="",$U165="Subscription"),"",IFERROR(ROUNDUP(($C165-$B165)/7,0),"")))</ns0:f>
      </ns0:c>
      <ns0:c r="W165" s="114">
        <ns0:f>IF(COUNTA($A165:$M165)=0,"",IF(OR($U165="Subscription",$U165=""),"",IF($U165="Estimate","N/A",IF(OR($U165="Free Game",$U165="Disqualified — Free Game"),0,ROUND(IFERROR($Q165,0)-IFERROR($S165,0),2)))))</ns0:f>
      </ns0:c>
      <ns0:c r="X165" s="956" t="str">
        <ns0:f>IF(COUNTA($A165:$M165)=0,"",IF(OR($U165="Subscription",NOT(ISNUMBER($J165)),NOT(ISNUMBER($I165)),$J165=0,$I165=0,$I165&gt;$J165),"",$J165-$I165))</ns0:f>
      </ns0:c>
      <ns0:c r="Y165" s="955" t="str">
        <ns0:f>IF(COUNTA($A165:$M165)=0,"",IF(OR($U165="Subscription",NOT(ISNUMBER($J165)),$J165=0,$X165=""),"",$X165/$J165))</ns0:f>
      </ns0:c>
      <ns0:c r="Z165" s="957" t="str">
        <ns0:f>IF(COUNTA($A165:$M165)=0,"",Instructions!$B$29+SUM($W$5:W165))</ns0:f>
      </ns0:c>
    </ns0:row>
    <ns0:row r="166" ht="36" customHeight="1">
      <ns0:c r="A166" s="439"/>
      <ns0:c r="B166" s="453"/>
      <ns0:c r="C166" s="453"/>
      <ns0:c r="D166" s="454"/>
      <ns0:c r="E166" s="454"/>
      <ns0:c r="F166" s="454"/>
      <ns0:c r="G166" s="986"/>
      <ns0:c r="H166" s="455"/>
      <ns0:c r="I166" s="456"/>
      <ns0:c r="J166" s="456"/>
      <ns0:c r="K166" s="986"/>
      <ns0:c r="L166" s="454"/>
      <ns0:c r="M166" s="439"/>
      <ns0:c r="N166" s="987" t="str">
        <ns0:f>IF(COUNTA($A166:$M166)=0,"",IF(OR(LEFT(LOWER(TRIM($F166&amp;"")),12)="subscription",LOWER(TRIM($F166&amp;""))="membership"),"",IF(OR(AND($H166&lt;&gt;"",$H166=0),LEFT(LOWER(TRIM($F166&amp;"")),9)="free game",LOWER(TRIM($F166&amp;""))="free",LOWER(TRIM($F166&amp;""))="free entry"),IF(ISNUMBER($G166),IF(ISNUMBER(SEARCH("non",LOWER($E166&amp;""))),$G166*0.85,$G166),"N/A"),IF($G166="","",IFERROR(IF(ISNUMBER(SEARCH("non",LOWER($E166&amp;""))),$G166*0.85,$G166),"")))))</ns0:f>
        <ns0:v/>
      </ns0:c>
      <ns0:c r="O166" s="987" t="str">
        <ns0:f>IF(COUNTA($A166:$M166)=0,"",IF(OR(LEFT(LOWER(TRIM($F166&amp;"")),12)="subscription",LOWER(TRIM($F166&amp;""))="membership"),"",IF(OR(AND($H166&lt;&gt;"",$H166=0),LEFT(LOWER(TRIM($F166&amp;"")),9)="free game",LOWER(TRIM($F166&amp;""))="free",LOWER(TRIM($F166&amp;""))="free entry"),IF(OR(NOT(ISNUMBER($N166)),NOT(ISNUMBER($I166)),$I166=0),"N/A",IFERROR($N166/$I166,"N/A")),IF(OR($N166="",$I166="",$I166=0),"",IFERROR($N166/$I166,"")))))</ns0:f>
        <ns0:v/>
      </ns0:c>
      <ns0:c r="P166" s="987">
        <ns0:f>IF(COUNTA($A166:$M166)=0,"",IF(OR(LEFT(LOWER(TRIM($F166&amp;"")),12)="subscription",LOWER(TRIM($F166&amp;""))="membership"),"",IF(LOWER(TRIM($D166&amp;""))="estimate","N/A",IF(LOWER($L166&amp;"")="yes",0,IF(OR(AND($H166&lt;&gt;"",$H166=0),LEFT(LOWER(TRIM($F166&amp;"")),9)="free game",LOWER(TRIM($F166&amp;""))="free",LOWER(TRIM($F166&amp;""))="free entry"),IF(ISNUMBER($K166),$K166,""),IF($K166&lt;&gt;"",$K166,""))))))</ns0:f>
      </ns0:c>
      <ns0:c r="Q166" s="114">
        <ns0:f>IF(COUNTA($A166:$M166)=0,"",IF(OR($U166="Subscription",$U166=""),"",IF($U166="Estimate","N/A",IF($U166="Profit",ROUND(IFERROR($P166,0)-IFERROR($H166,0),2),0))))</ns0:f>
      </ns0:c>
      <ns0:c r="R166" s="114">
        <ns0:f>IF(COUNTA($A166:$M166)=0,"",IF(OR($U166="Subscription",$U166=""),"",IF($U166="Estimate","N/A",IF($U166="Draw",$H166,0))))</ns0:f>
      </ns0:c>
      <ns0:c r="S166" s="114">
        <ns0:f>IF(COUNTA($A166:$M166)=0,"",IF(OR($U166="Subscription",$U166=""),"",IF($U166="Estimate","N/A",IF($U166="Disqualified",$H166,0))))</ns0:f>
      </ns0:c>
      <ns0:c r="T166" s="955">
        <ns0:f>IF(COUNTA($A166:$M166)=0,"",IF(OR($U166="Subscription",$U166=""),"",IF($U166="Estimate","N/A",IF(OR($U166="Free Game",$U166="Disqualified — Free Game",$H166=0),"N/A",IF($U166="Profit",$Q166/$H166,IF($U166="Disqualified",-$S166/$H166,0))))))</ns0:f>
      </ns0:c>
      <ns0:c r="U166" s="920">
        <ns0:f>IF(COUNTA($A166:$M166)=0,"",IF(OR(LEFT(LOWER(TRIM($F166&amp;"")),12)="subscription",LOWER(TRIM($F166&amp;""))="membership"),"Subscription",IF(LOWER(TRIM($D166&amp;""))="estimate","Estimate",IF(OR(AND($H166&lt;&gt;"",$H166=0),LEFT(LOWER(TRIM($F166&amp;"")),9)="free game",LOWER(TRIM($F166&amp;""))="free",LOWER(TRIM($F166&amp;""))="free entry"),IF(LOWER($L166&amp;"")="yes","Disqualified — Free Game","Free Game"),IF(LOWER($L166&amp;"")="yes","Disqualified",IF($P166="","",IF(ROUND(IFERROR(VALUE($P166),0)-IFERROR(VALUE($H166),0),2)&gt;0,"Profit","Draw")))))))</ns0:f>
      </ns0:c>
      <ns0:c r="V166" s="956" t="str">
        <ns0:f>IF(COUNTA($A166:$M166)=0,"",IF(OR($B166="",$C166="",$U166="Subscription"),"",IFERROR(ROUNDUP(($C166-$B166)/7,0),"")))</ns0:f>
      </ns0:c>
      <ns0:c r="W166" s="114">
        <ns0:f>IF(COUNTA($A166:$M166)=0,"",IF(OR($U166="Subscription",$U166=""),"",IF($U166="Estimate","N/A",IF(OR($U166="Free Game",$U166="Disqualified — Free Game"),0,ROUND(IFERROR($Q166,0)-IFERROR($S166,0),2)))))</ns0:f>
      </ns0:c>
      <ns0:c r="X166" s="956" t="str">
        <ns0:f>IF(COUNTA($A166:$M166)=0,"",IF(OR($U166="Subscription",NOT(ISNUMBER($J166)),NOT(ISNUMBER($I166)),$J166=0,$I166=0,$I166&gt;$J166),"",$J166-$I166))</ns0:f>
      </ns0:c>
      <ns0:c r="Y166" s="955" t="str">
        <ns0:f>IF(COUNTA($A166:$M166)=0,"",IF(OR($U166="Subscription",NOT(ISNUMBER($J166)),$J166=0,$X166=""),"",$X166/$J166))</ns0:f>
      </ns0:c>
      <ns0:c r="Z166" s="957" t="str">
        <ns0:f>IF(COUNTA($A166:$M166)=0,"",Instructions!$B$29+SUM($W$5:W166))</ns0:f>
      </ns0:c>
    </ns0:row>
    <ns0:row r="167" ht="36" customHeight="1">
      <ns0:c r="A167" s="439"/>
      <ns0:c r="B167" s="453"/>
      <ns0:c r="C167" s="453"/>
      <ns0:c r="D167" s="454"/>
      <ns0:c r="E167" s="454"/>
      <ns0:c r="F167" s="454"/>
      <ns0:c r="G167" s="986"/>
      <ns0:c r="H167" s="455"/>
      <ns0:c r="I167" s="456"/>
      <ns0:c r="J167" s="456"/>
      <ns0:c r="K167" s="986"/>
      <ns0:c r="L167" s="454"/>
      <ns0:c r="M167" s="439"/>
      <ns0:c r="N167" s="987" t="str">
        <ns0:f>IF(COUNTA($A167:$M167)=0,"",IF(OR(LEFT(LOWER(TRIM($F167&amp;"")),12)="subscription",LOWER(TRIM($F167&amp;""))="membership"),"",IF(OR(AND($H167&lt;&gt;"",$H167=0),LEFT(LOWER(TRIM($F167&amp;"")),9)="free game",LOWER(TRIM($F167&amp;""))="free",LOWER(TRIM($F167&amp;""))="free entry"),IF(ISNUMBER($G167),IF(ISNUMBER(SEARCH("non",LOWER($E167&amp;""))),$G167*0.85,$G167),"N/A"),IF($G167="","",IFERROR(IF(ISNUMBER(SEARCH("non",LOWER($E167&amp;""))),$G167*0.85,$G167),"")))))</ns0:f>
        <ns0:v/>
      </ns0:c>
      <ns0:c r="O167" s="987" t="str">
        <ns0:f>IF(COUNTA($A167:$M167)=0,"",IF(OR(LEFT(LOWER(TRIM($F167&amp;"")),12)="subscription",LOWER(TRIM($F167&amp;""))="membership"),"",IF(OR(AND($H167&lt;&gt;"",$H167=0),LEFT(LOWER(TRIM($F167&amp;"")),9)="free game",LOWER(TRIM($F167&amp;""))="free",LOWER(TRIM($F167&amp;""))="free entry"),IF(OR(NOT(ISNUMBER($N167)),NOT(ISNUMBER($I167)),$I167=0),"N/A",IFERROR($N167/$I167,"N/A")),IF(OR($N167="",$I167="",$I167=0),"",IFERROR($N167/$I167,"")))))</ns0:f>
        <ns0:v/>
      </ns0:c>
      <ns0:c r="P167" s="987">
        <ns0:f>IF(COUNTA($A167:$M167)=0,"",IF(OR(LEFT(LOWER(TRIM($F167&amp;"")),12)="subscription",LOWER(TRIM($F167&amp;""))="membership"),"",IF(LOWER(TRIM($D167&amp;""))="estimate","N/A",IF(LOWER($L167&amp;"")="yes",0,IF(OR(AND($H167&lt;&gt;"",$H167=0),LEFT(LOWER(TRIM($F167&amp;"")),9)="free game",LOWER(TRIM($F167&amp;""))="free",LOWER(TRIM($F167&amp;""))="free entry"),IF(ISNUMBER($K167),$K167,""),IF($K167&lt;&gt;"",$K167,""))))))</ns0:f>
      </ns0:c>
      <ns0:c r="Q167" s="114">
        <ns0:f>IF(COUNTA($A167:$M167)=0,"",IF(OR($U167="Subscription",$U167=""),"",IF($U167="Estimate","N/A",IF($U167="Profit",ROUND(IFERROR($P167,0)-IFERROR($H167,0),2),0))))</ns0:f>
      </ns0:c>
      <ns0:c r="R167" s="114">
        <ns0:f>IF(COUNTA($A167:$M167)=0,"",IF(OR($U167="Subscription",$U167=""),"",IF($U167="Estimate","N/A",IF($U167="Draw",$H167,0))))</ns0:f>
      </ns0:c>
      <ns0:c r="S167" s="114">
        <ns0:f>IF(COUNTA($A167:$M167)=0,"",IF(OR($U167="Subscription",$U167=""),"",IF($U167="Estimate","N/A",IF($U167="Disqualified",$H167,0))))</ns0:f>
      </ns0:c>
      <ns0:c r="T167" s="955">
        <ns0:f>IF(COUNTA($A167:$M167)=0,"",IF(OR($U167="Subscription",$U167=""),"",IF($U167="Estimate","N/A",IF(OR($U167="Free Game",$U167="Disqualified — Free Game",$H167=0),"N/A",IF($U167="Profit",$Q167/$H167,IF($U167="Disqualified",-$S167/$H167,0))))))</ns0:f>
      </ns0:c>
      <ns0:c r="U167" s="920">
        <ns0:f>IF(COUNTA($A167:$M167)=0,"",IF(OR(LEFT(LOWER(TRIM($F167&amp;"")),12)="subscription",LOWER(TRIM($F167&amp;""))="membership"),"Subscription",IF(LOWER(TRIM($D167&amp;""))="estimate","Estimate",IF(OR(AND($H167&lt;&gt;"",$H167=0),LEFT(LOWER(TRIM($F167&amp;"")),9)="free game",LOWER(TRIM($F167&amp;""))="free",LOWER(TRIM($F167&amp;""))="free entry"),IF(LOWER($L167&amp;"")="yes","Disqualified — Free Game","Free Game"),IF(LOWER($L167&amp;"")="yes","Disqualified",IF($P167="","",IF(ROUND(IFERROR(VALUE($P167),0)-IFERROR(VALUE($H167),0),2)&gt;0,"Profit","Draw")))))))</ns0:f>
      </ns0:c>
      <ns0:c r="V167" s="956" t="str">
        <ns0:f>IF(COUNTA($A167:$M167)=0,"",IF(OR($B167="",$C167="",$U167="Subscription"),"",IFERROR(ROUNDUP(($C167-$B167)/7,0),"")))</ns0:f>
      </ns0:c>
      <ns0:c r="W167" s="114">
        <ns0:f>IF(COUNTA($A167:$M167)=0,"",IF(OR($U167="Subscription",$U167=""),"",IF($U167="Estimate","N/A",IF(OR($U167="Free Game",$U167="Disqualified — Free Game"),0,ROUND(IFERROR($Q167,0)-IFERROR($S167,0),2)))))</ns0:f>
      </ns0:c>
      <ns0:c r="X167" s="956" t="str">
        <ns0:f>IF(COUNTA($A167:$M167)=0,"",IF(OR($U167="Subscription",NOT(ISNUMBER($J167)),NOT(ISNUMBER($I167)),$J167=0,$I167=0,$I167&gt;$J167),"",$J167-$I167))</ns0:f>
      </ns0:c>
      <ns0:c r="Y167" s="955" t="str">
        <ns0:f>IF(COUNTA($A167:$M167)=0,"",IF(OR($U167="Subscription",NOT(ISNUMBER($J167)),$J167=0,$X167=""),"",$X167/$J167))</ns0:f>
      </ns0:c>
      <ns0:c r="Z167" s="957" t="str">
        <ns0:f>IF(COUNTA($A167:$M167)=0,"",Instructions!$B$29+SUM($W$5:W167))</ns0:f>
      </ns0:c>
    </ns0:row>
    <ns0:row r="168" ht="36" customHeight="1">
      <ns0:c r="A168" s="439"/>
      <ns0:c r="B168" s="453"/>
      <ns0:c r="C168" s="453"/>
      <ns0:c r="D168" s="454"/>
      <ns0:c r="E168" s="454"/>
      <ns0:c r="F168" s="454"/>
      <ns0:c r="G168" s="986"/>
      <ns0:c r="H168" s="455"/>
      <ns0:c r="I168" s="456"/>
      <ns0:c r="J168" s="456"/>
      <ns0:c r="K168" s="986"/>
      <ns0:c r="L168" s="454"/>
      <ns0:c r="M168" s="439"/>
      <ns0:c r="N168" s="987" t="str">
        <ns0:f>IF(COUNTA($A168:$M168)=0,"",IF(OR(LEFT(LOWER(TRIM($F168&amp;"")),12)="subscription",LOWER(TRIM($F168&amp;""))="membership"),"",IF(OR(AND($H168&lt;&gt;"",$H168=0),LEFT(LOWER(TRIM($F168&amp;"")),9)="free game",LOWER(TRIM($F168&amp;""))="free",LOWER(TRIM($F168&amp;""))="free entry"),IF(ISNUMBER($G168),IF(ISNUMBER(SEARCH("non",LOWER($E168&amp;""))),$G168*0.85,$G168),"N/A"),IF($G168="","",IFERROR(IF(ISNUMBER(SEARCH("non",LOWER($E168&amp;""))),$G168*0.85,$G168),"")))))</ns0:f>
        <ns0:v/>
      </ns0:c>
      <ns0:c r="O168" s="987" t="str">
        <ns0:f>IF(COUNTA($A168:$M168)=0,"",IF(OR(LEFT(LOWER(TRIM($F168&amp;"")),12)="subscription",LOWER(TRIM($F168&amp;""))="membership"),"",IF(OR(AND($H168&lt;&gt;"",$H168=0),LEFT(LOWER(TRIM($F168&amp;"")),9)="free game",LOWER(TRIM($F168&amp;""))="free",LOWER(TRIM($F168&amp;""))="free entry"),IF(OR(NOT(ISNUMBER($N168)),NOT(ISNUMBER($I168)),$I168=0),"N/A",IFERROR($N168/$I168,"N/A")),IF(OR($N168="",$I168="",$I168=0),"",IFERROR($N168/$I168,"")))))</ns0:f>
        <ns0:v/>
      </ns0:c>
      <ns0:c r="P168" s="987">
        <ns0:f>IF(COUNTA($A168:$M168)=0,"",IF(OR(LEFT(LOWER(TRIM($F168&amp;"")),12)="subscription",LOWER(TRIM($F168&amp;""))="membership"),"",IF(LOWER(TRIM($D168&amp;""))="estimate","N/A",IF(LOWER($L168&amp;"")="yes",0,IF(OR(AND($H168&lt;&gt;"",$H168=0),LEFT(LOWER(TRIM($F168&amp;"")),9)="free game",LOWER(TRIM($F168&amp;""))="free",LOWER(TRIM($F168&amp;""))="free entry"),IF(ISNUMBER($K168),$K168,""),IF($K168&lt;&gt;"",$K168,""))))))</ns0:f>
      </ns0:c>
      <ns0:c r="Q168" s="114">
        <ns0:f>IF(COUNTA($A168:$M168)=0,"",IF(OR($U168="Subscription",$U168=""),"",IF($U168="Estimate","N/A",IF($U168="Profit",ROUND(IFERROR($P168,0)-IFERROR($H168,0),2),0))))</ns0:f>
      </ns0:c>
      <ns0:c r="R168" s="114">
        <ns0:f>IF(COUNTA($A168:$M168)=0,"",IF(OR($U168="Subscription",$U168=""),"",IF($U168="Estimate","N/A",IF($U168="Draw",$H168,0))))</ns0:f>
      </ns0:c>
      <ns0:c r="S168" s="114">
        <ns0:f>IF(COUNTA($A168:$M168)=0,"",IF(OR($U168="Subscription",$U168=""),"",IF($U168="Estimate","N/A",IF($U168="Disqualified",$H168,0))))</ns0:f>
      </ns0:c>
      <ns0:c r="T168" s="955">
        <ns0:f>IF(COUNTA($A168:$M168)=0,"",IF(OR($U168="Subscription",$U168=""),"",IF($U168="Estimate","N/A",IF(OR($U168="Free Game",$U168="Disqualified — Free Game",$H168=0),"N/A",IF($U168="Profit",$Q168/$H168,IF($U168="Disqualified",-$S168/$H168,0))))))</ns0:f>
      </ns0:c>
      <ns0:c r="U168" s="920">
        <ns0:f>IF(COUNTA($A168:$M168)=0,"",IF(OR(LEFT(LOWER(TRIM($F168&amp;"")),12)="subscription",LOWER(TRIM($F168&amp;""))="membership"),"Subscription",IF(LOWER(TRIM($D168&amp;""))="estimate","Estimate",IF(OR(AND($H168&lt;&gt;"",$H168=0),LEFT(LOWER(TRIM($F168&amp;"")),9)="free game",LOWER(TRIM($F168&amp;""))="free",LOWER(TRIM($F168&amp;""))="free entry"),IF(LOWER($L168&amp;"")="yes","Disqualified — Free Game","Free Game"),IF(LOWER($L168&amp;"")="yes","Disqualified",IF($P168="","",IF(ROUND(IFERROR(VALUE($P168),0)-IFERROR(VALUE($H168),0),2)&gt;0,"Profit","Draw")))))))</ns0:f>
      </ns0:c>
      <ns0:c r="V168" s="956" t="str">
        <ns0:f>IF(COUNTA($A168:$M168)=0,"",IF(OR($B168="",$C168="",$U168="Subscription"),"",IFERROR(ROUNDUP(($C168-$B168)/7,0),"")))</ns0:f>
      </ns0:c>
      <ns0:c r="W168" s="114">
        <ns0:f>IF(COUNTA($A168:$M168)=0,"",IF(OR($U168="Subscription",$U168=""),"",IF($U168="Estimate","N/A",IF(OR($U168="Free Game",$U168="Disqualified — Free Game"),0,ROUND(IFERROR($Q168,0)-IFERROR($S168,0),2)))))</ns0:f>
      </ns0:c>
      <ns0:c r="X168" s="956" t="str">
        <ns0:f>IF(COUNTA($A168:$M168)=0,"",IF(OR($U168="Subscription",NOT(ISNUMBER($J168)),NOT(ISNUMBER($I168)),$J168=0,$I168=0,$I168&gt;$J168),"",$J168-$I168))</ns0:f>
      </ns0:c>
      <ns0:c r="Y168" s="955" t="str">
        <ns0:f>IF(COUNTA($A168:$M168)=0,"",IF(OR($U168="Subscription",NOT(ISNUMBER($J168)),$J168=0,$X168=""),"",$X168/$J168))</ns0:f>
      </ns0:c>
      <ns0:c r="Z168" s="957" t="str">
        <ns0:f>IF(COUNTA($A168:$M168)=0,"",Instructions!$B$29+SUM($W$5:W168))</ns0:f>
      </ns0:c>
    </ns0:row>
    <ns0:row r="169" ht="36" customHeight="1">
      <ns0:c r="A169" s="439"/>
      <ns0:c r="B169" s="453"/>
      <ns0:c r="C169" s="453"/>
      <ns0:c r="D169" s="454"/>
      <ns0:c r="E169" s="454"/>
      <ns0:c r="F169" s="454"/>
      <ns0:c r="G169" s="986"/>
      <ns0:c r="H169" s="455"/>
      <ns0:c r="I169" s="456"/>
      <ns0:c r="J169" s="456"/>
      <ns0:c r="K169" s="986"/>
      <ns0:c r="L169" s="454"/>
      <ns0:c r="M169" s="439"/>
      <ns0:c r="N169" s="987" t="str">
        <ns0:f>IF(COUNTA($A169:$M169)=0,"",IF(OR(LEFT(LOWER(TRIM($F169&amp;"")),12)="subscription",LOWER(TRIM($F169&amp;""))="membership"),"",IF(OR(AND($H169&lt;&gt;"",$H169=0),LEFT(LOWER(TRIM($F169&amp;"")),9)="free game",LOWER(TRIM($F169&amp;""))="free",LOWER(TRIM($F169&amp;""))="free entry"),IF(ISNUMBER($G169),IF(ISNUMBER(SEARCH("non",LOWER($E169&amp;""))),$G169*0.85,$G169),"N/A"),IF($G169="","",IFERROR(IF(ISNUMBER(SEARCH("non",LOWER($E169&amp;""))),$G169*0.85,$G169),"")))))</ns0:f>
        <ns0:v/>
      </ns0:c>
      <ns0:c r="O169" s="987" t="str">
        <ns0:f>IF(COUNTA($A169:$M169)=0,"",IF(OR(LEFT(LOWER(TRIM($F169&amp;"")),12)="subscription",LOWER(TRIM($F169&amp;""))="membership"),"",IF(OR(AND($H169&lt;&gt;"",$H169=0),LEFT(LOWER(TRIM($F169&amp;"")),9)="free game",LOWER(TRIM($F169&amp;""))="free",LOWER(TRIM($F169&amp;""))="free entry"),IF(OR(NOT(ISNUMBER($N169)),NOT(ISNUMBER($I169)),$I169=0),"N/A",IFERROR($N169/$I169,"N/A")),IF(OR($N169="",$I169="",$I169=0),"",IFERROR($N169/$I169,"")))))</ns0:f>
        <ns0:v/>
      </ns0:c>
      <ns0:c r="P169" s="987">
        <ns0:f>IF(COUNTA($A169:$M169)=0,"",IF(OR(LEFT(LOWER(TRIM($F169&amp;"")),12)="subscription",LOWER(TRIM($F169&amp;""))="membership"),"",IF(LOWER(TRIM($D169&amp;""))="estimate","N/A",IF(LOWER($L169&amp;"")="yes",0,IF(OR(AND($H169&lt;&gt;"",$H169=0),LEFT(LOWER(TRIM($F169&amp;"")),9)="free game",LOWER(TRIM($F169&amp;""))="free",LOWER(TRIM($F169&amp;""))="free entry"),IF(ISNUMBER($K169),$K169,""),IF($K169&lt;&gt;"",$K169,""))))))</ns0:f>
      </ns0:c>
      <ns0:c r="Q169" s="114">
        <ns0:f>IF(COUNTA($A169:$M169)=0,"",IF(OR($U169="Subscription",$U169=""),"",IF($U169="Estimate","N/A",IF($U169="Profit",ROUND(IFERROR($P169,0)-IFERROR($H169,0),2),0))))</ns0:f>
      </ns0:c>
      <ns0:c r="R169" s="114">
        <ns0:f>IF(COUNTA($A169:$M169)=0,"",IF(OR($U169="Subscription",$U169=""),"",IF($U169="Estimate","N/A",IF($U169="Draw",$H169,0))))</ns0:f>
      </ns0:c>
      <ns0:c r="S169" s="114">
        <ns0:f>IF(COUNTA($A169:$M169)=0,"",IF(OR($U169="Subscription",$U169=""),"",IF($U169="Estimate","N/A",IF($U169="Disqualified",$H169,0))))</ns0:f>
      </ns0:c>
      <ns0:c r="T169" s="955">
        <ns0:f>IF(COUNTA($A169:$M169)=0,"",IF(OR($U169="Subscription",$U169=""),"",IF($U169="Estimate","N/A",IF(OR($U169="Free Game",$U169="Disqualified — Free Game",$H169=0),"N/A",IF($U169="Profit",$Q169/$H169,IF($U169="Disqualified",-$S169/$H169,0))))))</ns0:f>
      </ns0:c>
      <ns0:c r="U169" s="920">
        <ns0:f>IF(COUNTA($A169:$M169)=0,"",IF(OR(LEFT(LOWER(TRIM($F169&amp;"")),12)="subscription",LOWER(TRIM($F169&amp;""))="membership"),"Subscription",IF(LOWER(TRIM($D169&amp;""))="estimate","Estimate",IF(OR(AND($H169&lt;&gt;"",$H169=0),LEFT(LOWER(TRIM($F169&amp;"")),9)="free game",LOWER(TRIM($F169&amp;""))="free",LOWER(TRIM($F169&amp;""))="free entry"),IF(LOWER($L169&amp;"")="yes","Disqualified — Free Game","Free Game"),IF(LOWER($L169&amp;"")="yes","Disqualified",IF($P169="","",IF(ROUND(IFERROR(VALUE($P169),0)-IFERROR(VALUE($H169),0),2)&gt;0,"Profit","Draw")))))))</ns0:f>
      </ns0:c>
      <ns0:c r="V169" s="956" t="str">
        <ns0:f>IF(COUNTA($A169:$M169)=0,"",IF(OR($B169="",$C169="",$U169="Subscription"),"",IFERROR(ROUNDUP(($C169-$B169)/7,0),"")))</ns0:f>
      </ns0:c>
      <ns0:c r="W169" s="114">
        <ns0:f>IF(COUNTA($A169:$M169)=0,"",IF(OR($U169="Subscription",$U169=""),"",IF($U169="Estimate","N/A",IF(OR($U169="Free Game",$U169="Disqualified — Free Game"),0,ROUND(IFERROR($Q169,0)-IFERROR($S169,0),2)))))</ns0:f>
      </ns0:c>
      <ns0:c r="X169" s="956" t="str">
        <ns0:f>IF(COUNTA($A169:$M169)=0,"",IF(OR($U169="Subscription",NOT(ISNUMBER($J169)),NOT(ISNUMBER($I169)),$J169=0,$I169=0,$I169&gt;$J169),"",$J169-$I169))</ns0:f>
      </ns0:c>
      <ns0:c r="Y169" s="955" t="str">
        <ns0:f>IF(COUNTA($A169:$M169)=0,"",IF(OR($U169="Subscription",NOT(ISNUMBER($J169)),$J169=0,$X169=""),"",$X169/$J169))</ns0:f>
      </ns0:c>
      <ns0:c r="Z169" s="957" t="str">
        <ns0:f>IF(COUNTA($A169:$M169)=0,"",Instructions!$B$29+SUM($W$5:W169))</ns0:f>
      </ns0:c>
    </ns0:row>
    <ns0:row r="170" ht="36" customHeight="1">
      <ns0:c r="A170" s="439"/>
      <ns0:c r="B170" s="453"/>
      <ns0:c r="C170" s="453"/>
      <ns0:c r="D170" s="454"/>
      <ns0:c r="E170" s="454"/>
      <ns0:c r="F170" s="454"/>
      <ns0:c r="G170" s="986"/>
      <ns0:c r="H170" s="455"/>
      <ns0:c r="I170" s="456"/>
      <ns0:c r="J170" s="456"/>
      <ns0:c r="K170" s="986"/>
      <ns0:c r="L170" s="454"/>
      <ns0:c r="M170" s="439"/>
      <ns0:c r="N170" s="987" t="str">
        <ns0:f>IF(COUNTA($A170:$M170)=0,"",IF(OR(LEFT(LOWER(TRIM($F170&amp;"")),12)="subscription",LOWER(TRIM($F170&amp;""))="membership"),"",IF(OR(AND($H170&lt;&gt;"",$H170=0),LEFT(LOWER(TRIM($F170&amp;"")),9)="free game",LOWER(TRIM($F170&amp;""))="free",LOWER(TRIM($F170&amp;""))="free entry"),IF(ISNUMBER($G170),IF(ISNUMBER(SEARCH("non",LOWER($E170&amp;""))),$G170*0.85,$G170),"N/A"),IF($G170="","",IFERROR(IF(ISNUMBER(SEARCH("non",LOWER($E170&amp;""))),$G170*0.85,$G170),"")))))</ns0:f>
        <ns0:v/>
      </ns0:c>
      <ns0:c r="O170" s="987" t="str">
        <ns0:f>IF(COUNTA($A170:$M170)=0,"",IF(OR(LEFT(LOWER(TRIM($F170&amp;"")),12)="subscription",LOWER(TRIM($F170&amp;""))="membership"),"",IF(OR(AND($H170&lt;&gt;"",$H170=0),LEFT(LOWER(TRIM($F170&amp;"")),9)="free game",LOWER(TRIM($F170&amp;""))="free",LOWER(TRIM($F170&amp;""))="free entry"),IF(OR(NOT(ISNUMBER($N170)),NOT(ISNUMBER($I170)),$I170=0),"N/A",IFERROR($N170/$I170,"N/A")),IF(OR($N170="",$I170="",$I170=0),"",IFERROR($N170/$I170,"")))))</ns0:f>
        <ns0:v/>
      </ns0:c>
      <ns0:c r="P170" s="987">
        <ns0:f>IF(COUNTA($A170:$M170)=0,"",IF(OR(LEFT(LOWER(TRIM($F170&amp;"")),12)="subscription",LOWER(TRIM($F170&amp;""))="membership"),"",IF(LOWER(TRIM($D170&amp;""))="estimate","N/A",IF(LOWER($L170&amp;"")="yes",0,IF(OR(AND($H170&lt;&gt;"",$H170=0),LEFT(LOWER(TRIM($F170&amp;"")),9)="free game",LOWER(TRIM($F170&amp;""))="free",LOWER(TRIM($F170&amp;""))="free entry"),IF(ISNUMBER($K170),$K170,""),IF($K170&lt;&gt;"",$K170,""))))))</ns0:f>
      </ns0:c>
      <ns0:c r="Q170" s="114">
        <ns0:f>IF(COUNTA($A170:$M170)=0,"",IF(OR($U170="Subscription",$U170=""),"",IF($U170="Estimate","N/A",IF($U170="Profit",ROUND(IFERROR($P170,0)-IFERROR($H170,0),2),0))))</ns0:f>
      </ns0:c>
      <ns0:c r="R170" s="114">
        <ns0:f>IF(COUNTA($A170:$M170)=0,"",IF(OR($U170="Subscription",$U170=""),"",IF($U170="Estimate","N/A",IF($U170="Draw",$H170,0))))</ns0:f>
      </ns0:c>
      <ns0:c r="S170" s="114">
        <ns0:f>IF(COUNTA($A170:$M170)=0,"",IF(OR($U170="Subscription",$U170=""),"",IF($U170="Estimate","N/A",IF($U170="Disqualified",$H170,0))))</ns0:f>
      </ns0:c>
      <ns0:c r="T170" s="955">
        <ns0:f>IF(COUNTA($A170:$M170)=0,"",IF(OR($U170="Subscription",$U170=""),"",IF($U170="Estimate","N/A",IF(OR($U170="Free Game",$U170="Disqualified — Free Game",$H170=0),"N/A",IF($U170="Profit",$Q170/$H170,IF($U170="Disqualified",-$S170/$H170,0))))))</ns0:f>
      </ns0:c>
      <ns0:c r="U170" s="920">
        <ns0:f>IF(COUNTA($A170:$M170)=0,"",IF(OR(LEFT(LOWER(TRIM($F170&amp;"")),12)="subscription",LOWER(TRIM($F170&amp;""))="membership"),"Subscription",IF(LOWER(TRIM($D170&amp;""))="estimate","Estimate",IF(OR(AND($H170&lt;&gt;"",$H170=0),LEFT(LOWER(TRIM($F170&amp;"")),9)="free game",LOWER(TRIM($F170&amp;""))="free",LOWER(TRIM($F170&amp;""))="free entry"),IF(LOWER($L170&amp;"")="yes","Disqualified — Free Game","Free Game"),IF(LOWER($L170&amp;"")="yes","Disqualified",IF($P170="","",IF(ROUND(IFERROR(VALUE($P170),0)-IFERROR(VALUE($H170),0),2)&gt;0,"Profit","Draw")))))))</ns0:f>
      </ns0:c>
      <ns0:c r="V170" s="956" t="str">
        <ns0:f>IF(COUNTA($A170:$M170)=0,"",IF(OR($B170="",$C170="",$U170="Subscription"),"",IFERROR(ROUNDUP(($C170-$B170)/7,0),"")))</ns0:f>
      </ns0:c>
      <ns0:c r="W170" s="114">
        <ns0:f>IF(COUNTA($A170:$M170)=0,"",IF(OR($U170="Subscription",$U170=""),"",IF($U170="Estimate","N/A",IF(OR($U170="Free Game",$U170="Disqualified — Free Game"),0,ROUND(IFERROR($Q170,0)-IFERROR($S170,0),2)))))</ns0:f>
      </ns0:c>
      <ns0:c r="X170" s="956" t="str">
        <ns0:f>IF(COUNTA($A170:$M170)=0,"",IF(OR($U170="Subscription",NOT(ISNUMBER($J170)),NOT(ISNUMBER($I170)),$J170=0,$I170=0,$I170&gt;$J170),"",$J170-$I170))</ns0:f>
      </ns0:c>
      <ns0:c r="Y170" s="955" t="str">
        <ns0:f>IF(COUNTA($A170:$M170)=0,"",IF(OR($U170="Subscription",NOT(ISNUMBER($J170)),$J170=0,$X170=""),"",$X170/$J170))</ns0:f>
      </ns0:c>
      <ns0:c r="Z170" s="957" t="str">
        <ns0:f>IF(COUNTA($A170:$M170)=0,"",Instructions!$B$29+SUM($W$5:W170))</ns0:f>
      </ns0:c>
    </ns0:row>
    <ns0:row r="171" ht="36" customHeight="1">
      <ns0:c r="A171" s="439"/>
      <ns0:c r="B171" s="453"/>
      <ns0:c r="C171" s="453"/>
      <ns0:c r="D171" s="454"/>
      <ns0:c r="E171" s="454"/>
      <ns0:c r="F171" s="454"/>
      <ns0:c r="G171" s="986"/>
      <ns0:c r="H171" s="455"/>
      <ns0:c r="I171" s="456"/>
      <ns0:c r="J171" s="456"/>
      <ns0:c r="K171" s="986"/>
      <ns0:c r="L171" s="454"/>
      <ns0:c r="M171" s="439"/>
      <ns0:c r="N171" s="987" t="str">
        <ns0:f>IF(COUNTA($A171:$M171)=0,"",IF(OR(LEFT(LOWER(TRIM($F171&amp;"")),12)="subscription",LOWER(TRIM($F171&amp;""))="membership"),"",IF(OR(AND($H171&lt;&gt;"",$H171=0),LEFT(LOWER(TRIM($F171&amp;"")),9)="free game",LOWER(TRIM($F171&amp;""))="free",LOWER(TRIM($F171&amp;""))="free entry"),IF(ISNUMBER($G171),IF(ISNUMBER(SEARCH("non",LOWER($E171&amp;""))),$G171*0.85,$G171),"N/A"),IF($G171="","",IFERROR(IF(ISNUMBER(SEARCH("non",LOWER($E171&amp;""))),$G171*0.85,$G171),"")))))</ns0:f>
        <ns0:v/>
      </ns0:c>
      <ns0:c r="O171" s="987" t="str">
        <ns0:f>IF(COUNTA($A171:$M171)=0,"",IF(OR(LEFT(LOWER(TRIM($F171&amp;"")),12)="subscription",LOWER(TRIM($F171&amp;""))="membership"),"",IF(OR(AND($H171&lt;&gt;"",$H171=0),LEFT(LOWER(TRIM($F171&amp;"")),9)="free game",LOWER(TRIM($F171&amp;""))="free",LOWER(TRIM($F171&amp;""))="free entry"),IF(OR(NOT(ISNUMBER($N171)),NOT(ISNUMBER($I171)),$I171=0),"N/A",IFERROR($N171/$I171,"N/A")),IF(OR($N171="",$I171="",$I171=0),"",IFERROR($N171/$I171,"")))))</ns0:f>
        <ns0:v/>
      </ns0:c>
      <ns0:c r="P171" s="987">
        <ns0:f>IF(COUNTA($A171:$M171)=0,"",IF(OR(LEFT(LOWER(TRIM($F171&amp;"")),12)="subscription",LOWER(TRIM($F171&amp;""))="membership"),"",IF(LOWER(TRIM($D171&amp;""))="estimate","N/A",IF(LOWER($L171&amp;"")="yes",0,IF(OR(AND($H171&lt;&gt;"",$H171=0),LEFT(LOWER(TRIM($F171&amp;"")),9)="free game",LOWER(TRIM($F171&amp;""))="free",LOWER(TRIM($F171&amp;""))="free entry"),IF(ISNUMBER($K171),$K171,""),IF($K171&lt;&gt;"",$K171,""))))))</ns0:f>
      </ns0:c>
      <ns0:c r="Q171" s="114">
        <ns0:f>IF(COUNTA($A171:$M171)=0,"",IF(OR($U171="Subscription",$U171=""),"",IF($U171="Estimate","N/A",IF($U171="Profit",ROUND(IFERROR($P171,0)-IFERROR($H171,0),2),0))))</ns0:f>
      </ns0:c>
      <ns0:c r="R171" s="114">
        <ns0:f>IF(COUNTA($A171:$M171)=0,"",IF(OR($U171="Subscription",$U171=""),"",IF($U171="Estimate","N/A",IF($U171="Draw",$H171,0))))</ns0:f>
      </ns0:c>
      <ns0:c r="S171" s="114">
        <ns0:f>IF(COUNTA($A171:$M171)=0,"",IF(OR($U171="Subscription",$U171=""),"",IF($U171="Estimate","N/A",IF($U171="Disqualified",$H171,0))))</ns0:f>
      </ns0:c>
      <ns0:c r="T171" s="955">
        <ns0:f>IF(COUNTA($A171:$M171)=0,"",IF(OR($U171="Subscription",$U171=""),"",IF($U171="Estimate","N/A",IF(OR($U171="Free Game",$U171="Disqualified — Free Game",$H171=0),"N/A",IF($U171="Profit",$Q171/$H171,IF($U171="Disqualified",-$S171/$H171,0))))))</ns0:f>
      </ns0:c>
      <ns0:c r="U171" s="920">
        <ns0:f>IF(COUNTA($A171:$M171)=0,"",IF(OR(LEFT(LOWER(TRIM($F171&amp;"")),12)="subscription",LOWER(TRIM($F171&amp;""))="membership"),"Subscription",IF(LOWER(TRIM($D171&amp;""))="estimate","Estimate",IF(OR(AND($H171&lt;&gt;"",$H171=0),LEFT(LOWER(TRIM($F171&amp;"")),9)="free game",LOWER(TRIM($F171&amp;""))="free",LOWER(TRIM($F171&amp;""))="free entry"),IF(LOWER($L171&amp;"")="yes","Disqualified — Free Game","Free Game"),IF(LOWER($L171&amp;"")="yes","Disqualified",IF($P171="","",IF(ROUND(IFERROR(VALUE($P171),0)-IFERROR(VALUE($H171),0),2)&gt;0,"Profit","Draw")))))))</ns0:f>
      </ns0:c>
      <ns0:c r="V171" s="956" t="str">
        <ns0:f>IF(COUNTA($A171:$M171)=0,"",IF(OR($B171="",$C171="",$U171="Subscription"),"",IFERROR(ROUNDUP(($C171-$B171)/7,0),"")))</ns0:f>
      </ns0:c>
      <ns0:c r="W171" s="114">
        <ns0:f>IF(COUNTA($A171:$M171)=0,"",IF(OR($U171="Subscription",$U171=""),"",IF($U171="Estimate","N/A",IF(OR($U171="Free Game",$U171="Disqualified — Free Game"),0,ROUND(IFERROR($Q171,0)-IFERROR($S171,0),2)))))</ns0:f>
      </ns0:c>
      <ns0:c r="X171" s="956" t="str">
        <ns0:f>IF(COUNTA($A171:$M171)=0,"",IF(OR($U171="Subscription",NOT(ISNUMBER($J171)),NOT(ISNUMBER($I171)),$J171=0,$I171=0,$I171&gt;$J171),"",$J171-$I171))</ns0:f>
      </ns0:c>
      <ns0:c r="Y171" s="955" t="str">
        <ns0:f>IF(COUNTA($A171:$M171)=0,"",IF(OR($U171="Subscription",NOT(ISNUMBER($J171)),$J171=0,$X171=""),"",$X171/$J171))</ns0:f>
      </ns0:c>
      <ns0:c r="Z171" s="957" t="str">
        <ns0:f>IF(COUNTA($A171:$M171)=0,"",Instructions!$B$29+SUM($W$5:W171))</ns0:f>
      </ns0:c>
    </ns0:row>
    <ns0:row r="172" ht="36" customHeight="1">
      <ns0:c r="A172" s="439"/>
      <ns0:c r="B172" s="453"/>
      <ns0:c r="C172" s="453"/>
      <ns0:c r="D172" s="454"/>
      <ns0:c r="E172" s="454"/>
      <ns0:c r="F172" s="454"/>
      <ns0:c r="G172" s="986"/>
      <ns0:c r="H172" s="455"/>
      <ns0:c r="I172" s="456"/>
      <ns0:c r="J172" s="456"/>
      <ns0:c r="K172" s="986"/>
      <ns0:c r="L172" s="454"/>
      <ns0:c r="M172" s="439"/>
      <ns0:c r="N172" s="987" t="str">
        <ns0:f>IF(COUNTA($A172:$M172)=0,"",IF(OR(LEFT(LOWER(TRIM($F172&amp;"")),12)="subscription",LOWER(TRIM($F172&amp;""))="membership"),"",IF(OR(AND($H172&lt;&gt;"",$H172=0),LEFT(LOWER(TRIM($F172&amp;"")),9)="free game",LOWER(TRIM($F172&amp;""))="free",LOWER(TRIM($F172&amp;""))="free entry"),IF(ISNUMBER($G172),IF(ISNUMBER(SEARCH("non",LOWER($E172&amp;""))),$G172*0.85,$G172),"N/A"),IF($G172="","",IFERROR(IF(ISNUMBER(SEARCH("non",LOWER($E172&amp;""))),$G172*0.85,$G172),"")))))</ns0:f>
        <ns0:v/>
      </ns0:c>
      <ns0:c r="O172" s="987" t="str">
        <ns0:f>IF(COUNTA($A172:$M172)=0,"",IF(OR(LEFT(LOWER(TRIM($F172&amp;"")),12)="subscription",LOWER(TRIM($F172&amp;""))="membership"),"",IF(OR(AND($H172&lt;&gt;"",$H172=0),LEFT(LOWER(TRIM($F172&amp;"")),9)="free game",LOWER(TRIM($F172&amp;""))="free",LOWER(TRIM($F172&amp;""))="free entry"),IF(OR(NOT(ISNUMBER($N172)),NOT(ISNUMBER($I172)),$I172=0),"N/A",IFERROR($N172/$I172,"N/A")),IF(OR($N172="",$I172="",$I172=0),"",IFERROR($N172/$I172,"")))))</ns0:f>
        <ns0:v/>
      </ns0:c>
      <ns0:c r="P172" s="987">
        <ns0:f>IF(COUNTA($A172:$M172)=0,"",IF(OR(LEFT(LOWER(TRIM($F172&amp;"")),12)="subscription",LOWER(TRIM($F172&amp;""))="membership"),"",IF(LOWER(TRIM($D172&amp;""))="estimate","N/A",IF(LOWER($L172&amp;"")="yes",0,IF(OR(AND($H172&lt;&gt;"",$H172=0),LEFT(LOWER(TRIM($F172&amp;"")),9)="free game",LOWER(TRIM($F172&amp;""))="free",LOWER(TRIM($F172&amp;""))="free entry"),IF(ISNUMBER($K172),$K172,""),IF($K172&lt;&gt;"",$K172,""))))))</ns0:f>
      </ns0:c>
      <ns0:c r="Q172" s="114">
        <ns0:f>IF(COUNTA($A172:$M172)=0,"",IF(OR($U172="Subscription",$U172=""),"",IF($U172="Estimate","N/A",IF($U172="Profit",ROUND(IFERROR($P172,0)-IFERROR($H172,0),2),0))))</ns0:f>
      </ns0:c>
      <ns0:c r="R172" s="114">
        <ns0:f>IF(COUNTA($A172:$M172)=0,"",IF(OR($U172="Subscription",$U172=""),"",IF($U172="Estimate","N/A",IF($U172="Draw",$H172,0))))</ns0:f>
      </ns0:c>
      <ns0:c r="S172" s="114">
        <ns0:f>IF(COUNTA($A172:$M172)=0,"",IF(OR($U172="Subscription",$U172=""),"",IF($U172="Estimate","N/A",IF($U172="Disqualified",$H172,0))))</ns0:f>
      </ns0:c>
      <ns0:c r="T172" s="955">
        <ns0:f>IF(COUNTA($A172:$M172)=0,"",IF(OR($U172="Subscription",$U172=""),"",IF($U172="Estimate","N/A",IF(OR($U172="Free Game",$U172="Disqualified — Free Game",$H172=0),"N/A",IF($U172="Profit",$Q172/$H172,IF($U172="Disqualified",-$S172/$H172,0))))))</ns0:f>
      </ns0:c>
      <ns0:c r="U172" s="920">
        <ns0:f>IF(COUNTA($A172:$M172)=0,"",IF(OR(LEFT(LOWER(TRIM($F172&amp;"")),12)="subscription",LOWER(TRIM($F172&amp;""))="membership"),"Subscription",IF(LOWER(TRIM($D172&amp;""))="estimate","Estimate",IF(OR(AND($H172&lt;&gt;"",$H172=0),LEFT(LOWER(TRIM($F172&amp;"")),9)="free game",LOWER(TRIM($F172&amp;""))="free",LOWER(TRIM($F172&amp;""))="free entry"),IF(LOWER($L172&amp;"")="yes","Disqualified — Free Game","Free Game"),IF(LOWER($L172&amp;"")="yes","Disqualified",IF($P172="","",IF(ROUND(IFERROR(VALUE($P172),0)-IFERROR(VALUE($H172),0),2)&gt;0,"Profit","Draw")))))))</ns0:f>
      </ns0:c>
      <ns0:c r="V172" s="956" t="str">
        <ns0:f>IF(COUNTA($A172:$M172)=0,"",IF(OR($B172="",$C172="",$U172="Subscription"),"",IFERROR(ROUNDUP(($C172-$B172)/7,0),"")))</ns0:f>
      </ns0:c>
      <ns0:c r="W172" s="114">
        <ns0:f>IF(COUNTA($A172:$M172)=0,"",IF(OR($U172="Subscription",$U172=""),"",IF($U172="Estimate","N/A",IF(OR($U172="Free Game",$U172="Disqualified — Free Game"),0,ROUND(IFERROR($Q172,0)-IFERROR($S172,0),2)))))</ns0:f>
      </ns0:c>
      <ns0:c r="X172" s="956" t="str">
        <ns0:f>IF(COUNTA($A172:$M172)=0,"",IF(OR($U172="Subscription",NOT(ISNUMBER($J172)),NOT(ISNUMBER($I172)),$J172=0,$I172=0,$I172&gt;$J172),"",$J172-$I172))</ns0:f>
      </ns0:c>
      <ns0:c r="Y172" s="955" t="str">
        <ns0:f>IF(COUNTA($A172:$M172)=0,"",IF(OR($U172="Subscription",NOT(ISNUMBER($J172)),$J172=0,$X172=""),"",$X172/$J172))</ns0:f>
      </ns0:c>
      <ns0:c r="Z172" s="957" t="str">
        <ns0:f>IF(COUNTA($A172:$M172)=0,"",Instructions!$B$29+SUM($W$5:W172))</ns0:f>
      </ns0:c>
    </ns0:row>
    <ns0:row r="173" ht="36" customHeight="1">
      <ns0:c r="A173" s="439"/>
      <ns0:c r="B173" s="453"/>
      <ns0:c r="C173" s="453"/>
      <ns0:c r="D173" s="454"/>
      <ns0:c r="E173" s="454"/>
      <ns0:c r="F173" s="454"/>
      <ns0:c r="G173" s="986"/>
      <ns0:c r="H173" s="455"/>
      <ns0:c r="I173" s="456"/>
      <ns0:c r="J173" s="456"/>
      <ns0:c r="K173" s="986"/>
      <ns0:c r="L173" s="454"/>
      <ns0:c r="M173" s="439"/>
      <ns0:c r="N173" s="987" t="str">
        <ns0:f>IF(COUNTA($A173:$M173)=0,"",IF(OR(LEFT(LOWER(TRIM($F173&amp;"")),12)="subscription",LOWER(TRIM($F173&amp;""))="membership"),"",IF(OR(AND($H173&lt;&gt;"",$H173=0),LEFT(LOWER(TRIM($F173&amp;"")),9)="free game",LOWER(TRIM($F173&amp;""))="free",LOWER(TRIM($F173&amp;""))="free entry"),IF(ISNUMBER($G173),IF(ISNUMBER(SEARCH("non",LOWER($E173&amp;""))),$G173*0.85,$G173),"N/A"),IF($G173="","",IFERROR(IF(ISNUMBER(SEARCH("non",LOWER($E173&amp;""))),$G173*0.85,$G173),"")))))</ns0:f>
        <ns0:v/>
      </ns0:c>
      <ns0:c r="O173" s="987" t="str">
        <ns0:f>IF(COUNTA($A173:$M173)=0,"",IF(OR(LEFT(LOWER(TRIM($F173&amp;"")),12)="subscription",LOWER(TRIM($F173&amp;""))="membership"),"",IF(OR(AND($H173&lt;&gt;"",$H173=0),LEFT(LOWER(TRIM($F173&amp;"")),9)="free game",LOWER(TRIM($F173&amp;""))="free",LOWER(TRIM($F173&amp;""))="free entry"),IF(OR(NOT(ISNUMBER($N173)),NOT(ISNUMBER($I173)),$I173=0),"N/A",IFERROR($N173/$I173,"N/A")),IF(OR($N173="",$I173="",$I173=0),"",IFERROR($N173/$I173,"")))))</ns0:f>
        <ns0:v/>
      </ns0:c>
      <ns0:c r="P173" s="987">
        <ns0:f>IF(COUNTA($A173:$M173)=0,"",IF(OR(LEFT(LOWER(TRIM($F173&amp;"")),12)="subscription",LOWER(TRIM($F173&amp;""))="membership"),"",IF(LOWER(TRIM($D173&amp;""))="estimate","N/A",IF(LOWER($L173&amp;"")="yes",0,IF(OR(AND($H173&lt;&gt;"",$H173=0),LEFT(LOWER(TRIM($F173&amp;"")),9)="free game",LOWER(TRIM($F173&amp;""))="free",LOWER(TRIM($F173&amp;""))="free entry"),IF(ISNUMBER($K173),$K173,""),IF($K173&lt;&gt;"",$K173,""))))))</ns0:f>
      </ns0:c>
      <ns0:c r="Q173" s="114">
        <ns0:f>IF(COUNTA($A173:$M173)=0,"",IF(OR($U173="Subscription",$U173=""),"",IF($U173="Estimate","N/A",IF($U173="Profit",ROUND(IFERROR($P173,0)-IFERROR($H173,0),2),0))))</ns0:f>
      </ns0:c>
      <ns0:c r="R173" s="114">
        <ns0:f>IF(COUNTA($A173:$M173)=0,"",IF(OR($U173="Subscription",$U173=""),"",IF($U173="Estimate","N/A",IF($U173="Draw",$H173,0))))</ns0:f>
      </ns0:c>
      <ns0:c r="S173" s="114">
        <ns0:f>IF(COUNTA($A173:$M173)=0,"",IF(OR($U173="Subscription",$U173=""),"",IF($U173="Estimate","N/A",IF($U173="Disqualified",$H173,0))))</ns0:f>
      </ns0:c>
      <ns0:c r="T173" s="955">
        <ns0:f>IF(COUNTA($A173:$M173)=0,"",IF(OR($U173="Subscription",$U173=""),"",IF($U173="Estimate","N/A",IF(OR($U173="Free Game",$U173="Disqualified — Free Game",$H173=0),"N/A",IF($U173="Profit",$Q173/$H173,IF($U173="Disqualified",-$S173/$H173,0))))))</ns0:f>
      </ns0:c>
      <ns0:c r="U173" s="920">
        <ns0:f>IF(COUNTA($A173:$M173)=0,"",IF(OR(LEFT(LOWER(TRIM($F173&amp;"")),12)="subscription",LOWER(TRIM($F173&amp;""))="membership"),"Subscription",IF(LOWER(TRIM($D173&amp;""))="estimate","Estimate",IF(OR(AND($H173&lt;&gt;"",$H173=0),LEFT(LOWER(TRIM($F173&amp;"")),9)="free game",LOWER(TRIM($F173&amp;""))="free",LOWER(TRIM($F173&amp;""))="free entry"),IF(LOWER($L173&amp;"")="yes","Disqualified — Free Game","Free Game"),IF(LOWER($L173&amp;"")="yes","Disqualified",IF($P173="","",IF(ROUND(IFERROR(VALUE($P173),0)-IFERROR(VALUE($H173),0),2)&gt;0,"Profit","Draw")))))))</ns0:f>
      </ns0:c>
      <ns0:c r="V173" s="956" t="str">
        <ns0:f>IF(COUNTA($A173:$M173)=0,"",IF(OR($B173="",$C173="",$U173="Subscription"),"",IFERROR(ROUNDUP(($C173-$B173)/7,0),"")))</ns0:f>
      </ns0:c>
      <ns0:c r="W173" s="114">
        <ns0:f>IF(COUNTA($A173:$M173)=0,"",IF(OR($U173="Subscription",$U173=""),"",IF($U173="Estimate","N/A",IF(OR($U173="Free Game",$U173="Disqualified — Free Game"),0,ROUND(IFERROR($Q173,0)-IFERROR($S173,0),2)))))</ns0:f>
      </ns0:c>
      <ns0:c r="X173" s="956" t="str">
        <ns0:f>IF(COUNTA($A173:$M173)=0,"",IF(OR($U173="Subscription",NOT(ISNUMBER($J173)),NOT(ISNUMBER($I173)),$J173=0,$I173=0,$I173&gt;$J173),"",$J173-$I173))</ns0:f>
      </ns0:c>
      <ns0:c r="Y173" s="955" t="str">
        <ns0:f>IF(COUNTA($A173:$M173)=0,"",IF(OR($U173="Subscription",NOT(ISNUMBER($J173)),$J173=0,$X173=""),"",$X173/$J173))</ns0:f>
      </ns0:c>
      <ns0:c r="Z173" s="957" t="str">
        <ns0:f>IF(COUNTA($A173:$M173)=0,"",Instructions!$B$29+SUM($W$5:W173))</ns0:f>
      </ns0:c>
    </ns0:row>
    <ns0:row r="174" ht="36" customHeight="1">
      <ns0:c r="A174" s="439"/>
      <ns0:c r="B174" s="453"/>
      <ns0:c r="C174" s="453"/>
      <ns0:c r="D174" s="454"/>
      <ns0:c r="E174" s="454"/>
      <ns0:c r="F174" s="454"/>
      <ns0:c r="G174" s="986"/>
      <ns0:c r="H174" s="455"/>
      <ns0:c r="I174" s="456"/>
      <ns0:c r="J174" s="456"/>
      <ns0:c r="K174" s="986"/>
      <ns0:c r="L174" s="454"/>
      <ns0:c r="M174" s="439"/>
      <ns0:c r="N174" s="987" t="str">
        <ns0:f>IF(COUNTA($A174:$M174)=0,"",IF(OR(LEFT(LOWER(TRIM($F174&amp;"")),12)="subscription",LOWER(TRIM($F174&amp;""))="membership"),"",IF(OR(AND($H174&lt;&gt;"",$H174=0),LEFT(LOWER(TRIM($F174&amp;"")),9)="free game",LOWER(TRIM($F174&amp;""))="free",LOWER(TRIM($F174&amp;""))="free entry"),IF(ISNUMBER($G174),IF(ISNUMBER(SEARCH("non",LOWER($E174&amp;""))),$G174*0.85,$G174),"N/A"),IF($G174="","",IFERROR(IF(ISNUMBER(SEARCH("non",LOWER($E174&amp;""))),$G174*0.85,$G174),"")))))</ns0:f>
        <ns0:v/>
      </ns0:c>
      <ns0:c r="O174" s="987" t="str">
        <ns0:f>IF(COUNTA($A174:$M174)=0,"",IF(OR(LEFT(LOWER(TRIM($F174&amp;"")),12)="subscription",LOWER(TRIM($F174&amp;""))="membership"),"",IF(OR(AND($H174&lt;&gt;"",$H174=0),LEFT(LOWER(TRIM($F174&amp;"")),9)="free game",LOWER(TRIM($F174&amp;""))="free",LOWER(TRIM($F174&amp;""))="free entry"),IF(OR(NOT(ISNUMBER($N174)),NOT(ISNUMBER($I174)),$I174=0),"N/A",IFERROR($N174/$I174,"N/A")),IF(OR($N174="",$I174="",$I174=0),"",IFERROR($N174/$I174,"")))))</ns0:f>
        <ns0:v/>
      </ns0:c>
      <ns0:c r="P174" s="987">
        <ns0:f>IF(COUNTA($A174:$M174)=0,"",IF(OR(LEFT(LOWER(TRIM($F174&amp;"")),12)="subscription",LOWER(TRIM($F174&amp;""))="membership"),"",IF(LOWER(TRIM($D174&amp;""))="estimate","N/A",IF(LOWER($L174&amp;"")="yes",0,IF(OR(AND($H174&lt;&gt;"",$H174=0),LEFT(LOWER(TRIM($F174&amp;"")),9)="free game",LOWER(TRIM($F174&amp;""))="free",LOWER(TRIM($F174&amp;""))="free entry"),IF(ISNUMBER($K174),$K174,""),IF($K174&lt;&gt;"",$K174,""))))))</ns0:f>
      </ns0:c>
      <ns0:c r="Q174" s="114">
        <ns0:f>IF(COUNTA($A174:$M174)=0,"",IF(OR($U174="Subscription",$U174=""),"",IF($U174="Estimate","N/A",IF($U174="Profit",ROUND(IFERROR($P174,0)-IFERROR($H174,0),2),0))))</ns0:f>
      </ns0:c>
      <ns0:c r="R174" s="114">
        <ns0:f>IF(COUNTA($A174:$M174)=0,"",IF(OR($U174="Subscription",$U174=""),"",IF($U174="Estimate","N/A",IF($U174="Draw",$H174,0))))</ns0:f>
      </ns0:c>
      <ns0:c r="S174" s="114">
        <ns0:f>IF(COUNTA($A174:$M174)=0,"",IF(OR($U174="Subscription",$U174=""),"",IF($U174="Estimate","N/A",IF($U174="Disqualified",$H174,0))))</ns0:f>
      </ns0:c>
      <ns0:c r="T174" s="955">
        <ns0:f>IF(COUNTA($A174:$M174)=0,"",IF(OR($U174="Subscription",$U174=""),"",IF($U174="Estimate","N/A",IF(OR($U174="Free Game",$U174="Disqualified — Free Game",$H174=0),"N/A",IF($U174="Profit",$Q174/$H174,IF($U174="Disqualified",-$S174/$H174,0))))))</ns0:f>
      </ns0:c>
      <ns0:c r="U174" s="920">
        <ns0:f>IF(COUNTA($A174:$M174)=0,"",IF(OR(LEFT(LOWER(TRIM($F174&amp;"")),12)="subscription",LOWER(TRIM($F174&amp;""))="membership"),"Subscription",IF(LOWER(TRIM($D174&amp;""))="estimate","Estimate",IF(OR(AND($H174&lt;&gt;"",$H174=0),LEFT(LOWER(TRIM($F174&amp;"")),9)="free game",LOWER(TRIM($F174&amp;""))="free",LOWER(TRIM($F174&amp;""))="free entry"),IF(LOWER($L174&amp;"")="yes","Disqualified — Free Game","Free Game"),IF(LOWER($L174&amp;"")="yes","Disqualified",IF($P174="","",IF(ROUND(IFERROR(VALUE($P174),0)-IFERROR(VALUE($H174),0),2)&gt;0,"Profit","Draw")))))))</ns0:f>
      </ns0:c>
      <ns0:c r="V174" s="956" t="str">
        <ns0:f>IF(COUNTA($A174:$M174)=0,"",IF(OR($B174="",$C174="",$U174="Subscription"),"",IFERROR(ROUNDUP(($C174-$B174)/7,0),"")))</ns0:f>
      </ns0:c>
      <ns0:c r="W174" s="114">
        <ns0:f>IF(COUNTA($A174:$M174)=0,"",IF(OR($U174="Subscription",$U174=""),"",IF($U174="Estimate","N/A",IF(OR($U174="Free Game",$U174="Disqualified — Free Game"),0,ROUND(IFERROR($Q174,0)-IFERROR($S174,0),2)))))</ns0:f>
      </ns0:c>
      <ns0:c r="X174" s="956" t="str">
        <ns0:f>IF(COUNTA($A174:$M174)=0,"",IF(OR($U174="Subscription",NOT(ISNUMBER($J174)),NOT(ISNUMBER($I174)),$J174=0,$I174=0,$I174&gt;$J174),"",$J174-$I174))</ns0:f>
      </ns0:c>
      <ns0:c r="Y174" s="955" t="str">
        <ns0:f>IF(COUNTA($A174:$M174)=0,"",IF(OR($U174="Subscription",NOT(ISNUMBER($J174)),$J174=0,$X174=""),"",$X174/$J174))</ns0:f>
      </ns0:c>
      <ns0:c r="Z174" s="957" t="str">
        <ns0:f>IF(COUNTA($A174:$M174)=0,"",Instructions!$B$29+SUM($W$5:W174))</ns0:f>
      </ns0:c>
    </ns0:row>
    <ns0:row r="175" ht="36" customHeight="1">
      <ns0:c r="A175" s="439"/>
      <ns0:c r="B175" s="453"/>
      <ns0:c r="C175" s="453"/>
      <ns0:c r="D175" s="454"/>
      <ns0:c r="E175" s="454"/>
      <ns0:c r="F175" s="454"/>
      <ns0:c r="G175" s="986"/>
      <ns0:c r="H175" s="455"/>
      <ns0:c r="I175" s="456"/>
      <ns0:c r="J175" s="456"/>
      <ns0:c r="K175" s="986"/>
      <ns0:c r="L175" s="454"/>
      <ns0:c r="M175" s="439"/>
      <ns0:c r="N175" s="987" t="str">
        <ns0:f>IF(COUNTA($A175:$M175)=0,"",IF(OR(LEFT(LOWER(TRIM($F175&amp;"")),12)="subscription",LOWER(TRIM($F175&amp;""))="membership"),"",IF(OR(AND($H175&lt;&gt;"",$H175=0),LEFT(LOWER(TRIM($F175&amp;"")),9)="free game",LOWER(TRIM($F175&amp;""))="free",LOWER(TRIM($F175&amp;""))="free entry"),IF(ISNUMBER($G175),IF(ISNUMBER(SEARCH("non",LOWER($E175&amp;""))),$G175*0.85,$G175),"N/A"),IF($G175="","",IFERROR(IF(ISNUMBER(SEARCH("non",LOWER($E175&amp;""))),$G175*0.85,$G175),"")))))</ns0:f>
        <ns0:v/>
      </ns0:c>
      <ns0:c r="O175" s="987" t="str">
        <ns0:f>IF(COUNTA($A175:$M175)=0,"",IF(OR(LEFT(LOWER(TRIM($F175&amp;"")),12)="subscription",LOWER(TRIM($F175&amp;""))="membership"),"",IF(OR(AND($H175&lt;&gt;"",$H175=0),LEFT(LOWER(TRIM($F175&amp;"")),9)="free game",LOWER(TRIM($F175&amp;""))="free",LOWER(TRIM($F175&amp;""))="free entry"),IF(OR(NOT(ISNUMBER($N175)),NOT(ISNUMBER($I175)),$I175=0),"N/A",IFERROR($N175/$I175,"N/A")),IF(OR($N175="",$I175="",$I175=0),"",IFERROR($N175/$I175,"")))))</ns0:f>
        <ns0:v/>
      </ns0:c>
      <ns0:c r="P175" s="987">
        <ns0:f>IF(COUNTA($A175:$M175)=0,"",IF(OR(LEFT(LOWER(TRIM($F175&amp;"")),12)="subscription",LOWER(TRIM($F175&amp;""))="membership"),"",IF(LOWER(TRIM($D175&amp;""))="estimate","N/A",IF(LOWER($L175&amp;"")="yes",0,IF(OR(AND($H175&lt;&gt;"",$H175=0),LEFT(LOWER(TRIM($F175&amp;"")),9)="free game",LOWER(TRIM($F175&amp;""))="free",LOWER(TRIM($F175&amp;""))="free entry"),IF(ISNUMBER($K175),$K175,""),IF($K175&lt;&gt;"",$K175,""))))))</ns0:f>
      </ns0:c>
      <ns0:c r="Q175" s="114">
        <ns0:f>IF(COUNTA($A175:$M175)=0,"",IF(OR($U175="Subscription",$U175=""),"",IF($U175="Estimate","N/A",IF($U175="Profit",ROUND(IFERROR($P175,0)-IFERROR($H175,0),2),0))))</ns0:f>
      </ns0:c>
      <ns0:c r="R175" s="114">
        <ns0:f>IF(COUNTA($A175:$M175)=0,"",IF(OR($U175="Subscription",$U175=""),"",IF($U175="Estimate","N/A",IF($U175="Draw",$H175,0))))</ns0:f>
      </ns0:c>
      <ns0:c r="S175" s="114">
        <ns0:f>IF(COUNTA($A175:$M175)=0,"",IF(OR($U175="Subscription",$U175=""),"",IF($U175="Estimate","N/A",IF($U175="Disqualified",$H175,0))))</ns0:f>
      </ns0:c>
      <ns0:c r="T175" s="955">
        <ns0:f>IF(COUNTA($A175:$M175)=0,"",IF(OR($U175="Subscription",$U175=""),"",IF($U175="Estimate","N/A",IF(OR($U175="Free Game",$U175="Disqualified — Free Game",$H175=0),"N/A",IF($U175="Profit",$Q175/$H175,IF($U175="Disqualified",-$S175/$H175,0))))))</ns0:f>
      </ns0:c>
      <ns0:c r="U175" s="920">
        <ns0:f>IF(COUNTA($A175:$M175)=0,"",IF(OR(LEFT(LOWER(TRIM($F175&amp;"")),12)="subscription",LOWER(TRIM($F175&amp;""))="membership"),"Subscription",IF(LOWER(TRIM($D175&amp;""))="estimate","Estimate",IF(OR(AND($H175&lt;&gt;"",$H175=0),LEFT(LOWER(TRIM($F175&amp;"")),9)="free game",LOWER(TRIM($F175&amp;""))="free",LOWER(TRIM($F175&amp;""))="free entry"),IF(LOWER($L175&amp;"")="yes","Disqualified — Free Game","Free Game"),IF(LOWER($L175&amp;"")="yes","Disqualified",IF($P175="","",IF(ROUND(IFERROR(VALUE($P175),0)-IFERROR(VALUE($H175),0),2)&gt;0,"Profit","Draw")))))))</ns0:f>
      </ns0:c>
      <ns0:c r="V175" s="956" t="str">
        <ns0:f>IF(COUNTA($A175:$M175)=0,"",IF(OR($B175="",$C175="",$U175="Subscription"),"",IFERROR(ROUNDUP(($C175-$B175)/7,0),"")))</ns0:f>
      </ns0:c>
      <ns0:c r="W175" s="114">
        <ns0:f>IF(COUNTA($A175:$M175)=0,"",IF(OR($U175="Subscription",$U175=""),"",IF($U175="Estimate","N/A",IF(OR($U175="Free Game",$U175="Disqualified — Free Game"),0,ROUND(IFERROR($Q175,0)-IFERROR($S175,0),2)))))</ns0:f>
      </ns0:c>
      <ns0:c r="X175" s="956" t="str">
        <ns0:f>IF(COUNTA($A175:$M175)=0,"",IF(OR($U175="Subscription",NOT(ISNUMBER($J175)),NOT(ISNUMBER($I175)),$J175=0,$I175=0,$I175&gt;$J175),"",$J175-$I175))</ns0:f>
      </ns0:c>
      <ns0:c r="Y175" s="955" t="str">
        <ns0:f>IF(COUNTA($A175:$M175)=0,"",IF(OR($U175="Subscription",NOT(ISNUMBER($J175)),$J175=0,$X175=""),"",$X175/$J175))</ns0:f>
      </ns0:c>
      <ns0:c r="Z175" s="957" t="str">
        <ns0:f>IF(COUNTA($A175:$M175)=0,"",Instructions!$B$29+SUM($W$5:W175))</ns0:f>
      </ns0:c>
    </ns0:row>
    <ns0:row r="176" ht="36" customHeight="1">
      <ns0:c r="A176" s="439"/>
      <ns0:c r="B176" s="453"/>
      <ns0:c r="C176" s="453"/>
      <ns0:c r="D176" s="454"/>
      <ns0:c r="E176" s="454"/>
      <ns0:c r="F176" s="454"/>
      <ns0:c r="G176" s="986"/>
      <ns0:c r="H176" s="455"/>
      <ns0:c r="I176" s="456"/>
      <ns0:c r="J176" s="456"/>
      <ns0:c r="K176" s="986"/>
      <ns0:c r="L176" s="454"/>
      <ns0:c r="M176" s="439"/>
      <ns0:c r="N176" s="987" t="str">
        <ns0:f>IF(COUNTA($A176:$M176)=0,"",IF(OR(LEFT(LOWER(TRIM($F176&amp;"")),12)="subscription",LOWER(TRIM($F176&amp;""))="membership"),"",IF(OR(AND($H176&lt;&gt;"",$H176=0),LEFT(LOWER(TRIM($F176&amp;"")),9)="free game",LOWER(TRIM($F176&amp;""))="free",LOWER(TRIM($F176&amp;""))="free entry"),IF(ISNUMBER($G176),IF(ISNUMBER(SEARCH("non",LOWER($E176&amp;""))),$G176*0.85,$G176),"N/A"),IF($G176="","",IFERROR(IF(ISNUMBER(SEARCH("non",LOWER($E176&amp;""))),$G176*0.85,$G176),"")))))</ns0:f>
        <ns0:v/>
      </ns0:c>
      <ns0:c r="O176" s="987" t="str">
        <ns0:f>IF(COUNTA($A176:$M176)=0,"",IF(OR(LEFT(LOWER(TRIM($F176&amp;"")),12)="subscription",LOWER(TRIM($F176&amp;""))="membership"),"",IF(OR(AND($H176&lt;&gt;"",$H176=0),LEFT(LOWER(TRIM($F176&amp;"")),9)="free game",LOWER(TRIM($F176&amp;""))="free",LOWER(TRIM($F176&amp;""))="free entry"),IF(OR(NOT(ISNUMBER($N176)),NOT(ISNUMBER($I176)),$I176=0),"N/A",IFERROR($N176/$I176,"N/A")),IF(OR($N176="",$I176="",$I176=0),"",IFERROR($N176/$I176,"")))))</ns0:f>
        <ns0:v/>
      </ns0:c>
      <ns0:c r="P176" s="987">
        <ns0:f>IF(COUNTA($A176:$M176)=0,"",IF(OR(LEFT(LOWER(TRIM($F176&amp;"")),12)="subscription",LOWER(TRIM($F176&amp;""))="membership"),"",IF(LOWER(TRIM($D176&amp;""))="estimate","N/A",IF(LOWER($L176&amp;"")="yes",0,IF(OR(AND($H176&lt;&gt;"",$H176=0),LEFT(LOWER(TRIM($F176&amp;"")),9)="free game",LOWER(TRIM($F176&amp;""))="free",LOWER(TRIM($F176&amp;""))="free entry"),IF(ISNUMBER($K176),$K176,""),IF($K176&lt;&gt;"",$K176,""))))))</ns0:f>
      </ns0:c>
      <ns0:c r="Q176" s="114">
        <ns0:f>IF(COUNTA($A176:$M176)=0,"",IF(OR($U176="Subscription",$U176=""),"",IF($U176="Estimate","N/A",IF($U176="Profit",ROUND(IFERROR($P176,0)-IFERROR($H176,0),2),0))))</ns0:f>
      </ns0:c>
      <ns0:c r="R176" s="114">
        <ns0:f>IF(COUNTA($A176:$M176)=0,"",IF(OR($U176="Subscription",$U176=""),"",IF($U176="Estimate","N/A",IF($U176="Draw",$H176,0))))</ns0:f>
      </ns0:c>
      <ns0:c r="S176" s="114">
        <ns0:f>IF(COUNTA($A176:$M176)=0,"",IF(OR($U176="Subscription",$U176=""),"",IF($U176="Estimate","N/A",IF($U176="Disqualified",$H176,0))))</ns0:f>
      </ns0:c>
      <ns0:c r="T176" s="955">
        <ns0:f>IF(COUNTA($A176:$M176)=0,"",IF(OR($U176="Subscription",$U176=""),"",IF($U176="Estimate","N/A",IF(OR($U176="Free Game",$U176="Disqualified — Free Game",$H176=0),"N/A",IF($U176="Profit",$Q176/$H176,IF($U176="Disqualified",-$S176/$H176,0))))))</ns0:f>
      </ns0:c>
      <ns0:c r="U176" s="920">
        <ns0:f>IF(COUNTA($A176:$M176)=0,"",IF(OR(LEFT(LOWER(TRIM($F176&amp;"")),12)="subscription",LOWER(TRIM($F176&amp;""))="membership"),"Subscription",IF(LOWER(TRIM($D176&amp;""))="estimate","Estimate",IF(OR(AND($H176&lt;&gt;"",$H176=0),LEFT(LOWER(TRIM($F176&amp;"")),9)="free game",LOWER(TRIM($F176&amp;""))="free",LOWER(TRIM($F176&amp;""))="free entry"),IF(LOWER($L176&amp;"")="yes","Disqualified — Free Game","Free Game"),IF(LOWER($L176&amp;"")="yes","Disqualified",IF($P176="","",IF(ROUND(IFERROR(VALUE($P176),0)-IFERROR(VALUE($H176),0),2)&gt;0,"Profit","Draw")))))))</ns0:f>
      </ns0:c>
      <ns0:c r="V176" s="956" t="str">
        <ns0:f>IF(COUNTA($A176:$M176)=0,"",IF(OR($B176="",$C176="",$U176="Subscription"),"",IFERROR(ROUNDUP(($C176-$B176)/7,0),"")))</ns0:f>
      </ns0:c>
      <ns0:c r="W176" s="114">
        <ns0:f>IF(COUNTA($A176:$M176)=0,"",IF(OR($U176="Subscription",$U176=""),"",IF($U176="Estimate","N/A",IF(OR($U176="Free Game",$U176="Disqualified — Free Game"),0,ROUND(IFERROR($Q176,0)-IFERROR($S176,0),2)))))</ns0:f>
      </ns0:c>
      <ns0:c r="X176" s="956" t="str">
        <ns0:f>IF(COUNTA($A176:$M176)=0,"",IF(OR($U176="Subscription",NOT(ISNUMBER($J176)),NOT(ISNUMBER($I176)),$J176=0,$I176=0,$I176&gt;$J176),"",$J176-$I176))</ns0:f>
      </ns0:c>
      <ns0:c r="Y176" s="955" t="str">
        <ns0:f>IF(COUNTA($A176:$M176)=0,"",IF(OR($U176="Subscription",NOT(ISNUMBER($J176)),$J176=0,$X176=""),"",$X176/$J176))</ns0:f>
      </ns0:c>
      <ns0:c r="Z176" s="957" t="str">
        <ns0:f>IF(COUNTA($A176:$M176)=0,"",Instructions!$B$29+SUM($W$5:W176))</ns0:f>
      </ns0:c>
    </ns0:row>
    <ns0:row r="177" ht="36" customHeight="1">
      <ns0:c r="A177" s="439"/>
      <ns0:c r="B177" s="453"/>
      <ns0:c r="C177" s="453"/>
      <ns0:c r="D177" s="454"/>
      <ns0:c r="E177" s="454"/>
      <ns0:c r="F177" s="454"/>
      <ns0:c r="G177" s="986"/>
      <ns0:c r="H177" s="455"/>
      <ns0:c r="I177" s="456"/>
      <ns0:c r="J177" s="456"/>
      <ns0:c r="K177" s="986"/>
      <ns0:c r="L177" s="454"/>
      <ns0:c r="M177" s="439"/>
      <ns0:c r="N177" s="987" t="str">
        <ns0:f>IF(COUNTA($A177:$M177)=0,"",IF(OR(LEFT(LOWER(TRIM($F177&amp;"")),12)="subscription",LOWER(TRIM($F177&amp;""))="membership"),"",IF(OR(AND($H177&lt;&gt;"",$H177=0),LEFT(LOWER(TRIM($F177&amp;"")),9)="free game",LOWER(TRIM($F177&amp;""))="free",LOWER(TRIM($F177&amp;""))="free entry"),IF(ISNUMBER($G177),IF(ISNUMBER(SEARCH("non",LOWER($E177&amp;""))),$G177*0.85,$G177),"N/A"),IF($G177="","",IFERROR(IF(ISNUMBER(SEARCH("non",LOWER($E177&amp;""))),$G177*0.85,$G177),"")))))</ns0:f>
        <ns0:v/>
      </ns0:c>
      <ns0:c r="O177" s="987" t="str">
        <ns0:f>IF(COUNTA($A177:$M177)=0,"",IF(OR(LEFT(LOWER(TRIM($F177&amp;"")),12)="subscription",LOWER(TRIM($F177&amp;""))="membership"),"",IF(OR(AND($H177&lt;&gt;"",$H177=0),LEFT(LOWER(TRIM($F177&amp;"")),9)="free game",LOWER(TRIM($F177&amp;""))="free",LOWER(TRIM($F177&amp;""))="free entry"),IF(OR(NOT(ISNUMBER($N177)),NOT(ISNUMBER($I177)),$I177=0),"N/A",IFERROR($N177/$I177,"N/A")),IF(OR($N177="",$I177="",$I177=0),"",IFERROR($N177/$I177,"")))))</ns0:f>
        <ns0:v/>
      </ns0:c>
      <ns0:c r="P177" s="987">
        <ns0:f>IF(COUNTA($A177:$M177)=0,"",IF(OR(LEFT(LOWER(TRIM($F177&amp;"")),12)="subscription",LOWER(TRIM($F177&amp;""))="membership"),"",IF(LOWER(TRIM($D177&amp;""))="estimate","N/A",IF(LOWER($L177&amp;"")="yes",0,IF(OR(AND($H177&lt;&gt;"",$H177=0),LEFT(LOWER(TRIM($F177&amp;"")),9)="free game",LOWER(TRIM($F177&amp;""))="free",LOWER(TRIM($F177&amp;""))="free entry"),IF(ISNUMBER($K177),$K177,""),IF($K177&lt;&gt;"",$K177,""))))))</ns0:f>
      </ns0:c>
      <ns0:c r="Q177" s="114">
        <ns0:f>IF(COUNTA($A177:$M177)=0,"",IF(OR($U177="Subscription",$U177=""),"",IF($U177="Estimate","N/A",IF($U177="Profit",ROUND(IFERROR($P177,0)-IFERROR($H177,0),2),0))))</ns0:f>
      </ns0:c>
      <ns0:c r="R177" s="114">
        <ns0:f>IF(COUNTA($A177:$M177)=0,"",IF(OR($U177="Subscription",$U177=""),"",IF($U177="Estimate","N/A",IF($U177="Draw",$H177,0))))</ns0:f>
      </ns0:c>
      <ns0:c r="S177" s="114">
        <ns0:f>IF(COUNTA($A177:$M177)=0,"",IF(OR($U177="Subscription",$U177=""),"",IF($U177="Estimate","N/A",IF($U177="Disqualified",$H177,0))))</ns0:f>
      </ns0:c>
      <ns0:c r="T177" s="955">
        <ns0:f>IF(COUNTA($A177:$M177)=0,"",IF(OR($U177="Subscription",$U177=""),"",IF($U177="Estimate","N/A",IF(OR($U177="Free Game",$U177="Disqualified — Free Game",$H177=0),"N/A",IF($U177="Profit",$Q177/$H177,IF($U177="Disqualified",-$S177/$H177,0))))))</ns0:f>
      </ns0:c>
      <ns0:c r="U177" s="920">
        <ns0:f>IF(COUNTA($A177:$M177)=0,"",IF(OR(LEFT(LOWER(TRIM($F177&amp;"")),12)="subscription",LOWER(TRIM($F177&amp;""))="membership"),"Subscription",IF(LOWER(TRIM($D177&amp;""))="estimate","Estimate",IF(OR(AND($H177&lt;&gt;"",$H177=0),LEFT(LOWER(TRIM($F177&amp;"")),9)="free game",LOWER(TRIM($F177&amp;""))="free",LOWER(TRIM($F177&amp;""))="free entry"),IF(LOWER($L177&amp;"")="yes","Disqualified — Free Game","Free Game"),IF(LOWER($L177&amp;"")="yes","Disqualified",IF($P177="","",IF(ROUND(IFERROR(VALUE($P177),0)-IFERROR(VALUE($H177),0),2)&gt;0,"Profit","Draw")))))))</ns0:f>
      </ns0:c>
      <ns0:c r="V177" s="956" t="str">
        <ns0:f>IF(COUNTA($A177:$M177)=0,"",IF(OR($B177="",$C177="",$U177="Subscription"),"",IFERROR(ROUNDUP(($C177-$B177)/7,0),"")))</ns0:f>
      </ns0:c>
      <ns0:c r="W177" s="114">
        <ns0:f>IF(COUNTA($A177:$M177)=0,"",IF(OR($U177="Subscription",$U177=""),"",IF($U177="Estimate","N/A",IF(OR($U177="Free Game",$U177="Disqualified — Free Game"),0,ROUND(IFERROR($Q177,0)-IFERROR($S177,0),2)))))</ns0:f>
      </ns0:c>
      <ns0:c r="X177" s="956" t="str">
        <ns0:f>IF(COUNTA($A177:$M177)=0,"",IF(OR($U177="Subscription",NOT(ISNUMBER($J177)),NOT(ISNUMBER($I177)),$J177=0,$I177=0,$I177&gt;$J177),"",$J177-$I177))</ns0:f>
      </ns0:c>
      <ns0:c r="Y177" s="955" t="str">
        <ns0:f>IF(COUNTA($A177:$M177)=0,"",IF(OR($U177="Subscription",NOT(ISNUMBER($J177)),$J177=0,$X177=""),"",$X177/$J177))</ns0:f>
      </ns0:c>
      <ns0:c r="Z177" s="957" t="str">
        <ns0:f>IF(COUNTA($A177:$M177)=0,"",Instructions!$B$29+SUM($W$5:W177))</ns0:f>
      </ns0:c>
    </ns0:row>
    <ns0:row r="178" ht="36" customHeight="1">
      <ns0:c r="A178" s="439"/>
      <ns0:c r="B178" s="453"/>
      <ns0:c r="C178" s="453"/>
      <ns0:c r="D178" s="454"/>
      <ns0:c r="E178" s="454"/>
      <ns0:c r="F178" s="454"/>
      <ns0:c r="G178" s="986"/>
      <ns0:c r="H178" s="455"/>
      <ns0:c r="I178" s="456"/>
      <ns0:c r="J178" s="456"/>
      <ns0:c r="K178" s="986"/>
      <ns0:c r="L178" s="454"/>
      <ns0:c r="M178" s="439"/>
      <ns0:c r="N178" s="987" t="str">
        <ns0:f>IF(COUNTA($A178:$M178)=0,"",IF(OR(LEFT(LOWER(TRIM($F178&amp;"")),12)="subscription",LOWER(TRIM($F178&amp;""))="membership"),"",IF(OR(AND($H178&lt;&gt;"",$H178=0),LEFT(LOWER(TRIM($F178&amp;"")),9)="free game",LOWER(TRIM($F178&amp;""))="free",LOWER(TRIM($F178&amp;""))="free entry"),IF(ISNUMBER($G178),IF(ISNUMBER(SEARCH("non",LOWER($E178&amp;""))),$G178*0.85,$G178),"N/A"),IF($G178="","",IFERROR(IF(ISNUMBER(SEARCH("non",LOWER($E178&amp;""))),$G178*0.85,$G178),"")))))</ns0:f>
        <ns0:v/>
      </ns0:c>
      <ns0:c r="O178" s="987" t="str">
        <ns0:f>IF(COUNTA($A178:$M178)=0,"",IF(OR(LEFT(LOWER(TRIM($F178&amp;"")),12)="subscription",LOWER(TRIM($F178&amp;""))="membership"),"",IF(OR(AND($H178&lt;&gt;"",$H178=0),LEFT(LOWER(TRIM($F178&amp;"")),9)="free game",LOWER(TRIM($F178&amp;""))="free",LOWER(TRIM($F178&amp;""))="free entry"),IF(OR(NOT(ISNUMBER($N178)),NOT(ISNUMBER($I178)),$I178=0),"N/A",IFERROR($N178/$I178,"N/A")),IF(OR($N178="",$I178="",$I178=0),"",IFERROR($N178/$I178,"")))))</ns0:f>
        <ns0:v/>
      </ns0:c>
      <ns0:c r="P178" s="987">
        <ns0:f>IF(COUNTA($A178:$M178)=0,"",IF(OR(LEFT(LOWER(TRIM($F178&amp;"")),12)="subscription",LOWER(TRIM($F178&amp;""))="membership"),"",IF(LOWER(TRIM($D178&amp;""))="estimate","N/A",IF(LOWER($L178&amp;"")="yes",0,IF(OR(AND($H178&lt;&gt;"",$H178=0),LEFT(LOWER(TRIM($F178&amp;"")),9)="free game",LOWER(TRIM($F178&amp;""))="free",LOWER(TRIM($F178&amp;""))="free entry"),IF(ISNUMBER($K178),$K178,""),IF($K178&lt;&gt;"",$K178,""))))))</ns0:f>
      </ns0:c>
      <ns0:c r="Q178" s="114">
        <ns0:f>IF(COUNTA($A178:$M178)=0,"",IF(OR($U178="Subscription",$U178=""),"",IF($U178="Estimate","N/A",IF($U178="Profit",ROUND(IFERROR($P178,0)-IFERROR($H178,0),2),0))))</ns0:f>
      </ns0:c>
      <ns0:c r="R178" s="114">
        <ns0:f>IF(COUNTA($A178:$M178)=0,"",IF(OR($U178="Subscription",$U178=""),"",IF($U178="Estimate","N/A",IF($U178="Draw",$H178,0))))</ns0:f>
      </ns0:c>
      <ns0:c r="S178" s="114">
        <ns0:f>IF(COUNTA($A178:$M178)=0,"",IF(OR($U178="Subscription",$U178=""),"",IF($U178="Estimate","N/A",IF($U178="Disqualified",$H178,0))))</ns0:f>
      </ns0:c>
      <ns0:c r="T178" s="955">
        <ns0:f>IF(COUNTA($A178:$M178)=0,"",IF(OR($U178="Subscription",$U178=""),"",IF($U178="Estimate","N/A",IF(OR($U178="Free Game",$U178="Disqualified — Free Game",$H178=0),"N/A",IF($U178="Profit",$Q178/$H178,IF($U178="Disqualified",-$S178/$H178,0))))))</ns0:f>
      </ns0:c>
      <ns0:c r="U178" s="920">
        <ns0:f>IF(COUNTA($A178:$M178)=0,"",IF(OR(LEFT(LOWER(TRIM($F178&amp;"")),12)="subscription",LOWER(TRIM($F178&amp;""))="membership"),"Subscription",IF(LOWER(TRIM($D178&amp;""))="estimate","Estimate",IF(OR(AND($H178&lt;&gt;"",$H178=0),LEFT(LOWER(TRIM($F178&amp;"")),9)="free game",LOWER(TRIM($F178&amp;""))="free",LOWER(TRIM($F178&amp;""))="free entry"),IF(LOWER($L178&amp;"")="yes","Disqualified — Free Game","Free Game"),IF(LOWER($L178&amp;"")="yes","Disqualified",IF($P178="","",IF(ROUND(IFERROR(VALUE($P178),0)-IFERROR(VALUE($H178),0),2)&gt;0,"Profit","Draw")))))))</ns0:f>
      </ns0:c>
      <ns0:c r="V178" s="956" t="str">
        <ns0:f>IF(COUNTA($A178:$M178)=0,"",IF(OR($B178="",$C178="",$U178="Subscription"),"",IFERROR(ROUNDUP(($C178-$B178)/7,0),"")))</ns0:f>
      </ns0:c>
      <ns0:c r="W178" s="114">
        <ns0:f>IF(COUNTA($A178:$M178)=0,"",IF(OR($U178="Subscription",$U178=""),"",IF($U178="Estimate","N/A",IF(OR($U178="Free Game",$U178="Disqualified — Free Game"),0,ROUND(IFERROR($Q178,0)-IFERROR($S178,0),2)))))</ns0:f>
      </ns0:c>
      <ns0:c r="X178" s="956" t="str">
        <ns0:f>IF(COUNTA($A178:$M178)=0,"",IF(OR($U178="Subscription",NOT(ISNUMBER($J178)),NOT(ISNUMBER($I178)),$J178=0,$I178=0,$I178&gt;$J178),"",$J178-$I178))</ns0:f>
      </ns0:c>
      <ns0:c r="Y178" s="955" t="str">
        <ns0:f>IF(COUNTA($A178:$M178)=0,"",IF(OR($U178="Subscription",NOT(ISNUMBER($J178)),$J178=0,$X178=""),"",$X178/$J178))</ns0:f>
      </ns0:c>
      <ns0:c r="Z178" s="957" t="str">
        <ns0:f>IF(COUNTA($A178:$M178)=0,"",Instructions!$B$29+SUM($W$5:W178))</ns0:f>
      </ns0:c>
    </ns0:row>
    <ns0:row r="179" ht="36" customHeight="1">
      <ns0:c r="A179" s="439"/>
      <ns0:c r="B179" s="453"/>
      <ns0:c r="C179" s="453"/>
      <ns0:c r="D179" s="454"/>
      <ns0:c r="E179" s="454"/>
      <ns0:c r="F179" s="454"/>
      <ns0:c r="G179" s="986"/>
      <ns0:c r="H179" s="455"/>
      <ns0:c r="I179" s="456"/>
      <ns0:c r="J179" s="456"/>
      <ns0:c r="K179" s="986"/>
      <ns0:c r="L179" s="454"/>
      <ns0:c r="M179" s="439"/>
      <ns0:c r="N179" s="987" t="str">
        <ns0:f>IF(COUNTA($A179:$M179)=0,"",IF(OR(LEFT(LOWER(TRIM($F179&amp;"")),12)="subscription",LOWER(TRIM($F179&amp;""))="membership"),"",IF(OR(AND($H179&lt;&gt;"",$H179=0),LEFT(LOWER(TRIM($F179&amp;"")),9)="free game",LOWER(TRIM($F179&amp;""))="free",LOWER(TRIM($F179&amp;""))="free entry"),IF(ISNUMBER($G179),IF(ISNUMBER(SEARCH("non",LOWER($E179&amp;""))),$G179*0.85,$G179),"N/A"),IF($G179="","",IFERROR(IF(ISNUMBER(SEARCH("non",LOWER($E179&amp;""))),$G179*0.85,$G179),"")))))</ns0:f>
        <ns0:v/>
      </ns0:c>
      <ns0:c r="O179" s="987" t="str">
        <ns0:f>IF(COUNTA($A179:$M179)=0,"",IF(OR(LEFT(LOWER(TRIM($F179&amp;"")),12)="subscription",LOWER(TRIM($F179&amp;""))="membership"),"",IF(OR(AND($H179&lt;&gt;"",$H179=0),LEFT(LOWER(TRIM($F179&amp;"")),9)="free game",LOWER(TRIM($F179&amp;""))="free",LOWER(TRIM($F179&amp;""))="free entry"),IF(OR(NOT(ISNUMBER($N179)),NOT(ISNUMBER($I179)),$I179=0),"N/A",IFERROR($N179/$I179,"N/A")),IF(OR($N179="",$I179="",$I179=0),"",IFERROR($N179/$I179,"")))))</ns0:f>
        <ns0:v/>
      </ns0:c>
      <ns0:c r="P179" s="987">
        <ns0:f>IF(COUNTA($A179:$M179)=0,"",IF(OR(LEFT(LOWER(TRIM($F179&amp;"")),12)="subscription",LOWER(TRIM($F179&amp;""))="membership"),"",IF(LOWER(TRIM($D179&amp;""))="estimate","N/A",IF(LOWER($L179&amp;"")="yes",0,IF(OR(AND($H179&lt;&gt;"",$H179=0),LEFT(LOWER(TRIM($F179&amp;"")),9)="free game",LOWER(TRIM($F179&amp;""))="free",LOWER(TRIM($F179&amp;""))="free entry"),IF(ISNUMBER($K179),$K179,""),IF($K179&lt;&gt;"",$K179,""))))))</ns0:f>
      </ns0:c>
      <ns0:c r="Q179" s="114">
        <ns0:f>IF(COUNTA($A179:$M179)=0,"",IF(OR($U179="Subscription",$U179=""),"",IF($U179="Estimate","N/A",IF($U179="Profit",ROUND(IFERROR($P179,0)-IFERROR($H179,0),2),0))))</ns0:f>
      </ns0:c>
      <ns0:c r="R179" s="114">
        <ns0:f>IF(COUNTA($A179:$M179)=0,"",IF(OR($U179="Subscription",$U179=""),"",IF($U179="Estimate","N/A",IF($U179="Draw",$H179,0))))</ns0:f>
      </ns0:c>
      <ns0:c r="S179" s="114">
        <ns0:f>IF(COUNTA($A179:$M179)=0,"",IF(OR($U179="Subscription",$U179=""),"",IF($U179="Estimate","N/A",IF($U179="Disqualified",$H179,0))))</ns0:f>
      </ns0:c>
      <ns0:c r="T179" s="955">
        <ns0:f>IF(COUNTA($A179:$M179)=0,"",IF(OR($U179="Subscription",$U179=""),"",IF($U179="Estimate","N/A",IF(OR($U179="Free Game",$U179="Disqualified — Free Game",$H179=0),"N/A",IF($U179="Profit",$Q179/$H179,IF($U179="Disqualified",-$S179/$H179,0))))))</ns0:f>
      </ns0:c>
      <ns0:c r="U179" s="920">
        <ns0:f>IF(COUNTA($A179:$M179)=0,"",IF(OR(LEFT(LOWER(TRIM($F179&amp;"")),12)="subscription",LOWER(TRIM($F179&amp;""))="membership"),"Subscription",IF(LOWER(TRIM($D179&amp;""))="estimate","Estimate",IF(OR(AND($H179&lt;&gt;"",$H179=0),LEFT(LOWER(TRIM($F179&amp;"")),9)="free game",LOWER(TRIM($F179&amp;""))="free",LOWER(TRIM($F179&amp;""))="free entry"),IF(LOWER($L179&amp;"")="yes","Disqualified — Free Game","Free Game"),IF(LOWER($L179&amp;"")="yes","Disqualified",IF($P179="","",IF(ROUND(IFERROR(VALUE($P179),0)-IFERROR(VALUE($H179),0),2)&gt;0,"Profit","Draw")))))))</ns0:f>
      </ns0:c>
      <ns0:c r="V179" s="956" t="str">
        <ns0:f>IF(COUNTA($A179:$M179)=0,"",IF(OR($B179="",$C179="",$U179="Subscription"),"",IFERROR(ROUNDUP(($C179-$B179)/7,0),"")))</ns0:f>
      </ns0:c>
      <ns0:c r="W179" s="114">
        <ns0:f>IF(COUNTA($A179:$M179)=0,"",IF(OR($U179="Subscription",$U179=""),"",IF($U179="Estimate","N/A",IF(OR($U179="Free Game",$U179="Disqualified — Free Game"),0,ROUND(IFERROR($Q179,0)-IFERROR($S179,0),2)))))</ns0:f>
      </ns0:c>
      <ns0:c r="X179" s="956" t="str">
        <ns0:f>IF(COUNTA($A179:$M179)=0,"",IF(OR($U179="Subscription",NOT(ISNUMBER($J179)),NOT(ISNUMBER($I179)),$J179=0,$I179=0,$I179&gt;$J179),"",$J179-$I179))</ns0:f>
      </ns0:c>
      <ns0:c r="Y179" s="955" t="str">
        <ns0:f>IF(COUNTA($A179:$M179)=0,"",IF(OR($U179="Subscription",NOT(ISNUMBER($J179)),$J179=0,$X179=""),"",$X179/$J179))</ns0:f>
      </ns0:c>
      <ns0:c r="Z179" s="957" t="str">
        <ns0:f>IF(COUNTA($A179:$M179)=0,"",Instructions!$B$29+SUM($W$5:W179))</ns0:f>
      </ns0:c>
    </ns0:row>
    <ns0:row r="180" ht="36" customHeight="1">
      <ns0:c r="A180" s="439"/>
      <ns0:c r="B180" s="453"/>
      <ns0:c r="C180" s="453"/>
      <ns0:c r="D180" s="454"/>
      <ns0:c r="E180" s="454"/>
      <ns0:c r="F180" s="454"/>
      <ns0:c r="G180" s="986"/>
      <ns0:c r="H180" s="455"/>
      <ns0:c r="I180" s="456"/>
      <ns0:c r="J180" s="456"/>
      <ns0:c r="K180" s="986"/>
      <ns0:c r="L180" s="454"/>
      <ns0:c r="M180" s="439"/>
      <ns0:c r="N180" s="987" t="str">
        <ns0:f>IF(COUNTA($A180:$M180)=0,"",IF(OR(LEFT(LOWER(TRIM($F180&amp;"")),12)="subscription",LOWER(TRIM($F180&amp;""))="membership"),"",IF(OR(AND($H180&lt;&gt;"",$H180=0),LEFT(LOWER(TRIM($F180&amp;"")),9)="free game",LOWER(TRIM($F180&amp;""))="free",LOWER(TRIM($F180&amp;""))="free entry"),IF(ISNUMBER($G180),IF(ISNUMBER(SEARCH("non",LOWER($E180&amp;""))),$G180*0.85,$G180),"N/A"),IF($G180="","",IFERROR(IF(ISNUMBER(SEARCH("non",LOWER($E180&amp;""))),$G180*0.85,$G180),"")))))</ns0:f>
        <ns0:v/>
      </ns0:c>
      <ns0:c r="O180" s="987" t="str">
        <ns0:f>IF(COUNTA($A180:$M180)=0,"",IF(OR(LEFT(LOWER(TRIM($F180&amp;"")),12)="subscription",LOWER(TRIM($F180&amp;""))="membership"),"",IF(OR(AND($H180&lt;&gt;"",$H180=0),LEFT(LOWER(TRIM($F180&amp;"")),9)="free game",LOWER(TRIM($F180&amp;""))="free",LOWER(TRIM($F180&amp;""))="free entry"),IF(OR(NOT(ISNUMBER($N180)),NOT(ISNUMBER($I180)),$I180=0),"N/A",IFERROR($N180/$I180,"N/A")),IF(OR($N180="",$I180="",$I180=0),"",IFERROR($N180/$I180,"")))))</ns0:f>
        <ns0:v/>
      </ns0:c>
      <ns0:c r="P180" s="987">
        <ns0:f>IF(COUNTA($A180:$M180)=0,"",IF(OR(LEFT(LOWER(TRIM($F180&amp;"")),12)="subscription",LOWER(TRIM($F180&amp;""))="membership"),"",IF(LOWER(TRIM($D180&amp;""))="estimate","N/A",IF(LOWER($L180&amp;"")="yes",0,IF(OR(AND($H180&lt;&gt;"",$H180=0),LEFT(LOWER(TRIM($F180&amp;"")),9)="free game",LOWER(TRIM($F180&amp;""))="free",LOWER(TRIM($F180&amp;""))="free entry"),IF(ISNUMBER($K180),$K180,""),IF($K180&lt;&gt;"",$K180,""))))))</ns0:f>
      </ns0:c>
      <ns0:c r="Q180" s="114">
        <ns0:f>IF(COUNTA($A180:$M180)=0,"",IF(OR($U180="Subscription",$U180=""),"",IF($U180="Estimate","N/A",IF($U180="Profit",ROUND(IFERROR($P180,0)-IFERROR($H180,0),2),0))))</ns0:f>
      </ns0:c>
      <ns0:c r="R180" s="114">
        <ns0:f>IF(COUNTA($A180:$M180)=0,"",IF(OR($U180="Subscription",$U180=""),"",IF($U180="Estimate","N/A",IF($U180="Draw",$H180,0))))</ns0:f>
      </ns0:c>
      <ns0:c r="S180" s="114">
        <ns0:f>IF(COUNTA($A180:$M180)=0,"",IF(OR($U180="Subscription",$U180=""),"",IF($U180="Estimate","N/A",IF($U180="Disqualified",$H180,0))))</ns0:f>
      </ns0:c>
      <ns0:c r="T180" s="955">
        <ns0:f>IF(COUNTA($A180:$M180)=0,"",IF(OR($U180="Subscription",$U180=""),"",IF($U180="Estimate","N/A",IF(OR($U180="Free Game",$U180="Disqualified — Free Game",$H180=0),"N/A",IF($U180="Profit",$Q180/$H180,IF($U180="Disqualified",-$S180/$H180,0))))))</ns0:f>
      </ns0:c>
      <ns0:c r="U180" s="920">
        <ns0:f>IF(COUNTA($A180:$M180)=0,"",IF(OR(LEFT(LOWER(TRIM($F180&amp;"")),12)="subscription",LOWER(TRIM($F180&amp;""))="membership"),"Subscription",IF(LOWER(TRIM($D180&amp;""))="estimate","Estimate",IF(OR(AND($H180&lt;&gt;"",$H180=0),LEFT(LOWER(TRIM($F180&amp;"")),9)="free game",LOWER(TRIM($F180&amp;""))="free",LOWER(TRIM($F180&amp;""))="free entry"),IF(LOWER($L180&amp;"")="yes","Disqualified — Free Game","Free Game"),IF(LOWER($L180&amp;"")="yes","Disqualified",IF($P180="","",IF(ROUND(IFERROR(VALUE($P180),0)-IFERROR(VALUE($H180),0),2)&gt;0,"Profit","Draw")))))))</ns0:f>
      </ns0:c>
      <ns0:c r="V180" s="956" t="str">
        <ns0:f>IF(COUNTA($A180:$M180)=0,"",IF(OR($B180="",$C180="",$U180="Subscription"),"",IFERROR(ROUNDUP(($C180-$B180)/7,0),"")))</ns0:f>
      </ns0:c>
      <ns0:c r="W180" s="114">
        <ns0:f>IF(COUNTA($A180:$M180)=0,"",IF(OR($U180="Subscription",$U180=""),"",IF($U180="Estimate","N/A",IF(OR($U180="Free Game",$U180="Disqualified — Free Game"),0,ROUND(IFERROR($Q180,0)-IFERROR($S180,0),2)))))</ns0:f>
      </ns0:c>
      <ns0:c r="X180" s="956" t="str">
        <ns0:f>IF(COUNTA($A180:$M180)=0,"",IF(OR($U180="Subscription",NOT(ISNUMBER($J180)),NOT(ISNUMBER($I180)),$J180=0,$I180=0,$I180&gt;$J180),"",$J180-$I180))</ns0:f>
      </ns0:c>
      <ns0:c r="Y180" s="955" t="str">
        <ns0:f>IF(COUNTA($A180:$M180)=0,"",IF(OR($U180="Subscription",NOT(ISNUMBER($J180)),$J180=0,$X180=""),"",$X180/$J180))</ns0:f>
      </ns0:c>
      <ns0:c r="Z180" s="957" t="str">
        <ns0:f>IF(COUNTA($A180:$M180)=0,"",Instructions!$B$29+SUM($W$5:W180))</ns0:f>
      </ns0:c>
    </ns0:row>
    <ns0:row r="181" ht="36" customHeight="1">
      <ns0:c r="A181" s="439"/>
      <ns0:c r="B181" s="453"/>
      <ns0:c r="C181" s="453"/>
      <ns0:c r="D181" s="454"/>
      <ns0:c r="E181" s="454"/>
      <ns0:c r="F181" s="454"/>
      <ns0:c r="G181" s="986"/>
      <ns0:c r="H181" s="455"/>
      <ns0:c r="I181" s="456"/>
      <ns0:c r="J181" s="456"/>
      <ns0:c r="K181" s="986"/>
      <ns0:c r="L181" s="454"/>
      <ns0:c r="M181" s="439"/>
      <ns0:c r="N181" s="987" t="str">
        <ns0:f>IF(COUNTA($A181:$M181)=0,"",IF(OR(LEFT(LOWER(TRIM($F181&amp;"")),12)="subscription",LOWER(TRIM($F181&amp;""))="membership"),"",IF(OR(AND($H181&lt;&gt;"",$H181=0),LEFT(LOWER(TRIM($F181&amp;"")),9)="free game",LOWER(TRIM($F181&amp;""))="free",LOWER(TRIM($F181&amp;""))="free entry"),IF(ISNUMBER($G181),IF(ISNUMBER(SEARCH("non",LOWER($E181&amp;""))),$G181*0.85,$G181),"N/A"),IF($G181="","",IFERROR(IF(ISNUMBER(SEARCH("non",LOWER($E181&amp;""))),$G181*0.85,$G181),"")))))</ns0:f>
        <ns0:v/>
      </ns0:c>
      <ns0:c r="O181" s="987" t="str">
        <ns0:f>IF(COUNTA($A181:$M181)=0,"",IF(OR(LEFT(LOWER(TRIM($F181&amp;"")),12)="subscription",LOWER(TRIM($F181&amp;""))="membership"),"",IF(OR(AND($H181&lt;&gt;"",$H181=0),LEFT(LOWER(TRIM($F181&amp;"")),9)="free game",LOWER(TRIM($F181&amp;""))="free",LOWER(TRIM($F181&amp;""))="free entry"),IF(OR(NOT(ISNUMBER($N181)),NOT(ISNUMBER($I181)),$I181=0),"N/A",IFERROR($N181/$I181,"N/A")),IF(OR($N181="",$I181="",$I181=0),"",IFERROR($N181/$I181,"")))))</ns0:f>
        <ns0:v/>
      </ns0:c>
      <ns0:c r="P181" s="987">
        <ns0:f>IF(COUNTA($A181:$M181)=0,"",IF(OR(LEFT(LOWER(TRIM($F181&amp;"")),12)="subscription",LOWER(TRIM($F181&amp;""))="membership"),"",IF(LOWER(TRIM($D181&amp;""))="estimate","N/A",IF(LOWER($L181&amp;"")="yes",0,IF(OR(AND($H181&lt;&gt;"",$H181=0),LEFT(LOWER(TRIM($F181&amp;"")),9)="free game",LOWER(TRIM($F181&amp;""))="free",LOWER(TRIM($F181&amp;""))="free entry"),IF(ISNUMBER($K181),$K181,""),IF($K181&lt;&gt;"",$K181,""))))))</ns0:f>
      </ns0:c>
      <ns0:c r="Q181" s="114">
        <ns0:f>IF(COUNTA($A181:$M181)=0,"",IF(OR($U181="Subscription",$U181=""),"",IF($U181="Estimate","N/A",IF($U181="Profit",ROUND(IFERROR($P181,0)-IFERROR($H181,0),2),0))))</ns0:f>
      </ns0:c>
      <ns0:c r="R181" s="114">
        <ns0:f>IF(COUNTA($A181:$M181)=0,"",IF(OR($U181="Subscription",$U181=""),"",IF($U181="Estimate","N/A",IF($U181="Draw",$H181,0))))</ns0:f>
      </ns0:c>
      <ns0:c r="S181" s="114">
        <ns0:f>IF(COUNTA($A181:$M181)=0,"",IF(OR($U181="Subscription",$U181=""),"",IF($U181="Estimate","N/A",IF($U181="Disqualified",$H181,0))))</ns0:f>
      </ns0:c>
      <ns0:c r="T181" s="955">
        <ns0:f>IF(COUNTA($A181:$M181)=0,"",IF(OR($U181="Subscription",$U181=""),"",IF($U181="Estimate","N/A",IF(OR($U181="Free Game",$U181="Disqualified — Free Game",$H181=0),"N/A",IF($U181="Profit",$Q181/$H181,IF($U181="Disqualified",-$S181/$H181,0))))))</ns0:f>
      </ns0:c>
      <ns0:c r="U181" s="920">
        <ns0:f>IF(COUNTA($A181:$M181)=0,"",IF(OR(LEFT(LOWER(TRIM($F181&amp;"")),12)="subscription",LOWER(TRIM($F181&amp;""))="membership"),"Subscription",IF(LOWER(TRIM($D181&amp;""))="estimate","Estimate",IF(OR(AND($H181&lt;&gt;"",$H181=0),LEFT(LOWER(TRIM($F181&amp;"")),9)="free game",LOWER(TRIM($F181&amp;""))="free",LOWER(TRIM($F181&amp;""))="free entry"),IF(LOWER($L181&amp;"")="yes","Disqualified — Free Game","Free Game"),IF(LOWER($L181&amp;"")="yes","Disqualified",IF($P181="","",IF(ROUND(IFERROR(VALUE($P181),0)-IFERROR(VALUE($H181),0),2)&gt;0,"Profit","Draw")))))))</ns0:f>
      </ns0:c>
      <ns0:c r="V181" s="956" t="str">
        <ns0:f>IF(COUNTA($A181:$M181)=0,"",IF(OR($B181="",$C181="",$U181="Subscription"),"",IFERROR(ROUNDUP(($C181-$B181)/7,0),"")))</ns0:f>
      </ns0:c>
      <ns0:c r="W181" s="114">
        <ns0:f>IF(COUNTA($A181:$M181)=0,"",IF(OR($U181="Subscription",$U181=""),"",IF($U181="Estimate","N/A",IF(OR($U181="Free Game",$U181="Disqualified — Free Game"),0,ROUND(IFERROR($Q181,0)-IFERROR($S181,0),2)))))</ns0:f>
      </ns0:c>
      <ns0:c r="X181" s="956" t="str">
        <ns0:f>IF(COUNTA($A181:$M181)=0,"",IF(OR($U181="Subscription",NOT(ISNUMBER($J181)),NOT(ISNUMBER($I181)),$J181=0,$I181=0,$I181&gt;$J181),"",$J181-$I181))</ns0:f>
      </ns0:c>
      <ns0:c r="Y181" s="955" t="str">
        <ns0:f>IF(COUNTA($A181:$M181)=0,"",IF(OR($U181="Subscription",NOT(ISNUMBER($J181)),$J181=0,$X181=""),"",$X181/$J181))</ns0:f>
      </ns0:c>
      <ns0:c r="Z181" s="957" t="str">
        <ns0:f>IF(COUNTA($A181:$M181)=0,"",Instructions!$B$29+SUM($W$5:W181))</ns0:f>
      </ns0:c>
    </ns0:row>
    <ns0:row r="182" ht="36" customHeight="1">
      <ns0:c r="A182" s="439"/>
      <ns0:c r="B182" s="453"/>
      <ns0:c r="C182" s="453"/>
      <ns0:c r="D182" s="454"/>
      <ns0:c r="E182" s="454"/>
      <ns0:c r="F182" s="454"/>
      <ns0:c r="G182" s="986"/>
      <ns0:c r="H182" s="455"/>
      <ns0:c r="I182" s="456"/>
      <ns0:c r="J182" s="456"/>
      <ns0:c r="K182" s="986"/>
      <ns0:c r="L182" s="454"/>
      <ns0:c r="M182" s="439"/>
      <ns0:c r="N182" s="987" t="str">
        <ns0:f>IF(COUNTA($A182:$M182)=0,"",IF(OR(LEFT(LOWER(TRIM($F182&amp;"")),12)="subscription",LOWER(TRIM($F182&amp;""))="membership"),"",IF(OR(AND($H182&lt;&gt;"",$H182=0),LEFT(LOWER(TRIM($F182&amp;"")),9)="free game",LOWER(TRIM($F182&amp;""))="free",LOWER(TRIM($F182&amp;""))="free entry"),IF(ISNUMBER($G182),IF(ISNUMBER(SEARCH("non",LOWER($E182&amp;""))),$G182*0.85,$G182),"N/A"),IF($G182="","",IFERROR(IF(ISNUMBER(SEARCH("non",LOWER($E182&amp;""))),$G182*0.85,$G182),"")))))</ns0:f>
        <ns0:v/>
      </ns0:c>
      <ns0:c r="O182" s="987" t="str">
        <ns0:f>IF(COUNTA($A182:$M182)=0,"",IF(OR(LEFT(LOWER(TRIM($F182&amp;"")),12)="subscription",LOWER(TRIM($F182&amp;""))="membership"),"",IF(OR(AND($H182&lt;&gt;"",$H182=0),LEFT(LOWER(TRIM($F182&amp;"")),9)="free game",LOWER(TRIM($F182&amp;""))="free",LOWER(TRIM($F182&amp;""))="free entry"),IF(OR(NOT(ISNUMBER($N182)),NOT(ISNUMBER($I182)),$I182=0),"N/A",IFERROR($N182/$I182,"N/A")),IF(OR($N182="",$I182="",$I182=0),"",IFERROR($N182/$I182,"")))))</ns0:f>
        <ns0:v/>
      </ns0:c>
      <ns0:c r="P182" s="987">
        <ns0:f>IF(COUNTA($A182:$M182)=0,"",IF(OR(LEFT(LOWER(TRIM($F182&amp;"")),12)="subscription",LOWER(TRIM($F182&amp;""))="membership"),"",IF(LOWER(TRIM($D182&amp;""))="estimate","N/A",IF(LOWER($L182&amp;"")="yes",0,IF(OR(AND($H182&lt;&gt;"",$H182=0),LEFT(LOWER(TRIM($F182&amp;"")),9)="free game",LOWER(TRIM($F182&amp;""))="free",LOWER(TRIM($F182&amp;""))="free entry"),IF(ISNUMBER($K182),$K182,""),IF($K182&lt;&gt;"",$K182,""))))))</ns0:f>
      </ns0:c>
      <ns0:c r="Q182" s="114">
        <ns0:f>IF(COUNTA($A182:$M182)=0,"",IF(OR($U182="Subscription",$U182=""),"",IF($U182="Estimate","N/A",IF($U182="Profit",ROUND(IFERROR($P182,0)-IFERROR($H182,0),2),0))))</ns0:f>
      </ns0:c>
      <ns0:c r="R182" s="114">
        <ns0:f>IF(COUNTA($A182:$M182)=0,"",IF(OR($U182="Subscription",$U182=""),"",IF($U182="Estimate","N/A",IF($U182="Draw",$H182,0))))</ns0:f>
      </ns0:c>
      <ns0:c r="S182" s="114">
        <ns0:f>IF(COUNTA($A182:$M182)=0,"",IF(OR($U182="Subscription",$U182=""),"",IF($U182="Estimate","N/A",IF($U182="Disqualified",$H182,0))))</ns0:f>
      </ns0:c>
      <ns0:c r="T182" s="955">
        <ns0:f>IF(COUNTA($A182:$M182)=0,"",IF(OR($U182="Subscription",$U182=""),"",IF($U182="Estimate","N/A",IF(OR($U182="Free Game",$U182="Disqualified — Free Game",$H182=0),"N/A",IF($U182="Profit",$Q182/$H182,IF($U182="Disqualified",-$S182/$H182,0))))))</ns0:f>
      </ns0:c>
      <ns0:c r="U182" s="920">
        <ns0:f>IF(COUNTA($A182:$M182)=0,"",IF(OR(LEFT(LOWER(TRIM($F182&amp;"")),12)="subscription",LOWER(TRIM($F182&amp;""))="membership"),"Subscription",IF(LOWER(TRIM($D182&amp;""))="estimate","Estimate",IF(OR(AND($H182&lt;&gt;"",$H182=0),LEFT(LOWER(TRIM($F182&amp;"")),9)="free game",LOWER(TRIM($F182&amp;""))="free",LOWER(TRIM($F182&amp;""))="free entry"),IF(LOWER($L182&amp;"")="yes","Disqualified — Free Game","Free Game"),IF(LOWER($L182&amp;"")="yes","Disqualified",IF($P182="","",IF(ROUND(IFERROR(VALUE($P182),0)-IFERROR(VALUE($H182),0),2)&gt;0,"Profit","Draw")))))))</ns0:f>
      </ns0:c>
      <ns0:c r="V182" s="956" t="str">
        <ns0:f>IF(COUNTA($A182:$M182)=0,"",IF(OR($B182="",$C182="",$U182="Subscription"),"",IFERROR(ROUNDUP(($C182-$B182)/7,0),"")))</ns0:f>
      </ns0:c>
      <ns0:c r="W182" s="114">
        <ns0:f>IF(COUNTA($A182:$M182)=0,"",IF(OR($U182="Subscription",$U182=""),"",IF($U182="Estimate","N/A",IF(OR($U182="Free Game",$U182="Disqualified — Free Game"),0,ROUND(IFERROR($Q182,0)-IFERROR($S182,0),2)))))</ns0:f>
      </ns0:c>
      <ns0:c r="X182" s="956" t="str">
        <ns0:f>IF(COUNTA($A182:$M182)=0,"",IF(OR($U182="Subscription",NOT(ISNUMBER($J182)),NOT(ISNUMBER($I182)),$J182=0,$I182=0,$I182&gt;$J182),"",$J182-$I182))</ns0:f>
      </ns0:c>
      <ns0:c r="Y182" s="955" t="str">
        <ns0:f>IF(COUNTA($A182:$M182)=0,"",IF(OR($U182="Subscription",NOT(ISNUMBER($J182)),$J182=0,$X182=""),"",$X182/$J182))</ns0:f>
      </ns0:c>
      <ns0:c r="Z182" s="957" t="str">
        <ns0:f>IF(COUNTA($A182:$M182)=0,"",Instructions!$B$29+SUM($W$5:W182))</ns0:f>
      </ns0:c>
    </ns0:row>
    <ns0:row r="183" ht="36" customHeight="1">
      <ns0:c r="A183" s="439"/>
      <ns0:c r="B183" s="453"/>
      <ns0:c r="C183" s="453"/>
      <ns0:c r="D183" s="454"/>
      <ns0:c r="E183" s="454"/>
      <ns0:c r="F183" s="454"/>
      <ns0:c r="G183" s="986"/>
      <ns0:c r="H183" s="455"/>
      <ns0:c r="I183" s="456"/>
      <ns0:c r="J183" s="456"/>
      <ns0:c r="K183" s="986"/>
      <ns0:c r="L183" s="454"/>
      <ns0:c r="M183" s="439"/>
      <ns0:c r="N183" s="987" t="str">
        <ns0:f>IF(COUNTA($A183:$M183)=0,"",IF(OR(LEFT(LOWER(TRIM($F183&amp;"")),12)="subscription",LOWER(TRIM($F183&amp;""))="membership"),"",IF(OR(AND($H183&lt;&gt;"",$H183=0),LEFT(LOWER(TRIM($F183&amp;"")),9)="free game",LOWER(TRIM($F183&amp;""))="free",LOWER(TRIM($F183&amp;""))="free entry"),IF(ISNUMBER($G183),IF(ISNUMBER(SEARCH("non",LOWER($E183&amp;""))),$G183*0.85,$G183),"N/A"),IF($G183="","",IFERROR(IF(ISNUMBER(SEARCH("non",LOWER($E183&amp;""))),$G183*0.85,$G183),"")))))</ns0:f>
        <ns0:v/>
      </ns0:c>
      <ns0:c r="O183" s="987" t="str">
        <ns0:f>IF(COUNTA($A183:$M183)=0,"",IF(OR(LEFT(LOWER(TRIM($F183&amp;"")),12)="subscription",LOWER(TRIM($F183&amp;""))="membership"),"",IF(OR(AND($H183&lt;&gt;"",$H183=0),LEFT(LOWER(TRIM($F183&amp;"")),9)="free game",LOWER(TRIM($F183&amp;""))="free",LOWER(TRIM($F183&amp;""))="free entry"),IF(OR(NOT(ISNUMBER($N183)),NOT(ISNUMBER($I183)),$I183=0),"N/A",IFERROR($N183/$I183,"N/A")),IF(OR($N183="",$I183="",$I183=0),"",IFERROR($N183/$I183,"")))))</ns0:f>
        <ns0:v/>
      </ns0:c>
      <ns0:c r="P183" s="987">
        <ns0:f>IF(COUNTA($A183:$M183)=0,"",IF(OR(LEFT(LOWER(TRIM($F183&amp;"")),12)="subscription",LOWER(TRIM($F183&amp;""))="membership"),"",IF(LOWER(TRIM($D183&amp;""))="estimate","N/A",IF(LOWER($L183&amp;"")="yes",0,IF(OR(AND($H183&lt;&gt;"",$H183=0),LEFT(LOWER(TRIM($F183&amp;"")),9)="free game",LOWER(TRIM($F183&amp;""))="free",LOWER(TRIM($F183&amp;""))="free entry"),IF(ISNUMBER($K183),$K183,""),IF($K183&lt;&gt;"",$K183,""))))))</ns0:f>
      </ns0:c>
      <ns0:c r="Q183" s="114">
        <ns0:f>IF(COUNTA($A183:$M183)=0,"",IF(OR($U183="Subscription",$U183=""),"",IF($U183="Estimate","N/A",IF($U183="Profit",ROUND(IFERROR($P183,0)-IFERROR($H183,0),2),0))))</ns0:f>
      </ns0:c>
      <ns0:c r="R183" s="114">
        <ns0:f>IF(COUNTA($A183:$M183)=0,"",IF(OR($U183="Subscription",$U183=""),"",IF($U183="Estimate","N/A",IF($U183="Draw",$H183,0))))</ns0:f>
      </ns0:c>
      <ns0:c r="S183" s="114">
        <ns0:f>IF(COUNTA($A183:$M183)=0,"",IF(OR($U183="Subscription",$U183=""),"",IF($U183="Estimate","N/A",IF($U183="Disqualified",$H183,0))))</ns0:f>
      </ns0:c>
      <ns0:c r="T183" s="955">
        <ns0:f>IF(COUNTA($A183:$M183)=0,"",IF(OR($U183="Subscription",$U183=""),"",IF($U183="Estimate","N/A",IF(OR($U183="Free Game",$U183="Disqualified — Free Game",$H183=0),"N/A",IF($U183="Profit",$Q183/$H183,IF($U183="Disqualified",-$S183/$H183,0))))))</ns0:f>
      </ns0:c>
      <ns0:c r="U183" s="920">
        <ns0:f>IF(COUNTA($A183:$M183)=0,"",IF(OR(LEFT(LOWER(TRIM($F183&amp;"")),12)="subscription",LOWER(TRIM($F183&amp;""))="membership"),"Subscription",IF(LOWER(TRIM($D183&amp;""))="estimate","Estimate",IF(OR(AND($H183&lt;&gt;"",$H183=0),LEFT(LOWER(TRIM($F183&amp;"")),9)="free game",LOWER(TRIM($F183&amp;""))="free",LOWER(TRIM($F183&amp;""))="free entry"),IF(LOWER($L183&amp;"")="yes","Disqualified — Free Game","Free Game"),IF(LOWER($L183&amp;"")="yes","Disqualified",IF($P183="","",IF(ROUND(IFERROR(VALUE($P183),0)-IFERROR(VALUE($H183),0),2)&gt;0,"Profit","Draw")))))))</ns0:f>
      </ns0:c>
      <ns0:c r="V183" s="956" t="str">
        <ns0:f>IF(COUNTA($A183:$M183)=0,"",IF(OR($B183="",$C183="",$U183="Subscription"),"",IFERROR(ROUNDUP(($C183-$B183)/7,0),"")))</ns0:f>
      </ns0:c>
      <ns0:c r="W183" s="114">
        <ns0:f>IF(COUNTA($A183:$M183)=0,"",IF(OR($U183="Subscription",$U183=""),"",IF($U183="Estimate","N/A",IF(OR($U183="Free Game",$U183="Disqualified — Free Game"),0,ROUND(IFERROR($Q183,0)-IFERROR($S183,0),2)))))</ns0:f>
      </ns0:c>
      <ns0:c r="X183" s="956" t="str">
        <ns0:f>IF(COUNTA($A183:$M183)=0,"",IF(OR($U183="Subscription",NOT(ISNUMBER($J183)),NOT(ISNUMBER($I183)),$J183=0,$I183=0,$I183&gt;$J183),"",$J183-$I183))</ns0:f>
      </ns0:c>
      <ns0:c r="Y183" s="955" t="str">
        <ns0:f>IF(COUNTA($A183:$M183)=0,"",IF(OR($U183="Subscription",NOT(ISNUMBER($J183)),$J183=0,$X183=""),"",$X183/$J183))</ns0:f>
      </ns0:c>
      <ns0:c r="Z183" s="957" t="str">
        <ns0:f>IF(COUNTA($A183:$M183)=0,"",Instructions!$B$29+SUM($W$5:W183))</ns0:f>
      </ns0:c>
    </ns0:row>
    <ns0:row r="184" ht="36" customHeight="1">
      <ns0:c r="A184" s="439"/>
      <ns0:c r="B184" s="453"/>
      <ns0:c r="C184" s="453"/>
      <ns0:c r="D184" s="454"/>
      <ns0:c r="E184" s="454"/>
      <ns0:c r="F184" s="454"/>
      <ns0:c r="G184" s="986"/>
      <ns0:c r="H184" s="455"/>
      <ns0:c r="I184" s="456"/>
      <ns0:c r="J184" s="456"/>
      <ns0:c r="K184" s="986"/>
      <ns0:c r="L184" s="454"/>
      <ns0:c r="M184" s="439"/>
      <ns0:c r="N184" s="987" t="str">
        <ns0:f>IF(COUNTA($A184:$M184)=0,"",IF(OR(LEFT(LOWER(TRIM($F184&amp;"")),12)="subscription",LOWER(TRIM($F184&amp;""))="membership"),"",IF(OR(AND($H184&lt;&gt;"",$H184=0),LEFT(LOWER(TRIM($F184&amp;"")),9)="free game",LOWER(TRIM($F184&amp;""))="free",LOWER(TRIM($F184&amp;""))="free entry"),IF(ISNUMBER($G184),IF(ISNUMBER(SEARCH("non",LOWER($E184&amp;""))),$G184*0.85,$G184),"N/A"),IF($G184="","",IFERROR(IF(ISNUMBER(SEARCH("non",LOWER($E184&amp;""))),$G184*0.85,$G184),"")))))</ns0:f>
        <ns0:v/>
      </ns0:c>
      <ns0:c r="O184" s="987" t="str">
        <ns0:f>IF(COUNTA($A184:$M184)=0,"",IF(OR(LEFT(LOWER(TRIM($F184&amp;"")),12)="subscription",LOWER(TRIM($F184&amp;""))="membership"),"",IF(OR(AND($H184&lt;&gt;"",$H184=0),LEFT(LOWER(TRIM($F184&amp;"")),9)="free game",LOWER(TRIM($F184&amp;""))="free",LOWER(TRIM($F184&amp;""))="free entry"),IF(OR(NOT(ISNUMBER($N184)),NOT(ISNUMBER($I184)),$I184=0),"N/A",IFERROR($N184/$I184,"N/A")),IF(OR($N184="",$I184="",$I184=0),"",IFERROR($N184/$I184,"")))))</ns0:f>
        <ns0:v/>
      </ns0:c>
      <ns0:c r="P184" s="987">
        <ns0:f>IF(COUNTA($A184:$M184)=0,"",IF(OR(LEFT(LOWER(TRIM($F184&amp;"")),12)="subscription",LOWER(TRIM($F184&amp;""))="membership"),"",IF(LOWER(TRIM($D184&amp;""))="estimate","N/A",IF(LOWER($L184&amp;"")="yes",0,IF(OR(AND($H184&lt;&gt;"",$H184=0),LEFT(LOWER(TRIM($F184&amp;"")),9)="free game",LOWER(TRIM($F184&amp;""))="free",LOWER(TRIM($F184&amp;""))="free entry"),IF(ISNUMBER($K184),$K184,""),IF($K184&lt;&gt;"",$K184,""))))))</ns0:f>
      </ns0:c>
      <ns0:c r="Q184" s="114">
        <ns0:f>IF(COUNTA($A184:$M184)=0,"",IF(OR($U184="Subscription",$U184=""),"",IF($U184="Estimate","N/A",IF($U184="Profit",ROUND(IFERROR($P184,0)-IFERROR($H184,0),2),0))))</ns0:f>
      </ns0:c>
      <ns0:c r="R184" s="114">
        <ns0:f>IF(COUNTA($A184:$M184)=0,"",IF(OR($U184="Subscription",$U184=""),"",IF($U184="Estimate","N/A",IF($U184="Draw",$H184,0))))</ns0:f>
      </ns0:c>
      <ns0:c r="S184" s="114">
        <ns0:f>IF(COUNTA($A184:$M184)=0,"",IF(OR($U184="Subscription",$U184=""),"",IF($U184="Estimate","N/A",IF($U184="Disqualified",$H184,0))))</ns0:f>
      </ns0:c>
      <ns0:c r="T184" s="955">
        <ns0:f>IF(COUNTA($A184:$M184)=0,"",IF(OR($U184="Subscription",$U184=""),"",IF($U184="Estimate","N/A",IF(OR($U184="Free Game",$U184="Disqualified — Free Game",$H184=0),"N/A",IF($U184="Profit",$Q184/$H184,IF($U184="Disqualified",-$S184/$H184,0))))))</ns0:f>
      </ns0:c>
      <ns0:c r="U184" s="920">
        <ns0:f>IF(COUNTA($A184:$M184)=0,"",IF(OR(LEFT(LOWER(TRIM($F184&amp;"")),12)="subscription",LOWER(TRIM($F184&amp;""))="membership"),"Subscription",IF(LOWER(TRIM($D184&amp;""))="estimate","Estimate",IF(OR(AND($H184&lt;&gt;"",$H184=0),LEFT(LOWER(TRIM($F184&amp;"")),9)="free game",LOWER(TRIM($F184&amp;""))="free",LOWER(TRIM($F184&amp;""))="free entry"),IF(LOWER($L184&amp;"")="yes","Disqualified — Free Game","Free Game"),IF(LOWER($L184&amp;"")="yes","Disqualified",IF($P184="","",IF(ROUND(IFERROR(VALUE($P184),0)-IFERROR(VALUE($H184),0),2)&gt;0,"Profit","Draw")))))))</ns0:f>
      </ns0:c>
      <ns0:c r="V184" s="956" t="str">
        <ns0:f>IF(COUNTA($A184:$M184)=0,"",IF(OR($B184="",$C184="",$U184="Subscription"),"",IFERROR(ROUNDUP(($C184-$B184)/7,0),"")))</ns0:f>
      </ns0:c>
      <ns0:c r="W184" s="114">
        <ns0:f>IF(COUNTA($A184:$M184)=0,"",IF(OR($U184="Subscription",$U184=""),"",IF($U184="Estimate","N/A",IF(OR($U184="Free Game",$U184="Disqualified — Free Game"),0,ROUND(IFERROR($Q184,0)-IFERROR($S184,0),2)))))</ns0:f>
      </ns0:c>
      <ns0:c r="X184" s="956" t="str">
        <ns0:f>IF(COUNTA($A184:$M184)=0,"",IF(OR($U184="Subscription",NOT(ISNUMBER($J184)),NOT(ISNUMBER($I184)),$J184=0,$I184=0,$I184&gt;$J184),"",$J184-$I184))</ns0:f>
      </ns0:c>
      <ns0:c r="Y184" s="955" t="str">
        <ns0:f>IF(COUNTA($A184:$M184)=0,"",IF(OR($U184="Subscription",NOT(ISNUMBER($J184)),$J184=0,$X184=""),"",$X184/$J184))</ns0:f>
      </ns0:c>
      <ns0:c r="Z184" s="957" t="str">
        <ns0:f>IF(COUNTA($A184:$M184)=0,"",Instructions!$B$29+SUM($W$5:W184))</ns0:f>
      </ns0:c>
    </ns0:row>
    <ns0:row r="185" ht="36" customHeight="1">
      <ns0:c r="A185" s="439"/>
      <ns0:c r="B185" s="453"/>
      <ns0:c r="C185" s="453"/>
      <ns0:c r="D185" s="454"/>
      <ns0:c r="E185" s="454"/>
      <ns0:c r="F185" s="454"/>
      <ns0:c r="G185" s="986"/>
      <ns0:c r="H185" s="455"/>
      <ns0:c r="I185" s="456"/>
      <ns0:c r="J185" s="456"/>
      <ns0:c r="K185" s="986"/>
      <ns0:c r="L185" s="454"/>
      <ns0:c r="M185" s="439"/>
      <ns0:c r="N185" s="987" t="str">
        <ns0:f>IF(COUNTA($A185:$M185)=0,"",IF(OR(LEFT(LOWER(TRIM($F185&amp;"")),12)="subscription",LOWER(TRIM($F185&amp;""))="membership"),"",IF(OR(AND($H185&lt;&gt;"",$H185=0),LEFT(LOWER(TRIM($F185&amp;"")),9)="free game",LOWER(TRIM($F185&amp;""))="free",LOWER(TRIM($F185&amp;""))="free entry"),IF(ISNUMBER($G185),IF(ISNUMBER(SEARCH("non",LOWER($E185&amp;""))),$G185*0.85,$G185),"N/A"),IF($G185="","",IFERROR(IF(ISNUMBER(SEARCH("non",LOWER($E185&amp;""))),$G185*0.85,$G185),"")))))</ns0:f>
        <ns0:v/>
      </ns0:c>
      <ns0:c r="O185" s="987" t="str">
        <ns0:f>IF(COUNTA($A185:$M185)=0,"",IF(OR(LEFT(LOWER(TRIM($F185&amp;"")),12)="subscription",LOWER(TRIM($F185&amp;""))="membership"),"",IF(OR(AND($H185&lt;&gt;"",$H185=0),LEFT(LOWER(TRIM($F185&amp;"")),9)="free game",LOWER(TRIM($F185&amp;""))="free",LOWER(TRIM($F185&amp;""))="free entry"),IF(OR(NOT(ISNUMBER($N185)),NOT(ISNUMBER($I185)),$I185=0),"N/A",IFERROR($N185/$I185,"N/A")),IF(OR($N185="",$I185="",$I185=0),"",IFERROR($N185/$I185,"")))))</ns0:f>
        <ns0:v/>
      </ns0:c>
      <ns0:c r="P185" s="987">
        <ns0:f>IF(COUNTA($A185:$M185)=0,"",IF(OR(LEFT(LOWER(TRIM($F185&amp;"")),12)="subscription",LOWER(TRIM($F185&amp;""))="membership"),"",IF(LOWER(TRIM($D185&amp;""))="estimate","N/A",IF(LOWER($L185&amp;"")="yes",0,IF(OR(AND($H185&lt;&gt;"",$H185=0),LEFT(LOWER(TRIM($F185&amp;"")),9)="free game",LOWER(TRIM($F185&amp;""))="free",LOWER(TRIM($F185&amp;""))="free entry"),IF(ISNUMBER($K185),$K185,""),IF($K185&lt;&gt;"",$K185,""))))))</ns0:f>
      </ns0:c>
      <ns0:c r="Q185" s="114">
        <ns0:f>IF(COUNTA($A185:$M185)=0,"",IF(OR($U185="Subscription",$U185=""),"",IF($U185="Estimate","N/A",IF($U185="Profit",ROUND(IFERROR($P185,0)-IFERROR($H185,0),2),0))))</ns0:f>
      </ns0:c>
      <ns0:c r="R185" s="114">
        <ns0:f>IF(COUNTA($A185:$M185)=0,"",IF(OR($U185="Subscription",$U185=""),"",IF($U185="Estimate","N/A",IF($U185="Draw",$H185,0))))</ns0:f>
      </ns0:c>
      <ns0:c r="S185" s="114">
        <ns0:f>IF(COUNTA($A185:$M185)=0,"",IF(OR($U185="Subscription",$U185=""),"",IF($U185="Estimate","N/A",IF($U185="Disqualified",$H185,0))))</ns0:f>
      </ns0:c>
      <ns0:c r="T185" s="955">
        <ns0:f>IF(COUNTA($A185:$M185)=0,"",IF(OR($U185="Subscription",$U185=""),"",IF($U185="Estimate","N/A",IF(OR($U185="Free Game",$U185="Disqualified — Free Game",$H185=0),"N/A",IF($U185="Profit",$Q185/$H185,IF($U185="Disqualified",-$S185/$H185,0))))))</ns0:f>
      </ns0:c>
      <ns0:c r="U185" s="920">
        <ns0:f>IF(COUNTA($A185:$M185)=0,"",IF(OR(LEFT(LOWER(TRIM($F185&amp;"")),12)="subscription",LOWER(TRIM($F185&amp;""))="membership"),"Subscription",IF(LOWER(TRIM($D185&amp;""))="estimate","Estimate",IF(OR(AND($H185&lt;&gt;"",$H185=0),LEFT(LOWER(TRIM($F185&amp;"")),9)="free game",LOWER(TRIM($F185&amp;""))="free",LOWER(TRIM($F185&amp;""))="free entry"),IF(LOWER($L185&amp;"")="yes","Disqualified — Free Game","Free Game"),IF(LOWER($L185&amp;"")="yes","Disqualified",IF($P185="","",IF(ROUND(IFERROR(VALUE($P185),0)-IFERROR(VALUE($H185),0),2)&gt;0,"Profit","Draw")))))))</ns0:f>
      </ns0:c>
      <ns0:c r="V185" s="956" t="str">
        <ns0:f>IF(COUNTA($A185:$M185)=0,"",IF(OR($B185="",$C185="",$U185="Subscription"),"",IFERROR(ROUNDUP(($C185-$B185)/7,0),"")))</ns0:f>
      </ns0:c>
      <ns0:c r="W185" s="114">
        <ns0:f>IF(COUNTA($A185:$M185)=0,"",IF(OR($U185="Subscription",$U185=""),"",IF($U185="Estimate","N/A",IF(OR($U185="Free Game",$U185="Disqualified — Free Game"),0,ROUND(IFERROR($Q185,0)-IFERROR($S185,0),2)))))</ns0:f>
      </ns0:c>
      <ns0:c r="X185" s="956" t="str">
        <ns0:f>IF(COUNTA($A185:$M185)=0,"",IF(OR($U185="Subscription",NOT(ISNUMBER($J185)),NOT(ISNUMBER($I185)),$J185=0,$I185=0,$I185&gt;$J185),"",$J185-$I185))</ns0:f>
      </ns0:c>
      <ns0:c r="Y185" s="955" t="str">
        <ns0:f>IF(COUNTA($A185:$M185)=0,"",IF(OR($U185="Subscription",NOT(ISNUMBER($J185)),$J185=0,$X185=""),"",$X185/$J185))</ns0:f>
      </ns0:c>
      <ns0:c r="Z185" s="957" t="str">
        <ns0:f>IF(COUNTA($A185:$M185)=0,"",Instructions!$B$29+SUM($W$5:W185))</ns0:f>
      </ns0:c>
    </ns0:row>
    <ns0:row r="186" ht="36" customHeight="1">
      <ns0:c r="A186" s="439"/>
      <ns0:c r="B186" s="453"/>
      <ns0:c r="C186" s="453"/>
      <ns0:c r="D186" s="454"/>
      <ns0:c r="E186" s="454"/>
      <ns0:c r="F186" s="454"/>
      <ns0:c r="G186" s="986"/>
      <ns0:c r="H186" s="455"/>
      <ns0:c r="I186" s="456"/>
      <ns0:c r="J186" s="456"/>
      <ns0:c r="K186" s="986"/>
      <ns0:c r="L186" s="454"/>
      <ns0:c r="M186" s="439"/>
      <ns0:c r="N186" s="987" t="str">
        <ns0:f>IF(COUNTA($A186:$M186)=0,"",IF(OR(LEFT(LOWER(TRIM($F186&amp;"")),12)="subscription",LOWER(TRIM($F186&amp;""))="membership"),"",IF(OR(AND($H186&lt;&gt;"",$H186=0),LEFT(LOWER(TRIM($F186&amp;"")),9)="free game",LOWER(TRIM($F186&amp;""))="free",LOWER(TRIM($F186&amp;""))="free entry"),IF(ISNUMBER($G186),IF(ISNUMBER(SEARCH("non",LOWER($E186&amp;""))),$G186*0.85,$G186),"N/A"),IF($G186="","",IFERROR(IF(ISNUMBER(SEARCH("non",LOWER($E186&amp;""))),$G186*0.85,$G186),"")))))</ns0:f>
        <ns0:v/>
      </ns0:c>
      <ns0:c r="O186" s="987" t="str">
        <ns0:f>IF(COUNTA($A186:$M186)=0,"",IF(OR(LEFT(LOWER(TRIM($F186&amp;"")),12)="subscription",LOWER(TRIM($F186&amp;""))="membership"),"",IF(OR(AND($H186&lt;&gt;"",$H186=0),LEFT(LOWER(TRIM($F186&amp;"")),9)="free game",LOWER(TRIM($F186&amp;""))="free",LOWER(TRIM($F186&amp;""))="free entry"),IF(OR(NOT(ISNUMBER($N186)),NOT(ISNUMBER($I186)),$I186=0),"N/A",IFERROR($N186/$I186,"N/A")),IF(OR($N186="",$I186="",$I186=0),"",IFERROR($N186/$I186,"")))))</ns0:f>
        <ns0:v/>
      </ns0:c>
      <ns0:c r="P186" s="987">
        <ns0:f>IF(COUNTA($A186:$M186)=0,"",IF(OR(LEFT(LOWER(TRIM($F186&amp;"")),12)="subscription",LOWER(TRIM($F186&amp;""))="membership"),"",IF(LOWER(TRIM($D186&amp;""))="estimate","N/A",IF(LOWER($L186&amp;"")="yes",0,IF(OR(AND($H186&lt;&gt;"",$H186=0),LEFT(LOWER(TRIM($F186&amp;"")),9)="free game",LOWER(TRIM($F186&amp;""))="free",LOWER(TRIM($F186&amp;""))="free entry"),IF(ISNUMBER($K186),$K186,""),IF($K186&lt;&gt;"",$K186,""))))))</ns0:f>
      </ns0:c>
      <ns0:c r="Q186" s="114">
        <ns0:f>IF(COUNTA($A186:$M186)=0,"",IF(OR($U186="Subscription",$U186=""),"",IF($U186="Estimate","N/A",IF($U186="Profit",ROUND(IFERROR($P186,0)-IFERROR($H186,0),2),0))))</ns0:f>
      </ns0:c>
      <ns0:c r="R186" s="114">
        <ns0:f>IF(COUNTA($A186:$M186)=0,"",IF(OR($U186="Subscription",$U186=""),"",IF($U186="Estimate","N/A",IF($U186="Draw",$H186,0))))</ns0:f>
      </ns0:c>
      <ns0:c r="S186" s="114">
        <ns0:f>IF(COUNTA($A186:$M186)=0,"",IF(OR($U186="Subscription",$U186=""),"",IF($U186="Estimate","N/A",IF($U186="Disqualified",$H186,0))))</ns0:f>
      </ns0:c>
      <ns0:c r="T186" s="955">
        <ns0:f>IF(COUNTA($A186:$M186)=0,"",IF(OR($U186="Subscription",$U186=""),"",IF($U186="Estimate","N/A",IF(OR($U186="Free Game",$U186="Disqualified — Free Game",$H186=0),"N/A",IF($U186="Profit",$Q186/$H186,IF($U186="Disqualified",-$S186/$H186,0))))))</ns0:f>
      </ns0:c>
      <ns0:c r="U186" s="920">
        <ns0:f>IF(COUNTA($A186:$M186)=0,"",IF(OR(LEFT(LOWER(TRIM($F186&amp;"")),12)="subscription",LOWER(TRIM($F186&amp;""))="membership"),"Subscription",IF(LOWER(TRIM($D186&amp;""))="estimate","Estimate",IF(OR(AND($H186&lt;&gt;"",$H186=0),LEFT(LOWER(TRIM($F186&amp;"")),9)="free game",LOWER(TRIM($F186&amp;""))="free",LOWER(TRIM($F186&amp;""))="free entry"),IF(LOWER($L186&amp;"")="yes","Disqualified — Free Game","Free Game"),IF(LOWER($L186&amp;"")="yes","Disqualified",IF($P186="","",IF(ROUND(IFERROR(VALUE($P186),0)-IFERROR(VALUE($H186),0),2)&gt;0,"Profit","Draw")))))))</ns0:f>
      </ns0:c>
      <ns0:c r="V186" s="956" t="str">
        <ns0:f>IF(COUNTA($A186:$M186)=0,"",IF(OR($B186="",$C186="",$U186="Subscription"),"",IFERROR(ROUNDUP(($C186-$B186)/7,0),"")))</ns0:f>
      </ns0:c>
      <ns0:c r="W186" s="114">
        <ns0:f>IF(COUNTA($A186:$M186)=0,"",IF(OR($U186="Subscription",$U186=""),"",IF($U186="Estimate","N/A",IF(OR($U186="Free Game",$U186="Disqualified — Free Game"),0,ROUND(IFERROR($Q186,0)-IFERROR($S186,0),2)))))</ns0:f>
      </ns0:c>
      <ns0:c r="X186" s="956" t="str">
        <ns0:f>IF(COUNTA($A186:$M186)=0,"",IF(OR($U186="Subscription",NOT(ISNUMBER($J186)),NOT(ISNUMBER($I186)),$J186=0,$I186=0,$I186&gt;$J186),"",$J186-$I186))</ns0:f>
      </ns0:c>
      <ns0:c r="Y186" s="955" t="str">
        <ns0:f>IF(COUNTA($A186:$M186)=0,"",IF(OR($U186="Subscription",NOT(ISNUMBER($J186)),$J186=0,$X186=""),"",$X186/$J186))</ns0:f>
      </ns0:c>
      <ns0:c r="Z186" s="957" t="str">
        <ns0:f>IF(COUNTA($A186:$M186)=0,"",Instructions!$B$29+SUM($W$5:W186))</ns0:f>
      </ns0:c>
    </ns0:row>
    <ns0:row r="187" ht="36" customHeight="1">
      <ns0:c r="A187" s="439"/>
      <ns0:c r="B187" s="453"/>
      <ns0:c r="C187" s="453"/>
      <ns0:c r="D187" s="454"/>
      <ns0:c r="E187" s="454"/>
      <ns0:c r="F187" s="454"/>
      <ns0:c r="G187" s="986"/>
      <ns0:c r="H187" s="455"/>
      <ns0:c r="I187" s="456"/>
      <ns0:c r="J187" s="456"/>
      <ns0:c r="K187" s="986"/>
      <ns0:c r="L187" s="454"/>
      <ns0:c r="M187" s="439"/>
      <ns0:c r="N187" s="987" t="str">
        <ns0:f>IF(COUNTA($A187:$M187)=0,"",IF(OR(LEFT(LOWER(TRIM($F187&amp;"")),12)="subscription",LOWER(TRIM($F187&amp;""))="membership"),"",IF(OR(AND($H187&lt;&gt;"",$H187=0),LEFT(LOWER(TRIM($F187&amp;"")),9)="free game",LOWER(TRIM($F187&amp;""))="free",LOWER(TRIM($F187&amp;""))="free entry"),IF(ISNUMBER($G187),IF(ISNUMBER(SEARCH("non",LOWER($E187&amp;""))),$G187*0.85,$G187),"N/A"),IF($G187="","",IFERROR(IF(ISNUMBER(SEARCH("non",LOWER($E187&amp;""))),$G187*0.85,$G187),"")))))</ns0:f>
        <ns0:v/>
      </ns0:c>
      <ns0:c r="O187" s="987" t="str">
        <ns0:f>IF(COUNTA($A187:$M187)=0,"",IF(OR(LEFT(LOWER(TRIM($F187&amp;"")),12)="subscription",LOWER(TRIM($F187&amp;""))="membership"),"",IF(OR(AND($H187&lt;&gt;"",$H187=0),LEFT(LOWER(TRIM($F187&amp;"")),9)="free game",LOWER(TRIM($F187&amp;""))="free",LOWER(TRIM($F187&amp;""))="free entry"),IF(OR(NOT(ISNUMBER($N187)),NOT(ISNUMBER($I187)),$I187=0),"N/A",IFERROR($N187/$I187,"N/A")),IF(OR($N187="",$I187="",$I187=0),"",IFERROR($N187/$I187,"")))))</ns0:f>
        <ns0:v/>
      </ns0:c>
      <ns0:c r="P187" s="987">
        <ns0:f>IF(COUNTA($A187:$M187)=0,"",IF(OR(LEFT(LOWER(TRIM($F187&amp;"")),12)="subscription",LOWER(TRIM($F187&amp;""))="membership"),"",IF(LOWER(TRIM($D187&amp;""))="estimate","N/A",IF(LOWER($L187&amp;"")="yes",0,IF(OR(AND($H187&lt;&gt;"",$H187=0),LEFT(LOWER(TRIM($F187&amp;"")),9)="free game",LOWER(TRIM($F187&amp;""))="free",LOWER(TRIM($F187&amp;""))="free entry"),IF(ISNUMBER($K187),$K187,""),IF($K187&lt;&gt;"",$K187,""))))))</ns0:f>
      </ns0:c>
      <ns0:c r="Q187" s="114">
        <ns0:f>IF(COUNTA($A187:$M187)=0,"",IF(OR($U187="Subscription",$U187=""),"",IF($U187="Estimate","N/A",IF($U187="Profit",ROUND(IFERROR($P187,0)-IFERROR($H187,0),2),0))))</ns0:f>
      </ns0:c>
      <ns0:c r="R187" s="114">
        <ns0:f>IF(COUNTA($A187:$M187)=0,"",IF(OR($U187="Subscription",$U187=""),"",IF($U187="Estimate","N/A",IF($U187="Draw",$H187,0))))</ns0:f>
      </ns0:c>
      <ns0:c r="S187" s="114">
        <ns0:f>IF(COUNTA($A187:$M187)=0,"",IF(OR($U187="Subscription",$U187=""),"",IF($U187="Estimate","N/A",IF($U187="Disqualified",$H187,0))))</ns0:f>
      </ns0:c>
      <ns0:c r="T187" s="955">
        <ns0:f>IF(COUNTA($A187:$M187)=0,"",IF(OR($U187="Subscription",$U187=""),"",IF($U187="Estimate","N/A",IF(OR($U187="Free Game",$U187="Disqualified — Free Game",$H187=0),"N/A",IF($U187="Profit",$Q187/$H187,IF($U187="Disqualified",-$S187/$H187,0))))))</ns0:f>
      </ns0:c>
      <ns0:c r="U187" s="920">
        <ns0:f>IF(COUNTA($A187:$M187)=0,"",IF(OR(LEFT(LOWER(TRIM($F187&amp;"")),12)="subscription",LOWER(TRIM($F187&amp;""))="membership"),"Subscription",IF(LOWER(TRIM($D187&amp;""))="estimate","Estimate",IF(OR(AND($H187&lt;&gt;"",$H187=0),LEFT(LOWER(TRIM($F187&amp;"")),9)="free game",LOWER(TRIM($F187&amp;""))="free",LOWER(TRIM($F187&amp;""))="free entry"),IF(LOWER($L187&amp;"")="yes","Disqualified — Free Game","Free Game"),IF(LOWER($L187&amp;"")="yes","Disqualified",IF($P187="","",IF(ROUND(IFERROR(VALUE($P187),0)-IFERROR(VALUE($H187),0),2)&gt;0,"Profit","Draw")))))))</ns0:f>
      </ns0:c>
      <ns0:c r="V187" s="956" t="str">
        <ns0:f>IF(COUNTA($A187:$M187)=0,"",IF(OR($B187="",$C187="",$U187="Subscription"),"",IFERROR(ROUNDUP(($C187-$B187)/7,0),"")))</ns0:f>
      </ns0:c>
      <ns0:c r="W187" s="114">
        <ns0:f>IF(COUNTA($A187:$M187)=0,"",IF(OR($U187="Subscription",$U187=""),"",IF($U187="Estimate","N/A",IF(OR($U187="Free Game",$U187="Disqualified — Free Game"),0,ROUND(IFERROR($Q187,0)-IFERROR($S187,0),2)))))</ns0:f>
      </ns0:c>
      <ns0:c r="X187" s="956" t="str">
        <ns0:f>IF(COUNTA($A187:$M187)=0,"",IF(OR($U187="Subscription",NOT(ISNUMBER($J187)),NOT(ISNUMBER($I187)),$J187=0,$I187=0,$I187&gt;$J187),"",$J187-$I187))</ns0:f>
      </ns0:c>
      <ns0:c r="Y187" s="955" t="str">
        <ns0:f>IF(COUNTA($A187:$M187)=0,"",IF(OR($U187="Subscription",NOT(ISNUMBER($J187)),$J187=0,$X187=""),"",$X187/$J187))</ns0:f>
      </ns0:c>
      <ns0:c r="Z187" s="957" t="str">
        <ns0:f>IF(COUNTA($A187:$M187)=0,"",Instructions!$B$29+SUM($W$5:W187))</ns0:f>
      </ns0:c>
    </ns0:row>
    <ns0:row r="188" ht="36" customHeight="1">
      <ns0:c r="A188" s="439"/>
      <ns0:c r="B188" s="453"/>
      <ns0:c r="C188" s="453"/>
      <ns0:c r="D188" s="454"/>
      <ns0:c r="E188" s="454"/>
      <ns0:c r="F188" s="454"/>
      <ns0:c r="G188" s="986"/>
      <ns0:c r="H188" s="455"/>
      <ns0:c r="I188" s="456"/>
      <ns0:c r="J188" s="456"/>
      <ns0:c r="K188" s="986"/>
      <ns0:c r="L188" s="454"/>
      <ns0:c r="M188" s="439"/>
      <ns0:c r="N188" s="987" t="str">
        <ns0:f>IF(COUNTA($A188:$M188)=0,"",IF(OR(LEFT(LOWER(TRIM($F188&amp;"")),12)="subscription",LOWER(TRIM($F188&amp;""))="membership"),"",IF(OR(AND($H188&lt;&gt;"",$H188=0),LEFT(LOWER(TRIM($F188&amp;"")),9)="free game",LOWER(TRIM($F188&amp;""))="free",LOWER(TRIM($F188&amp;""))="free entry"),IF(ISNUMBER($G188),IF(ISNUMBER(SEARCH("non",LOWER($E188&amp;""))),$G188*0.85,$G188),"N/A"),IF($G188="","",IFERROR(IF(ISNUMBER(SEARCH("non",LOWER($E188&amp;""))),$G188*0.85,$G188),"")))))</ns0:f>
        <ns0:v/>
      </ns0:c>
      <ns0:c r="O188" s="987" t="str">
        <ns0:f>IF(COUNTA($A188:$M188)=0,"",IF(OR(LEFT(LOWER(TRIM($F188&amp;"")),12)="subscription",LOWER(TRIM($F188&amp;""))="membership"),"",IF(OR(AND($H188&lt;&gt;"",$H188=0),LEFT(LOWER(TRIM($F188&amp;"")),9)="free game",LOWER(TRIM($F188&amp;""))="free",LOWER(TRIM($F188&amp;""))="free entry"),IF(OR(NOT(ISNUMBER($N188)),NOT(ISNUMBER($I188)),$I188=0),"N/A",IFERROR($N188/$I188,"N/A")),IF(OR($N188="",$I188="",$I188=0),"",IFERROR($N188/$I188,"")))))</ns0:f>
        <ns0:v/>
      </ns0:c>
      <ns0:c r="P188" s="987">
        <ns0:f>IF(COUNTA($A188:$M188)=0,"",IF(OR(LEFT(LOWER(TRIM($F188&amp;"")),12)="subscription",LOWER(TRIM($F188&amp;""))="membership"),"",IF(LOWER(TRIM($D188&amp;""))="estimate","N/A",IF(LOWER($L188&amp;"")="yes",0,IF(OR(AND($H188&lt;&gt;"",$H188=0),LEFT(LOWER(TRIM($F188&amp;"")),9)="free game",LOWER(TRIM($F188&amp;""))="free",LOWER(TRIM($F188&amp;""))="free entry"),IF(ISNUMBER($K188),$K188,""),IF($K188&lt;&gt;"",$K188,""))))))</ns0:f>
      </ns0:c>
      <ns0:c r="Q188" s="114">
        <ns0:f>IF(COUNTA($A188:$M188)=0,"",IF(OR($U188="Subscription",$U188=""),"",IF($U188="Estimate","N/A",IF($U188="Profit",ROUND(IFERROR($P188,0)-IFERROR($H188,0),2),0))))</ns0:f>
      </ns0:c>
      <ns0:c r="R188" s="114">
        <ns0:f>IF(COUNTA($A188:$M188)=0,"",IF(OR($U188="Subscription",$U188=""),"",IF($U188="Estimate","N/A",IF($U188="Draw",$H188,0))))</ns0:f>
      </ns0:c>
      <ns0:c r="S188" s="114">
        <ns0:f>IF(COUNTA($A188:$M188)=0,"",IF(OR($U188="Subscription",$U188=""),"",IF($U188="Estimate","N/A",IF($U188="Disqualified",$H188,0))))</ns0:f>
      </ns0:c>
      <ns0:c r="T188" s="955">
        <ns0:f>IF(COUNTA($A188:$M188)=0,"",IF(OR($U188="Subscription",$U188=""),"",IF($U188="Estimate","N/A",IF(OR($U188="Free Game",$U188="Disqualified — Free Game",$H188=0),"N/A",IF($U188="Profit",$Q188/$H188,IF($U188="Disqualified",-$S188/$H188,0))))))</ns0:f>
      </ns0:c>
      <ns0:c r="U188" s="920">
        <ns0:f>IF(COUNTA($A188:$M188)=0,"",IF(OR(LEFT(LOWER(TRIM($F188&amp;"")),12)="subscription",LOWER(TRIM($F188&amp;""))="membership"),"Subscription",IF(LOWER(TRIM($D188&amp;""))="estimate","Estimate",IF(OR(AND($H188&lt;&gt;"",$H188=0),LEFT(LOWER(TRIM($F188&amp;"")),9)="free game",LOWER(TRIM($F188&amp;""))="free",LOWER(TRIM($F188&amp;""))="free entry"),IF(LOWER($L188&amp;"")="yes","Disqualified — Free Game","Free Game"),IF(LOWER($L188&amp;"")="yes","Disqualified",IF($P188="","",IF(ROUND(IFERROR(VALUE($P188),0)-IFERROR(VALUE($H188),0),2)&gt;0,"Profit","Draw")))))))</ns0:f>
      </ns0:c>
      <ns0:c r="V188" s="956" t="str">
        <ns0:f>IF(COUNTA($A188:$M188)=0,"",IF(OR($B188="",$C188="",$U188="Subscription"),"",IFERROR(ROUNDUP(($C188-$B188)/7,0),"")))</ns0:f>
      </ns0:c>
      <ns0:c r="W188" s="114">
        <ns0:f>IF(COUNTA($A188:$M188)=0,"",IF(OR($U188="Subscription",$U188=""),"",IF($U188="Estimate","N/A",IF(OR($U188="Free Game",$U188="Disqualified — Free Game"),0,ROUND(IFERROR($Q188,0)-IFERROR($S188,0),2)))))</ns0:f>
      </ns0:c>
      <ns0:c r="X188" s="956" t="str">
        <ns0:f>IF(COUNTA($A188:$M188)=0,"",IF(OR($U188="Subscription",NOT(ISNUMBER($J188)),NOT(ISNUMBER($I188)),$J188=0,$I188=0,$I188&gt;$J188),"",$J188-$I188))</ns0:f>
      </ns0:c>
      <ns0:c r="Y188" s="955" t="str">
        <ns0:f>IF(COUNTA($A188:$M188)=0,"",IF(OR($U188="Subscription",NOT(ISNUMBER($J188)),$J188=0,$X188=""),"",$X188/$J188))</ns0:f>
      </ns0:c>
      <ns0:c r="Z188" s="957" t="str">
        <ns0:f>IF(COUNTA($A188:$M188)=0,"",Instructions!$B$29+SUM($W$5:W188))</ns0:f>
      </ns0:c>
    </ns0:row>
    <ns0:row r="189" ht="36" customHeight="1">
      <ns0:c r="A189" s="439"/>
      <ns0:c r="B189" s="453"/>
      <ns0:c r="C189" s="453"/>
      <ns0:c r="D189" s="454"/>
      <ns0:c r="E189" s="454"/>
      <ns0:c r="F189" s="454"/>
      <ns0:c r="G189" s="986"/>
      <ns0:c r="H189" s="455"/>
      <ns0:c r="I189" s="456"/>
      <ns0:c r="J189" s="456"/>
      <ns0:c r="K189" s="986"/>
      <ns0:c r="L189" s="454"/>
      <ns0:c r="M189" s="439"/>
      <ns0:c r="N189" s="987" t="str">
        <ns0:f>IF(COUNTA($A189:$M189)=0,"",IF(OR(LEFT(LOWER(TRIM($F189&amp;"")),12)="subscription",LOWER(TRIM($F189&amp;""))="membership"),"",IF(OR(AND($H189&lt;&gt;"",$H189=0),LEFT(LOWER(TRIM($F189&amp;"")),9)="free game",LOWER(TRIM($F189&amp;""))="free",LOWER(TRIM($F189&amp;""))="free entry"),IF(ISNUMBER($G189),IF(ISNUMBER(SEARCH("non",LOWER($E189&amp;""))),$G189*0.85,$G189),"N/A"),IF($G189="","",IFERROR(IF(ISNUMBER(SEARCH("non",LOWER($E189&amp;""))),$G189*0.85,$G189),"")))))</ns0:f>
        <ns0:v/>
      </ns0:c>
      <ns0:c r="O189" s="987" t="str">
        <ns0:f>IF(COUNTA($A189:$M189)=0,"",IF(OR(LEFT(LOWER(TRIM($F189&amp;"")),12)="subscription",LOWER(TRIM($F189&amp;""))="membership"),"",IF(OR(AND($H189&lt;&gt;"",$H189=0),LEFT(LOWER(TRIM($F189&amp;"")),9)="free game",LOWER(TRIM($F189&amp;""))="free",LOWER(TRIM($F189&amp;""))="free entry"),IF(OR(NOT(ISNUMBER($N189)),NOT(ISNUMBER($I189)),$I189=0),"N/A",IFERROR($N189/$I189,"N/A")),IF(OR($N189="",$I189="",$I189=0),"",IFERROR($N189/$I189,"")))))</ns0:f>
        <ns0:v/>
      </ns0:c>
      <ns0:c r="P189" s="987">
        <ns0:f>IF(COUNTA($A189:$M189)=0,"",IF(OR(LEFT(LOWER(TRIM($F189&amp;"")),12)="subscription",LOWER(TRIM($F189&amp;""))="membership"),"",IF(LOWER(TRIM($D189&amp;""))="estimate","N/A",IF(LOWER($L189&amp;"")="yes",0,IF(OR(AND($H189&lt;&gt;"",$H189=0),LEFT(LOWER(TRIM($F189&amp;"")),9)="free game",LOWER(TRIM($F189&amp;""))="free",LOWER(TRIM($F189&amp;""))="free entry"),IF(ISNUMBER($K189),$K189,""),IF($K189&lt;&gt;"",$K189,""))))))</ns0:f>
      </ns0:c>
      <ns0:c r="Q189" s="114">
        <ns0:f>IF(COUNTA($A189:$M189)=0,"",IF(OR($U189="Subscription",$U189=""),"",IF($U189="Estimate","N/A",IF($U189="Profit",ROUND(IFERROR($P189,0)-IFERROR($H189,0),2),0))))</ns0:f>
      </ns0:c>
      <ns0:c r="R189" s="114">
        <ns0:f>IF(COUNTA($A189:$M189)=0,"",IF(OR($U189="Subscription",$U189=""),"",IF($U189="Estimate","N/A",IF($U189="Draw",$H189,0))))</ns0:f>
      </ns0:c>
      <ns0:c r="S189" s="114">
        <ns0:f>IF(COUNTA($A189:$M189)=0,"",IF(OR($U189="Subscription",$U189=""),"",IF($U189="Estimate","N/A",IF($U189="Disqualified",$H189,0))))</ns0:f>
      </ns0:c>
      <ns0:c r="T189" s="955">
        <ns0:f>IF(COUNTA($A189:$M189)=0,"",IF(OR($U189="Subscription",$U189=""),"",IF($U189="Estimate","N/A",IF(OR($U189="Free Game",$U189="Disqualified — Free Game",$H189=0),"N/A",IF($U189="Profit",$Q189/$H189,IF($U189="Disqualified",-$S189/$H189,0))))))</ns0:f>
      </ns0:c>
      <ns0:c r="U189" s="920">
        <ns0:f>IF(COUNTA($A189:$M189)=0,"",IF(OR(LEFT(LOWER(TRIM($F189&amp;"")),12)="subscription",LOWER(TRIM($F189&amp;""))="membership"),"Subscription",IF(LOWER(TRIM($D189&amp;""))="estimate","Estimate",IF(OR(AND($H189&lt;&gt;"",$H189=0),LEFT(LOWER(TRIM($F189&amp;"")),9)="free game",LOWER(TRIM($F189&amp;""))="free",LOWER(TRIM($F189&amp;""))="free entry"),IF(LOWER($L189&amp;"")="yes","Disqualified — Free Game","Free Game"),IF(LOWER($L189&amp;"")="yes","Disqualified",IF($P189="","",IF(ROUND(IFERROR(VALUE($P189),0)-IFERROR(VALUE($H189),0),2)&gt;0,"Profit","Draw")))))))</ns0:f>
      </ns0:c>
      <ns0:c r="V189" s="956" t="str">
        <ns0:f>IF(COUNTA($A189:$M189)=0,"",IF(OR($B189="",$C189="",$U189="Subscription"),"",IFERROR(ROUNDUP(($C189-$B189)/7,0),"")))</ns0:f>
      </ns0:c>
      <ns0:c r="W189" s="114">
        <ns0:f>IF(COUNTA($A189:$M189)=0,"",IF(OR($U189="Subscription",$U189=""),"",IF($U189="Estimate","N/A",IF(OR($U189="Free Game",$U189="Disqualified — Free Game"),0,ROUND(IFERROR($Q189,0)-IFERROR($S189,0),2)))))</ns0:f>
      </ns0:c>
      <ns0:c r="X189" s="956" t="str">
        <ns0:f>IF(COUNTA($A189:$M189)=0,"",IF(OR($U189="Subscription",NOT(ISNUMBER($J189)),NOT(ISNUMBER($I189)),$J189=0,$I189=0,$I189&gt;$J189),"",$J189-$I189))</ns0:f>
      </ns0:c>
      <ns0:c r="Y189" s="955" t="str">
        <ns0:f>IF(COUNTA($A189:$M189)=0,"",IF(OR($U189="Subscription",NOT(ISNUMBER($J189)),$J189=0,$X189=""),"",$X189/$J189))</ns0:f>
      </ns0:c>
      <ns0:c r="Z189" s="957" t="str">
        <ns0:f>IF(COUNTA($A189:$M189)=0,"",Instructions!$B$29+SUM($W$5:W189))</ns0:f>
      </ns0:c>
    </ns0:row>
    <ns0:row r="190" ht="36" customHeight="1">
      <ns0:c r="A190" s="439"/>
      <ns0:c r="B190" s="453"/>
      <ns0:c r="C190" s="453"/>
      <ns0:c r="D190" s="454"/>
      <ns0:c r="E190" s="454"/>
      <ns0:c r="F190" s="454"/>
      <ns0:c r="G190" s="986"/>
      <ns0:c r="H190" s="455"/>
      <ns0:c r="I190" s="456"/>
      <ns0:c r="J190" s="456"/>
      <ns0:c r="K190" s="986"/>
      <ns0:c r="L190" s="454"/>
      <ns0:c r="M190" s="439"/>
      <ns0:c r="N190" s="987" t="str">
        <ns0:f>IF(COUNTA($A190:$M190)=0,"",IF(OR(LEFT(LOWER(TRIM($F190&amp;"")),12)="subscription",LOWER(TRIM($F190&amp;""))="membership"),"",IF(OR(AND($H190&lt;&gt;"",$H190=0),LEFT(LOWER(TRIM($F190&amp;"")),9)="free game",LOWER(TRIM($F190&amp;""))="free",LOWER(TRIM($F190&amp;""))="free entry"),IF(ISNUMBER($G190),IF(ISNUMBER(SEARCH("non",LOWER($E190&amp;""))),$G190*0.85,$G190),"N/A"),IF($G190="","",IFERROR(IF(ISNUMBER(SEARCH("non",LOWER($E190&amp;""))),$G190*0.85,$G190),"")))))</ns0:f>
        <ns0:v/>
      </ns0:c>
      <ns0:c r="O190" s="987" t="str">
        <ns0:f>IF(COUNTA($A190:$M190)=0,"",IF(OR(LEFT(LOWER(TRIM($F190&amp;"")),12)="subscription",LOWER(TRIM($F190&amp;""))="membership"),"",IF(OR(AND($H190&lt;&gt;"",$H190=0),LEFT(LOWER(TRIM($F190&amp;"")),9)="free game",LOWER(TRIM($F190&amp;""))="free",LOWER(TRIM($F190&amp;""))="free entry"),IF(OR(NOT(ISNUMBER($N190)),NOT(ISNUMBER($I190)),$I190=0),"N/A",IFERROR($N190/$I190,"N/A")),IF(OR($N190="",$I190="",$I190=0),"",IFERROR($N190/$I190,"")))))</ns0:f>
        <ns0:v/>
      </ns0:c>
      <ns0:c r="P190" s="987">
        <ns0:f>IF(COUNTA($A190:$M190)=0,"",IF(OR(LEFT(LOWER(TRIM($F190&amp;"")),12)="subscription",LOWER(TRIM($F190&amp;""))="membership"),"",IF(LOWER(TRIM($D190&amp;""))="estimate","N/A",IF(LOWER($L190&amp;"")="yes",0,IF(OR(AND($H190&lt;&gt;"",$H190=0),LEFT(LOWER(TRIM($F190&amp;"")),9)="free game",LOWER(TRIM($F190&amp;""))="free",LOWER(TRIM($F190&amp;""))="free entry"),IF(ISNUMBER($K190),$K190,""),IF($K190&lt;&gt;"",$K190,""))))))</ns0:f>
      </ns0:c>
      <ns0:c r="Q190" s="114">
        <ns0:f>IF(COUNTA($A190:$M190)=0,"",IF(OR($U190="Subscription",$U190=""),"",IF($U190="Estimate","N/A",IF($U190="Profit",ROUND(IFERROR($P190,0)-IFERROR($H190,0),2),0))))</ns0:f>
      </ns0:c>
      <ns0:c r="R190" s="114">
        <ns0:f>IF(COUNTA($A190:$M190)=0,"",IF(OR($U190="Subscription",$U190=""),"",IF($U190="Estimate","N/A",IF($U190="Draw",$H190,0))))</ns0:f>
      </ns0:c>
      <ns0:c r="S190" s="114">
        <ns0:f>IF(COUNTA($A190:$M190)=0,"",IF(OR($U190="Subscription",$U190=""),"",IF($U190="Estimate","N/A",IF($U190="Disqualified",$H190,0))))</ns0:f>
      </ns0:c>
      <ns0:c r="T190" s="955">
        <ns0:f>IF(COUNTA($A190:$M190)=0,"",IF(OR($U190="Subscription",$U190=""),"",IF($U190="Estimate","N/A",IF(OR($U190="Free Game",$U190="Disqualified — Free Game",$H190=0),"N/A",IF($U190="Profit",$Q190/$H190,IF($U190="Disqualified",-$S190/$H190,0))))))</ns0:f>
      </ns0:c>
      <ns0:c r="U190" s="920">
        <ns0:f>IF(COUNTA($A190:$M190)=0,"",IF(OR(LEFT(LOWER(TRIM($F190&amp;"")),12)="subscription",LOWER(TRIM($F190&amp;""))="membership"),"Subscription",IF(LOWER(TRIM($D190&amp;""))="estimate","Estimate",IF(OR(AND($H190&lt;&gt;"",$H190=0),LEFT(LOWER(TRIM($F190&amp;"")),9)="free game",LOWER(TRIM($F190&amp;""))="free",LOWER(TRIM($F190&amp;""))="free entry"),IF(LOWER($L190&amp;"")="yes","Disqualified — Free Game","Free Game"),IF(LOWER($L190&amp;"")="yes","Disqualified",IF($P190="","",IF(ROUND(IFERROR(VALUE($P190),0)-IFERROR(VALUE($H190),0),2)&gt;0,"Profit","Draw")))))))</ns0:f>
      </ns0:c>
      <ns0:c r="V190" s="956" t="str">
        <ns0:f>IF(COUNTA($A190:$M190)=0,"",IF(OR($B190="",$C190="",$U190="Subscription"),"",IFERROR(ROUNDUP(($C190-$B190)/7,0),"")))</ns0:f>
      </ns0:c>
      <ns0:c r="W190" s="114">
        <ns0:f>IF(COUNTA($A190:$M190)=0,"",IF(OR($U190="Subscription",$U190=""),"",IF($U190="Estimate","N/A",IF(OR($U190="Free Game",$U190="Disqualified — Free Game"),0,ROUND(IFERROR($Q190,0)-IFERROR($S190,0),2)))))</ns0:f>
      </ns0:c>
      <ns0:c r="X190" s="956" t="str">
        <ns0:f>IF(COUNTA($A190:$M190)=0,"",IF(OR($U190="Subscription",NOT(ISNUMBER($J190)),NOT(ISNUMBER($I190)),$J190=0,$I190=0,$I190&gt;$J190),"",$J190-$I190))</ns0:f>
      </ns0:c>
      <ns0:c r="Y190" s="955" t="str">
        <ns0:f>IF(COUNTA($A190:$M190)=0,"",IF(OR($U190="Subscription",NOT(ISNUMBER($J190)),$J190=0,$X190=""),"",$X190/$J190))</ns0:f>
      </ns0:c>
      <ns0:c r="Z190" s="957" t="str">
        <ns0:f>IF(COUNTA($A190:$M190)=0,"",Instructions!$B$29+SUM($W$5:W190))</ns0:f>
      </ns0:c>
    </ns0:row>
    <ns0:row r="191" ht="36" customHeight="1">
      <ns0:c r="A191" s="439"/>
      <ns0:c r="B191" s="453"/>
      <ns0:c r="C191" s="453"/>
      <ns0:c r="D191" s="454"/>
      <ns0:c r="E191" s="454"/>
      <ns0:c r="F191" s="454"/>
      <ns0:c r="G191" s="986"/>
      <ns0:c r="H191" s="455"/>
      <ns0:c r="I191" s="456"/>
      <ns0:c r="J191" s="456"/>
      <ns0:c r="K191" s="986"/>
      <ns0:c r="L191" s="454"/>
      <ns0:c r="M191" s="439"/>
      <ns0:c r="N191" s="987" t="str">
        <ns0:f>IF(COUNTA($A191:$M191)=0,"",IF(OR(LEFT(LOWER(TRIM($F191&amp;"")),12)="subscription",LOWER(TRIM($F191&amp;""))="membership"),"",IF(OR(AND($H191&lt;&gt;"",$H191=0),LEFT(LOWER(TRIM($F191&amp;"")),9)="free game",LOWER(TRIM($F191&amp;""))="free",LOWER(TRIM($F191&amp;""))="free entry"),IF(ISNUMBER($G191),IF(ISNUMBER(SEARCH("non",LOWER($E191&amp;""))),$G191*0.85,$G191),"N/A"),IF($G191="","",IFERROR(IF(ISNUMBER(SEARCH("non",LOWER($E191&amp;""))),$G191*0.85,$G191),"")))))</ns0:f>
        <ns0:v/>
      </ns0:c>
      <ns0:c r="O191" s="987" t="str">
        <ns0:f>IF(COUNTA($A191:$M191)=0,"",IF(OR(LEFT(LOWER(TRIM($F191&amp;"")),12)="subscription",LOWER(TRIM($F191&amp;""))="membership"),"",IF(OR(AND($H191&lt;&gt;"",$H191=0),LEFT(LOWER(TRIM($F191&amp;"")),9)="free game",LOWER(TRIM($F191&amp;""))="free",LOWER(TRIM($F191&amp;""))="free entry"),IF(OR(NOT(ISNUMBER($N191)),NOT(ISNUMBER($I191)),$I191=0),"N/A",IFERROR($N191/$I191,"N/A")),IF(OR($N191="",$I191="",$I191=0),"",IFERROR($N191/$I191,"")))))</ns0:f>
        <ns0:v/>
      </ns0:c>
      <ns0:c r="P191" s="987">
        <ns0:f>IF(COUNTA($A191:$M191)=0,"",IF(OR(LEFT(LOWER(TRIM($F191&amp;"")),12)="subscription",LOWER(TRIM($F191&amp;""))="membership"),"",IF(LOWER(TRIM($D191&amp;""))="estimate","N/A",IF(LOWER($L191&amp;"")="yes",0,IF(OR(AND($H191&lt;&gt;"",$H191=0),LEFT(LOWER(TRIM($F191&amp;"")),9)="free game",LOWER(TRIM($F191&amp;""))="free",LOWER(TRIM($F191&amp;""))="free entry"),IF(ISNUMBER($K191),$K191,""),IF($K191&lt;&gt;"",$K191,""))))))</ns0:f>
      </ns0:c>
      <ns0:c r="Q191" s="114">
        <ns0:f>IF(COUNTA($A191:$M191)=0,"",IF(OR($U191="Subscription",$U191=""),"",IF($U191="Estimate","N/A",IF($U191="Profit",ROUND(IFERROR($P191,0)-IFERROR($H191,0),2),0))))</ns0:f>
      </ns0:c>
      <ns0:c r="R191" s="114">
        <ns0:f>IF(COUNTA($A191:$M191)=0,"",IF(OR($U191="Subscription",$U191=""),"",IF($U191="Estimate","N/A",IF($U191="Draw",$H191,0))))</ns0:f>
      </ns0:c>
      <ns0:c r="S191" s="114">
        <ns0:f>IF(COUNTA($A191:$M191)=0,"",IF(OR($U191="Subscription",$U191=""),"",IF($U191="Estimate","N/A",IF($U191="Disqualified",$H191,0))))</ns0:f>
      </ns0:c>
      <ns0:c r="T191" s="955">
        <ns0:f>IF(COUNTA($A191:$M191)=0,"",IF(OR($U191="Subscription",$U191=""),"",IF($U191="Estimate","N/A",IF(OR($U191="Free Game",$U191="Disqualified — Free Game",$H191=0),"N/A",IF($U191="Profit",$Q191/$H191,IF($U191="Disqualified",-$S191/$H191,0))))))</ns0:f>
      </ns0:c>
      <ns0:c r="U191" s="920">
        <ns0:f>IF(COUNTA($A191:$M191)=0,"",IF(OR(LEFT(LOWER(TRIM($F191&amp;"")),12)="subscription",LOWER(TRIM($F191&amp;""))="membership"),"Subscription",IF(LOWER(TRIM($D191&amp;""))="estimate","Estimate",IF(OR(AND($H191&lt;&gt;"",$H191=0),LEFT(LOWER(TRIM($F191&amp;"")),9)="free game",LOWER(TRIM($F191&amp;""))="free",LOWER(TRIM($F191&amp;""))="free entry"),IF(LOWER($L191&amp;"")="yes","Disqualified — Free Game","Free Game"),IF(LOWER($L191&amp;"")="yes","Disqualified",IF($P191="","",IF(ROUND(IFERROR(VALUE($P191),0)-IFERROR(VALUE($H191),0),2)&gt;0,"Profit","Draw")))))))</ns0:f>
      </ns0:c>
      <ns0:c r="V191" s="956" t="str">
        <ns0:f>IF(COUNTA($A191:$M191)=0,"",IF(OR($B191="",$C191="",$U191="Subscription"),"",IFERROR(ROUNDUP(($C191-$B191)/7,0),"")))</ns0:f>
      </ns0:c>
      <ns0:c r="W191" s="114">
        <ns0:f>IF(COUNTA($A191:$M191)=0,"",IF(OR($U191="Subscription",$U191=""),"",IF($U191="Estimate","N/A",IF(OR($U191="Free Game",$U191="Disqualified — Free Game"),0,ROUND(IFERROR($Q191,0)-IFERROR($S191,0),2)))))</ns0:f>
      </ns0:c>
      <ns0:c r="X191" s="956" t="str">
        <ns0:f>IF(COUNTA($A191:$M191)=0,"",IF(OR($U191="Subscription",NOT(ISNUMBER($J191)),NOT(ISNUMBER($I191)),$J191=0,$I191=0,$I191&gt;$J191),"",$J191-$I191))</ns0:f>
      </ns0:c>
      <ns0:c r="Y191" s="955" t="str">
        <ns0:f>IF(COUNTA($A191:$M191)=0,"",IF(OR($U191="Subscription",NOT(ISNUMBER($J191)),$J191=0,$X191=""),"",$X191/$J191))</ns0:f>
      </ns0:c>
      <ns0:c r="Z191" s="957" t="str">
        <ns0:f>IF(COUNTA($A191:$M191)=0,"",Instructions!$B$29+SUM($W$5:W191))</ns0:f>
      </ns0:c>
    </ns0:row>
    <ns0:row r="192" ht="36" customHeight="1">
      <ns0:c r="A192" s="439"/>
      <ns0:c r="B192" s="453"/>
      <ns0:c r="C192" s="453"/>
      <ns0:c r="D192" s="454"/>
      <ns0:c r="E192" s="454"/>
      <ns0:c r="F192" s="454"/>
      <ns0:c r="G192" s="986"/>
      <ns0:c r="H192" s="455"/>
      <ns0:c r="I192" s="456"/>
      <ns0:c r="J192" s="456"/>
      <ns0:c r="K192" s="986"/>
      <ns0:c r="L192" s="454"/>
      <ns0:c r="M192" s="439"/>
      <ns0:c r="N192" s="987" t="str">
        <ns0:f>IF(COUNTA($A192:$M192)=0,"",IF(OR(LEFT(LOWER(TRIM($F192&amp;"")),12)="subscription",LOWER(TRIM($F192&amp;""))="membership"),"",IF(OR(AND($H192&lt;&gt;"",$H192=0),LEFT(LOWER(TRIM($F192&amp;"")),9)="free game",LOWER(TRIM($F192&amp;""))="free",LOWER(TRIM($F192&amp;""))="free entry"),IF(ISNUMBER($G192),IF(ISNUMBER(SEARCH("non",LOWER($E192&amp;""))),$G192*0.85,$G192),"N/A"),IF($G192="","",IFERROR(IF(ISNUMBER(SEARCH("non",LOWER($E192&amp;""))),$G192*0.85,$G192),"")))))</ns0:f>
        <ns0:v/>
      </ns0:c>
      <ns0:c r="O192" s="987" t="str">
        <ns0:f>IF(COUNTA($A192:$M192)=0,"",IF(OR(LEFT(LOWER(TRIM($F192&amp;"")),12)="subscription",LOWER(TRIM($F192&amp;""))="membership"),"",IF(OR(AND($H192&lt;&gt;"",$H192=0),LEFT(LOWER(TRIM($F192&amp;"")),9)="free game",LOWER(TRIM($F192&amp;""))="free",LOWER(TRIM($F192&amp;""))="free entry"),IF(OR(NOT(ISNUMBER($N192)),NOT(ISNUMBER($I192)),$I192=0),"N/A",IFERROR($N192/$I192,"N/A")),IF(OR($N192="",$I192="",$I192=0),"",IFERROR($N192/$I192,"")))))</ns0:f>
        <ns0:v/>
      </ns0:c>
      <ns0:c r="P192" s="987">
        <ns0:f>IF(COUNTA($A192:$M192)=0,"",IF(OR(LEFT(LOWER(TRIM($F192&amp;"")),12)="subscription",LOWER(TRIM($F192&amp;""))="membership"),"",IF(LOWER(TRIM($D192&amp;""))="estimate","N/A",IF(LOWER($L192&amp;"")="yes",0,IF(OR(AND($H192&lt;&gt;"",$H192=0),LEFT(LOWER(TRIM($F192&amp;"")),9)="free game",LOWER(TRIM($F192&amp;""))="free",LOWER(TRIM($F192&amp;""))="free entry"),IF(ISNUMBER($K192),$K192,""),IF($K192&lt;&gt;"",$K192,""))))))</ns0:f>
      </ns0:c>
      <ns0:c r="Q192" s="114">
        <ns0:f>IF(COUNTA($A192:$M192)=0,"",IF(OR($U192="Subscription",$U192=""),"",IF($U192="Estimate","N/A",IF($U192="Profit",ROUND(IFERROR($P192,0)-IFERROR($H192,0),2),0))))</ns0:f>
      </ns0:c>
      <ns0:c r="R192" s="114">
        <ns0:f>IF(COUNTA($A192:$M192)=0,"",IF(OR($U192="Subscription",$U192=""),"",IF($U192="Estimate","N/A",IF($U192="Draw",$H192,0))))</ns0:f>
      </ns0:c>
      <ns0:c r="S192" s="114">
        <ns0:f>IF(COUNTA($A192:$M192)=0,"",IF(OR($U192="Subscription",$U192=""),"",IF($U192="Estimate","N/A",IF($U192="Disqualified",$H192,0))))</ns0:f>
      </ns0:c>
      <ns0:c r="T192" s="955">
        <ns0:f>IF(COUNTA($A192:$M192)=0,"",IF(OR($U192="Subscription",$U192=""),"",IF($U192="Estimate","N/A",IF(OR($U192="Free Game",$U192="Disqualified — Free Game",$H192=0),"N/A",IF($U192="Profit",$Q192/$H192,IF($U192="Disqualified",-$S192/$H192,0))))))</ns0:f>
      </ns0:c>
      <ns0:c r="U192" s="920">
        <ns0:f>IF(COUNTA($A192:$M192)=0,"",IF(OR(LEFT(LOWER(TRIM($F192&amp;"")),12)="subscription",LOWER(TRIM($F192&amp;""))="membership"),"Subscription",IF(LOWER(TRIM($D192&amp;""))="estimate","Estimate",IF(OR(AND($H192&lt;&gt;"",$H192=0),LEFT(LOWER(TRIM($F192&amp;"")),9)="free game",LOWER(TRIM($F192&amp;""))="free",LOWER(TRIM($F192&amp;""))="free entry"),IF(LOWER($L192&amp;"")="yes","Disqualified — Free Game","Free Game"),IF(LOWER($L192&amp;"")="yes","Disqualified",IF($P192="","",IF(ROUND(IFERROR(VALUE($P192),0)-IFERROR(VALUE($H192),0),2)&gt;0,"Profit","Draw")))))))</ns0:f>
      </ns0:c>
      <ns0:c r="V192" s="956" t="str">
        <ns0:f>IF(COUNTA($A192:$M192)=0,"",IF(OR($B192="",$C192="",$U192="Subscription"),"",IFERROR(ROUNDUP(($C192-$B192)/7,0),"")))</ns0:f>
      </ns0:c>
      <ns0:c r="W192" s="114">
        <ns0:f>IF(COUNTA($A192:$M192)=0,"",IF(OR($U192="Subscription",$U192=""),"",IF($U192="Estimate","N/A",IF(OR($U192="Free Game",$U192="Disqualified — Free Game"),0,ROUND(IFERROR($Q192,0)-IFERROR($S192,0),2)))))</ns0:f>
      </ns0:c>
      <ns0:c r="X192" s="956" t="str">
        <ns0:f>IF(COUNTA($A192:$M192)=0,"",IF(OR($U192="Subscription",NOT(ISNUMBER($J192)),NOT(ISNUMBER($I192)),$J192=0,$I192=0,$I192&gt;$J192),"",$J192-$I192))</ns0:f>
      </ns0:c>
      <ns0:c r="Y192" s="955" t="str">
        <ns0:f>IF(COUNTA($A192:$M192)=0,"",IF(OR($U192="Subscription",NOT(ISNUMBER($J192)),$J192=0,$X192=""),"",$X192/$J192))</ns0:f>
      </ns0:c>
      <ns0:c r="Z192" s="957" t="str">
        <ns0:f>IF(COUNTA($A192:$M192)=0,"",Instructions!$B$29+SUM($W$5:W192))</ns0:f>
      </ns0:c>
    </ns0:row>
    <ns0:row r="193" ht="36" customHeight="1">
      <ns0:c r="A193" s="439"/>
      <ns0:c r="B193" s="453"/>
      <ns0:c r="C193" s="453"/>
      <ns0:c r="D193" s="454"/>
      <ns0:c r="E193" s="454"/>
      <ns0:c r="F193" s="454"/>
      <ns0:c r="G193" s="986"/>
      <ns0:c r="H193" s="455"/>
      <ns0:c r="I193" s="456"/>
      <ns0:c r="J193" s="456"/>
      <ns0:c r="K193" s="986"/>
      <ns0:c r="L193" s="454"/>
      <ns0:c r="M193" s="439"/>
      <ns0:c r="N193" s="987" t="str">
        <ns0:f>IF(COUNTA($A193:$M193)=0,"",IF(OR(LEFT(LOWER(TRIM($F193&amp;"")),12)="subscription",LOWER(TRIM($F193&amp;""))="membership"),"",IF(OR(AND($H193&lt;&gt;"",$H193=0),LEFT(LOWER(TRIM($F193&amp;"")),9)="free game",LOWER(TRIM($F193&amp;""))="free",LOWER(TRIM($F193&amp;""))="free entry"),IF(ISNUMBER($G193),IF(ISNUMBER(SEARCH("non",LOWER($E193&amp;""))),$G193*0.85,$G193),"N/A"),IF($G193="","",IFERROR(IF(ISNUMBER(SEARCH("non",LOWER($E193&amp;""))),$G193*0.85,$G193),"")))))</ns0:f>
        <ns0:v/>
      </ns0:c>
      <ns0:c r="O193" s="987" t="str">
        <ns0:f>IF(COUNTA($A193:$M193)=0,"",IF(OR(LEFT(LOWER(TRIM($F193&amp;"")),12)="subscription",LOWER(TRIM($F193&amp;""))="membership"),"",IF(OR(AND($H193&lt;&gt;"",$H193=0),LEFT(LOWER(TRIM($F193&amp;"")),9)="free game",LOWER(TRIM($F193&amp;""))="free",LOWER(TRIM($F193&amp;""))="free entry"),IF(OR(NOT(ISNUMBER($N193)),NOT(ISNUMBER($I193)),$I193=0),"N/A",IFERROR($N193/$I193,"N/A")),IF(OR($N193="",$I193="",$I193=0),"",IFERROR($N193/$I193,"")))))</ns0:f>
        <ns0:v/>
      </ns0:c>
      <ns0:c r="P193" s="987">
        <ns0:f>IF(COUNTA($A193:$M193)=0,"",IF(OR(LEFT(LOWER(TRIM($F193&amp;"")),12)="subscription",LOWER(TRIM($F193&amp;""))="membership"),"",IF(LOWER(TRIM($D193&amp;""))="estimate","N/A",IF(LOWER($L193&amp;"")="yes",0,IF(OR(AND($H193&lt;&gt;"",$H193=0),LEFT(LOWER(TRIM($F193&amp;"")),9)="free game",LOWER(TRIM($F193&amp;""))="free",LOWER(TRIM($F193&amp;""))="free entry"),IF(ISNUMBER($K193),$K193,""),IF($K193&lt;&gt;"",$K193,""))))))</ns0:f>
      </ns0:c>
      <ns0:c r="Q193" s="114">
        <ns0:f>IF(COUNTA($A193:$M193)=0,"",IF(OR($U193="Subscription",$U193=""),"",IF($U193="Estimate","N/A",IF($U193="Profit",ROUND(IFERROR($P193,0)-IFERROR($H193,0),2),0))))</ns0:f>
      </ns0:c>
      <ns0:c r="R193" s="114">
        <ns0:f>IF(COUNTA($A193:$M193)=0,"",IF(OR($U193="Subscription",$U193=""),"",IF($U193="Estimate","N/A",IF($U193="Draw",$H193,0))))</ns0:f>
      </ns0:c>
      <ns0:c r="S193" s="114">
        <ns0:f>IF(COUNTA($A193:$M193)=0,"",IF(OR($U193="Subscription",$U193=""),"",IF($U193="Estimate","N/A",IF($U193="Disqualified",$H193,0))))</ns0:f>
      </ns0:c>
      <ns0:c r="T193" s="955">
        <ns0:f>IF(COUNTA($A193:$M193)=0,"",IF(OR($U193="Subscription",$U193=""),"",IF($U193="Estimate","N/A",IF(OR($U193="Free Game",$U193="Disqualified — Free Game",$H193=0),"N/A",IF($U193="Profit",$Q193/$H193,IF($U193="Disqualified",-$S193/$H193,0))))))</ns0:f>
      </ns0:c>
      <ns0:c r="U193" s="920">
        <ns0:f>IF(COUNTA($A193:$M193)=0,"",IF(OR(LEFT(LOWER(TRIM($F193&amp;"")),12)="subscription",LOWER(TRIM($F193&amp;""))="membership"),"Subscription",IF(LOWER(TRIM($D193&amp;""))="estimate","Estimate",IF(OR(AND($H193&lt;&gt;"",$H193=0),LEFT(LOWER(TRIM($F193&amp;"")),9)="free game",LOWER(TRIM($F193&amp;""))="free",LOWER(TRIM($F193&amp;""))="free entry"),IF(LOWER($L193&amp;"")="yes","Disqualified — Free Game","Free Game"),IF(LOWER($L193&amp;"")="yes","Disqualified",IF($P193="","",IF(ROUND(IFERROR(VALUE($P193),0)-IFERROR(VALUE($H193),0),2)&gt;0,"Profit","Draw")))))))</ns0:f>
      </ns0:c>
      <ns0:c r="V193" s="956" t="str">
        <ns0:f>IF(COUNTA($A193:$M193)=0,"",IF(OR($B193="",$C193="",$U193="Subscription"),"",IFERROR(ROUNDUP(($C193-$B193)/7,0),"")))</ns0:f>
      </ns0:c>
      <ns0:c r="W193" s="114">
        <ns0:f>IF(COUNTA($A193:$M193)=0,"",IF(OR($U193="Subscription",$U193=""),"",IF($U193="Estimate","N/A",IF(OR($U193="Free Game",$U193="Disqualified — Free Game"),0,ROUND(IFERROR($Q193,0)-IFERROR($S193,0),2)))))</ns0:f>
      </ns0:c>
      <ns0:c r="X193" s="956" t="str">
        <ns0:f>IF(COUNTA($A193:$M193)=0,"",IF(OR($U193="Subscription",NOT(ISNUMBER($J193)),NOT(ISNUMBER($I193)),$J193=0,$I193=0,$I193&gt;$J193),"",$J193-$I193))</ns0:f>
      </ns0:c>
      <ns0:c r="Y193" s="955" t="str">
        <ns0:f>IF(COUNTA($A193:$M193)=0,"",IF(OR($U193="Subscription",NOT(ISNUMBER($J193)),$J193=0,$X193=""),"",$X193/$J193))</ns0:f>
      </ns0:c>
      <ns0:c r="Z193" s="957" t="str">
        <ns0:f>IF(COUNTA($A193:$M193)=0,"",Instructions!$B$29+SUM($W$5:W193))</ns0:f>
      </ns0:c>
    </ns0:row>
    <ns0:row r="194" ht="36" customHeight="1">
      <ns0:c r="A194" s="439"/>
      <ns0:c r="B194" s="453"/>
      <ns0:c r="C194" s="453"/>
      <ns0:c r="D194" s="454"/>
      <ns0:c r="E194" s="454"/>
      <ns0:c r="F194" s="454"/>
      <ns0:c r="G194" s="986"/>
      <ns0:c r="H194" s="455"/>
      <ns0:c r="I194" s="456"/>
      <ns0:c r="J194" s="456"/>
      <ns0:c r="K194" s="986"/>
      <ns0:c r="L194" s="454"/>
      <ns0:c r="M194" s="439"/>
      <ns0:c r="N194" s="987" t="str">
        <ns0:f>IF(COUNTA($A194:$M194)=0,"",IF(OR(LEFT(LOWER(TRIM($F194&amp;"")),12)="subscription",LOWER(TRIM($F194&amp;""))="membership"),"",IF(OR(AND($H194&lt;&gt;"",$H194=0),LEFT(LOWER(TRIM($F194&amp;"")),9)="free game",LOWER(TRIM($F194&amp;""))="free",LOWER(TRIM($F194&amp;""))="free entry"),IF(ISNUMBER($G194),IF(ISNUMBER(SEARCH("non",LOWER($E194&amp;""))),$G194*0.85,$G194),"N/A"),IF($G194="","",IFERROR(IF(ISNUMBER(SEARCH("non",LOWER($E194&amp;""))),$G194*0.85,$G194),"")))))</ns0:f>
        <ns0:v/>
      </ns0:c>
      <ns0:c r="O194" s="987" t="str">
        <ns0:f>IF(COUNTA($A194:$M194)=0,"",IF(OR(LEFT(LOWER(TRIM($F194&amp;"")),12)="subscription",LOWER(TRIM($F194&amp;""))="membership"),"",IF(OR(AND($H194&lt;&gt;"",$H194=0),LEFT(LOWER(TRIM($F194&amp;"")),9)="free game",LOWER(TRIM($F194&amp;""))="free",LOWER(TRIM($F194&amp;""))="free entry"),IF(OR(NOT(ISNUMBER($N194)),NOT(ISNUMBER($I194)),$I194=0),"N/A",IFERROR($N194/$I194,"N/A")),IF(OR($N194="",$I194="",$I194=0),"",IFERROR($N194/$I194,"")))))</ns0:f>
        <ns0:v/>
      </ns0:c>
      <ns0:c r="P194" s="987">
        <ns0:f>IF(COUNTA($A194:$M194)=0,"",IF(OR(LEFT(LOWER(TRIM($F194&amp;"")),12)="subscription",LOWER(TRIM($F194&amp;""))="membership"),"",IF(LOWER(TRIM($D194&amp;""))="estimate","N/A",IF(LOWER($L194&amp;"")="yes",0,IF(OR(AND($H194&lt;&gt;"",$H194=0),LEFT(LOWER(TRIM($F194&amp;"")),9)="free game",LOWER(TRIM($F194&amp;""))="free",LOWER(TRIM($F194&amp;""))="free entry"),IF(ISNUMBER($K194),$K194,""),IF($K194&lt;&gt;"",$K194,""))))))</ns0:f>
      </ns0:c>
      <ns0:c r="Q194" s="114">
        <ns0:f>IF(COUNTA($A194:$M194)=0,"",IF(OR($U194="Subscription",$U194=""),"",IF($U194="Estimate","N/A",IF($U194="Profit",ROUND(IFERROR($P194,0)-IFERROR($H194,0),2),0))))</ns0:f>
      </ns0:c>
      <ns0:c r="R194" s="114">
        <ns0:f>IF(COUNTA($A194:$M194)=0,"",IF(OR($U194="Subscription",$U194=""),"",IF($U194="Estimate","N/A",IF($U194="Draw",$H194,0))))</ns0:f>
      </ns0:c>
      <ns0:c r="S194" s="114">
        <ns0:f>IF(COUNTA($A194:$M194)=0,"",IF(OR($U194="Subscription",$U194=""),"",IF($U194="Estimate","N/A",IF($U194="Disqualified",$H194,0))))</ns0:f>
      </ns0:c>
      <ns0:c r="T194" s="955">
        <ns0:f>IF(COUNTA($A194:$M194)=0,"",IF(OR($U194="Subscription",$U194=""),"",IF($U194="Estimate","N/A",IF(OR($U194="Free Game",$U194="Disqualified — Free Game",$H194=0),"N/A",IF($U194="Profit",$Q194/$H194,IF($U194="Disqualified",-$S194/$H194,0))))))</ns0:f>
      </ns0:c>
      <ns0:c r="U194" s="920">
        <ns0:f>IF(COUNTA($A194:$M194)=0,"",IF(OR(LEFT(LOWER(TRIM($F194&amp;"")),12)="subscription",LOWER(TRIM($F194&amp;""))="membership"),"Subscription",IF(LOWER(TRIM($D194&amp;""))="estimate","Estimate",IF(OR(AND($H194&lt;&gt;"",$H194=0),LEFT(LOWER(TRIM($F194&amp;"")),9)="free game",LOWER(TRIM($F194&amp;""))="free",LOWER(TRIM($F194&amp;""))="free entry"),IF(LOWER($L194&amp;"")="yes","Disqualified — Free Game","Free Game"),IF(LOWER($L194&amp;"")="yes","Disqualified",IF($P194="","",IF(ROUND(IFERROR(VALUE($P194),0)-IFERROR(VALUE($H194),0),2)&gt;0,"Profit","Draw")))))))</ns0:f>
      </ns0:c>
      <ns0:c r="V194" s="956" t="str">
        <ns0:f>IF(COUNTA($A194:$M194)=0,"",IF(OR($B194="",$C194="",$U194="Subscription"),"",IFERROR(ROUNDUP(($C194-$B194)/7,0),"")))</ns0:f>
      </ns0:c>
      <ns0:c r="W194" s="114">
        <ns0:f>IF(COUNTA($A194:$M194)=0,"",IF(OR($U194="Subscription",$U194=""),"",IF($U194="Estimate","N/A",IF(OR($U194="Free Game",$U194="Disqualified — Free Game"),0,ROUND(IFERROR($Q194,0)-IFERROR($S194,0),2)))))</ns0:f>
      </ns0:c>
      <ns0:c r="X194" s="956" t="str">
        <ns0:f>IF(COUNTA($A194:$M194)=0,"",IF(OR($U194="Subscription",NOT(ISNUMBER($J194)),NOT(ISNUMBER($I194)),$J194=0,$I194=0,$I194&gt;$J194),"",$J194-$I194))</ns0:f>
      </ns0:c>
      <ns0:c r="Y194" s="955" t="str">
        <ns0:f>IF(COUNTA($A194:$M194)=0,"",IF(OR($U194="Subscription",NOT(ISNUMBER($J194)),$J194=0,$X194=""),"",$X194/$J194))</ns0:f>
      </ns0:c>
      <ns0:c r="Z194" s="957" t="str">
        <ns0:f>IF(COUNTA($A194:$M194)=0,"",Instructions!$B$29+SUM($W$5:W194))</ns0:f>
      </ns0:c>
    </ns0:row>
    <ns0:row r="195" ht="36" customHeight="1">
      <ns0:c r="A195" s="439"/>
      <ns0:c r="B195" s="453"/>
      <ns0:c r="C195" s="453"/>
      <ns0:c r="D195" s="454"/>
      <ns0:c r="E195" s="454"/>
      <ns0:c r="F195" s="454"/>
      <ns0:c r="G195" s="986"/>
      <ns0:c r="H195" s="455"/>
      <ns0:c r="I195" s="456"/>
      <ns0:c r="J195" s="456"/>
      <ns0:c r="K195" s="986"/>
      <ns0:c r="L195" s="454"/>
      <ns0:c r="M195" s="439"/>
      <ns0:c r="N195" s="987" t="str">
        <ns0:f>IF(COUNTA($A195:$M195)=0,"",IF(OR(LEFT(LOWER(TRIM($F195&amp;"")),12)="subscription",LOWER(TRIM($F195&amp;""))="membership"),"",IF(OR(AND($H195&lt;&gt;"",$H195=0),LEFT(LOWER(TRIM($F195&amp;"")),9)="free game",LOWER(TRIM($F195&amp;""))="free",LOWER(TRIM($F195&amp;""))="free entry"),IF(ISNUMBER($G195),IF(ISNUMBER(SEARCH("non",LOWER($E195&amp;""))),$G195*0.85,$G195),"N/A"),IF($G195="","",IFERROR(IF(ISNUMBER(SEARCH("non",LOWER($E195&amp;""))),$G195*0.85,$G195),"")))))</ns0:f>
        <ns0:v/>
      </ns0:c>
      <ns0:c r="O195" s="987" t="str">
        <ns0:f>IF(COUNTA($A195:$M195)=0,"",IF(OR(LEFT(LOWER(TRIM($F195&amp;"")),12)="subscription",LOWER(TRIM($F195&amp;""))="membership"),"",IF(OR(AND($H195&lt;&gt;"",$H195=0),LEFT(LOWER(TRIM($F195&amp;"")),9)="free game",LOWER(TRIM($F195&amp;""))="free",LOWER(TRIM($F195&amp;""))="free entry"),IF(OR(NOT(ISNUMBER($N195)),NOT(ISNUMBER($I195)),$I195=0),"N/A",IFERROR($N195/$I195,"N/A")),IF(OR($N195="",$I195="",$I195=0),"",IFERROR($N195/$I195,"")))))</ns0:f>
        <ns0:v/>
      </ns0:c>
      <ns0:c r="P195" s="987">
        <ns0:f>IF(COUNTA($A195:$M195)=0,"",IF(OR(LEFT(LOWER(TRIM($F195&amp;"")),12)="subscription",LOWER(TRIM($F195&amp;""))="membership"),"",IF(LOWER(TRIM($D195&amp;""))="estimate","N/A",IF(LOWER($L195&amp;"")="yes",0,IF(OR(AND($H195&lt;&gt;"",$H195=0),LEFT(LOWER(TRIM($F195&amp;"")),9)="free game",LOWER(TRIM($F195&amp;""))="free",LOWER(TRIM($F195&amp;""))="free entry"),IF(ISNUMBER($K195),$K195,""),IF($K195&lt;&gt;"",$K195,""))))))</ns0:f>
      </ns0:c>
      <ns0:c r="Q195" s="114">
        <ns0:f>IF(COUNTA($A195:$M195)=0,"",IF(OR($U195="Subscription",$U195=""),"",IF($U195="Estimate","N/A",IF($U195="Profit",ROUND(IFERROR($P195,0)-IFERROR($H195,0),2),0))))</ns0:f>
      </ns0:c>
      <ns0:c r="R195" s="114">
        <ns0:f>IF(COUNTA($A195:$M195)=0,"",IF(OR($U195="Subscription",$U195=""),"",IF($U195="Estimate","N/A",IF($U195="Draw",$H195,0))))</ns0:f>
      </ns0:c>
      <ns0:c r="S195" s="114">
        <ns0:f>IF(COUNTA($A195:$M195)=0,"",IF(OR($U195="Subscription",$U195=""),"",IF($U195="Estimate","N/A",IF($U195="Disqualified",$H195,0))))</ns0:f>
      </ns0:c>
      <ns0:c r="T195" s="955">
        <ns0:f>IF(COUNTA($A195:$M195)=0,"",IF(OR($U195="Subscription",$U195=""),"",IF($U195="Estimate","N/A",IF(OR($U195="Free Game",$U195="Disqualified — Free Game",$H195=0),"N/A",IF($U195="Profit",$Q195/$H195,IF($U195="Disqualified",-$S195/$H195,0))))))</ns0:f>
      </ns0:c>
      <ns0:c r="U195" s="920">
        <ns0:f>IF(COUNTA($A195:$M195)=0,"",IF(OR(LEFT(LOWER(TRIM($F195&amp;"")),12)="subscription",LOWER(TRIM($F195&amp;""))="membership"),"Subscription",IF(LOWER(TRIM($D195&amp;""))="estimate","Estimate",IF(OR(AND($H195&lt;&gt;"",$H195=0),LEFT(LOWER(TRIM($F195&amp;"")),9)="free game",LOWER(TRIM($F195&amp;""))="free",LOWER(TRIM($F195&amp;""))="free entry"),IF(LOWER($L195&amp;"")="yes","Disqualified — Free Game","Free Game"),IF(LOWER($L195&amp;"")="yes","Disqualified",IF($P195="","",IF(ROUND(IFERROR(VALUE($P195),0)-IFERROR(VALUE($H195),0),2)&gt;0,"Profit","Draw")))))))</ns0:f>
      </ns0:c>
      <ns0:c r="V195" s="956" t="str">
        <ns0:f>IF(COUNTA($A195:$M195)=0,"",IF(OR($B195="",$C195="",$U195="Subscription"),"",IFERROR(ROUNDUP(($C195-$B195)/7,0),"")))</ns0:f>
      </ns0:c>
      <ns0:c r="W195" s="114">
        <ns0:f>IF(COUNTA($A195:$M195)=0,"",IF(OR($U195="Subscription",$U195=""),"",IF($U195="Estimate","N/A",IF(OR($U195="Free Game",$U195="Disqualified — Free Game"),0,ROUND(IFERROR($Q195,0)-IFERROR($S195,0),2)))))</ns0:f>
      </ns0:c>
      <ns0:c r="X195" s="956" t="str">
        <ns0:f>IF(COUNTA($A195:$M195)=0,"",IF(OR($U195="Subscription",NOT(ISNUMBER($J195)),NOT(ISNUMBER($I195)),$J195=0,$I195=0,$I195&gt;$J195),"",$J195-$I195))</ns0:f>
      </ns0:c>
      <ns0:c r="Y195" s="955" t="str">
        <ns0:f>IF(COUNTA($A195:$M195)=0,"",IF(OR($U195="Subscription",NOT(ISNUMBER($J195)),$J195=0,$X195=""),"",$X195/$J195))</ns0:f>
      </ns0:c>
      <ns0:c r="Z195" s="957" t="str">
        <ns0:f>IF(COUNTA($A195:$M195)=0,"",Instructions!$B$29+SUM($W$5:W195))</ns0:f>
      </ns0:c>
    </ns0:row>
    <ns0:row r="196" ht="36" customHeight="1">
      <ns0:c r="A196" s="439"/>
      <ns0:c r="B196" s="453"/>
      <ns0:c r="C196" s="453"/>
      <ns0:c r="D196" s="454"/>
      <ns0:c r="E196" s="454"/>
      <ns0:c r="F196" s="454"/>
      <ns0:c r="G196" s="986"/>
      <ns0:c r="H196" s="455"/>
      <ns0:c r="I196" s="456"/>
      <ns0:c r="J196" s="456"/>
      <ns0:c r="K196" s="986"/>
      <ns0:c r="L196" s="454"/>
      <ns0:c r="M196" s="439"/>
      <ns0:c r="N196" s="987" t="str">
        <ns0:f>IF(COUNTA($A196:$M196)=0,"",IF(OR(LEFT(LOWER(TRIM($F196&amp;"")),12)="subscription",LOWER(TRIM($F196&amp;""))="membership"),"",IF(OR(AND($H196&lt;&gt;"",$H196=0),LEFT(LOWER(TRIM($F196&amp;"")),9)="free game",LOWER(TRIM($F196&amp;""))="free",LOWER(TRIM($F196&amp;""))="free entry"),IF(ISNUMBER($G196),IF(ISNUMBER(SEARCH("non",LOWER($E196&amp;""))),$G196*0.85,$G196),"N/A"),IF($G196="","",IFERROR(IF(ISNUMBER(SEARCH("non",LOWER($E196&amp;""))),$G196*0.85,$G196),"")))))</ns0:f>
        <ns0:v/>
      </ns0:c>
      <ns0:c r="O196" s="987" t="str">
        <ns0:f>IF(COUNTA($A196:$M196)=0,"",IF(OR(LEFT(LOWER(TRIM($F196&amp;"")),12)="subscription",LOWER(TRIM($F196&amp;""))="membership"),"",IF(OR(AND($H196&lt;&gt;"",$H196=0),LEFT(LOWER(TRIM($F196&amp;"")),9)="free game",LOWER(TRIM($F196&amp;""))="free",LOWER(TRIM($F196&amp;""))="free entry"),IF(OR(NOT(ISNUMBER($N196)),NOT(ISNUMBER($I196)),$I196=0),"N/A",IFERROR($N196/$I196,"N/A")),IF(OR($N196="",$I196="",$I196=0),"",IFERROR($N196/$I196,"")))))</ns0:f>
        <ns0:v/>
      </ns0:c>
      <ns0:c r="P196" s="987">
        <ns0:f>IF(COUNTA($A196:$M196)=0,"",IF(OR(LEFT(LOWER(TRIM($F196&amp;"")),12)="subscription",LOWER(TRIM($F196&amp;""))="membership"),"",IF(LOWER(TRIM($D196&amp;""))="estimate","N/A",IF(LOWER($L196&amp;"")="yes",0,IF(OR(AND($H196&lt;&gt;"",$H196=0),LEFT(LOWER(TRIM($F196&amp;"")),9)="free game",LOWER(TRIM($F196&amp;""))="free",LOWER(TRIM($F196&amp;""))="free entry"),IF(ISNUMBER($K196),$K196,""),IF($K196&lt;&gt;"",$K196,""))))))</ns0:f>
      </ns0:c>
      <ns0:c r="Q196" s="114">
        <ns0:f>IF(COUNTA($A196:$M196)=0,"",IF(OR($U196="Subscription",$U196=""),"",IF($U196="Estimate","N/A",IF($U196="Profit",ROUND(IFERROR($P196,0)-IFERROR($H196,0),2),0))))</ns0:f>
      </ns0:c>
      <ns0:c r="R196" s="114">
        <ns0:f>IF(COUNTA($A196:$M196)=0,"",IF(OR($U196="Subscription",$U196=""),"",IF($U196="Estimate","N/A",IF($U196="Draw",$H196,0))))</ns0:f>
      </ns0:c>
      <ns0:c r="S196" s="114">
        <ns0:f>IF(COUNTA($A196:$M196)=0,"",IF(OR($U196="Subscription",$U196=""),"",IF($U196="Estimate","N/A",IF($U196="Disqualified",$H196,0))))</ns0:f>
      </ns0:c>
      <ns0:c r="T196" s="955">
        <ns0:f>IF(COUNTA($A196:$M196)=0,"",IF(OR($U196="Subscription",$U196=""),"",IF($U196="Estimate","N/A",IF(OR($U196="Free Game",$U196="Disqualified — Free Game",$H196=0),"N/A",IF($U196="Profit",$Q196/$H196,IF($U196="Disqualified",-$S196/$H196,0))))))</ns0:f>
      </ns0:c>
      <ns0:c r="U196" s="920">
        <ns0:f>IF(COUNTA($A196:$M196)=0,"",IF(OR(LEFT(LOWER(TRIM($F196&amp;"")),12)="subscription",LOWER(TRIM($F196&amp;""))="membership"),"Subscription",IF(LOWER(TRIM($D196&amp;""))="estimate","Estimate",IF(OR(AND($H196&lt;&gt;"",$H196=0),LEFT(LOWER(TRIM($F196&amp;"")),9)="free game",LOWER(TRIM($F196&amp;""))="free",LOWER(TRIM($F196&amp;""))="free entry"),IF(LOWER($L196&amp;"")="yes","Disqualified — Free Game","Free Game"),IF(LOWER($L196&amp;"")="yes","Disqualified",IF($P196="","",IF(ROUND(IFERROR(VALUE($P196),0)-IFERROR(VALUE($H196),0),2)&gt;0,"Profit","Draw")))))))</ns0:f>
      </ns0:c>
      <ns0:c r="V196" s="956" t="str">
        <ns0:f>IF(COUNTA($A196:$M196)=0,"",IF(OR($B196="",$C196="",$U196="Subscription"),"",IFERROR(ROUNDUP(($C196-$B196)/7,0),"")))</ns0:f>
      </ns0:c>
      <ns0:c r="W196" s="114">
        <ns0:f>IF(COUNTA($A196:$M196)=0,"",IF(OR($U196="Subscription",$U196=""),"",IF($U196="Estimate","N/A",IF(OR($U196="Free Game",$U196="Disqualified — Free Game"),0,ROUND(IFERROR($Q196,0)-IFERROR($S196,0),2)))))</ns0:f>
      </ns0:c>
      <ns0:c r="X196" s="956" t="str">
        <ns0:f>IF(COUNTA($A196:$M196)=0,"",IF(OR($U196="Subscription",NOT(ISNUMBER($J196)),NOT(ISNUMBER($I196)),$J196=0,$I196=0,$I196&gt;$J196),"",$J196-$I196))</ns0:f>
      </ns0:c>
      <ns0:c r="Y196" s="955" t="str">
        <ns0:f>IF(COUNTA($A196:$M196)=0,"",IF(OR($U196="Subscription",NOT(ISNUMBER($J196)),$J196=0,$X196=""),"",$X196/$J196))</ns0:f>
      </ns0:c>
      <ns0:c r="Z196" s="957" t="str">
        <ns0:f>IF(COUNTA($A196:$M196)=0,"",Instructions!$B$29+SUM($W$5:W196))</ns0:f>
      </ns0:c>
    </ns0:row>
    <ns0:row r="197" ht="36" customHeight="1">
      <ns0:c r="A197" s="439"/>
      <ns0:c r="B197" s="453"/>
      <ns0:c r="C197" s="453"/>
      <ns0:c r="D197" s="454"/>
      <ns0:c r="E197" s="454"/>
      <ns0:c r="F197" s="454"/>
      <ns0:c r="G197" s="986"/>
      <ns0:c r="H197" s="455"/>
      <ns0:c r="I197" s="456"/>
      <ns0:c r="J197" s="456"/>
      <ns0:c r="K197" s="986"/>
      <ns0:c r="L197" s="454"/>
      <ns0:c r="M197" s="439"/>
      <ns0:c r="N197" s="987" t="str">
        <ns0:f>IF(COUNTA($A197:$M197)=0,"",IF(OR(LEFT(LOWER(TRIM($F197&amp;"")),12)="subscription",LOWER(TRIM($F197&amp;""))="membership"),"",IF(OR(AND($H197&lt;&gt;"",$H197=0),LEFT(LOWER(TRIM($F197&amp;"")),9)="free game",LOWER(TRIM($F197&amp;""))="free",LOWER(TRIM($F197&amp;""))="free entry"),IF(ISNUMBER($G197),IF(ISNUMBER(SEARCH("non",LOWER($E197&amp;""))),$G197*0.85,$G197),"N/A"),IF($G197="","",IFERROR(IF(ISNUMBER(SEARCH("non",LOWER($E197&amp;""))),$G197*0.85,$G197),"")))))</ns0:f>
        <ns0:v/>
      </ns0:c>
      <ns0:c r="O197" s="987" t="str">
        <ns0:f>IF(COUNTA($A197:$M197)=0,"",IF(OR(LEFT(LOWER(TRIM($F197&amp;"")),12)="subscription",LOWER(TRIM($F197&amp;""))="membership"),"",IF(OR(AND($H197&lt;&gt;"",$H197=0),LEFT(LOWER(TRIM($F197&amp;"")),9)="free game",LOWER(TRIM($F197&amp;""))="free",LOWER(TRIM($F197&amp;""))="free entry"),IF(OR(NOT(ISNUMBER($N197)),NOT(ISNUMBER($I197)),$I197=0),"N/A",IFERROR($N197/$I197,"N/A")),IF(OR($N197="",$I197="",$I197=0),"",IFERROR($N197/$I197,"")))))</ns0:f>
        <ns0:v/>
      </ns0:c>
      <ns0:c r="P197" s="987">
        <ns0:f>IF(COUNTA($A197:$M197)=0,"",IF(OR(LEFT(LOWER(TRIM($F197&amp;"")),12)="subscription",LOWER(TRIM($F197&amp;""))="membership"),"",IF(LOWER(TRIM($D197&amp;""))="estimate","N/A",IF(LOWER($L197&amp;"")="yes",0,IF(OR(AND($H197&lt;&gt;"",$H197=0),LEFT(LOWER(TRIM($F197&amp;"")),9)="free game",LOWER(TRIM($F197&amp;""))="free",LOWER(TRIM($F197&amp;""))="free entry"),IF(ISNUMBER($K197),$K197,""),IF($K197&lt;&gt;"",$K197,""))))))</ns0:f>
      </ns0:c>
      <ns0:c r="Q197" s="114">
        <ns0:f>IF(COUNTA($A197:$M197)=0,"",IF(OR($U197="Subscription",$U197=""),"",IF($U197="Estimate","N/A",IF($U197="Profit",ROUND(IFERROR($P197,0)-IFERROR($H197,0),2),0))))</ns0:f>
      </ns0:c>
      <ns0:c r="R197" s="114">
        <ns0:f>IF(COUNTA($A197:$M197)=0,"",IF(OR($U197="Subscription",$U197=""),"",IF($U197="Estimate","N/A",IF($U197="Draw",$H197,0))))</ns0:f>
      </ns0:c>
      <ns0:c r="S197" s="114">
        <ns0:f>IF(COUNTA($A197:$M197)=0,"",IF(OR($U197="Subscription",$U197=""),"",IF($U197="Estimate","N/A",IF($U197="Disqualified",$H197,0))))</ns0:f>
      </ns0:c>
      <ns0:c r="T197" s="955">
        <ns0:f>IF(COUNTA($A197:$M197)=0,"",IF(OR($U197="Subscription",$U197=""),"",IF($U197="Estimate","N/A",IF(OR($U197="Free Game",$U197="Disqualified — Free Game",$H197=0),"N/A",IF($U197="Profit",$Q197/$H197,IF($U197="Disqualified",-$S197/$H197,0))))))</ns0:f>
      </ns0:c>
      <ns0:c r="U197" s="920">
        <ns0:f>IF(COUNTA($A197:$M197)=0,"",IF(OR(LEFT(LOWER(TRIM($F197&amp;"")),12)="subscription",LOWER(TRIM($F197&amp;""))="membership"),"Subscription",IF(LOWER(TRIM($D197&amp;""))="estimate","Estimate",IF(OR(AND($H197&lt;&gt;"",$H197=0),LEFT(LOWER(TRIM($F197&amp;"")),9)="free game",LOWER(TRIM($F197&amp;""))="free",LOWER(TRIM($F197&amp;""))="free entry"),IF(LOWER($L197&amp;"")="yes","Disqualified — Free Game","Free Game"),IF(LOWER($L197&amp;"")="yes","Disqualified",IF($P197="","",IF(ROUND(IFERROR(VALUE($P197),0)-IFERROR(VALUE($H197),0),2)&gt;0,"Profit","Draw")))))))</ns0:f>
      </ns0:c>
      <ns0:c r="V197" s="956" t="str">
        <ns0:f>IF(COUNTA($A197:$M197)=0,"",IF(OR($B197="",$C197="",$U197="Subscription"),"",IFERROR(ROUNDUP(($C197-$B197)/7,0),"")))</ns0:f>
      </ns0:c>
      <ns0:c r="W197" s="114">
        <ns0:f>IF(COUNTA($A197:$M197)=0,"",IF(OR($U197="Subscription",$U197=""),"",IF($U197="Estimate","N/A",IF(OR($U197="Free Game",$U197="Disqualified — Free Game"),0,ROUND(IFERROR($Q197,0)-IFERROR($S197,0),2)))))</ns0:f>
      </ns0:c>
      <ns0:c r="X197" s="956" t="str">
        <ns0:f>IF(COUNTA($A197:$M197)=0,"",IF(OR($U197="Subscription",NOT(ISNUMBER($J197)),NOT(ISNUMBER($I197)),$J197=0,$I197=0,$I197&gt;$J197),"",$J197-$I197))</ns0:f>
      </ns0:c>
      <ns0:c r="Y197" s="955" t="str">
        <ns0:f>IF(COUNTA($A197:$M197)=0,"",IF(OR($U197="Subscription",NOT(ISNUMBER($J197)),$J197=0,$X197=""),"",$X197/$J197))</ns0:f>
      </ns0:c>
      <ns0:c r="Z197" s="957" t="str">
        <ns0:f>IF(COUNTA($A197:$M197)=0,"",Instructions!$B$29+SUM($W$5:W197))</ns0:f>
      </ns0:c>
    </ns0:row>
    <ns0:row r="198" ht="36" customHeight="1">
      <ns0:c r="A198" s="439"/>
      <ns0:c r="B198" s="453"/>
      <ns0:c r="C198" s="453"/>
      <ns0:c r="D198" s="454"/>
      <ns0:c r="E198" s="454"/>
      <ns0:c r="F198" s="454"/>
      <ns0:c r="G198" s="986"/>
      <ns0:c r="H198" s="455"/>
      <ns0:c r="I198" s="456"/>
      <ns0:c r="J198" s="456"/>
      <ns0:c r="K198" s="986"/>
      <ns0:c r="L198" s="454"/>
      <ns0:c r="M198" s="439"/>
      <ns0:c r="N198" s="987" t="str">
        <ns0:f>IF(COUNTA($A198:$M198)=0,"",IF(OR(LEFT(LOWER(TRIM($F198&amp;"")),12)="subscription",LOWER(TRIM($F198&amp;""))="membership"),"",IF(OR(AND($H198&lt;&gt;"",$H198=0),LEFT(LOWER(TRIM($F198&amp;"")),9)="free game",LOWER(TRIM($F198&amp;""))="free",LOWER(TRIM($F198&amp;""))="free entry"),IF(ISNUMBER($G198),IF(ISNUMBER(SEARCH("non",LOWER($E198&amp;""))),$G198*0.85,$G198),"N/A"),IF($G198="","",IFERROR(IF(ISNUMBER(SEARCH("non",LOWER($E198&amp;""))),$G198*0.85,$G198),"")))))</ns0:f>
        <ns0:v/>
      </ns0:c>
      <ns0:c r="O198" s="987" t="str">
        <ns0:f>IF(COUNTA($A198:$M198)=0,"",IF(OR(LEFT(LOWER(TRIM($F198&amp;"")),12)="subscription",LOWER(TRIM($F198&amp;""))="membership"),"",IF(OR(AND($H198&lt;&gt;"",$H198=0),LEFT(LOWER(TRIM($F198&amp;"")),9)="free game",LOWER(TRIM($F198&amp;""))="free",LOWER(TRIM($F198&amp;""))="free entry"),IF(OR(NOT(ISNUMBER($N198)),NOT(ISNUMBER($I198)),$I198=0),"N/A",IFERROR($N198/$I198,"N/A")),IF(OR($N198="",$I198="",$I198=0),"",IFERROR($N198/$I198,"")))))</ns0:f>
        <ns0:v/>
      </ns0:c>
      <ns0:c r="P198" s="987">
        <ns0:f>IF(COUNTA($A198:$M198)=0,"",IF(OR(LEFT(LOWER(TRIM($F198&amp;"")),12)="subscription",LOWER(TRIM($F198&amp;""))="membership"),"",IF(LOWER(TRIM($D198&amp;""))="estimate","N/A",IF(LOWER($L198&amp;"")="yes",0,IF(OR(AND($H198&lt;&gt;"",$H198=0),LEFT(LOWER(TRIM($F198&amp;"")),9)="free game",LOWER(TRIM($F198&amp;""))="free",LOWER(TRIM($F198&amp;""))="free entry"),IF(ISNUMBER($K198),$K198,""),IF($K198&lt;&gt;"",$K198,""))))))</ns0:f>
      </ns0:c>
      <ns0:c r="Q198" s="114">
        <ns0:f>IF(COUNTA($A198:$M198)=0,"",IF(OR($U198="Subscription",$U198=""),"",IF($U198="Estimate","N/A",IF($U198="Profit",ROUND(IFERROR($P198,0)-IFERROR($H198,0),2),0))))</ns0:f>
      </ns0:c>
      <ns0:c r="R198" s="114">
        <ns0:f>IF(COUNTA($A198:$M198)=0,"",IF(OR($U198="Subscription",$U198=""),"",IF($U198="Estimate","N/A",IF($U198="Draw",$H198,0))))</ns0:f>
      </ns0:c>
      <ns0:c r="S198" s="114">
        <ns0:f>IF(COUNTA($A198:$M198)=0,"",IF(OR($U198="Subscription",$U198=""),"",IF($U198="Estimate","N/A",IF($U198="Disqualified",$H198,0))))</ns0:f>
      </ns0:c>
      <ns0:c r="T198" s="955">
        <ns0:f>IF(COUNTA($A198:$M198)=0,"",IF(OR($U198="Subscription",$U198=""),"",IF($U198="Estimate","N/A",IF(OR($U198="Free Game",$U198="Disqualified — Free Game",$H198=0),"N/A",IF($U198="Profit",$Q198/$H198,IF($U198="Disqualified",-$S198/$H198,0))))))</ns0:f>
      </ns0:c>
      <ns0:c r="U198" s="920">
        <ns0:f>IF(COUNTA($A198:$M198)=0,"",IF(OR(LEFT(LOWER(TRIM($F198&amp;"")),12)="subscription",LOWER(TRIM($F198&amp;""))="membership"),"Subscription",IF(LOWER(TRIM($D198&amp;""))="estimate","Estimate",IF(OR(AND($H198&lt;&gt;"",$H198=0),LEFT(LOWER(TRIM($F198&amp;"")),9)="free game",LOWER(TRIM($F198&amp;""))="free",LOWER(TRIM($F198&amp;""))="free entry"),IF(LOWER($L198&amp;"")="yes","Disqualified — Free Game","Free Game"),IF(LOWER($L198&amp;"")="yes","Disqualified",IF($P198="","",IF(ROUND(IFERROR(VALUE($P198),0)-IFERROR(VALUE($H198),0),2)&gt;0,"Profit","Draw")))))))</ns0:f>
      </ns0:c>
      <ns0:c r="V198" s="956" t="str">
        <ns0:f>IF(COUNTA($A198:$M198)=0,"",IF(OR($B198="",$C198="",$U198="Subscription"),"",IFERROR(ROUNDUP(($C198-$B198)/7,0),"")))</ns0:f>
      </ns0:c>
      <ns0:c r="W198" s="114">
        <ns0:f>IF(COUNTA($A198:$M198)=0,"",IF(OR($U198="Subscription",$U198=""),"",IF($U198="Estimate","N/A",IF(OR($U198="Free Game",$U198="Disqualified — Free Game"),0,ROUND(IFERROR($Q198,0)-IFERROR($S198,0),2)))))</ns0:f>
      </ns0:c>
      <ns0:c r="X198" s="956" t="str">
        <ns0:f>IF(COUNTA($A198:$M198)=0,"",IF(OR($U198="Subscription",NOT(ISNUMBER($J198)),NOT(ISNUMBER($I198)),$J198=0,$I198=0,$I198&gt;$J198),"",$J198-$I198))</ns0:f>
      </ns0:c>
      <ns0:c r="Y198" s="955" t="str">
        <ns0:f>IF(COUNTA($A198:$M198)=0,"",IF(OR($U198="Subscription",NOT(ISNUMBER($J198)),$J198=0,$X198=""),"",$X198/$J198))</ns0:f>
      </ns0:c>
      <ns0:c r="Z198" s="957" t="str">
        <ns0:f>IF(COUNTA($A198:$M198)=0,"",Instructions!$B$29+SUM($W$5:W198))</ns0:f>
      </ns0:c>
    </ns0:row>
    <ns0:row r="199" ht="36" customHeight="1">
      <ns0:c r="A199" s="439"/>
      <ns0:c r="B199" s="453"/>
      <ns0:c r="C199" s="453"/>
      <ns0:c r="D199" s="454"/>
      <ns0:c r="E199" s="454"/>
      <ns0:c r="F199" s="454"/>
      <ns0:c r="G199" s="986"/>
      <ns0:c r="H199" s="455"/>
      <ns0:c r="I199" s="456"/>
      <ns0:c r="J199" s="456"/>
      <ns0:c r="K199" s="986"/>
      <ns0:c r="L199" s="454"/>
      <ns0:c r="M199" s="439"/>
      <ns0:c r="N199" s="987" t="str">
        <ns0:f>IF(COUNTA($A199:$M199)=0,"",IF(OR(LEFT(LOWER(TRIM($F199&amp;"")),12)="subscription",LOWER(TRIM($F199&amp;""))="membership"),"",IF(OR(AND($H199&lt;&gt;"",$H199=0),LEFT(LOWER(TRIM($F199&amp;"")),9)="free game",LOWER(TRIM($F199&amp;""))="free",LOWER(TRIM($F199&amp;""))="free entry"),IF(ISNUMBER($G199),IF(ISNUMBER(SEARCH("non",LOWER($E199&amp;""))),$G199*0.85,$G199),"N/A"),IF($G199="","",IFERROR(IF(ISNUMBER(SEARCH("non",LOWER($E199&amp;""))),$G199*0.85,$G199),"")))))</ns0:f>
        <ns0:v/>
      </ns0:c>
      <ns0:c r="O199" s="987" t="str">
        <ns0:f>IF(COUNTA($A199:$M199)=0,"",IF(OR(LEFT(LOWER(TRIM($F199&amp;"")),12)="subscription",LOWER(TRIM($F199&amp;""))="membership"),"",IF(OR(AND($H199&lt;&gt;"",$H199=0),LEFT(LOWER(TRIM($F199&amp;"")),9)="free game",LOWER(TRIM($F199&amp;""))="free",LOWER(TRIM($F199&amp;""))="free entry"),IF(OR(NOT(ISNUMBER($N199)),NOT(ISNUMBER($I199)),$I199=0),"N/A",IFERROR($N199/$I199,"N/A")),IF(OR($N199="",$I199="",$I199=0),"",IFERROR($N199/$I199,"")))))</ns0:f>
        <ns0:v/>
      </ns0:c>
      <ns0:c r="P199" s="987">
        <ns0:f>IF(COUNTA($A199:$M199)=0,"",IF(OR(LEFT(LOWER(TRIM($F199&amp;"")),12)="subscription",LOWER(TRIM($F199&amp;""))="membership"),"",IF(LOWER(TRIM($D199&amp;""))="estimate","N/A",IF(LOWER($L199&amp;"")="yes",0,IF(OR(AND($H199&lt;&gt;"",$H199=0),LEFT(LOWER(TRIM($F199&amp;"")),9)="free game",LOWER(TRIM($F199&amp;""))="free",LOWER(TRIM($F199&amp;""))="free entry"),IF(ISNUMBER($K199),$K199,""),IF($K199&lt;&gt;"",$K199,""))))))</ns0:f>
      </ns0:c>
      <ns0:c r="Q199" s="114">
        <ns0:f>IF(COUNTA($A199:$M199)=0,"",IF(OR($U199="Subscription",$U199=""),"",IF($U199="Estimate","N/A",IF($U199="Profit",ROUND(IFERROR($P199,0)-IFERROR($H199,0),2),0))))</ns0:f>
      </ns0:c>
      <ns0:c r="R199" s="114">
        <ns0:f>IF(COUNTA($A199:$M199)=0,"",IF(OR($U199="Subscription",$U199=""),"",IF($U199="Estimate","N/A",IF($U199="Draw",$H199,0))))</ns0:f>
      </ns0:c>
      <ns0:c r="S199" s="114">
        <ns0:f>IF(COUNTA($A199:$M199)=0,"",IF(OR($U199="Subscription",$U199=""),"",IF($U199="Estimate","N/A",IF($U199="Disqualified",$H199,0))))</ns0:f>
      </ns0:c>
      <ns0:c r="T199" s="955">
        <ns0:f>IF(COUNTA($A199:$M199)=0,"",IF(OR($U199="Subscription",$U199=""),"",IF($U199="Estimate","N/A",IF(OR($U199="Free Game",$U199="Disqualified — Free Game",$H199=0),"N/A",IF($U199="Profit",$Q199/$H199,IF($U199="Disqualified",-$S199/$H199,0))))))</ns0:f>
      </ns0:c>
      <ns0:c r="U199" s="920">
        <ns0:f>IF(COUNTA($A199:$M199)=0,"",IF(OR(LEFT(LOWER(TRIM($F199&amp;"")),12)="subscription",LOWER(TRIM($F199&amp;""))="membership"),"Subscription",IF(LOWER(TRIM($D199&amp;""))="estimate","Estimate",IF(OR(AND($H199&lt;&gt;"",$H199=0),LEFT(LOWER(TRIM($F199&amp;"")),9)="free game",LOWER(TRIM($F199&amp;""))="free",LOWER(TRIM($F199&amp;""))="free entry"),IF(LOWER($L199&amp;"")="yes","Disqualified — Free Game","Free Game"),IF(LOWER($L199&amp;"")="yes","Disqualified",IF($P199="","",IF(ROUND(IFERROR(VALUE($P199),0)-IFERROR(VALUE($H199),0),2)&gt;0,"Profit","Draw")))))))</ns0:f>
      </ns0:c>
      <ns0:c r="V199" s="956" t="str">
        <ns0:f>IF(COUNTA($A199:$M199)=0,"",IF(OR($B199="",$C199="",$U199="Subscription"),"",IFERROR(ROUNDUP(($C199-$B199)/7,0),"")))</ns0:f>
      </ns0:c>
      <ns0:c r="W199" s="114">
        <ns0:f>IF(COUNTA($A199:$M199)=0,"",IF(OR($U199="Subscription",$U199=""),"",IF($U199="Estimate","N/A",IF(OR($U199="Free Game",$U199="Disqualified — Free Game"),0,ROUND(IFERROR($Q199,0)-IFERROR($S199,0),2)))))</ns0:f>
      </ns0:c>
      <ns0:c r="X199" s="956" t="str">
        <ns0:f>IF(COUNTA($A199:$M199)=0,"",IF(OR($U199="Subscription",NOT(ISNUMBER($J199)),NOT(ISNUMBER($I199)),$J199=0,$I199=0,$I199&gt;$J199),"",$J199-$I199))</ns0:f>
      </ns0:c>
      <ns0:c r="Y199" s="955" t="str">
        <ns0:f>IF(COUNTA($A199:$M199)=0,"",IF(OR($U199="Subscription",NOT(ISNUMBER($J199)),$J199=0,$X199=""),"",$X199/$J199))</ns0:f>
      </ns0:c>
      <ns0:c r="Z199" s="957" t="str">
        <ns0:f>IF(COUNTA($A199:$M199)=0,"",Instructions!$B$29+SUM($W$5:W199))</ns0:f>
      </ns0:c>
    </ns0:row>
    <ns0:row r="200" ht="36" customHeight="1">
      <ns0:c r="A200" s="439"/>
      <ns0:c r="B200" s="453"/>
      <ns0:c r="C200" s="453"/>
      <ns0:c r="D200" s="454"/>
      <ns0:c r="E200" s="454"/>
      <ns0:c r="F200" s="454"/>
      <ns0:c r="G200" s="986"/>
      <ns0:c r="H200" s="455"/>
      <ns0:c r="I200" s="456"/>
      <ns0:c r="J200" s="456"/>
      <ns0:c r="K200" s="986"/>
      <ns0:c r="L200" s="454"/>
      <ns0:c r="M200" s="439"/>
      <ns0:c r="N200" s="987" t="str">
        <ns0:f>IF(COUNTA($A200:$M200)=0,"",IF(OR(LEFT(LOWER(TRIM($F200&amp;"")),12)="subscription",LOWER(TRIM($F200&amp;""))="membership"),"",IF(OR(AND($H200&lt;&gt;"",$H200=0),LEFT(LOWER(TRIM($F200&amp;"")),9)="free game",LOWER(TRIM($F200&amp;""))="free",LOWER(TRIM($F200&amp;""))="free entry"),IF(ISNUMBER($G200),IF(ISNUMBER(SEARCH("non",LOWER($E200&amp;""))),$G200*0.85,$G200),"N/A"),IF($G200="","",IFERROR(IF(ISNUMBER(SEARCH("non",LOWER($E200&amp;""))),$G200*0.85,$G200),"")))))</ns0:f>
        <ns0:v/>
      </ns0:c>
      <ns0:c r="O200" s="987" t="str">
        <ns0:f>IF(COUNTA($A200:$M200)=0,"",IF(OR(LEFT(LOWER(TRIM($F200&amp;"")),12)="subscription",LOWER(TRIM($F200&amp;""))="membership"),"",IF(OR(AND($H200&lt;&gt;"",$H200=0),LEFT(LOWER(TRIM($F200&amp;"")),9)="free game",LOWER(TRIM($F200&amp;""))="free",LOWER(TRIM($F200&amp;""))="free entry"),IF(OR(NOT(ISNUMBER($N200)),NOT(ISNUMBER($I200)),$I200=0),"N/A",IFERROR($N200/$I200,"N/A")),IF(OR($N200="",$I200="",$I200=0),"",IFERROR($N200/$I200,"")))))</ns0:f>
        <ns0:v/>
      </ns0:c>
      <ns0:c r="P200" s="987">
        <ns0:f>IF(COUNTA($A200:$M200)=0,"",IF(OR(LEFT(LOWER(TRIM($F200&amp;"")),12)="subscription",LOWER(TRIM($F200&amp;""))="membership"),"",IF(LOWER(TRIM($D200&amp;""))="estimate","N/A",IF(LOWER($L200&amp;"")="yes",0,IF(OR(AND($H200&lt;&gt;"",$H200=0),LEFT(LOWER(TRIM($F200&amp;"")),9)="free game",LOWER(TRIM($F200&amp;""))="free",LOWER(TRIM($F200&amp;""))="free entry"),IF(ISNUMBER($K200),$K200,""),IF($K200&lt;&gt;"",$K200,""))))))</ns0:f>
      </ns0:c>
      <ns0:c r="Q200" s="114">
        <ns0:f>IF(COUNTA($A200:$M200)=0,"",IF(OR($U200="Subscription",$U200=""),"",IF($U200="Estimate","N/A",IF($U200="Profit",ROUND(IFERROR($P200,0)-IFERROR($H200,0),2),0))))</ns0:f>
      </ns0:c>
      <ns0:c r="R200" s="114">
        <ns0:f>IF(COUNTA($A200:$M200)=0,"",IF(OR($U200="Subscription",$U200=""),"",IF($U200="Estimate","N/A",IF($U200="Draw",$H200,0))))</ns0:f>
      </ns0:c>
      <ns0:c r="S200" s="114">
        <ns0:f>IF(COUNTA($A200:$M200)=0,"",IF(OR($U200="Subscription",$U200=""),"",IF($U200="Estimate","N/A",IF($U200="Disqualified",$H200,0))))</ns0:f>
      </ns0:c>
      <ns0:c r="T200" s="955">
        <ns0:f>IF(COUNTA($A200:$M200)=0,"",IF(OR($U200="Subscription",$U200=""),"",IF($U200="Estimate","N/A",IF(OR($U200="Free Game",$U200="Disqualified — Free Game",$H200=0),"N/A",IF($U200="Profit",$Q200/$H200,IF($U200="Disqualified",-$S200/$H200,0))))))</ns0:f>
      </ns0:c>
      <ns0:c r="U200" s="920">
        <ns0:f>IF(COUNTA($A200:$M200)=0,"",IF(OR(LEFT(LOWER(TRIM($F200&amp;"")),12)="subscription",LOWER(TRIM($F200&amp;""))="membership"),"Subscription",IF(LOWER(TRIM($D200&amp;""))="estimate","Estimate",IF(OR(AND($H200&lt;&gt;"",$H200=0),LEFT(LOWER(TRIM($F200&amp;"")),9)="free game",LOWER(TRIM($F200&amp;""))="free",LOWER(TRIM($F200&amp;""))="free entry"),IF(LOWER($L200&amp;"")="yes","Disqualified — Free Game","Free Game"),IF(LOWER($L200&amp;"")="yes","Disqualified",IF($P200="","",IF(ROUND(IFERROR(VALUE($P200),0)-IFERROR(VALUE($H200),0),2)&gt;0,"Profit","Draw")))))))</ns0:f>
      </ns0:c>
      <ns0:c r="V200" s="956" t="str">
        <ns0:f>IF(COUNTA($A200:$M200)=0,"",IF(OR($B200="",$C200="",$U200="Subscription"),"",IFERROR(ROUNDUP(($C200-$B200)/7,0),"")))</ns0:f>
      </ns0:c>
      <ns0:c r="W200" s="114">
        <ns0:f>IF(COUNTA($A200:$M200)=0,"",IF(OR($U200="Subscription",$U200=""),"",IF($U200="Estimate","N/A",IF(OR($U200="Free Game",$U200="Disqualified — Free Game"),0,ROUND(IFERROR($Q200,0)-IFERROR($S200,0),2)))))</ns0:f>
      </ns0:c>
      <ns0:c r="X200" s="956" t="str">
        <ns0:f>IF(COUNTA($A200:$M200)=0,"",IF(OR($U200="Subscription",NOT(ISNUMBER($J200)),NOT(ISNUMBER($I200)),$J200=0,$I200=0,$I200&gt;$J200),"",$J200-$I200))</ns0:f>
      </ns0:c>
      <ns0:c r="Y200" s="955" t="str">
        <ns0:f>IF(COUNTA($A200:$M200)=0,"",IF(OR($U200="Subscription",NOT(ISNUMBER($J200)),$J200=0,$X200=""),"",$X200/$J200))</ns0:f>
      </ns0:c>
      <ns0:c r="Z200" s="957" t="str">
        <ns0:f>IF(COUNTA($A200:$M200)=0,"",Instructions!$B$29+SUM($W$5:W200))</ns0:f>
      </ns0:c>
    </ns0:row>
    <ns0:row r="201" ht="36" customHeight="1">
      <ns0:c r="A201" s="439"/>
      <ns0:c r="B201" s="453"/>
      <ns0:c r="C201" s="453"/>
      <ns0:c r="D201" s="454"/>
      <ns0:c r="E201" s="454"/>
      <ns0:c r="F201" s="454"/>
      <ns0:c r="G201" s="986"/>
      <ns0:c r="H201" s="455"/>
      <ns0:c r="I201" s="456"/>
      <ns0:c r="J201" s="456"/>
      <ns0:c r="K201" s="986"/>
      <ns0:c r="L201" s="454"/>
      <ns0:c r="M201" s="439"/>
      <ns0:c r="N201" s="987" t="str">
        <ns0:f>IF(COUNTA($A201:$M201)=0,"",IF(OR(LEFT(LOWER(TRIM($F201&amp;"")),12)="subscription",LOWER(TRIM($F201&amp;""))="membership"),"",IF(OR(AND($H201&lt;&gt;"",$H201=0),LEFT(LOWER(TRIM($F201&amp;"")),9)="free game",LOWER(TRIM($F201&amp;""))="free",LOWER(TRIM($F201&amp;""))="free entry"),IF(ISNUMBER($G201),IF(ISNUMBER(SEARCH("non",LOWER($E201&amp;""))),$G201*0.85,$G201),"N/A"),IF($G201="","",IFERROR(IF(ISNUMBER(SEARCH("non",LOWER($E201&amp;""))),$G201*0.85,$G201),"")))))</ns0:f>
        <ns0:v/>
      </ns0:c>
      <ns0:c r="O201" s="987" t="str">
        <ns0:f>IF(COUNTA($A201:$M201)=0,"",IF(OR(LEFT(LOWER(TRIM($F201&amp;"")),12)="subscription",LOWER(TRIM($F201&amp;""))="membership"),"",IF(OR(AND($H201&lt;&gt;"",$H201=0),LEFT(LOWER(TRIM($F201&amp;"")),9)="free game",LOWER(TRIM($F201&amp;""))="free",LOWER(TRIM($F201&amp;""))="free entry"),IF(OR(NOT(ISNUMBER($N201)),NOT(ISNUMBER($I201)),$I201=0),"N/A",IFERROR($N201/$I201,"N/A")),IF(OR($N201="",$I201="",$I201=0),"",IFERROR($N201/$I201,"")))))</ns0:f>
        <ns0:v/>
      </ns0:c>
      <ns0:c r="P201" s="987">
        <ns0:f>IF(COUNTA($A201:$M201)=0,"",IF(OR(LEFT(LOWER(TRIM($F201&amp;"")),12)="subscription",LOWER(TRIM($F201&amp;""))="membership"),"",IF(LOWER(TRIM($D201&amp;""))="estimate","N/A",IF(LOWER($L201&amp;"")="yes",0,IF(OR(AND($H201&lt;&gt;"",$H201=0),LEFT(LOWER(TRIM($F201&amp;"")),9)="free game",LOWER(TRIM($F201&amp;""))="free",LOWER(TRIM($F201&amp;""))="free entry"),IF(ISNUMBER($K201),$K201,""),IF($K201&lt;&gt;"",$K201,""))))))</ns0:f>
      </ns0:c>
      <ns0:c r="Q201" s="114">
        <ns0:f>IF(COUNTA($A201:$M201)=0,"",IF(OR($U201="Subscription",$U201=""),"",IF($U201="Estimate","N/A",IF($U201="Profit",ROUND(IFERROR($P201,0)-IFERROR($H201,0),2),0))))</ns0:f>
      </ns0:c>
      <ns0:c r="R201" s="114">
        <ns0:f>IF(COUNTA($A201:$M201)=0,"",IF(OR($U201="Subscription",$U201=""),"",IF($U201="Estimate","N/A",IF($U201="Draw",$H201,0))))</ns0:f>
      </ns0:c>
      <ns0:c r="S201" s="114">
        <ns0:f>IF(COUNTA($A201:$M201)=0,"",IF(OR($U201="Subscription",$U201=""),"",IF($U201="Estimate","N/A",IF($U201="Disqualified",$H201,0))))</ns0:f>
      </ns0:c>
      <ns0:c r="T201" s="955">
        <ns0:f>IF(COUNTA($A201:$M201)=0,"",IF(OR($U201="Subscription",$U201=""),"",IF($U201="Estimate","N/A",IF(OR($U201="Free Game",$U201="Disqualified — Free Game",$H201=0),"N/A",IF($U201="Profit",$Q201/$H201,IF($U201="Disqualified",-$S201/$H201,0))))))</ns0:f>
      </ns0:c>
      <ns0:c r="U201" s="920">
        <ns0:f>IF(COUNTA($A201:$M201)=0,"",IF(OR(LEFT(LOWER(TRIM($F201&amp;"")),12)="subscription",LOWER(TRIM($F201&amp;""))="membership"),"Subscription",IF(LOWER(TRIM($D201&amp;""))="estimate","Estimate",IF(OR(AND($H201&lt;&gt;"",$H201=0),LEFT(LOWER(TRIM($F201&amp;"")),9)="free game",LOWER(TRIM($F201&amp;""))="free",LOWER(TRIM($F201&amp;""))="free entry"),IF(LOWER($L201&amp;"")="yes","Disqualified — Free Game","Free Game"),IF(LOWER($L201&amp;"")="yes","Disqualified",IF($P201="","",IF(ROUND(IFERROR(VALUE($P201),0)-IFERROR(VALUE($H201),0),2)&gt;0,"Profit","Draw")))))))</ns0:f>
      </ns0:c>
      <ns0:c r="V201" s="956" t="str">
        <ns0:f>IF(COUNTA($A201:$M201)=0,"",IF(OR($B201="",$C201="",$U201="Subscription"),"",IFERROR(ROUNDUP(($C201-$B201)/7,0),"")))</ns0:f>
      </ns0:c>
      <ns0:c r="W201" s="114">
        <ns0:f>IF(COUNTA($A201:$M201)=0,"",IF(OR($U201="Subscription",$U201=""),"",IF($U201="Estimate","N/A",IF(OR($U201="Free Game",$U201="Disqualified — Free Game"),0,ROUND(IFERROR($Q201,0)-IFERROR($S201,0),2)))))</ns0:f>
      </ns0:c>
      <ns0:c r="X201" s="956" t="str">
        <ns0:f>IF(COUNTA($A201:$M201)=0,"",IF(OR($U201="Subscription",NOT(ISNUMBER($J201)),NOT(ISNUMBER($I201)),$J201=0,$I201=0,$I201&gt;$J201),"",$J201-$I201))</ns0:f>
      </ns0:c>
      <ns0:c r="Y201" s="955" t="str">
        <ns0:f>IF(COUNTA($A201:$M201)=0,"",IF(OR($U201="Subscription",NOT(ISNUMBER($J201)),$J201=0,$X201=""),"",$X201/$J201))</ns0:f>
      </ns0:c>
      <ns0:c r="Z201" s="957" t="str">
        <ns0:f>IF(COUNTA($A201:$M201)=0,"",Instructions!$B$29+SUM($W$5:W201))</ns0:f>
      </ns0:c>
    </ns0:row>
    <ns0:row r="202" ht="36" customHeight="1">
      <ns0:c r="A202" s="439"/>
      <ns0:c r="B202" s="453"/>
      <ns0:c r="C202" s="453"/>
      <ns0:c r="D202" s="454"/>
      <ns0:c r="E202" s="454"/>
      <ns0:c r="F202" s="454"/>
      <ns0:c r="G202" s="986"/>
      <ns0:c r="H202" s="455"/>
      <ns0:c r="I202" s="456"/>
      <ns0:c r="J202" s="456"/>
      <ns0:c r="K202" s="986"/>
      <ns0:c r="L202" s="454"/>
      <ns0:c r="M202" s="439"/>
      <ns0:c r="N202" s="987" t="str">
        <ns0:f>IF(COUNTA($A202:$M202)=0,"",IF(OR(LEFT(LOWER(TRIM($F202&amp;"")),12)="subscription",LOWER(TRIM($F202&amp;""))="membership"),"",IF(OR(AND($H202&lt;&gt;"",$H202=0),LEFT(LOWER(TRIM($F202&amp;"")),9)="free game",LOWER(TRIM($F202&amp;""))="free",LOWER(TRIM($F202&amp;""))="free entry"),IF(ISNUMBER($G202),IF(ISNUMBER(SEARCH("non",LOWER($E202&amp;""))),$G202*0.85,$G202),"N/A"),IF($G202="","",IFERROR(IF(ISNUMBER(SEARCH("non",LOWER($E202&amp;""))),$G202*0.85,$G202),"")))))</ns0:f>
        <ns0:v/>
      </ns0:c>
      <ns0:c r="O202" s="987" t="str">
        <ns0:f>IF(COUNTA($A202:$M202)=0,"",IF(OR(LEFT(LOWER(TRIM($F202&amp;"")),12)="subscription",LOWER(TRIM($F202&amp;""))="membership"),"",IF(OR(AND($H202&lt;&gt;"",$H202=0),LEFT(LOWER(TRIM($F202&amp;"")),9)="free game",LOWER(TRIM($F202&amp;""))="free",LOWER(TRIM($F202&amp;""))="free entry"),IF(OR(NOT(ISNUMBER($N202)),NOT(ISNUMBER($I202)),$I202=0),"N/A",IFERROR($N202/$I202,"N/A")),IF(OR($N202="",$I202="",$I202=0),"",IFERROR($N202/$I202,"")))))</ns0:f>
        <ns0:v/>
      </ns0:c>
      <ns0:c r="P202" s="987">
        <ns0:f>IF(COUNTA($A202:$M202)=0,"",IF(OR(LEFT(LOWER(TRIM($F202&amp;"")),12)="subscription",LOWER(TRIM($F202&amp;""))="membership"),"",IF(LOWER(TRIM($D202&amp;""))="estimate","N/A",IF(LOWER($L202&amp;"")="yes",0,IF(OR(AND($H202&lt;&gt;"",$H202=0),LEFT(LOWER(TRIM($F202&amp;"")),9)="free game",LOWER(TRIM($F202&amp;""))="free",LOWER(TRIM($F202&amp;""))="free entry"),IF(ISNUMBER($K202),$K202,""),IF($K202&lt;&gt;"",$K202,""))))))</ns0:f>
      </ns0:c>
      <ns0:c r="Q202" s="114">
        <ns0:f>IF(COUNTA($A202:$M202)=0,"",IF(OR($U202="Subscription",$U202=""),"",IF($U202="Estimate","N/A",IF($U202="Profit",ROUND(IFERROR($P202,0)-IFERROR($H202,0),2),0))))</ns0:f>
      </ns0:c>
      <ns0:c r="R202" s="114">
        <ns0:f>IF(COUNTA($A202:$M202)=0,"",IF(OR($U202="Subscription",$U202=""),"",IF($U202="Estimate","N/A",IF($U202="Draw",$H202,0))))</ns0:f>
      </ns0:c>
      <ns0:c r="S202" s="114">
        <ns0:f>IF(COUNTA($A202:$M202)=0,"",IF(OR($U202="Subscription",$U202=""),"",IF($U202="Estimate","N/A",IF($U202="Disqualified",$H202,0))))</ns0:f>
      </ns0:c>
      <ns0:c r="T202" s="955">
        <ns0:f>IF(COUNTA($A202:$M202)=0,"",IF(OR($U202="Subscription",$U202=""),"",IF($U202="Estimate","N/A",IF(OR($U202="Free Game",$U202="Disqualified — Free Game",$H202=0),"N/A",IF($U202="Profit",$Q202/$H202,IF($U202="Disqualified",-$S202/$H202,0))))))</ns0:f>
      </ns0:c>
      <ns0:c r="U202" s="920">
        <ns0:f>IF(COUNTA($A202:$M202)=0,"",IF(OR(LEFT(LOWER(TRIM($F202&amp;"")),12)="subscription",LOWER(TRIM($F202&amp;""))="membership"),"Subscription",IF(LOWER(TRIM($D202&amp;""))="estimate","Estimate",IF(OR(AND($H202&lt;&gt;"",$H202=0),LEFT(LOWER(TRIM($F202&amp;"")),9)="free game",LOWER(TRIM($F202&amp;""))="free",LOWER(TRIM($F202&amp;""))="free entry"),IF(LOWER($L202&amp;"")="yes","Disqualified — Free Game","Free Game"),IF(LOWER($L202&amp;"")="yes","Disqualified",IF($P202="","",IF(ROUND(IFERROR(VALUE($P202),0)-IFERROR(VALUE($H202),0),2)&gt;0,"Profit","Draw")))))))</ns0:f>
      </ns0:c>
      <ns0:c r="V202" s="956" t="str">
        <ns0:f>IF(COUNTA($A202:$M202)=0,"",IF(OR($B202="",$C202="",$U202="Subscription"),"",IFERROR(ROUNDUP(($C202-$B202)/7,0),"")))</ns0:f>
      </ns0:c>
      <ns0:c r="W202" s="114">
        <ns0:f>IF(COUNTA($A202:$M202)=0,"",IF(OR($U202="Subscription",$U202=""),"",IF($U202="Estimate","N/A",IF(OR($U202="Free Game",$U202="Disqualified — Free Game"),0,ROUND(IFERROR($Q202,0)-IFERROR($S202,0),2)))))</ns0:f>
      </ns0:c>
      <ns0:c r="X202" s="956" t="str">
        <ns0:f>IF(COUNTA($A202:$M202)=0,"",IF(OR($U202="Subscription",NOT(ISNUMBER($J202)),NOT(ISNUMBER($I202)),$J202=0,$I202=0,$I202&gt;$J202),"",$J202-$I202))</ns0:f>
      </ns0:c>
      <ns0:c r="Y202" s="955" t="str">
        <ns0:f>IF(COUNTA($A202:$M202)=0,"",IF(OR($U202="Subscription",NOT(ISNUMBER($J202)),$J202=0,$X202=""),"",$X202/$J202))</ns0:f>
      </ns0:c>
      <ns0:c r="Z202" s="957" t="str">
        <ns0:f>IF(COUNTA($A202:$M202)=0,"",Instructions!$B$29+SUM($W$5:W202))</ns0:f>
      </ns0:c>
    </ns0:row>
    <ns0:row r="203" ht="36" customHeight="1">
      <ns0:c r="A203" s="439"/>
      <ns0:c r="B203" s="453"/>
      <ns0:c r="C203" s="453"/>
      <ns0:c r="D203" s="454"/>
      <ns0:c r="E203" s="454"/>
      <ns0:c r="F203" s="454"/>
      <ns0:c r="G203" s="986"/>
      <ns0:c r="H203" s="455"/>
      <ns0:c r="I203" s="456"/>
      <ns0:c r="J203" s="456"/>
      <ns0:c r="K203" s="986"/>
      <ns0:c r="L203" s="454"/>
      <ns0:c r="M203" s="439"/>
      <ns0:c r="N203" s="987" t="str">
        <ns0:f>IF(COUNTA($A203:$M203)=0,"",IF(OR(LEFT(LOWER(TRIM($F203&amp;"")),12)="subscription",LOWER(TRIM($F203&amp;""))="membership"),"",IF(OR(AND($H203&lt;&gt;"",$H203=0),LEFT(LOWER(TRIM($F203&amp;"")),9)="free game",LOWER(TRIM($F203&amp;""))="free",LOWER(TRIM($F203&amp;""))="free entry"),IF(ISNUMBER($G203),IF(ISNUMBER(SEARCH("non",LOWER($E203&amp;""))),$G203*0.85,$G203),"N/A"),IF($G203="","",IFERROR(IF(ISNUMBER(SEARCH("non",LOWER($E203&amp;""))),$G203*0.85,$G203),"")))))</ns0:f>
        <ns0:v/>
      </ns0:c>
      <ns0:c r="O203" s="987" t="str">
        <ns0:f>IF(COUNTA($A203:$M203)=0,"",IF(OR(LEFT(LOWER(TRIM($F203&amp;"")),12)="subscription",LOWER(TRIM($F203&amp;""))="membership"),"",IF(OR(AND($H203&lt;&gt;"",$H203=0),LEFT(LOWER(TRIM($F203&amp;"")),9)="free game",LOWER(TRIM($F203&amp;""))="free",LOWER(TRIM($F203&amp;""))="free entry"),IF(OR(NOT(ISNUMBER($N203)),NOT(ISNUMBER($I203)),$I203=0),"N/A",IFERROR($N203/$I203,"N/A")),IF(OR($N203="",$I203="",$I203=0),"",IFERROR($N203/$I203,"")))))</ns0:f>
        <ns0:v/>
      </ns0:c>
      <ns0:c r="P203" s="987">
        <ns0:f>IF(COUNTA($A203:$M203)=0,"",IF(OR(LEFT(LOWER(TRIM($F203&amp;"")),12)="subscription",LOWER(TRIM($F203&amp;""))="membership"),"",IF(LOWER(TRIM($D203&amp;""))="estimate","N/A",IF(LOWER($L203&amp;"")="yes",0,IF(OR(AND($H203&lt;&gt;"",$H203=0),LEFT(LOWER(TRIM($F203&amp;"")),9)="free game",LOWER(TRIM($F203&amp;""))="free",LOWER(TRIM($F203&amp;""))="free entry"),IF(ISNUMBER($K203),$K203,""),IF($K203&lt;&gt;"",$K203,""))))))</ns0:f>
      </ns0:c>
      <ns0:c r="Q203" s="114">
        <ns0:f>IF(COUNTA($A203:$M203)=0,"",IF(OR($U203="Subscription",$U203=""),"",IF($U203="Estimate","N/A",IF($U203="Profit",ROUND(IFERROR($P203,0)-IFERROR($H203,0),2),0))))</ns0:f>
      </ns0:c>
      <ns0:c r="R203" s="114">
        <ns0:f>IF(COUNTA($A203:$M203)=0,"",IF(OR($U203="Subscription",$U203=""),"",IF($U203="Estimate","N/A",IF($U203="Draw",$H203,0))))</ns0:f>
      </ns0:c>
      <ns0:c r="S203" s="114">
        <ns0:f>IF(COUNTA($A203:$M203)=0,"",IF(OR($U203="Subscription",$U203=""),"",IF($U203="Estimate","N/A",IF($U203="Disqualified",$H203,0))))</ns0:f>
      </ns0:c>
      <ns0:c r="T203" s="955">
        <ns0:f>IF(COUNTA($A203:$M203)=0,"",IF(OR($U203="Subscription",$U203=""),"",IF($U203="Estimate","N/A",IF(OR($U203="Free Game",$U203="Disqualified — Free Game",$H203=0),"N/A",IF($U203="Profit",$Q203/$H203,IF($U203="Disqualified",-$S203/$H203,0))))))</ns0:f>
      </ns0:c>
      <ns0:c r="U203" s="920">
        <ns0:f>IF(COUNTA($A203:$M203)=0,"",IF(OR(LEFT(LOWER(TRIM($F203&amp;"")),12)="subscription",LOWER(TRIM($F203&amp;""))="membership"),"Subscription",IF(LOWER(TRIM($D203&amp;""))="estimate","Estimate",IF(OR(AND($H203&lt;&gt;"",$H203=0),LEFT(LOWER(TRIM($F203&amp;"")),9)="free game",LOWER(TRIM($F203&amp;""))="free",LOWER(TRIM($F203&amp;""))="free entry"),IF(LOWER($L203&amp;"")="yes","Disqualified — Free Game","Free Game"),IF(LOWER($L203&amp;"")="yes","Disqualified",IF($P203="","",IF(ROUND(IFERROR(VALUE($P203),0)-IFERROR(VALUE($H203),0),2)&gt;0,"Profit","Draw")))))))</ns0:f>
      </ns0:c>
      <ns0:c r="V203" s="956" t="str">
        <ns0:f>IF(COUNTA($A203:$M203)=0,"",IF(OR($B203="",$C203="",$U203="Subscription"),"",IFERROR(ROUNDUP(($C203-$B203)/7,0),"")))</ns0:f>
      </ns0:c>
      <ns0:c r="W203" s="114">
        <ns0:f>IF(COUNTA($A203:$M203)=0,"",IF(OR($U203="Subscription",$U203=""),"",IF($U203="Estimate","N/A",IF(OR($U203="Free Game",$U203="Disqualified — Free Game"),0,ROUND(IFERROR($Q203,0)-IFERROR($S203,0),2)))))</ns0:f>
      </ns0:c>
      <ns0:c r="X203" s="956" t="str">
        <ns0:f>IF(COUNTA($A203:$M203)=0,"",IF(OR($U203="Subscription",NOT(ISNUMBER($J203)),NOT(ISNUMBER($I203)),$J203=0,$I203=0,$I203&gt;$J203),"",$J203-$I203))</ns0:f>
      </ns0:c>
      <ns0:c r="Y203" s="955" t="str">
        <ns0:f>IF(COUNTA($A203:$M203)=0,"",IF(OR($U203="Subscription",NOT(ISNUMBER($J203)),$J203=0,$X203=""),"",$X203/$J203))</ns0:f>
      </ns0:c>
      <ns0:c r="Z203" s="957" t="str">
        <ns0:f>IF(COUNTA($A203:$M203)=0,"",Instructions!$B$29+SUM($W$5:W203))</ns0:f>
      </ns0:c>
    </ns0:row>
    <ns0:row r="204" ht="36" customHeight="1">
      <ns0:c r="A204" s="439"/>
      <ns0:c r="B204" s="453"/>
      <ns0:c r="C204" s="453"/>
      <ns0:c r="D204" s="454"/>
      <ns0:c r="E204" s="454"/>
      <ns0:c r="F204" s="454"/>
      <ns0:c r="G204" s="986"/>
      <ns0:c r="H204" s="455"/>
      <ns0:c r="I204" s="456"/>
      <ns0:c r="J204" s="456"/>
      <ns0:c r="K204" s="986"/>
      <ns0:c r="L204" s="454"/>
      <ns0:c r="M204" s="439"/>
      <ns0:c r="N204" s="987" t="str">
        <ns0:f>IF(COUNTA($A204:$M204)=0,"",IF(OR(LEFT(LOWER(TRIM($F204&amp;"")),12)="subscription",LOWER(TRIM($F204&amp;""))="membership"),"",IF(OR(AND($H204&lt;&gt;"",$H204=0),LEFT(LOWER(TRIM($F204&amp;"")),9)="free game",LOWER(TRIM($F204&amp;""))="free",LOWER(TRIM($F204&amp;""))="free entry"),IF(ISNUMBER($G204),IF(ISNUMBER(SEARCH("non",LOWER($E204&amp;""))),$G204*0.85,$G204),"N/A"),IF($G204="","",IFERROR(IF(ISNUMBER(SEARCH("non",LOWER($E204&amp;""))),$G204*0.85,$G204),"")))))</ns0:f>
        <ns0:v/>
      </ns0:c>
      <ns0:c r="O204" s="987" t="str">
        <ns0:f>IF(COUNTA($A204:$M204)=0,"",IF(OR(LEFT(LOWER(TRIM($F204&amp;"")),12)="subscription",LOWER(TRIM($F204&amp;""))="membership"),"",IF(OR(AND($H204&lt;&gt;"",$H204=0),LEFT(LOWER(TRIM($F204&amp;"")),9)="free game",LOWER(TRIM($F204&amp;""))="free",LOWER(TRIM($F204&amp;""))="free entry"),IF(OR(NOT(ISNUMBER($N204)),NOT(ISNUMBER($I204)),$I204=0),"N/A",IFERROR($N204/$I204,"N/A")),IF(OR($N204="",$I204="",$I204=0),"",IFERROR($N204/$I204,"")))))</ns0:f>
        <ns0:v/>
      </ns0:c>
      <ns0:c r="P204" s="987">
        <ns0:f>IF(COUNTA($A204:$M204)=0,"",IF(OR(LEFT(LOWER(TRIM($F204&amp;"")),12)="subscription",LOWER(TRIM($F204&amp;""))="membership"),"",IF(LOWER(TRIM($D204&amp;""))="estimate","N/A",IF(LOWER($L204&amp;"")="yes",0,IF(OR(AND($H204&lt;&gt;"",$H204=0),LEFT(LOWER(TRIM($F204&amp;"")),9)="free game",LOWER(TRIM($F204&amp;""))="free",LOWER(TRIM($F204&amp;""))="free entry"),IF(ISNUMBER($K204),$K204,""),IF($K204&lt;&gt;"",$K204,""))))))</ns0:f>
      </ns0:c>
      <ns0:c r="Q204" s="114">
        <ns0:f>IF(COUNTA($A204:$M204)=0,"",IF(OR($U204="Subscription",$U204=""),"",IF($U204="Estimate","N/A",IF($U204="Profit",ROUND(IFERROR($P204,0)-IFERROR($H204,0),2),0))))</ns0:f>
      </ns0:c>
      <ns0:c r="R204" s="114">
        <ns0:f>IF(COUNTA($A204:$M204)=0,"",IF(OR($U204="Subscription",$U204=""),"",IF($U204="Estimate","N/A",IF($U204="Draw",$H204,0))))</ns0:f>
      </ns0:c>
      <ns0:c r="S204" s="114">
        <ns0:f>IF(COUNTA($A204:$M204)=0,"",IF(OR($U204="Subscription",$U204=""),"",IF($U204="Estimate","N/A",IF($U204="Disqualified",$H204,0))))</ns0:f>
      </ns0:c>
      <ns0:c r="T204" s="955">
        <ns0:f>IF(COUNTA($A204:$M204)=0,"",IF(OR($U204="Subscription",$U204=""),"",IF($U204="Estimate","N/A",IF(OR($U204="Free Game",$U204="Disqualified — Free Game",$H204=0),"N/A",IF($U204="Profit",$Q204/$H204,IF($U204="Disqualified",-$S204/$H204,0))))))</ns0:f>
      </ns0:c>
      <ns0:c r="U204" s="920">
        <ns0:f>IF(COUNTA($A204:$M204)=0,"",IF(OR(LEFT(LOWER(TRIM($F204&amp;"")),12)="subscription",LOWER(TRIM($F204&amp;""))="membership"),"Subscription",IF(LOWER(TRIM($D204&amp;""))="estimate","Estimate",IF(OR(AND($H204&lt;&gt;"",$H204=0),LEFT(LOWER(TRIM($F204&amp;"")),9)="free game",LOWER(TRIM($F204&amp;""))="free",LOWER(TRIM($F204&amp;""))="free entry"),IF(LOWER($L204&amp;"")="yes","Disqualified — Free Game","Free Game"),IF(LOWER($L204&amp;"")="yes","Disqualified",IF($P204="","",IF(ROUND(IFERROR(VALUE($P204),0)-IFERROR(VALUE($H204),0),2)&gt;0,"Profit","Draw")))))))</ns0:f>
      </ns0:c>
      <ns0:c r="V204" s="956" t="str">
        <ns0:f>IF(COUNTA($A204:$M204)=0,"",IF(OR($B204="",$C204="",$U204="Subscription"),"",IFERROR(ROUNDUP(($C204-$B204)/7,0),"")))</ns0:f>
      </ns0:c>
      <ns0:c r="W204" s="114">
        <ns0:f>IF(COUNTA($A204:$M204)=0,"",IF(OR($U204="Subscription",$U204=""),"",IF($U204="Estimate","N/A",IF(OR($U204="Free Game",$U204="Disqualified — Free Game"),0,ROUND(IFERROR($Q204,0)-IFERROR($S204,0),2)))))</ns0:f>
      </ns0:c>
      <ns0:c r="X204" s="956" t="str">
        <ns0:f>IF(COUNTA($A204:$M204)=0,"",IF(OR($U204="Subscription",NOT(ISNUMBER($J204)),NOT(ISNUMBER($I204)),$J204=0,$I204=0,$I204&gt;$J204),"",$J204-$I204))</ns0:f>
      </ns0:c>
      <ns0:c r="Y204" s="955" t="str">
        <ns0:f>IF(COUNTA($A204:$M204)=0,"",IF(OR($U204="Subscription",NOT(ISNUMBER($J204)),$J204=0,$X204=""),"",$X204/$J204))</ns0:f>
      </ns0:c>
      <ns0:c r="Z204" s="957" t="str">
        <ns0:f>IF(COUNTA($A204:$M204)=0,"",Instructions!$B$29+SUM($W$5:W204))</ns0:f>
      </ns0:c>
    </ns0:row>
    <ns0:row r="205" ht="36" customHeight="1">
      <ns0:c r="A205" s="439"/>
      <ns0:c r="B205" s="453"/>
      <ns0:c r="C205" s="453"/>
      <ns0:c r="D205" s="454"/>
      <ns0:c r="E205" s="454"/>
      <ns0:c r="F205" s="454"/>
      <ns0:c r="G205" s="986"/>
      <ns0:c r="H205" s="455"/>
      <ns0:c r="I205" s="456"/>
      <ns0:c r="J205" s="456"/>
      <ns0:c r="K205" s="986"/>
      <ns0:c r="L205" s="454"/>
      <ns0:c r="M205" s="439"/>
      <ns0:c r="N205" s="987" t="str">
        <ns0:f>IF(COUNTA($A205:$M205)=0,"",IF(OR(LEFT(LOWER(TRIM($F205&amp;"")),12)="subscription",LOWER(TRIM($F205&amp;""))="membership"),"",IF(OR(AND($H205&lt;&gt;"",$H205=0),LEFT(LOWER(TRIM($F205&amp;"")),9)="free game",LOWER(TRIM($F205&amp;""))="free",LOWER(TRIM($F205&amp;""))="free entry"),IF(ISNUMBER($G205),IF(ISNUMBER(SEARCH("non",LOWER($E205&amp;""))),$G205*0.85,$G205),"N/A"),IF($G205="","",IFERROR(IF(ISNUMBER(SEARCH("non",LOWER($E205&amp;""))),$G205*0.85,$G205),"")))))</ns0:f>
        <ns0:v/>
      </ns0:c>
      <ns0:c r="O205" s="987" t="str">
        <ns0:f>IF(COUNTA($A205:$M205)=0,"",IF(OR(LEFT(LOWER(TRIM($F205&amp;"")),12)="subscription",LOWER(TRIM($F205&amp;""))="membership"),"",IF(OR(AND($H205&lt;&gt;"",$H205=0),LEFT(LOWER(TRIM($F205&amp;"")),9)="free game",LOWER(TRIM($F205&amp;""))="free",LOWER(TRIM($F205&amp;""))="free entry"),IF(OR(NOT(ISNUMBER($N205)),NOT(ISNUMBER($I205)),$I205=0),"N/A",IFERROR($N205/$I205,"N/A")),IF(OR($N205="",$I205="",$I205=0),"",IFERROR($N205/$I205,"")))))</ns0:f>
        <ns0:v/>
      </ns0:c>
      <ns0:c r="P205" s="987">
        <ns0:f>IF(COUNTA($A205:$M205)=0,"",IF(OR(LEFT(LOWER(TRIM($F205&amp;"")),12)="subscription",LOWER(TRIM($F205&amp;""))="membership"),"",IF(LOWER(TRIM($D205&amp;""))="estimate","N/A",IF(LOWER($L205&amp;"")="yes",0,IF(OR(AND($H205&lt;&gt;"",$H205=0),LEFT(LOWER(TRIM($F205&amp;"")),9)="free game",LOWER(TRIM($F205&amp;""))="free",LOWER(TRIM($F205&amp;""))="free entry"),IF(ISNUMBER($K205),$K205,""),IF($K205&lt;&gt;"",$K205,""))))))</ns0:f>
      </ns0:c>
      <ns0:c r="Q205" s="114">
        <ns0:f>IF(COUNTA($A205:$M205)=0,"",IF(OR($U205="Subscription",$U205=""),"",IF($U205="Estimate","N/A",IF($U205="Profit",ROUND(IFERROR($P205,0)-IFERROR($H205,0),2),0))))</ns0:f>
      </ns0:c>
      <ns0:c r="R205" s="114">
        <ns0:f>IF(COUNTA($A205:$M205)=0,"",IF(OR($U205="Subscription",$U205=""),"",IF($U205="Estimate","N/A",IF($U205="Draw",$H205,0))))</ns0:f>
      </ns0:c>
      <ns0:c r="S205" s="114">
        <ns0:f>IF(COUNTA($A205:$M205)=0,"",IF(OR($U205="Subscription",$U205=""),"",IF($U205="Estimate","N/A",IF($U205="Disqualified",$H205,0))))</ns0:f>
      </ns0:c>
      <ns0:c r="T205" s="955">
        <ns0:f>IF(COUNTA($A205:$M205)=0,"",IF(OR($U205="Subscription",$U205=""),"",IF($U205="Estimate","N/A",IF(OR($U205="Free Game",$U205="Disqualified — Free Game",$H205=0),"N/A",IF($U205="Profit",$Q205/$H205,IF($U205="Disqualified",-$S205/$H205,0))))))</ns0:f>
      </ns0:c>
      <ns0:c r="U205" s="920">
        <ns0:f>IF(COUNTA($A205:$M205)=0,"",IF(OR(LEFT(LOWER(TRIM($F205&amp;"")),12)="subscription",LOWER(TRIM($F205&amp;""))="membership"),"Subscription",IF(LOWER(TRIM($D205&amp;""))="estimate","Estimate",IF(OR(AND($H205&lt;&gt;"",$H205=0),LEFT(LOWER(TRIM($F205&amp;"")),9)="free game",LOWER(TRIM($F205&amp;""))="free",LOWER(TRIM($F205&amp;""))="free entry"),IF(LOWER($L205&amp;"")="yes","Disqualified — Free Game","Free Game"),IF(LOWER($L205&amp;"")="yes","Disqualified",IF($P205="","",IF(ROUND(IFERROR(VALUE($P205),0)-IFERROR(VALUE($H205),0),2)&gt;0,"Profit","Draw")))))))</ns0:f>
      </ns0:c>
      <ns0:c r="V205" s="956" t="str">
        <ns0:f>IF(COUNTA($A205:$M205)=0,"",IF(OR($B205="",$C205="",$U205="Subscription"),"",IFERROR(ROUNDUP(($C205-$B205)/7,0),"")))</ns0:f>
      </ns0:c>
      <ns0:c r="W205" s="114">
        <ns0:f>IF(COUNTA($A205:$M205)=0,"",IF(OR($U205="Subscription",$U205=""),"",IF($U205="Estimate","N/A",IF(OR($U205="Free Game",$U205="Disqualified — Free Game"),0,ROUND(IFERROR($Q205,0)-IFERROR($S205,0),2)))))</ns0:f>
      </ns0:c>
      <ns0:c r="X205" s="956" t="str">
        <ns0:f>IF(COUNTA($A205:$M205)=0,"",IF(OR($U205="Subscription",NOT(ISNUMBER($J205)),NOT(ISNUMBER($I205)),$J205=0,$I205=0,$I205&gt;$J205),"",$J205-$I205))</ns0:f>
      </ns0:c>
      <ns0:c r="Y205" s="955" t="str">
        <ns0:f>IF(COUNTA($A205:$M205)=0,"",IF(OR($U205="Subscription",NOT(ISNUMBER($J205)),$J205=0,$X205=""),"",$X205/$J205))</ns0:f>
      </ns0:c>
      <ns0:c r="Z205" s="957" t="str">
        <ns0:f>IF(COUNTA($A205:$M205)=0,"",Instructions!$B$29+SUM($W$5:W205))</ns0:f>
      </ns0:c>
    </ns0:row>
    <ns0:row r="206" ht="36" customHeight="1">
      <ns0:c r="A206" s="439"/>
      <ns0:c r="B206" s="453"/>
      <ns0:c r="C206" s="453"/>
      <ns0:c r="D206" s="454"/>
      <ns0:c r="E206" s="454"/>
      <ns0:c r="F206" s="454"/>
      <ns0:c r="G206" s="986"/>
      <ns0:c r="H206" s="455"/>
      <ns0:c r="I206" s="456"/>
      <ns0:c r="J206" s="456"/>
      <ns0:c r="K206" s="986"/>
      <ns0:c r="L206" s="454"/>
      <ns0:c r="M206" s="439"/>
      <ns0:c r="N206" s="987" t="str">
        <ns0:f>IF(COUNTA($A206:$M206)=0,"",IF(OR(LEFT(LOWER(TRIM($F206&amp;"")),12)="subscription",LOWER(TRIM($F206&amp;""))="membership"),"",IF(OR(AND($H206&lt;&gt;"",$H206=0),LEFT(LOWER(TRIM($F206&amp;"")),9)="free game",LOWER(TRIM($F206&amp;""))="free",LOWER(TRIM($F206&amp;""))="free entry"),IF(ISNUMBER($G206),IF(ISNUMBER(SEARCH("non",LOWER($E206&amp;""))),$G206*0.85,$G206),"N/A"),IF($G206="","",IFERROR(IF(ISNUMBER(SEARCH("non",LOWER($E206&amp;""))),$G206*0.85,$G206),"")))))</ns0:f>
        <ns0:v/>
      </ns0:c>
      <ns0:c r="O206" s="987" t="str">
        <ns0:f>IF(COUNTA($A206:$M206)=0,"",IF(OR(LEFT(LOWER(TRIM($F206&amp;"")),12)="subscription",LOWER(TRIM($F206&amp;""))="membership"),"",IF(OR(AND($H206&lt;&gt;"",$H206=0),LEFT(LOWER(TRIM($F206&amp;"")),9)="free game",LOWER(TRIM($F206&amp;""))="free",LOWER(TRIM($F206&amp;""))="free entry"),IF(OR(NOT(ISNUMBER($N206)),NOT(ISNUMBER($I206)),$I206=0),"N/A",IFERROR($N206/$I206,"N/A")),IF(OR($N206="",$I206="",$I206=0),"",IFERROR($N206/$I206,"")))))</ns0:f>
        <ns0:v/>
      </ns0:c>
      <ns0:c r="P206" s="987">
        <ns0:f>IF(COUNTA($A206:$M206)=0,"",IF(OR(LEFT(LOWER(TRIM($F206&amp;"")),12)="subscription",LOWER(TRIM($F206&amp;""))="membership"),"",IF(LOWER(TRIM($D206&amp;""))="estimate","N/A",IF(LOWER($L206&amp;"")="yes",0,IF(OR(AND($H206&lt;&gt;"",$H206=0),LEFT(LOWER(TRIM($F206&amp;"")),9)="free game",LOWER(TRIM($F206&amp;""))="free",LOWER(TRIM($F206&amp;""))="free entry"),IF(ISNUMBER($K206),$K206,""),IF($K206&lt;&gt;"",$K206,""))))))</ns0:f>
      </ns0:c>
      <ns0:c r="Q206" s="114">
        <ns0:f>IF(COUNTA($A206:$M206)=0,"",IF(OR($U206="Subscription",$U206=""),"",IF($U206="Estimate","N/A",IF($U206="Profit",ROUND(IFERROR($P206,0)-IFERROR($H206,0),2),0))))</ns0:f>
      </ns0:c>
      <ns0:c r="R206" s="114">
        <ns0:f>IF(COUNTA($A206:$M206)=0,"",IF(OR($U206="Subscription",$U206=""),"",IF($U206="Estimate","N/A",IF($U206="Draw",$H206,0))))</ns0:f>
      </ns0:c>
      <ns0:c r="S206" s="114">
        <ns0:f>IF(COUNTA($A206:$M206)=0,"",IF(OR($U206="Subscription",$U206=""),"",IF($U206="Estimate","N/A",IF($U206="Disqualified",$H206,0))))</ns0:f>
      </ns0:c>
      <ns0:c r="T206" s="955">
        <ns0:f>IF(COUNTA($A206:$M206)=0,"",IF(OR($U206="Subscription",$U206=""),"",IF($U206="Estimate","N/A",IF(OR($U206="Free Game",$U206="Disqualified — Free Game",$H206=0),"N/A",IF($U206="Profit",$Q206/$H206,IF($U206="Disqualified",-$S206/$H206,0))))))</ns0:f>
      </ns0:c>
      <ns0:c r="U206" s="920">
        <ns0:f>IF(COUNTA($A206:$M206)=0,"",IF(OR(LEFT(LOWER(TRIM($F206&amp;"")),12)="subscription",LOWER(TRIM($F206&amp;""))="membership"),"Subscription",IF(LOWER(TRIM($D206&amp;""))="estimate","Estimate",IF(OR(AND($H206&lt;&gt;"",$H206=0),LEFT(LOWER(TRIM($F206&amp;"")),9)="free game",LOWER(TRIM($F206&amp;""))="free",LOWER(TRIM($F206&amp;""))="free entry"),IF(LOWER($L206&amp;"")="yes","Disqualified — Free Game","Free Game"),IF(LOWER($L206&amp;"")="yes","Disqualified",IF($P206="","",IF(ROUND(IFERROR(VALUE($P206),0)-IFERROR(VALUE($H206),0),2)&gt;0,"Profit","Draw")))))))</ns0:f>
      </ns0:c>
      <ns0:c r="V206" s="956" t="str">
        <ns0:f>IF(COUNTA($A206:$M206)=0,"",IF(OR($B206="",$C206="",$U206="Subscription"),"",IFERROR(ROUNDUP(($C206-$B206)/7,0),"")))</ns0:f>
      </ns0:c>
      <ns0:c r="W206" s="114">
        <ns0:f>IF(COUNTA($A206:$M206)=0,"",IF(OR($U206="Subscription",$U206=""),"",IF($U206="Estimate","N/A",IF(OR($U206="Free Game",$U206="Disqualified — Free Game"),0,ROUND(IFERROR($Q206,0)-IFERROR($S206,0),2)))))</ns0:f>
      </ns0:c>
      <ns0:c r="X206" s="956" t="str">
        <ns0:f>IF(COUNTA($A206:$M206)=0,"",IF(OR($U206="Subscription",NOT(ISNUMBER($J206)),NOT(ISNUMBER($I206)),$J206=0,$I206=0,$I206&gt;$J206),"",$J206-$I206))</ns0:f>
      </ns0:c>
      <ns0:c r="Y206" s="955" t="str">
        <ns0:f>IF(COUNTA($A206:$M206)=0,"",IF(OR($U206="Subscription",NOT(ISNUMBER($J206)),$J206=0,$X206=""),"",$X206/$J206))</ns0:f>
      </ns0:c>
      <ns0:c r="Z206" s="957" t="str">
        <ns0:f>IF(COUNTA($A206:$M206)=0,"",Instructions!$B$29+SUM($W$5:W206))</ns0:f>
      </ns0:c>
    </ns0:row>
    <ns0:row r="207" ht="36" customHeight="1">
      <ns0:c r="A207" s="439"/>
      <ns0:c r="B207" s="453"/>
      <ns0:c r="C207" s="453"/>
      <ns0:c r="D207" s="454"/>
      <ns0:c r="E207" s="454"/>
      <ns0:c r="F207" s="454"/>
      <ns0:c r="G207" s="986"/>
      <ns0:c r="H207" s="455"/>
      <ns0:c r="I207" s="456"/>
      <ns0:c r="J207" s="456"/>
      <ns0:c r="K207" s="986"/>
      <ns0:c r="L207" s="454"/>
      <ns0:c r="M207" s="439"/>
      <ns0:c r="N207" s="987" t="str">
        <ns0:f>IF(COUNTA($A207:$M207)=0,"",IF(OR(LEFT(LOWER(TRIM($F207&amp;"")),12)="subscription",LOWER(TRIM($F207&amp;""))="membership"),"",IF(OR(AND($H207&lt;&gt;"",$H207=0),LEFT(LOWER(TRIM($F207&amp;"")),9)="free game",LOWER(TRIM($F207&amp;""))="free",LOWER(TRIM($F207&amp;""))="free entry"),IF(ISNUMBER($G207),IF(ISNUMBER(SEARCH("non",LOWER($E207&amp;""))),$G207*0.85,$G207),"N/A"),IF($G207="","",IFERROR(IF(ISNUMBER(SEARCH("non",LOWER($E207&amp;""))),$G207*0.85,$G207),"")))))</ns0:f>
        <ns0:v/>
      </ns0:c>
      <ns0:c r="O207" s="987" t="str">
        <ns0:f>IF(COUNTA($A207:$M207)=0,"",IF(OR(LEFT(LOWER(TRIM($F207&amp;"")),12)="subscription",LOWER(TRIM($F207&amp;""))="membership"),"",IF(OR(AND($H207&lt;&gt;"",$H207=0),LEFT(LOWER(TRIM($F207&amp;"")),9)="free game",LOWER(TRIM($F207&amp;""))="free",LOWER(TRIM($F207&amp;""))="free entry"),IF(OR(NOT(ISNUMBER($N207)),NOT(ISNUMBER($I207)),$I207=0),"N/A",IFERROR($N207/$I207,"N/A")),IF(OR($N207="",$I207="",$I207=0),"",IFERROR($N207/$I207,"")))))</ns0:f>
        <ns0:v/>
      </ns0:c>
      <ns0:c r="P207" s="987">
        <ns0:f>IF(COUNTA($A207:$M207)=0,"",IF(OR(LEFT(LOWER(TRIM($F207&amp;"")),12)="subscription",LOWER(TRIM($F207&amp;""))="membership"),"",IF(LOWER(TRIM($D207&amp;""))="estimate","N/A",IF(LOWER($L207&amp;"")="yes",0,IF(OR(AND($H207&lt;&gt;"",$H207=0),LEFT(LOWER(TRIM($F207&amp;"")),9)="free game",LOWER(TRIM($F207&amp;""))="free",LOWER(TRIM($F207&amp;""))="free entry"),IF(ISNUMBER($K207),$K207,""),IF($K207&lt;&gt;"",$K207,""))))))</ns0:f>
      </ns0:c>
      <ns0:c r="Q207" s="114">
        <ns0:f>IF(COUNTA($A207:$M207)=0,"",IF(OR($U207="Subscription",$U207=""),"",IF($U207="Estimate","N/A",IF($U207="Profit",ROUND(IFERROR($P207,0)-IFERROR($H207,0),2),0))))</ns0:f>
      </ns0:c>
      <ns0:c r="R207" s="114">
        <ns0:f>IF(COUNTA($A207:$M207)=0,"",IF(OR($U207="Subscription",$U207=""),"",IF($U207="Estimate","N/A",IF($U207="Draw",$H207,0))))</ns0:f>
      </ns0:c>
      <ns0:c r="S207" s="114">
        <ns0:f>IF(COUNTA($A207:$M207)=0,"",IF(OR($U207="Subscription",$U207=""),"",IF($U207="Estimate","N/A",IF($U207="Disqualified",$H207,0))))</ns0:f>
      </ns0:c>
      <ns0:c r="T207" s="955">
        <ns0:f>IF(COUNTA($A207:$M207)=0,"",IF(OR($U207="Subscription",$U207=""),"",IF($U207="Estimate","N/A",IF(OR($U207="Free Game",$U207="Disqualified — Free Game",$H207=0),"N/A",IF($U207="Profit",$Q207/$H207,IF($U207="Disqualified",-$S207/$H207,0))))))</ns0:f>
      </ns0:c>
      <ns0:c r="U207" s="920">
        <ns0:f>IF(COUNTA($A207:$M207)=0,"",IF(OR(LEFT(LOWER(TRIM($F207&amp;"")),12)="subscription",LOWER(TRIM($F207&amp;""))="membership"),"Subscription",IF(LOWER(TRIM($D207&amp;""))="estimate","Estimate",IF(OR(AND($H207&lt;&gt;"",$H207=0),LEFT(LOWER(TRIM($F207&amp;"")),9)="free game",LOWER(TRIM($F207&amp;""))="free",LOWER(TRIM($F207&amp;""))="free entry"),IF(LOWER($L207&amp;"")="yes","Disqualified — Free Game","Free Game"),IF(LOWER($L207&amp;"")="yes","Disqualified",IF($P207="","",IF(ROUND(IFERROR(VALUE($P207),0)-IFERROR(VALUE($H207),0),2)&gt;0,"Profit","Draw")))))))</ns0:f>
      </ns0:c>
      <ns0:c r="V207" s="956" t="str">
        <ns0:f>IF(COUNTA($A207:$M207)=0,"",IF(OR($B207="",$C207="",$U207="Subscription"),"",IFERROR(ROUNDUP(($C207-$B207)/7,0),"")))</ns0:f>
      </ns0:c>
      <ns0:c r="W207" s="114">
        <ns0:f>IF(COUNTA($A207:$M207)=0,"",IF(OR($U207="Subscription",$U207=""),"",IF($U207="Estimate","N/A",IF(OR($U207="Free Game",$U207="Disqualified — Free Game"),0,ROUND(IFERROR($Q207,0)-IFERROR($S207,0),2)))))</ns0:f>
      </ns0:c>
      <ns0:c r="X207" s="956" t="str">
        <ns0:f>IF(COUNTA($A207:$M207)=0,"",IF(OR($U207="Subscription",NOT(ISNUMBER($J207)),NOT(ISNUMBER($I207)),$J207=0,$I207=0,$I207&gt;$J207),"",$J207-$I207))</ns0:f>
      </ns0:c>
      <ns0:c r="Y207" s="955" t="str">
        <ns0:f>IF(COUNTA($A207:$M207)=0,"",IF(OR($U207="Subscription",NOT(ISNUMBER($J207)),$J207=0,$X207=""),"",$X207/$J207))</ns0:f>
      </ns0:c>
      <ns0:c r="Z207" s="957" t="str">
        <ns0:f>IF(COUNTA($A207:$M207)=0,"",Instructions!$B$29+SUM($W$5:W207))</ns0:f>
      </ns0:c>
    </ns0:row>
    <ns0:row r="208" ht="36" customHeight="1">
      <ns0:c r="A208" s="439"/>
      <ns0:c r="B208" s="453"/>
      <ns0:c r="C208" s="453"/>
      <ns0:c r="D208" s="454"/>
      <ns0:c r="E208" s="454"/>
      <ns0:c r="F208" s="454"/>
      <ns0:c r="G208" s="986"/>
      <ns0:c r="H208" s="455"/>
      <ns0:c r="I208" s="456"/>
      <ns0:c r="J208" s="456"/>
      <ns0:c r="K208" s="986"/>
      <ns0:c r="L208" s="454"/>
      <ns0:c r="M208" s="439"/>
      <ns0:c r="N208" s="987" t="str">
        <ns0:f>IF(COUNTA($A208:$M208)=0,"",IF(OR(LEFT(LOWER(TRIM($F208&amp;"")),12)="subscription",LOWER(TRIM($F208&amp;""))="membership"),"",IF(OR(AND($H208&lt;&gt;"",$H208=0),LEFT(LOWER(TRIM($F208&amp;"")),9)="free game",LOWER(TRIM($F208&amp;""))="free",LOWER(TRIM($F208&amp;""))="free entry"),IF(ISNUMBER($G208),IF(ISNUMBER(SEARCH("non",LOWER($E208&amp;""))),$G208*0.85,$G208),"N/A"),IF($G208="","",IFERROR(IF(ISNUMBER(SEARCH("non",LOWER($E208&amp;""))),$G208*0.85,$G208),"")))))</ns0:f>
        <ns0:v/>
      </ns0:c>
      <ns0:c r="O208" s="987" t="str">
        <ns0:f>IF(COUNTA($A208:$M208)=0,"",IF(OR(LEFT(LOWER(TRIM($F208&amp;"")),12)="subscription",LOWER(TRIM($F208&amp;""))="membership"),"",IF(OR(AND($H208&lt;&gt;"",$H208=0),LEFT(LOWER(TRIM($F208&amp;"")),9)="free game",LOWER(TRIM($F208&amp;""))="free",LOWER(TRIM($F208&amp;""))="free entry"),IF(OR(NOT(ISNUMBER($N208)),NOT(ISNUMBER($I208)),$I208=0),"N/A",IFERROR($N208/$I208,"N/A")),IF(OR($N208="",$I208="",$I208=0),"",IFERROR($N208/$I208,"")))))</ns0:f>
        <ns0:v/>
      </ns0:c>
      <ns0:c r="P208" s="987">
        <ns0:f>IF(COUNTA($A208:$M208)=0,"",IF(OR(LEFT(LOWER(TRIM($F208&amp;"")),12)="subscription",LOWER(TRIM($F208&amp;""))="membership"),"",IF(LOWER(TRIM($D208&amp;""))="estimate","N/A",IF(LOWER($L208&amp;"")="yes",0,IF(OR(AND($H208&lt;&gt;"",$H208=0),LEFT(LOWER(TRIM($F208&amp;"")),9)="free game",LOWER(TRIM($F208&amp;""))="free",LOWER(TRIM($F208&amp;""))="free entry"),IF(ISNUMBER($K208),$K208,""),IF($K208&lt;&gt;"",$K208,""))))))</ns0:f>
      </ns0:c>
      <ns0:c r="Q208" s="114">
        <ns0:f>IF(COUNTA($A208:$M208)=0,"",IF(OR($U208="Subscription",$U208=""),"",IF($U208="Estimate","N/A",IF($U208="Profit",ROUND(IFERROR($P208,0)-IFERROR($H208,0),2),0))))</ns0:f>
      </ns0:c>
      <ns0:c r="R208" s="114">
        <ns0:f>IF(COUNTA($A208:$M208)=0,"",IF(OR($U208="Subscription",$U208=""),"",IF($U208="Estimate","N/A",IF($U208="Draw",$H208,0))))</ns0:f>
      </ns0:c>
      <ns0:c r="S208" s="114">
        <ns0:f>IF(COUNTA($A208:$M208)=0,"",IF(OR($U208="Subscription",$U208=""),"",IF($U208="Estimate","N/A",IF($U208="Disqualified",$H208,0))))</ns0:f>
      </ns0:c>
      <ns0:c r="T208" s="955">
        <ns0:f>IF(COUNTA($A208:$M208)=0,"",IF(OR($U208="Subscription",$U208=""),"",IF($U208="Estimate","N/A",IF(OR($U208="Free Game",$U208="Disqualified — Free Game",$H208=0),"N/A",IF($U208="Profit",$Q208/$H208,IF($U208="Disqualified",-$S208/$H208,0))))))</ns0:f>
      </ns0:c>
      <ns0:c r="U208" s="920">
        <ns0:f>IF(COUNTA($A208:$M208)=0,"",IF(OR(LEFT(LOWER(TRIM($F208&amp;"")),12)="subscription",LOWER(TRIM($F208&amp;""))="membership"),"Subscription",IF(LOWER(TRIM($D208&amp;""))="estimate","Estimate",IF(OR(AND($H208&lt;&gt;"",$H208=0),LEFT(LOWER(TRIM($F208&amp;"")),9)="free game",LOWER(TRIM($F208&amp;""))="free",LOWER(TRIM($F208&amp;""))="free entry"),IF(LOWER($L208&amp;"")="yes","Disqualified — Free Game","Free Game"),IF(LOWER($L208&amp;"")="yes","Disqualified",IF($P208="","",IF(ROUND(IFERROR(VALUE($P208),0)-IFERROR(VALUE($H208),0),2)&gt;0,"Profit","Draw")))))))</ns0:f>
      </ns0:c>
      <ns0:c r="V208" s="956" t="str">
        <ns0:f>IF(COUNTA($A208:$M208)=0,"",IF(OR($B208="",$C208="",$U208="Subscription"),"",IFERROR(ROUNDUP(($C208-$B208)/7,0),"")))</ns0:f>
      </ns0:c>
      <ns0:c r="W208" s="114">
        <ns0:f>IF(COUNTA($A208:$M208)=0,"",IF(OR($U208="Subscription",$U208=""),"",IF($U208="Estimate","N/A",IF(OR($U208="Free Game",$U208="Disqualified — Free Game"),0,ROUND(IFERROR($Q208,0)-IFERROR($S208,0),2)))))</ns0:f>
      </ns0:c>
      <ns0:c r="X208" s="956" t="str">
        <ns0:f>IF(COUNTA($A208:$M208)=0,"",IF(OR($U208="Subscription",NOT(ISNUMBER($J208)),NOT(ISNUMBER($I208)),$J208=0,$I208=0,$I208&gt;$J208),"",$J208-$I208))</ns0:f>
      </ns0:c>
      <ns0:c r="Y208" s="955" t="str">
        <ns0:f>IF(COUNTA($A208:$M208)=0,"",IF(OR($U208="Subscription",NOT(ISNUMBER($J208)),$J208=0,$X208=""),"",$X208/$J208))</ns0:f>
      </ns0:c>
      <ns0:c r="Z208" s="957" t="str">
        <ns0:f>IF(COUNTA($A208:$M208)=0,"",Instructions!$B$29+SUM($W$5:W208))</ns0:f>
      </ns0:c>
    </ns0:row>
    <ns0:row r="209" ht="36" customHeight="1">
      <ns0:c r="A209" s="439"/>
      <ns0:c r="B209" s="453"/>
      <ns0:c r="C209" s="453"/>
      <ns0:c r="D209" s="454"/>
      <ns0:c r="E209" s="454"/>
      <ns0:c r="F209" s="454"/>
      <ns0:c r="G209" s="986"/>
      <ns0:c r="H209" s="455"/>
      <ns0:c r="I209" s="456"/>
      <ns0:c r="J209" s="456"/>
      <ns0:c r="K209" s="986"/>
      <ns0:c r="L209" s="454"/>
      <ns0:c r="M209" s="439"/>
      <ns0:c r="N209" s="987" t="str">
        <ns0:f>IF(COUNTA($A209:$M209)=0,"",IF(OR(LEFT(LOWER(TRIM($F209&amp;"")),12)="subscription",LOWER(TRIM($F209&amp;""))="membership"),"",IF(OR(AND($H209&lt;&gt;"",$H209=0),LEFT(LOWER(TRIM($F209&amp;"")),9)="free game",LOWER(TRIM($F209&amp;""))="free",LOWER(TRIM($F209&amp;""))="free entry"),IF(ISNUMBER($G209),IF(ISNUMBER(SEARCH("non",LOWER($E209&amp;""))),$G209*0.85,$G209),"N/A"),IF($G209="","",IFERROR(IF(ISNUMBER(SEARCH("non",LOWER($E209&amp;""))),$G209*0.85,$G209),"")))))</ns0:f>
        <ns0:v/>
      </ns0:c>
      <ns0:c r="O209" s="987" t="str">
        <ns0:f>IF(COUNTA($A209:$M209)=0,"",IF(OR(LEFT(LOWER(TRIM($F209&amp;"")),12)="subscription",LOWER(TRIM($F209&amp;""))="membership"),"",IF(OR(AND($H209&lt;&gt;"",$H209=0),LEFT(LOWER(TRIM($F209&amp;"")),9)="free game",LOWER(TRIM($F209&amp;""))="free",LOWER(TRIM($F209&amp;""))="free entry"),IF(OR(NOT(ISNUMBER($N209)),NOT(ISNUMBER($I209)),$I209=0),"N/A",IFERROR($N209/$I209,"N/A")),IF(OR($N209="",$I209="",$I209=0),"",IFERROR($N209/$I209,"")))))</ns0:f>
        <ns0:v/>
      </ns0:c>
      <ns0:c r="P209" s="987">
        <ns0:f>IF(COUNTA($A209:$M209)=0,"",IF(OR(LEFT(LOWER(TRIM($F209&amp;"")),12)="subscription",LOWER(TRIM($F209&amp;""))="membership"),"",IF(LOWER(TRIM($D209&amp;""))="estimate","N/A",IF(LOWER($L209&amp;"")="yes",0,IF(OR(AND($H209&lt;&gt;"",$H209=0),LEFT(LOWER(TRIM($F209&amp;"")),9)="free game",LOWER(TRIM($F209&amp;""))="free",LOWER(TRIM($F209&amp;""))="free entry"),IF(ISNUMBER($K209),$K209,""),IF($K209&lt;&gt;"",$K209,""))))))</ns0:f>
      </ns0:c>
      <ns0:c r="Q209" s="114">
        <ns0:f>IF(COUNTA($A209:$M209)=0,"",IF(OR($U209="Subscription",$U209=""),"",IF($U209="Estimate","N/A",IF($U209="Profit",ROUND(IFERROR($P209,0)-IFERROR($H209,0),2),0))))</ns0:f>
      </ns0:c>
      <ns0:c r="R209" s="114">
        <ns0:f>IF(COUNTA($A209:$M209)=0,"",IF(OR($U209="Subscription",$U209=""),"",IF($U209="Estimate","N/A",IF($U209="Draw",$H209,0))))</ns0:f>
      </ns0:c>
      <ns0:c r="S209" s="114">
        <ns0:f>IF(COUNTA($A209:$M209)=0,"",IF(OR($U209="Subscription",$U209=""),"",IF($U209="Estimate","N/A",IF($U209="Disqualified",$H209,0))))</ns0:f>
      </ns0:c>
      <ns0:c r="T209" s="955">
        <ns0:f>IF(COUNTA($A209:$M209)=0,"",IF(OR($U209="Subscription",$U209=""),"",IF($U209="Estimate","N/A",IF(OR($U209="Free Game",$U209="Disqualified — Free Game",$H209=0),"N/A",IF($U209="Profit",$Q209/$H209,IF($U209="Disqualified",-$S209/$H209,0))))))</ns0:f>
      </ns0:c>
      <ns0:c r="U209" s="920">
        <ns0:f>IF(COUNTA($A209:$M209)=0,"",IF(OR(LEFT(LOWER(TRIM($F209&amp;"")),12)="subscription",LOWER(TRIM($F209&amp;""))="membership"),"Subscription",IF(LOWER(TRIM($D209&amp;""))="estimate","Estimate",IF(OR(AND($H209&lt;&gt;"",$H209=0),LEFT(LOWER(TRIM($F209&amp;"")),9)="free game",LOWER(TRIM($F209&amp;""))="free",LOWER(TRIM($F209&amp;""))="free entry"),IF(LOWER($L209&amp;"")="yes","Disqualified — Free Game","Free Game"),IF(LOWER($L209&amp;"")="yes","Disqualified",IF($P209="","",IF(ROUND(IFERROR(VALUE($P209),0)-IFERROR(VALUE($H209),0),2)&gt;0,"Profit","Draw")))))))</ns0:f>
      </ns0:c>
      <ns0:c r="V209" s="956" t="str">
        <ns0:f>IF(COUNTA($A209:$M209)=0,"",IF(OR($B209="",$C209="",$U209="Subscription"),"",IFERROR(ROUNDUP(($C209-$B209)/7,0),"")))</ns0:f>
      </ns0:c>
      <ns0:c r="W209" s="114">
        <ns0:f>IF(COUNTA($A209:$M209)=0,"",IF(OR($U209="Subscription",$U209=""),"",IF($U209="Estimate","N/A",IF(OR($U209="Free Game",$U209="Disqualified — Free Game"),0,ROUND(IFERROR($Q209,0)-IFERROR($S209,0),2)))))</ns0:f>
      </ns0:c>
      <ns0:c r="X209" s="956" t="str">
        <ns0:f>IF(COUNTA($A209:$M209)=0,"",IF(OR($U209="Subscription",NOT(ISNUMBER($J209)),NOT(ISNUMBER($I209)),$J209=0,$I209=0,$I209&gt;$J209),"",$J209-$I209))</ns0:f>
      </ns0:c>
      <ns0:c r="Y209" s="955" t="str">
        <ns0:f>IF(COUNTA($A209:$M209)=0,"",IF(OR($U209="Subscription",NOT(ISNUMBER($J209)),$J209=0,$X209=""),"",$X209/$J209))</ns0:f>
      </ns0:c>
      <ns0:c r="Z209" s="957" t="str">
        <ns0:f>IF(COUNTA($A209:$M209)=0,"",Instructions!$B$29+SUM($W$5:W209))</ns0:f>
      </ns0:c>
    </ns0:row>
    <ns0:row r="210" ht="36" customHeight="1">
      <ns0:c r="A210" s="439"/>
      <ns0:c r="B210" s="453"/>
      <ns0:c r="C210" s="453"/>
      <ns0:c r="D210" s="454"/>
      <ns0:c r="E210" s="454"/>
      <ns0:c r="F210" s="454"/>
      <ns0:c r="G210" s="986"/>
      <ns0:c r="H210" s="455"/>
      <ns0:c r="I210" s="456"/>
      <ns0:c r="J210" s="456"/>
      <ns0:c r="K210" s="986"/>
      <ns0:c r="L210" s="454"/>
      <ns0:c r="M210" s="439"/>
      <ns0:c r="N210" s="987" t="str">
        <ns0:f>IF(COUNTA($A210:$M210)=0,"",IF(OR(LEFT(LOWER(TRIM($F210&amp;"")),12)="subscription",LOWER(TRIM($F210&amp;""))="membership"),"",IF(OR(AND($H210&lt;&gt;"",$H210=0),LEFT(LOWER(TRIM($F210&amp;"")),9)="free game",LOWER(TRIM($F210&amp;""))="free",LOWER(TRIM($F210&amp;""))="free entry"),IF(ISNUMBER($G210),IF(ISNUMBER(SEARCH("non",LOWER($E210&amp;""))),$G210*0.85,$G210),"N/A"),IF($G210="","",IFERROR(IF(ISNUMBER(SEARCH("non",LOWER($E210&amp;""))),$G210*0.85,$G210),"")))))</ns0:f>
        <ns0:v/>
      </ns0:c>
      <ns0:c r="O210" s="987" t="str">
        <ns0:f>IF(COUNTA($A210:$M210)=0,"",IF(OR(LEFT(LOWER(TRIM($F210&amp;"")),12)="subscription",LOWER(TRIM($F210&amp;""))="membership"),"",IF(OR(AND($H210&lt;&gt;"",$H210=0),LEFT(LOWER(TRIM($F210&amp;"")),9)="free game",LOWER(TRIM($F210&amp;""))="free",LOWER(TRIM($F210&amp;""))="free entry"),IF(OR(NOT(ISNUMBER($N210)),NOT(ISNUMBER($I210)),$I210=0),"N/A",IFERROR($N210/$I210,"N/A")),IF(OR($N210="",$I210="",$I210=0),"",IFERROR($N210/$I210,"")))))</ns0:f>
        <ns0:v/>
      </ns0:c>
      <ns0:c r="P210" s="987">
        <ns0:f>IF(COUNTA($A210:$M210)=0,"",IF(OR(LEFT(LOWER(TRIM($F210&amp;"")),12)="subscription",LOWER(TRIM($F210&amp;""))="membership"),"",IF(LOWER(TRIM($D210&amp;""))="estimate","N/A",IF(LOWER($L210&amp;"")="yes",0,IF(OR(AND($H210&lt;&gt;"",$H210=0),LEFT(LOWER(TRIM($F210&amp;"")),9)="free game",LOWER(TRIM($F210&amp;""))="free",LOWER(TRIM($F210&amp;""))="free entry"),IF(ISNUMBER($K210),$K210,""),IF($K210&lt;&gt;"",$K210,""))))))</ns0:f>
      </ns0:c>
      <ns0:c r="Q210" s="114">
        <ns0:f>IF(COUNTA($A210:$M210)=0,"",IF(OR($U210="Subscription",$U210=""),"",IF($U210="Estimate","N/A",IF($U210="Profit",ROUND(IFERROR($P210,0)-IFERROR($H210,0),2),0))))</ns0:f>
      </ns0:c>
      <ns0:c r="R210" s="114">
        <ns0:f>IF(COUNTA($A210:$M210)=0,"",IF(OR($U210="Subscription",$U210=""),"",IF($U210="Estimate","N/A",IF($U210="Draw",$H210,0))))</ns0:f>
      </ns0:c>
      <ns0:c r="S210" s="114">
        <ns0:f>IF(COUNTA($A210:$M210)=0,"",IF(OR($U210="Subscription",$U210=""),"",IF($U210="Estimate","N/A",IF($U210="Disqualified",$H210,0))))</ns0:f>
      </ns0:c>
      <ns0:c r="T210" s="955">
        <ns0:f>IF(COUNTA($A210:$M210)=0,"",IF(OR($U210="Subscription",$U210=""),"",IF($U210="Estimate","N/A",IF(OR($U210="Free Game",$U210="Disqualified — Free Game",$H210=0),"N/A",IF($U210="Profit",$Q210/$H210,IF($U210="Disqualified",-$S210/$H210,0))))))</ns0:f>
      </ns0:c>
      <ns0:c r="U210" s="920">
        <ns0:f>IF(COUNTA($A210:$M210)=0,"",IF(OR(LEFT(LOWER(TRIM($F210&amp;"")),12)="subscription",LOWER(TRIM($F210&amp;""))="membership"),"Subscription",IF(LOWER(TRIM($D210&amp;""))="estimate","Estimate",IF(OR(AND($H210&lt;&gt;"",$H210=0),LEFT(LOWER(TRIM($F210&amp;"")),9)="free game",LOWER(TRIM($F210&amp;""))="free",LOWER(TRIM($F210&amp;""))="free entry"),IF(LOWER($L210&amp;"")="yes","Disqualified — Free Game","Free Game"),IF(LOWER($L210&amp;"")="yes","Disqualified",IF($P210="","",IF(ROUND(IFERROR(VALUE($P210),0)-IFERROR(VALUE($H210),0),2)&gt;0,"Profit","Draw")))))))</ns0:f>
      </ns0:c>
      <ns0:c r="V210" s="956" t="str">
        <ns0:f>IF(COUNTA($A210:$M210)=0,"",IF(OR($B210="",$C210="",$U210="Subscription"),"",IFERROR(ROUNDUP(($C210-$B210)/7,0),"")))</ns0:f>
      </ns0:c>
      <ns0:c r="W210" s="114">
        <ns0:f>IF(COUNTA($A210:$M210)=0,"",IF(OR($U210="Subscription",$U210=""),"",IF($U210="Estimate","N/A",IF(OR($U210="Free Game",$U210="Disqualified — Free Game"),0,ROUND(IFERROR($Q210,0)-IFERROR($S210,0),2)))))</ns0:f>
      </ns0:c>
      <ns0:c r="X210" s="956" t="str">
        <ns0:f>IF(COUNTA($A210:$M210)=0,"",IF(OR($U210="Subscription",NOT(ISNUMBER($J210)),NOT(ISNUMBER($I210)),$J210=0,$I210=0,$I210&gt;$J210),"",$J210-$I210))</ns0:f>
      </ns0:c>
      <ns0:c r="Y210" s="955" t="str">
        <ns0:f>IF(COUNTA($A210:$M210)=0,"",IF(OR($U210="Subscription",NOT(ISNUMBER($J210)),$J210=0,$X210=""),"",$X210/$J210))</ns0:f>
      </ns0:c>
      <ns0:c r="Z210" s="957" t="str">
        <ns0:f>IF(COUNTA($A210:$M210)=0,"",Instructions!$B$29+SUM($W$5:W210))</ns0:f>
      </ns0:c>
    </ns0:row>
    <ns0:row r="211" ht="36" customHeight="1">
      <ns0:c r="A211" s="439"/>
      <ns0:c r="B211" s="453"/>
      <ns0:c r="C211" s="453"/>
      <ns0:c r="D211" s="454"/>
      <ns0:c r="E211" s="454"/>
      <ns0:c r="F211" s="454"/>
      <ns0:c r="G211" s="986"/>
      <ns0:c r="H211" s="455"/>
      <ns0:c r="I211" s="456"/>
      <ns0:c r="J211" s="456"/>
      <ns0:c r="K211" s="986"/>
      <ns0:c r="L211" s="454"/>
      <ns0:c r="M211" s="439"/>
      <ns0:c r="N211" s="987" t="str">
        <ns0:f>IF(COUNTA($A211:$M211)=0,"",IF(OR(LEFT(LOWER(TRIM($F211&amp;"")),12)="subscription",LOWER(TRIM($F211&amp;""))="membership"),"",IF(OR(AND($H211&lt;&gt;"",$H211=0),LEFT(LOWER(TRIM($F211&amp;"")),9)="free game",LOWER(TRIM($F211&amp;""))="free",LOWER(TRIM($F211&amp;""))="free entry"),IF(ISNUMBER($G211),IF(ISNUMBER(SEARCH("non",LOWER($E211&amp;""))),$G211*0.85,$G211),"N/A"),IF($G211="","",IFERROR(IF(ISNUMBER(SEARCH("non",LOWER($E211&amp;""))),$G211*0.85,$G211),"")))))</ns0:f>
        <ns0:v/>
      </ns0:c>
      <ns0:c r="O211" s="987" t="str">
        <ns0:f>IF(COUNTA($A211:$M211)=0,"",IF(OR(LEFT(LOWER(TRIM($F211&amp;"")),12)="subscription",LOWER(TRIM($F211&amp;""))="membership"),"",IF(OR(AND($H211&lt;&gt;"",$H211=0),LEFT(LOWER(TRIM($F211&amp;"")),9)="free game",LOWER(TRIM($F211&amp;""))="free",LOWER(TRIM($F211&amp;""))="free entry"),IF(OR(NOT(ISNUMBER($N211)),NOT(ISNUMBER($I211)),$I211=0),"N/A",IFERROR($N211/$I211,"N/A")),IF(OR($N211="",$I211="",$I211=0),"",IFERROR($N211/$I211,"")))))</ns0:f>
        <ns0:v/>
      </ns0:c>
      <ns0:c r="P211" s="987">
        <ns0:f>IF(COUNTA($A211:$M211)=0,"",IF(OR(LEFT(LOWER(TRIM($F211&amp;"")),12)="subscription",LOWER(TRIM($F211&amp;""))="membership"),"",IF(LOWER(TRIM($D211&amp;""))="estimate","N/A",IF(LOWER($L211&amp;"")="yes",0,IF(OR(AND($H211&lt;&gt;"",$H211=0),LEFT(LOWER(TRIM($F211&amp;"")),9)="free game",LOWER(TRIM($F211&amp;""))="free",LOWER(TRIM($F211&amp;""))="free entry"),IF(ISNUMBER($K211),$K211,""),IF($K211&lt;&gt;"",$K211,""))))))</ns0:f>
      </ns0:c>
      <ns0:c r="Q211" s="114">
        <ns0:f>IF(COUNTA($A211:$M211)=0,"",IF(OR($U211="Subscription",$U211=""),"",IF($U211="Estimate","N/A",IF($U211="Profit",ROUND(IFERROR($P211,0)-IFERROR($H211,0),2),0))))</ns0:f>
      </ns0:c>
      <ns0:c r="R211" s="114">
        <ns0:f>IF(COUNTA($A211:$M211)=0,"",IF(OR($U211="Subscription",$U211=""),"",IF($U211="Estimate","N/A",IF($U211="Draw",$H211,0))))</ns0:f>
      </ns0:c>
      <ns0:c r="S211" s="114">
        <ns0:f>IF(COUNTA($A211:$M211)=0,"",IF(OR($U211="Subscription",$U211=""),"",IF($U211="Estimate","N/A",IF($U211="Disqualified",$H211,0))))</ns0:f>
      </ns0:c>
      <ns0:c r="T211" s="955">
        <ns0:f>IF(COUNTA($A211:$M211)=0,"",IF(OR($U211="Subscription",$U211=""),"",IF($U211="Estimate","N/A",IF(OR($U211="Free Game",$U211="Disqualified — Free Game",$H211=0),"N/A",IF($U211="Profit",$Q211/$H211,IF($U211="Disqualified",-$S211/$H211,0))))))</ns0:f>
      </ns0:c>
      <ns0:c r="U211" s="920">
        <ns0:f>IF(COUNTA($A211:$M211)=0,"",IF(OR(LEFT(LOWER(TRIM($F211&amp;"")),12)="subscription",LOWER(TRIM($F211&amp;""))="membership"),"Subscription",IF(LOWER(TRIM($D211&amp;""))="estimate","Estimate",IF(OR(AND($H211&lt;&gt;"",$H211=0),LEFT(LOWER(TRIM($F211&amp;"")),9)="free game",LOWER(TRIM($F211&amp;""))="free",LOWER(TRIM($F211&amp;""))="free entry"),IF(LOWER($L211&amp;"")="yes","Disqualified — Free Game","Free Game"),IF(LOWER($L211&amp;"")="yes","Disqualified",IF($P211="","",IF(ROUND(IFERROR(VALUE($P211),0)-IFERROR(VALUE($H211),0),2)&gt;0,"Profit","Draw")))))))</ns0:f>
      </ns0:c>
      <ns0:c r="V211" s="956" t="str">
        <ns0:f>IF(COUNTA($A211:$M211)=0,"",IF(OR($B211="",$C211="",$U211="Subscription"),"",IFERROR(ROUNDUP(($C211-$B211)/7,0),"")))</ns0:f>
      </ns0:c>
      <ns0:c r="W211" s="114">
        <ns0:f>IF(COUNTA($A211:$M211)=0,"",IF(OR($U211="Subscription",$U211=""),"",IF($U211="Estimate","N/A",IF(OR($U211="Free Game",$U211="Disqualified — Free Game"),0,ROUND(IFERROR($Q211,0)-IFERROR($S211,0),2)))))</ns0:f>
      </ns0:c>
      <ns0:c r="X211" s="956" t="str">
        <ns0:f>IF(COUNTA($A211:$M211)=0,"",IF(OR($U211="Subscription",NOT(ISNUMBER($J211)),NOT(ISNUMBER($I211)),$J211=0,$I211=0,$I211&gt;$J211),"",$J211-$I211))</ns0:f>
      </ns0:c>
      <ns0:c r="Y211" s="955" t="str">
        <ns0:f>IF(COUNTA($A211:$M211)=0,"",IF(OR($U211="Subscription",NOT(ISNUMBER($J211)),$J211=0,$X211=""),"",$X211/$J211))</ns0:f>
      </ns0:c>
      <ns0:c r="Z211" s="957" t="str">
        <ns0:f>IF(COUNTA($A211:$M211)=0,"",Instructions!$B$29+SUM($W$5:W211))</ns0:f>
      </ns0:c>
    </ns0:row>
    <ns0:row r="212" ht="36" customHeight="1">
      <ns0:c r="A212" s="439"/>
      <ns0:c r="B212" s="453"/>
      <ns0:c r="C212" s="453"/>
      <ns0:c r="D212" s="454"/>
      <ns0:c r="E212" s="454"/>
      <ns0:c r="F212" s="454"/>
      <ns0:c r="G212" s="986"/>
      <ns0:c r="H212" s="455"/>
      <ns0:c r="I212" s="456"/>
      <ns0:c r="J212" s="456"/>
      <ns0:c r="K212" s="986"/>
      <ns0:c r="L212" s="454"/>
      <ns0:c r="M212" s="439"/>
      <ns0:c r="N212" s="987" t="str">
        <ns0:f>IF(COUNTA($A212:$M212)=0,"",IF(OR(LEFT(LOWER(TRIM($F212&amp;"")),12)="subscription",LOWER(TRIM($F212&amp;""))="membership"),"",IF(OR(AND($H212&lt;&gt;"",$H212=0),LEFT(LOWER(TRIM($F212&amp;"")),9)="free game",LOWER(TRIM($F212&amp;""))="free",LOWER(TRIM($F212&amp;""))="free entry"),IF(ISNUMBER($G212),IF(ISNUMBER(SEARCH("non",LOWER($E212&amp;""))),$G212*0.85,$G212),"N/A"),IF($G212="","",IFERROR(IF(ISNUMBER(SEARCH("non",LOWER($E212&amp;""))),$G212*0.85,$G212),"")))))</ns0:f>
        <ns0:v/>
      </ns0:c>
      <ns0:c r="O212" s="987" t="str">
        <ns0:f>IF(COUNTA($A212:$M212)=0,"",IF(OR(LEFT(LOWER(TRIM($F212&amp;"")),12)="subscription",LOWER(TRIM($F212&amp;""))="membership"),"",IF(OR(AND($H212&lt;&gt;"",$H212=0),LEFT(LOWER(TRIM($F212&amp;"")),9)="free game",LOWER(TRIM($F212&amp;""))="free",LOWER(TRIM($F212&amp;""))="free entry"),IF(OR(NOT(ISNUMBER($N212)),NOT(ISNUMBER($I212)),$I212=0),"N/A",IFERROR($N212/$I212,"N/A")),IF(OR($N212="",$I212="",$I212=0),"",IFERROR($N212/$I212,"")))))</ns0:f>
        <ns0:v/>
      </ns0:c>
      <ns0:c r="P212" s="987">
        <ns0:f>IF(COUNTA($A212:$M212)=0,"",IF(OR(LEFT(LOWER(TRIM($F212&amp;"")),12)="subscription",LOWER(TRIM($F212&amp;""))="membership"),"",IF(LOWER(TRIM($D212&amp;""))="estimate","N/A",IF(LOWER($L212&amp;"")="yes",0,IF(OR(AND($H212&lt;&gt;"",$H212=0),LEFT(LOWER(TRIM($F212&amp;"")),9)="free game",LOWER(TRIM($F212&amp;""))="free",LOWER(TRIM($F212&amp;""))="free entry"),IF(ISNUMBER($K212),$K212,""),IF($K212&lt;&gt;"",$K212,""))))))</ns0:f>
      </ns0:c>
      <ns0:c r="Q212" s="114">
        <ns0:f>IF(COUNTA($A212:$M212)=0,"",IF(OR($U212="Subscription",$U212=""),"",IF($U212="Estimate","N/A",IF($U212="Profit",ROUND(IFERROR($P212,0)-IFERROR($H212,0),2),0))))</ns0:f>
      </ns0:c>
      <ns0:c r="R212" s="114">
        <ns0:f>IF(COUNTA($A212:$M212)=0,"",IF(OR($U212="Subscription",$U212=""),"",IF($U212="Estimate","N/A",IF($U212="Draw",$H212,0))))</ns0:f>
      </ns0:c>
      <ns0:c r="S212" s="114">
        <ns0:f>IF(COUNTA($A212:$M212)=0,"",IF(OR($U212="Subscription",$U212=""),"",IF($U212="Estimate","N/A",IF($U212="Disqualified",$H212,0))))</ns0:f>
      </ns0:c>
      <ns0:c r="T212" s="955">
        <ns0:f>IF(COUNTA($A212:$M212)=0,"",IF(OR($U212="Subscription",$U212=""),"",IF($U212="Estimate","N/A",IF(OR($U212="Free Game",$U212="Disqualified — Free Game",$H212=0),"N/A",IF($U212="Profit",$Q212/$H212,IF($U212="Disqualified",-$S212/$H212,0))))))</ns0:f>
      </ns0:c>
      <ns0:c r="U212" s="920">
        <ns0:f>IF(COUNTA($A212:$M212)=0,"",IF(OR(LEFT(LOWER(TRIM($F212&amp;"")),12)="subscription",LOWER(TRIM($F212&amp;""))="membership"),"Subscription",IF(LOWER(TRIM($D212&amp;""))="estimate","Estimate",IF(OR(AND($H212&lt;&gt;"",$H212=0),LEFT(LOWER(TRIM($F212&amp;"")),9)="free game",LOWER(TRIM($F212&amp;""))="free",LOWER(TRIM($F212&amp;""))="free entry"),IF(LOWER($L212&amp;"")="yes","Disqualified — Free Game","Free Game"),IF(LOWER($L212&amp;"")="yes","Disqualified",IF($P212="","",IF(ROUND(IFERROR(VALUE($P212),0)-IFERROR(VALUE($H212),0),2)&gt;0,"Profit","Draw")))))))</ns0:f>
      </ns0:c>
      <ns0:c r="V212" s="956" t="str">
        <ns0:f>IF(COUNTA($A212:$M212)=0,"",IF(OR($B212="",$C212="",$U212="Subscription"),"",IFERROR(ROUNDUP(($C212-$B212)/7,0),"")))</ns0:f>
      </ns0:c>
      <ns0:c r="W212" s="114">
        <ns0:f>IF(COUNTA($A212:$M212)=0,"",IF(OR($U212="Subscription",$U212=""),"",IF($U212="Estimate","N/A",IF(OR($U212="Free Game",$U212="Disqualified — Free Game"),0,ROUND(IFERROR($Q212,0)-IFERROR($S212,0),2)))))</ns0:f>
      </ns0:c>
      <ns0:c r="X212" s="956" t="str">
        <ns0:f>IF(COUNTA($A212:$M212)=0,"",IF(OR($U212="Subscription",NOT(ISNUMBER($J212)),NOT(ISNUMBER($I212)),$J212=0,$I212=0,$I212&gt;$J212),"",$J212-$I212))</ns0:f>
      </ns0:c>
      <ns0:c r="Y212" s="955" t="str">
        <ns0:f>IF(COUNTA($A212:$M212)=0,"",IF(OR($U212="Subscription",NOT(ISNUMBER($J212)),$J212=0,$X212=""),"",$X212/$J212))</ns0:f>
      </ns0:c>
      <ns0:c r="Z212" s="957" t="str">
        <ns0:f>IF(COUNTA($A212:$M212)=0,"",Instructions!$B$29+SUM($W$5:W212))</ns0:f>
      </ns0:c>
    </ns0:row>
    <ns0:row r="213" ht="36" customHeight="1">
      <ns0:c r="A213" s="439"/>
      <ns0:c r="B213" s="453"/>
      <ns0:c r="C213" s="453"/>
      <ns0:c r="D213" s="454"/>
      <ns0:c r="E213" s="454"/>
      <ns0:c r="F213" s="454"/>
      <ns0:c r="G213" s="986"/>
      <ns0:c r="H213" s="455"/>
      <ns0:c r="I213" s="456"/>
      <ns0:c r="J213" s="456"/>
      <ns0:c r="K213" s="986"/>
      <ns0:c r="L213" s="454"/>
      <ns0:c r="M213" s="439"/>
      <ns0:c r="N213" s="987" t="str">
        <ns0:f>IF(COUNTA($A213:$M213)=0,"",IF(OR(LEFT(LOWER(TRIM($F213&amp;"")),12)="subscription",LOWER(TRIM($F213&amp;""))="membership"),"",IF(OR(AND($H213&lt;&gt;"",$H213=0),LEFT(LOWER(TRIM($F213&amp;"")),9)="free game",LOWER(TRIM($F213&amp;""))="free",LOWER(TRIM($F213&amp;""))="free entry"),IF(ISNUMBER($G213),IF(ISNUMBER(SEARCH("non",LOWER($E213&amp;""))),$G213*0.85,$G213),"N/A"),IF($G213="","",IFERROR(IF(ISNUMBER(SEARCH("non",LOWER($E213&amp;""))),$G213*0.85,$G213),"")))))</ns0:f>
        <ns0:v/>
      </ns0:c>
      <ns0:c r="O213" s="987" t="str">
        <ns0:f>IF(COUNTA($A213:$M213)=0,"",IF(OR(LEFT(LOWER(TRIM($F213&amp;"")),12)="subscription",LOWER(TRIM($F213&amp;""))="membership"),"",IF(OR(AND($H213&lt;&gt;"",$H213=0),LEFT(LOWER(TRIM($F213&amp;"")),9)="free game",LOWER(TRIM($F213&amp;""))="free",LOWER(TRIM($F213&amp;""))="free entry"),IF(OR(NOT(ISNUMBER($N213)),NOT(ISNUMBER($I213)),$I213=0),"N/A",IFERROR($N213/$I213,"N/A")),IF(OR($N213="",$I213="",$I213=0),"",IFERROR($N213/$I213,"")))))</ns0:f>
        <ns0:v/>
      </ns0:c>
      <ns0:c r="P213" s="987">
        <ns0:f>IF(COUNTA($A213:$M213)=0,"",IF(OR(LEFT(LOWER(TRIM($F213&amp;"")),12)="subscription",LOWER(TRIM($F213&amp;""))="membership"),"",IF(LOWER(TRIM($D213&amp;""))="estimate","N/A",IF(LOWER($L213&amp;"")="yes",0,IF(OR(AND($H213&lt;&gt;"",$H213=0),LEFT(LOWER(TRIM($F213&amp;"")),9)="free game",LOWER(TRIM($F213&amp;""))="free",LOWER(TRIM($F213&amp;""))="free entry"),IF(ISNUMBER($K213),$K213,""),IF($K213&lt;&gt;"",$K213,""))))))</ns0:f>
      </ns0:c>
      <ns0:c r="Q213" s="114">
        <ns0:f>IF(COUNTA($A213:$M213)=0,"",IF(OR($U213="Subscription",$U213=""),"",IF($U213="Estimate","N/A",IF($U213="Profit",ROUND(IFERROR($P213,0)-IFERROR($H213,0),2),0))))</ns0:f>
      </ns0:c>
      <ns0:c r="R213" s="114">
        <ns0:f>IF(COUNTA($A213:$M213)=0,"",IF(OR($U213="Subscription",$U213=""),"",IF($U213="Estimate","N/A",IF($U213="Draw",$H213,0))))</ns0:f>
      </ns0:c>
      <ns0:c r="S213" s="114">
        <ns0:f>IF(COUNTA($A213:$M213)=0,"",IF(OR($U213="Subscription",$U213=""),"",IF($U213="Estimate","N/A",IF($U213="Disqualified",$H213,0))))</ns0:f>
      </ns0:c>
      <ns0:c r="T213" s="955">
        <ns0:f>IF(COUNTA($A213:$M213)=0,"",IF(OR($U213="Subscription",$U213=""),"",IF($U213="Estimate","N/A",IF(OR($U213="Free Game",$U213="Disqualified — Free Game",$H213=0),"N/A",IF($U213="Profit",$Q213/$H213,IF($U213="Disqualified",-$S213/$H213,0))))))</ns0:f>
      </ns0:c>
      <ns0:c r="U213" s="920">
        <ns0:f>IF(COUNTA($A213:$M213)=0,"",IF(OR(LEFT(LOWER(TRIM($F213&amp;"")),12)="subscription",LOWER(TRIM($F213&amp;""))="membership"),"Subscription",IF(LOWER(TRIM($D213&amp;""))="estimate","Estimate",IF(OR(AND($H213&lt;&gt;"",$H213=0),LEFT(LOWER(TRIM($F213&amp;"")),9)="free game",LOWER(TRIM($F213&amp;""))="free",LOWER(TRIM($F213&amp;""))="free entry"),IF(LOWER($L213&amp;"")="yes","Disqualified — Free Game","Free Game"),IF(LOWER($L213&amp;"")="yes","Disqualified",IF($P213="","",IF(ROUND(IFERROR(VALUE($P213),0)-IFERROR(VALUE($H213),0),2)&gt;0,"Profit","Draw")))))))</ns0:f>
      </ns0:c>
      <ns0:c r="V213" s="956" t="str">
        <ns0:f>IF(COUNTA($A213:$M213)=0,"",IF(OR($B213="",$C213="",$U213="Subscription"),"",IFERROR(ROUNDUP(($C213-$B213)/7,0),"")))</ns0:f>
      </ns0:c>
      <ns0:c r="W213" s="114">
        <ns0:f>IF(COUNTA($A213:$M213)=0,"",IF(OR($U213="Subscription",$U213=""),"",IF($U213="Estimate","N/A",IF(OR($U213="Free Game",$U213="Disqualified — Free Game"),0,ROUND(IFERROR($Q213,0)-IFERROR($S213,0),2)))))</ns0:f>
      </ns0:c>
      <ns0:c r="X213" s="956" t="str">
        <ns0:f>IF(COUNTA($A213:$M213)=0,"",IF(OR($U213="Subscription",NOT(ISNUMBER($J213)),NOT(ISNUMBER($I213)),$J213=0,$I213=0,$I213&gt;$J213),"",$J213-$I213))</ns0:f>
      </ns0:c>
      <ns0:c r="Y213" s="955" t="str">
        <ns0:f>IF(COUNTA($A213:$M213)=0,"",IF(OR($U213="Subscription",NOT(ISNUMBER($J213)),$J213=0,$X213=""),"",$X213/$J213))</ns0:f>
      </ns0:c>
      <ns0:c r="Z213" s="957" t="str">
        <ns0:f>IF(COUNTA($A213:$M213)=0,"",Instructions!$B$29+SUM($W$5:W213))</ns0:f>
      </ns0:c>
    </ns0:row>
    <ns0:row r="214" ht="36" customHeight="1">
      <ns0:c r="A214" s="439"/>
      <ns0:c r="B214" s="453"/>
      <ns0:c r="C214" s="453"/>
      <ns0:c r="D214" s="454"/>
      <ns0:c r="E214" s="454"/>
      <ns0:c r="F214" s="454"/>
      <ns0:c r="G214" s="986"/>
      <ns0:c r="H214" s="455"/>
      <ns0:c r="I214" s="456"/>
      <ns0:c r="J214" s="456"/>
      <ns0:c r="K214" s="986"/>
      <ns0:c r="L214" s="454"/>
      <ns0:c r="M214" s="439"/>
      <ns0:c r="N214" s="987" t="str">
        <ns0:f>IF(COUNTA($A214:$M214)=0,"",IF(OR(LEFT(LOWER(TRIM($F214&amp;"")),12)="subscription",LOWER(TRIM($F214&amp;""))="membership"),"",IF(OR(AND($H214&lt;&gt;"",$H214=0),LEFT(LOWER(TRIM($F214&amp;"")),9)="free game",LOWER(TRIM($F214&amp;""))="free",LOWER(TRIM($F214&amp;""))="free entry"),IF(ISNUMBER($G214),IF(ISNUMBER(SEARCH("non",LOWER($E214&amp;""))),$G214*0.85,$G214),"N/A"),IF($G214="","",IFERROR(IF(ISNUMBER(SEARCH("non",LOWER($E214&amp;""))),$G214*0.85,$G214),"")))))</ns0:f>
        <ns0:v/>
      </ns0:c>
      <ns0:c r="O214" s="987" t="str">
        <ns0:f>IF(COUNTA($A214:$M214)=0,"",IF(OR(LEFT(LOWER(TRIM($F214&amp;"")),12)="subscription",LOWER(TRIM($F214&amp;""))="membership"),"",IF(OR(AND($H214&lt;&gt;"",$H214=0),LEFT(LOWER(TRIM($F214&amp;"")),9)="free game",LOWER(TRIM($F214&amp;""))="free",LOWER(TRIM($F214&amp;""))="free entry"),IF(OR(NOT(ISNUMBER($N214)),NOT(ISNUMBER($I214)),$I214=0),"N/A",IFERROR($N214/$I214,"N/A")),IF(OR($N214="",$I214="",$I214=0),"",IFERROR($N214/$I214,"")))))</ns0:f>
        <ns0:v/>
      </ns0:c>
      <ns0:c r="P214" s="987">
        <ns0:f>IF(COUNTA($A214:$M214)=0,"",IF(OR(LEFT(LOWER(TRIM($F214&amp;"")),12)="subscription",LOWER(TRIM($F214&amp;""))="membership"),"",IF(LOWER(TRIM($D214&amp;""))="estimate","N/A",IF(LOWER($L214&amp;"")="yes",0,IF(OR(AND($H214&lt;&gt;"",$H214=0),LEFT(LOWER(TRIM($F214&amp;"")),9)="free game",LOWER(TRIM($F214&amp;""))="free",LOWER(TRIM($F214&amp;""))="free entry"),IF(ISNUMBER($K214),$K214,""),IF($K214&lt;&gt;"",$K214,""))))))</ns0:f>
      </ns0:c>
      <ns0:c r="Q214" s="114">
        <ns0:f>IF(COUNTA($A214:$M214)=0,"",IF(OR($U214="Subscription",$U214=""),"",IF($U214="Estimate","N/A",IF($U214="Profit",ROUND(IFERROR($P214,0)-IFERROR($H214,0),2),0))))</ns0:f>
      </ns0:c>
      <ns0:c r="R214" s="114">
        <ns0:f>IF(COUNTA($A214:$M214)=0,"",IF(OR($U214="Subscription",$U214=""),"",IF($U214="Estimate","N/A",IF($U214="Draw",$H214,0))))</ns0:f>
      </ns0:c>
      <ns0:c r="S214" s="114">
        <ns0:f>IF(COUNTA($A214:$M214)=0,"",IF(OR($U214="Subscription",$U214=""),"",IF($U214="Estimate","N/A",IF($U214="Disqualified",$H214,0))))</ns0:f>
      </ns0:c>
      <ns0:c r="T214" s="955">
        <ns0:f>IF(COUNTA($A214:$M214)=0,"",IF(OR($U214="Subscription",$U214=""),"",IF($U214="Estimate","N/A",IF(OR($U214="Free Game",$U214="Disqualified — Free Game",$H214=0),"N/A",IF($U214="Profit",$Q214/$H214,IF($U214="Disqualified",-$S214/$H214,0))))))</ns0:f>
      </ns0:c>
      <ns0:c r="U214" s="920">
        <ns0:f>IF(COUNTA($A214:$M214)=0,"",IF(OR(LEFT(LOWER(TRIM($F214&amp;"")),12)="subscription",LOWER(TRIM($F214&amp;""))="membership"),"Subscription",IF(LOWER(TRIM($D214&amp;""))="estimate","Estimate",IF(OR(AND($H214&lt;&gt;"",$H214=0),LEFT(LOWER(TRIM($F214&amp;"")),9)="free game",LOWER(TRIM($F214&amp;""))="free",LOWER(TRIM($F214&amp;""))="free entry"),IF(LOWER($L214&amp;"")="yes","Disqualified — Free Game","Free Game"),IF(LOWER($L214&amp;"")="yes","Disqualified",IF($P214="","",IF(ROUND(IFERROR(VALUE($P214),0)-IFERROR(VALUE($H214),0),2)&gt;0,"Profit","Draw")))))))</ns0:f>
      </ns0:c>
      <ns0:c r="V214" s="956" t="str">
        <ns0:f>IF(COUNTA($A214:$M214)=0,"",IF(OR($B214="",$C214="",$U214="Subscription"),"",IFERROR(ROUNDUP(($C214-$B214)/7,0),"")))</ns0:f>
      </ns0:c>
      <ns0:c r="W214" s="114">
        <ns0:f>IF(COUNTA($A214:$M214)=0,"",IF(OR($U214="Subscription",$U214=""),"",IF($U214="Estimate","N/A",IF(OR($U214="Free Game",$U214="Disqualified — Free Game"),0,ROUND(IFERROR($Q214,0)-IFERROR($S214,0),2)))))</ns0:f>
      </ns0:c>
      <ns0:c r="X214" s="956" t="str">
        <ns0:f>IF(COUNTA($A214:$M214)=0,"",IF(OR($U214="Subscription",NOT(ISNUMBER($J214)),NOT(ISNUMBER($I214)),$J214=0,$I214=0,$I214&gt;$J214),"",$J214-$I214))</ns0:f>
      </ns0:c>
      <ns0:c r="Y214" s="955" t="str">
        <ns0:f>IF(COUNTA($A214:$M214)=0,"",IF(OR($U214="Subscription",NOT(ISNUMBER($J214)),$J214=0,$X214=""),"",$X214/$J214))</ns0:f>
      </ns0:c>
      <ns0:c r="Z214" s="957" t="str">
        <ns0:f>IF(COUNTA($A214:$M214)=0,"",Instructions!$B$29+SUM($W$5:W214))</ns0:f>
      </ns0:c>
    </ns0:row>
    <ns0:row r="215" ht="36" customHeight="1">
      <ns0:c r="A215" s="439"/>
      <ns0:c r="B215" s="453"/>
      <ns0:c r="C215" s="453"/>
      <ns0:c r="D215" s="454"/>
      <ns0:c r="E215" s="454"/>
      <ns0:c r="F215" s="454"/>
      <ns0:c r="G215" s="986"/>
      <ns0:c r="H215" s="455"/>
      <ns0:c r="I215" s="456"/>
      <ns0:c r="J215" s="456"/>
      <ns0:c r="K215" s="986"/>
      <ns0:c r="L215" s="454"/>
      <ns0:c r="M215" s="439"/>
      <ns0:c r="N215" s="987" t="str">
        <ns0:f>IF(COUNTA($A215:$M215)=0,"",IF(OR(LEFT(LOWER(TRIM($F215&amp;"")),12)="subscription",LOWER(TRIM($F215&amp;""))="membership"),"",IF(OR(AND($H215&lt;&gt;"",$H215=0),LEFT(LOWER(TRIM($F215&amp;"")),9)="free game",LOWER(TRIM($F215&amp;""))="free",LOWER(TRIM($F215&amp;""))="free entry"),IF(ISNUMBER($G215),IF(ISNUMBER(SEARCH("non",LOWER($E215&amp;""))),$G215*0.85,$G215),"N/A"),IF($G215="","",IFERROR(IF(ISNUMBER(SEARCH("non",LOWER($E215&amp;""))),$G215*0.85,$G215),"")))))</ns0:f>
        <ns0:v/>
      </ns0:c>
      <ns0:c r="O215" s="987" t="str">
        <ns0:f>IF(COUNTA($A215:$M215)=0,"",IF(OR(LEFT(LOWER(TRIM($F215&amp;"")),12)="subscription",LOWER(TRIM($F215&amp;""))="membership"),"",IF(OR(AND($H215&lt;&gt;"",$H215=0),LEFT(LOWER(TRIM($F215&amp;"")),9)="free game",LOWER(TRIM($F215&amp;""))="free",LOWER(TRIM($F215&amp;""))="free entry"),IF(OR(NOT(ISNUMBER($N215)),NOT(ISNUMBER($I215)),$I215=0),"N/A",IFERROR($N215/$I215,"N/A")),IF(OR($N215="",$I215="",$I215=0),"",IFERROR($N215/$I215,"")))))</ns0:f>
        <ns0:v/>
      </ns0:c>
      <ns0:c r="P215" s="987">
        <ns0:f>IF(COUNTA($A215:$M215)=0,"",IF(OR(LEFT(LOWER(TRIM($F215&amp;"")),12)="subscription",LOWER(TRIM($F215&amp;""))="membership"),"",IF(LOWER(TRIM($D215&amp;""))="estimate","N/A",IF(LOWER($L215&amp;"")="yes",0,IF(OR(AND($H215&lt;&gt;"",$H215=0),LEFT(LOWER(TRIM($F215&amp;"")),9)="free game",LOWER(TRIM($F215&amp;""))="free",LOWER(TRIM($F215&amp;""))="free entry"),IF(ISNUMBER($K215),$K215,""),IF($K215&lt;&gt;"",$K215,""))))))</ns0:f>
      </ns0:c>
      <ns0:c r="Q215" s="114">
        <ns0:f>IF(COUNTA($A215:$M215)=0,"",IF(OR($U215="Subscription",$U215=""),"",IF($U215="Estimate","N/A",IF($U215="Profit",ROUND(IFERROR($P215,0)-IFERROR($H215,0),2),0))))</ns0:f>
      </ns0:c>
      <ns0:c r="R215" s="114">
        <ns0:f>IF(COUNTA($A215:$M215)=0,"",IF(OR($U215="Subscription",$U215=""),"",IF($U215="Estimate","N/A",IF($U215="Draw",$H215,0))))</ns0:f>
      </ns0:c>
      <ns0:c r="S215" s="114">
        <ns0:f>IF(COUNTA($A215:$M215)=0,"",IF(OR($U215="Subscription",$U215=""),"",IF($U215="Estimate","N/A",IF($U215="Disqualified",$H215,0))))</ns0:f>
      </ns0:c>
      <ns0:c r="T215" s="955">
        <ns0:f>IF(COUNTA($A215:$M215)=0,"",IF(OR($U215="Subscription",$U215=""),"",IF($U215="Estimate","N/A",IF(OR($U215="Free Game",$U215="Disqualified — Free Game",$H215=0),"N/A",IF($U215="Profit",$Q215/$H215,IF($U215="Disqualified",-$S215/$H215,0))))))</ns0:f>
      </ns0:c>
      <ns0:c r="U215" s="920">
        <ns0:f>IF(COUNTA($A215:$M215)=0,"",IF(OR(LEFT(LOWER(TRIM($F215&amp;"")),12)="subscription",LOWER(TRIM($F215&amp;""))="membership"),"Subscription",IF(LOWER(TRIM($D215&amp;""))="estimate","Estimate",IF(OR(AND($H215&lt;&gt;"",$H215=0),LEFT(LOWER(TRIM($F215&amp;"")),9)="free game",LOWER(TRIM($F215&amp;""))="free",LOWER(TRIM($F215&amp;""))="free entry"),IF(LOWER($L215&amp;"")="yes","Disqualified — Free Game","Free Game"),IF(LOWER($L215&amp;"")="yes","Disqualified",IF($P215="","",IF(ROUND(IFERROR(VALUE($P215),0)-IFERROR(VALUE($H215),0),2)&gt;0,"Profit","Draw")))))))</ns0:f>
      </ns0:c>
      <ns0:c r="V215" s="956" t="str">
        <ns0:f>IF(COUNTA($A215:$M215)=0,"",IF(OR($B215="",$C215="",$U215="Subscription"),"",IFERROR(ROUNDUP(($C215-$B215)/7,0),"")))</ns0:f>
      </ns0:c>
      <ns0:c r="W215" s="114">
        <ns0:f>IF(COUNTA($A215:$M215)=0,"",IF(OR($U215="Subscription",$U215=""),"",IF($U215="Estimate","N/A",IF(OR($U215="Free Game",$U215="Disqualified — Free Game"),0,ROUND(IFERROR($Q215,0)-IFERROR($S215,0),2)))))</ns0:f>
      </ns0:c>
      <ns0:c r="X215" s="956" t="str">
        <ns0:f>IF(COUNTA($A215:$M215)=0,"",IF(OR($U215="Subscription",NOT(ISNUMBER($J215)),NOT(ISNUMBER($I215)),$J215=0,$I215=0,$I215&gt;$J215),"",$J215-$I215))</ns0:f>
      </ns0:c>
      <ns0:c r="Y215" s="955" t="str">
        <ns0:f>IF(COUNTA($A215:$M215)=0,"",IF(OR($U215="Subscription",NOT(ISNUMBER($J215)),$J215=0,$X215=""),"",$X215/$J215))</ns0:f>
      </ns0:c>
      <ns0:c r="Z215" s="957" t="str">
        <ns0:f>IF(COUNTA($A215:$M215)=0,"",Instructions!$B$29+SUM($W$5:W215))</ns0:f>
      </ns0:c>
    </ns0:row>
    <ns0:row r="216" ht="36" customHeight="1">
      <ns0:c r="A216" s="439"/>
      <ns0:c r="B216" s="453"/>
      <ns0:c r="C216" s="453"/>
      <ns0:c r="D216" s="454"/>
      <ns0:c r="E216" s="454"/>
      <ns0:c r="F216" s="454"/>
      <ns0:c r="G216" s="986"/>
      <ns0:c r="H216" s="455"/>
      <ns0:c r="I216" s="456"/>
      <ns0:c r="J216" s="456"/>
      <ns0:c r="K216" s="986"/>
      <ns0:c r="L216" s="454"/>
      <ns0:c r="M216" s="439"/>
      <ns0:c r="N216" s="987" t="str">
        <ns0:f>IF(COUNTA($A216:$M216)=0,"",IF(OR(LEFT(LOWER(TRIM($F216&amp;"")),12)="subscription",LOWER(TRIM($F216&amp;""))="membership"),"",IF(OR(AND($H216&lt;&gt;"",$H216=0),LEFT(LOWER(TRIM($F216&amp;"")),9)="free game",LOWER(TRIM($F216&amp;""))="free",LOWER(TRIM($F216&amp;""))="free entry"),IF(ISNUMBER($G216),IF(ISNUMBER(SEARCH("non",LOWER($E216&amp;""))),$G216*0.85,$G216),"N/A"),IF($G216="","",IFERROR(IF(ISNUMBER(SEARCH("non",LOWER($E216&amp;""))),$G216*0.85,$G216),"")))))</ns0:f>
        <ns0:v/>
      </ns0:c>
      <ns0:c r="O216" s="987" t="str">
        <ns0:f>IF(COUNTA($A216:$M216)=0,"",IF(OR(LEFT(LOWER(TRIM($F216&amp;"")),12)="subscription",LOWER(TRIM($F216&amp;""))="membership"),"",IF(OR(AND($H216&lt;&gt;"",$H216=0),LEFT(LOWER(TRIM($F216&amp;"")),9)="free game",LOWER(TRIM($F216&amp;""))="free",LOWER(TRIM($F216&amp;""))="free entry"),IF(OR(NOT(ISNUMBER($N216)),NOT(ISNUMBER($I216)),$I216=0),"N/A",IFERROR($N216/$I216,"N/A")),IF(OR($N216="",$I216="",$I216=0),"",IFERROR($N216/$I216,"")))))</ns0:f>
        <ns0:v/>
      </ns0:c>
      <ns0:c r="P216" s="987">
        <ns0:f>IF(COUNTA($A216:$M216)=0,"",IF(OR(LEFT(LOWER(TRIM($F216&amp;"")),12)="subscription",LOWER(TRIM($F216&amp;""))="membership"),"",IF(LOWER(TRIM($D216&amp;""))="estimate","N/A",IF(LOWER($L216&amp;"")="yes",0,IF(OR(AND($H216&lt;&gt;"",$H216=0),LEFT(LOWER(TRIM($F216&amp;"")),9)="free game",LOWER(TRIM($F216&amp;""))="free",LOWER(TRIM($F216&amp;""))="free entry"),IF(ISNUMBER($K216),$K216,""),IF($K216&lt;&gt;"",$K216,""))))))</ns0:f>
      </ns0:c>
      <ns0:c r="Q216" s="114">
        <ns0:f>IF(COUNTA($A216:$M216)=0,"",IF(OR($U216="Subscription",$U216=""),"",IF($U216="Estimate","N/A",IF($U216="Profit",ROUND(IFERROR($P216,0)-IFERROR($H216,0),2),0))))</ns0:f>
      </ns0:c>
      <ns0:c r="R216" s="114">
        <ns0:f>IF(COUNTA($A216:$M216)=0,"",IF(OR($U216="Subscription",$U216=""),"",IF($U216="Estimate","N/A",IF($U216="Draw",$H216,0))))</ns0:f>
      </ns0:c>
      <ns0:c r="S216" s="114">
        <ns0:f>IF(COUNTA($A216:$M216)=0,"",IF(OR($U216="Subscription",$U216=""),"",IF($U216="Estimate","N/A",IF($U216="Disqualified",$H216,0))))</ns0:f>
      </ns0:c>
      <ns0:c r="T216" s="955">
        <ns0:f>IF(COUNTA($A216:$M216)=0,"",IF(OR($U216="Subscription",$U216=""),"",IF($U216="Estimate","N/A",IF(OR($U216="Free Game",$U216="Disqualified — Free Game",$H216=0),"N/A",IF($U216="Profit",$Q216/$H216,IF($U216="Disqualified",-$S216/$H216,0))))))</ns0:f>
      </ns0:c>
      <ns0:c r="U216" s="920">
        <ns0:f>IF(COUNTA($A216:$M216)=0,"",IF(OR(LEFT(LOWER(TRIM($F216&amp;"")),12)="subscription",LOWER(TRIM($F216&amp;""))="membership"),"Subscription",IF(LOWER(TRIM($D216&amp;""))="estimate","Estimate",IF(OR(AND($H216&lt;&gt;"",$H216=0),LEFT(LOWER(TRIM($F216&amp;"")),9)="free game",LOWER(TRIM($F216&amp;""))="free",LOWER(TRIM($F216&amp;""))="free entry"),IF(LOWER($L216&amp;"")="yes","Disqualified — Free Game","Free Game"),IF(LOWER($L216&amp;"")="yes","Disqualified",IF($P216="","",IF(ROUND(IFERROR(VALUE($P216),0)-IFERROR(VALUE($H216),0),2)&gt;0,"Profit","Draw")))))))</ns0:f>
      </ns0:c>
      <ns0:c r="V216" s="956" t="str">
        <ns0:f>IF(COUNTA($A216:$M216)=0,"",IF(OR($B216="",$C216="",$U216="Subscription"),"",IFERROR(ROUNDUP(($C216-$B216)/7,0),"")))</ns0:f>
      </ns0:c>
      <ns0:c r="W216" s="114">
        <ns0:f>IF(COUNTA($A216:$M216)=0,"",IF(OR($U216="Subscription",$U216=""),"",IF($U216="Estimate","N/A",IF(OR($U216="Free Game",$U216="Disqualified — Free Game"),0,ROUND(IFERROR($Q216,0)-IFERROR($S216,0),2)))))</ns0:f>
      </ns0:c>
      <ns0:c r="X216" s="956" t="str">
        <ns0:f>IF(COUNTA($A216:$M216)=0,"",IF(OR($U216="Subscription",NOT(ISNUMBER($J216)),NOT(ISNUMBER($I216)),$J216=0,$I216=0,$I216&gt;$J216),"",$J216-$I216))</ns0:f>
      </ns0:c>
      <ns0:c r="Y216" s="955" t="str">
        <ns0:f>IF(COUNTA($A216:$M216)=0,"",IF(OR($U216="Subscription",NOT(ISNUMBER($J216)),$J216=0,$X216=""),"",$X216/$J216))</ns0:f>
      </ns0:c>
      <ns0:c r="Z216" s="957" t="str">
        <ns0:f>IF(COUNTA($A216:$M216)=0,"",Instructions!$B$29+SUM($W$5:W216))</ns0:f>
      </ns0:c>
    </ns0:row>
    <ns0:row r="217" ht="36" customHeight="1">
      <ns0:c r="A217" s="439"/>
      <ns0:c r="B217" s="453"/>
      <ns0:c r="C217" s="453"/>
      <ns0:c r="D217" s="454"/>
      <ns0:c r="E217" s="454"/>
      <ns0:c r="F217" s="454"/>
      <ns0:c r="G217" s="986"/>
      <ns0:c r="H217" s="455"/>
      <ns0:c r="I217" s="456"/>
      <ns0:c r="J217" s="456"/>
      <ns0:c r="K217" s="986"/>
      <ns0:c r="L217" s="454"/>
      <ns0:c r="M217" s="439"/>
      <ns0:c r="N217" s="987" t="str">
        <ns0:f>IF(COUNTA($A217:$M217)=0,"",IF(OR(LEFT(LOWER(TRIM($F217&amp;"")),12)="subscription",LOWER(TRIM($F217&amp;""))="membership"),"",IF(OR(AND($H217&lt;&gt;"",$H217=0),LEFT(LOWER(TRIM($F217&amp;"")),9)="free game",LOWER(TRIM($F217&amp;""))="free",LOWER(TRIM($F217&amp;""))="free entry"),IF(ISNUMBER($G217),IF(ISNUMBER(SEARCH("non",LOWER($E217&amp;""))),$G217*0.85,$G217),"N/A"),IF($G217="","",IFERROR(IF(ISNUMBER(SEARCH("non",LOWER($E217&amp;""))),$G217*0.85,$G217),"")))))</ns0:f>
        <ns0:v/>
      </ns0:c>
      <ns0:c r="O217" s="987" t="str">
        <ns0:f>IF(COUNTA($A217:$M217)=0,"",IF(OR(LEFT(LOWER(TRIM($F217&amp;"")),12)="subscription",LOWER(TRIM($F217&amp;""))="membership"),"",IF(OR(AND($H217&lt;&gt;"",$H217=0),LEFT(LOWER(TRIM($F217&amp;"")),9)="free game",LOWER(TRIM($F217&amp;""))="free",LOWER(TRIM($F217&amp;""))="free entry"),IF(OR(NOT(ISNUMBER($N217)),NOT(ISNUMBER($I217)),$I217=0),"N/A",IFERROR($N217/$I217,"N/A")),IF(OR($N217="",$I217="",$I217=0),"",IFERROR($N217/$I217,"")))))</ns0:f>
        <ns0:v/>
      </ns0:c>
      <ns0:c r="P217" s="987">
        <ns0:f>IF(COUNTA($A217:$M217)=0,"",IF(OR(LEFT(LOWER(TRIM($F217&amp;"")),12)="subscription",LOWER(TRIM($F217&amp;""))="membership"),"",IF(LOWER(TRIM($D217&amp;""))="estimate","N/A",IF(LOWER($L217&amp;"")="yes",0,IF(OR(AND($H217&lt;&gt;"",$H217=0),LEFT(LOWER(TRIM($F217&amp;"")),9)="free game",LOWER(TRIM($F217&amp;""))="free",LOWER(TRIM($F217&amp;""))="free entry"),IF(ISNUMBER($K217),$K217,""),IF($K217&lt;&gt;"",$K217,""))))))</ns0:f>
      </ns0:c>
      <ns0:c r="Q217" s="114">
        <ns0:f>IF(COUNTA($A217:$M217)=0,"",IF(OR($U217="Subscription",$U217=""),"",IF($U217="Estimate","N/A",IF($U217="Profit",ROUND(IFERROR($P217,0)-IFERROR($H217,0),2),0))))</ns0:f>
      </ns0:c>
      <ns0:c r="R217" s="114">
        <ns0:f>IF(COUNTA($A217:$M217)=0,"",IF(OR($U217="Subscription",$U217=""),"",IF($U217="Estimate","N/A",IF($U217="Draw",$H217,0))))</ns0:f>
      </ns0:c>
      <ns0:c r="S217" s="114">
        <ns0:f>IF(COUNTA($A217:$M217)=0,"",IF(OR($U217="Subscription",$U217=""),"",IF($U217="Estimate","N/A",IF($U217="Disqualified",$H217,0))))</ns0:f>
      </ns0:c>
      <ns0:c r="T217" s="955">
        <ns0:f>IF(COUNTA($A217:$M217)=0,"",IF(OR($U217="Subscription",$U217=""),"",IF($U217="Estimate","N/A",IF(OR($U217="Free Game",$U217="Disqualified — Free Game",$H217=0),"N/A",IF($U217="Profit",$Q217/$H217,IF($U217="Disqualified",-$S217/$H217,0))))))</ns0:f>
      </ns0:c>
      <ns0:c r="U217" s="920">
        <ns0:f>IF(COUNTA($A217:$M217)=0,"",IF(OR(LEFT(LOWER(TRIM($F217&amp;"")),12)="subscription",LOWER(TRIM($F217&amp;""))="membership"),"Subscription",IF(LOWER(TRIM($D217&amp;""))="estimate","Estimate",IF(OR(AND($H217&lt;&gt;"",$H217=0),LEFT(LOWER(TRIM($F217&amp;"")),9)="free game",LOWER(TRIM($F217&amp;""))="free",LOWER(TRIM($F217&amp;""))="free entry"),IF(LOWER($L217&amp;"")="yes","Disqualified — Free Game","Free Game"),IF(LOWER($L217&amp;"")="yes","Disqualified",IF($P217="","",IF(ROUND(IFERROR(VALUE($P217),0)-IFERROR(VALUE($H217),0),2)&gt;0,"Profit","Draw")))))))</ns0:f>
      </ns0:c>
      <ns0:c r="V217" s="956" t="str">
        <ns0:f>IF(COUNTA($A217:$M217)=0,"",IF(OR($B217="",$C217="",$U217="Subscription"),"",IFERROR(ROUNDUP(($C217-$B217)/7,0),"")))</ns0:f>
      </ns0:c>
      <ns0:c r="W217" s="114">
        <ns0:f>IF(COUNTA($A217:$M217)=0,"",IF(OR($U217="Subscription",$U217=""),"",IF($U217="Estimate","N/A",IF(OR($U217="Free Game",$U217="Disqualified — Free Game"),0,ROUND(IFERROR($Q217,0)-IFERROR($S217,0),2)))))</ns0:f>
      </ns0:c>
      <ns0:c r="X217" s="956" t="str">
        <ns0:f>IF(COUNTA($A217:$M217)=0,"",IF(OR($U217="Subscription",NOT(ISNUMBER($J217)),NOT(ISNUMBER($I217)),$J217=0,$I217=0,$I217&gt;$J217),"",$J217-$I217))</ns0:f>
      </ns0:c>
      <ns0:c r="Y217" s="955" t="str">
        <ns0:f>IF(COUNTA($A217:$M217)=0,"",IF(OR($U217="Subscription",NOT(ISNUMBER($J217)),$J217=0,$X217=""),"",$X217/$J217))</ns0:f>
      </ns0:c>
      <ns0:c r="Z217" s="957" t="str">
        <ns0:f>IF(COUNTA($A217:$M217)=0,"",Instructions!$B$29+SUM($W$5:W217))</ns0:f>
      </ns0:c>
    </ns0:row>
    <ns0:row r="218" ht="36" customHeight="1">
      <ns0:c r="A218" s="439"/>
      <ns0:c r="B218" s="453"/>
      <ns0:c r="C218" s="453"/>
      <ns0:c r="D218" s="454"/>
      <ns0:c r="E218" s="454"/>
      <ns0:c r="F218" s="454"/>
      <ns0:c r="G218" s="986"/>
      <ns0:c r="H218" s="455"/>
      <ns0:c r="I218" s="456"/>
      <ns0:c r="J218" s="456"/>
      <ns0:c r="K218" s="986"/>
      <ns0:c r="L218" s="454"/>
      <ns0:c r="M218" s="439"/>
      <ns0:c r="N218" s="987" t="str">
        <ns0:f>IF(COUNTA($A218:$M218)=0,"",IF(OR(LEFT(LOWER(TRIM($F218&amp;"")),12)="subscription",LOWER(TRIM($F218&amp;""))="membership"),"",IF(OR(AND($H218&lt;&gt;"",$H218=0),LEFT(LOWER(TRIM($F218&amp;"")),9)="free game",LOWER(TRIM($F218&amp;""))="free",LOWER(TRIM($F218&amp;""))="free entry"),IF(ISNUMBER($G218),IF(ISNUMBER(SEARCH("non",LOWER($E218&amp;""))),$G218*0.85,$G218),"N/A"),IF($G218="","",IFERROR(IF(ISNUMBER(SEARCH("non",LOWER($E218&amp;""))),$G218*0.85,$G218),"")))))</ns0:f>
        <ns0:v/>
      </ns0:c>
      <ns0:c r="O218" s="987" t="str">
        <ns0:f>IF(COUNTA($A218:$M218)=0,"",IF(OR(LEFT(LOWER(TRIM($F218&amp;"")),12)="subscription",LOWER(TRIM($F218&amp;""))="membership"),"",IF(OR(AND($H218&lt;&gt;"",$H218=0),LEFT(LOWER(TRIM($F218&amp;"")),9)="free game",LOWER(TRIM($F218&amp;""))="free",LOWER(TRIM($F218&amp;""))="free entry"),IF(OR(NOT(ISNUMBER($N218)),NOT(ISNUMBER($I218)),$I218=0),"N/A",IFERROR($N218/$I218,"N/A")),IF(OR($N218="",$I218="",$I218=0),"",IFERROR($N218/$I218,"")))))</ns0:f>
        <ns0:v/>
      </ns0:c>
      <ns0:c r="P218" s="987">
        <ns0:f>IF(COUNTA($A218:$M218)=0,"",IF(OR(LEFT(LOWER(TRIM($F218&amp;"")),12)="subscription",LOWER(TRIM($F218&amp;""))="membership"),"",IF(LOWER(TRIM($D218&amp;""))="estimate","N/A",IF(LOWER($L218&amp;"")="yes",0,IF(OR(AND($H218&lt;&gt;"",$H218=0),LEFT(LOWER(TRIM($F218&amp;"")),9)="free game",LOWER(TRIM($F218&amp;""))="free",LOWER(TRIM($F218&amp;""))="free entry"),IF(ISNUMBER($K218),$K218,""),IF($K218&lt;&gt;"",$K218,""))))))</ns0:f>
      </ns0:c>
      <ns0:c r="Q218" s="114">
        <ns0:f>IF(COUNTA($A218:$M218)=0,"",IF(OR($U218="Subscription",$U218=""),"",IF($U218="Estimate","N/A",IF($U218="Profit",ROUND(IFERROR($P218,0)-IFERROR($H218,0),2),0))))</ns0:f>
      </ns0:c>
      <ns0:c r="R218" s="114">
        <ns0:f>IF(COUNTA($A218:$M218)=0,"",IF(OR($U218="Subscription",$U218=""),"",IF($U218="Estimate","N/A",IF($U218="Draw",$H218,0))))</ns0:f>
      </ns0:c>
      <ns0:c r="S218" s="114">
        <ns0:f>IF(COUNTA($A218:$M218)=0,"",IF(OR($U218="Subscription",$U218=""),"",IF($U218="Estimate","N/A",IF($U218="Disqualified",$H218,0))))</ns0:f>
      </ns0:c>
      <ns0:c r="T218" s="955">
        <ns0:f>IF(COUNTA($A218:$M218)=0,"",IF(OR($U218="Subscription",$U218=""),"",IF($U218="Estimate","N/A",IF(OR($U218="Free Game",$U218="Disqualified — Free Game",$H218=0),"N/A",IF($U218="Profit",$Q218/$H218,IF($U218="Disqualified",-$S218/$H218,0))))))</ns0:f>
      </ns0:c>
      <ns0:c r="U218" s="920">
        <ns0:f>IF(COUNTA($A218:$M218)=0,"",IF(OR(LEFT(LOWER(TRIM($F218&amp;"")),12)="subscription",LOWER(TRIM($F218&amp;""))="membership"),"Subscription",IF(LOWER(TRIM($D218&amp;""))="estimate","Estimate",IF(OR(AND($H218&lt;&gt;"",$H218=0),LEFT(LOWER(TRIM($F218&amp;"")),9)="free game",LOWER(TRIM($F218&amp;""))="free",LOWER(TRIM($F218&amp;""))="free entry"),IF(LOWER($L218&amp;"")="yes","Disqualified — Free Game","Free Game"),IF(LOWER($L218&amp;"")="yes","Disqualified",IF($P218="","",IF(ROUND(IFERROR(VALUE($P218),0)-IFERROR(VALUE($H218),0),2)&gt;0,"Profit","Draw")))))))</ns0:f>
      </ns0:c>
      <ns0:c r="V218" s="956" t="str">
        <ns0:f>IF(COUNTA($A218:$M218)=0,"",IF(OR($B218="",$C218="",$U218="Subscription"),"",IFERROR(ROUNDUP(($C218-$B218)/7,0),"")))</ns0:f>
      </ns0:c>
      <ns0:c r="W218" s="114">
        <ns0:f>IF(COUNTA($A218:$M218)=0,"",IF(OR($U218="Subscription",$U218=""),"",IF($U218="Estimate","N/A",IF(OR($U218="Free Game",$U218="Disqualified — Free Game"),0,ROUND(IFERROR($Q218,0)-IFERROR($S218,0),2)))))</ns0:f>
      </ns0:c>
      <ns0:c r="X218" s="956" t="str">
        <ns0:f>IF(COUNTA($A218:$M218)=0,"",IF(OR($U218="Subscription",NOT(ISNUMBER($J218)),NOT(ISNUMBER($I218)),$J218=0,$I218=0,$I218&gt;$J218),"",$J218-$I218))</ns0:f>
      </ns0:c>
      <ns0:c r="Y218" s="955" t="str">
        <ns0:f>IF(COUNTA($A218:$M218)=0,"",IF(OR($U218="Subscription",NOT(ISNUMBER($J218)),$J218=0,$X218=""),"",$X218/$J218))</ns0:f>
      </ns0:c>
      <ns0:c r="Z218" s="957" t="str">
        <ns0:f>IF(COUNTA($A218:$M218)=0,"",Instructions!$B$29+SUM($W$5:W218))</ns0:f>
      </ns0:c>
    </ns0:row>
    <ns0:row r="219" ht="36" customHeight="1">
      <ns0:c r="A219" s="439"/>
      <ns0:c r="B219" s="453"/>
      <ns0:c r="C219" s="453"/>
      <ns0:c r="D219" s="454"/>
      <ns0:c r="E219" s="454"/>
      <ns0:c r="F219" s="454"/>
      <ns0:c r="G219" s="986"/>
      <ns0:c r="H219" s="455"/>
      <ns0:c r="I219" s="456"/>
      <ns0:c r="J219" s="456"/>
      <ns0:c r="K219" s="986"/>
      <ns0:c r="L219" s="454"/>
      <ns0:c r="M219" s="439"/>
      <ns0:c r="N219" s="987" t="str">
        <ns0:f>IF(COUNTA($A219:$M219)=0,"",IF(OR(LEFT(LOWER(TRIM($F219&amp;"")),12)="subscription",LOWER(TRIM($F219&amp;""))="membership"),"",IF(OR(AND($H219&lt;&gt;"",$H219=0),LEFT(LOWER(TRIM($F219&amp;"")),9)="free game",LOWER(TRIM($F219&amp;""))="free",LOWER(TRIM($F219&amp;""))="free entry"),IF(ISNUMBER($G219),IF(ISNUMBER(SEARCH("non",LOWER($E219&amp;""))),$G219*0.85,$G219),"N/A"),IF($G219="","",IFERROR(IF(ISNUMBER(SEARCH("non",LOWER($E219&amp;""))),$G219*0.85,$G219),"")))))</ns0:f>
        <ns0:v/>
      </ns0:c>
      <ns0:c r="O219" s="987" t="str">
        <ns0:f>IF(COUNTA($A219:$M219)=0,"",IF(OR(LEFT(LOWER(TRIM($F219&amp;"")),12)="subscription",LOWER(TRIM($F219&amp;""))="membership"),"",IF(OR(AND($H219&lt;&gt;"",$H219=0),LEFT(LOWER(TRIM($F219&amp;"")),9)="free game",LOWER(TRIM($F219&amp;""))="free",LOWER(TRIM($F219&amp;""))="free entry"),IF(OR(NOT(ISNUMBER($N219)),NOT(ISNUMBER($I219)),$I219=0),"N/A",IFERROR($N219/$I219,"N/A")),IF(OR($N219="",$I219="",$I219=0),"",IFERROR($N219/$I219,"")))))</ns0:f>
        <ns0:v/>
      </ns0:c>
      <ns0:c r="P219" s="987">
        <ns0:f>IF(COUNTA($A219:$M219)=0,"",IF(OR(LEFT(LOWER(TRIM($F219&amp;"")),12)="subscription",LOWER(TRIM($F219&amp;""))="membership"),"",IF(LOWER(TRIM($D219&amp;""))="estimate","N/A",IF(LOWER($L219&amp;"")="yes",0,IF(OR(AND($H219&lt;&gt;"",$H219=0),LEFT(LOWER(TRIM($F219&amp;"")),9)="free game",LOWER(TRIM($F219&amp;""))="free",LOWER(TRIM($F219&amp;""))="free entry"),IF(ISNUMBER($K219),$K219,""),IF($K219&lt;&gt;"",$K219,""))))))</ns0:f>
      </ns0:c>
      <ns0:c r="Q219" s="114">
        <ns0:f>IF(COUNTA($A219:$M219)=0,"",IF(OR($U219="Subscription",$U219=""),"",IF($U219="Estimate","N/A",IF($U219="Profit",ROUND(IFERROR($P219,0)-IFERROR($H219,0),2),0))))</ns0:f>
      </ns0:c>
      <ns0:c r="R219" s="114">
        <ns0:f>IF(COUNTA($A219:$M219)=0,"",IF(OR($U219="Subscription",$U219=""),"",IF($U219="Estimate","N/A",IF($U219="Draw",$H219,0))))</ns0:f>
      </ns0:c>
      <ns0:c r="S219" s="114">
        <ns0:f>IF(COUNTA($A219:$M219)=0,"",IF(OR($U219="Subscription",$U219=""),"",IF($U219="Estimate","N/A",IF($U219="Disqualified",$H219,0))))</ns0:f>
      </ns0:c>
      <ns0:c r="T219" s="955">
        <ns0:f>IF(COUNTA($A219:$M219)=0,"",IF(OR($U219="Subscription",$U219=""),"",IF($U219="Estimate","N/A",IF(OR($U219="Free Game",$U219="Disqualified — Free Game",$H219=0),"N/A",IF($U219="Profit",$Q219/$H219,IF($U219="Disqualified",-$S219/$H219,0))))))</ns0:f>
      </ns0:c>
      <ns0:c r="U219" s="920">
        <ns0:f>IF(COUNTA($A219:$M219)=0,"",IF(OR(LEFT(LOWER(TRIM($F219&amp;"")),12)="subscription",LOWER(TRIM($F219&amp;""))="membership"),"Subscription",IF(LOWER(TRIM($D219&amp;""))="estimate","Estimate",IF(OR(AND($H219&lt;&gt;"",$H219=0),LEFT(LOWER(TRIM($F219&amp;"")),9)="free game",LOWER(TRIM($F219&amp;""))="free",LOWER(TRIM($F219&amp;""))="free entry"),IF(LOWER($L219&amp;"")="yes","Disqualified — Free Game","Free Game"),IF(LOWER($L219&amp;"")="yes","Disqualified",IF($P219="","",IF(ROUND(IFERROR(VALUE($P219),0)-IFERROR(VALUE($H219),0),2)&gt;0,"Profit","Draw")))))))</ns0:f>
      </ns0:c>
      <ns0:c r="V219" s="956" t="str">
        <ns0:f>IF(COUNTA($A219:$M219)=0,"",IF(OR($B219="",$C219="",$U219="Subscription"),"",IFERROR(ROUNDUP(($C219-$B219)/7,0),"")))</ns0:f>
      </ns0:c>
      <ns0:c r="W219" s="114">
        <ns0:f>IF(COUNTA($A219:$M219)=0,"",IF(OR($U219="Subscription",$U219=""),"",IF($U219="Estimate","N/A",IF(OR($U219="Free Game",$U219="Disqualified — Free Game"),0,ROUND(IFERROR($Q219,0)-IFERROR($S219,0),2)))))</ns0:f>
      </ns0:c>
      <ns0:c r="X219" s="956" t="str">
        <ns0:f>IF(COUNTA($A219:$M219)=0,"",IF(OR($U219="Subscription",NOT(ISNUMBER($J219)),NOT(ISNUMBER($I219)),$J219=0,$I219=0,$I219&gt;$J219),"",$J219-$I219))</ns0:f>
      </ns0:c>
      <ns0:c r="Y219" s="955" t="str">
        <ns0:f>IF(COUNTA($A219:$M219)=0,"",IF(OR($U219="Subscription",NOT(ISNUMBER($J219)),$J219=0,$X219=""),"",$X219/$J219))</ns0:f>
      </ns0:c>
      <ns0:c r="Z219" s="957" t="str">
        <ns0:f>IF(COUNTA($A219:$M219)=0,"",Instructions!$B$29+SUM($W$5:W219))</ns0:f>
      </ns0:c>
    </ns0:row>
    <ns0:row r="220" ht="36" customHeight="1">
      <ns0:c r="A220" s="439"/>
      <ns0:c r="B220" s="453"/>
      <ns0:c r="C220" s="453"/>
      <ns0:c r="D220" s="454"/>
      <ns0:c r="E220" s="454"/>
      <ns0:c r="F220" s="454"/>
      <ns0:c r="G220" s="986"/>
      <ns0:c r="H220" s="455"/>
      <ns0:c r="I220" s="456"/>
      <ns0:c r="J220" s="456"/>
      <ns0:c r="K220" s="986"/>
      <ns0:c r="L220" s="454"/>
      <ns0:c r="M220" s="439"/>
      <ns0:c r="N220" s="987" t="str">
        <ns0:f>IF(COUNTA($A220:$M220)=0,"",IF(OR(LEFT(LOWER(TRIM($F220&amp;"")),12)="subscription",LOWER(TRIM($F220&amp;""))="membership"),"",IF(OR(AND($H220&lt;&gt;"",$H220=0),LEFT(LOWER(TRIM($F220&amp;"")),9)="free game",LOWER(TRIM($F220&amp;""))="free",LOWER(TRIM($F220&amp;""))="free entry"),IF(ISNUMBER($G220),IF(ISNUMBER(SEARCH("non",LOWER($E220&amp;""))),$G220*0.85,$G220),"N/A"),IF($G220="","",IFERROR(IF(ISNUMBER(SEARCH("non",LOWER($E220&amp;""))),$G220*0.85,$G220),"")))))</ns0:f>
        <ns0:v/>
      </ns0:c>
      <ns0:c r="O220" s="987" t="str">
        <ns0:f>IF(COUNTA($A220:$M220)=0,"",IF(OR(LEFT(LOWER(TRIM($F220&amp;"")),12)="subscription",LOWER(TRIM($F220&amp;""))="membership"),"",IF(OR(AND($H220&lt;&gt;"",$H220=0),LEFT(LOWER(TRIM($F220&amp;"")),9)="free game",LOWER(TRIM($F220&amp;""))="free",LOWER(TRIM($F220&amp;""))="free entry"),IF(OR(NOT(ISNUMBER($N220)),NOT(ISNUMBER($I220)),$I220=0),"N/A",IFERROR($N220/$I220,"N/A")),IF(OR($N220="",$I220="",$I220=0),"",IFERROR($N220/$I220,"")))))</ns0:f>
        <ns0:v/>
      </ns0:c>
      <ns0:c r="P220" s="987">
        <ns0:f>IF(COUNTA($A220:$M220)=0,"",IF(OR(LEFT(LOWER(TRIM($F220&amp;"")),12)="subscription",LOWER(TRIM($F220&amp;""))="membership"),"",IF(LOWER(TRIM($D220&amp;""))="estimate","N/A",IF(LOWER($L220&amp;"")="yes",0,IF(OR(AND($H220&lt;&gt;"",$H220=0),LEFT(LOWER(TRIM($F220&amp;"")),9)="free game",LOWER(TRIM($F220&amp;""))="free",LOWER(TRIM($F220&amp;""))="free entry"),IF(ISNUMBER($K220),$K220,""),IF($K220&lt;&gt;"",$K220,""))))))</ns0:f>
      </ns0:c>
      <ns0:c r="Q220" s="114">
        <ns0:f>IF(COUNTA($A220:$M220)=0,"",IF(OR($U220="Subscription",$U220=""),"",IF($U220="Estimate","N/A",IF($U220="Profit",ROUND(IFERROR($P220,0)-IFERROR($H220,0),2),0))))</ns0:f>
      </ns0:c>
      <ns0:c r="R220" s="114">
        <ns0:f>IF(COUNTA($A220:$M220)=0,"",IF(OR($U220="Subscription",$U220=""),"",IF($U220="Estimate","N/A",IF($U220="Draw",$H220,0))))</ns0:f>
      </ns0:c>
      <ns0:c r="S220" s="114">
        <ns0:f>IF(COUNTA($A220:$M220)=0,"",IF(OR($U220="Subscription",$U220=""),"",IF($U220="Estimate","N/A",IF($U220="Disqualified",$H220,0))))</ns0:f>
      </ns0:c>
      <ns0:c r="T220" s="955">
        <ns0:f>IF(COUNTA($A220:$M220)=0,"",IF(OR($U220="Subscription",$U220=""),"",IF($U220="Estimate","N/A",IF(OR($U220="Free Game",$U220="Disqualified — Free Game",$H220=0),"N/A",IF($U220="Profit",$Q220/$H220,IF($U220="Disqualified",-$S220/$H220,0))))))</ns0:f>
      </ns0:c>
      <ns0:c r="U220" s="920">
        <ns0:f>IF(COUNTA($A220:$M220)=0,"",IF(OR(LEFT(LOWER(TRIM($F220&amp;"")),12)="subscription",LOWER(TRIM($F220&amp;""))="membership"),"Subscription",IF(LOWER(TRIM($D220&amp;""))="estimate","Estimate",IF(OR(AND($H220&lt;&gt;"",$H220=0),LEFT(LOWER(TRIM($F220&amp;"")),9)="free game",LOWER(TRIM($F220&amp;""))="free",LOWER(TRIM($F220&amp;""))="free entry"),IF(LOWER($L220&amp;"")="yes","Disqualified — Free Game","Free Game"),IF(LOWER($L220&amp;"")="yes","Disqualified",IF($P220="","",IF(ROUND(IFERROR(VALUE($P220),0)-IFERROR(VALUE($H220),0),2)&gt;0,"Profit","Draw")))))))</ns0:f>
      </ns0:c>
      <ns0:c r="V220" s="956" t="str">
        <ns0:f>IF(COUNTA($A220:$M220)=0,"",IF(OR($B220="",$C220="",$U220="Subscription"),"",IFERROR(ROUNDUP(($C220-$B220)/7,0),"")))</ns0:f>
      </ns0:c>
      <ns0:c r="W220" s="114">
        <ns0:f>IF(COUNTA($A220:$M220)=0,"",IF(OR($U220="Subscription",$U220=""),"",IF($U220="Estimate","N/A",IF(OR($U220="Free Game",$U220="Disqualified — Free Game"),0,ROUND(IFERROR($Q220,0)-IFERROR($S220,0),2)))))</ns0:f>
      </ns0:c>
      <ns0:c r="X220" s="956" t="str">
        <ns0:f>IF(COUNTA($A220:$M220)=0,"",IF(OR($U220="Subscription",NOT(ISNUMBER($J220)),NOT(ISNUMBER($I220)),$J220=0,$I220=0,$I220&gt;$J220),"",$J220-$I220))</ns0:f>
      </ns0:c>
      <ns0:c r="Y220" s="955" t="str">
        <ns0:f>IF(COUNTA($A220:$M220)=0,"",IF(OR($U220="Subscription",NOT(ISNUMBER($J220)),$J220=0,$X220=""),"",$X220/$J220))</ns0:f>
      </ns0:c>
      <ns0:c r="Z220" s="957" t="str">
        <ns0:f>IF(COUNTA($A220:$M220)=0,"",Instructions!$B$29+SUM($W$5:W220))</ns0:f>
      </ns0:c>
    </ns0:row>
    <ns0:row r="221" ht="36" customHeight="1">
      <ns0:c r="A221" s="439"/>
      <ns0:c r="B221" s="453"/>
      <ns0:c r="C221" s="453"/>
      <ns0:c r="D221" s="454"/>
      <ns0:c r="E221" s="454"/>
      <ns0:c r="F221" s="454"/>
      <ns0:c r="G221" s="986"/>
      <ns0:c r="H221" s="455"/>
      <ns0:c r="I221" s="456"/>
      <ns0:c r="J221" s="456"/>
      <ns0:c r="K221" s="986"/>
      <ns0:c r="L221" s="454"/>
      <ns0:c r="M221" s="439"/>
      <ns0:c r="N221" s="987" t="str">
        <ns0:f>IF(COUNTA($A221:$M221)=0,"",IF(OR(LEFT(LOWER(TRIM($F221&amp;"")),12)="subscription",LOWER(TRIM($F221&amp;""))="membership"),"",IF(OR(AND($H221&lt;&gt;"",$H221=0),LEFT(LOWER(TRIM($F221&amp;"")),9)="free game",LOWER(TRIM($F221&amp;""))="free",LOWER(TRIM($F221&amp;""))="free entry"),IF(ISNUMBER($G221),IF(ISNUMBER(SEARCH("non",LOWER($E221&amp;""))),$G221*0.85,$G221),"N/A"),IF($G221="","",IFERROR(IF(ISNUMBER(SEARCH("non",LOWER($E221&amp;""))),$G221*0.85,$G221),"")))))</ns0:f>
        <ns0:v/>
      </ns0:c>
      <ns0:c r="O221" s="987" t="str">
        <ns0:f>IF(COUNTA($A221:$M221)=0,"",IF(OR(LEFT(LOWER(TRIM($F221&amp;"")),12)="subscription",LOWER(TRIM($F221&amp;""))="membership"),"",IF(OR(AND($H221&lt;&gt;"",$H221=0),LEFT(LOWER(TRIM($F221&amp;"")),9)="free game",LOWER(TRIM($F221&amp;""))="free",LOWER(TRIM($F221&amp;""))="free entry"),IF(OR(NOT(ISNUMBER($N221)),NOT(ISNUMBER($I221)),$I221=0),"N/A",IFERROR($N221/$I221,"N/A")),IF(OR($N221="",$I221="",$I221=0),"",IFERROR($N221/$I221,"")))))</ns0:f>
        <ns0:v/>
      </ns0:c>
      <ns0:c r="P221" s="987">
        <ns0:f>IF(COUNTA($A221:$M221)=0,"",IF(OR(LEFT(LOWER(TRIM($F221&amp;"")),12)="subscription",LOWER(TRIM($F221&amp;""))="membership"),"",IF(LOWER(TRIM($D221&amp;""))="estimate","N/A",IF(LOWER($L221&amp;"")="yes",0,IF(OR(AND($H221&lt;&gt;"",$H221=0),LEFT(LOWER(TRIM($F221&amp;"")),9)="free game",LOWER(TRIM($F221&amp;""))="free",LOWER(TRIM($F221&amp;""))="free entry"),IF(ISNUMBER($K221),$K221,""),IF($K221&lt;&gt;"",$K221,""))))))</ns0:f>
      </ns0:c>
      <ns0:c r="Q221" s="114">
        <ns0:f>IF(COUNTA($A221:$M221)=0,"",IF(OR($U221="Subscription",$U221=""),"",IF($U221="Estimate","N/A",IF($U221="Profit",ROUND(IFERROR($P221,0)-IFERROR($H221,0),2),0))))</ns0:f>
      </ns0:c>
      <ns0:c r="R221" s="114">
        <ns0:f>IF(COUNTA($A221:$M221)=0,"",IF(OR($U221="Subscription",$U221=""),"",IF($U221="Estimate","N/A",IF($U221="Draw",$H221,0))))</ns0:f>
      </ns0:c>
      <ns0:c r="S221" s="114">
        <ns0:f>IF(COUNTA($A221:$M221)=0,"",IF(OR($U221="Subscription",$U221=""),"",IF($U221="Estimate","N/A",IF($U221="Disqualified",$H221,0))))</ns0:f>
      </ns0:c>
      <ns0:c r="T221" s="955">
        <ns0:f>IF(COUNTA($A221:$M221)=0,"",IF(OR($U221="Subscription",$U221=""),"",IF($U221="Estimate","N/A",IF(OR($U221="Free Game",$U221="Disqualified — Free Game",$H221=0),"N/A",IF($U221="Profit",$Q221/$H221,IF($U221="Disqualified",-$S221/$H221,0))))))</ns0:f>
      </ns0:c>
      <ns0:c r="U221" s="920">
        <ns0:f>IF(COUNTA($A221:$M221)=0,"",IF(OR(LEFT(LOWER(TRIM($F221&amp;"")),12)="subscription",LOWER(TRIM($F221&amp;""))="membership"),"Subscription",IF(LOWER(TRIM($D221&amp;""))="estimate","Estimate",IF(OR(AND($H221&lt;&gt;"",$H221=0),LEFT(LOWER(TRIM($F221&amp;"")),9)="free game",LOWER(TRIM($F221&amp;""))="free",LOWER(TRIM($F221&amp;""))="free entry"),IF(LOWER($L221&amp;"")="yes","Disqualified — Free Game","Free Game"),IF(LOWER($L221&amp;"")="yes","Disqualified",IF($P221="","",IF(ROUND(IFERROR(VALUE($P221),0)-IFERROR(VALUE($H221),0),2)&gt;0,"Profit","Draw")))))))</ns0:f>
      </ns0:c>
      <ns0:c r="V221" s="956" t="str">
        <ns0:f>IF(COUNTA($A221:$M221)=0,"",IF(OR($B221="",$C221="",$U221="Subscription"),"",IFERROR(ROUNDUP(($C221-$B221)/7,0),"")))</ns0:f>
      </ns0:c>
      <ns0:c r="W221" s="114">
        <ns0:f>IF(COUNTA($A221:$M221)=0,"",IF(OR($U221="Subscription",$U221=""),"",IF($U221="Estimate","N/A",IF(OR($U221="Free Game",$U221="Disqualified — Free Game"),0,ROUND(IFERROR($Q221,0)-IFERROR($S221,0),2)))))</ns0:f>
      </ns0:c>
      <ns0:c r="X221" s="956" t="str">
        <ns0:f>IF(COUNTA($A221:$M221)=0,"",IF(OR($U221="Subscription",NOT(ISNUMBER($J221)),NOT(ISNUMBER($I221)),$J221=0,$I221=0,$I221&gt;$J221),"",$J221-$I221))</ns0:f>
      </ns0:c>
      <ns0:c r="Y221" s="955" t="str">
        <ns0:f>IF(COUNTA($A221:$M221)=0,"",IF(OR($U221="Subscription",NOT(ISNUMBER($J221)),$J221=0,$X221=""),"",$X221/$J221))</ns0:f>
      </ns0:c>
      <ns0:c r="Z221" s="957" t="str">
        <ns0:f>IF(COUNTA($A221:$M221)=0,"",Instructions!$B$29+SUM($W$5:W221))</ns0:f>
      </ns0:c>
    </ns0:row>
    <ns0:row r="222" ht="36" customHeight="1">
      <ns0:c r="A222" s="439"/>
      <ns0:c r="B222" s="453"/>
      <ns0:c r="C222" s="453"/>
      <ns0:c r="D222" s="454"/>
      <ns0:c r="E222" s="454"/>
      <ns0:c r="F222" s="454"/>
      <ns0:c r="G222" s="986"/>
      <ns0:c r="H222" s="455"/>
      <ns0:c r="I222" s="456"/>
      <ns0:c r="J222" s="456"/>
      <ns0:c r="K222" s="986"/>
      <ns0:c r="L222" s="454"/>
      <ns0:c r="M222" s="439"/>
      <ns0:c r="N222" s="987" t="str">
        <ns0:f>IF(COUNTA($A222:$M222)=0,"",IF(OR(LEFT(LOWER(TRIM($F222&amp;"")),12)="subscription",LOWER(TRIM($F222&amp;""))="membership"),"",IF(OR(AND($H222&lt;&gt;"",$H222=0),LEFT(LOWER(TRIM($F222&amp;"")),9)="free game",LOWER(TRIM($F222&amp;""))="free",LOWER(TRIM($F222&amp;""))="free entry"),IF(ISNUMBER($G222),IF(ISNUMBER(SEARCH("non",LOWER($E222&amp;""))),$G222*0.85,$G222),"N/A"),IF($G222="","",IFERROR(IF(ISNUMBER(SEARCH("non",LOWER($E222&amp;""))),$G222*0.85,$G222),"")))))</ns0:f>
        <ns0:v/>
      </ns0:c>
      <ns0:c r="O222" s="987" t="str">
        <ns0:f>IF(COUNTA($A222:$M222)=0,"",IF(OR(LEFT(LOWER(TRIM($F222&amp;"")),12)="subscription",LOWER(TRIM($F222&amp;""))="membership"),"",IF(OR(AND($H222&lt;&gt;"",$H222=0),LEFT(LOWER(TRIM($F222&amp;"")),9)="free game",LOWER(TRIM($F222&amp;""))="free",LOWER(TRIM($F222&amp;""))="free entry"),IF(OR(NOT(ISNUMBER($N222)),NOT(ISNUMBER($I222)),$I222=0),"N/A",IFERROR($N222/$I222,"N/A")),IF(OR($N222="",$I222="",$I222=0),"",IFERROR($N222/$I222,"")))))</ns0:f>
        <ns0:v/>
      </ns0:c>
      <ns0:c r="P222" s="987">
        <ns0:f>IF(COUNTA($A222:$M222)=0,"",IF(OR(LEFT(LOWER(TRIM($F222&amp;"")),12)="subscription",LOWER(TRIM($F222&amp;""))="membership"),"",IF(LOWER(TRIM($D222&amp;""))="estimate","N/A",IF(LOWER($L222&amp;"")="yes",0,IF(OR(AND($H222&lt;&gt;"",$H222=0),LEFT(LOWER(TRIM($F222&amp;"")),9)="free game",LOWER(TRIM($F222&amp;""))="free",LOWER(TRIM($F222&amp;""))="free entry"),IF(ISNUMBER($K222),$K222,""),IF($K222&lt;&gt;"",$K222,""))))))</ns0:f>
      </ns0:c>
      <ns0:c r="Q222" s="114">
        <ns0:f>IF(COUNTA($A222:$M222)=0,"",IF(OR($U222="Subscription",$U222=""),"",IF($U222="Estimate","N/A",IF($U222="Profit",ROUND(IFERROR($P222,0)-IFERROR($H222,0),2),0))))</ns0:f>
      </ns0:c>
      <ns0:c r="R222" s="114">
        <ns0:f>IF(COUNTA($A222:$M222)=0,"",IF(OR($U222="Subscription",$U222=""),"",IF($U222="Estimate","N/A",IF($U222="Draw",$H222,0))))</ns0:f>
      </ns0:c>
      <ns0:c r="S222" s="114">
        <ns0:f>IF(COUNTA($A222:$M222)=0,"",IF(OR($U222="Subscription",$U222=""),"",IF($U222="Estimate","N/A",IF($U222="Disqualified",$H222,0))))</ns0:f>
      </ns0:c>
      <ns0:c r="T222" s="955">
        <ns0:f>IF(COUNTA($A222:$M222)=0,"",IF(OR($U222="Subscription",$U222=""),"",IF($U222="Estimate","N/A",IF(OR($U222="Free Game",$U222="Disqualified — Free Game",$H222=0),"N/A",IF($U222="Profit",$Q222/$H222,IF($U222="Disqualified",-$S222/$H222,0))))))</ns0:f>
      </ns0:c>
      <ns0:c r="U222" s="920">
        <ns0:f>IF(COUNTA($A222:$M222)=0,"",IF(OR(LEFT(LOWER(TRIM($F222&amp;"")),12)="subscription",LOWER(TRIM($F222&amp;""))="membership"),"Subscription",IF(LOWER(TRIM($D222&amp;""))="estimate","Estimate",IF(OR(AND($H222&lt;&gt;"",$H222=0),LEFT(LOWER(TRIM($F222&amp;"")),9)="free game",LOWER(TRIM($F222&amp;""))="free",LOWER(TRIM($F222&amp;""))="free entry"),IF(LOWER($L222&amp;"")="yes","Disqualified — Free Game","Free Game"),IF(LOWER($L222&amp;"")="yes","Disqualified",IF($P222="","",IF(ROUND(IFERROR(VALUE($P222),0)-IFERROR(VALUE($H222),0),2)&gt;0,"Profit","Draw")))))))</ns0:f>
      </ns0:c>
      <ns0:c r="V222" s="956" t="str">
        <ns0:f>IF(COUNTA($A222:$M222)=0,"",IF(OR($B222="",$C222="",$U222="Subscription"),"",IFERROR(ROUNDUP(($C222-$B222)/7,0),"")))</ns0:f>
      </ns0:c>
      <ns0:c r="W222" s="114">
        <ns0:f>IF(COUNTA($A222:$M222)=0,"",IF(OR($U222="Subscription",$U222=""),"",IF($U222="Estimate","N/A",IF(OR($U222="Free Game",$U222="Disqualified — Free Game"),0,ROUND(IFERROR($Q222,0)-IFERROR($S222,0),2)))))</ns0:f>
      </ns0:c>
      <ns0:c r="X222" s="956" t="str">
        <ns0:f>IF(COUNTA($A222:$M222)=0,"",IF(OR($U222="Subscription",NOT(ISNUMBER($J222)),NOT(ISNUMBER($I222)),$J222=0,$I222=0,$I222&gt;$J222),"",$J222-$I222))</ns0:f>
      </ns0:c>
      <ns0:c r="Y222" s="955" t="str">
        <ns0:f>IF(COUNTA($A222:$M222)=0,"",IF(OR($U222="Subscription",NOT(ISNUMBER($J222)),$J222=0,$X222=""),"",$X222/$J222))</ns0:f>
      </ns0:c>
      <ns0:c r="Z222" s="957" t="str">
        <ns0:f>IF(COUNTA($A222:$M222)=0,"",Instructions!$B$29+SUM($W$5:W222))</ns0:f>
      </ns0:c>
    </ns0:row>
    <ns0:row r="223" ht="36" customHeight="1">
      <ns0:c r="A223" s="439"/>
      <ns0:c r="B223" s="453"/>
      <ns0:c r="C223" s="453"/>
      <ns0:c r="D223" s="454"/>
      <ns0:c r="E223" s="454"/>
      <ns0:c r="F223" s="454"/>
      <ns0:c r="G223" s="986"/>
      <ns0:c r="H223" s="455"/>
      <ns0:c r="I223" s="456"/>
      <ns0:c r="J223" s="456"/>
      <ns0:c r="K223" s="986"/>
      <ns0:c r="L223" s="454"/>
      <ns0:c r="M223" s="439"/>
      <ns0:c r="N223" s="987" t="str">
        <ns0:f>IF(COUNTA($A223:$M223)=0,"",IF(OR(LEFT(LOWER(TRIM($F223&amp;"")),12)="subscription",LOWER(TRIM($F223&amp;""))="membership"),"",IF(OR(AND($H223&lt;&gt;"",$H223=0),LEFT(LOWER(TRIM($F223&amp;"")),9)="free game",LOWER(TRIM($F223&amp;""))="free",LOWER(TRIM($F223&amp;""))="free entry"),IF(ISNUMBER($G223),IF(ISNUMBER(SEARCH("non",LOWER($E223&amp;""))),$G223*0.85,$G223),"N/A"),IF($G223="","",IFERROR(IF(ISNUMBER(SEARCH("non",LOWER($E223&amp;""))),$G223*0.85,$G223),"")))))</ns0:f>
        <ns0:v/>
      </ns0:c>
      <ns0:c r="O223" s="987" t="str">
        <ns0:f>IF(COUNTA($A223:$M223)=0,"",IF(OR(LEFT(LOWER(TRIM($F223&amp;"")),12)="subscription",LOWER(TRIM($F223&amp;""))="membership"),"",IF(OR(AND($H223&lt;&gt;"",$H223=0),LEFT(LOWER(TRIM($F223&amp;"")),9)="free game",LOWER(TRIM($F223&amp;""))="free",LOWER(TRIM($F223&amp;""))="free entry"),IF(OR(NOT(ISNUMBER($N223)),NOT(ISNUMBER($I223)),$I223=0),"N/A",IFERROR($N223/$I223,"N/A")),IF(OR($N223="",$I223="",$I223=0),"",IFERROR($N223/$I223,"")))))</ns0:f>
        <ns0:v/>
      </ns0:c>
      <ns0:c r="P223" s="987">
        <ns0:f>IF(COUNTA($A223:$M223)=0,"",IF(OR(LEFT(LOWER(TRIM($F223&amp;"")),12)="subscription",LOWER(TRIM($F223&amp;""))="membership"),"",IF(LOWER(TRIM($D223&amp;""))="estimate","N/A",IF(LOWER($L223&amp;"")="yes",0,IF(OR(AND($H223&lt;&gt;"",$H223=0),LEFT(LOWER(TRIM($F223&amp;"")),9)="free game",LOWER(TRIM($F223&amp;""))="free",LOWER(TRIM($F223&amp;""))="free entry"),IF(ISNUMBER($K223),$K223,""),IF($K223&lt;&gt;"",$K223,""))))))</ns0:f>
      </ns0:c>
      <ns0:c r="Q223" s="114">
        <ns0:f>IF(COUNTA($A223:$M223)=0,"",IF(OR($U223="Subscription",$U223=""),"",IF($U223="Estimate","N/A",IF($U223="Profit",ROUND(IFERROR($P223,0)-IFERROR($H223,0),2),0))))</ns0:f>
      </ns0:c>
      <ns0:c r="R223" s="114">
        <ns0:f>IF(COUNTA($A223:$M223)=0,"",IF(OR($U223="Subscription",$U223=""),"",IF($U223="Estimate","N/A",IF($U223="Draw",$H223,0))))</ns0:f>
      </ns0:c>
      <ns0:c r="S223" s="114">
        <ns0:f>IF(COUNTA($A223:$M223)=0,"",IF(OR($U223="Subscription",$U223=""),"",IF($U223="Estimate","N/A",IF($U223="Disqualified",$H223,0))))</ns0:f>
      </ns0:c>
      <ns0:c r="T223" s="955">
        <ns0:f>IF(COUNTA($A223:$M223)=0,"",IF(OR($U223="Subscription",$U223=""),"",IF($U223="Estimate","N/A",IF(OR($U223="Free Game",$U223="Disqualified — Free Game",$H223=0),"N/A",IF($U223="Profit",$Q223/$H223,IF($U223="Disqualified",-$S223/$H223,0))))))</ns0:f>
      </ns0:c>
      <ns0:c r="U223" s="920">
        <ns0:f>IF(COUNTA($A223:$M223)=0,"",IF(OR(LEFT(LOWER(TRIM($F223&amp;"")),12)="subscription",LOWER(TRIM($F223&amp;""))="membership"),"Subscription",IF(LOWER(TRIM($D223&amp;""))="estimate","Estimate",IF(OR(AND($H223&lt;&gt;"",$H223=0),LEFT(LOWER(TRIM($F223&amp;"")),9)="free game",LOWER(TRIM($F223&amp;""))="free",LOWER(TRIM($F223&amp;""))="free entry"),IF(LOWER($L223&amp;"")="yes","Disqualified — Free Game","Free Game"),IF(LOWER($L223&amp;"")="yes","Disqualified",IF($P223="","",IF(ROUND(IFERROR(VALUE($P223),0)-IFERROR(VALUE($H223),0),2)&gt;0,"Profit","Draw")))))))</ns0:f>
      </ns0:c>
      <ns0:c r="V223" s="956" t="str">
        <ns0:f>IF(COUNTA($A223:$M223)=0,"",IF(OR($B223="",$C223="",$U223="Subscription"),"",IFERROR(ROUNDUP(($C223-$B223)/7,0),"")))</ns0:f>
      </ns0:c>
      <ns0:c r="W223" s="114">
        <ns0:f>IF(COUNTA($A223:$M223)=0,"",IF(OR($U223="Subscription",$U223=""),"",IF($U223="Estimate","N/A",IF(OR($U223="Free Game",$U223="Disqualified — Free Game"),0,ROUND(IFERROR($Q223,0)-IFERROR($S223,0),2)))))</ns0:f>
      </ns0:c>
      <ns0:c r="X223" s="956" t="str">
        <ns0:f>IF(COUNTA($A223:$M223)=0,"",IF(OR($U223="Subscription",NOT(ISNUMBER($J223)),NOT(ISNUMBER($I223)),$J223=0,$I223=0,$I223&gt;$J223),"",$J223-$I223))</ns0:f>
      </ns0:c>
      <ns0:c r="Y223" s="955" t="str">
        <ns0:f>IF(COUNTA($A223:$M223)=0,"",IF(OR($U223="Subscription",NOT(ISNUMBER($J223)),$J223=0,$X223=""),"",$X223/$J223))</ns0:f>
      </ns0:c>
      <ns0:c r="Z223" s="957" t="str">
        <ns0:f>IF(COUNTA($A223:$M223)=0,"",Instructions!$B$29+SUM($W$5:W223))</ns0:f>
      </ns0:c>
    </ns0:row>
    <ns0:row r="224" ht="36" customHeight="1">
      <ns0:c r="A224" s="439"/>
      <ns0:c r="B224" s="453"/>
      <ns0:c r="C224" s="453"/>
      <ns0:c r="D224" s="454"/>
      <ns0:c r="E224" s="454"/>
      <ns0:c r="F224" s="454"/>
      <ns0:c r="G224" s="986"/>
      <ns0:c r="H224" s="455"/>
      <ns0:c r="I224" s="456"/>
      <ns0:c r="J224" s="456"/>
      <ns0:c r="K224" s="986"/>
      <ns0:c r="L224" s="454"/>
      <ns0:c r="M224" s="439"/>
      <ns0:c r="N224" s="987" t="str">
        <ns0:f>IF(COUNTA($A224:$M224)=0,"",IF(OR(LEFT(LOWER(TRIM($F224&amp;"")),12)="subscription",LOWER(TRIM($F224&amp;""))="membership"),"",IF(OR(AND($H224&lt;&gt;"",$H224=0),LEFT(LOWER(TRIM($F224&amp;"")),9)="free game",LOWER(TRIM($F224&amp;""))="free",LOWER(TRIM($F224&amp;""))="free entry"),IF(ISNUMBER($G224),IF(ISNUMBER(SEARCH("non",LOWER($E224&amp;""))),$G224*0.85,$G224),"N/A"),IF($G224="","",IFERROR(IF(ISNUMBER(SEARCH("non",LOWER($E224&amp;""))),$G224*0.85,$G224),"")))))</ns0:f>
        <ns0:v/>
      </ns0:c>
      <ns0:c r="O224" s="987" t="str">
        <ns0:f>IF(COUNTA($A224:$M224)=0,"",IF(OR(LEFT(LOWER(TRIM($F224&amp;"")),12)="subscription",LOWER(TRIM($F224&amp;""))="membership"),"",IF(OR(AND($H224&lt;&gt;"",$H224=0),LEFT(LOWER(TRIM($F224&amp;"")),9)="free game",LOWER(TRIM($F224&amp;""))="free",LOWER(TRIM($F224&amp;""))="free entry"),IF(OR(NOT(ISNUMBER($N224)),NOT(ISNUMBER($I224)),$I224=0),"N/A",IFERROR($N224/$I224,"N/A")),IF(OR($N224="",$I224="",$I224=0),"",IFERROR($N224/$I224,"")))))</ns0:f>
        <ns0:v/>
      </ns0:c>
      <ns0:c r="P224" s="987">
        <ns0:f>IF(COUNTA($A224:$M224)=0,"",IF(OR(LEFT(LOWER(TRIM($F224&amp;"")),12)="subscription",LOWER(TRIM($F224&amp;""))="membership"),"",IF(LOWER(TRIM($D224&amp;""))="estimate","N/A",IF(LOWER($L224&amp;"")="yes",0,IF(OR(AND($H224&lt;&gt;"",$H224=0),LEFT(LOWER(TRIM($F224&amp;"")),9)="free game",LOWER(TRIM($F224&amp;""))="free",LOWER(TRIM($F224&amp;""))="free entry"),IF(ISNUMBER($K224),$K224,""),IF($K224&lt;&gt;"",$K224,""))))))</ns0:f>
      </ns0:c>
      <ns0:c r="Q224" s="114">
        <ns0:f>IF(COUNTA($A224:$M224)=0,"",IF(OR($U224="Subscription",$U224=""),"",IF($U224="Estimate","N/A",IF($U224="Profit",ROUND(IFERROR($P224,0)-IFERROR($H224,0),2),0))))</ns0:f>
      </ns0:c>
      <ns0:c r="R224" s="114">
        <ns0:f>IF(COUNTA($A224:$M224)=0,"",IF(OR($U224="Subscription",$U224=""),"",IF($U224="Estimate","N/A",IF($U224="Draw",$H224,0))))</ns0:f>
      </ns0:c>
      <ns0:c r="S224" s="114">
        <ns0:f>IF(COUNTA($A224:$M224)=0,"",IF(OR($U224="Subscription",$U224=""),"",IF($U224="Estimate","N/A",IF($U224="Disqualified",$H224,0))))</ns0:f>
      </ns0:c>
      <ns0:c r="T224" s="955">
        <ns0:f>IF(COUNTA($A224:$M224)=0,"",IF(OR($U224="Subscription",$U224=""),"",IF($U224="Estimate","N/A",IF(OR($U224="Free Game",$U224="Disqualified — Free Game",$H224=0),"N/A",IF($U224="Profit",$Q224/$H224,IF($U224="Disqualified",-$S224/$H224,0))))))</ns0:f>
      </ns0:c>
      <ns0:c r="U224" s="920">
        <ns0:f>IF(COUNTA($A224:$M224)=0,"",IF(OR(LEFT(LOWER(TRIM($F224&amp;"")),12)="subscription",LOWER(TRIM($F224&amp;""))="membership"),"Subscription",IF(LOWER(TRIM($D224&amp;""))="estimate","Estimate",IF(OR(AND($H224&lt;&gt;"",$H224=0),LEFT(LOWER(TRIM($F224&amp;"")),9)="free game",LOWER(TRIM($F224&amp;""))="free",LOWER(TRIM($F224&amp;""))="free entry"),IF(LOWER($L224&amp;"")="yes","Disqualified — Free Game","Free Game"),IF(LOWER($L224&amp;"")="yes","Disqualified",IF($P224="","",IF(ROUND(IFERROR(VALUE($P224),0)-IFERROR(VALUE($H224),0),2)&gt;0,"Profit","Draw")))))))</ns0:f>
      </ns0:c>
      <ns0:c r="V224" s="956" t="str">
        <ns0:f>IF(COUNTA($A224:$M224)=0,"",IF(OR($B224="",$C224="",$U224="Subscription"),"",IFERROR(ROUNDUP(($C224-$B224)/7,0),"")))</ns0:f>
      </ns0:c>
      <ns0:c r="W224" s="114">
        <ns0:f>IF(COUNTA($A224:$M224)=0,"",IF(OR($U224="Subscription",$U224=""),"",IF($U224="Estimate","N/A",IF(OR($U224="Free Game",$U224="Disqualified — Free Game"),0,ROUND(IFERROR($Q224,0)-IFERROR($S224,0),2)))))</ns0:f>
      </ns0:c>
      <ns0:c r="X224" s="956" t="str">
        <ns0:f>IF(COUNTA($A224:$M224)=0,"",IF(OR($U224="Subscription",NOT(ISNUMBER($J224)),NOT(ISNUMBER($I224)),$J224=0,$I224=0,$I224&gt;$J224),"",$J224-$I224))</ns0:f>
      </ns0:c>
      <ns0:c r="Y224" s="955" t="str">
        <ns0:f>IF(COUNTA($A224:$M224)=0,"",IF(OR($U224="Subscription",NOT(ISNUMBER($J224)),$J224=0,$X224=""),"",$X224/$J224))</ns0:f>
      </ns0:c>
      <ns0:c r="Z224" s="957" t="str">
        <ns0:f>IF(COUNTA($A224:$M224)=0,"",Instructions!$B$29+SUM($W$5:W224))</ns0:f>
      </ns0:c>
    </ns0:row>
    <ns0:row r="225" ht="36" customHeight="1">
      <ns0:c r="A225" s="439"/>
      <ns0:c r="B225" s="453"/>
      <ns0:c r="C225" s="453"/>
      <ns0:c r="D225" s="454"/>
      <ns0:c r="E225" s="454"/>
      <ns0:c r="F225" s="454"/>
      <ns0:c r="G225" s="986"/>
      <ns0:c r="H225" s="455"/>
      <ns0:c r="I225" s="456"/>
      <ns0:c r="J225" s="456"/>
      <ns0:c r="K225" s="986"/>
      <ns0:c r="L225" s="454"/>
      <ns0:c r="M225" s="439"/>
      <ns0:c r="N225" s="987" t="str">
        <ns0:f>IF(COUNTA($A225:$M225)=0,"",IF(OR(LEFT(LOWER(TRIM($F225&amp;"")),12)="subscription",LOWER(TRIM($F225&amp;""))="membership"),"",IF(OR(AND($H225&lt;&gt;"",$H225=0),LEFT(LOWER(TRIM($F225&amp;"")),9)="free game",LOWER(TRIM($F225&amp;""))="free",LOWER(TRIM($F225&amp;""))="free entry"),IF(ISNUMBER($G225),IF(ISNUMBER(SEARCH("non",LOWER($E225&amp;""))),$G225*0.85,$G225),"N/A"),IF($G225="","",IFERROR(IF(ISNUMBER(SEARCH("non",LOWER($E225&amp;""))),$G225*0.85,$G225),"")))))</ns0:f>
        <ns0:v/>
      </ns0:c>
      <ns0:c r="O225" s="987" t="str">
        <ns0:f>IF(COUNTA($A225:$M225)=0,"",IF(OR(LEFT(LOWER(TRIM($F225&amp;"")),12)="subscription",LOWER(TRIM($F225&amp;""))="membership"),"",IF(OR(AND($H225&lt;&gt;"",$H225=0),LEFT(LOWER(TRIM($F225&amp;"")),9)="free game",LOWER(TRIM($F225&amp;""))="free",LOWER(TRIM($F225&amp;""))="free entry"),IF(OR(NOT(ISNUMBER($N225)),NOT(ISNUMBER($I225)),$I225=0),"N/A",IFERROR($N225/$I225,"N/A")),IF(OR($N225="",$I225="",$I225=0),"",IFERROR($N225/$I225,"")))))</ns0:f>
        <ns0:v/>
      </ns0:c>
      <ns0:c r="P225" s="987">
        <ns0:f>IF(COUNTA($A225:$M225)=0,"",IF(OR(LEFT(LOWER(TRIM($F225&amp;"")),12)="subscription",LOWER(TRIM($F225&amp;""))="membership"),"",IF(LOWER(TRIM($D225&amp;""))="estimate","N/A",IF(LOWER($L225&amp;"")="yes",0,IF(OR(AND($H225&lt;&gt;"",$H225=0),LEFT(LOWER(TRIM($F225&amp;"")),9)="free game",LOWER(TRIM($F225&amp;""))="free",LOWER(TRIM($F225&amp;""))="free entry"),IF(ISNUMBER($K225),$K225,""),IF($K225&lt;&gt;"",$K225,""))))))</ns0:f>
      </ns0:c>
      <ns0:c r="Q225" s="114">
        <ns0:f>IF(COUNTA($A225:$M225)=0,"",IF(OR($U225="Subscription",$U225=""),"",IF($U225="Estimate","N/A",IF($U225="Profit",ROUND(IFERROR($P225,0)-IFERROR($H225,0),2),0))))</ns0:f>
      </ns0:c>
      <ns0:c r="R225" s="114">
        <ns0:f>IF(COUNTA($A225:$M225)=0,"",IF(OR($U225="Subscription",$U225=""),"",IF($U225="Estimate","N/A",IF($U225="Draw",$H225,0))))</ns0:f>
      </ns0:c>
      <ns0:c r="S225" s="114">
        <ns0:f>IF(COUNTA($A225:$M225)=0,"",IF(OR($U225="Subscription",$U225=""),"",IF($U225="Estimate","N/A",IF($U225="Disqualified",$H225,0))))</ns0:f>
      </ns0:c>
      <ns0:c r="T225" s="955">
        <ns0:f>IF(COUNTA($A225:$M225)=0,"",IF(OR($U225="Subscription",$U225=""),"",IF($U225="Estimate","N/A",IF(OR($U225="Free Game",$U225="Disqualified — Free Game",$H225=0),"N/A",IF($U225="Profit",$Q225/$H225,IF($U225="Disqualified",-$S225/$H225,0))))))</ns0:f>
      </ns0:c>
      <ns0:c r="U225" s="920">
        <ns0:f>IF(COUNTA($A225:$M225)=0,"",IF(OR(LEFT(LOWER(TRIM($F225&amp;"")),12)="subscription",LOWER(TRIM($F225&amp;""))="membership"),"Subscription",IF(LOWER(TRIM($D225&amp;""))="estimate","Estimate",IF(OR(AND($H225&lt;&gt;"",$H225=0),LEFT(LOWER(TRIM($F225&amp;"")),9)="free game",LOWER(TRIM($F225&amp;""))="free",LOWER(TRIM($F225&amp;""))="free entry"),IF(LOWER($L225&amp;"")="yes","Disqualified — Free Game","Free Game"),IF(LOWER($L225&amp;"")="yes","Disqualified",IF($P225="","",IF(ROUND(IFERROR(VALUE($P225),0)-IFERROR(VALUE($H225),0),2)&gt;0,"Profit","Draw")))))))</ns0:f>
      </ns0:c>
      <ns0:c r="V225" s="956" t="str">
        <ns0:f>IF(COUNTA($A225:$M225)=0,"",IF(OR($B225="",$C225="",$U225="Subscription"),"",IFERROR(ROUNDUP(($C225-$B225)/7,0),"")))</ns0:f>
      </ns0:c>
      <ns0:c r="W225" s="114">
        <ns0:f>IF(COUNTA($A225:$M225)=0,"",IF(OR($U225="Subscription",$U225=""),"",IF($U225="Estimate","N/A",IF(OR($U225="Free Game",$U225="Disqualified — Free Game"),0,ROUND(IFERROR($Q225,0)-IFERROR($S225,0),2)))))</ns0:f>
      </ns0:c>
      <ns0:c r="X225" s="956" t="str">
        <ns0:f>IF(COUNTA($A225:$M225)=0,"",IF(OR($U225="Subscription",NOT(ISNUMBER($J225)),NOT(ISNUMBER($I225)),$J225=0,$I225=0,$I225&gt;$J225),"",$J225-$I225))</ns0:f>
      </ns0:c>
      <ns0:c r="Y225" s="955" t="str">
        <ns0:f>IF(COUNTA($A225:$M225)=0,"",IF(OR($U225="Subscription",NOT(ISNUMBER($J225)),$J225=0,$X225=""),"",$X225/$J225))</ns0:f>
      </ns0:c>
      <ns0:c r="Z225" s="957" t="str">
        <ns0:f>IF(COUNTA($A225:$M225)=0,"",Instructions!$B$29+SUM($W$5:W225))</ns0:f>
      </ns0:c>
    </ns0:row>
    <ns0:row r="226" ht="36" customHeight="1">
      <ns0:c r="A226" s="439"/>
      <ns0:c r="B226" s="453"/>
      <ns0:c r="C226" s="453"/>
      <ns0:c r="D226" s="454"/>
      <ns0:c r="E226" s="454"/>
      <ns0:c r="F226" s="454"/>
      <ns0:c r="G226" s="986"/>
      <ns0:c r="H226" s="455"/>
      <ns0:c r="I226" s="456"/>
      <ns0:c r="J226" s="456"/>
      <ns0:c r="K226" s="986"/>
      <ns0:c r="L226" s="454"/>
      <ns0:c r="M226" s="439"/>
      <ns0:c r="N226" s="987" t="str">
        <ns0:f>IF(COUNTA($A226:$M226)=0,"",IF(OR(LEFT(LOWER(TRIM($F226&amp;"")),12)="subscription",LOWER(TRIM($F226&amp;""))="membership"),"",IF(OR(AND($H226&lt;&gt;"",$H226=0),LEFT(LOWER(TRIM($F226&amp;"")),9)="free game",LOWER(TRIM($F226&amp;""))="free",LOWER(TRIM($F226&amp;""))="free entry"),IF(ISNUMBER($G226),IF(ISNUMBER(SEARCH("non",LOWER($E226&amp;""))),$G226*0.85,$G226),"N/A"),IF($G226="","",IFERROR(IF(ISNUMBER(SEARCH("non",LOWER($E226&amp;""))),$G226*0.85,$G226),"")))))</ns0:f>
        <ns0:v/>
      </ns0:c>
      <ns0:c r="O226" s="987" t="str">
        <ns0:f>IF(COUNTA($A226:$M226)=0,"",IF(OR(LEFT(LOWER(TRIM($F226&amp;"")),12)="subscription",LOWER(TRIM($F226&amp;""))="membership"),"",IF(OR(AND($H226&lt;&gt;"",$H226=0),LEFT(LOWER(TRIM($F226&amp;"")),9)="free game",LOWER(TRIM($F226&amp;""))="free",LOWER(TRIM($F226&amp;""))="free entry"),IF(OR(NOT(ISNUMBER($N226)),NOT(ISNUMBER($I226)),$I226=0),"N/A",IFERROR($N226/$I226,"N/A")),IF(OR($N226="",$I226="",$I226=0),"",IFERROR($N226/$I226,"")))))</ns0:f>
        <ns0:v/>
      </ns0:c>
      <ns0:c r="P226" s="987">
        <ns0:f>IF(COUNTA($A226:$M226)=0,"",IF(OR(LEFT(LOWER(TRIM($F226&amp;"")),12)="subscription",LOWER(TRIM($F226&amp;""))="membership"),"",IF(LOWER(TRIM($D226&amp;""))="estimate","N/A",IF(LOWER($L226&amp;"")="yes",0,IF(OR(AND($H226&lt;&gt;"",$H226=0),LEFT(LOWER(TRIM($F226&amp;"")),9)="free game",LOWER(TRIM($F226&amp;""))="free",LOWER(TRIM($F226&amp;""))="free entry"),IF(ISNUMBER($K226),$K226,""),IF($K226&lt;&gt;"",$K226,""))))))</ns0:f>
      </ns0:c>
      <ns0:c r="Q226" s="114">
        <ns0:f>IF(COUNTA($A226:$M226)=0,"",IF(OR($U226="Subscription",$U226=""),"",IF($U226="Estimate","N/A",IF($U226="Profit",ROUND(IFERROR($P226,0)-IFERROR($H226,0),2),0))))</ns0:f>
      </ns0:c>
      <ns0:c r="R226" s="114">
        <ns0:f>IF(COUNTA($A226:$M226)=0,"",IF(OR($U226="Subscription",$U226=""),"",IF($U226="Estimate","N/A",IF($U226="Draw",$H226,0))))</ns0:f>
      </ns0:c>
      <ns0:c r="S226" s="114">
        <ns0:f>IF(COUNTA($A226:$M226)=0,"",IF(OR($U226="Subscription",$U226=""),"",IF($U226="Estimate","N/A",IF($U226="Disqualified",$H226,0))))</ns0:f>
      </ns0:c>
      <ns0:c r="T226" s="955">
        <ns0:f>IF(COUNTA($A226:$M226)=0,"",IF(OR($U226="Subscription",$U226=""),"",IF($U226="Estimate","N/A",IF(OR($U226="Free Game",$U226="Disqualified — Free Game",$H226=0),"N/A",IF($U226="Profit",$Q226/$H226,IF($U226="Disqualified",-$S226/$H226,0))))))</ns0:f>
      </ns0:c>
      <ns0:c r="U226" s="920">
        <ns0:f>IF(COUNTA($A226:$M226)=0,"",IF(OR(LEFT(LOWER(TRIM($F226&amp;"")),12)="subscription",LOWER(TRIM($F226&amp;""))="membership"),"Subscription",IF(LOWER(TRIM($D226&amp;""))="estimate","Estimate",IF(OR(AND($H226&lt;&gt;"",$H226=0),LEFT(LOWER(TRIM($F226&amp;"")),9)="free game",LOWER(TRIM($F226&amp;""))="free",LOWER(TRIM($F226&amp;""))="free entry"),IF(LOWER($L226&amp;"")="yes","Disqualified — Free Game","Free Game"),IF(LOWER($L226&amp;"")="yes","Disqualified",IF($P226="","",IF(ROUND(IFERROR(VALUE($P226),0)-IFERROR(VALUE($H226),0),2)&gt;0,"Profit","Draw")))))))</ns0:f>
      </ns0:c>
      <ns0:c r="V226" s="956" t="str">
        <ns0:f>IF(COUNTA($A226:$M226)=0,"",IF(OR($B226="",$C226="",$U226="Subscription"),"",IFERROR(ROUNDUP(($C226-$B226)/7,0),"")))</ns0:f>
      </ns0:c>
      <ns0:c r="W226" s="114">
        <ns0:f>IF(COUNTA($A226:$M226)=0,"",IF(OR($U226="Subscription",$U226=""),"",IF($U226="Estimate","N/A",IF(OR($U226="Free Game",$U226="Disqualified — Free Game"),0,ROUND(IFERROR($Q226,0)-IFERROR($S226,0),2)))))</ns0:f>
      </ns0:c>
      <ns0:c r="X226" s="956" t="str">
        <ns0:f>IF(COUNTA($A226:$M226)=0,"",IF(OR($U226="Subscription",NOT(ISNUMBER($J226)),NOT(ISNUMBER($I226)),$J226=0,$I226=0,$I226&gt;$J226),"",$J226-$I226))</ns0:f>
      </ns0:c>
      <ns0:c r="Y226" s="955" t="str">
        <ns0:f>IF(COUNTA($A226:$M226)=0,"",IF(OR($U226="Subscription",NOT(ISNUMBER($J226)),$J226=0,$X226=""),"",$X226/$J226))</ns0:f>
      </ns0:c>
      <ns0:c r="Z226" s="957" t="str">
        <ns0:f>IF(COUNTA($A226:$M226)=0,"",Instructions!$B$29+SUM($W$5:W226))</ns0:f>
      </ns0:c>
    </ns0:row>
    <ns0:row r="227" ht="36" customHeight="1">
      <ns0:c r="A227" s="439"/>
      <ns0:c r="B227" s="453"/>
      <ns0:c r="C227" s="453"/>
      <ns0:c r="D227" s="454"/>
      <ns0:c r="E227" s="454"/>
      <ns0:c r="F227" s="454"/>
      <ns0:c r="G227" s="986"/>
      <ns0:c r="H227" s="455"/>
      <ns0:c r="I227" s="456"/>
      <ns0:c r="J227" s="456"/>
      <ns0:c r="K227" s="986"/>
      <ns0:c r="L227" s="454"/>
      <ns0:c r="M227" s="439"/>
      <ns0:c r="N227" s="987" t="str">
        <ns0:f>IF(COUNTA($A227:$M227)=0,"",IF(OR(LEFT(LOWER(TRIM($F227&amp;"")),12)="subscription",LOWER(TRIM($F227&amp;""))="membership"),"",IF(OR(AND($H227&lt;&gt;"",$H227=0),LEFT(LOWER(TRIM($F227&amp;"")),9)="free game",LOWER(TRIM($F227&amp;""))="free",LOWER(TRIM($F227&amp;""))="free entry"),IF(ISNUMBER($G227),IF(ISNUMBER(SEARCH("non",LOWER($E227&amp;""))),$G227*0.85,$G227),"N/A"),IF($G227="","",IFERROR(IF(ISNUMBER(SEARCH("non",LOWER($E227&amp;""))),$G227*0.85,$G227),"")))))</ns0:f>
        <ns0:v/>
      </ns0:c>
      <ns0:c r="O227" s="987" t="str">
        <ns0:f>IF(COUNTA($A227:$M227)=0,"",IF(OR(LEFT(LOWER(TRIM($F227&amp;"")),12)="subscription",LOWER(TRIM($F227&amp;""))="membership"),"",IF(OR(AND($H227&lt;&gt;"",$H227=0),LEFT(LOWER(TRIM($F227&amp;"")),9)="free game",LOWER(TRIM($F227&amp;""))="free",LOWER(TRIM($F227&amp;""))="free entry"),IF(OR(NOT(ISNUMBER($N227)),NOT(ISNUMBER($I227)),$I227=0),"N/A",IFERROR($N227/$I227,"N/A")),IF(OR($N227="",$I227="",$I227=0),"",IFERROR($N227/$I227,"")))))</ns0:f>
        <ns0:v/>
      </ns0:c>
      <ns0:c r="P227" s="987">
        <ns0:f>IF(COUNTA($A227:$M227)=0,"",IF(OR(LEFT(LOWER(TRIM($F227&amp;"")),12)="subscription",LOWER(TRIM($F227&amp;""))="membership"),"",IF(LOWER(TRIM($D227&amp;""))="estimate","N/A",IF(LOWER($L227&amp;"")="yes",0,IF(OR(AND($H227&lt;&gt;"",$H227=0),LEFT(LOWER(TRIM($F227&amp;"")),9)="free game",LOWER(TRIM($F227&amp;""))="free",LOWER(TRIM($F227&amp;""))="free entry"),IF(ISNUMBER($K227),$K227,""),IF($K227&lt;&gt;"",$K227,""))))))</ns0:f>
      </ns0:c>
      <ns0:c r="Q227" s="114">
        <ns0:f>IF(COUNTA($A227:$M227)=0,"",IF(OR($U227="Subscription",$U227=""),"",IF($U227="Estimate","N/A",IF($U227="Profit",ROUND(IFERROR($P227,0)-IFERROR($H227,0),2),0))))</ns0:f>
      </ns0:c>
      <ns0:c r="R227" s="114">
        <ns0:f>IF(COUNTA($A227:$M227)=0,"",IF(OR($U227="Subscription",$U227=""),"",IF($U227="Estimate","N/A",IF($U227="Draw",$H227,0))))</ns0:f>
      </ns0:c>
      <ns0:c r="S227" s="114">
        <ns0:f>IF(COUNTA($A227:$M227)=0,"",IF(OR($U227="Subscription",$U227=""),"",IF($U227="Estimate","N/A",IF($U227="Disqualified",$H227,0))))</ns0:f>
      </ns0:c>
      <ns0:c r="T227" s="955">
        <ns0:f>IF(COUNTA($A227:$M227)=0,"",IF(OR($U227="Subscription",$U227=""),"",IF($U227="Estimate","N/A",IF(OR($U227="Free Game",$U227="Disqualified — Free Game",$H227=0),"N/A",IF($U227="Profit",$Q227/$H227,IF($U227="Disqualified",-$S227/$H227,0))))))</ns0:f>
      </ns0:c>
      <ns0:c r="U227" s="920">
        <ns0:f>IF(COUNTA($A227:$M227)=0,"",IF(OR(LEFT(LOWER(TRIM($F227&amp;"")),12)="subscription",LOWER(TRIM($F227&amp;""))="membership"),"Subscription",IF(LOWER(TRIM($D227&amp;""))="estimate","Estimate",IF(OR(AND($H227&lt;&gt;"",$H227=0),LEFT(LOWER(TRIM($F227&amp;"")),9)="free game",LOWER(TRIM($F227&amp;""))="free",LOWER(TRIM($F227&amp;""))="free entry"),IF(LOWER($L227&amp;"")="yes","Disqualified — Free Game","Free Game"),IF(LOWER($L227&amp;"")="yes","Disqualified",IF($P227="","",IF(ROUND(IFERROR(VALUE($P227),0)-IFERROR(VALUE($H227),0),2)&gt;0,"Profit","Draw")))))))</ns0:f>
      </ns0:c>
      <ns0:c r="V227" s="956" t="str">
        <ns0:f>IF(COUNTA($A227:$M227)=0,"",IF(OR($B227="",$C227="",$U227="Subscription"),"",IFERROR(ROUNDUP(($C227-$B227)/7,0),"")))</ns0:f>
      </ns0:c>
      <ns0:c r="W227" s="114">
        <ns0:f>IF(COUNTA($A227:$M227)=0,"",IF(OR($U227="Subscription",$U227=""),"",IF($U227="Estimate","N/A",IF(OR($U227="Free Game",$U227="Disqualified — Free Game"),0,ROUND(IFERROR($Q227,0)-IFERROR($S227,0),2)))))</ns0:f>
      </ns0:c>
      <ns0:c r="X227" s="956" t="str">
        <ns0:f>IF(COUNTA($A227:$M227)=0,"",IF(OR($U227="Subscription",NOT(ISNUMBER($J227)),NOT(ISNUMBER($I227)),$J227=0,$I227=0,$I227&gt;$J227),"",$J227-$I227))</ns0:f>
      </ns0:c>
      <ns0:c r="Y227" s="955" t="str">
        <ns0:f>IF(COUNTA($A227:$M227)=0,"",IF(OR($U227="Subscription",NOT(ISNUMBER($J227)),$J227=0,$X227=""),"",$X227/$J227))</ns0:f>
      </ns0:c>
      <ns0:c r="Z227" s="957" t="str">
        <ns0:f>IF(COUNTA($A227:$M227)=0,"",Instructions!$B$29+SUM($W$5:W227))</ns0:f>
      </ns0:c>
    </ns0:row>
    <ns0:row r="228" ht="36" customHeight="1">
      <ns0:c r="A228" s="439"/>
      <ns0:c r="B228" s="453"/>
      <ns0:c r="C228" s="453"/>
      <ns0:c r="D228" s="454"/>
      <ns0:c r="E228" s="454"/>
      <ns0:c r="F228" s="454"/>
      <ns0:c r="G228" s="986"/>
      <ns0:c r="H228" s="455"/>
      <ns0:c r="I228" s="456"/>
      <ns0:c r="J228" s="456"/>
      <ns0:c r="K228" s="986"/>
      <ns0:c r="L228" s="454"/>
      <ns0:c r="M228" s="439"/>
      <ns0:c r="N228" s="987" t="str">
        <ns0:f>IF(COUNTA($A228:$M228)=0,"",IF(OR(LEFT(LOWER(TRIM($F228&amp;"")),12)="subscription",LOWER(TRIM($F228&amp;""))="membership"),"",IF(OR(AND($H228&lt;&gt;"",$H228=0),LEFT(LOWER(TRIM($F228&amp;"")),9)="free game",LOWER(TRIM($F228&amp;""))="free",LOWER(TRIM($F228&amp;""))="free entry"),IF(ISNUMBER($G228),IF(ISNUMBER(SEARCH("non",LOWER($E228&amp;""))),$G228*0.85,$G228),"N/A"),IF($G228="","",IFERROR(IF(ISNUMBER(SEARCH("non",LOWER($E228&amp;""))),$G228*0.85,$G228),"")))))</ns0:f>
        <ns0:v/>
      </ns0:c>
      <ns0:c r="O228" s="987" t="str">
        <ns0:f>IF(COUNTA($A228:$M228)=0,"",IF(OR(LEFT(LOWER(TRIM($F228&amp;"")),12)="subscription",LOWER(TRIM($F228&amp;""))="membership"),"",IF(OR(AND($H228&lt;&gt;"",$H228=0),LEFT(LOWER(TRIM($F228&amp;"")),9)="free game",LOWER(TRIM($F228&amp;""))="free",LOWER(TRIM($F228&amp;""))="free entry"),IF(OR(NOT(ISNUMBER($N228)),NOT(ISNUMBER($I228)),$I228=0),"N/A",IFERROR($N228/$I228,"N/A")),IF(OR($N228="",$I228="",$I228=0),"",IFERROR($N228/$I228,"")))))</ns0:f>
        <ns0:v/>
      </ns0:c>
      <ns0:c r="P228" s="987">
        <ns0:f>IF(COUNTA($A228:$M228)=0,"",IF(OR(LEFT(LOWER(TRIM($F228&amp;"")),12)="subscription",LOWER(TRIM($F228&amp;""))="membership"),"",IF(LOWER(TRIM($D228&amp;""))="estimate","N/A",IF(LOWER($L228&amp;"")="yes",0,IF(OR(AND($H228&lt;&gt;"",$H228=0),LEFT(LOWER(TRIM($F228&amp;"")),9)="free game",LOWER(TRIM($F228&amp;""))="free",LOWER(TRIM($F228&amp;""))="free entry"),IF(ISNUMBER($K228),$K228,""),IF($K228&lt;&gt;"",$K228,""))))))</ns0:f>
      </ns0:c>
      <ns0:c r="Q228" s="114">
        <ns0:f>IF(COUNTA($A228:$M228)=0,"",IF(OR($U228="Subscription",$U228=""),"",IF($U228="Estimate","N/A",IF($U228="Profit",ROUND(IFERROR($P228,0)-IFERROR($H228,0),2),0))))</ns0:f>
      </ns0:c>
      <ns0:c r="R228" s="114">
        <ns0:f>IF(COUNTA($A228:$M228)=0,"",IF(OR($U228="Subscription",$U228=""),"",IF($U228="Estimate","N/A",IF($U228="Draw",$H228,0))))</ns0:f>
      </ns0:c>
      <ns0:c r="S228" s="114">
        <ns0:f>IF(COUNTA($A228:$M228)=0,"",IF(OR($U228="Subscription",$U228=""),"",IF($U228="Estimate","N/A",IF($U228="Disqualified",$H228,0))))</ns0:f>
      </ns0:c>
      <ns0:c r="T228" s="955">
        <ns0:f>IF(COUNTA($A228:$M228)=0,"",IF(OR($U228="Subscription",$U228=""),"",IF($U228="Estimate","N/A",IF(OR($U228="Free Game",$U228="Disqualified — Free Game",$H228=0),"N/A",IF($U228="Profit",$Q228/$H228,IF($U228="Disqualified",-$S228/$H228,0))))))</ns0:f>
      </ns0:c>
      <ns0:c r="U228" s="920">
        <ns0:f>IF(COUNTA($A228:$M228)=0,"",IF(OR(LEFT(LOWER(TRIM($F228&amp;"")),12)="subscription",LOWER(TRIM($F228&amp;""))="membership"),"Subscription",IF(LOWER(TRIM($D228&amp;""))="estimate","Estimate",IF(OR(AND($H228&lt;&gt;"",$H228=0),LEFT(LOWER(TRIM($F228&amp;"")),9)="free game",LOWER(TRIM($F228&amp;""))="free",LOWER(TRIM($F228&amp;""))="free entry"),IF(LOWER($L228&amp;"")="yes","Disqualified — Free Game","Free Game"),IF(LOWER($L228&amp;"")="yes","Disqualified",IF($P228="","",IF(ROUND(IFERROR(VALUE($P228),0)-IFERROR(VALUE($H228),0),2)&gt;0,"Profit","Draw")))))))</ns0:f>
      </ns0:c>
      <ns0:c r="V228" s="956" t="str">
        <ns0:f>IF(COUNTA($A228:$M228)=0,"",IF(OR($B228="",$C228="",$U228="Subscription"),"",IFERROR(ROUNDUP(($C228-$B228)/7,0),"")))</ns0:f>
      </ns0:c>
      <ns0:c r="W228" s="114">
        <ns0:f>IF(COUNTA($A228:$M228)=0,"",IF(OR($U228="Subscription",$U228=""),"",IF($U228="Estimate","N/A",IF(OR($U228="Free Game",$U228="Disqualified — Free Game"),0,ROUND(IFERROR($Q228,0)-IFERROR($S228,0),2)))))</ns0:f>
      </ns0:c>
      <ns0:c r="X228" s="956" t="str">
        <ns0:f>IF(COUNTA($A228:$M228)=0,"",IF(OR($U228="Subscription",NOT(ISNUMBER($J228)),NOT(ISNUMBER($I228)),$J228=0,$I228=0,$I228&gt;$J228),"",$J228-$I228))</ns0:f>
      </ns0:c>
      <ns0:c r="Y228" s="955" t="str">
        <ns0:f>IF(COUNTA($A228:$M228)=0,"",IF(OR($U228="Subscription",NOT(ISNUMBER($J228)),$J228=0,$X228=""),"",$X228/$J228))</ns0:f>
      </ns0:c>
      <ns0:c r="Z228" s="957" t="str">
        <ns0:f>IF(COUNTA($A228:$M228)=0,"",Instructions!$B$29+SUM($W$5:W228))</ns0:f>
      </ns0:c>
    </ns0:row>
    <ns0:row r="229" ht="36" customHeight="1">
      <ns0:c r="A229" s="439"/>
      <ns0:c r="B229" s="453"/>
      <ns0:c r="C229" s="453"/>
      <ns0:c r="D229" s="454"/>
      <ns0:c r="E229" s="454"/>
      <ns0:c r="F229" s="454"/>
      <ns0:c r="G229" s="986"/>
      <ns0:c r="H229" s="455"/>
      <ns0:c r="I229" s="456"/>
      <ns0:c r="J229" s="456"/>
      <ns0:c r="K229" s="986"/>
      <ns0:c r="L229" s="454"/>
      <ns0:c r="M229" s="439"/>
      <ns0:c r="N229" s="987" t="str">
        <ns0:f>IF(COUNTA($A229:$M229)=0,"",IF(OR(LEFT(LOWER(TRIM($F229&amp;"")),12)="subscription",LOWER(TRIM($F229&amp;""))="membership"),"",IF(OR(AND($H229&lt;&gt;"",$H229=0),LEFT(LOWER(TRIM($F229&amp;"")),9)="free game",LOWER(TRIM($F229&amp;""))="free",LOWER(TRIM($F229&amp;""))="free entry"),IF(ISNUMBER($G229),IF(ISNUMBER(SEARCH("non",LOWER($E229&amp;""))),$G229*0.85,$G229),"N/A"),IF($G229="","",IFERROR(IF(ISNUMBER(SEARCH("non",LOWER($E229&amp;""))),$G229*0.85,$G229),"")))))</ns0:f>
        <ns0:v/>
      </ns0:c>
      <ns0:c r="O229" s="987" t="str">
        <ns0:f>IF(COUNTA($A229:$M229)=0,"",IF(OR(LEFT(LOWER(TRIM($F229&amp;"")),12)="subscription",LOWER(TRIM($F229&amp;""))="membership"),"",IF(OR(AND($H229&lt;&gt;"",$H229=0),LEFT(LOWER(TRIM($F229&amp;"")),9)="free game",LOWER(TRIM($F229&amp;""))="free",LOWER(TRIM($F229&amp;""))="free entry"),IF(OR(NOT(ISNUMBER($N229)),NOT(ISNUMBER($I229)),$I229=0),"N/A",IFERROR($N229/$I229,"N/A")),IF(OR($N229="",$I229="",$I229=0),"",IFERROR($N229/$I229,"")))))</ns0:f>
        <ns0:v/>
      </ns0:c>
      <ns0:c r="P229" s="987">
        <ns0:f>IF(COUNTA($A229:$M229)=0,"",IF(OR(LEFT(LOWER(TRIM($F229&amp;"")),12)="subscription",LOWER(TRIM($F229&amp;""))="membership"),"",IF(LOWER(TRIM($D229&amp;""))="estimate","N/A",IF(LOWER($L229&amp;"")="yes",0,IF(OR(AND($H229&lt;&gt;"",$H229=0),LEFT(LOWER(TRIM($F229&amp;"")),9)="free game",LOWER(TRIM($F229&amp;""))="free",LOWER(TRIM($F229&amp;""))="free entry"),IF(ISNUMBER($K229),$K229,""),IF($K229&lt;&gt;"",$K229,""))))))</ns0:f>
      </ns0:c>
      <ns0:c r="Q229" s="114">
        <ns0:f>IF(COUNTA($A229:$M229)=0,"",IF(OR($U229="Subscription",$U229=""),"",IF($U229="Estimate","N/A",IF($U229="Profit",ROUND(IFERROR($P229,0)-IFERROR($H229,0),2),0))))</ns0:f>
      </ns0:c>
      <ns0:c r="R229" s="114">
        <ns0:f>IF(COUNTA($A229:$M229)=0,"",IF(OR($U229="Subscription",$U229=""),"",IF($U229="Estimate","N/A",IF($U229="Draw",$H229,0))))</ns0:f>
      </ns0:c>
      <ns0:c r="S229" s="114">
        <ns0:f>IF(COUNTA($A229:$M229)=0,"",IF(OR($U229="Subscription",$U229=""),"",IF($U229="Estimate","N/A",IF($U229="Disqualified",$H229,0))))</ns0:f>
      </ns0:c>
      <ns0:c r="T229" s="955">
        <ns0:f>IF(COUNTA($A229:$M229)=0,"",IF(OR($U229="Subscription",$U229=""),"",IF($U229="Estimate","N/A",IF(OR($U229="Free Game",$U229="Disqualified — Free Game",$H229=0),"N/A",IF($U229="Profit",$Q229/$H229,IF($U229="Disqualified",-$S229/$H229,0))))))</ns0:f>
      </ns0:c>
      <ns0:c r="U229" s="920">
        <ns0:f>IF(COUNTA($A229:$M229)=0,"",IF(OR(LEFT(LOWER(TRIM($F229&amp;"")),12)="subscription",LOWER(TRIM($F229&amp;""))="membership"),"Subscription",IF(LOWER(TRIM($D229&amp;""))="estimate","Estimate",IF(OR(AND($H229&lt;&gt;"",$H229=0),LEFT(LOWER(TRIM($F229&amp;"")),9)="free game",LOWER(TRIM($F229&amp;""))="free",LOWER(TRIM($F229&amp;""))="free entry"),IF(LOWER($L229&amp;"")="yes","Disqualified — Free Game","Free Game"),IF(LOWER($L229&amp;"")="yes","Disqualified",IF($P229="","",IF(ROUND(IFERROR(VALUE($P229),0)-IFERROR(VALUE($H229),0),2)&gt;0,"Profit","Draw")))))))</ns0:f>
      </ns0:c>
      <ns0:c r="V229" s="956" t="str">
        <ns0:f>IF(COUNTA($A229:$M229)=0,"",IF(OR($B229="",$C229="",$U229="Subscription"),"",IFERROR(ROUNDUP(($C229-$B229)/7,0),"")))</ns0:f>
      </ns0:c>
      <ns0:c r="W229" s="114">
        <ns0:f>IF(COUNTA($A229:$M229)=0,"",IF(OR($U229="Subscription",$U229=""),"",IF($U229="Estimate","N/A",IF(OR($U229="Free Game",$U229="Disqualified — Free Game"),0,ROUND(IFERROR($Q229,0)-IFERROR($S229,0),2)))))</ns0:f>
      </ns0:c>
      <ns0:c r="X229" s="956" t="str">
        <ns0:f>IF(COUNTA($A229:$M229)=0,"",IF(OR($U229="Subscription",NOT(ISNUMBER($J229)),NOT(ISNUMBER($I229)),$J229=0,$I229=0,$I229&gt;$J229),"",$J229-$I229))</ns0:f>
      </ns0:c>
      <ns0:c r="Y229" s="955" t="str">
        <ns0:f>IF(COUNTA($A229:$M229)=0,"",IF(OR($U229="Subscription",NOT(ISNUMBER($J229)),$J229=0,$X229=""),"",$X229/$J229))</ns0:f>
      </ns0:c>
      <ns0:c r="Z229" s="957" t="str">
        <ns0:f>IF(COUNTA($A229:$M229)=0,"",Instructions!$B$29+SUM($W$5:W229))</ns0:f>
      </ns0:c>
    </ns0:row>
    <ns0:row r="230" ht="36" customHeight="1">
      <ns0:c r="A230" s="439"/>
      <ns0:c r="B230" s="453"/>
      <ns0:c r="C230" s="453"/>
      <ns0:c r="D230" s="454"/>
      <ns0:c r="E230" s="454"/>
      <ns0:c r="F230" s="454"/>
      <ns0:c r="G230" s="986"/>
      <ns0:c r="H230" s="455"/>
      <ns0:c r="I230" s="456"/>
      <ns0:c r="J230" s="456"/>
      <ns0:c r="K230" s="986"/>
      <ns0:c r="L230" s="454"/>
      <ns0:c r="M230" s="439"/>
      <ns0:c r="N230" s="987" t="str">
        <ns0:f>IF(COUNTA($A230:$M230)=0,"",IF(OR(LEFT(LOWER(TRIM($F230&amp;"")),12)="subscription",LOWER(TRIM($F230&amp;""))="membership"),"",IF(OR(AND($H230&lt;&gt;"",$H230=0),LEFT(LOWER(TRIM($F230&amp;"")),9)="free game",LOWER(TRIM($F230&amp;""))="free",LOWER(TRIM($F230&amp;""))="free entry"),IF(ISNUMBER($G230),IF(ISNUMBER(SEARCH("non",LOWER($E230&amp;""))),$G230*0.85,$G230),"N/A"),IF($G230="","",IFERROR(IF(ISNUMBER(SEARCH("non",LOWER($E230&amp;""))),$G230*0.85,$G230),"")))))</ns0:f>
        <ns0:v/>
      </ns0:c>
      <ns0:c r="O230" s="987" t="str">
        <ns0:f>IF(COUNTA($A230:$M230)=0,"",IF(OR(LEFT(LOWER(TRIM($F230&amp;"")),12)="subscription",LOWER(TRIM($F230&amp;""))="membership"),"",IF(OR(AND($H230&lt;&gt;"",$H230=0),LEFT(LOWER(TRIM($F230&amp;"")),9)="free game",LOWER(TRIM($F230&amp;""))="free",LOWER(TRIM($F230&amp;""))="free entry"),IF(OR(NOT(ISNUMBER($N230)),NOT(ISNUMBER($I230)),$I230=0),"N/A",IFERROR($N230/$I230,"N/A")),IF(OR($N230="",$I230="",$I230=0),"",IFERROR($N230/$I230,"")))))</ns0:f>
        <ns0:v/>
      </ns0:c>
      <ns0:c r="P230" s="987">
        <ns0:f>IF(COUNTA($A230:$M230)=0,"",IF(OR(LEFT(LOWER(TRIM($F230&amp;"")),12)="subscription",LOWER(TRIM($F230&amp;""))="membership"),"",IF(LOWER(TRIM($D230&amp;""))="estimate","N/A",IF(LOWER($L230&amp;"")="yes",0,IF(OR(AND($H230&lt;&gt;"",$H230=0),LEFT(LOWER(TRIM($F230&amp;"")),9)="free game",LOWER(TRIM($F230&amp;""))="free",LOWER(TRIM($F230&amp;""))="free entry"),IF(ISNUMBER($K230),$K230,""),IF($K230&lt;&gt;"",$K230,""))))))</ns0:f>
      </ns0:c>
      <ns0:c r="Q230" s="114">
        <ns0:f>IF(COUNTA($A230:$M230)=0,"",IF(OR($U230="Subscription",$U230=""),"",IF($U230="Estimate","N/A",IF($U230="Profit",ROUND(IFERROR($P230,0)-IFERROR($H230,0),2),0))))</ns0:f>
      </ns0:c>
      <ns0:c r="R230" s="114">
        <ns0:f>IF(COUNTA($A230:$M230)=0,"",IF(OR($U230="Subscription",$U230=""),"",IF($U230="Estimate","N/A",IF($U230="Draw",$H230,0))))</ns0:f>
      </ns0:c>
      <ns0:c r="S230" s="114">
        <ns0:f>IF(COUNTA($A230:$M230)=0,"",IF(OR($U230="Subscription",$U230=""),"",IF($U230="Estimate","N/A",IF($U230="Disqualified",$H230,0))))</ns0:f>
      </ns0:c>
      <ns0:c r="T230" s="955">
        <ns0:f>IF(COUNTA($A230:$M230)=0,"",IF(OR($U230="Subscription",$U230=""),"",IF($U230="Estimate","N/A",IF(OR($U230="Free Game",$U230="Disqualified — Free Game",$H230=0),"N/A",IF($U230="Profit",$Q230/$H230,IF($U230="Disqualified",-$S230/$H230,0))))))</ns0:f>
      </ns0:c>
      <ns0:c r="U230" s="920">
        <ns0:f>IF(COUNTA($A230:$M230)=0,"",IF(OR(LEFT(LOWER(TRIM($F230&amp;"")),12)="subscription",LOWER(TRIM($F230&amp;""))="membership"),"Subscription",IF(LOWER(TRIM($D230&amp;""))="estimate","Estimate",IF(OR(AND($H230&lt;&gt;"",$H230=0),LEFT(LOWER(TRIM($F230&amp;"")),9)="free game",LOWER(TRIM($F230&amp;""))="free",LOWER(TRIM($F230&amp;""))="free entry"),IF(LOWER($L230&amp;"")="yes","Disqualified — Free Game","Free Game"),IF(LOWER($L230&amp;"")="yes","Disqualified",IF($P230="","",IF(ROUND(IFERROR(VALUE($P230),0)-IFERROR(VALUE($H230),0),2)&gt;0,"Profit","Draw")))))))</ns0:f>
      </ns0:c>
      <ns0:c r="V230" s="956" t="str">
        <ns0:f>IF(COUNTA($A230:$M230)=0,"",IF(OR($B230="",$C230="",$U230="Subscription"),"",IFERROR(ROUNDUP(($C230-$B230)/7,0),"")))</ns0:f>
      </ns0:c>
      <ns0:c r="W230" s="114">
        <ns0:f>IF(COUNTA($A230:$M230)=0,"",IF(OR($U230="Subscription",$U230=""),"",IF($U230="Estimate","N/A",IF(OR($U230="Free Game",$U230="Disqualified — Free Game"),0,ROUND(IFERROR($Q230,0)-IFERROR($S230,0),2)))))</ns0:f>
      </ns0:c>
      <ns0:c r="X230" s="956" t="str">
        <ns0:f>IF(COUNTA($A230:$M230)=0,"",IF(OR($U230="Subscription",NOT(ISNUMBER($J230)),NOT(ISNUMBER($I230)),$J230=0,$I230=0,$I230&gt;$J230),"",$J230-$I230))</ns0:f>
      </ns0:c>
      <ns0:c r="Y230" s="955" t="str">
        <ns0:f>IF(COUNTA($A230:$M230)=0,"",IF(OR($U230="Subscription",NOT(ISNUMBER($J230)),$J230=0,$X230=""),"",$X230/$J230))</ns0:f>
      </ns0:c>
      <ns0:c r="Z230" s="957" t="str">
        <ns0:f>IF(COUNTA($A230:$M230)=0,"",Instructions!$B$29+SUM($W$5:W230))</ns0:f>
      </ns0:c>
    </ns0:row>
    <ns0:row r="231" ht="36" customHeight="1">
      <ns0:c r="A231" s="439"/>
      <ns0:c r="B231" s="453"/>
      <ns0:c r="C231" s="453"/>
      <ns0:c r="D231" s="454"/>
      <ns0:c r="E231" s="454"/>
      <ns0:c r="F231" s="454"/>
      <ns0:c r="G231" s="986"/>
      <ns0:c r="H231" s="455"/>
      <ns0:c r="I231" s="456"/>
      <ns0:c r="J231" s="456"/>
      <ns0:c r="K231" s="986"/>
      <ns0:c r="L231" s="454"/>
      <ns0:c r="M231" s="439"/>
      <ns0:c r="N231" s="987" t="str">
        <ns0:f>IF(COUNTA($A231:$M231)=0,"",IF(OR(LEFT(LOWER(TRIM($F231&amp;"")),12)="subscription",LOWER(TRIM($F231&amp;""))="membership"),"",IF(OR(AND($H231&lt;&gt;"",$H231=0),LEFT(LOWER(TRIM($F231&amp;"")),9)="free game",LOWER(TRIM($F231&amp;""))="free",LOWER(TRIM($F231&amp;""))="free entry"),IF(ISNUMBER($G231),IF(ISNUMBER(SEARCH("non",LOWER($E231&amp;""))),$G231*0.85,$G231),"N/A"),IF($G231="","",IFERROR(IF(ISNUMBER(SEARCH("non",LOWER($E231&amp;""))),$G231*0.85,$G231),"")))))</ns0:f>
        <ns0:v/>
      </ns0:c>
      <ns0:c r="O231" s="987" t="str">
        <ns0:f>IF(COUNTA($A231:$M231)=0,"",IF(OR(LEFT(LOWER(TRIM($F231&amp;"")),12)="subscription",LOWER(TRIM($F231&amp;""))="membership"),"",IF(OR(AND($H231&lt;&gt;"",$H231=0),LEFT(LOWER(TRIM($F231&amp;"")),9)="free game",LOWER(TRIM($F231&amp;""))="free",LOWER(TRIM($F231&amp;""))="free entry"),IF(OR(NOT(ISNUMBER($N231)),NOT(ISNUMBER($I231)),$I231=0),"N/A",IFERROR($N231/$I231,"N/A")),IF(OR($N231="",$I231="",$I231=0),"",IFERROR($N231/$I231,"")))))</ns0:f>
        <ns0:v/>
      </ns0:c>
      <ns0:c r="P231" s="987">
        <ns0:f>IF(COUNTA($A231:$M231)=0,"",IF(OR(LEFT(LOWER(TRIM($F231&amp;"")),12)="subscription",LOWER(TRIM($F231&amp;""))="membership"),"",IF(LOWER(TRIM($D231&amp;""))="estimate","N/A",IF(LOWER($L231&amp;"")="yes",0,IF(OR(AND($H231&lt;&gt;"",$H231=0),LEFT(LOWER(TRIM($F231&amp;"")),9)="free game",LOWER(TRIM($F231&amp;""))="free",LOWER(TRIM($F231&amp;""))="free entry"),IF(ISNUMBER($K231),$K231,""),IF($K231&lt;&gt;"",$K231,""))))))</ns0:f>
      </ns0:c>
      <ns0:c r="Q231" s="114">
        <ns0:f>IF(COUNTA($A231:$M231)=0,"",IF(OR($U231="Subscription",$U231=""),"",IF($U231="Estimate","N/A",IF($U231="Profit",ROUND(IFERROR($P231,0)-IFERROR($H231,0),2),0))))</ns0:f>
      </ns0:c>
      <ns0:c r="R231" s="114">
        <ns0:f>IF(COUNTA($A231:$M231)=0,"",IF(OR($U231="Subscription",$U231=""),"",IF($U231="Estimate","N/A",IF($U231="Draw",$H231,0))))</ns0:f>
      </ns0:c>
      <ns0:c r="S231" s="114">
        <ns0:f>IF(COUNTA($A231:$M231)=0,"",IF(OR($U231="Subscription",$U231=""),"",IF($U231="Estimate","N/A",IF($U231="Disqualified",$H231,0))))</ns0:f>
      </ns0:c>
      <ns0:c r="T231" s="955">
        <ns0:f>IF(COUNTA($A231:$M231)=0,"",IF(OR($U231="Subscription",$U231=""),"",IF($U231="Estimate","N/A",IF(OR($U231="Free Game",$U231="Disqualified — Free Game",$H231=0),"N/A",IF($U231="Profit",$Q231/$H231,IF($U231="Disqualified",-$S231/$H231,0))))))</ns0:f>
      </ns0:c>
      <ns0:c r="U231" s="920">
        <ns0:f>IF(COUNTA($A231:$M231)=0,"",IF(OR(LEFT(LOWER(TRIM($F231&amp;"")),12)="subscription",LOWER(TRIM($F231&amp;""))="membership"),"Subscription",IF(LOWER(TRIM($D231&amp;""))="estimate","Estimate",IF(OR(AND($H231&lt;&gt;"",$H231=0),LEFT(LOWER(TRIM($F231&amp;"")),9)="free game",LOWER(TRIM($F231&amp;""))="free",LOWER(TRIM($F231&amp;""))="free entry"),IF(LOWER($L231&amp;"")="yes","Disqualified — Free Game","Free Game"),IF(LOWER($L231&amp;"")="yes","Disqualified",IF($P231="","",IF(ROUND(IFERROR(VALUE($P231),0)-IFERROR(VALUE($H231),0),2)&gt;0,"Profit","Draw")))))))</ns0:f>
      </ns0:c>
      <ns0:c r="V231" s="956" t="str">
        <ns0:f>IF(COUNTA($A231:$M231)=0,"",IF(OR($B231="",$C231="",$U231="Subscription"),"",IFERROR(ROUNDUP(($C231-$B231)/7,0),"")))</ns0:f>
      </ns0:c>
      <ns0:c r="W231" s="114">
        <ns0:f>IF(COUNTA($A231:$M231)=0,"",IF(OR($U231="Subscription",$U231=""),"",IF($U231="Estimate","N/A",IF(OR($U231="Free Game",$U231="Disqualified — Free Game"),0,ROUND(IFERROR($Q231,0)-IFERROR($S231,0),2)))))</ns0:f>
      </ns0:c>
      <ns0:c r="X231" s="956" t="str">
        <ns0:f>IF(COUNTA($A231:$M231)=0,"",IF(OR($U231="Subscription",NOT(ISNUMBER($J231)),NOT(ISNUMBER($I231)),$J231=0,$I231=0,$I231&gt;$J231),"",$J231-$I231))</ns0:f>
      </ns0:c>
      <ns0:c r="Y231" s="955" t="str">
        <ns0:f>IF(COUNTA($A231:$M231)=0,"",IF(OR($U231="Subscription",NOT(ISNUMBER($J231)),$J231=0,$X231=""),"",$X231/$J231))</ns0:f>
      </ns0:c>
      <ns0:c r="Z231" s="957" t="str">
        <ns0:f>IF(COUNTA($A231:$M231)=0,"",Instructions!$B$29+SUM($W$5:W231))</ns0:f>
      </ns0:c>
    </ns0:row>
    <ns0:row r="232" ht="36" customHeight="1">
      <ns0:c r="A232" s="439"/>
      <ns0:c r="B232" s="453"/>
      <ns0:c r="C232" s="453"/>
      <ns0:c r="D232" s="454"/>
      <ns0:c r="E232" s="454"/>
      <ns0:c r="F232" s="454"/>
      <ns0:c r="G232" s="986"/>
      <ns0:c r="H232" s="455"/>
      <ns0:c r="I232" s="456"/>
      <ns0:c r="J232" s="456"/>
      <ns0:c r="K232" s="986"/>
      <ns0:c r="L232" s="454"/>
      <ns0:c r="M232" s="439"/>
      <ns0:c r="N232" s="987" t="str">
        <ns0:f>IF(COUNTA($A232:$M232)=0,"",IF(OR(LEFT(LOWER(TRIM($F232&amp;"")),12)="subscription",LOWER(TRIM($F232&amp;""))="membership"),"",IF(OR(AND($H232&lt;&gt;"",$H232=0),LEFT(LOWER(TRIM($F232&amp;"")),9)="free game",LOWER(TRIM($F232&amp;""))="free",LOWER(TRIM($F232&amp;""))="free entry"),IF(ISNUMBER($G232),IF(ISNUMBER(SEARCH("non",LOWER($E232&amp;""))),$G232*0.85,$G232),"N/A"),IF($G232="","",IFERROR(IF(ISNUMBER(SEARCH("non",LOWER($E232&amp;""))),$G232*0.85,$G232),"")))))</ns0:f>
        <ns0:v/>
      </ns0:c>
      <ns0:c r="O232" s="987" t="str">
        <ns0:f>IF(COUNTA($A232:$M232)=0,"",IF(OR(LEFT(LOWER(TRIM($F232&amp;"")),12)="subscription",LOWER(TRIM($F232&amp;""))="membership"),"",IF(OR(AND($H232&lt;&gt;"",$H232=0),LEFT(LOWER(TRIM($F232&amp;"")),9)="free game",LOWER(TRIM($F232&amp;""))="free",LOWER(TRIM($F232&amp;""))="free entry"),IF(OR(NOT(ISNUMBER($N232)),NOT(ISNUMBER($I232)),$I232=0),"N/A",IFERROR($N232/$I232,"N/A")),IF(OR($N232="",$I232="",$I232=0),"",IFERROR($N232/$I232,"")))))</ns0:f>
        <ns0:v/>
      </ns0:c>
      <ns0:c r="P232" s="987">
        <ns0:f>IF(COUNTA($A232:$M232)=0,"",IF(OR(LEFT(LOWER(TRIM($F232&amp;"")),12)="subscription",LOWER(TRIM($F232&amp;""))="membership"),"",IF(LOWER(TRIM($D232&amp;""))="estimate","N/A",IF(LOWER($L232&amp;"")="yes",0,IF(OR(AND($H232&lt;&gt;"",$H232=0),LEFT(LOWER(TRIM($F232&amp;"")),9)="free game",LOWER(TRIM($F232&amp;""))="free",LOWER(TRIM($F232&amp;""))="free entry"),IF(ISNUMBER($K232),$K232,""),IF($K232&lt;&gt;"",$K232,""))))))</ns0:f>
      </ns0:c>
      <ns0:c r="Q232" s="114">
        <ns0:f>IF(COUNTA($A232:$M232)=0,"",IF(OR($U232="Subscription",$U232=""),"",IF($U232="Estimate","N/A",IF($U232="Profit",ROUND(IFERROR($P232,0)-IFERROR($H232,0),2),0))))</ns0:f>
      </ns0:c>
      <ns0:c r="R232" s="114">
        <ns0:f>IF(COUNTA($A232:$M232)=0,"",IF(OR($U232="Subscription",$U232=""),"",IF($U232="Estimate","N/A",IF($U232="Draw",$H232,0))))</ns0:f>
      </ns0:c>
      <ns0:c r="S232" s="114">
        <ns0:f>IF(COUNTA($A232:$M232)=0,"",IF(OR($U232="Subscription",$U232=""),"",IF($U232="Estimate","N/A",IF($U232="Disqualified",$H232,0))))</ns0:f>
      </ns0:c>
      <ns0:c r="T232" s="955">
        <ns0:f>IF(COUNTA($A232:$M232)=0,"",IF(OR($U232="Subscription",$U232=""),"",IF($U232="Estimate","N/A",IF(OR($U232="Free Game",$U232="Disqualified — Free Game",$H232=0),"N/A",IF($U232="Profit",$Q232/$H232,IF($U232="Disqualified",-$S232/$H232,0))))))</ns0:f>
      </ns0:c>
      <ns0:c r="U232" s="920">
        <ns0:f>IF(COUNTA($A232:$M232)=0,"",IF(OR(LEFT(LOWER(TRIM($F232&amp;"")),12)="subscription",LOWER(TRIM($F232&amp;""))="membership"),"Subscription",IF(LOWER(TRIM($D232&amp;""))="estimate","Estimate",IF(OR(AND($H232&lt;&gt;"",$H232=0),LEFT(LOWER(TRIM($F232&amp;"")),9)="free game",LOWER(TRIM($F232&amp;""))="free",LOWER(TRIM($F232&amp;""))="free entry"),IF(LOWER($L232&amp;"")="yes","Disqualified — Free Game","Free Game"),IF(LOWER($L232&amp;"")="yes","Disqualified",IF($P232="","",IF(ROUND(IFERROR(VALUE($P232),0)-IFERROR(VALUE($H232),0),2)&gt;0,"Profit","Draw")))))))</ns0:f>
      </ns0:c>
      <ns0:c r="V232" s="956" t="str">
        <ns0:f>IF(COUNTA($A232:$M232)=0,"",IF(OR($B232="",$C232="",$U232="Subscription"),"",IFERROR(ROUNDUP(($C232-$B232)/7,0),"")))</ns0:f>
      </ns0:c>
      <ns0:c r="W232" s="114">
        <ns0:f>IF(COUNTA($A232:$M232)=0,"",IF(OR($U232="Subscription",$U232=""),"",IF($U232="Estimate","N/A",IF(OR($U232="Free Game",$U232="Disqualified — Free Game"),0,ROUND(IFERROR($Q232,0)-IFERROR($S232,0),2)))))</ns0:f>
      </ns0:c>
      <ns0:c r="X232" s="956" t="str">
        <ns0:f>IF(COUNTA($A232:$M232)=0,"",IF(OR($U232="Subscription",NOT(ISNUMBER($J232)),NOT(ISNUMBER($I232)),$J232=0,$I232=0,$I232&gt;$J232),"",$J232-$I232))</ns0:f>
      </ns0:c>
      <ns0:c r="Y232" s="955" t="str">
        <ns0:f>IF(COUNTA($A232:$M232)=0,"",IF(OR($U232="Subscription",NOT(ISNUMBER($J232)),$J232=0,$X232=""),"",$X232/$J232))</ns0:f>
      </ns0:c>
      <ns0:c r="Z232" s="957" t="str">
        <ns0:f>IF(COUNTA($A232:$M232)=0,"",Instructions!$B$29+SUM($W$5:W232))</ns0:f>
      </ns0:c>
    </ns0:row>
    <ns0:row r="233" ht="36" customHeight="1">
      <ns0:c r="A233" s="439"/>
      <ns0:c r="B233" s="453"/>
      <ns0:c r="C233" s="453"/>
      <ns0:c r="D233" s="454"/>
      <ns0:c r="E233" s="454"/>
      <ns0:c r="F233" s="454"/>
      <ns0:c r="G233" s="986"/>
      <ns0:c r="H233" s="455"/>
      <ns0:c r="I233" s="456"/>
      <ns0:c r="J233" s="456"/>
      <ns0:c r="K233" s="986"/>
      <ns0:c r="L233" s="454"/>
      <ns0:c r="M233" s="439"/>
      <ns0:c r="N233" s="987" t="str">
        <ns0:f>IF(COUNTA($A233:$M233)=0,"",IF(OR(LEFT(LOWER(TRIM($F233&amp;"")),12)="subscription",LOWER(TRIM($F233&amp;""))="membership"),"",IF(OR(AND($H233&lt;&gt;"",$H233=0),LEFT(LOWER(TRIM($F233&amp;"")),9)="free game",LOWER(TRIM($F233&amp;""))="free",LOWER(TRIM($F233&amp;""))="free entry"),IF(ISNUMBER($G233),IF(ISNUMBER(SEARCH("non",LOWER($E233&amp;""))),$G233*0.85,$G233),"N/A"),IF($G233="","",IFERROR(IF(ISNUMBER(SEARCH("non",LOWER($E233&amp;""))),$G233*0.85,$G233),"")))))</ns0:f>
        <ns0:v/>
      </ns0:c>
      <ns0:c r="O233" s="987" t="str">
        <ns0:f>IF(COUNTA($A233:$M233)=0,"",IF(OR(LEFT(LOWER(TRIM($F233&amp;"")),12)="subscription",LOWER(TRIM($F233&amp;""))="membership"),"",IF(OR(AND($H233&lt;&gt;"",$H233=0),LEFT(LOWER(TRIM($F233&amp;"")),9)="free game",LOWER(TRIM($F233&amp;""))="free",LOWER(TRIM($F233&amp;""))="free entry"),IF(OR(NOT(ISNUMBER($N233)),NOT(ISNUMBER($I233)),$I233=0),"N/A",IFERROR($N233/$I233,"N/A")),IF(OR($N233="",$I233="",$I233=0),"",IFERROR($N233/$I233,"")))))</ns0:f>
        <ns0:v/>
      </ns0:c>
      <ns0:c r="P233" s="987">
        <ns0:f>IF(COUNTA($A233:$M233)=0,"",IF(OR(LEFT(LOWER(TRIM($F233&amp;"")),12)="subscription",LOWER(TRIM($F233&amp;""))="membership"),"",IF(LOWER(TRIM($D233&amp;""))="estimate","N/A",IF(LOWER($L233&amp;"")="yes",0,IF(OR(AND($H233&lt;&gt;"",$H233=0),LEFT(LOWER(TRIM($F233&amp;"")),9)="free game",LOWER(TRIM($F233&amp;""))="free",LOWER(TRIM($F233&amp;""))="free entry"),IF(ISNUMBER($K233),$K233,""),IF($K233&lt;&gt;"",$K233,""))))))</ns0:f>
      </ns0:c>
      <ns0:c r="Q233" s="114">
        <ns0:f>IF(COUNTA($A233:$M233)=0,"",IF(OR($U233="Subscription",$U233=""),"",IF($U233="Estimate","N/A",IF($U233="Profit",ROUND(IFERROR($P233,0)-IFERROR($H233,0),2),0))))</ns0:f>
      </ns0:c>
      <ns0:c r="R233" s="114">
        <ns0:f>IF(COUNTA($A233:$M233)=0,"",IF(OR($U233="Subscription",$U233=""),"",IF($U233="Estimate","N/A",IF($U233="Draw",$H233,0))))</ns0:f>
      </ns0:c>
      <ns0:c r="S233" s="114">
        <ns0:f>IF(COUNTA($A233:$M233)=0,"",IF(OR($U233="Subscription",$U233=""),"",IF($U233="Estimate","N/A",IF($U233="Disqualified",$H233,0))))</ns0:f>
      </ns0:c>
      <ns0:c r="T233" s="955">
        <ns0:f>IF(COUNTA($A233:$M233)=0,"",IF(OR($U233="Subscription",$U233=""),"",IF($U233="Estimate","N/A",IF(OR($U233="Free Game",$U233="Disqualified — Free Game",$H233=0),"N/A",IF($U233="Profit",$Q233/$H233,IF($U233="Disqualified",-$S233/$H233,0))))))</ns0:f>
      </ns0:c>
      <ns0:c r="U233" s="920">
        <ns0:f>IF(COUNTA($A233:$M233)=0,"",IF(OR(LEFT(LOWER(TRIM($F233&amp;"")),12)="subscription",LOWER(TRIM($F233&amp;""))="membership"),"Subscription",IF(LOWER(TRIM($D233&amp;""))="estimate","Estimate",IF(OR(AND($H233&lt;&gt;"",$H233=0),LEFT(LOWER(TRIM($F233&amp;"")),9)="free game",LOWER(TRIM($F233&amp;""))="free",LOWER(TRIM($F233&amp;""))="free entry"),IF(LOWER($L233&amp;"")="yes","Disqualified — Free Game","Free Game"),IF(LOWER($L233&amp;"")="yes","Disqualified",IF($P233="","",IF(ROUND(IFERROR(VALUE($P233),0)-IFERROR(VALUE($H233),0),2)&gt;0,"Profit","Draw")))))))</ns0:f>
      </ns0:c>
      <ns0:c r="V233" s="956" t="str">
        <ns0:f>IF(COUNTA($A233:$M233)=0,"",IF(OR($B233="",$C233="",$U233="Subscription"),"",IFERROR(ROUNDUP(($C233-$B233)/7,0),"")))</ns0:f>
      </ns0:c>
      <ns0:c r="W233" s="114">
        <ns0:f>IF(COUNTA($A233:$M233)=0,"",IF(OR($U233="Subscription",$U233=""),"",IF($U233="Estimate","N/A",IF(OR($U233="Free Game",$U233="Disqualified — Free Game"),0,ROUND(IFERROR($Q233,0)-IFERROR($S233,0),2)))))</ns0:f>
      </ns0:c>
      <ns0:c r="X233" s="956" t="str">
        <ns0:f>IF(COUNTA($A233:$M233)=0,"",IF(OR($U233="Subscription",NOT(ISNUMBER($J233)),NOT(ISNUMBER($I233)),$J233=0,$I233=0,$I233&gt;$J233),"",$J233-$I233))</ns0:f>
      </ns0:c>
      <ns0:c r="Y233" s="955" t="str">
        <ns0:f>IF(COUNTA($A233:$M233)=0,"",IF(OR($U233="Subscription",NOT(ISNUMBER($J233)),$J233=0,$X233=""),"",$X233/$J233))</ns0:f>
      </ns0:c>
      <ns0:c r="Z233" s="957" t="str">
        <ns0:f>IF(COUNTA($A233:$M233)=0,"",Instructions!$B$29+SUM($W$5:W233))</ns0:f>
      </ns0:c>
    </ns0:row>
    <ns0:row r="234" ht="36" customHeight="1">
      <ns0:c r="A234" s="439"/>
      <ns0:c r="B234" s="453"/>
      <ns0:c r="C234" s="453"/>
      <ns0:c r="D234" s="454"/>
      <ns0:c r="E234" s="454"/>
      <ns0:c r="F234" s="454"/>
      <ns0:c r="G234" s="986"/>
      <ns0:c r="H234" s="455"/>
      <ns0:c r="I234" s="456"/>
      <ns0:c r="J234" s="456"/>
      <ns0:c r="K234" s="986"/>
      <ns0:c r="L234" s="454"/>
      <ns0:c r="M234" s="439"/>
      <ns0:c r="N234" s="987" t="str">
        <ns0:f>IF(COUNTA($A234:$M234)=0,"",IF(OR(LEFT(LOWER(TRIM($F234&amp;"")),12)="subscription",LOWER(TRIM($F234&amp;""))="membership"),"",IF(OR(AND($H234&lt;&gt;"",$H234=0),LEFT(LOWER(TRIM($F234&amp;"")),9)="free game",LOWER(TRIM($F234&amp;""))="free",LOWER(TRIM($F234&amp;""))="free entry"),IF(ISNUMBER($G234),IF(ISNUMBER(SEARCH("non",LOWER($E234&amp;""))),$G234*0.85,$G234),"N/A"),IF($G234="","",IFERROR(IF(ISNUMBER(SEARCH("non",LOWER($E234&amp;""))),$G234*0.85,$G234),"")))))</ns0:f>
        <ns0:v/>
      </ns0:c>
      <ns0:c r="O234" s="987" t="str">
        <ns0:f>IF(COUNTA($A234:$M234)=0,"",IF(OR(LEFT(LOWER(TRIM($F234&amp;"")),12)="subscription",LOWER(TRIM($F234&amp;""))="membership"),"",IF(OR(AND($H234&lt;&gt;"",$H234=0),LEFT(LOWER(TRIM($F234&amp;"")),9)="free game",LOWER(TRIM($F234&amp;""))="free",LOWER(TRIM($F234&amp;""))="free entry"),IF(OR(NOT(ISNUMBER($N234)),NOT(ISNUMBER($I234)),$I234=0),"N/A",IFERROR($N234/$I234,"N/A")),IF(OR($N234="",$I234="",$I234=0),"",IFERROR($N234/$I234,"")))))</ns0:f>
        <ns0:v/>
      </ns0:c>
      <ns0:c r="P234" s="987">
        <ns0:f>IF(COUNTA($A234:$M234)=0,"",IF(OR(LEFT(LOWER(TRIM($F234&amp;"")),12)="subscription",LOWER(TRIM($F234&amp;""))="membership"),"",IF(LOWER(TRIM($D234&amp;""))="estimate","N/A",IF(LOWER($L234&amp;"")="yes",0,IF(OR(AND($H234&lt;&gt;"",$H234=0),LEFT(LOWER(TRIM($F234&amp;"")),9)="free game",LOWER(TRIM($F234&amp;""))="free",LOWER(TRIM($F234&amp;""))="free entry"),IF(ISNUMBER($K234),$K234,""),IF($K234&lt;&gt;"",$K234,""))))))</ns0:f>
      </ns0:c>
      <ns0:c r="Q234" s="114">
        <ns0:f>IF(COUNTA($A234:$M234)=0,"",IF(OR($U234="Subscription",$U234=""),"",IF($U234="Estimate","N/A",IF($U234="Profit",ROUND(IFERROR($P234,0)-IFERROR($H234,0),2),0))))</ns0:f>
      </ns0:c>
      <ns0:c r="R234" s="114">
        <ns0:f>IF(COUNTA($A234:$M234)=0,"",IF(OR($U234="Subscription",$U234=""),"",IF($U234="Estimate","N/A",IF($U234="Draw",$H234,0))))</ns0:f>
      </ns0:c>
      <ns0:c r="S234" s="114">
        <ns0:f>IF(COUNTA($A234:$M234)=0,"",IF(OR($U234="Subscription",$U234=""),"",IF($U234="Estimate","N/A",IF($U234="Disqualified",$H234,0))))</ns0:f>
      </ns0:c>
      <ns0:c r="T234" s="955">
        <ns0:f>IF(COUNTA($A234:$M234)=0,"",IF(OR($U234="Subscription",$U234=""),"",IF($U234="Estimate","N/A",IF(OR($U234="Free Game",$U234="Disqualified — Free Game",$H234=0),"N/A",IF($U234="Profit",$Q234/$H234,IF($U234="Disqualified",-$S234/$H234,0))))))</ns0:f>
      </ns0:c>
      <ns0:c r="U234" s="920">
        <ns0:f>IF(COUNTA($A234:$M234)=0,"",IF(OR(LEFT(LOWER(TRIM($F234&amp;"")),12)="subscription",LOWER(TRIM($F234&amp;""))="membership"),"Subscription",IF(LOWER(TRIM($D234&amp;""))="estimate","Estimate",IF(OR(AND($H234&lt;&gt;"",$H234=0),LEFT(LOWER(TRIM($F234&amp;"")),9)="free game",LOWER(TRIM($F234&amp;""))="free",LOWER(TRIM($F234&amp;""))="free entry"),IF(LOWER($L234&amp;"")="yes","Disqualified — Free Game","Free Game"),IF(LOWER($L234&amp;"")="yes","Disqualified",IF($P234="","",IF(ROUND(IFERROR(VALUE($P234),0)-IFERROR(VALUE($H234),0),2)&gt;0,"Profit","Draw")))))))</ns0:f>
      </ns0:c>
      <ns0:c r="V234" s="956" t="str">
        <ns0:f>IF(COUNTA($A234:$M234)=0,"",IF(OR($B234="",$C234="",$U234="Subscription"),"",IFERROR(ROUNDUP(($C234-$B234)/7,0),"")))</ns0:f>
      </ns0:c>
      <ns0:c r="W234" s="114">
        <ns0:f>IF(COUNTA($A234:$M234)=0,"",IF(OR($U234="Subscription",$U234=""),"",IF($U234="Estimate","N/A",IF(OR($U234="Free Game",$U234="Disqualified — Free Game"),0,ROUND(IFERROR($Q234,0)-IFERROR($S234,0),2)))))</ns0:f>
      </ns0:c>
      <ns0:c r="X234" s="956" t="str">
        <ns0:f>IF(COUNTA($A234:$M234)=0,"",IF(OR($U234="Subscription",NOT(ISNUMBER($J234)),NOT(ISNUMBER($I234)),$J234=0,$I234=0,$I234&gt;$J234),"",$J234-$I234))</ns0:f>
      </ns0:c>
      <ns0:c r="Y234" s="955" t="str">
        <ns0:f>IF(COUNTA($A234:$M234)=0,"",IF(OR($U234="Subscription",NOT(ISNUMBER($J234)),$J234=0,$X234=""),"",$X234/$J234))</ns0:f>
      </ns0:c>
      <ns0:c r="Z234" s="957" t="str">
        <ns0:f>IF(COUNTA($A234:$M234)=0,"",Instructions!$B$29+SUM($W$5:W234))</ns0:f>
      </ns0:c>
    </ns0:row>
    <ns0:row r="235" ht="36" customHeight="1">
      <ns0:c r="A235" s="439"/>
      <ns0:c r="B235" s="453"/>
      <ns0:c r="C235" s="453"/>
      <ns0:c r="D235" s="454"/>
      <ns0:c r="E235" s="454"/>
      <ns0:c r="F235" s="454"/>
      <ns0:c r="G235" s="986"/>
      <ns0:c r="H235" s="455"/>
      <ns0:c r="I235" s="456"/>
      <ns0:c r="J235" s="456"/>
      <ns0:c r="K235" s="986"/>
      <ns0:c r="L235" s="454"/>
      <ns0:c r="M235" s="439"/>
      <ns0:c r="N235" s="987" t="str">
        <ns0:f>IF(COUNTA($A235:$M235)=0,"",IF(OR(LEFT(LOWER(TRIM($F235&amp;"")),12)="subscription",LOWER(TRIM($F235&amp;""))="membership"),"",IF(OR(AND($H235&lt;&gt;"",$H235=0),LEFT(LOWER(TRIM($F235&amp;"")),9)="free game",LOWER(TRIM($F235&amp;""))="free",LOWER(TRIM($F235&amp;""))="free entry"),IF(ISNUMBER($G235),IF(ISNUMBER(SEARCH("non",LOWER($E235&amp;""))),$G235*0.85,$G235),"N/A"),IF($G235="","",IFERROR(IF(ISNUMBER(SEARCH("non",LOWER($E235&amp;""))),$G235*0.85,$G235),"")))))</ns0:f>
        <ns0:v/>
      </ns0:c>
      <ns0:c r="O235" s="987" t="str">
        <ns0:f>IF(COUNTA($A235:$M235)=0,"",IF(OR(LEFT(LOWER(TRIM($F235&amp;"")),12)="subscription",LOWER(TRIM($F235&amp;""))="membership"),"",IF(OR(AND($H235&lt;&gt;"",$H235=0),LEFT(LOWER(TRIM($F235&amp;"")),9)="free game",LOWER(TRIM($F235&amp;""))="free",LOWER(TRIM($F235&amp;""))="free entry"),IF(OR(NOT(ISNUMBER($N235)),NOT(ISNUMBER($I235)),$I235=0),"N/A",IFERROR($N235/$I235,"N/A")),IF(OR($N235="",$I235="",$I235=0),"",IFERROR($N235/$I235,"")))))</ns0:f>
        <ns0:v/>
      </ns0:c>
      <ns0:c r="P235" s="987">
        <ns0:f>IF(COUNTA($A235:$M235)=0,"",IF(OR(LEFT(LOWER(TRIM($F235&amp;"")),12)="subscription",LOWER(TRIM($F235&amp;""))="membership"),"",IF(LOWER(TRIM($D235&amp;""))="estimate","N/A",IF(LOWER($L235&amp;"")="yes",0,IF(OR(AND($H235&lt;&gt;"",$H235=0),LEFT(LOWER(TRIM($F235&amp;"")),9)="free game",LOWER(TRIM($F235&amp;""))="free",LOWER(TRIM($F235&amp;""))="free entry"),IF(ISNUMBER($K235),$K235,""),IF($K235&lt;&gt;"",$K235,""))))))</ns0:f>
      </ns0:c>
      <ns0:c r="Q235" s="114">
        <ns0:f>IF(COUNTA($A235:$M235)=0,"",IF(OR($U235="Subscription",$U235=""),"",IF($U235="Estimate","N/A",IF($U235="Profit",ROUND(IFERROR($P235,0)-IFERROR($H235,0),2),0))))</ns0:f>
      </ns0:c>
      <ns0:c r="R235" s="114">
        <ns0:f>IF(COUNTA($A235:$M235)=0,"",IF(OR($U235="Subscription",$U235=""),"",IF($U235="Estimate","N/A",IF($U235="Draw",$H235,0))))</ns0:f>
      </ns0:c>
      <ns0:c r="S235" s="114">
        <ns0:f>IF(COUNTA($A235:$M235)=0,"",IF(OR($U235="Subscription",$U235=""),"",IF($U235="Estimate","N/A",IF($U235="Disqualified",$H235,0))))</ns0:f>
      </ns0:c>
      <ns0:c r="T235" s="955">
        <ns0:f>IF(COUNTA($A235:$M235)=0,"",IF(OR($U235="Subscription",$U235=""),"",IF($U235="Estimate","N/A",IF(OR($U235="Free Game",$U235="Disqualified — Free Game",$H235=0),"N/A",IF($U235="Profit",$Q235/$H235,IF($U235="Disqualified",-$S235/$H235,0))))))</ns0:f>
      </ns0:c>
      <ns0:c r="U235" s="920">
        <ns0:f>IF(COUNTA($A235:$M235)=0,"",IF(OR(LEFT(LOWER(TRIM($F235&amp;"")),12)="subscription",LOWER(TRIM($F235&amp;""))="membership"),"Subscription",IF(LOWER(TRIM($D235&amp;""))="estimate","Estimate",IF(OR(AND($H235&lt;&gt;"",$H235=0),LEFT(LOWER(TRIM($F235&amp;"")),9)="free game",LOWER(TRIM($F235&amp;""))="free",LOWER(TRIM($F235&amp;""))="free entry"),IF(LOWER($L235&amp;"")="yes","Disqualified — Free Game","Free Game"),IF(LOWER($L235&amp;"")="yes","Disqualified",IF($P235="","",IF(ROUND(IFERROR(VALUE($P235),0)-IFERROR(VALUE($H235),0),2)&gt;0,"Profit","Draw")))))))</ns0:f>
      </ns0:c>
      <ns0:c r="V235" s="956" t="str">
        <ns0:f>IF(COUNTA($A235:$M235)=0,"",IF(OR($B235="",$C235="",$U235="Subscription"),"",IFERROR(ROUNDUP(($C235-$B235)/7,0),"")))</ns0:f>
      </ns0:c>
      <ns0:c r="W235" s="114">
        <ns0:f>IF(COUNTA($A235:$M235)=0,"",IF(OR($U235="Subscription",$U235=""),"",IF($U235="Estimate","N/A",IF(OR($U235="Free Game",$U235="Disqualified — Free Game"),0,ROUND(IFERROR($Q235,0)-IFERROR($S235,0),2)))))</ns0:f>
      </ns0:c>
      <ns0:c r="X235" s="956" t="str">
        <ns0:f>IF(COUNTA($A235:$M235)=0,"",IF(OR($U235="Subscription",NOT(ISNUMBER($J235)),NOT(ISNUMBER($I235)),$J235=0,$I235=0,$I235&gt;$J235),"",$J235-$I235))</ns0:f>
      </ns0:c>
      <ns0:c r="Y235" s="955" t="str">
        <ns0:f>IF(COUNTA($A235:$M235)=0,"",IF(OR($U235="Subscription",NOT(ISNUMBER($J235)),$J235=0,$X235=""),"",$X235/$J235))</ns0:f>
      </ns0:c>
      <ns0:c r="Z235" s="957" t="str">
        <ns0:f>IF(COUNTA($A235:$M235)=0,"",Instructions!$B$29+SUM($W$5:W235))</ns0:f>
      </ns0:c>
    </ns0:row>
    <ns0:row r="236" ht="36" customHeight="1">
      <ns0:c r="A236" s="439"/>
      <ns0:c r="B236" s="453"/>
      <ns0:c r="C236" s="453"/>
      <ns0:c r="D236" s="454"/>
      <ns0:c r="E236" s="454"/>
      <ns0:c r="F236" s="454"/>
      <ns0:c r="G236" s="986"/>
      <ns0:c r="H236" s="455"/>
      <ns0:c r="I236" s="456"/>
      <ns0:c r="J236" s="456"/>
      <ns0:c r="K236" s="986"/>
      <ns0:c r="L236" s="454"/>
      <ns0:c r="M236" s="439"/>
      <ns0:c r="N236" s="987" t="str">
        <ns0:f>IF(COUNTA($A236:$M236)=0,"",IF(OR(LEFT(LOWER(TRIM($F236&amp;"")),12)="subscription",LOWER(TRIM($F236&amp;""))="membership"),"",IF(OR(AND($H236&lt;&gt;"",$H236=0),LEFT(LOWER(TRIM($F236&amp;"")),9)="free game",LOWER(TRIM($F236&amp;""))="free",LOWER(TRIM($F236&amp;""))="free entry"),IF(ISNUMBER($G236),IF(ISNUMBER(SEARCH("non",LOWER($E236&amp;""))),$G236*0.85,$G236),"N/A"),IF($G236="","",IFERROR(IF(ISNUMBER(SEARCH("non",LOWER($E236&amp;""))),$G236*0.85,$G236),"")))))</ns0:f>
        <ns0:v/>
      </ns0:c>
      <ns0:c r="O236" s="987" t="str">
        <ns0:f>IF(COUNTA($A236:$M236)=0,"",IF(OR(LEFT(LOWER(TRIM($F236&amp;"")),12)="subscription",LOWER(TRIM($F236&amp;""))="membership"),"",IF(OR(AND($H236&lt;&gt;"",$H236=0),LEFT(LOWER(TRIM($F236&amp;"")),9)="free game",LOWER(TRIM($F236&amp;""))="free",LOWER(TRIM($F236&amp;""))="free entry"),IF(OR(NOT(ISNUMBER($N236)),NOT(ISNUMBER($I236)),$I236=0),"N/A",IFERROR($N236/$I236,"N/A")),IF(OR($N236="",$I236="",$I236=0),"",IFERROR($N236/$I236,"")))))</ns0:f>
        <ns0:v/>
      </ns0:c>
      <ns0:c r="P236" s="987">
        <ns0:f>IF(COUNTA($A236:$M236)=0,"",IF(OR(LEFT(LOWER(TRIM($F236&amp;"")),12)="subscription",LOWER(TRIM($F236&amp;""))="membership"),"",IF(LOWER(TRIM($D236&amp;""))="estimate","N/A",IF(LOWER($L236&amp;"")="yes",0,IF(OR(AND($H236&lt;&gt;"",$H236=0),LEFT(LOWER(TRIM($F236&amp;"")),9)="free game",LOWER(TRIM($F236&amp;""))="free",LOWER(TRIM($F236&amp;""))="free entry"),IF(ISNUMBER($K236),$K236,""),IF($K236&lt;&gt;"",$K236,""))))))</ns0:f>
      </ns0:c>
      <ns0:c r="Q236" s="114">
        <ns0:f>IF(COUNTA($A236:$M236)=0,"",IF(OR($U236="Subscription",$U236=""),"",IF($U236="Estimate","N/A",IF($U236="Profit",ROUND(IFERROR($P236,0)-IFERROR($H236,0),2),0))))</ns0:f>
      </ns0:c>
      <ns0:c r="R236" s="114">
        <ns0:f>IF(COUNTA($A236:$M236)=0,"",IF(OR($U236="Subscription",$U236=""),"",IF($U236="Estimate","N/A",IF($U236="Draw",$H236,0))))</ns0:f>
      </ns0:c>
      <ns0:c r="S236" s="114">
        <ns0:f>IF(COUNTA($A236:$M236)=0,"",IF(OR($U236="Subscription",$U236=""),"",IF($U236="Estimate","N/A",IF($U236="Disqualified",$H236,0))))</ns0:f>
      </ns0:c>
      <ns0:c r="T236" s="955">
        <ns0:f>IF(COUNTA($A236:$M236)=0,"",IF(OR($U236="Subscription",$U236=""),"",IF($U236="Estimate","N/A",IF(OR($U236="Free Game",$U236="Disqualified — Free Game",$H236=0),"N/A",IF($U236="Profit",$Q236/$H236,IF($U236="Disqualified",-$S236/$H236,0))))))</ns0:f>
      </ns0:c>
      <ns0:c r="U236" s="920">
        <ns0:f>IF(COUNTA($A236:$M236)=0,"",IF(OR(LEFT(LOWER(TRIM($F236&amp;"")),12)="subscription",LOWER(TRIM($F236&amp;""))="membership"),"Subscription",IF(LOWER(TRIM($D236&amp;""))="estimate","Estimate",IF(OR(AND($H236&lt;&gt;"",$H236=0),LEFT(LOWER(TRIM($F236&amp;"")),9)="free game",LOWER(TRIM($F236&amp;""))="free",LOWER(TRIM($F236&amp;""))="free entry"),IF(LOWER($L236&amp;"")="yes","Disqualified — Free Game","Free Game"),IF(LOWER($L236&amp;"")="yes","Disqualified",IF($P236="","",IF(ROUND(IFERROR(VALUE($P236),0)-IFERROR(VALUE($H236),0),2)&gt;0,"Profit","Draw")))))))</ns0:f>
      </ns0:c>
      <ns0:c r="V236" s="956" t="str">
        <ns0:f>IF(COUNTA($A236:$M236)=0,"",IF(OR($B236="",$C236="",$U236="Subscription"),"",IFERROR(ROUNDUP(($C236-$B236)/7,0),"")))</ns0:f>
      </ns0:c>
      <ns0:c r="W236" s="114">
        <ns0:f>IF(COUNTA($A236:$M236)=0,"",IF(OR($U236="Subscription",$U236=""),"",IF($U236="Estimate","N/A",IF(OR($U236="Free Game",$U236="Disqualified — Free Game"),0,ROUND(IFERROR($Q236,0)-IFERROR($S236,0),2)))))</ns0:f>
      </ns0:c>
      <ns0:c r="X236" s="956" t="str">
        <ns0:f>IF(COUNTA($A236:$M236)=0,"",IF(OR($U236="Subscription",NOT(ISNUMBER($J236)),NOT(ISNUMBER($I236)),$J236=0,$I236=0,$I236&gt;$J236),"",$J236-$I236))</ns0:f>
      </ns0:c>
      <ns0:c r="Y236" s="955" t="str">
        <ns0:f>IF(COUNTA($A236:$M236)=0,"",IF(OR($U236="Subscription",NOT(ISNUMBER($J236)),$J236=0,$X236=""),"",$X236/$J236))</ns0:f>
      </ns0:c>
      <ns0:c r="Z236" s="957" t="str">
        <ns0:f>IF(COUNTA($A236:$M236)=0,"",Instructions!$B$29+SUM($W$5:W236))</ns0:f>
      </ns0:c>
    </ns0:row>
    <ns0:row r="237" ht="36" customHeight="1">
      <ns0:c r="A237" s="439"/>
      <ns0:c r="B237" s="453"/>
      <ns0:c r="C237" s="453"/>
      <ns0:c r="D237" s="454"/>
      <ns0:c r="E237" s="454"/>
      <ns0:c r="F237" s="454"/>
      <ns0:c r="G237" s="986"/>
      <ns0:c r="H237" s="455"/>
      <ns0:c r="I237" s="456"/>
      <ns0:c r="J237" s="456"/>
      <ns0:c r="K237" s="986"/>
      <ns0:c r="L237" s="454"/>
      <ns0:c r="M237" s="439"/>
      <ns0:c r="N237" s="987" t="str">
        <ns0:f>IF(COUNTA($A237:$M237)=0,"",IF(OR(LEFT(LOWER(TRIM($F237&amp;"")),12)="subscription",LOWER(TRIM($F237&amp;""))="membership"),"",IF(OR(AND($H237&lt;&gt;"",$H237=0),LEFT(LOWER(TRIM($F237&amp;"")),9)="free game",LOWER(TRIM($F237&amp;""))="free",LOWER(TRIM($F237&amp;""))="free entry"),IF(ISNUMBER($G237),IF(ISNUMBER(SEARCH("non",LOWER($E237&amp;""))),$G237*0.85,$G237),"N/A"),IF($G237="","",IFERROR(IF(ISNUMBER(SEARCH("non",LOWER($E237&amp;""))),$G237*0.85,$G237),"")))))</ns0:f>
        <ns0:v/>
      </ns0:c>
      <ns0:c r="O237" s="987" t="str">
        <ns0:f>IF(COUNTA($A237:$M237)=0,"",IF(OR(LEFT(LOWER(TRIM($F237&amp;"")),12)="subscription",LOWER(TRIM($F237&amp;""))="membership"),"",IF(OR(AND($H237&lt;&gt;"",$H237=0),LEFT(LOWER(TRIM($F237&amp;"")),9)="free game",LOWER(TRIM($F237&amp;""))="free",LOWER(TRIM($F237&amp;""))="free entry"),IF(OR(NOT(ISNUMBER($N237)),NOT(ISNUMBER($I237)),$I237=0),"N/A",IFERROR($N237/$I237,"N/A")),IF(OR($N237="",$I237="",$I237=0),"",IFERROR($N237/$I237,"")))))</ns0:f>
        <ns0:v/>
      </ns0:c>
      <ns0:c r="P237" s="987">
        <ns0:f>IF(COUNTA($A237:$M237)=0,"",IF(OR(LEFT(LOWER(TRIM($F237&amp;"")),12)="subscription",LOWER(TRIM($F237&amp;""))="membership"),"",IF(LOWER(TRIM($D237&amp;""))="estimate","N/A",IF(LOWER($L237&amp;"")="yes",0,IF(OR(AND($H237&lt;&gt;"",$H237=0),LEFT(LOWER(TRIM($F237&amp;"")),9)="free game",LOWER(TRIM($F237&amp;""))="free",LOWER(TRIM($F237&amp;""))="free entry"),IF(ISNUMBER($K237),$K237,""),IF($K237&lt;&gt;"",$K237,""))))))</ns0:f>
      </ns0:c>
      <ns0:c r="Q237" s="114">
        <ns0:f>IF(COUNTA($A237:$M237)=0,"",IF(OR($U237="Subscription",$U237=""),"",IF($U237="Estimate","N/A",IF($U237="Profit",ROUND(IFERROR($P237,0)-IFERROR($H237,0),2),0))))</ns0:f>
      </ns0:c>
      <ns0:c r="R237" s="114">
        <ns0:f>IF(COUNTA($A237:$M237)=0,"",IF(OR($U237="Subscription",$U237=""),"",IF($U237="Estimate","N/A",IF($U237="Draw",$H237,0))))</ns0:f>
      </ns0:c>
      <ns0:c r="S237" s="114">
        <ns0:f>IF(COUNTA($A237:$M237)=0,"",IF(OR($U237="Subscription",$U237=""),"",IF($U237="Estimate","N/A",IF($U237="Disqualified",$H237,0))))</ns0:f>
      </ns0:c>
      <ns0:c r="T237" s="955">
        <ns0:f>IF(COUNTA($A237:$M237)=0,"",IF(OR($U237="Subscription",$U237=""),"",IF($U237="Estimate","N/A",IF(OR($U237="Free Game",$U237="Disqualified — Free Game",$H237=0),"N/A",IF($U237="Profit",$Q237/$H237,IF($U237="Disqualified",-$S237/$H237,0))))))</ns0:f>
      </ns0:c>
      <ns0:c r="U237" s="920">
        <ns0:f>IF(COUNTA($A237:$M237)=0,"",IF(OR(LEFT(LOWER(TRIM($F237&amp;"")),12)="subscription",LOWER(TRIM($F237&amp;""))="membership"),"Subscription",IF(LOWER(TRIM($D237&amp;""))="estimate","Estimate",IF(OR(AND($H237&lt;&gt;"",$H237=0),LEFT(LOWER(TRIM($F237&amp;"")),9)="free game",LOWER(TRIM($F237&amp;""))="free",LOWER(TRIM($F237&amp;""))="free entry"),IF(LOWER($L237&amp;"")="yes","Disqualified — Free Game","Free Game"),IF(LOWER($L237&amp;"")="yes","Disqualified",IF($P237="","",IF(ROUND(IFERROR(VALUE($P237),0)-IFERROR(VALUE($H237),0),2)&gt;0,"Profit","Draw")))))))</ns0:f>
      </ns0:c>
      <ns0:c r="V237" s="956" t="str">
        <ns0:f>IF(COUNTA($A237:$M237)=0,"",IF(OR($B237="",$C237="",$U237="Subscription"),"",IFERROR(ROUNDUP(($C237-$B237)/7,0),"")))</ns0:f>
      </ns0:c>
      <ns0:c r="W237" s="114">
        <ns0:f>IF(COUNTA($A237:$M237)=0,"",IF(OR($U237="Subscription",$U237=""),"",IF($U237="Estimate","N/A",IF(OR($U237="Free Game",$U237="Disqualified — Free Game"),0,ROUND(IFERROR($Q237,0)-IFERROR($S237,0),2)))))</ns0:f>
      </ns0:c>
      <ns0:c r="X237" s="956" t="str">
        <ns0:f>IF(COUNTA($A237:$M237)=0,"",IF(OR($U237="Subscription",NOT(ISNUMBER($J237)),NOT(ISNUMBER($I237)),$J237=0,$I237=0,$I237&gt;$J237),"",$J237-$I237))</ns0:f>
      </ns0:c>
      <ns0:c r="Y237" s="955" t="str">
        <ns0:f>IF(COUNTA($A237:$M237)=0,"",IF(OR($U237="Subscription",NOT(ISNUMBER($J237)),$J237=0,$X237=""),"",$X237/$J237))</ns0:f>
      </ns0:c>
      <ns0:c r="Z237" s="957" t="str">
        <ns0:f>IF(COUNTA($A237:$M237)=0,"",Instructions!$B$29+SUM($W$5:W237))</ns0:f>
      </ns0:c>
    </ns0:row>
    <ns0:row r="238" ht="36" customHeight="1">
      <ns0:c r="A238" s="439"/>
      <ns0:c r="B238" s="453"/>
      <ns0:c r="C238" s="453"/>
      <ns0:c r="D238" s="454"/>
      <ns0:c r="E238" s="454"/>
      <ns0:c r="F238" s="454"/>
      <ns0:c r="G238" s="986"/>
      <ns0:c r="H238" s="455"/>
      <ns0:c r="I238" s="456"/>
      <ns0:c r="J238" s="456"/>
      <ns0:c r="K238" s="986"/>
      <ns0:c r="L238" s="454"/>
      <ns0:c r="M238" s="439"/>
      <ns0:c r="N238" s="987" t="str">
        <ns0:f>IF(COUNTA($A238:$M238)=0,"",IF(OR(LEFT(LOWER(TRIM($F238&amp;"")),12)="subscription",LOWER(TRIM($F238&amp;""))="membership"),"",IF(OR(AND($H238&lt;&gt;"",$H238=0),LEFT(LOWER(TRIM($F238&amp;"")),9)="free game",LOWER(TRIM($F238&amp;""))="free",LOWER(TRIM($F238&amp;""))="free entry"),IF(ISNUMBER($G238),IF(ISNUMBER(SEARCH("non",LOWER($E238&amp;""))),$G238*0.85,$G238),"N/A"),IF($G238="","",IFERROR(IF(ISNUMBER(SEARCH("non",LOWER($E238&amp;""))),$G238*0.85,$G238),"")))))</ns0:f>
        <ns0:v/>
      </ns0:c>
      <ns0:c r="O238" s="987" t="str">
        <ns0:f>IF(COUNTA($A238:$M238)=0,"",IF(OR(LEFT(LOWER(TRIM($F238&amp;"")),12)="subscription",LOWER(TRIM($F238&amp;""))="membership"),"",IF(OR(AND($H238&lt;&gt;"",$H238=0),LEFT(LOWER(TRIM($F238&amp;"")),9)="free game",LOWER(TRIM($F238&amp;""))="free",LOWER(TRIM($F238&amp;""))="free entry"),IF(OR(NOT(ISNUMBER($N238)),NOT(ISNUMBER($I238)),$I238=0),"N/A",IFERROR($N238/$I238,"N/A")),IF(OR($N238="",$I238="",$I238=0),"",IFERROR($N238/$I238,"")))))</ns0:f>
        <ns0:v/>
      </ns0:c>
      <ns0:c r="P238" s="987">
        <ns0:f>IF(COUNTA($A238:$M238)=0,"",IF(OR(LEFT(LOWER(TRIM($F238&amp;"")),12)="subscription",LOWER(TRIM($F238&amp;""))="membership"),"",IF(LOWER(TRIM($D238&amp;""))="estimate","N/A",IF(LOWER($L238&amp;"")="yes",0,IF(OR(AND($H238&lt;&gt;"",$H238=0),LEFT(LOWER(TRIM($F238&amp;"")),9)="free game",LOWER(TRIM($F238&amp;""))="free",LOWER(TRIM($F238&amp;""))="free entry"),IF(ISNUMBER($K238),$K238,""),IF($K238&lt;&gt;"",$K238,""))))))</ns0:f>
      </ns0:c>
      <ns0:c r="Q238" s="114">
        <ns0:f>IF(COUNTA($A238:$M238)=0,"",IF(OR($U238="Subscription",$U238=""),"",IF($U238="Estimate","N/A",IF($U238="Profit",ROUND(IFERROR($P238,0)-IFERROR($H238,0),2),0))))</ns0:f>
      </ns0:c>
      <ns0:c r="R238" s="114">
        <ns0:f>IF(COUNTA($A238:$M238)=0,"",IF(OR($U238="Subscription",$U238=""),"",IF($U238="Estimate","N/A",IF($U238="Draw",$H238,0))))</ns0:f>
      </ns0:c>
      <ns0:c r="S238" s="114">
        <ns0:f>IF(COUNTA($A238:$M238)=0,"",IF(OR($U238="Subscription",$U238=""),"",IF($U238="Estimate","N/A",IF($U238="Disqualified",$H238,0))))</ns0:f>
      </ns0:c>
      <ns0:c r="T238" s="955">
        <ns0:f>IF(COUNTA($A238:$M238)=0,"",IF(OR($U238="Subscription",$U238=""),"",IF($U238="Estimate","N/A",IF(OR($U238="Free Game",$U238="Disqualified — Free Game",$H238=0),"N/A",IF($U238="Profit",$Q238/$H238,IF($U238="Disqualified",-$S238/$H238,0))))))</ns0:f>
      </ns0:c>
      <ns0:c r="U238" s="920">
        <ns0:f>IF(COUNTA($A238:$M238)=0,"",IF(OR(LEFT(LOWER(TRIM($F238&amp;"")),12)="subscription",LOWER(TRIM($F238&amp;""))="membership"),"Subscription",IF(LOWER(TRIM($D238&amp;""))="estimate","Estimate",IF(OR(AND($H238&lt;&gt;"",$H238=0),LEFT(LOWER(TRIM($F238&amp;"")),9)="free game",LOWER(TRIM($F238&amp;""))="free",LOWER(TRIM($F238&amp;""))="free entry"),IF(LOWER($L238&amp;"")="yes","Disqualified — Free Game","Free Game"),IF(LOWER($L238&amp;"")="yes","Disqualified",IF($P238="","",IF(ROUND(IFERROR(VALUE($P238),0)-IFERROR(VALUE($H238),0),2)&gt;0,"Profit","Draw")))))))</ns0:f>
      </ns0:c>
      <ns0:c r="V238" s="956" t="str">
        <ns0:f>IF(COUNTA($A238:$M238)=0,"",IF(OR($B238="",$C238="",$U238="Subscription"),"",IFERROR(ROUNDUP(($C238-$B238)/7,0),"")))</ns0:f>
      </ns0:c>
      <ns0:c r="W238" s="114">
        <ns0:f>IF(COUNTA($A238:$M238)=0,"",IF(OR($U238="Subscription",$U238=""),"",IF($U238="Estimate","N/A",IF(OR($U238="Free Game",$U238="Disqualified — Free Game"),0,ROUND(IFERROR($Q238,0)-IFERROR($S238,0),2)))))</ns0:f>
      </ns0:c>
      <ns0:c r="X238" s="956" t="str">
        <ns0:f>IF(COUNTA($A238:$M238)=0,"",IF(OR($U238="Subscription",NOT(ISNUMBER($J238)),NOT(ISNUMBER($I238)),$J238=0,$I238=0,$I238&gt;$J238),"",$J238-$I238))</ns0:f>
      </ns0:c>
      <ns0:c r="Y238" s="955" t="str">
        <ns0:f>IF(COUNTA($A238:$M238)=0,"",IF(OR($U238="Subscription",NOT(ISNUMBER($J238)),$J238=0,$X238=""),"",$X238/$J238))</ns0:f>
      </ns0:c>
      <ns0:c r="Z238" s="957" t="str">
        <ns0:f>IF(COUNTA($A238:$M238)=0,"",Instructions!$B$29+SUM($W$5:W238))</ns0:f>
      </ns0:c>
    </ns0:row>
    <ns0:row r="239" ht="36" customHeight="1">
      <ns0:c r="A239" s="439"/>
      <ns0:c r="B239" s="453"/>
      <ns0:c r="C239" s="453"/>
      <ns0:c r="D239" s="454"/>
      <ns0:c r="E239" s="454"/>
      <ns0:c r="F239" s="454"/>
      <ns0:c r="G239" s="986"/>
      <ns0:c r="H239" s="455"/>
      <ns0:c r="I239" s="456"/>
      <ns0:c r="J239" s="456"/>
      <ns0:c r="K239" s="986"/>
      <ns0:c r="L239" s="454"/>
      <ns0:c r="M239" s="439"/>
      <ns0:c r="N239" s="987" t="str">
        <ns0:f>IF(COUNTA($A239:$M239)=0,"",IF(OR(LEFT(LOWER(TRIM($F239&amp;"")),12)="subscription",LOWER(TRIM($F239&amp;""))="membership"),"",IF(OR(AND($H239&lt;&gt;"",$H239=0),LEFT(LOWER(TRIM($F239&amp;"")),9)="free game",LOWER(TRIM($F239&amp;""))="free",LOWER(TRIM($F239&amp;""))="free entry"),IF(ISNUMBER($G239),IF(ISNUMBER(SEARCH("non",LOWER($E239&amp;""))),$G239*0.85,$G239),"N/A"),IF($G239="","",IFERROR(IF(ISNUMBER(SEARCH("non",LOWER($E239&amp;""))),$G239*0.85,$G239),"")))))</ns0:f>
        <ns0:v/>
      </ns0:c>
      <ns0:c r="O239" s="987" t="str">
        <ns0:f>IF(COUNTA($A239:$M239)=0,"",IF(OR(LEFT(LOWER(TRIM($F239&amp;"")),12)="subscription",LOWER(TRIM($F239&amp;""))="membership"),"",IF(OR(AND($H239&lt;&gt;"",$H239=0),LEFT(LOWER(TRIM($F239&amp;"")),9)="free game",LOWER(TRIM($F239&amp;""))="free",LOWER(TRIM($F239&amp;""))="free entry"),IF(OR(NOT(ISNUMBER($N239)),NOT(ISNUMBER($I239)),$I239=0),"N/A",IFERROR($N239/$I239,"N/A")),IF(OR($N239="",$I239="",$I239=0),"",IFERROR($N239/$I239,"")))))</ns0:f>
        <ns0:v/>
      </ns0:c>
      <ns0:c r="P239" s="987">
        <ns0:f>IF(COUNTA($A239:$M239)=0,"",IF(OR(LEFT(LOWER(TRIM($F239&amp;"")),12)="subscription",LOWER(TRIM($F239&amp;""))="membership"),"",IF(LOWER(TRIM($D239&amp;""))="estimate","N/A",IF(LOWER($L239&amp;"")="yes",0,IF(OR(AND($H239&lt;&gt;"",$H239=0),LEFT(LOWER(TRIM($F239&amp;"")),9)="free game",LOWER(TRIM($F239&amp;""))="free",LOWER(TRIM($F239&amp;""))="free entry"),IF(ISNUMBER($K239),$K239,""),IF($K239&lt;&gt;"",$K239,""))))))</ns0:f>
      </ns0:c>
      <ns0:c r="Q239" s="114">
        <ns0:f>IF(COUNTA($A239:$M239)=0,"",IF(OR($U239="Subscription",$U239=""),"",IF($U239="Estimate","N/A",IF($U239="Profit",ROUND(IFERROR($P239,0)-IFERROR($H239,0),2),0))))</ns0:f>
      </ns0:c>
      <ns0:c r="R239" s="114">
        <ns0:f>IF(COUNTA($A239:$M239)=0,"",IF(OR($U239="Subscription",$U239=""),"",IF($U239="Estimate","N/A",IF($U239="Draw",$H239,0))))</ns0:f>
      </ns0:c>
      <ns0:c r="S239" s="114">
        <ns0:f>IF(COUNTA($A239:$M239)=0,"",IF(OR($U239="Subscription",$U239=""),"",IF($U239="Estimate","N/A",IF($U239="Disqualified",$H239,0))))</ns0:f>
      </ns0:c>
      <ns0:c r="T239" s="955">
        <ns0:f>IF(COUNTA($A239:$M239)=0,"",IF(OR($U239="Subscription",$U239=""),"",IF($U239="Estimate","N/A",IF(OR($U239="Free Game",$U239="Disqualified — Free Game",$H239=0),"N/A",IF($U239="Profit",$Q239/$H239,IF($U239="Disqualified",-$S239/$H239,0))))))</ns0:f>
      </ns0:c>
      <ns0:c r="U239" s="920">
        <ns0:f>IF(COUNTA($A239:$M239)=0,"",IF(OR(LEFT(LOWER(TRIM($F239&amp;"")),12)="subscription",LOWER(TRIM($F239&amp;""))="membership"),"Subscription",IF(LOWER(TRIM($D239&amp;""))="estimate","Estimate",IF(OR(AND($H239&lt;&gt;"",$H239=0),LEFT(LOWER(TRIM($F239&amp;"")),9)="free game",LOWER(TRIM($F239&amp;""))="free",LOWER(TRIM($F239&amp;""))="free entry"),IF(LOWER($L239&amp;"")="yes","Disqualified — Free Game","Free Game"),IF(LOWER($L239&amp;"")="yes","Disqualified",IF($P239="","",IF(ROUND(IFERROR(VALUE($P239),0)-IFERROR(VALUE($H239),0),2)&gt;0,"Profit","Draw")))))))</ns0:f>
      </ns0:c>
      <ns0:c r="V239" s="956" t="str">
        <ns0:f>IF(COUNTA($A239:$M239)=0,"",IF(OR($B239="",$C239="",$U239="Subscription"),"",IFERROR(ROUNDUP(($C239-$B239)/7,0),"")))</ns0:f>
      </ns0:c>
      <ns0:c r="W239" s="114">
        <ns0:f>IF(COUNTA($A239:$M239)=0,"",IF(OR($U239="Subscription",$U239=""),"",IF($U239="Estimate","N/A",IF(OR($U239="Free Game",$U239="Disqualified — Free Game"),0,ROUND(IFERROR($Q239,0)-IFERROR($S239,0),2)))))</ns0:f>
      </ns0:c>
      <ns0:c r="X239" s="956" t="str">
        <ns0:f>IF(COUNTA($A239:$M239)=0,"",IF(OR($U239="Subscription",NOT(ISNUMBER($J239)),NOT(ISNUMBER($I239)),$J239=0,$I239=0,$I239&gt;$J239),"",$J239-$I239))</ns0:f>
      </ns0:c>
      <ns0:c r="Y239" s="955" t="str">
        <ns0:f>IF(COUNTA($A239:$M239)=0,"",IF(OR($U239="Subscription",NOT(ISNUMBER($J239)),$J239=0,$X239=""),"",$X239/$J239))</ns0:f>
      </ns0:c>
      <ns0:c r="Z239" s="957" t="str">
        <ns0:f>IF(COUNTA($A239:$M239)=0,"",Instructions!$B$29+SUM($W$5:W239))</ns0:f>
      </ns0:c>
    </ns0:row>
    <ns0:row r="240" ht="36" customHeight="1">
      <ns0:c r="A240" s="439"/>
      <ns0:c r="B240" s="453"/>
      <ns0:c r="C240" s="453"/>
      <ns0:c r="D240" s="454"/>
      <ns0:c r="E240" s="454"/>
      <ns0:c r="F240" s="454"/>
      <ns0:c r="G240" s="986"/>
      <ns0:c r="H240" s="455"/>
      <ns0:c r="I240" s="456"/>
      <ns0:c r="J240" s="456"/>
      <ns0:c r="K240" s="986"/>
      <ns0:c r="L240" s="454"/>
      <ns0:c r="M240" s="439"/>
      <ns0:c r="N240" s="987" t="str">
        <ns0:f>IF(COUNTA($A240:$M240)=0,"",IF(OR(LEFT(LOWER(TRIM($F240&amp;"")),12)="subscription",LOWER(TRIM($F240&amp;""))="membership"),"",IF(OR(AND($H240&lt;&gt;"",$H240=0),LEFT(LOWER(TRIM($F240&amp;"")),9)="free game",LOWER(TRIM($F240&amp;""))="free",LOWER(TRIM($F240&amp;""))="free entry"),IF(ISNUMBER($G240),IF(ISNUMBER(SEARCH("non",LOWER($E240&amp;""))),$G240*0.85,$G240),"N/A"),IF($G240="","",IFERROR(IF(ISNUMBER(SEARCH("non",LOWER($E240&amp;""))),$G240*0.85,$G240),"")))))</ns0:f>
        <ns0:v/>
      </ns0:c>
      <ns0:c r="O240" s="987" t="str">
        <ns0:f>IF(COUNTA($A240:$M240)=0,"",IF(OR(LEFT(LOWER(TRIM($F240&amp;"")),12)="subscription",LOWER(TRIM($F240&amp;""))="membership"),"",IF(OR(AND($H240&lt;&gt;"",$H240=0),LEFT(LOWER(TRIM($F240&amp;"")),9)="free game",LOWER(TRIM($F240&amp;""))="free",LOWER(TRIM($F240&amp;""))="free entry"),IF(OR(NOT(ISNUMBER($N240)),NOT(ISNUMBER($I240)),$I240=0),"N/A",IFERROR($N240/$I240,"N/A")),IF(OR($N240="",$I240="",$I240=0),"",IFERROR($N240/$I240,"")))))</ns0:f>
        <ns0:v/>
      </ns0:c>
      <ns0:c r="P240" s="987">
        <ns0:f>IF(COUNTA($A240:$M240)=0,"",IF(OR(LEFT(LOWER(TRIM($F240&amp;"")),12)="subscription",LOWER(TRIM($F240&amp;""))="membership"),"",IF(LOWER(TRIM($D240&amp;""))="estimate","N/A",IF(LOWER($L240&amp;"")="yes",0,IF(OR(AND($H240&lt;&gt;"",$H240=0),LEFT(LOWER(TRIM($F240&amp;"")),9)="free game",LOWER(TRIM($F240&amp;""))="free",LOWER(TRIM($F240&amp;""))="free entry"),IF(ISNUMBER($K240),$K240,""),IF($K240&lt;&gt;"",$K240,""))))))</ns0:f>
      </ns0:c>
      <ns0:c r="Q240" s="114">
        <ns0:f>IF(COUNTA($A240:$M240)=0,"",IF(OR($U240="Subscription",$U240=""),"",IF($U240="Estimate","N/A",IF($U240="Profit",ROUND(IFERROR($P240,0)-IFERROR($H240,0),2),0))))</ns0:f>
      </ns0:c>
      <ns0:c r="R240" s="114">
        <ns0:f>IF(COUNTA($A240:$M240)=0,"",IF(OR($U240="Subscription",$U240=""),"",IF($U240="Estimate","N/A",IF($U240="Draw",$H240,0))))</ns0:f>
      </ns0:c>
      <ns0:c r="S240" s="114">
        <ns0:f>IF(COUNTA($A240:$M240)=0,"",IF(OR($U240="Subscription",$U240=""),"",IF($U240="Estimate","N/A",IF($U240="Disqualified",$H240,0))))</ns0:f>
      </ns0:c>
      <ns0:c r="T240" s="955">
        <ns0:f>IF(COUNTA($A240:$M240)=0,"",IF(OR($U240="Subscription",$U240=""),"",IF($U240="Estimate","N/A",IF(OR($U240="Free Game",$U240="Disqualified — Free Game",$H240=0),"N/A",IF($U240="Profit",$Q240/$H240,IF($U240="Disqualified",-$S240/$H240,0))))))</ns0:f>
      </ns0:c>
      <ns0:c r="U240" s="920">
        <ns0:f>IF(COUNTA($A240:$M240)=0,"",IF(OR(LEFT(LOWER(TRIM($F240&amp;"")),12)="subscription",LOWER(TRIM($F240&amp;""))="membership"),"Subscription",IF(LOWER(TRIM($D240&amp;""))="estimate","Estimate",IF(OR(AND($H240&lt;&gt;"",$H240=0),LEFT(LOWER(TRIM($F240&amp;"")),9)="free game",LOWER(TRIM($F240&amp;""))="free",LOWER(TRIM($F240&amp;""))="free entry"),IF(LOWER($L240&amp;"")="yes","Disqualified — Free Game","Free Game"),IF(LOWER($L240&amp;"")="yes","Disqualified",IF($P240="","",IF(ROUND(IFERROR(VALUE($P240),0)-IFERROR(VALUE($H240),0),2)&gt;0,"Profit","Draw")))))))</ns0:f>
      </ns0:c>
      <ns0:c r="V240" s="956" t="str">
        <ns0:f>IF(COUNTA($A240:$M240)=0,"",IF(OR($B240="",$C240="",$U240="Subscription"),"",IFERROR(ROUNDUP(($C240-$B240)/7,0),"")))</ns0:f>
      </ns0:c>
      <ns0:c r="W240" s="114">
        <ns0:f>IF(COUNTA($A240:$M240)=0,"",IF(OR($U240="Subscription",$U240=""),"",IF($U240="Estimate","N/A",IF(OR($U240="Free Game",$U240="Disqualified — Free Game"),0,ROUND(IFERROR($Q240,0)-IFERROR($S240,0),2)))))</ns0:f>
      </ns0:c>
      <ns0:c r="X240" s="956" t="str">
        <ns0:f>IF(COUNTA($A240:$M240)=0,"",IF(OR($U240="Subscription",NOT(ISNUMBER($J240)),NOT(ISNUMBER($I240)),$J240=0,$I240=0,$I240&gt;$J240),"",$J240-$I240))</ns0:f>
      </ns0:c>
      <ns0:c r="Y240" s="955" t="str">
        <ns0:f>IF(COUNTA($A240:$M240)=0,"",IF(OR($U240="Subscription",NOT(ISNUMBER($J240)),$J240=0,$X240=""),"",$X240/$J240))</ns0:f>
      </ns0:c>
      <ns0:c r="Z240" s="957" t="str">
        <ns0:f>IF(COUNTA($A240:$M240)=0,"",Instructions!$B$29+SUM($W$5:W240))</ns0:f>
      </ns0:c>
    </ns0:row>
    <ns0:row r="241" ht="36" customHeight="1">
      <ns0:c r="A241" s="439"/>
      <ns0:c r="B241" s="453"/>
      <ns0:c r="C241" s="453"/>
      <ns0:c r="D241" s="454"/>
      <ns0:c r="E241" s="454"/>
      <ns0:c r="F241" s="454"/>
      <ns0:c r="G241" s="986"/>
      <ns0:c r="H241" s="455"/>
      <ns0:c r="I241" s="456"/>
      <ns0:c r="J241" s="456"/>
      <ns0:c r="K241" s="986"/>
      <ns0:c r="L241" s="454"/>
      <ns0:c r="M241" s="439"/>
      <ns0:c r="N241" s="987" t="str">
        <ns0:f>IF(COUNTA($A241:$M241)=0,"",IF(OR(LEFT(LOWER(TRIM($F241&amp;"")),12)="subscription",LOWER(TRIM($F241&amp;""))="membership"),"",IF(OR(AND($H241&lt;&gt;"",$H241=0),LEFT(LOWER(TRIM($F241&amp;"")),9)="free game",LOWER(TRIM($F241&amp;""))="free",LOWER(TRIM($F241&amp;""))="free entry"),IF(ISNUMBER($G241),IF(ISNUMBER(SEARCH("non",LOWER($E241&amp;""))),$G241*0.85,$G241),"N/A"),IF($G241="","",IFERROR(IF(ISNUMBER(SEARCH("non",LOWER($E241&amp;""))),$G241*0.85,$G241),"")))))</ns0:f>
        <ns0:v/>
      </ns0:c>
      <ns0:c r="O241" s="987" t="str">
        <ns0:f>IF(COUNTA($A241:$M241)=0,"",IF(OR(LEFT(LOWER(TRIM($F241&amp;"")),12)="subscription",LOWER(TRIM($F241&amp;""))="membership"),"",IF(OR(AND($H241&lt;&gt;"",$H241=0),LEFT(LOWER(TRIM($F241&amp;"")),9)="free game",LOWER(TRIM($F241&amp;""))="free",LOWER(TRIM($F241&amp;""))="free entry"),IF(OR(NOT(ISNUMBER($N241)),NOT(ISNUMBER($I241)),$I241=0),"N/A",IFERROR($N241/$I241,"N/A")),IF(OR($N241="",$I241="",$I241=0),"",IFERROR($N241/$I241,"")))))</ns0:f>
        <ns0:v/>
      </ns0:c>
      <ns0:c r="P241" s="987">
        <ns0:f>IF(COUNTA($A241:$M241)=0,"",IF(OR(LEFT(LOWER(TRIM($F241&amp;"")),12)="subscription",LOWER(TRIM($F241&amp;""))="membership"),"",IF(LOWER(TRIM($D241&amp;""))="estimate","N/A",IF(LOWER($L241&amp;"")="yes",0,IF(OR(AND($H241&lt;&gt;"",$H241=0),LEFT(LOWER(TRIM($F241&amp;"")),9)="free game",LOWER(TRIM($F241&amp;""))="free",LOWER(TRIM($F241&amp;""))="free entry"),IF(ISNUMBER($K241),$K241,""),IF($K241&lt;&gt;"",$K241,""))))))</ns0:f>
      </ns0:c>
      <ns0:c r="Q241" s="114">
        <ns0:f>IF(COUNTA($A241:$M241)=0,"",IF(OR($U241="Subscription",$U241=""),"",IF($U241="Estimate","N/A",IF($U241="Profit",ROUND(IFERROR($P241,0)-IFERROR($H241,0),2),0))))</ns0:f>
      </ns0:c>
      <ns0:c r="R241" s="114">
        <ns0:f>IF(COUNTA($A241:$M241)=0,"",IF(OR($U241="Subscription",$U241=""),"",IF($U241="Estimate","N/A",IF($U241="Draw",$H241,0))))</ns0:f>
      </ns0:c>
      <ns0:c r="S241" s="114">
        <ns0:f>IF(COUNTA($A241:$M241)=0,"",IF(OR($U241="Subscription",$U241=""),"",IF($U241="Estimate","N/A",IF($U241="Disqualified",$H241,0))))</ns0:f>
      </ns0:c>
      <ns0:c r="T241" s="955">
        <ns0:f>IF(COUNTA($A241:$M241)=0,"",IF(OR($U241="Subscription",$U241=""),"",IF($U241="Estimate","N/A",IF(OR($U241="Free Game",$U241="Disqualified — Free Game",$H241=0),"N/A",IF($U241="Profit",$Q241/$H241,IF($U241="Disqualified",-$S241/$H241,0))))))</ns0:f>
      </ns0:c>
      <ns0:c r="U241" s="920">
        <ns0:f>IF(COUNTA($A241:$M241)=0,"",IF(OR(LEFT(LOWER(TRIM($F241&amp;"")),12)="subscription",LOWER(TRIM($F241&amp;""))="membership"),"Subscription",IF(LOWER(TRIM($D241&amp;""))="estimate","Estimate",IF(OR(AND($H241&lt;&gt;"",$H241=0),LEFT(LOWER(TRIM($F241&amp;"")),9)="free game",LOWER(TRIM($F241&amp;""))="free",LOWER(TRIM($F241&amp;""))="free entry"),IF(LOWER($L241&amp;"")="yes","Disqualified — Free Game","Free Game"),IF(LOWER($L241&amp;"")="yes","Disqualified",IF($P241="","",IF(ROUND(IFERROR(VALUE($P241),0)-IFERROR(VALUE($H241),0),2)&gt;0,"Profit","Draw")))))))</ns0:f>
      </ns0:c>
      <ns0:c r="V241" s="956" t="str">
        <ns0:f>IF(COUNTA($A241:$M241)=0,"",IF(OR($B241="",$C241="",$U241="Subscription"),"",IFERROR(ROUNDUP(($C241-$B241)/7,0),"")))</ns0:f>
      </ns0:c>
      <ns0:c r="W241" s="114">
        <ns0:f>IF(COUNTA($A241:$M241)=0,"",IF(OR($U241="Subscription",$U241=""),"",IF($U241="Estimate","N/A",IF(OR($U241="Free Game",$U241="Disqualified — Free Game"),0,ROUND(IFERROR($Q241,0)-IFERROR($S241,0),2)))))</ns0:f>
      </ns0:c>
      <ns0:c r="X241" s="956" t="str">
        <ns0:f>IF(COUNTA($A241:$M241)=0,"",IF(OR($U241="Subscription",NOT(ISNUMBER($J241)),NOT(ISNUMBER($I241)),$J241=0,$I241=0,$I241&gt;$J241),"",$J241-$I241))</ns0:f>
      </ns0:c>
      <ns0:c r="Y241" s="955" t="str">
        <ns0:f>IF(COUNTA($A241:$M241)=0,"",IF(OR($U241="Subscription",NOT(ISNUMBER($J241)),$J241=0,$X241=""),"",$X241/$J241))</ns0:f>
      </ns0:c>
      <ns0:c r="Z241" s="957" t="str">
        <ns0:f>IF(COUNTA($A241:$M241)=0,"",Instructions!$B$29+SUM($W$5:W241))</ns0:f>
      </ns0:c>
    </ns0:row>
    <ns0:row r="242" ht="36" customHeight="1">
      <ns0:c r="A242" s="439"/>
      <ns0:c r="B242" s="453"/>
      <ns0:c r="C242" s="453"/>
      <ns0:c r="D242" s="454"/>
      <ns0:c r="E242" s="454"/>
      <ns0:c r="F242" s="454"/>
      <ns0:c r="G242" s="986"/>
      <ns0:c r="H242" s="455"/>
      <ns0:c r="I242" s="456"/>
      <ns0:c r="J242" s="456"/>
      <ns0:c r="K242" s="986"/>
      <ns0:c r="L242" s="454"/>
      <ns0:c r="M242" s="439"/>
      <ns0:c r="N242" s="987" t="str">
        <ns0:f>IF(COUNTA($A242:$M242)=0,"",IF(OR(LEFT(LOWER(TRIM($F242&amp;"")),12)="subscription",LOWER(TRIM($F242&amp;""))="membership"),"",IF(OR(AND($H242&lt;&gt;"",$H242=0),LEFT(LOWER(TRIM($F242&amp;"")),9)="free game",LOWER(TRIM($F242&amp;""))="free",LOWER(TRIM($F242&amp;""))="free entry"),IF(ISNUMBER($G242),IF(ISNUMBER(SEARCH("non",LOWER($E242&amp;""))),$G242*0.85,$G242),"N/A"),IF($G242="","",IFERROR(IF(ISNUMBER(SEARCH("non",LOWER($E242&amp;""))),$G242*0.85,$G242),"")))))</ns0:f>
        <ns0:v/>
      </ns0:c>
      <ns0:c r="O242" s="987" t="str">
        <ns0:f>IF(COUNTA($A242:$M242)=0,"",IF(OR(LEFT(LOWER(TRIM($F242&amp;"")),12)="subscription",LOWER(TRIM($F242&amp;""))="membership"),"",IF(OR(AND($H242&lt;&gt;"",$H242=0),LEFT(LOWER(TRIM($F242&amp;"")),9)="free game",LOWER(TRIM($F242&amp;""))="free",LOWER(TRIM($F242&amp;""))="free entry"),IF(OR(NOT(ISNUMBER($N242)),NOT(ISNUMBER($I242)),$I242=0),"N/A",IFERROR($N242/$I242,"N/A")),IF(OR($N242="",$I242="",$I242=0),"",IFERROR($N242/$I242,"")))))</ns0:f>
        <ns0:v/>
      </ns0:c>
      <ns0:c r="P242" s="987">
        <ns0:f>IF(COUNTA($A242:$M242)=0,"",IF(OR(LEFT(LOWER(TRIM($F242&amp;"")),12)="subscription",LOWER(TRIM($F242&amp;""))="membership"),"",IF(LOWER(TRIM($D242&amp;""))="estimate","N/A",IF(LOWER($L242&amp;"")="yes",0,IF(OR(AND($H242&lt;&gt;"",$H242=0),LEFT(LOWER(TRIM($F242&amp;"")),9)="free game",LOWER(TRIM($F242&amp;""))="free",LOWER(TRIM($F242&amp;""))="free entry"),IF(ISNUMBER($K242),$K242,""),IF($K242&lt;&gt;"",$K242,""))))))</ns0:f>
      </ns0:c>
      <ns0:c r="Q242" s="114">
        <ns0:f>IF(COUNTA($A242:$M242)=0,"",IF(OR($U242="Subscription",$U242=""),"",IF($U242="Estimate","N/A",IF($U242="Profit",ROUND(IFERROR($P242,0)-IFERROR($H242,0),2),0))))</ns0:f>
      </ns0:c>
      <ns0:c r="R242" s="114">
        <ns0:f>IF(COUNTA($A242:$M242)=0,"",IF(OR($U242="Subscription",$U242=""),"",IF($U242="Estimate","N/A",IF($U242="Draw",$H242,0))))</ns0:f>
      </ns0:c>
      <ns0:c r="S242" s="114">
        <ns0:f>IF(COUNTA($A242:$M242)=0,"",IF(OR($U242="Subscription",$U242=""),"",IF($U242="Estimate","N/A",IF($U242="Disqualified",$H242,0))))</ns0:f>
      </ns0:c>
      <ns0:c r="T242" s="955">
        <ns0:f>IF(COUNTA($A242:$M242)=0,"",IF(OR($U242="Subscription",$U242=""),"",IF($U242="Estimate","N/A",IF(OR($U242="Free Game",$U242="Disqualified — Free Game",$H242=0),"N/A",IF($U242="Profit",$Q242/$H242,IF($U242="Disqualified",-$S242/$H242,0))))))</ns0:f>
      </ns0:c>
      <ns0:c r="U242" s="920">
        <ns0:f>IF(COUNTA($A242:$M242)=0,"",IF(OR(LEFT(LOWER(TRIM($F242&amp;"")),12)="subscription",LOWER(TRIM($F242&amp;""))="membership"),"Subscription",IF(LOWER(TRIM($D242&amp;""))="estimate","Estimate",IF(OR(AND($H242&lt;&gt;"",$H242=0),LEFT(LOWER(TRIM($F242&amp;"")),9)="free game",LOWER(TRIM($F242&amp;""))="free",LOWER(TRIM($F242&amp;""))="free entry"),IF(LOWER($L242&amp;"")="yes","Disqualified — Free Game","Free Game"),IF(LOWER($L242&amp;"")="yes","Disqualified",IF($P242="","",IF(ROUND(IFERROR(VALUE($P242),0)-IFERROR(VALUE($H242),0),2)&gt;0,"Profit","Draw")))))))</ns0:f>
      </ns0:c>
      <ns0:c r="V242" s="956" t="str">
        <ns0:f>IF(COUNTA($A242:$M242)=0,"",IF(OR($B242="",$C242="",$U242="Subscription"),"",IFERROR(ROUNDUP(($C242-$B242)/7,0),"")))</ns0:f>
      </ns0:c>
      <ns0:c r="W242" s="114">
        <ns0:f>IF(COUNTA($A242:$M242)=0,"",IF(OR($U242="Subscription",$U242=""),"",IF($U242="Estimate","N/A",IF(OR($U242="Free Game",$U242="Disqualified — Free Game"),0,ROUND(IFERROR($Q242,0)-IFERROR($S242,0),2)))))</ns0:f>
      </ns0:c>
      <ns0:c r="X242" s="956" t="str">
        <ns0:f>IF(COUNTA($A242:$M242)=0,"",IF(OR($U242="Subscription",NOT(ISNUMBER($J242)),NOT(ISNUMBER($I242)),$J242=0,$I242=0,$I242&gt;$J242),"",$J242-$I242))</ns0:f>
      </ns0:c>
      <ns0:c r="Y242" s="955" t="str">
        <ns0:f>IF(COUNTA($A242:$M242)=0,"",IF(OR($U242="Subscription",NOT(ISNUMBER($J242)),$J242=0,$X242=""),"",$X242/$J242))</ns0:f>
      </ns0:c>
      <ns0:c r="Z242" s="957" t="str">
        <ns0:f>IF(COUNTA($A242:$M242)=0,"",Instructions!$B$29+SUM($W$5:W242))</ns0:f>
      </ns0:c>
    </ns0:row>
    <ns0:row r="243" ht="36" customHeight="1">
      <ns0:c r="A243" s="439"/>
      <ns0:c r="B243" s="453"/>
      <ns0:c r="C243" s="453"/>
      <ns0:c r="D243" s="454"/>
      <ns0:c r="E243" s="454"/>
      <ns0:c r="F243" s="454"/>
      <ns0:c r="G243" s="986"/>
      <ns0:c r="H243" s="455"/>
      <ns0:c r="I243" s="456"/>
      <ns0:c r="J243" s="456"/>
      <ns0:c r="K243" s="986"/>
      <ns0:c r="L243" s="454"/>
      <ns0:c r="M243" s="439"/>
      <ns0:c r="N243" s="987" t="str">
        <ns0:f>IF(COUNTA($A243:$M243)=0,"",IF(OR(LEFT(LOWER(TRIM($F243&amp;"")),12)="subscription",LOWER(TRIM($F243&amp;""))="membership"),"",IF(OR(AND($H243&lt;&gt;"",$H243=0),LEFT(LOWER(TRIM($F243&amp;"")),9)="free game",LOWER(TRIM($F243&amp;""))="free",LOWER(TRIM($F243&amp;""))="free entry"),IF(ISNUMBER($G243),IF(ISNUMBER(SEARCH("non",LOWER($E243&amp;""))),$G243*0.85,$G243),"N/A"),IF($G243="","",IFERROR(IF(ISNUMBER(SEARCH("non",LOWER($E243&amp;""))),$G243*0.85,$G243),"")))))</ns0:f>
        <ns0:v/>
      </ns0:c>
      <ns0:c r="O243" s="987" t="str">
        <ns0:f>IF(COUNTA($A243:$M243)=0,"",IF(OR(LEFT(LOWER(TRIM($F243&amp;"")),12)="subscription",LOWER(TRIM($F243&amp;""))="membership"),"",IF(OR(AND($H243&lt;&gt;"",$H243=0),LEFT(LOWER(TRIM($F243&amp;"")),9)="free game",LOWER(TRIM($F243&amp;""))="free",LOWER(TRIM($F243&amp;""))="free entry"),IF(OR(NOT(ISNUMBER($N243)),NOT(ISNUMBER($I243)),$I243=0),"N/A",IFERROR($N243/$I243,"N/A")),IF(OR($N243="",$I243="",$I243=0),"",IFERROR($N243/$I243,"")))))</ns0:f>
        <ns0:v/>
      </ns0:c>
      <ns0:c r="P243" s="987">
        <ns0:f>IF(COUNTA($A243:$M243)=0,"",IF(OR(LEFT(LOWER(TRIM($F243&amp;"")),12)="subscription",LOWER(TRIM($F243&amp;""))="membership"),"",IF(LOWER(TRIM($D243&amp;""))="estimate","N/A",IF(LOWER($L243&amp;"")="yes",0,IF(OR(AND($H243&lt;&gt;"",$H243=0),LEFT(LOWER(TRIM($F243&amp;"")),9)="free game",LOWER(TRIM($F243&amp;""))="free",LOWER(TRIM($F243&amp;""))="free entry"),IF(ISNUMBER($K243),$K243,""),IF($K243&lt;&gt;"",$K243,""))))))</ns0:f>
      </ns0:c>
      <ns0:c r="Q243" s="114">
        <ns0:f>IF(COUNTA($A243:$M243)=0,"",IF(OR($U243="Subscription",$U243=""),"",IF($U243="Estimate","N/A",IF($U243="Profit",ROUND(IFERROR($P243,0)-IFERROR($H243,0),2),0))))</ns0:f>
      </ns0:c>
      <ns0:c r="R243" s="114">
        <ns0:f>IF(COUNTA($A243:$M243)=0,"",IF(OR($U243="Subscription",$U243=""),"",IF($U243="Estimate","N/A",IF($U243="Draw",$H243,0))))</ns0:f>
      </ns0:c>
      <ns0:c r="S243" s="114">
        <ns0:f>IF(COUNTA($A243:$M243)=0,"",IF(OR($U243="Subscription",$U243=""),"",IF($U243="Estimate","N/A",IF($U243="Disqualified",$H243,0))))</ns0:f>
      </ns0:c>
      <ns0:c r="T243" s="955">
        <ns0:f>IF(COUNTA($A243:$M243)=0,"",IF(OR($U243="Subscription",$U243=""),"",IF($U243="Estimate","N/A",IF(OR($U243="Free Game",$U243="Disqualified — Free Game",$H243=0),"N/A",IF($U243="Profit",$Q243/$H243,IF($U243="Disqualified",-$S243/$H243,0))))))</ns0:f>
      </ns0:c>
      <ns0:c r="U243" s="920">
        <ns0:f>IF(COUNTA($A243:$M243)=0,"",IF(OR(LEFT(LOWER(TRIM($F243&amp;"")),12)="subscription",LOWER(TRIM($F243&amp;""))="membership"),"Subscription",IF(LOWER(TRIM($D243&amp;""))="estimate","Estimate",IF(OR(AND($H243&lt;&gt;"",$H243=0),LEFT(LOWER(TRIM($F243&amp;"")),9)="free game",LOWER(TRIM($F243&amp;""))="free",LOWER(TRIM($F243&amp;""))="free entry"),IF(LOWER($L243&amp;"")="yes","Disqualified — Free Game","Free Game"),IF(LOWER($L243&amp;"")="yes","Disqualified",IF($P243="","",IF(ROUND(IFERROR(VALUE($P243),0)-IFERROR(VALUE($H243),0),2)&gt;0,"Profit","Draw")))))))</ns0:f>
      </ns0:c>
      <ns0:c r="V243" s="956" t="str">
        <ns0:f>IF(COUNTA($A243:$M243)=0,"",IF(OR($B243="",$C243="",$U243="Subscription"),"",IFERROR(ROUNDUP(($C243-$B243)/7,0),"")))</ns0:f>
      </ns0:c>
      <ns0:c r="W243" s="114">
        <ns0:f>IF(COUNTA($A243:$M243)=0,"",IF(OR($U243="Subscription",$U243=""),"",IF($U243="Estimate","N/A",IF(OR($U243="Free Game",$U243="Disqualified — Free Game"),0,ROUND(IFERROR($Q243,0)-IFERROR($S243,0),2)))))</ns0:f>
      </ns0:c>
      <ns0:c r="X243" s="956" t="str">
        <ns0:f>IF(COUNTA($A243:$M243)=0,"",IF(OR($U243="Subscription",NOT(ISNUMBER($J243)),NOT(ISNUMBER($I243)),$J243=0,$I243=0,$I243&gt;$J243),"",$J243-$I243))</ns0:f>
      </ns0:c>
      <ns0:c r="Y243" s="955" t="str">
        <ns0:f>IF(COUNTA($A243:$M243)=0,"",IF(OR($U243="Subscription",NOT(ISNUMBER($J243)),$J243=0,$X243=""),"",$X243/$J243))</ns0:f>
      </ns0:c>
      <ns0:c r="Z243" s="957" t="str">
        <ns0:f>IF(COUNTA($A243:$M243)=0,"",Instructions!$B$29+SUM($W$5:W243))</ns0:f>
      </ns0:c>
    </ns0:row>
    <ns0:row r="244" ht="36" customHeight="1">
      <ns0:c r="A244" s="439"/>
      <ns0:c r="B244" s="453"/>
      <ns0:c r="C244" s="453"/>
      <ns0:c r="D244" s="454"/>
      <ns0:c r="E244" s="454"/>
      <ns0:c r="F244" s="454"/>
      <ns0:c r="G244" s="986"/>
      <ns0:c r="H244" s="455"/>
      <ns0:c r="I244" s="456"/>
      <ns0:c r="J244" s="456"/>
      <ns0:c r="K244" s="986"/>
      <ns0:c r="L244" s="454"/>
      <ns0:c r="M244" s="439"/>
      <ns0:c r="N244" s="987" t="str">
        <ns0:f>IF(COUNTA($A244:$M244)=0,"",IF(OR(LEFT(LOWER(TRIM($F244&amp;"")),12)="subscription",LOWER(TRIM($F244&amp;""))="membership"),"",IF(OR(AND($H244&lt;&gt;"",$H244=0),LEFT(LOWER(TRIM($F244&amp;"")),9)="free game",LOWER(TRIM($F244&amp;""))="free",LOWER(TRIM($F244&amp;""))="free entry"),IF(ISNUMBER($G244),IF(ISNUMBER(SEARCH("non",LOWER($E244&amp;""))),$G244*0.85,$G244),"N/A"),IF($G244="","",IFERROR(IF(ISNUMBER(SEARCH("non",LOWER($E244&amp;""))),$G244*0.85,$G244),"")))))</ns0:f>
        <ns0:v/>
      </ns0:c>
      <ns0:c r="O244" s="987" t="str">
        <ns0:f>IF(COUNTA($A244:$M244)=0,"",IF(OR(LEFT(LOWER(TRIM($F244&amp;"")),12)="subscription",LOWER(TRIM($F244&amp;""))="membership"),"",IF(OR(AND($H244&lt;&gt;"",$H244=0),LEFT(LOWER(TRIM($F244&amp;"")),9)="free game",LOWER(TRIM($F244&amp;""))="free",LOWER(TRIM($F244&amp;""))="free entry"),IF(OR(NOT(ISNUMBER($N244)),NOT(ISNUMBER($I244)),$I244=0),"N/A",IFERROR($N244/$I244,"N/A")),IF(OR($N244="",$I244="",$I244=0),"",IFERROR($N244/$I244,"")))))</ns0:f>
        <ns0:v/>
      </ns0:c>
      <ns0:c r="P244" s="987">
        <ns0:f>IF(COUNTA($A244:$M244)=0,"",IF(OR(LEFT(LOWER(TRIM($F244&amp;"")),12)="subscription",LOWER(TRIM($F244&amp;""))="membership"),"",IF(LOWER(TRIM($D244&amp;""))="estimate","N/A",IF(LOWER($L244&amp;"")="yes",0,IF(OR(AND($H244&lt;&gt;"",$H244=0),LEFT(LOWER(TRIM($F244&amp;"")),9)="free game",LOWER(TRIM($F244&amp;""))="free",LOWER(TRIM($F244&amp;""))="free entry"),IF(ISNUMBER($K244),$K244,""),IF($K244&lt;&gt;"",$K244,""))))))</ns0:f>
      </ns0:c>
      <ns0:c r="Q244" s="114">
        <ns0:f>IF(COUNTA($A244:$M244)=0,"",IF(OR($U244="Subscription",$U244=""),"",IF($U244="Estimate","N/A",IF($U244="Profit",ROUND(IFERROR($P244,0)-IFERROR($H244,0),2),0))))</ns0:f>
      </ns0:c>
      <ns0:c r="R244" s="114">
        <ns0:f>IF(COUNTA($A244:$M244)=0,"",IF(OR($U244="Subscription",$U244=""),"",IF($U244="Estimate","N/A",IF($U244="Draw",$H244,0))))</ns0:f>
      </ns0:c>
      <ns0:c r="S244" s="114">
        <ns0:f>IF(COUNTA($A244:$M244)=0,"",IF(OR($U244="Subscription",$U244=""),"",IF($U244="Estimate","N/A",IF($U244="Disqualified",$H244,0))))</ns0:f>
      </ns0:c>
      <ns0:c r="T244" s="955">
        <ns0:f>IF(COUNTA($A244:$M244)=0,"",IF(OR($U244="Subscription",$U244=""),"",IF($U244="Estimate","N/A",IF(OR($U244="Free Game",$U244="Disqualified — Free Game",$H244=0),"N/A",IF($U244="Profit",$Q244/$H244,IF($U244="Disqualified",-$S244/$H244,0))))))</ns0:f>
      </ns0:c>
      <ns0:c r="U244" s="920">
        <ns0:f>IF(COUNTA($A244:$M244)=0,"",IF(OR(LEFT(LOWER(TRIM($F244&amp;"")),12)="subscription",LOWER(TRIM($F244&amp;""))="membership"),"Subscription",IF(LOWER(TRIM($D244&amp;""))="estimate","Estimate",IF(OR(AND($H244&lt;&gt;"",$H244=0),LEFT(LOWER(TRIM($F244&amp;"")),9)="free game",LOWER(TRIM($F244&amp;""))="free",LOWER(TRIM($F244&amp;""))="free entry"),IF(LOWER($L244&amp;"")="yes","Disqualified — Free Game","Free Game"),IF(LOWER($L244&amp;"")="yes","Disqualified",IF($P244="","",IF(ROUND(IFERROR(VALUE($P244),0)-IFERROR(VALUE($H244),0),2)&gt;0,"Profit","Draw")))))))</ns0:f>
      </ns0:c>
      <ns0:c r="V244" s="956" t="str">
        <ns0:f>IF(COUNTA($A244:$M244)=0,"",IF(OR($B244="",$C244="",$U244="Subscription"),"",IFERROR(ROUNDUP(($C244-$B244)/7,0),"")))</ns0:f>
      </ns0:c>
      <ns0:c r="W244" s="114">
        <ns0:f>IF(COUNTA($A244:$M244)=0,"",IF(OR($U244="Subscription",$U244=""),"",IF($U244="Estimate","N/A",IF(OR($U244="Free Game",$U244="Disqualified — Free Game"),0,ROUND(IFERROR($Q244,0)-IFERROR($S244,0),2)))))</ns0:f>
      </ns0:c>
      <ns0:c r="X244" s="956" t="str">
        <ns0:f>IF(COUNTA($A244:$M244)=0,"",IF(OR($U244="Subscription",NOT(ISNUMBER($J244)),NOT(ISNUMBER($I244)),$J244=0,$I244=0,$I244&gt;$J244),"",$J244-$I244))</ns0:f>
      </ns0:c>
      <ns0:c r="Y244" s="955" t="str">
        <ns0:f>IF(COUNTA($A244:$M244)=0,"",IF(OR($U244="Subscription",NOT(ISNUMBER($J244)),$J244=0,$X244=""),"",$X244/$J244))</ns0:f>
      </ns0:c>
      <ns0:c r="Z244" s="957" t="str">
        <ns0:f>IF(COUNTA($A244:$M244)=0,"",Instructions!$B$29+SUM($W$5:W244))</ns0:f>
      </ns0:c>
    </ns0:row>
    <ns0:row r="245" ht="36" customHeight="1">
      <ns0:c r="A245" s="439"/>
      <ns0:c r="B245" s="453"/>
      <ns0:c r="C245" s="453"/>
      <ns0:c r="D245" s="454"/>
      <ns0:c r="E245" s="454"/>
      <ns0:c r="F245" s="454"/>
      <ns0:c r="G245" s="986"/>
      <ns0:c r="H245" s="455"/>
      <ns0:c r="I245" s="456"/>
      <ns0:c r="J245" s="456"/>
      <ns0:c r="K245" s="986"/>
      <ns0:c r="L245" s="454"/>
      <ns0:c r="M245" s="439"/>
      <ns0:c r="N245" s="987" t="str">
        <ns0:f>IF(COUNTA($A245:$M245)=0,"",IF(OR(LEFT(LOWER(TRIM($F245&amp;"")),12)="subscription",LOWER(TRIM($F245&amp;""))="membership"),"",IF(OR(AND($H245&lt;&gt;"",$H245=0),LEFT(LOWER(TRIM($F245&amp;"")),9)="free game",LOWER(TRIM($F245&amp;""))="free",LOWER(TRIM($F245&amp;""))="free entry"),IF(ISNUMBER($G245),IF(ISNUMBER(SEARCH("non",LOWER($E245&amp;""))),$G245*0.85,$G245),"N/A"),IF($G245="","",IFERROR(IF(ISNUMBER(SEARCH("non",LOWER($E245&amp;""))),$G245*0.85,$G245),"")))))</ns0:f>
        <ns0:v/>
      </ns0:c>
      <ns0:c r="O245" s="987" t="str">
        <ns0:f>IF(COUNTA($A245:$M245)=0,"",IF(OR(LEFT(LOWER(TRIM($F245&amp;"")),12)="subscription",LOWER(TRIM($F245&amp;""))="membership"),"",IF(OR(AND($H245&lt;&gt;"",$H245=0),LEFT(LOWER(TRIM($F245&amp;"")),9)="free game",LOWER(TRIM($F245&amp;""))="free",LOWER(TRIM($F245&amp;""))="free entry"),IF(OR(NOT(ISNUMBER($N245)),NOT(ISNUMBER($I245)),$I245=0),"N/A",IFERROR($N245/$I245,"N/A")),IF(OR($N245="",$I245="",$I245=0),"",IFERROR($N245/$I245,"")))))</ns0:f>
        <ns0:v/>
      </ns0:c>
      <ns0:c r="P245" s="987">
        <ns0:f>IF(COUNTA($A245:$M245)=0,"",IF(OR(LEFT(LOWER(TRIM($F245&amp;"")),12)="subscription",LOWER(TRIM($F245&amp;""))="membership"),"",IF(LOWER(TRIM($D245&amp;""))="estimate","N/A",IF(LOWER($L245&amp;"")="yes",0,IF(OR(AND($H245&lt;&gt;"",$H245=0),LEFT(LOWER(TRIM($F245&amp;"")),9)="free game",LOWER(TRIM($F245&amp;""))="free",LOWER(TRIM($F245&amp;""))="free entry"),IF(ISNUMBER($K245),$K245,""),IF($K245&lt;&gt;"",$K245,""))))))</ns0:f>
      </ns0:c>
      <ns0:c r="Q245" s="114">
        <ns0:f>IF(COUNTA($A245:$M245)=0,"",IF(OR($U245="Subscription",$U245=""),"",IF($U245="Estimate","N/A",IF($U245="Profit",ROUND(IFERROR($P245,0)-IFERROR($H245,0),2),0))))</ns0:f>
      </ns0:c>
      <ns0:c r="R245" s="114">
        <ns0:f>IF(COUNTA($A245:$M245)=0,"",IF(OR($U245="Subscription",$U245=""),"",IF($U245="Estimate","N/A",IF($U245="Draw",$H245,0))))</ns0:f>
      </ns0:c>
      <ns0:c r="S245" s="114">
        <ns0:f>IF(COUNTA($A245:$M245)=0,"",IF(OR($U245="Subscription",$U245=""),"",IF($U245="Estimate","N/A",IF($U245="Disqualified",$H245,0))))</ns0:f>
      </ns0:c>
      <ns0:c r="T245" s="955">
        <ns0:f>IF(COUNTA($A245:$M245)=0,"",IF(OR($U245="Subscription",$U245=""),"",IF($U245="Estimate","N/A",IF(OR($U245="Free Game",$U245="Disqualified — Free Game",$H245=0),"N/A",IF($U245="Profit",$Q245/$H245,IF($U245="Disqualified",-$S245/$H245,0))))))</ns0:f>
      </ns0:c>
      <ns0:c r="U245" s="920">
        <ns0:f>IF(COUNTA($A245:$M245)=0,"",IF(OR(LEFT(LOWER(TRIM($F245&amp;"")),12)="subscription",LOWER(TRIM($F245&amp;""))="membership"),"Subscription",IF(LOWER(TRIM($D245&amp;""))="estimate","Estimate",IF(OR(AND($H245&lt;&gt;"",$H245=0),LEFT(LOWER(TRIM($F245&amp;"")),9)="free game",LOWER(TRIM($F245&amp;""))="free",LOWER(TRIM($F245&amp;""))="free entry"),IF(LOWER($L245&amp;"")="yes","Disqualified — Free Game","Free Game"),IF(LOWER($L245&amp;"")="yes","Disqualified",IF($P245="","",IF(ROUND(IFERROR(VALUE($P245),0)-IFERROR(VALUE($H245),0),2)&gt;0,"Profit","Draw")))))))</ns0:f>
      </ns0:c>
      <ns0:c r="V245" s="956" t="str">
        <ns0:f>IF(COUNTA($A245:$M245)=0,"",IF(OR($B245="",$C245="",$U245="Subscription"),"",IFERROR(ROUNDUP(($C245-$B245)/7,0),"")))</ns0:f>
      </ns0:c>
      <ns0:c r="W245" s="114">
        <ns0:f>IF(COUNTA($A245:$M245)=0,"",IF(OR($U245="Subscription",$U245=""),"",IF($U245="Estimate","N/A",IF(OR($U245="Free Game",$U245="Disqualified — Free Game"),0,ROUND(IFERROR($Q245,0)-IFERROR($S245,0),2)))))</ns0:f>
      </ns0:c>
      <ns0:c r="X245" s="956" t="str">
        <ns0:f>IF(COUNTA($A245:$M245)=0,"",IF(OR($U245="Subscription",NOT(ISNUMBER($J245)),NOT(ISNUMBER($I245)),$J245=0,$I245=0,$I245&gt;$J245),"",$J245-$I245))</ns0:f>
      </ns0:c>
      <ns0:c r="Y245" s="955" t="str">
        <ns0:f>IF(COUNTA($A245:$M245)=0,"",IF(OR($U245="Subscription",NOT(ISNUMBER($J245)),$J245=0,$X245=""),"",$X245/$J245))</ns0:f>
      </ns0:c>
      <ns0:c r="Z245" s="957" t="str">
        <ns0:f>IF(COUNTA($A245:$M245)=0,"",Instructions!$B$29+SUM($W$5:W245))</ns0:f>
      </ns0:c>
    </ns0:row>
    <ns0:row r="246" ht="36" customHeight="1">
      <ns0:c r="A246" s="439"/>
      <ns0:c r="B246" s="453"/>
      <ns0:c r="C246" s="453"/>
      <ns0:c r="D246" s="454"/>
      <ns0:c r="E246" s="454"/>
      <ns0:c r="F246" s="454"/>
      <ns0:c r="G246" s="986"/>
      <ns0:c r="H246" s="455"/>
      <ns0:c r="I246" s="456"/>
      <ns0:c r="J246" s="456"/>
      <ns0:c r="K246" s="986"/>
      <ns0:c r="L246" s="454"/>
      <ns0:c r="M246" s="439"/>
      <ns0:c r="N246" s="987" t="str">
        <ns0:f>IF(COUNTA($A246:$M246)=0,"",IF(OR(LEFT(LOWER(TRIM($F246&amp;"")),12)="subscription",LOWER(TRIM($F246&amp;""))="membership"),"",IF(OR(AND($H246&lt;&gt;"",$H246=0),LEFT(LOWER(TRIM($F246&amp;"")),9)="free game",LOWER(TRIM($F246&amp;""))="free",LOWER(TRIM($F246&amp;""))="free entry"),IF(ISNUMBER($G246),IF(ISNUMBER(SEARCH("non",LOWER($E246&amp;""))),$G246*0.85,$G246),"N/A"),IF($G246="","",IFERROR(IF(ISNUMBER(SEARCH("non",LOWER($E246&amp;""))),$G246*0.85,$G246),"")))))</ns0:f>
        <ns0:v/>
      </ns0:c>
      <ns0:c r="O246" s="987" t="str">
        <ns0:f>IF(COUNTA($A246:$M246)=0,"",IF(OR(LEFT(LOWER(TRIM($F246&amp;"")),12)="subscription",LOWER(TRIM($F246&amp;""))="membership"),"",IF(OR(AND($H246&lt;&gt;"",$H246=0),LEFT(LOWER(TRIM($F246&amp;"")),9)="free game",LOWER(TRIM($F246&amp;""))="free",LOWER(TRIM($F246&amp;""))="free entry"),IF(OR(NOT(ISNUMBER($N246)),NOT(ISNUMBER($I246)),$I246=0),"N/A",IFERROR($N246/$I246,"N/A")),IF(OR($N246="",$I246="",$I246=0),"",IFERROR($N246/$I246,"")))))</ns0:f>
        <ns0:v/>
      </ns0:c>
      <ns0:c r="P246" s="987">
        <ns0:f>IF(COUNTA($A246:$M246)=0,"",IF(OR(LEFT(LOWER(TRIM($F246&amp;"")),12)="subscription",LOWER(TRIM($F246&amp;""))="membership"),"",IF(LOWER(TRIM($D246&amp;""))="estimate","N/A",IF(LOWER($L246&amp;"")="yes",0,IF(OR(AND($H246&lt;&gt;"",$H246=0),LEFT(LOWER(TRIM($F246&amp;"")),9)="free game",LOWER(TRIM($F246&amp;""))="free",LOWER(TRIM($F246&amp;""))="free entry"),IF(ISNUMBER($K246),$K246,""),IF($K246&lt;&gt;"",$K246,""))))))</ns0:f>
      </ns0:c>
      <ns0:c r="Q246" s="114">
        <ns0:f>IF(COUNTA($A246:$M246)=0,"",IF(OR($U246="Subscription",$U246=""),"",IF($U246="Estimate","N/A",IF($U246="Profit",ROUND(IFERROR($P246,0)-IFERROR($H246,0),2),0))))</ns0:f>
      </ns0:c>
      <ns0:c r="R246" s="114">
        <ns0:f>IF(COUNTA($A246:$M246)=0,"",IF(OR($U246="Subscription",$U246=""),"",IF($U246="Estimate","N/A",IF($U246="Draw",$H246,0))))</ns0:f>
      </ns0:c>
      <ns0:c r="S246" s="114">
        <ns0:f>IF(COUNTA($A246:$M246)=0,"",IF(OR($U246="Subscription",$U246=""),"",IF($U246="Estimate","N/A",IF($U246="Disqualified",$H246,0))))</ns0:f>
      </ns0:c>
      <ns0:c r="T246" s="955">
        <ns0:f>IF(COUNTA($A246:$M246)=0,"",IF(OR($U246="Subscription",$U246=""),"",IF($U246="Estimate","N/A",IF(OR($U246="Free Game",$U246="Disqualified — Free Game",$H246=0),"N/A",IF($U246="Profit",$Q246/$H246,IF($U246="Disqualified",-$S246/$H246,0))))))</ns0:f>
      </ns0:c>
      <ns0:c r="U246" s="920">
        <ns0:f>IF(COUNTA($A246:$M246)=0,"",IF(OR(LEFT(LOWER(TRIM($F246&amp;"")),12)="subscription",LOWER(TRIM($F246&amp;""))="membership"),"Subscription",IF(LOWER(TRIM($D246&amp;""))="estimate","Estimate",IF(OR(AND($H246&lt;&gt;"",$H246=0),LEFT(LOWER(TRIM($F246&amp;"")),9)="free game",LOWER(TRIM($F246&amp;""))="free",LOWER(TRIM($F246&amp;""))="free entry"),IF(LOWER($L246&amp;"")="yes","Disqualified — Free Game","Free Game"),IF(LOWER($L246&amp;"")="yes","Disqualified",IF($P246="","",IF(ROUND(IFERROR(VALUE($P246),0)-IFERROR(VALUE($H246),0),2)&gt;0,"Profit","Draw")))))))</ns0:f>
      </ns0:c>
      <ns0:c r="V246" s="956" t="str">
        <ns0:f>IF(COUNTA($A246:$M246)=0,"",IF(OR($B246="",$C246="",$U246="Subscription"),"",IFERROR(ROUNDUP(($C246-$B246)/7,0),"")))</ns0:f>
      </ns0:c>
      <ns0:c r="W246" s="114">
        <ns0:f>IF(COUNTA($A246:$M246)=0,"",IF(OR($U246="Subscription",$U246=""),"",IF($U246="Estimate","N/A",IF(OR($U246="Free Game",$U246="Disqualified — Free Game"),0,ROUND(IFERROR($Q246,0)-IFERROR($S246,0),2)))))</ns0:f>
      </ns0:c>
      <ns0:c r="X246" s="956" t="str">
        <ns0:f>IF(COUNTA($A246:$M246)=0,"",IF(OR($U246="Subscription",NOT(ISNUMBER($J246)),NOT(ISNUMBER($I246)),$J246=0,$I246=0,$I246&gt;$J246),"",$J246-$I246))</ns0:f>
      </ns0:c>
      <ns0:c r="Y246" s="955" t="str">
        <ns0:f>IF(COUNTA($A246:$M246)=0,"",IF(OR($U246="Subscription",NOT(ISNUMBER($J246)),$J246=0,$X246=""),"",$X246/$J246))</ns0:f>
      </ns0:c>
      <ns0:c r="Z246" s="957" t="str">
        <ns0:f>IF(COUNTA($A246:$M246)=0,"",Instructions!$B$29+SUM($W$5:W246))</ns0:f>
      </ns0:c>
    </ns0:row>
    <ns0:row r="247" ht="36" customHeight="1">
      <ns0:c r="A247" s="439"/>
      <ns0:c r="B247" s="453"/>
      <ns0:c r="C247" s="453"/>
      <ns0:c r="D247" s="454"/>
      <ns0:c r="E247" s="454"/>
      <ns0:c r="F247" s="454"/>
      <ns0:c r="G247" s="986"/>
      <ns0:c r="H247" s="455"/>
      <ns0:c r="I247" s="456"/>
      <ns0:c r="J247" s="456"/>
      <ns0:c r="K247" s="986"/>
      <ns0:c r="L247" s="454"/>
      <ns0:c r="M247" s="439"/>
      <ns0:c r="N247" s="987" t="str">
        <ns0:f>IF(COUNTA($A247:$M247)=0,"",IF(OR(LEFT(LOWER(TRIM($F247&amp;"")),12)="subscription",LOWER(TRIM($F247&amp;""))="membership"),"",IF(OR(AND($H247&lt;&gt;"",$H247=0),LEFT(LOWER(TRIM($F247&amp;"")),9)="free game",LOWER(TRIM($F247&amp;""))="free",LOWER(TRIM($F247&amp;""))="free entry"),IF(ISNUMBER($G247),IF(ISNUMBER(SEARCH("non",LOWER($E247&amp;""))),$G247*0.85,$G247),"N/A"),IF($G247="","",IFERROR(IF(ISNUMBER(SEARCH("non",LOWER($E247&amp;""))),$G247*0.85,$G247),"")))))</ns0:f>
        <ns0:v/>
      </ns0:c>
      <ns0:c r="O247" s="987" t="str">
        <ns0:f>IF(COUNTA($A247:$M247)=0,"",IF(OR(LEFT(LOWER(TRIM($F247&amp;"")),12)="subscription",LOWER(TRIM($F247&amp;""))="membership"),"",IF(OR(AND($H247&lt;&gt;"",$H247=0),LEFT(LOWER(TRIM($F247&amp;"")),9)="free game",LOWER(TRIM($F247&amp;""))="free",LOWER(TRIM($F247&amp;""))="free entry"),IF(OR(NOT(ISNUMBER($N247)),NOT(ISNUMBER($I247)),$I247=0),"N/A",IFERROR($N247/$I247,"N/A")),IF(OR($N247="",$I247="",$I247=0),"",IFERROR($N247/$I247,"")))))</ns0:f>
        <ns0:v/>
      </ns0:c>
      <ns0:c r="P247" s="987">
        <ns0:f>IF(COUNTA($A247:$M247)=0,"",IF(OR(LEFT(LOWER(TRIM($F247&amp;"")),12)="subscription",LOWER(TRIM($F247&amp;""))="membership"),"",IF(LOWER(TRIM($D247&amp;""))="estimate","N/A",IF(LOWER($L247&amp;"")="yes",0,IF(OR(AND($H247&lt;&gt;"",$H247=0),LEFT(LOWER(TRIM($F247&amp;"")),9)="free game",LOWER(TRIM($F247&amp;""))="free",LOWER(TRIM($F247&amp;""))="free entry"),IF(ISNUMBER($K247),$K247,""),IF($K247&lt;&gt;"",$K247,""))))))</ns0:f>
      </ns0:c>
      <ns0:c r="Q247" s="114">
        <ns0:f>IF(COUNTA($A247:$M247)=0,"",IF(OR($U247="Subscription",$U247=""),"",IF($U247="Estimate","N/A",IF($U247="Profit",ROUND(IFERROR($P247,0)-IFERROR($H247,0),2),0))))</ns0:f>
      </ns0:c>
      <ns0:c r="R247" s="114">
        <ns0:f>IF(COUNTA($A247:$M247)=0,"",IF(OR($U247="Subscription",$U247=""),"",IF($U247="Estimate","N/A",IF($U247="Draw",$H247,0))))</ns0:f>
      </ns0:c>
      <ns0:c r="S247" s="114">
        <ns0:f>IF(COUNTA($A247:$M247)=0,"",IF(OR($U247="Subscription",$U247=""),"",IF($U247="Estimate","N/A",IF($U247="Disqualified",$H247,0))))</ns0:f>
      </ns0:c>
      <ns0:c r="T247" s="955">
        <ns0:f>IF(COUNTA($A247:$M247)=0,"",IF(OR($U247="Subscription",$U247=""),"",IF($U247="Estimate","N/A",IF(OR($U247="Free Game",$U247="Disqualified — Free Game",$H247=0),"N/A",IF($U247="Profit",$Q247/$H247,IF($U247="Disqualified",-$S247/$H247,0))))))</ns0:f>
      </ns0:c>
      <ns0:c r="U247" s="920">
        <ns0:f>IF(COUNTA($A247:$M247)=0,"",IF(OR(LEFT(LOWER(TRIM($F247&amp;"")),12)="subscription",LOWER(TRIM($F247&amp;""))="membership"),"Subscription",IF(LOWER(TRIM($D247&amp;""))="estimate","Estimate",IF(OR(AND($H247&lt;&gt;"",$H247=0),LEFT(LOWER(TRIM($F247&amp;"")),9)="free game",LOWER(TRIM($F247&amp;""))="free",LOWER(TRIM($F247&amp;""))="free entry"),IF(LOWER($L247&amp;"")="yes","Disqualified — Free Game","Free Game"),IF(LOWER($L247&amp;"")="yes","Disqualified",IF($P247="","",IF(ROUND(IFERROR(VALUE($P247),0)-IFERROR(VALUE($H247),0),2)&gt;0,"Profit","Draw")))))))</ns0:f>
      </ns0:c>
      <ns0:c r="V247" s="956" t="str">
        <ns0:f>IF(COUNTA($A247:$M247)=0,"",IF(OR($B247="",$C247="",$U247="Subscription"),"",IFERROR(ROUNDUP(($C247-$B247)/7,0),"")))</ns0:f>
      </ns0:c>
      <ns0:c r="W247" s="114">
        <ns0:f>IF(COUNTA($A247:$M247)=0,"",IF(OR($U247="Subscription",$U247=""),"",IF($U247="Estimate","N/A",IF(OR($U247="Free Game",$U247="Disqualified — Free Game"),0,ROUND(IFERROR($Q247,0)-IFERROR($S247,0),2)))))</ns0:f>
      </ns0:c>
      <ns0:c r="X247" s="956" t="str">
        <ns0:f>IF(COUNTA($A247:$M247)=0,"",IF(OR($U247="Subscription",NOT(ISNUMBER($J247)),NOT(ISNUMBER($I247)),$J247=0,$I247=0,$I247&gt;$J247),"",$J247-$I247))</ns0:f>
      </ns0:c>
      <ns0:c r="Y247" s="955" t="str">
        <ns0:f>IF(COUNTA($A247:$M247)=0,"",IF(OR($U247="Subscription",NOT(ISNUMBER($J247)),$J247=0,$X247=""),"",$X247/$J247))</ns0:f>
      </ns0:c>
      <ns0:c r="Z247" s="957" t="str">
        <ns0:f>IF(COUNTA($A247:$M247)=0,"",Instructions!$B$29+SUM($W$5:W247))</ns0:f>
      </ns0:c>
    </ns0:row>
    <ns0:row r="248" ht="36" customHeight="1">
      <ns0:c r="A248" s="439"/>
      <ns0:c r="B248" s="453"/>
      <ns0:c r="C248" s="453"/>
      <ns0:c r="D248" s="454"/>
      <ns0:c r="E248" s="454"/>
      <ns0:c r="F248" s="454"/>
      <ns0:c r="G248" s="986"/>
      <ns0:c r="H248" s="455"/>
      <ns0:c r="I248" s="456"/>
      <ns0:c r="J248" s="456"/>
      <ns0:c r="K248" s="986"/>
      <ns0:c r="L248" s="454"/>
      <ns0:c r="M248" s="439"/>
      <ns0:c r="N248" s="987" t="str">
        <ns0:f>IF(COUNTA($A248:$M248)=0,"",IF(OR(LEFT(LOWER(TRIM($F248&amp;"")),12)="subscription",LOWER(TRIM($F248&amp;""))="membership"),"",IF(OR(AND($H248&lt;&gt;"",$H248=0),LEFT(LOWER(TRIM($F248&amp;"")),9)="free game",LOWER(TRIM($F248&amp;""))="free",LOWER(TRIM($F248&amp;""))="free entry"),IF(ISNUMBER($G248),IF(ISNUMBER(SEARCH("non",LOWER($E248&amp;""))),$G248*0.85,$G248),"N/A"),IF($G248="","",IFERROR(IF(ISNUMBER(SEARCH("non",LOWER($E248&amp;""))),$G248*0.85,$G248),"")))))</ns0:f>
        <ns0:v/>
      </ns0:c>
      <ns0:c r="O248" s="987" t="str">
        <ns0:f>IF(COUNTA($A248:$M248)=0,"",IF(OR(LEFT(LOWER(TRIM($F248&amp;"")),12)="subscription",LOWER(TRIM($F248&amp;""))="membership"),"",IF(OR(AND($H248&lt;&gt;"",$H248=0),LEFT(LOWER(TRIM($F248&amp;"")),9)="free game",LOWER(TRIM($F248&amp;""))="free",LOWER(TRIM($F248&amp;""))="free entry"),IF(OR(NOT(ISNUMBER($N248)),NOT(ISNUMBER($I248)),$I248=0),"N/A",IFERROR($N248/$I248,"N/A")),IF(OR($N248="",$I248="",$I248=0),"",IFERROR($N248/$I248,"")))))</ns0:f>
        <ns0:v/>
      </ns0:c>
      <ns0:c r="P248" s="987">
        <ns0:f>IF(COUNTA($A248:$M248)=0,"",IF(OR(LEFT(LOWER(TRIM($F248&amp;"")),12)="subscription",LOWER(TRIM($F248&amp;""))="membership"),"",IF(LOWER(TRIM($D248&amp;""))="estimate","N/A",IF(LOWER($L248&amp;"")="yes",0,IF(OR(AND($H248&lt;&gt;"",$H248=0),LEFT(LOWER(TRIM($F248&amp;"")),9)="free game",LOWER(TRIM($F248&amp;""))="free",LOWER(TRIM($F248&amp;""))="free entry"),IF(ISNUMBER($K248),$K248,""),IF($K248&lt;&gt;"",$K248,""))))))</ns0:f>
      </ns0:c>
      <ns0:c r="Q248" s="114">
        <ns0:f>IF(COUNTA($A248:$M248)=0,"",IF(OR($U248="Subscription",$U248=""),"",IF($U248="Estimate","N/A",IF($U248="Profit",ROUND(IFERROR($P248,0)-IFERROR($H248,0),2),0))))</ns0:f>
      </ns0:c>
      <ns0:c r="R248" s="114">
        <ns0:f>IF(COUNTA($A248:$M248)=0,"",IF(OR($U248="Subscription",$U248=""),"",IF($U248="Estimate","N/A",IF($U248="Draw",$H248,0))))</ns0:f>
      </ns0:c>
      <ns0:c r="S248" s="114">
        <ns0:f>IF(COUNTA($A248:$M248)=0,"",IF(OR($U248="Subscription",$U248=""),"",IF($U248="Estimate","N/A",IF($U248="Disqualified",$H248,0))))</ns0:f>
      </ns0:c>
      <ns0:c r="T248" s="955">
        <ns0:f>IF(COUNTA($A248:$M248)=0,"",IF(OR($U248="Subscription",$U248=""),"",IF($U248="Estimate","N/A",IF(OR($U248="Free Game",$U248="Disqualified — Free Game",$H248=0),"N/A",IF($U248="Profit",$Q248/$H248,IF($U248="Disqualified",-$S248/$H248,0))))))</ns0:f>
      </ns0:c>
      <ns0:c r="U248" s="920">
        <ns0:f>IF(COUNTA($A248:$M248)=0,"",IF(OR(LEFT(LOWER(TRIM($F248&amp;"")),12)="subscription",LOWER(TRIM($F248&amp;""))="membership"),"Subscription",IF(LOWER(TRIM($D248&amp;""))="estimate","Estimate",IF(OR(AND($H248&lt;&gt;"",$H248=0),LEFT(LOWER(TRIM($F248&amp;"")),9)="free game",LOWER(TRIM($F248&amp;""))="free",LOWER(TRIM($F248&amp;""))="free entry"),IF(LOWER($L248&amp;"")="yes","Disqualified — Free Game","Free Game"),IF(LOWER($L248&amp;"")="yes","Disqualified",IF($P248="","",IF(ROUND(IFERROR(VALUE($P248),0)-IFERROR(VALUE($H248),0),2)&gt;0,"Profit","Draw")))))))</ns0:f>
      </ns0:c>
      <ns0:c r="V248" s="956" t="str">
        <ns0:f>IF(COUNTA($A248:$M248)=0,"",IF(OR($B248="",$C248="",$U248="Subscription"),"",IFERROR(ROUNDUP(($C248-$B248)/7,0),"")))</ns0:f>
      </ns0:c>
      <ns0:c r="W248" s="114">
        <ns0:f>IF(COUNTA($A248:$M248)=0,"",IF(OR($U248="Subscription",$U248=""),"",IF($U248="Estimate","N/A",IF(OR($U248="Free Game",$U248="Disqualified — Free Game"),0,ROUND(IFERROR($Q248,0)-IFERROR($S248,0),2)))))</ns0:f>
      </ns0:c>
      <ns0:c r="X248" s="956" t="str">
        <ns0:f>IF(COUNTA($A248:$M248)=0,"",IF(OR($U248="Subscription",NOT(ISNUMBER($J248)),NOT(ISNUMBER($I248)),$J248=0,$I248=0,$I248&gt;$J248),"",$J248-$I248))</ns0:f>
      </ns0:c>
      <ns0:c r="Y248" s="955" t="str">
        <ns0:f>IF(COUNTA($A248:$M248)=0,"",IF(OR($U248="Subscription",NOT(ISNUMBER($J248)),$J248=0,$X248=""),"",$X248/$J248))</ns0:f>
      </ns0:c>
      <ns0:c r="Z248" s="957" t="str">
        <ns0:f>IF(COUNTA($A248:$M248)=0,"",Instructions!$B$29+SUM($W$5:W248))</ns0:f>
      </ns0:c>
    </ns0:row>
    <ns0:row r="249" ht="36" customHeight="1">
      <ns0:c r="A249" s="439"/>
      <ns0:c r="B249" s="453"/>
      <ns0:c r="C249" s="453"/>
      <ns0:c r="D249" s="454"/>
      <ns0:c r="E249" s="454"/>
      <ns0:c r="F249" s="454"/>
      <ns0:c r="G249" s="986"/>
      <ns0:c r="H249" s="455"/>
      <ns0:c r="I249" s="456"/>
      <ns0:c r="J249" s="456"/>
      <ns0:c r="K249" s="986"/>
      <ns0:c r="L249" s="454"/>
      <ns0:c r="M249" s="439"/>
      <ns0:c r="N249" s="987" t="str">
        <ns0:f>IF(COUNTA($A249:$M249)=0,"",IF(OR(LEFT(LOWER(TRIM($F249&amp;"")),12)="subscription",LOWER(TRIM($F249&amp;""))="membership"),"",IF(OR(AND($H249&lt;&gt;"",$H249=0),LEFT(LOWER(TRIM($F249&amp;"")),9)="free game",LOWER(TRIM($F249&amp;""))="free",LOWER(TRIM($F249&amp;""))="free entry"),IF(ISNUMBER($G249),IF(ISNUMBER(SEARCH("non",LOWER($E249&amp;""))),$G249*0.85,$G249),"N/A"),IF($G249="","",IFERROR(IF(ISNUMBER(SEARCH("non",LOWER($E249&amp;""))),$G249*0.85,$G249),"")))))</ns0:f>
        <ns0:v/>
      </ns0:c>
      <ns0:c r="O249" s="987" t="str">
        <ns0:f>IF(COUNTA($A249:$M249)=0,"",IF(OR(LEFT(LOWER(TRIM($F249&amp;"")),12)="subscription",LOWER(TRIM($F249&amp;""))="membership"),"",IF(OR(AND($H249&lt;&gt;"",$H249=0),LEFT(LOWER(TRIM($F249&amp;"")),9)="free game",LOWER(TRIM($F249&amp;""))="free",LOWER(TRIM($F249&amp;""))="free entry"),IF(OR(NOT(ISNUMBER($N249)),NOT(ISNUMBER($I249)),$I249=0),"N/A",IFERROR($N249/$I249,"N/A")),IF(OR($N249="",$I249="",$I249=0),"",IFERROR($N249/$I249,"")))))</ns0:f>
        <ns0:v/>
      </ns0:c>
      <ns0:c r="P249" s="987">
        <ns0:f>IF(COUNTA($A249:$M249)=0,"",IF(OR(LEFT(LOWER(TRIM($F249&amp;"")),12)="subscription",LOWER(TRIM($F249&amp;""))="membership"),"",IF(LOWER(TRIM($D249&amp;""))="estimate","N/A",IF(LOWER($L249&amp;"")="yes",0,IF(OR(AND($H249&lt;&gt;"",$H249=0),LEFT(LOWER(TRIM($F249&amp;"")),9)="free game",LOWER(TRIM($F249&amp;""))="free",LOWER(TRIM($F249&amp;""))="free entry"),IF(ISNUMBER($K249),$K249,""),IF($K249&lt;&gt;"",$K249,""))))))</ns0:f>
      </ns0:c>
      <ns0:c r="Q249" s="114">
        <ns0:f>IF(COUNTA($A249:$M249)=0,"",IF(OR($U249="Subscription",$U249=""),"",IF($U249="Estimate","N/A",IF($U249="Profit",ROUND(IFERROR($P249,0)-IFERROR($H249,0),2),0))))</ns0:f>
      </ns0:c>
      <ns0:c r="R249" s="114">
        <ns0:f>IF(COUNTA($A249:$M249)=0,"",IF(OR($U249="Subscription",$U249=""),"",IF($U249="Estimate","N/A",IF($U249="Draw",$H249,0))))</ns0:f>
      </ns0:c>
      <ns0:c r="S249" s="114">
        <ns0:f>IF(COUNTA($A249:$M249)=0,"",IF(OR($U249="Subscription",$U249=""),"",IF($U249="Estimate","N/A",IF($U249="Disqualified",$H249,0))))</ns0:f>
      </ns0:c>
      <ns0:c r="T249" s="955">
        <ns0:f>IF(COUNTA($A249:$M249)=0,"",IF(OR($U249="Subscription",$U249=""),"",IF($U249="Estimate","N/A",IF(OR($U249="Free Game",$U249="Disqualified — Free Game",$H249=0),"N/A",IF($U249="Profit",$Q249/$H249,IF($U249="Disqualified",-$S249/$H249,0))))))</ns0:f>
      </ns0:c>
      <ns0:c r="U249" s="920">
        <ns0:f>IF(COUNTA($A249:$M249)=0,"",IF(OR(LEFT(LOWER(TRIM($F249&amp;"")),12)="subscription",LOWER(TRIM($F249&amp;""))="membership"),"Subscription",IF(LOWER(TRIM($D249&amp;""))="estimate","Estimate",IF(OR(AND($H249&lt;&gt;"",$H249=0),LEFT(LOWER(TRIM($F249&amp;"")),9)="free game",LOWER(TRIM($F249&amp;""))="free",LOWER(TRIM($F249&amp;""))="free entry"),IF(LOWER($L249&amp;"")="yes","Disqualified — Free Game","Free Game"),IF(LOWER($L249&amp;"")="yes","Disqualified",IF($P249="","",IF(ROUND(IFERROR(VALUE($P249),0)-IFERROR(VALUE($H249),0),2)&gt;0,"Profit","Draw")))))))</ns0:f>
      </ns0:c>
      <ns0:c r="V249" s="956" t="str">
        <ns0:f>IF(COUNTA($A249:$M249)=0,"",IF(OR($B249="",$C249="",$U249="Subscription"),"",IFERROR(ROUNDUP(($C249-$B249)/7,0),"")))</ns0:f>
      </ns0:c>
      <ns0:c r="W249" s="114">
        <ns0:f>IF(COUNTA($A249:$M249)=0,"",IF(OR($U249="Subscription",$U249=""),"",IF($U249="Estimate","N/A",IF(OR($U249="Free Game",$U249="Disqualified — Free Game"),0,ROUND(IFERROR($Q249,0)-IFERROR($S249,0),2)))))</ns0:f>
      </ns0:c>
      <ns0:c r="X249" s="956" t="str">
        <ns0:f>IF(COUNTA($A249:$M249)=0,"",IF(OR($U249="Subscription",NOT(ISNUMBER($J249)),NOT(ISNUMBER($I249)),$J249=0,$I249=0,$I249&gt;$J249),"",$J249-$I249))</ns0:f>
      </ns0:c>
      <ns0:c r="Y249" s="955" t="str">
        <ns0:f>IF(COUNTA($A249:$M249)=0,"",IF(OR($U249="Subscription",NOT(ISNUMBER($J249)),$J249=0,$X249=""),"",$X249/$J249))</ns0:f>
      </ns0:c>
      <ns0:c r="Z249" s="957" t="str">
        <ns0:f>IF(COUNTA($A249:$M249)=0,"",Instructions!$B$29+SUM($W$5:W249))</ns0:f>
      </ns0:c>
    </ns0:row>
    <ns0:row r="250" ht="36" customHeight="1">
      <ns0:c r="A250" s="439"/>
      <ns0:c r="B250" s="453"/>
      <ns0:c r="C250" s="453"/>
      <ns0:c r="D250" s="454"/>
      <ns0:c r="E250" s="454"/>
      <ns0:c r="F250" s="454"/>
      <ns0:c r="G250" s="986"/>
      <ns0:c r="H250" s="455"/>
      <ns0:c r="I250" s="456"/>
      <ns0:c r="J250" s="456"/>
      <ns0:c r="K250" s="986"/>
      <ns0:c r="L250" s="454"/>
      <ns0:c r="M250" s="439"/>
      <ns0:c r="N250" s="987" t="str">
        <ns0:f>IF(COUNTA($A250:$M250)=0,"",IF(OR(LEFT(LOWER(TRIM($F250&amp;"")),12)="subscription",LOWER(TRIM($F250&amp;""))="membership"),"",IF(OR(AND($H250&lt;&gt;"",$H250=0),LEFT(LOWER(TRIM($F250&amp;"")),9)="free game",LOWER(TRIM($F250&amp;""))="free",LOWER(TRIM($F250&amp;""))="free entry"),IF(ISNUMBER($G250),IF(ISNUMBER(SEARCH("non",LOWER($E250&amp;""))),$G250*0.85,$G250),"N/A"),IF($G250="","",IFERROR(IF(ISNUMBER(SEARCH("non",LOWER($E250&amp;""))),$G250*0.85,$G250),"")))))</ns0:f>
        <ns0:v/>
      </ns0:c>
      <ns0:c r="O250" s="987" t="str">
        <ns0:f>IF(COUNTA($A250:$M250)=0,"",IF(OR(LEFT(LOWER(TRIM($F250&amp;"")),12)="subscription",LOWER(TRIM($F250&amp;""))="membership"),"",IF(OR(AND($H250&lt;&gt;"",$H250=0),LEFT(LOWER(TRIM($F250&amp;"")),9)="free game",LOWER(TRIM($F250&amp;""))="free",LOWER(TRIM($F250&amp;""))="free entry"),IF(OR(NOT(ISNUMBER($N250)),NOT(ISNUMBER($I250)),$I250=0),"N/A",IFERROR($N250/$I250,"N/A")),IF(OR($N250="",$I250="",$I250=0),"",IFERROR($N250/$I250,"")))))</ns0:f>
        <ns0:v/>
      </ns0:c>
      <ns0:c r="P250" s="987">
        <ns0:f>IF(COUNTA($A250:$M250)=0,"",IF(OR(LEFT(LOWER(TRIM($F250&amp;"")),12)="subscription",LOWER(TRIM($F250&amp;""))="membership"),"",IF(LOWER(TRIM($D250&amp;""))="estimate","N/A",IF(LOWER($L250&amp;"")="yes",0,IF(OR(AND($H250&lt;&gt;"",$H250=0),LEFT(LOWER(TRIM($F250&amp;"")),9)="free game",LOWER(TRIM($F250&amp;""))="free",LOWER(TRIM($F250&amp;""))="free entry"),IF(ISNUMBER($K250),$K250,""),IF($K250&lt;&gt;"",$K250,""))))))</ns0:f>
      </ns0:c>
      <ns0:c r="Q250" s="114">
        <ns0:f>IF(COUNTA($A250:$M250)=0,"",IF(OR($U250="Subscription",$U250=""),"",IF($U250="Estimate","N/A",IF($U250="Profit",ROUND(IFERROR($P250,0)-IFERROR($H250,0),2),0))))</ns0:f>
      </ns0:c>
      <ns0:c r="R250" s="114">
        <ns0:f>IF(COUNTA($A250:$M250)=0,"",IF(OR($U250="Subscription",$U250=""),"",IF($U250="Estimate","N/A",IF($U250="Draw",$H250,0))))</ns0:f>
      </ns0:c>
      <ns0:c r="S250" s="114">
        <ns0:f>IF(COUNTA($A250:$M250)=0,"",IF(OR($U250="Subscription",$U250=""),"",IF($U250="Estimate","N/A",IF($U250="Disqualified",$H250,0))))</ns0:f>
      </ns0:c>
      <ns0:c r="T250" s="955">
        <ns0:f>IF(COUNTA($A250:$M250)=0,"",IF(OR($U250="Subscription",$U250=""),"",IF($U250="Estimate","N/A",IF(OR($U250="Free Game",$U250="Disqualified — Free Game",$H250=0),"N/A",IF($U250="Profit",$Q250/$H250,IF($U250="Disqualified",-$S250/$H250,0))))))</ns0:f>
      </ns0:c>
      <ns0:c r="U250" s="920">
        <ns0:f>IF(COUNTA($A250:$M250)=0,"",IF(OR(LEFT(LOWER(TRIM($F250&amp;"")),12)="subscription",LOWER(TRIM($F250&amp;""))="membership"),"Subscription",IF(LOWER(TRIM($D250&amp;""))="estimate","Estimate",IF(OR(AND($H250&lt;&gt;"",$H250=0),LEFT(LOWER(TRIM($F250&amp;"")),9)="free game",LOWER(TRIM($F250&amp;""))="free",LOWER(TRIM($F250&amp;""))="free entry"),IF(LOWER($L250&amp;"")="yes","Disqualified — Free Game","Free Game"),IF(LOWER($L250&amp;"")="yes","Disqualified",IF($P250="","",IF(ROUND(IFERROR(VALUE($P250),0)-IFERROR(VALUE($H250),0),2)&gt;0,"Profit","Draw")))))))</ns0:f>
      </ns0:c>
      <ns0:c r="V250" s="956" t="str">
        <ns0:f>IF(COUNTA($A250:$M250)=0,"",IF(OR($B250="",$C250="",$U250="Subscription"),"",IFERROR(ROUNDUP(($C250-$B250)/7,0),"")))</ns0:f>
      </ns0:c>
      <ns0:c r="W250" s="114">
        <ns0:f>IF(COUNTA($A250:$M250)=0,"",IF(OR($U250="Subscription",$U250=""),"",IF($U250="Estimate","N/A",IF(OR($U250="Free Game",$U250="Disqualified — Free Game"),0,ROUND(IFERROR($Q250,0)-IFERROR($S250,0),2)))))</ns0:f>
      </ns0:c>
      <ns0:c r="X250" s="956" t="str">
        <ns0:f>IF(COUNTA($A250:$M250)=0,"",IF(OR($U250="Subscription",NOT(ISNUMBER($J250)),NOT(ISNUMBER($I250)),$J250=0,$I250=0,$I250&gt;$J250),"",$J250-$I250))</ns0:f>
      </ns0:c>
      <ns0:c r="Y250" s="955" t="str">
        <ns0:f>IF(COUNTA($A250:$M250)=0,"",IF(OR($U250="Subscription",NOT(ISNUMBER($J250)),$J250=0,$X250=""),"",$X250/$J250))</ns0:f>
      </ns0:c>
      <ns0:c r="Z250" s="957" t="str">
        <ns0:f>IF(COUNTA($A250:$M250)=0,"",Instructions!$B$29+SUM($W$5:W250))</ns0:f>
      </ns0:c>
    </ns0:row>
    <ns0:row r="251" ht="36" customHeight="1">
      <ns0:c r="A251" s="439"/>
      <ns0:c r="B251" s="453"/>
      <ns0:c r="C251" s="453"/>
      <ns0:c r="D251" s="454"/>
      <ns0:c r="E251" s="454"/>
      <ns0:c r="F251" s="454"/>
      <ns0:c r="G251" s="986"/>
      <ns0:c r="H251" s="455"/>
      <ns0:c r="I251" s="456"/>
      <ns0:c r="J251" s="456"/>
      <ns0:c r="K251" s="986"/>
      <ns0:c r="L251" s="454"/>
      <ns0:c r="M251" s="439"/>
      <ns0:c r="N251" s="987" t="str">
        <ns0:f>IF(COUNTA($A251:$M251)=0,"",IF(OR(LEFT(LOWER(TRIM($F251&amp;"")),12)="subscription",LOWER(TRIM($F251&amp;""))="membership"),"",IF(OR(AND($H251&lt;&gt;"",$H251=0),LEFT(LOWER(TRIM($F251&amp;"")),9)="free game",LOWER(TRIM($F251&amp;""))="free",LOWER(TRIM($F251&amp;""))="free entry"),IF(ISNUMBER($G251),IF(ISNUMBER(SEARCH("non",LOWER($E251&amp;""))),$G251*0.85,$G251),"N/A"),IF($G251="","",IFERROR(IF(ISNUMBER(SEARCH("non",LOWER($E251&amp;""))),$G251*0.85,$G251),"")))))</ns0:f>
        <ns0:v/>
      </ns0:c>
      <ns0:c r="O251" s="987" t="str">
        <ns0:f>IF(COUNTA($A251:$M251)=0,"",IF(OR(LEFT(LOWER(TRIM($F251&amp;"")),12)="subscription",LOWER(TRIM($F251&amp;""))="membership"),"",IF(OR(AND($H251&lt;&gt;"",$H251=0),LEFT(LOWER(TRIM($F251&amp;"")),9)="free game",LOWER(TRIM($F251&amp;""))="free",LOWER(TRIM($F251&amp;""))="free entry"),IF(OR(NOT(ISNUMBER($N251)),NOT(ISNUMBER($I251)),$I251=0),"N/A",IFERROR($N251/$I251,"N/A")),IF(OR($N251="",$I251="",$I251=0),"",IFERROR($N251/$I251,"")))))</ns0:f>
        <ns0:v/>
      </ns0:c>
      <ns0:c r="P251" s="987">
        <ns0:f>IF(COUNTA($A251:$M251)=0,"",IF(OR(LEFT(LOWER(TRIM($F251&amp;"")),12)="subscription",LOWER(TRIM($F251&amp;""))="membership"),"",IF(LOWER(TRIM($D251&amp;""))="estimate","N/A",IF(LOWER($L251&amp;"")="yes",0,IF(OR(AND($H251&lt;&gt;"",$H251=0),LEFT(LOWER(TRIM($F251&amp;"")),9)="free game",LOWER(TRIM($F251&amp;""))="free",LOWER(TRIM($F251&amp;""))="free entry"),IF(ISNUMBER($K251),$K251,""),IF($K251&lt;&gt;"",$K251,""))))))</ns0:f>
      </ns0:c>
      <ns0:c r="Q251" s="114">
        <ns0:f>IF(COUNTA($A251:$M251)=0,"",IF(OR($U251="Subscription",$U251=""),"",IF($U251="Estimate","N/A",IF($U251="Profit",ROUND(IFERROR($P251,0)-IFERROR($H251,0),2),0))))</ns0:f>
      </ns0:c>
      <ns0:c r="R251" s="114">
        <ns0:f>IF(COUNTA($A251:$M251)=0,"",IF(OR($U251="Subscription",$U251=""),"",IF($U251="Estimate","N/A",IF($U251="Draw",$H251,0))))</ns0:f>
      </ns0:c>
      <ns0:c r="S251" s="114">
        <ns0:f>IF(COUNTA($A251:$M251)=0,"",IF(OR($U251="Subscription",$U251=""),"",IF($U251="Estimate","N/A",IF($U251="Disqualified",$H251,0))))</ns0:f>
      </ns0:c>
      <ns0:c r="T251" s="955">
        <ns0:f>IF(COUNTA($A251:$M251)=0,"",IF(OR($U251="Subscription",$U251=""),"",IF($U251="Estimate","N/A",IF(OR($U251="Free Game",$U251="Disqualified — Free Game",$H251=0),"N/A",IF($U251="Profit",$Q251/$H251,IF($U251="Disqualified",-$S251/$H251,0))))))</ns0:f>
      </ns0:c>
      <ns0:c r="U251" s="920">
        <ns0:f>IF(COUNTA($A251:$M251)=0,"",IF(OR(LEFT(LOWER(TRIM($F251&amp;"")),12)="subscription",LOWER(TRIM($F251&amp;""))="membership"),"Subscription",IF(LOWER(TRIM($D251&amp;""))="estimate","Estimate",IF(OR(AND($H251&lt;&gt;"",$H251=0),LEFT(LOWER(TRIM($F251&amp;"")),9)="free game",LOWER(TRIM($F251&amp;""))="free",LOWER(TRIM($F251&amp;""))="free entry"),IF(LOWER($L251&amp;"")="yes","Disqualified — Free Game","Free Game"),IF(LOWER($L251&amp;"")="yes","Disqualified",IF($P251="","",IF(ROUND(IFERROR(VALUE($P251),0)-IFERROR(VALUE($H251),0),2)&gt;0,"Profit","Draw")))))))</ns0:f>
      </ns0:c>
      <ns0:c r="V251" s="956" t="str">
        <ns0:f>IF(COUNTA($A251:$M251)=0,"",IF(OR($B251="",$C251="",$U251="Subscription"),"",IFERROR(ROUNDUP(($C251-$B251)/7,0),"")))</ns0:f>
      </ns0:c>
      <ns0:c r="W251" s="114">
        <ns0:f>IF(COUNTA($A251:$M251)=0,"",IF(OR($U251="Subscription",$U251=""),"",IF($U251="Estimate","N/A",IF(OR($U251="Free Game",$U251="Disqualified — Free Game"),0,ROUND(IFERROR($Q251,0)-IFERROR($S251,0),2)))))</ns0:f>
      </ns0:c>
      <ns0:c r="X251" s="956" t="str">
        <ns0:f>IF(COUNTA($A251:$M251)=0,"",IF(OR($U251="Subscription",NOT(ISNUMBER($J251)),NOT(ISNUMBER($I251)),$J251=0,$I251=0,$I251&gt;$J251),"",$J251-$I251))</ns0:f>
      </ns0:c>
      <ns0:c r="Y251" s="955" t="str">
        <ns0:f>IF(COUNTA($A251:$M251)=0,"",IF(OR($U251="Subscription",NOT(ISNUMBER($J251)),$J251=0,$X251=""),"",$X251/$J251))</ns0:f>
      </ns0:c>
      <ns0:c r="Z251" s="957" t="str">
        <ns0:f>IF(COUNTA($A251:$M251)=0,"",Instructions!$B$29+SUM($W$5:W251))</ns0:f>
      </ns0:c>
    </ns0:row>
    <ns0:row r="252" ht="36" customHeight="1">
      <ns0:c r="A252" s="439"/>
      <ns0:c r="B252" s="453"/>
      <ns0:c r="C252" s="453"/>
      <ns0:c r="D252" s="454"/>
      <ns0:c r="E252" s="454"/>
      <ns0:c r="F252" s="454"/>
      <ns0:c r="G252" s="986"/>
      <ns0:c r="H252" s="455"/>
      <ns0:c r="I252" s="456"/>
      <ns0:c r="J252" s="456"/>
      <ns0:c r="K252" s="986"/>
      <ns0:c r="L252" s="454"/>
      <ns0:c r="M252" s="439"/>
      <ns0:c r="N252" s="987" t="str">
        <ns0:f>IF(COUNTA($A252:$M252)=0,"",IF(OR(LEFT(LOWER(TRIM($F252&amp;"")),12)="subscription",LOWER(TRIM($F252&amp;""))="membership"),"",IF(OR(AND($H252&lt;&gt;"",$H252=0),LEFT(LOWER(TRIM($F252&amp;"")),9)="free game",LOWER(TRIM($F252&amp;""))="free",LOWER(TRIM($F252&amp;""))="free entry"),IF(ISNUMBER($G252),IF(ISNUMBER(SEARCH("non",LOWER($E252&amp;""))),$G252*0.85,$G252),"N/A"),IF($G252="","",IFERROR(IF(ISNUMBER(SEARCH("non",LOWER($E252&amp;""))),$G252*0.85,$G252),"")))))</ns0:f>
        <ns0:v/>
      </ns0:c>
      <ns0:c r="O252" s="987" t="str">
        <ns0:f>IF(COUNTA($A252:$M252)=0,"",IF(OR(LEFT(LOWER(TRIM($F252&amp;"")),12)="subscription",LOWER(TRIM($F252&amp;""))="membership"),"",IF(OR(AND($H252&lt;&gt;"",$H252=0),LEFT(LOWER(TRIM($F252&amp;"")),9)="free game",LOWER(TRIM($F252&amp;""))="free",LOWER(TRIM($F252&amp;""))="free entry"),IF(OR(NOT(ISNUMBER($N252)),NOT(ISNUMBER($I252)),$I252=0),"N/A",IFERROR($N252/$I252,"N/A")),IF(OR($N252="",$I252="",$I252=0),"",IFERROR($N252/$I252,"")))))</ns0:f>
        <ns0:v/>
      </ns0:c>
      <ns0:c r="P252" s="987">
        <ns0:f>IF(COUNTA($A252:$M252)=0,"",IF(OR(LEFT(LOWER(TRIM($F252&amp;"")),12)="subscription",LOWER(TRIM($F252&amp;""))="membership"),"",IF(LOWER(TRIM($D252&amp;""))="estimate","N/A",IF(LOWER($L252&amp;"")="yes",0,IF(OR(AND($H252&lt;&gt;"",$H252=0),LEFT(LOWER(TRIM($F252&amp;"")),9)="free game",LOWER(TRIM($F252&amp;""))="free",LOWER(TRIM($F252&amp;""))="free entry"),IF(ISNUMBER($K252),$K252,""),IF($K252&lt;&gt;"",$K252,""))))))</ns0:f>
      </ns0:c>
      <ns0:c r="Q252" s="114">
        <ns0:f>IF(COUNTA($A252:$M252)=0,"",IF(OR($U252="Subscription",$U252=""),"",IF($U252="Estimate","N/A",IF($U252="Profit",ROUND(IFERROR($P252,0)-IFERROR($H252,0),2),0))))</ns0:f>
      </ns0:c>
      <ns0:c r="R252" s="114">
        <ns0:f>IF(COUNTA($A252:$M252)=0,"",IF(OR($U252="Subscription",$U252=""),"",IF($U252="Estimate","N/A",IF($U252="Draw",$H252,0))))</ns0:f>
      </ns0:c>
      <ns0:c r="S252" s="114">
        <ns0:f>IF(COUNTA($A252:$M252)=0,"",IF(OR($U252="Subscription",$U252=""),"",IF($U252="Estimate","N/A",IF($U252="Disqualified",$H252,0))))</ns0:f>
      </ns0:c>
      <ns0:c r="T252" s="955">
        <ns0:f>IF(COUNTA($A252:$M252)=0,"",IF(OR($U252="Subscription",$U252=""),"",IF($U252="Estimate","N/A",IF(OR($U252="Free Game",$U252="Disqualified — Free Game",$H252=0),"N/A",IF($U252="Profit",$Q252/$H252,IF($U252="Disqualified",-$S252/$H252,0))))))</ns0:f>
      </ns0:c>
      <ns0:c r="U252" s="920">
        <ns0:f>IF(COUNTA($A252:$M252)=0,"",IF(OR(LEFT(LOWER(TRIM($F252&amp;"")),12)="subscription",LOWER(TRIM($F252&amp;""))="membership"),"Subscription",IF(LOWER(TRIM($D252&amp;""))="estimate","Estimate",IF(OR(AND($H252&lt;&gt;"",$H252=0),LEFT(LOWER(TRIM($F252&amp;"")),9)="free game",LOWER(TRIM($F252&amp;""))="free",LOWER(TRIM($F252&amp;""))="free entry"),IF(LOWER($L252&amp;"")="yes","Disqualified — Free Game","Free Game"),IF(LOWER($L252&amp;"")="yes","Disqualified",IF($P252="","",IF(ROUND(IFERROR(VALUE($P252),0)-IFERROR(VALUE($H252),0),2)&gt;0,"Profit","Draw")))))))</ns0:f>
      </ns0:c>
      <ns0:c r="V252" s="956" t="str">
        <ns0:f>IF(COUNTA($A252:$M252)=0,"",IF(OR($B252="",$C252="",$U252="Subscription"),"",IFERROR(ROUNDUP(($C252-$B252)/7,0),"")))</ns0:f>
      </ns0:c>
      <ns0:c r="W252" s="114">
        <ns0:f>IF(COUNTA($A252:$M252)=0,"",IF(OR($U252="Subscription",$U252=""),"",IF($U252="Estimate","N/A",IF(OR($U252="Free Game",$U252="Disqualified — Free Game"),0,ROUND(IFERROR($Q252,0)-IFERROR($S252,0),2)))))</ns0:f>
      </ns0:c>
      <ns0:c r="X252" s="956" t="str">
        <ns0:f>IF(COUNTA($A252:$M252)=0,"",IF(OR($U252="Subscription",NOT(ISNUMBER($J252)),NOT(ISNUMBER($I252)),$J252=0,$I252=0,$I252&gt;$J252),"",$J252-$I252))</ns0:f>
      </ns0:c>
      <ns0:c r="Y252" s="955" t="str">
        <ns0:f>IF(COUNTA($A252:$M252)=0,"",IF(OR($U252="Subscription",NOT(ISNUMBER($J252)),$J252=0,$X252=""),"",$X252/$J252))</ns0:f>
      </ns0:c>
      <ns0:c r="Z252" s="957" t="str">
        <ns0:f>IF(COUNTA($A252:$M252)=0,"",Instructions!$B$29+SUM($W$5:W252))</ns0:f>
      </ns0:c>
    </ns0:row>
    <ns0:row r="253" ht="36" customHeight="1">
      <ns0:c r="A253" s="439"/>
      <ns0:c r="B253" s="453"/>
      <ns0:c r="C253" s="453"/>
      <ns0:c r="D253" s="454"/>
      <ns0:c r="E253" s="454"/>
      <ns0:c r="F253" s="454"/>
      <ns0:c r="G253" s="986"/>
      <ns0:c r="H253" s="455"/>
      <ns0:c r="I253" s="456"/>
      <ns0:c r="J253" s="456"/>
      <ns0:c r="K253" s="986"/>
      <ns0:c r="L253" s="454"/>
      <ns0:c r="M253" s="439"/>
      <ns0:c r="N253" s="987" t="str">
        <ns0:f>IF(COUNTA($A253:$M253)=0,"",IF(OR(LEFT(LOWER(TRIM($F253&amp;"")),12)="subscription",LOWER(TRIM($F253&amp;""))="membership"),"",IF(OR(AND($H253&lt;&gt;"",$H253=0),LEFT(LOWER(TRIM($F253&amp;"")),9)="free game",LOWER(TRIM($F253&amp;""))="free",LOWER(TRIM($F253&amp;""))="free entry"),IF(ISNUMBER($G253),IF(ISNUMBER(SEARCH("non",LOWER($E253&amp;""))),$G253*0.85,$G253),"N/A"),IF($G253="","",IFERROR(IF(ISNUMBER(SEARCH("non",LOWER($E253&amp;""))),$G253*0.85,$G253),"")))))</ns0:f>
        <ns0:v/>
      </ns0:c>
      <ns0:c r="O253" s="987" t="str">
        <ns0:f>IF(COUNTA($A253:$M253)=0,"",IF(OR(LEFT(LOWER(TRIM($F253&amp;"")),12)="subscription",LOWER(TRIM($F253&amp;""))="membership"),"",IF(OR(AND($H253&lt;&gt;"",$H253=0),LEFT(LOWER(TRIM($F253&amp;"")),9)="free game",LOWER(TRIM($F253&amp;""))="free",LOWER(TRIM($F253&amp;""))="free entry"),IF(OR(NOT(ISNUMBER($N253)),NOT(ISNUMBER($I253)),$I253=0),"N/A",IFERROR($N253/$I253,"N/A")),IF(OR($N253="",$I253="",$I253=0),"",IFERROR($N253/$I253,"")))))</ns0:f>
        <ns0:v/>
      </ns0:c>
      <ns0:c r="P253" s="987">
        <ns0:f>IF(COUNTA($A253:$M253)=0,"",IF(OR(LEFT(LOWER(TRIM($F253&amp;"")),12)="subscription",LOWER(TRIM($F253&amp;""))="membership"),"",IF(LOWER(TRIM($D253&amp;""))="estimate","N/A",IF(LOWER($L253&amp;"")="yes",0,IF(OR(AND($H253&lt;&gt;"",$H253=0),LEFT(LOWER(TRIM($F253&amp;"")),9)="free game",LOWER(TRIM($F253&amp;""))="free",LOWER(TRIM($F253&amp;""))="free entry"),IF(ISNUMBER($K253),$K253,""),IF($K253&lt;&gt;"",$K253,""))))))</ns0:f>
      </ns0:c>
      <ns0:c r="Q253" s="114">
        <ns0:f>IF(COUNTA($A253:$M253)=0,"",IF(OR($U253="Subscription",$U253=""),"",IF($U253="Estimate","N/A",IF($U253="Profit",ROUND(IFERROR($P253,0)-IFERROR($H253,0),2),0))))</ns0:f>
      </ns0:c>
      <ns0:c r="R253" s="114">
        <ns0:f>IF(COUNTA($A253:$M253)=0,"",IF(OR($U253="Subscription",$U253=""),"",IF($U253="Estimate","N/A",IF($U253="Draw",$H253,0))))</ns0:f>
      </ns0:c>
      <ns0:c r="S253" s="114">
        <ns0:f>IF(COUNTA($A253:$M253)=0,"",IF(OR($U253="Subscription",$U253=""),"",IF($U253="Estimate","N/A",IF($U253="Disqualified",$H253,0))))</ns0:f>
      </ns0:c>
      <ns0:c r="T253" s="955">
        <ns0:f>IF(COUNTA($A253:$M253)=0,"",IF(OR($U253="Subscription",$U253=""),"",IF($U253="Estimate","N/A",IF(OR($U253="Free Game",$U253="Disqualified — Free Game",$H253=0),"N/A",IF($U253="Profit",$Q253/$H253,IF($U253="Disqualified",-$S253/$H253,0))))))</ns0:f>
      </ns0:c>
      <ns0:c r="U253" s="920">
        <ns0:f>IF(COUNTA($A253:$M253)=0,"",IF(OR(LEFT(LOWER(TRIM($F253&amp;"")),12)="subscription",LOWER(TRIM($F253&amp;""))="membership"),"Subscription",IF(LOWER(TRIM($D253&amp;""))="estimate","Estimate",IF(OR(AND($H253&lt;&gt;"",$H253=0),LEFT(LOWER(TRIM($F253&amp;"")),9)="free game",LOWER(TRIM($F253&amp;""))="free",LOWER(TRIM($F253&amp;""))="free entry"),IF(LOWER($L253&amp;"")="yes","Disqualified — Free Game","Free Game"),IF(LOWER($L253&amp;"")="yes","Disqualified",IF($P253="","",IF(ROUND(IFERROR(VALUE($P253),0)-IFERROR(VALUE($H253),0),2)&gt;0,"Profit","Draw")))))))</ns0:f>
      </ns0:c>
      <ns0:c r="V253" s="956" t="str">
        <ns0:f>IF(COUNTA($A253:$M253)=0,"",IF(OR($B253="",$C253="",$U253="Subscription"),"",IFERROR(ROUNDUP(($C253-$B253)/7,0),"")))</ns0:f>
      </ns0:c>
      <ns0:c r="W253" s="114">
        <ns0:f>IF(COUNTA($A253:$M253)=0,"",IF(OR($U253="Subscription",$U253=""),"",IF($U253="Estimate","N/A",IF(OR($U253="Free Game",$U253="Disqualified — Free Game"),0,ROUND(IFERROR($Q253,0)-IFERROR($S253,0),2)))))</ns0:f>
      </ns0:c>
      <ns0:c r="X253" s="956" t="str">
        <ns0:f>IF(COUNTA($A253:$M253)=0,"",IF(OR($U253="Subscription",NOT(ISNUMBER($J253)),NOT(ISNUMBER($I253)),$J253=0,$I253=0,$I253&gt;$J253),"",$J253-$I253))</ns0:f>
      </ns0:c>
      <ns0:c r="Y253" s="955" t="str">
        <ns0:f>IF(COUNTA($A253:$M253)=0,"",IF(OR($U253="Subscription",NOT(ISNUMBER($J253)),$J253=0,$X253=""),"",$X253/$J253))</ns0:f>
      </ns0:c>
      <ns0:c r="Z253" s="957" t="str">
        <ns0:f>IF(COUNTA($A253:$M253)=0,"",Instructions!$B$29+SUM($W$5:W253))</ns0:f>
      </ns0:c>
    </ns0:row>
    <ns0:row r="254" ht="36" customHeight="1">
      <ns0:c r="A254" s="439"/>
      <ns0:c r="B254" s="453"/>
      <ns0:c r="C254" s="453"/>
      <ns0:c r="D254" s="454"/>
      <ns0:c r="E254" s="454"/>
      <ns0:c r="F254" s="454"/>
      <ns0:c r="G254" s="986"/>
      <ns0:c r="H254" s="455"/>
      <ns0:c r="I254" s="456"/>
      <ns0:c r="J254" s="456"/>
      <ns0:c r="K254" s="986"/>
      <ns0:c r="L254" s="454"/>
      <ns0:c r="M254" s="439"/>
      <ns0:c r="N254" s="987" t="str">
        <ns0:f>IF(COUNTA($A254:$M254)=0,"",IF(OR(LEFT(LOWER(TRIM($F254&amp;"")),12)="subscription",LOWER(TRIM($F254&amp;""))="membership"),"",IF(OR(AND($H254&lt;&gt;"",$H254=0),LEFT(LOWER(TRIM($F254&amp;"")),9)="free game",LOWER(TRIM($F254&amp;""))="free",LOWER(TRIM($F254&amp;""))="free entry"),IF(ISNUMBER($G254),IF(ISNUMBER(SEARCH("non",LOWER($E254&amp;""))),$G254*0.85,$G254),"N/A"),IF($G254="","",IFERROR(IF(ISNUMBER(SEARCH("non",LOWER($E254&amp;""))),$G254*0.85,$G254),"")))))</ns0:f>
        <ns0:v/>
      </ns0:c>
      <ns0:c r="O254" s="987" t="str">
        <ns0:f>IF(COUNTA($A254:$M254)=0,"",IF(OR(LEFT(LOWER(TRIM($F254&amp;"")),12)="subscription",LOWER(TRIM($F254&amp;""))="membership"),"",IF(OR(AND($H254&lt;&gt;"",$H254=0),LEFT(LOWER(TRIM($F254&amp;"")),9)="free game",LOWER(TRIM($F254&amp;""))="free",LOWER(TRIM($F254&amp;""))="free entry"),IF(OR(NOT(ISNUMBER($N254)),NOT(ISNUMBER($I254)),$I254=0),"N/A",IFERROR($N254/$I254,"N/A")),IF(OR($N254="",$I254="",$I254=0),"",IFERROR($N254/$I254,"")))))</ns0:f>
        <ns0:v/>
      </ns0:c>
      <ns0:c r="P254" s="987">
        <ns0:f>IF(COUNTA($A254:$M254)=0,"",IF(OR(LEFT(LOWER(TRIM($F254&amp;"")),12)="subscription",LOWER(TRIM($F254&amp;""))="membership"),"",IF(LOWER(TRIM($D254&amp;""))="estimate","N/A",IF(LOWER($L254&amp;"")="yes",0,IF(OR(AND($H254&lt;&gt;"",$H254=0),LEFT(LOWER(TRIM($F254&amp;"")),9)="free game",LOWER(TRIM($F254&amp;""))="free",LOWER(TRIM($F254&amp;""))="free entry"),IF(ISNUMBER($K254),$K254,""),IF($K254&lt;&gt;"",$K254,""))))))</ns0:f>
      </ns0:c>
      <ns0:c r="Q254" s="114">
        <ns0:f>IF(COUNTA($A254:$M254)=0,"",IF(OR($U254="Subscription",$U254=""),"",IF($U254="Estimate","N/A",IF($U254="Profit",ROUND(IFERROR($P254,0)-IFERROR($H254,0),2),0))))</ns0:f>
      </ns0:c>
      <ns0:c r="R254" s="114">
        <ns0:f>IF(COUNTA($A254:$M254)=0,"",IF(OR($U254="Subscription",$U254=""),"",IF($U254="Estimate","N/A",IF($U254="Draw",$H254,0))))</ns0:f>
      </ns0:c>
      <ns0:c r="S254" s="114">
        <ns0:f>IF(COUNTA($A254:$M254)=0,"",IF(OR($U254="Subscription",$U254=""),"",IF($U254="Estimate","N/A",IF($U254="Disqualified",$H254,0))))</ns0:f>
      </ns0:c>
      <ns0:c r="T254" s="955">
        <ns0:f>IF(COUNTA($A254:$M254)=0,"",IF(OR($U254="Subscription",$U254=""),"",IF($U254="Estimate","N/A",IF(OR($U254="Free Game",$U254="Disqualified — Free Game",$H254=0),"N/A",IF($U254="Profit",$Q254/$H254,IF($U254="Disqualified",-$S254/$H254,0))))))</ns0:f>
      </ns0:c>
      <ns0:c r="U254" s="920">
        <ns0:f>IF(COUNTA($A254:$M254)=0,"",IF(OR(LEFT(LOWER(TRIM($F254&amp;"")),12)="subscription",LOWER(TRIM($F254&amp;""))="membership"),"Subscription",IF(LOWER(TRIM($D254&amp;""))="estimate","Estimate",IF(OR(AND($H254&lt;&gt;"",$H254=0),LEFT(LOWER(TRIM($F254&amp;"")),9)="free game",LOWER(TRIM($F254&amp;""))="free",LOWER(TRIM($F254&amp;""))="free entry"),IF(LOWER($L254&amp;"")="yes","Disqualified — Free Game","Free Game"),IF(LOWER($L254&amp;"")="yes","Disqualified",IF($P254="","",IF(ROUND(IFERROR(VALUE($P254),0)-IFERROR(VALUE($H254),0),2)&gt;0,"Profit","Draw")))))))</ns0:f>
      </ns0:c>
      <ns0:c r="V254" s="956" t="str">
        <ns0:f>IF(COUNTA($A254:$M254)=0,"",IF(OR($B254="",$C254="",$U254="Subscription"),"",IFERROR(ROUNDUP(($C254-$B254)/7,0),"")))</ns0:f>
      </ns0:c>
      <ns0:c r="W254" s="114">
        <ns0:f>IF(COUNTA($A254:$M254)=0,"",IF(OR($U254="Subscription",$U254=""),"",IF($U254="Estimate","N/A",IF(OR($U254="Free Game",$U254="Disqualified — Free Game"),0,ROUND(IFERROR($Q254,0)-IFERROR($S254,0),2)))))</ns0:f>
      </ns0:c>
      <ns0:c r="X254" s="956" t="str">
        <ns0:f>IF(COUNTA($A254:$M254)=0,"",IF(OR($U254="Subscription",NOT(ISNUMBER($J254)),NOT(ISNUMBER($I254)),$J254=0,$I254=0,$I254&gt;$J254),"",$J254-$I254))</ns0:f>
      </ns0:c>
      <ns0:c r="Y254" s="955" t="str">
        <ns0:f>IF(COUNTA($A254:$M254)=0,"",IF(OR($U254="Subscription",NOT(ISNUMBER($J254)),$J254=0,$X254=""),"",$X254/$J254))</ns0:f>
      </ns0:c>
      <ns0:c r="Z254" s="957" t="str">
        <ns0:f>IF(COUNTA($A254:$M254)=0,"",Instructions!$B$29+SUM($W$5:W254))</ns0:f>
      </ns0:c>
    </ns0:row>
    <ns0:row r="255" ht="36" customHeight="1">
      <ns0:c r="A255" s="439"/>
      <ns0:c r="B255" s="453"/>
      <ns0:c r="C255" s="453"/>
      <ns0:c r="D255" s="454"/>
      <ns0:c r="E255" s="454"/>
      <ns0:c r="F255" s="454"/>
      <ns0:c r="G255" s="986"/>
      <ns0:c r="H255" s="455"/>
      <ns0:c r="I255" s="456"/>
      <ns0:c r="J255" s="456"/>
      <ns0:c r="K255" s="986"/>
      <ns0:c r="L255" s="454"/>
      <ns0:c r="M255" s="439"/>
      <ns0:c r="N255" s="987" t="str">
        <ns0:f>IF(COUNTA($A255:$M255)=0,"",IF(OR(LEFT(LOWER(TRIM($F255&amp;"")),12)="subscription",LOWER(TRIM($F255&amp;""))="membership"),"",IF(OR(AND($H255&lt;&gt;"",$H255=0),LEFT(LOWER(TRIM($F255&amp;"")),9)="free game",LOWER(TRIM($F255&amp;""))="free",LOWER(TRIM($F255&amp;""))="free entry"),IF(ISNUMBER($G255),IF(ISNUMBER(SEARCH("non",LOWER($E255&amp;""))),$G255*0.85,$G255),"N/A"),IF($G255="","",IFERROR(IF(ISNUMBER(SEARCH("non",LOWER($E255&amp;""))),$G255*0.85,$G255),"")))))</ns0:f>
        <ns0:v/>
      </ns0:c>
      <ns0:c r="O255" s="987" t="str">
        <ns0:f>IF(COUNTA($A255:$M255)=0,"",IF(OR(LEFT(LOWER(TRIM($F255&amp;"")),12)="subscription",LOWER(TRIM($F255&amp;""))="membership"),"",IF(OR(AND($H255&lt;&gt;"",$H255=0),LEFT(LOWER(TRIM($F255&amp;"")),9)="free game",LOWER(TRIM($F255&amp;""))="free",LOWER(TRIM($F255&amp;""))="free entry"),IF(OR(NOT(ISNUMBER($N255)),NOT(ISNUMBER($I255)),$I255=0),"N/A",IFERROR($N255/$I255,"N/A")),IF(OR($N255="",$I255="",$I255=0),"",IFERROR($N255/$I255,"")))))</ns0:f>
        <ns0:v/>
      </ns0:c>
      <ns0:c r="P255" s="987">
        <ns0:f>IF(COUNTA($A255:$M255)=0,"",IF(OR(LEFT(LOWER(TRIM($F255&amp;"")),12)="subscription",LOWER(TRIM($F255&amp;""))="membership"),"",IF(LOWER(TRIM($D255&amp;""))="estimate","N/A",IF(LOWER($L255&amp;"")="yes",0,IF(OR(AND($H255&lt;&gt;"",$H255=0),LEFT(LOWER(TRIM($F255&amp;"")),9)="free game",LOWER(TRIM($F255&amp;""))="free",LOWER(TRIM($F255&amp;""))="free entry"),IF(ISNUMBER($K255),$K255,""),IF($K255&lt;&gt;"",$K255,""))))))</ns0:f>
      </ns0:c>
      <ns0:c r="Q255" s="114">
        <ns0:f>IF(COUNTA($A255:$M255)=0,"",IF(OR($U255="Subscription",$U255=""),"",IF($U255="Estimate","N/A",IF($U255="Profit",ROUND(IFERROR($P255,0)-IFERROR($H255,0),2),0))))</ns0:f>
      </ns0:c>
      <ns0:c r="R255" s="114">
        <ns0:f>IF(COUNTA($A255:$M255)=0,"",IF(OR($U255="Subscription",$U255=""),"",IF($U255="Estimate","N/A",IF($U255="Draw",$H255,0))))</ns0:f>
      </ns0:c>
      <ns0:c r="S255" s="114">
        <ns0:f>IF(COUNTA($A255:$M255)=0,"",IF(OR($U255="Subscription",$U255=""),"",IF($U255="Estimate","N/A",IF($U255="Disqualified",$H255,0))))</ns0:f>
      </ns0:c>
      <ns0:c r="T255" s="955">
        <ns0:f>IF(COUNTA($A255:$M255)=0,"",IF(OR($U255="Subscription",$U255=""),"",IF($U255="Estimate","N/A",IF(OR($U255="Free Game",$U255="Disqualified — Free Game",$H255=0),"N/A",IF($U255="Profit",$Q255/$H255,IF($U255="Disqualified",-$S255/$H255,0))))))</ns0:f>
      </ns0:c>
      <ns0:c r="U255" s="920">
        <ns0:f>IF(COUNTA($A255:$M255)=0,"",IF(OR(LEFT(LOWER(TRIM($F255&amp;"")),12)="subscription",LOWER(TRIM($F255&amp;""))="membership"),"Subscription",IF(LOWER(TRIM($D255&amp;""))="estimate","Estimate",IF(OR(AND($H255&lt;&gt;"",$H255=0),LEFT(LOWER(TRIM($F255&amp;"")),9)="free game",LOWER(TRIM($F255&amp;""))="free",LOWER(TRIM($F255&amp;""))="free entry"),IF(LOWER($L255&amp;"")="yes","Disqualified — Free Game","Free Game"),IF(LOWER($L255&amp;"")="yes","Disqualified",IF($P255="","",IF(ROUND(IFERROR(VALUE($P255),0)-IFERROR(VALUE($H255),0),2)&gt;0,"Profit","Draw")))))))</ns0:f>
      </ns0:c>
      <ns0:c r="V255" s="956" t="str">
        <ns0:f>IF(COUNTA($A255:$M255)=0,"",IF(OR($B255="",$C255="",$U255="Subscription"),"",IFERROR(ROUNDUP(($C255-$B255)/7,0),"")))</ns0:f>
      </ns0:c>
      <ns0:c r="W255" s="114">
        <ns0:f>IF(COUNTA($A255:$M255)=0,"",IF(OR($U255="Subscription",$U255=""),"",IF($U255="Estimate","N/A",IF(OR($U255="Free Game",$U255="Disqualified — Free Game"),0,ROUND(IFERROR($Q255,0)-IFERROR($S255,0),2)))))</ns0:f>
      </ns0:c>
      <ns0:c r="X255" s="956" t="str">
        <ns0:f>IF(COUNTA($A255:$M255)=0,"",IF(OR($U255="Subscription",NOT(ISNUMBER($J255)),NOT(ISNUMBER($I255)),$J255=0,$I255=0,$I255&gt;$J255),"",$J255-$I255))</ns0:f>
      </ns0:c>
      <ns0:c r="Y255" s="955" t="str">
        <ns0:f>IF(COUNTA($A255:$M255)=0,"",IF(OR($U255="Subscription",NOT(ISNUMBER($J255)),$J255=0,$X255=""),"",$X255/$J255))</ns0:f>
      </ns0:c>
      <ns0:c r="Z255" s="957" t="str">
        <ns0:f>IF(COUNTA($A255:$M255)=0,"",Instructions!$B$29+SUM($W$5:W255))</ns0:f>
      </ns0:c>
    </ns0:row>
    <ns0:row r="256" ht="36" customHeight="1">
      <ns0:c r="A256" s="439"/>
      <ns0:c r="B256" s="453"/>
      <ns0:c r="C256" s="453"/>
      <ns0:c r="D256" s="454"/>
      <ns0:c r="E256" s="454"/>
      <ns0:c r="F256" s="454"/>
      <ns0:c r="G256" s="986"/>
      <ns0:c r="H256" s="455"/>
      <ns0:c r="I256" s="456"/>
      <ns0:c r="J256" s="456"/>
      <ns0:c r="K256" s="986"/>
      <ns0:c r="L256" s="454"/>
      <ns0:c r="M256" s="439"/>
      <ns0:c r="N256" s="987" t="str">
        <ns0:f>IF(COUNTA($A256:$M256)=0,"",IF(OR(LEFT(LOWER(TRIM($F256&amp;"")),12)="subscription",LOWER(TRIM($F256&amp;""))="membership"),"",IF(OR(AND($H256&lt;&gt;"",$H256=0),LEFT(LOWER(TRIM($F256&amp;"")),9)="free game",LOWER(TRIM($F256&amp;""))="free",LOWER(TRIM($F256&amp;""))="free entry"),IF(ISNUMBER($G256),IF(ISNUMBER(SEARCH("non",LOWER($E256&amp;""))),$G256*0.85,$G256),"N/A"),IF($G256="","",IFERROR(IF(ISNUMBER(SEARCH("non",LOWER($E256&amp;""))),$G256*0.85,$G256),"")))))</ns0:f>
        <ns0:v/>
      </ns0:c>
      <ns0:c r="O256" s="987" t="str">
        <ns0:f>IF(COUNTA($A256:$M256)=0,"",IF(OR(LEFT(LOWER(TRIM($F256&amp;"")),12)="subscription",LOWER(TRIM($F256&amp;""))="membership"),"",IF(OR(AND($H256&lt;&gt;"",$H256=0),LEFT(LOWER(TRIM($F256&amp;"")),9)="free game",LOWER(TRIM($F256&amp;""))="free",LOWER(TRIM($F256&amp;""))="free entry"),IF(OR(NOT(ISNUMBER($N256)),NOT(ISNUMBER($I256)),$I256=0),"N/A",IFERROR($N256/$I256,"N/A")),IF(OR($N256="",$I256="",$I256=0),"",IFERROR($N256/$I256,"")))))</ns0:f>
        <ns0:v/>
      </ns0:c>
      <ns0:c r="P256" s="987">
        <ns0:f>IF(COUNTA($A256:$M256)=0,"",IF(OR(LEFT(LOWER(TRIM($F256&amp;"")),12)="subscription",LOWER(TRIM($F256&amp;""))="membership"),"",IF(LOWER(TRIM($D256&amp;""))="estimate","N/A",IF(LOWER($L256&amp;"")="yes",0,IF(OR(AND($H256&lt;&gt;"",$H256=0),LEFT(LOWER(TRIM($F256&amp;"")),9)="free game",LOWER(TRIM($F256&amp;""))="free",LOWER(TRIM($F256&amp;""))="free entry"),IF(ISNUMBER($K256),$K256,""),IF($K256&lt;&gt;"",$K256,""))))))</ns0:f>
      </ns0:c>
      <ns0:c r="Q256" s="114">
        <ns0:f>IF(COUNTA($A256:$M256)=0,"",IF(OR($U256="Subscription",$U256=""),"",IF($U256="Estimate","N/A",IF($U256="Profit",ROUND(IFERROR($P256,0)-IFERROR($H256,0),2),0))))</ns0:f>
      </ns0:c>
      <ns0:c r="R256" s="114">
        <ns0:f>IF(COUNTA($A256:$M256)=0,"",IF(OR($U256="Subscription",$U256=""),"",IF($U256="Estimate","N/A",IF($U256="Draw",$H256,0))))</ns0:f>
      </ns0:c>
      <ns0:c r="S256" s="114">
        <ns0:f>IF(COUNTA($A256:$M256)=0,"",IF(OR($U256="Subscription",$U256=""),"",IF($U256="Estimate","N/A",IF($U256="Disqualified",$H256,0))))</ns0:f>
      </ns0:c>
      <ns0:c r="T256" s="955">
        <ns0:f>IF(COUNTA($A256:$M256)=0,"",IF(OR($U256="Subscription",$U256=""),"",IF($U256="Estimate","N/A",IF(OR($U256="Free Game",$U256="Disqualified — Free Game",$H256=0),"N/A",IF($U256="Profit",$Q256/$H256,IF($U256="Disqualified",-$S256/$H256,0))))))</ns0:f>
      </ns0:c>
      <ns0:c r="U256" s="920">
        <ns0:f>IF(COUNTA($A256:$M256)=0,"",IF(OR(LEFT(LOWER(TRIM($F256&amp;"")),12)="subscription",LOWER(TRIM($F256&amp;""))="membership"),"Subscription",IF(LOWER(TRIM($D256&amp;""))="estimate","Estimate",IF(OR(AND($H256&lt;&gt;"",$H256=0),LEFT(LOWER(TRIM($F256&amp;"")),9)="free game",LOWER(TRIM($F256&amp;""))="free",LOWER(TRIM($F256&amp;""))="free entry"),IF(LOWER($L256&amp;"")="yes","Disqualified — Free Game","Free Game"),IF(LOWER($L256&amp;"")="yes","Disqualified",IF($P256="","",IF(ROUND(IFERROR(VALUE($P256),0)-IFERROR(VALUE($H256),0),2)&gt;0,"Profit","Draw")))))))</ns0:f>
      </ns0:c>
      <ns0:c r="V256" s="956" t="str">
        <ns0:f>IF(COUNTA($A256:$M256)=0,"",IF(OR($B256="",$C256="",$U256="Subscription"),"",IFERROR(ROUNDUP(($C256-$B256)/7,0),"")))</ns0:f>
      </ns0:c>
      <ns0:c r="W256" s="114">
        <ns0:f>IF(COUNTA($A256:$M256)=0,"",IF(OR($U256="Subscription",$U256=""),"",IF($U256="Estimate","N/A",IF(OR($U256="Free Game",$U256="Disqualified — Free Game"),0,ROUND(IFERROR($Q256,0)-IFERROR($S256,0),2)))))</ns0:f>
      </ns0:c>
      <ns0:c r="X256" s="956" t="str">
        <ns0:f>IF(COUNTA($A256:$M256)=0,"",IF(OR($U256="Subscription",NOT(ISNUMBER($J256)),NOT(ISNUMBER($I256)),$J256=0,$I256=0,$I256&gt;$J256),"",$J256-$I256))</ns0:f>
      </ns0:c>
      <ns0:c r="Y256" s="955" t="str">
        <ns0:f>IF(COUNTA($A256:$M256)=0,"",IF(OR($U256="Subscription",NOT(ISNUMBER($J256)),$J256=0,$X256=""),"",$X256/$J256))</ns0:f>
      </ns0:c>
      <ns0:c r="Z256" s="957" t="str">
        <ns0:f>IF(COUNTA($A256:$M256)=0,"",Instructions!$B$29+SUM($W$5:W256))</ns0:f>
      </ns0:c>
    </ns0:row>
    <ns0:row r="257" ht="36" customHeight="1">
      <ns0:c r="A257" s="439"/>
      <ns0:c r="B257" s="453"/>
      <ns0:c r="C257" s="453"/>
      <ns0:c r="D257" s="454"/>
      <ns0:c r="E257" s="454"/>
      <ns0:c r="F257" s="454"/>
      <ns0:c r="G257" s="986"/>
      <ns0:c r="H257" s="455"/>
      <ns0:c r="I257" s="456"/>
      <ns0:c r="J257" s="456"/>
      <ns0:c r="K257" s="986"/>
      <ns0:c r="L257" s="454"/>
      <ns0:c r="M257" s="439"/>
      <ns0:c r="N257" s="987" t="str">
        <ns0:f>IF(COUNTA($A257:$M257)=0,"",IF(OR(LEFT(LOWER(TRIM($F257&amp;"")),12)="subscription",LOWER(TRIM($F257&amp;""))="membership"),"",IF(OR(AND($H257&lt;&gt;"",$H257=0),LEFT(LOWER(TRIM($F257&amp;"")),9)="free game",LOWER(TRIM($F257&amp;""))="free",LOWER(TRIM($F257&amp;""))="free entry"),IF(ISNUMBER($G257),IF(ISNUMBER(SEARCH("non",LOWER($E257&amp;""))),$G257*0.85,$G257),"N/A"),IF($G257="","",IFERROR(IF(ISNUMBER(SEARCH("non",LOWER($E257&amp;""))),$G257*0.85,$G257),"")))))</ns0:f>
        <ns0:v/>
      </ns0:c>
      <ns0:c r="O257" s="987" t="str">
        <ns0:f>IF(COUNTA($A257:$M257)=0,"",IF(OR(LEFT(LOWER(TRIM($F257&amp;"")),12)="subscription",LOWER(TRIM($F257&amp;""))="membership"),"",IF(OR(AND($H257&lt;&gt;"",$H257=0),LEFT(LOWER(TRIM($F257&amp;"")),9)="free game",LOWER(TRIM($F257&amp;""))="free",LOWER(TRIM($F257&amp;""))="free entry"),IF(OR(NOT(ISNUMBER($N257)),NOT(ISNUMBER($I257)),$I257=0),"N/A",IFERROR($N257/$I257,"N/A")),IF(OR($N257="",$I257="",$I257=0),"",IFERROR($N257/$I257,"")))))</ns0:f>
        <ns0:v/>
      </ns0:c>
      <ns0:c r="P257" s="987">
        <ns0:f>IF(COUNTA($A257:$M257)=0,"",IF(OR(LEFT(LOWER(TRIM($F257&amp;"")),12)="subscription",LOWER(TRIM($F257&amp;""))="membership"),"",IF(LOWER(TRIM($D257&amp;""))="estimate","N/A",IF(LOWER($L257&amp;"")="yes",0,IF(OR(AND($H257&lt;&gt;"",$H257=0),LEFT(LOWER(TRIM($F257&amp;"")),9)="free game",LOWER(TRIM($F257&amp;""))="free",LOWER(TRIM($F257&amp;""))="free entry"),IF(ISNUMBER($K257),$K257,""),IF($K257&lt;&gt;"",$K257,""))))))</ns0:f>
      </ns0:c>
      <ns0:c r="Q257" s="114">
        <ns0:f>IF(COUNTA($A257:$M257)=0,"",IF(OR($U257="Subscription",$U257=""),"",IF($U257="Estimate","N/A",IF($U257="Profit",ROUND(IFERROR($P257,0)-IFERROR($H257,0),2),0))))</ns0:f>
      </ns0:c>
      <ns0:c r="R257" s="114">
        <ns0:f>IF(COUNTA($A257:$M257)=0,"",IF(OR($U257="Subscription",$U257=""),"",IF($U257="Estimate","N/A",IF($U257="Draw",$H257,0))))</ns0:f>
      </ns0:c>
      <ns0:c r="S257" s="114">
        <ns0:f>IF(COUNTA($A257:$M257)=0,"",IF(OR($U257="Subscription",$U257=""),"",IF($U257="Estimate","N/A",IF($U257="Disqualified",$H257,0))))</ns0:f>
      </ns0:c>
      <ns0:c r="T257" s="955">
        <ns0:f>IF(COUNTA($A257:$M257)=0,"",IF(OR($U257="Subscription",$U257=""),"",IF($U257="Estimate","N/A",IF(OR($U257="Free Game",$U257="Disqualified — Free Game",$H257=0),"N/A",IF($U257="Profit",$Q257/$H257,IF($U257="Disqualified",-$S257/$H257,0))))))</ns0:f>
      </ns0:c>
      <ns0:c r="U257" s="920">
        <ns0:f>IF(COUNTA($A257:$M257)=0,"",IF(OR(LEFT(LOWER(TRIM($F257&amp;"")),12)="subscription",LOWER(TRIM($F257&amp;""))="membership"),"Subscription",IF(LOWER(TRIM($D257&amp;""))="estimate","Estimate",IF(OR(AND($H257&lt;&gt;"",$H257=0),LEFT(LOWER(TRIM($F257&amp;"")),9)="free game",LOWER(TRIM($F257&amp;""))="free",LOWER(TRIM($F257&amp;""))="free entry"),IF(LOWER($L257&amp;"")="yes","Disqualified — Free Game","Free Game"),IF(LOWER($L257&amp;"")="yes","Disqualified",IF($P257="","",IF(ROUND(IFERROR(VALUE($P257),0)-IFERROR(VALUE($H257),0),2)&gt;0,"Profit","Draw")))))))</ns0:f>
      </ns0:c>
      <ns0:c r="V257" s="956" t="str">
        <ns0:f>IF(COUNTA($A257:$M257)=0,"",IF(OR($B257="",$C257="",$U257="Subscription"),"",IFERROR(ROUNDUP(($C257-$B257)/7,0),"")))</ns0:f>
      </ns0:c>
      <ns0:c r="W257" s="114">
        <ns0:f>IF(COUNTA($A257:$M257)=0,"",IF(OR($U257="Subscription",$U257=""),"",IF($U257="Estimate","N/A",IF(OR($U257="Free Game",$U257="Disqualified — Free Game"),0,ROUND(IFERROR($Q257,0)-IFERROR($S257,0),2)))))</ns0:f>
      </ns0:c>
      <ns0:c r="X257" s="956" t="str">
        <ns0:f>IF(COUNTA($A257:$M257)=0,"",IF(OR($U257="Subscription",NOT(ISNUMBER($J257)),NOT(ISNUMBER($I257)),$J257=0,$I257=0,$I257&gt;$J257),"",$J257-$I257))</ns0:f>
      </ns0:c>
      <ns0:c r="Y257" s="955" t="str">
        <ns0:f>IF(COUNTA($A257:$M257)=0,"",IF(OR($U257="Subscription",NOT(ISNUMBER($J257)),$J257=0,$X257=""),"",$X257/$J257))</ns0:f>
      </ns0:c>
      <ns0:c r="Z257" s="957" t="str">
        <ns0:f>IF(COUNTA($A257:$M257)=0,"",Instructions!$B$29+SUM($W$5:W257))</ns0:f>
      </ns0:c>
    </ns0:row>
    <ns0:row r="258" ht="36" customHeight="1">
      <ns0:c r="A258" s="439"/>
      <ns0:c r="B258" s="453"/>
      <ns0:c r="C258" s="453"/>
      <ns0:c r="D258" s="454"/>
      <ns0:c r="E258" s="454"/>
      <ns0:c r="F258" s="454"/>
      <ns0:c r="G258" s="986"/>
      <ns0:c r="H258" s="455"/>
      <ns0:c r="I258" s="456"/>
      <ns0:c r="J258" s="456"/>
      <ns0:c r="K258" s="986"/>
      <ns0:c r="L258" s="454"/>
      <ns0:c r="M258" s="439"/>
      <ns0:c r="N258" s="987" t="str">
        <ns0:f>IF(COUNTA($A258:$M258)=0,"",IF(OR(LEFT(LOWER(TRIM($F258&amp;"")),12)="subscription",LOWER(TRIM($F258&amp;""))="membership"),"",IF(OR(AND($H258&lt;&gt;"",$H258=0),LEFT(LOWER(TRIM($F258&amp;"")),9)="free game",LOWER(TRIM($F258&amp;""))="free",LOWER(TRIM($F258&amp;""))="free entry"),IF(ISNUMBER($G258),IF(ISNUMBER(SEARCH("non",LOWER($E258&amp;""))),$G258*0.85,$G258),"N/A"),IF($G258="","",IFERROR(IF(ISNUMBER(SEARCH("non",LOWER($E258&amp;""))),$G258*0.85,$G258),"")))))</ns0:f>
        <ns0:v/>
      </ns0:c>
      <ns0:c r="O258" s="987" t="str">
        <ns0:f>IF(COUNTA($A258:$M258)=0,"",IF(OR(LEFT(LOWER(TRIM($F258&amp;"")),12)="subscription",LOWER(TRIM($F258&amp;""))="membership"),"",IF(OR(AND($H258&lt;&gt;"",$H258=0),LEFT(LOWER(TRIM($F258&amp;"")),9)="free game",LOWER(TRIM($F258&amp;""))="free",LOWER(TRIM($F258&amp;""))="free entry"),IF(OR(NOT(ISNUMBER($N258)),NOT(ISNUMBER($I258)),$I258=0),"N/A",IFERROR($N258/$I258,"N/A")),IF(OR($N258="",$I258="",$I258=0),"",IFERROR($N258/$I258,"")))))</ns0:f>
        <ns0:v/>
      </ns0:c>
      <ns0:c r="P258" s="987">
        <ns0:f>IF(COUNTA($A258:$M258)=0,"",IF(OR(LEFT(LOWER(TRIM($F258&amp;"")),12)="subscription",LOWER(TRIM($F258&amp;""))="membership"),"",IF(LOWER(TRIM($D258&amp;""))="estimate","N/A",IF(LOWER($L258&amp;"")="yes",0,IF(OR(AND($H258&lt;&gt;"",$H258=0),LEFT(LOWER(TRIM($F258&amp;"")),9)="free game",LOWER(TRIM($F258&amp;""))="free",LOWER(TRIM($F258&amp;""))="free entry"),IF(ISNUMBER($K258),$K258,""),IF($K258&lt;&gt;"",$K258,""))))))</ns0:f>
      </ns0:c>
      <ns0:c r="Q258" s="114">
        <ns0:f>IF(COUNTA($A258:$M258)=0,"",IF(OR($U258="Subscription",$U258=""),"",IF($U258="Estimate","N/A",IF($U258="Profit",ROUND(IFERROR($P258,0)-IFERROR($H258,0),2),0))))</ns0:f>
      </ns0:c>
      <ns0:c r="R258" s="114">
        <ns0:f>IF(COUNTA($A258:$M258)=0,"",IF(OR($U258="Subscription",$U258=""),"",IF($U258="Estimate","N/A",IF($U258="Draw",$H258,0))))</ns0:f>
      </ns0:c>
      <ns0:c r="S258" s="114">
        <ns0:f>IF(COUNTA($A258:$M258)=0,"",IF(OR($U258="Subscription",$U258=""),"",IF($U258="Estimate","N/A",IF($U258="Disqualified",$H258,0))))</ns0:f>
      </ns0:c>
      <ns0:c r="T258" s="955">
        <ns0:f>IF(COUNTA($A258:$M258)=0,"",IF(OR($U258="Subscription",$U258=""),"",IF($U258="Estimate","N/A",IF(OR($U258="Free Game",$U258="Disqualified — Free Game",$H258=0),"N/A",IF($U258="Profit",$Q258/$H258,IF($U258="Disqualified",-$S258/$H258,0))))))</ns0:f>
      </ns0:c>
      <ns0:c r="U258" s="920">
        <ns0:f>IF(COUNTA($A258:$M258)=0,"",IF(OR(LEFT(LOWER(TRIM($F258&amp;"")),12)="subscription",LOWER(TRIM($F258&amp;""))="membership"),"Subscription",IF(LOWER(TRIM($D258&amp;""))="estimate","Estimate",IF(OR(AND($H258&lt;&gt;"",$H258=0),LEFT(LOWER(TRIM($F258&amp;"")),9)="free game",LOWER(TRIM($F258&amp;""))="free",LOWER(TRIM($F258&amp;""))="free entry"),IF(LOWER($L258&amp;"")="yes","Disqualified — Free Game","Free Game"),IF(LOWER($L258&amp;"")="yes","Disqualified",IF($P258="","",IF(ROUND(IFERROR(VALUE($P258),0)-IFERROR(VALUE($H258),0),2)&gt;0,"Profit","Draw")))))))</ns0:f>
      </ns0:c>
      <ns0:c r="V258" s="956" t="str">
        <ns0:f>IF(COUNTA($A258:$M258)=0,"",IF(OR($B258="",$C258="",$U258="Subscription"),"",IFERROR(ROUNDUP(($C258-$B258)/7,0),"")))</ns0:f>
      </ns0:c>
      <ns0:c r="W258" s="114">
        <ns0:f>IF(COUNTA($A258:$M258)=0,"",IF(OR($U258="Subscription",$U258=""),"",IF($U258="Estimate","N/A",IF(OR($U258="Free Game",$U258="Disqualified — Free Game"),0,ROUND(IFERROR($Q258,0)-IFERROR($S258,0),2)))))</ns0:f>
      </ns0:c>
      <ns0:c r="X258" s="956" t="str">
        <ns0:f>IF(COUNTA($A258:$M258)=0,"",IF(OR($U258="Subscription",NOT(ISNUMBER($J258)),NOT(ISNUMBER($I258)),$J258=0,$I258=0,$I258&gt;$J258),"",$J258-$I258))</ns0:f>
      </ns0:c>
      <ns0:c r="Y258" s="955" t="str">
        <ns0:f>IF(COUNTA($A258:$M258)=0,"",IF(OR($U258="Subscription",NOT(ISNUMBER($J258)),$J258=0,$X258=""),"",$X258/$J258))</ns0:f>
      </ns0:c>
      <ns0:c r="Z258" s="957" t="str">
        <ns0:f>IF(COUNTA($A258:$M258)=0,"",Instructions!$B$29+SUM($W$5:W258))</ns0:f>
      </ns0:c>
    </ns0:row>
    <ns0:row r="259" ht="36" customHeight="1">
      <ns0:c r="A259" s="439"/>
      <ns0:c r="B259" s="453"/>
      <ns0:c r="C259" s="453"/>
      <ns0:c r="D259" s="454"/>
      <ns0:c r="E259" s="454"/>
      <ns0:c r="F259" s="454"/>
      <ns0:c r="G259" s="986"/>
      <ns0:c r="H259" s="455"/>
      <ns0:c r="I259" s="456"/>
      <ns0:c r="J259" s="456"/>
      <ns0:c r="K259" s="986"/>
      <ns0:c r="L259" s="454"/>
      <ns0:c r="M259" s="439"/>
      <ns0:c r="N259" s="987" t="str">
        <ns0:f>IF(COUNTA($A259:$M259)=0,"",IF(OR(LEFT(LOWER(TRIM($F259&amp;"")),12)="subscription",LOWER(TRIM($F259&amp;""))="membership"),"",IF(OR(AND($H259&lt;&gt;"",$H259=0),LEFT(LOWER(TRIM($F259&amp;"")),9)="free game",LOWER(TRIM($F259&amp;""))="free",LOWER(TRIM($F259&amp;""))="free entry"),IF(ISNUMBER($G259),IF(ISNUMBER(SEARCH("non",LOWER($E259&amp;""))),$G259*0.85,$G259),"N/A"),IF($G259="","",IFERROR(IF(ISNUMBER(SEARCH("non",LOWER($E259&amp;""))),$G259*0.85,$G259),"")))))</ns0:f>
        <ns0:v/>
      </ns0:c>
      <ns0:c r="O259" s="987" t="str">
        <ns0:f>IF(COUNTA($A259:$M259)=0,"",IF(OR(LEFT(LOWER(TRIM($F259&amp;"")),12)="subscription",LOWER(TRIM($F259&amp;""))="membership"),"",IF(OR(AND($H259&lt;&gt;"",$H259=0),LEFT(LOWER(TRIM($F259&amp;"")),9)="free game",LOWER(TRIM($F259&amp;""))="free",LOWER(TRIM($F259&amp;""))="free entry"),IF(OR(NOT(ISNUMBER($N259)),NOT(ISNUMBER($I259)),$I259=0),"N/A",IFERROR($N259/$I259,"N/A")),IF(OR($N259="",$I259="",$I259=0),"",IFERROR($N259/$I259,"")))))</ns0:f>
        <ns0:v/>
      </ns0:c>
      <ns0:c r="P259" s="987">
        <ns0:f>IF(COUNTA($A259:$M259)=0,"",IF(OR(LEFT(LOWER(TRIM($F259&amp;"")),12)="subscription",LOWER(TRIM($F259&amp;""))="membership"),"",IF(LOWER(TRIM($D259&amp;""))="estimate","N/A",IF(LOWER($L259&amp;"")="yes",0,IF(OR(AND($H259&lt;&gt;"",$H259=0),LEFT(LOWER(TRIM($F259&amp;"")),9)="free game",LOWER(TRIM($F259&amp;""))="free",LOWER(TRIM($F259&amp;""))="free entry"),IF(ISNUMBER($K259),$K259,""),IF($K259&lt;&gt;"",$K259,""))))))</ns0:f>
      </ns0:c>
      <ns0:c r="Q259" s="114">
        <ns0:f>IF(COUNTA($A259:$M259)=0,"",IF(OR($U259="Subscription",$U259=""),"",IF($U259="Estimate","N/A",IF($U259="Profit",ROUND(IFERROR($P259,0)-IFERROR($H259,0),2),0))))</ns0:f>
      </ns0:c>
      <ns0:c r="R259" s="114">
        <ns0:f>IF(COUNTA($A259:$M259)=0,"",IF(OR($U259="Subscription",$U259=""),"",IF($U259="Estimate","N/A",IF($U259="Draw",$H259,0))))</ns0:f>
      </ns0:c>
      <ns0:c r="S259" s="114">
        <ns0:f>IF(COUNTA($A259:$M259)=0,"",IF(OR($U259="Subscription",$U259=""),"",IF($U259="Estimate","N/A",IF($U259="Disqualified",$H259,0))))</ns0:f>
      </ns0:c>
      <ns0:c r="T259" s="955">
        <ns0:f>IF(COUNTA($A259:$M259)=0,"",IF(OR($U259="Subscription",$U259=""),"",IF($U259="Estimate","N/A",IF(OR($U259="Free Game",$U259="Disqualified — Free Game",$H259=0),"N/A",IF($U259="Profit",$Q259/$H259,IF($U259="Disqualified",-$S259/$H259,0))))))</ns0:f>
      </ns0:c>
      <ns0:c r="U259" s="920">
        <ns0:f>IF(COUNTA($A259:$M259)=0,"",IF(OR(LEFT(LOWER(TRIM($F259&amp;"")),12)="subscription",LOWER(TRIM($F259&amp;""))="membership"),"Subscription",IF(LOWER(TRIM($D259&amp;""))="estimate","Estimate",IF(OR(AND($H259&lt;&gt;"",$H259=0),LEFT(LOWER(TRIM($F259&amp;"")),9)="free game",LOWER(TRIM($F259&amp;""))="free",LOWER(TRIM($F259&amp;""))="free entry"),IF(LOWER($L259&amp;"")="yes","Disqualified — Free Game","Free Game"),IF(LOWER($L259&amp;"")="yes","Disqualified",IF($P259="","",IF(ROUND(IFERROR(VALUE($P259),0)-IFERROR(VALUE($H259),0),2)&gt;0,"Profit","Draw")))))))</ns0:f>
      </ns0:c>
      <ns0:c r="V259" s="956" t="str">
        <ns0:f>IF(COUNTA($A259:$M259)=0,"",IF(OR($B259="",$C259="",$U259="Subscription"),"",IFERROR(ROUNDUP(($C259-$B259)/7,0),"")))</ns0:f>
      </ns0:c>
      <ns0:c r="W259" s="114">
        <ns0:f>IF(COUNTA($A259:$M259)=0,"",IF(OR($U259="Subscription",$U259=""),"",IF($U259="Estimate","N/A",IF(OR($U259="Free Game",$U259="Disqualified — Free Game"),0,ROUND(IFERROR($Q259,0)-IFERROR($S259,0),2)))))</ns0:f>
      </ns0:c>
      <ns0:c r="X259" s="956" t="str">
        <ns0:f>IF(COUNTA($A259:$M259)=0,"",IF(OR($U259="Subscription",NOT(ISNUMBER($J259)),NOT(ISNUMBER($I259)),$J259=0,$I259=0,$I259&gt;$J259),"",$J259-$I259))</ns0:f>
      </ns0:c>
      <ns0:c r="Y259" s="955" t="str">
        <ns0:f>IF(COUNTA($A259:$M259)=0,"",IF(OR($U259="Subscription",NOT(ISNUMBER($J259)),$J259=0,$X259=""),"",$X259/$J259))</ns0:f>
      </ns0:c>
      <ns0:c r="Z259" s="957" t="str">
        <ns0:f>IF(COUNTA($A259:$M259)=0,"",Instructions!$B$29+SUM($W$5:W259))</ns0:f>
      </ns0:c>
    </ns0:row>
    <ns0:row r="260" ht="36" customHeight="1">
      <ns0:c r="A260" s="439"/>
      <ns0:c r="B260" s="453"/>
      <ns0:c r="C260" s="453"/>
      <ns0:c r="D260" s="454"/>
      <ns0:c r="E260" s="454"/>
      <ns0:c r="F260" s="454"/>
      <ns0:c r="G260" s="986"/>
      <ns0:c r="H260" s="455"/>
      <ns0:c r="I260" s="456"/>
      <ns0:c r="J260" s="456"/>
      <ns0:c r="K260" s="986"/>
      <ns0:c r="L260" s="454"/>
      <ns0:c r="M260" s="439"/>
      <ns0:c r="N260" s="987" t="str">
        <ns0:f>IF(COUNTA($A260:$M260)=0,"",IF(OR(LEFT(LOWER(TRIM($F260&amp;"")),12)="subscription",LOWER(TRIM($F260&amp;""))="membership"),"",IF(OR(AND($H260&lt;&gt;"",$H260=0),LEFT(LOWER(TRIM($F260&amp;"")),9)="free game",LOWER(TRIM($F260&amp;""))="free",LOWER(TRIM($F260&amp;""))="free entry"),IF(ISNUMBER($G260),IF(ISNUMBER(SEARCH("non",LOWER($E260&amp;""))),$G260*0.85,$G260),"N/A"),IF($G260="","",IFERROR(IF(ISNUMBER(SEARCH("non",LOWER($E260&amp;""))),$G260*0.85,$G260),"")))))</ns0:f>
        <ns0:v/>
      </ns0:c>
      <ns0:c r="O260" s="987" t="str">
        <ns0:f>IF(COUNTA($A260:$M260)=0,"",IF(OR(LEFT(LOWER(TRIM($F260&amp;"")),12)="subscription",LOWER(TRIM($F260&amp;""))="membership"),"",IF(OR(AND($H260&lt;&gt;"",$H260=0),LEFT(LOWER(TRIM($F260&amp;"")),9)="free game",LOWER(TRIM($F260&amp;""))="free",LOWER(TRIM($F260&amp;""))="free entry"),IF(OR(NOT(ISNUMBER($N260)),NOT(ISNUMBER($I260)),$I260=0),"N/A",IFERROR($N260/$I260,"N/A")),IF(OR($N260="",$I260="",$I260=0),"",IFERROR($N260/$I260,"")))))</ns0:f>
        <ns0:v/>
      </ns0:c>
      <ns0:c r="P260" s="987">
        <ns0:f>IF(COUNTA($A260:$M260)=0,"",IF(OR(LEFT(LOWER(TRIM($F260&amp;"")),12)="subscription",LOWER(TRIM($F260&amp;""))="membership"),"",IF(LOWER(TRIM($D260&amp;""))="estimate","N/A",IF(LOWER($L260&amp;"")="yes",0,IF(OR(AND($H260&lt;&gt;"",$H260=0),LEFT(LOWER(TRIM($F260&amp;"")),9)="free game",LOWER(TRIM($F260&amp;""))="free",LOWER(TRIM($F260&amp;""))="free entry"),IF(ISNUMBER($K260),$K260,""),IF($K260&lt;&gt;"",$K260,""))))))</ns0:f>
      </ns0:c>
      <ns0:c r="Q260" s="114">
        <ns0:f>IF(COUNTA($A260:$M260)=0,"",IF(OR($U260="Subscription",$U260=""),"",IF($U260="Estimate","N/A",IF($U260="Profit",ROUND(IFERROR($P260,0)-IFERROR($H260,0),2),0))))</ns0:f>
      </ns0:c>
      <ns0:c r="R260" s="114">
        <ns0:f>IF(COUNTA($A260:$M260)=0,"",IF(OR($U260="Subscription",$U260=""),"",IF($U260="Estimate","N/A",IF($U260="Draw",$H260,0))))</ns0:f>
      </ns0:c>
      <ns0:c r="S260" s="114">
        <ns0:f>IF(COUNTA($A260:$M260)=0,"",IF(OR($U260="Subscription",$U260=""),"",IF($U260="Estimate","N/A",IF($U260="Disqualified",$H260,0))))</ns0:f>
      </ns0:c>
      <ns0:c r="T260" s="955">
        <ns0:f>IF(COUNTA($A260:$M260)=0,"",IF(OR($U260="Subscription",$U260=""),"",IF($U260="Estimate","N/A",IF(OR($U260="Free Game",$U260="Disqualified — Free Game",$H260=0),"N/A",IF($U260="Profit",$Q260/$H260,IF($U260="Disqualified",-$S260/$H260,0))))))</ns0:f>
      </ns0:c>
      <ns0:c r="U260" s="920">
        <ns0:f>IF(COUNTA($A260:$M260)=0,"",IF(OR(LEFT(LOWER(TRIM($F260&amp;"")),12)="subscription",LOWER(TRIM($F260&amp;""))="membership"),"Subscription",IF(LOWER(TRIM($D260&amp;""))="estimate","Estimate",IF(OR(AND($H260&lt;&gt;"",$H260=0),LEFT(LOWER(TRIM($F260&amp;"")),9)="free game",LOWER(TRIM($F260&amp;""))="free",LOWER(TRIM($F260&amp;""))="free entry"),IF(LOWER($L260&amp;"")="yes","Disqualified — Free Game","Free Game"),IF(LOWER($L260&amp;"")="yes","Disqualified",IF($P260="","",IF(ROUND(IFERROR(VALUE($P260),0)-IFERROR(VALUE($H260),0),2)&gt;0,"Profit","Draw")))))))</ns0:f>
      </ns0:c>
      <ns0:c r="V260" s="956" t="str">
        <ns0:f>IF(COUNTA($A260:$M260)=0,"",IF(OR($B260="",$C260="",$U260="Subscription"),"",IFERROR(ROUNDUP(($C260-$B260)/7,0),"")))</ns0:f>
      </ns0:c>
      <ns0:c r="W260" s="114">
        <ns0:f>IF(COUNTA($A260:$M260)=0,"",IF(OR($U260="Subscription",$U260=""),"",IF($U260="Estimate","N/A",IF(OR($U260="Free Game",$U260="Disqualified — Free Game"),0,ROUND(IFERROR($Q260,0)-IFERROR($S260,0),2)))))</ns0:f>
      </ns0:c>
      <ns0:c r="X260" s="956" t="str">
        <ns0:f>IF(COUNTA($A260:$M260)=0,"",IF(OR($U260="Subscription",NOT(ISNUMBER($J260)),NOT(ISNUMBER($I260)),$J260=0,$I260=0,$I260&gt;$J260),"",$J260-$I260))</ns0:f>
      </ns0:c>
      <ns0:c r="Y260" s="955" t="str">
        <ns0:f>IF(COUNTA($A260:$M260)=0,"",IF(OR($U260="Subscription",NOT(ISNUMBER($J260)),$J260=0,$X260=""),"",$X260/$J260))</ns0:f>
      </ns0:c>
      <ns0:c r="Z260" s="957" t="str">
        <ns0:f>IF(COUNTA($A260:$M260)=0,"",Instructions!$B$29+SUM($W$5:W260))</ns0:f>
      </ns0:c>
    </ns0:row>
    <ns0:row r="261" ht="36" customHeight="1">
      <ns0:c r="A261" s="439"/>
      <ns0:c r="B261" s="453"/>
      <ns0:c r="C261" s="453"/>
      <ns0:c r="D261" s="454"/>
      <ns0:c r="E261" s="454"/>
      <ns0:c r="F261" s="454"/>
      <ns0:c r="G261" s="986"/>
      <ns0:c r="H261" s="455"/>
      <ns0:c r="I261" s="456"/>
      <ns0:c r="J261" s="456"/>
      <ns0:c r="K261" s="986"/>
      <ns0:c r="L261" s="454"/>
      <ns0:c r="M261" s="439"/>
      <ns0:c r="N261" s="987" t="str">
        <ns0:f>IF(COUNTA($A261:$M261)=0,"",IF(OR(LEFT(LOWER(TRIM($F261&amp;"")),12)="subscription",LOWER(TRIM($F261&amp;""))="membership"),"",IF(OR(AND($H261&lt;&gt;"",$H261=0),LEFT(LOWER(TRIM($F261&amp;"")),9)="free game",LOWER(TRIM($F261&amp;""))="free",LOWER(TRIM($F261&amp;""))="free entry"),IF(ISNUMBER($G261),IF(ISNUMBER(SEARCH("non",LOWER($E261&amp;""))),$G261*0.85,$G261),"N/A"),IF($G261="","",IFERROR(IF(ISNUMBER(SEARCH("non",LOWER($E261&amp;""))),$G261*0.85,$G261),"")))))</ns0:f>
        <ns0:v/>
      </ns0:c>
      <ns0:c r="O261" s="987" t="str">
        <ns0:f>IF(COUNTA($A261:$M261)=0,"",IF(OR(LEFT(LOWER(TRIM($F261&amp;"")),12)="subscription",LOWER(TRIM($F261&amp;""))="membership"),"",IF(OR(AND($H261&lt;&gt;"",$H261=0),LEFT(LOWER(TRIM($F261&amp;"")),9)="free game",LOWER(TRIM($F261&amp;""))="free",LOWER(TRIM($F261&amp;""))="free entry"),IF(OR(NOT(ISNUMBER($N261)),NOT(ISNUMBER($I261)),$I261=0),"N/A",IFERROR($N261/$I261,"N/A")),IF(OR($N261="",$I261="",$I261=0),"",IFERROR($N261/$I261,"")))))</ns0:f>
        <ns0:v/>
      </ns0:c>
      <ns0:c r="P261" s="987">
        <ns0:f>IF(COUNTA($A261:$M261)=0,"",IF(OR(LEFT(LOWER(TRIM($F261&amp;"")),12)="subscription",LOWER(TRIM($F261&amp;""))="membership"),"",IF(LOWER(TRIM($D261&amp;""))="estimate","N/A",IF(LOWER($L261&amp;"")="yes",0,IF(OR(AND($H261&lt;&gt;"",$H261=0),LEFT(LOWER(TRIM($F261&amp;"")),9)="free game",LOWER(TRIM($F261&amp;""))="free",LOWER(TRIM($F261&amp;""))="free entry"),IF(ISNUMBER($K261),$K261,""),IF($K261&lt;&gt;"",$K261,""))))))</ns0:f>
      </ns0:c>
      <ns0:c r="Q261" s="114">
        <ns0:f>IF(COUNTA($A261:$M261)=0,"",IF(OR($U261="Subscription",$U261=""),"",IF($U261="Estimate","N/A",IF($U261="Profit",ROUND(IFERROR($P261,0)-IFERROR($H261,0),2),0))))</ns0:f>
      </ns0:c>
      <ns0:c r="R261" s="114">
        <ns0:f>IF(COUNTA($A261:$M261)=0,"",IF(OR($U261="Subscription",$U261=""),"",IF($U261="Estimate","N/A",IF($U261="Draw",$H261,0))))</ns0:f>
      </ns0:c>
      <ns0:c r="S261" s="114">
        <ns0:f>IF(COUNTA($A261:$M261)=0,"",IF(OR($U261="Subscription",$U261=""),"",IF($U261="Estimate","N/A",IF($U261="Disqualified",$H261,0))))</ns0:f>
      </ns0:c>
      <ns0:c r="T261" s="955">
        <ns0:f>IF(COUNTA($A261:$M261)=0,"",IF(OR($U261="Subscription",$U261=""),"",IF($U261="Estimate","N/A",IF(OR($U261="Free Game",$U261="Disqualified — Free Game",$H261=0),"N/A",IF($U261="Profit",$Q261/$H261,IF($U261="Disqualified",-$S261/$H261,0))))))</ns0:f>
      </ns0:c>
      <ns0:c r="U261" s="920">
        <ns0:f>IF(COUNTA($A261:$M261)=0,"",IF(OR(LEFT(LOWER(TRIM($F261&amp;"")),12)="subscription",LOWER(TRIM($F261&amp;""))="membership"),"Subscription",IF(LOWER(TRIM($D261&amp;""))="estimate","Estimate",IF(OR(AND($H261&lt;&gt;"",$H261=0),LEFT(LOWER(TRIM($F261&amp;"")),9)="free game",LOWER(TRIM($F261&amp;""))="free",LOWER(TRIM($F261&amp;""))="free entry"),IF(LOWER($L261&amp;"")="yes","Disqualified — Free Game","Free Game"),IF(LOWER($L261&amp;"")="yes","Disqualified",IF($P261="","",IF(ROUND(IFERROR(VALUE($P261),0)-IFERROR(VALUE($H261),0),2)&gt;0,"Profit","Draw")))))))</ns0:f>
      </ns0:c>
      <ns0:c r="V261" s="956" t="str">
        <ns0:f>IF(COUNTA($A261:$M261)=0,"",IF(OR($B261="",$C261="",$U261="Subscription"),"",IFERROR(ROUNDUP(($C261-$B261)/7,0),"")))</ns0:f>
      </ns0:c>
      <ns0:c r="W261" s="114">
        <ns0:f>IF(COUNTA($A261:$M261)=0,"",IF(OR($U261="Subscription",$U261=""),"",IF($U261="Estimate","N/A",IF(OR($U261="Free Game",$U261="Disqualified — Free Game"),0,ROUND(IFERROR($Q261,0)-IFERROR($S261,0),2)))))</ns0:f>
      </ns0:c>
      <ns0:c r="X261" s="956" t="str">
        <ns0:f>IF(COUNTA($A261:$M261)=0,"",IF(OR($U261="Subscription",NOT(ISNUMBER($J261)),NOT(ISNUMBER($I261)),$J261=0,$I261=0,$I261&gt;$J261),"",$J261-$I261))</ns0:f>
      </ns0:c>
      <ns0:c r="Y261" s="955" t="str">
        <ns0:f>IF(COUNTA($A261:$M261)=0,"",IF(OR($U261="Subscription",NOT(ISNUMBER($J261)),$J261=0,$X261=""),"",$X261/$J261))</ns0:f>
      </ns0:c>
      <ns0:c r="Z261" s="957" t="str">
        <ns0:f>IF(COUNTA($A261:$M261)=0,"",Instructions!$B$29+SUM($W$5:W261))</ns0:f>
      </ns0:c>
    </ns0:row>
    <ns0:row r="262" ht="36" customHeight="1">
      <ns0:c r="A262" s="439"/>
      <ns0:c r="B262" s="453"/>
      <ns0:c r="C262" s="453"/>
      <ns0:c r="D262" s="454"/>
      <ns0:c r="E262" s="454"/>
      <ns0:c r="F262" s="454"/>
      <ns0:c r="G262" s="986"/>
      <ns0:c r="H262" s="455"/>
      <ns0:c r="I262" s="456"/>
      <ns0:c r="J262" s="456"/>
      <ns0:c r="K262" s="986"/>
      <ns0:c r="L262" s="454"/>
      <ns0:c r="M262" s="439"/>
      <ns0:c r="N262" s="987" t="str">
        <ns0:f>IF(COUNTA($A262:$M262)=0,"",IF(OR(LEFT(LOWER(TRIM($F262&amp;"")),12)="subscription",LOWER(TRIM($F262&amp;""))="membership"),"",IF(OR(AND($H262&lt;&gt;"",$H262=0),LEFT(LOWER(TRIM($F262&amp;"")),9)="free game",LOWER(TRIM($F262&amp;""))="free",LOWER(TRIM($F262&amp;""))="free entry"),IF(ISNUMBER($G262),IF(ISNUMBER(SEARCH("non",LOWER($E262&amp;""))),$G262*0.85,$G262),"N/A"),IF($G262="","",IFERROR(IF(ISNUMBER(SEARCH("non",LOWER($E262&amp;""))),$G262*0.85,$G262),"")))))</ns0:f>
        <ns0:v/>
      </ns0:c>
      <ns0:c r="O262" s="987" t="str">
        <ns0:f>IF(COUNTA($A262:$M262)=0,"",IF(OR(LEFT(LOWER(TRIM($F262&amp;"")),12)="subscription",LOWER(TRIM($F262&amp;""))="membership"),"",IF(OR(AND($H262&lt;&gt;"",$H262=0),LEFT(LOWER(TRIM($F262&amp;"")),9)="free game",LOWER(TRIM($F262&amp;""))="free",LOWER(TRIM($F262&amp;""))="free entry"),IF(OR(NOT(ISNUMBER($N262)),NOT(ISNUMBER($I262)),$I262=0),"N/A",IFERROR($N262/$I262,"N/A")),IF(OR($N262="",$I262="",$I262=0),"",IFERROR($N262/$I262,"")))))</ns0:f>
        <ns0:v/>
      </ns0:c>
      <ns0:c r="P262" s="987">
        <ns0:f>IF(COUNTA($A262:$M262)=0,"",IF(OR(LEFT(LOWER(TRIM($F262&amp;"")),12)="subscription",LOWER(TRIM($F262&amp;""))="membership"),"",IF(LOWER(TRIM($D262&amp;""))="estimate","N/A",IF(LOWER($L262&amp;"")="yes",0,IF(OR(AND($H262&lt;&gt;"",$H262=0),LEFT(LOWER(TRIM($F262&amp;"")),9)="free game",LOWER(TRIM($F262&amp;""))="free",LOWER(TRIM($F262&amp;""))="free entry"),IF(ISNUMBER($K262),$K262,""),IF($K262&lt;&gt;"",$K262,""))))))</ns0:f>
      </ns0:c>
      <ns0:c r="Q262" s="114">
        <ns0:f>IF(COUNTA($A262:$M262)=0,"",IF(OR($U262="Subscription",$U262=""),"",IF($U262="Estimate","N/A",IF($U262="Profit",ROUND(IFERROR($P262,0)-IFERROR($H262,0),2),0))))</ns0:f>
      </ns0:c>
      <ns0:c r="R262" s="114">
        <ns0:f>IF(COUNTA($A262:$M262)=0,"",IF(OR($U262="Subscription",$U262=""),"",IF($U262="Estimate","N/A",IF($U262="Draw",$H262,0))))</ns0:f>
      </ns0:c>
      <ns0:c r="S262" s="114">
        <ns0:f>IF(COUNTA($A262:$M262)=0,"",IF(OR($U262="Subscription",$U262=""),"",IF($U262="Estimate","N/A",IF($U262="Disqualified",$H262,0))))</ns0:f>
      </ns0:c>
      <ns0:c r="T262" s="955">
        <ns0:f>IF(COUNTA($A262:$M262)=0,"",IF(OR($U262="Subscription",$U262=""),"",IF($U262="Estimate","N/A",IF(OR($U262="Free Game",$U262="Disqualified — Free Game",$H262=0),"N/A",IF($U262="Profit",$Q262/$H262,IF($U262="Disqualified",-$S262/$H262,0))))))</ns0:f>
      </ns0:c>
      <ns0:c r="U262" s="920">
        <ns0:f>IF(COUNTA($A262:$M262)=0,"",IF(OR(LEFT(LOWER(TRIM($F262&amp;"")),12)="subscription",LOWER(TRIM($F262&amp;""))="membership"),"Subscription",IF(LOWER(TRIM($D262&amp;""))="estimate","Estimate",IF(OR(AND($H262&lt;&gt;"",$H262=0),LEFT(LOWER(TRIM($F262&amp;"")),9)="free game",LOWER(TRIM($F262&amp;""))="free",LOWER(TRIM($F262&amp;""))="free entry"),IF(LOWER($L262&amp;"")="yes","Disqualified — Free Game","Free Game"),IF(LOWER($L262&amp;"")="yes","Disqualified",IF($P262="","",IF(ROUND(IFERROR(VALUE($P262),0)-IFERROR(VALUE($H262),0),2)&gt;0,"Profit","Draw")))))))</ns0:f>
      </ns0:c>
      <ns0:c r="V262" s="956" t="str">
        <ns0:f>IF(COUNTA($A262:$M262)=0,"",IF(OR($B262="",$C262="",$U262="Subscription"),"",IFERROR(ROUNDUP(($C262-$B262)/7,0),"")))</ns0:f>
      </ns0:c>
      <ns0:c r="W262" s="114">
        <ns0:f>IF(COUNTA($A262:$M262)=0,"",IF(OR($U262="Subscription",$U262=""),"",IF($U262="Estimate","N/A",IF(OR($U262="Free Game",$U262="Disqualified — Free Game"),0,ROUND(IFERROR($Q262,0)-IFERROR($S262,0),2)))))</ns0:f>
      </ns0:c>
      <ns0:c r="X262" s="956" t="str">
        <ns0:f>IF(COUNTA($A262:$M262)=0,"",IF(OR($U262="Subscription",NOT(ISNUMBER($J262)),NOT(ISNUMBER($I262)),$J262=0,$I262=0,$I262&gt;$J262),"",$J262-$I262))</ns0:f>
      </ns0:c>
      <ns0:c r="Y262" s="955" t="str">
        <ns0:f>IF(COUNTA($A262:$M262)=0,"",IF(OR($U262="Subscription",NOT(ISNUMBER($J262)),$J262=0,$X262=""),"",$X262/$J262))</ns0:f>
      </ns0:c>
      <ns0:c r="Z262" s="957" t="str">
        <ns0:f>IF(COUNTA($A262:$M262)=0,"",Instructions!$B$29+SUM($W$5:W262))</ns0:f>
      </ns0:c>
    </ns0:row>
    <ns0:row r="263" ht="36" customHeight="1">
      <ns0:c r="A263" s="439"/>
      <ns0:c r="B263" s="453"/>
      <ns0:c r="C263" s="453"/>
      <ns0:c r="D263" s="454"/>
      <ns0:c r="E263" s="454"/>
      <ns0:c r="F263" s="454"/>
      <ns0:c r="G263" s="986"/>
      <ns0:c r="H263" s="455"/>
      <ns0:c r="I263" s="456"/>
      <ns0:c r="J263" s="456"/>
      <ns0:c r="K263" s="986"/>
      <ns0:c r="L263" s="454"/>
      <ns0:c r="M263" s="439"/>
      <ns0:c r="N263" s="987" t="str">
        <ns0:f>IF(COUNTA($A263:$M263)=0,"",IF(OR(LEFT(LOWER(TRIM($F263&amp;"")),12)="subscription",LOWER(TRIM($F263&amp;""))="membership"),"",IF(OR(AND($H263&lt;&gt;"",$H263=0),LEFT(LOWER(TRIM($F263&amp;"")),9)="free game",LOWER(TRIM($F263&amp;""))="free",LOWER(TRIM($F263&amp;""))="free entry"),IF(ISNUMBER($G263),IF(ISNUMBER(SEARCH("non",LOWER($E263&amp;""))),$G263*0.85,$G263),"N/A"),IF($G263="","",IFERROR(IF(ISNUMBER(SEARCH("non",LOWER($E263&amp;""))),$G263*0.85,$G263),"")))))</ns0:f>
        <ns0:v/>
      </ns0:c>
      <ns0:c r="O263" s="987" t="str">
        <ns0:f>IF(COUNTA($A263:$M263)=0,"",IF(OR(LEFT(LOWER(TRIM($F263&amp;"")),12)="subscription",LOWER(TRIM($F263&amp;""))="membership"),"",IF(OR(AND($H263&lt;&gt;"",$H263=0),LEFT(LOWER(TRIM($F263&amp;"")),9)="free game",LOWER(TRIM($F263&amp;""))="free",LOWER(TRIM($F263&amp;""))="free entry"),IF(OR(NOT(ISNUMBER($N263)),NOT(ISNUMBER($I263)),$I263=0),"N/A",IFERROR($N263/$I263,"N/A")),IF(OR($N263="",$I263="",$I263=0),"",IFERROR($N263/$I263,"")))))</ns0:f>
        <ns0:v/>
      </ns0:c>
      <ns0:c r="P263" s="987">
        <ns0:f>IF(COUNTA($A263:$M263)=0,"",IF(OR(LEFT(LOWER(TRIM($F263&amp;"")),12)="subscription",LOWER(TRIM($F263&amp;""))="membership"),"",IF(LOWER(TRIM($D263&amp;""))="estimate","N/A",IF(LOWER($L263&amp;"")="yes",0,IF(OR(AND($H263&lt;&gt;"",$H263=0),LEFT(LOWER(TRIM($F263&amp;"")),9)="free game",LOWER(TRIM($F263&amp;""))="free",LOWER(TRIM($F263&amp;""))="free entry"),IF(ISNUMBER($K263),$K263,""),IF($K263&lt;&gt;"",$K263,""))))))</ns0:f>
      </ns0:c>
      <ns0:c r="Q263" s="114">
        <ns0:f>IF(COUNTA($A263:$M263)=0,"",IF(OR($U263="Subscription",$U263=""),"",IF($U263="Estimate","N/A",IF($U263="Profit",ROUND(IFERROR($P263,0)-IFERROR($H263,0),2),0))))</ns0:f>
      </ns0:c>
      <ns0:c r="R263" s="114">
        <ns0:f>IF(COUNTA($A263:$M263)=0,"",IF(OR($U263="Subscription",$U263=""),"",IF($U263="Estimate","N/A",IF($U263="Draw",$H263,0))))</ns0:f>
      </ns0:c>
      <ns0:c r="S263" s="114">
        <ns0:f>IF(COUNTA($A263:$M263)=0,"",IF(OR($U263="Subscription",$U263=""),"",IF($U263="Estimate","N/A",IF($U263="Disqualified",$H263,0))))</ns0:f>
      </ns0:c>
      <ns0:c r="T263" s="955">
        <ns0:f>IF(COUNTA($A263:$M263)=0,"",IF(OR($U263="Subscription",$U263=""),"",IF($U263="Estimate","N/A",IF(OR($U263="Free Game",$U263="Disqualified — Free Game",$H263=0),"N/A",IF($U263="Profit",$Q263/$H263,IF($U263="Disqualified",-$S263/$H263,0))))))</ns0:f>
      </ns0:c>
      <ns0:c r="U263" s="920">
        <ns0:f>IF(COUNTA($A263:$M263)=0,"",IF(OR(LEFT(LOWER(TRIM($F263&amp;"")),12)="subscription",LOWER(TRIM($F263&amp;""))="membership"),"Subscription",IF(LOWER(TRIM($D263&amp;""))="estimate","Estimate",IF(OR(AND($H263&lt;&gt;"",$H263=0),LEFT(LOWER(TRIM($F263&amp;"")),9)="free game",LOWER(TRIM($F263&amp;""))="free",LOWER(TRIM($F263&amp;""))="free entry"),IF(LOWER($L263&amp;"")="yes","Disqualified — Free Game","Free Game"),IF(LOWER($L263&amp;"")="yes","Disqualified",IF($P263="","",IF(ROUND(IFERROR(VALUE($P263),0)-IFERROR(VALUE($H263),0),2)&gt;0,"Profit","Draw")))))))</ns0:f>
      </ns0:c>
      <ns0:c r="V263" s="956" t="str">
        <ns0:f>IF(COUNTA($A263:$M263)=0,"",IF(OR($B263="",$C263="",$U263="Subscription"),"",IFERROR(ROUNDUP(($C263-$B263)/7,0),"")))</ns0:f>
      </ns0:c>
      <ns0:c r="W263" s="114">
        <ns0:f>IF(COUNTA($A263:$M263)=0,"",IF(OR($U263="Subscription",$U263=""),"",IF($U263="Estimate","N/A",IF(OR($U263="Free Game",$U263="Disqualified — Free Game"),0,ROUND(IFERROR($Q263,0)-IFERROR($S263,0),2)))))</ns0:f>
      </ns0:c>
      <ns0:c r="X263" s="956" t="str">
        <ns0:f>IF(COUNTA($A263:$M263)=0,"",IF(OR($U263="Subscription",NOT(ISNUMBER($J263)),NOT(ISNUMBER($I263)),$J263=0,$I263=0,$I263&gt;$J263),"",$J263-$I263))</ns0:f>
      </ns0:c>
      <ns0:c r="Y263" s="955" t="str">
        <ns0:f>IF(COUNTA($A263:$M263)=0,"",IF(OR($U263="Subscription",NOT(ISNUMBER($J263)),$J263=0,$X263=""),"",$X263/$J263))</ns0:f>
      </ns0:c>
      <ns0:c r="Z263" s="957" t="str">
        <ns0:f>IF(COUNTA($A263:$M263)=0,"",Instructions!$B$29+SUM($W$5:W263))</ns0:f>
      </ns0:c>
    </ns0:row>
    <ns0:row r="264" ht="36" customHeight="1">
      <ns0:c r="A264" s="439"/>
      <ns0:c r="B264" s="453"/>
      <ns0:c r="C264" s="453"/>
      <ns0:c r="D264" s="454"/>
      <ns0:c r="E264" s="454"/>
      <ns0:c r="F264" s="454"/>
      <ns0:c r="G264" s="986"/>
      <ns0:c r="H264" s="455"/>
      <ns0:c r="I264" s="456"/>
      <ns0:c r="J264" s="456"/>
      <ns0:c r="K264" s="986"/>
      <ns0:c r="L264" s="454"/>
      <ns0:c r="M264" s="439"/>
      <ns0:c r="N264" s="987" t="str">
        <ns0:f>IF(COUNTA($A264:$M264)=0,"",IF(OR(LEFT(LOWER(TRIM($F264&amp;"")),12)="subscription",LOWER(TRIM($F264&amp;""))="membership"),"",IF(OR(AND($H264&lt;&gt;"",$H264=0),LEFT(LOWER(TRIM($F264&amp;"")),9)="free game",LOWER(TRIM($F264&amp;""))="free",LOWER(TRIM($F264&amp;""))="free entry"),IF(ISNUMBER($G264),IF(ISNUMBER(SEARCH("non",LOWER($E264&amp;""))),$G264*0.85,$G264),"N/A"),IF($G264="","",IFERROR(IF(ISNUMBER(SEARCH("non",LOWER($E264&amp;""))),$G264*0.85,$G264),"")))))</ns0:f>
        <ns0:v/>
      </ns0:c>
      <ns0:c r="O264" s="987" t="str">
        <ns0:f>IF(COUNTA($A264:$M264)=0,"",IF(OR(LEFT(LOWER(TRIM($F264&amp;"")),12)="subscription",LOWER(TRIM($F264&amp;""))="membership"),"",IF(OR(AND($H264&lt;&gt;"",$H264=0),LEFT(LOWER(TRIM($F264&amp;"")),9)="free game",LOWER(TRIM($F264&amp;""))="free",LOWER(TRIM($F264&amp;""))="free entry"),IF(OR(NOT(ISNUMBER($N264)),NOT(ISNUMBER($I264)),$I264=0),"N/A",IFERROR($N264/$I264,"N/A")),IF(OR($N264="",$I264="",$I264=0),"",IFERROR($N264/$I264,"")))))</ns0:f>
        <ns0:v/>
      </ns0:c>
      <ns0:c r="P264" s="987">
        <ns0:f>IF(COUNTA($A264:$M264)=0,"",IF(OR(LEFT(LOWER(TRIM($F264&amp;"")),12)="subscription",LOWER(TRIM($F264&amp;""))="membership"),"",IF(LOWER(TRIM($D264&amp;""))="estimate","N/A",IF(LOWER($L264&amp;"")="yes",0,IF(OR(AND($H264&lt;&gt;"",$H264=0),LEFT(LOWER(TRIM($F264&amp;"")),9)="free game",LOWER(TRIM($F264&amp;""))="free",LOWER(TRIM($F264&amp;""))="free entry"),IF(ISNUMBER($K264),$K264,""),IF($K264&lt;&gt;"",$K264,""))))))</ns0:f>
      </ns0:c>
      <ns0:c r="Q264" s="114">
        <ns0:f>IF(COUNTA($A264:$M264)=0,"",IF(OR($U264="Subscription",$U264=""),"",IF($U264="Estimate","N/A",IF($U264="Profit",ROUND(IFERROR($P264,0)-IFERROR($H264,0),2),0))))</ns0:f>
      </ns0:c>
      <ns0:c r="R264" s="114">
        <ns0:f>IF(COUNTA($A264:$M264)=0,"",IF(OR($U264="Subscription",$U264=""),"",IF($U264="Estimate","N/A",IF($U264="Draw",$H264,0))))</ns0:f>
      </ns0:c>
      <ns0:c r="S264" s="114">
        <ns0:f>IF(COUNTA($A264:$M264)=0,"",IF(OR($U264="Subscription",$U264=""),"",IF($U264="Estimate","N/A",IF($U264="Disqualified",$H264,0))))</ns0:f>
      </ns0:c>
      <ns0:c r="T264" s="955">
        <ns0:f>IF(COUNTA($A264:$M264)=0,"",IF(OR($U264="Subscription",$U264=""),"",IF($U264="Estimate","N/A",IF(OR($U264="Free Game",$U264="Disqualified — Free Game",$H264=0),"N/A",IF($U264="Profit",$Q264/$H264,IF($U264="Disqualified",-$S264/$H264,0))))))</ns0:f>
      </ns0:c>
      <ns0:c r="U264" s="920">
        <ns0:f>IF(COUNTA($A264:$M264)=0,"",IF(OR(LEFT(LOWER(TRIM($F264&amp;"")),12)="subscription",LOWER(TRIM($F264&amp;""))="membership"),"Subscription",IF(LOWER(TRIM($D264&amp;""))="estimate","Estimate",IF(OR(AND($H264&lt;&gt;"",$H264=0),LEFT(LOWER(TRIM($F264&amp;"")),9)="free game",LOWER(TRIM($F264&amp;""))="free",LOWER(TRIM($F264&amp;""))="free entry"),IF(LOWER($L264&amp;"")="yes","Disqualified — Free Game","Free Game"),IF(LOWER($L264&amp;"")="yes","Disqualified",IF($P264="","",IF(ROUND(IFERROR(VALUE($P264),0)-IFERROR(VALUE($H264),0),2)&gt;0,"Profit","Draw")))))))</ns0:f>
      </ns0:c>
      <ns0:c r="V264" s="956" t="str">
        <ns0:f>IF(COUNTA($A264:$M264)=0,"",IF(OR($B264="",$C264="",$U264="Subscription"),"",IFERROR(ROUNDUP(($C264-$B264)/7,0),"")))</ns0:f>
      </ns0:c>
      <ns0:c r="W264" s="114">
        <ns0:f>IF(COUNTA($A264:$M264)=0,"",IF(OR($U264="Subscription",$U264=""),"",IF($U264="Estimate","N/A",IF(OR($U264="Free Game",$U264="Disqualified — Free Game"),0,ROUND(IFERROR($Q264,0)-IFERROR($S264,0),2)))))</ns0:f>
      </ns0:c>
      <ns0:c r="X264" s="956" t="str">
        <ns0:f>IF(COUNTA($A264:$M264)=0,"",IF(OR($U264="Subscription",NOT(ISNUMBER($J264)),NOT(ISNUMBER($I264)),$J264=0,$I264=0,$I264&gt;$J264),"",$J264-$I264))</ns0:f>
      </ns0:c>
      <ns0:c r="Y264" s="955" t="str">
        <ns0:f>IF(COUNTA($A264:$M264)=0,"",IF(OR($U264="Subscription",NOT(ISNUMBER($J264)),$J264=0,$X264=""),"",$X264/$J264))</ns0:f>
      </ns0:c>
      <ns0:c r="Z264" s="957" t="str">
        <ns0:f>IF(COUNTA($A264:$M264)=0,"",Instructions!$B$29+SUM($W$5:W264))</ns0:f>
      </ns0:c>
    </ns0:row>
    <ns0:row r="265" ht="36" customHeight="1">
      <ns0:c r="A265" s="439"/>
      <ns0:c r="B265" s="453"/>
      <ns0:c r="C265" s="453"/>
      <ns0:c r="D265" s="454"/>
      <ns0:c r="E265" s="454"/>
      <ns0:c r="F265" s="454"/>
      <ns0:c r="G265" s="986"/>
      <ns0:c r="H265" s="455"/>
      <ns0:c r="I265" s="456"/>
      <ns0:c r="J265" s="456"/>
      <ns0:c r="K265" s="986"/>
      <ns0:c r="L265" s="454"/>
      <ns0:c r="M265" s="439"/>
      <ns0:c r="N265" s="987" t="str">
        <ns0:f>IF(COUNTA($A265:$M265)=0,"",IF(OR(LEFT(LOWER(TRIM($F265&amp;"")),12)="subscription",LOWER(TRIM($F265&amp;""))="membership"),"",IF(OR(AND($H265&lt;&gt;"",$H265=0),LEFT(LOWER(TRIM($F265&amp;"")),9)="free game",LOWER(TRIM($F265&amp;""))="free",LOWER(TRIM($F265&amp;""))="free entry"),IF(ISNUMBER($G265),IF(ISNUMBER(SEARCH("non",LOWER($E265&amp;""))),$G265*0.85,$G265),"N/A"),IF($G265="","",IFERROR(IF(ISNUMBER(SEARCH("non",LOWER($E265&amp;""))),$G265*0.85,$G265),"")))))</ns0:f>
        <ns0:v/>
      </ns0:c>
      <ns0:c r="O265" s="987" t="str">
        <ns0:f>IF(COUNTA($A265:$M265)=0,"",IF(OR(LEFT(LOWER(TRIM($F265&amp;"")),12)="subscription",LOWER(TRIM($F265&amp;""))="membership"),"",IF(OR(AND($H265&lt;&gt;"",$H265=0),LEFT(LOWER(TRIM($F265&amp;"")),9)="free game",LOWER(TRIM($F265&amp;""))="free",LOWER(TRIM($F265&amp;""))="free entry"),IF(OR(NOT(ISNUMBER($N265)),NOT(ISNUMBER($I265)),$I265=0),"N/A",IFERROR($N265/$I265,"N/A")),IF(OR($N265="",$I265="",$I265=0),"",IFERROR($N265/$I265,"")))))</ns0:f>
        <ns0:v/>
      </ns0:c>
      <ns0:c r="P265" s="987">
        <ns0:f>IF(COUNTA($A265:$M265)=0,"",IF(OR(LEFT(LOWER(TRIM($F265&amp;"")),12)="subscription",LOWER(TRIM($F265&amp;""))="membership"),"",IF(LOWER(TRIM($D265&amp;""))="estimate","N/A",IF(LOWER($L265&amp;"")="yes",0,IF(OR(AND($H265&lt;&gt;"",$H265=0),LEFT(LOWER(TRIM($F265&amp;"")),9)="free game",LOWER(TRIM($F265&amp;""))="free",LOWER(TRIM($F265&amp;""))="free entry"),IF(ISNUMBER($K265),$K265,""),IF($K265&lt;&gt;"",$K265,""))))))</ns0:f>
      </ns0:c>
      <ns0:c r="Q265" s="114">
        <ns0:f>IF(COUNTA($A265:$M265)=0,"",IF(OR($U265="Subscription",$U265=""),"",IF($U265="Estimate","N/A",IF($U265="Profit",ROUND(IFERROR($P265,0)-IFERROR($H265,0),2),0))))</ns0:f>
      </ns0:c>
      <ns0:c r="R265" s="114">
        <ns0:f>IF(COUNTA($A265:$M265)=0,"",IF(OR($U265="Subscription",$U265=""),"",IF($U265="Estimate","N/A",IF($U265="Draw",$H265,0))))</ns0:f>
      </ns0:c>
      <ns0:c r="S265" s="114">
        <ns0:f>IF(COUNTA($A265:$M265)=0,"",IF(OR($U265="Subscription",$U265=""),"",IF($U265="Estimate","N/A",IF($U265="Disqualified",$H265,0))))</ns0:f>
      </ns0:c>
      <ns0:c r="T265" s="955">
        <ns0:f>IF(COUNTA($A265:$M265)=0,"",IF(OR($U265="Subscription",$U265=""),"",IF($U265="Estimate","N/A",IF(OR($U265="Free Game",$U265="Disqualified — Free Game",$H265=0),"N/A",IF($U265="Profit",$Q265/$H265,IF($U265="Disqualified",-$S265/$H265,0))))))</ns0:f>
      </ns0:c>
      <ns0:c r="U265" s="920">
        <ns0:f>IF(COUNTA($A265:$M265)=0,"",IF(OR(LEFT(LOWER(TRIM($F265&amp;"")),12)="subscription",LOWER(TRIM($F265&amp;""))="membership"),"Subscription",IF(LOWER(TRIM($D265&amp;""))="estimate","Estimate",IF(OR(AND($H265&lt;&gt;"",$H265=0),LEFT(LOWER(TRIM($F265&amp;"")),9)="free game",LOWER(TRIM($F265&amp;""))="free",LOWER(TRIM($F265&amp;""))="free entry"),IF(LOWER($L265&amp;"")="yes","Disqualified — Free Game","Free Game"),IF(LOWER($L265&amp;"")="yes","Disqualified",IF($P265="","",IF(ROUND(IFERROR(VALUE($P265),0)-IFERROR(VALUE($H265),0),2)&gt;0,"Profit","Draw")))))))</ns0:f>
      </ns0:c>
      <ns0:c r="V265" s="956" t="str">
        <ns0:f>IF(COUNTA($A265:$M265)=0,"",IF(OR($B265="",$C265="",$U265="Subscription"),"",IFERROR(ROUNDUP(($C265-$B265)/7,0),"")))</ns0:f>
      </ns0:c>
      <ns0:c r="W265" s="114">
        <ns0:f>IF(COUNTA($A265:$M265)=0,"",IF(OR($U265="Subscription",$U265=""),"",IF($U265="Estimate","N/A",IF(OR($U265="Free Game",$U265="Disqualified — Free Game"),0,ROUND(IFERROR($Q265,0)-IFERROR($S265,0),2)))))</ns0:f>
      </ns0:c>
      <ns0:c r="X265" s="956" t="str">
        <ns0:f>IF(COUNTA($A265:$M265)=0,"",IF(OR($U265="Subscription",NOT(ISNUMBER($J265)),NOT(ISNUMBER($I265)),$J265=0,$I265=0,$I265&gt;$J265),"",$J265-$I265))</ns0:f>
      </ns0:c>
      <ns0:c r="Y265" s="955" t="str">
        <ns0:f>IF(COUNTA($A265:$M265)=0,"",IF(OR($U265="Subscription",NOT(ISNUMBER($J265)),$J265=0,$X265=""),"",$X265/$J265))</ns0:f>
      </ns0:c>
      <ns0:c r="Z265" s="957" t="str">
        <ns0:f>IF(COUNTA($A265:$M265)=0,"",Instructions!$B$29+SUM($W$5:W265))</ns0:f>
      </ns0:c>
    </ns0:row>
    <ns0:row r="266" ht="36" customHeight="1">
      <ns0:c r="A266" s="439"/>
      <ns0:c r="B266" s="453"/>
      <ns0:c r="C266" s="453"/>
      <ns0:c r="D266" s="454"/>
      <ns0:c r="E266" s="454"/>
      <ns0:c r="F266" s="454"/>
      <ns0:c r="G266" s="986"/>
      <ns0:c r="H266" s="455"/>
      <ns0:c r="I266" s="456"/>
      <ns0:c r="J266" s="456"/>
      <ns0:c r="K266" s="986"/>
      <ns0:c r="L266" s="454"/>
      <ns0:c r="M266" s="439"/>
      <ns0:c r="N266" s="987" t="str">
        <ns0:f>IF(COUNTA($A266:$M266)=0,"",IF(OR(LEFT(LOWER(TRIM($F266&amp;"")),12)="subscription",LOWER(TRIM($F266&amp;""))="membership"),"",IF(OR(AND($H266&lt;&gt;"",$H266=0),LEFT(LOWER(TRIM($F266&amp;"")),9)="free game",LOWER(TRIM($F266&amp;""))="free",LOWER(TRIM($F266&amp;""))="free entry"),IF(ISNUMBER($G266),IF(ISNUMBER(SEARCH("non",LOWER($E266&amp;""))),$G266*0.85,$G266),"N/A"),IF($G266="","",IFERROR(IF(ISNUMBER(SEARCH("non",LOWER($E266&amp;""))),$G266*0.85,$G266),"")))))</ns0:f>
        <ns0:v/>
      </ns0:c>
      <ns0:c r="O266" s="987" t="str">
        <ns0:f>IF(COUNTA($A266:$M266)=0,"",IF(OR(LEFT(LOWER(TRIM($F266&amp;"")),12)="subscription",LOWER(TRIM($F266&amp;""))="membership"),"",IF(OR(AND($H266&lt;&gt;"",$H266=0),LEFT(LOWER(TRIM($F266&amp;"")),9)="free game",LOWER(TRIM($F266&amp;""))="free",LOWER(TRIM($F266&amp;""))="free entry"),IF(OR(NOT(ISNUMBER($N266)),NOT(ISNUMBER($I266)),$I266=0),"N/A",IFERROR($N266/$I266,"N/A")),IF(OR($N266="",$I266="",$I266=0),"",IFERROR($N266/$I266,"")))))</ns0:f>
        <ns0:v/>
      </ns0:c>
      <ns0:c r="P266" s="987">
        <ns0:f>IF(COUNTA($A266:$M266)=0,"",IF(OR(LEFT(LOWER(TRIM($F266&amp;"")),12)="subscription",LOWER(TRIM($F266&amp;""))="membership"),"",IF(LOWER(TRIM($D266&amp;""))="estimate","N/A",IF(LOWER($L266&amp;"")="yes",0,IF(OR(AND($H266&lt;&gt;"",$H266=0),LEFT(LOWER(TRIM($F266&amp;"")),9)="free game",LOWER(TRIM($F266&amp;""))="free",LOWER(TRIM($F266&amp;""))="free entry"),IF(ISNUMBER($K266),$K266,""),IF($K266&lt;&gt;"",$K266,""))))))</ns0:f>
      </ns0:c>
      <ns0:c r="Q266" s="114">
        <ns0:f>IF(COUNTA($A266:$M266)=0,"",IF(OR($U266="Subscription",$U266=""),"",IF($U266="Estimate","N/A",IF($U266="Profit",ROUND(IFERROR($P266,0)-IFERROR($H266,0),2),0))))</ns0:f>
      </ns0:c>
      <ns0:c r="R266" s="114">
        <ns0:f>IF(COUNTA($A266:$M266)=0,"",IF(OR($U266="Subscription",$U266=""),"",IF($U266="Estimate","N/A",IF($U266="Draw",$H266,0))))</ns0:f>
      </ns0:c>
      <ns0:c r="S266" s="114">
        <ns0:f>IF(COUNTA($A266:$M266)=0,"",IF(OR($U266="Subscription",$U266=""),"",IF($U266="Estimate","N/A",IF($U266="Disqualified",$H266,0))))</ns0:f>
      </ns0:c>
      <ns0:c r="T266" s="955">
        <ns0:f>IF(COUNTA($A266:$M266)=0,"",IF(OR($U266="Subscription",$U266=""),"",IF($U266="Estimate","N/A",IF(OR($U266="Free Game",$U266="Disqualified — Free Game",$H266=0),"N/A",IF($U266="Profit",$Q266/$H266,IF($U266="Disqualified",-$S266/$H266,0))))))</ns0:f>
      </ns0:c>
      <ns0:c r="U266" s="920">
        <ns0:f>IF(COUNTA($A266:$M266)=0,"",IF(OR(LEFT(LOWER(TRIM($F266&amp;"")),12)="subscription",LOWER(TRIM($F266&amp;""))="membership"),"Subscription",IF(LOWER(TRIM($D266&amp;""))="estimate","Estimate",IF(OR(AND($H266&lt;&gt;"",$H266=0),LEFT(LOWER(TRIM($F266&amp;"")),9)="free game",LOWER(TRIM($F266&amp;""))="free",LOWER(TRIM($F266&amp;""))="free entry"),IF(LOWER($L266&amp;"")="yes","Disqualified — Free Game","Free Game"),IF(LOWER($L266&amp;"")="yes","Disqualified",IF($P266="","",IF(ROUND(IFERROR(VALUE($P266),0)-IFERROR(VALUE($H266),0),2)&gt;0,"Profit","Draw")))))))</ns0:f>
      </ns0:c>
      <ns0:c r="V266" s="956" t="str">
        <ns0:f>IF(COUNTA($A266:$M266)=0,"",IF(OR($B266="",$C266="",$U266="Subscription"),"",IFERROR(ROUNDUP(($C266-$B266)/7,0),"")))</ns0:f>
      </ns0:c>
      <ns0:c r="W266" s="114">
        <ns0:f>IF(COUNTA($A266:$M266)=0,"",IF(OR($U266="Subscription",$U266=""),"",IF($U266="Estimate","N/A",IF(OR($U266="Free Game",$U266="Disqualified — Free Game"),0,ROUND(IFERROR($Q266,0)-IFERROR($S266,0),2)))))</ns0:f>
      </ns0:c>
      <ns0:c r="X266" s="956" t="str">
        <ns0:f>IF(COUNTA($A266:$M266)=0,"",IF(OR($U266="Subscription",NOT(ISNUMBER($J266)),NOT(ISNUMBER($I266)),$J266=0,$I266=0,$I266&gt;$J266),"",$J266-$I266))</ns0:f>
      </ns0:c>
      <ns0:c r="Y266" s="955" t="str">
        <ns0:f>IF(COUNTA($A266:$M266)=0,"",IF(OR($U266="Subscription",NOT(ISNUMBER($J266)),$J266=0,$X266=""),"",$X266/$J266))</ns0:f>
      </ns0:c>
      <ns0:c r="Z266" s="957" t="str">
        <ns0:f>IF(COUNTA($A266:$M266)=0,"",Instructions!$B$29+SUM($W$5:W266))</ns0:f>
      </ns0:c>
    </ns0:row>
    <ns0:row r="267" ht="36" customHeight="1">
      <ns0:c r="A267" s="439"/>
      <ns0:c r="B267" s="453"/>
      <ns0:c r="C267" s="453"/>
      <ns0:c r="D267" s="454"/>
      <ns0:c r="E267" s="454"/>
      <ns0:c r="F267" s="454"/>
      <ns0:c r="G267" s="986"/>
      <ns0:c r="H267" s="455"/>
      <ns0:c r="I267" s="456"/>
      <ns0:c r="J267" s="456"/>
      <ns0:c r="K267" s="986"/>
      <ns0:c r="L267" s="454"/>
      <ns0:c r="M267" s="439"/>
      <ns0:c r="N267" s="987" t="str">
        <ns0:f>IF(COUNTA($A267:$M267)=0,"",IF(OR(LEFT(LOWER(TRIM($F267&amp;"")),12)="subscription",LOWER(TRIM($F267&amp;""))="membership"),"",IF(OR(AND($H267&lt;&gt;"",$H267=0),LEFT(LOWER(TRIM($F267&amp;"")),9)="free game",LOWER(TRIM($F267&amp;""))="free",LOWER(TRIM($F267&amp;""))="free entry"),IF(ISNUMBER($G267),IF(ISNUMBER(SEARCH("non",LOWER($E267&amp;""))),$G267*0.85,$G267),"N/A"),IF($G267="","",IFERROR(IF(ISNUMBER(SEARCH("non",LOWER($E267&amp;""))),$G267*0.85,$G267),"")))))</ns0:f>
        <ns0:v/>
      </ns0:c>
      <ns0:c r="O267" s="987" t="str">
        <ns0:f>IF(COUNTA($A267:$M267)=0,"",IF(OR(LEFT(LOWER(TRIM($F267&amp;"")),12)="subscription",LOWER(TRIM($F267&amp;""))="membership"),"",IF(OR(AND($H267&lt;&gt;"",$H267=0),LEFT(LOWER(TRIM($F267&amp;"")),9)="free game",LOWER(TRIM($F267&amp;""))="free",LOWER(TRIM($F267&amp;""))="free entry"),IF(OR(NOT(ISNUMBER($N267)),NOT(ISNUMBER($I267)),$I267=0),"N/A",IFERROR($N267/$I267,"N/A")),IF(OR($N267="",$I267="",$I267=0),"",IFERROR($N267/$I267,"")))))</ns0:f>
        <ns0:v/>
      </ns0:c>
      <ns0:c r="P267" s="987">
        <ns0:f>IF(COUNTA($A267:$M267)=0,"",IF(OR(LEFT(LOWER(TRIM($F267&amp;"")),12)="subscription",LOWER(TRIM($F267&amp;""))="membership"),"",IF(LOWER(TRIM($D267&amp;""))="estimate","N/A",IF(LOWER($L267&amp;"")="yes",0,IF(OR(AND($H267&lt;&gt;"",$H267=0),LEFT(LOWER(TRIM($F267&amp;"")),9)="free game",LOWER(TRIM($F267&amp;""))="free",LOWER(TRIM($F267&amp;""))="free entry"),IF(ISNUMBER($K267),$K267,""),IF($K267&lt;&gt;"",$K267,""))))))</ns0:f>
      </ns0:c>
      <ns0:c r="Q267" s="114">
        <ns0:f>IF(COUNTA($A267:$M267)=0,"",IF(OR($U267="Subscription",$U267=""),"",IF($U267="Estimate","N/A",IF($U267="Profit",ROUND(IFERROR($P267,0)-IFERROR($H267,0),2),0))))</ns0:f>
      </ns0:c>
      <ns0:c r="R267" s="114">
        <ns0:f>IF(COUNTA($A267:$M267)=0,"",IF(OR($U267="Subscription",$U267=""),"",IF($U267="Estimate","N/A",IF($U267="Draw",$H267,0))))</ns0:f>
      </ns0:c>
      <ns0:c r="S267" s="114">
        <ns0:f>IF(COUNTA($A267:$M267)=0,"",IF(OR($U267="Subscription",$U267=""),"",IF($U267="Estimate","N/A",IF($U267="Disqualified",$H267,0))))</ns0:f>
      </ns0:c>
      <ns0:c r="T267" s="955">
        <ns0:f>IF(COUNTA($A267:$M267)=0,"",IF(OR($U267="Subscription",$U267=""),"",IF($U267="Estimate","N/A",IF(OR($U267="Free Game",$U267="Disqualified — Free Game",$H267=0),"N/A",IF($U267="Profit",$Q267/$H267,IF($U267="Disqualified",-$S267/$H267,0))))))</ns0:f>
      </ns0:c>
      <ns0:c r="U267" s="920">
        <ns0:f>IF(COUNTA($A267:$M267)=0,"",IF(OR(LEFT(LOWER(TRIM($F267&amp;"")),12)="subscription",LOWER(TRIM($F267&amp;""))="membership"),"Subscription",IF(LOWER(TRIM($D267&amp;""))="estimate","Estimate",IF(OR(AND($H267&lt;&gt;"",$H267=0),LEFT(LOWER(TRIM($F267&amp;"")),9)="free game",LOWER(TRIM($F267&amp;""))="free",LOWER(TRIM($F267&amp;""))="free entry"),IF(LOWER($L267&amp;"")="yes","Disqualified — Free Game","Free Game"),IF(LOWER($L267&amp;"")="yes","Disqualified",IF($P267="","",IF(ROUND(IFERROR(VALUE($P267),0)-IFERROR(VALUE($H267),0),2)&gt;0,"Profit","Draw")))))))</ns0:f>
      </ns0:c>
      <ns0:c r="V267" s="956" t="str">
        <ns0:f>IF(COUNTA($A267:$M267)=0,"",IF(OR($B267="",$C267="",$U267="Subscription"),"",IFERROR(ROUNDUP(($C267-$B267)/7,0),"")))</ns0:f>
      </ns0:c>
      <ns0:c r="W267" s="114">
        <ns0:f>IF(COUNTA($A267:$M267)=0,"",IF(OR($U267="Subscription",$U267=""),"",IF($U267="Estimate","N/A",IF(OR($U267="Free Game",$U267="Disqualified — Free Game"),0,ROUND(IFERROR($Q267,0)-IFERROR($S267,0),2)))))</ns0:f>
      </ns0:c>
      <ns0:c r="X267" s="956" t="str">
        <ns0:f>IF(COUNTA($A267:$M267)=0,"",IF(OR($U267="Subscription",NOT(ISNUMBER($J267)),NOT(ISNUMBER($I267)),$J267=0,$I267=0,$I267&gt;$J267),"",$J267-$I267))</ns0:f>
      </ns0:c>
      <ns0:c r="Y267" s="955" t="str">
        <ns0:f>IF(COUNTA($A267:$M267)=0,"",IF(OR($U267="Subscription",NOT(ISNUMBER($J267)),$J267=0,$X267=""),"",$X267/$J267))</ns0:f>
      </ns0:c>
      <ns0:c r="Z267" s="957" t="str">
        <ns0:f>IF(COUNTA($A267:$M267)=0,"",Instructions!$B$29+SUM($W$5:W267))</ns0:f>
      </ns0:c>
    </ns0:row>
    <ns0:row r="268" ht="36" customHeight="1">
      <ns0:c r="A268" s="439"/>
      <ns0:c r="B268" s="453"/>
      <ns0:c r="C268" s="453"/>
      <ns0:c r="D268" s="454"/>
      <ns0:c r="E268" s="454"/>
      <ns0:c r="F268" s="454"/>
      <ns0:c r="G268" s="986"/>
      <ns0:c r="H268" s="455"/>
      <ns0:c r="I268" s="456"/>
      <ns0:c r="J268" s="456"/>
      <ns0:c r="K268" s="986"/>
      <ns0:c r="L268" s="454"/>
      <ns0:c r="M268" s="439"/>
      <ns0:c r="N268" s="987" t="str">
        <ns0:f>IF(COUNTA($A268:$M268)=0,"",IF(OR(LEFT(LOWER(TRIM($F268&amp;"")),12)="subscription",LOWER(TRIM($F268&amp;""))="membership"),"",IF(OR(AND($H268&lt;&gt;"",$H268=0),LEFT(LOWER(TRIM($F268&amp;"")),9)="free game",LOWER(TRIM($F268&amp;""))="free",LOWER(TRIM($F268&amp;""))="free entry"),IF(ISNUMBER($G268),IF(ISNUMBER(SEARCH("non",LOWER($E268&amp;""))),$G268*0.85,$G268),"N/A"),IF($G268="","",IFERROR(IF(ISNUMBER(SEARCH("non",LOWER($E268&amp;""))),$G268*0.85,$G268),"")))))</ns0:f>
        <ns0:v/>
      </ns0:c>
      <ns0:c r="O268" s="987" t="str">
        <ns0:f>IF(COUNTA($A268:$M268)=0,"",IF(OR(LEFT(LOWER(TRIM($F268&amp;"")),12)="subscription",LOWER(TRIM($F268&amp;""))="membership"),"",IF(OR(AND($H268&lt;&gt;"",$H268=0),LEFT(LOWER(TRIM($F268&amp;"")),9)="free game",LOWER(TRIM($F268&amp;""))="free",LOWER(TRIM($F268&amp;""))="free entry"),IF(OR(NOT(ISNUMBER($N268)),NOT(ISNUMBER($I268)),$I268=0),"N/A",IFERROR($N268/$I268,"N/A")),IF(OR($N268="",$I268="",$I268=0),"",IFERROR($N268/$I268,"")))))</ns0:f>
        <ns0:v/>
      </ns0:c>
      <ns0:c r="P268" s="987">
        <ns0:f>IF(COUNTA($A268:$M268)=0,"",IF(OR(LEFT(LOWER(TRIM($F268&amp;"")),12)="subscription",LOWER(TRIM($F268&amp;""))="membership"),"",IF(LOWER(TRIM($D268&amp;""))="estimate","N/A",IF(LOWER($L268&amp;"")="yes",0,IF(OR(AND($H268&lt;&gt;"",$H268=0),LEFT(LOWER(TRIM($F268&amp;"")),9)="free game",LOWER(TRIM($F268&amp;""))="free",LOWER(TRIM($F268&amp;""))="free entry"),IF(ISNUMBER($K268),$K268,""),IF($K268&lt;&gt;"",$K268,""))))))</ns0:f>
      </ns0:c>
      <ns0:c r="Q268" s="114">
        <ns0:f>IF(COUNTA($A268:$M268)=0,"",IF(OR($U268="Subscription",$U268=""),"",IF($U268="Estimate","N/A",IF($U268="Profit",ROUND(IFERROR($P268,0)-IFERROR($H268,0),2),0))))</ns0:f>
      </ns0:c>
      <ns0:c r="R268" s="114">
        <ns0:f>IF(COUNTA($A268:$M268)=0,"",IF(OR($U268="Subscription",$U268=""),"",IF($U268="Estimate","N/A",IF($U268="Draw",$H268,0))))</ns0:f>
      </ns0:c>
      <ns0:c r="S268" s="114">
        <ns0:f>IF(COUNTA($A268:$M268)=0,"",IF(OR($U268="Subscription",$U268=""),"",IF($U268="Estimate","N/A",IF($U268="Disqualified",$H268,0))))</ns0:f>
      </ns0:c>
      <ns0:c r="T268" s="955">
        <ns0:f>IF(COUNTA($A268:$M268)=0,"",IF(OR($U268="Subscription",$U268=""),"",IF($U268="Estimate","N/A",IF(OR($U268="Free Game",$U268="Disqualified — Free Game",$H268=0),"N/A",IF($U268="Profit",$Q268/$H268,IF($U268="Disqualified",-$S268/$H268,0))))))</ns0:f>
      </ns0:c>
      <ns0:c r="U268" s="920">
        <ns0:f>IF(COUNTA($A268:$M268)=0,"",IF(OR(LEFT(LOWER(TRIM($F268&amp;"")),12)="subscription",LOWER(TRIM($F268&amp;""))="membership"),"Subscription",IF(LOWER(TRIM($D268&amp;""))="estimate","Estimate",IF(OR(AND($H268&lt;&gt;"",$H268=0),LEFT(LOWER(TRIM($F268&amp;"")),9)="free game",LOWER(TRIM($F268&amp;""))="free",LOWER(TRIM($F268&amp;""))="free entry"),IF(LOWER($L268&amp;"")="yes","Disqualified — Free Game","Free Game"),IF(LOWER($L268&amp;"")="yes","Disqualified",IF($P268="","",IF(ROUND(IFERROR(VALUE($P268),0)-IFERROR(VALUE($H268),0),2)&gt;0,"Profit","Draw")))))))</ns0:f>
      </ns0:c>
      <ns0:c r="V268" s="956" t="str">
        <ns0:f>IF(COUNTA($A268:$M268)=0,"",IF(OR($B268="",$C268="",$U268="Subscription"),"",IFERROR(ROUNDUP(($C268-$B268)/7,0),"")))</ns0:f>
      </ns0:c>
      <ns0:c r="W268" s="114">
        <ns0:f>IF(COUNTA($A268:$M268)=0,"",IF(OR($U268="Subscription",$U268=""),"",IF($U268="Estimate","N/A",IF(OR($U268="Free Game",$U268="Disqualified — Free Game"),0,ROUND(IFERROR($Q268,0)-IFERROR($S268,0),2)))))</ns0:f>
      </ns0:c>
      <ns0:c r="X268" s="956" t="str">
        <ns0:f>IF(COUNTA($A268:$M268)=0,"",IF(OR($U268="Subscription",NOT(ISNUMBER($J268)),NOT(ISNUMBER($I268)),$J268=0,$I268=0,$I268&gt;$J268),"",$J268-$I268))</ns0:f>
      </ns0:c>
      <ns0:c r="Y268" s="955" t="str">
        <ns0:f>IF(COUNTA($A268:$M268)=0,"",IF(OR($U268="Subscription",NOT(ISNUMBER($J268)),$J268=0,$X268=""),"",$X268/$J268))</ns0:f>
      </ns0:c>
      <ns0:c r="Z268" s="957" t="str">
        <ns0:f>IF(COUNTA($A268:$M268)=0,"",Instructions!$B$29+SUM($W$5:W268))</ns0:f>
      </ns0:c>
    </ns0:row>
    <ns0:row r="269" ht="36" customHeight="1">
      <ns0:c r="A269" s="439"/>
      <ns0:c r="B269" s="453"/>
      <ns0:c r="C269" s="453"/>
      <ns0:c r="D269" s="454"/>
      <ns0:c r="E269" s="454"/>
      <ns0:c r="F269" s="454"/>
      <ns0:c r="G269" s="986"/>
      <ns0:c r="H269" s="455"/>
      <ns0:c r="I269" s="456"/>
      <ns0:c r="J269" s="456"/>
      <ns0:c r="K269" s="986"/>
      <ns0:c r="L269" s="454"/>
      <ns0:c r="M269" s="439"/>
      <ns0:c r="N269" s="987" t="str">
        <ns0:f>IF(COUNTA($A269:$M269)=0,"",IF(OR(LEFT(LOWER(TRIM($F269&amp;"")),12)="subscription",LOWER(TRIM($F269&amp;""))="membership"),"",IF(OR(AND($H269&lt;&gt;"",$H269=0),LEFT(LOWER(TRIM($F269&amp;"")),9)="free game",LOWER(TRIM($F269&amp;""))="free",LOWER(TRIM($F269&amp;""))="free entry"),IF(ISNUMBER($G269),IF(ISNUMBER(SEARCH("non",LOWER($E269&amp;""))),$G269*0.85,$G269),"N/A"),IF($G269="","",IFERROR(IF(ISNUMBER(SEARCH("non",LOWER($E269&amp;""))),$G269*0.85,$G269),"")))))</ns0:f>
        <ns0:v/>
      </ns0:c>
      <ns0:c r="O269" s="987" t="str">
        <ns0:f>IF(COUNTA($A269:$M269)=0,"",IF(OR(LEFT(LOWER(TRIM($F269&amp;"")),12)="subscription",LOWER(TRIM($F269&amp;""))="membership"),"",IF(OR(AND($H269&lt;&gt;"",$H269=0),LEFT(LOWER(TRIM($F269&amp;"")),9)="free game",LOWER(TRIM($F269&amp;""))="free",LOWER(TRIM($F269&amp;""))="free entry"),IF(OR(NOT(ISNUMBER($N269)),NOT(ISNUMBER($I269)),$I269=0),"N/A",IFERROR($N269/$I269,"N/A")),IF(OR($N269="",$I269="",$I269=0),"",IFERROR($N269/$I269,"")))))</ns0:f>
        <ns0:v/>
      </ns0:c>
      <ns0:c r="P269" s="987">
        <ns0:f>IF(COUNTA($A269:$M269)=0,"",IF(OR(LEFT(LOWER(TRIM($F269&amp;"")),12)="subscription",LOWER(TRIM($F269&amp;""))="membership"),"",IF(LOWER(TRIM($D269&amp;""))="estimate","N/A",IF(LOWER($L269&amp;"")="yes",0,IF(OR(AND($H269&lt;&gt;"",$H269=0),LEFT(LOWER(TRIM($F269&amp;"")),9)="free game",LOWER(TRIM($F269&amp;""))="free",LOWER(TRIM($F269&amp;""))="free entry"),IF(ISNUMBER($K269),$K269,""),IF($K269&lt;&gt;"",$K269,""))))))</ns0:f>
      </ns0:c>
      <ns0:c r="Q269" s="114">
        <ns0:f>IF(COUNTA($A269:$M269)=0,"",IF(OR($U269="Subscription",$U269=""),"",IF($U269="Estimate","N/A",IF($U269="Profit",ROUND(IFERROR($P269,0)-IFERROR($H269,0),2),0))))</ns0:f>
      </ns0:c>
      <ns0:c r="R269" s="114">
        <ns0:f>IF(COUNTA($A269:$M269)=0,"",IF(OR($U269="Subscription",$U269=""),"",IF($U269="Estimate","N/A",IF($U269="Draw",$H269,0))))</ns0:f>
      </ns0:c>
      <ns0:c r="S269" s="114">
        <ns0:f>IF(COUNTA($A269:$M269)=0,"",IF(OR($U269="Subscription",$U269=""),"",IF($U269="Estimate","N/A",IF($U269="Disqualified",$H269,0))))</ns0:f>
      </ns0:c>
      <ns0:c r="T269" s="955">
        <ns0:f>IF(COUNTA($A269:$M269)=0,"",IF(OR($U269="Subscription",$U269=""),"",IF($U269="Estimate","N/A",IF(OR($U269="Free Game",$U269="Disqualified — Free Game",$H269=0),"N/A",IF($U269="Profit",$Q269/$H269,IF($U269="Disqualified",-$S269/$H269,0))))))</ns0:f>
      </ns0:c>
      <ns0:c r="U269" s="920">
        <ns0:f>IF(COUNTA($A269:$M269)=0,"",IF(OR(LEFT(LOWER(TRIM($F269&amp;"")),12)="subscription",LOWER(TRIM($F269&amp;""))="membership"),"Subscription",IF(LOWER(TRIM($D269&amp;""))="estimate","Estimate",IF(OR(AND($H269&lt;&gt;"",$H269=0),LEFT(LOWER(TRIM($F269&amp;"")),9)="free game",LOWER(TRIM($F269&amp;""))="free",LOWER(TRIM($F269&amp;""))="free entry"),IF(LOWER($L269&amp;"")="yes","Disqualified — Free Game","Free Game"),IF(LOWER($L269&amp;"")="yes","Disqualified",IF($P269="","",IF(ROUND(IFERROR(VALUE($P269),0)-IFERROR(VALUE($H269),0),2)&gt;0,"Profit","Draw")))))))</ns0:f>
      </ns0:c>
      <ns0:c r="V269" s="956" t="str">
        <ns0:f>IF(COUNTA($A269:$M269)=0,"",IF(OR($B269="",$C269="",$U269="Subscription"),"",IFERROR(ROUNDUP(($C269-$B269)/7,0),"")))</ns0:f>
      </ns0:c>
      <ns0:c r="W269" s="114">
        <ns0:f>IF(COUNTA($A269:$M269)=0,"",IF(OR($U269="Subscription",$U269=""),"",IF($U269="Estimate","N/A",IF(OR($U269="Free Game",$U269="Disqualified — Free Game"),0,ROUND(IFERROR($Q269,0)-IFERROR($S269,0),2)))))</ns0:f>
      </ns0:c>
      <ns0:c r="X269" s="956" t="str">
        <ns0:f>IF(COUNTA($A269:$M269)=0,"",IF(OR($U269="Subscription",NOT(ISNUMBER($J269)),NOT(ISNUMBER($I269)),$J269=0,$I269=0,$I269&gt;$J269),"",$J269-$I269))</ns0:f>
      </ns0:c>
      <ns0:c r="Y269" s="955" t="str">
        <ns0:f>IF(COUNTA($A269:$M269)=0,"",IF(OR($U269="Subscription",NOT(ISNUMBER($J269)),$J269=0,$X269=""),"",$X269/$J269))</ns0:f>
      </ns0:c>
      <ns0:c r="Z269" s="957" t="str">
        <ns0:f>IF(COUNTA($A269:$M269)=0,"",Instructions!$B$29+SUM($W$5:W269))</ns0:f>
      </ns0:c>
    </ns0:row>
    <ns0:row r="270" ht="36" customHeight="1">
      <ns0:c r="A270" s="439"/>
      <ns0:c r="B270" s="453"/>
      <ns0:c r="C270" s="453"/>
      <ns0:c r="D270" s="454"/>
      <ns0:c r="E270" s="454"/>
      <ns0:c r="F270" s="454"/>
      <ns0:c r="G270" s="986"/>
      <ns0:c r="H270" s="455"/>
      <ns0:c r="I270" s="456"/>
      <ns0:c r="J270" s="456"/>
      <ns0:c r="K270" s="986"/>
      <ns0:c r="L270" s="454"/>
      <ns0:c r="M270" s="439"/>
      <ns0:c r="N270" s="987" t="str">
        <ns0:f>IF(COUNTA($A270:$M270)=0,"",IF(OR(LEFT(LOWER(TRIM($F270&amp;"")),12)="subscription",LOWER(TRIM($F270&amp;""))="membership"),"",IF(OR(AND($H270&lt;&gt;"",$H270=0),LEFT(LOWER(TRIM($F270&amp;"")),9)="free game",LOWER(TRIM($F270&amp;""))="free",LOWER(TRIM($F270&amp;""))="free entry"),IF(ISNUMBER($G270),IF(ISNUMBER(SEARCH("non",LOWER($E270&amp;""))),$G270*0.85,$G270),"N/A"),IF($G270="","",IFERROR(IF(ISNUMBER(SEARCH("non",LOWER($E270&amp;""))),$G270*0.85,$G270),"")))))</ns0:f>
        <ns0:v/>
      </ns0:c>
      <ns0:c r="O270" s="987" t="str">
        <ns0:f>IF(COUNTA($A270:$M270)=0,"",IF(OR(LEFT(LOWER(TRIM($F270&amp;"")),12)="subscription",LOWER(TRIM($F270&amp;""))="membership"),"",IF(OR(AND($H270&lt;&gt;"",$H270=0),LEFT(LOWER(TRIM($F270&amp;"")),9)="free game",LOWER(TRIM($F270&amp;""))="free",LOWER(TRIM($F270&amp;""))="free entry"),IF(OR(NOT(ISNUMBER($N270)),NOT(ISNUMBER($I270)),$I270=0),"N/A",IFERROR($N270/$I270,"N/A")),IF(OR($N270="",$I270="",$I270=0),"",IFERROR($N270/$I270,"")))))</ns0:f>
        <ns0:v/>
      </ns0:c>
      <ns0:c r="P270" s="987">
        <ns0:f>IF(COUNTA($A270:$M270)=0,"",IF(OR(LEFT(LOWER(TRIM($F270&amp;"")),12)="subscription",LOWER(TRIM($F270&amp;""))="membership"),"",IF(LOWER(TRIM($D270&amp;""))="estimate","N/A",IF(LOWER($L270&amp;"")="yes",0,IF(OR(AND($H270&lt;&gt;"",$H270=0),LEFT(LOWER(TRIM($F270&amp;"")),9)="free game",LOWER(TRIM($F270&amp;""))="free",LOWER(TRIM($F270&amp;""))="free entry"),IF(ISNUMBER($K270),$K270,""),IF($K270&lt;&gt;"",$K270,""))))))</ns0:f>
      </ns0:c>
      <ns0:c r="Q270" s="114">
        <ns0:f>IF(COUNTA($A270:$M270)=0,"",IF(OR($U270="Subscription",$U270=""),"",IF($U270="Estimate","N/A",IF($U270="Profit",ROUND(IFERROR($P270,0)-IFERROR($H270,0),2),0))))</ns0:f>
      </ns0:c>
      <ns0:c r="R270" s="114">
        <ns0:f>IF(COUNTA($A270:$M270)=0,"",IF(OR($U270="Subscription",$U270=""),"",IF($U270="Estimate","N/A",IF($U270="Draw",$H270,0))))</ns0:f>
      </ns0:c>
      <ns0:c r="S270" s="114">
        <ns0:f>IF(COUNTA($A270:$M270)=0,"",IF(OR($U270="Subscription",$U270=""),"",IF($U270="Estimate","N/A",IF($U270="Disqualified",$H270,0))))</ns0:f>
      </ns0:c>
      <ns0:c r="T270" s="955">
        <ns0:f>IF(COUNTA($A270:$M270)=0,"",IF(OR($U270="Subscription",$U270=""),"",IF($U270="Estimate","N/A",IF(OR($U270="Free Game",$U270="Disqualified — Free Game",$H270=0),"N/A",IF($U270="Profit",$Q270/$H270,IF($U270="Disqualified",-$S270/$H270,0))))))</ns0:f>
      </ns0:c>
      <ns0:c r="U270" s="920">
        <ns0:f>IF(COUNTA($A270:$M270)=0,"",IF(OR(LEFT(LOWER(TRIM($F270&amp;"")),12)="subscription",LOWER(TRIM($F270&amp;""))="membership"),"Subscription",IF(LOWER(TRIM($D270&amp;""))="estimate","Estimate",IF(OR(AND($H270&lt;&gt;"",$H270=0),LEFT(LOWER(TRIM($F270&amp;"")),9)="free game",LOWER(TRIM($F270&amp;""))="free",LOWER(TRIM($F270&amp;""))="free entry"),IF(LOWER($L270&amp;"")="yes","Disqualified — Free Game","Free Game"),IF(LOWER($L270&amp;"")="yes","Disqualified",IF($P270="","",IF(ROUND(IFERROR(VALUE($P270),0)-IFERROR(VALUE($H270),0),2)&gt;0,"Profit","Draw")))))))</ns0:f>
      </ns0:c>
      <ns0:c r="V270" s="956" t="str">
        <ns0:f>IF(COUNTA($A270:$M270)=0,"",IF(OR($B270="",$C270="",$U270="Subscription"),"",IFERROR(ROUNDUP(($C270-$B270)/7,0),"")))</ns0:f>
      </ns0:c>
      <ns0:c r="W270" s="114">
        <ns0:f>IF(COUNTA($A270:$M270)=0,"",IF(OR($U270="Subscription",$U270=""),"",IF($U270="Estimate","N/A",IF(OR($U270="Free Game",$U270="Disqualified — Free Game"),0,ROUND(IFERROR($Q270,0)-IFERROR($S270,0),2)))))</ns0:f>
      </ns0:c>
      <ns0:c r="X270" s="956" t="str">
        <ns0:f>IF(COUNTA($A270:$M270)=0,"",IF(OR($U270="Subscription",NOT(ISNUMBER($J270)),NOT(ISNUMBER($I270)),$J270=0,$I270=0,$I270&gt;$J270),"",$J270-$I270))</ns0:f>
      </ns0:c>
      <ns0:c r="Y270" s="955" t="str">
        <ns0:f>IF(COUNTA($A270:$M270)=0,"",IF(OR($U270="Subscription",NOT(ISNUMBER($J270)),$J270=0,$X270=""),"",$X270/$J270))</ns0:f>
      </ns0:c>
      <ns0:c r="Z270" s="957" t="str">
        <ns0:f>IF(COUNTA($A270:$M270)=0,"",Instructions!$B$29+SUM($W$5:W270))</ns0:f>
      </ns0:c>
    </ns0:row>
    <ns0:row r="271" ht="36" customHeight="1">
      <ns0:c r="A271" s="439"/>
      <ns0:c r="B271" s="453"/>
      <ns0:c r="C271" s="453"/>
      <ns0:c r="D271" s="454"/>
      <ns0:c r="E271" s="454"/>
      <ns0:c r="F271" s="454"/>
      <ns0:c r="G271" s="986"/>
      <ns0:c r="H271" s="455"/>
      <ns0:c r="I271" s="456"/>
      <ns0:c r="J271" s="456"/>
      <ns0:c r="K271" s="986"/>
      <ns0:c r="L271" s="454"/>
      <ns0:c r="M271" s="439"/>
      <ns0:c r="N271" s="987" t="str">
        <ns0:f>IF(COUNTA($A271:$M271)=0,"",IF(OR(LEFT(LOWER(TRIM($F271&amp;"")),12)="subscription",LOWER(TRIM($F271&amp;""))="membership"),"",IF(OR(AND($H271&lt;&gt;"",$H271=0),LEFT(LOWER(TRIM($F271&amp;"")),9)="free game",LOWER(TRIM($F271&amp;""))="free",LOWER(TRIM($F271&amp;""))="free entry"),IF(ISNUMBER($G271),IF(ISNUMBER(SEARCH("non",LOWER($E271&amp;""))),$G271*0.85,$G271),"N/A"),IF($G271="","",IFERROR(IF(ISNUMBER(SEARCH("non",LOWER($E271&amp;""))),$G271*0.85,$G271),"")))))</ns0:f>
        <ns0:v/>
      </ns0:c>
      <ns0:c r="O271" s="987" t="str">
        <ns0:f>IF(COUNTA($A271:$M271)=0,"",IF(OR(LEFT(LOWER(TRIM($F271&amp;"")),12)="subscription",LOWER(TRIM($F271&amp;""))="membership"),"",IF(OR(AND($H271&lt;&gt;"",$H271=0),LEFT(LOWER(TRIM($F271&amp;"")),9)="free game",LOWER(TRIM($F271&amp;""))="free",LOWER(TRIM($F271&amp;""))="free entry"),IF(OR(NOT(ISNUMBER($N271)),NOT(ISNUMBER($I271)),$I271=0),"N/A",IFERROR($N271/$I271,"N/A")),IF(OR($N271="",$I271="",$I271=0),"",IFERROR($N271/$I271,"")))))</ns0:f>
        <ns0:v/>
      </ns0:c>
      <ns0:c r="P271" s="987">
        <ns0:f>IF(COUNTA($A271:$M271)=0,"",IF(OR(LEFT(LOWER(TRIM($F271&amp;"")),12)="subscription",LOWER(TRIM($F271&amp;""))="membership"),"",IF(LOWER(TRIM($D271&amp;""))="estimate","N/A",IF(LOWER($L271&amp;"")="yes",0,IF(OR(AND($H271&lt;&gt;"",$H271=0),LEFT(LOWER(TRIM($F271&amp;"")),9)="free game",LOWER(TRIM($F271&amp;""))="free",LOWER(TRIM($F271&amp;""))="free entry"),IF(ISNUMBER($K271),$K271,""),IF($K271&lt;&gt;"",$K271,""))))))</ns0:f>
      </ns0:c>
      <ns0:c r="Q271" s="114">
        <ns0:f>IF(COUNTA($A271:$M271)=0,"",IF(OR($U271="Subscription",$U271=""),"",IF($U271="Estimate","N/A",IF($U271="Profit",ROUND(IFERROR($P271,0)-IFERROR($H271,0),2),0))))</ns0:f>
      </ns0:c>
      <ns0:c r="R271" s="114">
        <ns0:f>IF(COUNTA($A271:$M271)=0,"",IF(OR($U271="Subscription",$U271=""),"",IF($U271="Estimate","N/A",IF($U271="Draw",$H271,0))))</ns0:f>
      </ns0:c>
      <ns0:c r="S271" s="114">
        <ns0:f>IF(COUNTA($A271:$M271)=0,"",IF(OR($U271="Subscription",$U271=""),"",IF($U271="Estimate","N/A",IF($U271="Disqualified",$H271,0))))</ns0:f>
      </ns0:c>
      <ns0:c r="T271" s="955">
        <ns0:f>IF(COUNTA($A271:$M271)=0,"",IF(OR($U271="Subscription",$U271=""),"",IF($U271="Estimate","N/A",IF(OR($U271="Free Game",$U271="Disqualified — Free Game",$H271=0),"N/A",IF($U271="Profit",$Q271/$H271,IF($U271="Disqualified",-$S271/$H271,0))))))</ns0:f>
      </ns0:c>
      <ns0:c r="U271" s="920">
        <ns0:f>IF(COUNTA($A271:$M271)=0,"",IF(OR(LEFT(LOWER(TRIM($F271&amp;"")),12)="subscription",LOWER(TRIM($F271&amp;""))="membership"),"Subscription",IF(LOWER(TRIM($D271&amp;""))="estimate","Estimate",IF(OR(AND($H271&lt;&gt;"",$H271=0),LEFT(LOWER(TRIM($F271&amp;"")),9)="free game",LOWER(TRIM($F271&amp;""))="free",LOWER(TRIM($F271&amp;""))="free entry"),IF(LOWER($L271&amp;"")="yes","Disqualified — Free Game","Free Game"),IF(LOWER($L271&amp;"")="yes","Disqualified",IF($P271="","",IF(ROUND(IFERROR(VALUE($P271),0)-IFERROR(VALUE($H271),0),2)&gt;0,"Profit","Draw")))))))</ns0:f>
      </ns0:c>
      <ns0:c r="V271" s="956" t="str">
        <ns0:f>IF(COUNTA($A271:$M271)=0,"",IF(OR($B271="",$C271="",$U271="Subscription"),"",IFERROR(ROUNDUP(($C271-$B271)/7,0),"")))</ns0:f>
      </ns0:c>
      <ns0:c r="W271" s="114">
        <ns0:f>IF(COUNTA($A271:$M271)=0,"",IF(OR($U271="Subscription",$U271=""),"",IF($U271="Estimate","N/A",IF(OR($U271="Free Game",$U271="Disqualified — Free Game"),0,ROUND(IFERROR($Q271,0)-IFERROR($S271,0),2)))))</ns0:f>
      </ns0:c>
      <ns0:c r="X271" s="956" t="str">
        <ns0:f>IF(COUNTA($A271:$M271)=0,"",IF(OR($U271="Subscription",NOT(ISNUMBER($J271)),NOT(ISNUMBER($I271)),$J271=0,$I271=0,$I271&gt;$J271),"",$J271-$I271))</ns0:f>
      </ns0:c>
      <ns0:c r="Y271" s="955" t="str">
        <ns0:f>IF(COUNTA($A271:$M271)=0,"",IF(OR($U271="Subscription",NOT(ISNUMBER($J271)),$J271=0,$X271=""),"",$X271/$J271))</ns0:f>
      </ns0:c>
      <ns0:c r="Z271" s="957" t="str">
        <ns0:f>IF(COUNTA($A271:$M271)=0,"",Instructions!$B$29+SUM($W$5:W271))</ns0:f>
      </ns0:c>
    </ns0:row>
    <ns0:row r="272" ht="36" customHeight="1">
      <ns0:c r="A272" s="439"/>
      <ns0:c r="B272" s="453"/>
      <ns0:c r="C272" s="453"/>
      <ns0:c r="D272" s="454"/>
      <ns0:c r="E272" s="454"/>
      <ns0:c r="F272" s="454"/>
      <ns0:c r="G272" s="986"/>
      <ns0:c r="H272" s="455"/>
      <ns0:c r="I272" s="456"/>
      <ns0:c r="J272" s="456"/>
      <ns0:c r="K272" s="986"/>
      <ns0:c r="L272" s="454"/>
      <ns0:c r="M272" s="439"/>
      <ns0:c r="N272" s="987" t="str">
        <ns0:f>IF(COUNTA($A272:$M272)=0,"",IF(OR(LEFT(LOWER(TRIM($F272&amp;"")),12)="subscription",LOWER(TRIM($F272&amp;""))="membership"),"",IF(OR(AND($H272&lt;&gt;"",$H272=0),LEFT(LOWER(TRIM($F272&amp;"")),9)="free game",LOWER(TRIM($F272&amp;""))="free",LOWER(TRIM($F272&amp;""))="free entry"),IF(ISNUMBER($G272),IF(ISNUMBER(SEARCH("non",LOWER($E272&amp;""))),$G272*0.85,$G272),"N/A"),IF($G272="","",IFERROR(IF(ISNUMBER(SEARCH("non",LOWER($E272&amp;""))),$G272*0.85,$G272),"")))))</ns0:f>
        <ns0:v/>
      </ns0:c>
      <ns0:c r="O272" s="987" t="str">
        <ns0:f>IF(COUNTA($A272:$M272)=0,"",IF(OR(LEFT(LOWER(TRIM($F272&amp;"")),12)="subscription",LOWER(TRIM($F272&amp;""))="membership"),"",IF(OR(AND($H272&lt;&gt;"",$H272=0),LEFT(LOWER(TRIM($F272&amp;"")),9)="free game",LOWER(TRIM($F272&amp;""))="free",LOWER(TRIM($F272&amp;""))="free entry"),IF(OR(NOT(ISNUMBER($N272)),NOT(ISNUMBER($I272)),$I272=0),"N/A",IFERROR($N272/$I272,"N/A")),IF(OR($N272="",$I272="",$I272=0),"",IFERROR($N272/$I272,"")))))</ns0:f>
        <ns0:v/>
      </ns0:c>
      <ns0:c r="P272" s="987">
        <ns0:f>IF(COUNTA($A272:$M272)=0,"",IF(OR(LEFT(LOWER(TRIM($F272&amp;"")),12)="subscription",LOWER(TRIM($F272&amp;""))="membership"),"",IF(LOWER(TRIM($D272&amp;""))="estimate","N/A",IF(LOWER($L272&amp;"")="yes",0,IF(OR(AND($H272&lt;&gt;"",$H272=0),LEFT(LOWER(TRIM($F272&amp;"")),9)="free game",LOWER(TRIM($F272&amp;""))="free",LOWER(TRIM($F272&amp;""))="free entry"),IF(ISNUMBER($K272),$K272,""),IF($K272&lt;&gt;"",$K272,""))))))</ns0:f>
      </ns0:c>
      <ns0:c r="Q272" s="114">
        <ns0:f>IF(COUNTA($A272:$M272)=0,"",IF(OR($U272="Subscription",$U272=""),"",IF($U272="Estimate","N/A",IF($U272="Profit",ROUND(IFERROR($P272,0)-IFERROR($H272,0),2),0))))</ns0:f>
      </ns0:c>
      <ns0:c r="R272" s="114">
        <ns0:f>IF(COUNTA($A272:$M272)=0,"",IF(OR($U272="Subscription",$U272=""),"",IF($U272="Estimate","N/A",IF($U272="Draw",$H272,0))))</ns0:f>
      </ns0:c>
      <ns0:c r="S272" s="114">
        <ns0:f>IF(COUNTA($A272:$M272)=0,"",IF(OR($U272="Subscription",$U272=""),"",IF($U272="Estimate","N/A",IF($U272="Disqualified",$H272,0))))</ns0:f>
      </ns0:c>
      <ns0:c r="T272" s="955">
        <ns0:f>IF(COUNTA($A272:$M272)=0,"",IF(OR($U272="Subscription",$U272=""),"",IF($U272="Estimate","N/A",IF(OR($U272="Free Game",$U272="Disqualified — Free Game",$H272=0),"N/A",IF($U272="Profit",$Q272/$H272,IF($U272="Disqualified",-$S272/$H272,0))))))</ns0:f>
      </ns0:c>
      <ns0:c r="U272" s="920">
        <ns0:f>IF(COUNTA($A272:$M272)=0,"",IF(OR(LEFT(LOWER(TRIM($F272&amp;"")),12)="subscription",LOWER(TRIM($F272&amp;""))="membership"),"Subscription",IF(LOWER(TRIM($D272&amp;""))="estimate","Estimate",IF(OR(AND($H272&lt;&gt;"",$H272=0),LEFT(LOWER(TRIM($F272&amp;"")),9)="free game",LOWER(TRIM($F272&amp;""))="free",LOWER(TRIM($F272&amp;""))="free entry"),IF(LOWER($L272&amp;"")="yes","Disqualified — Free Game","Free Game"),IF(LOWER($L272&amp;"")="yes","Disqualified",IF($P272="","",IF(ROUND(IFERROR(VALUE($P272),0)-IFERROR(VALUE($H272),0),2)&gt;0,"Profit","Draw")))))))</ns0:f>
      </ns0:c>
      <ns0:c r="V272" s="956" t="str">
        <ns0:f>IF(COUNTA($A272:$M272)=0,"",IF(OR($B272="",$C272="",$U272="Subscription"),"",IFERROR(ROUNDUP(($C272-$B272)/7,0),"")))</ns0:f>
      </ns0:c>
      <ns0:c r="W272" s="114">
        <ns0:f>IF(COUNTA($A272:$M272)=0,"",IF(OR($U272="Subscription",$U272=""),"",IF($U272="Estimate","N/A",IF(OR($U272="Free Game",$U272="Disqualified — Free Game"),0,ROUND(IFERROR($Q272,0)-IFERROR($S272,0),2)))))</ns0:f>
      </ns0:c>
      <ns0:c r="X272" s="956" t="str">
        <ns0:f>IF(COUNTA($A272:$M272)=0,"",IF(OR($U272="Subscription",NOT(ISNUMBER($J272)),NOT(ISNUMBER($I272)),$J272=0,$I272=0,$I272&gt;$J272),"",$J272-$I272))</ns0:f>
      </ns0:c>
      <ns0:c r="Y272" s="955" t="str">
        <ns0:f>IF(COUNTA($A272:$M272)=0,"",IF(OR($U272="Subscription",NOT(ISNUMBER($J272)),$J272=0,$X272=""),"",$X272/$J272))</ns0:f>
      </ns0:c>
      <ns0:c r="Z272" s="957" t="str">
        <ns0:f>IF(COUNTA($A272:$M272)=0,"",Instructions!$B$29+SUM($W$5:W272))</ns0:f>
      </ns0:c>
    </ns0:row>
    <ns0:row r="273" ht="36" customHeight="1">
      <ns0:c r="A273" s="439"/>
      <ns0:c r="B273" s="453"/>
      <ns0:c r="C273" s="453"/>
      <ns0:c r="D273" s="454"/>
      <ns0:c r="E273" s="454"/>
      <ns0:c r="F273" s="454"/>
      <ns0:c r="G273" s="986"/>
      <ns0:c r="H273" s="455"/>
      <ns0:c r="I273" s="456"/>
      <ns0:c r="J273" s="456"/>
      <ns0:c r="K273" s="986"/>
      <ns0:c r="L273" s="454"/>
      <ns0:c r="M273" s="439"/>
      <ns0:c r="N273" s="987" t="str">
        <ns0:f>IF(COUNTA($A273:$M273)=0,"",IF(OR(LEFT(LOWER(TRIM($F273&amp;"")),12)="subscription",LOWER(TRIM($F273&amp;""))="membership"),"",IF(OR(AND($H273&lt;&gt;"",$H273=0),LEFT(LOWER(TRIM($F273&amp;"")),9)="free game",LOWER(TRIM($F273&amp;""))="free",LOWER(TRIM($F273&amp;""))="free entry"),IF(ISNUMBER($G273),IF(ISNUMBER(SEARCH("non",LOWER($E273&amp;""))),$G273*0.85,$G273),"N/A"),IF($G273="","",IFERROR(IF(ISNUMBER(SEARCH("non",LOWER($E273&amp;""))),$G273*0.85,$G273),"")))))</ns0:f>
        <ns0:v/>
      </ns0:c>
      <ns0:c r="O273" s="987" t="str">
        <ns0:f>IF(COUNTA($A273:$M273)=0,"",IF(OR(LEFT(LOWER(TRIM($F273&amp;"")),12)="subscription",LOWER(TRIM($F273&amp;""))="membership"),"",IF(OR(AND($H273&lt;&gt;"",$H273=0),LEFT(LOWER(TRIM($F273&amp;"")),9)="free game",LOWER(TRIM($F273&amp;""))="free",LOWER(TRIM($F273&amp;""))="free entry"),IF(OR(NOT(ISNUMBER($N273)),NOT(ISNUMBER($I273)),$I273=0),"N/A",IFERROR($N273/$I273,"N/A")),IF(OR($N273="",$I273="",$I273=0),"",IFERROR($N273/$I273,"")))))</ns0:f>
        <ns0:v/>
      </ns0:c>
      <ns0:c r="P273" s="987">
        <ns0:f>IF(COUNTA($A273:$M273)=0,"",IF(OR(LEFT(LOWER(TRIM($F273&amp;"")),12)="subscription",LOWER(TRIM($F273&amp;""))="membership"),"",IF(LOWER(TRIM($D273&amp;""))="estimate","N/A",IF(LOWER($L273&amp;"")="yes",0,IF(OR(AND($H273&lt;&gt;"",$H273=0),LEFT(LOWER(TRIM($F273&amp;"")),9)="free game",LOWER(TRIM($F273&amp;""))="free",LOWER(TRIM($F273&amp;""))="free entry"),IF(ISNUMBER($K273),$K273,""),IF($K273&lt;&gt;"",$K273,""))))))</ns0:f>
      </ns0:c>
      <ns0:c r="Q273" s="114">
        <ns0:f>IF(COUNTA($A273:$M273)=0,"",IF(OR($U273="Subscription",$U273=""),"",IF($U273="Estimate","N/A",IF($U273="Profit",ROUND(IFERROR($P273,0)-IFERROR($H273,0),2),0))))</ns0:f>
      </ns0:c>
      <ns0:c r="R273" s="114">
        <ns0:f>IF(COUNTA($A273:$M273)=0,"",IF(OR($U273="Subscription",$U273=""),"",IF($U273="Estimate","N/A",IF($U273="Draw",$H273,0))))</ns0:f>
      </ns0:c>
      <ns0:c r="S273" s="114">
        <ns0:f>IF(COUNTA($A273:$M273)=0,"",IF(OR($U273="Subscription",$U273=""),"",IF($U273="Estimate","N/A",IF($U273="Disqualified",$H273,0))))</ns0:f>
      </ns0:c>
      <ns0:c r="T273" s="955">
        <ns0:f>IF(COUNTA($A273:$M273)=0,"",IF(OR($U273="Subscription",$U273=""),"",IF($U273="Estimate","N/A",IF(OR($U273="Free Game",$U273="Disqualified — Free Game",$H273=0),"N/A",IF($U273="Profit",$Q273/$H273,IF($U273="Disqualified",-$S273/$H273,0))))))</ns0:f>
      </ns0:c>
      <ns0:c r="U273" s="920">
        <ns0:f>IF(COUNTA($A273:$M273)=0,"",IF(OR(LEFT(LOWER(TRIM($F273&amp;"")),12)="subscription",LOWER(TRIM($F273&amp;""))="membership"),"Subscription",IF(LOWER(TRIM($D273&amp;""))="estimate","Estimate",IF(OR(AND($H273&lt;&gt;"",$H273=0),LEFT(LOWER(TRIM($F273&amp;"")),9)="free game",LOWER(TRIM($F273&amp;""))="free",LOWER(TRIM($F273&amp;""))="free entry"),IF(LOWER($L273&amp;"")="yes","Disqualified — Free Game","Free Game"),IF(LOWER($L273&amp;"")="yes","Disqualified",IF($P273="","",IF(ROUND(IFERROR(VALUE($P273),0)-IFERROR(VALUE($H273),0),2)&gt;0,"Profit","Draw")))))))</ns0:f>
      </ns0:c>
      <ns0:c r="V273" s="956" t="str">
        <ns0:f>IF(COUNTA($A273:$M273)=0,"",IF(OR($B273="",$C273="",$U273="Subscription"),"",IFERROR(ROUNDUP(($C273-$B273)/7,0),"")))</ns0:f>
      </ns0:c>
      <ns0:c r="W273" s="114">
        <ns0:f>IF(COUNTA($A273:$M273)=0,"",IF(OR($U273="Subscription",$U273=""),"",IF($U273="Estimate","N/A",IF(OR($U273="Free Game",$U273="Disqualified — Free Game"),0,ROUND(IFERROR($Q273,0)-IFERROR($S273,0),2)))))</ns0:f>
      </ns0:c>
      <ns0:c r="X273" s="956" t="str">
        <ns0:f>IF(COUNTA($A273:$M273)=0,"",IF(OR($U273="Subscription",NOT(ISNUMBER($J273)),NOT(ISNUMBER($I273)),$J273=0,$I273=0,$I273&gt;$J273),"",$J273-$I273))</ns0:f>
      </ns0:c>
      <ns0:c r="Y273" s="955" t="str">
        <ns0:f>IF(COUNTA($A273:$M273)=0,"",IF(OR($U273="Subscription",NOT(ISNUMBER($J273)),$J273=0,$X273=""),"",$X273/$J273))</ns0:f>
      </ns0:c>
      <ns0:c r="Z273" s="957" t="str">
        <ns0:f>IF(COUNTA($A273:$M273)=0,"",Instructions!$B$29+SUM($W$5:W273))</ns0:f>
      </ns0:c>
    </ns0:row>
    <ns0:row r="274" ht="36" customHeight="1">
      <ns0:c r="A274" s="439"/>
      <ns0:c r="B274" s="453"/>
      <ns0:c r="C274" s="453"/>
      <ns0:c r="D274" s="454"/>
      <ns0:c r="E274" s="454"/>
      <ns0:c r="F274" s="454"/>
      <ns0:c r="G274" s="986"/>
      <ns0:c r="H274" s="455"/>
      <ns0:c r="I274" s="456"/>
      <ns0:c r="J274" s="456"/>
      <ns0:c r="K274" s="986"/>
      <ns0:c r="L274" s="454"/>
      <ns0:c r="M274" s="439"/>
      <ns0:c r="N274" s="987" t="str">
        <ns0:f>IF(COUNTA($A274:$M274)=0,"",IF(OR(LEFT(LOWER(TRIM($F274&amp;"")),12)="subscription",LOWER(TRIM($F274&amp;""))="membership"),"",IF(OR(AND($H274&lt;&gt;"",$H274=0),LEFT(LOWER(TRIM($F274&amp;"")),9)="free game",LOWER(TRIM($F274&amp;""))="free",LOWER(TRIM($F274&amp;""))="free entry"),IF(ISNUMBER($G274),IF(ISNUMBER(SEARCH("non",LOWER($E274&amp;""))),$G274*0.85,$G274),"N/A"),IF($G274="","",IFERROR(IF(ISNUMBER(SEARCH("non",LOWER($E274&amp;""))),$G274*0.85,$G274),"")))))</ns0:f>
        <ns0:v/>
      </ns0:c>
      <ns0:c r="O274" s="987" t="str">
        <ns0:f>IF(COUNTA($A274:$M274)=0,"",IF(OR(LEFT(LOWER(TRIM($F274&amp;"")),12)="subscription",LOWER(TRIM($F274&amp;""))="membership"),"",IF(OR(AND($H274&lt;&gt;"",$H274=0),LEFT(LOWER(TRIM($F274&amp;"")),9)="free game",LOWER(TRIM($F274&amp;""))="free",LOWER(TRIM($F274&amp;""))="free entry"),IF(OR(NOT(ISNUMBER($N274)),NOT(ISNUMBER($I274)),$I274=0),"N/A",IFERROR($N274/$I274,"N/A")),IF(OR($N274="",$I274="",$I274=0),"",IFERROR($N274/$I274,"")))))</ns0:f>
        <ns0:v/>
      </ns0:c>
      <ns0:c r="P274" s="987">
        <ns0:f>IF(COUNTA($A274:$M274)=0,"",IF(OR(LEFT(LOWER(TRIM($F274&amp;"")),12)="subscription",LOWER(TRIM($F274&amp;""))="membership"),"",IF(LOWER(TRIM($D274&amp;""))="estimate","N/A",IF(LOWER($L274&amp;"")="yes",0,IF(OR(AND($H274&lt;&gt;"",$H274=0),LEFT(LOWER(TRIM($F274&amp;"")),9)="free game",LOWER(TRIM($F274&amp;""))="free",LOWER(TRIM($F274&amp;""))="free entry"),IF(ISNUMBER($K274),$K274,""),IF($K274&lt;&gt;"",$K274,""))))))</ns0:f>
      </ns0:c>
      <ns0:c r="Q274" s="114">
        <ns0:f>IF(COUNTA($A274:$M274)=0,"",IF(OR($U274="Subscription",$U274=""),"",IF($U274="Estimate","N/A",IF($U274="Profit",ROUND(IFERROR($P274,0)-IFERROR($H274,0),2),0))))</ns0:f>
      </ns0:c>
      <ns0:c r="R274" s="114">
        <ns0:f>IF(COUNTA($A274:$M274)=0,"",IF(OR($U274="Subscription",$U274=""),"",IF($U274="Estimate","N/A",IF($U274="Draw",$H274,0))))</ns0:f>
      </ns0:c>
      <ns0:c r="S274" s="114">
        <ns0:f>IF(COUNTA($A274:$M274)=0,"",IF(OR($U274="Subscription",$U274=""),"",IF($U274="Estimate","N/A",IF($U274="Disqualified",$H274,0))))</ns0:f>
      </ns0:c>
      <ns0:c r="T274" s="955">
        <ns0:f>IF(COUNTA($A274:$M274)=0,"",IF(OR($U274="Subscription",$U274=""),"",IF($U274="Estimate","N/A",IF(OR($U274="Free Game",$U274="Disqualified — Free Game",$H274=0),"N/A",IF($U274="Profit",$Q274/$H274,IF($U274="Disqualified",-$S274/$H274,0))))))</ns0:f>
      </ns0:c>
      <ns0:c r="U274" s="920">
        <ns0:f>IF(COUNTA($A274:$M274)=0,"",IF(OR(LEFT(LOWER(TRIM($F274&amp;"")),12)="subscription",LOWER(TRIM($F274&amp;""))="membership"),"Subscription",IF(LOWER(TRIM($D274&amp;""))="estimate","Estimate",IF(OR(AND($H274&lt;&gt;"",$H274=0),LEFT(LOWER(TRIM($F274&amp;"")),9)="free game",LOWER(TRIM($F274&amp;""))="free",LOWER(TRIM($F274&amp;""))="free entry"),IF(LOWER($L274&amp;"")="yes","Disqualified — Free Game","Free Game"),IF(LOWER($L274&amp;"")="yes","Disqualified",IF($P274="","",IF(ROUND(IFERROR(VALUE($P274),0)-IFERROR(VALUE($H274),0),2)&gt;0,"Profit","Draw")))))))</ns0:f>
      </ns0:c>
      <ns0:c r="V274" s="956" t="str">
        <ns0:f>IF(COUNTA($A274:$M274)=0,"",IF(OR($B274="",$C274="",$U274="Subscription"),"",IFERROR(ROUNDUP(($C274-$B274)/7,0),"")))</ns0:f>
      </ns0:c>
      <ns0:c r="W274" s="114">
        <ns0:f>IF(COUNTA($A274:$M274)=0,"",IF(OR($U274="Subscription",$U274=""),"",IF($U274="Estimate","N/A",IF(OR($U274="Free Game",$U274="Disqualified — Free Game"),0,ROUND(IFERROR($Q274,0)-IFERROR($S274,0),2)))))</ns0:f>
      </ns0:c>
      <ns0:c r="X274" s="956" t="str">
        <ns0:f>IF(COUNTA($A274:$M274)=0,"",IF(OR($U274="Subscription",NOT(ISNUMBER($J274)),NOT(ISNUMBER($I274)),$J274=0,$I274=0,$I274&gt;$J274),"",$J274-$I274))</ns0:f>
      </ns0:c>
      <ns0:c r="Y274" s="955" t="str">
        <ns0:f>IF(COUNTA($A274:$M274)=0,"",IF(OR($U274="Subscription",NOT(ISNUMBER($J274)),$J274=0,$X274=""),"",$X274/$J274))</ns0:f>
      </ns0:c>
      <ns0:c r="Z274" s="957" t="str">
        <ns0:f>IF(COUNTA($A274:$M274)=0,"",Instructions!$B$29+SUM($W$5:W274))</ns0:f>
      </ns0:c>
    </ns0:row>
    <ns0:row r="275" ht="36" customHeight="1">
      <ns0:c r="A275" s="439"/>
      <ns0:c r="B275" s="453"/>
      <ns0:c r="C275" s="453"/>
      <ns0:c r="D275" s="454"/>
      <ns0:c r="E275" s="454"/>
      <ns0:c r="F275" s="454"/>
      <ns0:c r="G275" s="986"/>
      <ns0:c r="H275" s="455"/>
      <ns0:c r="I275" s="456"/>
      <ns0:c r="J275" s="456"/>
      <ns0:c r="K275" s="986"/>
      <ns0:c r="L275" s="454"/>
      <ns0:c r="M275" s="439"/>
      <ns0:c r="N275" s="987" t="str">
        <ns0:f>IF(COUNTA($A275:$M275)=0,"",IF(OR(LEFT(LOWER(TRIM($F275&amp;"")),12)="subscription",LOWER(TRIM($F275&amp;""))="membership"),"",IF(OR(AND($H275&lt;&gt;"",$H275=0),LEFT(LOWER(TRIM($F275&amp;"")),9)="free game",LOWER(TRIM($F275&amp;""))="free",LOWER(TRIM($F275&amp;""))="free entry"),IF(ISNUMBER($G275),IF(ISNUMBER(SEARCH("non",LOWER($E275&amp;""))),$G275*0.85,$G275),"N/A"),IF($G275="","",IFERROR(IF(ISNUMBER(SEARCH("non",LOWER($E275&amp;""))),$G275*0.85,$G275),"")))))</ns0:f>
        <ns0:v/>
      </ns0:c>
      <ns0:c r="O275" s="987" t="str">
        <ns0:f>IF(COUNTA($A275:$M275)=0,"",IF(OR(LEFT(LOWER(TRIM($F275&amp;"")),12)="subscription",LOWER(TRIM($F275&amp;""))="membership"),"",IF(OR(AND($H275&lt;&gt;"",$H275=0),LEFT(LOWER(TRIM($F275&amp;"")),9)="free game",LOWER(TRIM($F275&amp;""))="free",LOWER(TRIM($F275&amp;""))="free entry"),IF(OR(NOT(ISNUMBER($N275)),NOT(ISNUMBER($I275)),$I275=0),"N/A",IFERROR($N275/$I275,"N/A")),IF(OR($N275="",$I275="",$I275=0),"",IFERROR($N275/$I275,"")))))</ns0:f>
        <ns0:v/>
      </ns0:c>
      <ns0:c r="P275" s="987">
        <ns0:f>IF(COUNTA($A275:$M275)=0,"",IF(OR(LEFT(LOWER(TRIM($F275&amp;"")),12)="subscription",LOWER(TRIM($F275&amp;""))="membership"),"",IF(LOWER(TRIM($D275&amp;""))="estimate","N/A",IF(LOWER($L275&amp;"")="yes",0,IF(OR(AND($H275&lt;&gt;"",$H275=0),LEFT(LOWER(TRIM($F275&amp;"")),9)="free game",LOWER(TRIM($F275&amp;""))="free",LOWER(TRIM($F275&amp;""))="free entry"),IF(ISNUMBER($K275),$K275,""),IF($K275&lt;&gt;"",$K275,""))))))</ns0:f>
      </ns0:c>
      <ns0:c r="Q275" s="114">
        <ns0:f>IF(COUNTA($A275:$M275)=0,"",IF(OR($U275="Subscription",$U275=""),"",IF($U275="Estimate","N/A",IF($U275="Profit",ROUND(IFERROR($P275,0)-IFERROR($H275,0),2),0))))</ns0:f>
      </ns0:c>
      <ns0:c r="R275" s="114">
        <ns0:f>IF(COUNTA($A275:$M275)=0,"",IF(OR($U275="Subscription",$U275=""),"",IF($U275="Estimate","N/A",IF($U275="Draw",$H275,0))))</ns0:f>
      </ns0:c>
      <ns0:c r="S275" s="114">
        <ns0:f>IF(COUNTA($A275:$M275)=0,"",IF(OR($U275="Subscription",$U275=""),"",IF($U275="Estimate","N/A",IF($U275="Disqualified",$H275,0))))</ns0:f>
      </ns0:c>
      <ns0:c r="T275" s="955">
        <ns0:f>IF(COUNTA($A275:$M275)=0,"",IF(OR($U275="Subscription",$U275=""),"",IF($U275="Estimate","N/A",IF(OR($U275="Free Game",$U275="Disqualified — Free Game",$H275=0),"N/A",IF($U275="Profit",$Q275/$H275,IF($U275="Disqualified",-$S275/$H275,0))))))</ns0:f>
      </ns0:c>
      <ns0:c r="U275" s="920">
        <ns0:f>IF(COUNTA($A275:$M275)=0,"",IF(OR(LEFT(LOWER(TRIM($F275&amp;"")),12)="subscription",LOWER(TRIM($F275&amp;""))="membership"),"Subscription",IF(LOWER(TRIM($D275&amp;""))="estimate","Estimate",IF(OR(AND($H275&lt;&gt;"",$H275=0),LEFT(LOWER(TRIM($F275&amp;"")),9)="free game",LOWER(TRIM($F275&amp;""))="free",LOWER(TRIM($F275&amp;""))="free entry"),IF(LOWER($L275&amp;"")="yes","Disqualified — Free Game","Free Game"),IF(LOWER($L275&amp;"")="yes","Disqualified",IF($P275="","",IF(ROUND(IFERROR(VALUE($P275),0)-IFERROR(VALUE($H275),0),2)&gt;0,"Profit","Draw")))))))</ns0:f>
      </ns0:c>
      <ns0:c r="V275" s="956" t="str">
        <ns0:f>IF(COUNTA($A275:$M275)=0,"",IF(OR($B275="",$C275="",$U275="Subscription"),"",IFERROR(ROUNDUP(($C275-$B275)/7,0),"")))</ns0:f>
      </ns0:c>
      <ns0:c r="W275" s="114">
        <ns0:f>IF(COUNTA($A275:$M275)=0,"",IF(OR($U275="Subscription",$U275=""),"",IF($U275="Estimate","N/A",IF(OR($U275="Free Game",$U275="Disqualified — Free Game"),0,ROUND(IFERROR($Q275,0)-IFERROR($S275,0),2)))))</ns0:f>
      </ns0:c>
      <ns0:c r="X275" s="956" t="str">
        <ns0:f>IF(COUNTA($A275:$M275)=0,"",IF(OR($U275="Subscription",NOT(ISNUMBER($J275)),NOT(ISNUMBER($I275)),$J275=0,$I275=0,$I275&gt;$J275),"",$J275-$I275))</ns0:f>
      </ns0:c>
      <ns0:c r="Y275" s="955" t="str">
        <ns0:f>IF(COUNTA($A275:$M275)=0,"",IF(OR($U275="Subscription",NOT(ISNUMBER($J275)),$J275=0,$X275=""),"",$X275/$J275))</ns0:f>
      </ns0:c>
      <ns0:c r="Z275" s="957" t="str">
        <ns0:f>IF(COUNTA($A275:$M275)=0,"",Instructions!$B$29+SUM($W$5:W275))</ns0:f>
      </ns0:c>
    </ns0:row>
    <ns0:row r="276" ht="36" customHeight="1">
      <ns0:c r="A276" s="439"/>
      <ns0:c r="B276" s="453"/>
      <ns0:c r="C276" s="453"/>
      <ns0:c r="D276" s="454"/>
      <ns0:c r="E276" s="454"/>
      <ns0:c r="F276" s="454"/>
      <ns0:c r="G276" s="986"/>
      <ns0:c r="H276" s="455"/>
      <ns0:c r="I276" s="456"/>
      <ns0:c r="J276" s="456"/>
      <ns0:c r="K276" s="986"/>
      <ns0:c r="L276" s="454"/>
      <ns0:c r="M276" s="439"/>
      <ns0:c r="N276" s="987" t="str">
        <ns0:f>IF(COUNTA($A276:$M276)=0,"",IF(OR(LEFT(LOWER(TRIM($F276&amp;"")),12)="subscription",LOWER(TRIM($F276&amp;""))="membership"),"",IF(OR(AND($H276&lt;&gt;"",$H276=0),LEFT(LOWER(TRIM($F276&amp;"")),9)="free game",LOWER(TRIM($F276&amp;""))="free",LOWER(TRIM($F276&amp;""))="free entry"),IF(ISNUMBER($G276),IF(ISNUMBER(SEARCH("non",LOWER($E276&amp;""))),$G276*0.85,$G276),"N/A"),IF($G276="","",IFERROR(IF(ISNUMBER(SEARCH("non",LOWER($E276&amp;""))),$G276*0.85,$G276),"")))))</ns0:f>
        <ns0:v/>
      </ns0:c>
      <ns0:c r="O276" s="987" t="str">
        <ns0:f>IF(COUNTA($A276:$M276)=0,"",IF(OR(LEFT(LOWER(TRIM($F276&amp;"")),12)="subscription",LOWER(TRIM($F276&amp;""))="membership"),"",IF(OR(AND($H276&lt;&gt;"",$H276=0),LEFT(LOWER(TRIM($F276&amp;"")),9)="free game",LOWER(TRIM($F276&amp;""))="free",LOWER(TRIM($F276&amp;""))="free entry"),IF(OR(NOT(ISNUMBER($N276)),NOT(ISNUMBER($I276)),$I276=0),"N/A",IFERROR($N276/$I276,"N/A")),IF(OR($N276="",$I276="",$I276=0),"",IFERROR($N276/$I276,"")))))</ns0:f>
        <ns0:v/>
      </ns0:c>
      <ns0:c r="P276" s="987">
        <ns0:f>IF(COUNTA($A276:$M276)=0,"",IF(OR(LEFT(LOWER(TRIM($F276&amp;"")),12)="subscription",LOWER(TRIM($F276&amp;""))="membership"),"",IF(LOWER(TRIM($D276&amp;""))="estimate","N/A",IF(LOWER($L276&amp;"")="yes",0,IF(OR(AND($H276&lt;&gt;"",$H276=0),LEFT(LOWER(TRIM($F276&amp;"")),9)="free game",LOWER(TRIM($F276&amp;""))="free",LOWER(TRIM($F276&amp;""))="free entry"),IF(ISNUMBER($K276),$K276,""),IF($K276&lt;&gt;"",$K276,""))))))</ns0:f>
      </ns0:c>
      <ns0:c r="Q276" s="114">
        <ns0:f>IF(COUNTA($A276:$M276)=0,"",IF(OR($U276="Subscription",$U276=""),"",IF($U276="Estimate","N/A",IF($U276="Profit",ROUND(IFERROR($P276,0)-IFERROR($H276,0),2),0))))</ns0:f>
      </ns0:c>
      <ns0:c r="R276" s="114">
        <ns0:f>IF(COUNTA($A276:$M276)=0,"",IF(OR($U276="Subscription",$U276=""),"",IF($U276="Estimate","N/A",IF($U276="Draw",$H276,0))))</ns0:f>
      </ns0:c>
      <ns0:c r="S276" s="114">
        <ns0:f>IF(COUNTA($A276:$M276)=0,"",IF(OR($U276="Subscription",$U276=""),"",IF($U276="Estimate","N/A",IF($U276="Disqualified",$H276,0))))</ns0:f>
      </ns0:c>
      <ns0:c r="T276" s="955">
        <ns0:f>IF(COUNTA($A276:$M276)=0,"",IF(OR($U276="Subscription",$U276=""),"",IF($U276="Estimate","N/A",IF(OR($U276="Free Game",$U276="Disqualified — Free Game",$H276=0),"N/A",IF($U276="Profit",$Q276/$H276,IF($U276="Disqualified",-$S276/$H276,0))))))</ns0:f>
      </ns0:c>
      <ns0:c r="U276" s="920">
        <ns0:f>IF(COUNTA($A276:$M276)=0,"",IF(OR(LEFT(LOWER(TRIM($F276&amp;"")),12)="subscription",LOWER(TRIM($F276&amp;""))="membership"),"Subscription",IF(LOWER(TRIM($D276&amp;""))="estimate","Estimate",IF(OR(AND($H276&lt;&gt;"",$H276=0),LEFT(LOWER(TRIM($F276&amp;"")),9)="free game",LOWER(TRIM($F276&amp;""))="free",LOWER(TRIM($F276&amp;""))="free entry"),IF(LOWER($L276&amp;"")="yes","Disqualified — Free Game","Free Game"),IF(LOWER($L276&amp;"")="yes","Disqualified",IF($P276="","",IF(ROUND(IFERROR(VALUE($P276),0)-IFERROR(VALUE($H276),0),2)&gt;0,"Profit","Draw")))))))</ns0:f>
      </ns0:c>
      <ns0:c r="V276" s="956" t="str">
        <ns0:f>IF(COUNTA($A276:$M276)=0,"",IF(OR($B276="",$C276="",$U276="Subscription"),"",IFERROR(ROUNDUP(($C276-$B276)/7,0),"")))</ns0:f>
      </ns0:c>
      <ns0:c r="W276" s="114">
        <ns0:f>IF(COUNTA($A276:$M276)=0,"",IF(OR($U276="Subscription",$U276=""),"",IF($U276="Estimate","N/A",IF(OR($U276="Free Game",$U276="Disqualified — Free Game"),0,ROUND(IFERROR($Q276,0)-IFERROR($S276,0),2)))))</ns0:f>
      </ns0:c>
      <ns0:c r="X276" s="956" t="str">
        <ns0:f>IF(COUNTA($A276:$M276)=0,"",IF(OR($U276="Subscription",NOT(ISNUMBER($J276)),NOT(ISNUMBER($I276)),$J276=0,$I276=0,$I276&gt;$J276),"",$J276-$I276))</ns0:f>
      </ns0:c>
      <ns0:c r="Y276" s="955" t="str">
        <ns0:f>IF(COUNTA($A276:$M276)=0,"",IF(OR($U276="Subscription",NOT(ISNUMBER($J276)),$J276=0,$X276=""),"",$X276/$J276))</ns0:f>
      </ns0:c>
      <ns0:c r="Z276" s="957" t="str">
        <ns0:f>IF(COUNTA($A276:$M276)=0,"",Instructions!$B$29+SUM($W$5:W276))</ns0:f>
      </ns0:c>
    </ns0:row>
    <ns0:row r="277" ht="36" customHeight="1">
      <ns0:c r="A277" s="439"/>
      <ns0:c r="B277" s="453"/>
      <ns0:c r="C277" s="453"/>
      <ns0:c r="D277" s="454"/>
      <ns0:c r="E277" s="454"/>
      <ns0:c r="F277" s="454"/>
      <ns0:c r="G277" s="986"/>
      <ns0:c r="H277" s="455"/>
      <ns0:c r="I277" s="456"/>
      <ns0:c r="J277" s="456"/>
      <ns0:c r="K277" s="986"/>
      <ns0:c r="L277" s="454"/>
      <ns0:c r="M277" s="439"/>
      <ns0:c r="N277" s="987" t="str">
        <ns0:f>IF(COUNTA($A277:$M277)=0,"",IF(OR(LEFT(LOWER(TRIM($F277&amp;"")),12)="subscription",LOWER(TRIM($F277&amp;""))="membership"),"",IF(OR(AND($H277&lt;&gt;"",$H277=0),LEFT(LOWER(TRIM($F277&amp;"")),9)="free game",LOWER(TRIM($F277&amp;""))="free",LOWER(TRIM($F277&amp;""))="free entry"),IF(ISNUMBER($G277),IF(ISNUMBER(SEARCH("non",LOWER($E277&amp;""))),$G277*0.85,$G277),"N/A"),IF($G277="","",IFERROR(IF(ISNUMBER(SEARCH("non",LOWER($E277&amp;""))),$G277*0.85,$G277),"")))))</ns0:f>
        <ns0:v/>
      </ns0:c>
      <ns0:c r="O277" s="987" t="str">
        <ns0:f>IF(COUNTA($A277:$M277)=0,"",IF(OR(LEFT(LOWER(TRIM($F277&amp;"")),12)="subscription",LOWER(TRIM($F277&amp;""))="membership"),"",IF(OR(AND($H277&lt;&gt;"",$H277=0),LEFT(LOWER(TRIM($F277&amp;"")),9)="free game",LOWER(TRIM($F277&amp;""))="free",LOWER(TRIM($F277&amp;""))="free entry"),IF(OR(NOT(ISNUMBER($N277)),NOT(ISNUMBER($I277)),$I277=0),"N/A",IFERROR($N277/$I277,"N/A")),IF(OR($N277="",$I277="",$I277=0),"",IFERROR($N277/$I277,"")))))</ns0:f>
        <ns0:v/>
      </ns0:c>
      <ns0:c r="P277" s="987">
        <ns0:f>IF(COUNTA($A277:$M277)=0,"",IF(OR(LEFT(LOWER(TRIM($F277&amp;"")),12)="subscription",LOWER(TRIM($F277&amp;""))="membership"),"",IF(LOWER(TRIM($D277&amp;""))="estimate","N/A",IF(LOWER($L277&amp;"")="yes",0,IF(OR(AND($H277&lt;&gt;"",$H277=0),LEFT(LOWER(TRIM($F277&amp;"")),9)="free game",LOWER(TRIM($F277&amp;""))="free",LOWER(TRIM($F277&amp;""))="free entry"),IF(ISNUMBER($K277),$K277,""),IF($K277&lt;&gt;"",$K277,""))))))</ns0:f>
      </ns0:c>
      <ns0:c r="Q277" s="114">
        <ns0:f>IF(COUNTA($A277:$M277)=0,"",IF(OR($U277="Subscription",$U277=""),"",IF($U277="Estimate","N/A",IF($U277="Profit",ROUND(IFERROR($P277,0)-IFERROR($H277,0),2),0))))</ns0:f>
      </ns0:c>
      <ns0:c r="R277" s="114">
        <ns0:f>IF(COUNTA($A277:$M277)=0,"",IF(OR($U277="Subscription",$U277=""),"",IF($U277="Estimate","N/A",IF($U277="Draw",$H277,0))))</ns0:f>
      </ns0:c>
      <ns0:c r="S277" s="114">
        <ns0:f>IF(COUNTA($A277:$M277)=0,"",IF(OR($U277="Subscription",$U277=""),"",IF($U277="Estimate","N/A",IF($U277="Disqualified",$H277,0))))</ns0:f>
      </ns0:c>
      <ns0:c r="T277" s="955">
        <ns0:f>IF(COUNTA($A277:$M277)=0,"",IF(OR($U277="Subscription",$U277=""),"",IF($U277="Estimate","N/A",IF(OR($U277="Free Game",$U277="Disqualified — Free Game",$H277=0),"N/A",IF($U277="Profit",$Q277/$H277,IF($U277="Disqualified",-$S277/$H277,0))))))</ns0:f>
      </ns0:c>
      <ns0:c r="U277" s="920">
        <ns0:f>IF(COUNTA($A277:$M277)=0,"",IF(OR(LEFT(LOWER(TRIM($F277&amp;"")),12)="subscription",LOWER(TRIM($F277&amp;""))="membership"),"Subscription",IF(LOWER(TRIM($D277&amp;""))="estimate","Estimate",IF(OR(AND($H277&lt;&gt;"",$H277=0),LEFT(LOWER(TRIM($F277&amp;"")),9)="free game",LOWER(TRIM($F277&amp;""))="free",LOWER(TRIM($F277&amp;""))="free entry"),IF(LOWER($L277&amp;"")="yes","Disqualified — Free Game","Free Game"),IF(LOWER($L277&amp;"")="yes","Disqualified",IF($P277="","",IF(ROUND(IFERROR(VALUE($P277),0)-IFERROR(VALUE($H277),0),2)&gt;0,"Profit","Draw")))))))</ns0:f>
      </ns0:c>
      <ns0:c r="V277" s="956" t="str">
        <ns0:f>IF(COUNTA($A277:$M277)=0,"",IF(OR($B277="",$C277="",$U277="Subscription"),"",IFERROR(ROUNDUP(($C277-$B277)/7,0),"")))</ns0:f>
      </ns0:c>
      <ns0:c r="W277" s="114">
        <ns0:f>IF(COUNTA($A277:$M277)=0,"",IF(OR($U277="Subscription",$U277=""),"",IF($U277="Estimate","N/A",IF(OR($U277="Free Game",$U277="Disqualified — Free Game"),0,ROUND(IFERROR($Q277,0)-IFERROR($S277,0),2)))))</ns0:f>
      </ns0:c>
      <ns0:c r="X277" s="956" t="str">
        <ns0:f>IF(COUNTA($A277:$M277)=0,"",IF(OR($U277="Subscription",NOT(ISNUMBER($J277)),NOT(ISNUMBER($I277)),$J277=0,$I277=0,$I277&gt;$J277),"",$J277-$I277))</ns0:f>
      </ns0:c>
      <ns0:c r="Y277" s="955" t="str">
        <ns0:f>IF(COUNTA($A277:$M277)=0,"",IF(OR($U277="Subscription",NOT(ISNUMBER($J277)),$J277=0,$X277=""),"",$X277/$J277))</ns0:f>
      </ns0:c>
      <ns0:c r="Z277" s="957" t="str">
        <ns0:f>IF(COUNTA($A277:$M277)=0,"",Instructions!$B$29+SUM($W$5:W277))</ns0:f>
      </ns0:c>
    </ns0:row>
    <ns0:row r="278" ht="36" customHeight="1">
      <ns0:c r="A278" s="439"/>
      <ns0:c r="B278" s="453"/>
      <ns0:c r="C278" s="453"/>
      <ns0:c r="D278" s="454"/>
      <ns0:c r="E278" s="454"/>
      <ns0:c r="F278" s="454"/>
      <ns0:c r="G278" s="986"/>
      <ns0:c r="H278" s="455"/>
      <ns0:c r="I278" s="456"/>
      <ns0:c r="J278" s="456"/>
      <ns0:c r="K278" s="986"/>
      <ns0:c r="L278" s="454"/>
      <ns0:c r="M278" s="439"/>
      <ns0:c r="N278" s="987" t="str">
        <ns0:f>IF(COUNTA($A278:$M278)=0,"",IF(OR(LEFT(LOWER(TRIM($F278&amp;"")),12)="subscription",LOWER(TRIM($F278&amp;""))="membership"),"",IF(OR(AND($H278&lt;&gt;"",$H278=0),LEFT(LOWER(TRIM($F278&amp;"")),9)="free game",LOWER(TRIM($F278&amp;""))="free",LOWER(TRIM($F278&amp;""))="free entry"),IF(ISNUMBER($G278),IF(ISNUMBER(SEARCH("non",LOWER($E278&amp;""))),$G278*0.85,$G278),"N/A"),IF($G278="","",IFERROR(IF(ISNUMBER(SEARCH("non",LOWER($E278&amp;""))),$G278*0.85,$G278),"")))))</ns0:f>
        <ns0:v/>
      </ns0:c>
      <ns0:c r="O278" s="987" t="str">
        <ns0:f>IF(COUNTA($A278:$M278)=0,"",IF(OR(LEFT(LOWER(TRIM($F278&amp;"")),12)="subscription",LOWER(TRIM($F278&amp;""))="membership"),"",IF(OR(AND($H278&lt;&gt;"",$H278=0),LEFT(LOWER(TRIM($F278&amp;"")),9)="free game",LOWER(TRIM($F278&amp;""))="free",LOWER(TRIM($F278&amp;""))="free entry"),IF(OR(NOT(ISNUMBER($N278)),NOT(ISNUMBER($I278)),$I278=0),"N/A",IFERROR($N278/$I278,"N/A")),IF(OR($N278="",$I278="",$I278=0),"",IFERROR($N278/$I278,"")))))</ns0:f>
        <ns0:v/>
      </ns0:c>
      <ns0:c r="P278" s="987">
        <ns0:f>IF(COUNTA($A278:$M278)=0,"",IF(OR(LEFT(LOWER(TRIM($F278&amp;"")),12)="subscription",LOWER(TRIM($F278&amp;""))="membership"),"",IF(LOWER(TRIM($D278&amp;""))="estimate","N/A",IF(LOWER($L278&amp;"")="yes",0,IF(OR(AND($H278&lt;&gt;"",$H278=0),LEFT(LOWER(TRIM($F278&amp;"")),9)="free game",LOWER(TRIM($F278&amp;""))="free",LOWER(TRIM($F278&amp;""))="free entry"),IF(ISNUMBER($K278),$K278,""),IF($K278&lt;&gt;"",$K278,""))))))</ns0:f>
      </ns0:c>
      <ns0:c r="Q278" s="114">
        <ns0:f>IF(COUNTA($A278:$M278)=0,"",IF(OR($U278="Subscription",$U278=""),"",IF($U278="Estimate","N/A",IF($U278="Profit",ROUND(IFERROR($P278,0)-IFERROR($H278,0),2),0))))</ns0:f>
      </ns0:c>
      <ns0:c r="R278" s="114">
        <ns0:f>IF(COUNTA($A278:$M278)=0,"",IF(OR($U278="Subscription",$U278=""),"",IF($U278="Estimate","N/A",IF($U278="Draw",$H278,0))))</ns0:f>
      </ns0:c>
      <ns0:c r="S278" s="114">
        <ns0:f>IF(COUNTA($A278:$M278)=0,"",IF(OR($U278="Subscription",$U278=""),"",IF($U278="Estimate","N/A",IF($U278="Disqualified",$H278,0))))</ns0:f>
      </ns0:c>
      <ns0:c r="T278" s="955">
        <ns0:f>IF(COUNTA($A278:$M278)=0,"",IF(OR($U278="Subscription",$U278=""),"",IF($U278="Estimate","N/A",IF(OR($U278="Free Game",$U278="Disqualified — Free Game",$H278=0),"N/A",IF($U278="Profit",$Q278/$H278,IF($U278="Disqualified",-$S278/$H278,0))))))</ns0:f>
      </ns0:c>
      <ns0:c r="U278" s="920">
        <ns0:f>IF(COUNTA($A278:$M278)=0,"",IF(OR(LEFT(LOWER(TRIM($F278&amp;"")),12)="subscription",LOWER(TRIM($F278&amp;""))="membership"),"Subscription",IF(LOWER(TRIM($D278&amp;""))="estimate","Estimate",IF(OR(AND($H278&lt;&gt;"",$H278=0),LEFT(LOWER(TRIM($F278&amp;"")),9)="free game",LOWER(TRIM($F278&amp;""))="free",LOWER(TRIM($F278&amp;""))="free entry"),IF(LOWER($L278&amp;"")="yes","Disqualified — Free Game","Free Game"),IF(LOWER($L278&amp;"")="yes","Disqualified",IF($P278="","",IF(ROUND(IFERROR(VALUE($P278),0)-IFERROR(VALUE($H278),0),2)&gt;0,"Profit","Draw")))))))</ns0:f>
      </ns0:c>
      <ns0:c r="V278" s="956" t="str">
        <ns0:f>IF(COUNTA($A278:$M278)=0,"",IF(OR($B278="",$C278="",$U278="Subscription"),"",IFERROR(ROUNDUP(($C278-$B278)/7,0),"")))</ns0:f>
      </ns0:c>
      <ns0:c r="W278" s="114">
        <ns0:f>IF(COUNTA($A278:$M278)=0,"",IF(OR($U278="Subscription",$U278=""),"",IF($U278="Estimate","N/A",IF(OR($U278="Free Game",$U278="Disqualified — Free Game"),0,ROUND(IFERROR($Q278,0)-IFERROR($S278,0),2)))))</ns0:f>
      </ns0:c>
      <ns0:c r="X278" s="956" t="str">
        <ns0:f>IF(COUNTA($A278:$M278)=0,"",IF(OR($U278="Subscription",NOT(ISNUMBER($J278)),NOT(ISNUMBER($I278)),$J278=0,$I278=0,$I278&gt;$J278),"",$J278-$I278))</ns0:f>
      </ns0:c>
      <ns0:c r="Y278" s="955" t="str">
        <ns0:f>IF(COUNTA($A278:$M278)=0,"",IF(OR($U278="Subscription",NOT(ISNUMBER($J278)),$J278=0,$X278=""),"",$X278/$J278))</ns0:f>
      </ns0:c>
      <ns0:c r="Z278" s="957" t="str">
        <ns0:f>IF(COUNTA($A278:$M278)=0,"",Instructions!$B$29+SUM($W$5:W278))</ns0:f>
      </ns0:c>
    </ns0:row>
    <ns0:row r="279" ht="36" customHeight="1">
      <ns0:c r="A279" s="439"/>
      <ns0:c r="B279" s="453"/>
      <ns0:c r="C279" s="453"/>
      <ns0:c r="D279" s="454"/>
      <ns0:c r="E279" s="454"/>
      <ns0:c r="F279" s="454"/>
      <ns0:c r="G279" s="986"/>
      <ns0:c r="H279" s="455"/>
      <ns0:c r="I279" s="456"/>
      <ns0:c r="J279" s="456"/>
      <ns0:c r="K279" s="986"/>
      <ns0:c r="L279" s="454"/>
      <ns0:c r="M279" s="439"/>
      <ns0:c r="N279" s="987" t="str">
        <ns0:f>IF(COUNTA($A279:$M279)=0,"",IF(OR(LEFT(LOWER(TRIM($F279&amp;"")),12)="subscription",LOWER(TRIM($F279&amp;""))="membership"),"",IF(OR(AND($H279&lt;&gt;"",$H279=0),LEFT(LOWER(TRIM($F279&amp;"")),9)="free game",LOWER(TRIM($F279&amp;""))="free",LOWER(TRIM($F279&amp;""))="free entry"),IF(ISNUMBER($G279),IF(ISNUMBER(SEARCH("non",LOWER($E279&amp;""))),$G279*0.85,$G279),"N/A"),IF($G279="","",IFERROR(IF(ISNUMBER(SEARCH("non",LOWER($E279&amp;""))),$G279*0.85,$G279),"")))))</ns0:f>
        <ns0:v/>
      </ns0:c>
      <ns0:c r="O279" s="987" t="str">
        <ns0:f>IF(COUNTA($A279:$M279)=0,"",IF(OR(LEFT(LOWER(TRIM($F279&amp;"")),12)="subscription",LOWER(TRIM($F279&amp;""))="membership"),"",IF(OR(AND($H279&lt;&gt;"",$H279=0),LEFT(LOWER(TRIM($F279&amp;"")),9)="free game",LOWER(TRIM($F279&amp;""))="free",LOWER(TRIM($F279&amp;""))="free entry"),IF(OR(NOT(ISNUMBER($N279)),NOT(ISNUMBER($I279)),$I279=0),"N/A",IFERROR($N279/$I279,"N/A")),IF(OR($N279="",$I279="",$I279=0),"",IFERROR($N279/$I279,"")))))</ns0:f>
        <ns0:v/>
      </ns0:c>
      <ns0:c r="P279" s="987">
        <ns0:f>IF(COUNTA($A279:$M279)=0,"",IF(OR(LEFT(LOWER(TRIM($F279&amp;"")),12)="subscription",LOWER(TRIM($F279&amp;""))="membership"),"",IF(LOWER(TRIM($D279&amp;""))="estimate","N/A",IF(LOWER($L279&amp;"")="yes",0,IF(OR(AND($H279&lt;&gt;"",$H279=0),LEFT(LOWER(TRIM($F279&amp;"")),9)="free game",LOWER(TRIM($F279&amp;""))="free",LOWER(TRIM($F279&amp;""))="free entry"),IF(ISNUMBER($K279),$K279,""),IF($K279&lt;&gt;"",$K279,""))))))</ns0:f>
      </ns0:c>
      <ns0:c r="Q279" s="114">
        <ns0:f>IF(COUNTA($A279:$M279)=0,"",IF(OR($U279="Subscription",$U279=""),"",IF($U279="Estimate","N/A",IF($U279="Profit",ROUND(IFERROR($P279,0)-IFERROR($H279,0),2),0))))</ns0:f>
      </ns0:c>
      <ns0:c r="R279" s="114">
        <ns0:f>IF(COUNTA($A279:$M279)=0,"",IF(OR($U279="Subscription",$U279=""),"",IF($U279="Estimate","N/A",IF($U279="Draw",$H279,0))))</ns0:f>
      </ns0:c>
      <ns0:c r="S279" s="114">
        <ns0:f>IF(COUNTA($A279:$M279)=0,"",IF(OR($U279="Subscription",$U279=""),"",IF($U279="Estimate","N/A",IF($U279="Disqualified",$H279,0))))</ns0:f>
      </ns0:c>
      <ns0:c r="T279" s="955">
        <ns0:f>IF(COUNTA($A279:$M279)=0,"",IF(OR($U279="Subscription",$U279=""),"",IF($U279="Estimate","N/A",IF(OR($U279="Free Game",$U279="Disqualified — Free Game",$H279=0),"N/A",IF($U279="Profit",$Q279/$H279,IF($U279="Disqualified",-$S279/$H279,0))))))</ns0:f>
      </ns0:c>
      <ns0:c r="U279" s="920">
        <ns0:f>IF(COUNTA($A279:$M279)=0,"",IF(OR(LEFT(LOWER(TRIM($F279&amp;"")),12)="subscription",LOWER(TRIM($F279&amp;""))="membership"),"Subscription",IF(LOWER(TRIM($D279&amp;""))="estimate","Estimate",IF(OR(AND($H279&lt;&gt;"",$H279=0),LEFT(LOWER(TRIM($F279&amp;"")),9)="free game",LOWER(TRIM($F279&amp;""))="free",LOWER(TRIM($F279&amp;""))="free entry"),IF(LOWER($L279&amp;"")="yes","Disqualified — Free Game","Free Game"),IF(LOWER($L279&amp;"")="yes","Disqualified",IF($P279="","",IF(ROUND(IFERROR(VALUE($P279),0)-IFERROR(VALUE($H279),0),2)&gt;0,"Profit","Draw")))))))</ns0:f>
      </ns0:c>
      <ns0:c r="V279" s="956" t="str">
        <ns0:f>IF(COUNTA($A279:$M279)=0,"",IF(OR($B279="",$C279="",$U279="Subscription"),"",IFERROR(ROUNDUP(($C279-$B279)/7,0),"")))</ns0:f>
      </ns0:c>
      <ns0:c r="W279" s="114">
        <ns0:f>IF(COUNTA($A279:$M279)=0,"",IF(OR($U279="Subscription",$U279=""),"",IF($U279="Estimate","N/A",IF(OR($U279="Free Game",$U279="Disqualified — Free Game"),0,ROUND(IFERROR($Q279,0)-IFERROR($S279,0),2)))))</ns0:f>
      </ns0:c>
      <ns0:c r="X279" s="956" t="str">
        <ns0:f>IF(COUNTA($A279:$M279)=0,"",IF(OR($U279="Subscription",NOT(ISNUMBER($J279)),NOT(ISNUMBER($I279)),$J279=0,$I279=0,$I279&gt;$J279),"",$J279-$I279))</ns0:f>
      </ns0:c>
      <ns0:c r="Y279" s="955" t="str">
        <ns0:f>IF(COUNTA($A279:$M279)=0,"",IF(OR($U279="Subscription",NOT(ISNUMBER($J279)),$J279=0,$X279=""),"",$X279/$J279))</ns0:f>
      </ns0:c>
      <ns0:c r="Z279" s="957" t="str">
        <ns0:f>IF(COUNTA($A279:$M279)=0,"",Instructions!$B$29+SUM($W$5:W279))</ns0:f>
      </ns0:c>
    </ns0:row>
    <ns0:row r="280" ht="36" customHeight="1">
      <ns0:c r="A280" s="439"/>
      <ns0:c r="B280" s="453"/>
      <ns0:c r="C280" s="453"/>
      <ns0:c r="D280" s="454"/>
      <ns0:c r="E280" s="454"/>
      <ns0:c r="F280" s="454"/>
      <ns0:c r="G280" s="986"/>
      <ns0:c r="H280" s="455"/>
      <ns0:c r="I280" s="456"/>
      <ns0:c r="J280" s="456"/>
      <ns0:c r="K280" s="986"/>
      <ns0:c r="L280" s="454"/>
      <ns0:c r="M280" s="439"/>
      <ns0:c r="N280" s="987" t="str">
        <ns0:f>IF(COUNTA($A280:$M280)=0,"",IF(OR(LEFT(LOWER(TRIM($F280&amp;"")),12)="subscription",LOWER(TRIM($F280&amp;""))="membership"),"",IF(OR(AND($H280&lt;&gt;"",$H280=0),LEFT(LOWER(TRIM($F280&amp;"")),9)="free game",LOWER(TRIM($F280&amp;""))="free",LOWER(TRIM($F280&amp;""))="free entry"),IF(ISNUMBER($G280),IF(ISNUMBER(SEARCH("non",LOWER($E280&amp;""))),$G280*0.85,$G280),"N/A"),IF($G280="","",IFERROR(IF(ISNUMBER(SEARCH("non",LOWER($E280&amp;""))),$G280*0.85,$G280),"")))))</ns0:f>
        <ns0:v/>
      </ns0:c>
      <ns0:c r="O280" s="987" t="str">
        <ns0:f>IF(COUNTA($A280:$M280)=0,"",IF(OR(LEFT(LOWER(TRIM($F280&amp;"")),12)="subscription",LOWER(TRIM($F280&amp;""))="membership"),"",IF(OR(AND($H280&lt;&gt;"",$H280=0),LEFT(LOWER(TRIM($F280&amp;"")),9)="free game",LOWER(TRIM($F280&amp;""))="free",LOWER(TRIM($F280&amp;""))="free entry"),IF(OR(NOT(ISNUMBER($N280)),NOT(ISNUMBER($I280)),$I280=0),"N/A",IFERROR($N280/$I280,"N/A")),IF(OR($N280="",$I280="",$I280=0),"",IFERROR($N280/$I280,"")))))</ns0:f>
        <ns0:v/>
      </ns0:c>
      <ns0:c r="P280" s="987">
        <ns0:f>IF(COUNTA($A280:$M280)=0,"",IF(OR(LEFT(LOWER(TRIM($F280&amp;"")),12)="subscription",LOWER(TRIM($F280&amp;""))="membership"),"",IF(LOWER(TRIM($D280&amp;""))="estimate","N/A",IF(LOWER($L280&amp;"")="yes",0,IF(OR(AND($H280&lt;&gt;"",$H280=0),LEFT(LOWER(TRIM($F280&amp;"")),9)="free game",LOWER(TRIM($F280&amp;""))="free",LOWER(TRIM($F280&amp;""))="free entry"),IF(ISNUMBER($K280),$K280,""),IF($K280&lt;&gt;"",$K280,""))))))</ns0:f>
      </ns0:c>
      <ns0:c r="Q280" s="114">
        <ns0:f>IF(COUNTA($A280:$M280)=0,"",IF(OR($U280="Subscription",$U280=""),"",IF($U280="Estimate","N/A",IF($U280="Profit",ROUND(IFERROR($P280,0)-IFERROR($H280,0),2),0))))</ns0:f>
      </ns0:c>
      <ns0:c r="R280" s="114">
        <ns0:f>IF(COUNTA($A280:$M280)=0,"",IF(OR($U280="Subscription",$U280=""),"",IF($U280="Estimate","N/A",IF($U280="Draw",$H280,0))))</ns0:f>
      </ns0:c>
      <ns0:c r="S280" s="114">
        <ns0:f>IF(COUNTA($A280:$M280)=0,"",IF(OR($U280="Subscription",$U280=""),"",IF($U280="Estimate","N/A",IF($U280="Disqualified",$H280,0))))</ns0:f>
      </ns0:c>
      <ns0:c r="T280" s="955">
        <ns0:f>IF(COUNTA($A280:$M280)=0,"",IF(OR($U280="Subscription",$U280=""),"",IF($U280="Estimate","N/A",IF(OR($U280="Free Game",$U280="Disqualified — Free Game",$H280=0),"N/A",IF($U280="Profit",$Q280/$H280,IF($U280="Disqualified",-$S280/$H280,0))))))</ns0:f>
      </ns0:c>
      <ns0:c r="U280" s="920">
        <ns0:f>IF(COUNTA($A280:$M280)=0,"",IF(OR(LEFT(LOWER(TRIM($F280&amp;"")),12)="subscription",LOWER(TRIM($F280&amp;""))="membership"),"Subscription",IF(LOWER(TRIM($D280&amp;""))="estimate","Estimate",IF(OR(AND($H280&lt;&gt;"",$H280=0),LEFT(LOWER(TRIM($F280&amp;"")),9)="free game",LOWER(TRIM($F280&amp;""))="free",LOWER(TRIM($F280&amp;""))="free entry"),IF(LOWER($L280&amp;"")="yes","Disqualified — Free Game","Free Game"),IF(LOWER($L280&amp;"")="yes","Disqualified",IF($P280="","",IF(ROUND(IFERROR(VALUE($P280),0)-IFERROR(VALUE($H280),0),2)&gt;0,"Profit","Draw")))))))</ns0:f>
      </ns0:c>
      <ns0:c r="V280" s="956" t="str">
        <ns0:f>IF(COUNTA($A280:$M280)=0,"",IF(OR($B280="",$C280="",$U280="Subscription"),"",IFERROR(ROUNDUP(($C280-$B280)/7,0),"")))</ns0:f>
      </ns0:c>
      <ns0:c r="W280" s="114">
        <ns0:f>IF(COUNTA($A280:$M280)=0,"",IF(OR($U280="Subscription",$U280=""),"",IF($U280="Estimate","N/A",IF(OR($U280="Free Game",$U280="Disqualified — Free Game"),0,ROUND(IFERROR($Q280,0)-IFERROR($S280,0),2)))))</ns0:f>
      </ns0:c>
      <ns0:c r="X280" s="956" t="str">
        <ns0:f>IF(COUNTA($A280:$M280)=0,"",IF(OR($U280="Subscription",NOT(ISNUMBER($J280)),NOT(ISNUMBER($I280)),$J280=0,$I280=0,$I280&gt;$J280),"",$J280-$I280))</ns0:f>
      </ns0:c>
      <ns0:c r="Y280" s="955" t="str">
        <ns0:f>IF(COUNTA($A280:$M280)=0,"",IF(OR($U280="Subscription",NOT(ISNUMBER($J280)),$J280=0,$X280=""),"",$X280/$J280))</ns0:f>
      </ns0:c>
      <ns0:c r="Z280" s="957" t="str">
        <ns0:f>IF(COUNTA($A280:$M280)=0,"",Instructions!$B$29+SUM($W$5:W280))</ns0:f>
      </ns0:c>
    </ns0:row>
    <ns0:row r="281" ht="36" customHeight="1">
      <ns0:c r="A281" s="439"/>
      <ns0:c r="B281" s="453"/>
      <ns0:c r="C281" s="453"/>
      <ns0:c r="D281" s="454"/>
      <ns0:c r="E281" s="454"/>
      <ns0:c r="F281" s="454"/>
      <ns0:c r="G281" s="986"/>
      <ns0:c r="H281" s="455"/>
      <ns0:c r="I281" s="456"/>
      <ns0:c r="J281" s="456"/>
      <ns0:c r="K281" s="986"/>
      <ns0:c r="L281" s="454"/>
      <ns0:c r="M281" s="439"/>
      <ns0:c r="N281" s="987" t="str">
        <ns0:f>IF(COUNTA($A281:$M281)=0,"",IF(OR(LEFT(LOWER(TRIM($F281&amp;"")),12)="subscription",LOWER(TRIM($F281&amp;""))="membership"),"",IF(OR(AND($H281&lt;&gt;"",$H281=0),LEFT(LOWER(TRIM($F281&amp;"")),9)="free game",LOWER(TRIM($F281&amp;""))="free",LOWER(TRIM($F281&amp;""))="free entry"),IF(ISNUMBER($G281),IF(ISNUMBER(SEARCH("non",LOWER($E281&amp;""))),$G281*0.85,$G281),"N/A"),IF($G281="","",IFERROR(IF(ISNUMBER(SEARCH("non",LOWER($E281&amp;""))),$G281*0.85,$G281),"")))))</ns0:f>
        <ns0:v/>
      </ns0:c>
      <ns0:c r="O281" s="987" t="str">
        <ns0:f>IF(COUNTA($A281:$M281)=0,"",IF(OR(LEFT(LOWER(TRIM($F281&amp;"")),12)="subscription",LOWER(TRIM($F281&amp;""))="membership"),"",IF(OR(AND($H281&lt;&gt;"",$H281=0),LEFT(LOWER(TRIM($F281&amp;"")),9)="free game",LOWER(TRIM($F281&amp;""))="free",LOWER(TRIM($F281&amp;""))="free entry"),IF(OR(NOT(ISNUMBER($N281)),NOT(ISNUMBER($I281)),$I281=0),"N/A",IFERROR($N281/$I281,"N/A")),IF(OR($N281="",$I281="",$I281=0),"",IFERROR($N281/$I281,"")))))</ns0:f>
        <ns0:v/>
      </ns0:c>
      <ns0:c r="P281" s="987">
        <ns0:f>IF(COUNTA($A281:$M281)=0,"",IF(OR(LEFT(LOWER(TRIM($F281&amp;"")),12)="subscription",LOWER(TRIM($F281&amp;""))="membership"),"",IF(LOWER(TRIM($D281&amp;""))="estimate","N/A",IF(LOWER($L281&amp;"")="yes",0,IF(OR(AND($H281&lt;&gt;"",$H281=0),LEFT(LOWER(TRIM($F281&amp;"")),9)="free game",LOWER(TRIM($F281&amp;""))="free",LOWER(TRIM($F281&amp;""))="free entry"),IF(ISNUMBER($K281),$K281,""),IF($K281&lt;&gt;"",$K281,""))))))</ns0:f>
      </ns0:c>
      <ns0:c r="Q281" s="114">
        <ns0:f>IF(COUNTA($A281:$M281)=0,"",IF(OR($U281="Subscription",$U281=""),"",IF($U281="Estimate","N/A",IF($U281="Profit",ROUND(IFERROR($P281,0)-IFERROR($H281,0),2),0))))</ns0:f>
      </ns0:c>
      <ns0:c r="R281" s="114">
        <ns0:f>IF(COUNTA($A281:$M281)=0,"",IF(OR($U281="Subscription",$U281=""),"",IF($U281="Estimate","N/A",IF($U281="Draw",$H281,0))))</ns0:f>
      </ns0:c>
      <ns0:c r="S281" s="114">
        <ns0:f>IF(COUNTA($A281:$M281)=0,"",IF(OR($U281="Subscription",$U281=""),"",IF($U281="Estimate","N/A",IF($U281="Disqualified",$H281,0))))</ns0:f>
      </ns0:c>
      <ns0:c r="T281" s="955">
        <ns0:f>IF(COUNTA($A281:$M281)=0,"",IF(OR($U281="Subscription",$U281=""),"",IF($U281="Estimate","N/A",IF(OR($U281="Free Game",$U281="Disqualified — Free Game",$H281=0),"N/A",IF($U281="Profit",$Q281/$H281,IF($U281="Disqualified",-$S281/$H281,0))))))</ns0:f>
      </ns0:c>
      <ns0:c r="U281" s="920">
        <ns0:f>IF(COUNTA($A281:$M281)=0,"",IF(OR(LEFT(LOWER(TRIM($F281&amp;"")),12)="subscription",LOWER(TRIM($F281&amp;""))="membership"),"Subscription",IF(LOWER(TRIM($D281&amp;""))="estimate","Estimate",IF(OR(AND($H281&lt;&gt;"",$H281=0),LEFT(LOWER(TRIM($F281&amp;"")),9)="free game",LOWER(TRIM($F281&amp;""))="free",LOWER(TRIM($F281&amp;""))="free entry"),IF(LOWER($L281&amp;"")="yes","Disqualified — Free Game","Free Game"),IF(LOWER($L281&amp;"")="yes","Disqualified",IF($P281="","",IF(ROUND(IFERROR(VALUE($P281),0)-IFERROR(VALUE($H281),0),2)&gt;0,"Profit","Draw")))))))</ns0:f>
      </ns0:c>
      <ns0:c r="V281" s="956" t="str">
        <ns0:f>IF(COUNTA($A281:$M281)=0,"",IF(OR($B281="",$C281="",$U281="Subscription"),"",IFERROR(ROUNDUP(($C281-$B281)/7,0),"")))</ns0:f>
      </ns0:c>
      <ns0:c r="W281" s="114">
        <ns0:f>IF(COUNTA($A281:$M281)=0,"",IF(OR($U281="Subscription",$U281=""),"",IF($U281="Estimate","N/A",IF(OR($U281="Free Game",$U281="Disqualified — Free Game"),0,ROUND(IFERROR($Q281,0)-IFERROR($S281,0),2)))))</ns0:f>
      </ns0:c>
      <ns0:c r="X281" s="956" t="str">
        <ns0:f>IF(COUNTA($A281:$M281)=0,"",IF(OR($U281="Subscription",NOT(ISNUMBER($J281)),NOT(ISNUMBER($I281)),$J281=0,$I281=0,$I281&gt;$J281),"",$J281-$I281))</ns0:f>
      </ns0:c>
      <ns0:c r="Y281" s="955" t="str">
        <ns0:f>IF(COUNTA($A281:$M281)=0,"",IF(OR($U281="Subscription",NOT(ISNUMBER($J281)),$J281=0,$X281=""),"",$X281/$J281))</ns0:f>
      </ns0:c>
      <ns0:c r="Z281" s="957" t="str">
        <ns0:f>IF(COUNTA($A281:$M281)=0,"",Instructions!$B$29+SUM($W$5:W281))</ns0:f>
      </ns0:c>
    </ns0:row>
    <ns0:row r="282" ht="36" customHeight="1">
      <ns0:c r="A282" s="439"/>
      <ns0:c r="B282" s="453"/>
      <ns0:c r="C282" s="453"/>
      <ns0:c r="D282" s="454"/>
      <ns0:c r="E282" s="454"/>
      <ns0:c r="F282" s="454"/>
      <ns0:c r="G282" s="986"/>
      <ns0:c r="H282" s="455"/>
      <ns0:c r="I282" s="456"/>
      <ns0:c r="J282" s="456"/>
      <ns0:c r="K282" s="986"/>
      <ns0:c r="L282" s="454"/>
      <ns0:c r="M282" s="439"/>
      <ns0:c r="N282" s="987" t="str">
        <ns0:f>IF(COUNTA($A282:$M282)=0,"",IF(OR(LEFT(LOWER(TRIM($F282&amp;"")),12)="subscription",LOWER(TRIM($F282&amp;""))="membership"),"",IF(OR(AND($H282&lt;&gt;"",$H282=0),LEFT(LOWER(TRIM($F282&amp;"")),9)="free game",LOWER(TRIM($F282&amp;""))="free",LOWER(TRIM($F282&amp;""))="free entry"),IF(ISNUMBER($G282),IF(ISNUMBER(SEARCH("non",LOWER($E282&amp;""))),$G282*0.85,$G282),"N/A"),IF($G282="","",IFERROR(IF(ISNUMBER(SEARCH("non",LOWER($E282&amp;""))),$G282*0.85,$G282),"")))))</ns0:f>
        <ns0:v/>
      </ns0:c>
      <ns0:c r="O282" s="987" t="str">
        <ns0:f>IF(COUNTA($A282:$M282)=0,"",IF(OR(LEFT(LOWER(TRIM($F282&amp;"")),12)="subscription",LOWER(TRIM($F282&amp;""))="membership"),"",IF(OR(AND($H282&lt;&gt;"",$H282=0),LEFT(LOWER(TRIM($F282&amp;"")),9)="free game",LOWER(TRIM($F282&amp;""))="free",LOWER(TRIM($F282&amp;""))="free entry"),IF(OR(NOT(ISNUMBER($N282)),NOT(ISNUMBER($I282)),$I282=0),"N/A",IFERROR($N282/$I282,"N/A")),IF(OR($N282="",$I282="",$I282=0),"",IFERROR($N282/$I282,"")))))</ns0:f>
        <ns0:v/>
      </ns0:c>
      <ns0:c r="P282" s="987">
        <ns0:f>IF(COUNTA($A282:$M282)=0,"",IF(OR(LEFT(LOWER(TRIM($F282&amp;"")),12)="subscription",LOWER(TRIM($F282&amp;""))="membership"),"",IF(LOWER(TRIM($D282&amp;""))="estimate","N/A",IF(LOWER($L282&amp;"")="yes",0,IF(OR(AND($H282&lt;&gt;"",$H282=0),LEFT(LOWER(TRIM($F282&amp;"")),9)="free game",LOWER(TRIM($F282&amp;""))="free",LOWER(TRIM($F282&amp;""))="free entry"),IF(ISNUMBER($K282),$K282,""),IF($K282&lt;&gt;"",$K282,""))))))</ns0:f>
      </ns0:c>
      <ns0:c r="Q282" s="114">
        <ns0:f>IF(COUNTA($A282:$M282)=0,"",IF(OR($U282="Subscription",$U282=""),"",IF($U282="Estimate","N/A",IF($U282="Profit",ROUND(IFERROR($P282,0)-IFERROR($H282,0),2),0))))</ns0:f>
      </ns0:c>
      <ns0:c r="R282" s="114">
        <ns0:f>IF(COUNTA($A282:$M282)=0,"",IF(OR($U282="Subscription",$U282=""),"",IF($U282="Estimate","N/A",IF($U282="Draw",$H282,0))))</ns0:f>
      </ns0:c>
      <ns0:c r="S282" s="114">
        <ns0:f>IF(COUNTA($A282:$M282)=0,"",IF(OR($U282="Subscription",$U282=""),"",IF($U282="Estimate","N/A",IF($U282="Disqualified",$H282,0))))</ns0:f>
      </ns0:c>
      <ns0:c r="T282" s="955">
        <ns0:f>IF(COUNTA($A282:$M282)=0,"",IF(OR($U282="Subscription",$U282=""),"",IF($U282="Estimate","N/A",IF(OR($U282="Free Game",$U282="Disqualified — Free Game",$H282=0),"N/A",IF($U282="Profit",$Q282/$H282,IF($U282="Disqualified",-$S282/$H282,0))))))</ns0:f>
      </ns0:c>
      <ns0:c r="U282" s="920">
        <ns0:f>IF(COUNTA($A282:$M282)=0,"",IF(OR(LEFT(LOWER(TRIM($F282&amp;"")),12)="subscription",LOWER(TRIM($F282&amp;""))="membership"),"Subscription",IF(LOWER(TRIM($D282&amp;""))="estimate","Estimate",IF(OR(AND($H282&lt;&gt;"",$H282=0),LEFT(LOWER(TRIM($F282&amp;"")),9)="free game",LOWER(TRIM($F282&amp;""))="free",LOWER(TRIM($F282&amp;""))="free entry"),IF(LOWER($L282&amp;"")="yes","Disqualified — Free Game","Free Game"),IF(LOWER($L282&amp;"")="yes","Disqualified",IF($P282="","",IF(ROUND(IFERROR(VALUE($P282),0)-IFERROR(VALUE($H282),0),2)&gt;0,"Profit","Draw")))))))</ns0:f>
      </ns0:c>
      <ns0:c r="V282" s="956" t="str">
        <ns0:f>IF(COUNTA($A282:$M282)=0,"",IF(OR($B282="",$C282="",$U282="Subscription"),"",IFERROR(ROUNDUP(($C282-$B282)/7,0),"")))</ns0:f>
      </ns0:c>
      <ns0:c r="W282" s="114">
        <ns0:f>IF(COUNTA($A282:$M282)=0,"",IF(OR($U282="Subscription",$U282=""),"",IF($U282="Estimate","N/A",IF(OR($U282="Free Game",$U282="Disqualified — Free Game"),0,ROUND(IFERROR($Q282,0)-IFERROR($S282,0),2)))))</ns0:f>
      </ns0:c>
      <ns0:c r="X282" s="956" t="str">
        <ns0:f>IF(COUNTA($A282:$M282)=0,"",IF(OR($U282="Subscription",NOT(ISNUMBER($J282)),NOT(ISNUMBER($I282)),$J282=0,$I282=0,$I282&gt;$J282),"",$J282-$I282))</ns0:f>
      </ns0:c>
      <ns0:c r="Y282" s="955" t="str">
        <ns0:f>IF(COUNTA($A282:$M282)=0,"",IF(OR($U282="Subscription",NOT(ISNUMBER($J282)),$J282=0,$X282=""),"",$X282/$J282))</ns0:f>
      </ns0:c>
      <ns0:c r="Z282" s="957" t="str">
        <ns0:f>IF(COUNTA($A282:$M282)=0,"",Instructions!$B$29+SUM($W$5:W282))</ns0:f>
      </ns0:c>
    </ns0:row>
    <ns0:row r="283" ht="36" customHeight="1">
      <ns0:c r="A283" s="439"/>
      <ns0:c r="B283" s="453"/>
      <ns0:c r="C283" s="453"/>
      <ns0:c r="D283" s="454"/>
      <ns0:c r="E283" s="454"/>
      <ns0:c r="F283" s="454"/>
      <ns0:c r="G283" s="986"/>
      <ns0:c r="H283" s="455"/>
      <ns0:c r="I283" s="456"/>
      <ns0:c r="J283" s="456"/>
      <ns0:c r="K283" s="986"/>
      <ns0:c r="L283" s="454"/>
      <ns0:c r="M283" s="439"/>
      <ns0:c r="N283" s="987" t="str">
        <ns0:f>IF(COUNTA($A283:$M283)=0,"",IF(OR(LEFT(LOWER(TRIM($F283&amp;"")),12)="subscription",LOWER(TRIM($F283&amp;""))="membership"),"",IF(OR(AND($H283&lt;&gt;"",$H283=0),LEFT(LOWER(TRIM($F283&amp;"")),9)="free game",LOWER(TRIM($F283&amp;""))="free",LOWER(TRIM($F283&amp;""))="free entry"),IF(ISNUMBER($G283),IF(ISNUMBER(SEARCH("non",LOWER($E283&amp;""))),$G283*0.85,$G283),"N/A"),IF($G283="","",IFERROR(IF(ISNUMBER(SEARCH("non",LOWER($E283&amp;""))),$G283*0.85,$G283),"")))))</ns0:f>
        <ns0:v/>
      </ns0:c>
      <ns0:c r="O283" s="987" t="str">
        <ns0:f>IF(COUNTA($A283:$M283)=0,"",IF(OR(LEFT(LOWER(TRIM($F283&amp;"")),12)="subscription",LOWER(TRIM($F283&amp;""))="membership"),"",IF(OR(AND($H283&lt;&gt;"",$H283=0),LEFT(LOWER(TRIM($F283&amp;"")),9)="free game",LOWER(TRIM($F283&amp;""))="free",LOWER(TRIM($F283&amp;""))="free entry"),IF(OR(NOT(ISNUMBER($N283)),NOT(ISNUMBER($I283)),$I283=0),"N/A",IFERROR($N283/$I283,"N/A")),IF(OR($N283="",$I283="",$I283=0),"",IFERROR($N283/$I283,"")))))</ns0:f>
        <ns0:v/>
      </ns0:c>
      <ns0:c r="P283" s="987">
        <ns0:f>IF(COUNTA($A283:$M283)=0,"",IF(OR(LEFT(LOWER(TRIM($F283&amp;"")),12)="subscription",LOWER(TRIM($F283&amp;""))="membership"),"",IF(LOWER(TRIM($D283&amp;""))="estimate","N/A",IF(LOWER($L283&amp;"")="yes",0,IF(OR(AND($H283&lt;&gt;"",$H283=0),LEFT(LOWER(TRIM($F283&amp;"")),9)="free game",LOWER(TRIM($F283&amp;""))="free",LOWER(TRIM($F283&amp;""))="free entry"),IF(ISNUMBER($K283),$K283,""),IF($K283&lt;&gt;"",$K283,""))))))</ns0:f>
      </ns0:c>
      <ns0:c r="Q283" s="114">
        <ns0:f>IF(COUNTA($A283:$M283)=0,"",IF(OR($U283="Subscription",$U283=""),"",IF($U283="Estimate","N/A",IF($U283="Profit",ROUND(IFERROR($P283,0)-IFERROR($H283,0),2),0))))</ns0:f>
      </ns0:c>
      <ns0:c r="R283" s="114">
        <ns0:f>IF(COUNTA($A283:$M283)=0,"",IF(OR($U283="Subscription",$U283=""),"",IF($U283="Estimate","N/A",IF($U283="Draw",$H283,0))))</ns0:f>
      </ns0:c>
      <ns0:c r="S283" s="114">
        <ns0:f>IF(COUNTA($A283:$M283)=0,"",IF(OR($U283="Subscription",$U283=""),"",IF($U283="Estimate","N/A",IF($U283="Disqualified",$H283,0))))</ns0:f>
      </ns0:c>
      <ns0:c r="T283" s="955">
        <ns0:f>IF(COUNTA($A283:$M283)=0,"",IF(OR($U283="Subscription",$U283=""),"",IF($U283="Estimate","N/A",IF(OR($U283="Free Game",$U283="Disqualified — Free Game",$H283=0),"N/A",IF($U283="Profit",$Q283/$H283,IF($U283="Disqualified",-$S283/$H283,0))))))</ns0:f>
      </ns0:c>
      <ns0:c r="U283" s="920">
        <ns0:f>IF(COUNTA($A283:$M283)=0,"",IF(OR(LEFT(LOWER(TRIM($F283&amp;"")),12)="subscription",LOWER(TRIM($F283&amp;""))="membership"),"Subscription",IF(LOWER(TRIM($D283&amp;""))="estimate","Estimate",IF(OR(AND($H283&lt;&gt;"",$H283=0),LEFT(LOWER(TRIM($F283&amp;"")),9)="free game",LOWER(TRIM($F283&amp;""))="free",LOWER(TRIM($F283&amp;""))="free entry"),IF(LOWER($L283&amp;"")="yes","Disqualified — Free Game","Free Game"),IF(LOWER($L283&amp;"")="yes","Disqualified",IF($P283="","",IF(ROUND(IFERROR(VALUE($P283),0)-IFERROR(VALUE($H283),0),2)&gt;0,"Profit","Draw")))))))</ns0:f>
      </ns0:c>
      <ns0:c r="V283" s="956" t="str">
        <ns0:f>IF(COUNTA($A283:$M283)=0,"",IF(OR($B283="",$C283="",$U283="Subscription"),"",IFERROR(ROUNDUP(($C283-$B283)/7,0),"")))</ns0:f>
      </ns0:c>
      <ns0:c r="W283" s="114">
        <ns0:f>IF(COUNTA($A283:$M283)=0,"",IF(OR($U283="Subscription",$U283=""),"",IF($U283="Estimate","N/A",IF(OR($U283="Free Game",$U283="Disqualified — Free Game"),0,ROUND(IFERROR($Q283,0)-IFERROR($S283,0),2)))))</ns0:f>
      </ns0:c>
      <ns0:c r="X283" s="956" t="str">
        <ns0:f>IF(COUNTA($A283:$M283)=0,"",IF(OR($U283="Subscription",NOT(ISNUMBER($J283)),NOT(ISNUMBER($I283)),$J283=0,$I283=0,$I283&gt;$J283),"",$J283-$I283))</ns0:f>
      </ns0:c>
      <ns0:c r="Y283" s="955" t="str">
        <ns0:f>IF(COUNTA($A283:$M283)=0,"",IF(OR($U283="Subscription",NOT(ISNUMBER($J283)),$J283=0,$X283=""),"",$X283/$J283))</ns0:f>
      </ns0:c>
      <ns0:c r="Z283" s="957" t="str">
        <ns0:f>IF(COUNTA($A283:$M283)=0,"",Instructions!$B$29+SUM($W$5:W283))</ns0:f>
      </ns0:c>
    </ns0:row>
    <ns0:row r="284" ht="36" customHeight="1">
      <ns0:c r="A284" s="439"/>
      <ns0:c r="B284" s="453"/>
      <ns0:c r="C284" s="453"/>
      <ns0:c r="D284" s="454"/>
      <ns0:c r="E284" s="454"/>
      <ns0:c r="F284" s="454"/>
      <ns0:c r="G284" s="986"/>
      <ns0:c r="H284" s="455"/>
      <ns0:c r="I284" s="456"/>
      <ns0:c r="J284" s="456"/>
      <ns0:c r="K284" s="986"/>
      <ns0:c r="L284" s="454"/>
      <ns0:c r="M284" s="439"/>
      <ns0:c r="N284" s="987" t="str">
        <ns0:f>IF(COUNTA($A284:$M284)=0,"",IF(OR(LEFT(LOWER(TRIM($F284&amp;"")),12)="subscription",LOWER(TRIM($F284&amp;""))="membership"),"",IF(OR(AND($H284&lt;&gt;"",$H284=0),LEFT(LOWER(TRIM($F284&amp;"")),9)="free game",LOWER(TRIM($F284&amp;""))="free",LOWER(TRIM($F284&amp;""))="free entry"),IF(ISNUMBER($G284),IF(ISNUMBER(SEARCH("non",LOWER($E284&amp;""))),$G284*0.85,$G284),"N/A"),IF($G284="","",IFERROR(IF(ISNUMBER(SEARCH("non",LOWER($E284&amp;""))),$G284*0.85,$G284),"")))))</ns0:f>
        <ns0:v/>
      </ns0:c>
      <ns0:c r="O284" s="987" t="str">
        <ns0:f>IF(COUNTA($A284:$M284)=0,"",IF(OR(LEFT(LOWER(TRIM($F284&amp;"")),12)="subscription",LOWER(TRIM($F284&amp;""))="membership"),"",IF(OR(AND($H284&lt;&gt;"",$H284=0),LEFT(LOWER(TRIM($F284&amp;"")),9)="free game",LOWER(TRIM($F284&amp;""))="free",LOWER(TRIM($F284&amp;""))="free entry"),IF(OR(NOT(ISNUMBER($N284)),NOT(ISNUMBER($I284)),$I284=0),"N/A",IFERROR($N284/$I284,"N/A")),IF(OR($N284="",$I284="",$I284=0),"",IFERROR($N284/$I284,"")))))</ns0:f>
        <ns0:v/>
      </ns0:c>
      <ns0:c r="P284" s="987">
        <ns0:f>IF(COUNTA($A284:$M284)=0,"",IF(OR(LEFT(LOWER(TRIM($F284&amp;"")),12)="subscription",LOWER(TRIM($F284&amp;""))="membership"),"",IF(LOWER(TRIM($D284&amp;""))="estimate","N/A",IF(LOWER($L284&amp;"")="yes",0,IF(OR(AND($H284&lt;&gt;"",$H284=0),LEFT(LOWER(TRIM($F284&amp;"")),9)="free game",LOWER(TRIM($F284&amp;""))="free",LOWER(TRIM($F284&amp;""))="free entry"),IF(ISNUMBER($K284),$K284,""),IF($K284&lt;&gt;"",$K284,""))))))</ns0:f>
      </ns0:c>
      <ns0:c r="Q284" s="114">
        <ns0:f>IF(COUNTA($A284:$M284)=0,"",IF(OR($U284="Subscription",$U284=""),"",IF($U284="Estimate","N/A",IF($U284="Profit",ROUND(IFERROR($P284,0)-IFERROR($H284,0),2),0))))</ns0:f>
      </ns0:c>
      <ns0:c r="R284" s="114">
        <ns0:f>IF(COUNTA($A284:$M284)=0,"",IF(OR($U284="Subscription",$U284=""),"",IF($U284="Estimate","N/A",IF($U284="Draw",$H284,0))))</ns0:f>
      </ns0:c>
      <ns0:c r="S284" s="114">
        <ns0:f>IF(COUNTA($A284:$M284)=0,"",IF(OR($U284="Subscription",$U284=""),"",IF($U284="Estimate","N/A",IF($U284="Disqualified",$H284,0))))</ns0:f>
      </ns0:c>
      <ns0:c r="T284" s="955">
        <ns0:f>IF(COUNTA($A284:$M284)=0,"",IF(OR($U284="Subscription",$U284=""),"",IF($U284="Estimate","N/A",IF(OR($U284="Free Game",$U284="Disqualified — Free Game",$H284=0),"N/A",IF($U284="Profit",$Q284/$H284,IF($U284="Disqualified",-$S284/$H284,0))))))</ns0:f>
      </ns0:c>
      <ns0:c r="U284" s="920">
        <ns0:f>IF(COUNTA($A284:$M284)=0,"",IF(OR(LEFT(LOWER(TRIM($F284&amp;"")),12)="subscription",LOWER(TRIM($F284&amp;""))="membership"),"Subscription",IF(LOWER(TRIM($D284&amp;""))="estimate","Estimate",IF(OR(AND($H284&lt;&gt;"",$H284=0),LEFT(LOWER(TRIM($F284&amp;"")),9)="free game",LOWER(TRIM($F284&amp;""))="free",LOWER(TRIM($F284&amp;""))="free entry"),IF(LOWER($L284&amp;"")="yes","Disqualified — Free Game","Free Game"),IF(LOWER($L284&amp;"")="yes","Disqualified",IF($P284="","",IF(ROUND(IFERROR(VALUE($P284),0)-IFERROR(VALUE($H284),0),2)&gt;0,"Profit","Draw")))))))</ns0:f>
      </ns0:c>
      <ns0:c r="V284" s="956" t="str">
        <ns0:f>IF(COUNTA($A284:$M284)=0,"",IF(OR($B284="",$C284="",$U284="Subscription"),"",IFERROR(ROUNDUP(($C284-$B284)/7,0),"")))</ns0:f>
      </ns0:c>
      <ns0:c r="W284" s="114">
        <ns0:f>IF(COUNTA($A284:$M284)=0,"",IF(OR($U284="Subscription",$U284=""),"",IF($U284="Estimate","N/A",IF(OR($U284="Free Game",$U284="Disqualified — Free Game"),0,ROUND(IFERROR($Q284,0)-IFERROR($S284,0),2)))))</ns0:f>
      </ns0:c>
      <ns0:c r="X284" s="956" t="str">
        <ns0:f>IF(COUNTA($A284:$M284)=0,"",IF(OR($U284="Subscription",NOT(ISNUMBER($J284)),NOT(ISNUMBER($I284)),$J284=0,$I284=0,$I284&gt;$J284),"",$J284-$I284))</ns0:f>
      </ns0:c>
      <ns0:c r="Y284" s="955" t="str">
        <ns0:f>IF(COUNTA($A284:$M284)=0,"",IF(OR($U284="Subscription",NOT(ISNUMBER($J284)),$J284=0,$X284=""),"",$X284/$J284))</ns0:f>
      </ns0:c>
      <ns0:c r="Z284" s="957" t="str">
        <ns0:f>IF(COUNTA($A284:$M284)=0,"",Instructions!$B$29+SUM($W$5:W284))</ns0:f>
      </ns0:c>
    </ns0:row>
    <ns0:row r="285" ht="36" customHeight="1">
      <ns0:c r="A285" s="439"/>
      <ns0:c r="B285" s="453"/>
      <ns0:c r="C285" s="453"/>
      <ns0:c r="D285" s="454"/>
      <ns0:c r="E285" s="454"/>
      <ns0:c r="F285" s="454"/>
      <ns0:c r="G285" s="986"/>
      <ns0:c r="H285" s="455"/>
      <ns0:c r="I285" s="456"/>
      <ns0:c r="J285" s="456"/>
      <ns0:c r="K285" s="986"/>
      <ns0:c r="L285" s="454"/>
      <ns0:c r="M285" s="439"/>
      <ns0:c r="N285" s="987" t="str">
        <ns0:f>IF(COUNTA($A285:$M285)=0,"",IF(OR(LEFT(LOWER(TRIM($F285&amp;"")),12)="subscription",LOWER(TRIM($F285&amp;""))="membership"),"",IF(OR(AND($H285&lt;&gt;"",$H285=0),LEFT(LOWER(TRIM($F285&amp;"")),9)="free game",LOWER(TRIM($F285&amp;""))="free",LOWER(TRIM($F285&amp;""))="free entry"),IF(ISNUMBER($G285),IF(ISNUMBER(SEARCH("non",LOWER($E285&amp;""))),$G285*0.85,$G285),"N/A"),IF($G285="","",IFERROR(IF(ISNUMBER(SEARCH("non",LOWER($E285&amp;""))),$G285*0.85,$G285),"")))))</ns0:f>
        <ns0:v/>
      </ns0:c>
      <ns0:c r="O285" s="987" t="str">
        <ns0:f>IF(COUNTA($A285:$M285)=0,"",IF(OR(LEFT(LOWER(TRIM($F285&amp;"")),12)="subscription",LOWER(TRIM($F285&amp;""))="membership"),"",IF(OR(AND($H285&lt;&gt;"",$H285=0),LEFT(LOWER(TRIM($F285&amp;"")),9)="free game",LOWER(TRIM($F285&amp;""))="free",LOWER(TRIM($F285&amp;""))="free entry"),IF(OR(NOT(ISNUMBER($N285)),NOT(ISNUMBER($I285)),$I285=0),"N/A",IFERROR($N285/$I285,"N/A")),IF(OR($N285="",$I285="",$I285=0),"",IFERROR($N285/$I285,"")))))</ns0:f>
        <ns0:v/>
      </ns0:c>
      <ns0:c r="P285" s="987">
        <ns0:f>IF(COUNTA($A285:$M285)=0,"",IF(OR(LEFT(LOWER(TRIM($F285&amp;"")),12)="subscription",LOWER(TRIM($F285&amp;""))="membership"),"",IF(LOWER(TRIM($D285&amp;""))="estimate","N/A",IF(LOWER($L285&amp;"")="yes",0,IF(OR(AND($H285&lt;&gt;"",$H285=0),LEFT(LOWER(TRIM($F285&amp;"")),9)="free game",LOWER(TRIM($F285&amp;""))="free",LOWER(TRIM($F285&amp;""))="free entry"),IF(ISNUMBER($K285),$K285,""),IF($K285&lt;&gt;"",$K285,""))))))</ns0:f>
      </ns0:c>
      <ns0:c r="Q285" s="114">
        <ns0:f>IF(COUNTA($A285:$M285)=0,"",IF(OR($U285="Subscription",$U285=""),"",IF($U285="Estimate","N/A",IF($U285="Profit",ROUND(IFERROR($P285,0)-IFERROR($H285,0),2),0))))</ns0:f>
      </ns0:c>
      <ns0:c r="R285" s="114">
        <ns0:f>IF(COUNTA($A285:$M285)=0,"",IF(OR($U285="Subscription",$U285=""),"",IF($U285="Estimate","N/A",IF($U285="Draw",$H285,0))))</ns0:f>
      </ns0:c>
      <ns0:c r="S285" s="114">
        <ns0:f>IF(COUNTA($A285:$M285)=0,"",IF(OR($U285="Subscription",$U285=""),"",IF($U285="Estimate","N/A",IF($U285="Disqualified",$H285,0))))</ns0:f>
      </ns0:c>
      <ns0:c r="T285" s="955">
        <ns0:f>IF(COUNTA($A285:$M285)=0,"",IF(OR($U285="Subscription",$U285=""),"",IF($U285="Estimate","N/A",IF(OR($U285="Free Game",$U285="Disqualified — Free Game",$H285=0),"N/A",IF($U285="Profit",$Q285/$H285,IF($U285="Disqualified",-$S285/$H285,0))))))</ns0:f>
      </ns0:c>
      <ns0:c r="U285" s="920">
        <ns0:f>IF(COUNTA($A285:$M285)=0,"",IF(OR(LEFT(LOWER(TRIM($F285&amp;"")),12)="subscription",LOWER(TRIM($F285&amp;""))="membership"),"Subscription",IF(LOWER(TRIM($D285&amp;""))="estimate","Estimate",IF(OR(AND($H285&lt;&gt;"",$H285=0),LEFT(LOWER(TRIM($F285&amp;"")),9)="free game",LOWER(TRIM($F285&amp;""))="free",LOWER(TRIM($F285&amp;""))="free entry"),IF(LOWER($L285&amp;"")="yes","Disqualified — Free Game","Free Game"),IF(LOWER($L285&amp;"")="yes","Disqualified",IF($P285="","",IF(ROUND(IFERROR(VALUE($P285),0)-IFERROR(VALUE($H285),0),2)&gt;0,"Profit","Draw")))))))</ns0:f>
      </ns0:c>
      <ns0:c r="V285" s="956" t="str">
        <ns0:f>IF(COUNTA($A285:$M285)=0,"",IF(OR($B285="",$C285="",$U285="Subscription"),"",IFERROR(ROUNDUP(($C285-$B285)/7,0),"")))</ns0:f>
      </ns0:c>
      <ns0:c r="W285" s="114">
        <ns0:f>IF(COUNTA($A285:$M285)=0,"",IF(OR($U285="Subscription",$U285=""),"",IF($U285="Estimate","N/A",IF(OR($U285="Free Game",$U285="Disqualified — Free Game"),0,ROUND(IFERROR($Q285,0)-IFERROR($S285,0),2)))))</ns0:f>
      </ns0:c>
      <ns0:c r="X285" s="956" t="str">
        <ns0:f>IF(COUNTA($A285:$M285)=0,"",IF(OR($U285="Subscription",NOT(ISNUMBER($J285)),NOT(ISNUMBER($I285)),$J285=0,$I285=0,$I285&gt;$J285),"",$J285-$I285))</ns0:f>
      </ns0:c>
      <ns0:c r="Y285" s="955" t="str">
        <ns0:f>IF(COUNTA($A285:$M285)=0,"",IF(OR($U285="Subscription",NOT(ISNUMBER($J285)),$J285=0,$X285=""),"",$X285/$J285))</ns0:f>
      </ns0:c>
      <ns0:c r="Z285" s="957" t="str">
        <ns0:f>IF(COUNTA($A285:$M285)=0,"",Instructions!$B$29+SUM($W$5:W285))</ns0:f>
      </ns0:c>
    </ns0:row>
    <ns0:row r="286" ht="36" customHeight="1">
      <ns0:c r="A286" s="439"/>
      <ns0:c r="B286" s="453"/>
      <ns0:c r="C286" s="453"/>
      <ns0:c r="D286" s="454"/>
      <ns0:c r="E286" s="454"/>
      <ns0:c r="F286" s="454"/>
      <ns0:c r="G286" s="986"/>
      <ns0:c r="H286" s="455"/>
      <ns0:c r="I286" s="456"/>
      <ns0:c r="J286" s="456"/>
      <ns0:c r="K286" s="986"/>
      <ns0:c r="L286" s="454"/>
      <ns0:c r="M286" s="439"/>
      <ns0:c r="N286" s="987" t="str">
        <ns0:f>IF(COUNTA($A286:$M286)=0,"",IF(OR(LEFT(LOWER(TRIM($F286&amp;"")),12)="subscription",LOWER(TRIM($F286&amp;""))="membership"),"",IF(OR(AND($H286&lt;&gt;"",$H286=0),LEFT(LOWER(TRIM($F286&amp;"")),9)="free game",LOWER(TRIM($F286&amp;""))="free",LOWER(TRIM($F286&amp;""))="free entry"),IF(ISNUMBER($G286),IF(ISNUMBER(SEARCH("non",LOWER($E286&amp;""))),$G286*0.85,$G286),"N/A"),IF($G286="","",IFERROR(IF(ISNUMBER(SEARCH("non",LOWER($E286&amp;""))),$G286*0.85,$G286),"")))))</ns0:f>
        <ns0:v/>
      </ns0:c>
      <ns0:c r="O286" s="987" t="str">
        <ns0:f>IF(COUNTA($A286:$M286)=0,"",IF(OR(LEFT(LOWER(TRIM($F286&amp;"")),12)="subscription",LOWER(TRIM($F286&amp;""))="membership"),"",IF(OR(AND($H286&lt;&gt;"",$H286=0),LEFT(LOWER(TRIM($F286&amp;"")),9)="free game",LOWER(TRIM($F286&amp;""))="free",LOWER(TRIM($F286&amp;""))="free entry"),IF(OR(NOT(ISNUMBER($N286)),NOT(ISNUMBER($I286)),$I286=0),"N/A",IFERROR($N286/$I286,"N/A")),IF(OR($N286="",$I286="",$I286=0),"",IFERROR($N286/$I286,"")))))</ns0:f>
        <ns0:v/>
      </ns0:c>
      <ns0:c r="P286" s="987">
        <ns0:f>IF(COUNTA($A286:$M286)=0,"",IF(OR(LEFT(LOWER(TRIM($F286&amp;"")),12)="subscription",LOWER(TRIM($F286&amp;""))="membership"),"",IF(LOWER(TRIM($D286&amp;""))="estimate","N/A",IF(LOWER($L286&amp;"")="yes",0,IF(OR(AND($H286&lt;&gt;"",$H286=0),LEFT(LOWER(TRIM($F286&amp;"")),9)="free game",LOWER(TRIM($F286&amp;""))="free",LOWER(TRIM($F286&amp;""))="free entry"),IF(ISNUMBER($K286),$K286,""),IF($K286&lt;&gt;"",$K286,""))))))</ns0:f>
      </ns0:c>
      <ns0:c r="Q286" s="114">
        <ns0:f>IF(COUNTA($A286:$M286)=0,"",IF(OR($U286="Subscription",$U286=""),"",IF($U286="Estimate","N/A",IF($U286="Profit",ROUND(IFERROR($P286,0)-IFERROR($H286,0),2),0))))</ns0:f>
      </ns0:c>
      <ns0:c r="R286" s="114">
        <ns0:f>IF(COUNTA($A286:$M286)=0,"",IF(OR($U286="Subscription",$U286=""),"",IF($U286="Estimate","N/A",IF($U286="Draw",$H286,0))))</ns0:f>
      </ns0:c>
      <ns0:c r="S286" s="114">
        <ns0:f>IF(COUNTA($A286:$M286)=0,"",IF(OR($U286="Subscription",$U286=""),"",IF($U286="Estimate","N/A",IF($U286="Disqualified",$H286,0))))</ns0:f>
      </ns0:c>
      <ns0:c r="T286" s="955">
        <ns0:f>IF(COUNTA($A286:$M286)=0,"",IF(OR($U286="Subscription",$U286=""),"",IF($U286="Estimate","N/A",IF(OR($U286="Free Game",$U286="Disqualified — Free Game",$H286=0),"N/A",IF($U286="Profit",$Q286/$H286,IF($U286="Disqualified",-$S286/$H286,0))))))</ns0:f>
      </ns0:c>
      <ns0:c r="U286" s="920">
        <ns0:f>IF(COUNTA($A286:$M286)=0,"",IF(OR(LEFT(LOWER(TRIM($F286&amp;"")),12)="subscription",LOWER(TRIM($F286&amp;""))="membership"),"Subscription",IF(LOWER(TRIM($D286&amp;""))="estimate","Estimate",IF(OR(AND($H286&lt;&gt;"",$H286=0),LEFT(LOWER(TRIM($F286&amp;"")),9)="free game",LOWER(TRIM($F286&amp;""))="free",LOWER(TRIM($F286&amp;""))="free entry"),IF(LOWER($L286&amp;"")="yes","Disqualified — Free Game","Free Game"),IF(LOWER($L286&amp;"")="yes","Disqualified",IF($P286="","",IF(ROUND(IFERROR(VALUE($P286),0)-IFERROR(VALUE($H286),0),2)&gt;0,"Profit","Draw")))))))</ns0:f>
      </ns0:c>
      <ns0:c r="V286" s="956" t="str">
        <ns0:f>IF(COUNTA($A286:$M286)=0,"",IF(OR($B286="",$C286="",$U286="Subscription"),"",IFERROR(ROUNDUP(($C286-$B286)/7,0),"")))</ns0:f>
      </ns0:c>
      <ns0:c r="W286" s="114">
        <ns0:f>IF(COUNTA($A286:$M286)=0,"",IF(OR($U286="Subscription",$U286=""),"",IF($U286="Estimate","N/A",IF(OR($U286="Free Game",$U286="Disqualified — Free Game"),0,ROUND(IFERROR($Q286,0)-IFERROR($S286,0),2)))))</ns0:f>
      </ns0:c>
      <ns0:c r="X286" s="956" t="str">
        <ns0:f>IF(COUNTA($A286:$M286)=0,"",IF(OR($U286="Subscription",NOT(ISNUMBER($J286)),NOT(ISNUMBER($I286)),$J286=0,$I286=0,$I286&gt;$J286),"",$J286-$I286))</ns0:f>
      </ns0:c>
      <ns0:c r="Y286" s="955" t="str">
        <ns0:f>IF(COUNTA($A286:$M286)=0,"",IF(OR($U286="Subscription",NOT(ISNUMBER($J286)),$J286=0,$X286=""),"",$X286/$J286))</ns0:f>
      </ns0:c>
      <ns0:c r="Z286" s="957" t="str">
        <ns0:f>IF(COUNTA($A286:$M286)=0,"",Instructions!$B$29+SUM($W$5:W286))</ns0:f>
      </ns0:c>
    </ns0:row>
    <ns0:row r="287" ht="36" customHeight="1">
      <ns0:c r="A287" s="439"/>
      <ns0:c r="B287" s="453"/>
      <ns0:c r="C287" s="453"/>
      <ns0:c r="D287" s="454"/>
      <ns0:c r="E287" s="454"/>
      <ns0:c r="F287" s="454"/>
      <ns0:c r="G287" s="986"/>
      <ns0:c r="H287" s="455"/>
      <ns0:c r="I287" s="456"/>
      <ns0:c r="J287" s="456"/>
      <ns0:c r="K287" s="986"/>
      <ns0:c r="L287" s="454"/>
      <ns0:c r="M287" s="439"/>
      <ns0:c r="N287" s="987" t="str">
        <ns0:f>IF(COUNTA($A287:$M287)=0,"",IF(OR(LEFT(LOWER(TRIM($F287&amp;"")),12)="subscription",LOWER(TRIM($F287&amp;""))="membership"),"",IF(OR(AND($H287&lt;&gt;"",$H287=0),LEFT(LOWER(TRIM($F287&amp;"")),9)="free game",LOWER(TRIM($F287&amp;""))="free",LOWER(TRIM($F287&amp;""))="free entry"),IF(ISNUMBER($G287),IF(ISNUMBER(SEARCH("non",LOWER($E287&amp;""))),$G287*0.85,$G287),"N/A"),IF($G287="","",IFERROR(IF(ISNUMBER(SEARCH("non",LOWER($E287&amp;""))),$G287*0.85,$G287),"")))))</ns0:f>
        <ns0:v/>
      </ns0:c>
      <ns0:c r="O287" s="987" t="str">
        <ns0:f>IF(COUNTA($A287:$M287)=0,"",IF(OR(LEFT(LOWER(TRIM($F287&amp;"")),12)="subscription",LOWER(TRIM($F287&amp;""))="membership"),"",IF(OR(AND($H287&lt;&gt;"",$H287=0),LEFT(LOWER(TRIM($F287&amp;"")),9)="free game",LOWER(TRIM($F287&amp;""))="free",LOWER(TRIM($F287&amp;""))="free entry"),IF(OR(NOT(ISNUMBER($N287)),NOT(ISNUMBER($I287)),$I287=0),"N/A",IFERROR($N287/$I287,"N/A")),IF(OR($N287="",$I287="",$I287=0),"",IFERROR($N287/$I287,"")))))</ns0:f>
        <ns0:v/>
      </ns0:c>
      <ns0:c r="P287" s="987">
        <ns0:f>IF(COUNTA($A287:$M287)=0,"",IF(OR(LEFT(LOWER(TRIM($F287&amp;"")),12)="subscription",LOWER(TRIM($F287&amp;""))="membership"),"",IF(LOWER(TRIM($D287&amp;""))="estimate","N/A",IF(LOWER($L287&amp;"")="yes",0,IF(OR(AND($H287&lt;&gt;"",$H287=0),LEFT(LOWER(TRIM($F287&amp;"")),9)="free game",LOWER(TRIM($F287&amp;""))="free",LOWER(TRIM($F287&amp;""))="free entry"),IF(ISNUMBER($K287),$K287,""),IF($K287&lt;&gt;"",$K287,""))))))</ns0:f>
      </ns0:c>
      <ns0:c r="Q287" s="114">
        <ns0:f>IF(COUNTA($A287:$M287)=0,"",IF(OR($U287="Subscription",$U287=""),"",IF($U287="Estimate","N/A",IF($U287="Profit",ROUND(IFERROR($P287,0)-IFERROR($H287,0),2),0))))</ns0:f>
      </ns0:c>
      <ns0:c r="R287" s="114">
        <ns0:f>IF(COUNTA($A287:$M287)=0,"",IF(OR($U287="Subscription",$U287=""),"",IF($U287="Estimate","N/A",IF($U287="Draw",$H287,0))))</ns0:f>
      </ns0:c>
      <ns0:c r="S287" s="114">
        <ns0:f>IF(COUNTA($A287:$M287)=0,"",IF(OR($U287="Subscription",$U287=""),"",IF($U287="Estimate","N/A",IF($U287="Disqualified",$H287,0))))</ns0:f>
      </ns0:c>
      <ns0:c r="T287" s="955">
        <ns0:f>IF(COUNTA($A287:$M287)=0,"",IF(OR($U287="Subscription",$U287=""),"",IF($U287="Estimate","N/A",IF(OR($U287="Free Game",$U287="Disqualified — Free Game",$H287=0),"N/A",IF($U287="Profit",$Q287/$H287,IF($U287="Disqualified",-$S287/$H287,0))))))</ns0:f>
      </ns0:c>
      <ns0:c r="U287" s="920">
        <ns0:f>IF(COUNTA($A287:$M287)=0,"",IF(OR(LEFT(LOWER(TRIM($F287&amp;"")),12)="subscription",LOWER(TRIM($F287&amp;""))="membership"),"Subscription",IF(LOWER(TRIM($D287&amp;""))="estimate","Estimate",IF(OR(AND($H287&lt;&gt;"",$H287=0),LEFT(LOWER(TRIM($F287&amp;"")),9)="free game",LOWER(TRIM($F287&amp;""))="free",LOWER(TRIM($F287&amp;""))="free entry"),IF(LOWER($L287&amp;"")="yes","Disqualified — Free Game","Free Game"),IF(LOWER($L287&amp;"")="yes","Disqualified",IF($P287="","",IF(ROUND(IFERROR(VALUE($P287),0)-IFERROR(VALUE($H287),0),2)&gt;0,"Profit","Draw")))))))</ns0:f>
      </ns0:c>
      <ns0:c r="V287" s="956" t="str">
        <ns0:f>IF(COUNTA($A287:$M287)=0,"",IF(OR($B287="",$C287="",$U287="Subscription"),"",IFERROR(ROUNDUP(($C287-$B287)/7,0),"")))</ns0:f>
      </ns0:c>
      <ns0:c r="W287" s="114">
        <ns0:f>IF(COUNTA($A287:$M287)=0,"",IF(OR($U287="Subscription",$U287=""),"",IF($U287="Estimate","N/A",IF(OR($U287="Free Game",$U287="Disqualified — Free Game"),0,ROUND(IFERROR($Q287,0)-IFERROR($S287,0),2)))))</ns0:f>
      </ns0:c>
      <ns0:c r="X287" s="956" t="str">
        <ns0:f>IF(COUNTA($A287:$M287)=0,"",IF(OR($U287="Subscription",NOT(ISNUMBER($J287)),NOT(ISNUMBER($I287)),$J287=0,$I287=0,$I287&gt;$J287),"",$J287-$I287))</ns0:f>
      </ns0:c>
      <ns0:c r="Y287" s="955" t="str">
        <ns0:f>IF(COUNTA($A287:$M287)=0,"",IF(OR($U287="Subscription",NOT(ISNUMBER($J287)),$J287=0,$X287=""),"",$X287/$J287))</ns0:f>
      </ns0:c>
      <ns0:c r="Z287" s="957" t="str">
        <ns0:f>IF(COUNTA($A287:$M287)=0,"",Instructions!$B$29+SUM($W$5:W287))</ns0:f>
      </ns0:c>
    </ns0:row>
    <ns0:row r="288" ht="36" customHeight="1">
      <ns0:c r="A288" s="439"/>
      <ns0:c r="B288" s="453"/>
      <ns0:c r="C288" s="453"/>
      <ns0:c r="D288" s="454"/>
      <ns0:c r="E288" s="454"/>
      <ns0:c r="F288" s="454"/>
      <ns0:c r="G288" s="986"/>
      <ns0:c r="H288" s="455"/>
      <ns0:c r="I288" s="456"/>
      <ns0:c r="J288" s="456"/>
      <ns0:c r="K288" s="986"/>
      <ns0:c r="L288" s="454"/>
      <ns0:c r="M288" s="439"/>
      <ns0:c r="N288" s="987" t="str">
        <ns0:f>IF(COUNTA($A288:$M288)=0,"",IF(OR(LEFT(LOWER(TRIM($F288&amp;"")),12)="subscription",LOWER(TRIM($F288&amp;""))="membership"),"",IF(OR(AND($H288&lt;&gt;"",$H288=0),LEFT(LOWER(TRIM($F288&amp;"")),9)="free game",LOWER(TRIM($F288&amp;""))="free",LOWER(TRIM($F288&amp;""))="free entry"),IF(ISNUMBER($G288),IF(ISNUMBER(SEARCH("non",LOWER($E288&amp;""))),$G288*0.85,$G288),"N/A"),IF($G288="","",IFERROR(IF(ISNUMBER(SEARCH("non",LOWER($E288&amp;""))),$G288*0.85,$G288),"")))))</ns0:f>
        <ns0:v/>
      </ns0:c>
      <ns0:c r="O288" s="987" t="str">
        <ns0:f>IF(COUNTA($A288:$M288)=0,"",IF(OR(LEFT(LOWER(TRIM($F288&amp;"")),12)="subscription",LOWER(TRIM($F288&amp;""))="membership"),"",IF(OR(AND($H288&lt;&gt;"",$H288=0),LEFT(LOWER(TRIM($F288&amp;"")),9)="free game",LOWER(TRIM($F288&amp;""))="free",LOWER(TRIM($F288&amp;""))="free entry"),IF(OR(NOT(ISNUMBER($N288)),NOT(ISNUMBER($I288)),$I288=0),"N/A",IFERROR($N288/$I288,"N/A")),IF(OR($N288="",$I288="",$I288=0),"",IFERROR($N288/$I288,"")))))</ns0:f>
        <ns0:v/>
      </ns0:c>
      <ns0:c r="P288" s="987">
        <ns0:f>IF(COUNTA($A288:$M288)=0,"",IF(OR(LEFT(LOWER(TRIM($F288&amp;"")),12)="subscription",LOWER(TRIM($F288&amp;""))="membership"),"",IF(LOWER(TRIM($D288&amp;""))="estimate","N/A",IF(LOWER($L288&amp;"")="yes",0,IF(OR(AND($H288&lt;&gt;"",$H288=0),LEFT(LOWER(TRIM($F288&amp;"")),9)="free game",LOWER(TRIM($F288&amp;""))="free",LOWER(TRIM($F288&amp;""))="free entry"),IF(ISNUMBER($K288),$K288,""),IF($K288&lt;&gt;"",$K288,""))))))</ns0:f>
      </ns0:c>
      <ns0:c r="Q288" s="114">
        <ns0:f>IF(COUNTA($A288:$M288)=0,"",IF(OR($U288="Subscription",$U288=""),"",IF($U288="Estimate","N/A",IF($U288="Profit",ROUND(IFERROR($P288,0)-IFERROR($H288,0),2),0))))</ns0:f>
      </ns0:c>
      <ns0:c r="R288" s="114">
        <ns0:f>IF(COUNTA($A288:$M288)=0,"",IF(OR($U288="Subscription",$U288=""),"",IF($U288="Estimate","N/A",IF($U288="Draw",$H288,0))))</ns0:f>
      </ns0:c>
      <ns0:c r="S288" s="114">
        <ns0:f>IF(COUNTA($A288:$M288)=0,"",IF(OR($U288="Subscription",$U288=""),"",IF($U288="Estimate","N/A",IF($U288="Disqualified",$H288,0))))</ns0:f>
      </ns0:c>
      <ns0:c r="T288" s="955">
        <ns0:f>IF(COUNTA($A288:$M288)=0,"",IF(OR($U288="Subscription",$U288=""),"",IF($U288="Estimate","N/A",IF(OR($U288="Free Game",$U288="Disqualified — Free Game",$H288=0),"N/A",IF($U288="Profit",$Q288/$H288,IF($U288="Disqualified",-$S288/$H288,0))))))</ns0:f>
      </ns0:c>
      <ns0:c r="U288" s="920">
        <ns0:f>IF(COUNTA($A288:$M288)=0,"",IF(OR(LEFT(LOWER(TRIM($F288&amp;"")),12)="subscription",LOWER(TRIM($F288&amp;""))="membership"),"Subscription",IF(LOWER(TRIM($D288&amp;""))="estimate","Estimate",IF(OR(AND($H288&lt;&gt;"",$H288=0),LEFT(LOWER(TRIM($F288&amp;"")),9)="free game",LOWER(TRIM($F288&amp;""))="free",LOWER(TRIM($F288&amp;""))="free entry"),IF(LOWER($L288&amp;"")="yes","Disqualified — Free Game","Free Game"),IF(LOWER($L288&amp;"")="yes","Disqualified",IF($P288="","",IF(ROUND(IFERROR(VALUE($P288),0)-IFERROR(VALUE($H288),0),2)&gt;0,"Profit","Draw")))))))</ns0:f>
      </ns0:c>
      <ns0:c r="V288" s="956" t="str">
        <ns0:f>IF(COUNTA($A288:$M288)=0,"",IF(OR($B288="",$C288="",$U288="Subscription"),"",IFERROR(ROUNDUP(($C288-$B288)/7,0),"")))</ns0:f>
      </ns0:c>
      <ns0:c r="W288" s="114">
        <ns0:f>IF(COUNTA($A288:$M288)=0,"",IF(OR($U288="Subscription",$U288=""),"",IF($U288="Estimate","N/A",IF(OR($U288="Free Game",$U288="Disqualified — Free Game"),0,ROUND(IFERROR($Q288,0)-IFERROR($S288,0),2)))))</ns0:f>
      </ns0:c>
      <ns0:c r="X288" s="956" t="str">
        <ns0:f>IF(COUNTA($A288:$M288)=0,"",IF(OR($U288="Subscription",NOT(ISNUMBER($J288)),NOT(ISNUMBER($I288)),$J288=0,$I288=0,$I288&gt;$J288),"",$J288-$I288))</ns0:f>
      </ns0:c>
      <ns0:c r="Y288" s="955" t="str">
        <ns0:f>IF(COUNTA($A288:$M288)=0,"",IF(OR($U288="Subscription",NOT(ISNUMBER($J288)),$J288=0,$X288=""),"",$X288/$J288))</ns0:f>
      </ns0:c>
      <ns0:c r="Z288" s="957" t="str">
        <ns0:f>IF(COUNTA($A288:$M288)=0,"",Instructions!$B$29+SUM($W$5:W288))</ns0:f>
      </ns0:c>
    </ns0:row>
    <ns0:row r="289" ht="36" customHeight="1">
      <ns0:c r="A289" s="439"/>
      <ns0:c r="B289" s="453"/>
      <ns0:c r="C289" s="453"/>
      <ns0:c r="D289" s="454"/>
      <ns0:c r="E289" s="454"/>
      <ns0:c r="F289" s="454"/>
      <ns0:c r="G289" s="986"/>
      <ns0:c r="H289" s="455"/>
      <ns0:c r="I289" s="456"/>
      <ns0:c r="J289" s="456"/>
      <ns0:c r="K289" s="986"/>
      <ns0:c r="L289" s="454"/>
      <ns0:c r="M289" s="439"/>
      <ns0:c r="N289" s="987" t="str">
        <ns0:f>IF(COUNTA($A289:$M289)=0,"",IF(OR(LEFT(LOWER(TRIM($F289&amp;"")),12)="subscription",LOWER(TRIM($F289&amp;""))="membership"),"",IF(OR(AND($H289&lt;&gt;"",$H289=0),LEFT(LOWER(TRIM($F289&amp;"")),9)="free game",LOWER(TRIM($F289&amp;""))="free",LOWER(TRIM($F289&amp;""))="free entry"),IF(ISNUMBER($G289),IF(ISNUMBER(SEARCH("non",LOWER($E289&amp;""))),$G289*0.85,$G289),"N/A"),IF($G289="","",IFERROR(IF(ISNUMBER(SEARCH("non",LOWER($E289&amp;""))),$G289*0.85,$G289),"")))))</ns0:f>
        <ns0:v/>
      </ns0:c>
      <ns0:c r="O289" s="987" t="str">
        <ns0:f>IF(COUNTA($A289:$M289)=0,"",IF(OR(LEFT(LOWER(TRIM($F289&amp;"")),12)="subscription",LOWER(TRIM($F289&amp;""))="membership"),"",IF(OR(AND($H289&lt;&gt;"",$H289=0),LEFT(LOWER(TRIM($F289&amp;"")),9)="free game",LOWER(TRIM($F289&amp;""))="free",LOWER(TRIM($F289&amp;""))="free entry"),IF(OR(NOT(ISNUMBER($N289)),NOT(ISNUMBER($I289)),$I289=0),"N/A",IFERROR($N289/$I289,"N/A")),IF(OR($N289="",$I289="",$I289=0),"",IFERROR($N289/$I289,"")))))</ns0:f>
        <ns0:v/>
      </ns0:c>
      <ns0:c r="P289" s="987">
        <ns0:f>IF(COUNTA($A289:$M289)=0,"",IF(OR(LEFT(LOWER(TRIM($F289&amp;"")),12)="subscription",LOWER(TRIM($F289&amp;""))="membership"),"",IF(LOWER(TRIM($D289&amp;""))="estimate","N/A",IF(LOWER($L289&amp;"")="yes",0,IF(OR(AND($H289&lt;&gt;"",$H289=0),LEFT(LOWER(TRIM($F289&amp;"")),9)="free game",LOWER(TRIM($F289&amp;""))="free",LOWER(TRIM($F289&amp;""))="free entry"),IF(ISNUMBER($K289),$K289,""),IF($K289&lt;&gt;"",$K289,""))))))</ns0:f>
      </ns0:c>
      <ns0:c r="Q289" s="114">
        <ns0:f>IF(COUNTA($A289:$M289)=0,"",IF(OR($U289="Subscription",$U289=""),"",IF($U289="Estimate","N/A",IF($U289="Profit",ROUND(IFERROR($P289,0)-IFERROR($H289,0),2),0))))</ns0:f>
      </ns0:c>
      <ns0:c r="R289" s="114">
        <ns0:f>IF(COUNTA($A289:$M289)=0,"",IF(OR($U289="Subscription",$U289=""),"",IF($U289="Estimate","N/A",IF($U289="Draw",$H289,0))))</ns0:f>
      </ns0:c>
      <ns0:c r="S289" s="114">
        <ns0:f>IF(COUNTA($A289:$M289)=0,"",IF(OR($U289="Subscription",$U289=""),"",IF($U289="Estimate","N/A",IF($U289="Disqualified",$H289,0))))</ns0:f>
      </ns0:c>
      <ns0:c r="T289" s="955">
        <ns0:f>IF(COUNTA($A289:$M289)=0,"",IF(OR($U289="Subscription",$U289=""),"",IF($U289="Estimate","N/A",IF(OR($U289="Free Game",$U289="Disqualified — Free Game",$H289=0),"N/A",IF($U289="Profit",$Q289/$H289,IF($U289="Disqualified",-$S289/$H289,0))))))</ns0:f>
      </ns0:c>
      <ns0:c r="U289" s="920">
        <ns0:f>IF(COUNTA($A289:$M289)=0,"",IF(OR(LEFT(LOWER(TRIM($F289&amp;"")),12)="subscription",LOWER(TRIM($F289&amp;""))="membership"),"Subscription",IF(LOWER(TRIM($D289&amp;""))="estimate","Estimate",IF(OR(AND($H289&lt;&gt;"",$H289=0),LEFT(LOWER(TRIM($F289&amp;"")),9)="free game",LOWER(TRIM($F289&amp;""))="free",LOWER(TRIM($F289&amp;""))="free entry"),IF(LOWER($L289&amp;"")="yes","Disqualified — Free Game","Free Game"),IF(LOWER($L289&amp;"")="yes","Disqualified",IF($P289="","",IF(ROUND(IFERROR(VALUE($P289),0)-IFERROR(VALUE($H289),0),2)&gt;0,"Profit","Draw")))))))</ns0:f>
      </ns0:c>
      <ns0:c r="V289" s="956" t="str">
        <ns0:f>IF(COUNTA($A289:$M289)=0,"",IF(OR($B289="",$C289="",$U289="Subscription"),"",IFERROR(ROUNDUP(($C289-$B289)/7,0),"")))</ns0:f>
      </ns0:c>
      <ns0:c r="W289" s="114">
        <ns0:f>IF(COUNTA($A289:$M289)=0,"",IF(OR($U289="Subscription",$U289=""),"",IF($U289="Estimate","N/A",IF(OR($U289="Free Game",$U289="Disqualified — Free Game"),0,ROUND(IFERROR($Q289,0)-IFERROR($S289,0),2)))))</ns0:f>
      </ns0:c>
      <ns0:c r="X289" s="956" t="str">
        <ns0:f>IF(COUNTA($A289:$M289)=0,"",IF(OR($U289="Subscription",NOT(ISNUMBER($J289)),NOT(ISNUMBER($I289)),$J289=0,$I289=0,$I289&gt;$J289),"",$J289-$I289))</ns0:f>
      </ns0:c>
      <ns0:c r="Y289" s="955" t="str">
        <ns0:f>IF(COUNTA($A289:$M289)=0,"",IF(OR($U289="Subscription",NOT(ISNUMBER($J289)),$J289=0,$X289=""),"",$X289/$J289))</ns0:f>
      </ns0:c>
      <ns0:c r="Z289" s="957" t="str">
        <ns0:f>IF(COUNTA($A289:$M289)=0,"",Instructions!$B$29+SUM($W$5:W289))</ns0:f>
      </ns0:c>
    </ns0:row>
    <ns0:row r="290" ht="36" customHeight="1">
      <ns0:c r="A290" s="439"/>
      <ns0:c r="B290" s="453"/>
      <ns0:c r="C290" s="453"/>
      <ns0:c r="D290" s="454"/>
      <ns0:c r="E290" s="454"/>
      <ns0:c r="F290" s="454"/>
      <ns0:c r="G290" s="986"/>
      <ns0:c r="H290" s="455"/>
      <ns0:c r="I290" s="456"/>
      <ns0:c r="J290" s="456"/>
      <ns0:c r="K290" s="986"/>
      <ns0:c r="L290" s="454"/>
      <ns0:c r="M290" s="439"/>
      <ns0:c r="N290" s="987" t="str">
        <ns0:f>IF(COUNTA($A290:$M290)=0,"",IF(OR(LEFT(LOWER(TRIM($F290&amp;"")),12)="subscription",LOWER(TRIM($F290&amp;""))="membership"),"",IF(OR(AND($H290&lt;&gt;"",$H290=0),LEFT(LOWER(TRIM($F290&amp;"")),9)="free game",LOWER(TRIM($F290&amp;""))="free",LOWER(TRIM($F290&amp;""))="free entry"),IF(ISNUMBER($G290),IF(ISNUMBER(SEARCH("non",LOWER($E290&amp;""))),$G290*0.85,$G290),"N/A"),IF($G290="","",IFERROR(IF(ISNUMBER(SEARCH("non",LOWER($E290&amp;""))),$G290*0.85,$G290),"")))))</ns0:f>
        <ns0:v/>
      </ns0:c>
      <ns0:c r="O290" s="987" t="str">
        <ns0:f>IF(COUNTA($A290:$M290)=0,"",IF(OR(LEFT(LOWER(TRIM($F290&amp;"")),12)="subscription",LOWER(TRIM($F290&amp;""))="membership"),"",IF(OR(AND($H290&lt;&gt;"",$H290=0),LEFT(LOWER(TRIM($F290&amp;"")),9)="free game",LOWER(TRIM($F290&amp;""))="free",LOWER(TRIM($F290&amp;""))="free entry"),IF(OR(NOT(ISNUMBER($N290)),NOT(ISNUMBER($I290)),$I290=0),"N/A",IFERROR($N290/$I290,"N/A")),IF(OR($N290="",$I290="",$I290=0),"",IFERROR($N290/$I290,"")))))</ns0:f>
        <ns0:v/>
      </ns0:c>
      <ns0:c r="P290" s="987">
        <ns0:f>IF(COUNTA($A290:$M290)=0,"",IF(OR(LEFT(LOWER(TRIM($F290&amp;"")),12)="subscription",LOWER(TRIM($F290&amp;""))="membership"),"",IF(LOWER(TRIM($D290&amp;""))="estimate","N/A",IF(LOWER($L290&amp;"")="yes",0,IF(OR(AND($H290&lt;&gt;"",$H290=0),LEFT(LOWER(TRIM($F290&amp;"")),9)="free game",LOWER(TRIM($F290&amp;""))="free",LOWER(TRIM($F290&amp;""))="free entry"),IF(ISNUMBER($K290),$K290,""),IF($K290&lt;&gt;"",$K290,""))))))</ns0:f>
      </ns0:c>
      <ns0:c r="Q290" s="114">
        <ns0:f>IF(COUNTA($A290:$M290)=0,"",IF(OR($U290="Subscription",$U290=""),"",IF($U290="Estimate","N/A",IF($U290="Profit",ROUND(IFERROR($P290,0)-IFERROR($H290,0),2),0))))</ns0:f>
      </ns0:c>
      <ns0:c r="R290" s="114">
        <ns0:f>IF(COUNTA($A290:$M290)=0,"",IF(OR($U290="Subscription",$U290=""),"",IF($U290="Estimate","N/A",IF($U290="Draw",$H290,0))))</ns0:f>
      </ns0:c>
      <ns0:c r="S290" s="114">
        <ns0:f>IF(COUNTA($A290:$M290)=0,"",IF(OR($U290="Subscription",$U290=""),"",IF($U290="Estimate","N/A",IF($U290="Disqualified",$H290,0))))</ns0:f>
      </ns0:c>
      <ns0:c r="T290" s="955">
        <ns0:f>IF(COUNTA($A290:$M290)=0,"",IF(OR($U290="Subscription",$U290=""),"",IF($U290="Estimate","N/A",IF(OR($U290="Free Game",$U290="Disqualified — Free Game",$H290=0),"N/A",IF($U290="Profit",$Q290/$H290,IF($U290="Disqualified",-$S290/$H290,0))))))</ns0:f>
      </ns0:c>
      <ns0:c r="U290" s="920">
        <ns0:f>IF(COUNTA($A290:$M290)=0,"",IF(OR(LEFT(LOWER(TRIM($F290&amp;"")),12)="subscription",LOWER(TRIM($F290&amp;""))="membership"),"Subscription",IF(LOWER(TRIM($D290&amp;""))="estimate","Estimate",IF(OR(AND($H290&lt;&gt;"",$H290=0),LEFT(LOWER(TRIM($F290&amp;"")),9)="free game",LOWER(TRIM($F290&amp;""))="free",LOWER(TRIM($F290&amp;""))="free entry"),IF(LOWER($L290&amp;"")="yes","Disqualified — Free Game","Free Game"),IF(LOWER($L290&amp;"")="yes","Disqualified",IF($P290="","",IF(ROUND(IFERROR(VALUE($P290),0)-IFERROR(VALUE($H290),0),2)&gt;0,"Profit","Draw")))))))</ns0:f>
      </ns0:c>
      <ns0:c r="V290" s="956" t="str">
        <ns0:f>IF(COUNTA($A290:$M290)=0,"",IF(OR($B290="",$C290="",$U290="Subscription"),"",IFERROR(ROUNDUP(($C290-$B290)/7,0),"")))</ns0:f>
      </ns0:c>
      <ns0:c r="W290" s="114">
        <ns0:f>IF(COUNTA($A290:$M290)=0,"",IF(OR($U290="Subscription",$U290=""),"",IF($U290="Estimate","N/A",IF(OR($U290="Free Game",$U290="Disqualified — Free Game"),0,ROUND(IFERROR($Q290,0)-IFERROR($S290,0),2)))))</ns0:f>
      </ns0:c>
      <ns0:c r="X290" s="956" t="str">
        <ns0:f>IF(COUNTA($A290:$M290)=0,"",IF(OR($U290="Subscription",NOT(ISNUMBER($J290)),NOT(ISNUMBER($I290)),$J290=0,$I290=0,$I290&gt;$J290),"",$J290-$I290))</ns0:f>
      </ns0:c>
      <ns0:c r="Y290" s="955" t="str">
        <ns0:f>IF(COUNTA($A290:$M290)=0,"",IF(OR($U290="Subscription",NOT(ISNUMBER($J290)),$J290=0,$X290=""),"",$X290/$J290))</ns0:f>
      </ns0:c>
      <ns0:c r="Z290" s="957" t="str">
        <ns0:f>IF(COUNTA($A290:$M290)=0,"",Instructions!$B$29+SUM($W$5:W290))</ns0:f>
      </ns0:c>
    </ns0:row>
    <ns0:row r="291" ht="36" customHeight="1">
      <ns0:c r="A291" s="439"/>
      <ns0:c r="B291" s="453"/>
      <ns0:c r="C291" s="453"/>
      <ns0:c r="D291" s="454"/>
      <ns0:c r="E291" s="454"/>
      <ns0:c r="F291" s="454"/>
      <ns0:c r="G291" s="986"/>
      <ns0:c r="H291" s="455"/>
      <ns0:c r="I291" s="456"/>
      <ns0:c r="J291" s="456"/>
      <ns0:c r="K291" s="986"/>
      <ns0:c r="L291" s="454"/>
      <ns0:c r="M291" s="439"/>
      <ns0:c r="N291" s="987" t="str">
        <ns0:f>IF(COUNTA($A291:$M291)=0,"",IF(OR(LEFT(LOWER(TRIM($F291&amp;"")),12)="subscription",LOWER(TRIM($F291&amp;""))="membership"),"",IF(OR(AND($H291&lt;&gt;"",$H291=0),LEFT(LOWER(TRIM($F291&amp;"")),9)="free game",LOWER(TRIM($F291&amp;""))="free",LOWER(TRIM($F291&amp;""))="free entry"),IF(ISNUMBER($G291),IF(ISNUMBER(SEARCH("non",LOWER($E291&amp;""))),$G291*0.85,$G291),"N/A"),IF($G291="","",IFERROR(IF(ISNUMBER(SEARCH("non",LOWER($E291&amp;""))),$G291*0.85,$G291),"")))))</ns0:f>
        <ns0:v/>
      </ns0:c>
      <ns0:c r="O291" s="987" t="str">
        <ns0:f>IF(COUNTA($A291:$M291)=0,"",IF(OR(LEFT(LOWER(TRIM($F291&amp;"")),12)="subscription",LOWER(TRIM($F291&amp;""))="membership"),"",IF(OR(AND($H291&lt;&gt;"",$H291=0),LEFT(LOWER(TRIM($F291&amp;"")),9)="free game",LOWER(TRIM($F291&amp;""))="free",LOWER(TRIM($F291&amp;""))="free entry"),IF(OR(NOT(ISNUMBER($N291)),NOT(ISNUMBER($I291)),$I291=0),"N/A",IFERROR($N291/$I291,"N/A")),IF(OR($N291="",$I291="",$I291=0),"",IFERROR($N291/$I291,"")))))</ns0:f>
        <ns0:v/>
      </ns0:c>
      <ns0:c r="P291" s="987">
        <ns0:f>IF(COUNTA($A291:$M291)=0,"",IF(OR(LEFT(LOWER(TRIM($F291&amp;"")),12)="subscription",LOWER(TRIM($F291&amp;""))="membership"),"",IF(LOWER(TRIM($D291&amp;""))="estimate","N/A",IF(LOWER($L291&amp;"")="yes",0,IF(OR(AND($H291&lt;&gt;"",$H291=0),LEFT(LOWER(TRIM($F291&amp;"")),9)="free game",LOWER(TRIM($F291&amp;""))="free",LOWER(TRIM($F291&amp;""))="free entry"),IF(ISNUMBER($K291),$K291,""),IF($K291&lt;&gt;"",$K291,""))))))</ns0:f>
      </ns0:c>
      <ns0:c r="Q291" s="114">
        <ns0:f>IF(COUNTA($A291:$M291)=0,"",IF(OR($U291="Subscription",$U291=""),"",IF($U291="Estimate","N/A",IF($U291="Profit",ROUND(IFERROR($P291,0)-IFERROR($H291,0),2),0))))</ns0:f>
      </ns0:c>
      <ns0:c r="R291" s="114">
        <ns0:f>IF(COUNTA($A291:$M291)=0,"",IF(OR($U291="Subscription",$U291=""),"",IF($U291="Estimate","N/A",IF($U291="Draw",$H291,0))))</ns0:f>
      </ns0:c>
      <ns0:c r="S291" s="114">
        <ns0:f>IF(COUNTA($A291:$M291)=0,"",IF(OR($U291="Subscription",$U291=""),"",IF($U291="Estimate","N/A",IF($U291="Disqualified",$H291,0))))</ns0:f>
      </ns0:c>
      <ns0:c r="T291" s="955">
        <ns0:f>IF(COUNTA($A291:$M291)=0,"",IF(OR($U291="Subscription",$U291=""),"",IF($U291="Estimate","N/A",IF(OR($U291="Free Game",$U291="Disqualified — Free Game",$H291=0),"N/A",IF($U291="Profit",$Q291/$H291,IF($U291="Disqualified",-$S291/$H291,0))))))</ns0:f>
      </ns0:c>
      <ns0:c r="U291" s="920">
        <ns0:f>IF(COUNTA($A291:$M291)=0,"",IF(OR(LEFT(LOWER(TRIM($F291&amp;"")),12)="subscription",LOWER(TRIM($F291&amp;""))="membership"),"Subscription",IF(LOWER(TRIM($D291&amp;""))="estimate","Estimate",IF(OR(AND($H291&lt;&gt;"",$H291=0),LEFT(LOWER(TRIM($F291&amp;"")),9)="free game",LOWER(TRIM($F291&amp;""))="free",LOWER(TRIM($F291&amp;""))="free entry"),IF(LOWER($L291&amp;"")="yes","Disqualified — Free Game","Free Game"),IF(LOWER($L291&amp;"")="yes","Disqualified",IF($P291="","",IF(ROUND(IFERROR(VALUE($P291),0)-IFERROR(VALUE($H291),0),2)&gt;0,"Profit","Draw")))))))</ns0:f>
      </ns0:c>
      <ns0:c r="V291" s="956" t="str">
        <ns0:f>IF(COUNTA($A291:$M291)=0,"",IF(OR($B291="",$C291="",$U291="Subscription"),"",IFERROR(ROUNDUP(($C291-$B291)/7,0),"")))</ns0:f>
      </ns0:c>
      <ns0:c r="W291" s="114">
        <ns0:f>IF(COUNTA($A291:$M291)=0,"",IF(OR($U291="Subscription",$U291=""),"",IF($U291="Estimate","N/A",IF(OR($U291="Free Game",$U291="Disqualified — Free Game"),0,ROUND(IFERROR($Q291,0)-IFERROR($S291,0),2)))))</ns0:f>
      </ns0:c>
      <ns0:c r="X291" s="956" t="str">
        <ns0:f>IF(COUNTA($A291:$M291)=0,"",IF(OR($U291="Subscription",NOT(ISNUMBER($J291)),NOT(ISNUMBER($I291)),$J291=0,$I291=0,$I291&gt;$J291),"",$J291-$I291))</ns0:f>
      </ns0:c>
      <ns0:c r="Y291" s="955" t="str">
        <ns0:f>IF(COUNTA($A291:$M291)=0,"",IF(OR($U291="Subscription",NOT(ISNUMBER($J291)),$J291=0,$X291=""),"",$X291/$J291))</ns0:f>
      </ns0:c>
      <ns0:c r="Z291" s="957" t="str">
        <ns0:f>IF(COUNTA($A291:$M291)=0,"",Instructions!$B$29+SUM($W$5:W291))</ns0:f>
      </ns0:c>
    </ns0:row>
    <ns0:row r="292" ht="36" customHeight="1">
      <ns0:c r="A292" s="439"/>
      <ns0:c r="B292" s="453"/>
      <ns0:c r="C292" s="453"/>
      <ns0:c r="D292" s="454"/>
      <ns0:c r="E292" s="454"/>
      <ns0:c r="F292" s="454"/>
      <ns0:c r="G292" s="986"/>
      <ns0:c r="H292" s="455"/>
      <ns0:c r="I292" s="456"/>
      <ns0:c r="J292" s="456"/>
      <ns0:c r="K292" s="986"/>
      <ns0:c r="L292" s="454"/>
      <ns0:c r="M292" s="439"/>
      <ns0:c r="N292" s="987" t="str">
        <ns0:f>IF(COUNTA($A292:$M292)=0,"",IF(OR(LEFT(LOWER(TRIM($F292&amp;"")),12)="subscription",LOWER(TRIM($F292&amp;""))="membership"),"",IF(OR(AND($H292&lt;&gt;"",$H292=0),LEFT(LOWER(TRIM($F292&amp;"")),9)="free game",LOWER(TRIM($F292&amp;""))="free",LOWER(TRIM($F292&amp;""))="free entry"),IF(ISNUMBER($G292),IF(ISNUMBER(SEARCH("non",LOWER($E292&amp;""))),$G292*0.85,$G292),"N/A"),IF($G292="","",IFERROR(IF(ISNUMBER(SEARCH("non",LOWER($E292&amp;""))),$G292*0.85,$G292),"")))))</ns0:f>
        <ns0:v/>
      </ns0:c>
      <ns0:c r="O292" s="987" t="str">
        <ns0:f>IF(COUNTA($A292:$M292)=0,"",IF(OR(LEFT(LOWER(TRIM($F292&amp;"")),12)="subscription",LOWER(TRIM($F292&amp;""))="membership"),"",IF(OR(AND($H292&lt;&gt;"",$H292=0),LEFT(LOWER(TRIM($F292&amp;"")),9)="free game",LOWER(TRIM($F292&amp;""))="free",LOWER(TRIM($F292&amp;""))="free entry"),IF(OR(NOT(ISNUMBER($N292)),NOT(ISNUMBER($I292)),$I292=0),"N/A",IFERROR($N292/$I292,"N/A")),IF(OR($N292="",$I292="",$I292=0),"",IFERROR($N292/$I292,"")))))</ns0:f>
        <ns0:v/>
      </ns0:c>
      <ns0:c r="P292" s="987">
        <ns0:f>IF(COUNTA($A292:$M292)=0,"",IF(OR(LEFT(LOWER(TRIM($F292&amp;"")),12)="subscription",LOWER(TRIM($F292&amp;""))="membership"),"",IF(LOWER(TRIM($D292&amp;""))="estimate","N/A",IF(LOWER($L292&amp;"")="yes",0,IF(OR(AND($H292&lt;&gt;"",$H292=0),LEFT(LOWER(TRIM($F292&amp;"")),9)="free game",LOWER(TRIM($F292&amp;""))="free",LOWER(TRIM($F292&amp;""))="free entry"),IF(ISNUMBER($K292),$K292,""),IF($K292&lt;&gt;"",$K292,""))))))</ns0:f>
      </ns0:c>
      <ns0:c r="Q292" s="114">
        <ns0:f>IF(COUNTA($A292:$M292)=0,"",IF(OR($U292="Subscription",$U292=""),"",IF($U292="Estimate","N/A",IF($U292="Profit",ROUND(IFERROR($P292,0)-IFERROR($H292,0),2),0))))</ns0:f>
      </ns0:c>
      <ns0:c r="R292" s="114">
        <ns0:f>IF(COUNTA($A292:$M292)=0,"",IF(OR($U292="Subscription",$U292=""),"",IF($U292="Estimate","N/A",IF($U292="Draw",$H292,0))))</ns0:f>
      </ns0:c>
      <ns0:c r="S292" s="114">
        <ns0:f>IF(COUNTA($A292:$M292)=0,"",IF(OR($U292="Subscription",$U292=""),"",IF($U292="Estimate","N/A",IF($U292="Disqualified",$H292,0))))</ns0:f>
      </ns0:c>
      <ns0:c r="T292" s="955">
        <ns0:f>IF(COUNTA($A292:$M292)=0,"",IF(OR($U292="Subscription",$U292=""),"",IF($U292="Estimate","N/A",IF(OR($U292="Free Game",$U292="Disqualified — Free Game",$H292=0),"N/A",IF($U292="Profit",$Q292/$H292,IF($U292="Disqualified",-$S292/$H292,0))))))</ns0:f>
      </ns0:c>
      <ns0:c r="U292" s="920">
        <ns0:f>IF(COUNTA($A292:$M292)=0,"",IF(OR(LEFT(LOWER(TRIM($F292&amp;"")),12)="subscription",LOWER(TRIM($F292&amp;""))="membership"),"Subscription",IF(LOWER(TRIM($D292&amp;""))="estimate","Estimate",IF(OR(AND($H292&lt;&gt;"",$H292=0),LEFT(LOWER(TRIM($F292&amp;"")),9)="free game",LOWER(TRIM($F292&amp;""))="free",LOWER(TRIM($F292&amp;""))="free entry"),IF(LOWER($L292&amp;"")="yes","Disqualified — Free Game","Free Game"),IF(LOWER($L292&amp;"")="yes","Disqualified",IF($P292="","",IF(ROUND(IFERROR(VALUE($P292),0)-IFERROR(VALUE($H292),0),2)&gt;0,"Profit","Draw")))))))</ns0:f>
      </ns0:c>
      <ns0:c r="V292" s="956" t="str">
        <ns0:f>IF(COUNTA($A292:$M292)=0,"",IF(OR($B292="",$C292="",$U292="Subscription"),"",IFERROR(ROUNDUP(($C292-$B292)/7,0),"")))</ns0:f>
      </ns0:c>
      <ns0:c r="W292" s="114">
        <ns0:f>IF(COUNTA($A292:$M292)=0,"",IF(OR($U292="Subscription",$U292=""),"",IF($U292="Estimate","N/A",IF(OR($U292="Free Game",$U292="Disqualified — Free Game"),0,ROUND(IFERROR($Q292,0)-IFERROR($S292,0),2)))))</ns0:f>
      </ns0:c>
      <ns0:c r="X292" s="956" t="str">
        <ns0:f>IF(COUNTA($A292:$M292)=0,"",IF(OR($U292="Subscription",NOT(ISNUMBER($J292)),NOT(ISNUMBER($I292)),$J292=0,$I292=0,$I292&gt;$J292),"",$J292-$I292))</ns0:f>
      </ns0:c>
      <ns0:c r="Y292" s="955" t="str">
        <ns0:f>IF(COUNTA($A292:$M292)=0,"",IF(OR($U292="Subscription",NOT(ISNUMBER($J292)),$J292=0,$X292=""),"",$X292/$J292))</ns0:f>
      </ns0:c>
      <ns0:c r="Z292" s="957" t="str">
        <ns0:f>IF(COUNTA($A292:$M292)=0,"",Instructions!$B$29+SUM($W$5:W292))</ns0:f>
      </ns0:c>
    </ns0:row>
    <ns0:row r="293" ht="36" customHeight="1">
      <ns0:c r="A293" s="439"/>
      <ns0:c r="B293" s="453"/>
      <ns0:c r="C293" s="453"/>
      <ns0:c r="D293" s="454"/>
      <ns0:c r="E293" s="454"/>
      <ns0:c r="F293" s="454"/>
      <ns0:c r="G293" s="986"/>
      <ns0:c r="H293" s="455"/>
      <ns0:c r="I293" s="456"/>
      <ns0:c r="J293" s="456"/>
      <ns0:c r="K293" s="986"/>
      <ns0:c r="L293" s="454"/>
      <ns0:c r="M293" s="439"/>
      <ns0:c r="N293" s="987" t="str">
        <ns0:f>IF(COUNTA($A293:$M293)=0,"",IF(OR(LEFT(LOWER(TRIM($F293&amp;"")),12)="subscription",LOWER(TRIM($F293&amp;""))="membership"),"",IF(OR(AND($H293&lt;&gt;"",$H293=0),LEFT(LOWER(TRIM($F293&amp;"")),9)="free game",LOWER(TRIM($F293&amp;""))="free",LOWER(TRIM($F293&amp;""))="free entry"),IF(ISNUMBER($G293),IF(ISNUMBER(SEARCH("non",LOWER($E293&amp;""))),$G293*0.85,$G293),"N/A"),IF($G293="","",IFERROR(IF(ISNUMBER(SEARCH("non",LOWER($E293&amp;""))),$G293*0.85,$G293),"")))))</ns0:f>
        <ns0:v/>
      </ns0:c>
      <ns0:c r="O293" s="987" t="str">
        <ns0:f>IF(COUNTA($A293:$M293)=0,"",IF(OR(LEFT(LOWER(TRIM($F293&amp;"")),12)="subscription",LOWER(TRIM($F293&amp;""))="membership"),"",IF(OR(AND($H293&lt;&gt;"",$H293=0),LEFT(LOWER(TRIM($F293&amp;"")),9)="free game",LOWER(TRIM($F293&amp;""))="free",LOWER(TRIM($F293&amp;""))="free entry"),IF(OR(NOT(ISNUMBER($N293)),NOT(ISNUMBER($I293)),$I293=0),"N/A",IFERROR($N293/$I293,"N/A")),IF(OR($N293="",$I293="",$I293=0),"",IFERROR($N293/$I293,"")))))</ns0:f>
        <ns0:v/>
      </ns0:c>
      <ns0:c r="P293" s="987">
        <ns0:f>IF(COUNTA($A293:$M293)=0,"",IF(OR(LEFT(LOWER(TRIM($F293&amp;"")),12)="subscription",LOWER(TRIM($F293&amp;""))="membership"),"",IF(LOWER(TRIM($D293&amp;""))="estimate","N/A",IF(LOWER($L293&amp;"")="yes",0,IF(OR(AND($H293&lt;&gt;"",$H293=0),LEFT(LOWER(TRIM($F293&amp;"")),9)="free game",LOWER(TRIM($F293&amp;""))="free",LOWER(TRIM($F293&amp;""))="free entry"),IF(ISNUMBER($K293),$K293,""),IF($K293&lt;&gt;"",$K293,""))))))</ns0:f>
      </ns0:c>
      <ns0:c r="Q293" s="114">
        <ns0:f>IF(COUNTA($A293:$M293)=0,"",IF(OR($U293="Subscription",$U293=""),"",IF($U293="Estimate","N/A",IF($U293="Profit",ROUND(IFERROR($P293,0)-IFERROR($H293,0),2),0))))</ns0:f>
      </ns0:c>
      <ns0:c r="R293" s="114">
        <ns0:f>IF(COUNTA($A293:$M293)=0,"",IF(OR($U293="Subscription",$U293=""),"",IF($U293="Estimate","N/A",IF($U293="Draw",$H293,0))))</ns0:f>
      </ns0:c>
      <ns0:c r="S293" s="114">
        <ns0:f>IF(COUNTA($A293:$M293)=0,"",IF(OR($U293="Subscription",$U293=""),"",IF($U293="Estimate","N/A",IF($U293="Disqualified",$H293,0))))</ns0:f>
      </ns0:c>
      <ns0:c r="T293" s="955">
        <ns0:f>IF(COUNTA($A293:$M293)=0,"",IF(OR($U293="Subscription",$U293=""),"",IF($U293="Estimate","N/A",IF(OR($U293="Free Game",$U293="Disqualified — Free Game",$H293=0),"N/A",IF($U293="Profit",$Q293/$H293,IF($U293="Disqualified",-$S293/$H293,0))))))</ns0:f>
      </ns0:c>
      <ns0:c r="U293" s="920">
        <ns0:f>IF(COUNTA($A293:$M293)=0,"",IF(OR(LEFT(LOWER(TRIM($F293&amp;"")),12)="subscription",LOWER(TRIM($F293&amp;""))="membership"),"Subscription",IF(LOWER(TRIM($D293&amp;""))="estimate","Estimate",IF(OR(AND($H293&lt;&gt;"",$H293=0),LEFT(LOWER(TRIM($F293&amp;"")),9)="free game",LOWER(TRIM($F293&amp;""))="free",LOWER(TRIM($F293&amp;""))="free entry"),IF(LOWER($L293&amp;"")="yes","Disqualified — Free Game","Free Game"),IF(LOWER($L293&amp;"")="yes","Disqualified",IF($P293="","",IF(ROUND(IFERROR(VALUE($P293),0)-IFERROR(VALUE($H293),0),2)&gt;0,"Profit","Draw")))))))</ns0:f>
      </ns0:c>
      <ns0:c r="V293" s="956" t="str">
        <ns0:f>IF(COUNTA($A293:$M293)=0,"",IF(OR($B293="",$C293="",$U293="Subscription"),"",IFERROR(ROUNDUP(($C293-$B293)/7,0),"")))</ns0:f>
      </ns0:c>
      <ns0:c r="W293" s="114">
        <ns0:f>IF(COUNTA($A293:$M293)=0,"",IF(OR($U293="Subscription",$U293=""),"",IF($U293="Estimate","N/A",IF(OR($U293="Free Game",$U293="Disqualified — Free Game"),0,ROUND(IFERROR($Q293,0)-IFERROR($S293,0),2)))))</ns0:f>
      </ns0:c>
      <ns0:c r="X293" s="956" t="str">
        <ns0:f>IF(COUNTA($A293:$M293)=0,"",IF(OR($U293="Subscription",NOT(ISNUMBER($J293)),NOT(ISNUMBER($I293)),$J293=0,$I293=0,$I293&gt;$J293),"",$J293-$I293))</ns0:f>
      </ns0:c>
      <ns0:c r="Y293" s="955" t="str">
        <ns0:f>IF(COUNTA($A293:$M293)=0,"",IF(OR($U293="Subscription",NOT(ISNUMBER($J293)),$J293=0,$X293=""),"",$X293/$J293))</ns0:f>
      </ns0:c>
      <ns0:c r="Z293" s="957" t="str">
        <ns0:f>IF(COUNTA($A293:$M293)=0,"",Instructions!$B$29+SUM($W$5:W293))</ns0:f>
      </ns0:c>
    </ns0:row>
    <ns0:row r="294" ht="36" customHeight="1">
      <ns0:c r="A294" s="439"/>
      <ns0:c r="B294" s="453"/>
      <ns0:c r="C294" s="453"/>
      <ns0:c r="D294" s="454"/>
      <ns0:c r="E294" s="454"/>
      <ns0:c r="F294" s="454"/>
      <ns0:c r="G294" s="986"/>
      <ns0:c r="H294" s="455"/>
      <ns0:c r="I294" s="456"/>
      <ns0:c r="J294" s="456"/>
      <ns0:c r="K294" s="986"/>
      <ns0:c r="L294" s="454"/>
      <ns0:c r="M294" s="439"/>
      <ns0:c r="N294" s="987" t="str">
        <ns0:f>IF(COUNTA($A294:$M294)=0,"",IF(OR(LEFT(LOWER(TRIM($F294&amp;"")),12)="subscription",LOWER(TRIM($F294&amp;""))="membership"),"",IF(OR(AND($H294&lt;&gt;"",$H294=0),LEFT(LOWER(TRIM($F294&amp;"")),9)="free game",LOWER(TRIM($F294&amp;""))="free",LOWER(TRIM($F294&amp;""))="free entry"),IF(ISNUMBER($G294),IF(ISNUMBER(SEARCH("non",LOWER($E294&amp;""))),$G294*0.85,$G294),"N/A"),IF($G294="","",IFERROR(IF(ISNUMBER(SEARCH("non",LOWER($E294&amp;""))),$G294*0.85,$G294),"")))))</ns0:f>
        <ns0:v/>
      </ns0:c>
      <ns0:c r="O294" s="987" t="str">
        <ns0:f>IF(COUNTA($A294:$M294)=0,"",IF(OR(LEFT(LOWER(TRIM($F294&amp;"")),12)="subscription",LOWER(TRIM($F294&amp;""))="membership"),"",IF(OR(AND($H294&lt;&gt;"",$H294=0),LEFT(LOWER(TRIM($F294&amp;"")),9)="free game",LOWER(TRIM($F294&amp;""))="free",LOWER(TRIM($F294&amp;""))="free entry"),IF(OR(NOT(ISNUMBER($N294)),NOT(ISNUMBER($I294)),$I294=0),"N/A",IFERROR($N294/$I294,"N/A")),IF(OR($N294="",$I294="",$I294=0),"",IFERROR($N294/$I294,"")))))</ns0:f>
        <ns0:v/>
      </ns0:c>
      <ns0:c r="P294" s="987">
        <ns0:f>IF(COUNTA($A294:$M294)=0,"",IF(OR(LEFT(LOWER(TRIM($F294&amp;"")),12)="subscription",LOWER(TRIM($F294&amp;""))="membership"),"",IF(LOWER(TRIM($D294&amp;""))="estimate","N/A",IF(LOWER($L294&amp;"")="yes",0,IF(OR(AND($H294&lt;&gt;"",$H294=0),LEFT(LOWER(TRIM($F294&amp;"")),9)="free game",LOWER(TRIM($F294&amp;""))="free",LOWER(TRIM($F294&amp;""))="free entry"),IF(ISNUMBER($K294),$K294,""),IF($K294&lt;&gt;"",$K294,""))))))</ns0:f>
      </ns0:c>
      <ns0:c r="Q294" s="114">
        <ns0:f>IF(COUNTA($A294:$M294)=0,"",IF(OR($U294="Subscription",$U294=""),"",IF($U294="Estimate","N/A",IF($U294="Profit",ROUND(IFERROR($P294,0)-IFERROR($H294,0),2),0))))</ns0:f>
      </ns0:c>
      <ns0:c r="R294" s="114">
        <ns0:f>IF(COUNTA($A294:$M294)=0,"",IF(OR($U294="Subscription",$U294=""),"",IF($U294="Estimate","N/A",IF($U294="Draw",$H294,0))))</ns0:f>
      </ns0:c>
      <ns0:c r="S294" s="114">
        <ns0:f>IF(COUNTA($A294:$M294)=0,"",IF(OR($U294="Subscription",$U294=""),"",IF($U294="Estimate","N/A",IF($U294="Disqualified",$H294,0))))</ns0:f>
      </ns0:c>
      <ns0:c r="T294" s="955">
        <ns0:f>IF(COUNTA($A294:$M294)=0,"",IF(OR($U294="Subscription",$U294=""),"",IF($U294="Estimate","N/A",IF(OR($U294="Free Game",$U294="Disqualified — Free Game",$H294=0),"N/A",IF($U294="Profit",$Q294/$H294,IF($U294="Disqualified",-$S294/$H294,0))))))</ns0:f>
      </ns0:c>
      <ns0:c r="U294" s="920">
        <ns0:f>IF(COUNTA($A294:$M294)=0,"",IF(OR(LEFT(LOWER(TRIM($F294&amp;"")),12)="subscription",LOWER(TRIM($F294&amp;""))="membership"),"Subscription",IF(LOWER(TRIM($D294&amp;""))="estimate","Estimate",IF(OR(AND($H294&lt;&gt;"",$H294=0),LEFT(LOWER(TRIM($F294&amp;"")),9)="free game",LOWER(TRIM($F294&amp;""))="free",LOWER(TRIM($F294&amp;""))="free entry"),IF(LOWER($L294&amp;"")="yes","Disqualified — Free Game","Free Game"),IF(LOWER($L294&amp;"")="yes","Disqualified",IF($P294="","",IF(ROUND(IFERROR(VALUE($P294),0)-IFERROR(VALUE($H294),0),2)&gt;0,"Profit","Draw")))))))</ns0:f>
      </ns0:c>
      <ns0:c r="V294" s="956" t="str">
        <ns0:f>IF(COUNTA($A294:$M294)=0,"",IF(OR($B294="",$C294="",$U294="Subscription"),"",IFERROR(ROUNDUP(($C294-$B294)/7,0),"")))</ns0:f>
      </ns0:c>
      <ns0:c r="W294" s="114">
        <ns0:f>IF(COUNTA($A294:$M294)=0,"",IF(OR($U294="Subscription",$U294=""),"",IF($U294="Estimate","N/A",IF(OR($U294="Free Game",$U294="Disqualified — Free Game"),0,ROUND(IFERROR($Q294,0)-IFERROR($S294,0),2)))))</ns0:f>
      </ns0:c>
      <ns0:c r="X294" s="956" t="str">
        <ns0:f>IF(COUNTA($A294:$M294)=0,"",IF(OR($U294="Subscription",NOT(ISNUMBER($J294)),NOT(ISNUMBER($I294)),$J294=0,$I294=0,$I294&gt;$J294),"",$J294-$I294))</ns0:f>
      </ns0:c>
      <ns0:c r="Y294" s="955" t="str">
        <ns0:f>IF(COUNTA($A294:$M294)=0,"",IF(OR($U294="Subscription",NOT(ISNUMBER($J294)),$J294=0,$X294=""),"",$X294/$J294))</ns0:f>
      </ns0:c>
      <ns0:c r="Z294" s="957" t="str">
        <ns0:f>IF(COUNTA($A294:$M294)=0,"",Instructions!$B$29+SUM($W$5:W294))</ns0:f>
      </ns0:c>
    </ns0:row>
    <ns0:row r="295" ht="36" customHeight="1">
      <ns0:c r="A295" s="439"/>
      <ns0:c r="B295" s="453"/>
      <ns0:c r="C295" s="453"/>
      <ns0:c r="D295" s="454"/>
      <ns0:c r="E295" s="454"/>
      <ns0:c r="F295" s="454"/>
      <ns0:c r="G295" s="986"/>
      <ns0:c r="H295" s="455"/>
      <ns0:c r="I295" s="456"/>
      <ns0:c r="J295" s="456"/>
      <ns0:c r="K295" s="986"/>
      <ns0:c r="L295" s="454"/>
      <ns0:c r="M295" s="439"/>
      <ns0:c r="N295" s="987" t="str">
        <ns0:f>IF(COUNTA($A295:$M295)=0,"",IF(OR(LEFT(LOWER(TRIM($F295&amp;"")),12)="subscription",LOWER(TRIM($F295&amp;""))="membership"),"",IF(OR(AND($H295&lt;&gt;"",$H295=0),LEFT(LOWER(TRIM($F295&amp;"")),9)="free game",LOWER(TRIM($F295&amp;""))="free",LOWER(TRIM($F295&amp;""))="free entry"),IF(ISNUMBER($G295),IF(ISNUMBER(SEARCH("non",LOWER($E295&amp;""))),$G295*0.85,$G295),"N/A"),IF($G295="","",IFERROR(IF(ISNUMBER(SEARCH("non",LOWER($E295&amp;""))),$G295*0.85,$G295),"")))))</ns0:f>
        <ns0:v/>
      </ns0:c>
      <ns0:c r="O295" s="987" t="str">
        <ns0:f>IF(COUNTA($A295:$M295)=0,"",IF(OR(LEFT(LOWER(TRIM($F295&amp;"")),12)="subscription",LOWER(TRIM($F295&amp;""))="membership"),"",IF(OR(AND($H295&lt;&gt;"",$H295=0),LEFT(LOWER(TRIM($F295&amp;"")),9)="free game",LOWER(TRIM($F295&amp;""))="free",LOWER(TRIM($F295&amp;""))="free entry"),IF(OR(NOT(ISNUMBER($N295)),NOT(ISNUMBER($I295)),$I295=0),"N/A",IFERROR($N295/$I295,"N/A")),IF(OR($N295="",$I295="",$I295=0),"",IFERROR($N295/$I295,"")))))</ns0:f>
        <ns0:v/>
      </ns0:c>
      <ns0:c r="P295" s="987">
        <ns0:f>IF(COUNTA($A295:$M295)=0,"",IF(OR(LEFT(LOWER(TRIM($F295&amp;"")),12)="subscription",LOWER(TRIM($F295&amp;""))="membership"),"",IF(LOWER(TRIM($D295&amp;""))="estimate","N/A",IF(LOWER($L295&amp;"")="yes",0,IF(OR(AND($H295&lt;&gt;"",$H295=0),LEFT(LOWER(TRIM($F295&amp;"")),9)="free game",LOWER(TRIM($F295&amp;""))="free",LOWER(TRIM($F295&amp;""))="free entry"),IF(ISNUMBER($K295),$K295,""),IF($K295&lt;&gt;"",$K295,""))))))</ns0:f>
      </ns0:c>
      <ns0:c r="Q295" s="114">
        <ns0:f>IF(COUNTA($A295:$M295)=0,"",IF(OR($U295="Subscription",$U295=""),"",IF($U295="Estimate","N/A",IF($U295="Profit",ROUND(IFERROR($P295,0)-IFERROR($H295,0),2),0))))</ns0:f>
      </ns0:c>
      <ns0:c r="R295" s="114">
        <ns0:f>IF(COUNTA($A295:$M295)=0,"",IF(OR($U295="Subscription",$U295=""),"",IF($U295="Estimate","N/A",IF($U295="Draw",$H295,0))))</ns0:f>
      </ns0:c>
      <ns0:c r="S295" s="114">
        <ns0:f>IF(COUNTA($A295:$M295)=0,"",IF(OR($U295="Subscription",$U295=""),"",IF($U295="Estimate","N/A",IF($U295="Disqualified",$H295,0))))</ns0:f>
      </ns0:c>
      <ns0:c r="T295" s="955">
        <ns0:f>IF(COUNTA($A295:$M295)=0,"",IF(OR($U295="Subscription",$U295=""),"",IF($U295="Estimate","N/A",IF(OR($U295="Free Game",$U295="Disqualified — Free Game",$H295=0),"N/A",IF($U295="Profit",$Q295/$H295,IF($U295="Disqualified",-$S295/$H295,0))))))</ns0:f>
      </ns0:c>
      <ns0:c r="U295" s="920">
        <ns0:f>IF(COUNTA($A295:$M295)=0,"",IF(OR(LEFT(LOWER(TRIM($F295&amp;"")),12)="subscription",LOWER(TRIM($F295&amp;""))="membership"),"Subscription",IF(LOWER(TRIM($D295&amp;""))="estimate","Estimate",IF(OR(AND($H295&lt;&gt;"",$H295=0),LEFT(LOWER(TRIM($F295&amp;"")),9)="free game",LOWER(TRIM($F295&amp;""))="free",LOWER(TRIM($F295&amp;""))="free entry"),IF(LOWER($L295&amp;"")="yes","Disqualified — Free Game","Free Game"),IF(LOWER($L295&amp;"")="yes","Disqualified",IF($P295="","",IF(ROUND(IFERROR(VALUE($P295),0)-IFERROR(VALUE($H295),0),2)&gt;0,"Profit","Draw")))))))</ns0:f>
      </ns0:c>
      <ns0:c r="V295" s="956" t="str">
        <ns0:f>IF(COUNTA($A295:$M295)=0,"",IF(OR($B295="",$C295="",$U295="Subscription"),"",IFERROR(ROUNDUP(($C295-$B295)/7,0),"")))</ns0:f>
      </ns0:c>
      <ns0:c r="W295" s="114">
        <ns0:f>IF(COUNTA($A295:$M295)=0,"",IF(OR($U295="Subscription",$U295=""),"",IF($U295="Estimate","N/A",IF(OR($U295="Free Game",$U295="Disqualified — Free Game"),0,ROUND(IFERROR($Q295,0)-IFERROR($S295,0),2)))))</ns0:f>
      </ns0:c>
      <ns0:c r="X295" s="956" t="str">
        <ns0:f>IF(COUNTA($A295:$M295)=0,"",IF(OR($U295="Subscription",NOT(ISNUMBER($J295)),NOT(ISNUMBER($I295)),$J295=0,$I295=0,$I295&gt;$J295),"",$J295-$I295))</ns0:f>
      </ns0:c>
      <ns0:c r="Y295" s="955" t="str">
        <ns0:f>IF(COUNTA($A295:$M295)=0,"",IF(OR($U295="Subscription",NOT(ISNUMBER($J295)),$J295=0,$X295=""),"",$X295/$J295))</ns0:f>
      </ns0:c>
      <ns0:c r="Z295" s="957" t="str">
        <ns0:f>IF(COUNTA($A295:$M295)=0,"",Instructions!$B$29+SUM($W$5:W295))</ns0:f>
      </ns0:c>
    </ns0:row>
    <ns0:row r="296" ht="36" customHeight="1">
      <ns0:c r="A296" s="439"/>
      <ns0:c r="B296" s="453"/>
      <ns0:c r="C296" s="453"/>
      <ns0:c r="D296" s="454"/>
      <ns0:c r="E296" s="454"/>
      <ns0:c r="F296" s="454"/>
      <ns0:c r="G296" s="986"/>
      <ns0:c r="H296" s="455"/>
      <ns0:c r="I296" s="456"/>
      <ns0:c r="J296" s="456"/>
      <ns0:c r="K296" s="986"/>
      <ns0:c r="L296" s="454"/>
      <ns0:c r="M296" s="439"/>
      <ns0:c r="N296" s="987" t="str">
        <ns0:f>IF(COUNTA($A296:$M296)=0,"",IF(OR(LEFT(LOWER(TRIM($F296&amp;"")),12)="subscription",LOWER(TRIM($F296&amp;""))="membership"),"",IF(OR(AND($H296&lt;&gt;"",$H296=0),LEFT(LOWER(TRIM($F296&amp;"")),9)="free game",LOWER(TRIM($F296&amp;""))="free",LOWER(TRIM($F296&amp;""))="free entry"),IF(ISNUMBER($G296),IF(ISNUMBER(SEARCH("non",LOWER($E296&amp;""))),$G296*0.85,$G296),"N/A"),IF($G296="","",IFERROR(IF(ISNUMBER(SEARCH("non",LOWER($E296&amp;""))),$G296*0.85,$G296),"")))))</ns0:f>
        <ns0:v/>
      </ns0:c>
      <ns0:c r="O296" s="987" t="str">
        <ns0:f>IF(COUNTA($A296:$M296)=0,"",IF(OR(LEFT(LOWER(TRIM($F296&amp;"")),12)="subscription",LOWER(TRIM($F296&amp;""))="membership"),"",IF(OR(AND($H296&lt;&gt;"",$H296=0),LEFT(LOWER(TRIM($F296&amp;"")),9)="free game",LOWER(TRIM($F296&amp;""))="free",LOWER(TRIM($F296&amp;""))="free entry"),IF(OR(NOT(ISNUMBER($N296)),NOT(ISNUMBER($I296)),$I296=0),"N/A",IFERROR($N296/$I296,"N/A")),IF(OR($N296="",$I296="",$I296=0),"",IFERROR($N296/$I296,"")))))</ns0:f>
        <ns0:v/>
      </ns0:c>
      <ns0:c r="P296" s="987">
        <ns0:f>IF(COUNTA($A296:$M296)=0,"",IF(OR(LEFT(LOWER(TRIM($F296&amp;"")),12)="subscription",LOWER(TRIM($F296&amp;""))="membership"),"",IF(LOWER(TRIM($D296&amp;""))="estimate","N/A",IF(LOWER($L296&amp;"")="yes",0,IF(OR(AND($H296&lt;&gt;"",$H296=0),LEFT(LOWER(TRIM($F296&amp;"")),9)="free game",LOWER(TRIM($F296&amp;""))="free",LOWER(TRIM($F296&amp;""))="free entry"),IF(ISNUMBER($K296),$K296,""),IF($K296&lt;&gt;"",$K296,""))))))</ns0:f>
      </ns0:c>
      <ns0:c r="Q296" s="114">
        <ns0:f>IF(COUNTA($A296:$M296)=0,"",IF(OR($U296="Subscription",$U296=""),"",IF($U296="Estimate","N/A",IF($U296="Profit",ROUND(IFERROR($P296,0)-IFERROR($H296,0),2),0))))</ns0:f>
      </ns0:c>
      <ns0:c r="R296" s="114">
        <ns0:f>IF(COUNTA($A296:$M296)=0,"",IF(OR($U296="Subscription",$U296=""),"",IF($U296="Estimate","N/A",IF($U296="Draw",$H296,0))))</ns0:f>
      </ns0:c>
      <ns0:c r="S296" s="114">
        <ns0:f>IF(COUNTA($A296:$M296)=0,"",IF(OR($U296="Subscription",$U296=""),"",IF($U296="Estimate","N/A",IF($U296="Disqualified",$H296,0))))</ns0:f>
      </ns0:c>
      <ns0:c r="T296" s="955">
        <ns0:f>IF(COUNTA($A296:$M296)=0,"",IF(OR($U296="Subscription",$U296=""),"",IF($U296="Estimate","N/A",IF(OR($U296="Free Game",$U296="Disqualified — Free Game",$H296=0),"N/A",IF($U296="Profit",$Q296/$H296,IF($U296="Disqualified",-$S296/$H296,0))))))</ns0:f>
      </ns0:c>
      <ns0:c r="U296" s="920">
        <ns0:f>IF(COUNTA($A296:$M296)=0,"",IF(OR(LEFT(LOWER(TRIM($F296&amp;"")),12)="subscription",LOWER(TRIM($F296&amp;""))="membership"),"Subscription",IF(LOWER(TRIM($D296&amp;""))="estimate","Estimate",IF(OR(AND($H296&lt;&gt;"",$H296=0),LEFT(LOWER(TRIM($F296&amp;"")),9)="free game",LOWER(TRIM($F296&amp;""))="free",LOWER(TRIM($F296&amp;""))="free entry"),IF(LOWER($L296&amp;"")="yes","Disqualified — Free Game","Free Game"),IF(LOWER($L296&amp;"")="yes","Disqualified",IF($P296="","",IF(ROUND(IFERROR(VALUE($P296),0)-IFERROR(VALUE($H296),0),2)&gt;0,"Profit","Draw")))))))</ns0:f>
      </ns0:c>
      <ns0:c r="V296" s="956" t="str">
        <ns0:f>IF(COUNTA($A296:$M296)=0,"",IF(OR($B296="",$C296="",$U296="Subscription"),"",IFERROR(ROUNDUP(($C296-$B296)/7,0),"")))</ns0:f>
      </ns0:c>
      <ns0:c r="W296" s="114">
        <ns0:f>IF(COUNTA($A296:$M296)=0,"",IF(OR($U296="Subscription",$U296=""),"",IF($U296="Estimate","N/A",IF(OR($U296="Free Game",$U296="Disqualified — Free Game"),0,ROUND(IFERROR($Q296,0)-IFERROR($S296,0),2)))))</ns0:f>
      </ns0:c>
      <ns0:c r="X296" s="956" t="str">
        <ns0:f>IF(COUNTA($A296:$M296)=0,"",IF(OR($U296="Subscription",NOT(ISNUMBER($J296)),NOT(ISNUMBER($I296)),$J296=0,$I296=0,$I296&gt;$J296),"",$J296-$I296))</ns0:f>
      </ns0:c>
      <ns0:c r="Y296" s="955" t="str">
        <ns0:f>IF(COUNTA($A296:$M296)=0,"",IF(OR($U296="Subscription",NOT(ISNUMBER($J296)),$J296=0,$X296=""),"",$X296/$J296))</ns0:f>
      </ns0:c>
      <ns0:c r="Z296" s="957" t="str">
        <ns0:f>IF(COUNTA($A296:$M296)=0,"",Instructions!$B$29+SUM($W$5:W296))</ns0:f>
      </ns0:c>
    </ns0:row>
    <ns0:row r="297" ht="36" customHeight="1">
      <ns0:c r="A297" s="439"/>
      <ns0:c r="B297" s="453"/>
      <ns0:c r="C297" s="453"/>
      <ns0:c r="D297" s="454"/>
      <ns0:c r="E297" s="454"/>
      <ns0:c r="F297" s="454"/>
      <ns0:c r="G297" s="986"/>
      <ns0:c r="H297" s="455"/>
      <ns0:c r="I297" s="456"/>
      <ns0:c r="J297" s="456"/>
      <ns0:c r="K297" s="986"/>
      <ns0:c r="L297" s="454"/>
      <ns0:c r="M297" s="439"/>
      <ns0:c r="N297" s="987" t="str">
        <ns0:f>IF(COUNTA($A297:$M297)=0,"",IF(OR(LEFT(LOWER(TRIM($F297&amp;"")),12)="subscription",LOWER(TRIM($F297&amp;""))="membership"),"",IF(OR(AND($H297&lt;&gt;"",$H297=0),LEFT(LOWER(TRIM($F297&amp;"")),9)="free game",LOWER(TRIM($F297&amp;""))="free",LOWER(TRIM($F297&amp;""))="free entry"),IF(ISNUMBER($G297),IF(ISNUMBER(SEARCH("non",LOWER($E297&amp;""))),$G297*0.85,$G297),"N/A"),IF($G297="","",IFERROR(IF(ISNUMBER(SEARCH("non",LOWER($E297&amp;""))),$G297*0.85,$G297),"")))))</ns0:f>
        <ns0:v/>
      </ns0:c>
      <ns0:c r="O297" s="987" t="str">
        <ns0:f>IF(COUNTA($A297:$M297)=0,"",IF(OR(LEFT(LOWER(TRIM($F297&amp;"")),12)="subscription",LOWER(TRIM($F297&amp;""))="membership"),"",IF(OR(AND($H297&lt;&gt;"",$H297=0),LEFT(LOWER(TRIM($F297&amp;"")),9)="free game",LOWER(TRIM($F297&amp;""))="free",LOWER(TRIM($F297&amp;""))="free entry"),IF(OR(NOT(ISNUMBER($N297)),NOT(ISNUMBER($I297)),$I297=0),"N/A",IFERROR($N297/$I297,"N/A")),IF(OR($N297="",$I297="",$I297=0),"",IFERROR($N297/$I297,"")))))</ns0:f>
        <ns0:v/>
      </ns0:c>
      <ns0:c r="P297" s="987">
        <ns0:f>IF(COUNTA($A297:$M297)=0,"",IF(OR(LEFT(LOWER(TRIM($F297&amp;"")),12)="subscription",LOWER(TRIM($F297&amp;""))="membership"),"",IF(LOWER(TRIM($D297&amp;""))="estimate","N/A",IF(LOWER($L297&amp;"")="yes",0,IF(OR(AND($H297&lt;&gt;"",$H297=0),LEFT(LOWER(TRIM($F297&amp;"")),9)="free game",LOWER(TRIM($F297&amp;""))="free",LOWER(TRIM($F297&amp;""))="free entry"),IF(ISNUMBER($K297),$K297,""),IF($K297&lt;&gt;"",$K297,""))))))</ns0:f>
      </ns0:c>
      <ns0:c r="Q297" s="114">
        <ns0:f>IF(COUNTA($A297:$M297)=0,"",IF(OR($U297="Subscription",$U297=""),"",IF($U297="Estimate","N/A",IF($U297="Profit",ROUND(IFERROR($P297,0)-IFERROR($H297,0),2),0))))</ns0:f>
      </ns0:c>
      <ns0:c r="R297" s="114">
        <ns0:f>IF(COUNTA($A297:$M297)=0,"",IF(OR($U297="Subscription",$U297=""),"",IF($U297="Estimate","N/A",IF($U297="Draw",$H297,0))))</ns0:f>
      </ns0:c>
      <ns0:c r="S297" s="114">
        <ns0:f>IF(COUNTA($A297:$M297)=0,"",IF(OR($U297="Subscription",$U297=""),"",IF($U297="Estimate","N/A",IF($U297="Disqualified",$H297,0))))</ns0:f>
      </ns0:c>
      <ns0:c r="T297" s="955">
        <ns0:f>IF(COUNTA($A297:$M297)=0,"",IF(OR($U297="Subscription",$U297=""),"",IF($U297="Estimate","N/A",IF(OR($U297="Free Game",$U297="Disqualified — Free Game",$H297=0),"N/A",IF($U297="Profit",$Q297/$H297,IF($U297="Disqualified",-$S297/$H297,0))))))</ns0:f>
      </ns0:c>
      <ns0:c r="U297" s="920">
        <ns0:f>IF(COUNTA($A297:$M297)=0,"",IF(OR(LEFT(LOWER(TRIM($F297&amp;"")),12)="subscription",LOWER(TRIM($F297&amp;""))="membership"),"Subscription",IF(LOWER(TRIM($D297&amp;""))="estimate","Estimate",IF(OR(AND($H297&lt;&gt;"",$H297=0),LEFT(LOWER(TRIM($F297&amp;"")),9)="free game",LOWER(TRIM($F297&amp;""))="free",LOWER(TRIM($F297&amp;""))="free entry"),IF(LOWER($L297&amp;"")="yes","Disqualified — Free Game","Free Game"),IF(LOWER($L297&amp;"")="yes","Disqualified",IF($P297="","",IF(ROUND(IFERROR(VALUE($P297),0)-IFERROR(VALUE($H297),0),2)&gt;0,"Profit","Draw")))))))</ns0:f>
      </ns0:c>
      <ns0:c r="V297" s="956" t="str">
        <ns0:f>IF(COUNTA($A297:$M297)=0,"",IF(OR($B297="",$C297="",$U297="Subscription"),"",IFERROR(ROUNDUP(($C297-$B297)/7,0),"")))</ns0:f>
      </ns0:c>
      <ns0:c r="W297" s="114">
        <ns0:f>IF(COUNTA($A297:$M297)=0,"",IF(OR($U297="Subscription",$U297=""),"",IF($U297="Estimate","N/A",IF(OR($U297="Free Game",$U297="Disqualified — Free Game"),0,ROUND(IFERROR($Q297,0)-IFERROR($S297,0),2)))))</ns0:f>
      </ns0:c>
      <ns0:c r="X297" s="956" t="str">
        <ns0:f>IF(COUNTA($A297:$M297)=0,"",IF(OR($U297="Subscription",NOT(ISNUMBER($J297)),NOT(ISNUMBER($I297)),$J297=0,$I297=0,$I297&gt;$J297),"",$J297-$I297))</ns0:f>
      </ns0:c>
      <ns0:c r="Y297" s="955" t="str">
        <ns0:f>IF(COUNTA($A297:$M297)=0,"",IF(OR($U297="Subscription",NOT(ISNUMBER($J297)),$J297=0,$X297=""),"",$X297/$J297))</ns0:f>
      </ns0:c>
      <ns0:c r="Z297" s="957" t="str">
        <ns0:f>IF(COUNTA($A297:$M297)=0,"",Instructions!$B$29+SUM($W$5:W297))</ns0:f>
      </ns0:c>
    </ns0:row>
    <ns0:row r="298" ht="36" customHeight="1">
      <ns0:c r="A298" s="439"/>
      <ns0:c r="B298" s="453"/>
      <ns0:c r="C298" s="453"/>
      <ns0:c r="D298" s="454"/>
      <ns0:c r="E298" s="454"/>
      <ns0:c r="F298" s="454"/>
      <ns0:c r="G298" s="986"/>
      <ns0:c r="H298" s="455"/>
      <ns0:c r="I298" s="456"/>
      <ns0:c r="J298" s="456"/>
      <ns0:c r="K298" s="986"/>
      <ns0:c r="L298" s="454"/>
      <ns0:c r="M298" s="439"/>
      <ns0:c r="N298" s="987" t="str">
        <ns0:f>IF(COUNTA($A298:$M298)=0,"",IF(OR(LEFT(LOWER(TRIM($F298&amp;"")),12)="subscription",LOWER(TRIM($F298&amp;""))="membership"),"",IF(OR(AND($H298&lt;&gt;"",$H298=0),LEFT(LOWER(TRIM($F298&amp;"")),9)="free game",LOWER(TRIM($F298&amp;""))="free",LOWER(TRIM($F298&amp;""))="free entry"),IF(ISNUMBER($G298),IF(ISNUMBER(SEARCH("non",LOWER($E298&amp;""))),$G298*0.85,$G298),"N/A"),IF($G298="","",IFERROR(IF(ISNUMBER(SEARCH("non",LOWER($E298&amp;""))),$G298*0.85,$G298),"")))))</ns0:f>
        <ns0:v/>
      </ns0:c>
      <ns0:c r="O298" s="987" t="str">
        <ns0:f>IF(COUNTA($A298:$M298)=0,"",IF(OR(LEFT(LOWER(TRIM($F298&amp;"")),12)="subscription",LOWER(TRIM($F298&amp;""))="membership"),"",IF(OR(AND($H298&lt;&gt;"",$H298=0),LEFT(LOWER(TRIM($F298&amp;"")),9)="free game",LOWER(TRIM($F298&amp;""))="free",LOWER(TRIM($F298&amp;""))="free entry"),IF(OR(NOT(ISNUMBER($N298)),NOT(ISNUMBER($I298)),$I298=0),"N/A",IFERROR($N298/$I298,"N/A")),IF(OR($N298="",$I298="",$I298=0),"",IFERROR($N298/$I298,"")))))</ns0:f>
        <ns0:v/>
      </ns0:c>
      <ns0:c r="P298" s="987">
        <ns0:f>IF(COUNTA($A298:$M298)=0,"",IF(OR(LEFT(LOWER(TRIM($F298&amp;"")),12)="subscription",LOWER(TRIM($F298&amp;""))="membership"),"",IF(LOWER(TRIM($D298&amp;""))="estimate","N/A",IF(LOWER($L298&amp;"")="yes",0,IF(OR(AND($H298&lt;&gt;"",$H298=0),LEFT(LOWER(TRIM($F298&amp;"")),9)="free game",LOWER(TRIM($F298&amp;""))="free",LOWER(TRIM($F298&amp;""))="free entry"),IF(ISNUMBER($K298),$K298,""),IF($K298&lt;&gt;"",$K298,""))))))</ns0:f>
      </ns0:c>
      <ns0:c r="Q298" s="114">
        <ns0:f>IF(COUNTA($A298:$M298)=0,"",IF(OR($U298="Subscription",$U298=""),"",IF($U298="Estimate","N/A",IF($U298="Profit",ROUND(IFERROR($P298,0)-IFERROR($H298,0),2),0))))</ns0:f>
      </ns0:c>
      <ns0:c r="R298" s="114">
        <ns0:f>IF(COUNTA($A298:$M298)=0,"",IF(OR($U298="Subscription",$U298=""),"",IF($U298="Estimate","N/A",IF($U298="Draw",$H298,0))))</ns0:f>
      </ns0:c>
      <ns0:c r="S298" s="114">
        <ns0:f>IF(COUNTA($A298:$M298)=0,"",IF(OR($U298="Subscription",$U298=""),"",IF($U298="Estimate","N/A",IF($U298="Disqualified",$H298,0))))</ns0:f>
      </ns0:c>
      <ns0:c r="T298" s="955">
        <ns0:f>IF(COUNTA($A298:$M298)=0,"",IF(OR($U298="Subscription",$U298=""),"",IF($U298="Estimate","N/A",IF(OR($U298="Free Game",$U298="Disqualified — Free Game",$H298=0),"N/A",IF($U298="Profit",$Q298/$H298,IF($U298="Disqualified",-$S298/$H298,0))))))</ns0:f>
      </ns0:c>
      <ns0:c r="U298" s="920">
        <ns0:f>IF(COUNTA($A298:$M298)=0,"",IF(OR(LEFT(LOWER(TRIM($F298&amp;"")),12)="subscription",LOWER(TRIM($F298&amp;""))="membership"),"Subscription",IF(LOWER(TRIM($D298&amp;""))="estimate","Estimate",IF(OR(AND($H298&lt;&gt;"",$H298=0),LEFT(LOWER(TRIM($F298&amp;"")),9)="free game",LOWER(TRIM($F298&amp;""))="free",LOWER(TRIM($F298&amp;""))="free entry"),IF(LOWER($L298&amp;"")="yes","Disqualified — Free Game","Free Game"),IF(LOWER($L298&amp;"")="yes","Disqualified",IF($P298="","",IF(ROUND(IFERROR(VALUE($P298),0)-IFERROR(VALUE($H298),0),2)&gt;0,"Profit","Draw")))))))</ns0:f>
      </ns0:c>
      <ns0:c r="V298" s="956" t="str">
        <ns0:f>IF(COUNTA($A298:$M298)=0,"",IF(OR($B298="",$C298="",$U298="Subscription"),"",IFERROR(ROUNDUP(($C298-$B298)/7,0),"")))</ns0:f>
      </ns0:c>
      <ns0:c r="W298" s="114">
        <ns0:f>IF(COUNTA($A298:$M298)=0,"",IF(OR($U298="Subscription",$U298=""),"",IF($U298="Estimate","N/A",IF(OR($U298="Free Game",$U298="Disqualified — Free Game"),0,ROUND(IFERROR($Q298,0)-IFERROR($S298,0),2)))))</ns0:f>
      </ns0:c>
      <ns0:c r="X298" s="956" t="str">
        <ns0:f>IF(COUNTA($A298:$M298)=0,"",IF(OR($U298="Subscription",NOT(ISNUMBER($J298)),NOT(ISNUMBER($I298)),$J298=0,$I298=0,$I298&gt;$J298),"",$J298-$I298))</ns0:f>
      </ns0:c>
      <ns0:c r="Y298" s="955" t="str">
        <ns0:f>IF(COUNTA($A298:$M298)=0,"",IF(OR($U298="Subscription",NOT(ISNUMBER($J298)),$J298=0,$X298=""),"",$X298/$J298))</ns0:f>
      </ns0:c>
      <ns0:c r="Z298" s="957" t="str">
        <ns0:f>IF(COUNTA($A298:$M298)=0,"",Instructions!$B$29+SUM($W$5:W298))</ns0:f>
      </ns0:c>
    </ns0:row>
    <ns0:row r="299" ht="36" customHeight="1">
      <ns0:c r="A299" s="439"/>
      <ns0:c r="B299" s="453"/>
      <ns0:c r="C299" s="453"/>
      <ns0:c r="D299" s="454"/>
      <ns0:c r="E299" s="454"/>
      <ns0:c r="F299" s="454"/>
      <ns0:c r="G299" s="986"/>
      <ns0:c r="H299" s="455"/>
      <ns0:c r="I299" s="456"/>
      <ns0:c r="J299" s="456"/>
      <ns0:c r="K299" s="986"/>
      <ns0:c r="L299" s="454"/>
      <ns0:c r="M299" s="439"/>
      <ns0:c r="N299" s="987" t="str">
        <ns0:f>IF(COUNTA($A299:$M299)=0,"",IF(OR(LEFT(LOWER(TRIM($F299&amp;"")),12)="subscription",LOWER(TRIM($F299&amp;""))="membership"),"",IF(OR(AND($H299&lt;&gt;"",$H299=0),LEFT(LOWER(TRIM($F299&amp;"")),9)="free game",LOWER(TRIM($F299&amp;""))="free",LOWER(TRIM($F299&amp;""))="free entry"),IF(ISNUMBER($G299),IF(ISNUMBER(SEARCH("non",LOWER($E299&amp;""))),$G299*0.85,$G299),"N/A"),IF($G299="","",IFERROR(IF(ISNUMBER(SEARCH("non",LOWER($E299&amp;""))),$G299*0.85,$G299),"")))))</ns0:f>
        <ns0:v/>
      </ns0:c>
      <ns0:c r="O299" s="987" t="str">
        <ns0:f>IF(COUNTA($A299:$M299)=0,"",IF(OR(LEFT(LOWER(TRIM($F299&amp;"")),12)="subscription",LOWER(TRIM($F299&amp;""))="membership"),"",IF(OR(AND($H299&lt;&gt;"",$H299=0),LEFT(LOWER(TRIM($F299&amp;"")),9)="free game",LOWER(TRIM($F299&amp;""))="free",LOWER(TRIM($F299&amp;""))="free entry"),IF(OR(NOT(ISNUMBER($N299)),NOT(ISNUMBER($I299)),$I299=0),"N/A",IFERROR($N299/$I299,"N/A")),IF(OR($N299="",$I299="",$I299=0),"",IFERROR($N299/$I299,"")))))</ns0:f>
        <ns0:v/>
      </ns0:c>
      <ns0:c r="P299" s="987">
        <ns0:f>IF(COUNTA($A299:$M299)=0,"",IF(OR(LEFT(LOWER(TRIM($F299&amp;"")),12)="subscription",LOWER(TRIM($F299&amp;""))="membership"),"",IF(LOWER(TRIM($D299&amp;""))="estimate","N/A",IF(LOWER($L299&amp;"")="yes",0,IF(OR(AND($H299&lt;&gt;"",$H299=0),LEFT(LOWER(TRIM($F299&amp;"")),9)="free game",LOWER(TRIM($F299&amp;""))="free",LOWER(TRIM($F299&amp;""))="free entry"),IF(ISNUMBER($K299),$K299,""),IF($K299&lt;&gt;"",$K299,""))))))</ns0:f>
      </ns0:c>
      <ns0:c r="Q299" s="114">
        <ns0:f>IF(COUNTA($A299:$M299)=0,"",IF(OR($U299="Subscription",$U299=""),"",IF($U299="Estimate","N/A",IF($U299="Profit",ROUND(IFERROR($P299,0)-IFERROR($H299,0),2),0))))</ns0:f>
      </ns0:c>
      <ns0:c r="R299" s="114">
        <ns0:f>IF(COUNTA($A299:$M299)=0,"",IF(OR($U299="Subscription",$U299=""),"",IF($U299="Estimate","N/A",IF($U299="Draw",$H299,0))))</ns0:f>
      </ns0:c>
      <ns0:c r="S299" s="114">
        <ns0:f>IF(COUNTA($A299:$M299)=0,"",IF(OR($U299="Subscription",$U299=""),"",IF($U299="Estimate","N/A",IF($U299="Disqualified",$H299,0))))</ns0:f>
      </ns0:c>
      <ns0:c r="T299" s="955">
        <ns0:f>IF(COUNTA($A299:$M299)=0,"",IF(OR($U299="Subscription",$U299=""),"",IF($U299="Estimate","N/A",IF(OR($U299="Free Game",$U299="Disqualified — Free Game",$H299=0),"N/A",IF($U299="Profit",$Q299/$H299,IF($U299="Disqualified",-$S299/$H299,0))))))</ns0:f>
      </ns0:c>
      <ns0:c r="U299" s="920">
        <ns0:f>IF(COUNTA($A299:$M299)=0,"",IF(OR(LEFT(LOWER(TRIM($F299&amp;"")),12)="subscription",LOWER(TRIM($F299&amp;""))="membership"),"Subscription",IF(LOWER(TRIM($D299&amp;""))="estimate","Estimate",IF(OR(AND($H299&lt;&gt;"",$H299=0),LEFT(LOWER(TRIM($F299&amp;"")),9)="free game",LOWER(TRIM($F299&amp;""))="free",LOWER(TRIM($F299&amp;""))="free entry"),IF(LOWER($L299&amp;"")="yes","Disqualified — Free Game","Free Game"),IF(LOWER($L299&amp;"")="yes","Disqualified",IF($P299="","",IF(ROUND(IFERROR(VALUE($P299),0)-IFERROR(VALUE($H299),0),2)&gt;0,"Profit","Draw")))))))</ns0:f>
      </ns0:c>
      <ns0:c r="V299" s="956" t="str">
        <ns0:f>IF(COUNTA($A299:$M299)=0,"",IF(OR($B299="",$C299="",$U299="Subscription"),"",IFERROR(ROUNDUP(($C299-$B299)/7,0),"")))</ns0:f>
      </ns0:c>
      <ns0:c r="W299" s="114">
        <ns0:f>IF(COUNTA($A299:$M299)=0,"",IF(OR($U299="Subscription",$U299=""),"",IF($U299="Estimate","N/A",IF(OR($U299="Free Game",$U299="Disqualified — Free Game"),0,ROUND(IFERROR($Q299,0)-IFERROR($S299,0),2)))))</ns0:f>
      </ns0:c>
      <ns0:c r="X299" s="956" t="str">
        <ns0:f>IF(COUNTA($A299:$M299)=0,"",IF(OR($U299="Subscription",NOT(ISNUMBER($J299)),NOT(ISNUMBER($I299)),$J299=0,$I299=0,$I299&gt;$J299),"",$J299-$I299))</ns0:f>
      </ns0:c>
      <ns0:c r="Y299" s="955" t="str">
        <ns0:f>IF(COUNTA($A299:$M299)=0,"",IF(OR($U299="Subscription",NOT(ISNUMBER($J299)),$J299=0,$X299=""),"",$X299/$J299))</ns0:f>
      </ns0:c>
      <ns0:c r="Z299" s="957" t="str">
        <ns0:f>IF(COUNTA($A299:$M299)=0,"",Instructions!$B$29+SUM($W$5:W299))</ns0:f>
      </ns0:c>
    </ns0:row>
    <ns0:row r="300" ht="36" customHeight="1">
      <ns0:c r="A300" s="439"/>
      <ns0:c r="B300" s="453"/>
      <ns0:c r="C300" s="453"/>
      <ns0:c r="D300" s="454"/>
      <ns0:c r="E300" s="454"/>
      <ns0:c r="F300" s="454"/>
      <ns0:c r="G300" s="986"/>
      <ns0:c r="H300" s="455"/>
      <ns0:c r="I300" s="456"/>
      <ns0:c r="J300" s="456"/>
      <ns0:c r="K300" s="986"/>
      <ns0:c r="L300" s="454"/>
      <ns0:c r="M300" s="439"/>
      <ns0:c r="N300" s="987" t="str">
        <ns0:f>IF(COUNTA($A300:$M300)=0,"",IF(OR(LEFT(LOWER(TRIM($F300&amp;"")),12)="subscription",LOWER(TRIM($F300&amp;""))="membership"),"",IF(OR(AND($H300&lt;&gt;"",$H300=0),LEFT(LOWER(TRIM($F300&amp;"")),9)="free game",LOWER(TRIM($F300&amp;""))="free",LOWER(TRIM($F300&amp;""))="free entry"),IF(ISNUMBER($G300),IF(ISNUMBER(SEARCH("non",LOWER($E300&amp;""))),$G300*0.85,$G300),"N/A"),IF($G300="","",IFERROR(IF(ISNUMBER(SEARCH("non",LOWER($E300&amp;""))),$G300*0.85,$G300),"")))))</ns0:f>
        <ns0:v/>
      </ns0:c>
      <ns0:c r="O300" s="987" t="str">
        <ns0:f>IF(COUNTA($A300:$M300)=0,"",IF(OR(LEFT(LOWER(TRIM($F300&amp;"")),12)="subscription",LOWER(TRIM($F300&amp;""))="membership"),"",IF(OR(AND($H300&lt;&gt;"",$H300=0),LEFT(LOWER(TRIM($F300&amp;"")),9)="free game",LOWER(TRIM($F300&amp;""))="free",LOWER(TRIM($F300&amp;""))="free entry"),IF(OR(NOT(ISNUMBER($N300)),NOT(ISNUMBER($I300)),$I300=0),"N/A",IFERROR($N300/$I300,"N/A")),IF(OR($N300="",$I300="",$I300=0),"",IFERROR($N300/$I300,"")))))</ns0:f>
        <ns0:v/>
      </ns0:c>
      <ns0:c r="P300" s="987">
        <ns0:f>IF(COUNTA($A300:$M300)=0,"",IF(OR(LEFT(LOWER(TRIM($F300&amp;"")),12)="subscription",LOWER(TRIM($F300&amp;""))="membership"),"",IF(LOWER(TRIM($D300&amp;""))="estimate","N/A",IF(LOWER($L300&amp;"")="yes",0,IF(OR(AND($H300&lt;&gt;"",$H300=0),LEFT(LOWER(TRIM($F300&amp;"")),9)="free game",LOWER(TRIM($F300&amp;""))="free",LOWER(TRIM($F300&amp;""))="free entry"),IF(ISNUMBER($K300),$K300,""),IF($K300&lt;&gt;"",$K300,""))))))</ns0:f>
      </ns0:c>
      <ns0:c r="Q300" s="114">
        <ns0:f>IF(COUNTA($A300:$M300)=0,"",IF(OR($U300="Subscription",$U300=""),"",IF($U300="Estimate","N/A",IF($U300="Profit",ROUND(IFERROR($P300,0)-IFERROR($H300,0),2),0))))</ns0:f>
      </ns0:c>
      <ns0:c r="R300" s="114">
        <ns0:f>IF(COUNTA($A300:$M300)=0,"",IF(OR($U300="Subscription",$U300=""),"",IF($U300="Estimate","N/A",IF($U300="Draw",$H300,0))))</ns0:f>
      </ns0:c>
      <ns0:c r="S300" s="114">
        <ns0:f>IF(COUNTA($A300:$M300)=0,"",IF(OR($U300="Subscription",$U300=""),"",IF($U300="Estimate","N/A",IF($U300="Disqualified",$H300,0))))</ns0:f>
      </ns0:c>
      <ns0:c r="T300" s="955">
        <ns0:f>IF(COUNTA($A300:$M300)=0,"",IF(OR($U300="Subscription",$U300=""),"",IF($U300="Estimate","N/A",IF(OR($U300="Free Game",$U300="Disqualified — Free Game",$H300=0),"N/A",IF($U300="Profit",$Q300/$H300,IF($U300="Disqualified",-$S300/$H300,0))))))</ns0:f>
      </ns0:c>
      <ns0:c r="U300" s="920">
        <ns0:f>IF(COUNTA($A300:$M300)=0,"",IF(OR(LEFT(LOWER(TRIM($F300&amp;"")),12)="subscription",LOWER(TRIM($F300&amp;""))="membership"),"Subscription",IF(LOWER(TRIM($D300&amp;""))="estimate","Estimate",IF(OR(AND($H300&lt;&gt;"",$H300=0),LEFT(LOWER(TRIM($F300&amp;"")),9)="free game",LOWER(TRIM($F300&amp;""))="free",LOWER(TRIM($F300&amp;""))="free entry"),IF(LOWER($L300&amp;"")="yes","Disqualified — Free Game","Free Game"),IF(LOWER($L300&amp;"")="yes","Disqualified",IF($P300="","",IF(ROUND(IFERROR(VALUE($P300),0)-IFERROR(VALUE($H300),0),2)&gt;0,"Profit","Draw")))))))</ns0:f>
      </ns0:c>
      <ns0:c r="V300" s="956" t="str">
        <ns0:f>IF(COUNTA($A300:$M300)=0,"",IF(OR($B300="",$C300="",$U300="Subscription"),"",IFERROR(ROUNDUP(($C300-$B300)/7,0),"")))</ns0:f>
      </ns0:c>
      <ns0:c r="W300" s="114">
        <ns0:f>IF(COUNTA($A300:$M300)=0,"",IF(OR($U300="Subscription",$U300=""),"",IF($U300="Estimate","N/A",IF(OR($U300="Free Game",$U300="Disqualified — Free Game"),0,ROUND(IFERROR($Q300,0)-IFERROR($S300,0),2)))))</ns0:f>
      </ns0:c>
      <ns0:c r="X300" s="956" t="str">
        <ns0:f>IF(COUNTA($A300:$M300)=0,"",IF(OR($U300="Subscription",NOT(ISNUMBER($J300)),NOT(ISNUMBER($I300)),$J300=0,$I300=0,$I300&gt;$J300),"",$J300-$I300))</ns0:f>
      </ns0:c>
      <ns0:c r="Y300" s="955" t="str">
        <ns0:f>IF(COUNTA($A300:$M300)=0,"",IF(OR($U300="Subscription",NOT(ISNUMBER($J300)),$J300=0,$X300=""),"",$X300/$J300))</ns0:f>
      </ns0:c>
      <ns0:c r="Z300" s="957" t="str">
        <ns0:f>IF(COUNTA($A300:$M300)=0,"",Instructions!$B$29+SUM($W$5:W300))</ns0:f>
      </ns0:c>
    </ns0:row>
    <ns0:row r="301" ht="36" customHeight="1">
      <ns0:c r="A301" s="439"/>
      <ns0:c r="B301" s="453"/>
      <ns0:c r="C301" s="453"/>
      <ns0:c r="D301" s="454"/>
      <ns0:c r="E301" s="454"/>
      <ns0:c r="F301" s="454"/>
      <ns0:c r="G301" s="986"/>
      <ns0:c r="H301" s="455"/>
      <ns0:c r="I301" s="456"/>
      <ns0:c r="J301" s="456"/>
      <ns0:c r="K301" s="986"/>
      <ns0:c r="L301" s="454"/>
      <ns0:c r="M301" s="439"/>
      <ns0:c r="N301" s="987" t="str">
        <ns0:f>IF(COUNTA($A301:$M301)=0,"",IF(OR(LEFT(LOWER(TRIM($F301&amp;"")),12)="subscription",LOWER(TRIM($F301&amp;""))="membership"),"",IF(OR(AND($H301&lt;&gt;"",$H301=0),LEFT(LOWER(TRIM($F301&amp;"")),9)="free game",LOWER(TRIM($F301&amp;""))="free",LOWER(TRIM($F301&amp;""))="free entry"),IF(ISNUMBER($G301),IF(ISNUMBER(SEARCH("non",LOWER($E301&amp;""))),$G301*0.85,$G301),"N/A"),IF($G301="","",IFERROR(IF(ISNUMBER(SEARCH("non",LOWER($E301&amp;""))),$G301*0.85,$G301),"")))))</ns0:f>
        <ns0:v/>
      </ns0:c>
      <ns0:c r="O301" s="987" t="str">
        <ns0:f>IF(COUNTA($A301:$M301)=0,"",IF(OR(LEFT(LOWER(TRIM($F301&amp;"")),12)="subscription",LOWER(TRIM($F301&amp;""))="membership"),"",IF(OR(AND($H301&lt;&gt;"",$H301=0),LEFT(LOWER(TRIM($F301&amp;"")),9)="free game",LOWER(TRIM($F301&amp;""))="free",LOWER(TRIM($F301&amp;""))="free entry"),IF(OR(NOT(ISNUMBER($N301)),NOT(ISNUMBER($I301)),$I301=0),"N/A",IFERROR($N301/$I301,"N/A")),IF(OR($N301="",$I301="",$I301=0),"",IFERROR($N301/$I301,"")))))</ns0:f>
        <ns0:v/>
      </ns0:c>
      <ns0:c r="P301" s="987">
        <ns0:f>IF(COUNTA($A301:$M301)=0,"",IF(OR(LEFT(LOWER(TRIM($F301&amp;"")),12)="subscription",LOWER(TRIM($F301&amp;""))="membership"),"",IF(LOWER(TRIM($D301&amp;""))="estimate","N/A",IF(LOWER($L301&amp;"")="yes",0,IF(OR(AND($H301&lt;&gt;"",$H301=0),LEFT(LOWER(TRIM($F301&amp;"")),9)="free game",LOWER(TRIM($F301&amp;""))="free",LOWER(TRIM($F301&amp;""))="free entry"),IF(ISNUMBER($K301),$K301,""),IF($K301&lt;&gt;"",$K301,""))))))</ns0:f>
      </ns0:c>
      <ns0:c r="Q301" s="114">
        <ns0:f>IF(COUNTA($A301:$M301)=0,"",IF(OR($U301="Subscription",$U301=""),"",IF($U301="Estimate","N/A",IF($U301="Profit",ROUND(IFERROR($P301,0)-IFERROR($H301,0),2),0))))</ns0:f>
      </ns0:c>
      <ns0:c r="R301" s="114">
        <ns0:f>IF(COUNTA($A301:$M301)=0,"",IF(OR($U301="Subscription",$U301=""),"",IF($U301="Estimate","N/A",IF($U301="Draw",$H301,0))))</ns0:f>
      </ns0:c>
      <ns0:c r="S301" s="114">
        <ns0:f>IF(COUNTA($A301:$M301)=0,"",IF(OR($U301="Subscription",$U301=""),"",IF($U301="Estimate","N/A",IF($U301="Disqualified",$H301,0))))</ns0:f>
      </ns0:c>
      <ns0:c r="T301" s="955">
        <ns0:f>IF(COUNTA($A301:$M301)=0,"",IF(OR($U301="Subscription",$U301=""),"",IF($U301="Estimate","N/A",IF(OR($U301="Free Game",$U301="Disqualified — Free Game",$H301=0),"N/A",IF($U301="Profit",$Q301/$H301,IF($U301="Disqualified",-$S301/$H301,0))))))</ns0:f>
      </ns0:c>
      <ns0:c r="U301" s="920">
        <ns0:f>IF(COUNTA($A301:$M301)=0,"",IF(OR(LEFT(LOWER(TRIM($F301&amp;"")),12)="subscription",LOWER(TRIM($F301&amp;""))="membership"),"Subscription",IF(LOWER(TRIM($D301&amp;""))="estimate","Estimate",IF(OR(AND($H301&lt;&gt;"",$H301=0),LEFT(LOWER(TRIM($F301&amp;"")),9)="free game",LOWER(TRIM($F301&amp;""))="free",LOWER(TRIM($F301&amp;""))="free entry"),IF(LOWER($L301&amp;"")="yes","Disqualified — Free Game","Free Game"),IF(LOWER($L301&amp;"")="yes","Disqualified",IF($P301="","",IF(ROUND(IFERROR(VALUE($P301),0)-IFERROR(VALUE($H301),0),2)&gt;0,"Profit","Draw")))))))</ns0:f>
      </ns0:c>
      <ns0:c r="V301" s="956" t="str">
        <ns0:f>IF(COUNTA($A301:$M301)=0,"",IF(OR($B301="",$C301="",$U301="Subscription"),"",IFERROR(ROUNDUP(($C301-$B301)/7,0),"")))</ns0:f>
      </ns0:c>
      <ns0:c r="W301" s="114">
        <ns0:f>IF(COUNTA($A301:$M301)=0,"",IF(OR($U301="Subscription",$U301=""),"",IF($U301="Estimate","N/A",IF(OR($U301="Free Game",$U301="Disqualified — Free Game"),0,ROUND(IFERROR($Q301,0)-IFERROR($S301,0),2)))))</ns0:f>
      </ns0:c>
      <ns0:c r="X301" s="956" t="str">
        <ns0:f>IF(COUNTA($A301:$M301)=0,"",IF(OR($U301="Subscription",NOT(ISNUMBER($J301)),NOT(ISNUMBER($I301)),$J301=0,$I301=0,$I301&gt;$J301),"",$J301-$I301))</ns0:f>
      </ns0:c>
      <ns0:c r="Y301" s="955" t="str">
        <ns0:f>IF(COUNTA($A301:$M301)=0,"",IF(OR($U301="Subscription",NOT(ISNUMBER($J301)),$J301=0,$X301=""),"",$X301/$J301))</ns0:f>
      </ns0:c>
      <ns0:c r="Z301" s="957" t="str">
        <ns0:f>IF(COUNTA($A301:$M301)=0,"",Instructions!$B$29+SUM($W$5:W301))</ns0:f>
      </ns0:c>
    </ns0:row>
    <ns0:row r="302" ht="36" customHeight="1">
      <ns0:c r="A302" s="439"/>
      <ns0:c r="B302" s="453"/>
      <ns0:c r="C302" s="453"/>
      <ns0:c r="D302" s="454"/>
      <ns0:c r="E302" s="454"/>
      <ns0:c r="F302" s="454"/>
      <ns0:c r="G302" s="986"/>
      <ns0:c r="H302" s="455"/>
      <ns0:c r="I302" s="456"/>
      <ns0:c r="J302" s="456"/>
      <ns0:c r="K302" s="986"/>
      <ns0:c r="L302" s="454"/>
      <ns0:c r="M302" s="439"/>
      <ns0:c r="N302" s="987" t="str">
        <ns0:f>IF(COUNTA($A302:$M302)=0,"",IF(OR(LEFT(LOWER(TRIM($F302&amp;"")),12)="subscription",LOWER(TRIM($F302&amp;""))="membership"),"",IF(OR(AND($H302&lt;&gt;"",$H302=0),LEFT(LOWER(TRIM($F302&amp;"")),9)="free game",LOWER(TRIM($F302&amp;""))="free",LOWER(TRIM($F302&amp;""))="free entry"),IF(ISNUMBER($G302),IF(ISNUMBER(SEARCH("non",LOWER($E302&amp;""))),$G302*0.85,$G302),"N/A"),IF($G302="","",IFERROR(IF(ISNUMBER(SEARCH("non",LOWER($E302&amp;""))),$G302*0.85,$G302),"")))))</ns0:f>
        <ns0:v/>
      </ns0:c>
      <ns0:c r="O302" s="987" t="str">
        <ns0:f>IF(COUNTA($A302:$M302)=0,"",IF(OR(LEFT(LOWER(TRIM($F302&amp;"")),12)="subscription",LOWER(TRIM($F302&amp;""))="membership"),"",IF(OR(AND($H302&lt;&gt;"",$H302=0),LEFT(LOWER(TRIM($F302&amp;"")),9)="free game",LOWER(TRIM($F302&amp;""))="free",LOWER(TRIM($F302&amp;""))="free entry"),IF(OR(NOT(ISNUMBER($N302)),NOT(ISNUMBER($I302)),$I302=0),"N/A",IFERROR($N302/$I302,"N/A")),IF(OR($N302="",$I302="",$I302=0),"",IFERROR($N302/$I302,"")))))</ns0:f>
        <ns0:v/>
      </ns0:c>
      <ns0:c r="P302" s="987">
        <ns0:f>IF(COUNTA($A302:$M302)=0,"",IF(OR(LEFT(LOWER(TRIM($F302&amp;"")),12)="subscription",LOWER(TRIM($F302&amp;""))="membership"),"",IF(LOWER(TRIM($D302&amp;""))="estimate","N/A",IF(LOWER($L302&amp;"")="yes",0,IF(OR(AND($H302&lt;&gt;"",$H302=0),LEFT(LOWER(TRIM($F302&amp;"")),9)="free game",LOWER(TRIM($F302&amp;""))="free",LOWER(TRIM($F302&amp;""))="free entry"),IF(ISNUMBER($K302),$K302,""),IF($K302&lt;&gt;"",$K302,""))))))</ns0:f>
      </ns0:c>
      <ns0:c r="Q302" s="114">
        <ns0:f>IF(COUNTA($A302:$M302)=0,"",IF(OR($U302="Subscription",$U302=""),"",IF($U302="Estimate","N/A",IF($U302="Profit",ROUND(IFERROR($P302,0)-IFERROR($H302,0),2),0))))</ns0:f>
      </ns0:c>
      <ns0:c r="R302" s="114">
        <ns0:f>IF(COUNTA($A302:$M302)=0,"",IF(OR($U302="Subscription",$U302=""),"",IF($U302="Estimate","N/A",IF($U302="Draw",$H302,0))))</ns0:f>
      </ns0:c>
      <ns0:c r="S302" s="114">
        <ns0:f>IF(COUNTA($A302:$M302)=0,"",IF(OR($U302="Subscription",$U302=""),"",IF($U302="Estimate","N/A",IF($U302="Disqualified",$H302,0))))</ns0:f>
      </ns0:c>
      <ns0:c r="T302" s="955">
        <ns0:f>IF(COUNTA($A302:$M302)=0,"",IF(OR($U302="Subscription",$U302=""),"",IF($U302="Estimate","N/A",IF(OR($U302="Free Game",$U302="Disqualified — Free Game",$H302=0),"N/A",IF($U302="Profit",$Q302/$H302,IF($U302="Disqualified",-$S302/$H302,0))))))</ns0:f>
      </ns0:c>
      <ns0:c r="U302" s="920">
        <ns0:f>IF(COUNTA($A302:$M302)=0,"",IF(OR(LEFT(LOWER(TRIM($F302&amp;"")),12)="subscription",LOWER(TRIM($F302&amp;""))="membership"),"Subscription",IF(LOWER(TRIM($D302&amp;""))="estimate","Estimate",IF(OR(AND($H302&lt;&gt;"",$H302=0),LEFT(LOWER(TRIM($F302&amp;"")),9)="free game",LOWER(TRIM($F302&amp;""))="free",LOWER(TRIM($F302&amp;""))="free entry"),IF(LOWER($L302&amp;"")="yes","Disqualified — Free Game","Free Game"),IF(LOWER($L302&amp;"")="yes","Disqualified",IF($P302="","",IF(ROUND(IFERROR(VALUE($P302),0)-IFERROR(VALUE($H302),0),2)&gt;0,"Profit","Draw")))))))</ns0:f>
      </ns0:c>
      <ns0:c r="V302" s="956" t="str">
        <ns0:f>IF(COUNTA($A302:$M302)=0,"",IF(OR($B302="",$C302="",$U302="Subscription"),"",IFERROR(ROUNDUP(($C302-$B302)/7,0),"")))</ns0:f>
      </ns0:c>
      <ns0:c r="W302" s="114">
        <ns0:f>IF(COUNTA($A302:$M302)=0,"",IF(OR($U302="Subscription",$U302=""),"",IF($U302="Estimate","N/A",IF(OR($U302="Free Game",$U302="Disqualified — Free Game"),0,ROUND(IFERROR($Q302,0)-IFERROR($S302,0),2)))))</ns0:f>
      </ns0:c>
      <ns0:c r="X302" s="956" t="str">
        <ns0:f>IF(COUNTA($A302:$M302)=0,"",IF(OR($U302="Subscription",NOT(ISNUMBER($J302)),NOT(ISNUMBER($I302)),$J302=0,$I302=0,$I302&gt;$J302),"",$J302-$I302))</ns0:f>
      </ns0:c>
      <ns0:c r="Y302" s="955" t="str">
        <ns0:f>IF(COUNTA($A302:$M302)=0,"",IF(OR($U302="Subscription",NOT(ISNUMBER($J302)),$J302=0,$X302=""),"",$X302/$J302))</ns0:f>
      </ns0:c>
      <ns0:c r="Z302" s="957" t="str">
        <ns0:f>IF(COUNTA($A302:$M302)=0,"",Instructions!$B$29+SUM($W$5:W302))</ns0:f>
      </ns0:c>
    </ns0:row>
    <ns0:row r="303" ht="36" customHeight="1">
      <ns0:c r="A303" s="439"/>
      <ns0:c r="B303" s="453"/>
      <ns0:c r="C303" s="453"/>
      <ns0:c r="D303" s="454"/>
      <ns0:c r="E303" s="454"/>
      <ns0:c r="F303" s="454"/>
      <ns0:c r="G303" s="986"/>
      <ns0:c r="H303" s="455"/>
      <ns0:c r="I303" s="456"/>
      <ns0:c r="J303" s="456"/>
      <ns0:c r="K303" s="986"/>
      <ns0:c r="L303" s="454"/>
      <ns0:c r="M303" s="439"/>
      <ns0:c r="N303" s="987" t="str">
        <ns0:f>IF(COUNTA($A303:$M303)=0,"",IF(OR(LEFT(LOWER(TRIM($F303&amp;"")),12)="subscription",LOWER(TRIM($F303&amp;""))="membership"),"",IF(OR(AND($H303&lt;&gt;"",$H303=0),LEFT(LOWER(TRIM($F303&amp;"")),9)="free game",LOWER(TRIM($F303&amp;""))="free",LOWER(TRIM($F303&amp;""))="free entry"),IF(ISNUMBER($G303),IF(ISNUMBER(SEARCH("non",LOWER($E303&amp;""))),$G303*0.85,$G303),"N/A"),IF($G303="","",IFERROR(IF(ISNUMBER(SEARCH("non",LOWER($E303&amp;""))),$G303*0.85,$G303),"")))))</ns0:f>
        <ns0:v/>
      </ns0:c>
      <ns0:c r="O303" s="987" t="str">
        <ns0:f>IF(COUNTA($A303:$M303)=0,"",IF(OR(LEFT(LOWER(TRIM($F303&amp;"")),12)="subscription",LOWER(TRIM($F303&amp;""))="membership"),"",IF(OR(AND($H303&lt;&gt;"",$H303=0),LEFT(LOWER(TRIM($F303&amp;"")),9)="free game",LOWER(TRIM($F303&amp;""))="free",LOWER(TRIM($F303&amp;""))="free entry"),IF(OR(NOT(ISNUMBER($N303)),NOT(ISNUMBER($I303)),$I303=0),"N/A",IFERROR($N303/$I303,"N/A")),IF(OR($N303="",$I303="",$I303=0),"",IFERROR($N303/$I303,"")))))</ns0:f>
        <ns0:v/>
      </ns0:c>
      <ns0:c r="P303" s="987">
        <ns0:f>IF(COUNTA($A303:$M303)=0,"",IF(OR(LEFT(LOWER(TRIM($F303&amp;"")),12)="subscription",LOWER(TRIM($F303&amp;""))="membership"),"",IF(LOWER(TRIM($D303&amp;""))="estimate","N/A",IF(LOWER($L303&amp;"")="yes",0,IF(OR(AND($H303&lt;&gt;"",$H303=0),LEFT(LOWER(TRIM($F303&amp;"")),9)="free game",LOWER(TRIM($F303&amp;""))="free",LOWER(TRIM($F303&amp;""))="free entry"),IF(ISNUMBER($K303),$K303,""),IF($K303&lt;&gt;"",$K303,""))))))</ns0:f>
      </ns0:c>
      <ns0:c r="Q303" s="114">
        <ns0:f>IF(COUNTA($A303:$M303)=0,"",IF(OR($U303="Subscription",$U303=""),"",IF($U303="Estimate","N/A",IF($U303="Profit",ROUND(IFERROR($P303,0)-IFERROR($H303,0),2),0))))</ns0:f>
      </ns0:c>
      <ns0:c r="R303" s="114">
        <ns0:f>IF(COUNTA($A303:$M303)=0,"",IF(OR($U303="Subscription",$U303=""),"",IF($U303="Estimate","N/A",IF($U303="Draw",$H303,0))))</ns0:f>
      </ns0:c>
      <ns0:c r="S303" s="114">
        <ns0:f>IF(COUNTA($A303:$M303)=0,"",IF(OR($U303="Subscription",$U303=""),"",IF($U303="Estimate","N/A",IF($U303="Disqualified",$H303,0))))</ns0:f>
      </ns0:c>
      <ns0:c r="T303" s="955">
        <ns0:f>IF(COUNTA($A303:$M303)=0,"",IF(OR($U303="Subscription",$U303=""),"",IF($U303="Estimate","N/A",IF(OR($U303="Free Game",$U303="Disqualified — Free Game",$H303=0),"N/A",IF($U303="Profit",$Q303/$H303,IF($U303="Disqualified",-$S303/$H303,0))))))</ns0:f>
      </ns0:c>
      <ns0:c r="U303" s="920">
        <ns0:f>IF(COUNTA($A303:$M303)=0,"",IF(OR(LEFT(LOWER(TRIM($F303&amp;"")),12)="subscription",LOWER(TRIM($F303&amp;""))="membership"),"Subscription",IF(LOWER(TRIM($D303&amp;""))="estimate","Estimate",IF(OR(AND($H303&lt;&gt;"",$H303=0),LEFT(LOWER(TRIM($F303&amp;"")),9)="free game",LOWER(TRIM($F303&amp;""))="free",LOWER(TRIM($F303&amp;""))="free entry"),IF(LOWER($L303&amp;"")="yes","Disqualified — Free Game","Free Game"),IF(LOWER($L303&amp;"")="yes","Disqualified",IF($P303="","",IF(ROUND(IFERROR(VALUE($P303),0)-IFERROR(VALUE($H303),0),2)&gt;0,"Profit","Draw")))))))</ns0:f>
      </ns0:c>
      <ns0:c r="V303" s="956" t="str">
        <ns0:f>IF(COUNTA($A303:$M303)=0,"",IF(OR($B303="",$C303="",$U303="Subscription"),"",IFERROR(ROUNDUP(($C303-$B303)/7,0),"")))</ns0:f>
      </ns0:c>
      <ns0:c r="W303" s="114">
        <ns0:f>IF(COUNTA($A303:$M303)=0,"",IF(OR($U303="Subscription",$U303=""),"",IF($U303="Estimate","N/A",IF(OR($U303="Free Game",$U303="Disqualified — Free Game"),0,ROUND(IFERROR($Q303,0)-IFERROR($S303,0),2)))))</ns0:f>
      </ns0:c>
      <ns0:c r="X303" s="956" t="str">
        <ns0:f>IF(COUNTA($A303:$M303)=0,"",IF(OR($U303="Subscription",NOT(ISNUMBER($J303)),NOT(ISNUMBER($I303)),$J303=0,$I303=0,$I303&gt;$J303),"",$J303-$I303))</ns0:f>
      </ns0:c>
      <ns0:c r="Y303" s="955" t="str">
        <ns0:f>IF(COUNTA($A303:$M303)=0,"",IF(OR($U303="Subscription",NOT(ISNUMBER($J303)),$J303=0,$X303=""),"",$X303/$J303))</ns0:f>
      </ns0:c>
      <ns0:c r="Z303" s="957" t="str">
        <ns0:f>IF(COUNTA($A303:$M303)=0,"",Instructions!$B$29+SUM($W$5:W303))</ns0:f>
      </ns0:c>
    </ns0:row>
    <ns0:row r="304" ht="36" customHeight="1">
      <ns0:c r="A304" s="439"/>
      <ns0:c r="B304" s="453"/>
      <ns0:c r="C304" s="453"/>
      <ns0:c r="D304" s="454"/>
      <ns0:c r="E304" s="454"/>
      <ns0:c r="F304" s="454"/>
      <ns0:c r="G304" s="986"/>
      <ns0:c r="H304" s="455"/>
      <ns0:c r="I304" s="456"/>
      <ns0:c r="J304" s="456"/>
      <ns0:c r="K304" s="986"/>
      <ns0:c r="L304" s="454"/>
      <ns0:c r="M304" s="439"/>
      <ns0:c r="N304" s="987" t="str">
        <ns0:f>IF(COUNTA($A304:$M304)=0,"",IF(OR(LEFT(LOWER(TRIM($F304&amp;"")),12)="subscription",LOWER(TRIM($F304&amp;""))="membership"),"",IF(OR(AND($H304&lt;&gt;"",$H304=0),LEFT(LOWER(TRIM($F304&amp;"")),9)="free game",LOWER(TRIM($F304&amp;""))="free",LOWER(TRIM($F304&amp;""))="free entry"),IF(ISNUMBER($G304),IF(ISNUMBER(SEARCH("non",LOWER($E304&amp;""))),$G304*0.85,$G304),"N/A"),IF($G304="","",IFERROR(IF(ISNUMBER(SEARCH("non",LOWER($E304&amp;""))),$G304*0.85,$G304),"")))))</ns0:f>
        <ns0:v/>
      </ns0:c>
      <ns0:c r="O304" s="987" t="str">
        <ns0:f>IF(COUNTA($A304:$M304)=0,"",IF(OR(LEFT(LOWER(TRIM($F304&amp;"")),12)="subscription",LOWER(TRIM($F304&amp;""))="membership"),"",IF(OR(AND($H304&lt;&gt;"",$H304=0),LEFT(LOWER(TRIM($F304&amp;"")),9)="free game",LOWER(TRIM($F304&amp;""))="free",LOWER(TRIM($F304&amp;""))="free entry"),IF(OR(NOT(ISNUMBER($N304)),NOT(ISNUMBER($I304)),$I304=0),"N/A",IFERROR($N304/$I304,"N/A")),IF(OR($N304="",$I304="",$I304=0),"",IFERROR($N304/$I304,"")))))</ns0:f>
        <ns0:v/>
      </ns0:c>
      <ns0:c r="P304" s="987">
        <ns0:f>IF(COUNTA($A304:$M304)=0,"",IF(OR(LEFT(LOWER(TRIM($F304&amp;"")),12)="subscription",LOWER(TRIM($F304&amp;""))="membership"),"",IF(LOWER(TRIM($D304&amp;""))="estimate","N/A",IF(LOWER($L304&amp;"")="yes",0,IF(OR(AND($H304&lt;&gt;"",$H304=0),LEFT(LOWER(TRIM($F304&amp;"")),9)="free game",LOWER(TRIM($F304&amp;""))="free",LOWER(TRIM($F304&amp;""))="free entry"),IF(ISNUMBER($K304),$K304,""),IF($K304&lt;&gt;"",$K304,""))))))</ns0:f>
      </ns0:c>
      <ns0:c r="Q304" s="114">
        <ns0:f>IF(COUNTA($A304:$M304)=0,"",IF(OR($U304="Subscription",$U304=""),"",IF($U304="Estimate","N/A",IF($U304="Profit",ROUND(IFERROR($P304,0)-IFERROR($H304,0),2),0))))</ns0:f>
      </ns0:c>
      <ns0:c r="R304" s="114">
        <ns0:f>IF(COUNTA($A304:$M304)=0,"",IF(OR($U304="Subscription",$U304=""),"",IF($U304="Estimate","N/A",IF($U304="Draw",$H304,0))))</ns0:f>
      </ns0:c>
      <ns0:c r="S304" s="114">
        <ns0:f>IF(COUNTA($A304:$M304)=0,"",IF(OR($U304="Subscription",$U304=""),"",IF($U304="Estimate","N/A",IF($U304="Disqualified",$H304,0))))</ns0:f>
      </ns0:c>
      <ns0:c r="T304" s="955">
        <ns0:f>IF(COUNTA($A304:$M304)=0,"",IF(OR($U304="Subscription",$U304=""),"",IF($U304="Estimate","N/A",IF(OR($U304="Free Game",$U304="Disqualified — Free Game",$H304=0),"N/A",IF($U304="Profit",$Q304/$H304,IF($U304="Disqualified",-$S304/$H304,0))))))</ns0:f>
      </ns0:c>
      <ns0:c r="U304" s="920">
        <ns0:f>IF(COUNTA($A304:$M304)=0,"",IF(OR(LEFT(LOWER(TRIM($F304&amp;"")),12)="subscription",LOWER(TRIM($F304&amp;""))="membership"),"Subscription",IF(LOWER(TRIM($D304&amp;""))="estimate","Estimate",IF(OR(AND($H304&lt;&gt;"",$H304=0),LEFT(LOWER(TRIM($F304&amp;"")),9)="free game",LOWER(TRIM($F304&amp;""))="free",LOWER(TRIM($F304&amp;""))="free entry"),IF(LOWER($L304&amp;"")="yes","Disqualified — Free Game","Free Game"),IF(LOWER($L304&amp;"")="yes","Disqualified",IF($P304="","",IF(ROUND(IFERROR(VALUE($P304),0)-IFERROR(VALUE($H304),0),2)&gt;0,"Profit","Draw")))))))</ns0:f>
      </ns0:c>
      <ns0:c r="V304" s="956" t="str">
        <ns0:f>IF(COUNTA($A304:$M304)=0,"",IF(OR($B304="",$C304="",$U304="Subscription"),"",IFERROR(ROUNDUP(($C304-$B304)/7,0),"")))</ns0:f>
      </ns0:c>
      <ns0:c r="W304" s="114">
        <ns0:f>IF(COUNTA($A304:$M304)=0,"",IF(OR($U304="Subscription",$U304=""),"",IF($U304="Estimate","N/A",IF(OR($U304="Free Game",$U304="Disqualified — Free Game"),0,ROUND(IFERROR($Q304,0)-IFERROR($S304,0),2)))))</ns0:f>
      </ns0:c>
      <ns0:c r="X304" s="956" t="str">
        <ns0:f>IF(COUNTA($A304:$M304)=0,"",IF(OR($U304="Subscription",NOT(ISNUMBER($J304)),NOT(ISNUMBER($I304)),$J304=0,$I304=0,$I304&gt;$J304),"",$J304-$I304))</ns0:f>
      </ns0:c>
      <ns0:c r="Y304" s="955" t="str">
        <ns0:f>IF(COUNTA($A304:$M304)=0,"",IF(OR($U304="Subscription",NOT(ISNUMBER($J304)),$J304=0,$X304=""),"",$X304/$J304))</ns0:f>
      </ns0:c>
      <ns0:c r="Z304" s="957" t="str">
        <ns0:f>IF(COUNTA($A304:$M304)=0,"",Instructions!$B$29+SUM($W$5:W304))</ns0:f>
      </ns0:c>
    </ns0:row>
    <ns0:row r="305" ht="36" customHeight="1">
      <ns0:c r="A305" s="439"/>
      <ns0:c r="B305" s="453"/>
      <ns0:c r="C305" s="453"/>
      <ns0:c r="D305" s="454"/>
      <ns0:c r="E305" s="454"/>
      <ns0:c r="F305" s="454"/>
      <ns0:c r="G305" s="986"/>
      <ns0:c r="H305" s="455"/>
      <ns0:c r="I305" s="456"/>
      <ns0:c r="J305" s="456"/>
      <ns0:c r="K305" s="986"/>
      <ns0:c r="L305" s="454"/>
      <ns0:c r="M305" s="439"/>
      <ns0:c r="N305" s="987" t="str">
        <ns0:f>IF(COUNTA($A305:$M305)=0,"",IF(OR(LEFT(LOWER(TRIM($F305&amp;"")),12)="subscription",LOWER(TRIM($F305&amp;""))="membership"),"",IF(OR(AND($H305&lt;&gt;"",$H305=0),LEFT(LOWER(TRIM($F305&amp;"")),9)="free game",LOWER(TRIM($F305&amp;""))="free",LOWER(TRIM($F305&amp;""))="free entry"),IF(ISNUMBER($G305),IF(ISNUMBER(SEARCH("non",LOWER($E305&amp;""))),$G305*0.85,$G305),"N/A"),IF($G305="","",IFERROR(IF(ISNUMBER(SEARCH("non",LOWER($E305&amp;""))),$G305*0.85,$G305),"")))))</ns0:f>
        <ns0:v/>
      </ns0:c>
      <ns0:c r="O305" s="987" t="str">
        <ns0:f>IF(COUNTA($A305:$M305)=0,"",IF(OR(LEFT(LOWER(TRIM($F305&amp;"")),12)="subscription",LOWER(TRIM($F305&amp;""))="membership"),"",IF(OR(AND($H305&lt;&gt;"",$H305=0),LEFT(LOWER(TRIM($F305&amp;"")),9)="free game",LOWER(TRIM($F305&amp;""))="free",LOWER(TRIM($F305&amp;""))="free entry"),IF(OR(NOT(ISNUMBER($N305)),NOT(ISNUMBER($I305)),$I305=0),"N/A",IFERROR($N305/$I305,"N/A")),IF(OR($N305="",$I305="",$I305=0),"",IFERROR($N305/$I305,"")))))</ns0:f>
        <ns0:v/>
      </ns0:c>
      <ns0:c r="P305" s="987">
        <ns0:f>IF(COUNTA($A305:$M305)=0,"",IF(OR(LEFT(LOWER(TRIM($F305&amp;"")),12)="subscription",LOWER(TRIM($F305&amp;""))="membership"),"",IF(LOWER(TRIM($D305&amp;""))="estimate","N/A",IF(LOWER($L305&amp;"")="yes",0,IF(OR(AND($H305&lt;&gt;"",$H305=0),LEFT(LOWER(TRIM($F305&amp;"")),9)="free game",LOWER(TRIM($F305&amp;""))="free",LOWER(TRIM($F305&amp;""))="free entry"),IF(ISNUMBER($K305),$K305,""),IF($K305&lt;&gt;"",$K305,""))))))</ns0:f>
      </ns0:c>
      <ns0:c r="Q305" s="114">
        <ns0:f>IF(COUNTA($A305:$M305)=0,"",IF(OR($U305="Subscription",$U305=""),"",IF($U305="Estimate","N/A",IF($U305="Profit",ROUND(IFERROR($P305,0)-IFERROR($H305,0),2),0))))</ns0:f>
      </ns0:c>
      <ns0:c r="R305" s="114">
        <ns0:f>IF(COUNTA($A305:$M305)=0,"",IF(OR($U305="Subscription",$U305=""),"",IF($U305="Estimate","N/A",IF($U305="Draw",$H305,0))))</ns0:f>
      </ns0:c>
      <ns0:c r="S305" s="114">
        <ns0:f>IF(COUNTA($A305:$M305)=0,"",IF(OR($U305="Subscription",$U305=""),"",IF($U305="Estimate","N/A",IF($U305="Disqualified",$H305,0))))</ns0:f>
      </ns0:c>
      <ns0:c r="T305" s="955">
        <ns0:f>IF(COUNTA($A305:$M305)=0,"",IF(OR($U305="Subscription",$U305=""),"",IF($U305="Estimate","N/A",IF(OR($U305="Free Game",$U305="Disqualified — Free Game",$H305=0),"N/A",IF($U305="Profit",$Q305/$H305,IF($U305="Disqualified",-$S305/$H305,0))))))</ns0:f>
      </ns0:c>
      <ns0:c r="U305" s="920">
        <ns0:f>IF(COUNTA($A305:$M305)=0,"",IF(OR(LEFT(LOWER(TRIM($F305&amp;"")),12)="subscription",LOWER(TRIM($F305&amp;""))="membership"),"Subscription",IF(LOWER(TRIM($D305&amp;""))="estimate","Estimate",IF(OR(AND($H305&lt;&gt;"",$H305=0),LEFT(LOWER(TRIM($F305&amp;"")),9)="free game",LOWER(TRIM($F305&amp;""))="free",LOWER(TRIM($F305&amp;""))="free entry"),IF(LOWER($L305&amp;"")="yes","Disqualified — Free Game","Free Game"),IF(LOWER($L305&amp;"")="yes","Disqualified",IF($P305="","",IF(ROUND(IFERROR(VALUE($P305),0)-IFERROR(VALUE($H305),0),2)&gt;0,"Profit","Draw")))))))</ns0:f>
      </ns0:c>
      <ns0:c r="V305" s="956" t="str">
        <ns0:f>IF(COUNTA($A305:$M305)=0,"",IF(OR($B305="",$C305="",$U305="Subscription"),"",IFERROR(ROUNDUP(($C305-$B305)/7,0),"")))</ns0:f>
      </ns0:c>
      <ns0:c r="W305" s="114">
        <ns0:f>IF(COUNTA($A305:$M305)=0,"",IF(OR($U305="Subscription",$U305=""),"",IF($U305="Estimate","N/A",IF(OR($U305="Free Game",$U305="Disqualified — Free Game"),0,ROUND(IFERROR($Q305,0)-IFERROR($S305,0),2)))))</ns0:f>
      </ns0:c>
      <ns0:c r="X305" s="956" t="str">
        <ns0:f>IF(COUNTA($A305:$M305)=0,"",IF(OR($U305="Subscription",NOT(ISNUMBER($J305)),NOT(ISNUMBER($I305)),$J305=0,$I305=0,$I305&gt;$J305),"",$J305-$I305))</ns0:f>
      </ns0:c>
      <ns0:c r="Y305" s="955" t="str">
        <ns0:f>IF(COUNTA($A305:$M305)=0,"",IF(OR($U305="Subscription",NOT(ISNUMBER($J305)),$J305=0,$X305=""),"",$X305/$J305))</ns0:f>
      </ns0:c>
      <ns0:c r="Z305" s="957" t="str">
        <ns0:f>IF(COUNTA($A305:$M305)=0,"",Instructions!$B$29+SUM($W$5:W305))</ns0:f>
      </ns0:c>
    </ns0:row>
    <ns0:row r="306" ht="36" customHeight="1">
      <ns0:c r="A306" s="439"/>
      <ns0:c r="B306" s="453"/>
      <ns0:c r="C306" s="453"/>
      <ns0:c r="D306" s="454"/>
      <ns0:c r="E306" s="454"/>
      <ns0:c r="F306" s="454"/>
      <ns0:c r="G306" s="986"/>
      <ns0:c r="H306" s="455"/>
      <ns0:c r="I306" s="456"/>
      <ns0:c r="J306" s="456"/>
      <ns0:c r="K306" s="986"/>
      <ns0:c r="L306" s="454"/>
      <ns0:c r="M306" s="439"/>
      <ns0:c r="N306" s="987" t="str">
        <ns0:f>IF(COUNTA($A306:$M306)=0,"",IF(OR(LEFT(LOWER(TRIM($F306&amp;"")),12)="subscription",LOWER(TRIM($F306&amp;""))="membership"),"",IF(OR(AND($H306&lt;&gt;"",$H306=0),LEFT(LOWER(TRIM($F306&amp;"")),9)="free game",LOWER(TRIM($F306&amp;""))="free",LOWER(TRIM($F306&amp;""))="free entry"),IF(ISNUMBER($G306),IF(ISNUMBER(SEARCH("non",LOWER($E306&amp;""))),$G306*0.85,$G306),"N/A"),IF($G306="","",IFERROR(IF(ISNUMBER(SEARCH("non",LOWER($E306&amp;""))),$G306*0.85,$G306),"")))))</ns0:f>
        <ns0:v/>
      </ns0:c>
      <ns0:c r="O306" s="987" t="str">
        <ns0:f>IF(COUNTA($A306:$M306)=0,"",IF(OR(LEFT(LOWER(TRIM($F306&amp;"")),12)="subscription",LOWER(TRIM($F306&amp;""))="membership"),"",IF(OR(AND($H306&lt;&gt;"",$H306=0),LEFT(LOWER(TRIM($F306&amp;"")),9)="free game",LOWER(TRIM($F306&amp;""))="free",LOWER(TRIM($F306&amp;""))="free entry"),IF(OR(NOT(ISNUMBER($N306)),NOT(ISNUMBER($I306)),$I306=0),"N/A",IFERROR($N306/$I306,"N/A")),IF(OR($N306="",$I306="",$I306=0),"",IFERROR($N306/$I306,"")))))</ns0:f>
        <ns0:v/>
      </ns0:c>
      <ns0:c r="P306" s="987">
        <ns0:f>IF(COUNTA($A306:$M306)=0,"",IF(OR(LEFT(LOWER(TRIM($F306&amp;"")),12)="subscription",LOWER(TRIM($F306&amp;""))="membership"),"",IF(LOWER(TRIM($D306&amp;""))="estimate","N/A",IF(LOWER($L306&amp;"")="yes",0,IF(OR(AND($H306&lt;&gt;"",$H306=0),LEFT(LOWER(TRIM($F306&amp;"")),9)="free game",LOWER(TRIM($F306&amp;""))="free",LOWER(TRIM($F306&amp;""))="free entry"),IF(ISNUMBER($K306),$K306,""),IF($K306&lt;&gt;"",$K306,""))))))</ns0:f>
      </ns0:c>
      <ns0:c r="Q306" s="114">
        <ns0:f>IF(COUNTA($A306:$M306)=0,"",IF(OR($U306="Subscription",$U306=""),"",IF($U306="Estimate","N/A",IF($U306="Profit",ROUND(IFERROR($P306,0)-IFERROR($H306,0),2),0))))</ns0:f>
      </ns0:c>
      <ns0:c r="R306" s="114">
        <ns0:f>IF(COUNTA($A306:$M306)=0,"",IF(OR($U306="Subscription",$U306=""),"",IF($U306="Estimate","N/A",IF($U306="Draw",$H306,0))))</ns0:f>
      </ns0:c>
      <ns0:c r="S306" s="114">
        <ns0:f>IF(COUNTA($A306:$M306)=0,"",IF(OR($U306="Subscription",$U306=""),"",IF($U306="Estimate","N/A",IF($U306="Disqualified",$H306,0))))</ns0:f>
      </ns0:c>
      <ns0:c r="T306" s="955">
        <ns0:f>IF(COUNTA($A306:$M306)=0,"",IF(OR($U306="Subscription",$U306=""),"",IF($U306="Estimate","N/A",IF(OR($U306="Free Game",$U306="Disqualified — Free Game",$H306=0),"N/A",IF($U306="Profit",$Q306/$H306,IF($U306="Disqualified",-$S306/$H306,0))))))</ns0:f>
      </ns0:c>
      <ns0:c r="U306" s="920">
        <ns0:f>IF(COUNTA($A306:$M306)=0,"",IF(OR(LEFT(LOWER(TRIM($F306&amp;"")),12)="subscription",LOWER(TRIM($F306&amp;""))="membership"),"Subscription",IF(LOWER(TRIM($D306&amp;""))="estimate","Estimate",IF(OR(AND($H306&lt;&gt;"",$H306=0),LEFT(LOWER(TRIM($F306&amp;"")),9)="free game",LOWER(TRIM($F306&amp;""))="free",LOWER(TRIM($F306&amp;""))="free entry"),IF(LOWER($L306&amp;"")="yes","Disqualified — Free Game","Free Game"),IF(LOWER($L306&amp;"")="yes","Disqualified",IF($P306="","",IF(ROUND(IFERROR(VALUE($P306),0)-IFERROR(VALUE($H306),0),2)&gt;0,"Profit","Draw")))))))</ns0:f>
      </ns0:c>
      <ns0:c r="V306" s="956" t="str">
        <ns0:f>IF(COUNTA($A306:$M306)=0,"",IF(OR($B306="",$C306="",$U306="Subscription"),"",IFERROR(ROUNDUP(($C306-$B306)/7,0),"")))</ns0:f>
      </ns0:c>
      <ns0:c r="W306" s="114">
        <ns0:f>IF(COUNTA($A306:$M306)=0,"",IF(OR($U306="Subscription",$U306=""),"",IF($U306="Estimate","N/A",IF(OR($U306="Free Game",$U306="Disqualified — Free Game"),0,ROUND(IFERROR($Q306,0)-IFERROR($S306,0),2)))))</ns0:f>
      </ns0:c>
      <ns0:c r="X306" s="956" t="str">
        <ns0:f>IF(COUNTA($A306:$M306)=0,"",IF(OR($U306="Subscription",NOT(ISNUMBER($J306)),NOT(ISNUMBER($I306)),$J306=0,$I306=0,$I306&gt;$J306),"",$J306-$I306))</ns0:f>
      </ns0:c>
      <ns0:c r="Y306" s="955" t="str">
        <ns0:f>IF(COUNTA($A306:$M306)=0,"",IF(OR($U306="Subscription",NOT(ISNUMBER($J306)),$J306=0,$X306=""),"",$X306/$J306))</ns0:f>
      </ns0:c>
      <ns0:c r="Z306" s="957" t="str">
        <ns0:f>IF(COUNTA($A306:$M306)=0,"",Instructions!$B$29+SUM($W$5:W306))</ns0:f>
      </ns0:c>
    </ns0:row>
    <ns0:row r="307" ht="36" customHeight="1">
      <ns0:c r="A307" s="439"/>
      <ns0:c r="B307" s="453"/>
      <ns0:c r="C307" s="453"/>
      <ns0:c r="D307" s="454"/>
      <ns0:c r="E307" s="454"/>
      <ns0:c r="F307" s="454"/>
      <ns0:c r="G307" s="986"/>
      <ns0:c r="H307" s="455"/>
      <ns0:c r="I307" s="456"/>
      <ns0:c r="J307" s="456"/>
      <ns0:c r="K307" s="986"/>
      <ns0:c r="L307" s="454"/>
      <ns0:c r="M307" s="439"/>
      <ns0:c r="N307" s="987" t="str">
        <ns0:f>IF(COUNTA($A307:$M307)=0,"",IF(OR(LEFT(LOWER(TRIM($F307&amp;"")),12)="subscription",LOWER(TRIM($F307&amp;""))="membership"),"",IF(OR(AND($H307&lt;&gt;"",$H307=0),LEFT(LOWER(TRIM($F307&amp;"")),9)="free game",LOWER(TRIM($F307&amp;""))="free",LOWER(TRIM($F307&amp;""))="free entry"),IF(ISNUMBER($G307),IF(ISNUMBER(SEARCH("non",LOWER($E307&amp;""))),$G307*0.85,$G307),"N/A"),IF($G307="","",IFERROR(IF(ISNUMBER(SEARCH("non",LOWER($E307&amp;""))),$G307*0.85,$G307),"")))))</ns0:f>
        <ns0:v/>
      </ns0:c>
      <ns0:c r="O307" s="987" t="str">
        <ns0:f>IF(COUNTA($A307:$M307)=0,"",IF(OR(LEFT(LOWER(TRIM($F307&amp;"")),12)="subscription",LOWER(TRIM($F307&amp;""))="membership"),"",IF(OR(AND($H307&lt;&gt;"",$H307=0),LEFT(LOWER(TRIM($F307&amp;"")),9)="free game",LOWER(TRIM($F307&amp;""))="free",LOWER(TRIM($F307&amp;""))="free entry"),IF(OR(NOT(ISNUMBER($N307)),NOT(ISNUMBER($I307)),$I307=0),"N/A",IFERROR($N307/$I307,"N/A")),IF(OR($N307="",$I307="",$I307=0),"",IFERROR($N307/$I307,"")))))</ns0:f>
        <ns0:v/>
      </ns0:c>
      <ns0:c r="P307" s="987">
        <ns0:f>IF(COUNTA($A307:$M307)=0,"",IF(OR(LEFT(LOWER(TRIM($F307&amp;"")),12)="subscription",LOWER(TRIM($F307&amp;""))="membership"),"",IF(LOWER(TRIM($D307&amp;""))="estimate","N/A",IF(LOWER($L307&amp;"")="yes",0,IF(OR(AND($H307&lt;&gt;"",$H307=0),LEFT(LOWER(TRIM($F307&amp;"")),9)="free game",LOWER(TRIM($F307&amp;""))="free",LOWER(TRIM($F307&amp;""))="free entry"),IF(ISNUMBER($K307),$K307,""),IF($K307&lt;&gt;"",$K307,""))))))</ns0:f>
      </ns0:c>
      <ns0:c r="Q307" s="114">
        <ns0:f>IF(COUNTA($A307:$M307)=0,"",IF(OR($U307="Subscription",$U307=""),"",IF($U307="Estimate","N/A",IF($U307="Profit",ROUND(IFERROR($P307,0)-IFERROR($H307,0),2),0))))</ns0:f>
      </ns0:c>
      <ns0:c r="R307" s="114">
        <ns0:f>IF(COUNTA($A307:$M307)=0,"",IF(OR($U307="Subscription",$U307=""),"",IF($U307="Estimate","N/A",IF($U307="Draw",$H307,0))))</ns0:f>
      </ns0:c>
      <ns0:c r="S307" s="114">
        <ns0:f>IF(COUNTA($A307:$M307)=0,"",IF(OR($U307="Subscription",$U307=""),"",IF($U307="Estimate","N/A",IF($U307="Disqualified",$H307,0))))</ns0:f>
      </ns0:c>
      <ns0:c r="T307" s="955">
        <ns0:f>IF(COUNTA($A307:$M307)=0,"",IF(OR($U307="Subscription",$U307=""),"",IF($U307="Estimate","N/A",IF(OR($U307="Free Game",$U307="Disqualified — Free Game",$H307=0),"N/A",IF($U307="Profit",$Q307/$H307,IF($U307="Disqualified",-$S307/$H307,0))))))</ns0:f>
      </ns0:c>
      <ns0:c r="U307" s="920">
        <ns0:f>IF(COUNTA($A307:$M307)=0,"",IF(OR(LEFT(LOWER(TRIM($F307&amp;"")),12)="subscription",LOWER(TRIM($F307&amp;""))="membership"),"Subscription",IF(LOWER(TRIM($D307&amp;""))="estimate","Estimate",IF(OR(AND($H307&lt;&gt;"",$H307=0),LEFT(LOWER(TRIM($F307&amp;"")),9)="free game",LOWER(TRIM($F307&amp;""))="free",LOWER(TRIM($F307&amp;""))="free entry"),IF(LOWER($L307&amp;"")="yes","Disqualified — Free Game","Free Game"),IF(LOWER($L307&amp;"")="yes","Disqualified",IF($P307="","",IF(ROUND(IFERROR(VALUE($P307),0)-IFERROR(VALUE($H307),0),2)&gt;0,"Profit","Draw")))))))</ns0:f>
      </ns0:c>
      <ns0:c r="V307" s="956" t="str">
        <ns0:f>IF(COUNTA($A307:$M307)=0,"",IF(OR($B307="",$C307="",$U307="Subscription"),"",IFERROR(ROUNDUP(($C307-$B307)/7,0),"")))</ns0:f>
      </ns0:c>
      <ns0:c r="W307" s="114">
        <ns0:f>IF(COUNTA($A307:$M307)=0,"",IF(OR($U307="Subscription",$U307=""),"",IF($U307="Estimate","N/A",IF(OR($U307="Free Game",$U307="Disqualified — Free Game"),0,ROUND(IFERROR($Q307,0)-IFERROR($S307,0),2)))))</ns0:f>
      </ns0:c>
      <ns0:c r="X307" s="956" t="str">
        <ns0:f>IF(COUNTA($A307:$M307)=0,"",IF(OR($U307="Subscription",NOT(ISNUMBER($J307)),NOT(ISNUMBER($I307)),$J307=0,$I307=0,$I307&gt;$J307),"",$J307-$I307))</ns0:f>
      </ns0:c>
      <ns0:c r="Y307" s="955" t="str">
        <ns0:f>IF(COUNTA($A307:$M307)=0,"",IF(OR($U307="Subscription",NOT(ISNUMBER($J307)),$J307=0,$X307=""),"",$X307/$J307))</ns0:f>
      </ns0:c>
      <ns0:c r="Z307" s="957" t="str">
        <ns0:f>IF(COUNTA($A307:$M307)=0,"",Instructions!$B$29+SUM($W$5:W307))</ns0:f>
      </ns0:c>
    </ns0:row>
    <ns0:row r="308" ht="36" customHeight="1">
      <ns0:c r="A308" s="439"/>
      <ns0:c r="B308" s="453"/>
      <ns0:c r="C308" s="453"/>
      <ns0:c r="D308" s="454"/>
      <ns0:c r="E308" s="454"/>
      <ns0:c r="F308" s="454"/>
      <ns0:c r="G308" s="986"/>
      <ns0:c r="H308" s="455"/>
      <ns0:c r="I308" s="456"/>
      <ns0:c r="J308" s="456"/>
      <ns0:c r="K308" s="986"/>
      <ns0:c r="L308" s="454"/>
      <ns0:c r="M308" s="439"/>
      <ns0:c r="N308" s="987" t="str">
        <ns0:f>IF(COUNTA($A308:$M308)=0,"",IF(OR(LEFT(LOWER(TRIM($F308&amp;"")),12)="subscription",LOWER(TRIM($F308&amp;""))="membership"),"",IF(OR(AND($H308&lt;&gt;"",$H308=0),LEFT(LOWER(TRIM($F308&amp;"")),9)="free game",LOWER(TRIM($F308&amp;""))="free",LOWER(TRIM($F308&amp;""))="free entry"),IF(ISNUMBER($G308),IF(ISNUMBER(SEARCH("non",LOWER($E308&amp;""))),$G308*0.85,$G308),"N/A"),IF($G308="","",IFERROR(IF(ISNUMBER(SEARCH("non",LOWER($E308&amp;""))),$G308*0.85,$G308),"")))))</ns0:f>
        <ns0:v/>
      </ns0:c>
      <ns0:c r="O308" s="987" t="str">
        <ns0:f>IF(COUNTA($A308:$M308)=0,"",IF(OR(LEFT(LOWER(TRIM($F308&amp;"")),12)="subscription",LOWER(TRIM($F308&amp;""))="membership"),"",IF(OR(AND($H308&lt;&gt;"",$H308=0),LEFT(LOWER(TRIM($F308&amp;"")),9)="free game",LOWER(TRIM($F308&amp;""))="free",LOWER(TRIM($F308&amp;""))="free entry"),IF(OR(NOT(ISNUMBER($N308)),NOT(ISNUMBER($I308)),$I308=0),"N/A",IFERROR($N308/$I308,"N/A")),IF(OR($N308="",$I308="",$I308=0),"",IFERROR($N308/$I308,"")))))</ns0:f>
        <ns0:v/>
      </ns0:c>
      <ns0:c r="P308" s="987">
        <ns0:f>IF(COUNTA($A308:$M308)=0,"",IF(OR(LEFT(LOWER(TRIM($F308&amp;"")),12)="subscription",LOWER(TRIM($F308&amp;""))="membership"),"",IF(LOWER(TRIM($D308&amp;""))="estimate","N/A",IF(LOWER($L308&amp;"")="yes",0,IF(OR(AND($H308&lt;&gt;"",$H308=0),LEFT(LOWER(TRIM($F308&amp;"")),9)="free game",LOWER(TRIM($F308&amp;""))="free",LOWER(TRIM($F308&amp;""))="free entry"),IF(ISNUMBER($K308),$K308,""),IF($K308&lt;&gt;"",$K308,""))))))</ns0:f>
      </ns0:c>
      <ns0:c r="Q308" s="114">
        <ns0:f>IF(COUNTA($A308:$M308)=0,"",IF(OR($U308="Subscription",$U308=""),"",IF($U308="Estimate","N/A",IF($U308="Profit",ROUND(IFERROR($P308,0)-IFERROR($H308,0),2),0))))</ns0:f>
      </ns0:c>
      <ns0:c r="R308" s="114">
        <ns0:f>IF(COUNTA($A308:$M308)=0,"",IF(OR($U308="Subscription",$U308=""),"",IF($U308="Estimate","N/A",IF($U308="Draw",$H308,0))))</ns0:f>
      </ns0:c>
      <ns0:c r="S308" s="114">
        <ns0:f>IF(COUNTA($A308:$M308)=0,"",IF(OR($U308="Subscription",$U308=""),"",IF($U308="Estimate","N/A",IF($U308="Disqualified",$H308,0))))</ns0:f>
      </ns0:c>
      <ns0:c r="T308" s="955">
        <ns0:f>IF(COUNTA($A308:$M308)=0,"",IF(OR($U308="Subscription",$U308=""),"",IF($U308="Estimate","N/A",IF(OR($U308="Free Game",$U308="Disqualified — Free Game",$H308=0),"N/A",IF($U308="Profit",$Q308/$H308,IF($U308="Disqualified",-$S308/$H308,0))))))</ns0:f>
      </ns0:c>
      <ns0:c r="U308" s="920">
        <ns0:f>IF(COUNTA($A308:$M308)=0,"",IF(OR(LEFT(LOWER(TRIM($F308&amp;"")),12)="subscription",LOWER(TRIM($F308&amp;""))="membership"),"Subscription",IF(LOWER(TRIM($D308&amp;""))="estimate","Estimate",IF(OR(AND($H308&lt;&gt;"",$H308=0),LEFT(LOWER(TRIM($F308&amp;"")),9)="free game",LOWER(TRIM($F308&amp;""))="free",LOWER(TRIM($F308&amp;""))="free entry"),IF(LOWER($L308&amp;"")="yes","Disqualified — Free Game","Free Game"),IF(LOWER($L308&amp;"")="yes","Disqualified",IF($P308="","",IF(ROUND(IFERROR(VALUE($P308),0)-IFERROR(VALUE($H308),0),2)&gt;0,"Profit","Draw")))))))</ns0:f>
      </ns0:c>
      <ns0:c r="V308" s="956" t="str">
        <ns0:f>IF(COUNTA($A308:$M308)=0,"",IF(OR($B308="",$C308="",$U308="Subscription"),"",IFERROR(ROUNDUP(($C308-$B308)/7,0),"")))</ns0:f>
      </ns0:c>
      <ns0:c r="W308" s="114">
        <ns0:f>IF(COUNTA($A308:$M308)=0,"",IF(OR($U308="Subscription",$U308=""),"",IF($U308="Estimate","N/A",IF(OR($U308="Free Game",$U308="Disqualified — Free Game"),0,ROUND(IFERROR($Q308,0)-IFERROR($S308,0),2)))))</ns0:f>
      </ns0:c>
      <ns0:c r="X308" s="956" t="str">
        <ns0:f>IF(COUNTA($A308:$M308)=0,"",IF(OR($U308="Subscription",NOT(ISNUMBER($J308)),NOT(ISNUMBER($I308)),$J308=0,$I308=0,$I308&gt;$J308),"",$J308-$I308))</ns0:f>
      </ns0:c>
      <ns0:c r="Y308" s="955" t="str">
        <ns0:f>IF(COUNTA($A308:$M308)=0,"",IF(OR($U308="Subscription",NOT(ISNUMBER($J308)),$J308=0,$X308=""),"",$X308/$J308))</ns0:f>
      </ns0:c>
      <ns0:c r="Z308" s="957" t="str">
        <ns0:f>IF(COUNTA($A308:$M308)=0,"",Instructions!$B$29+SUM($W$5:W308))</ns0:f>
      </ns0:c>
    </ns0:row>
    <ns0:row r="309" ht="36" customHeight="1">
      <ns0:c r="A309" s="439"/>
      <ns0:c r="B309" s="453"/>
      <ns0:c r="C309" s="453"/>
      <ns0:c r="D309" s="454"/>
      <ns0:c r="E309" s="454"/>
      <ns0:c r="F309" s="454"/>
      <ns0:c r="G309" s="986"/>
      <ns0:c r="H309" s="455"/>
      <ns0:c r="I309" s="456"/>
      <ns0:c r="J309" s="456"/>
      <ns0:c r="K309" s="986"/>
      <ns0:c r="L309" s="454"/>
      <ns0:c r="M309" s="439"/>
      <ns0:c r="N309" s="987" t="str">
        <ns0:f>IF(COUNTA($A309:$M309)=0,"",IF(OR(LEFT(LOWER(TRIM($F309&amp;"")),12)="subscription",LOWER(TRIM($F309&amp;""))="membership"),"",IF(OR(AND($H309&lt;&gt;"",$H309=0),LEFT(LOWER(TRIM($F309&amp;"")),9)="free game",LOWER(TRIM($F309&amp;""))="free",LOWER(TRIM($F309&amp;""))="free entry"),IF(ISNUMBER($G309),IF(ISNUMBER(SEARCH("non",LOWER($E309&amp;""))),$G309*0.85,$G309),"N/A"),IF($G309="","",IFERROR(IF(ISNUMBER(SEARCH("non",LOWER($E309&amp;""))),$G309*0.85,$G309),"")))))</ns0:f>
        <ns0:v/>
      </ns0:c>
      <ns0:c r="O309" s="987" t="str">
        <ns0:f>IF(COUNTA($A309:$M309)=0,"",IF(OR(LEFT(LOWER(TRIM($F309&amp;"")),12)="subscription",LOWER(TRIM($F309&amp;""))="membership"),"",IF(OR(AND($H309&lt;&gt;"",$H309=0),LEFT(LOWER(TRIM($F309&amp;"")),9)="free game",LOWER(TRIM($F309&amp;""))="free",LOWER(TRIM($F309&amp;""))="free entry"),IF(OR(NOT(ISNUMBER($N309)),NOT(ISNUMBER($I309)),$I309=0),"N/A",IFERROR($N309/$I309,"N/A")),IF(OR($N309="",$I309="",$I309=0),"",IFERROR($N309/$I309,"")))))</ns0:f>
        <ns0:v/>
      </ns0:c>
      <ns0:c r="P309" s="987">
        <ns0:f>IF(COUNTA($A309:$M309)=0,"",IF(OR(LEFT(LOWER(TRIM($F309&amp;"")),12)="subscription",LOWER(TRIM($F309&amp;""))="membership"),"",IF(LOWER(TRIM($D309&amp;""))="estimate","N/A",IF(LOWER($L309&amp;"")="yes",0,IF(OR(AND($H309&lt;&gt;"",$H309=0),LEFT(LOWER(TRIM($F309&amp;"")),9)="free game",LOWER(TRIM($F309&amp;""))="free",LOWER(TRIM($F309&amp;""))="free entry"),IF(ISNUMBER($K309),$K309,""),IF($K309&lt;&gt;"",$K309,""))))))</ns0:f>
      </ns0:c>
      <ns0:c r="Q309" s="114">
        <ns0:f>IF(COUNTA($A309:$M309)=0,"",IF(OR($U309="Subscription",$U309=""),"",IF($U309="Estimate","N/A",IF($U309="Profit",ROUND(IFERROR($P309,0)-IFERROR($H309,0),2),0))))</ns0:f>
      </ns0:c>
      <ns0:c r="R309" s="114">
        <ns0:f>IF(COUNTA($A309:$M309)=0,"",IF(OR($U309="Subscription",$U309=""),"",IF($U309="Estimate","N/A",IF($U309="Draw",$H309,0))))</ns0:f>
      </ns0:c>
      <ns0:c r="S309" s="114">
        <ns0:f>IF(COUNTA($A309:$M309)=0,"",IF(OR($U309="Subscription",$U309=""),"",IF($U309="Estimate","N/A",IF($U309="Disqualified",$H309,0))))</ns0:f>
      </ns0:c>
      <ns0:c r="T309" s="955">
        <ns0:f>IF(COUNTA($A309:$M309)=0,"",IF(OR($U309="Subscription",$U309=""),"",IF($U309="Estimate","N/A",IF(OR($U309="Free Game",$U309="Disqualified — Free Game",$H309=0),"N/A",IF($U309="Profit",$Q309/$H309,IF($U309="Disqualified",-$S309/$H309,0))))))</ns0:f>
      </ns0:c>
      <ns0:c r="U309" s="920">
        <ns0:f>IF(COUNTA($A309:$M309)=0,"",IF(OR(LEFT(LOWER(TRIM($F309&amp;"")),12)="subscription",LOWER(TRIM($F309&amp;""))="membership"),"Subscription",IF(LOWER(TRIM($D309&amp;""))="estimate","Estimate",IF(OR(AND($H309&lt;&gt;"",$H309=0),LEFT(LOWER(TRIM($F309&amp;"")),9)="free game",LOWER(TRIM($F309&amp;""))="free",LOWER(TRIM($F309&amp;""))="free entry"),IF(LOWER($L309&amp;"")="yes","Disqualified — Free Game","Free Game"),IF(LOWER($L309&amp;"")="yes","Disqualified",IF($P309="","",IF(ROUND(IFERROR(VALUE($P309),0)-IFERROR(VALUE($H309),0),2)&gt;0,"Profit","Draw")))))))</ns0:f>
      </ns0:c>
      <ns0:c r="V309" s="956" t="str">
        <ns0:f>IF(COUNTA($A309:$M309)=0,"",IF(OR($B309="",$C309="",$U309="Subscription"),"",IFERROR(ROUNDUP(($C309-$B309)/7,0),"")))</ns0:f>
      </ns0:c>
      <ns0:c r="W309" s="114">
        <ns0:f>IF(COUNTA($A309:$M309)=0,"",IF(OR($U309="Subscription",$U309=""),"",IF($U309="Estimate","N/A",IF(OR($U309="Free Game",$U309="Disqualified — Free Game"),0,ROUND(IFERROR($Q309,0)-IFERROR($S309,0),2)))))</ns0:f>
      </ns0:c>
      <ns0:c r="X309" s="956" t="str">
        <ns0:f>IF(COUNTA($A309:$M309)=0,"",IF(OR($U309="Subscription",NOT(ISNUMBER($J309)),NOT(ISNUMBER($I309)),$J309=0,$I309=0,$I309&gt;$J309),"",$J309-$I309))</ns0:f>
      </ns0:c>
      <ns0:c r="Y309" s="955" t="str">
        <ns0:f>IF(COUNTA($A309:$M309)=0,"",IF(OR($U309="Subscription",NOT(ISNUMBER($J309)),$J309=0,$X309=""),"",$X309/$J309))</ns0:f>
      </ns0:c>
      <ns0:c r="Z309" s="957" t="str">
        <ns0:f>IF(COUNTA($A309:$M309)=0,"",Instructions!$B$29+SUM($W$5:W309))</ns0:f>
      </ns0:c>
    </ns0:row>
    <ns0:row r="310" ht="36" customHeight="1">
      <ns0:c r="A310" s="439"/>
      <ns0:c r="B310" s="453"/>
      <ns0:c r="C310" s="453"/>
      <ns0:c r="D310" s="454"/>
      <ns0:c r="E310" s="454"/>
      <ns0:c r="F310" s="454"/>
      <ns0:c r="G310" s="986"/>
      <ns0:c r="H310" s="455"/>
      <ns0:c r="I310" s="456"/>
      <ns0:c r="J310" s="456"/>
      <ns0:c r="K310" s="986"/>
      <ns0:c r="L310" s="454"/>
      <ns0:c r="M310" s="439"/>
      <ns0:c r="N310" s="987" t="str">
        <ns0:f>IF(COUNTA($A310:$M310)=0,"",IF(OR(LEFT(LOWER(TRIM($F310&amp;"")),12)="subscription",LOWER(TRIM($F310&amp;""))="membership"),"",IF(OR(AND($H310&lt;&gt;"",$H310=0),LEFT(LOWER(TRIM($F310&amp;"")),9)="free game",LOWER(TRIM($F310&amp;""))="free",LOWER(TRIM($F310&amp;""))="free entry"),IF(ISNUMBER($G310),IF(ISNUMBER(SEARCH("non",LOWER($E310&amp;""))),$G310*0.85,$G310),"N/A"),IF($G310="","",IFERROR(IF(ISNUMBER(SEARCH("non",LOWER($E310&amp;""))),$G310*0.85,$G310),"")))))</ns0:f>
        <ns0:v/>
      </ns0:c>
      <ns0:c r="O310" s="987" t="str">
        <ns0:f>IF(COUNTA($A310:$M310)=0,"",IF(OR(LEFT(LOWER(TRIM($F310&amp;"")),12)="subscription",LOWER(TRIM($F310&amp;""))="membership"),"",IF(OR(AND($H310&lt;&gt;"",$H310=0),LEFT(LOWER(TRIM($F310&amp;"")),9)="free game",LOWER(TRIM($F310&amp;""))="free",LOWER(TRIM($F310&amp;""))="free entry"),IF(OR(NOT(ISNUMBER($N310)),NOT(ISNUMBER($I310)),$I310=0),"N/A",IFERROR($N310/$I310,"N/A")),IF(OR($N310="",$I310="",$I310=0),"",IFERROR($N310/$I310,"")))))</ns0:f>
        <ns0:v/>
      </ns0:c>
      <ns0:c r="P310" s="987">
        <ns0:f>IF(COUNTA($A310:$M310)=0,"",IF(OR(LEFT(LOWER(TRIM($F310&amp;"")),12)="subscription",LOWER(TRIM($F310&amp;""))="membership"),"",IF(LOWER(TRIM($D310&amp;""))="estimate","N/A",IF(LOWER($L310&amp;"")="yes",0,IF(OR(AND($H310&lt;&gt;"",$H310=0),LEFT(LOWER(TRIM($F310&amp;"")),9)="free game",LOWER(TRIM($F310&amp;""))="free",LOWER(TRIM($F310&amp;""))="free entry"),IF(ISNUMBER($K310),$K310,""),IF($K310&lt;&gt;"",$K310,""))))))</ns0:f>
      </ns0:c>
      <ns0:c r="Q310" s="114">
        <ns0:f>IF(COUNTA($A310:$M310)=0,"",IF(OR($U310="Subscription",$U310=""),"",IF($U310="Estimate","N/A",IF($U310="Profit",ROUND(IFERROR($P310,0)-IFERROR($H310,0),2),0))))</ns0:f>
      </ns0:c>
      <ns0:c r="R310" s="114">
        <ns0:f>IF(COUNTA($A310:$M310)=0,"",IF(OR($U310="Subscription",$U310=""),"",IF($U310="Estimate","N/A",IF($U310="Draw",$H310,0))))</ns0:f>
      </ns0:c>
      <ns0:c r="S310" s="114">
        <ns0:f>IF(COUNTA($A310:$M310)=0,"",IF(OR($U310="Subscription",$U310=""),"",IF($U310="Estimate","N/A",IF($U310="Disqualified",$H310,0))))</ns0:f>
      </ns0:c>
      <ns0:c r="T310" s="955">
        <ns0:f>IF(COUNTA($A310:$M310)=0,"",IF(OR($U310="Subscription",$U310=""),"",IF($U310="Estimate","N/A",IF(OR($U310="Free Game",$U310="Disqualified — Free Game",$H310=0),"N/A",IF($U310="Profit",$Q310/$H310,IF($U310="Disqualified",-$S310/$H310,0))))))</ns0:f>
      </ns0:c>
      <ns0:c r="U310" s="920">
        <ns0:f>IF(COUNTA($A310:$M310)=0,"",IF(OR(LEFT(LOWER(TRIM($F310&amp;"")),12)="subscription",LOWER(TRIM($F310&amp;""))="membership"),"Subscription",IF(LOWER(TRIM($D310&amp;""))="estimate","Estimate",IF(OR(AND($H310&lt;&gt;"",$H310=0),LEFT(LOWER(TRIM($F310&amp;"")),9)="free game",LOWER(TRIM($F310&amp;""))="free",LOWER(TRIM($F310&amp;""))="free entry"),IF(LOWER($L310&amp;"")="yes","Disqualified — Free Game","Free Game"),IF(LOWER($L310&amp;"")="yes","Disqualified",IF($P310="","",IF(ROUND(IFERROR(VALUE($P310),0)-IFERROR(VALUE($H310),0),2)&gt;0,"Profit","Draw")))))))</ns0:f>
      </ns0:c>
      <ns0:c r="V310" s="956" t="str">
        <ns0:f>IF(COUNTA($A310:$M310)=0,"",IF(OR($B310="",$C310="",$U310="Subscription"),"",IFERROR(ROUNDUP(($C310-$B310)/7,0),"")))</ns0:f>
      </ns0:c>
      <ns0:c r="W310" s="114">
        <ns0:f>IF(COUNTA($A310:$M310)=0,"",IF(OR($U310="Subscription",$U310=""),"",IF($U310="Estimate","N/A",IF(OR($U310="Free Game",$U310="Disqualified — Free Game"),0,ROUND(IFERROR($Q310,0)-IFERROR($S310,0),2)))))</ns0:f>
      </ns0:c>
      <ns0:c r="X310" s="956" t="str">
        <ns0:f>IF(COUNTA($A310:$M310)=0,"",IF(OR($U310="Subscription",NOT(ISNUMBER($J310)),NOT(ISNUMBER($I310)),$J310=0,$I310=0,$I310&gt;$J310),"",$J310-$I310))</ns0:f>
      </ns0:c>
      <ns0:c r="Y310" s="955" t="str">
        <ns0:f>IF(COUNTA($A310:$M310)=0,"",IF(OR($U310="Subscription",NOT(ISNUMBER($J310)),$J310=0,$X310=""),"",$X310/$J310))</ns0:f>
      </ns0:c>
      <ns0:c r="Z310" s="957" t="str">
        <ns0:f>IF(COUNTA($A310:$M310)=0,"",Instructions!$B$29+SUM($W$5:W310))</ns0:f>
      </ns0:c>
    </ns0:row>
    <ns0:row r="311" ht="36" customHeight="1">
      <ns0:c r="A311" s="439"/>
      <ns0:c r="B311" s="453"/>
      <ns0:c r="C311" s="453"/>
      <ns0:c r="D311" s="454"/>
      <ns0:c r="E311" s="454"/>
      <ns0:c r="F311" s="454"/>
      <ns0:c r="G311" s="986"/>
      <ns0:c r="H311" s="455"/>
      <ns0:c r="I311" s="456"/>
      <ns0:c r="J311" s="456"/>
      <ns0:c r="K311" s="986"/>
      <ns0:c r="L311" s="454"/>
      <ns0:c r="M311" s="439"/>
      <ns0:c r="N311" s="987" t="str">
        <ns0:f>IF(COUNTA($A311:$M311)=0,"",IF(OR(LEFT(LOWER(TRIM($F311&amp;"")),12)="subscription",LOWER(TRIM($F311&amp;""))="membership"),"",IF(OR(AND($H311&lt;&gt;"",$H311=0),LEFT(LOWER(TRIM($F311&amp;"")),9)="free game",LOWER(TRIM($F311&amp;""))="free",LOWER(TRIM($F311&amp;""))="free entry"),IF(ISNUMBER($G311),IF(ISNUMBER(SEARCH("non",LOWER($E311&amp;""))),$G311*0.85,$G311),"N/A"),IF($G311="","",IFERROR(IF(ISNUMBER(SEARCH("non",LOWER($E311&amp;""))),$G311*0.85,$G311),"")))))</ns0:f>
        <ns0:v/>
      </ns0:c>
      <ns0:c r="O311" s="987" t="str">
        <ns0:f>IF(COUNTA($A311:$M311)=0,"",IF(OR(LEFT(LOWER(TRIM($F311&amp;"")),12)="subscription",LOWER(TRIM($F311&amp;""))="membership"),"",IF(OR(AND($H311&lt;&gt;"",$H311=0),LEFT(LOWER(TRIM($F311&amp;"")),9)="free game",LOWER(TRIM($F311&amp;""))="free",LOWER(TRIM($F311&amp;""))="free entry"),IF(OR(NOT(ISNUMBER($N311)),NOT(ISNUMBER($I311)),$I311=0),"N/A",IFERROR($N311/$I311,"N/A")),IF(OR($N311="",$I311="",$I311=0),"",IFERROR($N311/$I311,"")))))</ns0:f>
        <ns0:v/>
      </ns0:c>
      <ns0:c r="P311" s="987">
        <ns0:f>IF(COUNTA($A311:$M311)=0,"",IF(OR(LEFT(LOWER(TRIM($F311&amp;"")),12)="subscription",LOWER(TRIM($F311&amp;""))="membership"),"",IF(LOWER(TRIM($D311&amp;""))="estimate","N/A",IF(LOWER($L311&amp;"")="yes",0,IF(OR(AND($H311&lt;&gt;"",$H311=0),LEFT(LOWER(TRIM($F311&amp;"")),9)="free game",LOWER(TRIM($F311&amp;""))="free",LOWER(TRIM($F311&amp;""))="free entry"),IF(ISNUMBER($K311),$K311,""),IF($K311&lt;&gt;"",$K311,""))))))</ns0:f>
      </ns0:c>
      <ns0:c r="Q311" s="114">
        <ns0:f>IF(COUNTA($A311:$M311)=0,"",IF(OR($U311="Subscription",$U311=""),"",IF($U311="Estimate","N/A",IF($U311="Profit",ROUND(IFERROR($P311,0)-IFERROR($H311,0),2),0))))</ns0:f>
      </ns0:c>
      <ns0:c r="R311" s="114">
        <ns0:f>IF(COUNTA($A311:$M311)=0,"",IF(OR($U311="Subscription",$U311=""),"",IF($U311="Estimate","N/A",IF($U311="Draw",$H311,0))))</ns0:f>
      </ns0:c>
      <ns0:c r="S311" s="114">
        <ns0:f>IF(COUNTA($A311:$M311)=0,"",IF(OR($U311="Subscription",$U311=""),"",IF($U311="Estimate","N/A",IF($U311="Disqualified",$H311,0))))</ns0:f>
      </ns0:c>
      <ns0:c r="T311" s="955">
        <ns0:f>IF(COUNTA($A311:$M311)=0,"",IF(OR($U311="Subscription",$U311=""),"",IF($U311="Estimate","N/A",IF(OR($U311="Free Game",$U311="Disqualified — Free Game",$H311=0),"N/A",IF($U311="Profit",$Q311/$H311,IF($U311="Disqualified",-$S311/$H311,0))))))</ns0:f>
      </ns0:c>
      <ns0:c r="U311" s="920">
        <ns0:f>IF(COUNTA($A311:$M311)=0,"",IF(OR(LEFT(LOWER(TRIM($F311&amp;"")),12)="subscription",LOWER(TRIM($F311&amp;""))="membership"),"Subscription",IF(LOWER(TRIM($D311&amp;""))="estimate","Estimate",IF(OR(AND($H311&lt;&gt;"",$H311=0),LEFT(LOWER(TRIM($F311&amp;"")),9)="free game",LOWER(TRIM($F311&amp;""))="free",LOWER(TRIM($F311&amp;""))="free entry"),IF(LOWER($L311&amp;"")="yes","Disqualified — Free Game","Free Game"),IF(LOWER($L311&amp;"")="yes","Disqualified",IF($P311="","",IF(ROUND(IFERROR(VALUE($P311),0)-IFERROR(VALUE($H311),0),2)&gt;0,"Profit","Draw")))))))</ns0:f>
      </ns0:c>
      <ns0:c r="V311" s="956" t="str">
        <ns0:f>IF(COUNTA($A311:$M311)=0,"",IF(OR($B311="",$C311="",$U311="Subscription"),"",IFERROR(ROUNDUP(($C311-$B311)/7,0),"")))</ns0:f>
      </ns0:c>
      <ns0:c r="W311" s="114">
        <ns0:f>IF(COUNTA($A311:$M311)=0,"",IF(OR($U311="Subscription",$U311=""),"",IF($U311="Estimate","N/A",IF(OR($U311="Free Game",$U311="Disqualified — Free Game"),0,ROUND(IFERROR($Q311,0)-IFERROR($S311,0),2)))))</ns0:f>
      </ns0:c>
      <ns0:c r="X311" s="956" t="str">
        <ns0:f>IF(COUNTA($A311:$M311)=0,"",IF(OR($U311="Subscription",NOT(ISNUMBER($J311)),NOT(ISNUMBER($I311)),$J311=0,$I311=0,$I311&gt;$J311),"",$J311-$I311))</ns0:f>
      </ns0:c>
      <ns0:c r="Y311" s="955" t="str">
        <ns0:f>IF(COUNTA($A311:$M311)=0,"",IF(OR($U311="Subscription",NOT(ISNUMBER($J311)),$J311=0,$X311=""),"",$X311/$J311))</ns0:f>
      </ns0:c>
      <ns0:c r="Z311" s="957" t="str">
        <ns0:f>IF(COUNTA($A311:$M311)=0,"",Instructions!$B$29+SUM($W$5:W311))</ns0:f>
      </ns0:c>
    </ns0:row>
    <ns0:row r="312" ht="36" customHeight="1">
      <ns0:c r="A312" s="439"/>
      <ns0:c r="B312" s="453"/>
      <ns0:c r="C312" s="453"/>
      <ns0:c r="D312" s="454"/>
      <ns0:c r="E312" s="454"/>
      <ns0:c r="F312" s="454"/>
      <ns0:c r="G312" s="986"/>
      <ns0:c r="H312" s="455"/>
      <ns0:c r="I312" s="456"/>
      <ns0:c r="J312" s="456"/>
      <ns0:c r="K312" s="986"/>
      <ns0:c r="L312" s="454"/>
      <ns0:c r="M312" s="439"/>
      <ns0:c r="N312" s="987" t="str">
        <ns0:f>IF(COUNTA($A312:$M312)=0,"",IF(OR(LEFT(LOWER(TRIM($F312&amp;"")),12)="subscription",LOWER(TRIM($F312&amp;""))="membership"),"",IF(OR(AND($H312&lt;&gt;"",$H312=0),LEFT(LOWER(TRIM($F312&amp;"")),9)="free game",LOWER(TRIM($F312&amp;""))="free",LOWER(TRIM($F312&amp;""))="free entry"),IF(ISNUMBER($G312),IF(ISNUMBER(SEARCH("non",LOWER($E312&amp;""))),$G312*0.85,$G312),"N/A"),IF($G312="","",IFERROR(IF(ISNUMBER(SEARCH("non",LOWER($E312&amp;""))),$G312*0.85,$G312),"")))))</ns0:f>
        <ns0:v/>
      </ns0:c>
      <ns0:c r="O312" s="987" t="str">
        <ns0:f>IF(COUNTA($A312:$M312)=0,"",IF(OR(LEFT(LOWER(TRIM($F312&amp;"")),12)="subscription",LOWER(TRIM($F312&amp;""))="membership"),"",IF(OR(AND($H312&lt;&gt;"",$H312=0),LEFT(LOWER(TRIM($F312&amp;"")),9)="free game",LOWER(TRIM($F312&amp;""))="free",LOWER(TRIM($F312&amp;""))="free entry"),IF(OR(NOT(ISNUMBER($N312)),NOT(ISNUMBER($I312)),$I312=0),"N/A",IFERROR($N312/$I312,"N/A")),IF(OR($N312="",$I312="",$I312=0),"",IFERROR($N312/$I312,"")))))</ns0:f>
        <ns0:v/>
      </ns0:c>
      <ns0:c r="P312" s="987">
        <ns0:f>IF(COUNTA($A312:$M312)=0,"",IF(OR(LEFT(LOWER(TRIM($F312&amp;"")),12)="subscription",LOWER(TRIM($F312&amp;""))="membership"),"",IF(LOWER(TRIM($D312&amp;""))="estimate","N/A",IF(LOWER($L312&amp;"")="yes",0,IF(OR(AND($H312&lt;&gt;"",$H312=0),LEFT(LOWER(TRIM($F312&amp;"")),9)="free game",LOWER(TRIM($F312&amp;""))="free",LOWER(TRIM($F312&amp;""))="free entry"),IF(ISNUMBER($K312),$K312,""),IF($K312&lt;&gt;"",$K312,""))))))</ns0:f>
      </ns0:c>
      <ns0:c r="Q312" s="114">
        <ns0:f>IF(COUNTA($A312:$M312)=0,"",IF(OR($U312="Subscription",$U312=""),"",IF($U312="Estimate","N/A",IF($U312="Profit",ROUND(IFERROR($P312,0)-IFERROR($H312,0),2),0))))</ns0:f>
      </ns0:c>
      <ns0:c r="R312" s="114">
        <ns0:f>IF(COUNTA($A312:$M312)=0,"",IF(OR($U312="Subscription",$U312=""),"",IF($U312="Estimate","N/A",IF($U312="Draw",$H312,0))))</ns0:f>
      </ns0:c>
      <ns0:c r="S312" s="114">
        <ns0:f>IF(COUNTA($A312:$M312)=0,"",IF(OR($U312="Subscription",$U312=""),"",IF($U312="Estimate","N/A",IF($U312="Disqualified",$H312,0))))</ns0:f>
      </ns0:c>
      <ns0:c r="T312" s="955">
        <ns0:f>IF(COUNTA($A312:$M312)=0,"",IF(OR($U312="Subscription",$U312=""),"",IF($U312="Estimate","N/A",IF(OR($U312="Free Game",$U312="Disqualified — Free Game",$H312=0),"N/A",IF($U312="Profit",$Q312/$H312,IF($U312="Disqualified",-$S312/$H312,0))))))</ns0:f>
      </ns0:c>
      <ns0:c r="U312" s="920">
        <ns0:f>IF(COUNTA($A312:$M312)=0,"",IF(OR(LEFT(LOWER(TRIM($F312&amp;"")),12)="subscription",LOWER(TRIM($F312&amp;""))="membership"),"Subscription",IF(LOWER(TRIM($D312&amp;""))="estimate","Estimate",IF(OR(AND($H312&lt;&gt;"",$H312=0),LEFT(LOWER(TRIM($F312&amp;"")),9)="free game",LOWER(TRIM($F312&amp;""))="free",LOWER(TRIM($F312&amp;""))="free entry"),IF(LOWER($L312&amp;"")="yes","Disqualified — Free Game","Free Game"),IF(LOWER($L312&amp;"")="yes","Disqualified",IF($P312="","",IF(ROUND(IFERROR(VALUE($P312),0)-IFERROR(VALUE($H312),0),2)&gt;0,"Profit","Draw")))))))</ns0:f>
      </ns0:c>
      <ns0:c r="V312" s="956" t="str">
        <ns0:f>IF(COUNTA($A312:$M312)=0,"",IF(OR($B312="",$C312="",$U312="Subscription"),"",IFERROR(ROUNDUP(($C312-$B312)/7,0),"")))</ns0:f>
      </ns0:c>
      <ns0:c r="W312" s="114">
        <ns0:f>IF(COUNTA($A312:$M312)=0,"",IF(OR($U312="Subscription",$U312=""),"",IF($U312="Estimate","N/A",IF(OR($U312="Free Game",$U312="Disqualified — Free Game"),0,ROUND(IFERROR($Q312,0)-IFERROR($S312,0),2)))))</ns0:f>
      </ns0:c>
      <ns0:c r="X312" s="956" t="str">
        <ns0:f>IF(COUNTA($A312:$M312)=0,"",IF(OR($U312="Subscription",NOT(ISNUMBER($J312)),NOT(ISNUMBER($I312)),$J312=0,$I312=0,$I312&gt;$J312),"",$J312-$I312))</ns0:f>
      </ns0:c>
      <ns0:c r="Y312" s="955" t="str">
        <ns0:f>IF(COUNTA($A312:$M312)=0,"",IF(OR($U312="Subscription",NOT(ISNUMBER($J312)),$J312=0,$X312=""),"",$X312/$J312))</ns0:f>
      </ns0:c>
      <ns0:c r="Z312" s="957" t="str">
        <ns0:f>IF(COUNTA($A312:$M312)=0,"",Instructions!$B$29+SUM($W$5:W312))</ns0:f>
      </ns0:c>
    </ns0:row>
    <ns0:row r="313" ht="36" customHeight="1">
      <ns0:c r="A313" s="439"/>
      <ns0:c r="B313" s="453"/>
      <ns0:c r="C313" s="453"/>
      <ns0:c r="D313" s="454"/>
      <ns0:c r="E313" s="454"/>
      <ns0:c r="F313" s="454"/>
      <ns0:c r="G313" s="986"/>
      <ns0:c r="H313" s="455"/>
      <ns0:c r="I313" s="456"/>
      <ns0:c r="J313" s="456"/>
      <ns0:c r="K313" s="986"/>
      <ns0:c r="L313" s="454"/>
      <ns0:c r="M313" s="439"/>
      <ns0:c r="N313" s="987" t="str">
        <ns0:f>IF(COUNTA($A313:$M313)=0,"",IF(OR(LEFT(LOWER(TRIM($F313&amp;"")),12)="subscription",LOWER(TRIM($F313&amp;""))="membership"),"",IF(OR(AND($H313&lt;&gt;"",$H313=0),LEFT(LOWER(TRIM($F313&amp;"")),9)="free game",LOWER(TRIM($F313&amp;""))="free",LOWER(TRIM($F313&amp;""))="free entry"),IF(ISNUMBER($G313),IF(ISNUMBER(SEARCH("non",LOWER($E313&amp;""))),$G313*0.85,$G313),"N/A"),IF($G313="","",IFERROR(IF(ISNUMBER(SEARCH("non",LOWER($E313&amp;""))),$G313*0.85,$G313),"")))))</ns0:f>
        <ns0:v/>
      </ns0:c>
      <ns0:c r="O313" s="987" t="str">
        <ns0:f>IF(COUNTA($A313:$M313)=0,"",IF(OR(LEFT(LOWER(TRIM($F313&amp;"")),12)="subscription",LOWER(TRIM($F313&amp;""))="membership"),"",IF(OR(AND($H313&lt;&gt;"",$H313=0),LEFT(LOWER(TRIM($F313&amp;"")),9)="free game",LOWER(TRIM($F313&amp;""))="free",LOWER(TRIM($F313&amp;""))="free entry"),IF(OR(NOT(ISNUMBER($N313)),NOT(ISNUMBER($I313)),$I313=0),"N/A",IFERROR($N313/$I313,"N/A")),IF(OR($N313="",$I313="",$I313=0),"",IFERROR($N313/$I313,"")))))</ns0:f>
        <ns0:v/>
      </ns0:c>
      <ns0:c r="P313" s="987">
        <ns0:f>IF(COUNTA($A313:$M313)=0,"",IF(OR(LEFT(LOWER(TRIM($F313&amp;"")),12)="subscription",LOWER(TRIM($F313&amp;""))="membership"),"",IF(LOWER(TRIM($D313&amp;""))="estimate","N/A",IF(LOWER($L313&amp;"")="yes",0,IF(OR(AND($H313&lt;&gt;"",$H313=0),LEFT(LOWER(TRIM($F313&amp;"")),9)="free game",LOWER(TRIM($F313&amp;""))="free",LOWER(TRIM($F313&amp;""))="free entry"),IF(ISNUMBER($K313),$K313,""),IF($K313&lt;&gt;"",$K313,""))))))</ns0:f>
      </ns0:c>
      <ns0:c r="Q313" s="114">
        <ns0:f>IF(COUNTA($A313:$M313)=0,"",IF(OR($U313="Subscription",$U313=""),"",IF($U313="Estimate","N/A",IF($U313="Profit",ROUND(IFERROR($P313,0)-IFERROR($H313,0),2),0))))</ns0:f>
      </ns0:c>
      <ns0:c r="R313" s="114">
        <ns0:f>IF(COUNTA($A313:$M313)=0,"",IF(OR($U313="Subscription",$U313=""),"",IF($U313="Estimate","N/A",IF($U313="Draw",$H313,0))))</ns0:f>
      </ns0:c>
      <ns0:c r="S313" s="114">
        <ns0:f>IF(COUNTA($A313:$M313)=0,"",IF(OR($U313="Subscription",$U313=""),"",IF($U313="Estimate","N/A",IF($U313="Disqualified",$H313,0))))</ns0:f>
      </ns0:c>
      <ns0:c r="T313" s="955">
        <ns0:f>IF(COUNTA($A313:$M313)=0,"",IF(OR($U313="Subscription",$U313=""),"",IF($U313="Estimate","N/A",IF(OR($U313="Free Game",$U313="Disqualified — Free Game",$H313=0),"N/A",IF($U313="Profit",$Q313/$H313,IF($U313="Disqualified",-$S313/$H313,0))))))</ns0:f>
      </ns0:c>
      <ns0:c r="U313" s="920">
        <ns0:f>IF(COUNTA($A313:$M313)=0,"",IF(OR(LEFT(LOWER(TRIM($F313&amp;"")),12)="subscription",LOWER(TRIM($F313&amp;""))="membership"),"Subscription",IF(LOWER(TRIM($D313&amp;""))="estimate","Estimate",IF(OR(AND($H313&lt;&gt;"",$H313=0),LEFT(LOWER(TRIM($F313&amp;"")),9)="free game",LOWER(TRIM($F313&amp;""))="free",LOWER(TRIM($F313&amp;""))="free entry"),IF(LOWER($L313&amp;"")="yes","Disqualified — Free Game","Free Game"),IF(LOWER($L313&amp;"")="yes","Disqualified",IF($P313="","",IF(ROUND(IFERROR(VALUE($P313),0)-IFERROR(VALUE($H313),0),2)&gt;0,"Profit","Draw")))))))</ns0:f>
      </ns0:c>
      <ns0:c r="V313" s="956" t="str">
        <ns0:f>IF(COUNTA($A313:$M313)=0,"",IF(OR($B313="",$C313="",$U313="Subscription"),"",IFERROR(ROUNDUP(($C313-$B313)/7,0),"")))</ns0:f>
      </ns0:c>
      <ns0:c r="W313" s="114">
        <ns0:f>IF(COUNTA($A313:$M313)=0,"",IF(OR($U313="Subscription",$U313=""),"",IF($U313="Estimate","N/A",IF(OR($U313="Free Game",$U313="Disqualified — Free Game"),0,ROUND(IFERROR($Q313,0)-IFERROR($S313,0),2)))))</ns0:f>
      </ns0:c>
      <ns0:c r="X313" s="956" t="str">
        <ns0:f>IF(COUNTA($A313:$M313)=0,"",IF(OR($U313="Subscription",NOT(ISNUMBER($J313)),NOT(ISNUMBER($I313)),$J313=0,$I313=0,$I313&gt;$J313),"",$J313-$I313))</ns0:f>
      </ns0:c>
      <ns0:c r="Y313" s="955" t="str">
        <ns0:f>IF(COUNTA($A313:$M313)=0,"",IF(OR($U313="Subscription",NOT(ISNUMBER($J313)),$J313=0,$X313=""),"",$X313/$J313))</ns0:f>
      </ns0:c>
      <ns0:c r="Z313" s="957" t="str">
        <ns0:f>IF(COUNTA($A313:$M313)=0,"",Instructions!$B$29+SUM($W$5:W313))</ns0:f>
      </ns0:c>
    </ns0:row>
    <ns0:row r="314" ht="36" customHeight="1">
      <ns0:c r="A314" s="439"/>
      <ns0:c r="B314" s="453"/>
      <ns0:c r="C314" s="453"/>
      <ns0:c r="D314" s="454"/>
      <ns0:c r="E314" s="454"/>
      <ns0:c r="F314" s="454"/>
      <ns0:c r="G314" s="986"/>
      <ns0:c r="H314" s="455"/>
      <ns0:c r="I314" s="456"/>
      <ns0:c r="J314" s="456"/>
      <ns0:c r="K314" s="986"/>
      <ns0:c r="L314" s="454"/>
      <ns0:c r="M314" s="439"/>
      <ns0:c r="N314" s="987" t="str">
        <ns0:f>IF(COUNTA($A314:$M314)=0,"",IF(OR(LEFT(LOWER(TRIM($F314&amp;"")),12)="subscription",LOWER(TRIM($F314&amp;""))="membership"),"",IF(OR(AND($H314&lt;&gt;"",$H314=0),LEFT(LOWER(TRIM($F314&amp;"")),9)="free game",LOWER(TRIM($F314&amp;""))="free",LOWER(TRIM($F314&amp;""))="free entry"),IF(ISNUMBER($G314),IF(ISNUMBER(SEARCH("non",LOWER($E314&amp;""))),$G314*0.85,$G314),"N/A"),IF($G314="","",IFERROR(IF(ISNUMBER(SEARCH("non",LOWER($E314&amp;""))),$G314*0.85,$G314),"")))))</ns0:f>
        <ns0:v/>
      </ns0:c>
      <ns0:c r="O314" s="987" t="str">
        <ns0:f>IF(COUNTA($A314:$M314)=0,"",IF(OR(LEFT(LOWER(TRIM($F314&amp;"")),12)="subscription",LOWER(TRIM($F314&amp;""))="membership"),"",IF(OR(AND($H314&lt;&gt;"",$H314=0),LEFT(LOWER(TRIM($F314&amp;"")),9)="free game",LOWER(TRIM($F314&amp;""))="free",LOWER(TRIM($F314&amp;""))="free entry"),IF(OR(NOT(ISNUMBER($N314)),NOT(ISNUMBER($I314)),$I314=0),"N/A",IFERROR($N314/$I314,"N/A")),IF(OR($N314="",$I314="",$I314=0),"",IFERROR($N314/$I314,"")))))</ns0:f>
        <ns0:v/>
      </ns0:c>
      <ns0:c r="P314" s="987">
        <ns0:f>IF(COUNTA($A314:$M314)=0,"",IF(OR(LEFT(LOWER(TRIM($F314&amp;"")),12)="subscription",LOWER(TRIM($F314&amp;""))="membership"),"",IF(LOWER(TRIM($D314&amp;""))="estimate","N/A",IF(LOWER($L314&amp;"")="yes",0,IF(OR(AND($H314&lt;&gt;"",$H314=0),LEFT(LOWER(TRIM($F314&amp;"")),9)="free game",LOWER(TRIM($F314&amp;""))="free",LOWER(TRIM($F314&amp;""))="free entry"),IF(ISNUMBER($K314),$K314,""),IF($K314&lt;&gt;"",$K314,""))))))</ns0:f>
      </ns0:c>
      <ns0:c r="Q314" s="114">
        <ns0:f>IF(COUNTA($A314:$M314)=0,"",IF(OR($U314="Subscription",$U314=""),"",IF($U314="Estimate","N/A",IF($U314="Profit",ROUND(IFERROR($P314,0)-IFERROR($H314,0),2),0))))</ns0:f>
      </ns0:c>
      <ns0:c r="R314" s="114">
        <ns0:f>IF(COUNTA($A314:$M314)=0,"",IF(OR($U314="Subscription",$U314=""),"",IF($U314="Estimate","N/A",IF($U314="Draw",$H314,0))))</ns0:f>
      </ns0:c>
      <ns0:c r="S314" s="114">
        <ns0:f>IF(COUNTA($A314:$M314)=0,"",IF(OR($U314="Subscription",$U314=""),"",IF($U314="Estimate","N/A",IF($U314="Disqualified",$H314,0))))</ns0:f>
      </ns0:c>
      <ns0:c r="T314" s="955">
        <ns0:f>IF(COUNTA($A314:$M314)=0,"",IF(OR($U314="Subscription",$U314=""),"",IF($U314="Estimate","N/A",IF(OR($U314="Free Game",$U314="Disqualified — Free Game",$H314=0),"N/A",IF($U314="Profit",$Q314/$H314,IF($U314="Disqualified",-$S314/$H314,0))))))</ns0:f>
      </ns0:c>
      <ns0:c r="U314" s="920">
        <ns0:f>IF(COUNTA($A314:$M314)=0,"",IF(OR(LEFT(LOWER(TRIM($F314&amp;"")),12)="subscription",LOWER(TRIM($F314&amp;""))="membership"),"Subscription",IF(LOWER(TRIM($D314&amp;""))="estimate","Estimate",IF(OR(AND($H314&lt;&gt;"",$H314=0),LEFT(LOWER(TRIM($F314&amp;"")),9)="free game",LOWER(TRIM($F314&amp;""))="free",LOWER(TRIM($F314&amp;""))="free entry"),IF(LOWER($L314&amp;"")="yes","Disqualified — Free Game","Free Game"),IF(LOWER($L314&amp;"")="yes","Disqualified",IF($P314="","",IF(ROUND(IFERROR(VALUE($P314),0)-IFERROR(VALUE($H314),0),2)&gt;0,"Profit","Draw")))))))</ns0:f>
      </ns0:c>
      <ns0:c r="V314" s="956" t="str">
        <ns0:f>IF(COUNTA($A314:$M314)=0,"",IF(OR($B314="",$C314="",$U314="Subscription"),"",IFERROR(ROUNDUP(($C314-$B314)/7,0),"")))</ns0:f>
      </ns0:c>
      <ns0:c r="W314" s="114">
        <ns0:f>IF(COUNTA($A314:$M314)=0,"",IF(OR($U314="Subscription",$U314=""),"",IF($U314="Estimate","N/A",IF(OR($U314="Free Game",$U314="Disqualified — Free Game"),0,ROUND(IFERROR($Q314,0)-IFERROR($S314,0),2)))))</ns0:f>
      </ns0:c>
      <ns0:c r="X314" s="956" t="str">
        <ns0:f>IF(COUNTA($A314:$M314)=0,"",IF(OR($U314="Subscription",NOT(ISNUMBER($J314)),NOT(ISNUMBER($I314)),$J314=0,$I314=0,$I314&gt;$J314),"",$J314-$I314))</ns0:f>
      </ns0:c>
      <ns0:c r="Y314" s="955" t="str">
        <ns0:f>IF(COUNTA($A314:$M314)=0,"",IF(OR($U314="Subscription",NOT(ISNUMBER($J314)),$J314=0,$X314=""),"",$X314/$J314))</ns0:f>
      </ns0:c>
      <ns0:c r="Z314" s="957" t="str">
        <ns0:f>IF(COUNTA($A314:$M314)=0,"",Instructions!$B$29+SUM($W$5:W314))</ns0:f>
      </ns0:c>
    </ns0:row>
    <ns0:row r="315" ht="36" customHeight="1">
      <ns0:c r="A315" s="439"/>
      <ns0:c r="B315" s="453"/>
      <ns0:c r="C315" s="453"/>
      <ns0:c r="D315" s="454"/>
      <ns0:c r="E315" s="454"/>
      <ns0:c r="F315" s="454"/>
      <ns0:c r="G315" s="986"/>
      <ns0:c r="H315" s="455"/>
      <ns0:c r="I315" s="456"/>
      <ns0:c r="J315" s="456"/>
      <ns0:c r="K315" s="986"/>
      <ns0:c r="L315" s="454"/>
      <ns0:c r="M315" s="439"/>
      <ns0:c r="N315" s="987" t="str">
        <ns0:f>IF(COUNTA($A315:$M315)=0,"",IF(OR(LEFT(LOWER(TRIM($F315&amp;"")),12)="subscription",LOWER(TRIM($F315&amp;""))="membership"),"",IF(OR(AND($H315&lt;&gt;"",$H315=0),LEFT(LOWER(TRIM($F315&amp;"")),9)="free game",LOWER(TRIM($F315&amp;""))="free",LOWER(TRIM($F315&amp;""))="free entry"),IF(ISNUMBER($G315),IF(ISNUMBER(SEARCH("non",LOWER($E315&amp;""))),$G315*0.85,$G315),"N/A"),IF($G315="","",IFERROR(IF(ISNUMBER(SEARCH("non",LOWER($E315&amp;""))),$G315*0.85,$G315),"")))))</ns0:f>
        <ns0:v/>
      </ns0:c>
      <ns0:c r="O315" s="987" t="str">
        <ns0:f>IF(COUNTA($A315:$M315)=0,"",IF(OR(LEFT(LOWER(TRIM($F315&amp;"")),12)="subscription",LOWER(TRIM($F315&amp;""))="membership"),"",IF(OR(AND($H315&lt;&gt;"",$H315=0),LEFT(LOWER(TRIM($F315&amp;"")),9)="free game",LOWER(TRIM($F315&amp;""))="free",LOWER(TRIM($F315&amp;""))="free entry"),IF(OR(NOT(ISNUMBER($N315)),NOT(ISNUMBER($I315)),$I315=0),"N/A",IFERROR($N315/$I315,"N/A")),IF(OR($N315="",$I315="",$I315=0),"",IFERROR($N315/$I315,"")))))</ns0:f>
        <ns0:v/>
      </ns0:c>
      <ns0:c r="P315" s="987">
        <ns0:f>IF(COUNTA($A315:$M315)=0,"",IF(OR(LEFT(LOWER(TRIM($F315&amp;"")),12)="subscription",LOWER(TRIM($F315&amp;""))="membership"),"",IF(LOWER(TRIM($D315&amp;""))="estimate","N/A",IF(LOWER($L315&amp;"")="yes",0,IF(OR(AND($H315&lt;&gt;"",$H315=0),LEFT(LOWER(TRIM($F315&amp;"")),9)="free game",LOWER(TRIM($F315&amp;""))="free",LOWER(TRIM($F315&amp;""))="free entry"),IF(ISNUMBER($K315),$K315,""),IF($K315&lt;&gt;"",$K315,""))))))</ns0:f>
      </ns0:c>
      <ns0:c r="Q315" s="114">
        <ns0:f>IF(COUNTA($A315:$M315)=0,"",IF(OR($U315="Subscription",$U315=""),"",IF($U315="Estimate","N/A",IF($U315="Profit",ROUND(IFERROR($P315,0)-IFERROR($H315,0),2),0))))</ns0:f>
      </ns0:c>
      <ns0:c r="R315" s="114">
        <ns0:f>IF(COUNTA($A315:$M315)=0,"",IF(OR($U315="Subscription",$U315=""),"",IF($U315="Estimate","N/A",IF($U315="Draw",$H315,0))))</ns0:f>
      </ns0:c>
      <ns0:c r="S315" s="114">
        <ns0:f>IF(COUNTA($A315:$M315)=0,"",IF(OR($U315="Subscription",$U315=""),"",IF($U315="Estimate","N/A",IF($U315="Disqualified",$H315,0))))</ns0:f>
      </ns0:c>
      <ns0:c r="T315" s="955">
        <ns0:f>IF(COUNTA($A315:$M315)=0,"",IF(OR($U315="Subscription",$U315=""),"",IF($U315="Estimate","N/A",IF(OR($U315="Free Game",$U315="Disqualified — Free Game",$H315=0),"N/A",IF($U315="Profit",$Q315/$H315,IF($U315="Disqualified",-$S315/$H315,0))))))</ns0:f>
      </ns0:c>
      <ns0:c r="U315" s="920">
        <ns0:f>IF(COUNTA($A315:$M315)=0,"",IF(OR(LEFT(LOWER(TRIM($F315&amp;"")),12)="subscription",LOWER(TRIM($F315&amp;""))="membership"),"Subscription",IF(LOWER(TRIM($D315&amp;""))="estimate","Estimate",IF(OR(AND($H315&lt;&gt;"",$H315=0),LEFT(LOWER(TRIM($F315&amp;"")),9)="free game",LOWER(TRIM($F315&amp;""))="free",LOWER(TRIM($F315&amp;""))="free entry"),IF(LOWER($L315&amp;"")="yes","Disqualified — Free Game","Free Game"),IF(LOWER($L315&amp;"")="yes","Disqualified",IF($P315="","",IF(ROUND(IFERROR(VALUE($P315),0)-IFERROR(VALUE($H315),0),2)&gt;0,"Profit","Draw")))))))</ns0:f>
      </ns0:c>
      <ns0:c r="V315" s="956" t="str">
        <ns0:f>IF(COUNTA($A315:$M315)=0,"",IF(OR($B315="",$C315="",$U315="Subscription"),"",IFERROR(ROUNDUP(($C315-$B315)/7,0),"")))</ns0:f>
      </ns0:c>
      <ns0:c r="W315" s="114">
        <ns0:f>IF(COUNTA($A315:$M315)=0,"",IF(OR($U315="Subscription",$U315=""),"",IF($U315="Estimate","N/A",IF(OR($U315="Free Game",$U315="Disqualified — Free Game"),0,ROUND(IFERROR($Q315,0)-IFERROR($S315,0),2)))))</ns0:f>
      </ns0:c>
      <ns0:c r="X315" s="956" t="str">
        <ns0:f>IF(COUNTA($A315:$M315)=0,"",IF(OR($U315="Subscription",NOT(ISNUMBER($J315)),NOT(ISNUMBER($I315)),$J315=0,$I315=0,$I315&gt;$J315),"",$J315-$I315))</ns0:f>
      </ns0:c>
      <ns0:c r="Y315" s="955" t="str">
        <ns0:f>IF(COUNTA($A315:$M315)=0,"",IF(OR($U315="Subscription",NOT(ISNUMBER($J315)),$J315=0,$X315=""),"",$X315/$J315))</ns0:f>
      </ns0:c>
      <ns0:c r="Z315" s="957" t="str">
        <ns0:f>IF(COUNTA($A315:$M315)=0,"",Instructions!$B$29+SUM($W$5:W315))</ns0:f>
      </ns0:c>
    </ns0:row>
    <ns0:row r="316" ht="36" customHeight="1">
      <ns0:c r="A316" s="439"/>
      <ns0:c r="B316" s="453"/>
      <ns0:c r="C316" s="453"/>
      <ns0:c r="D316" s="454"/>
      <ns0:c r="E316" s="454"/>
      <ns0:c r="F316" s="454"/>
      <ns0:c r="G316" s="986"/>
      <ns0:c r="H316" s="455"/>
      <ns0:c r="I316" s="456"/>
      <ns0:c r="J316" s="456"/>
      <ns0:c r="K316" s="986"/>
      <ns0:c r="L316" s="454"/>
      <ns0:c r="M316" s="439"/>
      <ns0:c r="N316" s="987" t="str">
        <ns0:f>IF(COUNTA($A316:$M316)=0,"",IF(OR(LEFT(LOWER(TRIM($F316&amp;"")),12)="subscription",LOWER(TRIM($F316&amp;""))="membership"),"",IF(OR(AND($H316&lt;&gt;"",$H316=0),LEFT(LOWER(TRIM($F316&amp;"")),9)="free game",LOWER(TRIM($F316&amp;""))="free",LOWER(TRIM($F316&amp;""))="free entry"),IF(ISNUMBER($G316),IF(ISNUMBER(SEARCH("non",LOWER($E316&amp;""))),$G316*0.85,$G316),"N/A"),IF($G316="","",IFERROR(IF(ISNUMBER(SEARCH("non",LOWER($E316&amp;""))),$G316*0.85,$G316),"")))))</ns0:f>
        <ns0:v/>
      </ns0:c>
      <ns0:c r="O316" s="987" t="str">
        <ns0:f>IF(COUNTA($A316:$M316)=0,"",IF(OR(LEFT(LOWER(TRIM($F316&amp;"")),12)="subscription",LOWER(TRIM($F316&amp;""))="membership"),"",IF(OR(AND($H316&lt;&gt;"",$H316=0),LEFT(LOWER(TRIM($F316&amp;"")),9)="free game",LOWER(TRIM($F316&amp;""))="free",LOWER(TRIM($F316&amp;""))="free entry"),IF(OR(NOT(ISNUMBER($N316)),NOT(ISNUMBER($I316)),$I316=0),"N/A",IFERROR($N316/$I316,"N/A")),IF(OR($N316="",$I316="",$I316=0),"",IFERROR($N316/$I316,"")))))</ns0:f>
        <ns0:v/>
      </ns0:c>
      <ns0:c r="P316" s="987">
        <ns0:f>IF(COUNTA($A316:$M316)=0,"",IF(OR(LEFT(LOWER(TRIM($F316&amp;"")),12)="subscription",LOWER(TRIM($F316&amp;""))="membership"),"",IF(LOWER(TRIM($D316&amp;""))="estimate","N/A",IF(LOWER($L316&amp;"")="yes",0,IF(OR(AND($H316&lt;&gt;"",$H316=0),LEFT(LOWER(TRIM($F316&amp;"")),9)="free game",LOWER(TRIM($F316&amp;""))="free",LOWER(TRIM($F316&amp;""))="free entry"),IF(ISNUMBER($K316),$K316,""),IF($K316&lt;&gt;"",$K316,""))))))</ns0:f>
      </ns0:c>
      <ns0:c r="Q316" s="114">
        <ns0:f>IF(COUNTA($A316:$M316)=0,"",IF(OR($U316="Subscription",$U316=""),"",IF($U316="Estimate","N/A",IF($U316="Profit",ROUND(IFERROR($P316,0)-IFERROR($H316,0),2),0))))</ns0:f>
      </ns0:c>
      <ns0:c r="R316" s="114">
        <ns0:f>IF(COUNTA($A316:$M316)=0,"",IF(OR($U316="Subscription",$U316=""),"",IF($U316="Estimate","N/A",IF($U316="Draw",$H316,0))))</ns0:f>
      </ns0:c>
      <ns0:c r="S316" s="114">
        <ns0:f>IF(COUNTA($A316:$M316)=0,"",IF(OR($U316="Subscription",$U316=""),"",IF($U316="Estimate","N/A",IF($U316="Disqualified",$H316,0))))</ns0:f>
      </ns0:c>
      <ns0:c r="T316" s="955">
        <ns0:f>IF(COUNTA($A316:$M316)=0,"",IF(OR($U316="Subscription",$U316=""),"",IF($U316="Estimate","N/A",IF(OR($U316="Free Game",$U316="Disqualified — Free Game",$H316=0),"N/A",IF($U316="Profit",$Q316/$H316,IF($U316="Disqualified",-$S316/$H316,0))))))</ns0:f>
      </ns0:c>
      <ns0:c r="U316" s="920">
        <ns0:f>IF(COUNTA($A316:$M316)=0,"",IF(OR(LEFT(LOWER(TRIM($F316&amp;"")),12)="subscription",LOWER(TRIM($F316&amp;""))="membership"),"Subscription",IF(LOWER(TRIM($D316&amp;""))="estimate","Estimate",IF(OR(AND($H316&lt;&gt;"",$H316=0),LEFT(LOWER(TRIM($F316&amp;"")),9)="free game",LOWER(TRIM($F316&amp;""))="free",LOWER(TRIM($F316&amp;""))="free entry"),IF(LOWER($L316&amp;"")="yes","Disqualified — Free Game","Free Game"),IF(LOWER($L316&amp;"")="yes","Disqualified",IF($P316="","",IF(ROUND(IFERROR(VALUE($P316),0)-IFERROR(VALUE($H316),0),2)&gt;0,"Profit","Draw")))))))</ns0:f>
      </ns0:c>
      <ns0:c r="V316" s="956" t="str">
        <ns0:f>IF(COUNTA($A316:$M316)=0,"",IF(OR($B316="",$C316="",$U316="Subscription"),"",IFERROR(ROUNDUP(($C316-$B316)/7,0),"")))</ns0:f>
      </ns0:c>
      <ns0:c r="W316" s="114">
        <ns0:f>IF(COUNTA($A316:$M316)=0,"",IF(OR($U316="Subscription",$U316=""),"",IF($U316="Estimate","N/A",IF(OR($U316="Free Game",$U316="Disqualified — Free Game"),0,ROUND(IFERROR($Q316,0)-IFERROR($S316,0),2)))))</ns0:f>
      </ns0:c>
      <ns0:c r="X316" s="956" t="str">
        <ns0:f>IF(COUNTA($A316:$M316)=0,"",IF(OR($U316="Subscription",NOT(ISNUMBER($J316)),NOT(ISNUMBER($I316)),$J316=0,$I316=0,$I316&gt;$J316),"",$J316-$I316))</ns0:f>
      </ns0:c>
      <ns0:c r="Y316" s="955" t="str">
        <ns0:f>IF(COUNTA($A316:$M316)=0,"",IF(OR($U316="Subscription",NOT(ISNUMBER($J316)),$J316=0,$X316=""),"",$X316/$J316))</ns0:f>
      </ns0:c>
      <ns0:c r="Z316" s="957" t="str">
        <ns0:f>IF(COUNTA($A316:$M316)=0,"",Instructions!$B$29+SUM($W$5:W316))</ns0:f>
      </ns0:c>
    </ns0:row>
    <ns0:row r="317" ht="36" customHeight="1">
      <ns0:c r="A317" s="439"/>
      <ns0:c r="B317" s="453"/>
      <ns0:c r="C317" s="453"/>
      <ns0:c r="D317" s="454"/>
      <ns0:c r="E317" s="454"/>
      <ns0:c r="F317" s="454"/>
      <ns0:c r="G317" s="986"/>
      <ns0:c r="H317" s="455"/>
      <ns0:c r="I317" s="456"/>
      <ns0:c r="J317" s="456"/>
      <ns0:c r="K317" s="986"/>
      <ns0:c r="L317" s="454"/>
      <ns0:c r="M317" s="439"/>
      <ns0:c r="N317" s="987" t="str">
        <ns0:f>IF(COUNTA($A317:$M317)=0,"",IF(OR(LEFT(LOWER(TRIM($F317&amp;"")),12)="subscription",LOWER(TRIM($F317&amp;""))="membership"),"",IF(OR(AND($H317&lt;&gt;"",$H317=0),LEFT(LOWER(TRIM($F317&amp;"")),9)="free game",LOWER(TRIM($F317&amp;""))="free",LOWER(TRIM($F317&amp;""))="free entry"),IF(ISNUMBER($G317),IF(ISNUMBER(SEARCH("non",LOWER($E317&amp;""))),$G317*0.85,$G317),"N/A"),IF($G317="","",IFERROR(IF(ISNUMBER(SEARCH("non",LOWER($E317&amp;""))),$G317*0.85,$G317),"")))))</ns0:f>
        <ns0:v/>
      </ns0:c>
      <ns0:c r="O317" s="987" t="str">
        <ns0:f>IF(COUNTA($A317:$M317)=0,"",IF(OR(LEFT(LOWER(TRIM($F317&amp;"")),12)="subscription",LOWER(TRIM($F317&amp;""))="membership"),"",IF(OR(AND($H317&lt;&gt;"",$H317=0),LEFT(LOWER(TRIM($F317&amp;"")),9)="free game",LOWER(TRIM($F317&amp;""))="free",LOWER(TRIM($F317&amp;""))="free entry"),IF(OR(NOT(ISNUMBER($N317)),NOT(ISNUMBER($I317)),$I317=0),"N/A",IFERROR($N317/$I317,"N/A")),IF(OR($N317="",$I317="",$I317=0),"",IFERROR($N317/$I317,"")))))</ns0:f>
        <ns0:v/>
      </ns0:c>
      <ns0:c r="P317" s="987">
        <ns0:f>IF(COUNTA($A317:$M317)=0,"",IF(OR(LEFT(LOWER(TRIM($F317&amp;"")),12)="subscription",LOWER(TRIM($F317&amp;""))="membership"),"",IF(LOWER(TRIM($D317&amp;""))="estimate","N/A",IF(LOWER($L317&amp;"")="yes",0,IF(OR(AND($H317&lt;&gt;"",$H317=0),LEFT(LOWER(TRIM($F317&amp;"")),9)="free game",LOWER(TRIM($F317&amp;""))="free",LOWER(TRIM($F317&amp;""))="free entry"),IF(ISNUMBER($K317),$K317,""),IF($K317&lt;&gt;"",$K317,""))))))</ns0:f>
      </ns0:c>
      <ns0:c r="Q317" s="114">
        <ns0:f>IF(COUNTA($A317:$M317)=0,"",IF(OR($U317="Subscription",$U317=""),"",IF($U317="Estimate","N/A",IF($U317="Profit",ROUND(IFERROR($P317,0)-IFERROR($H317,0),2),0))))</ns0:f>
      </ns0:c>
      <ns0:c r="R317" s="114">
        <ns0:f>IF(COUNTA($A317:$M317)=0,"",IF(OR($U317="Subscription",$U317=""),"",IF($U317="Estimate","N/A",IF($U317="Draw",$H317,0))))</ns0:f>
      </ns0:c>
      <ns0:c r="S317" s="114">
        <ns0:f>IF(COUNTA($A317:$M317)=0,"",IF(OR($U317="Subscription",$U317=""),"",IF($U317="Estimate","N/A",IF($U317="Disqualified",$H317,0))))</ns0:f>
      </ns0:c>
      <ns0:c r="T317" s="955">
        <ns0:f>IF(COUNTA($A317:$M317)=0,"",IF(OR($U317="Subscription",$U317=""),"",IF($U317="Estimate","N/A",IF(OR($U317="Free Game",$U317="Disqualified — Free Game",$H317=0),"N/A",IF($U317="Profit",$Q317/$H317,IF($U317="Disqualified",-$S317/$H317,0))))))</ns0:f>
      </ns0:c>
      <ns0:c r="U317" s="920">
        <ns0:f>IF(COUNTA($A317:$M317)=0,"",IF(OR(LEFT(LOWER(TRIM($F317&amp;"")),12)="subscription",LOWER(TRIM($F317&amp;""))="membership"),"Subscription",IF(LOWER(TRIM($D317&amp;""))="estimate","Estimate",IF(OR(AND($H317&lt;&gt;"",$H317=0),LEFT(LOWER(TRIM($F317&amp;"")),9)="free game",LOWER(TRIM($F317&amp;""))="free",LOWER(TRIM($F317&amp;""))="free entry"),IF(LOWER($L317&amp;"")="yes","Disqualified — Free Game","Free Game"),IF(LOWER($L317&amp;"")="yes","Disqualified",IF($P317="","",IF(ROUND(IFERROR(VALUE($P317),0)-IFERROR(VALUE($H317),0),2)&gt;0,"Profit","Draw")))))))</ns0:f>
      </ns0:c>
      <ns0:c r="V317" s="956" t="str">
        <ns0:f>IF(COUNTA($A317:$M317)=0,"",IF(OR($B317="",$C317="",$U317="Subscription"),"",IFERROR(ROUNDUP(($C317-$B317)/7,0),"")))</ns0:f>
      </ns0:c>
      <ns0:c r="W317" s="114">
        <ns0:f>IF(COUNTA($A317:$M317)=0,"",IF(OR($U317="Subscription",$U317=""),"",IF($U317="Estimate","N/A",IF(OR($U317="Free Game",$U317="Disqualified — Free Game"),0,ROUND(IFERROR($Q317,0)-IFERROR($S317,0),2)))))</ns0:f>
      </ns0:c>
      <ns0:c r="X317" s="956" t="str">
        <ns0:f>IF(COUNTA($A317:$M317)=0,"",IF(OR($U317="Subscription",NOT(ISNUMBER($J317)),NOT(ISNUMBER($I317)),$J317=0,$I317=0,$I317&gt;$J317),"",$J317-$I317))</ns0:f>
      </ns0:c>
      <ns0:c r="Y317" s="955" t="str">
        <ns0:f>IF(COUNTA($A317:$M317)=0,"",IF(OR($U317="Subscription",NOT(ISNUMBER($J317)),$J317=0,$X317=""),"",$X317/$J317))</ns0:f>
      </ns0:c>
      <ns0:c r="Z317" s="957" t="str">
        <ns0:f>IF(COUNTA($A317:$M317)=0,"",Instructions!$B$29+SUM($W$5:W317))</ns0:f>
      </ns0:c>
    </ns0:row>
    <ns0:row r="318" ht="36" customHeight="1">
      <ns0:c r="A318" s="439"/>
      <ns0:c r="B318" s="453"/>
      <ns0:c r="C318" s="453"/>
      <ns0:c r="D318" s="454"/>
      <ns0:c r="E318" s="454"/>
      <ns0:c r="F318" s="454"/>
      <ns0:c r="G318" s="986"/>
      <ns0:c r="H318" s="455"/>
      <ns0:c r="I318" s="456"/>
      <ns0:c r="J318" s="456"/>
      <ns0:c r="K318" s="986"/>
      <ns0:c r="L318" s="454"/>
      <ns0:c r="M318" s="439"/>
      <ns0:c r="N318" s="987" t="str">
        <ns0:f>IF(COUNTA($A318:$M318)=0,"",IF(OR(LEFT(LOWER(TRIM($F318&amp;"")),12)="subscription",LOWER(TRIM($F318&amp;""))="membership"),"",IF(OR(AND($H318&lt;&gt;"",$H318=0),LEFT(LOWER(TRIM($F318&amp;"")),9)="free game",LOWER(TRIM($F318&amp;""))="free",LOWER(TRIM($F318&amp;""))="free entry"),IF(ISNUMBER($G318),IF(ISNUMBER(SEARCH("non",LOWER($E318&amp;""))),$G318*0.85,$G318),"N/A"),IF($G318="","",IFERROR(IF(ISNUMBER(SEARCH("non",LOWER($E318&amp;""))),$G318*0.85,$G318),"")))))</ns0:f>
        <ns0:v/>
      </ns0:c>
      <ns0:c r="O318" s="987" t="str">
        <ns0:f>IF(COUNTA($A318:$M318)=0,"",IF(OR(LEFT(LOWER(TRIM($F318&amp;"")),12)="subscription",LOWER(TRIM($F318&amp;""))="membership"),"",IF(OR(AND($H318&lt;&gt;"",$H318=0),LEFT(LOWER(TRIM($F318&amp;"")),9)="free game",LOWER(TRIM($F318&amp;""))="free",LOWER(TRIM($F318&amp;""))="free entry"),IF(OR(NOT(ISNUMBER($N318)),NOT(ISNUMBER($I318)),$I318=0),"N/A",IFERROR($N318/$I318,"N/A")),IF(OR($N318="",$I318="",$I318=0),"",IFERROR($N318/$I318,"")))))</ns0:f>
        <ns0:v/>
      </ns0:c>
      <ns0:c r="P318" s="987">
        <ns0:f>IF(COUNTA($A318:$M318)=0,"",IF(OR(LEFT(LOWER(TRIM($F318&amp;"")),12)="subscription",LOWER(TRIM($F318&amp;""))="membership"),"",IF(LOWER(TRIM($D318&amp;""))="estimate","N/A",IF(LOWER($L318&amp;"")="yes",0,IF(OR(AND($H318&lt;&gt;"",$H318=0),LEFT(LOWER(TRIM($F318&amp;"")),9)="free game",LOWER(TRIM($F318&amp;""))="free",LOWER(TRIM($F318&amp;""))="free entry"),IF(ISNUMBER($K318),$K318,""),IF($K318&lt;&gt;"",$K318,""))))))</ns0:f>
      </ns0:c>
      <ns0:c r="Q318" s="114">
        <ns0:f>IF(COUNTA($A318:$M318)=0,"",IF(OR($U318="Subscription",$U318=""),"",IF($U318="Estimate","N/A",IF($U318="Profit",ROUND(IFERROR($P318,0)-IFERROR($H318,0),2),0))))</ns0:f>
      </ns0:c>
      <ns0:c r="R318" s="114">
        <ns0:f>IF(COUNTA($A318:$M318)=0,"",IF(OR($U318="Subscription",$U318=""),"",IF($U318="Estimate","N/A",IF($U318="Draw",$H318,0))))</ns0:f>
      </ns0:c>
      <ns0:c r="S318" s="114">
        <ns0:f>IF(COUNTA($A318:$M318)=0,"",IF(OR($U318="Subscription",$U318=""),"",IF($U318="Estimate","N/A",IF($U318="Disqualified",$H318,0))))</ns0:f>
      </ns0:c>
      <ns0:c r="T318" s="955">
        <ns0:f>IF(COUNTA($A318:$M318)=0,"",IF(OR($U318="Subscription",$U318=""),"",IF($U318="Estimate","N/A",IF(OR($U318="Free Game",$U318="Disqualified — Free Game",$H318=0),"N/A",IF($U318="Profit",$Q318/$H318,IF($U318="Disqualified",-$S318/$H318,0))))))</ns0:f>
      </ns0:c>
      <ns0:c r="U318" s="920">
        <ns0:f>IF(COUNTA($A318:$M318)=0,"",IF(OR(LEFT(LOWER(TRIM($F318&amp;"")),12)="subscription",LOWER(TRIM($F318&amp;""))="membership"),"Subscription",IF(LOWER(TRIM($D318&amp;""))="estimate","Estimate",IF(OR(AND($H318&lt;&gt;"",$H318=0),LEFT(LOWER(TRIM($F318&amp;"")),9)="free game",LOWER(TRIM($F318&amp;""))="free",LOWER(TRIM($F318&amp;""))="free entry"),IF(LOWER($L318&amp;"")="yes","Disqualified — Free Game","Free Game"),IF(LOWER($L318&amp;"")="yes","Disqualified",IF($P318="","",IF(ROUND(IFERROR(VALUE($P318),0)-IFERROR(VALUE($H318),0),2)&gt;0,"Profit","Draw")))))))</ns0:f>
      </ns0:c>
      <ns0:c r="V318" s="956" t="str">
        <ns0:f>IF(COUNTA($A318:$M318)=0,"",IF(OR($B318="",$C318="",$U318="Subscription"),"",IFERROR(ROUNDUP(($C318-$B318)/7,0),"")))</ns0:f>
      </ns0:c>
      <ns0:c r="W318" s="114">
        <ns0:f>IF(COUNTA($A318:$M318)=0,"",IF(OR($U318="Subscription",$U318=""),"",IF($U318="Estimate","N/A",IF(OR($U318="Free Game",$U318="Disqualified — Free Game"),0,ROUND(IFERROR($Q318,0)-IFERROR($S318,0),2)))))</ns0:f>
      </ns0:c>
      <ns0:c r="X318" s="956" t="str">
        <ns0:f>IF(COUNTA($A318:$M318)=0,"",IF(OR($U318="Subscription",NOT(ISNUMBER($J318)),NOT(ISNUMBER($I318)),$J318=0,$I318=0,$I318&gt;$J318),"",$J318-$I318))</ns0:f>
      </ns0:c>
      <ns0:c r="Y318" s="955" t="str">
        <ns0:f>IF(COUNTA($A318:$M318)=0,"",IF(OR($U318="Subscription",NOT(ISNUMBER($J318)),$J318=0,$X318=""),"",$X318/$J318))</ns0:f>
      </ns0:c>
      <ns0:c r="Z318" s="957" t="str">
        <ns0:f>IF(COUNTA($A318:$M318)=0,"",Instructions!$B$29+SUM($W$5:W318))</ns0:f>
      </ns0:c>
    </ns0:row>
    <ns0:row r="319" ht="36" customHeight="1">
      <ns0:c r="A319" s="439"/>
      <ns0:c r="B319" s="453"/>
      <ns0:c r="C319" s="453"/>
      <ns0:c r="D319" s="454"/>
      <ns0:c r="E319" s="454"/>
      <ns0:c r="F319" s="454"/>
      <ns0:c r="G319" s="986"/>
      <ns0:c r="H319" s="455"/>
      <ns0:c r="I319" s="456"/>
      <ns0:c r="J319" s="456"/>
      <ns0:c r="K319" s="986"/>
      <ns0:c r="L319" s="454"/>
      <ns0:c r="M319" s="439"/>
      <ns0:c r="N319" s="987" t="str">
        <ns0:f>IF(COUNTA($A319:$M319)=0,"",IF(OR(LEFT(LOWER(TRIM($F319&amp;"")),12)="subscription",LOWER(TRIM($F319&amp;""))="membership"),"",IF(OR(AND($H319&lt;&gt;"",$H319=0),LEFT(LOWER(TRIM($F319&amp;"")),9)="free game",LOWER(TRIM($F319&amp;""))="free",LOWER(TRIM($F319&amp;""))="free entry"),IF(ISNUMBER($G319),IF(ISNUMBER(SEARCH("non",LOWER($E319&amp;""))),$G319*0.85,$G319),"N/A"),IF($G319="","",IFERROR(IF(ISNUMBER(SEARCH("non",LOWER($E319&amp;""))),$G319*0.85,$G319),"")))))</ns0:f>
        <ns0:v/>
      </ns0:c>
      <ns0:c r="O319" s="987" t="str">
        <ns0:f>IF(COUNTA($A319:$M319)=0,"",IF(OR(LEFT(LOWER(TRIM($F319&amp;"")),12)="subscription",LOWER(TRIM($F319&amp;""))="membership"),"",IF(OR(AND($H319&lt;&gt;"",$H319=0),LEFT(LOWER(TRIM($F319&amp;"")),9)="free game",LOWER(TRIM($F319&amp;""))="free",LOWER(TRIM($F319&amp;""))="free entry"),IF(OR(NOT(ISNUMBER($N319)),NOT(ISNUMBER($I319)),$I319=0),"N/A",IFERROR($N319/$I319,"N/A")),IF(OR($N319="",$I319="",$I319=0),"",IFERROR($N319/$I319,"")))))</ns0:f>
        <ns0:v/>
      </ns0:c>
      <ns0:c r="P319" s="987">
        <ns0:f>IF(COUNTA($A319:$M319)=0,"",IF(OR(LEFT(LOWER(TRIM($F319&amp;"")),12)="subscription",LOWER(TRIM($F319&amp;""))="membership"),"",IF(LOWER(TRIM($D319&amp;""))="estimate","N/A",IF(LOWER($L319&amp;"")="yes",0,IF(OR(AND($H319&lt;&gt;"",$H319=0),LEFT(LOWER(TRIM($F319&amp;"")),9)="free game",LOWER(TRIM($F319&amp;""))="free",LOWER(TRIM($F319&amp;""))="free entry"),IF(ISNUMBER($K319),$K319,""),IF($K319&lt;&gt;"",$K319,""))))))</ns0:f>
      </ns0:c>
      <ns0:c r="Q319" s="114">
        <ns0:f>IF(COUNTA($A319:$M319)=0,"",IF(OR($U319="Subscription",$U319=""),"",IF($U319="Estimate","N/A",IF($U319="Profit",ROUND(IFERROR($P319,0)-IFERROR($H319,0),2),0))))</ns0:f>
      </ns0:c>
      <ns0:c r="R319" s="114">
        <ns0:f>IF(COUNTA($A319:$M319)=0,"",IF(OR($U319="Subscription",$U319=""),"",IF($U319="Estimate","N/A",IF($U319="Draw",$H319,0))))</ns0:f>
      </ns0:c>
      <ns0:c r="S319" s="114">
        <ns0:f>IF(COUNTA($A319:$M319)=0,"",IF(OR($U319="Subscription",$U319=""),"",IF($U319="Estimate","N/A",IF($U319="Disqualified",$H319,0))))</ns0:f>
      </ns0:c>
      <ns0:c r="T319" s="955">
        <ns0:f>IF(COUNTA($A319:$M319)=0,"",IF(OR($U319="Subscription",$U319=""),"",IF($U319="Estimate","N/A",IF(OR($U319="Free Game",$U319="Disqualified — Free Game",$H319=0),"N/A",IF($U319="Profit",$Q319/$H319,IF($U319="Disqualified",-$S319/$H319,0))))))</ns0:f>
      </ns0:c>
      <ns0:c r="U319" s="920">
        <ns0:f>IF(COUNTA($A319:$M319)=0,"",IF(OR(LEFT(LOWER(TRIM($F319&amp;"")),12)="subscription",LOWER(TRIM($F319&amp;""))="membership"),"Subscription",IF(LOWER(TRIM($D319&amp;""))="estimate","Estimate",IF(OR(AND($H319&lt;&gt;"",$H319=0),LEFT(LOWER(TRIM($F319&amp;"")),9)="free game",LOWER(TRIM($F319&amp;""))="free",LOWER(TRIM($F319&amp;""))="free entry"),IF(LOWER($L319&amp;"")="yes","Disqualified — Free Game","Free Game"),IF(LOWER($L319&amp;"")="yes","Disqualified",IF($P319="","",IF(ROUND(IFERROR(VALUE($P319),0)-IFERROR(VALUE($H319),0),2)&gt;0,"Profit","Draw")))))))</ns0:f>
      </ns0:c>
      <ns0:c r="V319" s="956" t="str">
        <ns0:f>IF(COUNTA($A319:$M319)=0,"",IF(OR($B319="",$C319="",$U319="Subscription"),"",IFERROR(ROUNDUP(($C319-$B319)/7,0),"")))</ns0:f>
      </ns0:c>
      <ns0:c r="W319" s="114">
        <ns0:f>IF(COUNTA($A319:$M319)=0,"",IF(OR($U319="Subscription",$U319=""),"",IF($U319="Estimate","N/A",IF(OR($U319="Free Game",$U319="Disqualified — Free Game"),0,ROUND(IFERROR($Q319,0)-IFERROR($S319,0),2)))))</ns0:f>
      </ns0:c>
      <ns0:c r="X319" s="956" t="str">
        <ns0:f>IF(COUNTA($A319:$M319)=0,"",IF(OR($U319="Subscription",NOT(ISNUMBER($J319)),NOT(ISNUMBER($I319)),$J319=0,$I319=0,$I319&gt;$J319),"",$J319-$I319))</ns0:f>
      </ns0:c>
      <ns0:c r="Y319" s="955" t="str">
        <ns0:f>IF(COUNTA($A319:$M319)=0,"",IF(OR($U319="Subscription",NOT(ISNUMBER($J319)),$J319=0,$X319=""),"",$X319/$J319))</ns0:f>
      </ns0:c>
      <ns0:c r="Z319" s="957" t="str">
        <ns0:f>IF(COUNTA($A319:$M319)=0,"",Instructions!$B$29+SUM($W$5:W319))</ns0:f>
      </ns0:c>
    </ns0:row>
    <ns0:row r="320" ht="36" customHeight="1">
      <ns0:c r="A320" s="439"/>
      <ns0:c r="B320" s="453"/>
      <ns0:c r="C320" s="453"/>
      <ns0:c r="D320" s="454"/>
      <ns0:c r="E320" s="454"/>
      <ns0:c r="F320" s="454"/>
      <ns0:c r="G320" s="986"/>
      <ns0:c r="H320" s="455"/>
      <ns0:c r="I320" s="456"/>
      <ns0:c r="J320" s="456"/>
      <ns0:c r="K320" s="986"/>
      <ns0:c r="L320" s="454"/>
      <ns0:c r="M320" s="439"/>
      <ns0:c r="N320" s="987" t="str">
        <ns0:f>IF(COUNTA($A320:$M320)=0,"",IF(OR(LEFT(LOWER(TRIM($F320&amp;"")),12)="subscription",LOWER(TRIM($F320&amp;""))="membership"),"",IF(OR(AND($H320&lt;&gt;"",$H320=0),LEFT(LOWER(TRIM($F320&amp;"")),9)="free game",LOWER(TRIM($F320&amp;""))="free",LOWER(TRIM($F320&amp;""))="free entry"),IF(ISNUMBER($G320),IF(ISNUMBER(SEARCH("non",LOWER($E320&amp;""))),$G320*0.85,$G320),"N/A"),IF($G320="","",IFERROR(IF(ISNUMBER(SEARCH("non",LOWER($E320&amp;""))),$G320*0.85,$G320),"")))))</ns0:f>
        <ns0:v/>
      </ns0:c>
      <ns0:c r="O320" s="987" t="str">
        <ns0:f>IF(COUNTA($A320:$M320)=0,"",IF(OR(LEFT(LOWER(TRIM($F320&amp;"")),12)="subscription",LOWER(TRIM($F320&amp;""))="membership"),"",IF(OR(AND($H320&lt;&gt;"",$H320=0),LEFT(LOWER(TRIM($F320&amp;"")),9)="free game",LOWER(TRIM($F320&amp;""))="free",LOWER(TRIM($F320&amp;""))="free entry"),IF(OR(NOT(ISNUMBER($N320)),NOT(ISNUMBER($I320)),$I320=0),"N/A",IFERROR($N320/$I320,"N/A")),IF(OR($N320="",$I320="",$I320=0),"",IFERROR($N320/$I320,"")))))</ns0:f>
        <ns0:v/>
      </ns0:c>
      <ns0:c r="P320" s="987">
        <ns0:f>IF(COUNTA($A320:$M320)=0,"",IF(OR(LEFT(LOWER(TRIM($F320&amp;"")),12)="subscription",LOWER(TRIM($F320&amp;""))="membership"),"",IF(LOWER(TRIM($D320&amp;""))="estimate","N/A",IF(LOWER($L320&amp;"")="yes",0,IF(OR(AND($H320&lt;&gt;"",$H320=0),LEFT(LOWER(TRIM($F320&amp;"")),9)="free game",LOWER(TRIM($F320&amp;""))="free",LOWER(TRIM($F320&amp;""))="free entry"),IF(ISNUMBER($K320),$K320,""),IF($K320&lt;&gt;"",$K320,""))))))</ns0:f>
      </ns0:c>
      <ns0:c r="Q320" s="114">
        <ns0:f>IF(COUNTA($A320:$M320)=0,"",IF(OR($U320="Subscription",$U320=""),"",IF($U320="Estimate","N/A",IF($U320="Profit",ROUND(IFERROR($P320,0)-IFERROR($H320,0),2),0))))</ns0:f>
      </ns0:c>
      <ns0:c r="R320" s="114">
        <ns0:f>IF(COUNTA($A320:$M320)=0,"",IF(OR($U320="Subscription",$U320=""),"",IF($U320="Estimate","N/A",IF($U320="Draw",$H320,0))))</ns0:f>
      </ns0:c>
      <ns0:c r="S320" s="114">
        <ns0:f>IF(COUNTA($A320:$M320)=0,"",IF(OR($U320="Subscription",$U320=""),"",IF($U320="Estimate","N/A",IF($U320="Disqualified",$H320,0))))</ns0:f>
      </ns0:c>
      <ns0:c r="T320" s="955">
        <ns0:f>IF(COUNTA($A320:$M320)=0,"",IF(OR($U320="Subscription",$U320=""),"",IF($U320="Estimate","N/A",IF(OR($U320="Free Game",$U320="Disqualified — Free Game",$H320=0),"N/A",IF($U320="Profit",$Q320/$H320,IF($U320="Disqualified",-$S320/$H320,0))))))</ns0:f>
      </ns0:c>
      <ns0:c r="U320" s="920">
        <ns0:f>IF(COUNTA($A320:$M320)=0,"",IF(OR(LEFT(LOWER(TRIM($F320&amp;"")),12)="subscription",LOWER(TRIM($F320&amp;""))="membership"),"Subscription",IF(LOWER(TRIM($D320&amp;""))="estimate","Estimate",IF(OR(AND($H320&lt;&gt;"",$H320=0),LEFT(LOWER(TRIM($F320&amp;"")),9)="free game",LOWER(TRIM($F320&amp;""))="free",LOWER(TRIM($F320&amp;""))="free entry"),IF(LOWER($L320&amp;"")="yes","Disqualified — Free Game","Free Game"),IF(LOWER($L320&amp;"")="yes","Disqualified",IF($P320="","",IF(ROUND(IFERROR(VALUE($P320),0)-IFERROR(VALUE($H320),0),2)&gt;0,"Profit","Draw")))))))</ns0:f>
      </ns0:c>
      <ns0:c r="V320" s="956" t="str">
        <ns0:f>IF(COUNTA($A320:$M320)=0,"",IF(OR($B320="",$C320="",$U320="Subscription"),"",IFERROR(ROUNDUP(($C320-$B320)/7,0),"")))</ns0:f>
      </ns0:c>
      <ns0:c r="W320" s="114">
        <ns0:f>IF(COUNTA($A320:$M320)=0,"",IF(OR($U320="Subscription",$U320=""),"",IF($U320="Estimate","N/A",IF(OR($U320="Free Game",$U320="Disqualified — Free Game"),0,ROUND(IFERROR($Q320,0)-IFERROR($S320,0),2)))))</ns0:f>
      </ns0:c>
      <ns0:c r="X320" s="956" t="str">
        <ns0:f>IF(COUNTA($A320:$M320)=0,"",IF(OR($U320="Subscription",NOT(ISNUMBER($J320)),NOT(ISNUMBER($I320)),$J320=0,$I320=0,$I320&gt;$J320),"",$J320-$I320))</ns0:f>
      </ns0:c>
      <ns0:c r="Y320" s="955" t="str">
        <ns0:f>IF(COUNTA($A320:$M320)=0,"",IF(OR($U320="Subscription",NOT(ISNUMBER($J320)),$J320=0,$X320=""),"",$X320/$J320))</ns0:f>
      </ns0:c>
      <ns0:c r="Z320" s="957" t="str">
        <ns0:f>IF(COUNTA($A320:$M320)=0,"",Instructions!$B$29+SUM($W$5:W320))</ns0:f>
      </ns0:c>
    </ns0:row>
    <ns0:row r="321" ht="36" customHeight="1">
      <ns0:c r="A321" s="439"/>
      <ns0:c r="B321" s="453"/>
      <ns0:c r="C321" s="453"/>
      <ns0:c r="D321" s="454"/>
      <ns0:c r="E321" s="454"/>
      <ns0:c r="F321" s="454"/>
      <ns0:c r="G321" s="986"/>
      <ns0:c r="H321" s="455"/>
      <ns0:c r="I321" s="456"/>
      <ns0:c r="J321" s="456"/>
      <ns0:c r="K321" s="986"/>
      <ns0:c r="L321" s="454"/>
      <ns0:c r="M321" s="439"/>
      <ns0:c r="N321" s="987" t="str">
        <ns0:f>IF(COUNTA($A321:$M321)=0,"",IF(OR(LEFT(LOWER(TRIM($F321&amp;"")),12)="subscription",LOWER(TRIM($F321&amp;""))="membership"),"",IF(OR(AND($H321&lt;&gt;"",$H321=0),LEFT(LOWER(TRIM($F321&amp;"")),9)="free game",LOWER(TRIM($F321&amp;""))="free",LOWER(TRIM($F321&amp;""))="free entry"),IF(ISNUMBER($G321),IF(ISNUMBER(SEARCH("non",LOWER($E321&amp;""))),$G321*0.85,$G321),"N/A"),IF($G321="","",IFERROR(IF(ISNUMBER(SEARCH("non",LOWER($E321&amp;""))),$G321*0.85,$G321),"")))))</ns0:f>
        <ns0:v/>
      </ns0:c>
      <ns0:c r="O321" s="987" t="str">
        <ns0:f>IF(COUNTA($A321:$M321)=0,"",IF(OR(LEFT(LOWER(TRIM($F321&amp;"")),12)="subscription",LOWER(TRIM($F321&amp;""))="membership"),"",IF(OR(AND($H321&lt;&gt;"",$H321=0),LEFT(LOWER(TRIM($F321&amp;"")),9)="free game",LOWER(TRIM($F321&amp;""))="free",LOWER(TRIM($F321&amp;""))="free entry"),IF(OR(NOT(ISNUMBER($N321)),NOT(ISNUMBER($I321)),$I321=0),"N/A",IFERROR($N321/$I321,"N/A")),IF(OR($N321="",$I321="",$I321=0),"",IFERROR($N321/$I321,"")))))</ns0:f>
        <ns0:v/>
      </ns0:c>
      <ns0:c r="P321" s="987">
        <ns0:f>IF(COUNTA($A321:$M321)=0,"",IF(OR(LEFT(LOWER(TRIM($F321&amp;"")),12)="subscription",LOWER(TRIM($F321&amp;""))="membership"),"",IF(LOWER(TRIM($D321&amp;""))="estimate","N/A",IF(LOWER($L321&amp;"")="yes",0,IF(OR(AND($H321&lt;&gt;"",$H321=0),LEFT(LOWER(TRIM($F321&amp;"")),9)="free game",LOWER(TRIM($F321&amp;""))="free",LOWER(TRIM($F321&amp;""))="free entry"),IF(ISNUMBER($K321),$K321,""),IF($K321&lt;&gt;"",$K321,""))))))</ns0:f>
      </ns0:c>
      <ns0:c r="Q321" s="114">
        <ns0:f>IF(COUNTA($A321:$M321)=0,"",IF(OR($U321="Subscription",$U321=""),"",IF($U321="Estimate","N/A",IF($U321="Profit",ROUND(IFERROR($P321,0)-IFERROR($H321,0),2),0))))</ns0:f>
      </ns0:c>
      <ns0:c r="R321" s="114">
        <ns0:f>IF(COUNTA($A321:$M321)=0,"",IF(OR($U321="Subscription",$U321=""),"",IF($U321="Estimate","N/A",IF($U321="Draw",$H321,0))))</ns0:f>
      </ns0:c>
      <ns0:c r="S321" s="114">
        <ns0:f>IF(COUNTA($A321:$M321)=0,"",IF(OR($U321="Subscription",$U321=""),"",IF($U321="Estimate","N/A",IF($U321="Disqualified",$H321,0))))</ns0:f>
      </ns0:c>
      <ns0:c r="T321" s="955">
        <ns0:f>IF(COUNTA($A321:$M321)=0,"",IF(OR($U321="Subscription",$U321=""),"",IF($U321="Estimate","N/A",IF(OR($U321="Free Game",$U321="Disqualified — Free Game",$H321=0),"N/A",IF($U321="Profit",$Q321/$H321,IF($U321="Disqualified",-$S321/$H321,0))))))</ns0:f>
      </ns0:c>
      <ns0:c r="U321" s="920">
        <ns0:f>IF(COUNTA($A321:$M321)=0,"",IF(OR(LEFT(LOWER(TRIM($F321&amp;"")),12)="subscription",LOWER(TRIM($F321&amp;""))="membership"),"Subscription",IF(LOWER(TRIM($D321&amp;""))="estimate","Estimate",IF(OR(AND($H321&lt;&gt;"",$H321=0),LEFT(LOWER(TRIM($F321&amp;"")),9)="free game",LOWER(TRIM($F321&amp;""))="free",LOWER(TRIM($F321&amp;""))="free entry"),IF(LOWER($L321&amp;"")="yes","Disqualified — Free Game","Free Game"),IF(LOWER($L321&amp;"")="yes","Disqualified",IF($P321="","",IF(ROUND(IFERROR(VALUE($P321),0)-IFERROR(VALUE($H321),0),2)&gt;0,"Profit","Draw")))))))</ns0:f>
      </ns0:c>
      <ns0:c r="V321" s="956" t="str">
        <ns0:f>IF(COUNTA($A321:$M321)=0,"",IF(OR($B321="",$C321="",$U321="Subscription"),"",IFERROR(ROUNDUP(($C321-$B321)/7,0),"")))</ns0:f>
      </ns0:c>
      <ns0:c r="W321" s="114">
        <ns0:f>IF(COUNTA($A321:$M321)=0,"",IF(OR($U321="Subscription",$U321=""),"",IF($U321="Estimate","N/A",IF(OR($U321="Free Game",$U321="Disqualified — Free Game"),0,ROUND(IFERROR($Q321,0)-IFERROR($S321,0),2)))))</ns0:f>
      </ns0:c>
      <ns0:c r="X321" s="956" t="str">
        <ns0:f>IF(COUNTA($A321:$M321)=0,"",IF(OR($U321="Subscription",NOT(ISNUMBER($J321)),NOT(ISNUMBER($I321)),$J321=0,$I321=0,$I321&gt;$J321),"",$J321-$I321))</ns0:f>
      </ns0:c>
      <ns0:c r="Y321" s="955" t="str">
        <ns0:f>IF(COUNTA($A321:$M321)=0,"",IF(OR($U321="Subscription",NOT(ISNUMBER($J321)),$J321=0,$X321=""),"",$X321/$J321))</ns0:f>
      </ns0:c>
      <ns0:c r="Z321" s="957" t="str">
        <ns0:f>IF(COUNTA($A321:$M321)=0,"",Instructions!$B$29+SUM($W$5:W321))</ns0:f>
      </ns0:c>
    </ns0:row>
    <ns0:row r="322" ht="36" customHeight="1">
      <ns0:c r="A322" s="439"/>
      <ns0:c r="B322" s="453"/>
      <ns0:c r="C322" s="453"/>
      <ns0:c r="D322" s="454"/>
      <ns0:c r="E322" s="454"/>
      <ns0:c r="F322" s="454"/>
      <ns0:c r="G322" s="986"/>
      <ns0:c r="H322" s="455"/>
      <ns0:c r="I322" s="456"/>
      <ns0:c r="J322" s="456"/>
      <ns0:c r="K322" s="986"/>
      <ns0:c r="L322" s="454"/>
      <ns0:c r="M322" s="439"/>
      <ns0:c r="N322" s="987" t="str">
        <ns0:f>IF(COUNTA($A322:$M322)=0,"",IF(OR(LEFT(LOWER(TRIM($F322&amp;"")),12)="subscription",LOWER(TRIM($F322&amp;""))="membership"),"",IF(OR(AND($H322&lt;&gt;"",$H322=0),LEFT(LOWER(TRIM($F322&amp;"")),9)="free game",LOWER(TRIM($F322&amp;""))="free",LOWER(TRIM($F322&amp;""))="free entry"),IF(ISNUMBER($G322),IF(ISNUMBER(SEARCH("non",LOWER($E322&amp;""))),$G322*0.85,$G322),"N/A"),IF($G322="","",IFERROR(IF(ISNUMBER(SEARCH("non",LOWER($E322&amp;""))),$G322*0.85,$G322),"")))))</ns0:f>
        <ns0:v/>
      </ns0:c>
      <ns0:c r="O322" s="987" t="str">
        <ns0:f>IF(COUNTA($A322:$M322)=0,"",IF(OR(LEFT(LOWER(TRIM($F322&amp;"")),12)="subscription",LOWER(TRIM($F322&amp;""))="membership"),"",IF(OR(AND($H322&lt;&gt;"",$H322=0),LEFT(LOWER(TRIM($F322&amp;"")),9)="free game",LOWER(TRIM($F322&amp;""))="free",LOWER(TRIM($F322&amp;""))="free entry"),IF(OR(NOT(ISNUMBER($N322)),NOT(ISNUMBER($I322)),$I322=0),"N/A",IFERROR($N322/$I322,"N/A")),IF(OR($N322="",$I322="",$I322=0),"",IFERROR($N322/$I322,"")))))</ns0:f>
        <ns0:v/>
      </ns0:c>
      <ns0:c r="P322" s="987">
        <ns0:f>IF(COUNTA($A322:$M322)=0,"",IF(OR(LEFT(LOWER(TRIM($F322&amp;"")),12)="subscription",LOWER(TRIM($F322&amp;""))="membership"),"",IF(LOWER(TRIM($D322&amp;""))="estimate","N/A",IF(LOWER($L322&amp;"")="yes",0,IF(OR(AND($H322&lt;&gt;"",$H322=0),LEFT(LOWER(TRIM($F322&amp;"")),9)="free game",LOWER(TRIM($F322&amp;""))="free",LOWER(TRIM($F322&amp;""))="free entry"),IF(ISNUMBER($K322),$K322,""),IF($K322&lt;&gt;"",$K322,""))))))</ns0:f>
      </ns0:c>
      <ns0:c r="Q322" s="114">
        <ns0:f>IF(COUNTA($A322:$M322)=0,"",IF(OR($U322="Subscription",$U322=""),"",IF($U322="Estimate","N/A",IF($U322="Profit",ROUND(IFERROR($P322,0)-IFERROR($H322,0),2),0))))</ns0:f>
      </ns0:c>
      <ns0:c r="R322" s="114">
        <ns0:f>IF(COUNTA($A322:$M322)=0,"",IF(OR($U322="Subscription",$U322=""),"",IF($U322="Estimate","N/A",IF($U322="Draw",$H322,0))))</ns0:f>
      </ns0:c>
      <ns0:c r="S322" s="114">
        <ns0:f>IF(COUNTA($A322:$M322)=0,"",IF(OR($U322="Subscription",$U322=""),"",IF($U322="Estimate","N/A",IF($U322="Disqualified",$H322,0))))</ns0:f>
      </ns0:c>
      <ns0:c r="T322" s="955">
        <ns0:f>IF(COUNTA($A322:$M322)=0,"",IF(OR($U322="Subscription",$U322=""),"",IF($U322="Estimate","N/A",IF(OR($U322="Free Game",$U322="Disqualified — Free Game",$H322=0),"N/A",IF($U322="Profit",$Q322/$H322,IF($U322="Disqualified",-$S322/$H322,0))))))</ns0:f>
      </ns0:c>
      <ns0:c r="U322" s="920">
        <ns0:f>IF(COUNTA($A322:$M322)=0,"",IF(OR(LEFT(LOWER(TRIM($F322&amp;"")),12)="subscription",LOWER(TRIM($F322&amp;""))="membership"),"Subscription",IF(LOWER(TRIM($D322&amp;""))="estimate","Estimate",IF(OR(AND($H322&lt;&gt;"",$H322=0),LEFT(LOWER(TRIM($F322&amp;"")),9)="free game",LOWER(TRIM($F322&amp;""))="free",LOWER(TRIM($F322&amp;""))="free entry"),IF(LOWER($L322&amp;"")="yes","Disqualified — Free Game","Free Game"),IF(LOWER($L322&amp;"")="yes","Disqualified",IF($P322="","",IF(ROUND(IFERROR(VALUE($P322),0)-IFERROR(VALUE($H322),0),2)&gt;0,"Profit","Draw")))))))</ns0:f>
      </ns0:c>
      <ns0:c r="V322" s="956" t="str">
        <ns0:f>IF(COUNTA($A322:$M322)=0,"",IF(OR($B322="",$C322="",$U322="Subscription"),"",IFERROR(ROUNDUP(($C322-$B322)/7,0),"")))</ns0:f>
      </ns0:c>
      <ns0:c r="W322" s="114">
        <ns0:f>IF(COUNTA($A322:$M322)=0,"",IF(OR($U322="Subscription",$U322=""),"",IF($U322="Estimate","N/A",IF(OR($U322="Free Game",$U322="Disqualified — Free Game"),0,ROUND(IFERROR($Q322,0)-IFERROR($S322,0),2)))))</ns0:f>
      </ns0:c>
      <ns0:c r="X322" s="956" t="str">
        <ns0:f>IF(COUNTA($A322:$M322)=0,"",IF(OR($U322="Subscription",NOT(ISNUMBER($J322)),NOT(ISNUMBER($I322)),$J322=0,$I322=0,$I322&gt;$J322),"",$J322-$I322))</ns0:f>
      </ns0:c>
      <ns0:c r="Y322" s="955" t="str">
        <ns0:f>IF(COUNTA($A322:$M322)=0,"",IF(OR($U322="Subscription",NOT(ISNUMBER($J322)),$J322=0,$X322=""),"",$X322/$J322))</ns0:f>
      </ns0:c>
      <ns0:c r="Z322" s="957" t="str">
        <ns0:f>IF(COUNTA($A322:$M322)=0,"",Instructions!$B$29+SUM($W$5:W322))</ns0:f>
      </ns0:c>
    </ns0:row>
    <ns0:row r="323" ht="36" customHeight="1">
      <ns0:c r="A323" s="439"/>
      <ns0:c r="B323" s="453"/>
      <ns0:c r="C323" s="453"/>
      <ns0:c r="D323" s="454"/>
      <ns0:c r="E323" s="454"/>
      <ns0:c r="F323" s="454"/>
      <ns0:c r="G323" s="986"/>
      <ns0:c r="H323" s="455"/>
      <ns0:c r="I323" s="456"/>
      <ns0:c r="J323" s="456"/>
      <ns0:c r="K323" s="986"/>
      <ns0:c r="L323" s="454"/>
      <ns0:c r="M323" s="439"/>
      <ns0:c r="N323" s="987" t="str">
        <ns0:f>IF(COUNTA($A323:$M323)=0,"",IF(OR(LEFT(LOWER(TRIM($F323&amp;"")),12)="subscription",LOWER(TRIM($F323&amp;""))="membership"),"",IF(OR(AND($H323&lt;&gt;"",$H323=0),LEFT(LOWER(TRIM($F323&amp;"")),9)="free game",LOWER(TRIM($F323&amp;""))="free",LOWER(TRIM($F323&amp;""))="free entry"),IF(ISNUMBER($G323),IF(ISNUMBER(SEARCH("non",LOWER($E323&amp;""))),$G323*0.85,$G323),"N/A"),IF($G323="","",IFERROR(IF(ISNUMBER(SEARCH("non",LOWER($E323&amp;""))),$G323*0.85,$G323),"")))))</ns0:f>
        <ns0:v/>
      </ns0:c>
      <ns0:c r="O323" s="987" t="str">
        <ns0:f>IF(COUNTA($A323:$M323)=0,"",IF(OR(LEFT(LOWER(TRIM($F323&amp;"")),12)="subscription",LOWER(TRIM($F323&amp;""))="membership"),"",IF(OR(AND($H323&lt;&gt;"",$H323=0),LEFT(LOWER(TRIM($F323&amp;"")),9)="free game",LOWER(TRIM($F323&amp;""))="free",LOWER(TRIM($F323&amp;""))="free entry"),IF(OR(NOT(ISNUMBER($N323)),NOT(ISNUMBER($I323)),$I323=0),"N/A",IFERROR($N323/$I323,"N/A")),IF(OR($N323="",$I323="",$I323=0),"",IFERROR($N323/$I323,"")))))</ns0:f>
        <ns0:v/>
      </ns0:c>
      <ns0:c r="P323" s="987">
        <ns0:f>IF(COUNTA($A323:$M323)=0,"",IF(OR(LEFT(LOWER(TRIM($F323&amp;"")),12)="subscription",LOWER(TRIM($F323&amp;""))="membership"),"",IF(LOWER(TRIM($D323&amp;""))="estimate","N/A",IF(LOWER($L323&amp;"")="yes",0,IF(OR(AND($H323&lt;&gt;"",$H323=0),LEFT(LOWER(TRIM($F323&amp;"")),9)="free game",LOWER(TRIM($F323&amp;""))="free",LOWER(TRIM($F323&amp;""))="free entry"),IF(ISNUMBER($K323),$K323,""),IF($K323&lt;&gt;"",$K323,""))))))</ns0:f>
      </ns0:c>
      <ns0:c r="Q323" s="114">
        <ns0:f>IF(COUNTA($A323:$M323)=0,"",IF(OR($U323="Subscription",$U323=""),"",IF($U323="Estimate","N/A",IF($U323="Profit",ROUND(IFERROR($P323,0)-IFERROR($H323,0),2),0))))</ns0:f>
      </ns0:c>
      <ns0:c r="R323" s="114">
        <ns0:f>IF(COUNTA($A323:$M323)=0,"",IF(OR($U323="Subscription",$U323=""),"",IF($U323="Estimate","N/A",IF($U323="Draw",$H323,0))))</ns0:f>
      </ns0:c>
      <ns0:c r="S323" s="114">
        <ns0:f>IF(COUNTA($A323:$M323)=0,"",IF(OR($U323="Subscription",$U323=""),"",IF($U323="Estimate","N/A",IF($U323="Disqualified",$H323,0))))</ns0:f>
      </ns0:c>
      <ns0:c r="T323" s="955">
        <ns0:f>IF(COUNTA($A323:$M323)=0,"",IF(OR($U323="Subscription",$U323=""),"",IF($U323="Estimate","N/A",IF(OR($U323="Free Game",$U323="Disqualified — Free Game",$H323=0),"N/A",IF($U323="Profit",$Q323/$H323,IF($U323="Disqualified",-$S323/$H323,0))))))</ns0:f>
      </ns0:c>
      <ns0:c r="U323" s="920">
        <ns0:f>IF(COUNTA($A323:$M323)=0,"",IF(OR(LEFT(LOWER(TRIM($F323&amp;"")),12)="subscription",LOWER(TRIM($F323&amp;""))="membership"),"Subscription",IF(LOWER(TRIM($D323&amp;""))="estimate","Estimate",IF(OR(AND($H323&lt;&gt;"",$H323=0),LEFT(LOWER(TRIM($F323&amp;"")),9)="free game",LOWER(TRIM($F323&amp;""))="free",LOWER(TRIM($F323&amp;""))="free entry"),IF(LOWER($L323&amp;"")="yes","Disqualified — Free Game","Free Game"),IF(LOWER($L323&amp;"")="yes","Disqualified",IF($P323="","",IF(ROUND(IFERROR(VALUE($P323),0)-IFERROR(VALUE($H323),0),2)&gt;0,"Profit","Draw")))))))</ns0:f>
      </ns0:c>
      <ns0:c r="V323" s="956" t="str">
        <ns0:f>IF(COUNTA($A323:$M323)=0,"",IF(OR($B323="",$C323="",$U323="Subscription"),"",IFERROR(ROUNDUP(($C323-$B323)/7,0),"")))</ns0:f>
      </ns0:c>
      <ns0:c r="W323" s="114">
        <ns0:f>IF(COUNTA($A323:$M323)=0,"",IF(OR($U323="Subscription",$U323=""),"",IF($U323="Estimate","N/A",IF(OR($U323="Free Game",$U323="Disqualified — Free Game"),0,ROUND(IFERROR($Q323,0)-IFERROR($S323,0),2)))))</ns0:f>
      </ns0:c>
      <ns0:c r="X323" s="956" t="str">
        <ns0:f>IF(COUNTA($A323:$M323)=0,"",IF(OR($U323="Subscription",NOT(ISNUMBER($J323)),NOT(ISNUMBER($I323)),$J323=0,$I323=0,$I323&gt;$J323),"",$J323-$I323))</ns0:f>
      </ns0:c>
      <ns0:c r="Y323" s="955" t="str">
        <ns0:f>IF(COUNTA($A323:$M323)=0,"",IF(OR($U323="Subscription",NOT(ISNUMBER($J323)),$J323=0,$X323=""),"",$X323/$J323))</ns0:f>
      </ns0:c>
      <ns0:c r="Z323" s="957" t="str">
        <ns0:f>IF(COUNTA($A323:$M323)=0,"",Instructions!$B$29+SUM($W$5:W323))</ns0:f>
      </ns0:c>
    </ns0:row>
    <ns0:row r="324" ht="36" customHeight="1">
      <ns0:c r="A324" s="439"/>
      <ns0:c r="B324" s="453"/>
      <ns0:c r="C324" s="453"/>
      <ns0:c r="D324" s="454"/>
      <ns0:c r="E324" s="454"/>
      <ns0:c r="F324" s="454"/>
      <ns0:c r="G324" s="986"/>
      <ns0:c r="H324" s="455"/>
      <ns0:c r="I324" s="456"/>
      <ns0:c r="J324" s="456"/>
      <ns0:c r="K324" s="986"/>
      <ns0:c r="L324" s="454"/>
      <ns0:c r="M324" s="439"/>
      <ns0:c r="N324" s="987" t="str">
        <ns0:f>IF(COUNTA($A324:$M324)=0,"",IF(OR(LEFT(LOWER(TRIM($F324&amp;"")),12)="subscription",LOWER(TRIM($F324&amp;""))="membership"),"",IF(OR(AND($H324&lt;&gt;"",$H324=0),LEFT(LOWER(TRIM($F324&amp;"")),9)="free game",LOWER(TRIM($F324&amp;""))="free",LOWER(TRIM($F324&amp;""))="free entry"),IF(ISNUMBER($G324),IF(ISNUMBER(SEARCH("non",LOWER($E324&amp;""))),$G324*0.85,$G324),"N/A"),IF($G324="","",IFERROR(IF(ISNUMBER(SEARCH("non",LOWER($E324&amp;""))),$G324*0.85,$G324),"")))))</ns0:f>
        <ns0:v/>
      </ns0:c>
      <ns0:c r="O324" s="987" t="str">
        <ns0:f>IF(COUNTA($A324:$M324)=0,"",IF(OR(LEFT(LOWER(TRIM($F324&amp;"")),12)="subscription",LOWER(TRIM($F324&amp;""))="membership"),"",IF(OR(AND($H324&lt;&gt;"",$H324=0),LEFT(LOWER(TRIM($F324&amp;"")),9)="free game",LOWER(TRIM($F324&amp;""))="free",LOWER(TRIM($F324&amp;""))="free entry"),IF(OR(NOT(ISNUMBER($N324)),NOT(ISNUMBER($I324)),$I324=0),"N/A",IFERROR($N324/$I324,"N/A")),IF(OR($N324="",$I324="",$I324=0),"",IFERROR($N324/$I324,"")))))</ns0:f>
        <ns0:v/>
      </ns0:c>
      <ns0:c r="P324" s="987">
        <ns0:f>IF(COUNTA($A324:$M324)=0,"",IF(OR(LEFT(LOWER(TRIM($F324&amp;"")),12)="subscription",LOWER(TRIM($F324&amp;""))="membership"),"",IF(LOWER(TRIM($D324&amp;""))="estimate","N/A",IF(LOWER($L324&amp;"")="yes",0,IF(OR(AND($H324&lt;&gt;"",$H324=0),LEFT(LOWER(TRIM($F324&amp;"")),9)="free game",LOWER(TRIM($F324&amp;""))="free",LOWER(TRIM($F324&amp;""))="free entry"),IF(ISNUMBER($K324),$K324,""),IF($K324&lt;&gt;"",$K324,""))))))</ns0:f>
      </ns0:c>
      <ns0:c r="Q324" s="114">
        <ns0:f>IF(COUNTA($A324:$M324)=0,"",IF(OR($U324="Subscription",$U324=""),"",IF($U324="Estimate","N/A",IF($U324="Profit",ROUND(IFERROR($P324,0)-IFERROR($H324,0),2),0))))</ns0:f>
      </ns0:c>
      <ns0:c r="R324" s="114">
        <ns0:f>IF(COUNTA($A324:$M324)=0,"",IF(OR($U324="Subscription",$U324=""),"",IF($U324="Estimate","N/A",IF($U324="Draw",$H324,0))))</ns0:f>
      </ns0:c>
      <ns0:c r="S324" s="114">
        <ns0:f>IF(COUNTA($A324:$M324)=0,"",IF(OR($U324="Subscription",$U324=""),"",IF($U324="Estimate","N/A",IF($U324="Disqualified",$H324,0))))</ns0:f>
      </ns0:c>
      <ns0:c r="T324" s="955">
        <ns0:f>IF(COUNTA($A324:$M324)=0,"",IF(OR($U324="Subscription",$U324=""),"",IF($U324="Estimate","N/A",IF(OR($U324="Free Game",$U324="Disqualified — Free Game",$H324=0),"N/A",IF($U324="Profit",$Q324/$H324,IF($U324="Disqualified",-$S324/$H324,0))))))</ns0:f>
      </ns0:c>
      <ns0:c r="U324" s="920">
        <ns0:f>IF(COUNTA($A324:$M324)=0,"",IF(OR(LEFT(LOWER(TRIM($F324&amp;"")),12)="subscription",LOWER(TRIM($F324&amp;""))="membership"),"Subscription",IF(LOWER(TRIM($D324&amp;""))="estimate","Estimate",IF(OR(AND($H324&lt;&gt;"",$H324=0),LEFT(LOWER(TRIM($F324&amp;"")),9)="free game",LOWER(TRIM($F324&amp;""))="free",LOWER(TRIM($F324&amp;""))="free entry"),IF(LOWER($L324&amp;"")="yes","Disqualified — Free Game","Free Game"),IF(LOWER($L324&amp;"")="yes","Disqualified",IF($P324="","",IF(ROUND(IFERROR(VALUE($P324),0)-IFERROR(VALUE($H324),0),2)&gt;0,"Profit","Draw")))))))</ns0:f>
      </ns0:c>
      <ns0:c r="V324" s="956" t="str">
        <ns0:f>IF(COUNTA($A324:$M324)=0,"",IF(OR($B324="",$C324="",$U324="Subscription"),"",IFERROR(ROUNDUP(($C324-$B324)/7,0),"")))</ns0:f>
      </ns0:c>
      <ns0:c r="W324" s="114">
        <ns0:f>IF(COUNTA($A324:$M324)=0,"",IF(OR($U324="Subscription",$U324=""),"",IF($U324="Estimate","N/A",IF(OR($U324="Free Game",$U324="Disqualified — Free Game"),0,ROUND(IFERROR($Q324,0)-IFERROR($S324,0),2)))))</ns0:f>
      </ns0:c>
      <ns0:c r="X324" s="956" t="str">
        <ns0:f>IF(COUNTA($A324:$M324)=0,"",IF(OR($U324="Subscription",NOT(ISNUMBER($J324)),NOT(ISNUMBER($I324)),$J324=0,$I324=0,$I324&gt;$J324),"",$J324-$I324))</ns0:f>
      </ns0:c>
      <ns0:c r="Y324" s="955" t="str">
        <ns0:f>IF(COUNTA($A324:$M324)=0,"",IF(OR($U324="Subscription",NOT(ISNUMBER($J324)),$J324=0,$X324=""),"",$X324/$J324))</ns0:f>
      </ns0:c>
      <ns0:c r="Z324" s="957" t="str">
        <ns0:f>IF(COUNTA($A324:$M324)=0,"",Instructions!$B$29+SUM($W$5:W324))</ns0:f>
      </ns0:c>
    </ns0:row>
    <ns0:row r="325" ht="36" customHeight="1">
      <ns0:c r="A325" s="439"/>
      <ns0:c r="B325" s="453"/>
      <ns0:c r="C325" s="453"/>
      <ns0:c r="D325" s="454"/>
      <ns0:c r="E325" s="454"/>
      <ns0:c r="F325" s="454"/>
      <ns0:c r="G325" s="986"/>
      <ns0:c r="H325" s="455"/>
      <ns0:c r="I325" s="456"/>
      <ns0:c r="J325" s="456"/>
      <ns0:c r="K325" s="986"/>
      <ns0:c r="L325" s="454"/>
      <ns0:c r="M325" s="439"/>
      <ns0:c r="N325" s="987" t="str">
        <ns0:f>IF(COUNTA($A325:$M325)=0,"",IF(OR(LEFT(LOWER(TRIM($F325&amp;"")),12)="subscription",LOWER(TRIM($F325&amp;""))="membership"),"",IF(OR(AND($H325&lt;&gt;"",$H325=0),LEFT(LOWER(TRIM($F325&amp;"")),9)="free game",LOWER(TRIM($F325&amp;""))="free",LOWER(TRIM($F325&amp;""))="free entry"),IF(ISNUMBER($G325),IF(ISNUMBER(SEARCH("non",LOWER($E325&amp;""))),$G325*0.85,$G325),"N/A"),IF($G325="","",IFERROR(IF(ISNUMBER(SEARCH("non",LOWER($E325&amp;""))),$G325*0.85,$G325),"")))))</ns0:f>
        <ns0:v/>
      </ns0:c>
      <ns0:c r="O325" s="987" t="str">
        <ns0:f>IF(COUNTA($A325:$M325)=0,"",IF(OR(LEFT(LOWER(TRIM($F325&amp;"")),12)="subscription",LOWER(TRIM($F325&amp;""))="membership"),"",IF(OR(AND($H325&lt;&gt;"",$H325=0),LEFT(LOWER(TRIM($F325&amp;"")),9)="free game",LOWER(TRIM($F325&amp;""))="free",LOWER(TRIM($F325&amp;""))="free entry"),IF(OR(NOT(ISNUMBER($N325)),NOT(ISNUMBER($I325)),$I325=0),"N/A",IFERROR($N325/$I325,"N/A")),IF(OR($N325="",$I325="",$I325=0),"",IFERROR($N325/$I325,"")))))</ns0:f>
        <ns0:v/>
      </ns0:c>
      <ns0:c r="P325" s="987">
        <ns0:f>IF(COUNTA($A325:$M325)=0,"",IF(OR(LEFT(LOWER(TRIM($F325&amp;"")),12)="subscription",LOWER(TRIM($F325&amp;""))="membership"),"",IF(LOWER(TRIM($D325&amp;""))="estimate","N/A",IF(LOWER($L325&amp;"")="yes",0,IF(OR(AND($H325&lt;&gt;"",$H325=0),LEFT(LOWER(TRIM($F325&amp;"")),9)="free game",LOWER(TRIM($F325&amp;""))="free",LOWER(TRIM($F325&amp;""))="free entry"),IF(ISNUMBER($K325),$K325,""),IF($K325&lt;&gt;"",$K325,""))))))</ns0:f>
      </ns0:c>
      <ns0:c r="Q325" s="114">
        <ns0:f>IF(COUNTA($A325:$M325)=0,"",IF(OR($U325="Subscription",$U325=""),"",IF($U325="Estimate","N/A",IF($U325="Profit",ROUND(IFERROR($P325,0)-IFERROR($H325,0),2),0))))</ns0:f>
      </ns0:c>
      <ns0:c r="R325" s="114">
        <ns0:f>IF(COUNTA($A325:$M325)=0,"",IF(OR($U325="Subscription",$U325=""),"",IF($U325="Estimate","N/A",IF($U325="Draw",$H325,0))))</ns0:f>
      </ns0:c>
      <ns0:c r="S325" s="114">
        <ns0:f>IF(COUNTA($A325:$M325)=0,"",IF(OR($U325="Subscription",$U325=""),"",IF($U325="Estimate","N/A",IF($U325="Disqualified",$H325,0))))</ns0:f>
      </ns0:c>
      <ns0:c r="T325" s="955">
        <ns0:f>IF(COUNTA($A325:$M325)=0,"",IF(OR($U325="Subscription",$U325=""),"",IF($U325="Estimate","N/A",IF(OR($U325="Free Game",$U325="Disqualified — Free Game",$H325=0),"N/A",IF($U325="Profit",$Q325/$H325,IF($U325="Disqualified",-$S325/$H325,0))))))</ns0:f>
      </ns0:c>
      <ns0:c r="U325" s="920">
        <ns0:f>IF(COUNTA($A325:$M325)=0,"",IF(OR(LEFT(LOWER(TRIM($F325&amp;"")),12)="subscription",LOWER(TRIM($F325&amp;""))="membership"),"Subscription",IF(LOWER(TRIM($D325&amp;""))="estimate","Estimate",IF(OR(AND($H325&lt;&gt;"",$H325=0),LEFT(LOWER(TRIM($F325&amp;"")),9)="free game",LOWER(TRIM($F325&amp;""))="free",LOWER(TRIM($F325&amp;""))="free entry"),IF(LOWER($L325&amp;"")="yes","Disqualified — Free Game","Free Game"),IF(LOWER($L325&amp;"")="yes","Disqualified",IF($P325="","",IF(ROUND(IFERROR(VALUE($P325),0)-IFERROR(VALUE($H325),0),2)&gt;0,"Profit","Draw")))))))</ns0:f>
      </ns0:c>
      <ns0:c r="V325" s="956" t="str">
        <ns0:f>IF(COUNTA($A325:$M325)=0,"",IF(OR($B325="",$C325="",$U325="Subscription"),"",IFERROR(ROUNDUP(($C325-$B325)/7,0),"")))</ns0:f>
      </ns0:c>
      <ns0:c r="W325" s="114">
        <ns0:f>IF(COUNTA($A325:$M325)=0,"",IF(OR($U325="Subscription",$U325=""),"",IF($U325="Estimate","N/A",IF(OR($U325="Free Game",$U325="Disqualified — Free Game"),0,ROUND(IFERROR($Q325,0)-IFERROR($S325,0),2)))))</ns0:f>
      </ns0:c>
      <ns0:c r="X325" s="956" t="str">
        <ns0:f>IF(COUNTA($A325:$M325)=0,"",IF(OR($U325="Subscription",NOT(ISNUMBER($J325)),NOT(ISNUMBER($I325)),$J325=0,$I325=0,$I325&gt;$J325),"",$J325-$I325))</ns0:f>
      </ns0:c>
      <ns0:c r="Y325" s="955" t="str">
        <ns0:f>IF(COUNTA($A325:$M325)=0,"",IF(OR($U325="Subscription",NOT(ISNUMBER($J325)),$J325=0,$X325=""),"",$X325/$J325))</ns0:f>
      </ns0:c>
      <ns0:c r="Z325" s="957" t="str">
        <ns0:f>IF(COUNTA($A325:$M325)=0,"",Instructions!$B$29+SUM($W$5:W325))</ns0:f>
      </ns0:c>
    </ns0:row>
    <ns0:row r="326" ht="36" customHeight="1">
      <ns0:c r="A326" s="439"/>
      <ns0:c r="B326" s="453"/>
      <ns0:c r="C326" s="453"/>
      <ns0:c r="D326" s="454"/>
      <ns0:c r="E326" s="454"/>
      <ns0:c r="F326" s="454"/>
      <ns0:c r="G326" s="986"/>
      <ns0:c r="H326" s="455"/>
      <ns0:c r="I326" s="456"/>
      <ns0:c r="J326" s="456"/>
      <ns0:c r="K326" s="986"/>
      <ns0:c r="L326" s="454"/>
      <ns0:c r="M326" s="439"/>
      <ns0:c r="N326" s="987" t="str">
        <ns0:f>IF(COUNTA($A326:$M326)=0,"",IF(OR(LEFT(LOWER(TRIM($F326&amp;"")),12)="subscription",LOWER(TRIM($F326&amp;""))="membership"),"",IF(OR(AND($H326&lt;&gt;"",$H326=0),LEFT(LOWER(TRIM($F326&amp;"")),9)="free game",LOWER(TRIM($F326&amp;""))="free",LOWER(TRIM($F326&amp;""))="free entry"),IF(ISNUMBER($G326),IF(ISNUMBER(SEARCH("non",LOWER($E326&amp;""))),$G326*0.85,$G326),"N/A"),IF($G326="","",IFERROR(IF(ISNUMBER(SEARCH("non",LOWER($E326&amp;""))),$G326*0.85,$G326),"")))))</ns0:f>
        <ns0:v/>
      </ns0:c>
      <ns0:c r="O326" s="987" t="str">
        <ns0:f>IF(COUNTA($A326:$M326)=0,"",IF(OR(LEFT(LOWER(TRIM($F326&amp;"")),12)="subscription",LOWER(TRIM($F326&amp;""))="membership"),"",IF(OR(AND($H326&lt;&gt;"",$H326=0),LEFT(LOWER(TRIM($F326&amp;"")),9)="free game",LOWER(TRIM($F326&amp;""))="free",LOWER(TRIM($F326&amp;""))="free entry"),IF(OR(NOT(ISNUMBER($N326)),NOT(ISNUMBER($I326)),$I326=0),"N/A",IFERROR($N326/$I326,"N/A")),IF(OR($N326="",$I326="",$I326=0),"",IFERROR($N326/$I326,"")))))</ns0:f>
        <ns0:v/>
      </ns0:c>
      <ns0:c r="P326" s="987">
        <ns0:f>IF(COUNTA($A326:$M326)=0,"",IF(OR(LEFT(LOWER(TRIM($F326&amp;"")),12)="subscription",LOWER(TRIM($F326&amp;""))="membership"),"",IF(LOWER(TRIM($D326&amp;""))="estimate","N/A",IF(LOWER($L326&amp;"")="yes",0,IF(OR(AND($H326&lt;&gt;"",$H326=0),LEFT(LOWER(TRIM($F326&amp;"")),9)="free game",LOWER(TRIM($F326&amp;""))="free",LOWER(TRIM($F326&amp;""))="free entry"),IF(ISNUMBER($K326),$K326,""),IF($K326&lt;&gt;"",$K326,""))))))</ns0:f>
      </ns0:c>
      <ns0:c r="Q326" s="114">
        <ns0:f>IF(COUNTA($A326:$M326)=0,"",IF(OR($U326="Subscription",$U326=""),"",IF($U326="Estimate","N/A",IF($U326="Profit",ROUND(IFERROR($P326,0)-IFERROR($H326,0),2),0))))</ns0:f>
      </ns0:c>
      <ns0:c r="R326" s="114">
        <ns0:f>IF(COUNTA($A326:$M326)=0,"",IF(OR($U326="Subscription",$U326=""),"",IF($U326="Estimate","N/A",IF($U326="Draw",$H326,0))))</ns0:f>
      </ns0:c>
      <ns0:c r="S326" s="114">
        <ns0:f>IF(COUNTA($A326:$M326)=0,"",IF(OR($U326="Subscription",$U326=""),"",IF($U326="Estimate","N/A",IF($U326="Disqualified",$H326,0))))</ns0:f>
      </ns0:c>
      <ns0:c r="T326" s="955">
        <ns0:f>IF(COUNTA($A326:$M326)=0,"",IF(OR($U326="Subscription",$U326=""),"",IF($U326="Estimate","N/A",IF(OR($U326="Free Game",$U326="Disqualified — Free Game",$H326=0),"N/A",IF($U326="Profit",$Q326/$H326,IF($U326="Disqualified",-$S326/$H326,0))))))</ns0:f>
      </ns0:c>
      <ns0:c r="U326" s="920">
        <ns0:f>IF(COUNTA($A326:$M326)=0,"",IF(OR(LEFT(LOWER(TRIM($F326&amp;"")),12)="subscription",LOWER(TRIM($F326&amp;""))="membership"),"Subscription",IF(LOWER(TRIM($D326&amp;""))="estimate","Estimate",IF(OR(AND($H326&lt;&gt;"",$H326=0),LEFT(LOWER(TRIM($F326&amp;"")),9)="free game",LOWER(TRIM($F326&amp;""))="free",LOWER(TRIM($F326&amp;""))="free entry"),IF(LOWER($L326&amp;"")="yes","Disqualified — Free Game","Free Game"),IF(LOWER($L326&amp;"")="yes","Disqualified",IF($P326="","",IF(ROUND(IFERROR(VALUE($P326),0)-IFERROR(VALUE($H326),0),2)&gt;0,"Profit","Draw")))))))</ns0:f>
      </ns0:c>
      <ns0:c r="V326" s="956" t="str">
        <ns0:f>IF(COUNTA($A326:$M326)=0,"",IF(OR($B326="",$C326="",$U326="Subscription"),"",IFERROR(ROUNDUP(($C326-$B326)/7,0),"")))</ns0:f>
      </ns0:c>
      <ns0:c r="W326" s="114">
        <ns0:f>IF(COUNTA($A326:$M326)=0,"",IF(OR($U326="Subscription",$U326=""),"",IF($U326="Estimate","N/A",IF(OR($U326="Free Game",$U326="Disqualified — Free Game"),0,ROUND(IFERROR($Q326,0)-IFERROR($S326,0),2)))))</ns0:f>
      </ns0:c>
      <ns0:c r="X326" s="956" t="str">
        <ns0:f>IF(COUNTA($A326:$M326)=0,"",IF(OR($U326="Subscription",NOT(ISNUMBER($J326)),NOT(ISNUMBER($I326)),$J326=0,$I326=0,$I326&gt;$J326),"",$J326-$I326))</ns0:f>
      </ns0:c>
      <ns0:c r="Y326" s="955" t="str">
        <ns0:f>IF(COUNTA($A326:$M326)=0,"",IF(OR($U326="Subscription",NOT(ISNUMBER($J326)),$J326=0,$X326=""),"",$X326/$J326))</ns0:f>
      </ns0:c>
      <ns0:c r="Z326" s="957" t="str">
        <ns0:f>IF(COUNTA($A326:$M326)=0,"",Instructions!$B$29+SUM($W$5:W326))</ns0:f>
      </ns0:c>
    </ns0:row>
    <ns0:row r="327" ht="36" customHeight="1">
      <ns0:c r="A327" s="439"/>
      <ns0:c r="B327" s="453"/>
      <ns0:c r="C327" s="453"/>
      <ns0:c r="D327" s="454"/>
      <ns0:c r="E327" s="454"/>
      <ns0:c r="F327" s="454"/>
      <ns0:c r="G327" s="986"/>
      <ns0:c r="H327" s="455"/>
      <ns0:c r="I327" s="456"/>
      <ns0:c r="J327" s="456"/>
      <ns0:c r="K327" s="986"/>
      <ns0:c r="L327" s="454"/>
      <ns0:c r="M327" s="439"/>
      <ns0:c r="N327" s="987" t="str">
        <ns0:f>IF(COUNTA($A327:$M327)=0,"",IF(OR(LEFT(LOWER(TRIM($F327&amp;"")),12)="subscription",LOWER(TRIM($F327&amp;""))="membership"),"",IF(OR(AND($H327&lt;&gt;"",$H327=0),LEFT(LOWER(TRIM($F327&amp;"")),9)="free game",LOWER(TRIM($F327&amp;""))="free",LOWER(TRIM($F327&amp;""))="free entry"),IF(ISNUMBER($G327),IF(ISNUMBER(SEARCH("non",LOWER($E327&amp;""))),$G327*0.85,$G327),"N/A"),IF($G327="","",IFERROR(IF(ISNUMBER(SEARCH("non",LOWER($E327&amp;""))),$G327*0.85,$G327),"")))))</ns0:f>
        <ns0:v/>
      </ns0:c>
      <ns0:c r="O327" s="987" t="str">
        <ns0:f>IF(COUNTA($A327:$M327)=0,"",IF(OR(LEFT(LOWER(TRIM($F327&amp;"")),12)="subscription",LOWER(TRIM($F327&amp;""))="membership"),"",IF(OR(AND($H327&lt;&gt;"",$H327=0),LEFT(LOWER(TRIM($F327&amp;"")),9)="free game",LOWER(TRIM($F327&amp;""))="free",LOWER(TRIM($F327&amp;""))="free entry"),IF(OR(NOT(ISNUMBER($N327)),NOT(ISNUMBER($I327)),$I327=0),"N/A",IFERROR($N327/$I327,"N/A")),IF(OR($N327="",$I327="",$I327=0),"",IFERROR($N327/$I327,"")))))</ns0:f>
        <ns0:v/>
      </ns0:c>
      <ns0:c r="P327" s="987">
        <ns0:f>IF(COUNTA($A327:$M327)=0,"",IF(OR(LEFT(LOWER(TRIM($F327&amp;"")),12)="subscription",LOWER(TRIM($F327&amp;""))="membership"),"",IF(LOWER(TRIM($D327&amp;""))="estimate","N/A",IF(LOWER($L327&amp;"")="yes",0,IF(OR(AND($H327&lt;&gt;"",$H327=0),LEFT(LOWER(TRIM($F327&amp;"")),9)="free game",LOWER(TRIM($F327&amp;""))="free",LOWER(TRIM($F327&amp;""))="free entry"),IF(ISNUMBER($K327),$K327,""),IF($K327&lt;&gt;"",$K327,""))))))</ns0:f>
      </ns0:c>
      <ns0:c r="Q327" s="114">
        <ns0:f>IF(COUNTA($A327:$M327)=0,"",IF(OR($U327="Subscription",$U327=""),"",IF($U327="Estimate","N/A",IF($U327="Profit",ROUND(IFERROR($P327,0)-IFERROR($H327,0),2),0))))</ns0:f>
      </ns0:c>
      <ns0:c r="R327" s="114">
        <ns0:f>IF(COUNTA($A327:$M327)=0,"",IF(OR($U327="Subscription",$U327=""),"",IF($U327="Estimate","N/A",IF($U327="Draw",$H327,0))))</ns0:f>
      </ns0:c>
      <ns0:c r="S327" s="114">
        <ns0:f>IF(COUNTA($A327:$M327)=0,"",IF(OR($U327="Subscription",$U327=""),"",IF($U327="Estimate","N/A",IF($U327="Disqualified",$H327,0))))</ns0:f>
      </ns0:c>
      <ns0:c r="T327" s="955">
        <ns0:f>IF(COUNTA($A327:$M327)=0,"",IF(OR($U327="Subscription",$U327=""),"",IF($U327="Estimate","N/A",IF(OR($U327="Free Game",$U327="Disqualified — Free Game",$H327=0),"N/A",IF($U327="Profit",$Q327/$H327,IF($U327="Disqualified",-$S327/$H327,0))))))</ns0:f>
      </ns0:c>
      <ns0:c r="U327" s="920">
        <ns0:f>IF(COUNTA($A327:$M327)=0,"",IF(OR(LEFT(LOWER(TRIM($F327&amp;"")),12)="subscription",LOWER(TRIM($F327&amp;""))="membership"),"Subscription",IF(LOWER(TRIM($D327&amp;""))="estimate","Estimate",IF(OR(AND($H327&lt;&gt;"",$H327=0),LEFT(LOWER(TRIM($F327&amp;"")),9)="free game",LOWER(TRIM($F327&amp;""))="free",LOWER(TRIM($F327&amp;""))="free entry"),IF(LOWER($L327&amp;"")="yes","Disqualified — Free Game","Free Game"),IF(LOWER($L327&amp;"")="yes","Disqualified",IF($P327="","",IF(ROUND(IFERROR(VALUE($P327),0)-IFERROR(VALUE($H327),0),2)&gt;0,"Profit","Draw")))))))</ns0:f>
      </ns0:c>
      <ns0:c r="V327" s="956" t="str">
        <ns0:f>IF(COUNTA($A327:$M327)=0,"",IF(OR($B327="",$C327="",$U327="Subscription"),"",IFERROR(ROUNDUP(($C327-$B327)/7,0),"")))</ns0:f>
      </ns0:c>
      <ns0:c r="W327" s="114">
        <ns0:f>IF(COUNTA($A327:$M327)=0,"",IF(OR($U327="Subscription",$U327=""),"",IF($U327="Estimate","N/A",IF(OR($U327="Free Game",$U327="Disqualified — Free Game"),0,ROUND(IFERROR($Q327,0)-IFERROR($S327,0),2)))))</ns0:f>
      </ns0:c>
      <ns0:c r="X327" s="956" t="str">
        <ns0:f>IF(COUNTA($A327:$M327)=0,"",IF(OR($U327="Subscription",NOT(ISNUMBER($J327)),NOT(ISNUMBER($I327)),$J327=0,$I327=0,$I327&gt;$J327),"",$J327-$I327))</ns0:f>
      </ns0:c>
      <ns0:c r="Y327" s="955" t="str">
        <ns0:f>IF(COUNTA($A327:$M327)=0,"",IF(OR($U327="Subscription",NOT(ISNUMBER($J327)),$J327=0,$X327=""),"",$X327/$J327))</ns0:f>
      </ns0:c>
      <ns0:c r="Z327" s="957" t="str">
        <ns0:f>IF(COUNTA($A327:$M327)=0,"",Instructions!$B$29+SUM($W$5:W327))</ns0:f>
      </ns0:c>
    </ns0:row>
    <ns0:row r="328" ht="36" customHeight="1">
      <ns0:c r="A328" s="439"/>
      <ns0:c r="B328" s="453"/>
      <ns0:c r="C328" s="453"/>
      <ns0:c r="D328" s="454"/>
      <ns0:c r="E328" s="454"/>
      <ns0:c r="F328" s="454"/>
      <ns0:c r="G328" s="986"/>
      <ns0:c r="H328" s="455"/>
      <ns0:c r="I328" s="456"/>
      <ns0:c r="J328" s="456"/>
      <ns0:c r="K328" s="986"/>
      <ns0:c r="L328" s="454"/>
      <ns0:c r="M328" s="439"/>
      <ns0:c r="N328" s="987" t="str">
        <ns0:f>IF(COUNTA($A328:$M328)=0,"",IF(OR(LEFT(LOWER(TRIM($F328&amp;"")),12)="subscription",LOWER(TRIM($F328&amp;""))="membership"),"",IF(OR(AND($H328&lt;&gt;"",$H328=0),LEFT(LOWER(TRIM($F328&amp;"")),9)="free game",LOWER(TRIM($F328&amp;""))="free",LOWER(TRIM($F328&amp;""))="free entry"),IF(ISNUMBER($G328),IF(ISNUMBER(SEARCH("non",LOWER($E328&amp;""))),$G328*0.85,$G328),"N/A"),IF($G328="","",IFERROR(IF(ISNUMBER(SEARCH("non",LOWER($E328&amp;""))),$G328*0.85,$G328),"")))))</ns0:f>
        <ns0:v/>
      </ns0:c>
      <ns0:c r="O328" s="987" t="str">
        <ns0:f>IF(COUNTA($A328:$M328)=0,"",IF(OR(LEFT(LOWER(TRIM($F328&amp;"")),12)="subscription",LOWER(TRIM($F328&amp;""))="membership"),"",IF(OR(AND($H328&lt;&gt;"",$H328=0),LEFT(LOWER(TRIM($F328&amp;"")),9)="free game",LOWER(TRIM($F328&amp;""))="free",LOWER(TRIM($F328&amp;""))="free entry"),IF(OR(NOT(ISNUMBER($N328)),NOT(ISNUMBER($I328)),$I328=0),"N/A",IFERROR($N328/$I328,"N/A")),IF(OR($N328="",$I328="",$I328=0),"",IFERROR($N328/$I328,"")))))</ns0:f>
        <ns0:v/>
      </ns0:c>
      <ns0:c r="P328" s="987">
        <ns0:f>IF(COUNTA($A328:$M328)=0,"",IF(OR(LEFT(LOWER(TRIM($F328&amp;"")),12)="subscription",LOWER(TRIM($F328&amp;""))="membership"),"",IF(LOWER(TRIM($D328&amp;""))="estimate","N/A",IF(LOWER($L328&amp;"")="yes",0,IF(OR(AND($H328&lt;&gt;"",$H328=0),LEFT(LOWER(TRIM($F328&amp;"")),9)="free game",LOWER(TRIM($F328&amp;""))="free",LOWER(TRIM($F328&amp;""))="free entry"),IF(ISNUMBER($K328),$K328,""),IF($K328&lt;&gt;"",$K328,""))))))</ns0:f>
      </ns0:c>
      <ns0:c r="Q328" s="114">
        <ns0:f>IF(COUNTA($A328:$M328)=0,"",IF(OR($U328="Subscription",$U328=""),"",IF($U328="Estimate","N/A",IF($U328="Profit",ROUND(IFERROR($P328,0)-IFERROR($H328,0),2),0))))</ns0:f>
      </ns0:c>
      <ns0:c r="R328" s="114">
        <ns0:f>IF(COUNTA($A328:$M328)=0,"",IF(OR($U328="Subscription",$U328=""),"",IF($U328="Estimate","N/A",IF($U328="Draw",$H328,0))))</ns0:f>
      </ns0:c>
      <ns0:c r="S328" s="114">
        <ns0:f>IF(COUNTA($A328:$M328)=0,"",IF(OR($U328="Subscription",$U328=""),"",IF($U328="Estimate","N/A",IF($U328="Disqualified",$H328,0))))</ns0:f>
      </ns0:c>
      <ns0:c r="T328" s="955">
        <ns0:f>IF(COUNTA($A328:$M328)=0,"",IF(OR($U328="Subscription",$U328=""),"",IF($U328="Estimate","N/A",IF(OR($U328="Free Game",$U328="Disqualified — Free Game",$H328=0),"N/A",IF($U328="Profit",$Q328/$H328,IF($U328="Disqualified",-$S328/$H328,0))))))</ns0:f>
      </ns0:c>
      <ns0:c r="U328" s="920">
        <ns0:f>IF(COUNTA($A328:$M328)=0,"",IF(OR(LEFT(LOWER(TRIM($F328&amp;"")),12)="subscription",LOWER(TRIM($F328&amp;""))="membership"),"Subscription",IF(LOWER(TRIM($D328&amp;""))="estimate","Estimate",IF(OR(AND($H328&lt;&gt;"",$H328=0),LEFT(LOWER(TRIM($F328&amp;"")),9)="free game",LOWER(TRIM($F328&amp;""))="free",LOWER(TRIM($F328&amp;""))="free entry"),IF(LOWER($L328&amp;"")="yes","Disqualified — Free Game","Free Game"),IF(LOWER($L328&amp;"")="yes","Disqualified",IF($P328="","",IF(ROUND(IFERROR(VALUE($P328),0)-IFERROR(VALUE($H328),0),2)&gt;0,"Profit","Draw")))))))</ns0:f>
      </ns0:c>
      <ns0:c r="V328" s="956" t="str">
        <ns0:f>IF(COUNTA($A328:$M328)=0,"",IF(OR($B328="",$C328="",$U328="Subscription"),"",IFERROR(ROUNDUP(($C328-$B328)/7,0),"")))</ns0:f>
      </ns0:c>
      <ns0:c r="W328" s="114">
        <ns0:f>IF(COUNTA($A328:$M328)=0,"",IF(OR($U328="Subscription",$U328=""),"",IF($U328="Estimate","N/A",IF(OR($U328="Free Game",$U328="Disqualified — Free Game"),0,ROUND(IFERROR($Q328,0)-IFERROR($S328,0),2)))))</ns0:f>
      </ns0:c>
      <ns0:c r="X328" s="956" t="str">
        <ns0:f>IF(COUNTA($A328:$M328)=0,"",IF(OR($U328="Subscription",NOT(ISNUMBER($J328)),NOT(ISNUMBER($I328)),$J328=0,$I328=0,$I328&gt;$J328),"",$J328-$I328))</ns0:f>
      </ns0:c>
      <ns0:c r="Y328" s="955" t="str">
        <ns0:f>IF(COUNTA($A328:$M328)=0,"",IF(OR($U328="Subscription",NOT(ISNUMBER($J328)),$J328=0,$X328=""),"",$X328/$J328))</ns0:f>
      </ns0:c>
      <ns0:c r="Z328" s="957" t="str">
        <ns0:f>IF(COUNTA($A328:$M328)=0,"",Instructions!$B$29+SUM($W$5:W328))</ns0:f>
      </ns0:c>
    </ns0:row>
    <ns0:row r="329" ht="36" customHeight="1">
      <ns0:c r="A329" s="439"/>
      <ns0:c r="B329" s="453"/>
      <ns0:c r="C329" s="453"/>
      <ns0:c r="D329" s="454"/>
      <ns0:c r="E329" s="454"/>
      <ns0:c r="F329" s="454"/>
      <ns0:c r="G329" s="986"/>
      <ns0:c r="H329" s="455"/>
      <ns0:c r="I329" s="456"/>
      <ns0:c r="J329" s="456"/>
      <ns0:c r="K329" s="986"/>
      <ns0:c r="L329" s="454"/>
      <ns0:c r="M329" s="439"/>
      <ns0:c r="N329" s="987" t="str">
        <ns0:f>IF(COUNTA($A329:$M329)=0,"",IF(OR(LEFT(LOWER(TRIM($F329&amp;"")),12)="subscription",LOWER(TRIM($F329&amp;""))="membership"),"",IF(OR(AND($H329&lt;&gt;"",$H329=0),LEFT(LOWER(TRIM($F329&amp;"")),9)="free game",LOWER(TRIM($F329&amp;""))="free",LOWER(TRIM($F329&amp;""))="free entry"),IF(ISNUMBER($G329),IF(ISNUMBER(SEARCH("non",LOWER($E329&amp;""))),$G329*0.85,$G329),"N/A"),IF($G329="","",IFERROR(IF(ISNUMBER(SEARCH("non",LOWER($E329&amp;""))),$G329*0.85,$G329),"")))))</ns0:f>
        <ns0:v/>
      </ns0:c>
      <ns0:c r="O329" s="987" t="str">
        <ns0:f>IF(COUNTA($A329:$M329)=0,"",IF(OR(LEFT(LOWER(TRIM($F329&amp;"")),12)="subscription",LOWER(TRIM($F329&amp;""))="membership"),"",IF(OR(AND($H329&lt;&gt;"",$H329=0),LEFT(LOWER(TRIM($F329&amp;"")),9)="free game",LOWER(TRIM($F329&amp;""))="free",LOWER(TRIM($F329&amp;""))="free entry"),IF(OR(NOT(ISNUMBER($N329)),NOT(ISNUMBER($I329)),$I329=0),"N/A",IFERROR($N329/$I329,"N/A")),IF(OR($N329="",$I329="",$I329=0),"",IFERROR($N329/$I329,"")))))</ns0:f>
        <ns0:v/>
      </ns0:c>
      <ns0:c r="P329" s="987">
        <ns0:f>IF(COUNTA($A329:$M329)=0,"",IF(OR(LEFT(LOWER(TRIM($F329&amp;"")),12)="subscription",LOWER(TRIM($F329&amp;""))="membership"),"",IF(LOWER(TRIM($D329&amp;""))="estimate","N/A",IF(LOWER($L329&amp;"")="yes",0,IF(OR(AND($H329&lt;&gt;"",$H329=0),LEFT(LOWER(TRIM($F329&amp;"")),9)="free game",LOWER(TRIM($F329&amp;""))="free",LOWER(TRIM($F329&amp;""))="free entry"),IF(ISNUMBER($K329),$K329,""),IF($K329&lt;&gt;"",$K329,""))))))</ns0:f>
      </ns0:c>
      <ns0:c r="Q329" s="114">
        <ns0:f>IF(COUNTA($A329:$M329)=0,"",IF(OR($U329="Subscription",$U329=""),"",IF($U329="Estimate","N/A",IF($U329="Profit",ROUND(IFERROR($P329,0)-IFERROR($H329,0),2),0))))</ns0:f>
      </ns0:c>
      <ns0:c r="R329" s="114">
        <ns0:f>IF(COUNTA($A329:$M329)=0,"",IF(OR($U329="Subscription",$U329=""),"",IF($U329="Estimate","N/A",IF($U329="Draw",$H329,0))))</ns0:f>
      </ns0:c>
      <ns0:c r="S329" s="114">
        <ns0:f>IF(COUNTA($A329:$M329)=0,"",IF(OR($U329="Subscription",$U329=""),"",IF($U329="Estimate","N/A",IF($U329="Disqualified",$H329,0))))</ns0:f>
      </ns0:c>
      <ns0:c r="T329" s="955">
        <ns0:f>IF(COUNTA($A329:$M329)=0,"",IF(OR($U329="Subscription",$U329=""),"",IF($U329="Estimate","N/A",IF(OR($U329="Free Game",$U329="Disqualified — Free Game",$H329=0),"N/A",IF($U329="Profit",$Q329/$H329,IF($U329="Disqualified",-$S329/$H329,0))))))</ns0:f>
      </ns0:c>
      <ns0:c r="U329" s="920">
        <ns0:f>IF(COUNTA($A329:$M329)=0,"",IF(OR(LEFT(LOWER(TRIM($F329&amp;"")),12)="subscription",LOWER(TRIM($F329&amp;""))="membership"),"Subscription",IF(LOWER(TRIM($D329&amp;""))="estimate","Estimate",IF(OR(AND($H329&lt;&gt;"",$H329=0),LEFT(LOWER(TRIM($F329&amp;"")),9)="free game",LOWER(TRIM($F329&amp;""))="free",LOWER(TRIM($F329&amp;""))="free entry"),IF(LOWER($L329&amp;"")="yes","Disqualified — Free Game","Free Game"),IF(LOWER($L329&amp;"")="yes","Disqualified",IF($P329="","",IF(ROUND(IFERROR(VALUE($P329),0)-IFERROR(VALUE($H329),0),2)&gt;0,"Profit","Draw")))))))</ns0:f>
      </ns0:c>
      <ns0:c r="V329" s="956" t="str">
        <ns0:f>IF(COUNTA($A329:$M329)=0,"",IF(OR($B329="",$C329="",$U329="Subscription"),"",IFERROR(ROUNDUP(($C329-$B329)/7,0),"")))</ns0:f>
      </ns0:c>
      <ns0:c r="W329" s="114">
        <ns0:f>IF(COUNTA($A329:$M329)=0,"",IF(OR($U329="Subscription",$U329=""),"",IF($U329="Estimate","N/A",IF(OR($U329="Free Game",$U329="Disqualified — Free Game"),0,ROUND(IFERROR($Q329,0)-IFERROR($S329,0),2)))))</ns0:f>
      </ns0:c>
      <ns0:c r="X329" s="956" t="str">
        <ns0:f>IF(COUNTA($A329:$M329)=0,"",IF(OR($U329="Subscription",NOT(ISNUMBER($J329)),NOT(ISNUMBER($I329)),$J329=0,$I329=0,$I329&gt;$J329),"",$J329-$I329))</ns0:f>
      </ns0:c>
      <ns0:c r="Y329" s="955" t="str">
        <ns0:f>IF(COUNTA($A329:$M329)=0,"",IF(OR($U329="Subscription",NOT(ISNUMBER($J329)),$J329=0,$X329=""),"",$X329/$J329))</ns0:f>
      </ns0:c>
      <ns0:c r="Z329" s="957" t="str">
        <ns0:f>IF(COUNTA($A329:$M329)=0,"",Instructions!$B$29+SUM($W$5:W329))</ns0:f>
      </ns0:c>
    </ns0:row>
    <ns0:row r="330" ht="36" customHeight="1">
      <ns0:c r="A330" s="439"/>
      <ns0:c r="B330" s="453"/>
      <ns0:c r="C330" s="453"/>
      <ns0:c r="D330" s="454"/>
      <ns0:c r="E330" s="454"/>
      <ns0:c r="F330" s="454"/>
      <ns0:c r="G330" s="986"/>
      <ns0:c r="H330" s="455"/>
      <ns0:c r="I330" s="456"/>
      <ns0:c r="J330" s="456"/>
      <ns0:c r="K330" s="986"/>
      <ns0:c r="L330" s="454"/>
      <ns0:c r="M330" s="439"/>
      <ns0:c r="N330" s="987" t="str">
        <ns0:f>IF(COUNTA($A330:$M330)=0,"",IF(OR(LEFT(LOWER(TRIM($F330&amp;"")),12)="subscription",LOWER(TRIM($F330&amp;""))="membership"),"",IF(OR(AND($H330&lt;&gt;"",$H330=0),LEFT(LOWER(TRIM($F330&amp;"")),9)="free game",LOWER(TRIM($F330&amp;""))="free",LOWER(TRIM($F330&amp;""))="free entry"),IF(ISNUMBER($G330),IF(ISNUMBER(SEARCH("non",LOWER($E330&amp;""))),$G330*0.85,$G330),"N/A"),IF($G330="","",IFERROR(IF(ISNUMBER(SEARCH("non",LOWER($E330&amp;""))),$G330*0.85,$G330),"")))))</ns0:f>
        <ns0:v/>
      </ns0:c>
      <ns0:c r="O330" s="987" t="str">
        <ns0:f>IF(COUNTA($A330:$M330)=0,"",IF(OR(LEFT(LOWER(TRIM($F330&amp;"")),12)="subscription",LOWER(TRIM($F330&amp;""))="membership"),"",IF(OR(AND($H330&lt;&gt;"",$H330=0),LEFT(LOWER(TRIM($F330&amp;"")),9)="free game",LOWER(TRIM($F330&amp;""))="free",LOWER(TRIM($F330&amp;""))="free entry"),IF(OR(NOT(ISNUMBER($N330)),NOT(ISNUMBER($I330)),$I330=0),"N/A",IFERROR($N330/$I330,"N/A")),IF(OR($N330="",$I330="",$I330=0),"",IFERROR($N330/$I330,"")))))</ns0:f>
        <ns0:v/>
      </ns0:c>
      <ns0:c r="P330" s="987">
        <ns0:f>IF(COUNTA($A330:$M330)=0,"",IF(OR(LEFT(LOWER(TRIM($F330&amp;"")),12)="subscription",LOWER(TRIM($F330&amp;""))="membership"),"",IF(LOWER(TRIM($D330&amp;""))="estimate","N/A",IF(LOWER($L330&amp;"")="yes",0,IF(OR(AND($H330&lt;&gt;"",$H330=0),LEFT(LOWER(TRIM($F330&amp;"")),9)="free game",LOWER(TRIM($F330&amp;""))="free",LOWER(TRIM($F330&amp;""))="free entry"),IF(ISNUMBER($K330),$K330,""),IF($K330&lt;&gt;"",$K330,""))))))</ns0:f>
      </ns0:c>
      <ns0:c r="Q330" s="114">
        <ns0:f>IF(COUNTA($A330:$M330)=0,"",IF(OR($U330="Subscription",$U330=""),"",IF($U330="Estimate","N/A",IF($U330="Profit",ROUND(IFERROR($P330,0)-IFERROR($H330,0),2),0))))</ns0:f>
      </ns0:c>
      <ns0:c r="R330" s="114">
        <ns0:f>IF(COUNTA($A330:$M330)=0,"",IF(OR($U330="Subscription",$U330=""),"",IF($U330="Estimate","N/A",IF($U330="Draw",$H330,0))))</ns0:f>
      </ns0:c>
      <ns0:c r="S330" s="114">
        <ns0:f>IF(COUNTA($A330:$M330)=0,"",IF(OR($U330="Subscription",$U330=""),"",IF($U330="Estimate","N/A",IF($U330="Disqualified",$H330,0))))</ns0:f>
      </ns0:c>
      <ns0:c r="T330" s="955">
        <ns0:f>IF(COUNTA($A330:$M330)=0,"",IF(OR($U330="Subscription",$U330=""),"",IF($U330="Estimate","N/A",IF(OR($U330="Free Game",$U330="Disqualified — Free Game",$H330=0),"N/A",IF($U330="Profit",$Q330/$H330,IF($U330="Disqualified",-$S330/$H330,0))))))</ns0:f>
      </ns0:c>
      <ns0:c r="U330" s="920">
        <ns0:f>IF(COUNTA($A330:$M330)=0,"",IF(OR(LEFT(LOWER(TRIM($F330&amp;"")),12)="subscription",LOWER(TRIM($F330&amp;""))="membership"),"Subscription",IF(LOWER(TRIM($D330&amp;""))="estimate","Estimate",IF(OR(AND($H330&lt;&gt;"",$H330=0),LEFT(LOWER(TRIM($F330&amp;"")),9)="free game",LOWER(TRIM($F330&amp;""))="free",LOWER(TRIM($F330&amp;""))="free entry"),IF(LOWER($L330&amp;"")="yes","Disqualified — Free Game","Free Game"),IF(LOWER($L330&amp;"")="yes","Disqualified",IF($P330="","",IF(ROUND(IFERROR(VALUE($P330),0)-IFERROR(VALUE($H330),0),2)&gt;0,"Profit","Draw")))))))</ns0:f>
      </ns0:c>
      <ns0:c r="V330" s="956" t="str">
        <ns0:f>IF(COUNTA($A330:$M330)=0,"",IF(OR($B330="",$C330="",$U330="Subscription"),"",IFERROR(ROUNDUP(($C330-$B330)/7,0),"")))</ns0:f>
      </ns0:c>
      <ns0:c r="W330" s="114">
        <ns0:f>IF(COUNTA($A330:$M330)=0,"",IF(OR($U330="Subscription",$U330=""),"",IF($U330="Estimate","N/A",IF(OR($U330="Free Game",$U330="Disqualified — Free Game"),0,ROUND(IFERROR($Q330,0)-IFERROR($S330,0),2)))))</ns0:f>
      </ns0:c>
      <ns0:c r="X330" s="956" t="str">
        <ns0:f>IF(COUNTA($A330:$M330)=0,"",IF(OR($U330="Subscription",NOT(ISNUMBER($J330)),NOT(ISNUMBER($I330)),$J330=0,$I330=0,$I330&gt;$J330),"",$J330-$I330))</ns0:f>
      </ns0:c>
      <ns0:c r="Y330" s="955" t="str">
        <ns0:f>IF(COUNTA($A330:$M330)=0,"",IF(OR($U330="Subscription",NOT(ISNUMBER($J330)),$J330=0,$X330=""),"",$X330/$J330))</ns0:f>
      </ns0:c>
      <ns0:c r="Z330" s="957" t="str">
        <ns0:f>IF(COUNTA($A330:$M330)=0,"",Instructions!$B$29+SUM($W$5:W330))</ns0:f>
      </ns0:c>
    </ns0:row>
    <ns0:row r="331" ht="36" customHeight="1">
      <ns0:c r="A331" s="439"/>
      <ns0:c r="B331" s="453"/>
      <ns0:c r="C331" s="453"/>
      <ns0:c r="D331" s="454"/>
      <ns0:c r="E331" s="454"/>
      <ns0:c r="F331" s="454"/>
      <ns0:c r="G331" s="986"/>
      <ns0:c r="H331" s="455"/>
      <ns0:c r="I331" s="456"/>
      <ns0:c r="J331" s="456"/>
      <ns0:c r="K331" s="986"/>
      <ns0:c r="L331" s="454"/>
      <ns0:c r="M331" s="439"/>
      <ns0:c r="N331" s="987" t="str">
        <ns0:f>IF(COUNTA($A331:$M331)=0,"",IF(OR(LEFT(LOWER(TRIM($F331&amp;"")),12)="subscription",LOWER(TRIM($F331&amp;""))="membership"),"",IF(OR(AND($H331&lt;&gt;"",$H331=0),LEFT(LOWER(TRIM($F331&amp;"")),9)="free game",LOWER(TRIM($F331&amp;""))="free",LOWER(TRIM($F331&amp;""))="free entry"),IF(ISNUMBER($G331),IF(ISNUMBER(SEARCH("non",LOWER($E331&amp;""))),$G331*0.85,$G331),"N/A"),IF($G331="","",IFERROR(IF(ISNUMBER(SEARCH("non",LOWER($E331&amp;""))),$G331*0.85,$G331),"")))))</ns0:f>
        <ns0:v/>
      </ns0:c>
      <ns0:c r="O331" s="987" t="str">
        <ns0:f>IF(COUNTA($A331:$M331)=0,"",IF(OR(LEFT(LOWER(TRIM($F331&amp;"")),12)="subscription",LOWER(TRIM($F331&amp;""))="membership"),"",IF(OR(AND($H331&lt;&gt;"",$H331=0),LEFT(LOWER(TRIM($F331&amp;"")),9)="free game",LOWER(TRIM($F331&amp;""))="free",LOWER(TRIM($F331&amp;""))="free entry"),IF(OR(NOT(ISNUMBER($N331)),NOT(ISNUMBER($I331)),$I331=0),"N/A",IFERROR($N331/$I331,"N/A")),IF(OR($N331="",$I331="",$I331=0),"",IFERROR($N331/$I331,"")))))</ns0:f>
        <ns0:v/>
      </ns0:c>
      <ns0:c r="P331" s="987">
        <ns0:f>IF(COUNTA($A331:$M331)=0,"",IF(OR(LEFT(LOWER(TRIM($F331&amp;"")),12)="subscription",LOWER(TRIM($F331&amp;""))="membership"),"",IF(LOWER(TRIM($D331&amp;""))="estimate","N/A",IF(LOWER($L331&amp;"")="yes",0,IF(OR(AND($H331&lt;&gt;"",$H331=0),LEFT(LOWER(TRIM($F331&amp;"")),9)="free game",LOWER(TRIM($F331&amp;""))="free",LOWER(TRIM($F331&amp;""))="free entry"),IF(ISNUMBER($K331),$K331,""),IF($K331&lt;&gt;"",$K331,""))))))</ns0:f>
      </ns0:c>
      <ns0:c r="Q331" s="114">
        <ns0:f>IF(COUNTA($A331:$M331)=0,"",IF(OR($U331="Subscription",$U331=""),"",IF($U331="Estimate","N/A",IF($U331="Profit",ROUND(IFERROR($P331,0)-IFERROR($H331,0),2),0))))</ns0:f>
      </ns0:c>
      <ns0:c r="R331" s="114">
        <ns0:f>IF(COUNTA($A331:$M331)=0,"",IF(OR($U331="Subscription",$U331=""),"",IF($U331="Estimate","N/A",IF($U331="Draw",$H331,0))))</ns0:f>
      </ns0:c>
      <ns0:c r="S331" s="114">
        <ns0:f>IF(COUNTA($A331:$M331)=0,"",IF(OR($U331="Subscription",$U331=""),"",IF($U331="Estimate","N/A",IF($U331="Disqualified",$H331,0))))</ns0:f>
      </ns0:c>
      <ns0:c r="T331" s="955">
        <ns0:f>IF(COUNTA($A331:$M331)=0,"",IF(OR($U331="Subscription",$U331=""),"",IF($U331="Estimate","N/A",IF(OR($U331="Free Game",$U331="Disqualified — Free Game",$H331=0),"N/A",IF($U331="Profit",$Q331/$H331,IF($U331="Disqualified",-$S331/$H331,0))))))</ns0:f>
      </ns0:c>
      <ns0:c r="U331" s="920">
        <ns0:f>IF(COUNTA($A331:$M331)=0,"",IF(OR(LEFT(LOWER(TRIM($F331&amp;"")),12)="subscription",LOWER(TRIM($F331&amp;""))="membership"),"Subscription",IF(LOWER(TRIM($D331&amp;""))="estimate","Estimate",IF(OR(AND($H331&lt;&gt;"",$H331=0),LEFT(LOWER(TRIM($F331&amp;"")),9)="free game",LOWER(TRIM($F331&amp;""))="free",LOWER(TRIM($F331&amp;""))="free entry"),IF(LOWER($L331&amp;"")="yes","Disqualified — Free Game","Free Game"),IF(LOWER($L331&amp;"")="yes","Disqualified",IF($P331="","",IF(ROUND(IFERROR(VALUE($P331),0)-IFERROR(VALUE($H331),0),2)&gt;0,"Profit","Draw")))))))</ns0:f>
      </ns0:c>
      <ns0:c r="V331" s="956" t="str">
        <ns0:f>IF(COUNTA($A331:$M331)=0,"",IF(OR($B331="",$C331="",$U331="Subscription"),"",IFERROR(ROUNDUP(($C331-$B331)/7,0),"")))</ns0:f>
      </ns0:c>
      <ns0:c r="W331" s="114">
        <ns0:f>IF(COUNTA($A331:$M331)=0,"",IF(OR($U331="Subscription",$U331=""),"",IF($U331="Estimate","N/A",IF(OR($U331="Free Game",$U331="Disqualified — Free Game"),0,ROUND(IFERROR($Q331,0)-IFERROR($S331,0),2)))))</ns0:f>
      </ns0:c>
      <ns0:c r="X331" s="956" t="str">
        <ns0:f>IF(COUNTA($A331:$M331)=0,"",IF(OR($U331="Subscription",NOT(ISNUMBER($J331)),NOT(ISNUMBER($I331)),$J331=0,$I331=0,$I331&gt;$J331),"",$J331-$I331))</ns0:f>
      </ns0:c>
      <ns0:c r="Y331" s="955" t="str">
        <ns0:f>IF(COUNTA($A331:$M331)=0,"",IF(OR($U331="Subscription",NOT(ISNUMBER($J331)),$J331=0,$X331=""),"",$X331/$J331))</ns0:f>
      </ns0:c>
      <ns0:c r="Z331" s="957" t="str">
        <ns0:f>IF(COUNTA($A331:$M331)=0,"",Instructions!$B$29+SUM($W$5:W331))</ns0:f>
      </ns0:c>
    </ns0:row>
    <ns0:row r="332" ht="36" customHeight="1">
      <ns0:c r="A332" s="439"/>
      <ns0:c r="B332" s="453"/>
      <ns0:c r="C332" s="453"/>
      <ns0:c r="D332" s="454"/>
      <ns0:c r="E332" s="454"/>
      <ns0:c r="F332" s="454"/>
      <ns0:c r="G332" s="986"/>
      <ns0:c r="H332" s="455"/>
      <ns0:c r="I332" s="456"/>
      <ns0:c r="J332" s="456"/>
      <ns0:c r="K332" s="986"/>
      <ns0:c r="L332" s="454"/>
      <ns0:c r="M332" s="439"/>
      <ns0:c r="N332" s="987" t="str">
        <ns0:f>IF(COUNTA($A332:$M332)=0,"",IF(OR(LEFT(LOWER(TRIM($F332&amp;"")),12)="subscription",LOWER(TRIM($F332&amp;""))="membership"),"",IF(OR(AND($H332&lt;&gt;"",$H332=0),LEFT(LOWER(TRIM($F332&amp;"")),9)="free game",LOWER(TRIM($F332&amp;""))="free",LOWER(TRIM($F332&amp;""))="free entry"),IF(ISNUMBER($G332),IF(ISNUMBER(SEARCH("non",LOWER($E332&amp;""))),$G332*0.85,$G332),"N/A"),IF($G332="","",IFERROR(IF(ISNUMBER(SEARCH("non",LOWER($E332&amp;""))),$G332*0.85,$G332),"")))))</ns0:f>
        <ns0:v/>
      </ns0:c>
      <ns0:c r="O332" s="987" t="str">
        <ns0:f>IF(COUNTA($A332:$M332)=0,"",IF(OR(LEFT(LOWER(TRIM($F332&amp;"")),12)="subscription",LOWER(TRIM($F332&amp;""))="membership"),"",IF(OR(AND($H332&lt;&gt;"",$H332=0),LEFT(LOWER(TRIM($F332&amp;"")),9)="free game",LOWER(TRIM($F332&amp;""))="free",LOWER(TRIM($F332&amp;""))="free entry"),IF(OR(NOT(ISNUMBER($N332)),NOT(ISNUMBER($I332)),$I332=0),"N/A",IFERROR($N332/$I332,"N/A")),IF(OR($N332="",$I332="",$I332=0),"",IFERROR($N332/$I332,"")))))</ns0:f>
        <ns0:v/>
      </ns0:c>
      <ns0:c r="P332" s="987">
        <ns0:f>IF(COUNTA($A332:$M332)=0,"",IF(OR(LEFT(LOWER(TRIM($F332&amp;"")),12)="subscription",LOWER(TRIM($F332&amp;""))="membership"),"",IF(LOWER(TRIM($D332&amp;""))="estimate","N/A",IF(LOWER($L332&amp;"")="yes",0,IF(OR(AND($H332&lt;&gt;"",$H332=0),LEFT(LOWER(TRIM($F332&amp;"")),9)="free game",LOWER(TRIM($F332&amp;""))="free",LOWER(TRIM($F332&amp;""))="free entry"),IF(ISNUMBER($K332),$K332,""),IF($K332&lt;&gt;"",$K332,""))))))</ns0:f>
      </ns0:c>
      <ns0:c r="Q332" s="114">
        <ns0:f>IF(COUNTA($A332:$M332)=0,"",IF(OR($U332="Subscription",$U332=""),"",IF($U332="Estimate","N/A",IF($U332="Profit",ROUND(IFERROR($P332,0)-IFERROR($H332,0),2),0))))</ns0:f>
      </ns0:c>
      <ns0:c r="R332" s="114">
        <ns0:f>IF(COUNTA($A332:$M332)=0,"",IF(OR($U332="Subscription",$U332=""),"",IF($U332="Estimate","N/A",IF($U332="Draw",$H332,0))))</ns0:f>
      </ns0:c>
      <ns0:c r="S332" s="114">
        <ns0:f>IF(COUNTA($A332:$M332)=0,"",IF(OR($U332="Subscription",$U332=""),"",IF($U332="Estimate","N/A",IF($U332="Disqualified",$H332,0))))</ns0:f>
      </ns0:c>
      <ns0:c r="T332" s="955">
        <ns0:f>IF(COUNTA($A332:$M332)=0,"",IF(OR($U332="Subscription",$U332=""),"",IF($U332="Estimate","N/A",IF(OR($U332="Free Game",$U332="Disqualified — Free Game",$H332=0),"N/A",IF($U332="Profit",$Q332/$H332,IF($U332="Disqualified",-$S332/$H332,0))))))</ns0:f>
      </ns0:c>
      <ns0:c r="U332" s="920">
        <ns0:f>IF(COUNTA($A332:$M332)=0,"",IF(OR(LEFT(LOWER(TRIM($F332&amp;"")),12)="subscription",LOWER(TRIM($F332&amp;""))="membership"),"Subscription",IF(LOWER(TRIM($D332&amp;""))="estimate","Estimate",IF(OR(AND($H332&lt;&gt;"",$H332=0),LEFT(LOWER(TRIM($F332&amp;"")),9)="free game",LOWER(TRIM($F332&amp;""))="free",LOWER(TRIM($F332&amp;""))="free entry"),IF(LOWER($L332&amp;"")="yes","Disqualified — Free Game","Free Game"),IF(LOWER($L332&amp;"")="yes","Disqualified",IF($P332="","",IF(ROUND(IFERROR(VALUE($P332),0)-IFERROR(VALUE($H332),0),2)&gt;0,"Profit","Draw")))))))</ns0:f>
      </ns0:c>
      <ns0:c r="V332" s="956" t="str">
        <ns0:f>IF(COUNTA($A332:$M332)=0,"",IF(OR($B332="",$C332="",$U332="Subscription"),"",IFERROR(ROUNDUP(($C332-$B332)/7,0),"")))</ns0:f>
      </ns0:c>
      <ns0:c r="W332" s="114">
        <ns0:f>IF(COUNTA($A332:$M332)=0,"",IF(OR($U332="Subscription",$U332=""),"",IF($U332="Estimate","N/A",IF(OR($U332="Free Game",$U332="Disqualified — Free Game"),0,ROUND(IFERROR($Q332,0)-IFERROR($S332,0),2)))))</ns0:f>
      </ns0:c>
      <ns0:c r="X332" s="956" t="str">
        <ns0:f>IF(COUNTA($A332:$M332)=0,"",IF(OR($U332="Subscription",NOT(ISNUMBER($J332)),NOT(ISNUMBER($I332)),$J332=0,$I332=0,$I332&gt;$J332),"",$J332-$I332))</ns0:f>
      </ns0:c>
      <ns0:c r="Y332" s="955" t="str">
        <ns0:f>IF(COUNTA($A332:$M332)=0,"",IF(OR($U332="Subscription",NOT(ISNUMBER($J332)),$J332=0,$X332=""),"",$X332/$J332))</ns0:f>
      </ns0:c>
      <ns0:c r="Z332" s="957" t="str">
        <ns0:f>IF(COUNTA($A332:$M332)=0,"",Instructions!$B$29+SUM($W$5:W332))</ns0:f>
      </ns0:c>
    </ns0:row>
    <ns0:row r="333" ht="36" customHeight="1">
      <ns0:c r="A333" s="439"/>
      <ns0:c r="B333" s="453"/>
      <ns0:c r="C333" s="453"/>
      <ns0:c r="D333" s="454"/>
      <ns0:c r="E333" s="454"/>
      <ns0:c r="F333" s="454"/>
      <ns0:c r="G333" s="986"/>
      <ns0:c r="H333" s="455"/>
      <ns0:c r="I333" s="456"/>
      <ns0:c r="J333" s="456"/>
      <ns0:c r="K333" s="986"/>
      <ns0:c r="L333" s="454"/>
      <ns0:c r="M333" s="439"/>
      <ns0:c r="N333" s="987" t="str">
        <ns0:f>IF(COUNTA($A333:$M333)=0,"",IF(OR(LEFT(LOWER(TRIM($F333&amp;"")),12)="subscription",LOWER(TRIM($F333&amp;""))="membership"),"",IF(OR(AND($H333&lt;&gt;"",$H333=0),LEFT(LOWER(TRIM($F333&amp;"")),9)="free game",LOWER(TRIM($F333&amp;""))="free",LOWER(TRIM($F333&amp;""))="free entry"),IF(ISNUMBER($G333),IF(ISNUMBER(SEARCH("non",LOWER($E333&amp;""))),$G333*0.85,$G333),"N/A"),IF($G333="","",IFERROR(IF(ISNUMBER(SEARCH("non",LOWER($E333&amp;""))),$G333*0.85,$G333),"")))))</ns0:f>
        <ns0:v/>
      </ns0:c>
      <ns0:c r="O333" s="987" t="str">
        <ns0:f>IF(COUNTA($A333:$M333)=0,"",IF(OR(LEFT(LOWER(TRIM($F333&amp;"")),12)="subscription",LOWER(TRIM($F333&amp;""))="membership"),"",IF(OR(AND($H333&lt;&gt;"",$H333=0),LEFT(LOWER(TRIM($F333&amp;"")),9)="free game",LOWER(TRIM($F333&amp;""))="free",LOWER(TRIM($F333&amp;""))="free entry"),IF(OR(NOT(ISNUMBER($N333)),NOT(ISNUMBER($I333)),$I333=0),"N/A",IFERROR($N333/$I333,"N/A")),IF(OR($N333="",$I333="",$I333=0),"",IFERROR($N333/$I333,"")))))</ns0:f>
        <ns0:v/>
      </ns0:c>
      <ns0:c r="P333" s="987">
        <ns0:f>IF(COUNTA($A333:$M333)=0,"",IF(OR(LEFT(LOWER(TRIM($F333&amp;"")),12)="subscription",LOWER(TRIM($F333&amp;""))="membership"),"",IF(LOWER(TRIM($D333&amp;""))="estimate","N/A",IF(LOWER($L333&amp;"")="yes",0,IF(OR(AND($H333&lt;&gt;"",$H333=0),LEFT(LOWER(TRIM($F333&amp;"")),9)="free game",LOWER(TRIM($F333&amp;""))="free",LOWER(TRIM($F333&amp;""))="free entry"),IF(ISNUMBER($K333),$K333,""),IF($K333&lt;&gt;"",$K333,""))))))</ns0:f>
      </ns0:c>
      <ns0:c r="Q333" s="114">
        <ns0:f>IF(COUNTA($A333:$M333)=0,"",IF(OR($U333="Subscription",$U333=""),"",IF($U333="Estimate","N/A",IF($U333="Profit",ROUND(IFERROR($P333,0)-IFERROR($H333,0),2),0))))</ns0:f>
      </ns0:c>
      <ns0:c r="R333" s="114">
        <ns0:f>IF(COUNTA($A333:$M333)=0,"",IF(OR($U333="Subscription",$U333=""),"",IF($U333="Estimate","N/A",IF($U333="Draw",$H333,0))))</ns0:f>
      </ns0:c>
      <ns0:c r="S333" s="114">
        <ns0:f>IF(COUNTA($A333:$M333)=0,"",IF(OR($U333="Subscription",$U333=""),"",IF($U333="Estimate","N/A",IF($U333="Disqualified",$H333,0))))</ns0:f>
      </ns0:c>
      <ns0:c r="T333" s="955">
        <ns0:f>IF(COUNTA($A333:$M333)=0,"",IF(OR($U333="Subscription",$U333=""),"",IF($U333="Estimate","N/A",IF(OR($U333="Free Game",$U333="Disqualified — Free Game",$H333=0),"N/A",IF($U333="Profit",$Q333/$H333,IF($U333="Disqualified",-$S333/$H333,0))))))</ns0:f>
      </ns0:c>
      <ns0:c r="U333" s="920">
        <ns0:f>IF(COUNTA($A333:$M333)=0,"",IF(OR(LEFT(LOWER(TRIM($F333&amp;"")),12)="subscription",LOWER(TRIM($F333&amp;""))="membership"),"Subscription",IF(LOWER(TRIM($D333&amp;""))="estimate","Estimate",IF(OR(AND($H333&lt;&gt;"",$H333=0),LEFT(LOWER(TRIM($F333&amp;"")),9)="free game",LOWER(TRIM($F333&amp;""))="free",LOWER(TRIM($F333&amp;""))="free entry"),IF(LOWER($L333&amp;"")="yes","Disqualified — Free Game","Free Game"),IF(LOWER($L333&amp;"")="yes","Disqualified",IF($P333="","",IF(ROUND(IFERROR(VALUE($P333),0)-IFERROR(VALUE($H333),0),2)&gt;0,"Profit","Draw")))))))</ns0:f>
      </ns0:c>
      <ns0:c r="V333" s="956" t="str">
        <ns0:f>IF(COUNTA($A333:$M333)=0,"",IF(OR($B333="",$C333="",$U333="Subscription"),"",IFERROR(ROUNDUP(($C333-$B333)/7,0),"")))</ns0:f>
      </ns0:c>
      <ns0:c r="W333" s="114">
        <ns0:f>IF(COUNTA($A333:$M333)=0,"",IF(OR($U333="Subscription",$U333=""),"",IF($U333="Estimate","N/A",IF(OR($U333="Free Game",$U333="Disqualified — Free Game"),0,ROUND(IFERROR($Q333,0)-IFERROR($S333,0),2)))))</ns0:f>
      </ns0:c>
      <ns0:c r="X333" s="956" t="str">
        <ns0:f>IF(COUNTA($A333:$M333)=0,"",IF(OR($U333="Subscription",NOT(ISNUMBER($J333)),NOT(ISNUMBER($I333)),$J333=0,$I333=0,$I333&gt;$J333),"",$J333-$I333))</ns0:f>
      </ns0:c>
      <ns0:c r="Y333" s="955" t="str">
        <ns0:f>IF(COUNTA($A333:$M333)=0,"",IF(OR($U333="Subscription",NOT(ISNUMBER($J333)),$J333=0,$X333=""),"",$X333/$J333))</ns0:f>
      </ns0:c>
      <ns0:c r="Z333" s="957" t="str">
        <ns0:f>IF(COUNTA($A333:$M333)=0,"",Instructions!$B$29+SUM($W$5:W333))</ns0:f>
      </ns0:c>
    </ns0:row>
    <ns0:row r="334" ht="36" customHeight="1">
      <ns0:c r="A334" s="439"/>
      <ns0:c r="B334" s="453"/>
      <ns0:c r="C334" s="453"/>
      <ns0:c r="D334" s="454"/>
      <ns0:c r="E334" s="454"/>
      <ns0:c r="F334" s="454"/>
      <ns0:c r="G334" s="986"/>
      <ns0:c r="H334" s="455"/>
      <ns0:c r="I334" s="456"/>
      <ns0:c r="J334" s="456"/>
      <ns0:c r="K334" s="986"/>
      <ns0:c r="L334" s="454"/>
      <ns0:c r="M334" s="439"/>
      <ns0:c r="N334" s="987" t="str">
        <ns0:f>IF(COUNTA($A334:$M334)=0,"",IF(OR(LEFT(LOWER(TRIM($F334&amp;"")),12)="subscription",LOWER(TRIM($F334&amp;""))="membership"),"",IF(OR(AND($H334&lt;&gt;"",$H334=0),LEFT(LOWER(TRIM($F334&amp;"")),9)="free game",LOWER(TRIM($F334&amp;""))="free",LOWER(TRIM($F334&amp;""))="free entry"),IF(ISNUMBER($G334),IF(ISNUMBER(SEARCH("non",LOWER($E334&amp;""))),$G334*0.85,$G334),"N/A"),IF($G334="","",IFERROR(IF(ISNUMBER(SEARCH("non",LOWER($E334&amp;""))),$G334*0.85,$G334),"")))))</ns0:f>
        <ns0:v/>
      </ns0:c>
      <ns0:c r="O334" s="987" t="str">
        <ns0:f>IF(COUNTA($A334:$M334)=0,"",IF(OR(LEFT(LOWER(TRIM($F334&amp;"")),12)="subscription",LOWER(TRIM($F334&amp;""))="membership"),"",IF(OR(AND($H334&lt;&gt;"",$H334=0),LEFT(LOWER(TRIM($F334&amp;"")),9)="free game",LOWER(TRIM($F334&amp;""))="free",LOWER(TRIM($F334&amp;""))="free entry"),IF(OR(NOT(ISNUMBER($N334)),NOT(ISNUMBER($I334)),$I334=0),"N/A",IFERROR($N334/$I334,"N/A")),IF(OR($N334="",$I334="",$I334=0),"",IFERROR($N334/$I334,"")))))</ns0:f>
        <ns0:v/>
      </ns0:c>
      <ns0:c r="P334" s="987">
        <ns0:f>IF(COUNTA($A334:$M334)=0,"",IF(OR(LEFT(LOWER(TRIM($F334&amp;"")),12)="subscription",LOWER(TRIM($F334&amp;""))="membership"),"",IF(LOWER(TRIM($D334&amp;""))="estimate","N/A",IF(LOWER($L334&amp;"")="yes",0,IF(OR(AND($H334&lt;&gt;"",$H334=0),LEFT(LOWER(TRIM($F334&amp;"")),9)="free game",LOWER(TRIM($F334&amp;""))="free",LOWER(TRIM($F334&amp;""))="free entry"),IF(ISNUMBER($K334),$K334,""),IF($K334&lt;&gt;"",$K334,""))))))</ns0:f>
      </ns0:c>
      <ns0:c r="Q334" s="114">
        <ns0:f>IF(COUNTA($A334:$M334)=0,"",IF(OR($U334="Subscription",$U334=""),"",IF($U334="Estimate","N/A",IF($U334="Profit",ROUND(IFERROR($P334,0)-IFERROR($H334,0),2),0))))</ns0:f>
      </ns0:c>
      <ns0:c r="R334" s="114">
        <ns0:f>IF(COUNTA($A334:$M334)=0,"",IF(OR($U334="Subscription",$U334=""),"",IF($U334="Estimate","N/A",IF($U334="Draw",$H334,0))))</ns0:f>
      </ns0:c>
      <ns0:c r="S334" s="114">
        <ns0:f>IF(COUNTA($A334:$M334)=0,"",IF(OR($U334="Subscription",$U334=""),"",IF($U334="Estimate","N/A",IF($U334="Disqualified",$H334,0))))</ns0:f>
      </ns0:c>
      <ns0:c r="T334" s="955">
        <ns0:f>IF(COUNTA($A334:$M334)=0,"",IF(OR($U334="Subscription",$U334=""),"",IF($U334="Estimate","N/A",IF(OR($U334="Free Game",$U334="Disqualified — Free Game",$H334=0),"N/A",IF($U334="Profit",$Q334/$H334,IF($U334="Disqualified",-$S334/$H334,0))))))</ns0:f>
      </ns0:c>
      <ns0:c r="U334" s="920">
        <ns0:f>IF(COUNTA($A334:$M334)=0,"",IF(OR(LEFT(LOWER(TRIM($F334&amp;"")),12)="subscription",LOWER(TRIM($F334&amp;""))="membership"),"Subscription",IF(LOWER(TRIM($D334&amp;""))="estimate","Estimate",IF(OR(AND($H334&lt;&gt;"",$H334=0),LEFT(LOWER(TRIM($F334&amp;"")),9)="free game",LOWER(TRIM($F334&amp;""))="free",LOWER(TRIM($F334&amp;""))="free entry"),IF(LOWER($L334&amp;"")="yes","Disqualified — Free Game","Free Game"),IF(LOWER($L334&amp;"")="yes","Disqualified",IF($P334="","",IF(ROUND(IFERROR(VALUE($P334),0)-IFERROR(VALUE($H334),0),2)&gt;0,"Profit","Draw")))))))</ns0:f>
      </ns0:c>
      <ns0:c r="V334" s="956" t="str">
        <ns0:f>IF(COUNTA($A334:$M334)=0,"",IF(OR($B334="",$C334="",$U334="Subscription"),"",IFERROR(ROUNDUP(($C334-$B334)/7,0),"")))</ns0:f>
      </ns0:c>
      <ns0:c r="W334" s="114">
        <ns0:f>IF(COUNTA($A334:$M334)=0,"",IF(OR($U334="Subscription",$U334=""),"",IF($U334="Estimate","N/A",IF(OR($U334="Free Game",$U334="Disqualified — Free Game"),0,ROUND(IFERROR($Q334,0)-IFERROR($S334,0),2)))))</ns0:f>
      </ns0:c>
      <ns0:c r="X334" s="956" t="str">
        <ns0:f>IF(COUNTA($A334:$M334)=0,"",IF(OR($U334="Subscription",NOT(ISNUMBER($J334)),NOT(ISNUMBER($I334)),$J334=0,$I334=0,$I334&gt;$J334),"",$J334-$I334))</ns0:f>
      </ns0:c>
      <ns0:c r="Y334" s="955" t="str">
        <ns0:f>IF(COUNTA($A334:$M334)=0,"",IF(OR($U334="Subscription",NOT(ISNUMBER($J334)),$J334=0,$X334=""),"",$X334/$J334))</ns0:f>
      </ns0:c>
      <ns0:c r="Z334" s="957" t="str">
        <ns0:f>IF(COUNTA($A334:$M334)=0,"",Instructions!$B$29+SUM($W$5:W334))</ns0:f>
      </ns0:c>
    </ns0:row>
    <ns0:row r="335" ht="36" customHeight="1">
      <ns0:c r="A335" s="439"/>
      <ns0:c r="B335" s="453"/>
      <ns0:c r="C335" s="453"/>
      <ns0:c r="D335" s="454"/>
      <ns0:c r="E335" s="454"/>
      <ns0:c r="F335" s="454"/>
      <ns0:c r="G335" s="986"/>
      <ns0:c r="H335" s="455"/>
      <ns0:c r="I335" s="456"/>
      <ns0:c r="J335" s="456"/>
      <ns0:c r="K335" s="986"/>
      <ns0:c r="L335" s="454"/>
      <ns0:c r="M335" s="439"/>
      <ns0:c r="N335" s="987" t="str">
        <ns0:f>IF(COUNTA($A335:$M335)=0,"",IF(OR(LEFT(LOWER(TRIM($F335&amp;"")),12)="subscription",LOWER(TRIM($F335&amp;""))="membership"),"",IF(OR(AND($H335&lt;&gt;"",$H335=0),LEFT(LOWER(TRIM($F335&amp;"")),9)="free game",LOWER(TRIM($F335&amp;""))="free",LOWER(TRIM($F335&amp;""))="free entry"),IF(ISNUMBER($G335),IF(ISNUMBER(SEARCH("non",LOWER($E335&amp;""))),$G335*0.85,$G335),"N/A"),IF($G335="","",IFERROR(IF(ISNUMBER(SEARCH("non",LOWER($E335&amp;""))),$G335*0.85,$G335),"")))))</ns0:f>
        <ns0:v/>
      </ns0:c>
      <ns0:c r="O335" s="987" t="str">
        <ns0:f>IF(COUNTA($A335:$M335)=0,"",IF(OR(LEFT(LOWER(TRIM($F335&amp;"")),12)="subscription",LOWER(TRIM($F335&amp;""))="membership"),"",IF(OR(AND($H335&lt;&gt;"",$H335=0),LEFT(LOWER(TRIM($F335&amp;"")),9)="free game",LOWER(TRIM($F335&amp;""))="free",LOWER(TRIM($F335&amp;""))="free entry"),IF(OR(NOT(ISNUMBER($N335)),NOT(ISNUMBER($I335)),$I335=0),"N/A",IFERROR($N335/$I335,"N/A")),IF(OR($N335="",$I335="",$I335=0),"",IFERROR($N335/$I335,"")))))</ns0:f>
        <ns0:v/>
      </ns0:c>
      <ns0:c r="P335" s="987">
        <ns0:f>IF(COUNTA($A335:$M335)=0,"",IF(OR(LEFT(LOWER(TRIM($F335&amp;"")),12)="subscription",LOWER(TRIM($F335&amp;""))="membership"),"",IF(LOWER(TRIM($D335&amp;""))="estimate","N/A",IF(LOWER($L335&amp;"")="yes",0,IF(OR(AND($H335&lt;&gt;"",$H335=0),LEFT(LOWER(TRIM($F335&amp;"")),9)="free game",LOWER(TRIM($F335&amp;""))="free",LOWER(TRIM($F335&amp;""))="free entry"),IF(ISNUMBER($K335),$K335,""),IF($K335&lt;&gt;"",$K335,""))))))</ns0:f>
      </ns0:c>
      <ns0:c r="Q335" s="114">
        <ns0:f>IF(COUNTA($A335:$M335)=0,"",IF(OR($U335="Subscription",$U335=""),"",IF($U335="Estimate","N/A",IF($U335="Profit",ROUND(IFERROR($P335,0)-IFERROR($H335,0),2),0))))</ns0:f>
      </ns0:c>
      <ns0:c r="R335" s="114">
        <ns0:f>IF(COUNTA($A335:$M335)=0,"",IF(OR($U335="Subscription",$U335=""),"",IF($U335="Estimate","N/A",IF($U335="Draw",$H335,0))))</ns0:f>
      </ns0:c>
      <ns0:c r="S335" s="114">
        <ns0:f>IF(COUNTA($A335:$M335)=0,"",IF(OR($U335="Subscription",$U335=""),"",IF($U335="Estimate","N/A",IF($U335="Disqualified",$H335,0))))</ns0:f>
      </ns0:c>
      <ns0:c r="T335" s="955">
        <ns0:f>IF(COUNTA($A335:$M335)=0,"",IF(OR($U335="Subscription",$U335=""),"",IF($U335="Estimate","N/A",IF(OR($U335="Free Game",$U335="Disqualified — Free Game",$H335=0),"N/A",IF($U335="Profit",$Q335/$H335,IF($U335="Disqualified",-$S335/$H335,0))))))</ns0:f>
      </ns0:c>
      <ns0:c r="U335" s="920">
        <ns0:f>IF(COUNTA($A335:$M335)=0,"",IF(OR(LEFT(LOWER(TRIM($F335&amp;"")),12)="subscription",LOWER(TRIM($F335&amp;""))="membership"),"Subscription",IF(LOWER(TRIM($D335&amp;""))="estimate","Estimate",IF(OR(AND($H335&lt;&gt;"",$H335=0),LEFT(LOWER(TRIM($F335&amp;"")),9)="free game",LOWER(TRIM($F335&amp;""))="free",LOWER(TRIM($F335&amp;""))="free entry"),IF(LOWER($L335&amp;"")="yes","Disqualified — Free Game","Free Game"),IF(LOWER($L335&amp;"")="yes","Disqualified",IF($P335="","",IF(ROUND(IFERROR(VALUE($P335),0)-IFERROR(VALUE($H335),0),2)&gt;0,"Profit","Draw")))))))</ns0:f>
      </ns0:c>
      <ns0:c r="V335" s="956" t="str">
        <ns0:f>IF(COUNTA($A335:$M335)=0,"",IF(OR($B335="",$C335="",$U335="Subscription"),"",IFERROR(ROUNDUP(($C335-$B335)/7,0),"")))</ns0:f>
      </ns0:c>
      <ns0:c r="W335" s="114">
        <ns0:f>IF(COUNTA($A335:$M335)=0,"",IF(OR($U335="Subscription",$U335=""),"",IF($U335="Estimate","N/A",IF(OR($U335="Free Game",$U335="Disqualified — Free Game"),0,ROUND(IFERROR($Q335,0)-IFERROR($S335,0),2)))))</ns0:f>
      </ns0:c>
      <ns0:c r="X335" s="956" t="str">
        <ns0:f>IF(COUNTA($A335:$M335)=0,"",IF(OR($U335="Subscription",NOT(ISNUMBER($J335)),NOT(ISNUMBER($I335)),$J335=0,$I335=0,$I335&gt;$J335),"",$J335-$I335))</ns0:f>
      </ns0:c>
      <ns0:c r="Y335" s="955" t="str">
        <ns0:f>IF(COUNTA($A335:$M335)=0,"",IF(OR($U335="Subscription",NOT(ISNUMBER($J335)),$J335=0,$X335=""),"",$X335/$J335))</ns0:f>
      </ns0:c>
      <ns0:c r="Z335" s="957" t="str">
        <ns0:f>IF(COUNTA($A335:$M335)=0,"",Instructions!$B$29+SUM($W$5:W335))</ns0:f>
      </ns0:c>
    </ns0:row>
    <ns0:row r="336" ht="36" customHeight="1">
      <ns0:c r="A336" s="439"/>
      <ns0:c r="B336" s="453"/>
      <ns0:c r="C336" s="453"/>
      <ns0:c r="D336" s="454"/>
      <ns0:c r="E336" s="454"/>
      <ns0:c r="F336" s="454"/>
      <ns0:c r="G336" s="986"/>
      <ns0:c r="H336" s="455"/>
      <ns0:c r="I336" s="456"/>
      <ns0:c r="J336" s="456"/>
      <ns0:c r="K336" s="986"/>
      <ns0:c r="L336" s="454"/>
      <ns0:c r="M336" s="439"/>
      <ns0:c r="N336" s="987" t="str">
        <ns0:f>IF(COUNTA($A336:$M336)=0,"",IF(OR(LEFT(LOWER(TRIM($F336&amp;"")),12)="subscription",LOWER(TRIM($F336&amp;""))="membership"),"",IF(OR(AND($H336&lt;&gt;"",$H336=0),LEFT(LOWER(TRIM($F336&amp;"")),9)="free game",LOWER(TRIM($F336&amp;""))="free",LOWER(TRIM($F336&amp;""))="free entry"),IF(ISNUMBER($G336),IF(ISNUMBER(SEARCH("non",LOWER($E336&amp;""))),$G336*0.85,$G336),"N/A"),IF($G336="","",IFERROR(IF(ISNUMBER(SEARCH("non",LOWER($E336&amp;""))),$G336*0.85,$G336),"")))))</ns0:f>
        <ns0:v/>
      </ns0:c>
      <ns0:c r="O336" s="987" t="str">
        <ns0:f>IF(COUNTA($A336:$M336)=0,"",IF(OR(LEFT(LOWER(TRIM($F336&amp;"")),12)="subscription",LOWER(TRIM($F336&amp;""))="membership"),"",IF(OR(AND($H336&lt;&gt;"",$H336=0),LEFT(LOWER(TRIM($F336&amp;"")),9)="free game",LOWER(TRIM($F336&amp;""))="free",LOWER(TRIM($F336&amp;""))="free entry"),IF(OR(NOT(ISNUMBER($N336)),NOT(ISNUMBER($I336)),$I336=0),"N/A",IFERROR($N336/$I336,"N/A")),IF(OR($N336="",$I336="",$I336=0),"",IFERROR($N336/$I336,"")))))</ns0:f>
        <ns0:v/>
      </ns0:c>
      <ns0:c r="P336" s="987">
        <ns0:f>IF(COUNTA($A336:$M336)=0,"",IF(OR(LEFT(LOWER(TRIM($F336&amp;"")),12)="subscription",LOWER(TRIM($F336&amp;""))="membership"),"",IF(LOWER(TRIM($D336&amp;""))="estimate","N/A",IF(LOWER($L336&amp;"")="yes",0,IF(OR(AND($H336&lt;&gt;"",$H336=0),LEFT(LOWER(TRIM($F336&amp;"")),9)="free game",LOWER(TRIM($F336&amp;""))="free",LOWER(TRIM($F336&amp;""))="free entry"),IF(ISNUMBER($K336),$K336,""),IF($K336&lt;&gt;"",$K336,""))))))</ns0:f>
      </ns0:c>
      <ns0:c r="Q336" s="114">
        <ns0:f>IF(COUNTA($A336:$M336)=0,"",IF(OR($U336="Subscription",$U336=""),"",IF($U336="Estimate","N/A",IF($U336="Profit",ROUND(IFERROR($P336,0)-IFERROR($H336,0),2),0))))</ns0:f>
      </ns0:c>
      <ns0:c r="R336" s="114">
        <ns0:f>IF(COUNTA($A336:$M336)=0,"",IF(OR($U336="Subscription",$U336=""),"",IF($U336="Estimate","N/A",IF($U336="Draw",$H336,0))))</ns0:f>
      </ns0:c>
      <ns0:c r="S336" s="114">
        <ns0:f>IF(COUNTA($A336:$M336)=0,"",IF(OR($U336="Subscription",$U336=""),"",IF($U336="Estimate","N/A",IF($U336="Disqualified",$H336,0))))</ns0:f>
      </ns0:c>
      <ns0:c r="T336" s="955">
        <ns0:f>IF(COUNTA($A336:$M336)=0,"",IF(OR($U336="Subscription",$U336=""),"",IF($U336="Estimate","N/A",IF(OR($U336="Free Game",$U336="Disqualified — Free Game",$H336=0),"N/A",IF($U336="Profit",$Q336/$H336,IF($U336="Disqualified",-$S336/$H336,0))))))</ns0:f>
      </ns0:c>
      <ns0:c r="U336" s="920">
        <ns0:f>IF(COUNTA($A336:$M336)=0,"",IF(OR(LEFT(LOWER(TRIM($F336&amp;"")),12)="subscription",LOWER(TRIM($F336&amp;""))="membership"),"Subscription",IF(LOWER(TRIM($D336&amp;""))="estimate","Estimate",IF(OR(AND($H336&lt;&gt;"",$H336=0),LEFT(LOWER(TRIM($F336&amp;"")),9)="free game",LOWER(TRIM($F336&amp;""))="free",LOWER(TRIM($F336&amp;""))="free entry"),IF(LOWER($L336&amp;"")="yes","Disqualified — Free Game","Free Game"),IF(LOWER($L336&amp;"")="yes","Disqualified",IF($P336="","",IF(ROUND(IFERROR(VALUE($P336),0)-IFERROR(VALUE($H336),0),2)&gt;0,"Profit","Draw")))))))</ns0:f>
      </ns0:c>
      <ns0:c r="V336" s="956" t="str">
        <ns0:f>IF(COUNTA($A336:$M336)=0,"",IF(OR($B336="",$C336="",$U336="Subscription"),"",IFERROR(ROUNDUP(($C336-$B336)/7,0),"")))</ns0:f>
      </ns0:c>
      <ns0:c r="W336" s="114">
        <ns0:f>IF(COUNTA($A336:$M336)=0,"",IF(OR($U336="Subscription",$U336=""),"",IF($U336="Estimate","N/A",IF(OR($U336="Free Game",$U336="Disqualified — Free Game"),0,ROUND(IFERROR($Q336,0)-IFERROR($S336,0),2)))))</ns0:f>
      </ns0:c>
      <ns0:c r="X336" s="956" t="str">
        <ns0:f>IF(COUNTA($A336:$M336)=0,"",IF(OR($U336="Subscription",NOT(ISNUMBER($J336)),NOT(ISNUMBER($I336)),$J336=0,$I336=0,$I336&gt;$J336),"",$J336-$I336))</ns0:f>
      </ns0:c>
      <ns0:c r="Y336" s="955" t="str">
        <ns0:f>IF(COUNTA($A336:$M336)=0,"",IF(OR($U336="Subscription",NOT(ISNUMBER($J336)),$J336=0,$X336=""),"",$X336/$J336))</ns0:f>
      </ns0:c>
      <ns0:c r="Z336" s="957" t="str">
        <ns0:f>IF(COUNTA($A336:$M336)=0,"",Instructions!$B$29+SUM($W$5:W336))</ns0:f>
      </ns0:c>
    </ns0:row>
    <ns0:row r="337" ht="36" customHeight="1">
      <ns0:c r="A337" s="439"/>
      <ns0:c r="B337" s="453"/>
      <ns0:c r="C337" s="453"/>
      <ns0:c r="D337" s="454"/>
      <ns0:c r="E337" s="454"/>
      <ns0:c r="F337" s="454"/>
      <ns0:c r="G337" s="986"/>
      <ns0:c r="H337" s="455"/>
      <ns0:c r="I337" s="456"/>
      <ns0:c r="J337" s="456"/>
      <ns0:c r="K337" s="986"/>
      <ns0:c r="L337" s="454"/>
      <ns0:c r="M337" s="439"/>
      <ns0:c r="N337" s="987" t="str">
        <ns0:f>IF(COUNTA($A337:$M337)=0,"",IF(OR(LEFT(LOWER(TRIM($F337&amp;"")),12)="subscription",LOWER(TRIM($F337&amp;""))="membership"),"",IF(OR(AND($H337&lt;&gt;"",$H337=0),LEFT(LOWER(TRIM($F337&amp;"")),9)="free game",LOWER(TRIM($F337&amp;""))="free",LOWER(TRIM($F337&amp;""))="free entry"),IF(ISNUMBER($G337),IF(ISNUMBER(SEARCH("non",LOWER($E337&amp;""))),$G337*0.85,$G337),"N/A"),IF($G337="","",IFERROR(IF(ISNUMBER(SEARCH("non",LOWER($E337&amp;""))),$G337*0.85,$G337),"")))))</ns0:f>
        <ns0:v/>
      </ns0:c>
      <ns0:c r="O337" s="987" t="str">
        <ns0:f>IF(COUNTA($A337:$M337)=0,"",IF(OR(LEFT(LOWER(TRIM($F337&amp;"")),12)="subscription",LOWER(TRIM($F337&amp;""))="membership"),"",IF(OR(AND($H337&lt;&gt;"",$H337=0),LEFT(LOWER(TRIM($F337&amp;"")),9)="free game",LOWER(TRIM($F337&amp;""))="free",LOWER(TRIM($F337&amp;""))="free entry"),IF(OR(NOT(ISNUMBER($N337)),NOT(ISNUMBER($I337)),$I337=0),"N/A",IFERROR($N337/$I337,"N/A")),IF(OR($N337="",$I337="",$I337=0),"",IFERROR($N337/$I337,"")))))</ns0:f>
        <ns0:v/>
      </ns0:c>
      <ns0:c r="P337" s="987">
        <ns0:f>IF(COUNTA($A337:$M337)=0,"",IF(OR(LEFT(LOWER(TRIM($F337&amp;"")),12)="subscription",LOWER(TRIM($F337&amp;""))="membership"),"",IF(LOWER(TRIM($D337&amp;""))="estimate","N/A",IF(LOWER($L337&amp;"")="yes",0,IF(OR(AND($H337&lt;&gt;"",$H337=0),LEFT(LOWER(TRIM($F337&amp;"")),9)="free game",LOWER(TRIM($F337&amp;""))="free",LOWER(TRIM($F337&amp;""))="free entry"),IF(ISNUMBER($K337),$K337,""),IF($K337&lt;&gt;"",$K337,""))))))</ns0:f>
      </ns0:c>
      <ns0:c r="Q337" s="114">
        <ns0:f>IF(COUNTA($A337:$M337)=0,"",IF(OR($U337="Subscription",$U337=""),"",IF($U337="Estimate","N/A",IF($U337="Profit",ROUND(IFERROR($P337,0)-IFERROR($H337,0),2),0))))</ns0:f>
      </ns0:c>
      <ns0:c r="R337" s="114">
        <ns0:f>IF(COUNTA($A337:$M337)=0,"",IF(OR($U337="Subscription",$U337=""),"",IF($U337="Estimate","N/A",IF($U337="Draw",$H337,0))))</ns0:f>
      </ns0:c>
      <ns0:c r="S337" s="114">
        <ns0:f>IF(COUNTA($A337:$M337)=0,"",IF(OR($U337="Subscription",$U337=""),"",IF($U337="Estimate","N/A",IF($U337="Disqualified",$H337,0))))</ns0:f>
      </ns0:c>
      <ns0:c r="T337" s="955">
        <ns0:f>IF(COUNTA($A337:$M337)=0,"",IF(OR($U337="Subscription",$U337=""),"",IF($U337="Estimate","N/A",IF(OR($U337="Free Game",$U337="Disqualified — Free Game",$H337=0),"N/A",IF($U337="Profit",$Q337/$H337,IF($U337="Disqualified",-$S337/$H337,0))))))</ns0:f>
      </ns0:c>
      <ns0:c r="U337" s="920">
        <ns0:f>IF(COUNTA($A337:$M337)=0,"",IF(OR(LEFT(LOWER(TRIM($F337&amp;"")),12)="subscription",LOWER(TRIM($F337&amp;""))="membership"),"Subscription",IF(LOWER(TRIM($D337&amp;""))="estimate","Estimate",IF(OR(AND($H337&lt;&gt;"",$H337=0),LEFT(LOWER(TRIM($F337&amp;"")),9)="free game",LOWER(TRIM($F337&amp;""))="free",LOWER(TRIM($F337&amp;""))="free entry"),IF(LOWER($L337&amp;"")="yes","Disqualified — Free Game","Free Game"),IF(LOWER($L337&amp;"")="yes","Disqualified",IF($P337="","",IF(ROUND(IFERROR(VALUE($P337),0)-IFERROR(VALUE($H337),0),2)&gt;0,"Profit","Draw")))))))</ns0:f>
      </ns0:c>
      <ns0:c r="V337" s="956" t="str">
        <ns0:f>IF(COUNTA($A337:$M337)=0,"",IF(OR($B337="",$C337="",$U337="Subscription"),"",IFERROR(ROUNDUP(($C337-$B337)/7,0),"")))</ns0:f>
      </ns0:c>
      <ns0:c r="W337" s="114">
        <ns0:f>IF(COUNTA($A337:$M337)=0,"",IF(OR($U337="Subscription",$U337=""),"",IF($U337="Estimate","N/A",IF(OR($U337="Free Game",$U337="Disqualified — Free Game"),0,ROUND(IFERROR($Q337,0)-IFERROR($S337,0),2)))))</ns0:f>
      </ns0:c>
      <ns0:c r="X337" s="956" t="str">
        <ns0:f>IF(COUNTA($A337:$M337)=0,"",IF(OR($U337="Subscription",NOT(ISNUMBER($J337)),NOT(ISNUMBER($I337)),$J337=0,$I337=0,$I337&gt;$J337),"",$J337-$I337))</ns0:f>
      </ns0:c>
      <ns0:c r="Y337" s="955" t="str">
        <ns0:f>IF(COUNTA($A337:$M337)=0,"",IF(OR($U337="Subscription",NOT(ISNUMBER($J337)),$J337=0,$X337=""),"",$X337/$J337))</ns0:f>
      </ns0:c>
      <ns0:c r="Z337" s="957" t="str">
        <ns0:f>IF(COUNTA($A337:$M337)=0,"",Instructions!$B$29+SUM($W$5:W337))</ns0:f>
      </ns0:c>
    </ns0:row>
    <ns0:row r="338" ht="36" customHeight="1">
      <ns0:c r="A338" s="439"/>
      <ns0:c r="B338" s="453"/>
      <ns0:c r="C338" s="453"/>
      <ns0:c r="D338" s="454"/>
      <ns0:c r="E338" s="454"/>
      <ns0:c r="F338" s="454"/>
      <ns0:c r="G338" s="986"/>
      <ns0:c r="H338" s="455"/>
      <ns0:c r="I338" s="456"/>
      <ns0:c r="J338" s="456"/>
      <ns0:c r="K338" s="986"/>
      <ns0:c r="L338" s="454"/>
      <ns0:c r="M338" s="439"/>
      <ns0:c r="N338" s="987" t="str">
        <ns0:f>IF(COUNTA($A338:$M338)=0,"",IF(OR(LEFT(LOWER(TRIM($F338&amp;"")),12)="subscription",LOWER(TRIM($F338&amp;""))="membership"),"",IF(OR(AND($H338&lt;&gt;"",$H338=0),LEFT(LOWER(TRIM($F338&amp;"")),9)="free game",LOWER(TRIM($F338&amp;""))="free",LOWER(TRIM($F338&amp;""))="free entry"),IF(ISNUMBER($G338),IF(ISNUMBER(SEARCH("non",LOWER($E338&amp;""))),$G338*0.85,$G338),"N/A"),IF($G338="","",IFERROR(IF(ISNUMBER(SEARCH("non",LOWER($E338&amp;""))),$G338*0.85,$G338),"")))))</ns0:f>
        <ns0:v/>
      </ns0:c>
      <ns0:c r="O338" s="987" t="str">
        <ns0:f>IF(COUNTA($A338:$M338)=0,"",IF(OR(LEFT(LOWER(TRIM($F338&amp;"")),12)="subscription",LOWER(TRIM($F338&amp;""))="membership"),"",IF(OR(AND($H338&lt;&gt;"",$H338=0),LEFT(LOWER(TRIM($F338&amp;"")),9)="free game",LOWER(TRIM($F338&amp;""))="free",LOWER(TRIM($F338&amp;""))="free entry"),IF(OR(NOT(ISNUMBER($N338)),NOT(ISNUMBER($I338)),$I338=0),"N/A",IFERROR($N338/$I338,"N/A")),IF(OR($N338="",$I338="",$I338=0),"",IFERROR($N338/$I338,"")))))</ns0:f>
        <ns0:v/>
      </ns0:c>
      <ns0:c r="P338" s="987">
        <ns0:f>IF(COUNTA($A338:$M338)=0,"",IF(OR(LEFT(LOWER(TRIM($F338&amp;"")),12)="subscription",LOWER(TRIM($F338&amp;""))="membership"),"",IF(LOWER(TRIM($D338&amp;""))="estimate","N/A",IF(LOWER($L338&amp;"")="yes",0,IF(OR(AND($H338&lt;&gt;"",$H338=0),LEFT(LOWER(TRIM($F338&amp;"")),9)="free game",LOWER(TRIM($F338&amp;""))="free",LOWER(TRIM($F338&amp;""))="free entry"),IF(ISNUMBER($K338),$K338,""),IF($K338&lt;&gt;"",$K338,""))))))</ns0:f>
      </ns0:c>
      <ns0:c r="Q338" s="114">
        <ns0:f>IF(COUNTA($A338:$M338)=0,"",IF(OR($U338="Subscription",$U338=""),"",IF($U338="Estimate","N/A",IF($U338="Profit",ROUND(IFERROR($P338,0)-IFERROR($H338,0),2),0))))</ns0:f>
      </ns0:c>
      <ns0:c r="R338" s="114">
        <ns0:f>IF(COUNTA($A338:$M338)=0,"",IF(OR($U338="Subscription",$U338=""),"",IF($U338="Estimate","N/A",IF($U338="Draw",$H338,0))))</ns0:f>
      </ns0:c>
      <ns0:c r="S338" s="114">
        <ns0:f>IF(COUNTA($A338:$M338)=0,"",IF(OR($U338="Subscription",$U338=""),"",IF($U338="Estimate","N/A",IF($U338="Disqualified",$H338,0))))</ns0:f>
      </ns0:c>
      <ns0:c r="T338" s="955">
        <ns0:f>IF(COUNTA($A338:$M338)=0,"",IF(OR($U338="Subscription",$U338=""),"",IF($U338="Estimate","N/A",IF(OR($U338="Free Game",$U338="Disqualified — Free Game",$H338=0),"N/A",IF($U338="Profit",$Q338/$H338,IF($U338="Disqualified",-$S338/$H338,0))))))</ns0:f>
      </ns0:c>
      <ns0:c r="U338" s="920">
        <ns0:f>IF(COUNTA($A338:$M338)=0,"",IF(OR(LEFT(LOWER(TRIM($F338&amp;"")),12)="subscription",LOWER(TRIM($F338&amp;""))="membership"),"Subscription",IF(LOWER(TRIM($D338&amp;""))="estimate","Estimate",IF(OR(AND($H338&lt;&gt;"",$H338=0),LEFT(LOWER(TRIM($F338&amp;"")),9)="free game",LOWER(TRIM($F338&amp;""))="free",LOWER(TRIM($F338&amp;""))="free entry"),IF(LOWER($L338&amp;"")="yes","Disqualified — Free Game","Free Game"),IF(LOWER($L338&amp;"")="yes","Disqualified",IF($P338="","",IF(ROUND(IFERROR(VALUE($P338),0)-IFERROR(VALUE($H338),0),2)&gt;0,"Profit","Draw")))))))</ns0:f>
      </ns0:c>
      <ns0:c r="V338" s="956" t="str">
        <ns0:f>IF(COUNTA($A338:$M338)=0,"",IF(OR($B338="",$C338="",$U338="Subscription"),"",IFERROR(ROUNDUP(($C338-$B338)/7,0),"")))</ns0:f>
      </ns0:c>
      <ns0:c r="W338" s="114">
        <ns0:f>IF(COUNTA($A338:$M338)=0,"",IF(OR($U338="Subscription",$U338=""),"",IF($U338="Estimate","N/A",IF(OR($U338="Free Game",$U338="Disqualified — Free Game"),0,ROUND(IFERROR($Q338,0)-IFERROR($S338,0),2)))))</ns0:f>
      </ns0:c>
      <ns0:c r="X338" s="956" t="str">
        <ns0:f>IF(COUNTA($A338:$M338)=0,"",IF(OR($U338="Subscription",NOT(ISNUMBER($J338)),NOT(ISNUMBER($I338)),$J338=0,$I338=0,$I338&gt;$J338),"",$J338-$I338))</ns0:f>
      </ns0:c>
      <ns0:c r="Y338" s="955" t="str">
        <ns0:f>IF(COUNTA($A338:$M338)=0,"",IF(OR($U338="Subscription",NOT(ISNUMBER($J338)),$J338=0,$X338=""),"",$X338/$J338))</ns0:f>
      </ns0:c>
      <ns0:c r="Z338" s="957" t="str">
        <ns0:f>IF(COUNTA($A338:$M338)=0,"",Instructions!$B$29+SUM($W$5:W338))</ns0:f>
      </ns0:c>
    </ns0:row>
    <ns0:row r="339" ht="36" customHeight="1">
      <ns0:c r="A339" s="439"/>
      <ns0:c r="B339" s="453"/>
      <ns0:c r="C339" s="453"/>
      <ns0:c r="D339" s="454"/>
      <ns0:c r="E339" s="454"/>
      <ns0:c r="F339" s="454"/>
      <ns0:c r="G339" s="986"/>
      <ns0:c r="H339" s="455"/>
      <ns0:c r="I339" s="456"/>
      <ns0:c r="J339" s="456"/>
      <ns0:c r="K339" s="986"/>
      <ns0:c r="L339" s="454"/>
      <ns0:c r="M339" s="439"/>
      <ns0:c r="N339" s="987" t="str">
        <ns0:f>IF(COUNTA($A339:$M339)=0,"",IF(OR(LEFT(LOWER(TRIM($F339&amp;"")),12)="subscription",LOWER(TRIM($F339&amp;""))="membership"),"",IF(OR(AND($H339&lt;&gt;"",$H339=0),LEFT(LOWER(TRIM($F339&amp;"")),9)="free game",LOWER(TRIM($F339&amp;""))="free",LOWER(TRIM($F339&amp;""))="free entry"),IF(ISNUMBER($G339),IF(ISNUMBER(SEARCH("non",LOWER($E339&amp;""))),$G339*0.85,$G339),"N/A"),IF($G339="","",IFERROR(IF(ISNUMBER(SEARCH("non",LOWER($E339&amp;""))),$G339*0.85,$G339),"")))))</ns0:f>
        <ns0:v/>
      </ns0:c>
      <ns0:c r="O339" s="987" t="str">
        <ns0:f>IF(COUNTA($A339:$M339)=0,"",IF(OR(LEFT(LOWER(TRIM($F339&amp;"")),12)="subscription",LOWER(TRIM($F339&amp;""))="membership"),"",IF(OR(AND($H339&lt;&gt;"",$H339=0),LEFT(LOWER(TRIM($F339&amp;"")),9)="free game",LOWER(TRIM($F339&amp;""))="free",LOWER(TRIM($F339&amp;""))="free entry"),IF(OR(NOT(ISNUMBER($N339)),NOT(ISNUMBER($I339)),$I339=0),"N/A",IFERROR($N339/$I339,"N/A")),IF(OR($N339="",$I339="",$I339=0),"",IFERROR($N339/$I339,"")))))</ns0:f>
        <ns0:v/>
      </ns0:c>
      <ns0:c r="P339" s="987">
        <ns0:f>IF(COUNTA($A339:$M339)=0,"",IF(OR(LEFT(LOWER(TRIM($F339&amp;"")),12)="subscription",LOWER(TRIM($F339&amp;""))="membership"),"",IF(LOWER(TRIM($D339&amp;""))="estimate","N/A",IF(LOWER($L339&amp;"")="yes",0,IF(OR(AND($H339&lt;&gt;"",$H339=0),LEFT(LOWER(TRIM($F339&amp;"")),9)="free game",LOWER(TRIM($F339&amp;""))="free",LOWER(TRIM($F339&amp;""))="free entry"),IF(ISNUMBER($K339),$K339,""),IF($K339&lt;&gt;"",$K339,""))))))</ns0:f>
      </ns0:c>
      <ns0:c r="Q339" s="114">
        <ns0:f>IF(COUNTA($A339:$M339)=0,"",IF(OR($U339="Subscription",$U339=""),"",IF($U339="Estimate","N/A",IF($U339="Profit",ROUND(IFERROR($P339,0)-IFERROR($H339,0),2),0))))</ns0:f>
      </ns0:c>
      <ns0:c r="R339" s="114">
        <ns0:f>IF(COUNTA($A339:$M339)=0,"",IF(OR($U339="Subscription",$U339=""),"",IF($U339="Estimate","N/A",IF($U339="Draw",$H339,0))))</ns0:f>
      </ns0:c>
      <ns0:c r="S339" s="114">
        <ns0:f>IF(COUNTA($A339:$M339)=0,"",IF(OR($U339="Subscription",$U339=""),"",IF($U339="Estimate","N/A",IF($U339="Disqualified",$H339,0))))</ns0:f>
      </ns0:c>
      <ns0:c r="T339" s="955">
        <ns0:f>IF(COUNTA($A339:$M339)=0,"",IF(OR($U339="Subscription",$U339=""),"",IF($U339="Estimate","N/A",IF(OR($U339="Free Game",$U339="Disqualified — Free Game",$H339=0),"N/A",IF($U339="Profit",$Q339/$H339,IF($U339="Disqualified",-$S339/$H339,0))))))</ns0:f>
      </ns0:c>
      <ns0:c r="U339" s="920">
        <ns0:f>IF(COUNTA($A339:$M339)=0,"",IF(OR(LEFT(LOWER(TRIM($F339&amp;"")),12)="subscription",LOWER(TRIM($F339&amp;""))="membership"),"Subscription",IF(LOWER(TRIM($D339&amp;""))="estimate","Estimate",IF(OR(AND($H339&lt;&gt;"",$H339=0),LEFT(LOWER(TRIM($F339&amp;"")),9)="free game",LOWER(TRIM($F339&amp;""))="free",LOWER(TRIM($F339&amp;""))="free entry"),IF(LOWER($L339&amp;"")="yes","Disqualified — Free Game","Free Game"),IF(LOWER($L339&amp;"")="yes","Disqualified",IF($P339="","",IF(ROUND(IFERROR(VALUE($P339),0)-IFERROR(VALUE($H339),0),2)&gt;0,"Profit","Draw")))))))</ns0:f>
      </ns0:c>
      <ns0:c r="V339" s="956" t="str">
        <ns0:f>IF(COUNTA($A339:$M339)=0,"",IF(OR($B339="",$C339="",$U339="Subscription"),"",IFERROR(ROUNDUP(($C339-$B339)/7,0),"")))</ns0:f>
      </ns0:c>
      <ns0:c r="W339" s="114">
        <ns0:f>IF(COUNTA($A339:$M339)=0,"",IF(OR($U339="Subscription",$U339=""),"",IF($U339="Estimate","N/A",IF(OR($U339="Free Game",$U339="Disqualified — Free Game"),0,ROUND(IFERROR($Q339,0)-IFERROR($S339,0),2)))))</ns0:f>
      </ns0:c>
      <ns0:c r="X339" s="956" t="str">
        <ns0:f>IF(COUNTA($A339:$M339)=0,"",IF(OR($U339="Subscription",NOT(ISNUMBER($J339)),NOT(ISNUMBER($I339)),$J339=0,$I339=0,$I339&gt;$J339),"",$J339-$I339))</ns0:f>
      </ns0:c>
      <ns0:c r="Y339" s="955" t="str">
        <ns0:f>IF(COUNTA($A339:$M339)=0,"",IF(OR($U339="Subscription",NOT(ISNUMBER($J339)),$J339=0,$X339=""),"",$X339/$J339))</ns0:f>
      </ns0:c>
      <ns0:c r="Z339" s="957" t="str">
        <ns0:f>IF(COUNTA($A339:$M339)=0,"",Instructions!$B$29+SUM($W$5:W339))</ns0:f>
      </ns0:c>
    </ns0:row>
    <ns0:row r="340" ht="36" customHeight="1">
      <ns0:c r="A340" s="439"/>
      <ns0:c r="B340" s="453"/>
      <ns0:c r="C340" s="453"/>
      <ns0:c r="D340" s="454"/>
      <ns0:c r="E340" s="454"/>
      <ns0:c r="F340" s="454"/>
      <ns0:c r="G340" s="986"/>
      <ns0:c r="H340" s="455"/>
      <ns0:c r="I340" s="456"/>
      <ns0:c r="J340" s="456"/>
      <ns0:c r="K340" s="986"/>
      <ns0:c r="L340" s="454"/>
      <ns0:c r="M340" s="439"/>
      <ns0:c r="N340" s="987" t="str">
        <ns0:f>IF(COUNTA($A340:$M340)=0,"",IF(OR(LEFT(LOWER(TRIM($F340&amp;"")),12)="subscription",LOWER(TRIM($F340&amp;""))="membership"),"",IF(OR(AND($H340&lt;&gt;"",$H340=0),LEFT(LOWER(TRIM($F340&amp;"")),9)="free game",LOWER(TRIM($F340&amp;""))="free",LOWER(TRIM($F340&amp;""))="free entry"),IF(ISNUMBER($G340),IF(ISNUMBER(SEARCH("non",LOWER($E340&amp;""))),$G340*0.85,$G340),"N/A"),IF($G340="","",IFERROR(IF(ISNUMBER(SEARCH("non",LOWER($E340&amp;""))),$G340*0.85,$G340),"")))))</ns0:f>
        <ns0:v/>
      </ns0:c>
      <ns0:c r="O340" s="987" t="str">
        <ns0:f>IF(COUNTA($A340:$M340)=0,"",IF(OR(LEFT(LOWER(TRIM($F340&amp;"")),12)="subscription",LOWER(TRIM($F340&amp;""))="membership"),"",IF(OR(AND($H340&lt;&gt;"",$H340=0),LEFT(LOWER(TRIM($F340&amp;"")),9)="free game",LOWER(TRIM($F340&amp;""))="free",LOWER(TRIM($F340&amp;""))="free entry"),IF(OR(NOT(ISNUMBER($N340)),NOT(ISNUMBER($I340)),$I340=0),"N/A",IFERROR($N340/$I340,"N/A")),IF(OR($N340="",$I340="",$I340=0),"",IFERROR($N340/$I340,"")))))</ns0:f>
        <ns0:v/>
      </ns0:c>
      <ns0:c r="P340" s="987">
        <ns0:f>IF(COUNTA($A340:$M340)=0,"",IF(OR(LEFT(LOWER(TRIM($F340&amp;"")),12)="subscription",LOWER(TRIM($F340&amp;""))="membership"),"",IF(LOWER(TRIM($D340&amp;""))="estimate","N/A",IF(LOWER($L340&amp;"")="yes",0,IF(OR(AND($H340&lt;&gt;"",$H340=0),LEFT(LOWER(TRIM($F340&amp;"")),9)="free game",LOWER(TRIM($F340&amp;""))="free",LOWER(TRIM($F340&amp;""))="free entry"),IF(ISNUMBER($K340),$K340,""),IF($K340&lt;&gt;"",$K340,""))))))</ns0:f>
      </ns0:c>
      <ns0:c r="Q340" s="114">
        <ns0:f>IF(COUNTA($A340:$M340)=0,"",IF(OR($U340="Subscription",$U340=""),"",IF($U340="Estimate","N/A",IF($U340="Profit",ROUND(IFERROR($P340,0)-IFERROR($H340,0),2),0))))</ns0:f>
      </ns0:c>
      <ns0:c r="R340" s="114">
        <ns0:f>IF(COUNTA($A340:$M340)=0,"",IF(OR($U340="Subscription",$U340=""),"",IF($U340="Estimate","N/A",IF($U340="Draw",$H340,0))))</ns0:f>
      </ns0:c>
      <ns0:c r="S340" s="114">
        <ns0:f>IF(COUNTA($A340:$M340)=0,"",IF(OR($U340="Subscription",$U340=""),"",IF($U340="Estimate","N/A",IF($U340="Disqualified",$H340,0))))</ns0:f>
      </ns0:c>
      <ns0:c r="T340" s="955">
        <ns0:f>IF(COUNTA($A340:$M340)=0,"",IF(OR($U340="Subscription",$U340=""),"",IF($U340="Estimate","N/A",IF(OR($U340="Free Game",$U340="Disqualified — Free Game",$H340=0),"N/A",IF($U340="Profit",$Q340/$H340,IF($U340="Disqualified",-$S340/$H340,0))))))</ns0:f>
      </ns0:c>
      <ns0:c r="U340" s="920">
        <ns0:f>IF(COUNTA($A340:$M340)=0,"",IF(OR(LEFT(LOWER(TRIM($F340&amp;"")),12)="subscription",LOWER(TRIM($F340&amp;""))="membership"),"Subscription",IF(LOWER(TRIM($D340&amp;""))="estimate","Estimate",IF(OR(AND($H340&lt;&gt;"",$H340=0),LEFT(LOWER(TRIM($F340&amp;"")),9)="free game",LOWER(TRIM($F340&amp;""))="free",LOWER(TRIM($F340&amp;""))="free entry"),IF(LOWER($L340&amp;"")="yes","Disqualified — Free Game","Free Game"),IF(LOWER($L340&amp;"")="yes","Disqualified",IF($P340="","",IF(ROUND(IFERROR(VALUE($P340),0)-IFERROR(VALUE($H340),0),2)&gt;0,"Profit","Draw")))))))</ns0:f>
      </ns0:c>
      <ns0:c r="V340" s="956" t="str">
        <ns0:f>IF(COUNTA($A340:$M340)=0,"",IF(OR($B340="",$C340="",$U340="Subscription"),"",IFERROR(ROUNDUP(($C340-$B340)/7,0),"")))</ns0:f>
      </ns0:c>
      <ns0:c r="W340" s="114">
        <ns0:f>IF(COUNTA($A340:$M340)=0,"",IF(OR($U340="Subscription",$U340=""),"",IF($U340="Estimate","N/A",IF(OR($U340="Free Game",$U340="Disqualified — Free Game"),0,ROUND(IFERROR($Q340,0)-IFERROR($S340,0),2)))))</ns0:f>
      </ns0:c>
      <ns0:c r="X340" s="956" t="str">
        <ns0:f>IF(COUNTA($A340:$M340)=0,"",IF(OR($U340="Subscription",NOT(ISNUMBER($J340)),NOT(ISNUMBER($I340)),$J340=0,$I340=0,$I340&gt;$J340),"",$J340-$I340))</ns0:f>
      </ns0:c>
      <ns0:c r="Y340" s="955" t="str">
        <ns0:f>IF(COUNTA($A340:$M340)=0,"",IF(OR($U340="Subscription",NOT(ISNUMBER($J340)),$J340=0,$X340=""),"",$X340/$J340))</ns0:f>
      </ns0:c>
      <ns0:c r="Z340" s="957" t="str">
        <ns0:f>IF(COUNTA($A340:$M340)=0,"",Instructions!$B$29+SUM($W$5:W340))</ns0:f>
      </ns0:c>
    </ns0:row>
    <ns0:row r="341" ht="36" customHeight="1">
      <ns0:c r="A341" s="439"/>
      <ns0:c r="B341" s="453"/>
      <ns0:c r="C341" s="453"/>
      <ns0:c r="D341" s="454"/>
      <ns0:c r="E341" s="454"/>
      <ns0:c r="F341" s="454"/>
      <ns0:c r="G341" s="986"/>
      <ns0:c r="H341" s="455"/>
      <ns0:c r="I341" s="456"/>
      <ns0:c r="J341" s="456"/>
      <ns0:c r="K341" s="986"/>
      <ns0:c r="L341" s="454"/>
      <ns0:c r="M341" s="439"/>
      <ns0:c r="N341" s="987" t="str">
        <ns0:f>IF(COUNTA($A341:$M341)=0,"",IF(OR(LEFT(LOWER(TRIM($F341&amp;"")),12)="subscription",LOWER(TRIM($F341&amp;""))="membership"),"",IF(OR(AND($H341&lt;&gt;"",$H341=0),LEFT(LOWER(TRIM($F341&amp;"")),9)="free game",LOWER(TRIM($F341&amp;""))="free",LOWER(TRIM($F341&amp;""))="free entry"),IF(ISNUMBER($G341),IF(ISNUMBER(SEARCH("non",LOWER($E341&amp;""))),$G341*0.85,$G341),"N/A"),IF($G341="","",IFERROR(IF(ISNUMBER(SEARCH("non",LOWER($E341&amp;""))),$G341*0.85,$G341),"")))))</ns0:f>
        <ns0:v/>
      </ns0:c>
      <ns0:c r="O341" s="987" t="str">
        <ns0:f>IF(COUNTA($A341:$M341)=0,"",IF(OR(LEFT(LOWER(TRIM($F341&amp;"")),12)="subscription",LOWER(TRIM($F341&amp;""))="membership"),"",IF(OR(AND($H341&lt;&gt;"",$H341=0),LEFT(LOWER(TRIM($F341&amp;"")),9)="free game",LOWER(TRIM($F341&amp;""))="free",LOWER(TRIM($F341&amp;""))="free entry"),IF(OR(NOT(ISNUMBER($N341)),NOT(ISNUMBER($I341)),$I341=0),"N/A",IFERROR($N341/$I341,"N/A")),IF(OR($N341="",$I341="",$I341=0),"",IFERROR($N341/$I341,"")))))</ns0:f>
        <ns0:v/>
      </ns0:c>
      <ns0:c r="P341" s="987">
        <ns0:f>IF(COUNTA($A341:$M341)=0,"",IF(OR(LEFT(LOWER(TRIM($F341&amp;"")),12)="subscription",LOWER(TRIM($F341&amp;""))="membership"),"",IF(LOWER(TRIM($D341&amp;""))="estimate","N/A",IF(LOWER($L341&amp;"")="yes",0,IF(OR(AND($H341&lt;&gt;"",$H341=0),LEFT(LOWER(TRIM($F341&amp;"")),9)="free game",LOWER(TRIM($F341&amp;""))="free",LOWER(TRIM($F341&amp;""))="free entry"),IF(ISNUMBER($K341),$K341,""),IF($K341&lt;&gt;"",$K341,""))))))</ns0:f>
      </ns0:c>
      <ns0:c r="Q341" s="114">
        <ns0:f>IF(COUNTA($A341:$M341)=0,"",IF(OR($U341="Subscription",$U341=""),"",IF($U341="Estimate","N/A",IF($U341="Profit",ROUND(IFERROR($P341,0)-IFERROR($H341,0),2),0))))</ns0:f>
      </ns0:c>
      <ns0:c r="R341" s="114">
        <ns0:f>IF(COUNTA($A341:$M341)=0,"",IF(OR($U341="Subscription",$U341=""),"",IF($U341="Estimate","N/A",IF($U341="Draw",$H341,0))))</ns0:f>
      </ns0:c>
      <ns0:c r="S341" s="114">
        <ns0:f>IF(COUNTA($A341:$M341)=0,"",IF(OR($U341="Subscription",$U341=""),"",IF($U341="Estimate","N/A",IF($U341="Disqualified",$H341,0))))</ns0:f>
      </ns0:c>
      <ns0:c r="T341" s="955">
        <ns0:f>IF(COUNTA($A341:$M341)=0,"",IF(OR($U341="Subscription",$U341=""),"",IF($U341="Estimate","N/A",IF(OR($U341="Free Game",$U341="Disqualified — Free Game",$H341=0),"N/A",IF($U341="Profit",$Q341/$H341,IF($U341="Disqualified",-$S341/$H341,0))))))</ns0:f>
      </ns0:c>
      <ns0:c r="U341" s="920">
        <ns0:f>IF(COUNTA($A341:$M341)=0,"",IF(OR(LEFT(LOWER(TRIM($F341&amp;"")),12)="subscription",LOWER(TRIM($F341&amp;""))="membership"),"Subscription",IF(LOWER(TRIM($D341&amp;""))="estimate","Estimate",IF(OR(AND($H341&lt;&gt;"",$H341=0),LEFT(LOWER(TRIM($F341&amp;"")),9)="free game",LOWER(TRIM($F341&amp;""))="free",LOWER(TRIM($F341&amp;""))="free entry"),IF(LOWER($L341&amp;"")="yes","Disqualified — Free Game","Free Game"),IF(LOWER($L341&amp;"")="yes","Disqualified",IF($P341="","",IF(ROUND(IFERROR(VALUE($P341),0)-IFERROR(VALUE($H341),0),2)&gt;0,"Profit","Draw")))))))</ns0:f>
      </ns0:c>
      <ns0:c r="V341" s="956" t="str">
        <ns0:f>IF(COUNTA($A341:$M341)=0,"",IF(OR($B341="",$C341="",$U341="Subscription"),"",IFERROR(ROUNDUP(($C341-$B341)/7,0),"")))</ns0:f>
      </ns0:c>
      <ns0:c r="W341" s="114">
        <ns0:f>IF(COUNTA($A341:$M341)=0,"",IF(OR($U341="Subscription",$U341=""),"",IF($U341="Estimate","N/A",IF(OR($U341="Free Game",$U341="Disqualified — Free Game"),0,ROUND(IFERROR($Q341,0)-IFERROR($S341,0),2)))))</ns0:f>
      </ns0:c>
      <ns0:c r="X341" s="956" t="str">
        <ns0:f>IF(COUNTA($A341:$M341)=0,"",IF(OR($U341="Subscription",NOT(ISNUMBER($J341)),NOT(ISNUMBER($I341)),$J341=0,$I341=0,$I341&gt;$J341),"",$J341-$I341))</ns0:f>
      </ns0:c>
      <ns0:c r="Y341" s="955" t="str">
        <ns0:f>IF(COUNTA($A341:$M341)=0,"",IF(OR($U341="Subscription",NOT(ISNUMBER($J341)),$J341=0,$X341=""),"",$X341/$J341))</ns0:f>
      </ns0:c>
      <ns0:c r="Z341" s="957" t="str">
        <ns0:f>IF(COUNTA($A341:$M341)=0,"",Instructions!$B$29+SUM($W$5:W341))</ns0:f>
      </ns0:c>
    </ns0:row>
    <ns0:row r="342" ht="36" customHeight="1">
      <ns0:c r="A342" s="439"/>
      <ns0:c r="B342" s="453"/>
      <ns0:c r="C342" s="453"/>
      <ns0:c r="D342" s="454"/>
      <ns0:c r="E342" s="454"/>
      <ns0:c r="F342" s="454"/>
      <ns0:c r="G342" s="986"/>
      <ns0:c r="H342" s="455"/>
      <ns0:c r="I342" s="456"/>
      <ns0:c r="J342" s="456"/>
      <ns0:c r="K342" s="986"/>
      <ns0:c r="L342" s="454"/>
      <ns0:c r="M342" s="439"/>
      <ns0:c r="N342" s="987" t="str">
        <ns0:f>IF(COUNTA($A342:$M342)=0,"",IF(OR(LEFT(LOWER(TRIM($F342&amp;"")),12)="subscription",LOWER(TRIM($F342&amp;""))="membership"),"",IF(OR(AND($H342&lt;&gt;"",$H342=0),LEFT(LOWER(TRIM($F342&amp;"")),9)="free game",LOWER(TRIM($F342&amp;""))="free",LOWER(TRIM($F342&amp;""))="free entry"),IF(ISNUMBER($G342),IF(ISNUMBER(SEARCH("non",LOWER($E342&amp;""))),$G342*0.85,$G342),"N/A"),IF($G342="","",IFERROR(IF(ISNUMBER(SEARCH("non",LOWER($E342&amp;""))),$G342*0.85,$G342),"")))))</ns0:f>
        <ns0:v/>
      </ns0:c>
      <ns0:c r="O342" s="987" t="str">
        <ns0:f>IF(COUNTA($A342:$M342)=0,"",IF(OR(LEFT(LOWER(TRIM($F342&amp;"")),12)="subscription",LOWER(TRIM($F342&amp;""))="membership"),"",IF(OR(AND($H342&lt;&gt;"",$H342=0),LEFT(LOWER(TRIM($F342&amp;"")),9)="free game",LOWER(TRIM($F342&amp;""))="free",LOWER(TRIM($F342&amp;""))="free entry"),IF(OR(NOT(ISNUMBER($N342)),NOT(ISNUMBER($I342)),$I342=0),"N/A",IFERROR($N342/$I342,"N/A")),IF(OR($N342="",$I342="",$I342=0),"",IFERROR($N342/$I342,"")))))</ns0:f>
        <ns0:v/>
      </ns0:c>
      <ns0:c r="P342" s="987">
        <ns0:f>IF(COUNTA($A342:$M342)=0,"",IF(OR(LEFT(LOWER(TRIM($F342&amp;"")),12)="subscription",LOWER(TRIM($F342&amp;""))="membership"),"",IF(LOWER(TRIM($D342&amp;""))="estimate","N/A",IF(LOWER($L342&amp;"")="yes",0,IF(OR(AND($H342&lt;&gt;"",$H342=0),LEFT(LOWER(TRIM($F342&amp;"")),9)="free game",LOWER(TRIM($F342&amp;""))="free",LOWER(TRIM($F342&amp;""))="free entry"),IF(ISNUMBER($K342),$K342,""),IF($K342&lt;&gt;"",$K342,""))))))</ns0:f>
      </ns0:c>
      <ns0:c r="Q342" s="114">
        <ns0:f>IF(COUNTA($A342:$M342)=0,"",IF(OR($U342="Subscription",$U342=""),"",IF($U342="Estimate","N/A",IF($U342="Profit",ROUND(IFERROR($P342,0)-IFERROR($H342,0),2),0))))</ns0:f>
      </ns0:c>
      <ns0:c r="R342" s="114">
        <ns0:f>IF(COUNTA($A342:$M342)=0,"",IF(OR($U342="Subscription",$U342=""),"",IF($U342="Estimate","N/A",IF($U342="Draw",$H342,0))))</ns0:f>
      </ns0:c>
      <ns0:c r="S342" s="114">
        <ns0:f>IF(COUNTA($A342:$M342)=0,"",IF(OR($U342="Subscription",$U342=""),"",IF($U342="Estimate","N/A",IF($U342="Disqualified",$H342,0))))</ns0:f>
      </ns0:c>
      <ns0:c r="T342" s="955">
        <ns0:f>IF(COUNTA($A342:$M342)=0,"",IF(OR($U342="Subscription",$U342=""),"",IF($U342="Estimate","N/A",IF(OR($U342="Free Game",$U342="Disqualified — Free Game",$H342=0),"N/A",IF($U342="Profit",$Q342/$H342,IF($U342="Disqualified",-$S342/$H342,0))))))</ns0:f>
      </ns0:c>
      <ns0:c r="U342" s="920">
        <ns0:f>IF(COUNTA($A342:$M342)=0,"",IF(OR(LEFT(LOWER(TRIM($F342&amp;"")),12)="subscription",LOWER(TRIM($F342&amp;""))="membership"),"Subscription",IF(LOWER(TRIM($D342&amp;""))="estimate","Estimate",IF(OR(AND($H342&lt;&gt;"",$H342=0),LEFT(LOWER(TRIM($F342&amp;"")),9)="free game",LOWER(TRIM($F342&amp;""))="free",LOWER(TRIM($F342&amp;""))="free entry"),IF(LOWER($L342&amp;"")="yes","Disqualified — Free Game","Free Game"),IF(LOWER($L342&amp;"")="yes","Disqualified",IF($P342="","",IF(ROUND(IFERROR(VALUE($P342),0)-IFERROR(VALUE($H342),0),2)&gt;0,"Profit","Draw")))))))</ns0:f>
      </ns0:c>
      <ns0:c r="V342" s="956" t="str">
        <ns0:f>IF(COUNTA($A342:$M342)=0,"",IF(OR($B342="",$C342="",$U342="Subscription"),"",IFERROR(ROUNDUP(($C342-$B342)/7,0),"")))</ns0:f>
      </ns0:c>
      <ns0:c r="W342" s="114">
        <ns0:f>IF(COUNTA($A342:$M342)=0,"",IF(OR($U342="Subscription",$U342=""),"",IF($U342="Estimate","N/A",IF(OR($U342="Free Game",$U342="Disqualified — Free Game"),0,ROUND(IFERROR($Q342,0)-IFERROR($S342,0),2)))))</ns0:f>
      </ns0:c>
      <ns0:c r="X342" s="956" t="str">
        <ns0:f>IF(COUNTA($A342:$M342)=0,"",IF(OR($U342="Subscription",NOT(ISNUMBER($J342)),NOT(ISNUMBER($I342)),$J342=0,$I342=0,$I342&gt;$J342),"",$J342-$I342))</ns0:f>
      </ns0:c>
      <ns0:c r="Y342" s="955" t="str">
        <ns0:f>IF(COUNTA($A342:$M342)=0,"",IF(OR($U342="Subscription",NOT(ISNUMBER($J342)),$J342=0,$X342=""),"",$X342/$J342))</ns0:f>
      </ns0:c>
      <ns0:c r="Z342" s="957" t="str">
        <ns0:f>IF(COUNTA($A342:$M342)=0,"",Instructions!$B$29+SUM($W$5:W342))</ns0:f>
      </ns0:c>
    </ns0:row>
    <ns0:row r="343" ht="36" customHeight="1">
      <ns0:c r="A343" s="439"/>
      <ns0:c r="B343" s="453"/>
      <ns0:c r="C343" s="453"/>
      <ns0:c r="D343" s="454"/>
      <ns0:c r="E343" s="454"/>
      <ns0:c r="F343" s="454"/>
      <ns0:c r="G343" s="986"/>
      <ns0:c r="H343" s="455"/>
      <ns0:c r="I343" s="456"/>
      <ns0:c r="J343" s="456"/>
      <ns0:c r="K343" s="986"/>
      <ns0:c r="L343" s="454"/>
      <ns0:c r="M343" s="439"/>
      <ns0:c r="N343" s="987" t="str">
        <ns0:f>IF(COUNTA($A343:$M343)=0,"",IF(OR(LEFT(LOWER(TRIM($F343&amp;"")),12)="subscription",LOWER(TRIM($F343&amp;""))="membership"),"",IF(OR(AND($H343&lt;&gt;"",$H343=0),LEFT(LOWER(TRIM($F343&amp;"")),9)="free game",LOWER(TRIM($F343&amp;""))="free",LOWER(TRIM($F343&amp;""))="free entry"),IF(ISNUMBER($G343),IF(ISNUMBER(SEARCH("non",LOWER($E343&amp;""))),$G343*0.85,$G343),"N/A"),IF($G343="","",IFERROR(IF(ISNUMBER(SEARCH("non",LOWER($E343&amp;""))),$G343*0.85,$G343),"")))))</ns0:f>
        <ns0:v/>
      </ns0:c>
      <ns0:c r="O343" s="987" t="str">
        <ns0:f>IF(COUNTA($A343:$M343)=0,"",IF(OR(LEFT(LOWER(TRIM($F343&amp;"")),12)="subscription",LOWER(TRIM($F343&amp;""))="membership"),"",IF(OR(AND($H343&lt;&gt;"",$H343=0),LEFT(LOWER(TRIM($F343&amp;"")),9)="free game",LOWER(TRIM($F343&amp;""))="free",LOWER(TRIM($F343&amp;""))="free entry"),IF(OR(NOT(ISNUMBER($N343)),NOT(ISNUMBER($I343)),$I343=0),"N/A",IFERROR($N343/$I343,"N/A")),IF(OR($N343="",$I343="",$I343=0),"",IFERROR($N343/$I343,"")))))</ns0:f>
        <ns0:v/>
      </ns0:c>
      <ns0:c r="P343" s="987">
        <ns0:f>IF(COUNTA($A343:$M343)=0,"",IF(OR(LEFT(LOWER(TRIM($F343&amp;"")),12)="subscription",LOWER(TRIM($F343&amp;""))="membership"),"",IF(LOWER(TRIM($D343&amp;""))="estimate","N/A",IF(LOWER($L343&amp;"")="yes",0,IF(OR(AND($H343&lt;&gt;"",$H343=0),LEFT(LOWER(TRIM($F343&amp;"")),9)="free game",LOWER(TRIM($F343&amp;""))="free",LOWER(TRIM($F343&amp;""))="free entry"),IF(ISNUMBER($K343),$K343,""),IF($K343&lt;&gt;"",$K343,""))))))</ns0:f>
      </ns0:c>
      <ns0:c r="Q343" s="114">
        <ns0:f>IF(COUNTA($A343:$M343)=0,"",IF(OR($U343="Subscription",$U343=""),"",IF($U343="Estimate","N/A",IF($U343="Profit",ROUND(IFERROR($P343,0)-IFERROR($H343,0),2),0))))</ns0:f>
      </ns0:c>
      <ns0:c r="R343" s="114">
        <ns0:f>IF(COUNTA($A343:$M343)=0,"",IF(OR($U343="Subscription",$U343=""),"",IF($U343="Estimate","N/A",IF($U343="Draw",$H343,0))))</ns0:f>
      </ns0:c>
      <ns0:c r="S343" s="114">
        <ns0:f>IF(COUNTA($A343:$M343)=0,"",IF(OR($U343="Subscription",$U343=""),"",IF($U343="Estimate","N/A",IF($U343="Disqualified",$H343,0))))</ns0:f>
      </ns0:c>
      <ns0:c r="T343" s="955">
        <ns0:f>IF(COUNTA($A343:$M343)=0,"",IF(OR($U343="Subscription",$U343=""),"",IF($U343="Estimate","N/A",IF(OR($U343="Free Game",$U343="Disqualified — Free Game",$H343=0),"N/A",IF($U343="Profit",$Q343/$H343,IF($U343="Disqualified",-$S343/$H343,0))))))</ns0:f>
      </ns0:c>
      <ns0:c r="U343" s="920">
        <ns0:f>IF(COUNTA($A343:$M343)=0,"",IF(OR(LEFT(LOWER(TRIM($F343&amp;"")),12)="subscription",LOWER(TRIM($F343&amp;""))="membership"),"Subscription",IF(LOWER(TRIM($D343&amp;""))="estimate","Estimate",IF(OR(AND($H343&lt;&gt;"",$H343=0),LEFT(LOWER(TRIM($F343&amp;"")),9)="free game",LOWER(TRIM($F343&amp;""))="free",LOWER(TRIM($F343&amp;""))="free entry"),IF(LOWER($L343&amp;"")="yes","Disqualified — Free Game","Free Game"),IF(LOWER($L343&amp;"")="yes","Disqualified",IF($P343="","",IF(ROUND(IFERROR(VALUE($P343),0)-IFERROR(VALUE($H343),0),2)&gt;0,"Profit","Draw")))))))</ns0:f>
      </ns0:c>
      <ns0:c r="V343" s="956" t="str">
        <ns0:f>IF(COUNTA($A343:$M343)=0,"",IF(OR($B343="",$C343="",$U343="Subscription"),"",IFERROR(ROUNDUP(($C343-$B343)/7,0),"")))</ns0:f>
      </ns0:c>
      <ns0:c r="W343" s="114">
        <ns0:f>IF(COUNTA($A343:$M343)=0,"",IF(OR($U343="Subscription",$U343=""),"",IF($U343="Estimate","N/A",IF(OR($U343="Free Game",$U343="Disqualified — Free Game"),0,ROUND(IFERROR($Q343,0)-IFERROR($S343,0),2)))))</ns0:f>
      </ns0:c>
      <ns0:c r="X343" s="956" t="str">
        <ns0:f>IF(COUNTA($A343:$M343)=0,"",IF(OR($U343="Subscription",NOT(ISNUMBER($J343)),NOT(ISNUMBER($I343)),$J343=0,$I343=0,$I343&gt;$J343),"",$J343-$I343))</ns0:f>
      </ns0:c>
      <ns0:c r="Y343" s="955" t="str">
        <ns0:f>IF(COUNTA($A343:$M343)=0,"",IF(OR($U343="Subscription",NOT(ISNUMBER($J343)),$J343=0,$X343=""),"",$X343/$J343))</ns0:f>
      </ns0:c>
      <ns0:c r="Z343" s="957" t="str">
        <ns0:f>IF(COUNTA($A343:$M343)=0,"",Instructions!$B$29+SUM($W$5:W343))</ns0:f>
      </ns0:c>
    </ns0:row>
    <ns0:row r="344" ht="36" customHeight="1">
      <ns0:c r="A344" s="439"/>
      <ns0:c r="B344" s="453"/>
      <ns0:c r="C344" s="453"/>
      <ns0:c r="D344" s="454"/>
      <ns0:c r="E344" s="454"/>
      <ns0:c r="F344" s="454"/>
      <ns0:c r="G344" s="986"/>
      <ns0:c r="H344" s="455"/>
      <ns0:c r="I344" s="456"/>
      <ns0:c r="J344" s="456"/>
      <ns0:c r="K344" s="986"/>
      <ns0:c r="L344" s="454"/>
      <ns0:c r="M344" s="439"/>
      <ns0:c r="N344" s="987" t="str">
        <ns0:f>IF(COUNTA($A344:$M344)=0,"",IF(OR(LEFT(LOWER(TRIM($F344&amp;"")),12)="subscription",LOWER(TRIM($F344&amp;""))="membership"),"",IF(OR(AND($H344&lt;&gt;"",$H344=0),LEFT(LOWER(TRIM($F344&amp;"")),9)="free game",LOWER(TRIM($F344&amp;""))="free",LOWER(TRIM($F344&amp;""))="free entry"),IF(ISNUMBER($G344),IF(ISNUMBER(SEARCH("non",LOWER($E344&amp;""))),$G344*0.85,$G344),"N/A"),IF($G344="","",IFERROR(IF(ISNUMBER(SEARCH("non",LOWER($E344&amp;""))),$G344*0.85,$G344),"")))))</ns0:f>
        <ns0:v/>
      </ns0:c>
      <ns0:c r="O344" s="987" t="str">
        <ns0:f>IF(COUNTA($A344:$M344)=0,"",IF(OR(LEFT(LOWER(TRIM($F344&amp;"")),12)="subscription",LOWER(TRIM($F344&amp;""))="membership"),"",IF(OR(AND($H344&lt;&gt;"",$H344=0),LEFT(LOWER(TRIM($F344&amp;"")),9)="free game",LOWER(TRIM($F344&amp;""))="free",LOWER(TRIM($F344&amp;""))="free entry"),IF(OR(NOT(ISNUMBER($N344)),NOT(ISNUMBER($I344)),$I344=0),"N/A",IFERROR($N344/$I344,"N/A")),IF(OR($N344="",$I344="",$I344=0),"",IFERROR($N344/$I344,"")))))</ns0:f>
        <ns0:v/>
      </ns0:c>
      <ns0:c r="P344" s="987">
        <ns0:f>IF(COUNTA($A344:$M344)=0,"",IF(OR(LEFT(LOWER(TRIM($F344&amp;"")),12)="subscription",LOWER(TRIM($F344&amp;""))="membership"),"",IF(LOWER(TRIM($D344&amp;""))="estimate","N/A",IF(LOWER($L344&amp;"")="yes",0,IF(OR(AND($H344&lt;&gt;"",$H344=0),LEFT(LOWER(TRIM($F344&amp;"")),9)="free game",LOWER(TRIM($F344&amp;""))="free",LOWER(TRIM($F344&amp;""))="free entry"),IF(ISNUMBER($K344),$K344,""),IF($K344&lt;&gt;"",$K344,""))))))</ns0:f>
      </ns0:c>
      <ns0:c r="Q344" s="114">
        <ns0:f>IF(COUNTA($A344:$M344)=0,"",IF(OR($U344="Subscription",$U344=""),"",IF($U344="Estimate","N/A",IF($U344="Profit",ROUND(IFERROR($P344,0)-IFERROR($H344,0),2),0))))</ns0:f>
      </ns0:c>
      <ns0:c r="R344" s="114">
        <ns0:f>IF(COUNTA($A344:$M344)=0,"",IF(OR($U344="Subscription",$U344=""),"",IF($U344="Estimate","N/A",IF($U344="Draw",$H344,0))))</ns0:f>
      </ns0:c>
      <ns0:c r="S344" s="114">
        <ns0:f>IF(COUNTA($A344:$M344)=0,"",IF(OR($U344="Subscription",$U344=""),"",IF($U344="Estimate","N/A",IF($U344="Disqualified",$H344,0))))</ns0:f>
      </ns0:c>
      <ns0:c r="T344" s="955">
        <ns0:f>IF(COUNTA($A344:$M344)=0,"",IF(OR($U344="Subscription",$U344=""),"",IF($U344="Estimate","N/A",IF(OR($U344="Free Game",$U344="Disqualified — Free Game",$H344=0),"N/A",IF($U344="Profit",$Q344/$H344,IF($U344="Disqualified",-$S344/$H344,0))))))</ns0:f>
      </ns0:c>
      <ns0:c r="U344" s="920">
        <ns0:f>IF(COUNTA($A344:$M344)=0,"",IF(OR(LEFT(LOWER(TRIM($F344&amp;"")),12)="subscription",LOWER(TRIM($F344&amp;""))="membership"),"Subscription",IF(LOWER(TRIM($D344&amp;""))="estimate","Estimate",IF(OR(AND($H344&lt;&gt;"",$H344=0),LEFT(LOWER(TRIM($F344&amp;"")),9)="free game",LOWER(TRIM($F344&amp;""))="free",LOWER(TRIM($F344&amp;""))="free entry"),IF(LOWER($L344&amp;"")="yes","Disqualified — Free Game","Free Game"),IF(LOWER($L344&amp;"")="yes","Disqualified",IF($P344="","",IF(ROUND(IFERROR(VALUE($P344),0)-IFERROR(VALUE($H344),0),2)&gt;0,"Profit","Draw")))))))</ns0:f>
      </ns0:c>
      <ns0:c r="V344" s="956" t="str">
        <ns0:f>IF(COUNTA($A344:$M344)=0,"",IF(OR($B344="",$C344="",$U344="Subscription"),"",IFERROR(ROUNDUP(($C344-$B344)/7,0),"")))</ns0:f>
      </ns0:c>
      <ns0:c r="W344" s="114">
        <ns0:f>IF(COUNTA($A344:$M344)=0,"",IF(OR($U344="Subscription",$U344=""),"",IF($U344="Estimate","N/A",IF(OR($U344="Free Game",$U344="Disqualified — Free Game"),0,ROUND(IFERROR($Q344,0)-IFERROR($S344,0),2)))))</ns0:f>
      </ns0:c>
      <ns0:c r="X344" s="956" t="str">
        <ns0:f>IF(COUNTA($A344:$M344)=0,"",IF(OR($U344="Subscription",NOT(ISNUMBER($J344)),NOT(ISNUMBER($I344)),$J344=0,$I344=0,$I344&gt;$J344),"",$J344-$I344))</ns0:f>
      </ns0:c>
      <ns0:c r="Y344" s="955" t="str">
        <ns0:f>IF(COUNTA($A344:$M344)=0,"",IF(OR($U344="Subscription",NOT(ISNUMBER($J344)),$J344=0,$X344=""),"",$X344/$J344))</ns0:f>
      </ns0:c>
      <ns0:c r="Z344" s="957" t="str">
        <ns0:f>IF(COUNTA($A344:$M344)=0,"",Instructions!$B$29+SUM($W$5:W344))</ns0:f>
      </ns0:c>
    </ns0:row>
    <ns0:row r="345" ht="36" customHeight="1">
      <ns0:c r="A345" s="439"/>
      <ns0:c r="B345" s="453"/>
      <ns0:c r="C345" s="453"/>
      <ns0:c r="D345" s="454"/>
      <ns0:c r="E345" s="454"/>
      <ns0:c r="F345" s="454"/>
      <ns0:c r="G345" s="986"/>
      <ns0:c r="H345" s="455"/>
      <ns0:c r="I345" s="456"/>
      <ns0:c r="J345" s="456"/>
      <ns0:c r="K345" s="986"/>
      <ns0:c r="L345" s="454"/>
      <ns0:c r="M345" s="439"/>
      <ns0:c r="N345" s="987" t="str">
        <ns0:f>IF(COUNTA($A345:$M345)=0,"",IF(OR(LEFT(LOWER(TRIM($F345&amp;"")),12)="subscription",LOWER(TRIM($F345&amp;""))="membership"),"",IF(OR(AND($H345&lt;&gt;"",$H345=0),LEFT(LOWER(TRIM($F345&amp;"")),9)="free game",LOWER(TRIM($F345&amp;""))="free",LOWER(TRIM($F345&amp;""))="free entry"),IF(ISNUMBER($G345),IF(ISNUMBER(SEARCH("non",LOWER($E345&amp;""))),$G345*0.85,$G345),"N/A"),IF($G345="","",IFERROR(IF(ISNUMBER(SEARCH("non",LOWER($E345&amp;""))),$G345*0.85,$G345),"")))))</ns0:f>
        <ns0:v/>
      </ns0:c>
      <ns0:c r="O345" s="987" t="str">
        <ns0:f>IF(COUNTA($A345:$M345)=0,"",IF(OR(LEFT(LOWER(TRIM($F345&amp;"")),12)="subscription",LOWER(TRIM($F345&amp;""))="membership"),"",IF(OR(AND($H345&lt;&gt;"",$H345=0),LEFT(LOWER(TRIM($F345&amp;"")),9)="free game",LOWER(TRIM($F345&amp;""))="free",LOWER(TRIM($F345&amp;""))="free entry"),IF(OR(NOT(ISNUMBER($N345)),NOT(ISNUMBER($I345)),$I345=0),"N/A",IFERROR($N345/$I345,"N/A")),IF(OR($N345="",$I345="",$I345=0),"",IFERROR($N345/$I345,"")))))</ns0:f>
        <ns0:v/>
      </ns0:c>
      <ns0:c r="P345" s="987">
        <ns0:f>IF(COUNTA($A345:$M345)=0,"",IF(OR(LEFT(LOWER(TRIM($F345&amp;"")),12)="subscription",LOWER(TRIM($F345&amp;""))="membership"),"",IF(LOWER(TRIM($D345&amp;""))="estimate","N/A",IF(LOWER($L345&amp;"")="yes",0,IF(OR(AND($H345&lt;&gt;"",$H345=0),LEFT(LOWER(TRIM($F345&amp;"")),9)="free game",LOWER(TRIM($F345&amp;""))="free",LOWER(TRIM($F345&amp;""))="free entry"),IF(ISNUMBER($K345),$K345,""),IF($K345&lt;&gt;"",$K345,""))))))</ns0:f>
      </ns0:c>
      <ns0:c r="Q345" s="114">
        <ns0:f>IF(COUNTA($A345:$M345)=0,"",IF(OR($U345="Subscription",$U345=""),"",IF($U345="Estimate","N/A",IF($U345="Profit",ROUND(IFERROR($P345,0)-IFERROR($H345,0),2),0))))</ns0:f>
      </ns0:c>
      <ns0:c r="R345" s="114">
        <ns0:f>IF(COUNTA($A345:$M345)=0,"",IF(OR($U345="Subscription",$U345=""),"",IF($U345="Estimate","N/A",IF($U345="Draw",$H345,0))))</ns0:f>
      </ns0:c>
      <ns0:c r="S345" s="114">
        <ns0:f>IF(COUNTA($A345:$M345)=0,"",IF(OR($U345="Subscription",$U345=""),"",IF($U345="Estimate","N/A",IF($U345="Disqualified",$H345,0))))</ns0:f>
      </ns0:c>
      <ns0:c r="T345" s="955">
        <ns0:f>IF(COUNTA($A345:$M345)=0,"",IF(OR($U345="Subscription",$U345=""),"",IF($U345="Estimate","N/A",IF(OR($U345="Free Game",$U345="Disqualified — Free Game",$H345=0),"N/A",IF($U345="Profit",$Q345/$H345,IF($U345="Disqualified",-$S345/$H345,0))))))</ns0:f>
      </ns0:c>
      <ns0:c r="U345" s="920">
        <ns0:f>IF(COUNTA($A345:$M345)=0,"",IF(OR(LEFT(LOWER(TRIM($F345&amp;"")),12)="subscription",LOWER(TRIM($F345&amp;""))="membership"),"Subscription",IF(LOWER(TRIM($D345&amp;""))="estimate","Estimate",IF(OR(AND($H345&lt;&gt;"",$H345=0),LEFT(LOWER(TRIM($F345&amp;"")),9)="free game",LOWER(TRIM($F345&amp;""))="free",LOWER(TRIM($F345&amp;""))="free entry"),IF(LOWER($L345&amp;"")="yes","Disqualified — Free Game","Free Game"),IF(LOWER($L345&amp;"")="yes","Disqualified",IF($P345="","",IF(ROUND(IFERROR(VALUE($P345),0)-IFERROR(VALUE($H345),0),2)&gt;0,"Profit","Draw")))))))</ns0:f>
      </ns0:c>
      <ns0:c r="V345" s="956" t="str">
        <ns0:f>IF(COUNTA($A345:$M345)=0,"",IF(OR($B345="",$C345="",$U345="Subscription"),"",IFERROR(ROUNDUP(($C345-$B345)/7,0),"")))</ns0:f>
      </ns0:c>
      <ns0:c r="W345" s="114">
        <ns0:f>IF(COUNTA($A345:$M345)=0,"",IF(OR($U345="Subscription",$U345=""),"",IF($U345="Estimate","N/A",IF(OR($U345="Free Game",$U345="Disqualified — Free Game"),0,ROUND(IFERROR($Q345,0)-IFERROR($S345,0),2)))))</ns0:f>
      </ns0:c>
      <ns0:c r="X345" s="956" t="str">
        <ns0:f>IF(COUNTA($A345:$M345)=0,"",IF(OR($U345="Subscription",NOT(ISNUMBER($J345)),NOT(ISNUMBER($I345)),$J345=0,$I345=0,$I345&gt;$J345),"",$J345-$I345))</ns0:f>
      </ns0:c>
      <ns0:c r="Y345" s="955" t="str">
        <ns0:f>IF(COUNTA($A345:$M345)=0,"",IF(OR($U345="Subscription",NOT(ISNUMBER($J345)),$J345=0,$X345=""),"",$X345/$J345))</ns0:f>
      </ns0:c>
      <ns0:c r="Z345" s="957" t="str">
        <ns0:f>IF(COUNTA($A345:$M345)=0,"",Instructions!$B$29+SUM($W$5:W345))</ns0:f>
      </ns0:c>
    </ns0:row>
    <ns0:row r="346" ht="36" customHeight="1">
      <ns0:c r="A346" s="439"/>
      <ns0:c r="B346" s="453"/>
      <ns0:c r="C346" s="453"/>
      <ns0:c r="D346" s="454"/>
      <ns0:c r="E346" s="454"/>
      <ns0:c r="F346" s="454"/>
      <ns0:c r="G346" s="986"/>
      <ns0:c r="H346" s="455"/>
      <ns0:c r="I346" s="456"/>
      <ns0:c r="J346" s="456"/>
      <ns0:c r="K346" s="986"/>
      <ns0:c r="L346" s="454"/>
      <ns0:c r="M346" s="439"/>
      <ns0:c r="N346" s="987" t="str">
        <ns0:f>IF(COUNTA($A346:$M346)=0,"",IF(OR(LEFT(LOWER(TRIM($F346&amp;"")),12)="subscription",LOWER(TRIM($F346&amp;""))="membership"),"",IF(OR(AND($H346&lt;&gt;"",$H346=0),LEFT(LOWER(TRIM($F346&amp;"")),9)="free game",LOWER(TRIM($F346&amp;""))="free",LOWER(TRIM($F346&amp;""))="free entry"),IF(ISNUMBER($G346),IF(ISNUMBER(SEARCH("non",LOWER($E346&amp;""))),$G346*0.85,$G346),"N/A"),IF($G346="","",IFERROR(IF(ISNUMBER(SEARCH("non",LOWER($E346&amp;""))),$G346*0.85,$G346),"")))))</ns0:f>
        <ns0:v/>
      </ns0:c>
      <ns0:c r="O346" s="987" t="str">
        <ns0:f>IF(COUNTA($A346:$M346)=0,"",IF(OR(LEFT(LOWER(TRIM($F346&amp;"")),12)="subscription",LOWER(TRIM($F346&amp;""))="membership"),"",IF(OR(AND($H346&lt;&gt;"",$H346=0),LEFT(LOWER(TRIM($F346&amp;"")),9)="free game",LOWER(TRIM($F346&amp;""))="free",LOWER(TRIM($F346&amp;""))="free entry"),IF(OR(NOT(ISNUMBER($N346)),NOT(ISNUMBER($I346)),$I346=0),"N/A",IFERROR($N346/$I346,"N/A")),IF(OR($N346="",$I346="",$I346=0),"",IFERROR($N346/$I346,"")))))</ns0:f>
        <ns0:v/>
      </ns0:c>
      <ns0:c r="P346" s="987">
        <ns0:f>IF(COUNTA($A346:$M346)=0,"",IF(OR(LEFT(LOWER(TRIM($F346&amp;"")),12)="subscription",LOWER(TRIM($F346&amp;""))="membership"),"",IF(LOWER(TRIM($D346&amp;""))="estimate","N/A",IF(LOWER($L346&amp;"")="yes",0,IF(OR(AND($H346&lt;&gt;"",$H346=0),LEFT(LOWER(TRIM($F346&amp;"")),9)="free game",LOWER(TRIM($F346&amp;""))="free",LOWER(TRIM($F346&amp;""))="free entry"),IF(ISNUMBER($K346),$K346,""),IF($K346&lt;&gt;"",$K346,""))))))</ns0:f>
      </ns0:c>
      <ns0:c r="Q346" s="114">
        <ns0:f>IF(COUNTA($A346:$M346)=0,"",IF(OR($U346="Subscription",$U346=""),"",IF($U346="Estimate","N/A",IF($U346="Profit",ROUND(IFERROR($P346,0)-IFERROR($H346,0),2),0))))</ns0:f>
      </ns0:c>
      <ns0:c r="R346" s="114">
        <ns0:f>IF(COUNTA($A346:$M346)=0,"",IF(OR($U346="Subscription",$U346=""),"",IF($U346="Estimate","N/A",IF($U346="Draw",$H346,0))))</ns0:f>
      </ns0:c>
      <ns0:c r="S346" s="114">
        <ns0:f>IF(COUNTA($A346:$M346)=0,"",IF(OR($U346="Subscription",$U346=""),"",IF($U346="Estimate","N/A",IF($U346="Disqualified",$H346,0))))</ns0:f>
      </ns0:c>
      <ns0:c r="T346" s="955">
        <ns0:f>IF(COUNTA($A346:$M346)=0,"",IF(OR($U346="Subscription",$U346=""),"",IF($U346="Estimate","N/A",IF(OR($U346="Free Game",$U346="Disqualified — Free Game",$H346=0),"N/A",IF($U346="Profit",$Q346/$H346,IF($U346="Disqualified",-$S346/$H346,0))))))</ns0:f>
      </ns0:c>
      <ns0:c r="U346" s="920">
        <ns0:f>IF(COUNTA($A346:$M346)=0,"",IF(OR(LEFT(LOWER(TRIM($F346&amp;"")),12)="subscription",LOWER(TRIM($F346&amp;""))="membership"),"Subscription",IF(LOWER(TRIM($D346&amp;""))="estimate","Estimate",IF(OR(AND($H346&lt;&gt;"",$H346=0),LEFT(LOWER(TRIM($F346&amp;"")),9)="free game",LOWER(TRIM($F346&amp;""))="free",LOWER(TRIM($F346&amp;""))="free entry"),IF(LOWER($L346&amp;"")="yes","Disqualified — Free Game","Free Game"),IF(LOWER($L346&amp;"")="yes","Disqualified",IF($P346="","",IF(ROUND(IFERROR(VALUE($P346),0)-IFERROR(VALUE($H346),0),2)&gt;0,"Profit","Draw")))))))</ns0:f>
      </ns0:c>
      <ns0:c r="V346" s="956" t="str">
        <ns0:f>IF(COUNTA($A346:$M346)=0,"",IF(OR($B346="",$C346="",$U346="Subscription"),"",IFERROR(ROUNDUP(($C346-$B346)/7,0),"")))</ns0:f>
      </ns0:c>
      <ns0:c r="W346" s="114">
        <ns0:f>IF(COUNTA($A346:$M346)=0,"",IF(OR($U346="Subscription",$U346=""),"",IF($U346="Estimate","N/A",IF(OR($U346="Free Game",$U346="Disqualified — Free Game"),0,ROUND(IFERROR($Q346,0)-IFERROR($S346,0),2)))))</ns0:f>
      </ns0:c>
      <ns0:c r="X346" s="956" t="str">
        <ns0:f>IF(COUNTA($A346:$M346)=0,"",IF(OR($U346="Subscription",NOT(ISNUMBER($J346)),NOT(ISNUMBER($I346)),$J346=0,$I346=0,$I346&gt;$J346),"",$J346-$I346))</ns0:f>
      </ns0:c>
      <ns0:c r="Y346" s="955" t="str">
        <ns0:f>IF(COUNTA($A346:$M346)=0,"",IF(OR($U346="Subscription",NOT(ISNUMBER($J346)),$J346=0,$X346=""),"",$X346/$J346))</ns0:f>
      </ns0:c>
      <ns0:c r="Z346" s="957" t="str">
        <ns0:f>IF(COUNTA($A346:$M346)=0,"",Instructions!$B$29+SUM($W$5:W346))</ns0:f>
      </ns0:c>
    </ns0:row>
    <ns0:row r="347" ht="36" customHeight="1">
      <ns0:c r="A347" s="439"/>
      <ns0:c r="B347" s="453"/>
      <ns0:c r="C347" s="453"/>
      <ns0:c r="D347" s="454"/>
      <ns0:c r="E347" s="454"/>
      <ns0:c r="F347" s="454"/>
      <ns0:c r="G347" s="986"/>
      <ns0:c r="H347" s="455"/>
      <ns0:c r="I347" s="456"/>
      <ns0:c r="J347" s="456"/>
      <ns0:c r="K347" s="986"/>
      <ns0:c r="L347" s="454"/>
      <ns0:c r="M347" s="439"/>
      <ns0:c r="N347" s="987" t="str">
        <ns0:f>IF(COUNTA($A347:$M347)=0,"",IF(OR(LEFT(LOWER(TRIM($F347&amp;"")),12)="subscription",LOWER(TRIM($F347&amp;""))="membership"),"",IF(OR(AND($H347&lt;&gt;"",$H347=0),LEFT(LOWER(TRIM($F347&amp;"")),9)="free game",LOWER(TRIM($F347&amp;""))="free",LOWER(TRIM($F347&amp;""))="free entry"),IF(ISNUMBER($G347),IF(ISNUMBER(SEARCH("non",LOWER($E347&amp;""))),$G347*0.85,$G347),"N/A"),IF($G347="","",IFERROR(IF(ISNUMBER(SEARCH("non",LOWER($E347&amp;""))),$G347*0.85,$G347),"")))))</ns0:f>
        <ns0:v/>
      </ns0:c>
      <ns0:c r="O347" s="987" t="str">
        <ns0:f>IF(COUNTA($A347:$M347)=0,"",IF(OR(LEFT(LOWER(TRIM($F347&amp;"")),12)="subscription",LOWER(TRIM($F347&amp;""))="membership"),"",IF(OR(AND($H347&lt;&gt;"",$H347=0),LEFT(LOWER(TRIM($F347&amp;"")),9)="free game",LOWER(TRIM($F347&amp;""))="free",LOWER(TRIM($F347&amp;""))="free entry"),IF(OR(NOT(ISNUMBER($N347)),NOT(ISNUMBER($I347)),$I347=0),"N/A",IFERROR($N347/$I347,"N/A")),IF(OR($N347="",$I347="",$I347=0),"",IFERROR($N347/$I347,"")))))</ns0:f>
        <ns0:v/>
      </ns0:c>
      <ns0:c r="P347" s="987">
        <ns0:f>IF(COUNTA($A347:$M347)=0,"",IF(OR(LEFT(LOWER(TRIM($F347&amp;"")),12)="subscription",LOWER(TRIM($F347&amp;""))="membership"),"",IF(LOWER(TRIM($D347&amp;""))="estimate","N/A",IF(LOWER($L347&amp;"")="yes",0,IF(OR(AND($H347&lt;&gt;"",$H347=0),LEFT(LOWER(TRIM($F347&amp;"")),9)="free game",LOWER(TRIM($F347&amp;""))="free",LOWER(TRIM($F347&amp;""))="free entry"),IF(ISNUMBER($K347),$K347,""),IF($K347&lt;&gt;"",$K347,""))))))</ns0:f>
      </ns0:c>
      <ns0:c r="Q347" s="114">
        <ns0:f>IF(COUNTA($A347:$M347)=0,"",IF(OR($U347="Subscription",$U347=""),"",IF($U347="Estimate","N/A",IF($U347="Profit",ROUND(IFERROR($P347,0)-IFERROR($H347,0),2),0))))</ns0:f>
      </ns0:c>
      <ns0:c r="R347" s="114">
        <ns0:f>IF(COUNTA($A347:$M347)=0,"",IF(OR($U347="Subscription",$U347=""),"",IF($U347="Estimate","N/A",IF($U347="Draw",$H347,0))))</ns0:f>
      </ns0:c>
      <ns0:c r="S347" s="114">
        <ns0:f>IF(COUNTA($A347:$M347)=0,"",IF(OR($U347="Subscription",$U347=""),"",IF($U347="Estimate","N/A",IF($U347="Disqualified",$H347,0))))</ns0:f>
      </ns0:c>
      <ns0:c r="T347" s="955">
        <ns0:f>IF(COUNTA($A347:$M347)=0,"",IF(OR($U347="Subscription",$U347=""),"",IF($U347="Estimate","N/A",IF(OR($U347="Free Game",$U347="Disqualified — Free Game",$H347=0),"N/A",IF($U347="Profit",$Q347/$H347,IF($U347="Disqualified",-$S347/$H347,0))))))</ns0:f>
      </ns0:c>
      <ns0:c r="U347" s="920">
        <ns0:f>IF(COUNTA($A347:$M347)=0,"",IF(OR(LEFT(LOWER(TRIM($F347&amp;"")),12)="subscription",LOWER(TRIM($F347&amp;""))="membership"),"Subscription",IF(LOWER(TRIM($D347&amp;""))="estimate","Estimate",IF(OR(AND($H347&lt;&gt;"",$H347=0),LEFT(LOWER(TRIM($F347&amp;"")),9)="free game",LOWER(TRIM($F347&amp;""))="free",LOWER(TRIM($F347&amp;""))="free entry"),IF(LOWER($L347&amp;"")="yes","Disqualified — Free Game","Free Game"),IF(LOWER($L347&amp;"")="yes","Disqualified",IF($P347="","",IF(ROUND(IFERROR(VALUE($P347),0)-IFERROR(VALUE($H347),0),2)&gt;0,"Profit","Draw")))))))</ns0:f>
      </ns0:c>
      <ns0:c r="V347" s="956" t="str">
        <ns0:f>IF(COUNTA($A347:$M347)=0,"",IF(OR($B347="",$C347="",$U347="Subscription"),"",IFERROR(ROUNDUP(($C347-$B347)/7,0),"")))</ns0:f>
      </ns0:c>
      <ns0:c r="W347" s="114">
        <ns0:f>IF(COUNTA($A347:$M347)=0,"",IF(OR($U347="Subscription",$U347=""),"",IF($U347="Estimate","N/A",IF(OR($U347="Free Game",$U347="Disqualified — Free Game"),0,ROUND(IFERROR($Q347,0)-IFERROR($S347,0),2)))))</ns0:f>
      </ns0:c>
      <ns0:c r="X347" s="956" t="str">
        <ns0:f>IF(COUNTA($A347:$M347)=0,"",IF(OR($U347="Subscription",NOT(ISNUMBER($J347)),NOT(ISNUMBER($I347)),$J347=0,$I347=0,$I347&gt;$J347),"",$J347-$I347))</ns0:f>
      </ns0:c>
      <ns0:c r="Y347" s="955" t="str">
        <ns0:f>IF(COUNTA($A347:$M347)=0,"",IF(OR($U347="Subscription",NOT(ISNUMBER($J347)),$J347=0,$X347=""),"",$X347/$J347))</ns0:f>
      </ns0:c>
      <ns0:c r="Z347" s="957" t="str">
        <ns0:f>IF(COUNTA($A347:$M347)=0,"",Instructions!$B$29+SUM($W$5:W347))</ns0:f>
      </ns0:c>
    </ns0:row>
    <ns0:row r="348" ht="36" customHeight="1">
      <ns0:c r="A348" s="439"/>
      <ns0:c r="B348" s="453"/>
      <ns0:c r="C348" s="453"/>
      <ns0:c r="D348" s="454"/>
      <ns0:c r="E348" s="454"/>
      <ns0:c r="F348" s="454"/>
      <ns0:c r="G348" s="986"/>
      <ns0:c r="H348" s="455"/>
      <ns0:c r="I348" s="456"/>
      <ns0:c r="J348" s="456"/>
      <ns0:c r="K348" s="986"/>
      <ns0:c r="L348" s="454"/>
      <ns0:c r="M348" s="439"/>
      <ns0:c r="N348" s="987" t="str">
        <ns0:f>IF(COUNTA($A348:$M348)=0,"",IF(OR(LEFT(LOWER(TRIM($F348&amp;"")),12)="subscription",LOWER(TRIM($F348&amp;""))="membership"),"",IF(OR(AND($H348&lt;&gt;"",$H348=0),LEFT(LOWER(TRIM($F348&amp;"")),9)="free game",LOWER(TRIM($F348&amp;""))="free",LOWER(TRIM($F348&amp;""))="free entry"),IF(ISNUMBER($G348),IF(ISNUMBER(SEARCH("non",LOWER($E348&amp;""))),$G348*0.85,$G348),"N/A"),IF($G348="","",IFERROR(IF(ISNUMBER(SEARCH("non",LOWER($E348&amp;""))),$G348*0.85,$G348),"")))))</ns0:f>
        <ns0:v/>
      </ns0:c>
      <ns0:c r="O348" s="987" t="str">
        <ns0:f>IF(COUNTA($A348:$M348)=0,"",IF(OR(LEFT(LOWER(TRIM($F348&amp;"")),12)="subscription",LOWER(TRIM($F348&amp;""))="membership"),"",IF(OR(AND($H348&lt;&gt;"",$H348=0),LEFT(LOWER(TRIM($F348&amp;"")),9)="free game",LOWER(TRIM($F348&amp;""))="free",LOWER(TRIM($F348&amp;""))="free entry"),IF(OR(NOT(ISNUMBER($N348)),NOT(ISNUMBER($I348)),$I348=0),"N/A",IFERROR($N348/$I348,"N/A")),IF(OR($N348="",$I348="",$I348=0),"",IFERROR($N348/$I348,"")))))</ns0:f>
        <ns0:v/>
      </ns0:c>
      <ns0:c r="P348" s="987">
        <ns0:f>IF(COUNTA($A348:$M348)=0,"",IF(OR(LEFT(LOWER(TRIM($F348&amp;"")),12)="subscription",LOWER(TRIM($F348&amp;""))="membership"),"",IF(LOWER(TRIM($D348&amp;""))="estimate","N/A",IF(LOWER($L348&amp;"")="yes",0,IF(OR(AND($H348&lt;&gt;"",$H348=0),LEFT(LOWER(TRIM($F348&amp;"")),9)="free game",LOWER(TRIM($F348&amp;""))="free",LOWER(TRIM($F348&amp;""))="free entry"),IF(ISNUMBER($K348),$K348,""),IF($K348&lt;&gt;"",$K348,""))))))</ns0:f>
      </ns0:c>
      <ns0:c r="Q348" s="114">
        <ns0:f>IF(COUNTA($A348:$M348)=0,"",IF(OR($U348="Subscription",$U348=""),"",IF($U348="Estimate","N/A",IF($U348="Profit",ROUND(IFERROR($P348,0)-IFERROR($H348,0),2),0))))</ns0:f>
      </ns0:c>
      <ns0:c r="R348" s="114">
        <ns0:f>IF(COUNTA($A348:$M348)=0,"",IF(OR($U348="Subscription",$U348=""),"",IF($U348="Estimate","N/A",IF($U348="Draw",$H348,0))))</ns0:f>
      </ns0:c>
      <ns0:c r="S348" s="114">
        <ns0:f>IF(COUNTA($A348:$M348)=0,"",IF(OR($U348="Subscription",$U348=""),"",IF($U348="Estimate","N/A",IF($U348="Disqualified",$H348,0))))</ns0:f>
      </ns0:c>
      <ns0:c r="T348" s="955">
        <ns0:f>IF(COUNTA($A348:$M348)=0,"",IF(OR($U348="Subscription",$U348=""),"",IF($U348="Estimate","N/A",IF(OR($U348="Free Game",$U348="Disqualified — Free Game",$H348=0),"N/A",IF($U348="Profit",$Q348/$H348,IF($U348="Disqualified",-$S348/$H348,0))))))</ns0:f>
      </ns0:c>
      <ns0:c r="U348" s="920">
        <ns0:f>IF(COUNTA($A348:$M348)=0,"",IF(OR(LEFT(LOWER(TRIM($F348&amp;"")),12)="subscription",LOWER(TRIM($F348&amp;""))="membership"),"Subscription",IF(LOWER(TRIM($D348&amp;""))="estimate","Estimate",IF(OR(AND($H348&lt;&gt;"",$H348=0),LEFT(LOWER(TRIM($F348&amp;"")),9)="free game",LOWER(TRIM($F348&amp;""))="free",LOWER(TRIM($F348&amp;""))="free entry"),IF(LOWER($L348&amp;"")="yes","Disqualified — Free Game","Free Game"),IF(LOWER($L348&amp;"")="yes","Disqualified",IF($P348="","",IF(ROUND(IFERROR(VALUE($P348),0)-IFERROR(VALUE($H348),0),2)&gt;0,"Profit","Draw")))))))</ns0:f>
      </ns0:c>
      <ns0:c r="V348" s="956" t="str">
        <ns0:f>IF(COUNTA($A348:$M348)=0,"",IF(OR($B348="",$C348="",$U348="Subscription"),"",IFERROR(ROUNDUP(($C348-$B348)/7,0),"")))</ns0:f>
      </ns0:c>
      <ns0:c r="W348" s="114">
        <ns0:f>IF(COUNTA($A348:$M348)=0,"",IF(OR($U348="Subscription",$U348=""),"",IF($U348="Estimate","N/A",IF(OR($U348="Free Game",$U348="Disqualified — Free Game"),0,ROUND(IFERROR($Q348,0)-IFERROR($S348,0),2)))))</ns0:f>
      </ns0:c>
      <ns0:c r="X348" s="956" t="str">
        <ns0:f>IF(COUNTA($A348:$M348)=0,"",IF(OR($U348="Subscription",NOT(ISNUMBER($J348)),NOT(ISNUMBER($I348)),$J348=0,$I348=0,$I348&gt;$J348),"",$J348-$I348))</ns0:f>
      </ns0:c>
      <ns0:c r="Y348" s="955" t="str">
        <ns0:f>IF(COUNTA($A348:$M348)=0,"",IF(OR($U348="Subscription",NOT(ISNUMBER($J348)),$J348=0,$X348=""),"",$X348/$J348))</ns0:f>
      </ns0:c>
      <ns0:c r="Z348" s="957" t="str">
        <ns0:f>IF(COUNTA($A348:$M348)=0,"",Instructions!$B$29+SUM($W$5:W348))</ns0:f>
      </ns0:c>
    </ns0:row>
    <ns0:row r="349" ht="36" customHeight="1">
      <ns0:c r="A349" s="439"/>
      <ns0:c r="B349" s="453"/>
      <ns0:c r="C349" s="453"/>
      <ns0:c r="D349" s="454"/>
      <ns0:c r="E349" s="454"/>
      <ns0:c r="F349" s="454"/>
      <ns0:c r="G349" s="986"/>
      <ns0:c r="H349" s="455"/>
      <ns0:c r="I349" s="456"/>
      <ns0:c r="J349" s="456"/>
      <ns0:c r="K349" s="986"/>
      <ns0:c r="L349" s="454"/>
      <ns0:c r="M349" s="439"/>
      <ns0:c r="N349" s="987" t="str">
        <ns0:f>IF(COUNTA($A349:$M349)=0,"",IF(OR(LEFT(LOWER(TRIM($F349&amp;"")),12)="subscription",LOWER(TRIM($F349&amp;""))="membership"),"",IF(OR(AND($H349&lt;&gt;"",$H349=0),LEFT(LOWER(TRIM($F349&amp;"")),9)="free game",LOWER(TRIM($F349&amp;""))="free",LOWER(TRIM($F349&amp;""))="free entry"),IF(ISNUMBER($G349),IF(ISNUMBER(SEARCH("non",LOWER($E349&amp;""))),$G349*0.85,$G349),"N/A"),IF($G349="","",IFERROR(IF(ISNUMBER(SEARCH("non",LOWER($E349&amp;""))),$G349*0.85,$G349),"")))))</ns0:f>
        <ns0:v/>
      </ns0:c>
      <ns0:c r="O349" s="987" t="str">
        <ns0:f>IF(COUNTA($A349:$M349)=0,"",IF(OR(LEFT(LOWER(TRIM($F349&amp;"")),12)="subscription",LOWER(TRIM($F349&amp;""))="membership"),"",IF(OR(AND($H349&lt;&gt;"",$H349=0),LEFT(LOWER(TRIM($F349&amp;"")),9)="free game",LOWER(TRIM($F349&amp;""))="free",LOWER(TRIM($F349&amp;""))="free entry"),IF(OR(NOT(ISNUMBER($N349)),NOT(ISNUMBER($I349)),$I349=0),"N/A",IFERROR($N349/$I349,"N/A")),IF(OR($N349="",$I349="",$I349=0),"",IFERROR($N349/$I349,"")))))</ns0:f>
        <ns0:v/>
      </ns0:c>
      <ns0:c r="P349" s="987">
        <ns0:f>IF(COUNTA($A349:$M349)=0,"",IF(OR(LEFT(LOWER(TRIM($F349&amp;"")),12)="subscription",LOWER(TRIM($F349&amp;""))="membership"),"",IF(LOWER(TRIM($D349&amp;""))="estimate","N/A",IF(LOWER($L349&amp;"")="yes",0,IF(OR(AND($H349&lt;&gt;"",$H349=0),LEFT(LOWER(TRIM($F349&amp;"")),9)="free game",LOWER(TRIM($F349&amp;""))="free",LOWER(TRIM($F349&amp;""))="free entry"),IF(ISNUMBER($K349),$K349,""),IF($K349&lt;&gt;"",$K349,""))))))</ns0:f>
      </ns0:c>
      <ns0:c r="Q349" s="114">
        <ns0:f>IF(COUNTA($A349:$M349)=0,"",IF(OR($U349="Subscription",$U349=""),"",IF($U349="Estimate","N/A",IF($U349="Profit",ROUND(IFERROR($P349,0)-IFERROR($H349,0),2),0))))</ns0:f>
      </ns0:c>
      <ns0:c r="R349" s="114">
        <ns0:f>IF(COUNTA($A349:$M349)=0,"",IF(OR($U349="Subscription",$U349=""),"",IF($U349="Estimate","N/A",IF($U349="Draw",$H349,0))))</ns0:f>
      </ns0:c>
      <ns0:c r="S349" s="114">
        <ns0:f>IF(COUNTA($A349:$M349)=0,"",IF(OR($U349="Subscription",$U349=""),"",IF($U349="Estimate","N/A",IF($U349="Disqualified",$H349,0))))</ns0:f>
      </ns0:c>
      <ns0:c r="T349" s="955">
        <ns0:f>IF(COUNTA($A349:$M349)=0,"",IF(OR($U349="Subscription",$U349=""),"",IF($U349="Estimate","N/A",IF(OR($U349="Free Game",$U349="Disqualified — Free Game",$H349=0),"N/A",IF($U349="Profit",$Q349/$H349,IF($U349="Disqualified",-$S349/$H349,0))))))</ns0:f>
      </ns0:c>
      <ns0:c r="U349" s="920">
        <ns0:f>IF(COUNTA($A349:$M349)=0,"",IF(OR(LEFT(LOWER(TRIM($F349&amp;"")),12)="subscription",LOWER(TRIM($F349&amp;""))="membership"),"Subscription",IF(LOWER(TRIM($D349&amp;""))="estimate","Estimate",IF(OR(AND($H349&lt;&gt;"",$H349=0),LEFT(LOWER(TRIM($F349&amp;"")),9)="free game",LOWER(TRIM($F349&amp;""))="free",LOWER(TRIM($F349&amp;""))="free entry"),IF(LOWER($L349&amp;"")="yes","Disqualified — Free Game","Free Game"),IF(LOWER($L349&amp;"")="yes","Disqualified",IF($P349="","",IF(ROUND(IFERROR(VALUE($P349),0)-IFERROR(VALUE($H349),0),2)&gt;0,"Profit","Draw")))))))</ns0:f>
      </ns0:c>
      <ns0:c r="V349" s="956" t="str">
        <ns0:f>IF(COUNTA($A349:$M349)=0,"",IF(OR($B349="",$C349="",$U349="Subscription"),"",IFERROR(ROUNDUP(($C349-$B349)/7,0),"")))</ns0:f>
      </ns0:c>
      <ns0:c r="W349" s="114">
        <ns0:f>IF(COUNTA($A349:$M349)=0,"",IF(OR($U349="Subscription",$U349=""),"",IF($U349="Estimate","N/A",IF(OR($U349="Free Game",$U349="Disqualified — Free Game"),0,ROUND(IFERROR($Q349,0)-IFERROR($S349,0),2)))))</ns0:f>
      </ns0:c>
      <ns0:c r="X349" s="956" t="str">
        <ns0:f>IF(COUNTA($A349:$M349)=0,"",IF(OR($U349="Subscription",NOT(ISNUMBER($J349)),NOT(ISNUMBER($I349)),$J349=0,$I349=0,$I349&gt;$J349),"",$J349-$I349))</ns0:f>
      </ns0:c>
      <ns0:c r="Y349" s="955" t="str">
        <ns0:f>IF(COUNTA($A349:$M349)=0,"",IF(OR($U349="Subscription",NOT(ISNUMBER($J349)),$J349=0,$X349=""),"",$X349/$J349))</ns0:f>
      </ns0:c>
      <ns0:c r="Z349" s="957" t="str">
        <ns0:f>IF(COUNTA($A349:$M349)=0,"",Instructions!$B$29+SUM($W$5:W349))</ns0:f>
      </ns0:c>
    </ns0:row>
    <ns0:row r="350" ht="36" customHeight="1">
      <ns0:c r="A350" s="439"/>
      <ns0:c r="B350" s="453"/>
      <ns0:c r="C350" s="453"/>
      <ns0:c r="D350" s="454"/>
      <ns0:c r="E350" s="454"/>
      <ns0:c r="F350" s="454"/>
      <ns0:c r="G350" s="986"/>
      <ns0:c r="H350" s="455"/>
      <ns0:c r="I350" s="456"/>
      <ns0:c r="J350" s="456"/>
      <ns0:c r="K350" s="986"/>
      <ns0:c r="L350" s="454"/>
      <ns0:c r="M350" s="439"/>
      <ns0:c r="N350" s="987" t="str">
        <ns0:f>IF(COUNTA($A350:$M350)=0,"",IF(OR(LEFT(LOWER(TRIM($F350&amp;"")),12)="subscription",LOWER(TRIM($F350&amp;""))="membership"),"",IF(OR(AND($H350&lt;&gt;"",$H350=0),LEFT(LOWER(TRIM($F350&amp;"")),9)="free game",LOWER(TRIM($F350&amp;""))="free",LOWER(TRIM($F350&amp;""))="free entry"),IF(ISNUMBER($G350),IF(ISNUMBER(SEARCH("non",LOWER($E350&amp;""))),$G350*0.85,$G350),"N/A"),IF($G350="","",IFERROR(IF(ISNUMBER(SEARCH("non",LOWER($E350&amp;""))),$G350*0.85,$G350),"")))))</ns0:f>
        <ns0:v/>
      </ns0:c>
      <ns0:c r="O350" s="987" t="str">
        <ns0:f>IF(COUNTA($A350:$M350)=0,"",IF(OR(LEFT(LOWER(TRIM($F350&amp;"")),12)="subscription",LOWER(TRIM($F350&amp;""))="membership"),"",IF(OR(AND($H350&lt;&gt;"",$H350=0),LEFT(LOWER(TRIM($F350&amp;"")),9)="free game",LOWER(TRIM($F350&amp;""))="free",LOWER(TRIM($F350&amp;""))="free entry"),IF(OR(NOT(ISNUMBER($N350)),NOT(ISNUMBER($I350)),$I350=0),"N/A",IFERROR($N350/$I350,"N/A")),IF(OR($N350="",$I350="",$I350=0),"",IFERROR($N350/$I350,"")))))</ns0:f>
        <ns0:v/>
      </ns0:c>
      <ns0:c r="P350" s="987">
        <ns0:f>IF(COUNTA($A350:$M350)=0,"",IF(OR(LEFT(LOWER(TRIM($F350&amp;"")),12)="subscription",LOWER(TRIM($F350&amp;""))="membership"),"",IF(LOWER(TRIM($D350&amp;""))="estimate","N/A",IF(LOWER($L350&amp;"")="yes",0,IF(OR(AND($H350&lt;&gt;"",$H350=0),LEFT(LOWER(TRIM($F350&amp;"")),9)="free game",LOWER(TRIM($F350&amp;""))="free",LOWER(TRIM($F350&amp;""))="free entry"),IF(ISNUMBER($K350),$K350,""),IF($K350&lt;&gt;"",$K350,""))))))</ns0:f>
      </ns0:c>
      <ns0:c r="Q350" s="114">
        <ns0:f>IF(COUNTA($A350:$M350)=0,"",IF(OR($U350="Subscription",$U350=""),"",IF($U350="Estimate","N/A",IF($U350="Profit",ROUND(IFERROR($P350,0)-IFERROR($H350,0),2),0))))</ns0:f>
      </ns0:c>
      <ns0:c r="R350" s="114">
        <ns0:f>IF(COUNTA($A350:$M350)=0,"",IF(OR($U350="Subscription",$U350=""),"",IF($U350="Estimate","N/A",IF($U350="Draw",$H350,0))))</ns0:f>
      </ns0:c>
      <ns0:c r="S350" s="114">
        <ns0:f>IF(COUNTA($A350:$M350)=0,"",IF(OR($U350="Subscription",$U350=""),"",IF($U350="Estimate","N/A",IF($U350="Disqualified",$H350,0))))</ns0:f>
      </ns0:c>
      <ns0:c r="T350" s="955">
        <ns0:f>IF(COUNTA($A350:$M350)=0,"",IF(OR($U350="Subscription",$U350=""),"",IF($U350="Estimate","N/A",IF(OR($U350="Free Game",$U350="Disqualified — Free Game",$H350=0),"N/A",IF($U350="Profit",$Q350/$H350,IF($U350="Disqualified",-$S350/$H350,0))))))</ns0:f>
      </ns0:c>
      <ns0:c r="U350" s="920">
        <ns0:f>IF(COUNTA($A350:$M350)=0,"",IF(OR(LEFT(LOWER(TRIM($F350&amp;"")),12)="subscription",LOWER(TRIM($F350&amp;""))="membership"),"Subscription",IF(LOWER(TRIM($D350&amp;""))="estimate","Estimate",IF(OR(AND($H350&lt;&gt;"",$H350=0),LEFT(LOWER(TRIM($F350&amp;"")),9)="free game",LOWER(TRIM($F350&amp;""))="free",LOWER(TRIM($F350&amp;""))="free entry"),IF(LOWER($L350&amp;"")="yes","Disqualified — Free Game","Free Game"),IF(LOWER($L350&amp;"")="yes","Disqualified",IF($P350="","",IF(ROUND(IFERROR(VALUE($P350),0)-IFERROR(VALUE($H350),0),2)&gt;0,"Profit","Draw")))))))</ns0:f>
      </ns0:c>
      <ns0:c r="V350" s="956" t="str">
        <ns0:f>IF(COUNTA($A350:$M350)=0,"",IF(OR($B350="",$C350="",$U350="Subscription"),"",IFERROR(ROUNDUP(($C350-$B350)/7,0),"")))</ns0:f>
      </ns0:c>
      <ns0:c r="W350" s="114">
        <ns0:f>IF(COUNTA($A350:$M350)=0,"",IF(OR($U350="Subscription",$U350=""),"",IF($U350="Estimate","N/A",IF(OR($U350="Free Game",$U350="Disqualified — Free Game"),0,ROUND(IFERROR($Q350,0)-IFERROR($S350,0),2)))))</ns0:f>
      </ns0:c>
      <ns0:c r="X350" s="956" t="str">
        <ns0:f>IF(COUNTA($A350:$M350)=0,"",IF(OR($U350="Subscription",NOT(ISNUMBER($J350)),NOT(ISNUMBER($I350)),$J350=0,$I350=0,$I350&gt;$J350),"",$J350-$I350))</ns0:f>
      </ns0:c>
      <ns0:c r="Y350" s="955" t="str">
        <ns0:f>IF(COUNTA($A350:$M350)=0,"",IF(OR($U350="Subscription",NOT(ISNUMBER($J350)),$J350=0,$X350=""),"",$X350/$J350))</ns0:f>
      </ns0:c>
      <ns0:c r="Z350" s="957" t="str">
        <ns0:f>IF(COUNTA($A350:$M350)=0,"",Instructions!$B$29+SUM($W$5:W350))</ns0:f>
      </ns0:c>
    </ns0:row>
    <ns0:row r="351" ht="36" customHeight="1">
      <ns0:c r="A351" s="439"/>
      <ns0:c r="B351" s="453"/>
      <ns0:c r="C351" s="453"/>
      <ns0:c r="D351" s="454"/>
      <ns0:c r="E351" s="454"/>
      <ns0:c r="F351" s="454"/>
      <ns0:c r="G351" s="986"/>
      <ns0:c r="H351" s="455"/>
      <ns0:c r="I351" s="456"/>
      <ns0:c r="J351" s="456"/>
      <ns0:c r="K351" s="986"/>
      <ns0:c r="L351" s="454"/>
      <ns0:c r="M351" s="439"/>
      <ns0:c r="N351" s="987" t="str">
        <ns0:f>IF(COUNTA($A351:$M351)=0,"",IF(OR(LEFT(LOWER(TRIM($F351&amp;"")),12)="subscription",LOWER(TRIM($F351&amp;""))="membership"),"",IF(OR(AND($H351&lt;&gt;"",$H351=0),LEFT(LOWER(TRIM($F351&amp;"")),9)="free game",LOWER(TRIM($F351&amp;""))="free",LOWER(TRIM($F351&amp;""))="free entry"),IF(ISNUMBER($G351),IF(ISNUMBER(SEARCH("non",LOWER($E351&amp;""))),$G351*0.85,$G351),"N/A"),IF($G351="","",IFERROR(IF(ISNUMBER(SEARCH("non",LOWER($E351&amp;""))),$G351*0.85,$G351),"")))))</ns0:f>
        <ns0:v/>
      </ns0:c>
      <ns0:c r="O351" s="987" t="str">
        <ns0:f>IF(COUNTA($A351:$M351)=0,"",IF(OR(LEFT(LOWER(TRIM($F351&amp;"")),12)="subscription",LOWER(TRIM($F351&amp;""))="membership"),"",IF(OR(AND($H351&lt;&gt;"",$H351=0),LEFT(LOWER(TRIM($F351&amp;"")),9)="free game",LOWER(TRIM($F351&amp;""))="free",LOWER(TRIM($F351&amp;""))="free entry"),IF(OR(NOT(ISNUMBER($N351)),NOT(ISNUMBER($I351)),$I351=0),"N/A",IFERROR($N351/$I351,"N/A")),IF(OR($N351="",$I351="",$I351=0),"",IFERROR($N351/$I351,"")))))</ns0:f>
        <ns0:v/>
      </ns0:c>
      <ns0:c r="P351" s="987">
        <ns0:f>IF(COUNTA($A351:$M351)=0,"",IF(OR(LEFT(LOWER(TRIM($F351&amp;"")),12)="subscription",LOWER(TRIM($F351&amp;""))="membership"),"",IF(LOWER(TRIM($D351&amp;""))="estimate","N/A",IF(LOWER($L351&amp;"")="yes",0,IF(OR(AND($H351&lt;&gt;"",$H351=0),LEFT(LOWER(TRIM($F351&amp;"")),9)="free game",LOWER(TRIM($F351&amp;""))="free",LOWER(TRIM($F351&amp;""))="free entry"),IF(ISNUMBER($K351),$K351,""),IF($K351&lt;&gt;"",$K351,""))))))</ns0:f>
      </ns0:c>
      <ns0:c r="Q351" s="114">
        <ns0:f>IF(COUNTA($A351:$M351)=0,"",IF(OR($U351="Subscription",$U351=""),"",IF($U351="Estimate","N/A",IF($U351="Profit",ROUND(IFERROR($P351,0)-IFERROR($H351,0),2),0))))</ns0:f>
      </ns0:c>
      <ns0:c r="R351" s="114">
        <ns0:f>IF(COUNTA($A351:$M351)=0,"",IF(OR($U351="Subscription",$U351=""),"",IF($U351="Estimate","N/A",IF($U351="Draw",$H351,0))))</ns0:f>
      </ns0:c>
      <ns0:c r="S351" s="114">
        <ns0:f>IF(COUNTA($A351:$M351)=0,"",IF(OR($U351="Subscription",$U351=""),"",IF($U351="Estimate","N/A",IF($U351="Disqualified",$H351,0))))</ns0:f>
      </ns0:c>
      <ns0:c r="T351" s="955">
        <ns0:f>IF(COUNTA($A351:$M351)=0,"",IF(OR($U351="Subscription",$U351=""),"",IF($U351="Estimate","N/A",IF(OR($U351="Free Game",$U351="Disqualified — Free Game",$H351=0),"N/A",IF($U351="Profit",$Q351/$H351,IF($U351="Disqualified",-$S351/$H351,0))))))</ns0:f>
      </ns0:c>
      <ns0:c r="U351" s="920">
        <ns0:f>IF(COUNTA($A351:$M351)=0,"",IF(OR(LEFT(LOWER(TRIM($F351&amp;"")),12)="subscription",LOWER(TRIM($F351&amp;""))="membership"),"Subscription",IF(LOWER(TRIM($D351&amp;""))="estimate","Estimate",IF(OR(AND($H351&lt;&gt;"",$H351=0),LEFT(LOWER(TRIM($F351&amp;"")),9)="free game",LOWER(TRIM($F351&amp;""))="free",LOWER(TRIM($F351&amp;""))="free entry"),IF(LOWER($L351&amp;"")="yes","Disqualified — Free Game","Free Game"),IF(LOWER($L351&amp;"")="yes","Disqualified",IF($P351="","",IF(ROUND(IFERROR(VALUE($P351),0)-IFERROR(VALUE($H351),0),2)&gt;0,"Profit","Draw")))))))</ns0:f>
      </ns0:c>
      <ns0:c r="V351" s="956" t="str">
        <ns0:f>IF(COUNTA($A351:$M351)=0,"",IF(OR($B351="",$C351="",$U351="Subscription"),"",IFERROR(ROUNDUP(($C351-$B351)/7,0),"")))</ns0:f>
      </ns0:c>
      <ns0:c r="W351" s="114">
        <ns0:f>IF(COUNTA($A351:$M351)=0,"",IF(OR($U351="Subscription",$U351=""),"",IF($U351="Estimate","N/A",IF(OR($U351="Free Game",$U351="Disqualified — Free Game"),0,ROUND(IFERROR($Q351,0)-IFERROR($S351,0),2)))))</ns0:f>
      </ns0:c>
      <ns0:c r="X351" s="956" t="str">
        <ns0:f>IF(COUNTA($A351:$M351)=0,"",IF(OR($U351="Subscription",NOT(ISNUMBER($J351)),NOT(ISNUMBER($I351)),$J351=0,$I351=0,$I351&gt;$J351),"",$J351-$I351))</ns0:f>
      </ns0:c>
      <ns0:c r="Y351" s="955" t="str">
        <ns0:f>IF(COUNTA($A351:$M351)=0,"",IF(OR($U351="Subscription",NOT(ISNUMBER($J351)),$J351=0,$X351=""),"",$X351/$J351))</ns0:f>
      </ns0:c>
      <ns0:c r="Z351" s="957" t="str">
        <ns0:f>IF(COUNTA($A351:$M351)=0,"",Instructions!$B$29+SUM($W$5:W351))</ns0:f>
      </ns0:c>
    </ns0:row>
    <ns0:row r="352" ht="36" customHeight="1">
      <ns0:c r="A352" s="439"/>
      <ns0:c r="B352" s="453"/>
      <ns0:c r="C352" s="453"/>
      <ns0:c r="D352" s="454"/>
      <ns0:c r="E352" s="454"/>
      <ns0:c r="F352" s="454"/>
      <ns0:c r="G352" s="986"/>
      <ns0:c r="H352" s="455"/>
      <ns0:c r="I352" s="456"/>
      <ns0:c r="J352" s="456"/>
      <ns0:c r="K352" s="986"/>
      <ns0:c r="L352" s="454"/>
      <ns0:c r="M352" s="439"/>
      <ns0:c r="N352" s="987" t="str">
        <ns0:f>IF(COUNTA($A352:$M352)=0,"",IF(OR(LEFT(LOWER(TRIM($F352&amp;"")),12)="subscription",LOWER(TRIM($F352&amp;""))="membership"),"",IF(OR(AND($H352&lt;&gt;"",$H352=0),LEFT(LOWER(TRIM($F352&amp;"")),9)="free game",LOWER(TRIM($F352&amp;""))="free",LOWER(TRIM($F352&amp;""))="free entry"),IF(ISNUMBER($G352),IF(ISNUMBER(SEARCH("non",LOWER($E352&amp;""))),$G352*0.85,$G352),"N/A"),IF($G352="","",IFERROR(IF(ISNUMBER(SEARCH("non",LOWER($E352&amp;""))),$G352*0.85,$G352),"")))))</ns0:f>
        <ns0:v/>
      </ns0:c>
      <ns0:c r="O352" s="987" t="str">
        <ns0:f>IF(COUNTA($A352:$M352)=0,"",IF(OR(LEFT(LOWER(TRIM($F352&amp;"")),12)="subscription",LOWER(TRIM($F352&amp;""))="membership"),"",IF(OR(AND($H352&lt;&gt;"",$H352=0),LEFT(LOWER(TRIM($F352&amp;"")),9)="free game",LOWER(TRIM($F352&amp;""))="free",LOWER(TRIM($F352&amp;""))="free entry"),IF(OR(NOT(ISNUMBER($N352)),NOT(ISNUMBER($I352)),$I352=0),"N/A",IFERROR($N352/$I352,"N/A")),IF(OR($N352="",$I352="",$I352=0),"",IFERROR($N352/$I352,"")))))</ns0:f>
        <ns0:v/>
      </ns0:c>
      <ns0:c r="P352" s="987">
        <ns0:f>IF(COUNTA($A352:$M352)=0,"",IF(OR(LEFT(LOWER(TRIM($F352&amp;"")),12)="subscription",LOWER(TRIM($F352&amp;""))="membership"),"",IF(LOWER(TRIM($D352&amp;""))="estimate","N/A",IF(LOWER($L352&amp;"")="yes",0,IF(OR(AND($H352&lt;&gt;"",$H352=0),LEFT(LOWER(TRIM($F352&amp;"")),9)="free game",LOWER(TRIM($F352&amp;""))="free",LOWER(TRIM($F352&amp;""))="free entry"),IF(ISNUMBER($K352),$K352,""),IF($K352&lt;&gt;"",$K352,""))))))</ns0:f>
      </ns0:c>
      <ns0:c r="Q352" s="114">
        <ns0:f>IF(COUNTA($A352:$M352)=0,"",IF(OR($U352="Subscription",$U352=""),"",IF($U352="Estimate","N/A",IF($U352="Profit",ROUND(IFERROR($P352,0)-IFERROR($H352,0),2),0))))</ns0:f>
      </ns0:c>
      <ns0:c r="R352" s="114">
        <ns0:f>IF(COUNTA($A352:$M352)=0,"",IF(OR($U352="Subscription",$U352=""),"",IF($U352="Estimate","N/A",IF($U352="Draw",$H352,0))))</ns0:f>
      </ns0:c>
      <ns0:c r="S352" s="114">
        <ns0:f>IF(COUNTA($A352:$M352)=0,"",IF(OR($U352="Subscription",$U352=""),"",IF($U352="Estimate","N/A",IF($U352="Disqualified",$H352,0))))</ns0:f>
      </ns0:c>
      <ns0:c r="T352" s="955">
        <ns0:f>IF(COUNTA($A352:$M352)=0,"",IF(OR($U352="Subscription",$U352=""),"",IF($U352="Estimate","N/A",IF(OR($U352="Free Game",$U352="Disqualified — Free Game",$H352=0),"N/A",IF($U352="Profit",$Q352/$H352,IF($U352="Disqualified",-$S352/$H352,0))))))</ns0:f>
      </ns0:c>
      <ns0:c r="U352" s="920">
        <ns0:f>IF(COUNTA($A352:$M352)=0,"",IF(OR(LEFT(LOWER(TRIM($F352&amp;"")),12)="subscription",LOWER(TRIM($F352&amp;""))="membership"),"Subscription",IF(LOWER(TRIM($D352&amp;""))="estimate","Estimate",IF(OR(AND($H352&lt;&gt;"",$H352=0),LEFT(LOWER(TRIM($F352&amp;"")),9)="free game",LOWER(TRIM($F352&amp;""))="free",LOWER(TRIM($F352&amp;""))="free entry"),IF(LOWER($L352&amp;"")="yes","Disqualified — Free Game","Free Game"),IF(LOWER($L352&amp;"")="yes","Disqualified",IF($P352="","",IF(ROUND(IFERROR(VALUE($P352),0)-IFERROR(VALUE($H352),0),2)&gt;0,"Profit","Draw")))))))</ns0:f>
      </ns0:c>
      <ns0:c r="V352" s="956" t="str">
        <ns0:f>IF(COUNTA($A352:$M352)=0,"",IF(OR($B352="",$C352="",$U352="Subscription"),"",IFERROR(ROUNDUP(($C352-$B352)/7,0),"")))</ns0:f>
      </ns0:c>
      <ns0:c r="W352" s="114">
        <ns0:f>IF(COUNTA($A352:$M352)=0,"",IF(OR($U352="Subscription",$U352=""),"",IF($U352="Estimate","N/A",IF(OR($U352="Free Game",$U352="Disqualified — Free Game"),0,ROUND(IFERROR($Q352,0)-IFERROR($S352,0),2)))))</ns0:f>
      </ns0:c>
      <ns0:c r="X352" s="956" t="str">
        <ns0:f>IF(COUNTA($A352:$M352)=0,"",IF(OR($U352="Subscription",NOT(ISNUMBER($J352)),NOT(ISNUMBER($I352)),$J352=0,$I352=0,$I352&gt;$J352),"",$J352-$I352))</ns0:f>
      </ns0:c>
      <ns0:c r="Y352" s="955" t="str">
        <ns0:f>IF(COUNTA($A352:$M352)=0,"",IF(OR($U352="Subscription",NOT(ISNUMBER($J352)),$J352=0,$X352=""),"",$X352/$J352))</ns0:f>
      </ns0:c>
      <ns0:c r="Z352" s="957" t="str">
        <ns0:f>IF(COUNTA($A352:$M352)=0,"",Instructions!$B$29+SUM($W$5:W352))</ns0:f>
      </ns0:c>
    </ns0:row>
    <ns0:row r="353" ht="36" customHeight="1">
      <ns0:c r="A353" s="439"/>
      <ns0:c r="B353" s="453"/>
      <ns0:c r="C353" s="453"/>
      <ns0:c r="D353" s="454"/>
      <ns0:c r="E353" s="454"/>
      <ns0:c r="F353" s="454"/>
      <ns0:c r="G353" s="986"/>
      <ns0:c r="H353" s="455"/>
      <ns0:c r="I353" s="456"/>
      <ns0:c r="J353" s="456"/>
      <ns0:c r="K353" s="986"/>
      <ns0:c r="L353" s="454"/>
      <ns0:c r="M353" s="439"/>
      <ns0:c r="N353" s="987" t="str">
        <ns0:f>IF(COUNTA($A353:$M353)=0,"",IF(OR(LEFT(LOWER(TRIM($F353&amp;"")),12)="subscription",LOWER(TRIM($F353&amp;""))="membership"),"",IF(OR(AND($H353&lt;&gt;"",$H353=0),LEFT(LOWER(TRIM($F353&amp;"")),9)="free game",LOWER(TRIM($F353&amp;""))="free",LOWER(TRIM($F353&amp;""))="free entry"),IF(ISNUMBER($G353),IF(ISNUMBER(SEARCH("non",LOWER($E353&amp;""))),$G353*0.85,$G353),"N/A"),IF($G353="","",IFERROR(IF(ISNUMBER(SEARCH("non",LOWER($E353&amp;""))),$G353*0.85,$G353),"")))))</ns0:f>
        <ns0:v/>
      </ns0:c>
      <ns0:c r="O353" s="987" t="str">
        <ns0:f>IF(COUNTA($A353:$M353)=0,"",IF(OR(LEFT(LOWER(TRIM($F353&amp;"")),12)="subscription",LOWER(TRIM($F353&amp;""))="membership"),"",IF(OR(AND($H353&lt;&gt;"",$H353=0),LEFT(LOWER(TRIM($F353&amp;"")),9)="free game",LOWER(TRIM($F353&amp;""))="free",LOWER(TRIM($F353&amp;""))="free entry"),IF(OR(NOT(ISNUMBER($N353)),NOT(ISNUMBER($I353)),$I353=0),"N/A",IFERROR($N353/$I353,"N/A")),IF(OR($N353="",$I353="",$I353=0),"",IFERROR($N353/$I353,"")))))</ns0:f>
        <ns0:v/>
      </ns0:c>
      <ns0:c r="P353" s="987">
        <ns0:f>IF(COUNTA($A353:$M353)=0,"",IF(OR(LEFT(LOWER(TRIM($F353&amp;"")),12)="subscription",LOWER(TRIM($F353&amp;""))="membership"),"",IF(LOWER(TRIM($D353&amp;""))="estimate","N/A",IF(LOWER($L353&amp;"")="yes",0,IF(OR(AND($H353&lt;&gt;"",$H353=0),LEFT(LOWER(TRIM($F353&amp;"")),9)="free game",LOWER(TRIM($F353&amp;""))="free",LOWER(TRIM($F353&amp;""))="free entry"),IF(ISNUMBER($K353),$K353,""),IF($K353&lt;&gt;"",$K353,""))))))</ns0:f>
      </ns0:c>
      <ns0:c r="Q353" s="114">
        <ns0:f>IF(COUNTA($A353:$M353)=0,"",IF(OR($U353="Subscription",$U353=""),"",IF($U353="Estimate","N/A",IF($U353="Profit",ROUND(IFERROR($P353,0)-IFERROR($H353,0),2),0))))</ns0:f>
      </ns0:c>
      <ns0:c r="R353" s="114">
        <ns0:f>IF(COUNTA($A353:$M353)=0,"",IF(OR($U353="Subscription",$U353=""),"",IF($U353="Estimate","N/A",IF($U353="Draw",$H353,0))))</ns0:f>
      </ns0:c>
      <ns0:c r="S353" s="114">
        <ns0:f>IF(COUNTA($A353:$M353)=0,"",IF(OR($U353="Subscription",$U353=""),"",IF($U353="Estimate","N/A",IF($U353="Disqualified",$H353,0))))</ns0:f>
      </ns0:c>
      <ns0:c r="T353" s="955">
        <ns0:f>IF(COUNTA($A353:$M353)=0,"",IF(OR($U353="Subscription",$U353=""),"",IF($U353="Estimate","N/A",IF(OR($U353="Free Game",$U353="Disqualified — Free Game",$H353=0),"N/A",IF($U353="Profit",$Q353/$H353,IF($U353="Disqualified",-$S353/$H353,0))))))</ns0:f>
      </ns0:c>
      <ns0:c r="U353" s="920">
        <ns0:f>IF(COUNTA($A353:$M353)=0,"",IF(OR(LEFT(LOWER(TRIM($F353&amp;"")),12)="subscription",LOWER(TRIM($F353&amp;""))="membership"),"Subscription",IF(LOWER(TRIM($D353&amp;""))="estimate","Estimate",IF(OR(AND($H353&lt;&gt;"",$H353=0),LEFT(LOWER(TRIM($F353&amp;"")),9)="free game",LOWER(TRIM($F353&amp;""))="free",LOWER(TRIM($F353&amp;""))="free entry"),IF(LOWER($L353&amp;"")="yes","Disqualified — Free Game","Free Game"),IF(LOWER($L353&amp;"")="yes","Disqualified",IF($P353="","",IF(ROUND(IFERROR(VALUE($P353),0)-IFERROR(VALUE($H353),0),2)&gt;0,"Profit","Draw")))))))</ns0:f>
      </ns0:c>
      <ns0:c r="V353" s="956" t="str">
        <ns0:f>IF(COUNTA($A353:$M353)=0,"",IF(OR($B353="",$C353="",$U353="Subscription"),"",IFERROR(ROUNDUP(($C353-$B353)/7,0),"")))</ns0:f>
      </ns0:c>
      <ns0:c r="W353" s="114">
        <ns0:f>IF(COUNTA($A353:$M353)=0,"",IF(OR($U353="Subscription",$U353=""),"",IF($U353="Estimate","N/A",IF(OR($U353="Free Game",$U353="Disqualified — Free Game"),0,ROUND(IFERROR($Q353,0)-IFERROR($S353,0),2)))))</ns0:f>
      </ns0:c>
      <ns0:c r="X353" s="956" t="str">
        <ns0:f>IF(COUNTA($A353:$M353)=0,"",IF(OR($U353="Subscription",NOT(ISNUMBER($J353)),NOT(ISNUMBER($I353)),$J353=0,$I353=0,$I353&gt;$J353),"",$J353-$I353))</ns0:f>
      </ns0:c>
      <ns0:c r="Y353" s="955" t="str">
        <ns0:f>IF(COUNTA($A353:$M353)=0,"",IF(OR($U353="Subscription",NOT(ISNUMBER($J353)),$J353=0,$X353=""),"",$X353/$J353))</ns0:f>
      </ns0:c>
      <ns0:c r="Z353" s="957" t="str">
        <ns0:f>IF(COUNTA($A353:$M353)=0,"",Instructions!$B$29+SUM($W$5:W353))</ns0:f>
      </ns0:c>
    </ns0:row>
    <ns0:row r="354" ht="36" customHeight="1">
      <ns0:c r="A354" s="439"/>
      <ns0:c r="B354" s="453"/>
      <ns0:c r="C354" s="453"/>
      <ns0:c r="D354" s="454"/>
      <ns0:c r="E354" s="454"/>
      <ns0:c r="F354" s="454"/>
      <ns0:c r="G354" s="986"/>
      <ns0:c r="H354" s="455"/>
      <ns0:c r="I354" s="456"/>
      <ns0:c r="J354" s="456"/>
      <ns0:c r="K354" s="986"/>
      <ns0:c r="L354" s="454"/>
      <ns0:c r="M354" s="439"/>
      <ns0:c r="N354" s="987" t="str">
        <ns0:f>IF(COUNTA($A354:$M354)=0,"",IF(OR(LEFT(LOWER(TRIM($F354&amp;"")),12)="subscription",LOWER(TRIM($F354&amp;""))="membership"),"",IF(OR(AND($H354&lt;&gt;"",$H354=0),LEFT(LOWER(TRIM($F354&amp;"")),9)="free game",LOWER(TRIM($F354&amp;""))="free",LOWER(TRIM($F354&amp;""))="free entry"),IF(ISNUMBER($G354),IF(ISNUMBER(SEARCH("non",LOWER($E354&amp;""))),$G354*0.85,$G354),"N/A"),IF($G354="","",IFERROR(IF(ISNUMBER(SEARCH("non",LOWER($E354&amp;""))),$G354*0.85,$G354),"")))))</ns0:f>
        <ns0:v/>
      </ns0:c>
      <ns0:c r="O354" s="987" t="str">
        <ns0:f>IF(COUNTA($A354:$M354)=0,"",IF(OR(LEFT(LOWER(TRIM($F354&amp;"")),12)="subscription",LOWER(TRIM($F354&amp;""))="membership"),"",IF(OR(AND($H354&lt;&gt;"",$H354=0),LEFT(LOWER(TRIM($F354&amp;"")),9)="free game",LOWER(TRIM($F354&amp;""))="free",LOWER(TRIM($F354&amp;""))="free entry"),IF(OR(NOT(ISNUMBER($N354)),NOT(ISNUMBER($I354)),$I354=0),"N/A",IFERROR($N354/$I354,"N/A")),IF(OR($N354="",$I354="",$I354=0),"",IFERROR($N354/$I354,"")))))</ns0:f>
        <ns0:v/>
      </ns0:c>
      <ns0:c r="P354" s="987">
        <ns0:f>IF(COUNTA($A354:$M354)=0,"",IF(OR(LEFT(LOWER(TRIM($F354&amp;"")),12)="subscription",LOWER(TRIM($F354&amp;""))="membership"),"",IF(LOWER(TRIM($D354&amp;""))="estimate","N/A",IF(LOWER($L354&amp;"")="yes",0,IF(OR(AND($H354&lt;&gt;"",$H354=0),LEFT(LOWER(TRIM($F354&amp;"")),9)="free game",LOWER(TRIM($F354&amp;""))="free",LOWER(TRIM($F354&amp;""))="free entry"),IF(ISNUMBER($K354),$K354,""),IF($K354&lt;&gt;"",$K354,""))))))</ns0:f>
      </ns0:c>
      <ns0:c r="Q354" s="114">
        <ns0:f>IF(COUNTA($A354:$M354)=0,"",IF(OR($U354="Subscription",$U354=""),"",IF($U354="Estimate","N/A",IF($U354="Profit",ROUND(IFERROR($P354,0)-IFERROR($H354,0),2),0))))</ns0:f>
      </ns0:c>
      <ns0:c r="R354" s="114">
        <ns0:f>IF(COUNTA($A354:$M354)=0,"",IF(OR($U354="Subscription",$U354=""),"",IF($U354="Estimate","N/A",IF($U354="Draw",$H354,0))))</ns0:f>
      </ns0:c>
      <ns0:c r="S354" s="114">
        <ns0:f>IF(COUNTA($A354:$M354)=0,"",IF(OR($U354="Subscription",$U354=""),"",IF($U354="Estimate","N/A",IF($U354="Disqualified",$H354,0))))</ns0:f>
      </ns0:c>
      <ns0:c r="T354" s="955">
        <ns0:f>IF(COUNTA($A354:$M354)=0,"",IF(OR($U354="Subscription",$U354=""),"",IF($U354="Estimate","N/A",IF(OR($U354="Free Game",$U354="Disqualified — Free Game",$H354=0),"N/A",IF($U354="Profit",$Q354/$H354,IF($U354="Disqualified",-$S354/$H354,0))))))</ns0:f>
      </ns0:c>
      <ns0:c r="U354" s="920">
        <ns0:f>IF(COUNTA($A354:$M354)=0,"",IF(OR(LEFT(LOWER(TRIM($F354&amp;"")),12)="subscription",LOWER(TRIM($F354&amp;""))="membership"),"Subscription",IF(LOWER(TRIM($D354&amp;""))="estimate","Estimate",IF(OR(AND($H354&lt;&gt;"",$H354=0),LEFT(LOWER(TRIM($F354&amp;"")),9)="free game",LOWER(TRIM($F354&amp;""))="free",LOWER(TRIM($F354&amp;""))="free entry"),IF(LOWER($L354&amp;"")="yes","Disqualified — Free Game","Free Game"),IF(LOWER($L354&amp;"")="yes","Disqualified",IF($P354="","",IF(ROUND(IFERROR(VALUE($P354),0)-IFERROR(VALUE($H354),0),2)&gt;0,"Profit","Draw")))))))</ns0:f>
      </ns0:c>
      <ns0:c r="V354" s="956" t="str">
        <ns0:f>IF(COUNTA($A354:$M354)=0,"",IF(OR($B354="",$C354="",$U354="Subscription"),"",IFERROR(ROUNDUP(($C354-$B354)/7,0),"")))</ns0:f>
      </ns0:c>
      <ns0:c r="W354" s="114">
        <ns0:f>IF(COUNTA($A354:$M354)=0,"",IF(OR($U354="Subscription",$U354=""),"",IF($U354="Estimate","N/A",IF(OR($U354="Free Game",$U354="Disqualified — Free Game"),0,ROUND(IFERROR($Q354,0)-IFERROR($S354,0),2)))))</ns0:f>
      </ns0:c>
      <ns0:c r="X354" s="956" t="str">
        <ns0:f>IF(COUNTA($A354:$M354)=0,"",IF(OR($U354="Subscription",NOT(ISNUMBER($J354)),NOT(ISNUMBER($I354)),$J354=0,$I354=0,$I354&gt;$J354),"",$J354-$I354))</ns0:f>
      </ns0:c>
      <ns0:c r="Y354" s="955" t="str">
        <ns0:f>IF(COUNTA($A354:$M354)=0,"",IF(OR($U354="Subscription",NOT(ISNUMBER($J354)),$J354=0,$X354=""),"",$X354/$J354))</ns0:f>
      </ns0:c>
      <ns0:c r="Z354" s="957" t="str">
        <ns0:f>IF(COUNTA($A354:$M354)=0,"",Instructions!$B$29+SUM($W$5:W354))</ns0:f>
      </ns0:c>
    </ns0:row>
    <ns0:row r="355" ht="36" customHeight="1">
      <ns0:c r="A355" s="439"/>
      <ns0:c r="B355" s="453"/>
      <ns0:c r="C355" s="453"/>
      <ns0:c r="D355" s="454"/>
      <ns0:c r="E355" s="454"/>
      <ns0:c r="F355" s="454"/>
      <ns0:c r="G355" s="986"/>
      <ns0:c r="H355" s="455"/>
      <ns0:c r="I355" s="456"/>
      <ns0:c r="J355" s="456"/>
      <ns0:c r="K355" s="986"/>
      <ns0:c r="L355" s="454"/>
      <ns0:c r="M355" s="439"/>
      <ns0:c r="N355" s="987" t="str">
        <ns0:f>IF(COUNTA($A355:$M355)=0,"",IF(OR(LEFT(LOWER(TRIM($F355&amp;"")),12)="subscription",LOWER(TRIM($F355&amp;""))="membership"),"",IF(OR(AND($H355&lt;&gt;"",$H355=0),LEFT(LOWER(TRIM($F355&amp;"")),9)="free game",LOWER(TRIM($F355&amp;""))="free",LOWER(TRIM($F355&amp;""))="free entry"),IF(ISNUMBER($G355),IF(ISNUMBER(SEARCH("non",LOWER($E355&amp;""))),$G355*0.85,$G355),"N/A"),IF($G355="","",IFERROR(IF(ISNUMBER(SEARCH("non",LOWER($E355&amp;""))),$G355*0.85,$G355),"")))))</ns0:f>
        <ns0:v/>
      </ns0:c>
      <ns0:c r="O355" s="987" t="str">
        <ns0:f>IF(COUNTA($A355:$M355)=0,"",IF(OR(LEFT(LOWER(TRIM($F355&amp;"")),12)="subscription",LOWER(TRIM($F355&amp;""))="membership"),"",IF(OR(AND($H355&lt;&gt;"",$H355=0),LEFT(LOWER(TRIM($F355&amp;"")),9)="free game",LOWER(TRIM($F355&amp;""))="free",LOWER(TRIM($F355&amp;""))="free entry"),IF(OR(NOT(ISNUMBER($N355)),NOT(ISNUMBER($I355)),$I355=0),"N/A",IFERROR($N355/$I355,"N/A")),IF(OR($N355="",$I355="",$I355=0),"",IFERROR($N355/$I355,"")))))</ns0:f>
        <ns0:v/>
      </ns0:c>
      <ns0:c r="P355" s="987">
        <ns0:f>IF(COUNTA($A355:$M355)=0,"",IF(OR(LEFT(LOWER(TRIM($F355&amp;"")),12)="subscription",LOWER(TRIM($F355&amp;""))="membership"),"",IF(LOWER(TRIM($D355&amp;""))="estimate","N/A",IF(LOWER($L355&amp;"")="yes",0,IF(OR(AND($H355&lt;&gt;"",$H355=0),LEFT(LOWER(TRIM($F355&amp;"")),9)="free game",LOWER(TRIM($F355&amp;""))="free",LOWER(TRIM($F355&amp;""))="free entry"),IF(ISNUMBER($K355),$K355,""),IF($K355&lt;&gt;"",$K355,""))))))</ns0:f>
      </ns0:c>
      <ns0:c r="Q355" s="114">
        <ns0:f>IF(COUNTA($A355:$M355)=0,"",IF(OR($U355="Subscription",$U355=""),"",IF($U355="Estimate","N/A",IF($U355="Profit",ROUND(IFERROR($P355,0)-IFERROR($H355,0),2),0))))</ns0:f>
      </ns0:c>
      <ns0:c r="R355" s="114">
        <ns0:f>IF(COUNTA($A355:$M355)=0,"",IF(OR($U355="Subscription",$U355=""),"",IF($U355="Estimate","N/A",IF($U355="Draw",$H355,0))))</ns0:f>
      </ns0:c>
      <ns0:c r="S355" s="114">
        <ns0:f>IF(COUNTA($A355:$M355)=0,"",IF(OR($U355="Subscription",$U355=""),"",IF($U355="Estimate","N/A",IF($U355="Disqualified",$H355,0))))</ns0:f>
      </ns0:c>
      <ns0:c r="T355" s="955">
        <ns0:f>IF(COUNTA($A355:$M355)=0,"",IF(OR($U355="Subscription",$U355=""),"",IF($U355="Estimate","N/A",IF(OR($U355="Free Game",$U355="Disqualified — Free Game",$H355=0),"N/A",IF($U355="Profit",$Q355/$H355,IF($U355="Disqualified",-$S355/$H355,0))))))</ns0:f>
      </ns0:c>
      <ns0:c r="U355" s="920">
        <ns0:f>IF(COUNTA($A355:$M355)=0,"",IF(OR(LEFT(LOWER(TRIM($F355&amp;"")),12)="subscription",LOWER(TRIM($F355&amp;""))="membership"),"Subscription",IF(LOWER(TRIM($D355&amp;""))="estimate","Estimate",IF(OR(AND($H355&lt;&gt;"",$H355=0),LEFT(LOWER(TRIM($F355&amp;"")),9)="free game",LOWER(TRIM($F355&amp;""))="free",LOWER(TRIM($F355&amp;""))="free entry"),IF(LOWER($L355&amp;"")="yes","Disqualified — Free Game","Free Game"),IF(LOWER($L355&amp;"")="yes","Disqualified",IF($P355="","",IF(ROUND(IFERROR(VALUE($P355),0)-IFERROR(VALUE($H355),0),2)&gt;0,"Profit","Draw")))))))</ns0:f>
      </ns0:c>
      <ns0:c r="V355" s="956" t="str">
        <ns0:f>IF(COUNTA($A355:$M355)=0,"",IF(OR($B355="",$C355="",$U355="Subscription"),"",IFERROR(ROUNDUP(($C355-$B355)/7,0),"")))</ns0:f>
      </ns0:c>
      <ns0:c r="W355" s="114">
        <ns0:f>IF(COUNTA($A355:$M355)=0,"",IF(OR($U355="Subscription",$U355=""),"",IF($U355="Estimate","N/A",IF(OR($U355="Free Game",$U355="Disqualified — Free Game"),0,ROUND(IFERROR($Q355,0)-IFERROR($S355,0),2)))))</ns0:f>
      </ns0:c>
      <ns0:c r="X355" s="956" t="str">
        <ns0:f>IF(COUNTA($A355:$M355)=0,"",IF(OR($U355="Subscription",NOT(ISNUMBER($J355)),NOT(ISNUMBER($I355)),$J355=0,$I355=0,$I355&gt;$J355),"",$J355-$I355))</ns0:f>
      </ns0:c>
      <ns0:c r="Y355" s="955" t="str">
        <ns0:f>IF(COUNTA($A355:$M355)=0,"",IF(OR($U355="Subscription",NOT(ISNUMBER($J355)),$J355=0,$X355=""),"",$X355/$J355))</ns0:f>
      </ns0:c>
      <ns0:c r="Z355" s="957" t="str">
        <ns0:f>IF(COUNTA($A355:$M355)=0,"",Instructions!$B$29+SUM($W$5:W355))</ns0:f>
      </ns0:c>
    </ns0:row>
    <ns0:row r="356" ht="36" customHeight="1">
      <ns0:c r="A356" s="439"/>
      <ns0:c r="B356" s="453"/>
      <ns0:c r="C356" s="453"/>
      <ns0:c r="D356" s="454"/>
      <ns0:c r="E356" s="454"/>
      <ns0:c r="F356" s="454"/>
      <ns0:c r="G356" s="986"/>
      <ns0:c r="H356" s="455"/>
      <ns0:c r="I356" s="456"/>
      <ns0:c r="J356" s="456"/>
      <ns0:c r="K356" s="986"/>
      <ns0:c r="L356" s="454"/>
      <ns0:c r="M356" s="439"/>
      <ns0:c r="N356" s="987" t="str">
        <ns0:f>IF(COUNTA($A356:$M356)=0,"",IF(OR(LEFT(LOWER(TRIM($F356&amp;"")),12)="subscription",LOWER(TRIM($F356&amp;""))="membership"),"",IF(OR(AND($H356&lt;&gt;"",$H356=0),LEFT(LOWER(TRIM($F356&amp;"")),9)="free game",LOWER(TRIM($F356&amp;""))="free",LOWER(TRIM($F356&amp;""))="free entry"),IF(ISNUMBER($G356),IF(ISNUMBER(SEARCH("non",LOWER($E356&amp;""))),$G356*0.85,$G356),"N/A"),IF($G356="","",IFERROR(IF(ISNUMBER(SEARCH("non",LOWER($E356&amp;""))),$G356*0.85,$G356),"")))))</ns0:f>
        <ns0:v/>
      </ns0:c>
      <ns0:c r="O356" s="987" t="str">
        <ns0:f>IF(COUNTA($A356:$M356)=0,"",IF(OR(LEFT(LOWER(TRIM($F356&amp;"")),12)="subscription",LOWER(TRIM($F356&amp;""))="membership"),"",IF(OR(AND($H356&lt;&gt;"",$H356=0),LEFT(LOWER(TRIM($F356&amp;"")),9)="free game",LOWER(TRIM($F356&amp;""))="free",LOWER(TRIM($F356&amp;""))="free entry"),IF(OR(NOT(ISNUMBER($N356)),NOT(ISNUMBER($I356)),$I356=0),"N/A",IFERROR($N356/$I356,"N/A")),IF(OR($N356="",$I356="",$I356=0),"",IFERROR($N356/$I356,"")))))</ns0:f>
        <ns0:v/>
      </ns0:c>
      <ns0:c r="P356" s="987">
        <ns0:f>IF(COUNTA($A356:$M356)=0,"",IF(OR(LEFT(LOWER(TRIM($F356&amp;"")),12)="subscription",LOWER(TRIM($F356&amp;""))="membership"),"",IF(LOWER(TRIM($D356&amp;""))="estimate","N/A",IF(LOWER($L356&amp;"")="yes",0,IF(OR(AND($H356&lt;&gt;"",$H356=0),LEFT(LOWER(TRIM($F356&amp;"")),9)="free game",LOWER(TRIM($F356&amp;""))="free",LOWER(TRIM($F356&amp;""))="free entry"),IF(ISNUMBER($K356),$K356,""),IF($K356&lt;&gt;"",$K356,""))))))</ns0:f>
      </ns0:c>
      <ns0:c r="Q356" s="114">
        <ns0:f>IF(COUNTA($A356:$M356)=0,"",IF(OR($U356="Subscription",$U356=""),"",IF($U356="Estimate","N/A",IF($U356="Profit",ROUND(IFERROR($P356,0)-IFERROR($H356,0),2),0))))</ns0:f>
      </ns0:c>
      <ns0:c r="R356" s="114">
        <ns0:f>IF(COUNTA($A356:$M356)=0,"",IF(OR($U356="Subscription",$U356=""),"",IF($U356="Estimate","N/A",IF($U356="Draw",$H356,0))))</ns0:f>
      </ns0:c>
      <ns0:c r="S356" s="114">
        <ns0:f>IF(COUNTA($A356:$M356)=0,"",IF(OR($U356="Subscription",$U356=""),"",IF($U356="Estimate","N/A",IF($U356="Disqualified",$H356,0))))</ns0:f>
      </ns0:c>
      <ns0:c r="T356" s="955">
        <ns0:f>IF(COUNTA($A356:$M356)=0,"",IF(OR($U356="Subscription",$U356=""),"",IF($U356="Estimate","N/A",IF(OR($U356="Free Game",$U356="Disqualified — Free Game",$H356=0),"N/A",IF($U356="Profit",$Q356/$H356,IF($U356="Disqualified",-$S356/$H356,0))))))</ns0:f>
      </ns0:c>
      <ns0:c r="U356" s="920">
        <ns0:f>IF(COUNTA($A356:$M356)=0,"",IF(OR(LEFT(LOWER(TRIM($F356&amp;"")),12)="subscription",LOWER(TRIM($F356&amp;""))="membership"),"Subscription",IF(LOWER(TRIM($D356&amp;""))="estimate","Estimate",IF(OR(AND($H356&lt;&gt;"",$H356=0),LEFT(LOWER(TRIM($F356&amp;"")),9)="free game",LOWER(TRIM($F356&amp;""))="free",LOWER(TRIM($F356&amp;""))="free entry"),IF(LOWER($L356&amp;"")="yes","Disqualified — Free Game","Free Game"),IF(LOWER($L356&amp;"")="yes","Disqualified",IF($P356="","",IF(ROUND(IFERROR(VALUE($P356),0)-IFERROR(VALUE($H356),0),2)&gt;0,"Profit","Draw")))))))</ns0:f>
      </ns0:c>
      <ns0:c r="V356" s="956" t="str">
        <ns0:f>IF(COUNTA($A356:$M356)=0,"",IF(OR($B356="",$C356="",$U356="Subscription"),"",IFERROR(ROUNDUP(($C356-$B356)/7,0),"")))</ns0:f>
      </ns0:c>
      <ns0:c r="W356" s="114">
        <ns0:f>IF(COUNTA($A356:$M356)=0,"",IF(OR($U356="Subscription",$U356=""),"",IF($U356="Estimate","N/A",IF(OR($U356="Free Game",$U356="Disqualified — Free Game"),0,ROUND(IFERROR($Q356,0)-IFERROR($S356,0),2)))))</ns0:f>
      </ns0:c>
      <ns0:c r="X356" s="956" t="str">
        <ns0:f>IF(COUNTA($A356:$M356)=0,"",IF(OR($U356="Subscription",NOT(ISNUMBER($J356)),NOT(ISNUMBER($I356)),$J356=0,$I356=0,$I356&gt;$J356),"",$J356-$I356))</ns0:f>
      </ns0:c>
      <ns0:c r="Y356" s="955" t="str">
        <ns0:f>IF(COUNTA($A356:$M356)=0,"",IF(OR($U356="Subscription",NOT(ISNUMBER($J356)),$J356=0,$X356=""),"",$X356/$J356))</ns0:f>
      </ns0:c>
      <ns0:c r="Z356" s="957" t="str">
        <ns0:f>IF(COUNTA($A356:$M356)=0,"",Instructions!$B$29+SUM($W$5:W356))</ns0:f>
      </ns0:c>
    </ns0:row>
    <ns0:row r="357" ht="36" customHeight="1">
      <ns0:c r="A357" s="439"/>
      <ns0:c r="B357" s="453"/>
      <ns0:c r="C357" s="453"/>
      <ns0:c r="D357" s="454"/>
      <ns0:c r="E357" s="454"/>
      <ns0:c r="F357" s="454"/>
      <ns0:c r="G357" s="986"/>
      <ns0:c r="H357" s="455"/>
      <ns0:c r="I357" s="456"/>
      <ns0:c r="J357" s="456"/>
      <ns0:c r="K357" s="986"/>
      <ns0:c r="L357" s="454"/>
      <ns0:c r="M357" s="439"/>
      <ns0:c r="N357" s="987" t="str">
        <ns0:f>IF(COUNTA($A357:$M357)=0,"",IF(OR(LEFT(LOWER(TRIM($F357&amp;"")),12)="subscription",LOWER(TRIM($F357&amp;""))="membership"),"",IF(OR(AND($H357&lt;&gt;"",$H357=0),LEFT(LOWER(TRIM($F357&amp;"")),9)="free game",LOWER(TRIM($F357&amp;""))="free",LOWER(TRIM($F357&amp;""))="free entry"),IF(ISNUMBER($G357),IF(ISNUMBER(SEARCH("non",LOWER($E357&amp;""))),$G357*0.85,$G357),"N/A"),IF($G357="","",IFERROR(IF(ISNUMBER(SEARCH("non",LOWER($E357&amp;""))),$G357*0.85,$G357),"")))))</ns0:f>
        <ns0:v/>
      </ns0:c>
      <ns0:c r="O357" s="987" t="str">
        <ns0:f>IF(COUNTA($A357:$M357)=0,"",IF(OR(LEFT(LOWER(TRIM($F357&amp;"")),12)="subscription",LOWER(TRIM($F357&amp;""))="membership"),"",IF(OR(AND($H357&lt;&gt;"",$H357=0),LEFT(LOWER(TRIM($F357&amp;"")),9)="free game",LOWER(TRIM($F357&amp;""))="free",LOWER(TRIM($F357&amp;""))="free entry"),IF(OR(NOT(ISNUMBER($N357)),NOT(ISNUMBER($I357)),$I357=0),"N/A",IFERROR($N357/$I357,"N/A")),IF(OR($N357="",$I357="",$I357=0),"",IFERROR($N357/$I357,"")))))</ns0:f>
        <ns0:v/>
      </ns0:c>
      <ns0:c r="P357" s="987">
        <ns0:f>IF(COUNTA($A357:$M357)=0,"",IF(OR(LEFT(LOWER(TRIM($F357&amp;"")),12)="subscription",LOWER(TRIM($F357&amp;""))="membership"),"",IF(LOWER(TRIM($D357&amp;""))="estimate","N/A",IF(LOWER($L357&amp;"")="yes",0,IF(OR(AND($H357&lt;&gt;"",$H357=0),LEFT(LOWER(TRIM($F357&amp;"")),9)="free game",LOWER(TRIM($F357&amp;""))="free",LOWER(TRIM($F357&amp;""))="free entry"),IF(ISNUMBER($K357),$K357,""),IF($K357&lt;&gt;"",$K357,""))))))</ns0:f>
      </ns0:c>
      <ns0:c r="Q357" s="114">
        <ns0:f>IF(COUNTA($A357:$M357)=0,"",IF(OR($U357="Subscription",$U357=""),"",IF($U357="Estimate","N/A",IF($U357="Profit",ROUND(IFERROR($P357,0)-IFERROR($H357,0),2),0))))</ns0:f>
      </ns0:c>
      <ns0:c r="R357" s="114">
        <ns0:f>IF(COUNTA($A357:$M357)=0,"",IF(OR($U357="Subscription",$U357=""),"",IF($U357="Estimate","N/A",IF($U357="Draw",$H357,0))))</ns0:f>
      </ns0:c>
      <ns0:c r="S357" s="114">
        <ns0:f>IF(COUNTA($A357:$M357)=0,"",IF(OR($U357="Subscription",$U357=""),"",IF($U357="Estimate","N/A",IF($U357="Disqualified",$H357,0))))</ns0:f>
      </ns0:c>
      <ns0:c r="T357" s="955">
        <ns0:f>IF(COUNTA($A357:$M357)=0,"",IF(OR($U357="Subscription",$U357=""),"",IF($U357="Estimate","N/A",IF(OR($U357="Free Game",$U357="Disqualified — Free Game",$H357=0),"N/A",IF($U357="Profit",$Q357/$H357,IF($U357="Disqualified",-$S357/$H357,0))))))</ns0:f>
      </ns0:c>
      <ns0:c r="U357" s="920">
        <ns0:f>IF(COUNTA($A357:$M357)=0,"",IF(OR(LEFT(LOWER(TRIM($F357&amp;"")),12)="subscription",LOWER(TRIM($F357&amp;""))="membership"),"Subscription",IF(LOWER(TRIM($D357&amp;""))="estimate","Estimate",IF(OR(AND($H357&lt;&gt;"",$H357=0),LEFT(LOWER(TRIM($F357&amp;"")),9)="free game",LOWER(TRIM($F357&amp;""))="free",LOWER(TRIM($F357&amp;""))="free entry"),IF(LOWER($L357&amp;"")="yes","Disqualified — Free Game","Free Game"),IF(LOWER($L357&amp;"")="yes","Disqualified",IF($P357="","",IF(ROUND(IFERROR(VALUE($P357),0)-IFERROR(VALUE($H357),0),2)&gt;0,"Profit","Draw")))))))</ns0:f>
      </ns0:c>
      <ns0:c r="V357" s="956" t="str">
        <ns0:f>IF(COUNTA($A357:$M357)=0,"",IF(OR($B357="",$C357="",$U357="Subscription"),"",IFERROR(ROUNDUP(($C357-$B357)/7,0),"")))</ns0:f>
      </ns0:c>
      <ns0:c r="W357" s="114">
        <ns0:f>IF(COUNTA($A357:$M357)=0,"",IF(OR($U357="Subscription",$U357=""),"",IF($U357="Estimate","N/A",IF(OR($U357="Free Game",$U357="Disqualified — Free Game"),0,ROUND(IFERROR($Q357,0)-IFERROR($S357,0),2)))))</ns0:f>
      </ns0:c>
      <ns0:c r="X357" s="956" t="str">
        <ns0:f>IF(COUNTA($A357:$M357)=0,"",IF(OR($U357="Subscription",NOT(ISNUMBER($J357)),NOT(ISNUMBER($I357)),$J357=0,$I357=0,$I357&gt;$J357),"",$J357-$I357))</ns0:f>
      </ns0:c>
      <ns0:c r="Y357" s="955" t="str">
        <ns0:f>IF(COUNTA($A357:$M357)=0,"",IF(OR($U357="Subscription",NOT(ISNUMBER($J357)),$J357=0,$X357=""),"",$X357/$J357))</ns0:f>
      </ns0:c>
      <ns0:c r="Z357" s="957" t="str">
        <ns0:f>IF(COUNTA($A357:$M357)=0,"",Instructions!$B$29+SUM($W$5:W357))</ns0:f>
      </ns0:c>
    </ns0:row>
    <ns0:row r="358" ht="36" customHeight="1">
      <ns0:c r="A358" s="439"/>
      <ns0:c r="B358" s="453"/>
      <ns0:c r="C358" s="453"/>
      <ns0:c r="D358" s="454"/>
      <ns0:c r="E358" s="454"/>
      <ns0:c r="F358" s="454"/>
      <ns0:c r="G358" s="986"/>
      <ns0:c r="H358" s="455"/>
      <ns0:c r="I358" s="456"/>
      <ns0:c r="J358" s="456"/>
      <ns0:c r="K358" s="986"/>
      <ns0:c r="L358" s="454"/>
      <ns0:c r="M358" s="439"/>
      <ns0:c r="N358" s="987" t="str">
        <ns0:f>IF(COUNTA($A358:$M358)=0,"",IF(OR(LEFT(LOWER(TRIM($F358&amp;"")),12)="subscription",LOWER(TRIM($F358&amp;""))="membership"),"",IF(OR(AND($H358&lt;&gt;"",$H358=0),LEFT(LOWER(TRIM($F358&amp;"")),9)="free game",LOWER(TRIM($F358&amp;""))="free",LOWER(TRIM($F358&amp;""))="free entry"),IF(ISNUMBER($G358),IF(ISNUMBER(SEARCH("non",LOWER($E358&amp;""))),$G358*0.85,$G358),"N/A"),IF($G358="","",IFERROR(IF(ISNUMBER(SEARCH("non",LOWER($E358&amp;""))),$G358*0.85,$G358),"")))))</ns0:f>
        <ns0:v/>
      </ns0:c>
      <ns0:c r="O358" s="987" t="str">
        <ns0:f>IF(COUNTA($A358:$M358)=0,"",IF(OR(LEFT(LOWER(TRIM($F358&amp;"")),12)="subscription",LOWER(TRIM($F358&amp;""))="membership"),"",IF(OR(AND($H358&lt;&gt;"",$H358=0),LEFT(LOWER(TRIM($F358&amp;"")),9)="free game",LOWER(TRIM($F358&amp;""))="free",LOWER(TRIM($F358&amp;""))="free entry"),IF(OR(NOT(ISNUMBER($N358)),NOT(ISNUMBER($I358)),$I358=0),"N/A",IFERROR($N358/$I358,"N/A")),IF(OR($N358="",$I358="",$I358=0),"",IFERROR($N358/$I358,"")))))</ns0:f>
        <ns0:v/>
      </ns0:c>
      <ns0:c r="P358" s="987">
        <ns0:f>IF(COUNTA($A358:$M358)=0,"",IF(OR(LEFT(LOWER(TRIM($F358&amp;"")),12)="subscription",LOWER(TRIM($F358&amp;""))="membership"),"",IF(LOWER(TRIM($D358&amp;""))="estimate","N/A",IF(LOWER($L358&amp;"")="yes",0,IF(OR(AND($H358&lt;&gt;"",$H358=0),LEFT(LOWER(TRIM($F358&amp;"")),9)="free game",LOWER(TRIM($F358&amp;""))="free",LOWER(TRIM($F358&amp;""))="free entry"),IF(ISNUMBER($K358),$K358,""),IF($K358&lt;&gt;"",$K358,""))))))</ns0:f>
      </ns0:c>
      <ns0:c r="Q358" s="114">
        <ns0:f>IF(COUNTA($A358:$M358)=0,"",IF(OR($U358="Subscription",$U358=""),"",IF($U358="Estimate","N/A",IF($U358="Profit",ROUND(IFERROR($P358,0)-IFERROR($H358,0),2),0))))</ns0:f>
      </ns0:c>
      <ns0:c r="R358" s="114">
        <ns0:f>IF(COUNTA($A358:$M358)=0,"",IF(OR($U358="Subscription",$U358=""),"",IF($U358="Estimate","N/A",IF($U358="Draw",$H358,0))))</ns0:f>
      </ns0:c>
      <ns0:c r="S358" s="114">
        <ns0:f>IF(COUNTA($A358:$M358)=0,"",IF(OR($U358="Subscription",$U358=""),"",IF($U358="Estimate","N/A",IF($U358="Disqualified",$H358,0))))</ns0:f>
      </ns0:c>
      <ns0:c r="T358" s="955">
        <ns0:f>IF(COUNTA($A358:$M358)=0,"",IF(OR($U358="Subscription",$U358=""),"",IF($U358="Estimate","N/A",IF(OR($U358="Free Game",$U358="Disqualified — Free Game",$H358=0),"N/A",IF($U358="Profit",$Q358/$H358,IF($U358="Disqualified",-$S358/$H358,0))))))</ns0:f>
      </ns0:c>
      <ns0:c r="U358" s="920">
        <ns0:f>IF(COUNTA($A358:$M358)=0,"",IF(OR(LEFT(LOWER(TRIM($F358&amp;"")),12)="subscription",LOWER(TRIM($F358&amp;""))="membership"),"Subscription",IF(LOWER(TRIM($D358&amp;""))="estimate","Estimate",IF(OR(AND($H358&lt;&gt;"",$H358=0),LEFT(LOWER(TRIM($F358&amp;"")),9)="free game",LOWER(TRIM($F358&amp;""))="free",LOWER(TRIM($F358&amp;""))="free entry"),IF(LOWER($L358&amp;"")="yes","Disqualified — Free Game","Free Game"),IF(LOWER($L358&amp;"")="yes","Disqualified",IF($P358="","",IF(ROUND(IFERROR(VALUE($P358),0)-IFERROR(VALUE($H358),0),2)&gt;0,"Profit","Draw")))))))</ns0:f>
      </ns0:c>
      <ns0:c r="V358" s="956" t="str">
        <ns0:f>IF(COUNTA($A358:$M358)=0,"",IF(OR($B358="",$C358="",$U358="Subscription"),"",IFERROR(ROUNDUP(($C358-$B358)/7,0),"")))</ns0:f>
      </ns0:c>
      <ns0:c r="W358" s="114">
        <ns0:f>IF(COUNTA($A358:$M358)=0,"",IF(OR($U358="Subscription",$U358=""),"",IF($U358="Estimate","N/A",IF(OR($U358="Free Game",$U358="Disqualified — Free Game"),0,ROUND(IFERROR($Q358,0)-IFERROR($S358,0),2)))))</ns0:f>
      </ns0:c>
      <ns0:c r="X358" s="956" t="str">
        <ns0:f>IF(COUNTA($A358:$M358)=0,"",IF(OR($U358="Subscription",NOT(ISNUMBER($J358)),NOT(ISNUMBER($I358)),$J358=0,$I358=0,$I358&gt;$J358),"",$J358-$I358))</ns0:f>
      </ns0:c>
      <ns0:c r="Y358" s="955" t="str">
        <ns0:f>IF(COUNTA($A358:$M358)=0,"",IF(OR($U358="Subscription",NOT(ISNUMBER($J358)),$J358=0,$X358=""),"",$X358/$J358))</ns0:f>
      </ns0:c>
      <ns0:c r="Z358" s="957" t="str">
        <ns0:f>IF(COUNTA($A358:$M358)=0,"",Instructions!$B$29+SUM($W$5:W358))</ns0:f>
      </ns0:c>
    </ns0:row>
    <ns0:row r="359" ht="36" customHeight="1">
      <ns0:c r="A359" s="439"/>
      <ns0:c r="B359" s="453"/>
      <ns0:c r="C359" s="453"/>
      <ns0:c r="D359" s="454"/>
      <ns0:c r="E359" s="454"/>
      <ns0:c r="F359" s="454"/>
      <ns0:c r="G359" s="986"/>
      <ns0:c r="H359" s="455"/>
      <ns0:c r="I359" s="456"/>
      <ns0:c r="J359" s="456"/>
      <ns0:c r="K359" s="986"/>
      <ns0:c r="L359" s="454"/>
      <ns0:c r="M359" s="439"/>
      <ns0:c r="N359" s="987" t="str">
        <ns0:f>IF(COUNTA($A359:$M359)=0,"",IF(OR(LEFT(LOWER(TRIM($F359&amp;"")),12)="subscription",LOWER(TRIM($F359&amp;""))="membership"),"",IF(OR(AND($H359&lt;&gt;"",$H359=0),LEFT(LOWER(TRIM($F359&amp;"")),9)="free game",LOWER(TRIM($F359&amp;""))="free",LOWER(TRIM($F359&amp;""))="free entry"),IF(ISNUMBER($G359),IF(ISNUMBER(SEARCH("non",LOWER($E359&amp;""))),$G359*0.85,$G359),"N/A"),IF($G359="","",IFERROR(IF(ISNUMBER(SEARCH("non",LOWER($E359&amp;""))),$G359*0.85,$G359),"")))))</ns0:f>
        <ns0:v/>
      </ns0:c>
      <ns0:c r="O359" s="987" t="str">
        <ns0:f>IF(COUNTA($A359:$M359)=0,"",IF(OR(LEFT(LOWER(TRIM($F359&amp;"")),12)="subscription",LOWER(TRIM($F359&amp;""))="membership"),"",IF(OR(AND($H359&lt;&gt;"",$H359=0),LEFT(LOWER(TRIM($F359&amp;"")),9)="free game",LOWER(TRIM($F359&amp;""))="free",LOWER(TRIM($F359&amp;""))="free entry"),IF(OR(NOT(ISNUMBER($N359)),NOT(ISNUMBER($I359)),$I359=0),"N/A",IFERROR($N359/$I359,"N/A")),IF(OR($N359="",$I359="",$I359=0),"",IFERROR($N359/$I359,"")))))</ns0:f>
        <ns0:v/>
      </ns0:c>
      <ns0:c r="P359" s="987">
        <ns0:f>IF(COUNTA($A359:$M359)=0,"",IF(OR(LEFT(LOWER(TRIM($F359&amp;"")),12)="subscription",LOWER(TRIM($F359&amp;""))="membership"),"",IF(LOWER(TRIM($D359&amp;""))="estimate","N/A",IF(LOWER($L359&amp;"")="yes",0,IF(OR(AND($H359&lt;&gt;"",$H359=0),LEFT(LOWER(TRIM($F359&amp;"")),9)="free game",LOWER(TRIM($F359&amp;""))="free",LOWER(TRIM($F359&amp;""))="free entry"),IF(ISNUMBER($K359),$K359,""),IF($K359&lt;&gt;"",$K359,""))))))</ns0:f>
      </ns0:c>
      <ns0:c r="Q359" s="114">
        <ns0:f>IF(COUNTA($A359:$M359)=0,"",IF(OR($U359="Subscription",$U359=""),"",IF($U359="Estimate","N/A",IF($U359="Profit",ROUND(IFERROR($P359,0)-IFERROR($H359,0),2),0))))</ns0:f>
      </ns0:c>
      <ns0:c r="R359" s="114">
        <ns0:f>IF(COUNTA($A359:$M359)=0,"",IF(OR($U359="Subscription",$U359=""),"",IF($U359="Estimate","N/A",IF($U359="Draw",$H359,0))))</ns0:f>
      </ns0:c>
      <ns0:c r="S359" s="114">
        <ns0:f>IF(COUNTA($A359:$M359)=0,"",IF(OR($U359="Subscription",$U359=""),"",IF($U359="Estimate","N/A",IF($U359="Disqualified",$H359,0))))</ns0:f>
      </ns0:c>
      <ns0:c r="T359" s="955">
        <ns0:f>IF(COUNTA($A359:$M359)=0,"",IF(OR($U359="Subscription",$U359=""),"",IF($U359="Estimate","N/A",IF(OR($U359="Free Game",$U359="Disqualified — Free Game",$H359=0),"N/A",IF($U359="Profit",$Q359/$H359,IF($U359="Disqualified",-$S359/$H359,0))))))</ns0:f>
      </ns0:c>
      <ns0:c r="U359" s="920">
        <ns0:f>IF(COUNTA($A359:$M359)=0,"",IF(OR(LEFT(LOWER(TRIM($F359&amp;"")),12)="subscription",LOWER(TRIM($F359&amp;""))="membership"),"Subscription",IF(LOWER(TRIM($D359&amp;""))="estimate","Estimate",IF(OR(AND($H359&lt;&gt;"",$H359=0),LEFT(LOWER(TRIM($F359&amp;"")),9)="free game",LOWER(TRIM($F359&amp;""))="free",LOWER(TRIM($F359&amp;""))="free entry"),IF(LOWER($L359&amp;"")="yes","Disqualified — Free Game","Free Game"),IF(LOWER($L359&amp;"")="yes","Disqualified",IF($P359="","",IF(ROUND(IFERROR(VALUE($P359),0)-IFERROR(VALUE($H359),0),2)&gt;0,"Profit","Draw")))))))</ns0:f>
      </ns0:c>
      <ns0:c r="V359" s="956" t="str">
        <ns0:f>IF(COUNTA($A359:$M359)=0,"",IF(OR($B359="",$C359="",$U359="Subscription"),"",IFERROR(ROUNDUP(($C359-$B359)/7,0),"")))</ns0:f>
      </ns0:c>
      <ns0:c r="W359" s="114">
        <ns0:f>IF(COUNTA($A359:$M359)=0,"",IF(OR($U359="Subscription",$U359=""),"",IF($U359="Estimate","N/A",IF(OR($U359="Free Game",$U359="Disqualified — Free Game"),0,ROUND(IFERROR($Q359,0)-IFERROR($S359,0),2)))))</ns0:f>
      </ns0:c>
      <ns0:c r="X359" s="956" t="str">
        <ns0:f>IF(COUNTA($A359:$M359)=0,"",IF(OR($U359="Subscription",NOT(ISNUMBER($J359)),NOT(ISNUMBER($I359)),$J359=0,$I359=0,$I359&gt;$J359),"",$J359-$I359))</ns0:f>
      </ns0:c>
      <ns0:c r="Y359" s="955" t="str">
        <ns0:f>IF(COUNTA($A359:$M359)=0,"",IF(OR($U359="Subscription",NOT(ISNUMBER($J359)),$J359=0,$X359=""),"",$X359/$J359))</ns0:f>
      </ns0:c>
      <ns0:c r="Z359" s="957" t="str">
        <ns0:f>IF(COUNTA($A359:$M359)=0,"",Instructions!$B$29+SUM($W$5:W359))</ns0:f>
      </ns0:c>
    </ns0:row>
    <ns0:row r="360" ht="36" customHeight="1">
      <ns0:c r="A360" s="439"/>
      <ns0:c r="B360" s="453"/>
      <ns0:c r="C360" s="453"/>
      <ns0:c r="D360" s="454"/>
      <ns0:c r="E360" s="454"/>
      <ns0:c r="F360" s="454"/>
      <ns0:c r="G360" s="986"/>
      <ns0:c r="H360" s="455"/>
      <ns0:c r="I360" s="456"/>
      <ns0:c r="J360" s="456"/>
      <ns0:c r="K360" s="986"/>
      <ns0:c r="L360" s="454"/>
      <ns0:c r="M360" s="439"/>
      <ns0:c r="N360" s="987" t="str">
        <ns0:f>IF(COUNTA($A360:$M360)=0,"",IF(OR(LEFT(LOWER(TRIM($F360&amp;"")),12)="subscription",LOWER(TRIM($F360&amp;""))="membership"),"",IF(OR(AND($H360&lt;&gt;"",$H360=0),LEFT(LOWER(TRIM($F360&amp;"")),9)="free game",LOWER(TRIM($F360&amp;""))="free",LOWER(TRIM($F360&amp;""))="free entry"),IF(ISNUMBER($G360),IF(ISNUMBER(SEARCH("non",LOWER($E360&amp;""))),$G360*0.85,$G360),"N/A"),IF($G360="","",IFERROR(IF(ISNUMBER(SEARCH("non",LOWER($E360&amp;""))),$G360*0.85,$G360),"")))))</ns0:f>
        <ns0:v/>
      </ns0:c>
      <ns0:c r="O360" s="987" t="str">
        <ns0:f>IF(COUNTA($A360:$M360)=0,"",IF(OR(LEFT(LOWER(TRIM($F360&amp;"")),12)="subscription",LOWER(TRIM($F360&amp;""))="membership"),"",IF(OR(AND($H360&lt;&gt;"",$H360=0),LEFT(LOWER(TRIM($F360&amp;"")),9)="free game",LOWER(TRIM($F360&amp;""))="free",LOWER(TRIM($F360&amp;""))="free entry"),IF(OR(NOT(ISNUMBER($N360)),NOT(ISNUMBER($I360)),$I360=0),"N/A",IFERROR($N360/$I360,"N/A")),IF(OR($N360="",$I360="",$I360=0),"",IFERROR($N360/$I360,"")))))</ns0:f>
        <ns0:v/>
      </ns0:c>
      <ns0:c r="P360" s="987">
        <ns0:f>IF(COUNTA($A360:$M360)=0,"",IF(OR(LEFT(LOWER(TRIM($F360&amp;"")),12)="subscription",LOWER(TRIM($F360&amp;""))="membership"),"",IF(LOWER(TRIM($D360&amp;""))="estimate","N/A",IF(LOWER($L360&amp;"")="yes",0,IF(OR(AND($H360&lt;&gt;"",$H360=0),LEFT(LOWER(TRIM($F360&amp;"")),9)="free game",LOWER(TRIM($F360&amp;""))="free",LOWER(TRIM($F360&amp;""))="free entry"),IF(ISNUMBER($K360),$K360,""),IF($K360&lt;&gt;"",$K360,""))))))</ns0:f>
      </ns0:c>
      <ns0:c r="Q360" s="114">
        <ns0:f>IF(COUNTA($A360:$M360)=0,"",IF(OR($U360="Subscription",$U360=""),"",IF($U360="Estimate","N/A",IF($U360="Profit",ROUND(IFERROR($P360,0)-IFERROR($H360,0),2),0))))</ns0:f>
      </ns0:c>
      <ns0:c r="R360" s="114">
        <ns0:f>IF(COUNTA($A360:$M360)=0,"",IF(OR($U360="Subscription",$U360=""),"",IF($U360="Estimate","N/A",IF($U360="Draw",$H360,0))))</ns0:f>
      </ns0:c>
      <ns0:c r="S360" s="114">
        <ns0:f>IF(COUNTA($A360:$M360)=0,"",IF(OR($U360="Subscription",$U360=""),"",IF($U360="Estimate","N/A",IF($U360="Disqualified",$H360,0))))</ns0:f>
      </ns0:c>
      <ns0:c r="T360" s="955">
        <ns0:f>IF(COUNTA($A360:$M360)=0,"",IF(OR($U360="Subscription",$U360=""),"",IF($U360="Estimate","N/A",IF(OR($U360="Free Game",$U360="Disqualified — Free Game",$H360=0),"N/A",IF($U360="Profit",$Q360/$H360,IF($U360="Disqualified",-$S360/$H360,0))))))</ns0:f>
      </ns0:c>
      <ns0:c r="U360" s="920">
        <ns0:f>IF(COUNTA($A360:$M360)=0,"",IF(OR(LEFT(LOWER(TRIM($F360&amp;"")),12)="subscription",LOWER(TRIM($F360&amp;""))="membership"),"Subscription",IF(LOWER(TRIM($D360&amp;""))="estimate","Estimate",IF(OR(AND($H360&lt;&gt;"",$H360=0),LEFT(LOWER(TRIM($F360&amp;"")),9)="free game",LOWER(TRIM($F360&amp;""))="free",LOWER(TRIM($F360&amp;""))="free entry"),IF(LOWER($L360&amp;"")="yes","Disqualified — Free Game","Free Game"),IF(LOWER($L360&amp;"")="yes","Disqualified",IF($P360="","",IF(ROUND(IFERROR(VALUE($P360),0)-IFERROR(VALUE($H360),0),2)&gt;0,"Profit","Draw")))))))</ns0:f>
      </ns0:c>
      <ns0:c r="V360" s="956" t="str">
        <ns0:f>IF(COUNTA($A360:$M360)=0,"",IF(OR($B360="",$C360="",$U360="Subscription"),"",IFERROR(ROUNDUP(($C360-$B360)/7,0),"")))</ns0:f>
      </ns0:c>
      <ns0:c r="W360" s="114">
        <ns0:f>IF(COUNTA($A360:$M360)=0,"",IF(OR($U360="Subscription",$U360=""),"",IF($U360="Estimate","N/A",IF(OR($U360="Free Game",$U360="Disqualified — Free Game"),0,ROUND(IFERROR($Q360,0)-IFERROR($S360,0),2)))))</ns0:f>
      </ns0:c>
      <ns0:c r="X360" s="956" t="str">
        <ns0:f>IF(COUNTA($A360:$M360)=0,"",IF(OR($U360="Subscription",NOT(ISNUMBER($J360)),NOT(ISNUMBER($I360)),$J360=0,$I360=0,$I360&gt;$J360),"",$J360-$I360))</ns0:f>
      </ns0:c>
      <ns0:c r="Y360" s="955" t="str">
        <ns0:f>IF(COUNTA($A360:$M360)=0,"",IF(OR($U360="Subscription",NOT(ISNUMBER($J360)),$J360=0,$X360=""),"",$X360/$J360))</ns0:f>
      </ns0:c>
      <ns0:c r="Z360" s="957" t="str">
        <ns0:f>IF(COUNTA($A360:$M360)=0,"",Instructions!$B$29+SUM($W$5:W360))</ns0:f>
      </ns0:c>
    </ns0:row>
    <ns0:row r="361" ht="36" customHeight="1">
      <ns0:c r="A361" s="439"/>
      <ns0:c r="B361" s="453"/>
      <ns0:c r="C361" s="453"/>
      <ns0:c r="D361" s="454"/>
      <ns0:c r="E361" s="454"/>
      <ns0:c r="F361" s="454"/>
      <ns0:c r="G361" s="986"/>
      <ns0:c r="H361" s="455"/>
      <ns0:c r="I361" s="456"/>
      <ns0:c r="J361" s="456"/>
      <ns0:c r="K361" s="986"/>
      <ns0:c r="L361" s="454"/>
      <ns0:c r="M361" s="439"/>
      <ns0:c r="N361" s="987" t="str">
        <ns0:f>IF(COUNTA($A361:$M361)=0,"",IF(OR(LEFT(LOWER(TRIM($F361&amp;"")),12)="subscription",LOWER(TRIM($F361&amp;""))="membership"),"",IF(OR(AND($H361&lt;&gt;"",$H361=0),LEFT(LOWER(TRIM($F361&amp;"")),9)="free game",LOWER(TRIM($F361&amp;""))="free",LOWER(TRIM($F361&amp;""))="free entry"),IF(ISNUMBER($G361),IF(ISNUMBER(SEARCH("non",LOWER($E361&amp;""))),$G361*0.85,$G361),"N/A"),IF($G361="","",IFERROR(IF(ISNUMBER(SEARCH("non",LOWER($E361&amp;""))),$G361*0.85,$G361),"")))))</ns0:f>
        <ns0:v/>
      </ns0:c>
      <ns0:c r="O361" s="987" t="str">
        <ns0:f>IF(COUNTA($A361:$M361)=0,"",IF(OR(LEFT(LOWER(TRIM($F361&amp;"")),12)="subscription",LOWER(TRIM($F361&amp;""))="membership"),"",IF(OR(AND($H361&lt;&gt;"",$H361=0),LEFT(LOWER(TRIM($F361&amp;"")),9)="free game",LOWER(TRIM($F361&amp;""))="free",LOWER(TRIM($F361&amp;""))="free entry"),IF(OR(NOT(ISNUMBER($N361)),NOT(ISNUMBER($I361)),$I361=0),"N/A",IFERROR($N361/$I361,"N/A")),IF(OR($N361="",$I361="",$I361=0),"",IFERROR($N361/$I361,"")))))</ns0:f>
        <ns0:v/>
      </ns0:c>
      <ns0:c r="P361" s="987">
        <ns0:f>IF(COUNTA($A361:$M361)=0,"",IF(OR(LEFT(LOWER(TRIM($F361&amp;"")),12)="subscription",LOWER(TRIM($F361&amp;""))="membership"),"",IF(LOWER(TRIM($D361&amp;""))="estimate","N/A",IF(LOWER($L361&amp;"")="yes",0,IF(OR(AND($H361&lt;&gt;"",$H361=0),LEFT(LOWER(TRIM($F361&amp;"")),9)="free game",LOWER(TRIM($F361&amp;""))="free",LOWER(TRIM($F361&amp;""))="free entry"),IF(ISNUMBER($K361),$K361,""),IF($K361&lt;&gt;"",$K361,""))))))</ns0:f>
      </ns0:c>
      <ns0:c r="Q361" s="114">
        <ns0:f>IF(COUNTA($A361:$M361)=0,"",IF(OR($U361="Subscription",$U361=""),"",IF($U361="Estimate","N/A",IF($U361="Profit",ROUND(IFERROR($P361,0)-IFERROR($H361,0),2),0))))</ns0:f>
      </ns0:c>
      <ns0:c r="R361" s="114">
        <ns0:f>IF(COUNTA($A361:$M361)=0,"",IF(OR($U361="Subscription",$U361=""),"",IF($U361="Estimate","N/A",IF($U361="Draw",$H361,0))))</ns0:f>
      </ns0:c>
      <ns0:c r="S361" s="114">
        <ns0:f>IF(COUNTA($A361:$M361)=0,"",IF(OR($U361="Subscription",$U361=""),"",IF($U361="Estimate","N/A",IF($U361="Disqualified",$H361,0))))</ns0:f>
      </ns0:c>
      <ns0:c r="T361" s="955">
        <ns0:f>IF(COUNTA($A361:$M361)=0,"",IF(OR($U361="Subscription",$U361=""),"",IF($U361="Estimate","N/A",IF(OR($U361="Free Game",$U361="Disqualified — Free Game",$H361=0),"N/A",IF($U361="Profit",$Q361/$H361,IF($U361="Disqualified",-$S361/$H361,0))))))</ns0:f>
      </ns0:c>
      <ns0:c r="U361" s="920">
        <ns0:f>IF(COUNTA($A361:$M361)=0,"",IF(OR(LEFT(LOWER(TRIM($F361&amp;"")),12)="subscription",LOWER(TRIM($F361&amp;""))="membership"),"Subscription",IF(LOWER(TRIM($D361&amp;""))="estimate","Estimate",IF(OR(AND($H361&lt;&gt;"",$H361=0),LEFT(LOWER(TRIM($F361&amp;"")),9)="free game",LOWER(TRIM($F361&amp;""))="free",LOWER(TRIM($F361&amp;""))="free entry"),IF(LOWER($L361&amp;"")="yes","Disqualified — Free Game","Free Game"),IF(LOWER($L361&amp;"")="yes","Disqualified",IF($P361="","",IF(ROUND(IFERROR(VALUE($P361),0)-IFERROR(VALUE($H361),0),2)&gt;0,"Profit","Draw")))))))</ns0:f>
      </ns0:c>
      <ns0:c r="V361" s="956" t="str">
        <ns0:f>IF(COUNTA($A361:$M361)=0,"",IF(OR($B361="",$C361="",$U361="Subscription"),"",IFERROR(ROUNDUP(($C361-$B361)/7,0),"")))</ns0:f>
      </ns0:c>
      <ns0:c r="W361" s="114">
        <ns0:f>IF(COUNTA($A361:$M361)=0,"",IF(OR($U361="Subscription",$U361=""),"",IF($U361="Estimate","N/A",IF(OR($U361="Free Game",$U361="Disqualified — Free Game"),0,ROUND(IFERROR($Q361,0)-IFERROR($S361,0),2)))))</ns0:f>
      </ns0:c>
      <ns0:c r="X361" s="956" t="str">
        <ns0:f>IF(COUNTA($A361:$M361)=0,"",IF(OR($U361="Subscription",NOT(ISNUMBER($J361)),NOT(ISNUMBER($I361)),$J361=0,$I361=0,$I361&gt;$J361),"",$J361-$I361))</ns0:f>
      </ns0:c>
      <ns0:c r="Y361" s="955" t="str">
        <ns0:f>IF(COUNTA($A361:$M361)=0,"",IF(OR($U361="Subscription",NOT(ISNUMBER($J361)),$J361=0,$X361=""),"",$X361/$J361))</ns0:f>
      </ns0:c>
      <ns0:c r="Z361" s="957" t="str">
        <ns0:f>IF(COUNTA($A361:$M361)=0,"",Instructions!$B$29+SUM($W$5:W361))</ns0:f>
      </ns0:c>
    </ns0:row>
    <ns0:row r="362" ht="36" customHeight="1">
      <ns0:c r="A362" s="439"/>
      <ns0:c r="B362" s="453"/>
      <ns0:c r="C362" s="453"/>
      <ns0:c r="D362" s="454"/>
      <ns0:c r="E362" s="454"/>
      <ns0:c r="F362" s="454"/>
      <ns0:c r="G362" s="986"/>
      <ns0:c r="H362" s="455"/>
      <ns0:c r="I362" s="456"/>
      <ns0:c r="J362" s="456"/>
      <ns0:c r="K362" s="986"/>
      <ns0:c r="L362" s="454"/>
      <ns0:c r="M362" s="439"/>
      <ns0:c r="N362" s="987" t="str">
        <ns0:f>IF(COUNTA($A362:$M362)=0,"",IF(OR(LEFT(LOWER(TRIM($F362&amp;"")),12)="subscription",LOWER(TRIM($F362&amp;""))="membership"),"",IF(OR(AND($H362&lt;&gt;"",$H362=0),LEFT(LOWER(TRIM($F362&amp;"")),9)="free game",LOWER(TRIM($F362&amp;""))="free",LOWER(TRIM($F362&amp;""))="free entry"),IF(ISNUMBER($G362),IF(ISNUMBER(SEARCH("non",LOWER($E362&amp;""))),$G362*0.85,$G362),"N/A"),IF($G362="","",IFERROR(IF(ISNUMBER(SEARCH("non",LOWER($E362&amp;""))),$G362*0.85,$G362),"")))))</ns0:f>
        <ns0:v/>
      </ns0:c>
      <ns0:c r="O362" s="987" t="str">
        <ns0:f>IF(COUNTA($A362:$M362)=0,"",IF(OR(LEFT(LOWER(TRIM($F362&amp;"")),12)="subscription",LOWER(TRIM($F362&amp;""))="membership"),"",IF(OR(AND($H362&lt;&gt;"",$H362=0),LEFT(LOWER(TRIM($F362&amp;"")),9)="free game",LOWER(TRIM($F362&amp;""))="free",LOWER(TRIM($F362&amp;""))="free entry"),IF(OR(NOT(ISNUMBER($N362)),NOT(ISNUMBER($I362)),$I362=0),"N/A",IFERROR($N362/$I362,"N/A")),IF(OR($N362="",$I362="",$I362=0),"",IFERROR($N362/$I362,"")))))</ns0:f>
        <ns0:v/>
      </ns0:c>
      <ns0:c r="P362" s="987">
        <ns0:f>IF(COUNTA($A362:$M362)=0,"",IF(OR(LEFT(LOWER(TRIM($F362&amp;"")),12)="subscription",LOWER(TRIM($F362&amp;""))="membership"),"",IF(LOWER(TRIM($D362&amp;""))="estimate","N/A",IF(LOWER($L362&amp;"")="yes",0,IF(OR(AND($H362&lt;&gt;"",$H362=0),LEFT(LOWER(TRIM($F362&amp;"")),9)="free game",LOWER(TRIM($F362&amp;""))="free",LOWER(TRIM($F362&amp;""))="free entry"),IF(ISNUMBER($K362),$K362,""),IF($K362&lt;&gt;"",$K362,""))))))</ns0:f>
      </ns0:c>
      <ns0:c r="Q362" s="114">
        <ns0:f>IF(COUNTA($A362:$M362)=0,"",IF(OR($U362="Subscription",$U362=""),"",IF($U362="Estimate","N/A",IF($U362="Profit",ROUND(IFERROR($P362,0)-IFERROR($H362,0),2),0))))</ns0:f>
      </ns0:c>
      <ns0:c r="R362" s="114">
        <ns0:f>IF(COUNTA($A362:$M362)=0,"",IF(OR($U362="Subscription",$U362=""),"",IF($U362="Estimate","N/A",IF($U362="Draw",$H362,0))))</ns0:f>
      </ns0:c>
      <ns0:c r="S362" s="114">
        <ns0:f>IF(COUNTA($A362:$M362)=0,"",IF(OR($U362="Subscription",$U362=""),"",IF($U362="Estimate","N/A",IF($U362="Disqualified",$H362,0))))</ns0:f>
      </ns0:c>
      <ns0:c r="T362" s="955">
        <ns0:f>IF(COUNTA($A362:$M362)=0,"",IF(OR($U362="Subscription",$U362=""),"",IF($U362="Estimate","N/A",IF(OR($U362="Free Game",$U362="Disqualified — Free Game",$H362=0),"N/A",IF($U362="Profit",$Q362/$H362,IF($U362="Disqualified",-$S362/$H362,0))))))</ns0:f>
      </ns0:c>
      <ns0:c r="U362" s="920">
        <ns0:f>IF(COUNTA($A362:$M362)=0,"",IF(OR(LEFT(LOWER(TRIM($F362&amp;"")),12)="subscription",LOWER(TRIM($F362&amp;""))="membership"),"Subscription",IF(LOWER(TRIM($D362&amp;""))="estimate","Estimate",IF(OR(AND($H362&lt;&gt;"",$H362=0),LEFT(LOWER(TRIM($F362&amp;"")),9)="free game",LOWER(TRIM($F362&amp;""))="free",LOWER(TRIM($F362&amp;""))="free entry"),IF(LOWER($L362&amp;"")="yes","Disqualified — Free Game","Free Game"),IF(LOWER($L362&amp;"")="yes","Disqualified",IF($P362="","",IF(ROUND(IFERROR(VALUE($P362),0)-IFERROR(VALUE($H362),0),2)&gt;0,"Profit","Draw")))))))</ns0:f>
      </ns0:c>
      <ns0:c r="V362" s="956" t="str">
        <ns0:f>IF(COUNTA($A362:$M362)=0,"",IF(OR($B362="",$C362="",$U362="Subscription"),"",IFERROR(ROUNDUP(($C362-$B362)/7,0),"")))</ns0:f>
      </ns0:c>
      <ns0:c r="W362" s="114">
        <ns0:f>IF(COUNTA($A362:$M362)=0,"",IF(OR($U362="Subscription",$U362=""),"",IF($U362="Estimate","N/A",IF(OR($U362="Free Game",$U362="Disqualified — Free Game"),0,ROUND(IFERROR($Q362,0)-IFERROR($S362,0),2)))))</ns0:f>
      </ns0:c>
      <ns0:c r="X362" s="956" t="str">
        <ns0:f>IF(COUNTA($A362:$M362)=0,"",IF(OR($U362="Subscription",NOT(ISNUMBER($J362)),NOT(ISNUMBER($I362)),$J362=0,$I362=0,$I362&gt;$J362),"",$J362-$I362))</ns0:f>
      </ns0:c>
      <ns0:c r="Y362" s="955" t="str">
        <ns0:f>IF(COUNTA($A362:$M362)=0,"",IF(OR($U362="Subscription",NOT(ISNUMBER($J362)),$J362=0,$X362=""),"",$X362/$J362))</ns0:f>
      </ns0:c>
      <ns0:c r="Z362" s="957" t="str">
        <ns0:f>IF(COUNTA($A362:$M362)=0,"",Instructions!$B$29+SUM($W$5:W362))</ns0:f>
      </ns0:c>
    </ns0:row>
    <ns0:row r="363" ht="36" customHeight="1">
      <ns0:c r="A363" s="439"/>
      <ns0:c r="B363" s="453"/>
      <ns0:c r="C363" s="453"/>
      <ns0:c r="D363" s="454"/>
      <ns0:c r="E363" s="454"/>
      <ns0:c r="F363" s="454"/>
      <ns0:c r="G363" s="986"/>
      <ns0:c r="H363" s="455"/>
      <ns0:c r="I363" s="456"/>
      <ns0:c r="J363" s="456"/>
      <ns0:c r="K363" s="986"/>
      <ns0:c r="L363" s="454"/>
      <ns0:c r="M363" s="439"/>
      <ns0:c r="N363" s="987" t="str">
        <ns0:f>IF(COUNTA($A363:$M363)=0,"",IF(OR(LEFT(LOWER(TRIM($F363&amp;"")),12)="subscription",LOWER(TRIM($F363&amp;""))="membership"),"",IF(OR(AND($H363&lt;&gt;"",$H363=0),LEFT(LOWER(TRIM($F363&amp;"")),9)="free game",LOWER(TRIM($F363&amp;""))="free",LOWER(TRIM($F363&amp;""))="free entry"),IF(ISNUMBER($G363),IF(ISNUMBER(SEARCH("non",LOWER($E363&amp;""))),$G363*0.85,$G363),"N/A"),IF($G363="","",IFERROR(IF(ISNUMBER(SEARCH("non",LOWER($E363&amp;""))),$G363*0.85,$G363),"")))))</ns0:f>
        <ns0:v/>
      </ns0:c>
      <ns0:c r="O363" s="987" t="str">
        <ns0:f>IF(COUNTA($A363:$M363)=0,"",IF(OR(LEFT(LOWER(TRIM($F363&amp;"")),12)="subscription",LOWER(TRIM($F363&amp;""))="membership"),"",IF(OR(AND($H363&lt;&gt;"",$H363=0),LEFT(LOWER(TRIM($F363&amp;"")),9)="free game",LOWER(TRIM($F363&amp;""))="free",LOWER(TRIM($F363&amp;""))="free entry"),IF(OR(NOT(ISNUMBER($N363)),NOT(ISNUMBER($I363)),$I363=0),"N/A",IFERROR($N363/$I363,"N/A")),IF(OR($N363="",$I363="",$I363=0),"",IFERROR($N363/$I363,"")))))</ns0:f>
        <ns0:v/>
      </ns0:c>
      <ns0:c r="P363" s="987">
        <ns0:f>IF(COUNTA($A363:$M363)=0,"",IF(OR(LEFT(LOWER(TRIM($F363&amp;"")),12)="subscription",LOWER(TRIM($F363&amp;""))="membership"),"",IF(LOWER(TRIM($D363&amp;""))="estimate","N/A",IF(LOWER($L363&amp;"")="yes",0,IF(OR(AND($H363&lt;&gt;"",$H363=0),LEFT(LOWER(TRIM($F363&amp;"")),9)="free game",LOWER(TRIM($F363&amp;""))="free",LOWER(TRIM($F363&amp;""))="free entry"),IF(ISNUMBER($K363),$K363,""),IF($K363&lt;&gt;"",$K363,""))))))</ns0:f>
      </ns0:c>
      <ns0:c r="Q363" s="114">
        <ns0:f>IF(COUNTA($A363:$M363)=0,"",IF(OR($U363="Subscription",$U363=""),"",IF($U363="Estimate","N/A",IF($U363="Profit",ROUND(IFERROR($P363,0)-IFERROR($H363,0),2),0))))</ns0:f>
      </ns0:c>
      <ns0:c r="R363" s="114">
        <ns0:f>IF(COUNTA($A363:$M363)=0,"",IF(OR($U363="Subscription",$U363=""),"",IF($U363="Estimate","N/A",IF($U363="Draw",$H363,0))))</ns0:f>
      </ns0:c>
      <ns0:c r="S363" s="114">
        <ns0:f>IF(COUNTA($A363:$M363)=0,"",IF(OR($U363="Subscription",$U363=""),"",IF($U363="Estimate","N/A",IF($U363="Disqualified",$H363,0))))</ns0:f>
      </ns0:c>
      <ns0:c r="T363" s="955">
        <ns0:f>IF(COUNTA($A363:$M363)=0,"",IF(OR($U363="Subscription",$U363=""),"",IF($U363="Estimate","N/A",IF(OR($U363="Free Game",$U363="Disqualified — Free Game",$H363=0),"N/A",IF($U363="Profit",$Q363/$H363,IF($U363="Disqualified",-$S363/$H363,0))))))</ns0:f>
      </ns0:c>
      <ns0:c r="U363" s="920">
        <ns0:f>IF(COUNTA($A363:$M363)=0,"",IF(OR(LEFT(LOWER(TRIM($F363&amp;"")),12)="subscription",LOWER(TRIM($F363&amp;""))="membership"),"Subscription",IF(LOWER(TRIM($D363&amp;""))="estimate","Estimate",IF(OR(AND($H363&lt;&gt;"",$H363=0),LEFT(LOWER(TRIM($F363&amp;"")),9)="free game",LOWER(TRIM($F363&amp;""))="free",LOWER(TRIM($F363&amp;""))="free entry"),IF(LOWER($L363&amp;"")="yes","Disqualified — Free Game","Free Game"),IF(LOWER($L363&amp;"")="yes","Disqualified",IF($P363="","",IF(ROUND(IFERROR(VALUE($P363),0)-IFERROR(VALUE($H363),0),2)&gt;0,"Profit","Draw")))))))</ns0:f>
      </ns0:c>
      <ns0:c r="V363" s="956" t="str">
        <ns0:f>IF(COUNTA($A363:$M363)=0,"",IF(OR($B363="",$C363="",$U363="Subscription"),"",IFERROR(ROUNDUP(($C363-$B363)/7,0),"")))</ns0:f>
      </ns0:c>
      <ns0:c r="W363" s="114">
        <ns0:f>IF(COUNTA($A363:$M363)=0,"",IF(OR($U363="Subscription",$U363=""),"",IF($U363="Estimate","N/A",IF(OR($U363="Free Game",$U363="Disqualified — Free Game"),0,ROUND(IFERROR($Q363,0)-IFERROR($S363,0),2)))))</ns0:f>
      </ns0:c>
      <ns0:c r="X363" s="956" t="str">
        <ns0:f>IF(COUNTA($A363:$M363)=0,"",IF(OR($U363="Subscription",NOT(ISNUMBER($J363)),NOT(ISNUMBER($I363)),$J363=0,$I363=0,$I363&gt;$J363),"",$J363-$I363))</ns0:f>
      </ns0:c>
      <ns0:c r="Y363" s="955" t="str">
        <ns0:f>IF(COUNTA($A363:$M363)=0,"",IF(OR($U363="Subscription",NOT(ISNUMBER($J363)),$J363=0,$X363=""),"",$X363/$J363))</ns0:f>
      </ns0:c>
      <ns0:c r="Z363" s="957" t="str">
        <ns0:f>IF(COUNTA($A363:$M363)=0,"",Instructions!$B$29+SUM($W$5:W363))</ns0:f>
      </ns0:c>
    </ns0:row>
    <ns0:row r="364" ht="36" customHeight="1">
      <ns0:c r="A364" s="439"/>
      <ns0:c r="B364" s="453"/>
      <ns0:c r="C364" s="453"/>
      <ns0:c r="D364" s="454"/>
      <ns0:c r="E364" s="454"/>
      <ns0:c r="F364" s="454"/>
      <ns0:c r="G364" s="986"/>
      <ns0:c r="H364" s="455"/>
      <ns0:c r="I364" s="456"/>
      <ns0:c r="J364" s="456"/>
      <ns0:c r="K364" s="986"/>
      <ns0:c r="L364" s="454"/>
      <ns0:c r="M364" s="439"/>
      <ns0:c r="N364" s="987" t="str">
        <ns0:f>IF(COUNTA($A364:$M364)=0,"",IF(OR(LEFT(LOWER(TRIM($F364&amp;"")),12)="subscription",LOWER(TRIM($F364&amp;""))="membership"),"",IF(OR(AND($H364&lt;&gt;"",$H364=0),LEFT(LOWER(TRIM($F364&amp;"")),9)="free game",LOWER(TRIM($F364&amp;""))="free",LOWER(TRIM($F364&amp;""))="free entry"),IF(ISNUMBER($G364),IF(ISNUMBER(SEARCH("non",LOWER($E364&amp;""))),$G364*0.85,$G364),"N/A"),IF($G364="","",IFERROR(IF(ISNUMBER(SEARCH("non",LOWER($E364&amp;""))),$G364*0.85,$G364),"")))))</ns0:f>
        <ns0:v/>
      </ns0:c>
      <ns0:c r="O364" s="987" t="str">
        <ns0:f>IF(COUNTA($A364:$M364)=0,"",IF(OR(LEFT(LOWER(TRIM($F364&amp;"")),12)="subscription",LOWER(TRIM($F364&amp;""))="membership"),"",IF(OR(AND($H364&lt;&gt;"",$H364=0),LEFT(LOWER(TRIM($F364&amp;"")),9)="free game",LOWER(TRIM($F364&amp;""))="free",LOWER(TRIM($F364&amp;""))="free entry"),IF(OR(NOT(ISNUMBER($N364)),NOT(ISNUMBER($I364)),$I364=0),"N/A",IFERROR($N364/$I364,"N/A")),IF(OR($N364="",$I364="",$I364=0),"",IFERROR($N364/$I364,"")))))</ns0:f>
        <ns0:v/>
      </ns0:c>
      <ns0:c r="P364" s="987">
        <ns0:f>IF(COUNTA($A364:$M364)=0,"",IF(OR(LEFT(LOWER(TRIM($F364&amp;"")),12)="subscription",LOWER(TRIM($F364&amp;""))="membership"),"",IF(LOWER(TRIM($D364&amp;""))="estimate","N/A",IF(LOWER($L364&amp;"")="yes",0,IF(OR(AND($H364&lt;&gt;"",$H364=0),LEFT(LOWER(TRIM($F364&amp;"")),9)="free game",LOWER(TRIM($F364&amp;""))="free",LOWER(TRIM($F364&amp;""))="free entry"),IF(ISNUMBER($K364),$K364,""),IF($K364&lt;&gt;"",$K364,""))))))</ns0:f>
      </ns0:c>
      <ns0:c r="Q364" s="114">
        <ns0:f>IF(COUNTA($A364:$M364)=0,"",IF(OR($U364="Subscription",$U364=""),"",IF($U364="Estimate","N/A",IF($U364="Profit",ROUND(IFERROR($P364,0)-IFERROR($H364,0),2),0))))</ns0:f>
      </ns0:c>
      <ns0:c r="R364" s="114">
        <ns0:f>IF(COUNTA($A364:$M364)=0,"",IF(OR($U364="Subscription",$U364=""),"",IF($U364="Estimate","N/A",IF($U364="Draw",$H364,0))))</ns0:f>
      </ns0:c>
      <ns0:c r="S364" s="114">
        <ns0:f>IF(COUNTA($A364:$M364)=0,"",IF(OR($U364="Subscription",$U364=""),"",IF($U364="Estimate","N/A",IF($U364="Disqualified",$H364,0))))</ns0:f>
      </ns0:c>
      <ns0:c r="T364" s="955">
        <ns0:f>IF(COUNTA($A364:$M364)=0,"",IF(OR($U364="Subscription",$U364=""),"",IF($U364="Estimate","N/A",IF(OR($U364="Free Game",$U364="Disqualified — Free Game",$H364=0),"N/A",IF($U364="Profit",$Q364/$H364,IF($U364="Disqualified",-$S364/$H364,0))))))</ns0:f>
      </ns0:c>
      <ns0:c r="U364" s="920">
        <ns0:f>IF(COUNTA($A364:$M364)=0,"",IF(OR(LEFT(LOWER(TRIM($F364&amp;"")),12)="subscription",LOWER(TRIM($F364&amp;""))="membership"),"Subscription",IF(LOWER(TRIM($D364&amp;""))="estimate","Estimate",IF(OR(AND($H364&lt;&gt;"",$H364=0),LEFT(LOWER(TRIM($F364&amp;"")),9)="free game",LOWER(TRIM($F364&amp;""))="free",LOWER(TRIM($F364&amp;""))="free entry"),IF(LOWER($L364&amp;"")="yes","Disqualified — Free Game","Free Game"),IF(LOWER($L364&amp;"")="yes","Disqualified",IF($P364="","",IF(ROUND(IFERROR(VALUE($P364),0)-IFERROR(VALUE($H364),0),2)&gt;0,"Profit","Draw")))))))</ns0:f>
      </ns0:c>
      <ns0:c r="V364" s="956" t="str">
        <ns0:f>IF(COUNTA($A364:$M364)=0,"",IF(OR($B364="",$C364="",$U364="Subscription"),"",IFERROR(ROUNDUP(($C364-$B364)/7,0),"")))</ns0:f>
      </ns0:c>
      <ns0:c r="W364" s="114">
        <ns0:f>IF(COUNTA($A364:$M364)=0,"",IF(OR($U364="Subscription",$U364=""),"",IF($U364="Estimate","N/A",IF(OR($U364="Free Game",$U364="Disqualified — Free Game"),0,ROUND(IFERROR($Q364,0)-IFERROR($S364,0),2)))))</ns0:f>
      </ns0:c>
      <ns0:c r="X364" s="956" t="str">
        <ns0:f>IF(COUNTA($A364:$M364)=0,"",IF(OR($U364="Subscription",NOT(ISNUMBER($J364)),NOT(ISNUMBER($I364)),$J364=0,$I364=0,$I364&gt;$J364),"",$J364-$I364))</ns0:f>
      </ns0:c>
      <ns0:c r="Y364" s="955" t="str">
        <ns0:f>IF(COUNTA($A364:$M364)=0,"",IF(OR($U364="Subscription",NOT(ISNUMBER($J364)),$J364=0,$X364=""),"",$X364/$J364))</ns0:f>
      </ns0:c>
      <ns0:c r="Z364" s="957" t="str">
        <ns0:f>IF(COUNTA($A364:$M364)=0,"",Instructions!$B$29+SUM($W$5:W364))</ns0:f>
      </ns0:c>
    </ns0:row>
    <ns0:row r="365" ht="36" customHeight="1">
      <ns0:c r="A365" s="439"/>
      <ns0:c r="B365" s="453"/>
      <ns0:c r="C365" s="453"/>
      <ns0:c r="D365" s="454"/>
      <ns0:c r="E365" s="454"/>
      <ns0:c r="F365" s="454"/>
      <ns0:c r="G365" s="986"/>
      <ns0:c r="H365" s="455"/>
      <ns0:c r="I365" s="456"/>
      <ns0:c r="J365" s="456"/>
      <ns0:c r="K365" s="986"/>
      <ns0:c r="L365" s="454"/>
      <ns0:c r="M365" s="439"/>
      <ns0:c r="N365" s="987" t="str">
        <ns0:f>IF(COUNTA($A365:$M365)=0,"",IF(OR(LEFT(LOWER(TRIM($F365&amp;"")),12)="subscription",LOWER(TRIM($F365&amp;""))="membership"),"",IF(OR(AND($H365&lt;&gt;"",$H365=0),LEFT(LOWER(TRIM($F365&amp;"")),9)="free game",LOWER(TRIM($F365&amp;""))="free",LOWER(TRIM($F365&amp;""))="free entry"),IF(ISNUMBER($G365),IF(ISNUMBER(SEARCH("non",LOWER($E365&amp;""))),$G365*0.85,$G365),"N/A"),IF($G365="","",IFERROR(IF(ISNUMBER(SEARCH("non",LOWER($E365&amp;""))),$G365*0.85,$G365),"")))))</ns0:f>
        <ns0:v/>
      </ns0:c>
      <ns0:c r="O365" s="987" t="str">
        <ns0:f>IF(COUNTA($A365:$M365)=0,"",IF(OR(LEFT(LOWER(TRIM($F365&amp;"")),12)="subscription",LOWER(TRIM($F365&amp;""))="membership"),"",IF(OR(AND($H365&lt;&gt;"",$H365=0),LEFT(LOWER(TRIM($F365&amp;"")),9)="free game",LOWER(TRIM($F365&amp;""))="free",LOWER(TRIM($F365&amp;""))="free entry"),IF(OR(NOT(ISNUMBER($N365)),NOT(ISNUMBER($I365)),$I365=0),"N/A",IFERROR($N365/$I365,"N/A")),IF(OR($N365="",$I365="",$I365=0),"",IFERROR($N365/$I365,"")))))</ns0:f>
        <ns0:v/>
      </ns0:c>
      <ns0:c r="P365" s="987">
        <ns0:f>IF(COUNTA($A365:$M365)=0,"",IF(OR(LEFT(LOWER(TRIM($F365&amp;"")),12)="subscription",LOWER(TRIM($F365&amp;""))="membership"),"",IF(LOWER(TRIM($D365&amp;""))="estimate","N/A",IF(LOWER($L365&amp;"")="yes",0,IF(OR(AND($H365&lt;&gt;"",$H365=0),LEFT(LOWER(TRIM($F365&amp;"")),9)="free game",LOWER(TRIM($F365&amp;""))="free",LOWER(TRIM($F365&amp;""))="free entry"),IF(ISNUMBER($K365),$K365,""),IF($K365&lt;&gt;"",$K365,""))))))</ns0:f>
      </ns0:c>
      <ns0:c r="Q365" s="114">
        <ns0:f>IF(COUNTA($A365:$M365)=0,"",IF(OR($U365="Subscription",$U365=""),"",IF($U365="Estimate","N/A",IF($U365="Profit",ROUND(IFERROR($P365,0)-IFERROR($H365,0),2),0))))</ns0:f>
      </ns0:c>
      <ns0:c r="R365" s="114">
        <ns0:f>IF(COUNTA($A365:$M365)=0,"",IF(OR($U365="Subscription",$U365=""),"",IF($U365="Estimate","N/A",IF($U365="Draw",$H365,0))))</ns0:f>
      </ns0:c>
      <ns0:c r="S365" s="114">
        <ns0:f>IF(COUNTA($A365:$M365)=0,"",IF(OR($U365="Subscription",$U365=""),"",IF($U365="Estimate","N/A",IF($U365="Disqualified",$H365,0))))</ns0:f>
      </ns0:c>
      <ns0:c r="T365" s="955">
        <ns0:f>IF(COUNTA($A365:$M365)=0,"",IF(OR($U365="Subscription",$U365=""),"",IF($U365="Estimate","N/A",IF(OR($U365="Free Game",$U365="Disqualified — Free Game",$H365=0),"N/A",IF($U365="Profit",$Q365/$H365,IF($U365="Disqualified",-$S365/$H365,0))))))</ns0:f>
      </ns0:c>
      <ns0:c r="U365" s="920">
        <ns0:f>IF(COUNTA($A365:$M365)=0,"",IF(OR(LEFT(LOWER(TRIM($F365&amp;"")),12)="subscription",LOWER(TRIM($F365&amp;""))="membership"),"Subscription",IF(LOWER(TRIM($D365&amp;""))="estimate","Estimate",IF(OR(AND($H365&lt;&gt;"",$H365=0),LEFT(LOWER(TRIM($F365&amp;"")),9)="free game",LOWER(TRIM($F365&amp;""))="free",LOWER(TRIM($F365&amp;""))="free entry"),IF(LOWER($L365&amp;"")="yes","Disqualified — Free Game","Free Game"),IF(LOWER($L365&amp;"")="yes","Disqualified",IF($P365="","",IF(ROUND(IFERROR(VALUE($P365),0)-IFERROR(VALUE($H365),0),2)&gt;0,"Profit","Draw")))))))</ns0:f>
      </ns0:c>
      <ns0:c r="V365" s="956" t="str">
        <ns0:f>IF(COUNTA($A365:$M365)=0,"",IF(OR($B365="",$C365="",$U365="Subscription"),"",IFERROR(ROUNDUP(($C365-$B365)/7,0),"")))</ns0:f>
      </ns0:c>
      <ns0:c r="W365" s="114">
        <ns0:f>IF(COUNTA($A365:$M365)=0,"",IF(OR($U365="Subscription",$U365=""),"",IF($U365="Estimate","N/A",IF(OR($U365="Free Game",$U365="Disqualified — Free Game"),0,ROUND(IFERROR($Q365,0)-IFERROR($S365,0),2)))))</ns0:f>
      </ns0:c>
      <ns0:c r="X365" s="956" t="str">
        <ns0:f>IF(COUNTA($A365:$M365)=0,"",IF(OR($U365="Subscription",NOT(ISNUMBER($J365)),NOT(ISNUMBER($I365)),$J365=0,$I365=0,$I365&gt;$J365),"",$J365-$I365))</ns0:f>
      </ns0:c>
      <ns0:c r="Y365" s="955" t="str">
        <ns0:f>IF(COUNTA($A365:$M365)=0,"",IF(OR($U365="Subscription",NOT(ISNUMBER($J365)),$J365=0,$X365=""),"",$X365/$J365))</ns0:f>
      </ns0:c>
      <ns0:c r="Z365" s="957" t="str">
        <ns0:f>IF(COUNTA($A365:$M365)=0,"",Instructions!$B$29+SUM($W$5:W365))</ns0:f>
      </ns0:c>
    </ns0:row>
    <ns0:row r="366" ht="36" customHeight="1">
      <ns0:c r="A366" s="439"/>
      <ns0:c r="B366" s="453"/>
      <ns0:c r="C366" s="453"/>
      <ns0:c r="D366" s="454"/>
      <ns0:c r="E366" s="454"/>
      <ns0:c r="F366" s="454"/>
      <ns0:c r="G366" s="986"/>
      <ns0:c r="H366" s="455"/>
      <ns0:c r="I366" s="456"/>
      <ns0:c r="J366" s="456"/>
      <ns0:c r="K366" s="986"/>
      <ns0:c r="L366" s="454"/>
      <ns0:c r="M366" s="439"/>
      <ns0:c r="N366" s="987" t="str">
        <ns0:f>IF(COUNTA($A366:$M366)=0,"",IF(OR(LEFT(LOWER(TRIM($F366&amp;"")),12)="subscription",LOWER(TRIM($F366&amp;""))="membership"),"",IF(OR(AND($H366&lt;&gt;"",$H366=0),LEFT(LOWER(TRIM($F366&amp;"")),9)="free game",LOWER(TRIM($F366&amp;""))="free",LOWER(TRIM($F366&amp;""))="free entry"),IF(ISNUMBER($G366),IF(ISNUMBER(SEARCH("non",LOWER($E366&amp;""))),$G366*0.85,$G366),"N/A"),IF($G366="","",IFERROR(IF(ISNUMBER(SEARCH("non",LOWER($E366&amp;""))),$G366*0.85,$G366),"")))))</ns0:f>
        <ns0:v/>
      </ns0:c>
      <ns0:c r="O366" s="987" t="str">
        <ns0:f>IF(COUNTA($A366:$M366)=0,"",IF(OR(LEFT(LOWER(TRIM($F366&amp;"")),12)="subscription",LOWER(TRIM($F366&amp;""))="membership"),"",IF(OR(AND($H366&lt;&gt;"",$H366=0),LEFT(LOWER(TRIM($F366&amp;"")),9)="free game",LOWER(TRIM($F366&amp;""))="free",LOWER(TRIM($F366&amp;""))="free entry"),IF(OR(NOT(ISNUMBER($N366)),NOT(ISNUMBER($I366)),$I366=0),"N/A",IFERROR($N366/$I366,"N/A")),IF(OR($N366="",$I366="",$I366=0),"",IFERROR($N366/$I366,"")))))</ns0:f>
        <ns0:v/>
      </ns0:c>
      <ns0:c r="P366" s="987">
        <ns0:f>IF(COUNTA($A366:$M366)=0,"",IF(OR(LEFT(LOWER(TRIM($F366&amp;"")),12)="subscription",LOWER(TRIM($F366&amp;""))="membership"),"",IF(LOWER(TRIM($D366&amp;""))="estimate","N/A",IF(LOWER($L366&amp;"")="yes",0,IF(OR(AND($H366&lt;&gt;"",$H366=0),LEFT(LOWER(TRIM($F366&amp;"")),9)="free game",LOWER(TRIM($F366&amp;""))="free",LOWER(TRIM($F366&amp;""))="free entry"),IF(ISNUMBER($K366),$K366,""),IF($K366&lt;&gt;"",$K366,""))))))</ns0:f>
      </ns0:c>
      <ns0:c r="Q366" s="114">
        <ns0:f>IF(COUNTA($A366:$M366)=0,"",IF(OR($U366="Subscription",$U366=""),"",IF($U366="Estimate","N/A",IF($U366="Profit",ROUND(IFERROR($P366,0)-IFERROR($H366,0),2),0))))</ns0:f>
      </ns0:c>
      <ns0:c r="R366" s="114">
        <ns0:f>IF(COUNTA($A366:$M366)=0,"",IF(OR($U366="Subscription",$U366=""),"",IF($U366="Estimate","N/A",IF($U366="Draw",$H366,0))))</ns0:f>
      </ns0:c>
      <ns0:c r="S366" s="114">
        <ns0:f>IF(COUNTA($A366:$M366)=0,"",IF(OR($U366="Subscription",$U366=""),"",IF($U366="Estimate","N/A",IF($U366="Disqualified",$H366,0))))</ns0:f>
      </ns0:c>
      <ns0:c r="T366" s="955">
        <ns0:f>IF(COUNTA($A366:$M366)=0,"",IF(OR($U366="Subscription",$U366=""),"",IF($U366="Estimate","N/A",IF(OR($U366="Free Game",$U366="Disqualified — Free Game",$H366=0),"N/A",IF($U366="Profit",$Q366/$H366,IF($U366="Disqualified",-$S366/$H366,0))))))</ns0:f>
      </ns0:c>
      <ns0:c r="U366" s="920">
        <ns0:f>IF(COUNTA($A366:$M366)=0,"",IF(OR(LEFT(LOWER(TRIM($F366&amp;"")),12)="subscription",LOWER(TRIM($F366&amp;""))="membership"),"Subscription",IF(LOWER(TRIM($D366&amp;""))="estimate","Estimate",IF(OR(AND($H366&lt;&gt;"",$H366=0),LEFT(LOWER(TRIM($F366&amp;"")),9)="free game",LOWER(TRIM($F366&amp;""))="free",LOWER(TRIM($F366&amp;""))="free entry"),IF(LOWER($L366&amp;"")="yes","Disqualified — Free Game","Free Game"),IF(LOWER($L366&amp;"")="yes","Disqualified",IF($P366="","",IF(ROUND(IFERROR(VALUE($P366),0)-IFERROR(VALUE($H366),0),2)&gt;0,"Profit","Draw")))))))</ns0:f>
      </ns0:c>
      <ns0:c r="V366" s="956" t="str">
        <ns0:f>IF(COUNTA($A366:$M366)=0,"",IF(OR($B366="",$C366="",$U366="Subscription"),"",IFERROR(ROUNDUP(($C366-$B366)/7,0),"")))</ns0:f>
      </ns0:c>
      <ns0:c r="W366" s="114">
        <ns0:f>IF(COUNTA($A366:$M366)=0,"",IF(OR($U366="Subscription",$U366=""),"",IF($U366="Estimate","N/A",IF(OR($U366="Free Game",$U366="Disqualified — Free Game"),0,ROUND(IFERROR($Q366,0)-IFERROR($S366,0),2)))))</ns0:f>
      </ns0:c>
      <ns0:c r="X366" s="956" t="str">
        <ns0:f>IF(COUNTA($A366:$M366)=0,"",IF(OR($U366="Subscription",NOT(ISNUMBER($J366)),NOT(ISNUMBER($I366)),$J366=0,$I366=0,$I366&gt;$J366),"",$J366-$I366))</ns0:f>
      </ns0:c>
      <ns0:c r="Y366" s="955" t="str">
        <ns0:f>IF(COUNTA($A366:$M366)=0,"",IF(OR($U366="Subscription",NOT(ISNUMBER($J366)),$J366=0,$X366=""),"",$X366/$J366))</ns0:f>
      </ns0:c>
      <ns0:c r="Z366" s="957" t="str">
        <ns0:f>IF(COUNTA($A366:$M366)=0,"",Instructions!$B$29+SUM($W$5:W366))</ns0:f>
      </ns0:c>
    </ns0:row>
    <ns0:row r="367" ht="36" customHeight="1">
      <ns0:c r="A367" s="439"/>
      <ns0:c r="B367" s="453"/>
      <ns0:c r="C367" s="453"/>
      <ns0:c r="D367" s="454"/>
      <ns0:c r="E367" s="454"/>
      <ns0:c r="F367" s="454"/>
      <ns0:c r="G367" s="986"/>
      <ns0:c r="H367" s="455"/>
      <ns0:c r="I367" s="456"/>
      <ns0:c r="J367" s="456"/>
      <ns0:c r="K367" s="986"/>
      <ns0:c r="L367" s="454"/>
      <ns0:c r="M367" s="439"/>
      <ns0:c r="N367" s="987" t="str">
        <ns0:f>IF(COUNTA($A367:$M367)=0,"",IF(OR(LEFT(LOWER(TRIM($F367&amp;"")),12)="subscription",LOWER(TRIM($F367&amp;""))="membership"),"",IF(OR(AND($H367&lt;&gt;"",$H367=0),LEFT(LOWER(TRIM($F367&amp;"")),9)="free game",LOWER(TRIM($F367&amp;""))="free",LOWER(TRIM($F367&amp;""))="free entry"),IF(ISNUMBER($G367),IF(ISNUMBER(SEARCH("non",LOWER($E367&amp;""))),$G367*0.85,$G367),"N/A"),IF($G367="","",IFERROR(IF(ISNUMBER(SEARCH("non",LOWER($E367&amp;""))),$G367*0.85,$G367),"")))))</ns0:f>
        <ns0:v/>
      </ns0:c>
      <ns0:c r="O367" s="987" t="str">
        <ns0:f>IF(COUNTA($A367:$M367)=0,"",IF(OR(LEFT(LOWER(TRIM($F367&amp;"")),12)="subscription",LOWER(TRIM($F367&amp;""))="membership"),"",IF(OR(AND($H367&lt;&gt;"",$H367=0),LEFT(LOWER(TRIM($F367&amp;"")),9)="free game",LOWER(TRIM($F367&amp;""))="free",LOWER(TRIM($F367&amp;""))="free entry"),IF(OR(NOT(ISNUMBER($N367)),NOT(ISNUMBER($I367)),$I367=0),"N/A",IFERROR($N367/$I367,"N/A")),IF(OR($N367="",$I367="",$I367=0),"",IFERROR($N367/$I367,"")))))</ns0:f>
        <ns0:v/>
      </ns0:c>
      <ns0:c r="P367" s="987">
        <ns0:f>IF(COUNTA($A367:$M367)=0,"",IF(OR(LEFT(LOWER(TRIM($F367&amp;"")),12)="subscription",LOWER(TRIM($F367&amp;""))="membership"),"",IF(LOWER(TRIM($D367&amp;""))="estimate","N/A",IF(LOWER($L367&amp;"")="yes",0,IF(OR(AND($H367&lt;&gt;"",$H367=0),LEFT(LOWER(TRIM($F367&amp;"")),9)="free game",LOWER(TRIM($F367&amp;""))="free",LOWER(TRIM($F367&amp;""))="free entry"),IF(ISNUMBER($K367),$K367,""),IF($K367&lt;&gt;"",$K367,""))))))</ns0:f>
      </ns0:c>
      <ns0:c r="Q367" s="114">
        <ns0:f>IF(COUNTA($A367:$M367)=0,"",IF(OR($U367="Subscription",$U367=""),"",IF($U367="Estimate","N/A",IF($U367="Profit",ROUND(IFERROR($P367,0)-IFERROR($H367,0),2),0))))</ns0:f>
      </ns0:c>
      <ns0:c r="R367" s="114">
        <ns0:f>IF(COUNTA($A367:$M367)=0,"",IF(OR($U367="Subscription",$U367=""),"",IF($U367="Estimate","N/A",IF($U367="Draw",$H367,0))))</ns0:f>
      </ns0:c>
      <ns0:c r="S367" s="114">
        <ns0:f>IF(COUNTA($A367:$M367)=0,"",IF(OR($U367="Subscription",$U367=""),"",IF($U367="Estimate","N/A",IF($U367="Disqualified",$H367,0))))</ns0:f>
      </ns0:c>
      <ns0:c r="T367" s="955">
        <ns0:f>IF(COUNTA($A367:$M367)=0,"",IF(OR($U367="Subscription",$U367=""),"",IF($U367="Estimate","N/A",IF(OR($U367="Free Game",$U367="Disqualified — Free Game",$H367=0),"N/A",IF($U367="Profit",$Q367/$H367,IF($U367="Disqualified",-$S367/$H367,0))))))</ns0:f>
      </ns0:c>
      <ns0:c r="U367" s="920">
        <ns0:f>IF(COUNTA($A367:$M367)=0,"",IF(OR(LEFT(LOWER(TRIM($F367&amp;"")),12)="subscription",LOWER(TRIM($F367&amp;""))="membership"),"Subscription",IF(LOWER(TRIM($D367&amp;""))="estimate","Estimate",IF(OR(AND($H367&lt;&gt;"",$H367=0),LEFT(LOWER(TRIM($F367&amp;"")),9)="free game",LOWER(TRIM($F367&amp;""))="free",LOWER(TRIM($F367&amp;""))="free entry"),IF(LOWER($L367&amp;"")="yes","Disqualified — Free Game","Free Game"),IF(LOWER($L367&amp;"")="yes","Disqualified",IF($P367="","",IF(ROUND(IFERROR(VALUE($P367),0)-IFERROR(VALUE($H367),0),2)&gt;0,"Profit","Draw")))))))</ns0:f>
      </ns0:c>
      <ns0:c r="V367" s="956" t="str">
        <ns0:f>IF(COUNTA($A367:$M367)=0,"",IF(OR($B367="",$C367="",$U367="Subscription"),"",IFERROR(ROUNDUP(($C367-$B367)/7,0),"")))</ns0:f>
      </ns0:c>
      <ns0:c r="W367" s="114">
        <ns0:f>IF(COUNTA($A367:$M367)=0,"",IF(OR($U367="Subscription",$U367=""),"",IF($U367="Estimate","N/A",IF(OR($U367="Free Game",$U367="Disqualified — Free Game"),0,ROUND(IFERROR($Q367,0)-IFERROR($S367,0),2)))))</ns0:f>
      </ns0:c>
      <ns0:c r="X367" s="956" t="str">
        <ns0:f>IF(COUNTA($A367:$M367)=0,"",IF(OR($U367="Subscription",NOT(ISNUMBER($J367)),NOT(ISNUMBER($I367)),$J367=0,$I367=0,$I367&gt;$J367),"",$J367-$I367))</ns0:f>
      </ns0:c>
      <ns0:c r="Y367" s="955" t="str">
        <ns0:f>IF(COUNTA($A367:$M367)=0,"",IF(OR($U367="Subscription",NOT(ISNUMBER($J367)),$J367=0,$X367=""),"",$X367/$J367))</ns0:f>
      </ns0:c>
      <ns0:c r="Z367" s="957" t="str">
        <ns0:f>IF(COUNTA($A367:$M367)=0,"",Instructions!$B$29+SUM($W$5:W367))</ns0:f>
      </ns0:c>
    </ns0:row>
    <ns0:row r="368" ht="36" customHeight="1">
      <ns0:c r="A368" s="439"/>
      <ns0:c r="B368" s="453"/>
      <ns0:c r="C368" s="453"/>
      <ns0:c r="D368" s="454"/>
      <ns0:c r="E368" s="454"/>
      <ns0:c r="F368" s="454"/>
      <ns0:c r="G368" s="986"/>
      <ns0:c r="H368" s="455"/>
      <ns0:c r="I368" s="456"/>
      <ns0:c r="J368" s="456"/>
      <ns0:c r="K368" s="986"/>
      <ns0:c r="L368" s="454"/>
      <ns0:c r="M368" s="439"/>
      <ns0:c r="N368" s="987" t="str">
        <ns0:f>IF(COUNTA($A368:$M368)=0,"",IF(OR(LEFT(LOWER(TRIM($F368&amp;"")),12)="subscription",LOWER(TRIM($F368&amp;""))="membership"),"",IF(OR(AND($H368&lt;&gt;"",$H368=0),LEFT(LOWER(TRIM($F368&amp;"")),9)="free game",LOWER(TRIM($F368&amp;""))="free",LOWER(TRIM($F368&amp;""))="free entry"),IF(ISNUMBER($G368),IF(ISNUMBER(SEARCH("non",LOWER($E368&amp;""))),$G368*0.85,$G368),"N/A"),IF($G368="","",IFERROR(IF(ISNUMBER(SEARCH("non",LOWER($E368&amp;""))),$G368*0.85,$G368),"")))))</ns0:f>
        <ns0:v/>
      </ns0:c>
      <ns0:c r="O368" s="987" t="str">
        <ns0:f>IF(COUNTA($A368:$M368)=0,"",IF(OR(LEFT(LOWER(TRIM($F368&amp;"")),12)="subscription",LOWER(TRIM($F368&amp;""))="membership"),"",IF(OR(AND($H368&lt;&gt;"",$H368=0),LEFT(LOWER(TRIM($F368&amp;"")),9)="free game",LOWER(TRIM($F368&amp;""))="free",LOWER(TRIM($F368&amp;""))="free entry"),IF(OR(NOT(ISNUMBER($N368)),NOT(ISNUMBER($I368)),$I368=0),"N/A",IFERROR($N368/$I368,"N/A")),IF(OR($N368="",$I368="",$I368=0),"",IFERROR($N368/$I368,"")))))</ns0:f>
        <ns0:v/>
      </ns0:c>
      <ns0:c r="P368" s="987">
        <ns0:f>IF(COUNTA($A368:$M368)=0,"",IF(OR(LEFT(LOWER(TRIM($F368&amp;"")),12)="subscription",LOWER(TRIM($F368&amp;""))="membership"),"",IF(LOWER(TRIM($D368&amp;""))="estimate","N/A",IF(LOWER($L368&amp;"")="yes",0,IF(OR(AND($H368&lt;&gt;"",$H368=0),LEFT(LOWER(TRIM($F368&amp;"")),9)="free game",LOWER(TRIM($F368&amp;""))="free",LOWER(TRIM($F368&amp;""))="free entry"),IF(ISNUMBER($K368),$K368,""),IF($K368&lt;&gt;"",$K368,""))))))</ns0:f>
      </ns0:c>
      <ns0:c r="Q368" s="114">
        <ns0:f>IF(COUNTA($A368:$M368)=0,"",IF(OR($U368="Subscription",$U368=""),"",IF($U368="Estimate","N/A",IF($U368="Profit",ROUND(IFERROR($P368,0)-IFERROR($H368,0),2),0))))</ns0:f>
      </ns0:c>
      <ns0:c r="R368" s="114">
        <ns0:f>IF(COUNTA($A368:$M368)=0,"",IF(OR($U368="Subscription",$U368=""),"",IF($U368="Estimate","N/A",IF($U368="Draw",$H368,0))))</ns0:f>
      </ns0:c>
      <ns0:c r="S368" s="114">
        <ns0:f>IF(COUNTA($A368:$M368)=0,"",IF(OR($U368="Subscription",$U368=""),"",IF($U368="Estimate","N/A",IF($U368="Disqualified",$H368,0))))</ns0:f>
      </ns0:c>
      <ns0:c r="T368" s="955">
        <ns0:f>IF(COUNTA($A368:$M368)=0,"",IF(OR($U368="Subscription",$U368=""),"",IF($U368="Estimate","N/A",IF(OR($U368="Free Game",$U368="Disqualified — Free Game",$H368=0),"N/A",IF($U368="Profit",$Q368/$H368,IF($U368="Disqualified",-$S368/$H368,0))))))</ns0:f>
      </ns0:c>
      <ns0:c r="U368" s="920">
        <ns0:f>IF(COUNTA($A368:$M368)=0,"",IF(OR(LEFT(LOWER(TRIM($F368&amp;"")),12)="subscription",LOWER(TRIM($F368&amp;""))="membership"),"Subscription",IF(LOWER(TRIM($D368&amp;""))="estimate","Estimate",IF(OR(AND($H368&lt;&gt;"",$H368=0),LEFT(LOWER(TRIM($F368&amp;"")),9)="free game",LOWER(TRIM($F368&amp;""))="free",LOWER(TRIM($F368&amp;""))="free entry"),IF(LOWER($L368&amp;"")="yes","Disqualified — Free Game","Free Game"),IF(LOWER($L368&amp;"")="yes","Disqualified",IF($P368="","",IF(ROUND(IFERROR(VALUE($P368),0)-IFERROR(VALUE($H368),0),2)&gt;0,"Profit","Draw")))))))</ns0:f>
      </ns0:c>
      <ns0:c r="V368" s="956" t="str">
        <ns0:f>IF(COUNTA($A368:$M368)=0,"",IF(OR($B368="",$C368="",$U368="Subscription"),"",IFERROR(ROUNDUP(($C368-$B368)/7,0),"")))</ns0:f>
      </ns0:c>
      <ns0:c r="W368" s="114">
        <ns0:f>IF(COUNTA($A368:$M368)=0,"",IF(OR($U368="Subscription",$U368=""),"",IF($U368="Estimate","N/A",IF(OR($U368="Free Game",$U368="Disqualified — Free Game"),0,ROUND(IFERROR($Q368,0)-IFERROR($S368,0),2)))))</ns0:f>
      </ns0:c>
      <ns0:c r="X368" s="956" t="str">
        <ns0:f>IF(COUNTA($A368:$M368)=0,"",IF(OR($U368="Subscription",NOT(ISNUMBER($J368)),NOT(ISNUMBER($I368)),$J368=0,$I368=0,$I368&gt;$J368),"",$J368-$I368))</ns0:f>
      </ns0:c>
      <ns0:c r="Y368" s="955" t="str">
        <ns0:f>IF(COUNTA($A368:$M368)=0,"",IF(OR($U368="Subscription",NOT(ISNUMBER($J368)),$J368=0,$X368=""),"",$X368/$J368))</ns0:f>
      </ns0:c>
      <ns0:c r="Z368" s="957" t="str">
        <ns0:f>IF(COUNTA($A368:$M368)=0,"",Instructions!$B$29+SUM($W$5:W368))</ns0:f>
      </ns0:c>
    </ns0:row>
    <ns0:row r="369" ht="36" customHeight="1">
      <ns0:c r="A369" s="439"/>
      <ns0:c r="B369" s="453"/>
      <ns0:c r="C369" s="453"/>
      <ns0:c r="D369" s="454"/>
      <ns0:c r="E369" s="454"/>
      <ns0:c r="F369" s="454"/>
      <ns0:c r="G369" s="986"/>
      <ns0:c r="H369" s="455"/>
      <ns0:c r="I369" s="456"/>
      <ns0:c r="J369" s="456"/>
      <ns0:c r="K369" s="986"/>
      <ns0:c r="L369" s="454"/>
      <ns0:c r="M369" s="439"/>
      <ns0:c r="N369" s="987" t="str">
        <ns0:f>IF(COUNTA($A369:$M369)=0,"",IF(OR(LEFT(LOWER(TRIM($F369&amp;"")),12)="subscription",LOWER(TRIM($F369&amp;""))="membership"),"",IF(OR(AND($H369&lt;&gt;"",$H369=0),LEFT(LOWER(TRIM($F369&amp;"")),9)="free game",LOWER(TRIM($F369&amp;""))="free",LOWER(TRIM($F369&amp;""))="free entry"),IF(ISNUMBER($G369),IF(ISNUMBER(SEARCH("non",LOWER($E369&amp;""))),$G369*0.85,$G369),"N/A"),IF($G369="","",IFERROR(IF(ISNUMBER(SEARCH("non",LOWER($E369&amp;""))),$G369*0.85,$G369),"")))))</ns0:f>
        <ns0:v/>
      </ns0:c>
      <ns0:c r="O369" s="987" t="str">
        <ns0:f>IF(COUNTA($A369:$M369)=0,"",IF(OR(LEFT(LOWER(TRIM($F369&amp;"")),12)="subscription",LOWER(TRIM($F369&amp;""))="membership"),"",IF(OR(AND($H369&lt;&gt;"",$H369=0),LEFT(LOWER(TRIM($F369&amp;"")),9)="free game",LOWER(TRIM($F369&amp;""))="free",LOWER(TRIM($F369&amp;""))="free entry"),IF(OR(NOT(ISNUMBER($N369)),NOT(ISNUMBER($I369)),$I369=0),"N/A",IFERROR($N369/$I369,"N/A")),IF(OR($N369="",$I369="",$I369=0),"",IFERROR($N369/$I369,"")))))</ns0:f>
        <ns0:v/>
      </ns0:c>
      <ns0:c r="P369" s="987">
        <ns0:f>IF(COUNTA($A369:$M369)=0,"",IF(OR(LEFT(LOWER(TRIM($F369&amp;"")),12)="subscription",LOWER(TRIM($F369&amp;""))="membership"),"",IF(LOWER(TRIM($D369&amp;""))="estimate","N/A",IF(LOWER($L369&amp;"")="yes",0,IF(OR(AND($H369&lt;&gt;"",$H369=0),LEFT(LOWER(TRIM($F369&amp;"")),9)="free game",LOWER(TRIM($F369&amp;""))="free",LOWER(TRIM($F369&amp;""))="free entry"),IF(ISNUMBER($K369),$K369,""),IF($K369&lt;&gt;"",$K369,""))))))</ns0:f>
      </ns0:c>
      <ns0:c r="Q369" s="114">
        <ns0:f>IF(COUNTA($A369:$M369)=0,"",IF(OR($U369="Subscription",$U369=""),"",IF($U369="Estimate","N/A",IF($U369="Profit",ROUND(IFERROR($P369,0)-IFERROR($H369,0),2),0))))</ns0:f>
      </ns0:c>
      <ns0:c r="R369" s="114">
        <ns0:f>IF(COUNTA($A369:$M369)=0,"",IF(OR($U369="Subscription",$U369=""),"",IF($U369="Estimate","N/A",IF($U369="Draw",$H369,0))))</ns0:f>
      </ns0:c>
      <ns0:c r="S369" s="114">
        <ns0:f>IF(COUNTA($A369:$M369)=0,"",IF(OR($U369="Subscription",$U369=""),"",IF($U369="Estimate","N/A",IF($U369="Disqualified",$H369,0))))</ns0:f>
      </ns0:c>
      <ns0:c r="T369" s="955">
        <ns0:f>IF(COUNTA($A369:$M369)=0,"",IF(OR($U369="Subscription",$U369=""),"",IF($U369="Estimate","N/A",IF(OR($U369="Free Game",$U369="Disqualified — Free Game",$H369=0),"N/A",IF($U369="Profit",$Q369/$H369,IF($U369="Disqualified",-$S369/$H369,0))))))</ns0:f>
      </ns0:c>
      <ns0:c r="U369" s="920">
        <ns0:f>IF(COUNTA($A369:$M369)=0,"",IF(OR(LEFT(LOWER(TRIM($F369&amp;"")),12)="subscription",LOWER(TRIM($F369&amp;""))="membership"),"Subscription",IF(LOWER(TRIM($D369&amp;""))="estimate","Estimate",IF(OR(AND($H369&lt;&gt;"",$H369=0),LEFT(LOWER(TRIM($F369&amp;"")),9)="free game",LOWER(TRIM($F369&amp;""))="free",LOWER(TRIM($F369&amp;""))="free entry"),IF(LOWER($L369&amp;"")="yes","Disqualified — Free Game","Free Game"),IF(LOWER($L369&amp;"")="yes","Disqualified",IF($P369="","",IF(ROUND(IFERROR(VALUE($P369),0)-IFERROR(VALUE($H369),0),2)&gt;0,"Profit","Draw")))))))</ns0:f>
      </ns0:c>
      <ns0:c r="V369" s="956" t="str">
        <ns0:f>IF(COUNTA($A369:$M369)=0,"",IF(OR($B369="",$C369="",$U369="Subscription"),"",IFERROR(ROUNDUP(($C369-$B369)/7,0),"")))</ns0:f>
      </ns0:c>
      <ns0:c r="W369" s="114">
        <ns0:f>IF(COUNTA($A369:$M369)=0,"",IF(OR($U369="Subscription",$U369=""),"",IF($U369="Estimate","N/A",IF(OR($U369="Free Game",$U369="Disqualified — Free Game"),0,ROUND(IFERROR($Q369,0)-IFERROR($S369,0),2)))))</ns0:f>
      </ns0:c>
      <ns0:c r="X369" s="956" t="str">
        <ns0:f>IF(COUNTA($A369:$M369)=0,"",IF(OR($U369="Subscription",NOT(ISNUMBER($J369)),NOT(ISNUMBER($I369)),$J369=0,$I369=0,$I369&gt;$J369),"",$J369-$I369))</ns0:f>
      </ns0:c>
      <ns0:c r="Y369" s="955" t="str">
        <ns0:f>IF(COUNTA($A369:$M369)=0,"",IF(OR($U369="Subscription",NOT(ISNUMBER($J369)),$J369=0,$X369=""),"",$X369/$J369))</ns0:f>
      </ns0:c>
      <ns0:c r="Z369" s="957" t="str">
        <ns0:f>IF(COUNTA($A369:$M369)=0,"",Instructions!$B$29+SUM($W$5:W369))</ns0:f>
      </ns0:c>
    </ns0:row>
    <ns0:row r="370" ht="36" customHeight="1">
      <ns0:c r="A370" s="439"/>
      <ns0:c r="B370" s="453"/>
      <ns0:c r="C370" s="453"/>
      <ns0:c r="D370" s="454"/>
      <ns0:c r="E370" s="454"/>
      <ns0:c r="F370" s="454"/>
      <ns0:c r="G370" s="986"/>
      <ns0:c r="H370" s="455"/>
      <ns0:c r="I370" s="456"/>
      <ns0:c r="J370" s="456"/>
      <ns0:c r="K370" s="986"/>
      <ns0:c r="L370" s="454"/>
      <ns0:c r="M370" s="439"/>
      <ns0:c r="N370" s="987" t="str">
        <ns0:f>IF(COUNTA($A370:$M370)=0,"",IF(OR(LEFT(LOWER(TRIM($F370&amp;"")),12)="subscription",LOWER(TRIM($F370&amp;""))="membership"),"",IF(OR(AND($H370&lt;&gt;"",$H370=0),LEFT(LOWER(TRIM($F370&amp;"")),9)="free game",LOWER(TRIM($F370&amp;""))="free",LOWER(TRIM($F370&amp;""))="free entry"),IF(ISNUMBER($G370),IF(ISNUMBER(SEARCH("non",LOWER($E370&amp;""))),$G370*0.85,$G370),"N/A"),IF($G370="","",IFERROR(IF(ISNUMBER(SEARCH("non",LOWER($E370&amp;""))),$G370*0.85,$G370),"")))))</ns0:f>
        <ns0:v/>
      </ns0:c>
      <ns0:c r="O370" s="987" t="str">
        <ns0:f>IF(COUNTA($A370:$M370)=0,"",IF(OR(LEFT(LOWER(TRIM($F370&amp;"")),12)="subscription",LOWER(TRIM($F370&amp;""))="membership"),"",IF(OR(AND($H370&lt;&gt;"",$H370=0),LEFT(LOWER(TRIM($F370&amp;"")),9)="free game",LOWER(TRIM($F370&amp;""))="free",LOWER(TRIM($F370&amp;""))="free entry"),IF(OR(NOT(ISNUMBER($N370)),NOT(ISNUMBER($I370)),$I370=0),"N/A",IFERROR($N370/$I370,"N/A")),IF(OR($N370="",$I370="",$I370=0),"",IFERROR($N370/$I370,"")))))</ns0:f>
        <ns0:v/>
      </ns0:c>
      <ns0:c r="P370" s="987">
        <ns0:f>IF(COUNTA($A370:$M370)=0,"",IF(OR(LEFT(LOWER(TRIM($F370&amp;"")),12)="subscription",LOWER(TRIM($F370&amp;""))="membership"),"",IF(LOWER(TRIM($D370&amp;""))="estimate","N/A",IF(LOWER($L370&amp;"")="yes",0,IF(OR(AND($H370&lt;&gt;"",$H370=0),LEFT(LOWER(TRIM($F370&amp;"")),9)="free game",LOWER(TRIM($F370&amp;""))="free",LOWER(TRIM($F370&amp;""))="free entry"),IF(ISNUMBER($K370),$K370,""),IF($K370&lt;&gt;"",$K370,""))))))</ns0:f>
      </ns0:c>
      <ns0:c r="Q370" s="114">
        <ns0:f>IF(COUNTA($A370:$M370)=0,"",IF(OR($U370="Subscription",$U370=""),"",IF($U370="Estimate","N/A",IF($U370="Profit",ROUND(IFERROR($P370,0)-IFERROR($H370,0),2),0))))</ns0:f>
      </ns0:c>
      <ns0:c r="R370" s="114">
        <ns0:f>IF(COUNTA($A370:$M370)=0,"",IF(OR($U370="Subscription",$U370=""),"",IF($U370="Estimate","N/A",IF($U370="Draw",$H370,0))))</ns0:f>
      </ns0:c>
      <ns0:c r="S370" s="114">
        <ns0:f>IF(COUNTA($A370:$M370)=0,"",IF(OR($U370="Subscription",$U370=""),"",IF($U370="Estimate","N/A",IF($U370="Disqualified",$H370,0))))</ns0:f>
      </ns0:c>
      <ns0:c r="T370" s="955">
        <ns0:f>IF(COUNTA($A370:$M370)=0,"",IF(OR($U370="Subscription",$U370=""),"",IF($U370="Estimate","N/A",IF(OR($U370="Free Game",$U370="Disqualified — Free Game",$H370=0),"N/A",IF($U370="Profit",$Q370/$H370,IF($U370="Disqualified",-$S370/$H370,0))))))</ns0:f>
      </ns0:c>
      <ns0:c r="U370" s="920">
        <ns0:f>IF(COUNTA($A370:$M370)=0,"",IF(OR(LEFT(LOWER(TRIM($F370&amp;"")),12)="subscription",LOWER(TRIM($F370&amp;""))="membership"),"Subscription",IF(LOWER(TRIM($D370&amp;""))="estimate","Estimate",IF(OR(AND($H370&lt;&gt;"",$H370=0),LEFT(LOWER(TRIM($F370&amp;"")),9)="free game",LOWER(TRIM($F370&amp;""))="free",LOWER(TRIM($F370&amp;""))="free entry"),IF(LOWER($L370&amp;"")="yes","Disqualified — Free Game","Free Game"),IF(LOWER($L370&amp;"")="yes","Disqualified",IF($P370="","",IF(ROUND(IFERROR(VALUE($P370),0)-IFERROR(VALUE($H370),0),2)&gt;0,"Profit","Draw")))))))</ns0:f>
      </ns0:c>
      <ns0:c r="V370" s="956" t="str">
        <ns0:f>IF(COUNTA($A370:$M370)=0,"",IF(OR($B370="",$C370="",$U370="Subscription"),"",IFERROR(ROUNDUP(($C370-$B370)/7,0),"")))</ns0:f>
      </ns0:c>
      <ns0:c r="W370" s="114">
        <ns0:f>IF(COUNTA($A370:$M370)=0,"",IF(OR($U370="Subscription",$U370=""),"",IF($U370="Estimate","N/A",IF(OR($U370="Free Game",$U370="Disqualified — Free Game"),0,ROUND(IFERROR($Q370,0)-IFERROR($S370,0),2)))))</ns0:f>
      </ns0:c>
      <ns0:c r="X370" s="956" t="str">
        <ns0:f>IF(COUNTA($A370:$M370)=0,"",IF(OR($U370="Subscription",NOT(ISNUMBER($J370)),NOT(ISNUMBER($I370)),$J370=0,$I370=0,$I370&gt;$J370),"",$J370-$I370))</ns0:f>
      </ns0:c>
      <ns0:c r="Y370" s="955" t="str">
        <ns0:f>IF(COUNTA($A370:$M370)=0,"",IF(OR($U370="Subscription",NOT(ISNUMBER($J370)),$J370=0,$X370=""),"",$X370/$J370))</ns0:f>
      </ns0:c>
      <ns0:c r="Z370" s="957" t="str">
        <ns0:f>IF(COUNTA($A370:$M370)=0,"",Instructions!$B$29+SUM($W$5:W370))</ns0:f>
      </ns0:c>
    </ns0:row>
    <ns0:row r="371" ht="36" customHeight="1">
      <ns0:c r="A371" s="439"/>
      <ns0:c r="B371" s="453"/>
      <ns0:c r="C371" s="453"/>
      <ns0:c r="D371" s="454"/>
      <ns0:c r="E371" s="454"/>
      <ns0:c r="F371" s="454"/>
      <ns0:c r="G371" s="986"/>
      <ns0:c r="H371" s="455"/>
      <ns0:c r="I371" s="456"/>
      <ns0:c r="J371" s="456"/>
      <ns0:c r="K371" s="986"/>
      <ns0:c r="L371" s="454"/>
      <ns0:c r="M371" s="439"/>
      <ns0:c r="N371" s="987" t="str">
        <ns0:f>IF(COUNTA($A371:$M371)=0,"",IF(OR(LEFT(LOWER(TRIM($F371&amp;"")),12)="subscription",LOWER(TRIM($F371&amp;""))="membership"),"",IF(OR(AND($H371&lt;&gt;"",$H371=0),LEFT(LOWER(TRIM($F371&amp;"")),9)="free game",LOWER(TRIM($F371&amp;""))="free",LOWER(TRIM($F371&amp;""))="free entry"),IF(ISNUMBER($G371),IF(ISNUMBER(SEARCH("non",LOWER($E371&amp;""))),$G371*0.85,$G371),"N/A"),IF($G371="","",IFERROR(IF(ISNUMBER(SEARCH("non",LOWER($E371&amp;""))),$G371*0.85,$G371),"")))))</ns0:f>
        <ns0:v/>
      </ns0:c>
      <ns0:c r="O371" s="987" t="str">
        <ns0:f>IF(COUNTA($A371:$M371)=0,"",IF(OR(LEFT(LOWER(TRIM($F371&amp;"")),12)="subscription",LOWER(TRIM($F371&amp;""))="membership"),"",IF(OR(AND($H371&lt;&gt;"",$H371=0),LEFT(LOWER(TRIM($F371&amp;"")),9)="free game",LOWER(TRIM($F371&amp;""))="free",LOWER(TRIM($F371&amp;""))="free entry"),IF(OR(NOT(ISNUMBER($N371)),NOT(ISNUMBER($I371)),$I371=0),"N/A",IFERROR($N371/$I371,"N/A")),IF(OR($N371="",$I371="",$I371=0),"",IFERROR($N371/$I371,"")))))</ns0:f>
        <ns0:v/>
      </ns0:c>
      <ns0:c r="P371" s="987">
        <ns0:f>IF(COUNTA($A371:$M371)=0,"",IF(OR(LEFT(LOWER(TRIM($F371&amp;"")),12)="subscription",LOWER(TRIM($F371&amp;""))="membership"),"",IF(LOWER(TRIM($D371&amp;""))="estimate","N/A",IF(LOWER($L371&amp;"")="yes",0,IF(OR(AND($H371&lt;&gt;"",$H371=0),LEFT(LOWER(TRIM($F371&amp;"")),9)="free game",LOWER(TRIM($F371&amp;""))="free",LOWER(TRIM($F371&amp;""))="free entry"),IF(ISNUMBER($K371),$K371,""),IF($K371&lt;&gt;"",$K371,""))))))</ns0:f>
      </ns0:c>
      <ns0:c r="Q371" s="114">
        <ns0:f>IF(COUNTA($A371:$M371)=0,"",IF(OR($U371="Subscription",$U371=""),"",IF($U371="Estimate","N/A",IF($U371="Profit",ROUND(IFERROR($P371,0)-IFERROR($H371,0),2),0))))</ns0:f>
      </ns0:c>
      <ns0:c r="R371" s="114">
        <ns0:f>IF(COUNTA($A371:$M371)=0,"",IF(OR($U371="Subscription",$U371=""),"",IF($U371="Estimate","N/A",IF($U371="Draw",$H371,0))))</ns0:f>
      </ns0:c>
      <ns0:c r="S371" s="114">
        <ns0:f>IF(COUNTA($A371:$M371)=0,"",IF(OR($U371="Subscription",$U371=""),"",IF($U371="Estimate","N/A",IF($U371="Disqualified",$H371,0))))</ns0:f>
      </ns0:c>
      <ns0:c r="T371" s="955">
        <ns0:f>IF(COUNTA($A371:$M371)=0,"",IF(OR($U371="Subscription",$U371=""),"",IF($U371="Estimate","N/A",IF(OR($U371="Free Game",$U371="Disqualified — Free Game",$H371=0),"N/A",IF($U371="Profit",$Q371/$H371,IF($U371="Disqualified",-$S371/$H371,0))))))</ns0:f>
      </ns0:c>
      <ns0:c r="U371" s="920">
        <ns0:f>IF(COUNTA($A371:$M371)=0,"",IF(OR(LEFT(LOWER(TRIM($F371&amp;"")),12)="subscription",LOWER(TRIM($F371&amp;""))="membership"),"Subscription",IF(LOWER(TRIM($D371&amp;""))="estimate","Estimate",IF(OR(AND($H371&lt;&gt;"",$H371=0),LEFT(LOWER(TRIM($F371&amp;"")),9)="free game",LOWER(TRIM($F371&amp;""))="free",LOWER(TRIM($F371&amp;""))="free entry"),IF(LOWER($L371&amp;"")="yes","Disqualified — Free Game","Free Game"),IF(LOWER($L371&amp;"")="yes","Disqualified",IF($P371="","",IF(ROUND(IFERROR(VALUE($P371),0)-IFERROR(VALUE($H371),0),2)&gt;0,"Profit","Draw")))))))</ns0:f>
      </ns0:c>
      <ns0:c r="V371" s="956" t="str">
        <ns0:f>IF(COUNTA($A371:$M371)=0,"",IF(OR($B371="",$C371="",$U371="Subscription"),"",IFERROR(ROUNDUP(($C371-$B371)/7,0),"")))</ns0:f>
      </ns0:c>
      <ns0:c r="W371" s="114">
        <ns0:f>IF(COUNTA($A371:$M371)=0,"",IF(OR($U371="Subscription",$U371=""),"",IF($U371="Estimate","N/A",IF(OR($U371="Free Game",$U371="Disqualified — Free Game"),0,ROUND(IFERROR($Q371,0)-IFERROR($S371,0),2)))))</ns0:f>
      </ns0:c>
      <ns0:c r="X371" s="956" t="str">
        <ns0:f>IF(COUNTA($A371:$M371)=0,"",IF(OR($U371="Subscription",NOT(ISNUMBER($J371)),NOT(ISNUMBER($I371)),$J371=0,$I371=0,$I371&gt;$J371),"",$J371-$I371))</ns0:f>
      </ns0:c>
      <ns0:c r="Y371" s="955" t="str">
        <ns0:f>IF(COUNTA($A371:$M371)=0,"",IF(OR($U371="Subscription",NOT(ISNUMBER($J371)),$J371=0,$X371=""),"",$X371/$J371))</ns0:f>
      </ns0:c>
      <ns0:c r="Z371" s="957" t="str">
        <ns0:f>IF(COUNTA($A371:$M371)=0,"",Instructions!$B$29+SUM($W$5:W371))</ns0:f>
      </ns0:c>
    </ns0:row>
    <ns0:row r="372" ht="36" customHeight="1">
      <ns0:c r="A372" s="439"/>
      <ns0:c r="B372" s="453"/>
      <ns0:c r="C372" s="453"/>
      <ns0:c r="D372" s="454"/>
      <ns0:c r="E372" s="454"/>
      <ns0:c r="F372" s="454"/>
      <ns0:c r="G372" s="986"/>
      <ns0:c r="H372" s="455"/>
      <ns0:c r="I372" s="456"/>
      <ns0:c r="J372" s="456"/>
      <ns0:c r="K372" s="986"/>
      <ns0:c r="L372" s="454"/>
      <ns0:c r="M372" s="439"/>
      <ns0:c r="N372" s="987" t="str">
        <ns0:f>IF(COUNTA($A372:$M372)=0,"",IF(OR(LEFT(LOWER(TRIM($F372&amp;"")),12)="subscription",LOWER(TRIM($F372&amp;""))="membership"),"",IF(OR(AND($H372&lt;&gt;"",$H372=0),LEFT(LOWER(TRIM($F372&amp;"")),9)="free game",LOWER(TRIM($F372&amp;""))="free",LOWER(TRIM($F372&amp;""))="free entry"),IF(ISNUMBER($G372),IF(ISNUMBER(SEARCH("non",LOWER($E372&amp;""))),$G372*0.85,$G372),"N/A"),IF($G372="","",IFERROR(IF(ISNUMBER(SEARCH("non",LOWER($E372&amp;""))),$G372*0.85,$G372),"")))))</ns0:f>
        <ns0:v/>
      </ns0:c>
      <ns0:c r="O372" s="987" t="str">
        <ns0:f>IF(COUNTA($A372:$M372)=0,"",IF(OR(LEFT(LOWER(TRIM($F372&amp;"")),12)="subscription",LOWER(TRIM($F372&amp;""))="membership"),"",IF(OR(AND($H372&lt;&gt;"",$H372=0),LEFT(LOWER(TRIM($F372&amp;"")),9)="free game",LOWER(TRIM($F372&amp;""))="free",LOWER(TRIM($F372&amp;""))="free entry"),IF(OR(NOT(ISNUMBER($N372)),NOT(ISNUMBER($I372)),$I372=0),"N/A",IFERROR($N372/$I372,"N/A")),IF(OR($N372="",$I372="",$I372=0),"",IFERROR($N372/$I372,"")))))</ns0:f>
        <ns0:v/>
      </ns0:c>
      <ns0:c r="P372" s="987">
        <ns0:f>IF(COUNTA($A372:$M372)=0,"",IF(OR(LEFT(LOWER(TRIM($F372&amp;"")),12)="subscription",LOWER(TRIM($F372&amp;""))="membership"),"",IF(LOWER(TRIM($D372&amp;""))="estimate","N/A",IF(LOWER($L372&amp;"")="yes",0,IF(OR(AND($H372&lt;&gt;"",$H372=0),LEFT(LOWER(TRIM($F372&amp;"")),9)="free game",LOWER(TRIM($F372&amp;""))="free",LOWER(TRIM($F372&amp;""))="free entry"),IF(ISNUMBER($K372),$K372,""),IF($K372&lt;&gt;"",$K372,""))))))</ns0:f>
      </ns0:c>
      <ns0:c r="Q372" s="114">
        <ns0:f>IF(COUNTA($A372:$M372)=0,"",IF(OR($U372="Subscription",$U372=""),"",IF($U372="Estimate","N/A",IF($U372="Profit",ROUND(IFERROR($P372,0)-IFERROR($H372,0),2),0))))</ns0:f>
      </ns0:c>
      <ns0:c r="R372" s="114">
        <ns0:f>IF(COUNTA($A372:$M372)=0,"",IF(OR($U372="Subscription",$U372=""),"",IF($U372="Estimate","N/A",IF($U372="Draw",$H372,0))))</ns0:f>
      </ns0:c>
      <ns0:c r="S372" s="114">
        <ns0:f>IF(COUNTA($A372:$M372)=0,"",IF(OR($U372="Subscription",$U372=""),"",IF($U372="Estimate","N/A",IF($U372="Disqualified",$H372,0))))</ns0:f>
      </ns0:c>
      <ns0:c r="T372" s="955">
        <ns0:f>IF(COUNTA($A372:$M372)=0,"",IF(OR($U372="Subscription",$U372=""),"",IF($U372="Estimate","N/A",IF(OR($U372="Free Game",$U372="Disqualified — Free Game",$H372=0),"N/A",IF($U372="Profit",$Q372/$H372,IF($U372="Disqualified",-$S372/$H372,0))))))</ns0:f>
      </ns0:c>
      <ns0:c r="U372" s="920">
        <ns0:f>IF(COUNTA($A372:$M372)=0,"",IF(OR(LEFT(LOWER(TRIM($F372&amp;"")),12)="subscription",LOWER(TRIM($F372&amp;""))="membership"),"Subscription",IF(LOWER(TRIM($D372&amp;""))="estimate","Estimate",IF(OR(AND($H372&lt;&gt;"",$H372=0),LEFT(LOWER(TRIM($F372&amp;"")),9)="free game",LOWER(TRIM($F372&amp;""))="free",LOWER(TRIM($F372&amp;""))="free entry"),IF(LOWER($L372&amp;"")="yes","Disqualified — Free Game","Free Game"),IF(LOWER($L372&amp;"")="yes","Disqualified",IF($P372="","",IF(ROUND(IFERROR(VALUE($P372),0)-IFERROR(VALUE($H372),0),2)&gt;0,"Profit","Draw")))))))</ns0:f>
      </ns0:c>
      <ns0:c r="V372" s="956" t="str">
        <ns0:f>IF(COUNTA($A372:$M372)=0,"",IF(OR($B372="",$C372="",$U372="Subscription"),"",IFERROR(ROUNDUP(($C372-$B372)/7,0),"")))</ns0:f>
      </ns0:c>
      <ns0:c r="W372" s="114">
        <ns0:f>IF(COUNTA($A372:$M372)=0,"",IF(OR($U372="Subscription",$U372=""),"",IF($U372="Estimate","N/A",IF(OR($U372="Free Game",$U372="Disqualified — Free Game"),0,ROUND(IFERROR($Q372,0)-IFERROR($S372,0),2)))))</ns0:f>
      </ns0:c>
      <ns0:c r="X372" s="956" t="str">
        <ns0:f>IF(COUNTA($A372:$M372)=0,"",IF(OR($U372="Subscription",NOT(ISNUMBER($J372)),NOT(ISNUMBER($I372)),$J372=0,$I372=0,$I372&gt;$J372),"",$J372-$I372))</ns0:f>
      </ns0:c>
      <ns0:c r="Y372" s="955" t="str">
        <ns0:f>IF(COUNTA($A372:$M372)=0,"",IF(OR($U372="Subscription",NOT(ISNUMBER($J372)),$J372=0,$X372=""),"",$X372/$J372))</ns0:f>
      </ns0:c>
      <ns0:c r="Z372" s="957" t="str">
        <ns0:f>IF(COUNTA($A372:$M372)=0,"",Instructions!$B$29+SUM($W$5:W372))</ns0:f>
      </ns0:c>
    </ns0:row>
    <ns0:row r="373" ht="36" customHeight="1">
      <ns0:c r="A373" s="439"/>
      <ns0:c r="B373" s="453"/>
      <ns0:c r="C373" s="453"/>
      <ns0:c r="D373" s="454"/>
      <ns0:c r="E373" s="454"/>
      <ns0:c r="F373" s="454"/>
      <ns0:c r="G373" s="986"/>
      <ns0:c r="H373" s="455"/>
      <ns0:c r="I373" s="456"/>
      <ns0:c r="J373" s="456"/>
      <ns0:c r="K373" s="986"/>
      <ns0:c r="L373" s="454"/>
      <ns0:c r="M373" s="439"/>
      <ns0:c r="N373" s="987" t="str">
        <ns0:f>IF(COUNTA($A373:$M373)=0,"",IF(OR(LEFT(LOWER(TRIM($F373&amp;"")),12)="subscription",LOWER(TRIM($F373&amp;""))="membership"),"",IF(OR(AND($H373&lt;&gt;"",$H373=0),LEFT(LOWER(TRIM($F373&amp;"")),9)="free game",LOWER(TRIM($F373&amp;""))="free",LOWER(TRIM($F373&amp;""))="free entry"),IF(ISNUMBER($G373),IF(ISNUMBER(SEARCH("non",LOWER($E373&amp;""))),$G373*0.85,$G373),"N/A"),IF($G373="","",IFERROR(IF(ISNUMBER(SEARCH("non",LOWER($E373&amp;""))),$G373*0.85,$G373),"")))))</ns0:f>
        <ns0:v/>
      </ns0:c>
      <ns0:c r="O373" s="987" t="str">
        <ns0:f>IF(COUNTA($A373:$M373)=0,"",IF(OR(LEFT(LOWER(TRIM($F373&amp;"")),12)="subscription",LOWER(TRIM($F373&amp;""))="membership"),"",IF(OR(AND($H373&lt;&gt;"",$H373=0),LEFT(LOWER(TRIM($F373&amp;"")),9)="free game",LOWER(TRIM($F373&amp;""))="free",LOWER(TRIM($F373&amp;""))="free entry"),IF(OR(NOT(ISNUMBER($N373)),NOT(ISNUMBER($I373)),$I373=0),"N/A",IFERROR($N373/$I373,"N/A")),IF(OR($N373="",$I373="",$I373=0),"",IFERROR($N373/$I373,"")))))</ns0:f>
        <ns0:v/>
      </ns0:c>
      <ns0:c r="P373" s="987">
        <ns0:f>IF(COUNTA($A373:$M373)=0,"",IF(OR(LEFT(LOWER(TRIM($F373&amp;"")),12)="subscription",LOWER(TRIM($F373&amp;""))="membership"),"",IF(LOWER(TRIM($D373&amp;""))="estimate","N/A",IF(LOWER($L373&amp;"")="yes",0,IF(OR(AND($H373&lt;&gt;"",$H373=0),LEFT(LOWER(TRIM($F373&amp;"")),9)="free game",LOWER(TRIM($F373&amp;""))="free",LOWER(TRIM($F373&amp;""))="free entry"),IF(ISNUMBER($K373),$K373,""),IF($K373&lt;&gt;"",$K373,""))))))</ns0:f>
      </ns0:c>
      <ns0:c r="Q373" s="114">
        <ns0:f>IF(COUNTA($A373:$M373)=0,"",IF(OR($U373="Subscription",$U373=""),"",IF($U373="Estimate","N/A",IF($U373="Profit",ROUND(IFERROR($P373,0)-IFERROR($H373,0),2),0))))</ns0:f>
      </ns0:c>
      <ns0:c r="R373" s="114">
        <ns0:f>IF(COUNTA($A373:$M373)=0,"",IF(OR($U373="Subscription",$U373=""),"",IF($U373="Estimate","N/A",IF($U373="Draw",$H373,0))))</ns0:f>
      </ns0:c>
      <ns0:c r="S373" s="114">
        <ns0:f>IF(COUNTA($A373:$M373)=0,"",IF(OR($U373="Subscription",$U373=""),"",IF($U373="Estimate","N/A",IF($U373="Disqualified",$H373,0))))</ns0:f>
      </ns0:c>
      <ns0:c r="T373" s="955">
        <ns0:f>IF(COUNTA($A373:$M373)=0,"",IF(OR($U373="Subscription",$U373=""),"",IF($U373="Estimate","N/A",IF(OR($U373="Free Game",$U373="Disqualified — Free Game",$H373=0),"N/A",IF($U373="Profit",$Q373/$H373,IF($U373="Disqualified",-$S373/$H373,0))))))</ns0:f>
      </ns0:c>
      <ns0:c r="U373" s="920">
        <ns0:f>IF(COUNTA($A373:$M373)=0,"",IF(OR(LEFT(LOWER(TRIM($F373&amp;"")),12)="subscription",LOWER(TRIM($F373&amp;""))="membership"),"Subscription",IF(LOWER(TRIM($D373&amp;""))="estimate","Estimate",IF(OR(AND($H373&lt;&gt;"",$H373=0),LEFT(LOWER(TRIM($F373&amp;"")),9)="free game",LOWER(TRIM($F373&amp;""))="free",LOWER(TRIM($F373&amp;""))="free entry"),IF(LOWER($L373&amp;"")="yes","Disqualified — Free Game","Free Game"),IF(LOWER($L373&amp;"")="yes","Disqualified",IF($P373="","",IF(ROUND(IFERROR(VALUE($P373),0)-IFERROR(VALUE($H373),0),2)&gt;0,"Profit","Draw")))))))</ns0:f>
      </ns0:c>
      <ns0:c r="V373" s="956" t="str">
        <ns0:f>IF(COUNTA($A373:$M373)=0,"",IF(OR($B373="",$C373="",$U373="Subscription"),"",IFERROR(ROUNDUP(($C373-$B373)/7,0),"")))</ns0:f>
      </ns0:c>
      <ns0:c r="W373" s="114">
        <ns0:f>IF(COUNTA($A373:$M373)=0,"",IF(OR($U373="Subscription",$U373=""),"",IF($U373="Estimate","N/A",IF(OR($U373="Free Game",$U373="Disqualified — Free Game"),0,ROUND(IFERROR($Q373,0)-IFERROR($S373,0),2)))))</ns0:f>
      </ns0:c>
      <ns0:c r="X373" s="956" t="str">
        <ns0:f>IF(COUNTA($A373:$M373)=0,"",IF(OR($U373="Subscription",NOT(ISNUMBER($J373)),NOT(ISNUMBER($I373)),$J373=0,$I373=0,$I373&gt;$J373),"",$J373-$I373))</ns0:f>
      </ns0:c>
      <ns0:c r="Y373" s="955" t="str">
        <ns0:f>IF(COUNTA($A373:$M373)=0,"",IF(OR($U373="Subscription",NOT(ISNUMBER($J373)),$J373=0,$X373=""),"",$X373/$J373))</ns0:f>
      </ns0:c>
      <ns0:c r="Z373" s="957" t="str">
        <ns0:f>IF(COUNTA($A373:$M373)=0,"",Instructions!$B$29+SUM($W$5:W373))</ns0:f>
      </ns0:c>
    </ns0:row>
    <ns0:row r="374" ht="36" customHeight="1">
      <ns0:c r="A374" s="439"/>
      <ns0:c r="B374" s="453"/>
      <ns0:c r="C374" s="453"/>
      <ns0:c r="D374" s="454"/>
      <ns0:c r="E374" s="454"/>
      <ns0:c r="F374" s="454"/>
      <ns0:c r="G374" s="986"/>
      <ns0:c r="H374" s="455"/>
      <ns0:c r="I374" s="456"/>
      <ns0:c r="J374" s="456"/>
      <ns0:c r="K374" s="986"/>
      <ns0:c r="L374" s="454"/>
      <ns0:c r="M374" s="439"/>
      <ns0:c r="N374" s="987" t="str">
        <ns0:f>IF(COUNTA($A374:$M374)=0,"",IF(OR(LEFT(LOWER(TRIM($F374&amp;"")),12)="subscription",LOWER(TRIM($F374&amp;""))="membership"),"",IF(OR(AND($H374&lt;&gt;"",$H374=0),LEFT(LOWER(TRIM($F374&amp;"")),9)="free game",LOWER(TRIM($F374&amp;""))="free",LOWER(TRIM($F374&amp;""))="free entry"),IF(ISNUMBER($G374),IF(ISNUMBER(SEARCH("non",LOWER($E374&amp;""))),$G374*0.85,$G374),"N/A"),IF($G374="","",IFERROR(IF(ISNUMBER(SEARCH("non",LOWER($E374&amp;""))),$G374*0.85,$G374),"")))))</ns0:f>
        <ns0:v/>
      </ns0:c>
      <ns0:c r="O374" s="987" t="str">
        <ns0:f>IF(COUNTA($A374:$M374)=0,"",IF(OR(LEFT(LOWER(TRIM($F374&amp;"")),12)="subscription",LOWER(TRIM($F374&amp;""))="membership"),"",IF(OR(AND($H374&lt;&gt;"",$H374=0),LEFT(LOWER(TRIM($F374&amp;"")),9)="free game",LOWER(TRIM($F374&amp;""))="free",LOWER(TRIM($F374&amp;""))="free entry"),IF(OR(NOT(ISNUMBER($N374)),NOT(ISNUMBER($I374)),$I374=0),"N/A",IFERROR($N374/$I374,"N/A")),IF(OR($N374="",$I374="",$I374=0),"",IFERROR($N374/$I374,"")))))</ns0:f>
        <ns0:v/>
      </ns0:c>
      <ns0:c r="P374" s="987">
        <ns0:f>IF(COUNTA($A374:$M374)=0,"",IF(OR(LEFT(LOWER(TRIM($F374&amp;"")),12)="subscription",LOWER(TRIM($F374&amp;""))="membership"),"",IF(LOWER(TRIM($D374&amp;""))="estimate","N/A",IF(LOWER($L374&amp;"")="yes",0,IF(OR(AND($H374&lt;&gt;"",$H374=0),LEFT(LOWER(TRIM($F374&amp;"")),9)="free game",LOWER(TRIM($F374&amp;""))="free",LOWER(TRIM($F374&amp;""))="free entry"),IF(ISNUMBER($K374),$K374,""),IF($K374&lt;&gt;"",$K374,""))))))</ns0:f>
      </ns0:c>
      <ns0:c r="Q374" s="114">
        <ns0:f>IF(COUNTA($A374:$M374)=0,"",IF(OR($U374="Subscription",$U374=""),"",IF($U374="Estimate","N/A",IF($U374="Profit",ROUND(IFERROR($P374,0)-IFERROR($H374,0),2),0))))</ns0:f>
      </ns0:c>
      <ns0:c r="R374" s="114">
        <ns0:f>IF(COUNTA($A374:$M374)=0,"",IF(OR($U374="Subscription",$U374=""),"",IF($U374="Estimate","N/A",IF($U374="Draw",$H374,0))))</ns0:f>
      </ns0:c>
      <ns0:c r="S374" s="114">
        <ns0:f>IF(COUNTA($A374:$M374)=0,"",IF(OR($U374="Subscription",$U374=""),"",IF($U374="Estimate","N/A",IF($U374="Disqualified",$H374,0))))</ns0:f>
      </ns0:c>
      <ns0:c r="T374" s="955">
        <ns0:f>IF(COUNTA($A374:$M374)=0,"",IF(OR($U374="Subscription",$U374=""),"",IF($U374="Estimate","N/A",IF(OR($U374="Free Game",$U374="Disqualified — Free Game",$H374=0),"N/A",IF($U374="Profit",$Q374/$H374,IF($U374="Disqualified",-$S374/$H374,0))))))</ns0:f>
      </ns0:c>
      <ns0:c r="U374" s="920">
        <ns0:f>IF(COUNTA($A374:$M374)=0,"",IF(OR(LEFT(LOWER(TRIM($F374&amp;"")),12)="subscription",LOWER(TRIM($F374&amp;""))="membership"),"Subscription",IF(LOWER(TRIM($D374&amp;""))="estimate","Estimate",IF(OR(AND($H374&lt;&gt;"",$H374=0),LEFT(LOWER(TRIM($F374&amp;"")),9)="free game",LOWER(TRIM($F374&amp;""))="free",LOWER(TRIM($F374&amp;""))="free entry"),IF(LOWER($L374&amp;"")="yes","Disqualified — Free Game","Free Game"),IF(LOWER($L374&amp;"")="yes","Disqualified",IF($P374="","",IF(ROUND(IFERROR(VALUE($P374),0)-IFERROR(VALUE($H374),0),2)&gt;0,"Profit","Draw")))))))</ns0:f>
      </ns0:c>
      <ns0:c r="V374" s="956" t="str">
        <ns0:f>IF(COUNTA($A374:$M374)=0,"",IF(OR($B374="",$C374="",$U374="Subscription"),"",IFERROR(ROUNDUP(($C374-$B374)/7,0),"")))</ns0:f>
      </ns0:c>
      <ns0:c r="W374" s="114">
        <ns0:f>IF(COUNTA($A374:$M374)=0,"",IF(OR($U374="Subscription",$U374=""),"",IF($U374="Estimate","N/A",IF(OR($U374="Free Game",$U374="Disqualified — Free Game"),0,ROUND(IFERROR($Q374,0)-IFERROR($S374,0),2)))))</ns0:f>
      </ns0:c>
      <ns0:c r="X374" s="956" t="str">
        <ns0:f>IF(COUNTA($A374:$M374)=0,"",IF(OR($U374="Subscription",NOT(ISNUMBER($J374)),NOT(ISNUMBER($I374)),$J374=0,$I374=0,$I374&gt;$J374),"",$J374-$I374))</ns0:f>
      </ns0:c>
      <ns0:c r="Y374" s="955" t="str">
        <ns0:f>IF(COUNTA($A374:$M374)=0,"",IF(OR($U374="Subscription",NOT(ISNUMBER($J374)),$J374=0,$X374=""),"",$X374/$J374))</ns0:f>
      </ns0:c>
      <ns0:c r="Z374" s="957" t="str">
        <ns0:f>IF(COUNTA($A374:$M374)=0,"",Instructions!$B$29+SUM($W$5:W374))</ns0:f>
      </ns0:c>
    </ns0:row>
    <ns0:row r="375" ht="36" customHeight="1">
      <ns0:c r="A375" s="439"/>
      <ns0:c r="B375" s="453"/>
      <ns0:c r="C375" s="453"/>
      <ns0:c r="D375" s="454"/>
      <ns0:c r="E375" s="454"/>
      <ns0:c r="F375" s="454"/>
      <ns0:c r="G375" s="986"/>
      <ns0:c r="H375" s="455"/>
      <ns0:c r="I375" s="456"/>
      <ns0:c r="J375" s="456"/>
      <ns0:c r="K375" s="986"/>
      <ns0:c r="L375" s="454"/>
      <ns0:c r="M375" s="439"/>
      <ns0:c r="N375" s="987" t="str">
        <ns0:f>IF(COUNTA($A375:$M375)=0,"",IF(OR(LEFT(LOWER(TRIM($F375&amp;"")),12)="subscription",LOWER(TRIM($F375&amp;""))="membership"),"",IF(OR(AND($H375&lt;&gt;"",$H375=0),LEFT(LOWER(TRIM($F375&amp;"")),9)="free game",LOWER(TRIM($F375&amp;""))="free",LOWER(TRIM($F375&amp;""))="free entry"),IF(ISNUMBER($G375),IF(ISNUMBER(SEARCH("non",LOWER($E375&amp;""))),$G375*0.85,$G375),"N/A"),IF($G375="","",IFERROR(IF(ISNUMBER(SEARCH("non",LOWER($E375&amp;""))),$G375*0.85,$G375),"")))))</ns0:f>
        <ns0:v/>
      </ns0:c>
      <ns0:c r="O375" s="987" t="str">
        <ns0:f>IF(COUNTA($A375:$M375)=0,"",IF(OR(LEFT(LOWER(TRIM($F375&amp;"")),12)="subscription",LOWER(TRIM($F375&amp;""))="membership"),"",IF(OR(AND($H375&lt;&gt;"",$H375=0),LEFT(LOWER(TRIM($F375&amp;"")),9)="free game",LOWER(TRIM($F375&amp;""))="free",LOWER(TRIM($F375&amp;""))="free entry"),IF(OR(NOT(ISNUMBER($N375)),NOT(ISNUMBER($I375)),$I375=0),"N/A",IFERROR($N375/$I375,"N/A")),IF(OR($N375="",$I375="",$I375=0),"",IFERROR($N375/$I375,"")))))</ns0:f>
        <ns0:v/>
      </ns0:c>
      <ns0:c r="P375" s="987">
        <ns0:f>IF(COUNTA($A375:$M375)=0,"",IF(OR(LEFT(LOWER(TRIM($F375&amp;"")),12)="subscription",LOWER(TRIM($F375&amp;""))="membership"),"",IF(LOWER(TRIM($D375&amp;""))="estimate","N/A",IF(LOWER($L375&amp;"")="yes",0,IF(OR(AND($H375&lt;&gt;"",$H375=0),LEFT(LOWER(TRIM($F375&amp;"")),9)="free game",LOWER(TRIM($F375&amp;""))="free",LOWER(TRIM($F375&amp;""))="free entry"),IF(ISNUMBER($K375),$K375,""),IF($K375&lt;&gt;"",$K375,""))))))</ns0:f>
      </ns0:c>
      <ns0:c r="Q375" s="114">
        <ns0:f>IF(COUNTA($A375:$M375)=0,"",IF(OR($U375="Subscription",$U375=""),"",IF($U375="Estimate","N/A",IF($U375="Profit",ROUND(IFERROR($P375,0)-IFERROR($H375,0),2),0))))</ns0:f>
      </ns0:c>
      <ns0:c r="R375" s="114">
        <ns0:f>IF(COUNTA($A375:$M375)=0,"",IF(OR($U375="Subscription",$U375=""),"",IF($U375="Estimate","N/A",IF($U375="Draw",$H375,0))))</ns0:f>
      </ns0:c>
      <ns0:c r="S375" s="114">
        <ns0:f>IF(COUNTA($A375:$M375)=0,"",IF(OR($U375="Subscription",$U375=""),"",IF($U375="Estimate","N/A",IF($U375="Disqualified",$H375,0))))</ns0:f>
      </ns0:c>
      <ns0:c r="T375" s="955">
        <ns0:f>IF(COUNTA($A375:$M375)=0,"",IF(OR($U375="Subscription",$U375=""),"",IF($U375="Estimate","N/A",IF(OR($U375="Free Game",$U375="Disqualified — Free Game",$H375=0),"N/A",IF($U375="Profit",$Q375/$H375,IF($U375="Disqualified",-$S375/$H375,0))))))</ns0:f>
      </ns0:c>
      <ns0:c r="U375" s="920">
        <ns0:f>IF(COUNTA($A375:$M375)=0,"",IF(OR(LEFT(LOWER(TRIM($F375&amp;"")),12)="subscription",LOWER(TRIM($F375&amp;""))="membership"),"Subscription",IF(LOWER(TRIM($D375&amp;""))="estimate","Estimate",IF(OR(AND($H375&lt;&gt;"",$H375=0),LEFT(LOWER(TRIM($F375&amp;"")),9)="free game",LOWER(TRIM($F375&amp;""))="free",LOWER(TRIM($F375&amp;""))="free entry"),IF(LOWER($L375&amp;"")="yes","Disqualified — Free Game","Free Game"),IF(LOWER($L375&amp;"")="yes","Disqualified",IF($P375="","",IF(ROUND(IFERROR(VALUE($P375),0)-IFERROR(VALUE($H375),0),2)&gt;0,"Profit","Draw")))))))</ns0:f>
      </ns0:c>
      <ns0:c r="V375" s="956" t="str">
        <ns0:f>IF(COUNTA($A375:$M375)=0,"",IF(OR($B375="",$C375="",$U375="Subscription"),"",IFERROR(ROUNDUP(($C375-$B375)/7,0),"")))</ns0:f>
      </ns0:c>
      <ns0:c r="W375" s="114">
        <ns0:f>IF(COUNTA($A375:$M375)=0,"",IF(OR($U375="Subscription",$U375=""),"",IF($U375="Estimate","N/A",IF(OR($U375="Free Game",$U375="Disqualified — Free Game"),0,ROUND(IFERROR($Q375,0)-IFERROR($S375,0),2)))))</ns0:f>
      </ns0:c>
      <ns0:c r="X375" s="956" t="str">
        <ns0:f>IF(COUNTA($A375:$M375)=0,"",IF(OR($U375="Subscription",NOT(ISNUMBER($J375)),NOT(ISNUMBER($I375)),$J375=0,$I375=0,$I375&gt;$J375),"",$J375-$I375))</ns0:f>
      </ns0:c>
      <ns0:c r="Y375" s="955" t="str">
        <ns0:f>IF(COUNTA($A375:$M375)=0,"",IF(OR($U375="Subscription",NOT(ISNUMBER($J375)),$J375=0,$X375=""),"",$X375/$J375))</ns0:f>
      </ns0:c>
      <ns0:c r="Z375" s="957" t="str">
        <ns0:f>IF(COUNTA($A375:$M375)=0,"",Instructions!$B$29+SUM($W$5:W375))</ns0:f>
      </ns0:c>
    </ns0:row>
    <ns0:row r="376" ht="36" customHeight="1">
      <ns0:c r="A376" s="439"/>
      <ns0:c r="B376" s="453"/>
      <ns0:c r="C376" s="453"/>
      <ns0:c r="D376" s="454"/>
      <ns0:c r="E376" s="454"/>
      <ns0:c r="F376" s="454"/>
      <ns0:c r="G376" s="986"/>
      <ns0:c r="H376" s="455"/>
      <ns0:c r="I376" s="456"/>
      <ns0:c r="J376" s="456"/>
      <ns0:c r="K376" s="986"/>
      <ns0:c r="L376" s="454"/>
      <ns0:c r="M376" s="439"/>
      <ns0:c r="N376" s="987" t="str">
        <ns0:f>IF(COUNTA($A376:$M376)=0,"",IF(OR(LEFT(LOWER(TRIM($F376&amp;"")),12)="subscription",LOWER(TRIM($F376&amp;""))="membership"),"",IF(OR(AND($H376&lt;&gt;"",$H376=0),LEFT(LOWER(TRIM($F376&amp;"")),9)="free game",LOWER(TRIM($F376&amp;""))="free",LOWER(TRIM($F376&amp;""))="free entry"),IF(ISNUMBER($G376),IF(ISNUMBER(SEARCH("non",LOWER($E376&amp;""))),$G376*0.85,$G376),"N/A"),IF($G376="","",IFERROR(IF(ISNUMBER(SEARCH("non",LOWER($E376&amp;""))),$G376*0.85,$G376),"")))))</ns0:f>
        <ns0:v/>
      </ns0:c>
      <ns0:c r="O376" s="987" t="str">
        <ns0:f>IF(COUNTA($A376:$M376)=0,"",IF(OR(LEFT(LOWER(TRIM($F376&amp;"")),12)="subscription",LOWER(TRIM($F376&amp;""))="membership"),"",IF(OR(AND($H376&lt;&gt;"",$H376=0),LEFT(LOWER(TRIM($F376&amp;"")),9)="free game",LOWER(TRIM($F376&amp;""))="free",LOWER(TRIM($F376&amp;""))="free entry"),IF(OR(NOT(ISNUMBER($N376)),NOT(ISNUMBER($I376)),$I376=0),"N/A",IFERROR($N376/$I376,"N/A")),IF(OR($N376="",$I376="",$I376=0),"",IFERROR($N376/$I376,"")))))</ns0:f>
        <ns0:v/>
      </ns0:c>
      <ns0:c r="P376" s="987">
        <ns0:f>IF(COUNTA($A376:$M376)=0,"",IF(OR(LEFT(LOWER(TRIM($F376&amp;"")),12)="subscription",LOWER(TRIM($F376&amp;""))="membership"),"",IF(LOWER(TRIM($D376&amp;""))="estimate","N/A",IF(LOWER($L376&amp;"")="yes",0,IF(OR(AND($H376&lt;&gt;"",$H376=0),LEFT(LOWER(TRIM($F376&amp;"")),9)="free game",LOWER(TRIM($F376&amp;""))="free",LOWER(TRIM($F376&amp;""))="free entry"),IF(ISNUMBER($K376),$K376,""),IF($K376&lt;&gt;"",$K376,""))))))</ns0:f>
      </ns0:c>
      <ns0:c r="Q376" s="114">
        <ns0:f>IF(COUNTA($A376:$M376)=0,"",IF(OR($U376="Subscription",$U376=""),"",IF($U376="Estimate","N/A",IF($U376="Profit",ROUND(IFERROR($P376,0)-IFERROR($H376,0),2),0))))</ns0:f>
      </ns0:c>
      <ns0:c r="R376" s="114">
        <ns0:f>IF(COUNTA($A376:$M376)=0,"",IF(OR($U376="Subscription",$U376=""),"",IF($U376="Estimate","N/A",IF($U376="Draw",$H376,0))))</ns0:f>
      </ns0:c>
      <ns0:c r="S376" s="114">
        <ns0:f>IF(COUNTA($A376:$M376)=0,"",IF(OR($U376="Subscription",$U376=""),"",IF($U376="Estimate","N/A",IF($U376="Disqualified",$H376,0))))</ns0:f>
      </ns0:c>
      <ns0:c r="T376" s="955">
        <ns0:f>IF(COUNTA($A376:$M376)=0,"",IF(OR($U376="Subscription",$U376=""),"",IF($U376="Estimate","N/A",IF(OR($U376="Free Game",$U376="Disqualified — Free Game",$H376=0),"N/A",IF($U376="Profit",$Q376/$H376,IF($U376="Disqualified",-$S376/$H376,0))))))</ns0:f>
      </ns0:c>
      <ns0:c r="U376" s="920">
        <ns0:f>IF(COUNTA($A376:$M376)=0,"",IF(OR(LEFT(LOWER(TRIM($F376&amp;"")),12)="subscription",LOWER(TRIM($F376&amp;""))="membership"),"Subscription",IF(LOWER(TRIM($D376&amp;""))="estimate","Estimate",IF(OR(AND($H376&lt;&gt;"",$H376=0),LEFT(LOWER(TRIM($F376&amp;"")),9)="free game",LOWER(TRIM($F376&amp;""))="free",LOWER(TRIM($F376&amp;""))="free entry"),IF(LOWER($L376&amp;"")="yes","Disqualified — Free Game","Free Game"),IF(LOWER($L376&amp;"")="yes","Disqualified",IF($P376="","",IF(ROUND(IFERROR(VALUE($P376),0)-IFERROR(VALUE($H376),0),2)&gt;0,"Profit","Draw")))))))</ns0:f>
      </ns0:c>
      <ns0:c r="V376" s="956" t="str">
        <ns0:f>IF(COUNTA($A376:$M376)=0,"",IF(OR($B376="",$C376="",$U376="Subscription"),"",IFERROR(ROUNDUP(($C376-$B376)/7,0),"")))</ns0:f>
      </ns0:c>
      <ns0:c r="W376" s="114">
        <ns0:f>IF(COUNTA($A376:$M376)=0,"",IF(OR($U376="Subscription",$U376=""),"",IF($U376="Estimate","N/A",IF(OR($U376="Free Game",$U376="Disqualified — Free Game"),0,ROUND(IFERROR($Q376,0)-IFERROR($S376,0),2)))))</ns0:f>
      </ns0:c>
      <ns0:c r="X376" s="956" t="str">
        <ns0:f>IF(COUNTA($A376:$M376)=0,"",IF(OR($U376="Subscription",NOT(ISNUMBER($J376)),NOT(ISNUMBER($I376)),$J376=0,$I376=0,$I376&gt;$J376),"",$J376-$I376))</ns0:f>
      </ns0:c>
      <ns0:c r="Y376" s="955" t="str">
        <ns0:f>IF(COUNTA($A376:$M376)=0,"",IF(OR($U376="Subscription",NOT(ISNUMBER($J376)),$J376=0,$X376=""),"",$X376/$J376))</ns0:f>
      </ns0:c>
      <ns0:c r="Z376" s="957" t="str">
        <ns0:f>IF(COUNTA($A376:$M376)=0,"",Instructions!$B$29+SUM($W$5:W376))</ns0:f>
      </ns0:c>
    </ns0:row>
    <ns0:row r="377" ht="36" customHeight="1">
      <ns0:c r="A377" s="439"/>
      <ns0:c r="B377" s="453"/>
      <ns0:c r="C377" s="453"/>
      <ns0:c r="D377" s="454"/>
      <ns0:c r="E377" s="454"/>
      <ns0:c r="F377" s="454"/>
      <ns0:c r="G377" s="986"/>
      <ns0:c r="H377" s="455"/>
      <ns0:c r="I377" s="456"/>
      <ns0:c r="J377" s="456"/>
      <ns0:c r="K377" s="986"/>
      <ns0:c r="L377" s="454"/>
      <ns0:c r="M377" s="439"/>
      <ns0:c r="N377" s="987" t="str">
        <ns0:f>IF(COUNTA($A377:$M377)=0,"",IF(OR(LEFT(LOWER(TRIM($F377&amp;"")),12)="subscription",LOWER(TRIM($F377&amp;""))="membership"),"",IF(OR(AND($H377&lt;&gt;"",$H377=0),LEFT(LOWER(TRIM($F377&amp;"")),9)="free game",LOWER(TRIM($F377&amp;""))="free",LOWER(TRIM($F377&amp;""))="free entry"),IF(ISNUMBER($G377),IF(ISNUMBER(SEARCH("non",LOWER($E377&amp;""))),$G377*0.85,$G377),"N/A"),IF($G377="","",IFERROR(IF(ISNUMBER(SEARCH("non",LOWER($E377&amp;""))),$G377*0.85,$G377),"")))))</ns0:f>
        <ns0:v/>
      </ns0:c>
      <ns0:c r="O377" s="987" t="str">
        <ns0:f>IF(COUNTA($A377:$M377)=0,"",IF(OR(LEFT(LOWER(TRIM($F377&amp;"")),12)="subscription",LOWER(TRIM($F377&amp;""))="membership"),"",IF(OR(AND($H377&lt;&gt;"",$H377=0),LEFT(LOWER(TRIM($F377&amp;"")),9)="free game",LOWER(TRIM($F377&amp;""))="free",LOWER(TRIM($F377&amp;""))="free entry"),IF(OR(NOT(ISNUMBER($N377)),NOT(ISNUMBER($I377)),$I377=0),"N/A",IFERROR($N377/$I377,"N/A")),IF(OR($N377="",$I377="",$I377=0),"",IFERROR($N377/$I377,"")))))</ns0:f>
        <ns0:v/>
      </ns0:c>
      <ns0:c r="P377" s="987">
        <ns0:f>IF(COUNTA($A377:$M377)=0,"",IF(OR(LEFT(LOWER(TRIM($F377&amp;"")),12)="subscription",LOWER(TRIM($F377&amp;""))="membership"),"",IF(LOWER(TRIM($D377&amp;""))="estimate","N/A",IF(LOWER($L377&amp;"")="yes",0,IF(OR(AND($H377&lt;&gt;"",$H377=0),LEFT(LOWER(TRIM($F377&amp;"")),9)="free game",LOWER(TRIM($F377&amp;""))="free",LOWER(TRIM($F377&amp;""))="free entry"),IF(ISNUMBER($K377),$K377,""),IF($K377&lt;&gt;"",$K377,""))))))</ns0:f>
      </ns0:c>
      <ns0:c r="Q377" s="114">
        <ns0:f>IF(COUNTA($A377:$M377)=0,"",IF(OR($U377="Subscription",$U377=""),"",IF($U377="Estimate","N/A",IF($U377="Profit",ROUND(IFERROR($P377,0)-IFERROR($H377,0),2),0))))</ns0:f>
      </ns0:c>
      <ns0:c r="R377" s="114">
        <ns0:f>IF(COUNTA($A377:$M377)=0,"",IF(OR($U377="Subscription",$U377=""),"",IF($U377="Estimate","N/A",IF($U377="Draw",$H377,0))))</ns0:f>
      </ns0:c>
      <ns0:c r="S377" s="114">
        <ns0:f>IF(COUNTA($A377:$M377)=0,"",IF(OR($U377="Subscription",$U377=""),"",IF($U377="Estimate","N/A",IF($U377="Disqualified",$H377,0))))</ns0:f>
      </ns0:c>
      <ns0:c r="T377" s="955">
        <ns0:f>IF(COUNTA($A377:$M377)=0,"",IF(OR($U377="Subscription",$U377=""),"",IF($U377="Estimate","N/A",IF(OR($U377="Free Game",$U377="Disqualified — Free Game",$H377=0),"N/A",IF($U377="Profit",$Q377/$H377,IF($U377="Disqualified",-$S377/$H377,0))))))</ns0:f>
      </ns0:c>
      <ns0:c r="U377" s="920">
        <ns0:f>IF(COUNTA($A377:$M377)=0,"",IF(OR(LEFT(LOWER(TRIM($F377&amp;"")),12)="subscription",LOWER(TRIM($F377&amp;""))="membership"),"Subscription",IF(LOWER(TRIM($D377&amp;""))="estimate","Estimate",IF(OR(AND($H377&lt;&gt;"",$H377=0),LEFT(LOWER(TRIM($F377&amp;"")),9)="free game",LOWER(TRIM($F377&amp;""))="free",LOWER(TRIM($F377&amp;""))="free entry"),IF(LOWER($L377&amp;"")="yes","Disqualified — Free Game","Free Game"),IF(LOWER($L377&amp;"")="yes","Disqualified",IF($P377="","",IF(ROUND(IFERROR(VALUE($P377),0)-IFERROR(VALUE($H377),0),2)&gt;0,"Profit","Draw")))))))</ns0:f>
      </ns0:c>
      <ns0:c r="V377" s="956" t="str">
        <ns0:f>IF(COUNTA($A377:$M377)=0,"",IF(OR($B377="",$C377="",$U377="Subscription"),"",IFERROR(ROUNDUP(($C377-$B377)/7,0),"")))</ns0:f>
      </ns0:c>
      <ns0:c r="W377" s="114">
        <ns0:f>IF(COUNTA($A377:$M377)=0,"",IF(OR($U377="Subscription",$U377=""),"",IF($U377="Estimate","N/A",IF(OR($U377="Free Game",$U377="Disqualified — Free Game"),0,ROUND(IFERROR($Q377,0)-IFERROR($S377,0),2)))))</ns0:f>
      </ns0:c>
      <ns0:c r="X377" s="956" t="str">
        <ns0:f>IF(COUNTA($A377:$M377)=0,"",IF(OR($U377="Subscription",NOT(ISNUMBER($J377)),NOT(ISNUMBER($I377)),$J377=0,$I377=0,$I377&gt;$J377),"",$J377-$I377))</ns0:f>
      </ns0:c>
      <ns0:c r="Y377" s="955" t="str">
        <ns0:f>IF(COUNTA($A377:$M377)=0,"",IF(OR($U377="Subscription",NOT(ISNUMBER($J377)),$J377=0,$X377=""),"",$X377/$J377))</ns0:f>
      </ns0:c>
      <ns0:c r="Z377" s="957" t="str">
        <ns0:f>IF(COUNTA($A377:$M377)=0,"",Instructions!$B$29+SUM($W$5:W377))</ns0:f>
      </ns0:c>
    </ns0:row>
    <ns0:row r="378" ht="36" customHeight="1">
      <ns0:c r="A378" s="439"/>
      <ns0:c r="B378" s="453"/>
      <ns0:c r="C378" s="453"/>
      <ns0:c r="D378" s="454"/>
      <ns0:c r="E378" s="454"/>
      <ns0:c r="F378" s="454"/>
      <ns0:c r="G378" s="986"/>
      <ns0:c r="H378" s="455"/>
      <ns0:c r="I378" s="456"/>
      <ns0:c r="J378" s="456"/>
      <ns0:c r="K378" s="986"/>
      <ns0:c r="L378" s="454"/>
      <ns0:c r="M378" s="439"/>
      <ns0:c r="N378" s="987" t="str">
        <ns0:f>IF(COUNTA($A378:$M378)=0,"",IF(OR(LEFT(LOWER(TRIM($F378&amp;"")),12)="subscription",LOWER(TRIM($F378&amp;""))="membership"),"",IF(OR(AND($H378&lt;&gt;"",$H378=0),LEFT(LOWER(TRIM($F378&amp;"")),9)="free game",LOWER(TRIM($F378&amp;""))="free",LOWER(TRIM($F378&amp;""))="free entry"),IF(ISNUMBER($G378),IF(ISNUMBER(SEARCH("non",LOWER($E378&amp;""))),$G378*0.85,$G378),"N/A"),IF($G378="","",IFERROR(IF(ISNUMBER(SEARCH("non",LOWER($E378&amp;""))),$G378*0.85,$G378),"")))))</ns0:f>
        <ns0:v/>
      </ns0:c>
      <ns0:c r="O378" s="987" t="str">
        <ns0:f>IF(COUNTA($A378:$M378)=0,"",IF(OR(LEFT(LOWER(TRIM($F378&amp;"")),12)="subscription",LOWER(TRIM($F378&amp;""))="membership"),"",IF(OR(AND($H378&lt;&gt;"",$H378=0),LEFT(LOWER(TRIM($F378&amp;"")),9)="free game",LOWER(TRIM($F378&amp;""))="free",LOWER(TRIM($F378&amp;""))="free entry"),IF(OR(NOT(ISNUMBER($N378)),NOT(ISNUMBER($I378)),$I378=0),"N/A",IFERROR($N378/$I378,"N/A")),IF(OR($N378="",$I378="",$I378=0),"",IFERROR($N378/$I378,"")))))</ns0:f>
        <ns0:v/>
      </ns0:c>
      <ns0:c r="P378" s="987">
        <ns0:f>IF(COUNTA($A378:$M378)=0,"",IF(OR(LEFT(LOWER(TRIM($F378&amp;"")),12)="subscription",LOWER(TRIM($F378&amp;""))="membership"),"",IF(LOWER(TRIM($D378&amp;""))="estimate","N/A",IF(LOWER($L378&amp;"")="yes",0,IF(OR(AND($H378&lt;&gt;"",$H378=0),LEFT(LOWER(TRIM($F378&amp;"")),9)="free game",LOWER(TRIM($F378&amp;""))="free",LOWER(TRIM($F378&amp;""))="free entry"),IF(ISNUMBER($K378),$K378,""),IF($K378&lt;&gt;"",$K378,""))))))</ns0:f>
      </ns0:c>
      <ns0:c r="Q378" s="114">
        <ns0:f>IF(COUNTA($A378:$M378)=0,"",IF(OR($U378="Subscription",$U378=""),"",IF($U378="Estimate","N/A",IF($U378="Profit",ROUND(IFERROR($P378,0)-IFERROR($H378,0),2),0))))</ns0:f>
      </ns0:c>
      <ns0:c r="R378" s="114">
        <ns0:f>IF(COUNTA($A378:$M378)=0,"",IF(OR($U378="Subscription",$U378=""),"",IF($U378="Estimate","N/A",IF($U378="Draw",$H378,0))))</ns0:f>
      </ns0:c>
      <ns0:c r="S378" s="114">
        <ns0:f>IF(COUNTA($A378:$M378)=0,"",IF(OR($U378="Subscription",$U378=""),"",IF($U378="Estimate","N/A",IF($U378="Disqualified",$H378,0))))</ns0:f>
      </ns0:c>
      <ns0:c r="T378" s="955">
        <ns0:f>IF(COUNTA($A378:$M378)=0,"",IF(OR($U378="Subscription",$U378=""),"",IF($U378="Estimate","N/A",IF(OR($U378="Free Game",$U378="Disqualified — Free Game",$H378=0),"N/A",IF($U378="Profit",$Q378/$H378,IF($U378="Disqualified",-$S378/$H378,0))))))</ns0:f>
      </ns0:c>
      <ns0:c r="U378" s="920">
        <ns0:f>IF(COUNTA($A378:$M378)=0,"",IF(OR(LEFT(LOWER(TRIM($F378&amp;"")),12)="subscription",LOWER(TRIM($F378&amp;""))="membership"),"Subscription",IF(LOWER(TRIM($D378&amp;""))="estimate","Estimate",IF(OR(AND($H378&lt;&gt;"",$H378=0),LEFT(LOWER(TRIM($F378&amp;"")),9)="free game",LOWER(TRIM($F378&amp;""))="free",LOWER(TRIM($F378&amp;""))="free entry"),IF(LOWER($L378&amp;"")="yes","Disqualified — Free Game","Free Game"),IF(LOWER($L378&amp;"")="yes","Disqualified",IF($P378="","",IF(ROUND(IFERROR(VALUE($P378),0)-IFERROR(VALUE($H378),0),2)&gt;0,"Profit","Draw")))))))</ns0:f>
      </ns0:c>
      <ns0:c r="V378" s="956" t="str">
        <ns0:f>IF(COUNTA($A378:$M378)=0,"",IF(OR($B378="",$C378="",$U378="Subscription"),"",IFERROR(ROUNDUP(($C378-$B378)/7,0),"")))</ns0:f>
      </ns0:c>
      <ns0:c r="W378" s="114">
        <ns0:f>IF(COUNTA($A378:$M378)=0,"",IF(OR($U378="Subscription",$U378=""),"",IF($U378="Estimate","N/A",IF(OR($U378="Free Game",$U378="Disqualified — Free Game"),0,ROUND(IFERROR($Q378,0)-IFERROR($S378,0),2)))))</ns0:f>
      </ns0:c>
      <ns0:c r="X378" s="956" t="str">
        <ns0:f>IF(COUNTA($A378:$M378)=0,"",IF(OR($U378="Subscription",NOT(ISNUMBER($J378)),NOT(ISNUMBER($I378)),$J378=0,$I378=0,$I378&gt;$J378),"",$J378-$I378))</ns0:f>
      </ns0:c>
      <ns0:c r="Y378" s="955" t="str">
        <ns0:f>IF(COUNTA($A378:$M378)=0,"",IF(OR($U378="Subscription",NOT(ISNUMBER($J378)),$J378=0,$X378=""),"",$X378/$J378))</ns0:f>
      </ns0:c>
      <ns0:c r="Z378" s="957" t="str">
        <ns0:f>IF(COUNTA($A378:$M378)=0,"",Instructions!$B$29+SUM($W$5:W378))</ns0:f>
      </ns0:c>
    </ns0:row>
    <ns0:row r="379" ht="36" customHeight="1">
      <ns0:c r="A379" s="439"/>
      <ns0:c r="B379" s="453"/>
      <ns0:c r="C379" s="453"/>
      <ns0:c r="D379" s="454"/>
      <ns0:c r="E379" s="454"/>
      <ns0:c r="F379" s="454"/>
      <ns0:c r="G379" s="986"/>
      <ns0:c r="H379" s="455"/>
      <ns0:c r="I379" s="456"/>
      <ns0:c r="J379" s="456"/>
      <ns0:c r="K379" s="986"/>
      <ns0:c r="L379" s="454"/>
      <ns0:c r="M379" s="439"/>
      <ns0:c r="N379" s="987" t="str">
        <ns0:f>IF(COUNTA($A379:$M379)=0,"",IF(OR(LEFT(LOWER(TRIM($F379&amp;"")),12)="subscription",LOWER(TRIM($F379&amp;""))="membership"),"",IF(OR(AND($H379&lt;&gt;"",$H379=0),LEFT(LOWER(TRIM($F379&amp;"")),9)="free game",LOWER(TRIM($F379&amp;""))="free",LOWER(TRIM($F379&amp;""))="free entry"),IF(ISNUMBER($G379),IF(ISNUMBER(SEARCH("non",LOWER($E379&amp;""))),$G379*0.85,$G379),"N/A"),IF($G379="","",IFERROR(IF(ISNUMBER(SEARCH("non",LOWER($E379&amp;""))),$G379*0.85,$G379),"")))))</ns0:f>
        <ns0:v/>
      </ns0:c>
      <ns0:c r="O379" s="987" t="str">
        <ns0:f>IF(COUNTA($A379:$M379)=0,"",IF(OR(LEFT(LOWER(TRIM($F379&amp;"")),12)="subscription",LOWER(TRIM($F379&amp;""))="membership"),"",IF(OR(AND($H379&lt;&gt;"",$H379=0),LEFT(LOWER(TRIM($F379&amp;"")),9)="free game",LOWER(TRIM($F379&amp;""))="free",LOWER(TRIM($F379&amp;""))="free entry"),IF(OR(NOT(ISNUMBER($N379)),NOT(ISNUMBER($I379)),$I379=0),"N/A",IFERROR($N379/$I379,"N/A")),IF(OR($N379="",$I379="",$I379=0),"",IFERROR($N379/$I379,"")))))</ns0:f>
        <ns0:v/>
      </ns0:c>
      <ns0:c r="P379" s="987">
        <ns0:f>IF(COUNTA($A379:$M379)=0,"",IF(OR(LEFT(LOWER(TRIM($F379&amp;"")),12)="subscription",LOWER(TRIM($F379&amp;""))="membership"),"",IF(LOWER(TRIM($D379&amp;""))="estimate","N/A",IF(LOWER($L379&amp;"")="yes",0,IF(OR(AND($H379&lt;&gt;"",$H379=0),LEFT(LOWER(TRIM($F379&amp;"")),9)="free game",LOWER(TRIM($F379&amp;""))="free",LOWER(TRIM($F379&amp;""))="free entry"),IF(ISNUMBER($K379),$K379,""),IF($K379&lt;&gt;"",$K379,""))))))</ns0:f>
      </ns0:c>
      <ns0:c r="Q379" s="114">
        <ns0:f>IF(COUNTA($A379:$M379)=0,"",IF(OR($U379="Subscription",$U379=""),"",IF($U379="Estimate","N/A",IF($U379="Profit",ROUND(IFERROR($P379,0)-IFERROR($H379,0),2),0))))</ns0:f>
      </ns0:c>
      <ns0:c r="R379" s="114">
        <ns0:f>IF(COUNTA($A379:$M379)=0,"",IF(OR($U379="Subscription",$U379=""),"",IF($U379="Estimate","N/A",IF($U379="Draw",$H379,0))))</ns0:f>
      </ns0:c>
      <ns0:c r="S379" s="114">
        <ns0:f>IF(COUNTA($A379:$M379)=0,"",IF(OR($U379="Subscription",$U379=""),"",IF($U379="Estimate","N/A",IF($U379="Disqualified",$H379,0))))</ns0:f>
      </ns0:c>
      <ns0:c r="T379" s="955">
        <ns0:f>IF(COUNTA($A379:$M379)=0,"",IF(OR($U379="Subscription",$U379=""),"",IF($U379="Estimate","N/A",IF(OR($U379="Free Game",$U379="Disqualified — Free Game",$H379=0),"N/A",IF($U379="Profit",$Q379/$H379,IF($U379="Disqualified",-$S379/$H379,0))))))</ns0:f>
      </ns0:c>
      <ns0:c r="U379" s="920">
        <ns0:f>IF(COUNTA($A379:$M379)=0,"",IF(OR(LEFT(LOWER(TRIM($F379&amp;"")),12)="subscription",LOWER(TRIM($F379&amp;""))="membership"),"Subscription",IF(LOWER(TRIM($D379&amp;""))="estimate","Estimate",IF(OR(AND($H379&lt;&gt;"",$H379=0),LEFT(LOWER(TRIM($F379&amp;"")),9)="free game",LOWER(TRIM($F379&amp;""))="free",LOWER(TRIM($F379&amp;""))="free entry"),IF(LOWER($L379&amp;"")="yes","Disqualified — Free Game","Free Game"),IF(LOWER($L379&amp;"")="yes","Disqualified",IF($P379="","",IF(ROUND(IFERROR(VALUE($P379),0)-IFERROR(VALUE($H379),0),2)&gt;0,"Profit","Draw")))))))</ns0:f>
      </ns0:c>
      <ns0:c r="V379" s="956" t="str">
        <ns0:f>IF(COUNTA($A379:$M379)=0,"",IF(OR($B379="",$C379="",$U379="Subscription"),"",IFERROR(ROUNDUP(($C379-$B379)/7,0),"")))</ns0:f>
      </ns0:c>
      <ns0:c r="W379" s="114">
        <ns0:f>IF(COUNTA($A379:$M379)=0,"",IF(OR($U379="Subscription",$U379=""),"",IF($U379="Estimate","N/A",IF(OR($U379="Free Game",$U379="Disqualified — Free Game"),0,ROUND(IFERROR($Q379,0)-IFERROR($S379,0),2)))))</ns0:f>
      </ns0:c>
      <ns0:c r="X379" s="956" t="str">
        <ns0:f>IF(COUNTA($A379:$M379)=0,"",IF(OR($U379="Subscription",NOT(ISNUMBER($J379)),NOT(ISNUMBER($I379)),$J379=0,$I379=0,$I379&gt;$J379),"",$J379-$I379))</ns0:f>
      </ns0:c>
      <ns0:c r="Y379" s="955" t="str">
        <ns0:f>IF(COUNTA($A379:$M379)=0,"",IF(OR($U379="Subscription",NOT(ISNUMBER($J379)),$J379=0,$X379=""),"",$X379/$J379))</ns0:f>
      </ns0:c>
      <ns0:c r="Z379" s="957" t="str">
        <ns0:f>IF(COUNTA($A379:$M379)=0,"",Instructions!$B$29+SUM($W$5:W379))</ns0:f>
      </ns0:c>
    </ns0:row>
    <ns0:row r="380" ht="36" customHeight="1">
      <ns0:c r="A380" s="439"/>
      <ns0:c r="B380" s="453"/>
      <ns0:c r="C380" s="453"/>
      <ns0:c r="D380" s="454"/>
      <ns0:c r="E380" s="454"/>
      <ns0:c r="F380" s="454"/>
      <ns0:c r="G380" s="986"/>
      <ns0:c r="H380" s="455"/>
      <ns0:c r="I380" s="456"/>
      <ns0:c r="J380" s="456"/>
      <ns0:c r="K380" s="986"/>
      <ns0:c r="L380" s="454"/>
      <ns0:c r="M380" s="439"/>
      <ns0:c r="N380" s="987" t="str">
        <ns0:f>IF(COUNTA($A380:$M380)=0,"",IF(OR(LEFT(LOWER(TRIM($F380&amp;"")),12)="subscription",LOWER(TRIM($F380&amp;""))="membership"),"",IF(OR(AND($H380&lt;&gt;"",$H380=0),LEFT(LOWER(TRIM($F380&amp;"")),9)="free game",LOWER(TRIM($F380&amp;""))="free",LOWER(TRIM($F380&amp;""))="free entry"),IF(ISNUMBER($G380),IF(ISNUMBER(SEARCH("non",LOWER($E380&amp;""))),$G380*0.85,$G380),"N/A"),IF($G380="","",IFERROR(IF(ISNUMBER(SEARCH("non",LOWER($E380&amp;""))),$G380*0.85,$G380),"")))))</ns0:f>
        <ns0:v/>
      </ns0:c>
      <ns0:c r="O380" s="987" t="str">
        <ns0:f>IF(COUNTA($A380:$M380)=0,"",IF(OR(LEFT(LOWER(TRIM($F380&amp;"")),12)="subscription",LOWER(TRIM($F380&amp;""))="membership"),"",IF(OR(AND($H380&lt;&gt;"",$H380=0),LEFT(LOWER(TRIM($F380&amp;"")),9)="free game",LOWER(TRIM($F380&amp;""))="free",LOWER(TRIM($F380&amp;""))="free entry"),IF(OR(NOT(ISNUMBER($N380)),NOT(ISNUMBER($I380)),$I380=0),"N/A",IFERROR($N380/$I380,"N/A")),IF(OR($N380="",$I380="",$I380=0),"",IFERROR($N380/$I380,"")))))</ns0:f>
        <ns0:v/>
      </ns0:c>
      <ns0:c r="P380" s="987">
        <ns0:f>IF(COUNTA($A380:$M380)=0,"",IF(OR(LEFT(LOWER(TRIM($F380&amp;"")),12)="subscription",LOWER(TRIM($F380&amp;""))="membership"),"",IF(LOWER(TRIM($D380&amp;""))="estimate","N/A",IF(LOWER($L380&amp;"")="yes",0,IF(OR(AND($H380&lt;&gt;"",$H380=0),LEFT(LOWER(TRIM($F380&amp;"")),9)="free game",LOWER(TRIM($F380&amp;""))="free",LOWER(TRIM($F380&amp;""))="free entry"),IF(ISNUMBER($K380),$K380,""),IF($K380&lt;&gt;"",$K380,""))))))</ns0:f>
      </ns0:c>
      <ns0:c r="Q380" s="114">
        <ns0:f>IF(COUNTA($A380:$M380)=0,"",IF(OR($U380="Subscription",$U380=""),"",IF($U380="Estimate","N/A",IF($U380="Profit",ROUND(IFERROR($P380,0)-IFERROR($H380,0),2),0))))</ns0:f>
      </ns0:c>
      <ns0:c r="R380" s="114">
        <ns0:f>IF(COUNTA($A380:$M380)=0,"",IF(OR($U380="Subscription",$U380=""),"",IF($U380="Estimate","N/A",IF($U380="Draw",$H380,0))))</ns0:f>
      </ns0:c>
      <ns0:c r="S380" s="114">
        <ns0:f>IF(COUNTA($A380:$M380)=0,"",IF(OR($U380="Subscription",$U380=""),"",IF($U380="Estimate","N/A",IF($U380="Disqualified",$H380,0))))</ns0:f>
      </ns0:c>
      <ns0:c r="T380" s="955">
        <ns0:f>IF(COUNTA($A380:$M380)=0,"",IF(OR($U380="Subscription",$U380=""),"",IF($U380="Estimate","N/A",IF(OR($U380="Free Game",$U380="Disqualified — Free Game",$H380=0),"N/A",IF($U380="Profit",$Q380/$H380,IF($U380="Disqualified",-$S380/$H380,0))))))</ns0:f>
      </ns0:c>
      <ns0:c r="U380" s="920">
        <ns0:f>IF(COUNTA($A380:$M380)=0,"",IF(OR(LEFT(LOWER(TRIM($F380&amp;"")),12)="subscription",LOWER(TRIM($F380&amp;""))="membership"),"Subscription",IF(LOWER(TRIM($D380&amp;""))="estimate","Estimate",IF(OR(AND($H380&lt;&gt;"",$H380=0),LEFT(LOWER(TRIM($F380&amp;"")),9)="free game",LOWER(TRIM($F380&amp;""))="free",LOWER(TRIM($F380&amp;""))="free entry"),IF(LOWER($L380&amp;"")="yes","Disqualified — Free Game","Free Game"),IF(LOWER($L380&amp;"")="yes","Disqualified",IF($P380="","",IF(ROUND(IFERROR(VALUE($P380),0)-IFERROR(VALUE($H380),0),2)&gt;0,"Profit","Draw")))))))</ns0:f>
      </ns0:c>
      <ns0:c r="V380" s="956" t="str">
        <ns0:f>IF(COUNTA($A380:$M380)=0,"",IF(OR($B380="",$C380="",$U380="Subscription"),"",IFERROR(ROUNDUP(($C380-$B380)/7,0),"")))</ns0:f>
      </ns0:c>
      <ns0:c r="W380" s="114">
        <ns0:f>IF(COUNTA($A380:$M380)=0,"",IF(OR($U380="Subscription",$U380=""),"",IF($U380="Estimate","N/A",IF(OR($U380="Free Game",$U380="Disqualified — Free Game"),0,ROUND(IFERROR($Q380,0)-IFERROR($S380,0),2)))))</ns0:f>
      </ns0:c>
      <ns0:c r="X380" s="956" t="str">
        <ns0:f>IF(COUNTA($A380:$M380)=0,"",IF(OR($U380="Subscription",NOT(ISNUMBER($J380)),NOT(ISNUMBER($I380)),$J380=0,$I380=0,$I380&gt;$J380),"",$J380-$I380))</ns0:f>
      </ns0:c>
      <ns0:c r="Y380" s="955" t="str">
        <ns0:f>IF(COUNTA($A380:$M380)=0,"",IF(OR($U380="Subscription",NOT(ISNUMBER($J380)),$J380=0,$X380=""),"",$X380/$J380))</ns0:f>
      </ns0:c>
      <ns0:c r="Z380" s="957" t="str">
        <ns0:f>IF(COUNTA($A380:$M380)=0,"",Instructions!$B$29+SUM($W$5:W380))</ns0:f>
      </ns0:c>
    </ns0:row>
    <ns0:row r="381" ht="36" customHeight="1">
      <ns0:c r="A381" s="439"/>
      <ns0:c r="B381" s="453"/>
      <ns0:c r="C381" s="453"/>
      <ns0:c r="D381" s="454"/>
      <ns0:c r="E381" s="454"/>
      <ns0:c r="F381" s="454"/>
      <ns0:c r="G381" s="986"/>
      <ns0:c r="H381" s="455"/>
      <ns0:c r="I381" s="456"/>
      <ns0:c r="J381" s="456"/>
      <ns0:c r="K381" s="986"/>
      <ns0:c r="L381" s="454"/>
      <ns0:c r="M381" s="439"/>
      <ns0:c r="N381" s="987" t="str">
        <ns0:f>IF(COUNTA($A381:$M381)=0,"",IF(OR(LEFT(LOWER(TRIM($F381&amp;"")),12)="subscription",LOWER(TRIM($F381&amp;""))="membership"),"",IF(OR(AND($H381&lt;&gt;"",$H381=0),LEFT(LOWER(TRIM($F381&amp;"")),9)="free game",LOWER(TRIM($F381&amp;""))="free",LOWER(TRIM($F381&amp;""))="free entry"),IF(ISNUMBER($G381),IF(ISNUMBER(SEARCH("non",LOWER($E381&amp;""))),$G381*0.85,$G381),"N/A"),IF($G381="","",IFERROR(IF(ISNUMBER(SEARCH("non",LOWER($E381&amp;""))),$G381*0.85,$G381),"")))))</ns0:f>
        <ns0:v/>
      </ns0:c>
      <ns0:c r="O381" s="987" t="str">
        <ns0:f>IF(COUNTA($A381:$M381)=0,"",IF(OR(LEFT(LOWER(TRIM($F381&amp;"")),12)="subscription",LOWER(TRIM($F381&amp;""))="membership"),"",IF(OR(AND($H381&lt;&gt;"",$H381=0),LEFT(LOWER(TRIM($F381&amp;"")),9)="free game",LOWER(TRIM($F381&amp;""))="free",LOWER(TRIM($F381&amp;""))="free entry"),IF(OR(NOT(ISNUMBER($N381)),NOT(ISNUMBER($I381)),$I381=0),"N/A",IFERROR($N381/$I381,"N/A")),IF(OR($N381="",$I381="",$I381=0),"",IFERROR($N381/$I381,"")))))</ns0:f>
        <ns0:v/>
      </ns0:c>
      <ns0:c r="P381" s="987">
        <ns0:f>IF(COUNTA($A381:$M381)=0,"",IF(OR(LEFT(LOWER(TRIM($F381&amp;"")),12)="subscription",LOWER(TRIM($F381&amp;""))="membership"),"",IF(LOWER(TRIM($D381&amp;""))="estimate","N/A",IF(LOWER($L381&amp;"")="yes",0,IF(OR(AND($H381&lt;&gt;"",$H381=0),LEFT(LOWER(TRIM($F381&amp;"")),9)="free game",LOWER(TRIM($F381&amp;""))="free",LOWER(TRIM($F381&amp;""))="free entry"),IF(ISNUMBER($K381),$K381,""),IF($K381&lt;&gt;"",$K381,""))))))</ns0:f>
      </ns0:c>
      <ns0:c r="Q381" s="114">
        <ns0:f>IF(COUNTA($A381:$M381)=0,"",IF(OR($U381="Subscription",$U381=""),"",IF($U381="Estimate","N/A",IF($U381="Profit",ROUND(IFERROR($P381,0)-IFERROR($H381,0),2),0))))</ns0:f>
      </ns0:c>
      <ns0:c r="R381" s="114">
        <ns0:f>IF(COUNTA($A381:$M381)=0,"",IF(OR($U381="Subscription",$U381=""),"",IF($U381="Estimate","N/A",IF($U381="Draw",$H381,0))))</ns0:f>
      </ns0:c>
      <ns0:c r="S381" s="114">
        <ns0:f>IF(COUNTA($A381:$M381)=0,"",IF(OR($U381="Subscription",$U381=""),"",IF($U381="Estimate","N/A",IF($U381="Disqualified",$H381,0))))</ns0:f>
      </ns0:c>
      <ns0:c r="T381" s="955">
        <ns0:f>IF(COUNTA($A381:$M381)=0,"",IF(OR($U381="Subscription",$U381=""),"",IF($U381="Estimate","N/A",IF(OR($U381="Free Game",$U381="Disqualified — Free Game",$H381=0),"N/A",IF($U381="Profit",$Q381/$H381,IF($U381="Disqualified",-$S381/$H381,0))))))</ns0:f>
      </ns0:c>
      <ns0:c r="U381" s="920">
        <ns0:f>IF(COUNTA($A381:$M381)=0,"",IF(OR(LEFT(LOWER(TRIM($F381&amp;"")),12)="subscription",LOWER(TRIM($F381&amp;""))="membership"),"Subscription",IF(LOWER(TRIM($D381&amp;""))="estimate","Estimate",IF(OR(AND($H381&lt;&gt;"",$H381=0),LEFT(LOWER(TRIM($F381&amp;"")),9)="free game",LOWER(TRIM($F381&amp;""))="free",LOWER(TRIM($F381&amp;""))="free entry"),IF(LOWER($L381&amp;"")="yes","Disqualified — Free Game","Free Game"),IF(LOWER($L381&amp;"")="yes","Disqualified",IF($P381="","",IF(ROUND(IFERROR(VALUE($P381),0)-IFERROR(VALUE($H381),0),2)&gt;0,"Profit","Draw")))))))</ns0:f>
      </ns0:c>
      <ns0:c r="V381" s="956" t="str">
        <ns0:f>IF(COUNTA($A381:$M381)=0,"",IF(OR($B381="",$C381="",$U381="Subscription"),"",IFERROR(ROUNDUP(($C381-$B381)/7,0),"")))</ns0:f>
      </ns0:c>
      <ns0:c r="W381" s="114">
        <ns0:f>IF(COUNTA($A381:$M381)=0,"",IF(OR($U381="Subscription",$U381=""),"",IF($U381="Estimate","N/A",IF(OR($U381="Free Game",$U381="Disqualified — Free Game"),0,ROUND(IFERROR($Q381,0)-IFERROR($S381,0),2)))))</ns0:f>
      </ns0:c>
      <ns0:c r="X381" s="956" t="str">
        <ns0:f>IF(COUNTA($A381:$M381)=0,"",IF(OR($U381="Subscription",NOT(ISNUMBER($J381)),NOT(ISNUMBER($I381)),$J381=0,$I381=0,$I381&gt;$J381),"",$J381-$I381))</ns0:f>
      </ns0:c>
      <ns0:c r="Y381" s="955" t="str">
        <ns0:f>IF(COUNTA($A381:$M381)=0,"",IF(OR($U381="Subscription",NOT(ISNUMBER($J381)),$J381=0,$X381=""),"",$X381/$J381))</ns0:f>
      </ns0:c>
      <ns0:c r="Z381" s="957" t="str">
        <ns0:f>IF(COUNTA($A381:$M381)=0,"",Instructions!$B$29+SUM($W$5:W381))</ns0:f>
      </ns0:c>
    </ns0:row>
    <ns0:row r="382" ht="36" customHeight="1">
      <ns0:c r="A382" s="439"/>
      <ns0:c r="B382" s="453"/>
      <ns0:c r="C382" s="453"/>
      <ns0:c r="D382" s="454"/>
      <ns0:c r="E382" s="454"/>
      <ns0:c r="F382" s="454"/>
      <ns0:c r="G382" s="986"/>
      <ns0:c r="H382" s="455"/>
      <ns0:c r="I382" s="456"/>
      <ns0:c r="J382" s="456"/>
      <ns0:c r="K382" s="986"/>
      <ns0:c r="L382" s="454"/>
      <ns0:c r="M382" s="439"/>
      <ns0:c r="N382" s="987" t="str">
        <ns0:f>IF(COUNTA($A382:$M382)=0,"",IF(OR(LEFT(LOWER(TRIM($F382&amp;"")),12)="subscription",LOWER(TRIM($F382&amp;""))="membership"),"",IF(OR(AND($H382&lt;&gt;"",$H382=0),LEFT(LOWER(TRIM($F382&amp;"")),9)="free game",LOWER(TRIM($F382&amp;""))="free",LOWER(TRIM($F382&amp;""))="free entry"),IF(ISNUMBER($G382),IF(ISNUMBER(SEARCH("non",LOWER($E382&amp;""))),$G382*0.85,$G382),"N/A"),IF($G382="","",IFERROR(IF(ISNUMBER(SEARCH("non",LOWER($E382&amp;""))),$G382*0.85,$G382),"")))))</ns0:f>
        <ns0:v/>
      </ns0:c>
      <ns0:c r="O382" s="987" t="str">
        <ns0:f>IF(COUNTA($A382:$M382)=0,"",IF(OR(LEFT(LOWER(TRIM($F382&amp;"")),12)="subscription",LOWER(TRIM($F382&amp;""))="membership"),"",IF(OR(AND($H382&lt;&gt;"",$H382=0),LEFT(LOWER(TRIM($F382&amp;"")),9)="free game",LOWER(TRIM($F382&amp;""))="free",LOWER(TRIM($F382&amp;""))="free entry"),IF(OR(NOT(ISNUMBER($N382)),NOT(ISNUMBER($I382)),$I382=0),"N/A",IFERROR($N382/$I382,"N/A")),IF(OR($N382="",$I382="",$I382=0),"",IFERROR($N382/$I382,"")))))</ns0:f>
        <ns0:v/>
      </ns0:c>
      <ns0:c r="P382" s="987">
        <ns0:f>IF(COUNTA($A382:$M382)=0,"",IF(OR(LEFT(LOWER(TRIM($F382&amp;"")),12)="subscription",LOWER(TRIM($F382&amp;""))="membership"),"",IF(LOWER(TRIM($D382&amp;""))="estimate","N/A",IF(LOWER($L382&amp;"")="yes",0,IF(OR(AND($H382&lt;&gt;"",$H382=0),LEFT(LOWER(TRIM($F382&amp;"")),9)="free game",LOWER(TRIM($F382&amp;""))="free",LOWER(TRIM($F382&amp;""))="free entry"),IF(ISNUMBER($K382),$K382,""),IF($K382&lt;&gt;"",$K382,""))))))</ns0:f>
      </ns0:c>
      <ns0:c r="Q382" s="114">
        <ns0:f>IF(COUNTA($A382:$M382)=0,"",IF(OR($U382="Subscription",$U382=""),"",IF($U382="Estimate","N/A",IF($U382="Profit",ROUND(IFERROR($P382,0)-IFERROR($H382,0),2),0))))</ns0:f>
      </ns0:c>
      <ns0:c r="R382" s="114">
        <ns0:f>IF(COUNTA($A382:$M382)=0,"",IF(OR($U382="Subscription",$U382=""),"",IF($U382="Estimate","N/A",IF($U382="Draw",$H382,0))))</ns0:f>
      </ns0:c>
      <ns0:c r="S382" s="114">
        <ns0:f>IF(COUNTA($A382:$M382)=0,"",IF(OR($U382="Subscription",$U382=""),"",IF($U382="Estimate","N/A",IF($U382="Disqualified",$H382,0))))</ns0:f>
      </ns0:c>
      <ns0:c r="T382" s="955">
        <ns0:f>IF(COUNTA($A382:$M382)=0,"",IF(OR($U382="Subscription",$U382=""),"",IF($U382="Estimate","N/A",IF(OR($U382="Free Game",$U382="Disqualified — Free Game",$H382=0),"N/A",IF($U382="Profit",$Q382/$H382,IF($U382="Disqualified",-$S382/$H382,0))))))</ns0:f>
      </ns0:c>
      <ns0:c r="U382" s="920">
        <ns0:f>IF(COUNTA($A382:$M382)=0,"",IF(OR(LEFT(LOWER(TRIM($F382&amp;"")),12)="subscription",LOWER(TRIM($F382&amp;""))="membership"),"Subscription",IF(LOWER(TRIM($D382&amp;""))="estimate","Estimate",IF(OR(AND($H382&lt;&gt;"",$H382=0),LEFT(LOWER(TRIM($F382&amp;"")),9)="free game",LOWER(TRIM($F382&amp;""))="free",LOWER(TRIM($F382&amp;""))="free entry"),IF(LOWER($L382&amp;"")="yes","Disqualified — Free Game","Free Game"),IF(LOWER($L382&amp;"")="yes","Disqualified",IF($P382="","",IF(ROUND(IFERROR(VALUE($P382),0)-IFERROR(VALUE($H382),0),2)&gt;0,"Profit","Draw")))))))</ns0:f>
      </ns0:c>
      <ns0:c r="V382" s="956" t="str">
        <ns0:f>IF(COUNTA($A382:$M382)=0,"",IF(OR($B382="",$C382="",$U382="Subscription"),"",IFERROR(ROUNDUP(($C382-$B382)/7,0),"")))</ns0:f>
      </ns0:c>
      <ns0:c r="W382" s="114">
        <ns0:f>IF(COUNTA($A382:$M382)=0,"",IF(OR($U382="Subscription",$U382=""),"",IF($U382="Estimate","N/A",IF(OR($U382="Free Game",$U382="Disqualified — Free Game"),0,ROUND(IFERROR($Q382,0)-IFERROR($S382,0),2)))))</ns0:f>
      </ns0:c>
      <ns0:c r="X382" s="956" t="str">
        <ns0:f>IF(COUNTA($A382:$M382)=0,"",IF(OR($U382="Subscription",NOT(ISNUMBER($J382)),NOT(ISNUMBER($I382)),$J382=0,$I382=0,$I382&gt;$J382),"",$J382-$I382))</ns0:f>
      </ns0:c>
      <ns0:c r="Y382" s="955" t="str">
        <ns0:f>IF(COUNTA($A382:$M382)=0,"",IF(OR($U382="Subscription",NOT(ISNUMBER($J382)),$J382=0,$X382=""),"",$X382/$J382))</ns0:f>
      </ns0:c>
      <ns0:c r="Z382" s="957" t="str">
        <ns0:f>IF(COUNTA($A382:$M382)=0,"",Instructions!$B$29+SUM($W$5:W382))</ns0:f>
      </ns0:c>
    </ns0:row>
    <ns0:row r="383" ht="36" customHeight="1">
      <ns0:c r="A383" s="439"/>
      <ns0:c r="B383" s="453"/>
      <ns0:c r="C383" s="453"/>
      <ns0:c r="D383" s="454"/>
      <ns0:c r="E383" s="454"/>
      <ns0:c r="F383" s="454"/>
      <ns0:c r="G383" s="986"/>
      <ns0:c r="H383" s="455"/>
      <ns0:c r="I383" s="456"/>
      <ns0:c r="J383" s="456"/>
      <ns0:c r="K383" s="986"/>
      <ns0:c r="L383" s="454"/>
      <ns0:c r="M383" s="439"/>
      <ns0:c r="N383" s="987" t="str">
        <ns0:f>IF(COUNTA($A383:$M383)=0,"",IF(OR(LEFT(LOWER(TRIM($F383&amp;"")),12)="subscription",LOWER(TRIM($F383&amp;""))="membership"),"",IF(OR(AND($H383&lt;&gt;"",$H383=0),LEFT(LOWER(TRIM($F383&amp;"")),9)="free game",LOWER(TRIM($F383&amp;""))="free",LOWER(TRIM($F383&amp;""))="free entry"),IF(ISNUMBER($G383),IF(ISNUMBER(SEARCH("non",LOWER($E383&amp;""))),$G383*0.85,$G383),"N/A"),IF($G383="","",IFERROR(IF(ISNUMBER(SEARCH("non",LOWER($E383&amp;""))),$G383*0.85,$G383),"")))))</ns0:f>
        <ns0:v/>
      </ns0:c>
      <ns0:c r="O383" s="987" t="str">
        <ns0:f>IF(COUNTA($A383:$M383)=0,"",IF(OR(LEFT(LOWER(TRIM($F383&amp;"")),12)="subscription",LOWER(TRIM($F383&amp;""))="membership"),"",IF(OR(AND($H383&lt;&gt;"",$H383=0),LEFT(LOWER(TRIM($F383&amp;"")),9)="free game",LOWER(TRIM($F383&amp;""))="free",LOWER(TRIM($F383&amp;""))="free entry"),IF(OR(NOT(ISNUMBER($N383)),NOT(ISNUMBER($I383)),$I383=0),"N/A",IFERROR($N383/$I383,"N/A")),IF(OR($N383="",$I383="",$I383=0),"",IFERROR($N383/$I383,"")))))</ns0:f>
        <ns0:v/>
      </ns0:c>
      <ns0:c r="P383" s="987">
        <ns0:f>IF(COUNTA($A383:$M383)=0,"",IF(OR(LEFT(LOWER(TRIM($F383&amp;"")),12)="subscription",LOWER(TRIM($F383&amp;""))="membership"),"",IF(LOWER(TRIM($D383&amp;""))="estimate","N/A",IF(LOWER($L383&amp;"")="yes",0,IF(OR(AND($H383&lt;&gt;"",$H383=0),LEFT(LOWER(TRIM($F383&amp;"")),9)="free game",LOWER(TRIM($F383&amp;""))="free",LOWER(TRIM($F383&amp;""))="free entry"),IF(ISNUMBER($K383),$K383,""),IF($K383&lt;&gt;"",$K383,""))))))</ns0:f>
      </ns0:c>
      <ns0:c r="Q383" s="114">
        <ns0:f>IF(COUNTA($A383:$M383)=0,"",IF(OR($U383="Subscription",$U383=""),"",IF($U383="Estimate","N/A",IF($U383="Profit",ROUND(IFERROR($P383,0)-IFERROR($H383,0),2),0))))</ns0:f>
      </ns0:c>
      <ns0:c r="R383" s="114">
        <ns0:f>IF(COUNTA($A383:$M383)=0,"",IF(OR($U383="Subscription",$U383=""),"",IF($U383="Estimate","N/A",IF($U383="Draw",$H383,0))))</ns0:f>
      </ns0:c>
      <ns0:c r="S383" s="114">
        <ns0:f>IF(COUNTA($A383:$M383)=0,"",IF(OR($U383="Subscription",$U383=""),"",IF($U383="Estimate","N/A",IF($U383="Disqualified",$H383,0))))</ns0:f>
      </ns0:c>
      <ns0:c r="T383" s="955">
        <ns0:f>IF(COUNTA($A383:$M383)=0,"",IF(OR($U383="Subscription",$U383=""),"",IF($U383="Estimate","N/A",IF(OR($U383="Free Game",$U383="Disqualified — Free Game",$H383=0),"N/A",IF($U383="Profit",$Q383/$H383,IF($U383="Disqualified",-$S383/$H383,0))))))</ns0:f>
      </ns0:c>
      <ns0:c r="U383" s="920">
        <ns0:f>IF(COUNTA($A383:$M383)=0,"",IF(OR(LEFT(LOWER(TRIM($F383&amp;"")),12)="subscription",LOWER(TRIM($F383&amp;""))="membership"),"Subscription",IF(LOWER(TRIM($D383&amp;""))="estimate","Estimate",IF(OR(AND($H383&lt;&gt;"",$H383=0),LEFT(LOWER(TRIM($F383&amp;"")),9)="free game",LOWER(TRIM($F383&amp;""))="free",LOWER(TRIM($F383&amp;""))="free entry"),IF(LOWER($L383&amp;"")="yes","Disqualified — Free Game","Free Game"),IF(LOWER($L383&amp;"")="yes","Disqualified",IF($P383="","",IF(ROUND(IFERROR(VALUE($P383),0)-IFERROR(VALUE($H383),0),2)&gt;0,"Profit","Draw")))))))</ns0:f>
      </ns0:c>
      <ns0:c r="V383" s="956" t="str">
        <ns0:f>IF(COUNTA($A383:$M383)=0,"",IF(OR($B383="",$C383="",$U383="Subscription"),"",IFERROR(ROUNDUP(($C383-$B383)/7,0),"")))</ns0:f>
      </ns0:c>
      <ns0:c r="W383" s="114">
        <ns0:f>IF(COUNTA($A383:$M383)=0,"",IF(OR($U383="Subscription",$U383=""),"",IF($U383="Estimate","N/A",IF(OR($U383="Free Game",$U383="Disqualified — Free Game"),0,ROUND(IFERROR($Q383,0)-IFERROR($S383,0),2)))))</ns0:f>
      </ns0:c>
      <ns0:c r="X383" s="956" t="str">
        <ns0:f>IF(COUNTA($A383:$M383)=0,"",IF(OR($U383="Subscription",NOT(ISNUMBER($J383)),NOT(ISNUMBER($I383)),$J383=0,$I383=0,$I383&gt;$J383),"",$J383-$I383))</ns0:f>
      </ns0:c>
      <ns0:c r="Y383" s="955" t="str">
        <ns0:f>IF(COUNTA($A383:$M383)=0,"",IF(OR($U383="Subscription",NOT(ISNUMBER($J383)),$J383=0,$X383=""),"",$X383/$J383))</ns0:f>
      </ns0:c>
      <ns0:c r="Z383" s="957" t="str">
        <ns0:f>IF(COUNTA($A383:$M383)=0,"",Instructions!$B$29+SUM($W$5:W383))</ns0:f>
      </ns0:c>
    </ns0:row>
    <ns0:row r="384" ht="36" customHeight="1">
      <ns0:c r="A384" s="439"/>
      <ns0:c r="B384" s="453"/>
      <ns0:c r="C384" s="453"/>
      <ns0:c r="D384" s="454"/>
      <ns0:c r="E384" s="454"/>
      <ns0:c r="F384" s="454"/>
      <ns0:c r="G384" s="986"/>
      <ns0:c r="H384" s="455"/>
      <ns0:c r="I384" s="456"/>
      <ns0:c r="J384" s="456"/>
      <ns0:c r="K384" s="986"/>
      <ns0:c r="L384" s="454"/>
      <ns0:c r="M384" s="439"/>
      <ns0:c r="N384" s="987" t="str">
        <ns0:f>IF(COUNTA($A384:$M384)=0,"",IF(OR(LEFT(LOWER(TRIM($F384&amp;"")),12)="subscription",LOWER(TRIM($F384&amp;""))="membership"),"",IF(OR(AND($H384&lt;&gt;"",$H384=0),LEFT(LOWER(TRIM($F384&amp;"")),9)="free game",LOWER(TRIM($F384&amp;""))="free",LOWER(TRIM($F384&amp;""))="free entry"),IF(ISNUMBER($G384),IF(ISNUMBER(SEARCH("non",LOWER($E384&amp;""))),$G384*0.85,$G384),"N/A"),IF($G384="","",IFERROR(IF(ISNUMBER(SEARCH("non",LOWER($E384&amp;""))),$G384*0.85,$G384),"")))))</ns0:f>
        <ns0:v/>
      </ns0:c>
      <ns0:c r="O384" s="987" t="str">
        <ns0:f>IF(COUNTA($A384:$M384)=0,"",IF(OR(LEFT(LOWER(TRIM($F384&amp;"")),12)="subscription",LOWER(TRIM($F384&amp;""))="membership"),"",IF(OR(AND($H384&lt;&gt;"",$H384=0),LEFT(LOWER(TRIM($F384&amp;"")),9)="free game",LOWER(TRIM($F384&amp;""))="free",LOWER(TRIM($F384&amp;""))="free entry"),IF(OR(NOT(ISNUMBER($N384)),NOT(ISNUMBER($I384)),$I384=0),"N/A",IFERROR($N384/$I384,"N/A")),IF(OR($N384="",$I384="",$I384=0),"",IFERROR($N384/$I384,"")))))</ns0:f>
        <ns0:v/>
      </ns0:c>
      <ns0:c r="P384" s="987">
        <ns0:f>IF(COUNTA($A384:$M384)=0,"",IF(OR(LEFT(LOWER(TRIM($F384&amp;"")),12)="subscription",LOWER(TRIM($F384&amp;""))="membership"),"",IF(LOWER(TRIM($D384&amp;""))="estimate","N/A",IF(LOWER($L384&amp;"")="yes",0,IF(OR(AND($H384&lt;&gt;"",$H384=0),LEFT(LOWER(TRIM($F384&amp;"")),9)="free game",LOWER(TRIM($F384&amp;""))="free",LOWER(TRIM($F384&amp;""))="free entry"),IF(ISNUMBER($K384),$K384,""),IF($K384&lt;&gt;"",$K384,""))))))</ns0:f>
      </ns0:c>
      <ns0:c r="Q384" s="114">
        <ns0:f>IF(COUNTA($A384:$M384)=0,"",IF(OR($U384="Subscription",$U384=""),"",IF($U384="Estimate","N/A",IF($U384="Profit",ROUND(IFERROR($P384,0)-IFERROR($H384,0),2),0))))</ns0:f>
      </ns0:c>
      <ns0:c r="R384" s="114">
        <ns0:f>IF(COUNTA($A384:$M384)=0,"",IF(OR($U384="Subscription",$U384=""),"",IF($U384="Estimate","N/A",IF($U384="Draw",$H384,0))))</ns0:f>
      </ns0:c>
      <ns0:c r="S384" s="114">
        <ns0:f>IF(COUNTA($A384:$M384)=0,"",IF(OR($U384="Subscription",$U384=""),"",IF($U384="Estimate","N/A",IF($U384="Disqualified",$H384,0))))</ns0:f>
      </ns0:c>
      <ns0:c r="T384" s="955">
        <ns0:f>IF(COUNTA($A384:$M384)=0,"",IF(OR($U384="Subscription",$U384=""),"",IF($U384="Estimate","N/A",IF(OR($U384="Free Game",$U384="Disqualified — Free Game",$H384=0),"N/A",IF($U384="Profit",$Q384/$H384,IF($U384="Disqualified",-$S384/$H384,0))))))</ns0:f>
      </ns0:c>
      <ns0:c r="U384" s="920">
        <ns0:f>IF(COUNTA($A384:$M384)=0,"",IF(OR(LEFT(LOWER(TRIM($F384&amp;"")),12)="subscription",LOWER(TRIM($F384&amp;""))="membership"),"Subscription",IF(LOWER(TRIM($D384&amp;""))="estimate","Estimate",IF(OR(AND($H384&lt;&gt;"",$H384=0),LEFT(LOWER(TRIM($F384&amp;"")),9)="free game",LOWER(TRIM($F384&amp;""))="free",LOWER(TRIM($F384&amp;""))="free entry"),IF(LOWER($L384&amp;"")="yes","Disqualified — Free Game","Free Game"),IF(LOWER($L384&amp;"")="yes","Disqualified",IF($P384="","",IF(ROUND(IFERROR(VALUE($P384),0)-IFERROR(VALUE($H384),0),2)&gt;0,"Profit","Draw")))))))</ns0:f>
      </ns0:c>
      <ns0:c r="V384" s="956" t="str">
        <ns0:f>IF(COUNTA($A384:$M384)=0,"",IF(OR($B384="",$C384="",$U384="Subscription"),"",IFERROR(ROUNDUP(($C384-$B384)/7,0),"")))</ns0:f>
      </ns0:c>
      <ns0:c r="W384" s="114">
        <ns0:f>IF(COUNTA($A384:$M384)=0,"",IF(OR($U384="Subscription",$U384=""),"",IF($U384="Estimate","N/A",IF(OR($U384="Free Game",$U384="Disqualified — Free Game"),0,ROUND(IFERROR($Q384,0)-IFERROR($S384,0),2)))))</ns0:f>
      </ns0:c>
      <ns0:c r="X384" s="956" t="str">
        <ns0:f>IF(COUNTA($A384:$M384)=0,"",IF(OR($U384="Subscription",NOT(ISNUMBER($J384)),NOT(ISNUMBER($I384)),$J384=0,$I384=0,$I384&gt;$J384),"",$J384-$I384))</ns0:f>
      </ns0:c>
      <ns0:c r="Y384" s="955" t="str">
        <ns0:f>IF(COUNTA($A384:$M384)=0,"",IF(OR($U384="Subscription",NOT(ISNUMBER($J384)),$J384=0,$X384=""),"",$X384/$J384))</ns0:f>
      </ns0:c>
      <ns0:c r="Z384" s="957" t="str">
        <ns0:f>IF(COUNTA($A384:$M384)=0,"",Instructions!$B$29+SUM($W$5:W384))</ns0:f>
      </ns0:c>
    </ns0:row>
    <ns0:row r="385" ht="36" customHeight="1">
      <ns0:c r="A385" s="439"/>
      <ns0:c r="B385" s="453"/>
      <ns0:c r="C385" s="453"/>
      <ns0:c r="D385" s="454"/>
      <ns0:c r="E385" s="454"/>
      <ns0:c r="F385" s="454"/>
      <ns0:c r="G385" s="986"/>
      <ns0:c r="H385" s="455"/>
      <ns0:c r="I385" s="456"/>
      <ns0:c r="J385" s="456"/>
      <ns0:c r="K385" s="986"/>
      <ns0:c r="L385" s="454"/>
      <ns0:c r="M385" s="439"/>
      <ns0:c r="N385" s="987" t="str">
        <ns0:f>IF(COUNTA($A385:$M385)=0,"",IF(OR(LEFT(LOWER(TRIM($F385&amp;"")),12)="subscription",LOWER(TRIM($F385&amp;""))="membership"),"",IF(OR(AND($H385&lt;&gt;"",$H385=0),LEFT(LOWER(TRIM($F385&amp;"")),9)="free game",LOWER(TRIM($F385&amp;""))="free",LOWER(TRIM($F385&amp;""))="free entry"),IF(ISNUMBER($G385),IF(ISNUMBER(SEARCH("non",LOWER($E385&amp;""))),$G385*0.85,$G385),"N/A"),IF($G385="","",IFERROR(IF(ISNUMBER(SEARCH("non",LOWER($E385&amp;""))),$G385*0.85,$G385),"")))))</ns0:f>
        <ns0:v/>
      </ns0:c>
      <ns0:c r="O385" s="987" t="str">
        <ns0:f>IF(COUNTA($A385:$M385)=0,"",IF(OR(LEFT(LOWER(TRIM($F385&amp;"")),12)="subscription",LOWER(TRIM($F385&amp;""))="membership"),"",IF(OR(AND($H385&lt;&gt;"",$H385=0),LEFT(LOWER(TRIM($F385&amp;"")),9)="free game",LOWER(TRIM($F385&amp;""))="free",LOWER(TRIM($F385&amp;""))="free entry"),IF(OR(NOT(ISNUMBER($N385)),NOT(ISNUMBER($I385)),$I385=0),"N/A",IFERROR($N385/$I385,"N/A")),IF(OR($N385="",$I385="",$I385=0),"",IFERROR($N385/$I385,"")))))</ns0:f>
        <ns0:v/>
      </ns0:c>
      <ns0:c r="P385" s="987">
        <ns0:f>IF(COUNTA($A385:$M385)=0,"",IF(OR(LEFT(LOWER(TRIM($F385&amp;"")),12)="subscription",LOWER(TRIM($F385&amp;""))="membership"),"",IF(LOWER(TRIM($D385&amp;""))="estimate","N/A",IF(LOWER($L385&amp;"")="yes",0,IF(OR(AND($H385&lt;&gt;"",$H385=0),LEFT(LOWER(TRIM($F385&amp;"")),9)="free game",LOWER(TRIM($F385&amp;""))="free",LOWER(TRIM($F385&amp;""))="free entry"),IF(ISNUMBER($K385),$K385,""),IF($K385&lt;&gt;"",$K385,""))))))</ns0:f>
      </ns0:c>
      <ns0:c r="Q385" s="114">
        <ns0:f>IF(COUNTA($A385:$M385)=0,"",IF(OR($U385="Subscription",$U385=""),"",IF($U385="Estimate","N/A",IF($U385="Profit",ROUND(IFERROR($P385,0)-IFERROR($H385,0),2),0))))</ns0:f>
      </ns0:c>
      <ns0:c r="R385" s="114">
        <ns0:f>IF(COUNTA($A385:$M385)=0,"",IF(OR($U385="Subscription",$U385=""),"",IF($U385="Estimate","N/A",IF($U385="Draw",$H385,0))))</ns0:f>
      </ns0:c>
      <ns0:c r="S385" s="114">
        <ns0:f>IF(COUNTA($A385:$M385)=0,"",IF(OR($U385="Subscription",$U385=""),"",IF($U385="Estimate","N/A",IF($U385="Disqualified",$H385,0))))</ns0:f>
      </ns0:c>
      <ns0:c r="T385" s="955">
        <ns0:f>IF(COUNTA($A385:$M385)=0,"",IF(OR($U385="Subscription",$U385=""),"",IF($U385="Estimate","N/A",IF(OR($U385="Free Game",$U385="Disqualified — Free Game",$H385=0),"N/A",IF($U385="Profit",$Q385/$H385,IF($U385="Disqualified",-$S385/$H385,0))))))</ns0:f>
      </ns0:c>
      <ns0:c r="U385" s="920">
        <ns0:f>IF(COUNTA($A385:$M385)=0,"",IF(OR(LEFT(LOWER(TRIM($F385&amp;"")),12)="subscription",LOWER(TRIM($F385&amp;""))="membership"),"Subscription",IF(LOWER(TRIM($D385&amp;""))="estimate","Estimate",IF(OR(AND($H385&lt;&gt;"",$H385=0),LEFT(LOWER(TRIM($F385&amp;"")),9)="free game",LOWER(TRIM($F385&amp;""))="free",LOWER(TRIM($F385&amp;""))="free entry"),IF(LOWER($L385&amp;"")="yes","Disqualified — Free Game","Free Game"),IF(LOWER($L385&amp;"")="yes","Disqualified",IF($P385="","",IF(ROUND(IFERROR(VALUE($P385),0)-IFERROR(VALUE($H385),0),2)&gt;0,"Profit","Draw")))))))</ns0:f>
      </ns0:c>
      <ns0:c r="V385" s="956" t="str">
        <ns0:f>IF(COUNTA($A385:$M385)=0,"",IF(OR($B385="",$C385="",$U385="Subscription"),"",IFERROR(ROUNDUP(($C385-$B385)/7,0),"")))</ns0:f>
      </ns0:c>
      <ns0:c r="W385" s="114">
        <ns0:f>IF(COUNTA($A385:$M385)=0,"",IF(OR($U385="Subscription",$U385=""),"",IF($U385="Estimate","N/A",IF(OR($U385="Free Game",$U385="Disqualified — Free Game"),0,ROUND(IFERROR($Q385,0)-IFERROR($S385,0),2)))))</ns0:f>
      </ns0:c>
      <ns0:c r="X385" s="956" t="str">
        <ns0:f>IF(COUNTA($A385:$M385)=0,"",IF(OR($U385="Subscription",NOT(ISNUMBER($J385)),NOT(ISNUMBER($I385)),$J385=0,$I385=0,$I385&gt;$J385),"",$J385-$I385))</ns0:f>
      </ns0:c>
      <ns0:c r="Y385" s="955" t="str">
        <ns0:f>IF(COUNTA($A385:$M385)=0,"",IF(OR($U385="Subscription",NOT(ISNUMBER($J385)),$J385=0,$X385=""),"",$X385/$J385))</ns0:f>
      </ns0:c>
      <ns0:c r="Z385" s="957" t="str">
        <ns0:f>IF(COUNTA($A385:$M385)=0,"",Instructions!$B$29+SUM($W$5:W385))</ns0:f>
      </ns0:c>
    </ns0:row>
    <ns0:row r="386" ht="36" customHeight="1">
      <ns0:c r="A386" s="439"/>
      <ns0:c r="B386" s="453"/>
      <ns0:c r="C386" s="453"/>
      <ns0:c r="D386" s="454"/>
      <ns0:c r="E386" s="454"/>
      <ns0:c r="F386" s="454"/>
      <ns0:c r="G386" s="986"/>
      <ns0:c r="H386" s="455"/>
      <ns0:c r="I386" s="456"/>
      <ns0:c r="J386" s="456"/>
      <ns0:c r="K386" s="986"/>
      <ns0:c r="L386" s="454"/>
      <ns0:c r="M386" s="439"/>
      <ns0:c r="N386" s="987" t="str">
        <ns0:f>IF(COUNTA($A386:$M386)=0,"",IF(OR(LEFT(LOWER(TRIM($F386&amp;"")),12)="subscription",LOWER(TRIM($F386&amp;""))="membership"),"",IF(OR(AND($H386&lt;&gt;"",$H386=0),LEFT(LOWER(TRIM($F386&amp;"")),9)="free game",LOWER(TRIM($F386&amp;""))="free",LOWER(TRIM($F386&amp;""))="free entry"),IF(ISNUMBER($G386),IF(ISNUMBER(SEARCH("non",LOWER($E386&amp;""))),$G386*0.85,$G386),"N/A"),IF($G386="","",IFERROR(IF(ISNUMBER(SEARCH("non",LOWER($E386&amp;""))),$G386*0.85,$G386),"")))))</ns0:f>
        <ns0:v/>
      </ns0:c>
      <ns0:c r="O386" s="987" t="str">
        <ns0:f>IF(COUNTA($A386:$M386)=0,"",IF(OR(LEFT(LOWER(TRIM($F386&amp;"")),12)="subscription",LOWER(TRIM($F386&amp;""))="membership"),"",IF(OR(AND($H386&lt;&gt;"",$H386=0),LEFT(LOWER(TRIM($F386&amp;"")),9)="free game",LOWER(TRIM($F386&amp;""))="free",LOWER(TRIM($F386&amp;""))="free entry"),IF(OR(NOT(ISNUMBER($N386)),NOT(ISNUMBER($I386)),$I386=0),"N/A",IFERROR($N386/$I386,"N/A")),IF(OR($N386="",$I386="",$I386=0),"",IFERROR($N386/$I386,"")))))</ns0:f>
        <ns0:v/>
      </ns0:c>
      <ns0:c r="P386" s="987">
        <ns0:f>IF(COUNTA($A386:$M386)=0,"",IF(OR(LEFT(LOWER(TRIM($F386&amp;"")),12)="subscription",LOWER(TRIM($F386&amp;""))="membership"),"",IF(LOWER(TRIM($D386&amp;""))="estimate","N/A",IF(LOWER($L386&amp;"")="yes",0,IF(OR(AND($H386&lt;&gt;"",$H386=0),LEFT(LOWER(TRIM($F386&amp;"")),9)="free game",LOWER(TRIM($F386&amp;""))="free",LOWER(TRIM($F386&amp;""))="free entry"),IF(ISNUMBER($K386),$K386,""),IF($K386&lt;&gt;"",$K386,""))))))</ns0:f>
      </ns0:c>
      <ns0:c r="Q386" s="114">
        <ns0:f>IF(COUNTA($A386:$M386)=0,"",IF(OR($U386="Subscription",$U386=""),"",IF($U386="Estimate","N/A",IF($U386="Profit",ROUND(IFERROR($P386,0)-IFERROR($H386,0),2),0))))</ns0:f>
      </ns0:c>
      <ns0:c r="R386" s="114">
        <ns0:f>IF(COUNTA($A386:$M386)=0,"",IF(OR($U386="Subscription",$U386=""),"",IF($U386="Estimate","N/A",IF($U386="Draw",$H386,0))))</ns0:f>
      </ns0:c>
      <ns0:c r="S386" s="114">
        <ns0:f>IF(COUNTA($A386:$M386)=0,"",IF(OR($U386="Subscription",$U386=""),"",IF($U386="Estimate","N/A",IF($U386="Disqualified",$H386,0))))</ns0:f>
      </ns0:c>
      <ns0:c r="T386" s="955">
        <ns0:f>IF(COUNTA($A386:$M386)=0,"",IF(OR($U386="Subscription",$U386=""),"",IF($U386="Estimate","N/A",IF(OR($U386="Free Game",$U386="Disqualified — Free Game",$H386=0),"N/A",IF($U386="Profit",$Q386/$H386,IF($U386="Disqualified",-$S386/$H386,0))))))</ns0:f>
      </ns0:c>
      <ns0:c r="U386" s="920">
        <ns0:f>IF(COUNTA($A386:$M386)=0,"",IF(OR(LEFT(LOWER(TRIM($F386&amp;"")),12)="subscription",LOWER(TRIM($F386&amp;""))="membership"),"Subscription",IF(LOWER(TRIM($D386&amp;""))="estimate","Estimate",IF(OR(AND($H386&lt;&gt;"",$H386=0),LEFT(LOWER(TRIM($F386&amp;"")),9)="free game",LOWER(TRIM($F386&amp;""))="free",LOWER(TRIM($F386&amp;""))="free entry"),IF(LOWER($L386&amp;"")="yes","Disqualified — Free Game","Free Game"),IF(LOWER($L386&amp;"")="yes","Disqualified",IF($P386="","",IF(ROUND(IFERROR(VALUE($P386),0)-IFERROR(VALUE($H386),0),2)&gt;0,"Profit","Draw")))))))</ns0:f>
      </ns0:c>
      <ns0:c r="V386" s="956" t="str">
        <ns0:f>IF(COUNTA($A386:$M386)=0,"",IF(OR($B386="",$C386="",$U386="Subscription"),"",IFERROR(ROUNDUP(($C386-$B386)/7,0),"")))</ns0:f>
      </ns0:c>
      <ns0:c r="W386" s="114">
        <ns0:f>IF(COUNTA($A386:$M386)=0,"",IF(OR($U386="Subscription",$U386=""),"",IF($U386="Estimate","N/A",IF(OR($U386="Free Game",$U386="Disqualified — Free Game"),0,ROUND(IFERROR($Q386,0)-IFERROR($S386,0),2)))))</ns0:f>
      </ns0:c>
      <ns0:c r="X386" s="956" t="str">
        <ns0:f>IF(COUNTA($A386:$M386)=0,"",IF(OR($U386="Subscription",NOT(ISNUMBER($J386)),NOT(ISNUMBER($I386)),$J386=0,$I386=0,$I386&gt;$J386),"",$J386-$I386))</ns0:f>
      </ns0:c>
      <ns0:c r="Y386" s="955" t="str">
        <ns0:f>IF(COUNTA($A386:$M386)=0,"",IF(OR($U386="Subscription",NOT(ISNUMBER($J386)),$J386=0,$X386=""),"",$X386/$J386))</ns0:f>
      </ns0:c>
      <ns0:c r="Z386" s="957" t="str">
        <ns0:f>IF(COUNTA($A386:$M386)=0,"",Instructions!$B$29+SUM($W$5:W386))</ns0:f>
      </ns0:c>
    </ns0:row>
    <ns0:row r="387" ht="36" customHeight="1">
      <ns0:c r="A387" s="439"/>
      <ns0:c r="B387" s="453"/>
      <ns0:c r="C387" s="453"/>
      <ns0:c r="D387" s="454"/>
      <ns0:c r="E387" s="454"/>
      <ns0:c r="F387" s="454"/>
      <ns0:c r="G387" s="986"/>
      <ns0:c r="H387" s="455"/>
      <ns0:c r="I387" s="456"/>
      <ns0:c r="J387" s="456"/>
      <ns0:c r="K387" s="986"/>
      <ns0:c r="L387" s="454"/>
      <ns0:c r="M387" s="439"/>
      <ns0:c r="N387" s="987" t="str">
        <ns0:f>IF(COUNTA($A387:$M387)=0,"",IF(OR(LEFT(LOWER(TRIM($F387&amp;"")),12)="subscription",LOWER(TRIM($F387&amp;""))="membership"),"",IF(OR(AND($H387&lt;&gt;"",$H387=0),LEFT(LOWER(TRIM($F387&amp;"")),9)="free game",LOWER(TRIM($F387&amp;""))="free",LOWER(TRIM($F387&amp;""))="free entry"),IF(ISNUMBER($G387),IF(ISNUMBER(SEARCH("non",LOWER($E387&amp;""))),$G387*0.85,$G387),"N/A"),IF($G387="","",IFERROR(IF(ISNUMBER(SEARCH("non",LOWER($E387&amp;""))),$G387*0.85,$G387),"")))))</ns0:f>
        <ns0:v/>
      </ns0:c>
      <ns0:c r="O387" s="987" t="str">
        <ns0:f>IF(COUNTA($A387:$M387)=0,"",IF(OR(LEFT(LOWER(TRIM($F387&amp;"")),12)="subscription",LOWER(TRIM($F387&amp;""))="membership"),"",IF(OR(AND($H387&lt;&gt;"",$H387=0),LEFT(LOWER(TRIM($F387&amp;"")),9)="free game",LOWER(TRIM($F387&amp;""))="free",LOWER(TRIM($F387&amp;""))="free entry"),IF(OR(NOT(ISNUMBER($N387)),NOT(ISNUMBER($I387)),$I387=0),"N/A",IFERROR($N387/$I387,"N/A")),IF(OR($N387="",$I387="",$I387=0),"",IFERROR($N387/$I387,"")))))</ns0:f>
        <ns0:v/>
      </ns0:c>
      <ns0:c r="P387" s="987">
        <ns0:f>IF(COUNTA($A387:$M387)=0,"",IF(OR(LEFT(LOWER(TRIM($F387&amp;"")),12)="subscription",LOWER(TRIM($F387&amp;""))="membership"),"",IF(LOWER(TRIM($D387&amp;""))="estimate","N/A",IF(LOWER($L387&amp;"")="yes",0,IF(OR(AND($H387&lt;&gt;"",$H387=0),LEFT(LOWER(TRIM($F387&amp;"")),9)="free game",LOWER(TRIM($F387&amp;""))="free",LOWER(TRIM($F387&amp;""))="free entry"),IF(ISNUMBER($K387),$K387,""),IF($K387&lt;&gt;"",$K387,""))))))</ns0:f>
      </ns0:c>
      <ns0:c r="Q387" s="114">
        <ns0:f>IF(COUNTA($A387:$M387)=0,"",IF(OR($U387="Subscription",$U387=""),"",IF($U387="Estimate","N/A",IF($U387="Profit",ROUND(IFERROR($P387,0)-IFERROR($H387,0),2),0))))</ns0:f>
      </ns0:c>
      <ns0:c r="R387" s="114">
        <ns0:f>IF(COUNTA($A387:$M387)=0,"",IF(OR($U387="Subscription",$U387=""),"",IF($U387="Estimate","N/A",IF($U387="Draw",$H387,0))))</ns0:f>
      </ns0:c>
      <ns0:c r="S387" s="114">
        <ns0:f>IF(COUNTA($A387:$M387)=0,"",IF(OR($U387="Subscription",$U387=""),"",IF($U387="Estimate","N/A",IF($U387="Disqualified",$H387,0))))</ns0:f>
      </ns0:c>
      <ns0:c r="T387" s="955">
        <ns0:f>IF(COUNTA($A387:$M387)=0,"",IF(OR($U387="Subscription",$U387=""),"",IF($U387="Estimate","N/A",IF(OR($U387="Free Game",$U387="Disqualified — Free Game",$H387=0),"N/A",IF($U387="Profit",$Q387/$H387,IF($U387="Disqualified",-$S387/$H387,0))))))</ns0:f>
      </ns0:c>
      <ns0:c r="U387" s="920">
        <ns0:f>IF(COUNTA($A387:$M387)=0,"",IF(OR(LEFT(LOWER(TRIM($F387&amp;"")),12)="subscription",LOWER(TRIM($F387&amp;""))="membership"),"Subscription",IF(LOWER(TRIM($D387&amp;""))="estimate","Estimate",IF(OR(AND($H387&lt;&gt;"",$H387=0),LEFT(LOWER(TRIM($F387&amp;"")),9)="free game",LOWER(TRIM($F387&amp;""))="free",LOWER(TRIM($F387&amp;""))="free entry"),IF(LOWER($L387&amp;"")="yes","Disqualified — Free Game","Free Game"),IF(LOWER($L387&amp;"")="yes","Disqualified",IF($P387="","",IF(ROUND(IFERROR(VALUE($P387),0)-IFERROR(VALUE($H387),0),2)&gt;0,"Profit","Draw")))))))</ns0:f>
      </ns0:c>
      <ns0:c r="V387" s="956" t="str">
        <ns0:f>IF(COUNTA($A387:$M387)=0,"",IF(OR($B387="",$C387="",$U387="Subscription"),"",IFERROR(ROUNDUP(($C387-$B387)/7,0),"")))</ns0:f>
      </ns0:c>
      <ns0:c r="W387" s="114">
        <ns0:f>IF(COUNTA($A387:$M387)=0,"",IF(OR($U387="Subscription",$U387=""),"",IF($U387="Estimate","N/A",IF(OR($U387="Free Game",$U387="Disqualified — Free Game"),0,ROUND(IFERROR($Q387,0)-IFERROR($S387,0),2)))))</ns0:f>
      </ns0:c>
      <ns0:c r="X387" s="956" t="str">
        <ns0:f>IF(COUNTA($A387:$M387)=0,"",IF(OR($U387="Subscription",NOT(ISNUMBER($J387)),NOT(ISNUMBER($I387)),$J387=0,$I387=0,$I387&gt;$J387),"",$J387-$I387))</ns0:f>
      </ns0:c>
      <ns0:c r="Y387" s="955" t="str">
        <ns0:f>IF(COUNTA($A387:$M387)=0,"",IF(OR($U387="Subscription",NOT(ISNUMBER($J387)),$J387=0,$X387=""),"",$X387/$J387))</ns0:f>
      </ns0:c>
      <ns0:c r="Z387" s="957" t="str">
        <ns0:f>IF(COUNTA($A387:$M387)=0,"",Instructions!$B$29+SUM($W$5:W387))</ns0:f>
      </ns0:c>
    </ns0:row>
    <ns0:row r="388" ht="36" customHeight="1">
      <ns0:c r="A388" s="439"/>
      <ns0:c r="B388" s="453"/>
      <ns0:c r="C388" s="453"/>
      <ns0:c r="D388" s="454"/>
      <ns0:c r="E388" s="454"/>
      <ns0:c r="F388" s="454"/>
      <ns0:c r="G388" s="986"/>
      <ns0:c r="H388" s="455"/>
      <ns0:c r="I388" s="456"/>
      <ns0:c r="J388" s="456"/>
      <ns0:c r="K388" s="986"/>
      <ns0:c r="L388" s="454"/>
      <ns0:c r="M388" s="439"/>
      <ns0:c r="N388" s="987" t="str">
        <ns0:f>IF(COUNTA($A388:$M388)=0,"",IF(OR(LEFT(LOWER(TRIM($F388&amp;"")),12)="subscription",LOWER(TRIM($F388&amp;""))="membership"),"",IF(OR(AND($H388&lt;&gt;"",$H388=0),LEFT(LOWER(TRIM($F388&amp;"")),9)="free game",LOWER(TRIM($F388&amp;""))="free",LOWER(TRIM($F388&amp;""))="free entry"),IF(ISNUMBER($G388),IF(ISNUMBER(SEARCH("non",LOWER($E388&amp;""))),$G388*0.85,$G388),"N/A"),IF($G388="","",IFERROR(IF(ISNUMBER(SEARCH("non",LOWER($E388&amp;""))),$G388*0.85,$G388),"")))))</ns0:f>
        <ns0:v/>
      </ns0:c>
      <ns0:c r="O388" s="987" t="str">
        <ns0:f>IF(COUNTA($A388:$M388)=0,"",IF(OR(LEFT(LOWER(TRIM($F388&amp;"")),12)="subscription",LOWER(TRIM($F388&amp;""))="membership"),"",IF(OR(AND($H388&lt;&gt;"",$H388=0),LEFT(LOWER(TRIM($F388&amp;"")),9)="free game",LOWER(TRIM($F388&amp;""))="free",LOWER(TRIM($F388&amp;""))="free entry"),IF(OR(NOT(ISNUMBER($N388)),NOT(ISNUMBER($I388)),$I388=0),"N/A",IFERROR($N388/$I388,"N/A")),IF(OR($N388="",$I388="",$I388=0),"",IFERROR($N388/$I388,"")))))</ns0:f>
        <ns0:v/>
      </ns0:c>
      <ns0:c r="P388" s="987">
        <ns0:f>IF(COUNTA($A388:$M388)=0,"",IF(OR(LEFT(LOWER(TRIM($F388&amp;"")),12)="subscription",LOWER(TRIM($F388&amp;""))="membership"),"",IF(LOWER(TRIM($D388&amp;""))="estimate","N/A",IF(LOWER($L388&amp;"")="yes",0,IF(OR(AND($H388&lt;&gt;"",$H388=0),LEFT(LOWER(TRIM($F388&amp;"")),9)="free game",LOWER(TRIM($F388&amp;""))="free",LOWER(TRIM($F388&amp;""))="free entry"),IF(ISNUMBER($K388),$K388,""),IF($K388&lt;&gt;"",$K388,""))))))</ns0:f>
      </ns0:c>
      <ns0:c r="Q388" s="114">
        <ns0:f>IF(COUNTA($A388:$M388)=0,"",IF(OR($U388="Subscription",$U388=""),"",IF($U388="Estimate","N/A",IF($U388="Profit",ROUND(IFERROR($P388,0)-IFERROR($H388,0),2),0))))</ns0:f>
      </ns0:c>
      <ns0:c r="R388" s="114">
        <ns0:f>IF(COUNTA($A388:$M388)=0,"",IF(OR($U388="Subscription",$U388=""),"",IF($U388="Estimate","N/A",IF($U388="Draw",$H388,0))))</ns0:f>
      </ns0:c>
      <ns0:c r="S388" s="114">
        <ns0:f>IF(COUNTA($A388:$M388)=0,"",IF(OR($U388="Subscription",$U388=""),"",IF($U388="Estimate","N/A",IF($U388="Disqualified",$H388,0))))</ns0:f>
      </ns0:c>
      <ns0:c r="T388" s="955">
        <ns0:f>IF(COUNTA($A388:$M388)=0,"",IF(OR($U388="Subscription",$U388=""),"",IF($U388="Estimate","N/A",IF(OR($U388="Free Game",$U388="Disqualified — Free Game",$H388=0),"N/A",IF($U388="Profit",$Q388/$H388,IF($U388="Disqualified",-$S388/$H388,0))))))</ns0:f>
      </ns0:c>
      <ns0:c r="U388" s="920">
        <ns0:f>IF(COUNTA($A388:$M388)=0,"",IF(OR(LEFT(LOWER(TRIM($F388&amp;"")),12)="subscription",LOWER(TRIM($F388&amp;""))="membership"),"Subscription",IF(LOWER(TRIM($D388&amp;""))="estimate","Estimate",IF(OR(AND($H388&lt;&gt;"",$H388=0),LEFT(LOWER(TRIM($F388&amp;"")),9)="free game",LOWER(TRIM($F388&amp;""))="free",LOWER(TRIM($F388&amp;""))="free entry"),IF(LOWER($L388&amp;"")="yes","Disqualified — Free Game","Free Game"),IF(LOWER($L388&amp;"")="yes","Disqualified",IF($P388="","",IF(ROUND(IFERROR(VALUE($P388),0)-IFERROR(VALUE($H388),0),2)&gt;0,"Profit","Draw")))))))</ns0:f>
      </ns0:c>
      <ns0:c r="V388" s="956" t="str">
        <ns0:f>IF(COUNTA($A388:$M388)=0,"",IF(OR($B388="",$C388="",$U388="Subscription"),"",IFERROR(ROUNDUP(($C388-$B388)/7,0),"")))</ns0:f>
      </ns0:c>
      <ns0:c r="W388" s="114">
        <ns0:f>IF(COUNTA($A388:$M388)=0,"",IF(OR($U388="Subscription",$U388=""),"",IF($U388="Estimate","N/A",IF(OR($U388="Free Game",$U388="Disqualified — Free Game"),0,ROUND(IFERROR($Q388,0)-IFERROR($S388,0),2)))))</ns0:f>
      </ns0:c>
      <ns0:c r="X388" s="956" t="str">
        <ns0:f>IF(COUNTA($A388:$M388)=0,"",IF(OR($U388="Subscription",NOT(ISNUMBER($J388)),NOT(ISNUMBER($I388)),$J388=0,$I388=0,$I388&gt;$J388),"",$J388-$I388))</ns0:f>
      </ns0:c>
      <ns0:c r="Y388" s="955" t="str">
        <ns0:f>IF(COUNTA($A388:$M388)=0,"",IF(OR($U388="Subscription",NOT(ISNUMBER($J388)),$J388=0,$X388=""),"",$X388/$J388))</ns0:f>
      </ns0:c>
      <ns0:c r="Z388" s="957" t="str">
        <ns0:f>IF(COUNTA($A388:$M388)=0,"",Instructions!$B$29+SUM($W$5:W388))</ns0:f>
      </ns0:c>
    </ns0:row>
    <ns0:row r="389" ht="36" customHeight="1">
      <ns0:c r="A389" s="439"/>
      <ns0:c r="B389" s="453"/>
      <ns0:c r="C389" s="453"/>
      <ns0:c r="D389" s="454"/>
      <ns0:c r="E389" s="454"/>
      <ns0:c r="F389" s="454"/>
      <ns0:c r="G389" s="986"/>
      <ns0:c r="H389" s="455"/>
      <ns0:c r="I389" s="456"/>
      <ns0:c r="J389" s="456"/>
      <ns0:c r="K389" s="986"/>
      <ns0:c r="L389" s="454"/>
      <ns0:c r="M389" s="439"/>
      <ns0:c r="N389" s="987" t="str">
        <ns0:f>IF(COUNTA($A389:$M389)=0,"",IF(OR(LEFT(LOWER(TRIM($F389&amp;"")),12)="subscription",LOWER(TRIM($F389&amp;""))="membership"),"",IF(OR(AND($H389&lt;&gt;"",$H389=0),LEFT(LOWER(TRIM($F389&amp;"")),9)="free game",LOWER(TRIM($F389&amp;""))="free",LOWER(TRIM($F389&amp;""))="free entry"),IF(ISNUMBER($G389),IF(ISNUMBER(SEARCH("non",LOWER($E389&amp;""))),$G389*0.85,$G389),"N/A"),IF($G389="","",IFERROR(IF(ISNUMBER(SEARCH("non",LOWER($E389&amp;""))),$G389*0.85,$G389),"")))))</ns0:f>
        <ns0:v/>
      </ns0:c>
      <ns0:c r="O389" s="987" t="str">
        <ns0:f>IF(COUNTA($A389:$M389)=0,"",IF(OR(LEFT(LOWER(TRIM($F389&amp;"")),12)="subscription",LOWER(TRIM($F389&amp;""))="membership"),"",IF(OR(AND($H389&lt;&gt;"",$H389=0),LEFT(LOWER(TRIM($F389&amp;"")),9)="free game",LOWER(TRIM($F389&amp;""))="free",LOWER(TRIM($F389&amp;""))="free entry"),IF(OR(NOT(ISNUMBER($N389)),NOT(ISNUMBER($I389)),$I389=0),"N/A",IFERROR($N389/$I389,"N/A")),IF(OR($N389="",$I389="",$I389=0),"",IFERROR($N389/$I389,"")))))</ns0:f>
        <ns0:v/>
      </ns0:c>
      <ns0:c r="P389" s="987">
        <ns0:f>IF(COUNTA($A389:$M389)=0,"",IF(OR(LEFT(LOWER(TRIM($F389&amp;"")),12)="subscription",LOWER(TRIM($F389&amp;""))="membership"),"",IF(LOWER(TRIM($D389&amp;""))="estimate","N/A",IF(LOWER($L389&amp;"")="yes",0,IF(OR(AND($H389&lt;&gt;"",$H389=0),LEFT(LOWER(TRIM($F389&amp;"")),9)="free game",LOWER(TRIM($F389&amp;""))="free",LOWER(TRIM($F389&amp;""))="free entry"),IF(ISNUMBER($K389),$K389,""),IF($K389&lt;&gt;"",$K389,""))))))</ns0:f>
      </ns0:c>
      <ns0:c r="Q389" s="114">
        <ns0:f>IF(COUNTA($A389:$M389)=0,"",IF(OR($U389="Subscription",$U389=""),"",IF($U389="Estimate","N/A",IF($U389="Profit",ROUND(IFERROR($P389,0)-IFERROR($H389,0),2),0))))</ns0:f>
      </ns0:c>
      <ns0:c r="R389" s="114">
        <ns0:f>IF(COUNTA($A389:$M389)=0,"",IF(OR($U389="Subscription",$U389=""),"",IF($U389="Estimate","N/A",IF($U389="Draw",$H389,0))))</ns0:f>
      </ns0:c>
      <ns0:c r="S389" s="114">
        <ns0:f>IF(COUNTA($A389:$M389)=0,"",IF(OR($U389="Subscription",$U389=""),"",IF($U389="Estimate","N/A",IF($U389="Disqualified",$H389,0))))</ns0:f>
      </ns0:c>
      <ns0:c r="T389" s="955">
        <ns0:f>IF(COUNTA($A389:$M389)=0,"",IF(OR($U389="Subscription",$U389=""),"",IF($U389="Estimate","N/A",IF(OR($U389="Free Game",$U389="Disqualified — Free Game",$H389=0),"N/A",IF($U389="Profit",$Q389/$H389,IF($U389="Disqualified",-$S389/$H389,0))))))</ns0:f>
      </ns0:c>
      <ns0:c r="U389" s="920">
        <ns0:f>IF(COUNTA($A389:$M389)=0,"",IF(OR(LEFT(LOWER(TRIM($F389&amp;"")),12)="subscription",LOWER(TRIM($F389&amp;""))="membership"),"Subscription",IF(LOWER(TRIM($D389&amp;""))="estimate","Estimate",IF(OR(AND($H389&lt;&gt;"",$H389=0),LEFT(LOWER(TRIM($F389&amp;"")),9)="free game",LOWER(TRIM($F389&amp;""))="free",LOWER(TRIM($F389&amp;""))="free entry"),IF(LOWER($L389&amp;"")="yes","Disqualified — Free Game","Free Game"),IF(LOWER($L389&amp;"")="yes","Disqualified",IF($P389="","",IF(ROUND(IFERROR(VALUE($P389),0)-IFERROR(VALUE($H389),0),2)&gt;0,"Profit","Draw")))))))</ns0:f>
      </ns0:c>
      <ns0:c r="V389" s="956" t="str">
        <ns0:f>IF(COUNTA($A389:$M389)=0,"",IF(OR($B389="",$C389="",$U389="Subscription"),"",IFERROR(ROUNDUP(($C389-$B389)/7,0),"")))</ns0:f>
      </ns0:c>
      <ns0:c r="W389" s="114">
        <ns0:f>IF(COUNTA($A389:$M389)=0,"",IF(OR($U389="Subscription",$U389=""),"",IF($U389="Estimate","N/A",IF(OR($U389="Free Game",$U389="Disqualified — Free Game"),0,ROUND(IFERROR($Q389,0)-IFERROR($S389,0),2)))))</ns0:f>
      </ns0:c>
      <ns0:c r="X389" s="956" t="str">
        <ns0:f>IF(COUNTA($A389:$M389)=0,"",IF(OR($U389="Subscription",NOT(ISNUMBER($J389)),NOT(ISNUMBER($I389)),$J389=0,$I389=0,$I389&gt;$J389),"",$J389-$I389))</ns0:f>
      </ns0:c>
      <ns0:c r="Y389" s="955" t="str">
        <ns0:f>IF(COUNTA($A389:$M389)=0,"",IF(OR($U389="Subscription",NOT(ISNUMBER($J389)),$J389=0,$X389=""),"",$X389/$J389))</ns0:f>
      </ns0:c>
      <ns0:c r="Z389" s="957" t="str">
        <ns0:f>IF(COUNTA($A389:$M389)=0,"",Instructions!$B$29+SUM($W$5:W389))</ns0:f>
      </ns0:c>
    </ns0:row>
    <ns0:row r="390" ht="36" customHeight="1">
      <ns0:c r="A390" s="439"/>
      <ns0:c r="B390" s="453"/>
      <ns0:c r="C390" s="453"/>
      <ns0:c r="D390" s="454"/>
      <ns0:c r="E390" s="454"/>
      <ns0:c r="F390" s="454"/>
      <ns0:c r="G390" s="986"/>
      <ns0:c r="H390" s="455"/>
      <ns0:c r="I390" s="456"/>
      <ns0:c r="J390" s="456"/>
      <ns0:c r="K390" s="986"/>
      <ns0:c r="L390" s="454"/>
      <ns0:c r="M390" s="439"/>
      <ns0:c r="N390" s="987" t="str">
        <ns0:f>IF(COUNTA($A390:$M390)=0,"",IF(OR(LEFT(LOWER(TRIM($F390&amp;"")),12)="subscription",LOWER(TRIM($F390&amp;""))="membership"),"",IF(OR(AND($H390&lt;&gt;"",$H390=0),LEFT(LOWER(TRIM($F390&amp;"")),9)="free game",LOWER(TRIM($F390&amp;""))="free",LOWER(TRIM($F390&amp;""))="free entry"),IF(ISNUMBER($G390),IF(ISNUMBER(SEARCH("non",LOWER($E390&amp;""))),$G390*0.85,$G390),"N/A"),IF($G390="","",IFERROR(IF(ISNUMBER(SEARCH("non",LOWER($E390&amp;""))),$G390*0.85,$G390),"")))))</ns0:f>
        <ns0:v/>
      </ns0:c>
      <ns0:c r="O390" s="987" t="str">
        <ns0:f>IF(COUNTA($A390:$M390)=0,"",IF(OR(LEFT(LOWER(TRIM($F390&amp;"")),12)="subscription",LOWER(TRIM($F390&amp;""))="membership"),"",IF(OR(AND($H390&lt;&gt;"",$H390=0),LEFT(LOWER(TRIM($F390&amp;"")),9)="free game",LOWER(TRIM($F390&amp;""))="free",LOWER(TRIM($F390&amp;""))="free entry"),IF(OR(NOT(ISNUMBER($N390)),NOT(ISNUMBER($I390)),$I390=0),"N/A",IFERROR($N390/$I390,"N/A")),IF(OR($N390="",$I390="",$I390=0),"",IFERROR($N390/$I390,"")))))</ns0:f>
        <ns0:v/>
      </ns0:c>
      <ns0:c r="P390" s="987">
        <ns0:f>IF(COUNTA($A390:$M390)=0,"",IF(OR(LEFT(LOWER(TRIM($F390&amp;"")),12)="subscription",LOWER(TRIM($F390&amp;""))="membership"),"",IF(LOWER(TRIM($D390&amp;""))="estimate","N/A",IF(LOWER($L390&amp;"")="yes",0,IF(OR(AND($H390&lt;&gt;"",$H390=0),LEFT(LOWER(TRIM($F390&amp;"")),9)="free game",LOWER(TRIM($F390&amp;""))="free",LOWER(TRIM($F390&amp;""))="free entry"),IF(ISNUMBER($K390),$K390,""),IF($K390&lt;&gt;"",$K390,""))))))</ns0:f>
      </ns0:c>
      <ns0:c r="Q390" s="114">
        <ns0:f>IF(COUNTA($A390:$M390)=0,"",IF(OR($U390="Subscription",$U390=""),"",IF($U390="Estimate","N/A",IF($U390="Profit",ROUND(IFERROR($P390,0)-IFERROR($H390,0),2),0))))</ns0:f>
      </ns0:c>
      <ns0:c r="R390" s="114">
        <ns0:f>IF(COUNTA($A390:$M390)=0,"",IF(OR($U390="Subscription",$U390=""),"",IF($U390="Estimate","N/A",IF($U390="Draw",$H390,0))))</ns0:f>
      </ns0:c>
      <ns0:c r="S390" s="114">
        <ns0:f>IF(COUNTA($A390:$M390)=0,"",IF(OR($U390="Subscription",$U390=""),"",IF($U390="Estimate","N/A",IF($U390="Disqualified",$H390,0))))</ns0:f>
      </ns0:c>
      <ns0:c r="T390" s="955">
        <ns0:f>IF(COUNTA($A390:$M390)=0,"",IF(OR($U390="Subscription",$U390=""),"",IF($U390="Estimate","N/A",IF(OR($U390="Free Game",$U390="Disqualified — Free Game",$H390=0),"N/A",IF($U390="Profit",$Q390/$H390,IF($U390="Disqualified",-$S390/$H390,0))))))</ns0:f>
      </ns0:c>
      <ns0:c r="U390" s="920">
        <ns0:f>IF(COUNTA($A390:$M390)=0,"",IF(OR(LEFT(LOWER(TRIM($F390&amp;"")),12)="subscription",LOWER(TRIM($F390&amp;""))="membership"),"Subscription",IF(LOWER(TRIM($D390&amp;""))="estimate","Estimate",IF(OR(AND($H390&lt;&gt;"",$H390=0),LEFT(LOWER(TRIM($F390&amp;"")),9)="free game",LOWER(TRIM($F390&amp;""))="free",LOWER(TRIM($F390&amp;""))="free entry"),IF(LOWER($L390&amp;"")="yes","Disqualified — Free Game","Free Game"),IF(LOWER($L390&amp;"")="yes","Disqualified",IF($P390="","",IF(ROUND(IFERROR(VALUE($P390),0)-IFERROR(VALUE($H390),0),2)&gt;0,"Profit","Draw")))))))</ns0:f>
      </ns0:c>
      <ns0:c r="V390" s="956" t="str">
        <ns0:f>IF(COUNTA($A390:$M390)=0,"",IF(OR($B390="",$C390="",$U390="Subscription"),"",IFERROR(ROUNDUP(($C390-$B390)/7,0),"")))</ns0:f>
      </ns0:c>
      <ns0:c r="W390" s="114">
        <ns0:f>IF(COUNTA($A390:$M390)=0,"",IF(OR($U390="Subscription",$U390=""),"",IF($U390="Estimate","N/A",IF(OR($U390="Free Game",$U390="Disqualified — Free Game"),0,ROUND(IFERROR($Q390,0)-IFERROR($S390,0),2)))))</ns0:f>
      </ns0:c>
      <ns0:c r="X390" s="956" t="str">
        <ns0:f>IF(COUNTA($A390:$M390)=0,"",IF(OR($U390="Subscription",NOT(ISNUMBER($J390)),NOT(ISNUMBER($I390)),$J390=0,$I390=0,$I390&gt;$J390),"",$J390-$I390))</ns0:f>
      </ns0:c>
      <ns0:c r="Y390" s="955" t="str">
        <ns0:f>IF(COUNTA($A390:$M390)=0,"",IF(OR($U390="Subscription",NOT(ISNUMBER($J390)),$J390=0,$X390=""),"",$X390/$J390))</ns0:f>
      </ns0:c>
      <ns0:c r="Z390" s="957" t="str">
        <ns0:f>IF(COUNTA($A390:$M390)=0,"",Instructions!$B$29+SUM($W$5:W390))</ns0:f>
      </ns0:c>
    </ns0:row>
    <ns0:row r="391" ht="36" customHeight="1">
      <ns0:c r="A391" s="439"/>
      <ns0:c r="B391" s="453"/>
      <ns0:c r="C391" s="453"/>
      <ns0:c r="D391" s="454"/>
      <ns0:c r="E391" s="454"/>
      <ns0:c r="F391" s="454"/>
      <ns0:c r="G391" s="986"/>
      <ns0:c r="H391" s="455"/>
      <ns0:c r="I391" s="456"/>
      <ns0:c r="J391" s="456"/>
      <ns0:c r="K391" s="986"/>
      <ns0:c r="L391" s="454"/>
      <ns0:c r="M391" s="439"/>
      <ns0:c r="N391" s="987" t="str">
        <ns0:f>IF(COUNTA($A391:$M391)=0,"",IF(OR(LEFT(LOWER(TRIM($F391&amp;"")),12)="subscription",LOWER(TRIM($F391&amp;""))="membership"),"",IF(OR(AND($H391&lt;&gt;"",$H391=0),LEFT(LOWER(TRIM($F391&amp;"")),9)="free game",LOWER(TRIM($F391&amp;""))="free",LOWER(TRIM($F391&amp;""))="free entry"),IF(ISNUMBER($G391),IF(ISNUMBER(SEARCH("non",LOWER($E391&amp;""))),$G391*0.85,$G391),"N/A"),IF($G391="","",IFERROR(IF(ISNUMBER(SEARCH("non",LOWER($E391&amp;""))),$G391*0.85,$G391),"")))))</ns0:f>
        <ns0:v/>
      </ns0:c>
      <ns0:c r="O391" s="987" t="str">
        <ns0:f>IF(COUNTA($A391:$M391)=0,"",IF(OR(LEFT(LOWER(TRIM($F391&amp;"")),12)="subscription",LOWER(TRIM($F391&amp;""))="membership"),"",IF(OR(AND($H391&lt;&gt;"",$H391=0),LEFT(LOWER(TRIM($F391&amp;"")),9)="free game",LOWER(TRIM($F391&amp;""))="free",LOWER(TRIM($F391&amp;""))="free entry"),IF(OR(NOT(ISNUMBER($N391)),NOT(ISNUMBER($I391)),$I391=0),"N/A",IFERROR($N391/$I391,"N/A")),IF(OR($N391="",$I391="",$I391=0),"",IFERROR($N391/$I391,"")))))</ns0:f>
        <ns0:v/>
      </ns0:c>
      <ns0:c r="P391" s="987">
        <ns0:f>IF(COUNTA($A391:$M391)=0,"",IF(OR(LEFT(LOWER(TRIM($F391&amp;"")),12)="subscription",LOWER(TRIM($F391&amp;""))="membership"),"",IF(LOWER(TRIM($D391&amp;""))="estimate","N/A",IF(LOWER($L391&amp;"")="yes",0,IF(OR(AND($H391&lt;&gt;"",$H391=0),LEFT(LOWER(TRIM($F391&amp;"")),9)="free game",LOWER(TRIM($F391&amp;""))="free",LOWER(TRIM($F391&amp;""))="free entry"),IF(ISNUMBER($K391),$K391,""),IF($K391&lt;&gt;"",$K391,""))))))</ns0:f>
      </ns0:c>
      <ns0:c r="Q391" s="114">
        <ns0:f>IF(COUNTA($A391:$M391)=0,"",IF(OR($U391="Subscription",$U391=""),"",IF($U391="Estimate","N/A",IF($U391="Profit",ROUND(IFERROR($P391,0)-IFERROR($H391,0),2),0))))</ns0:f>
      </ns0:c>
      <ns0:c r="R391" s="114">
        <ns0:f>IF(COUNTA($A391:$M391)=0,"",IF(OR($U391="Subscription",$U391=""),"",IF($U391="Estimate","N/A",IF($U391="Draw",$H391,0))))</ns0:f>
      </ns0:c>
      <ns0:c r="S391" s="114">
        <ns0:f>IF(COUNTA($A391:$M391)=0,"",IF(OR($U391="Subscription",$U391=""),"",IF($U391="Estimate","N/A",IF($U391="Disqualified",$H391,0))))</ns0:f>
      </ns0:c>
      <ns0:c r="T391" s="955">
        <ns0:f>IF(COUNTA($A391:$M391)=0,"",IF(OR($U391="Subscription",$U391=""),"",IF($U391="Estimate","N/A",IF(OR($U391="Free Game",$U391="Disqualified — Free Game",$H391=0),"N/A",IF($U391="Profit",$Q391/$H391,IF($U391="Disqualified",-$S391/$H391,0))))))</ns0:f>
      </ns0:c>
      <ns0:c r="U391" s="920">
        <ns0:f>IF(COUNTA($A391:$M391)=0,"",IF(OR(LEFT(LOWER(TRIM($F391&amp;"")),12)="subscription",LOWER(TRIM($F391&amp;""))="membership"),"Subscription",IF(LOWER(TRIM($D391&amp;""))="estimate","Estimate",IF(OR(AND($H391&lt;&gt;"",$H391=0),LEFT(LOWER(TRIM($F391&amp;"")),9)="free game",LOWER(TRIM($F391&amp;""))="free",LOWER(TRIM($F391&amp;""))="free entry"),IF(LOWER($L391&amp;"")="yes","Disqualified — Free Game","Free Game"),IF(LOWER($L391&amp;"")="yes","Disqualified",IF($P391="","",IF(ROUND(IFERROR(VALUE($P391),0)-IFERROR(VALUE($H391),0),2)&gt;0,"Profit","Draw")))))))</ns0:f>
      </ns0:c>
      <ns0:c r="V391" s="956" t="str">
        <ns0:f>IF(COUNTA($A391:$M391)=0,"",IF(OR($B391="",$C391="",$U391="Subscription"),"",IFERROR(ROUNDUP(($C391-$B391)/7,0),"")))</ns0:f>
      </ns0:c>
      <ns0:c r="W391" s="114">
        <ns0:f>IF(COUNTA($A391:$M391)=0,"",IF(OR($U391="Subscription",$U391=""),"",IF($U391="Estimate","N/A",IF(OR($U391="Free Game",$U391="Disqualified — Free Game"),0,ROUND(IFERROR($Q391,0)-IFERROR($S391,0),2)))))</ns0:f>
      </ns0:c>
      <ns0:c r="X391" s="956" t="str">
        <ns0:f>IF(COUNTA($A391:$M391)=0,"",IF(OR($U391="Subscription",NOT(ISNUMBER($J391)),NOT(ISNUMBER($I391)),$J391=0,$I391=0,$I391&gt;$J391),"",$J391-$I391))</ns0:f>
      </ns0:c>
      <ns0:c r="Y391" s="955" t="str">
        <ns0:f>IF(COUNTA($A391:$M391)=0,"",IF(OR($U391="Subscription",NOT(ISNUMBER($J391)),$J391=0,$X391=""),"",$X391/$J391))</ns0:f>
      </ns0:c>
      <ns0:c r="Z391" s="957" t="str">
        <ns0:f>IF(COUNTA($A391:$M391)=0,"",Instructions!$B$29+SUM($W$5:W391))</ns0:f>
      </ns0:c>
    </ns0:row>
    <ns0:row r="392" ht="36" customHeight="1">
      <ns0:c r="A392" s="439"/>
      <ns0:c r="B392" s="453"/>
      <ns0:c r="C392" s="453"/>
      <ns0:c r="D392" s="454"/>
      <ns0:c r="E392" s="454"/>
      <ns0:c r="F392" s="454"/>
      <ns0:c r="G392" s="986"/>
      <ns0:c r="H392" s="455"/>
      <ns0:c r="I392" s="456"/>
      <ns0:c r="J392" s="456"/>
      <ns0:c r="K392" s="986"/>
      <ns0:c r="L392" s="454"/>
      <ns0:c r="M392" s="439"/>
      <ns0:c r="N392" s="987" t="str">
        <ns0:f>IF(COUNTA($A392:$M392)=0,"",IF(OR(LEFT(LOWER(TRIM($F392&amp;"")),12)="subscription",LOWER(TRIM($F392&amp;""))="membership"),"",IF(OR(AND($H392&lt;&gt;"",$H392=0),LEFT(LOWER(TRIM($F392&amp;"")),9)="free game",LOWER(TRIM($F392&amp;""))="free",LOWER(TRIM($F392&amp;""))="free entry"),IF(ISNUMBER($G392),IF(ISNUMBER(SEARCH("non",LOWER($E392&amp;""))),$G392*0.85,$G392),"N/A"),IF($G392="","",IFERROR(IF(ISNUMBER(SEARCH("non",LOWER($E392&amp;""))),$G392*0.85,$G392),"")))))</ns0:f>
        <ns0:v/>
      </ns0:c>
      <ns0:c r="O392" s="987" t="str">
        <ns0:f>IF(COUNTA($A392:$M392)=0,"",IF(OR(LEFT(LOWER(TRIM($F392&amp;"")),12)="subscription",LOWER(TRIM($F392&amp;""))="membership"),"",IF(OR(AND($H392&lt;&gt;"",$H392=0),LEFT(LOWER(TRIM($F392&amp;"")),9)="free game",LOWER(TRIM($F392&amp;""))="free",LOWER(TRIM($F392&amp;""))="free entry"),IF(OR(NOT(ISNUMBER($N392)),NOT(ISNUMBER($I392)),$I392=0),"N/A",IFERROR($N392/$I392,"N/A")),IF(OR($N392="",$I392="",$I392=0),"",IFERROR($N392/$I392,"")))))</ns0:f>
        <ns0:v/>
      </ns0:c>
      <ns0:c r="P392" s="987">
        <ns0:f>IF(COUNTA($A392:$M392)=0,"",IF(OR(LEFT(LOWER(TRIM($F392&amp;"")),12)="subscription",LOWER(TRIM($F392&amp;""))="membership"),"",IF(LOWER(TRIM($D392&amp;""))="estimate","N/A",IF(LOWER($L392&amp;"")="yes",0,IF(OR(AND($H392&lt;&gt;"",$H392=0),LEFT(LOWER(TRIM($F392&amp;"")),9)="free game",LOWER(TRIM($F392&amp;""))="free",LOWER(TRIM($F392&amp;""))="free entry"),IF(ISNUMBER($K392),$K392,""),IF($K392&lt;&gt;"",$K392,""))))))</ns0:f>
      </ns0:c>
      <ns0:c r="Q392" s="114">
        <ns0:f>IF(COUNTA($A392:$M392)=0,"",IF(OR($U392="Subscription",$U392=""),"",IF($U392="Estimate","N/A",IF($U392="Profit",ROUND(IFERROR($P392,0)-IFERROR($H392,0),2),0))))</ns0:f>
      </ns0:c>
      <ns0:c r="R392" s="114">
        <ns0:f>IF(COUNTA($A392:$M392)=0,"",IF(OR($U392="Subscription",$U392=""),"",IF($U392="Estimate","N/A",IF($U392="Draw",$H392,0))))</ns0:f>
      </ns0:c>
      <ns0:c r="S392" s="114">
        <ns0:f>IF(COUNTA($A392:$M392)=0,"",IF(OR($U392="Subscription",$U392=""),"",IF($U392="Estimate","N/A",IF($U392="Disqualified",$H392,0))))</ns0:f>
      </ns0:c>
      <ns0:c r="T392" s="955">
        <ns0:f>IF(COUNTA($A392:$M392)=0,"",IF(OR($U392="Subscription",$U392=""),"",IF($U392="Estimate","N/A",IF(OR($U392="Free Game",$U392="Disqualified — Free Game",$H392=0),"N/A",IF($U392="Profit",$Q392/$H392,IF($U392="Disqualified",-$S392/$H392,0))))))</ns0:f>
      </ns0:c>
      <ns0:c r="U392" s="920">
        <ns0:f>IF(COUNTA($A392:$M392)=0,"",IF(OR(LEFT(LOWER(TRIM($F392&amp;"")),12)="subscription",LOWER(TRIM($F392&amp;""))="membership"),"Subscription",IF(LOWER(TRIM($D392&amp;""))="estimate","Estimate",IF(OR(AND($H392&lt;&gt;"",$H392=0),LEFT(LOWER(TRIM($F392&amp;"")),9)="free game",LOWER(TRIM($F392&amp;""))="free",LOWER(TRIM($F392&amp;""))="free entry"),IF(LOWER($L392&amp;"")="yes","Disqualified — Free Game","Free Game"),IF(LOWER($L392&amp;"")="yes","Disqualified",IF($P392="","",IF(ROUND(IFERROR(VALUE($P392),0)-IFERROR(VALUE($H392),0),2)&gt;0,"Profit","Draw")))))))</ns0:f>
      </ns0:c>
      <ns0:c r="V392" s="956" t="str">
        <ns0:f>IF(COUNTA($A392:$M392)=0,"",IF(OR($B392="",$C392="",$U392="Subscription"),"",IFERROR(ROUNDUP(($C392-$B392)/7,0),"")))</ns0:f>
      </ns0:c>
      <ns0:c r="W392" s="114">
        <ns0:f>IF(COUNTA($A392:$M392)=0,"",IF(OR($U392="Subscription",$U392=""),"",IF($U392="Estimate","N/A",IF(OR($U392="Free Game",$U392="Disqualified — Free Game"),0,ROUND(IFERROR($Q392,0)-IFERROR($S392,0),2)))))</ns0:f>
      </ns0:c>
      <ns0:c r="X392" s="956" t="str">
        <ns0:f>IF(COUNTA($A392:$M392)=0,"",IF(OR($U392="Subscription",NOT(ISNUMBER($J392)),NOT(ISNUMBER($I392)),$J392=0,$I392=0,$I392&gt;$J392),"",$J392-$I392))</ns0:f>
      </ns0:c>
      <ns0:c r="Y392" s="955" t="str">
        <ns0:f>IF(COUNTA($A392:$M392)=0,"",IF(OR($U392="Subscription",NOT(ISNUMBER($J392)),$J392=0,$X392=""),"",$X392/$J392))</ns0:f>
      </ns0:c>
      <ns0:c r="Z392" s="957" t="str">
        <ns0:f>IF(COUNTA($A392:$M392)=0,"",Instructions!$B$29+SUM($W$5:W392))</ns0:f>
      </ns0:c>
    </ns0:row>
    <ns0:row r="393" ht="36" customHeight="1">
      <ns0:c r="A393" s="439"/>
      <ns0:c r="B393" s="453"/>
      <ns0:c r="C393" s="453"/>
      <ns0:c r="D393" s="454"/>
      <ns0:c r="E393" s="454"/>
      <ns0:c r="F393" s="454"/>
      <ns0:c r="G393" s="986"/>
      <ns0:c r="H393" s="455"/>
      <ns0:c r="I393" s="456"/>
      <ns0:c r="J393" s="456"/>
      <ns0:c r="K393" s="986"/>
      <ns0:c r="L393" s="454"/>
      <ns0:c r="M393" s="439"/>
      <ns0:c r="N393" s="987" t="str">
        <ns0:f>IF(COUNTA($A393:$M393)=0,"",IF(OR(LEFT(LOWER(TRIM($F393&amp;"")),12)="subscription",LOWER(TRIM($F393&amp;""))="membership"),"",IF(OR(AND($H393&lt;&gt;"",$H393=0),LEFT(LOWER(TRIM($F393&amp;"")),9)="free game",LOWER(TRIM($F393&amp;""))="free",LOWER(TRIM($F393&amp;""))="free entry"),IF(ISNUMBER($G393),IF(ISNUMBER(SEARCH("non",LOWER($E393&amp;""))),$G393*0.85,$G393),"N/A"),IF($G393="","",IFERROR(IF(ISNUMBER(SEARCH("non",LOWER($E393&amp;""))),$G393*0.85,$G393),"")))))</ns0:f>
        <ns0:v/>
      </ns0:c>
      <ns0:c r="O393" s="987" t="str">
        <ns0:f>IF(COUNTA($A393:$M393)=0,"",IF(OR(LEFT(LOWER(TRIM($F393&amp;"")),12)="subscription",LOWER(TRIM($F393&amp;""))="membership"),"",IF(OR(AND($H393&lt;&gt;"",$H393=0),LEFT(LOWER(TRIM($F393&amp;"")),9)="free game",LOWER(TRIM($F393&amp;""))="free",LOWER(TRIM($F393&amp;""))="free entry"),IF(OR(NOT(ISNUMBER($N393)),NOT(ISNUMBER($I393)),$I393=0),"N/A",IFERROR($N393/$I393,"N/A")),IF(OR($N393="",$I393="",$I393=0),"",IFERROR($N393/$I393,"")))))</ns0:f>
        <ns0:v/>
      </ns0:c>
      <ns0:c r="P393" s="987">
        <ns0:f>IF(COUNTA($A393:$M393)=0,"",IF(OR(LEFT(LOWER(TRIM($F393&amp;"")),12)="subscription",LOWER(TRIM($F393&amp;""))="membership"),"",IF(LOWER(TRIM($D393&amp;""))="estimate","N/A",IF(LOWER($L393&amp;"")="yes",0,IF(OR(AND($H393&lt;&gt;"",$H393=0),LEFT(LOWER(TRIM($F393&amp;"")),9)="free game",LOWER(TRIM($F393&amp;""))="free",LOWER(TRIM($F393&amp;""))="free entry"),IF(ISNUMBER($K393),$K393,""),IF($K393&lt;&gt;"",$K393,""))))))</ns0:f>
      </ns0:c>
      <ns0:c r="Q393" s="114">
        <ns0:f>IF(COUNTA($A393:$M393)=0,"",IF(OR($U393="Subscription",$U393=""),"",IF($U393="Estimate","N/A",IF($U393="Profit",ROUND(IFERROR($P393,0)-IFERROR($H393,0),2),0))))</ns0:f>
      </ns0:c>
      <ns0:c r="R393" s="114">
        <ns0:f>IF(COUNTA($A393:$M393)=0,"",IF(OR($U393="Subscription",$U393=""),"",IF($U393="Estimate","N/A",IF($U393="Draw",$H393,0))))</ns0:f>
      </ns0:c>
      <ns0:c r="S393" s="114">
        <ns0:f>IF(COUNTA($A393:$M393)=0,"",IF(OR($U393="Subscription",$U393=""),"",IF($U393="Estimate","N/A",IF($U393="Disqualified",$H393,0))))</ns0:f>
      </ns0:c>
      <ns0:c r="T393" s="955">
        <ns0:f>IF(COUNTA($A393:$M393)=0,"",IF(OR($U393="Subscription",$U393=""),"",IF($U393="Estimate","N/A",IF(OR($U393="Free Game",$U393="Disqualified — Free Game",$H393=0),"N/A",IF($U393="Profit",$Q393/$H393,IF($U393="Disqualified",-$S393/$H393,0))))))</ns0:f>
      </ns0:c>
      <ns0:c r="U393" s="920">
        <ns0:f>IF(COUNTA($A393:$M393)=0,"",IF(OR(LEFT(LOWER(TRIM($F393&amp;"")),12)="subscription",LOWER(TRIM($F393&amp;""))="membership"),"Subscription",IF(LOWER(TRIM($D393&amp;""))="estimate","Estimate",IF(OR(AND($H393&lt;&gt;"",$H393=0),LEFT(LOWER(TRIM($F393&amp;"")),9)="free game",LOWER(TRIM($F393&amp;""))="free",LOWER(TRIM($F393&amp;""))="free entry"),IF(LOWER($L393&amp;"")="yes","Disqualified — Free Game","Free Game"),IF(LOWER($L393&amp;"")="yes","Disqualified",IF($P393="","",IF(ROUND(IFERROR(VALUE($P393),0)-IFERROR(VALUE($H393),0),2)&gt;0,"Profit","Draw")))))))</ns0:f>
      </ns0:c>
      <ns0:c r="V393" s="956" t="str">
        <ns0:f>IF(COUNTA($A393:$M393)=0,"",IF(OR($B393="",$C393="",$U393="Subscription"),"",IFERROR(ROUNDUP(($C393-$B393)/7,0),"")))</ns0:f>
      </ns0:c>
      <ns0:c r="W393" s="114">
        <ns0:f>IF(COUNTA($A393:$M393)=0,"",IF(OR($U393="Subscription",$U393=""),"",IF($U393="Estimate","N/A",IF(OR($U393="Free Game",$U393="Disqualified — Free Game"),0,ROUND(IFERROR($Q393,0)-IFERROR($S393,0),2)))))</ns0:f>
      </ns0:c>
      <ns0:c r="X393" s="956" t="str">
        <ns0:f>IF(COUNTA($A393:$M393)=0,"",IF(OR($U393="Subscription",NOT(ISNUMBER($J393)),NOT(ISNUMBER($I393)),$J393=0,$I393=0,$I393&gt;$J393),"",$J393-$I393))</ns0:f>
      </ns0:c>
      <ns0:c r="Y393" s="955" t="str">
        <ns0:f>IF(COUNTA($A393:$M393)=0,"",IF(OR($U393="Subscription",NOT(ISNUMBER($J393)),$J393=0,$X393=""),"",$X393/$J393))</ns0:f>
      </ns0:c>
      <ns0:c r="Z393" s="957" t="str">
        <ns0:f>IF(COUNTA($A393:$M393)=0,"",Instructions!$B$29+SUM($W$5:W393))</ns0:f>
      </ns0:c>
    </ns0:row>
    <ns0:row r="394" ht="36" customHeight="1">
      <ns0:c r="A394" s="439"/>
      <ns0:c r="B394" s="453"/>
      <ns0:c r="C394" s="453"/>
      <ns0:c r="D394" s="454"/>
      <ns0:c r="E394" s="454"/>
      <ns0:c r="F394" s="454"/>
      <ns0:c r="G394" s="986"/>
      <ns0:c r="H394" s="455"/>
      <ns0:c r="I394" s="456"/>
      <ns0:c r="J394" s="456"/>
      <ns0:c r="K394" s="986"/>
      <ns0:c r="L394" s="454"/>
      <ns0:c r="M394" s="439"/>
      <ns0:c r="N394" s="987" t="str">
        <ns0:f>IF(COUNTA($A394:$M394)=0,"",IF(OR(LEFT(LOWER(TRIM($F394&amp;"")),12)="subscription",LOWER(TRIM($F394&amp;""))="membership"),"",IF(OR(AND($H394&lt;&gt;"",$H394=0),LEFT(LOWER(TRIM($F394&amp;"")),9)="free game",LOWER(TRIM($F394&amp;""))="free",LOWER(TRIM($F394&amp;""))="free entry"),IF(ISNUMBER($G394),IF(ISNUMBER(SEARCH("non",LOWER($E394&amp;""))),$G394*0.85,$G394),"N/A"),IF($G394="","",IFERROR(IF(ISNUMBER(SEARCH("non",LOWER($E394&amp;""))),$G394*0.85,$G394),"")))))</ns0:f>
        <ns0:v/>
      </ns0:c>
      <ns0:c r="O394" s="987" t="str">
        <ns0:f>IF(COUNTA($A394:$M394)=0,"",IF(OR(LEFT(LOWER(TRIM($F394&amp;"")),12)="subscription",LOWER(TRIM($F394&amp;""))="membership"),"",IF(OR(AND($H394&lt;&gt;"",$H394=0),LEFT(LOWER(TRIM($F394&amp;"")),9)="free game",LOWER(TRIM($F394&amp;""))="free",LOWER(TRIM($F394&amp;""))="free entry"),IF(OR(NOT(ISNUMBER($N394)),NOT(ISNUMBER($I394)),$I394=0),"N/A",IFERROR($N394/$I394,"N/A")),IF(OR($N394="",$I394="",$I394=0),"",IFERROR($N394/$I394,"")))))</ns0:f>
        <ns0:v/>
      </ns0:c>
      <ns0:c r="P394" s="987">
        <ns0:f>IF(COUNTA($A394:$M394)=0,"",IF(OR(LEFT(LOWER(TRIM($F394&amp;"")),12)="subscription",LOWER(TRIM($F394&amp;""))="membership"),"",IF(LOWER(TRIM($D394&amp;""))="estimate","N/A",IF(LOWER($L394&amp;"")="yes",0,IF(OR(AND($H394&lt;&gt;"",$H394=0),LEFT(LOWER(TRIM($F394&amp;"")),9)="free game",LOWER(TRIM($F394&amp;""))="free",LOWER(TRIM($F394&amp;""))="free entry"),IF(ISNUMBER($K394),$K394,""),IF($K394&lt;&gt;"",$K394,""))))))</ns0:f>
      </ns0:c>
      <ns0:c r="Q394" s="114">
        <ns0:f>IF(COUNTA($A394:$M394)=0,"",IF(OR($U394="Subscription",$U394=""),"",IF($U394="Estimate","N/A",IF($U394="Profit",ROUND(IFERROR($P394,0)-IFERROR($H394,0),2),0))))</ns0:f>
      </ns0:c>
      <ns0:c r="R394" s="114">
        <ns0:f>IF(COUNTA($A394:$M394)=0,"",IF(OR($U394="Subscription",$U394=""),"",IF($U394="Estimate","N/A",IF($U394="Draw",$H394,0))))</ns0:f>
      </ns0:c>
      <ns0:c r="S394" s="114">
        <ns0:f>IF(COUNTA($A394:$M394)=0,"",IF(OR($U394="Subscription",$U394=""),"",IF($U394="Estimate","N/A",IF($U394="Disqualified",$H394,0))))</ns0:f>
      </ns0:c>
      <ns0:c r="T394" s="955">
        <ns0:f>IF(COUNTA($A394:$M394)=0,"",IF(OR($U394="Subscription",$U394=""),"",IF($U394="Estimate","N/A",IF(OR($U394="Free Game",$U394="Disqualified — Free Game",$H394=0),"N/A",IF($U394="Profit",$Q394/$H394,IF($U394="Disqualified",-$S394/$H394,0))))))</ns0:f>
      </ns0:c>
      <ns0:c r="U394" s="920">
        <ns0:f>IF(COUNTA($A394:$M394)=0,"",IF(OR(LEFT(LOWER(TRIM($F394&amp;"")),12)="subscription",LOWER(TRIM($F394&amp;""))="membership"),"Subscription",IF(LOWER(TRIM($D394&amp;""))="estimate","Estimate",IF(OR(AND($H394&lt;&gt;"",$H394=0),LEFT(LOWER(TRIM($F394&amp;"")),9)="free game",LOWER(TRIM($F394&amp;""))="free",LOWER(TRIM($F394&amp;""))="free entry"),IF(LOWER($L394&amp;"")="yes","Disqualified — Free Game","Free Game"),IF(LOWER($L394&amp;"")="yes","Disqualified",IF($P394="","",IF(ROUND(IFERROR(VALUE($P394),0)-IFERROR(VALUE($H394),0),2)&gt;0,"Profit","Draw")))))))</ns0:f>
      </ns0:c>
      <ns0:c r="V394" s="956" t="str">
        <ns0:f>IF(COUNTA($A394:$M394)=0,"",IF(OR($B394="",$C394="",$U394="Subscription"),"",IFERROR(ROUNDUP(($C394-$B394)/7,0),"")))</ns0:f>
      </ns0:c>
      <ns0:c r="W394" s="114">
        <ns0:f>IF(COUNTA($A394:$M394)=0,"",IF(OR($U394="Subscription",$U394=""),"",IF($U394="Estimate","N/A",IF(OR($U394="Free Game",$U394="Disqualified — Free Game"),0,ROUND(IFERROR($Q394,0)-IFERROR($S394,0),2)))))</ns0:f>
      </ns0:c>
      <ns0:c r="X394" s="956" t="str">
        <ns0:f>IF(COUNTA($A394:$M394)=0,"",IF(OR($U394="Subscription",NOT(ISNUMBER($J394)),NOT(ISNUMBER($I394)),$J394=0,$I394=0,$I394&gt;$J394),"",$J394-$I394))</ns0:f>
      </ns0:c>
      <ns0:c r="Y394" s="955" t="str">
        <ns0:f>IF(COUNTA($A394:$M394)=0,"",IF(OR($U394="Subscription",NOT(ISNUMBER($J394)),$J394=0,$X394=""),"",$X394/$J394))</ns0:f>
      </ns0:c>
      <ns0:c r="Z394" s="957" t="str">
        <ns0:f>IF(COUNTA($A394:$M394)=0,"",Instructions!$B$29+SUM($W$5:W394))</ns0:f>
      </ns0:c>
    </ns0:row>
    <ns0:row r="395" ht="36" customHeight="1">
      <ns0:c r="A395" s="439"/>
      <ns0:c r="B395" s="453"/>
      <ns0:c r="C395" s="453"/>
      <ns0:c r="D395" s="454"/>
      <ns0:c r="E395" s="454"/>
      <ns0:c r="F395" s="454"/>
      <ns0:c r="G395" s="986"/>
      <ns0:c r="H395" s="455"/>
      <ns0:c r="I395" s="456"/>
      <ns0:c r="J395" s="456"/>
      <ns0:c r="K395" s="986"/>
      <ns0:c r="L395" s="454"/>
      <ns0:c r="M395" s="439"/>
      <ns0:c r="N395" s="987" t="str">
        <ns0:f>IF(COUNTA($A395:$M395)=0,"",IF(OR(LEFT(LOWER(TRIM($F395&amp;"")),12)="subscription",LOWER(TRIM($F395&amp;""))="membership"),"",IF(OR(AND($H395&lt;&gt;"",$H395=0),LEFT(LOWER(TRIM($F395&amp;"")),9)="free game",LOWER(TRIM($F395&amp;""))="free",LOWER(TRIM($F395&amp;""))="free entry"),IF(ISNUMBER($G395),IF(ISNUMBER(SEARCH("non",LOWER($E395&amp;""))),$G395*0.85,$G395),"N/A"),IF($G395="","",IFERROR(IF(ISNUMBER(SEARCH("non",LOWER($E395&amp;""))),$G395*0.85,$G395),"")))))</ns0:f>
        <ns0:v/>
      </ns0:c>
      <ns0:c r="O395" s="987" t="str">
        <ns0:f>IF(COUNTA($A395:$M395)=0,"",IF(OR(LEFT(LOWER(TRIM($F395&amp;"")),12)="subscription",LOWER(TRIM($F395&amp;""))="membership"),"",IF(OR(AND($H395&lt;&gt;"",$H395=0),LEFT(LOWER(TRIM($F395&amp;"")),9)="free game",LOWER(TRIM($F395&amp;""))="free",LOWER(TRIM($F395&amp;""))="free entry"),IF(OR(NOT(ISNUMBER($N395)),NOT(ISNUMBER($I395)),$I395=0),"N/A",IFERROR($N395/$I395,"N/A")),IF(OR($N395="",$I395="",$I395=0),"",IFERROR($N395/$I395,"")))))</ns0:f>
        <ns0:v/>
      </ns0:c>
      <ns0:c r="P395" s="987">
        <ns0:f>IF(COUNTA($A395:$M395)=0,"",IF(OR(LEFT(LOWER(TRIM($F395&amp;"")),12)="subscription",LOWER(TRIM($F395&amp;""))="membership"),"",IF(LOWER(TRIM($D395&amp;""))="estimate","N/A",IF(LOWER($L395&amp;"")="yes",0,IF(OR(AND($H395&lt;&gt;"",$H395=0),LEFT(LOWER(TRIM($F395&amp;"")),9)="free game",LOWER(TRIM($F395&amp;""))="free",LOWER(TRIM($F395&amp;""))="free entry"),IF(ISNUMBER($K395),$K395,""),IF($K395&lt;&gt;"",$K395,""))))))</ns0:f>
      </ns0:c>
      <ns0:c r="Q395" s="114">
        <ns0:f>IF(COUNTA($A395:$M395)=0,"",IF(OR($U395="Subscription",$U395=""),"",IF($U395="Estimate","N/A",IF($U395="Profit",ROUND(IFERROR($P395,0)-IFERROR($H395,0),2),0))))</ns0:f>
      </ns0:c>
      <ns0:c r="R395" s="114">
        <ns0:f>IF(COUNTA($A395:$M395)=0,"",IF(OR($U395="Subscription",$U395=""),"",IF($U395="Estimate","N/A",IF($U395="Draw",$H395,0))))</ns0:f>
      </ns0:c>
      <ns0:c r="S395" s="114">
        <ns0:f>IF(COUNTA($A395:$M395)=0,"",IF(OR($U395="Subscription",$U395=""),"",IF($U395="Estimate","N/A",IF($U395="Disqualified",$H395,0))))</ns0:f>
      </ns0:c>
      <ns0:c r="T395" s="955">
        <ns0:f>IF(COUNTA($A395:$M395)=0,"",IF(OR($U395="Subscription",$U395=""),"",IF($U395="Estimate","N/A",IF(OR($U395="Free Game",$U395="Disqualified — Free Game",$H395=0),"N/A",IF($U395="Profit",$Q395/$H395,IF($U395="Disqualified",-$S395/$H395,0))))))</ns0:f>
      </ns0:c>
      <ns0:c r="U395" s="920">
        <ns0:f>IF(COUNTA($A395:$M395)=0,"",IF(OR(LEFT(LOWER(TRIM($F395&amp;"")),12)="subscription",LOWER(TRIM($F395&amp;""))="membership"),"Subscription",IF(LOWER(TRIM($D395&amp;""))="estimate","Estimate",IF(OR(AND($H395&lt;&gt;"",$H395=0),LEFT(LOWER(TRIM($F395&amp;"")),9)="free game",LOWER(TRIM($F395&amp;""))="free",LOWER(TRIM($F395&amp;""))="free entry"),IF(LOWER($L395&amp;"")="yes","Disqualified — Free Game","Free Game"),IF(LOWER($L395&amp;"")="yes","Disqualified",IF($P395="","",IF(ROUND(IFERROR(VALUE($P395),0)-IFERROR(VALUE($H395),0),2)&gt;0,"Profit","Draw")))))))</ns0:f>
      </ns0:c>
      <ns0:c r="V395" s="956" t="str">
        <ns0:f>IF(COUNTA($A395:$M395)=0,"",IF(OR($B395="",$C395="",$U395="Subscription"),"",IFERROR(ROUNDUP(($C395-$B395)/7,0),"")))</ns0:f>
      </ns0:c>
      <ns0:c r="W395" s="114">
        <ns0:f>IF(COUNTA($A395:$M395)=0,"",IF(OR($U395="Subscription",$U395=""),"",IF($U395="Estimate","N/A",IF(OR($U395="Free Game",$U395="Disqualified — Free Game"),0,ROUND(IFERROR($Q395,0)-IFERROR($S395,0),2)))))</ns0:f>
      </ns0:c>
      <ns0:c r="X395" s="956" t="str">
        <ns0:f>IF(COUNTA($A395:$M395)=0,"",IF(OR($U395="Subscription",NOT(ISNUMBER($J395)),NOT(ISNUMBER($I395)),$J395=0,$I395=0,$I395&gt;$J395),"",$J395-$I395))</ns0:f>
      </ns0:c>
      <ns0:c r="Y395" s="955" t="str">
        <ns0:f>IF(COUNTA($A395:$M395)=0,"",IF(OR($U395="Subscription",NOT(ISNUMBER($J395)),$J395=0,$X395=""),"",$X395/$J395))</ns0:f>
      </ns0:c>
      <ns0:c r="Z395" s="957" t="str">
        <ns0:f>IF(COUNTA($A395:$M395)=0,"",Instructions!$B$29+SUM($W$5:W395))</ns0:f>
      </ns0:c>
    </ns0:row>
    <ns0:row r="396" ht="36" customHeight="1">
      <ns0:c r="A396" s="439"/>
      <ns0:c r="B396" s="453"/>
      <ns0:c r="C396" s="453"/>
      <ns0:c r="D396" s="454"/>
      <ns0:c r="E396" s="454"/>
      <ns0:c r="F396" s="454"/>
      <ns0:c r="G396" s="986"/>
      <ns0:c r="H396" s="455"/>
      <ns0:c r="I396" s="456"/>
      <ns0:c r="J396" s="456"/>
      <ns0:c r="K396" s="986"/>
      <ns0:c r="L396" s="454"/>
      <ns0:c r="M396" s="439"/>
      <ns0:c r="N396" s="987" t="str">
        <ns0:f>IF(COUNTA($A396:$M396)=0,"",IF(OR(LEFT(LOWER(TRIM($F396&amp;"")),12)="subscription",LOWER(TRIM($F396&amp;""))="membership"),"",IF(OR(AND($H396&lt;&gt;"",$H396=0),LEFT(LOWER(TRIM($F396&amp;"")),9)="free game",LOWER(TRIM($F396&amp;""))="free",LOWER(TRIM($F396&amp;""))="free entry"),IF(ISNUMBER($G396),IF(ISNUMBER(SEARCH("non",LOWER($E396&amp;""))),$G396*0.85,$G396),"N/A"),IF($G396="","",IFERROR(IF(ISNUMBER(SEARCH("non",LOWER($E396&amp;""))),$G396*0.85,$G396),"")))))</ns0:f>
        <ns0:v/>
      </ns0:c>
      <ns0:c r="O396" s="987" t="str">
        <ns0:f>IF(COUNTA($A396:$M396)=0,"",IF(OR(LEFT(LOWER(TRIM($F396&amp;"")),12)="subscription",LOWER(TRIM($F396&amp;""))="membership"),"",IF(OR(AND($H396&lt;&gt;"",$H396=0),LEFT(LOWER(TRIM($F396&amp;"")),9)="free game",LOWER(TRIM($F396&amp;""))="free",LOWER(TRIM($F396&amp;""))="free entry"),IF(OR(NOT(ISNUMBER($N396)),NOT(ISNUMBER($I396)),$I396=0),"N/A",IFERROR($N396/$I396,"N/A")),IF(OR($N396="",$I396="",$I396=0),"",IFERROR($N396/$I396,"")))))</ns0:f>
        <ns0:v/>
      </ns0:c>
      <ns0:c r="P396" s="987">
        <ns0:f>IF(COUNTA($A396:$M396)=0,"",IF(OR(LEFT(LOWER(TRIM($F396&amp;"")),12)="subscription",LOWER(TRIM($F396&amp;""))="membership"),"",IF(LOWER(TRIM($D396&amp;""))="estimate","N/A",IF(LOWER($L396&amp;"")="yes",0,IF(OR(AND($H396&lt;&gt;"",$H396=0),LEFT(LOWER(TRIM($F396&amp;"")),9)="free game",LOWER(TRIM($F396&amp;""))="free",LOWER(TRIM($F396&amp;""))="free entry"),IF(ISNUMBER($K396),$K396,""),IF($K396&lt;&gt;"",$K396,""))))))</ns0:f>
      </ns0:c>
      <ns0:c r="Q396" s="114">
        <ns0:f>IF(COUNTA($A396:$M396)=0,"",IF(OR($U396="Subscription",$U396=""),"",IF($U396="Estimate","N/A",IF($U396="Profit",ROUND(IFERROR($P396,0)-IFERROR($H396,0),2),0))))</ns0:f>
      </ns0:c>
      <ns0:c r="R396" s="114">
        <ns0:f>IF(COUNTA($A396:$M396)=0,"",IF(OR($U396="Subscription",$U396=""),"",IF($U396="Estimate","N/A",IF($U396="Draw",$H396,0))))</ns0:f>
      </ns0:c>
      <ns0:c r="S396" s="114">
        <ns0:f>IF(COUNTA($A396:$M396)=0,"",IF(OR($U396="Subscription",$U396=""),"",IF($U396="Estimate","N/A",IF($U396="Disqualified",$H396,0))))</ns0:f>
      </ns0:c>
      <ns0:c r="T396" s="955">
        <ns0:f>IF(COUNTA($A396:$M396)=0,"",IF(OR($U396="Subscription",$U396=""),"",IF($U396="Estimate","N/A",IF(OR($U396="Free Game",$U396="Disqualified — Free Game",$H396=0),"N/A",IF($U396="Profit",$Q396/$H396,IF($U396="Disqualified",-$S396/$H396,0))))))</ns0:f>
      </ns0:c>
      <ns0:c r="U396" s="920">
        <ns0:f>IF(COUNTA($A396:$M396)=0,"",IF(OR(LEFT(LOWER(TRIM($F396&amp;"")),12)="subscription",LOWER(TRIM($F396&amp;""))="membership"),"Subscription",IF(LOWER(TRIM($D396&amp;""))="estimate","Estimate",IF(OR(AND($H396&lt;&gt;"",$H396=0),LEFT(LOWER(TRIM($F396&amp;"")),9)="free game",LOWER(TRIM($F396&amp;""))="free",LOWER(TRIM($F396&amp;""))="free entry"),IF(LOWER($L396&amp;"")="yes","Disqualified — Free Game","Free Game"),IF(LOWER($L396&amp;"")="yes","Disqualified",IF($P396="","",IF(ROUND(IFERROR(VALUE($P396),0)-IFERROR(VALUE($H396),0),2)&gt;0,"Profit","Draw")))))))</ns0:f>
      </ns0:c>
      <ns0:c r="V396" s="956" t="str">
        <ns0:f>IF(COUNTA($A396:$M396)=0,"",IF(OR($B396="",$C396="",$U396="Subscription"),"",IFERROR(ROUNDUP(($C396-$B396)/7,0),"")))</ns0:f>
      </ns0:c>
      <ns0:c r="W396" s="114">
        <ns0:f>IF(COUNTA($A396:$M396)=0,"",IF(OR($U396="Subscription",$U396=""),"",IF($U396="Estimate","N/A",IF(OR($U396="Free Game",$U396="Disqualified — Free Game"),0,ROUND(IFERROR($Q396,0)-IFERROR($S396,0),2)))))</ns0:f>
      </ns0:c>
      <ns0:c r="X396" s="956" t="str">
        <ns0:f>IF(COUNTA($A396:$M396)=0,"",IF(OR($U396="Subscription",NOT(ISNUMBER($J396)),NOT(ISNUMBER($I396)),$J396=0,$I396=0,$I396&gt;$J396),"",$J396-$I396))</ns0:f>
      </ns0:c>
      <ns0:c r="Y396" s="955" t="str">
        <ns0:f>IF(COUNTA($A396:$M396)=0,"",IF(OR($U396="Subscription",NOT(ISNUMBER($J396)),$J396=0,$X396=""),"",$X396/$J396))</ns0:f>
      </ns0:c>
      <ns0:c r="Z396" s="957" t="str">
        <ns0:f>IF(COUNTA($A396:$M396)=0,"",Instructions!$B$29+SUM($W$5:W396))</ns0:f>
      </ns0:c>
    </ns0:row>
    <ns0:row r="397" ht="36" customHeight="1">
      <ns0:c r="A397" s="439"/>
      <ns0:c r="B397" s="453"/>
      <ns0:c r="C397" s="453"/>
      <ns0:c r="D397" s="454"/>
      <ns0:c r="E397" s="454"/>
      <ns0:c r="F397" s="454"/>
      <ns0:c r="G397" s="986"/>
      <ns0:c r="H397" s="455"/>
      <ns0:c r="I397" s="456"/>
      <ns0:c r="J397" s="456"/>
      <ns0:c r="K397" s="986"/>
      <ns0:c r="L397" s="454"/>
      <ns0:c r="M397" s="439"/>
      <ns0:c r="N397" s="987" t="str">
        <ns0:f>IF(COUNTA($A397:$M397)=0,"",IF(OR(LEFT(LOWER(TRIM($F397&amp;"")),12)="subscription",LOWER(TRIM($F397&amp;""))="membership"),"",IF(OR(AND($H397&lt;&gt;"",$H397=0),LEFT(LOWER(TRIM($F397&amp;"")),9)="free game",LOWER(TRIM($F397&amp;""))="free",LOWER(TRIM($F397&amp;""))="free entry"),IF(ISNUMBER($G397),IF(ISNUMBER(SEARCH("non",LOWER($E397&amp;""))),$G397*0.85,$G397),"N/A"),IF($G397="","",IFERROR(IF(ISNUMBER(SEARCH("non",LOWER($E397&amp;""))),$G397*0.85,$G397),"")))))</ns0:f>
        <ns0:v/>
      </ns0:c>
      <ns0:c r="O397" s="987" t="str">
        <ns0:f>IF(COUNTA($A397:$M397)=0,"",IF(OR(LEFT(LOWER(TRIM($F397&amp;"")),12)="subscription",LOWER(TRIM($F397&amp;""))="membership"),"",IF(OR(AND($H397&lt;&gt;"",$H397=0),LEFT(LOWER(TRIM($F397&amp;"")),9)="free game",LOWER(TRIM($F397&amp;""))="free",LOWER(TRIM($F397&amp;""))="free entry"),IF(OR(NOT(ISNUMBER($N397)),NOT(ISNUMBER($I397)),$I397=0),"N/A",IFERROR($N397/$I397,"N/A")),IF(OR($N397="",$I397="",$I397=0),"",IFERROR($N397/$I397,"")))))</ns0:f>
        <ns0:v/>
      </ns0:c>
      <ns0:c r="P397" s="987">
        <ns0:f>IF(COUNTA($A397:$M397)=0,"",IF(OR(LEFT(LOWER(TRIM($F397&amp;"")),12)="subscription",LOWER(TRIM($F397&amp;""))="membership"),"",IF(LOWER(TRIM($D397&amp;""))="estimate","N/A",IF(LOWER($L397&amp;"")="yes",0,IF(OR(AND($H397&lt;&gt;"",$H397=0),LEFT(LOWER(TRIM($F397&amp;"")),9)="free game",LOWER(TRIM($F397&amp;""))="free",LOWER(TRIM($F397&amp;""))="free entry"),IF(ISNUMBER($K397),$K397,""),IF($K397&lt;&gt;"",$K397,""))))))</ns0:f>
      </ns0:c>
      <ns0:c r="Q397" s="114">
        <ns0:f>IF(COUNTA($A397:$M397)=0,"",IF(OR($U397="Subscription",$U397=""),"",IF($U397="Estimate","N/A",IF($U397="Profit",ROUND(IFERROR($P397,0)-IFERROR($H397,0),2),0))))</ns0:f>
      </ns0:c>
      <ns0:c r="R397" s="114">
        <ns0:f>IF(COUNTA($A397:$M397)=0,"",IF(OR($U397="Subscription",$U397=""),"",IF($U397="Estimate","N/A",IF($U397="Draw",$H397,0))))</ns0:f>
      </ns0:c>
      <ns0:c r="S397" s="114">
        <ns0:f>IF(COUNTA($A397:$M397)=0,"",IF(OR($U397="Subscription",$U397=""),"",IF($U397="Estimate","N/A",IF($U397="Disqualified",$H397,0))))</ns0:f>
      </ns0:c>
      <ns0:c r="T397" s="955">
        <ns0:f>IF(COUNTA($A397:$M397)=0,"",IF(OR($U397="Subscription",$U397=""),"",IF($U397="Estimate","N/A",IF(OR($U397="Free Game",$U397="Disqualified — Free Game",$H397=0),"N/A",IF($U397="Profit",$Q397/$H397,IF($U397="Disqualified",-$S397/$H397,0))))))</ns0:f>
      </ns0:c>
      <ns0:c r="U397" s="920">
        <ns0:f>IF(COUNTA($A397:$M397)=0,"",IF(OR(LEFT(LOWER(TRIM($F397&amp;"")),12)="subscription",LOWER(TRIM($F397&amp;""))="membership"),"Subscription",IF(LOWER(TRIM($D397&amp;""))="estimate","Estimate",IF(OR(AND($H397&lt;&gt;"",$H397=0),LEFT(LOWER(TRIM($F397&amp;"")),9)="free game",LOWER(TRIM($F397&amp;""))="free",LOWER(TRIM($F397&amp;""))="free entry"),IF(LOWER($L397&amp;"")="yes","Disqualified — Free Game","Free Game"),IF(LOWER($L397&amp;"")="yes","Disqualified",IF($P397="","",IF(ROUND(IFERROR(VALUE($P397),0)-IFERROR(VALUE($H397),0),2)&gt;0,"Profit","Draw")))))))</ns0:f>
      </ns0:c>
      <ns0:c r="V397" s="956" t="str">
        <ns0:f>IF(COUNTA($A397:$M397)=0,"",IF(OR($B397="",$C397="",$U397="Subscription"),"",IFERROR(ROUNDUP(($C397-$B397)/7,0),"")))</ns0:f>
      </ns0:c>
      <ns0:c r="W397" s="114">
        <ns0:f>IF(COUNTA($A397:$M397)=0,"",IF(OR($U397="Subscription",$U397=""),"",IF($U397="Estimate","N/A",IF(OR($U397="Free Game",$U397="Disqualified — Free Game"),0,ROUND(IFERROR($Q397,0)-IFERROR($S397,0),2)))))</ns0:f>
      </ns0:c>
      <ns0:c r="X397" s="956" t="str">
        <ns0:f>IF(COUNTA($A397:$M397)=0,"",IF(OR($U397="Subscription",NOT(ISNUMBER($J397)),NOT(ISNUMBER($I397)),$J397=0,$I397=0,$I397&gt;$J397),"",$J397-$I397))</ns0:f>
      </ns0:c>
      <ns0:c r="Y397" s="955" t="str">
        <ns0:f>IF(COUNTA($A397:$M397)=0,"",IF(OR($U397="Subscription",NOT(ISNUMBER($J397)),$J397=0,$X397=""),"",$X397/$J397))</ns0:f>
      </ns0:c>
      <ns0:c r="Z397" s="957" t="str">
        <ns0:f>IF(COUNTA($A397:$M397)=0,"",Instructions!$B$29+SUM($W$5:W397))</ns0:f>
      </ns0:c>
    </ns0:row>
    <ns0:row r="398" ht="36" customHeight="1">
      <ns0:c r="A398" s="439"/>
      <ns0:c r="B398" s="453"/>
      <ns0:c r="C398" s="453"/>
      <ns0:c r="D398" s="454"/>
      <ns0:c r="E398" s="454"/>
      <ns0:c r="F398" s="454"/>
      <ns0:c r="G398" s="986"/>
      <ns0:c r="H398" s="455"/>
      <ns0:c r="I398" s="456"/>
      <ns0:c r="J398" s="456"/>
      <ns0:c r="K398" s="986"/>
      <ns0:c r="L398" s="454"/>
      <ns0:c r="M398" s="439"/>
      <ns0:c r="N398" s="987" t="str">
        <ns0:f>IF(COUNTA($A398:$M398)=0,"",IF(OR(LEFT(LOWER(TRIM($F398&amp;"")),12)="subscription",LOWER(TRIM($F398&amp;""))="membership"),"",IF(OR(AND($H398&lt;&gt;"",$H398=0),LEFT(LOWER(TRIM($F398&amp;"")),9)="free game",LOWER(TRIM($F398&amp;""))="free",LOWER(TRIM($F398&amp;""))="free entry"),IF(ISNUMBER($G398),IF(ISNUMBER(SEARCH("non",LOWER($E398&amp;""))),$G398*0.85,$G398),"N/A"),IF($G398="","",IFERROR(IF(ISNUMBER(SEARCH("non",LOWER($E398&amp;""))),$G398*0.85,$G398),"")))))</ns0:f>
        <ns0:v/>
      </ns0:c>
      <ns0:c r="O398" s="987" t="str">
        <ns0:f>IF(COUNTA($A398:$M398)=0,"",IF(OR(LEFT(LOWER(TRIM($F398&amp;"")),12)="subscription",LOWER(TRIM($F398&amp;""))="membership"),"",IF(OR(AND($H398&lt;&gt;"",$H398=0),LEFT(LOWER(TRIM($F398&amp;"")),9)="free game",LOWER(TRIM($F398&amp;""))="free",LOWER(TRIM($F398&amp;""))="free entry"),IF(OR(NOT(ISNUMBER($N398)),NOT(ISNUMBER($I398)),$I398=0),"N/A",IFERROR($N398/$I398,"N/A")),IF(OR($N398="",$I398="",$I398=0),"",IFERROR($N398/$I398,"")))))</ns0:f>
        <ns0:v/>
      </ns0:c>
      <ns0:c r="P398" s="987">
        <ns0:f>IF(COUNTA($A398:$M398)=0,"",IF(OR(LEFT(LOWER(TRIM($F398&amp;"")),12)="subscription",LOWER(TRIM($F398&amp;""))="membership"),"",IF(LOWER(TRIM($D398&amp;""))="estimate","N/A",IF(LOWER($L398&amp;"")="yes",0,IF(OR(AND($H398&lt;&gt;"",$H398=0),LEFT(LOWER(TRIM($F398&amp;"")),9)="free game",LOWER(TRIM($F398&amp;""))="free",LOWER(TRIM($F398&amp;""))="free entry"),IF(ISNUMBER($K398),$K398,""),IF($K398&lt;&gt;"",$K398,""))))))</ns0:f>
      </ns0:c>
      <ns0:c r="Q398" s="114">
        <ns0:f>IF(COUNTA($A398:$M398)=0,"",IF(OR($U398="Subscription",$U398=""),"",IF($U398="Estimate","N/A",IF($U398="Profit",ROUND(IFERROR($P398,0)-IFERROR($H398,0),2),0))))</ns0:f>
      </ns0:c>
      <ns0:c r="R398" s="114">
        <ns0:f>IF(COUNTA($A398:$M398)=0,"",IF(OR($U398="Subscription",$U398=""),"",IF($U398="Estimate","N/A",IF($U398="Draw",$H398,0))))</ns0:f>
      </ns0:c>
      <ns0:c r="S398" s="114">
        <ns0:f>IF(COUNTA($A398:$M398)=0,"",IF(OR($U398="Subscription",$U398=""),"",IF($U398="Estimate","N/A",IF($U398="Disqualified",$H398,0))))</ns0:f>
      </ns0:c>
      <ns0:c r="T398" s="955">
        <ns0:f>IF(COUNTA($A398:$M398)=0,"",IF(OR($U398="Subscription",$U398=""),"",IF($U398="Estimate","N/A",IF(OR($U398="Free Game",$U398="Disqualified — Free Game",$H398=0),"N/A",IF($U398="Profit",$Q398/$H398,IF($U398="Disqualified",-$S398/$H398,0))))))</ns0:f>
      </ns0:c>
      <ns0:c r="U398" s="920">
        <ns0:f>IF(COUNTA($A398:$M398)=0,"",IF(OR(LEFT(LOWER(TRIM($F398&amp;"")),12)="subscription",LOWER(TRIM($F398&amp;""))="membership"),"Subscription",IF(LOWER(TRIM($D398&amp;""))="estimate","Estimate",IF(OR(AND($H398&lt;&gt;"",$H398=0),LEFT(LOWER(TRIM($F398&amp;"")),9)="free game",LOWER(TRIM($F398&amp;""))="free",LOWER(TRIM($F398&amp;""))="free entry"),IF(LOWER($L398&amp;"")="yes","Disqualified — Free Game","Free Game"),IF(LOWER($L398&amp;"")="yes","Disqualified",IF($P398="","",IF(ROUND(IFERROR(VALUE($P398),0)-IFERROR(VALUE($H398),0),2)&gt;0,"Profit","Draw")))))))</ns0:f>
      </ns0:c>
      <ns0:c r="V398" s="956" t="str">
        <ns0:f>IF(COUNTA($A398:$M398)=0,"",IF(OR($B398="",$C398="",$U398="Subscription"),"",IFERROR(ROUNDUP(($C398-$B398)/7,0),"")))</ns0:f>
      </ns0:c>
      <ns0:c r="W398" s="114">
        <ns0:f>IF(COUNTA($A398:$M398)=0,"",IF(OR($U398="Subscription",$U398=""),"",IF($U398="Estimate","N/A",IF(OR($U398="Free Game",$U398="Disqualified — Free Game"),0,ROUND(IFERROR($Q398,0)-IFERROR($S398,0),2)))))</ns0:f>
      </ns0:c>
      <ns0:c r="X398" s="956" t="str">
        <ns0:f>IF(COUNTA($A398:$M398)=0,"",IF(OR($U398="Subscription",NOT(ISNUMBER($J398)),NOT(ISNUMBER($I398)),$J398=0,$I398=0,$I398&gt;$J398),"",$J398-$I398))</ns0:f>
      </ns0:c>
      <ns0:c r="Y398" s="955" t="str">
        <ns0:f>IF(COUNTA($A398:$M398)=0,"",IF(OR($U398="Subscription",NOT(ISNUMBER($J398)),$J398=0,$X398=""),"",$X398/$J398))</ns0:f>
      </ns0:c>
      <ns0:c r="Z398" s="957" t="str">
        <ns0:f>IF(COUNTA($A398:$M398)=0,"",Instructions!$B$29+SUM($W$5:W398))</ns0:f>
      </ns0:c>
    </ns0:row>
    <ns0:row r="399" ht="36" customHeight="1">
      <ns0:c r="A399" s="439"/>
      <ns0:c r="B399" s="453"/>
      <ns0:c r="C399" s="453"/>
      <ns0:c r="D399" s="454"/>
      <ns0:c r="E399" s="454"/>
      <ns0:c r="F399" s="454"/>
      <ns0:c r="G399" s="986"/>
      <ns0:c r="H399" s="455"/>
      <ns0:c r="I399" s="456"/>
      <ns0:c r="J399" s="456"/>
      <ns0:c r="K399" s="986"/>
      <ns0:c r="L399" s="454"/>
      <ns0:c r="M399" s="439"/>
      <ns0:c r="N399" s="987" t="str">
        <ns0:f>IF(COUNTA($A399:$M399)=0,"",IF(OR(LEFT(LOWER(TRIM($F399&amp;"")),12)="subscription",LOWER(TRIM($F399&amp;""))="membership"),"",IF(OR(AND($H399&lt;&gt;"",$H399=0),LEFT(LOWER(TRIM($F399&amp;"")),9)="free game",LOWER(TRIM($F399&amp;""))="free",LOWER(TRIM($F399&amp;""))="free entry"),IF(ISNUMBER($G399),IF(ISNUMBER(SEARCH("non",LOWER($E399&amp;""))),$G399*0.85,$G399),"N/A"),IF($G399="","",IFERROR(IF(ISNUMBER(SEARCH("non",LOWER($E399&amp;""))),$G399*0.85,$G399),"")))))</ns0:f>
        <ns0:v/>
      </ns0:c>
      <ns0:c r="O399" s="987" t="str">
        <ns0:f>IF(COUNTA($A399:$M399)=0,"",IF(OR(LEFT(LOWER(TRIM($F399&amp;"")),12)="subscription",LOWER(TRIM($F399&amp;""))="membership"),"",IF(OR(AND($H399&lt;&gt;"",$H399=0),LEFT(LOWER(TRIM($F399&amp;"")),9)="free game",LOWER(TRIM($F399&amp;""))="free",LOWER(TRIM($F399&amp;""))="free entry"),IF(OR(NOT(ISNUMBER($N399)),NOT(ISNUMBER($I399)),$I399=0),"N/A",IFERROR($N399/$I399,"N/A")),IF(OR($N399="",$I399="",$I399=0),"",IFERROR($N399/$I399,"")))))</ns0:f>
        <ns0:v/>
      </ns0:c>
      <ns0:c r="P399" s="987">
        <ns0:f>IF(COUNTA($A399:$M399)=0,"",IF(OR(LEFT(LOWER(TRIM($F399&amp;"")),12)="subscription",LOWER(TRIM($F399&amp;""))="membership"),"",IF(LOWER(TRIM($D399&amp;""))="estimate","N/A",IF(LOWER($L399&amp;"")="yes",0,IF(OR(AND($H399&lt;&gt;"",$H399=0),LEFT(LOWER(TRIM($F399&amp;"")),9)="free game",LOWER(TRIM($F399&amp;""))="free",LOWER(TRIM($F399&amp;""))="free entry"),IF(ISNUMBER($K399),$K399,""),IF($K399&lt;&gt;"",$K399,""))))))</ns0:f>
      </ns0:c>
      <ns0:c r="Q399" s="114">
        <ns0:f>IF(COUNTA($A399:$M399)=0,"",IF(OR($U399="Subscription",$U399=""),"",IF($U399="Estimate","N/A",IF($U399="Profit",ROUND(IFERROR($P399,0)-IFERROR($H399,0),2),0))))</ns0:f>
      </ns0:c>
      <ns0:c r="R399" s="114">
        <ns0:f>IF(COUNTA($A399:$M399)=0,"",IF(OR($U399="Subscription",$U399=""),"",IF($U399="Estimate","N/A",IF($U399="Draw",$H399,0))))</ns0:f>
      </ns0:c>
      <ns0:c r="S399" s="114">
        <ns0:f>IF(COUNTA($A399:$M399)=0,"",IF(OR($U399="Subscription",$U399=""),"",IF($U399="Estimate","N/A",IF($U399="Disqualified",$H399,0))))</ns0:f>
      </ns0:c>
      <ns0:c r="T399" s="955">
        <ns0:f>IF(COUNTA($A399:$M399)=0,"",IF(OR($U399="Subscription",$U399=""),"",IF($U399="Estimate","N/A",IF(OR($U399="Free Game",$U399="Disqualified — Free Game",$H399=0),"N/A",IF($U399="Profit",$Q399/$H399,IF($U399="Disqualified",-$S399/$H399,0))))))</ns0:f>
      </ns0:c>
      <ns0:c r="U399" s="920">
        <ns0:f>IF(COUNTA($A399:$M399)=0,"",IF(OR(LEFT(LOWER(TRIM($F399&amp;"")),12)="subscription",LOWER(TRIM($F399&amp;""))="membership"),"Subscription",IF(LOWER(TRIM($D399&amp;""))="estimate","Estimate",IF(OR(AND($H399&lt;&gt;"",$H399=0),LEFT(LOWER(TRIM($F399&amp;"")),9)="free game",LOWER(TRIM($F399&amp;""))="free",LOWER(TRIM($F399&amp;""))="free entry"),IF(LOWER($L399&amp;"")="yes","Disqualified — Free Game","Free Game"),IF(LOWER($L399&amp;"")="yes","Disqualified",IF($P399="","",IF(ROUND(IFERROR(VALUE($P399),0)-IFERROR(VALUE($H399),0),2)&gt;0,"Profit","Draw")))))))</ns0:f>
      </ns0:c>
      <ns0:c r="V399" s="956" t="str">
        <ns0:f>IF(COUNTA($A399:$M399)=0,"",IF(OR($B399="",$C399="",$U399="Subscription"),"",IFERROR(ROUNDUP(($C399-$B399)/7,0),"")))</ns0:f>
      </ns0:c>
      <ns0:c r="W399" s="114">
        <ns0:f>IF(COUNTA($A399:$M399)=0,"",IF(OR($U399="Subscription",$U399=""),"",IF($U399="Estimate","N/A",IF(OR($U399="Free Game",$U399="Disqualified — Free Game"),0,ROUND(IFERROR($Q399,0)-IFERROR($S399,0),2)))))</ns0:f>
      </ns0:c>
      <ns0:c r="X399" s="956" t="str">
        <ns0:f>IF(COUNTA($A399:$M399)=0,"",IF(OR($U399="Subscription",NOT(ISNUMBER($J399)),NOT(ISNUMBER($I399)),$J399=0,$I399=0,$I399&gt;$J399),"",$J399-$I399))</ns0:f>
      </ns0:c>
      <ns0:c r="Y399" s="955" t="str">
        <ns0:f>IF(COUNTA($A399:$M399)=0,"",IF(OR($U399="Subscription",NOT(ISNUMBER($J399)),$J399=0,$X399=""),"",$X399/$J399))</ns0:f>
      </ns0:c>
      <ns0:c r="Z399" s="957" t="str">
        <ns0:f>IF(COUNTA($A399:$M399)=0,"",Instructions!$B$29+SUM($W$5:W399))</ns0:f>
      </ns0:c>
    </ns0:row>
    <ns0:row r="400" ht="36" customHeight="1">
      <ns0:c r="A400" s="439"/>
      <ns0:c r="B400" s="453"/>
      <ns0:c r="C400" s="453"/>
      <ns0:c r="D400" s="454"/>
      <ns0:c r="E400" s="454"/>
      <ns0:c r="F400" s="454"/>
      <ns0:c r="G400" s="986"/>
      <ns0:c r="H400" s="455"/>
      <ns0:c r="I400" s="456"/>
      <ns0:c r="J400" s="456"/>
      <ns0:c r="K400" s="986"/>
      <ns0:c r="L400" s="454"/>
      <ns0:c r="M400" s="439"/>
      <ns0:c r="N400" s="987" t="str">
        <ns0:f>IF(COUNTA($A400:$M400)=0,"",IF(OR(LEFT(LOWER(TRIM($F400&amp;"")),12)="subscription",LOWER(TRIM($F400&amp;""))="membership"),"",IF(OR(AND($H400&lt;&gt;"",$H400=0),LEFT(LOWER(TRIM($F400&amp;"")),9)="free game",LOWER(TRIM($F400&amp;""))="free",LOWER(TRIM($F400&amp;""))="free entry"),IF(ISNUMBER($G400),IF(ISNUMBER(SEARCH("non",LOWER($E400&amp;""))),$G400*0.85,$G400),"N/A"),IF($G400="","",IFERROR(IF(ISNUMBER(SEARCH("non",LOWER($E400&amp;""))),$G400*0.85,$G400),"")))))</ns0:f>
        <ns0:v/>
      </ns0:c>
      <ns0:c r="O400" s="987" t="str">
        <ns0:f>IF(COUNTA($A400:$M400)=0,"",IF(OR(LEFT(LOWER(TRIM($F400&amp;"")),12)="subscription",LOWER(TRIM($F400&amp;""))="membership"),"",IF(OR(AND($H400&lt;&gt;"",$H400=0),LEFT(LOWER(TRIM($F400&amp;"")),9)="free game",LOWER(TRIM($F400&amp;""))="free",LOWER(TRIM($F400&amp;""))="free entry"),IF(OR(NOT(ISNUMBER($N400)),NOT(ISNUMBER($I400)),$I400=0),"N/A",IFERROR($N400/$I400,"N/A")),IF(OR($N400="",$I400="",$I400=0),"",IFERROR($N400/$I400,"")))))</ns0:f>
        <ns0:v/>
      </ns0:c>
      <ns0:c r="P400" s="987">
        <ns0:f>IF(COUNTA($A400:$M400)=0,"",IF(OR(LEFT(LOWER(TRIM($F400&amp;"")),12)="subscription",LOWER(TRIM($F400&amp;""))="membership"),"",IF(LOWER(TRIM($D400&amp;""))="estimate","N/A",IF(LOWER($L400&amp;"")="yes",0,IF(OR(AND($H400&lt;&gt;"",$H400=0),LEFT(LOWER(TRIM($F400&amp;"")),9)="free game",LOWER(TRIM($F400&amp;""))="free",LOWER(TRIM($F400&amp;""))="free entry"),IF(ISNUMBER($K400),$K400,""),IF($K400&lt;&gt;"",$K400,""))))))</ns0:f>
      </ns0:c>
      <ns0:c r="Q400" s="114">
        <ns0:f>IF(COUNTA($A400:$M400)=0,"",IF(OR($U400="Subscription",$U400=""),"",IF($U400="Estimate","N/A",IF($U400="Profit",ROUND(IFERROR($P400,0)-IFERROR($H400,0),2),0))))</ns0:f>
      </ns0:c>
      <ns0:c r="R400" s="114">
        <ns0:f>IF(COUNTA($A400:$M400)=0,"",IF(OR($U400="Subscription",$U400=""),"",IF($U400="Estimate","N/A",IF($U400="Draw",$H400,0))))</ns0:f>
      </ns0:c>
      <ns0:c r="S400" s="114">
        <ns0:f>IF(COUNTA($A400:$M400)=0,"",IF(OR($U400="Subscription",$U400=""),"",IF($U400="Estimate","N/A",IF($U400="Disqualified",$H400,0))))</ns0:f>
      </ns0:c>
      <ns0:c r="T400" s="955">
        <ns0:f>IF(COUNTA($A400:$M400)=0,"",IF(OR($U400="Subscription",$U400=""),"",IF($U400="Estimate","N/A",IF(OR($U400="Free Game",$U400="Disqualified — Free Game",$H400=0),"N/A",IF($U400="Profit",$Q400/$H400,IF($U400="Disqualified",-$S400/$H400,0))))))</ns0:f>
      </ns0:c>
      <ns0:c r="U400" s="920">
        <ns0:f>IF(COUNTA($A400:$M400)=0,"",IF(OR(LEFT(LOWER(TRIM($F400&amp;"")),12)="subscription",LOWER(TRIM($F400&amp;""))="membership"),"Subscription",IF(LOWER(TRIM($D400&amp;""))="estimate","Estimate",IF(OR(AND($H400&lt;&gt;"",$H400=0),LEFT(LOWER(TRIM($F400&amp;"")),9)="free game",LOWER(TRIM($F400&amp;""))="free",LOWER(TRIM($F400&amp;""))="free entry"),IF(LOWER($L400&amp;"")="yes","Disqualified — Free Game","Free Game"),IF(LOWER($L400&amp;"")="yes","Disqualified",IF($P400="","",IF(ROUND(IFERROR(VALUE($P400),0)-IFERROR(VALUE($H400),0),2)&gt;0,"Profit","Draw")))))))</ns0:f>
      </ns0:c>
      <ns0:c r="V400" s="956" t="str">
        <ns0:f>IF(COUNTA($A400:$M400)=0,"",IF(OR($B400="",$C400="",$U400="Subscription"),"",IFERROR(ROUNDUP(($C400-$B400)/7,0),"")))</ns0:f>
      </ns0:c>
      <ns0:c r="W400" s="114">
        <ns0:f>IF(COUNTA($A400:$M400)=0,"",IF(OR($U400="Subscription",$U400=""),"",IF($U400="Estimate","N/A",IF(OR($U400="Free Game",$U400="Disqualified — Free Game"),0,ROUND(IFERROR($Q400,0)-IFERROR($S400,0),2)))))</ns0:f>
      </ns0:c>
      <ns0:c r="X400" s="956" t="str">
        <ns0:f>IF(COUNTA($A400:$M400)=0,"",IF(OR($U400="Subscription",NOT(ISNUMBER($J400)),NOT(ISNUMBER($I400)),$J400=0,$I400=0,$I400&gt;$J400),"",$J400-$I400))</ns0:f>
      </ns0:c>
      <ns0:c r="Y400" s="955" t="str">
        <ns0:f>IF(COUNTA($A400:$M400)=0,"",IF(OR($U400="Subscription",NOT(ISNUMBER($J400)),$J400=0,$X400=""),"",$X400/$J400))</ns0:f>
      </ns0:c>
      <ns0:c r="Z400" s="957" t="str">
        <ns0:f>IF(COUNTA($A400:$M400)=0,"",Instructions!$B$29+SUM($W$5:W400))</ns0:f>
      </ns0:c>
    </ns0:row>
    <ns0:row r="401" ht="36" customHeight="1">
      <ns0:c r="A401" s="439"/>
      <ns0:c r="B401" s="453"/>
      <ns0:c r="C401" s="453"/>
      <ns0:c r="D401" s="454"/>
      <ns0:c r="E401" s="454"/>
      <ns0:c r="F401" s="454"/>
      <ns0:c r="G401" s="986"/>
      <ns0:c r="H401" s="455"/>
      <ns0:c r="I401" s="456"/>
      <ns0:c r="J401" s="456"/>
      <ns0:c r="K401" s="986"/>
      <ns0:c r="L401" s="454"/>
      <ns0:c r="M401" s="439"/>
      <ns0:c r="N401" s="987" t="str">
        <ns0:f>IF(COUNTA($A401:$M401)=0,"",IF(OR(LEFT(LOWER(TRIM($F401&amp;"")),12)="subscription",LOWER(TRIM($F401&amp;""))="membership"),"",IF(OR(AND($H401&lt;&gt;"",$H401=0),LEFT(LOWER(TRIM($F401&amp;"")),9)="free game",LOWER(TRIM($F401&amp;""))="free",LOWER(TRIM($F401&amp;""))="free entry"),IF(ISNUMBER($G401),IF(ISNUMBER(SEARCH("non",LOWER($E401&amp;""))),$G401*0.85,$G401),"N/A"),IF($G401="","",IFERROR(IF(ISNUMBER(SEARCH("non",LOWER($E401&amp;""))),$G401*0.85,$G401),"")))))</ns0:f>
        <ns0:v/>
      </ns0:c>
      <ns0:c r="O401" s="987" t="str">
        <ns0:f>IF(COUNTA($A401:$M401)=0,"",IF(OR(LEFT(LOWER(TRIM($F401&amp;"")),12)="subscription",LOWER(TRIM($F401&amp;""))="membership"),"",IF(OR(AND($H401&lt;&gt;"",$H401=0),LEFT(LOWER(TRIM($F401&amp;"")),9)="free game",LOWER(TRIM($F401&amp;""))="free",LOWER(TRIM($F401&amp;""))="free entry"),IF(OR(NOT(ISNUMBER($N401)),NOT(ISNUMBER($I401)),$I401=0),"N/A",IFERROR($N401/$I401,"N/A")),IF(OR($N401="",$I401="",$I401=0),"",IFERROR($N401/$I401,"")))))</ns0:f>
        <ns0:v/>
      </ns0:c>
      <ns0:c r="P401" s="987">
        <ns0:f>IF(COUNTA($A401:$M401)=0,"",IF(OR(LEFT(LOWER(TRIM($F401&amp;"")),12)="subscription",LOWER(TRIM($F401&amp;""))="membership"),"",IF(LOWER(TRIM($D401&amp;""))="estimate","N/A",IF(LOWER($L401&amp;"")="yes",0,IF(OR(AND($H401&lt;&gt;"",$H401=0),LEFT(LOWER(TRIM($F401&amp;"")),9)="free game",LOWER(TRIM($F401&amp;""))="free",LOWER(TRIM($F401&amp;""))="free entry"),IF(ISNUMBER($K401),$K401,""),IF($K401&lt;&gt;"",$K401,""))))))</ns0:f>
      </ns0:c>
      <ns0:c r="Q401" s="114">
        <ns0:f>IF(COUNTA($A401:$M401)=0,"",IF(OR($U401="Subscription",$U401=""),"",IF($U401="Estimate","N/A",IF($U401="Profit",ROUND(IFERROR($P401,0)-IFERROR($H401,0),2),0))))</ns0:f>
      </ns0:c>
      <ns0:c r="R401" s="114">
        <ns0:f>IF(COUNTA($A401:$M401)=0,"",IF(OR($U401="Subscription",$U401=""),"",IF($U401="Estimate","N/A",IF($U401="Draw",$H401,0))))</ns0:f>
      </ns0:c>
      <ns0:c r="S401" s="114">
        <ns0:f>IF(COUNTA($A401:$M401)=0,"",IF(OR($U401="Subscription",$U401=""),"",IF($U401="Estimate","N/A",IF($U401="Disqualified",$H401,0))))</ns0:f>
      </ns0:c>
      <ns0:c r="T401" s="955">
        <ns0:f>IF(COUNTA($A401:$M401)=0,"",IF(OR($U401="Subscription",$U401=""),"",IF($U401="Estimate","N/A",IF(OR($U401="Free Game",$U401="Disqualified — Free Game",$H401=0),"N/A",IF($U401="Profit",$Q401/$H401,IF($U401="Disqualified",-$S401/$H401,0))))))</ns0:f>
      </ns0:c>
      <ns0:c r="U401" s="920">
        <ns0:f>IF(COUNTA($A401:$M401)=0,"",IF(OR(LEFT(LOWER(TRIM($F401&amp;"")),12)="subscription",LOWER(TRIM($F401&amp;""))="membership"),"Subscription",IF(LOWER(TRIM($D401&amp;""))="estimate","Estimate",IF(OR(AND($H401&lt;&gt;"",$H401=0),LEFT(LOWER(TRIM($F401&amp;"")),9)="free game",LOWER(TRIM($F401&amp;""))="free",LOWER(TRIM($F401&amp;""))="free entry"),IF(LOWER($L401&amp;"")="yes","Disqualified — Free Game","Free Game"),IF(LOWER($L401&amp;"")="yes","Disqualified",IF($P401="","",IF(ROUND(IFERROR(VALUE($P401),0)-IFERROR(VALUE($H401),0),2)&gt;0,"Profit","Draw")))))))</ns0:f>
      </ns0:c>
      <ns0:c r="V401" s="956" t="str">
        <ns0:f>IF(COUNTA($A401:$M401)=0,"",IF(OR($B401="",$C401="",$U401="Subscription"),"",IFERROR(ROUNDUP(($C401-$B401)/7,0),"")))</ns0:f>
      </ns0:c>
      <ns0:c r="W401" s="114">
        <ns0:f>IF(COUNTA($A401:$M401)=0,"",IF(OR($U401="Subscription",$U401=""),"",IF($U401="Estimate","N/A",IF(OR($U401="Free Game",$U401="Disqualified — Free Game"),0,ROUND(IFERROR($Q401,0)-IFERROR($S401,0),2)))))</ns0:f>
      </ns0:c>
      <ns0:c r="X401" s="956" t="str">
        <ns0:f>IF(COUNTA($A401:$M401)=0,"",IF(OR($U401="Subscription",NOT(ISNUMBER($J401)),NOT(ISNUMBER($I401)),$J401=0,$I401=0,$I401&gt;$J401),"",$J401-$I401))</ns0:f>
      </ns0:c>
      <ns0:c r="Y401" s="955" t="str">
        <ns0:f>IF(COUNTA($A401:$M401)=0,"",IF(OR($U401="Subscription",NOT(ISNUMBER($J401)),$J401=0,$X401=""),"",$X401/$J401))</ns0:f>
      </ns0:c>
      <ns0:c r="Z401" s="957" t="str">
        <ns0:f>IF(COUNTA($A401:$M401)=0,"",Instructions!$B$29+SUM($W$5:W401))</ns0:f>
      </ns0:c>
    </ns0:row>
    <ns0:row r="402" ht="36" customHeight="1">
      <ns0:c r="A402" s="439"/>
      <ns0:c r="B402" s="453"/>
      <ns0:c r="C402" s="453"/>
      <ns0:c r="D402" s="454"/>
      <ns0:c r="E402" s="454"/>
      <ns0:c r="F402" s="454"/>
      <ns0:c r="G402" s="986"/>
      <ns0:c r="H402" s="455"/>
      <ns0:c r="I402" s="456"/>
      <ns0:c r="J402" s="456"/>
      <ns0:c r="K402" s="986"/>
      <ns0:c r="L402" s="454"/>
      <ns0:c r="M402" s="439"/>
      <ns0:c r="N402" s="987" t="str">
        <ns0:f>IF(COUNTA($A402:$M402)=0,"",IF(OR(LEFT(LOWER(TRIM($F402&amp;"")),12)="subscription",LOWER(TRIM($F402&amp;""))="membership"),"",IF(OR(AND($H402&lt;&gt;"",$H402=0),LEFT(LOWER(TRIM($F402&amp;"")),9)="free game",LOWER(TRIM($F402&amp;""))="free",LOWER(TRIM($F402&amp;""))="free entry"),IF(ISNUMBER($G402),IF(ISNUMBER(SEARCH("non",LOWER($E402&amp;""))),$G402*0.85,$G402),"N/A"),IF($G402="","",IFERROR(IF(ISNUMBER(SEARCH("non",LOWER($E402&amp;""))),$G402*0.85,$G402),"")))))</ns0:f>
        <ns0:v/>
      </ns0:c>
      <ns0:c r="O402" s="987" t="str">
        <ns0:f>IF(COUNTA($A402:$M402)=0,"",IF(OR(LEFT(LOWER(TRIM($F402&amp;"")),12)="subscription",LOWER(TRIM($F402&amp;""))="membership"),"",IF(OR(AND($H402&lt;&gt;"",$H402=0),LEFT(LOWER(TRIM($F402&amp;"")),9)="free game",LOWER(TRIM($F402&amp;""))="free",LOWER(TRIM($F402&amp;""))="free entry"),IF(OR(NOT(ISNUMBER($N402)),NOT(ISNUMBER($I402)),$I402=0),"N/A",IFERROR($N402/$I402,"N/A")),IF(OR($N402="",$I402="",$I402=0),"",IFERROR($N402/$I402,"")))))</ns0:f>
        <ns0:v/>
      </ns0:c>
      <ns0:c r="P402" s="987">
        <ns0:f>IF(COUNTA($A402:$M402)=0,"",IF(OR(LEFT(LOWER(TRIM($F402&amp;"")),12)="subscription",LOWER(TRIM($F402&amp;""))="membership"),"",IF(LOWER(TRIM($D402&amp;""))="estimate","N/A",IF(LOWER($L402&amp;"")="yes",0,IF(OR(AND($H402&lt;&gt;"",$H402=0),LEFT(LOWER(TRIM($F402&amp;"")),9)="free game",LOWER(TRIM($F402&amp;""))="free",LOWER(TRIM($F402&amp;""))="free entry"),IF(ISNUMBER($K402),$K402,""),IF($K402&lt;&gt;"",$K402,""))))))</ns0:f>
      </ns0:c>
      <ns0:c r="Q402" s="114">
        <ns0:f>IF(COUNTA($A402:$M402)=0,"",IF(OR($U402="Subscription",$U402=""),"",IF($U402="Estimate","N/A",IF($U402="Profit",ROUND(IFERROR($P402,0)-IFERROR($H402,0),2),0))))</ns0:f>
      </ns0:c>
      <ns0:c r="R402" s="114">
        <ns0:f>IF(COUNTA($A402:$M402)=0,"",IF(OR($U402="Subscription",$U402=""),"",IF($U402="Estimate","N/A",IF($U402="Draw",$H402,0))))</ns0:f>
      </ns0:c>
      <ns0:c r="S402" s="114">
        <ns0:f>IF(COUNTA($A402:$M402)=0,"",IF(OR($U402="Subscription",$U402=""),"",IF($U402="Estimate","N/A",IF($U402="Disqualified",$H402,0))))</ns0:f>
      </ns0:c>
      <ns0:c r="T402" s="955">
        <ns0:f>IF(COUNTA($A402:$M402)=0,"",IF(OR($U402="Subscription",$U402=""),"",IF($U402="Estimate","N/A",IF(OR($U402="Free Game",$U402="Disqualified — Free Game",$H402=0),"N/A",IF($U402="Profit",$Q402/$H402,IF($U402="Disqualified",-$S402/$H402,0))))))</ns0:f>
      </ns0:c>
      <ns0:c r="U402" s="920">
        <ns0:f>IF(COUNTA($A402:$M402)=0,"",IF(OR(LEFT(LOWER(TRIM($F402&amp;"")),12)="subscription",LOWER(TRIM($F402&amp;""))="membership"),"Subscription",IF(LOWER(TRIM($D402&amp;""))="estimate","Estimate",IF(OR(AND($H402&lt;&gt;"",$H402=0),LEFT(LOWER(TRIM($F402&amp;"")),9)="free game",LOWER(TRIM($F402&amp;""))="free",LOWER(TRIM($F402&amp;""))="free entry"),IF(LOWER($L402&amp;"")="yes","Disqualified — Free Game","Free Game"),IF(LOWER($L402&amp;"")="yes","Disqualified",IF($P402="","",IF(ROUND(IFERROR(VALUE($P402),0)-IFERROR(VALUE($H402),0),2)&gt;0,"Profit","Draw")))))))</ns0:f>
      </ns0:c>
      <ns0:c r="V402" s="956" t="str">
        <ns0:f>IF(COUNTA($A402:$M402)=0,"",IF(OR($B402="",$C402="",$U402="Subscription"),"",IFERROR(ROUNDUP(($C402-$B402)/7,0),"")))</ns0:f>
      </ns0:c>
      <ns0:c r="W402" s="114">
        <ns0:f>IF(COUNTA($A402:$M402)=0,"",IF(OR($U402="Subscription",$U402=""),"",IF($U402="Estimate","N/A",IF(OR($U402="Free Game",$U402="Disqualified — Free Game"),0,ROUND(IFERROR($Q402,0)-IFERROR($S402,0),2)))))</ns0:f>
      </ns0:c>
      <ns0:c r="X402" s="956" t="str">
        <ns0:f>IF(COUNTA($A402:$M402)=0,"",IF(OR($U402="Subscription",NOT(ISNUMBER($J402)),NOT(ISNUMBER($I402)),$J402=0,$I402=0,$I402&gt;$J402),"",$J402-$I402))</ns0:f>
      </ns0:c>
      <ns0:c r="Y402" s="955" t="str">
        <ns0:f>IF(COUNTA($A402:$M402)=0,"",IF(OR($U402="Subscription",NOT(ISNUMBER($J402)),$J402=0,$X402=""),"",$X402/$J402))</ns0:f>
      </ns0:c>
      <ns0:c r="Z402" s="957" t="str">
        <ns0:f>IF(COUNTA($A402:$M402)=0,"",Instructions!$B$29+SUM($W$5:W402))</ns0:f>
      </ns0:c>
    </ns0:row>
    <ns0:row r="403" ht="36" customHeight="1">
      <ns0:c r="A403" s="439"/>
      <ns0:c r="B403" s="453"/>
      <ns0:c r="C403" s="453"/>
      <ns0:c r="D403" s="454"/>
      <ns0:c r="E403" s="454"/>
      <ns0:c r="F403" s="454"/>
      <ns0:c r="G403" s="986"/>
      <ns0:c r="H403" s="455"/>
      <ns0:c r="I403" s="456"/>
      <ns0:c r="J403" s="456"/>
      <ns0:c r="K403" s="986"/>
      <ns0:c r="L403" s="454"/>
      <ns0:c r="M403" s="439"/>
      <ns0:c r="N403" s="987" t="str">
        <ns0:f>IF(COUNTA($A403:$M403)=0,"",IF(OR(LEFT(LOWER(TRIM($F403&amp;"")),12)="subscription",LOWER(TRIM($F403&amp;""))="membership"),"",IF(OR(AND($H403&lt;&gt;"",$H403=0),LEFT(LOWER(TRIM($F403&amp;"")),9)="free game",LOWER(TRIM($F403&amp;""))="free",LOWER(TRIM($F403&amp;""))="free entry"),IF(ISNUMBER($G403),IF(ISNUMBER(SEARCH("non",LOWER($E403&amp;""))),$G403*0.85,$G403),"N/A"),IF($G403="","",IFERROR(IF(ISNUMBER(SEARCH("non",LOWER($E403&amp;""))),$G403*0.85,$G403),"")))))</ns0:f>
        <ns0:v/>
      </ns0:c>
      <ns0:c r="O403" s="987" t="str">
        <ns0:f>IF(COUNTA($A403:$M403)=0,"",IF(OR(LEFT(LOWER(TRIM($F403&amp;"")),12)="subscription",LOWER(TRIM($F403&amp;""))="membership"),"",IF(OR(AND($H403&lt;&gt;"",$H403=0),LEFT(LOWER(TRIM($F403&amp;"")),9)="free game",LOWER(TRIM($F403&amp;""))="free",LOWER(TRIM($F403&amp;""))="free entry"),IF(OR(NOT(ISNUMBER($N403)),NOT(ISNUMBER($I403)),$I403=0),"N/A",IFERROR($N403/$I403,"N/A")),IF(OR($N403="",$I403="",$I403=0),"",IFERROR($N403/$I403,"")))))</ns0:f>
        <ns0:v/>
      </ns0:c>
      <ns0:c r="P403" s="987">
        <ns0:f>IF(COUNTA($A403:$M403)=0,"",IF(OR(LEFT(LOWER(TRIM($F403&amp;"")),12)="subscription",LOWER(TRIM($F403&amp;""))="membership"),"",IF(LOWER(TRIM($D403&amp;""))="estimate","N/A",IF(LOWER($L403&amp;"")="yes",0,IF(OR(AND($H403&lt;&gt;"",$H403=0),LEFT(LOWER(TRIM($F403&amp;"")),9)="free game",LOWER(TRIM($F403&amp;""))="free",LOWER(TRIM($F403&amp;""))="free entry"),IF(ISNUMBER($K403),$K403,""),IF($K403&lt;&gt;"",$K403,""))))))</ns0:f>
      </ns0:c>
      <ns0:c r="Q403" s="114">
        <ns0:f>IF(COUNTA($A403:$M403)=0,"",IF(OR($U403="Subscription",$U403=""),"",IF($U403="Estimate","N/A",IF($U403="Profit",ROUND(IFERROR($P403,0)-IFERROR($H403,0),2),0))))</ns0:f>
      </ns0:c>
      <ns0:c r="R403" s="114">
        <ns0:f>IF(COUNTA($A403:$M403)=0,"",IF(OR($U403="Subscription",$U403=""),"",IF($U403="Estimate","N/A",IF($U403="Draw",$H403,0))))</ns0:f>
      </ns0:c>
      <ns0:c r="S403" s="114">
        <ns0:f>IF(COUNTA($A403:$M403)=0,"",IF(OR($U403="Subscription",$U403=""),"",IF($U403="Estimate","N/A",IF($U403="Disqualified",$H403,0))))</ns0:f>
      </ns0:c>
      <ns0:c r="T403" s="955">
        <ns0:f>IF(COUNTA($A403:$M403)=0,"",IF(OR($U403="Subscription",$U403=""),"",IF($U403="Estimate","N/A",IF(OR($U403="Free Game",$U403="Disqualified — Free Game",$H403=0),"N/A",IF($U403="Profit",$Q403/$H403,IF($U403="Disqualified",-$S403/$H403,0))))))</ns0:f>
      </ns0:c>
      <ns0:c r="U403" s="920">
        <ns0:f>IF(COUNTA($A403:$M403)=0,"",IF(OR(LEFT(LOWER(TRIM($F403&amp;"")),12)="subscription",LOWER(TRIM($F403&amp;""))="membership"),"Subscription",IF(LOWER(TRIM($D403&amp;""))="estimate","Estimate",IF(OR(AND($H403&lt;&gt;"",$H403=0),LEFT(LOWER(TRIM($F403&amp;"")),9)="free game",LOWER(TRIM($F403&amp;""))="free",LOWER(TRIM($F403&amp;""))="free entry"),IF(LOWER($L403&amp;"")="yes","Disqualified — Free Game","Free Game"),IF(LOWER($L403&amp;"")="yes","Disqualified",IF($P403="","",IF(ROUND(IFERROR(VALUE($P403),0)-IFERROR(VALUE($H403),0),2)&gt;0,"Profit","Draw")))))))</ns0:f>
      </ns0:c>
      <ns0:c r="V403" s="956" t="str">
        <ns0:f>IF(COUNTA($A403:$M403)=0,"",IF(OR($B403="",$C403="",$U403="Subscription"),"",IFERROR(ROUNDUP(($C403-$B403)/7,0),"")))</ns0:f>
      </ns0:c>
      <ns0:c r="W403" s="114">
        <ns0:f>IF(COUNTA($A403:$M403)=0,"",IF(OR($U403="Subscription",$U403=""),"",IF($U403="Estimate","N/A",IF(OR($U403="Free Game",$U403="Disqualified — Free Game"),0,ROUND(IFERROR($Q403,0)-IFERROR($S403,0),2)))))</ns0:f>
      </ns0:c>
      <ns0:c r="X403" s="956" t="str">
        <ns0:f>IF(COUNTA($A403:$M403)=0,"",IF(OR($U403="Subscription",NOT(ISNUMBER($J403)),NOT(ISNUMBER($I403)),$J403=0,$I403=0,$I403&gt;$J403),"",$J403-$I403))</ns0:f>
      </ns0:c>
      <ns0:c r="Y403" s="955" t="str">
        <ns0:f>IF(COUNTA($A403:$M403)=0,"",IF(OR($U403="Subscription",NOT(ISNUMBER($J403)),$J403=0,$X403=""),"",$X403/$J403))</ns0:f>
      </ns0:c>
      <ns0:c r="Z403" s="957" t="str">
        <ns0:f>IF(COUNTA($A403:$M403)=0,"",Instructions!$B$29+SUM($W$5:W403))</ns0:f>
      </ns0:c>
    </ns0:row>
    <ns0:row r="404" ht="36" customHeight="1">
      <ns0:c r="A404" s="439"/>
      <ns0:c r="B404" s="453"/>
      <ns0:c r="C404" s="453"/>
      <ns0:c r="D404" s="454"/>
      <ns0:c r="E404" s="454"/>
      <ns0:c r="F404" s="454"/>
      <ns0:c r="G404" s="986"/>
      <ns0:c r="H404" s="455"/>
      <ns0:c r="I404" s="456"/>
      <ns0:c r="J404" s="456"/>
      <ns0:c r="K404" s="986"/>
      <ns0:c r="L404" s="454"/>
      <ns0:c r="M404" s="439"/>
      <ns0:c r="N404" s="987" t="str">
        <ns0:f>IF(COUNTA($A404:$M404)=0,"",IF(OR(LEFT(LOWER(TRIM($F404&amp;"")),12)="subscription",LOWER(TRIM($F404&amp;""))="membership"),"",IF(OR(AND($H404&lt;&gt;"",$H404=0),LEFT(LOWER(TRIM($F404&amp;"")),9)="free game",LOWER(TRIM($F404&amp;""))="free",LOWER(TRIM($F404&amp;""))="free entry"),IF(ISNUMBER($G404),IF(ISNUMBER(SEARCH("non",LOWER($E404&amp;""))),$G404*0.85,$G404),"N/A"),IF($G404="","",IFERROR(IF(ISNUMBER(SEARCH("non",LOWER($E404&amp;""))),$G404*0.85,$G404),"")))))</ns0:f>
        <ns0:v/>
      </ns0:c>
      <ns0:c r="O404" s="987" t="str">
        <ns0:f>IF(COUNTA($A404:$M404)=0,"",IF(OR(LEFT(LOWER(TRIM($F404&amp;"")),12)="subscription",LOWER(TRIM($F404&amp;""))="membership"),"",IF(OR(AND($H404&lt;&gt;"",$H404=0),LEFT(LOWER(TRIM($F404&amp;"")),9)="free game",LOWER(TRIM($F404&amp;""))="free",LOWER(TRIM($F404&amp;""))="free entry"),IF(OR(NOT(ISNUMBER($N404)),NOT(ISNUMBER($I404)),$I404=0),"N/A",IFERROR($N404/$I404,"N/A")),IF(OR($N404="",$I404="",$I404=0),"",IFERROR($N404/$I404,"")))))</ns0:f>
        <ns0:v/>
      </ns0:c>
      <ns0:c r="P404" s="987">
        <ns0:f>IF(COUNTA($A404:$M404)=0,"",IF(OR(LEFT(LOWER(TRIM($F404&amp;"")),12)="subscription",LOWER(TRIM($F404&amp;""))="membership"),"",IF(LOWER(TRIM($D404&amp;""))="estimate","N/A",IF(LOWER($L404&amp;"")="yes",0,IF(OR(AND($H404&lt;&gt;"",$H404=0),LEFT(LOWER(TRIM($F404&amp;"")),9)="free game",LOWER(TRIM($F404&amp;""))="free",LOWER(TRIM($F404&amp;""))="free entry"),IF(ISNUMBER($K404),$K404,""),IF($K404&lt;&gt;"",$K404,""))))))</ns0:f>
      </ns0:c>
      <ns0:c r="Q404" s="114">
        <ns0:f>IF(COUNTA($A404:$M404)=0,"",IF(OR($U404="Subscription",$U404=""),"",IF($U404="Estimate","N/A",IF($U404="Profit",ROUND(IFERROR($P404,0)-IFERROR($H404,0),2),0))))</ns0:f>
      </ns0:c>
      <ns0:c r="R404" s="114">
        <ns0:f>IF(COUNTA($A404:$M404)=0,"",IF(OR($U404="Subscription",$U404=""),"",IF($U404="Estimate","N/A",IF($U404="Draw",$H404,0))))</ns0:f>
      </ns0:c>
      <ns0:c r="S404" s="114">
        <ns0:f>IF(COUNTA($A404:$M404)=0,"",IF(OR($U404="Subscription",$U404=""),"",IF($U404="Estimate","N/A",IF($U404="Disqualified",$H404,0))))</ns0:f>
      </ns0:c>
      <ns0:c r="T404" s="955">
        <ns0:f>IF(COUNTA($A404:$M404)=0,"",IF(OR($U404="Subscription",$U404=""),"",IF($U404="Estimate","N/A",IF(OR($U404="Free Game",$U404="Disqualified — Free Game",$H404=0),"N/A",IF($U404="Profit",$Q404/$H404,IF($U404="Disqualified",-$S404/$H404,0))))))</ns0:f>
      </ns0:c>
      <ns0:c r="U404" s="920">
        <ns0:f>IF(COUNTA($A404:$M404)=0,"",IF(OR(LEFT(LOWER(TRIM($F404&amp;"")),12)="subscription",LOWER(TRIM($F404&amp;""))="membership"),"Subscription",IF(LOWER(TRIM($D404&amp;""))="estimate","Estimate",IF(OR(AND($H404&lt;&gt;"",$H404=0),LEFT(LOWER(TRIM($F404&amp;"")),9)="free game",LOWER(TRIM($F404&amp;""))="free",LOWER(TRIM($F404&amp;""))="free entry"),IF(LOWER($L404&amp;"")="yes","Disqualified — Free Game","Free Game"),IF(LOWER($L404&amp;"")="yes","Disqualified",IF($P404="","",IF(ROUND(IFERROR(VALUE($P404),0)-IFERROR(VALUE($H404),0),2)&gt;0,"Profit","Draw")))))))</ns0:f>
      </ns0:c>
      <ns0:c r="V404" s="956" t="str">
        <ns0:f>IF(COUNTA($A404:$M404)=0,"",IF(OR($B404="",$C404="",$U404="Subscription"),"",IFERROR(ROUNDUP(($C404-$B404)/7,0),"")))</ns0:f>
      </ns0:c>
      <ns0:c r="W404" s="114">
        <ns0:f>IF(COUNTA($A404:$M404)=0,"",IF(OR($U404="Subscription",$U404=""),"",IF($U404="Estimate","N/A",IF(OR($U404="Free Game",$U404="Disqualified — Free Game"),0,ROUND(IFERROR($Q404,0)-IFERROR($S404,0),2)))))</ns0:f>
      </ns0:c>
      <ns0:c r="X404" s="956" t="str">
        <ns0:f>IF(COUNTA($A404:$M404)=0,"",IF(OR($U404="Subscription",NOT(ISNUMBER($J404)),NOT(ISNUMBER($I404)),$J404=0,$I404=0,$I404&gt;$J404),"",$J404-$I404))</ns0:f>
      </ns0:c>
      <ns0:c r="Y404" s="955" t="str">
        <ns0:f>IF(COUNTA($A404:$M404)=0,"",IF(OR($U404="Subscription",NOT(ISNUMBER($J404)),$J404=0,$X404=""),"",$X404/$J404))</ns0:f>
      </ns0:c>
      <ns0:c r="Z404" s="957" t="str">
        <ns0:f>IF(COUNTA($A404:$M404)=0,"",Instructions!$B$29+SUM($W$5:W404))</ns0:f>
      </ns0:c>
    </ns0:row>
    <ns0:row r="405" ht="36" customHeight="1">
      <ns0:c r="A405" s="439"/>
      <ns0:c r="B405" s="453"/>
      <ns0:c r="C405" s="453"/>
      <ns0:c r="D405" s="454"/>
      <ns0:c r="E405" s="454"/>
      <ns0:c r="F405" s="454"/>
      <ns0:c r="G405" s="986"/>
      <ns0:c r="H405" s="455"/>
      <ns0:c r="I405" s="456"/>
      <ns0:c r="J405" s="456"/>
      <ns0:c r="K405" s="986"/>
      <ns0:c r="L405" s="454"/>
      <ns0:c r="M405" s="439"/>
      <ns0:c r="N405" s="987" t="str">
        <ns0:f>IF(COUNTA($A405:$M405)=0,"",IF(OR(LEFT(LOWER(TRIM($F405&amp;"")),12)="subscription",LOWER(TRIM($F405&amp;""))="membership"),"",IF(OR(AND($H405&lt;&gt;"",$H405=0),LEFT(LOWER(TRIM($F405&amp;"")),9)="free game",LOWER(TRIM($F405&amp;""))="free",LOWER(TRIM($F405&amp;""))="free entry"),IF(ISNUMBER($G405),IF(ISNUMBER(SEARCH("non",LOWER($E405&amp;""))),$G405*0.85,$G405),"N/A"),IF($G405="","",IFERROR(IF(ISNUMBER(SEARCH("non",LOWER($E405&amp;""))),$G405*0.85,$G405),"")))))</ns0:f>
        <ns0:v/>
      </ns0:c>
      <ns0:c r="O405" s="987" t="str">
        <ns0:f>IF(COUNTA($A405:$M405)=0,"",IF(OR(LEFT(LOWER(TRIM($F405&amp;"")),12)="subscription",LOWER(TRIM($F405&amp;""))="membership"),"",IF(OR(AND($H405&lt;&gt;"",$H405=0),LEFT(LOWER(TRIM($F405&amp;"")),9)="free game",LOWER(TRIM($F405&amp;""))="free",LOWER(TRIM($F405&amp;""))="free entry"),IF(OR(NOT(ISNUMBER($N405)),NOT(ISNUMBER($I405)),$I405=0),"N/A",IFERROR($N405/$I405,"N/A")),IF(OR($N405="",$I405="",$I405=0),"",IFERROR($N405/$I405,"")))))</ns0:f>
        <ns0:v/>
      </ns0:c>
      <ns0:c r="P405" s="987">
        <ns0:f>IF(COUNTA($A405:$M405)=0,"",IF(OR(LEFT(LOWER(TRIM($F405&amp;"")),12)="subscription",LOWER(TRIM($F405&amp;""))="membership"),"",IF(LOWER(TRIM($D405&amp;""))="estimate","N/A",IF(LOWER($L405&amp;"")="yes",0,IF(OR(AND($H405&lt;&gt;"",$H405=0),LEFT(LOWER(TRIM($F405&amp;"")),9)="free game",LOWER(TRIM($F405&amp;""))="free",LOWER(TRIM($F405&amp;""))="free entry"),IF(ISNUMBER($K405),$K405,""),IF($K405&lt;&gt;"",$K405,""))))))</ns0:f>
      </ns0:c>
      <ns0:c r="Q405" s="114">
        <ns0:f>IF(COUNTA($A405:$M405)=0,"",IF(OR($U405="Subscription",$U405=""),"",IF($U405="Estimate","N/A",IF($U405="Profit",ROUND(IFERROR($P405,0)-IFERROR($H405,0),2),0))))</ns0:f>
      </ns0:c>
      <ns0:c r="R405" s="114">
        <ns0:f>IF(COUNTA($A405:$M405)=0,"",IF(OR($U405="Subscription",$U405=""),"",IF($U405="Estimate","N/A",IF($U405="Draw",$H405,0))))</ns0:f>
      </ns0:c>
      <ns0:c r="S405" s="114">
        <ns0:f>IF(COUNTA($A405:$M405)=0,"",IF(OR($U405="Subscription",$U405=""),"",IF($U405="Estimate","N/A",IF($U405="Disqualified",$H405,0))))</ns0:f>
      </ns0:c>
      <ns0:c r="T405" s="955">
        <ns0:f>IF(COUNTA($A405:$M405)=0,"",IF(OR($U405="Subscription",$U405=""),"",IF($U405="Estimate","N/A",IF(OR($U405="Free Game",$U405="Disqualified — Free Game",$H405=0),"N/A",IF($U405="Profit",$Q405/$H405,IF($U405="Disqualified",-$S405/$H405,0))))))</ns0:f>
      </ns0:c>
      <ns0:c r="U405" s="920">
        <ns0:f>IF(COUNTA($A405:$M405)=0,"",IF(OR(LEFT(LOWER(TRIM($F405&amp;"")),12)="subscription",LOWER(TRIM($F405&amp;""))="membership"),"Subscription",IF(LOWER(TRIM($D405&amp;""))="estimate","Estimate",IF(OR(AND($H405&lt;&gt;"",$H405=0),LEFT(LOWER(TRIM($F405&amp;"")),9)="free game",LOWER(TRIM($F405&amp;""))="free",LOWER(TRIM($F405&amp;""))="free entry"),IF(LOWER($L405&amp;"")="yes","Disqualified — Free Game","Free Game"),IF(LOWER($L405&amp;"")="yes","Disqualified",IF($P405="","",IF(ROUND(IFERROR(VALUE($P405),0)-IFERROR(VALUE($H405),0),2)&gt;0,"Profit","Draw")))))))</ns0:f>
      </ns0:c>
      <ns0:c r="V405" s="956" t="str">
        <ns0:f>IF(COUNTA($A405:$M405)=0,"",IF(OR($B405="",$C405="",$U405="Subscription"),"",IFERROR(ROUNDUP(($C405-$B405)/7,0),"")))</ns0:f>
      </ns0:c>
      <ns0:c r="W405" s="114">
        <ns0:f>IF(COUNTA($A405:$M405)=0,"",IF(OR($U405="Subscription",$U405=""),"",IF($U405="Estimate","N/A",IF(OR($U405="Free Game",$U405="Disqualified — Free Game"),0,ROUND(IFERROR($Q405,0)-IFERROR($S405,0),2)))))</ns0:f>
      </ns0:c>
      <ns0:c r="X405" s="956" t="str">
        <ns0:f>IF(COUNTA($A405:$M405)=0,"",IF(OR($U405="Subscription",NOT(ISNUMBER($J405)),NOT(ISNUMBER($I405)),$J405=0,$I405=0,$I405&gt;$J405),"",$J405-$I405))</ns0:f>
      </ns0:c>
      <ns0:c r="Y405" s="955" t="str">
        <ns0:f>IF(COUNTA($A405:$M405)=0,"",IF(OR($U405="Subscription",NOT(ISNUMBER($J405)),$J405=0,$X405=""),"",$X405/$J405))</ns0:f>
      </ns0:c>
      <ns0:c r="Z405" s="957" t="str">
        <ns0:f>IF(COUNTA($A405:$M405)=0,"",Instructions!$B$29+SUM($W$5:W405))</ns0:f>
      </ns0:c>
    </ns0:row>
    <ns0:row r="406" ht="36" customHeight="1">
      <ns0:c r="A406" s="439"/>
      <ns0:c r="B406" s="453"/>
      <ns0:c r="C406" s="453"/>
      <ns0:c r="D406" s="454"/>
      <ns0:c r="E406" s="454"/>
      <ns0:c r="F406" s="454"/>
      <ns0:c r="G406" s="986"/>
      <ns0:c r="H406" s="455"/>
      <ns0:c r="I406" s="456"/>
      <ns0:c r="J406" s="456"/>
      <ns0:c r="K406" s="986"/>
      <ns0:c r="L406" s="454"/>
      <ns0:c r="M406" s="439"/>
      <ns0:c r="N406" s="987" t="str">
        <ns0:f>IF(COUNTA($A406:$M406)=0,"",IF(OR(LEFT(LOWER(TRIM($F406&amp;"")),12)="subscription",LOWER(TRIM($F406&amp;""))="membership"),"",IF(OR(AND($H406&lt;&gt;"",$H406=0),LEFT(LOWER(TRIM($F406&amp;"")),9)="free game",LOWER(TRIM($F406&amp;""))="free",LOWER(TRIM($F406&amp;""))="free entry"),IF(ISNUMBER($G406),IF(ISNUMBER(SEARCH("non",LOWER($E406&amp;""))),$G406*0.85,$G406),"N/A"),IF($G406="","",IFERROR(IF(ISNUMBER(SEARCH("non",LOWER($E406&amp;""))),$G406*0.85,$G406),"")))))</ns0:f>
        <ns0:v/>
      </ns0:c>
      <ns0:c r="O406" s="987" t="str">
        <ns0:f>IF(COUNTA($A406:$M406)=0,"",IF(OR(LEFT(LOWER(TRIM($F406&amp;"")),12)="subscription",LOWER(TRIM($F406&amp;""))="membership"),"",IF(OR(AND($H406&lt;&gt;"",$H406=0),LEFT(LOWER(TRIM($F406&amp;"")),9)="free game",LOWER(TRIM($F406&amp;""))="free",LOWER(TRIM($F406&amp;""))="free entry"),IF(OR(NOT(ISNUMBER($N406)),NOT(ISNUMBER($I406)),$I406=0),"N/A",IFERROR($N406/$I406,"N/A")),IF(OR($N406="",$I406="",$I406=0),"",IFERROR($N406/$I406,"")))))</ns0:f>
        <ns0:v/>
      </ns0:c>
      <ns0:c r="P406" s="987">
        <ns0:f>IF(COUNTA($A406:$M406)=0,"",IF(OR(LEFT(LOWER(TRIM($F406&amp;"")),12)="subscription",LOWER(TRIM($F406&amp;""))="membership"),"",IF(LOWER(TRIM($D406&amp;""))="estimate","N/A",IF(LOWER($L406&amp;"")="yes",0,IF(OR(AND($H406&lt;&gt;"",$H406=0),LEFT(LOWER(TRIM($F406&amp;"")),9)="free game",LOWER(TRIM($F406&amp;""))="free",LOWER(TRIM($F406&amp;""))="free entry"),IF(ISNUMBER($K406),$K406,""),IF($K406&lt;&gt;"",$K406,""))))))</ns0:f>
      </ns0:c>
      <ns0:c r="Q406" s="114">
        <ns0:f>IF(COUNTA($A406:$M406)=0,"",IF(OR($U406="Subscription",$U406=""),"",IF($U406="Estimate","N/A",IF($U406="Profit",ROUND(IFERROR($P406,0)-IFERROR($H406,0),2),0))))</ns0:f>
      </ns0:c>
      <ns0:c r="R406" s="114">
        <ns0:f>IF(COUNTA($A406:$M406)=0,"",IF(OR($U406="Subscription",$U406=""),"",IF($U406="Estimate","N/A",IF($U406="Draw",$H406,0))))</ns0:f>
      </ns0:c>
      <ns0:c r="S406" s="114">
        <ns0:f>IF(COUNTA($A406:$M406)=0,"",IF(OR($U406="Subscription",$U406=""),"",IF($U406="Estimate","N/A",IF($U406="Disqualified",$H406,0))))</ns0:f>
      </ns0:c>
      <ns0:c r="T406" s="955">
        <ns0:f>IF(COUNTA($A406:$M406)=0,"",IF(OR($U406="Subscription",$U406=""),"",IF($U406="Estimate","N/A",IF(OR($U406="Free Game",$U406="Disqualified — Free Game",$H406=0),"N/A",IF($U406="Profit",$Q406/$H406,IF($U406="Disqualified",-$S406/$H406,0))))))</ns0:f>
      </ns0:c>
      <ns0:c r="U406" s="920">
        <ns0:f>IF(COUNTA($A406:$M406)=0,"",IF(OR(LEFT(LOWER(TRIM($F406&amp;"")),12)="subscription",LOWER(TRIM($F406&amp;""))="membership"),"Subscription",IF(LOWER(TRIM($D406&amp;""))="estimate","Estimate",IF(OR(AND($H406&lt;&gt;"",$H406=0),LEFT(LOWER(TRIM($F406&amp;"")),9)="free game",LOWER(TRIM($F406&amp;""))="free",LOWER(TRIM($F406&amp;""))="free entry"),IF(LOWER($L406&amp;"")="yes","Disqualified — Free Game","Free Game"),IF(LOWER($L406&amp;"")="yes","Disqualified",IF($P406="","",IF(ROUND(IFERROR(VALUE($P406),0)-IFERROR(VALUE($H406),0),2)&gt;0,"Profit","Draw")))))))</ns0:f>
      </ns0:c>
      <ns0:c r="V406" s="956" t="str">
        <ns0:f>IF(COUNTA($A406:$M406)=0,"",IF(OR($B406="",$C406="",$U406="Subscription"),"",IFERROR(ROUNDUP(($C406-$B406)/7,0),"")))</ns0:f>
      </ns0:c>
      <ns0:c r="W406" s="114">
        <ns0:f>IF(COUNTA($A406:$M406)=0,"",IF(OR($U406="Subscription",$U406=""),"",IF($U406="Estimate","N/A",IF(OR($U406="Free Game",$U406="Disqualified — Free Game"),0,ROUND(IFERROR($Q406,0)-IFERROR($S406,0),2)))))</ns0:f>
      </ns0:c>
      <ns0:c r="X406" s="956" t="str">
        <ns0:f>IF(COUNTA($A406:$M406)=0,"",IF(OR($U406="Subscription",NOT(ISNUMBER($J406)),NOT(ISNUMBER($I406)),$J406=0,$I406=0,$I406&gt;$J406),"",$J406-$I406))</ns0:f>
      </ns0:c>
      <ns0:c r="Y406" s="955" t="str">
        <ns0:f>IF(COUNTA($A406:$M406)=0,"",IF(OR($U406="Subscription",NOT(ISNUMBER($J406)),$J406=0,$X406=""),"",$X406/$J406))</ns0:f>
      </ns0:c>
      <ns0:c r="Z406" s="957" t="str">
        <ns0:f>IF(COUNTA($A406:$M406)=0,"",Instructions!$B$29+SUM($W$5:W406))</ns0:f>
      </ns0:c>
    </ns0:row>
    <ns0:row r="407" ht="36" customHeight="1">
      <ns0:c r="A407" s="439"/>
      <ns0:c r="B407" s="453"/>
      <ns0:c r="C407" s="453"/>
      <ns0:c r="D407" s="454"/>
      <ns0:c r="E407" s="454"/>
      <ns0:c r="F407" s="454"/>
      <ns0:c r="G407" s="986"/>
      <ns0:c r="H407" s="455"/>
      <ns0:c r="I407" s="456"/>
      <ns0:c r="J407" s="456"/>
      <ns0:c r="K407" s="986"/>
      <ns0:c r="L407" s="454"/>
      <ns0:c r="M407" s="439"/>
      <ns0:c r="N407" s="987" t="str">
        <ns0:f>IF(COUNTA($A407:$M407)=0,"",IF(OR(LEFT(LOWER(TRIM($F407&amp;"")),12)="subscription",LOWER(TRIM($F407&amp;""))="membership"),"",IF(OR(AND($H407&lt;&gt;"",$H407=0),LEFT(LOWER(TRIM($F407&amp;"")),9)="free game",LOWER(TRIM($F407&amp;""))="free",LOWER(TRIM($F407&amp;""))="free entry"),IF(ISNUMBER($G407),IF(ISNUMBER(SEARCH("non",LOWER($E407&amp;""))),$G407*0.85,$G407),"N/A"),IF($G407="","",IFERROR(IF(ISNUMBER(SEARCH("non",LOWER($E407&amp;""))),$G407*0.85,$G407),"")))))</ns0:f>
        <ns0:v/>
      </ns0:c>
      <ns0:c r="O407" s="987" t="str">
        <ns0:f>IF(COUNTA($A407:$M407)=0,"",IF(OR(LEFT(LOWER(TRIM($F407&amp;"")),12)="subscription",LOWER(TRIM($F407&amp;""))="membership"),"",IF(OR(AND($H407&lt;&gt;"",$H407=0),LEFT(LOWER(TRIM($F407&amp;"")),9)="free game",LOWER(TRIM($F407&amp;""))="free",LOWER(TRIM($F407&amp;""))="free entry"),IF(OR(NOT(ISNUMBER($N407)),NOT(ISNUMBER($I407)),$I407=0),"N/A",IFERROR($N407/$I407,"N/A")),IF(OR($N407="",$I407="",$I407=0),"",IFERROR($N407/$I407,"")))))</ns0:f>
        <ns0:v/>
      </ns0:c>
      <ns0:c r="P407" s="987">
        <ns0:f>IF(COUNTA($A407:$M407)=0,"",IF(OR(LEFT(LOWER(TRIM($F407&amp;"")),12)="subscription",LOWER(TRIM($F407&amp;""))="membership"),"",IF(LOWER(TRIM($D407&amp;""))="estimate","N/A",IF(LOWER($L407&amp;"")="yes",0,IF(OR(AND($H407&lt;&gt;"",$H407=0),LEFT(LOWER(TRIM($F407&amp;"")),9)="free game",LOWER(TRIM($F407&amp;""))="free",LOWER(TRIM($F407&amp;""))="free entry"),IF(ISNUMBER($K407),$K407,""),IF($K407&lt;&gt;"",$K407,""))))))</ns0:f>
      </ns0:c>
      <ns0:c r="Q407" s="114">
        <ns0:f>IF(COUNTA($A407:$M407)=0,"",IF(OR($U407="Subscription",$U407=""),"",IF($U407="Estimate","N/A",IF($U407="Profit",ROUND(IFERROR($P407,0)-IFERROR($H407,0),2),0))))</ns0:f>
      </ns0:c>
      <ns0:c r="R407" s="114">
        <ns0:f>IF(COUNTA($A407:$M407)=0,"",IF(OR($U407="Subscription",$U407=""),"",IF($U407="Estimate","N/A",IF($U407="Draw",$H407,0))))</ns0:f>
      </ns0:c>
      <ns0:c r="S407" s="114">
        <ns0:f>IF(COUNTA($A407:$M407)=0,"",IF(OR($U407="Subscription",$U407=""),"",IF($U407="Estimate","N/A",IF($U407="Disqualified",$H407,0))))</ns0:f>
      </ns0:c>
      <ns0:c r="T407" s="955">
        <ns0:f>IF(COUNTA($A407:$M407)=0,"",IF(OR($U407="Subscription",$U407=""),"",IF($U407="Estimate","N/A",IF(OR($U407="Free Game",$U407="Disqualified — Free Game",$H407=0),"N/A",IF($U407="Profit",$Q407/$H407,IF($U407="Disqualified",-$S407/$H407,0))))))</ns0:f>
      </ns0:c>
      <ns0:c r="U407" s="920">
        <ns0:f>IF(COUNTA($A407:$M407)=0,"",IF(OR(LEFT(LOWER(TRIM($F407&amp;"")),12)="subscription",LOWER(TRIM($F407&amp;""))="membership"),"Subscription",IF(LOWER(TRIM($D407&amp;""))="estimate","Estimate",IF(OR(AND($H407&lt;&gt;"",$H407=0),LEFT(LOWER(TRIM($F407&amp;"")),9)="free game",LOWER(TRIM($F407&amp;""))="free",LOWER(TRIM($F407&amp;""))="free entry"),IF(LOWER($L407&amp;"")="yes","Disqualified — Free Game","Free Game"),IF(LOWER($L407&amp;"")="yes","Disqualified",IF($P407="","",IF(ROUND(IFERROR(VALUE($P407),0)-IFERROR(VALUE($H407),0),2)&gt;0,"Profit","Draw")))))))</ns0:f>
      </ns0:c>
      <ns0:c r="V407" s="956" t="str">
        <ns0:f>IF(COUNTA($A407:$M407)=0,"",IF(OR($B407="",$C407="",$U407="Subscription"),"",IFERROR(ROUNDUP(($C407-$B407)/7,0),"")))</ns0:f>
      </ns0:c>
      <ns0:c r="W407" s="114">
        <ns0:f>IF(COUNTA($A407:$M407)=0,"",IF(OR($U407="Subscription",$U407=""),"",IF($U407="Estimate","N/A",IF(OR($U407="Free Game",$U407="Disqualified — Free Game"),0,ROUND(IFERROR($Q407,0)-IFERROR($S407,0),2)))))</ns0:f>
      </ns0:c>
      <ns0:c r="X407" s="956" t="str">
        <ns0:f>IF(COUNTA($A407:$M407)=0,"",IF(OR($U407="Subscription",NOT(ISNUMBER($J407)),NOT(ISNUMBER($I407)),$J407=0,$I407=0,$I407&gt;$J407),"",$J407-$I407))</ns0:f>
      </ns0:c>
      <ns0:c r="Y407" s="955" t="str">
        <ns0:f>IF(COUNTA($A407:$M407)=0,"",IF(OR($U407="Subscription",NOT(ISNUMBER($J407)),$J407=0,$X407=""),"",$X407/$J407))</ns0:f>
      </ns0:c>
      <ns0:c r="Z407" s="957" t="str">
        <ns0:f>IF(COUNTA($A407:$M407)=0,"",Instructions!$B$29+SUM($W$5:W407))</ns0:f>
      </ns0:c>
    </ns0:row>
    <ns0:row r="408" ht="36" customHeight="1">
      <ns0:c r="A408" s="439"/>
      <ns0:c r="B408" s="453"/>
      <ns0:c r="C408" s="453"/>
      <ns0:c r="D408" s="454"/>
      <ns0:c r="E408" s="454"/>
      <ns0:c r="F408" s="454"/>
      <ns0:c r="G408" s="986"/>
      <ns0:c r="H408" s="455"/>
      <ns0:c r="I408" s="456"/>
      <ns0:c r="J408" s="456"/>
      <ns0:c r="K408" s="986"/>
      <ns0:c r="L408" s="454"/>
      <ns0:c r="M408" s="439"/>
      <ns0:c r="N408" s="987" t="str">
        <ns0:f>IF(COUNTA($A408:$M408)=0,"",IF(OR(LEFT(LOWER(TRIM($F408&amp;"")),12)="subscription",LOWER(TRIM($F408&amp;""))="membership"),"",IF(OR(AND($H408&lt;&gt;"",$H408=0),LEFT(LOWER(TRIM($F408&amp;"")),9)="free game",LOWER(TRIM($F408&amp;""))="free",LOWER(TRIM($F408&amp;""))="free entry"),IF(ISNUMBER($G408),IF(ISNUMBER(SEARCH("non",LOWER($E408&amp;""))),$G408*0.85,$G408),"N/A"),IF($G408="","",IFERROR(IF(ISNUMBER(SEARCH("non",LOWER($E408&amp;""))),$G408*0.85,$G408),"")))))</ns0:f>
        <ns0:v/>
      </ns0:c>
      <ns0:c r="O408" s="987" t="str">
        <ns0:f>IF(COUNTA($A408:$M408)=0,"",IF(OR(LEFT(LOWER(TRIM($F408&amp;"")),12)="subscription",LOWER(TRIM($F408&amp;""))="membership"),"",IF(OR(AND($H408&lt;&gt;"",$H408=0),LEFT(LOWER(TRIM($F408&amp;"")),9)="free game",LOWER(TRIM($F408&amp;""))="free",LOWER(TRIM($F408&amp;""))="free entry"),IF(OR(NOT(ISNUMBER($N408)),NOT(ISNUMBER($I408)),$I408=0),"N/A",IFERROR($N408/$I408,"N/A")),IF(OR($N408="",$I408="",$I408=0),"",IFERROR($N408/$I408,"")))))</ns0:f>
        <ns0:v/>
      </ns0:c>
      <ns0:c r="P408" s="987">
        <ns0:f>IF(COUNTA($A408:$M408)=0,"",IF(OR(LEFT(LOWER(TRIM($F408&amp;"")),12)="subscription",LOWER(TRIM($F408&amp;""))="membership"),"",IF(LOWER(TRIM($D408&amp;""))="estimate","N/A",IF(LOWER($L408&amp;"")="yes",0,IF(OR(AND($H408&lt;&gt;"",$H408=0),LEFT(LOWER(TRIM($F408&amp;"")),9)="free game",LOWER(TRIM($F408&amp;""))="free",LOWER(TRIM($F408&amp;""))="free entry"),IF(ISNUMBER($K408),$K408,""),IF($K408&lt;&gt;"",$K408,""))))))</ns0:f>
      </ns0:c>
      <ns0:c r="Q408" s="114">
        <ns0:f>IF(COUNTA($A408:$M408)=0,"",IF(OR($U408="Subscription",$U408=""),"",IF($U408="Estimate","N/A",IF($U408="Profit",ROUND(IFERROR($P408,0)-IFERROR($H408,0),2),0))))</ns0:f>
      </ns0:c>
      <ns0:c r="R408" s="114">
        <ns0:f>IF(COUNTA($A408:$M408)=0,"",IF(OR($U408="Subscription",$U408=""),"",IF($U408="Estimate","N/A",IF($U408="Draw",$H408,0))))</ns0:f>
      </ns0:c>
      <ns0:c r="S408" s="114">
        <ns0:f>IF(COUNTA($A408:$M408)=0,"",IF(OR($U408="Subscription",$U408=""),"",IF($U408="Estimate","N/A",IF($U408="Disqualified",$H408,0))))</ns0:f>
      </ns0:c>
      <ns0:c r="T408" s="955">
        <ns0:f>IF(COUNTA($A408:$M408)=0,"",IF(OR($U408="Subscription",$U408=""),"",IF($U408="Estimate","N/A",IF(OR($U408="Free Game",$U408="Disqualified — Free Game",$H408=0),"N/A",IF($U408="Profit",$Q408/$H408,IF($U408="Disqualified",-$S408/$H408,0))))))</ns0:f>
      </ns0:c>
      <ns0:c r="U408" s="920">
        <ns0:f>IF(COUNTA($A408:$M408)=0,"",IF(OR(LEFT(LOWER(TRIM($F408&amp;"")),12)="subscription",LOWER(TRIM($F408&amp;""))="membership"),"Subscription",IF(LOWER(TRIM($D408&amp;""))="estimate","Estimate",IF(OR(AND($H408&lt;&gt;"",$H408=0),LEFT(LOWER(TRIM($F408&amp;"")),9)="free game",LOWER(TRIM($F408&amp;""))="free",LOWER(TRIM($F408&amp;""))="free entry"),IF(LOWER($L408&amp;"")="yes","Disqualified — Free Game","Free Game"),IF(LOWER($L408&amp;"")="yes","Disqualified",IF($P408="","",IF(ROUND(IFERROR(VALUE($P408),0)-IFERROR(VALUE($H408),0),2)&gt;0,"Profit","Draw")))))))</ns0:f>
      </ns0:c>
      <ns0:c r="V408" s="956" t="str">
        <ns0:f>IF(COUNTA($A408:$M408)=0,"",IF(OR($B408="",$C408="",$U408="Subscription"),"",IFERROR(ROUNDUP(($C408-$B408)/7,0),"")))</ns0:f>
      </ns0:c>
      <ns0:c r="W408" s="114">
        <ns0:f>IF(COUNTA($A408:$M408)=0,"",IF(OR($U408="Subscription",$U408=""),"",IF($U408="Estimate","N/A",IF(OR($U408="Free Game",$U408="Disqualified — Free Game"),0,ROUND(IFERROR($Q408,0)-IFERROR($S408,0),2)))))</ns0:f>
      </ns0:c>
      <ns0:c r="X408" s="956" t="str">
        <ns0:f>IF(COUNTA($A408:$M408)=0,"",IF(OR($U408="Subscription",NOT(ISNUMBER($J408)),NOT(ISNUMBER($I408)),$J408=0,$I408=0,$I408&gt;$J408),"",$J408-$I408))</ns0:f>
      </ns0:c>
      <ns0:c r="Y408" s="955" t="str">
        <ns0:f>IF(COUNTA($A408:$M408)=0,"",IF(OR($U408="Subscription",NOT(ISNUMBER($J408)),$J408=0,$X408=""),"",$X408/$J408))</ns0:f>
      </ns0:c>
      <ns0:c r="Z408" s="957" t="str">
        <ns0:f>IF(COUNTA($A408:$M408)=0,"",Instructions!$B$29+SUM($W$5:W408))</ns0:f>
      </ns0:c>
    </ns0:row>
    <ns0:row r="409" ht="36" customHeight="1">
      <ns0:c r="A409" s="439"/>
      <ns0:c r="B409" s="453"/>
      <ns0:c r="C409" s="453"/>
      <ns0:c r="D409" s="454"/>
      <ns0:c r="E409" s="454"/>
      <ns0:c r="F409" s="454"/>
      <ns0:c r="G409" s="986"/>
      <ns0:c r="H409" s="455"/>
      <ns0:c r="I409" s="456"/>
      <ns0:c r="J409" s="456"/>
      <ns0:c r="K409" s="986"/>
      <ns0:c r="L409" s="454"/>
      <ns0:c r="M409" s="439"/>
      <ns0:c r="N409" s="987" t="str">
        <ns0:f>IF(COUNTA($A409:$M409)=0,"",IF(OR(LEFT(LOWER(TRIM($F409&amp;"")),12)="subscription",LOWER(TRIM($F409&amp;""))="membership"),"",IF(OR(AND($H409&lt;&gt;"",$H409=0),LEFT(LOWER(TRIM($F409&amp;"")),9)="free game",LOWER(TRIM($F409&amp;""))="free",LOWER(TRIM($F409&amp;""))="free entry"),IF(ISNUMBER($G409),IF(ISNUMBER(SEARCH("non",LOWER($E409&amp;""))),$G409*0.85,$G409),"N/A"),IF($G409="","",IFERROR(IF(ISNUMBER(SEARCH("non",LOWER($E409&amp;""))),$G409*0.85,$G409),"")))))</ns0:f>
        <ns0:v/>
      </ns0:c>
      <ns0:c r="O409" s="987" t="str">
        <ns0:f>IF(COUNTA($A409:$M409)=0,"",IF(OR(LEFT(LOWER(TRIM($F409&amp;"")),12)="subscription",LOWER(TRIM($F409&amp;""))="membership"),"",IF(OR(AND($H409&lt;&gt;"",$H409=0),LEFT(LOWER(TRIM($F409&amp;"")),9)="free game",LOWER(TRIM($F409&amp;""))="free",LOWER(TRIM($F409&amp;""))="free entry"),IF(OR(NOT(ISNUMBER($N409)),NOT(ISNUMBER($I409)),$I409=0),"N/A",IFERROR($N409/$I409,"N/A")),IF(OR($N409="",$I409="",$I409=0),"",IFERROR($N409/$I409,"")))))</ns0:f>
        <ns0:v/>
      </ns0:c>
      <ns0:c r="P409" s="987">
        <ns0:f>IF(COUNTA($A409:$M409)=0,"",IF(OR(LEFT(LOWER(TRIM($F409&amp;"")),12)="subscription",LOWER(TRIM($F409&amp;""))="membership"),"",IF(LOWER(TRIM($D409&amp;""))="estimate","N/A",IF(LOWER($L409&amp;"")="yes",0,IF(OR(AND($H409&lt;&gt;"",$H409=0),LEFT(LOWER(TRIM($F409&amp;"")),9)="free game",LOWER(TRIM($F409&amp;""))="free",LOWER(TRIM($F409&amp;""))="free entry"),IF(ISNUMBER($K409),$K409,""),IF($K409&lt;&gt;"",$K409,""))))))</ns0:f>
      </ns0:c>
      <ns0:c r="Q409" s="114">
        <ns0:f>IF(COUNTA($A409:$M409)=0,"",IF(OR($U409="Subscription",$U409=""),"",IF($U409="Estimate","N/A",IF($U409="Profit",ROUND(IFERROR($P409,0)-IFERROR($H409,0),2),0))))</ns0:f>
      </ns0:c>
      <ns0:c r="R409" s="114">
        <ns0:f>IF(COUNTA($A409:$M409)=0,"",IF(OR($U409="Subscription",$U409=""),"",IF($U409="Estimate","N/A",IF($U409="Draw",$H409,0))))</ns0:f>
      </ns0:c>
      <ns0:c r="S409" s="114">
        <ns0:f>IF(COUNTA($A409:$M409)=0,"",IF(OR($U409="Subscription",$U409=""),"",IF($U409="Estimate","N/A",IF($U409="Disqualified",$H409,0))))</ns0:f>
      </ns0:c>
      <ns0:c r="T409" s="955">
        <ns0:f>IF(COUNTA($A409:$M409)=0,"",IF(OR($U409="Subscription",$U409=""),"",IF($U409="Estimate","N/A",IF(OR($U409="Free Game",$U409="Disqualified — Free Game",$H409=0),"N/A",IF($U409="Profit",$Q409/$H409,IF($U409="Disqualified",-$S409/$H409,0))))))</ns0:f>
      </ns0:c>
      <ns0:c r="U409" s="920">
        <ns0:f>IF(COUNTA($A409:$M409)=0,"",IF(OR(LEFT(LOWER(TRIM($F409&amp;"")),12)="subscription",LOWER(TRIM($F409&amp;""))="membership"),"Subscription",IF(LOWER(TRIM($D409&amp;""))="estimate","Estimate",IF(OR(AND($H409&lt;&gt;"",$H409=0),LEFT(LOWER(TRIM($F409&amp;"")),9)="free game",LOWER(TRIM($F409&amp;""))="free",LOWER(TRIM($F409&amp;""))="free entry"),IF(LOWER($L409&amp;"")="yes","Disqualified — Free Game","Free Game"),IF(LOWER($L409&amp;"")="yes","Disqualified",IF($P409="","",IF(ROUND(IFERROR(VALUE($P409),0)-IFERROR(VALUE($H409),0),2)&gt;0,"Profit","Draw")))))))</ns0:f>
      </ns0:c>
      <ns0:c r="V409" s="956" t="str">
        <ns0:f>IF(COUNTA($A409:$M409)=0,"",IF(OR($B409="",$C409="",$U409="Subscription"),"",IFERROR(ROUNDUP(($C409-$B409)/7,0),"")))</ns0:f>
      </ns0:c>
      <ns0:c r="W409" s="114">
        <ns0:f>IF(COUNTA($A409:$M409)=0,"",IF(OR($U409="Subscription",$U409=""),"",IF($U409="Estimate","N/A",IF(OR($U409="Free Game",$U409="Disqualified — Free Game"),0,ROUND(IFERROR($Q409,0)-IFERROR($S409,0),2)))))</ns0:f>
      </ns0:c>
      <ns0:c r="X409" s="956" t="str">
        <ns0:f>IF(COUNTA($A409:$M409)=0,"",IF(OR($U409="Subscription",NOT(ISNUMBER($J409)),NOT(ISNUMBER($I409)),$J409=0,$I409=0,$I409&gt;$J409),"",$J409-$I409))</ns0:f>
      </ns0:c>
      <ns0:c r="Y409" s="955" t="str">
        <ns0:f>IF(COUNTA($A409:$M409)=0,"",IF(OR($U409="Subscription",NOT(ISNUMBER($J409)),$J409=0,$X409=""),"",$X409/$J409))</ns0:f>
      </ns0:c>
      <ns0:c r="Z409" s="957" t="str">
        <ns0:f>IF(COUNTA($A409:$M409)=0,"",Instructions!$B$29+SUM($W$5:W409))</ns0:f>
      </ns0:c>
    </ns0:row>
    <ns0:row r="410" ht="36" customHeight="1">
      <ns0:c r="A410" s="439"/>
      <ns0:c r="B410" s="453"/>
      <ns0:c r="C410" s="453"/>
      <ns0:c r="D410" s="454"/>
      <ns0:c r="E410" s="454"/>
      <ns0:c r="F410" s="454"/>
      <ns0:c r="G410" s="986"/>
      <ns0:c r="H410" s="455"/>
      <ns0:c r="I410" s="456"/>
      <ns0:c r="J410" s="456"/>
      <ns0:c r="K410" s="986"/>
      <ns0:c r="L410" s="454"/>
      <ns0:c r="M410" s="439"/>
      <ns0:c r="N410" s="987" t="str">
        <ns0:f>IF(COUNTA($A410:$M410)=0,"",IF(OR(LEFT(LOWER(TRIM($F410&amp;"")),12)="subscription",LOWER(TRIM($F410&amp;""))="membership"),"",IF(OR(AND($H410&lt;&gt;"",$H410=0),LEFT(LOWER(TRIM($F410&amp;"")),9)="free game",LOWER(TRIM($F410&amp;""))="free",LOWER(TRIM($F410&amp;""))="free entry"),IF(ISNUMBER($G410),IF(ISNUMBER(SEARCH("non",LOWER($E410&amp;""))),$G410*0.85,$G410),"N/A"),IF($G410="","",IFERROR(IF(ISNUMBER(SEARCH("non",LOWER($E410&amp;""))),$G410*0.85,$G410),"")))))</ns0:f>
        <ns0:v/>
      </ns0:c>
      <ns0:c r="O410" s="987" t="str">
        <ns0:f>IF(COUNTA($A410:$M410)=0,"",IF(OR(LEFT(LOWER(TRIM($F410&amp;"")),12)="subscription",LOWER(TRIM($F410&amp;""))="membership"),"",IF(OR(AND($H410&lt;&gt;"",$H410=0),LEFT(LOWER(TRIM($F410&amp;"")),9)="free game",LOWER(TRIM($F410&amp;""))="free",LOWER(TRIM($F410&amp;""))="free entry"),IF(OR(NOT(ISNUMBER($N410)),NOT(ISNUMBER($I410)),$I410=0),"N/A",IFERROR($N410/$I410,"N/A")),IF(OR($N410="",$I410="",$I410=0),"",IFERROR($N410/$I410,"")))))</ns0:f>
        <ns0:v/>
      </ns0:c>
      <ns0:c r="P410" s="987">
        <ns0:f>IF(COUNTA($A410:$M410)=0,"",IF(OR(LEFT(LOWER(TRIM($F410&amp;"")),12)="subscription",LOWER(TRIM($F410&amp;""))="membership"),"",IF(LOWER(TRIM($D410&amp;""))="estimate","N/A",IF(LOWER($L410&amp;"")="yes",0,IF(OR(AND($H410&lt;&gt;"",$H410=0),LEFT(LOWER(TRIM($F410&amp;"")),9)="free game",LOWER(TRIM($F410&amp;""))="free",LOWER(TRIM($F410&amp;""))="free entry"),IF(ISNUMBER($K410),$K410,""),IF($K410&lt;&gt;"",$K410,""))))))</ns0:f>
      </ns0:c>
      <ns0:c r="Q410" s="114">
        <ns0:f>IF(COUNTA($A410:$M410)=0,"",IF(OR($U410="Subscription",$U410=""),"",IF($U410="Estimate","N/A",IF($U410="Profit",ROUND(IFERROR($P410,0)-IFERROR($H410,0),2),0))))</ns0:f>
      </ns0:c>
      <ns0:c r="R410" s="114">
        <ns0:f>IF(COUNTA($A410:$M410)=0,"",IF(OR($U410="Subscription",$U410=""),"",IF($U410="Estimate","N/A",IF($U410="Draw",$H410,0))))</ns0:f>
      </ns0:c>
      <ns0:c r="S410" s="114">
        <ns0:f>IF(COUNTA($A410:$M410)=0,"",IF(OR($U410="Subscription",$U410=""),"",IF($U410="Estimate","N/A",IF($U410="Disqualified",$H410,0))))</ns0:f>
      </ns0:c>
      <ns0:c r="T410" s="955">
        <ns0:f>IF(COUNTA($A410:$M410)=0,"",IF(OR($U410="Subscription",$U410=""),"",IF($U410="Estimate","N/A",IF(OR($U410="Free Game",$U410="Disqualified — Free Game",$H410=0),"N/A",IF($U410="Profit",$Q410/$H410,IF($U410="Disqualified",-$S410/$H410,0))))))</ns0:f>
      </ns0:c>
      <ns0:c r="U410" s="920">
        <ns0:f>IF(COUNTA($A410:$M410)=0,"",IF(OR(LEFT(LOWER(TRIM($F410&amp;"")),12)="subscription",LOWER(TRIM($F410&amp;""))="membership"),"Subscription",IF(LOWER(TRIM($D410&amp;""))="estimate","Estimate",IF(OR(AND($H410&lt;&gt;"",$H410=0),LEFT(LOWER(TRIM($F410&amp;"")),9)="free game",LOWER(TRIM($F410&amp;""))="free",LOWER(TRIM($F410&amp;""))="free entry"),IF(LOWER($L410&amp;"")="yes","Disqualified — Free Game","Free Game"),IF(LOWER($L410&amp;"")="yes","Disqualified",IF($P410="","",IF(ROUND(IFERROR(VALUE($P410),0)-IFERROR(VALUE($H410),0),2)&gt;0,"Profit","Draw")))))))</ns0:f>
      </ns0:c>
      <ns0:c r="V410" s="956" t="str">
        <ns0:f>IF(COUNTA($A410:$M410)=0,"",IF(OR($B410="",$C410="",$U410="Subscription"),"",IFERROR(ROUNDUP(($C410-$B410)/7,0),"")))</ns0:f>
      </ns0:c>
      <ns0:c r="W410" s="114">
        <ns0:f>IF(COUNTA($A410:$M410)=0,"",IF(OR($U410="Subscription",$U410=""),"",IF($U410="Estimate","N/A",IF(OR($U410="Free Game",$U410="Disqualified — Free Game"),0,ROUND(IFERROR($Q410,0)-IFERROR($S410,0),2)))))</ns0:f>
      </ns0:c>
      <ns0:c r="X410" s="956" t="str">
        <ns0:f>IF(COUNTA($A410:$M410)=0,"",IF(OR($U410="Subscription",NOT(ISNUMBER($J410)),NOT(ISNUMBER($I410)),$J410=0,$I410=0,$I410&gt;$J410),"",$J410-$I410))</ns0:f>
      </ns0:c>
      <ns0:c r="Y410" s="955" t="str">
        <ns0:f>IF(COUNTA($A410:$M410)=0,"",IF(OR($U410="Subscription",NOT(ISNUMBER($J410)),$J410=0,$X410=""),"",$X410/$J410))</ns0:f>
      </ns0:c>
      <ns0:c r="Z410" s="957" t="str">
        <ns0:f>IF(COUNTA($A410:$M410)=0,"",Instructions!$B$29+SUM($W$5:W410))</ns0:f>
      </ns0:c>
    </ns0:row>
    <ns0:row r="411" ht="36" customHeight="1">
      <ns0:c r="A411" s="439"/>
      <ns0:c r="B411" s="453"/>
      <ns0:c r="C411" s="453"/>
      <ns0:c r="D411" s="454"/>
      <ns0:c r="E411" s="454"/>
      <ns0:c r="F411" s="454"/>
      <ns0:c r="G411" s="986"/>
      <ns0:c r="H411" s="455"/>
      <ns0:c r="I411" s="456"/>
      <ns0:c r="J411" s="456"/>
      <ns0:c r="K411" s="986"/>
      <ns0:c r="L411" s="454"/>
      <ns0:c r="M411" s="439"/>
      <ns0:c r="N411" s="987" t="str">
        <ns0:f>IF(COUNTA($A411:$M411)=0,"",IF(OR(LEFT(LOWER(TRIM($F411&amp;"")),12)="subscription",LOWER(TRIM($F411&amp;""))="membership"),"",IF(OR(AND($H411&lt;&gt;"",$H411=0),LEFT(LOWER(TRIM($F411&amp;"")),9)="free game",LOWER(TRIM($F411&amp;""))="free",LOWER(TRIM($F411&amp;""))="free entry"),IF(ISNUMBER($G411),IF(ISNUMBER(SEARCH("non",LOWER($E411&amp;""))),$G411*0.85,$G411),"N/A"),IF($G411="","",IFERROR(IF(ISNUMBER(SEARCH("non",LOWER($E411&amp;""))),$G411*0.85,$G411),"")))))</ns0:f>
        <ns0:v/>
      </ns0:c>
      <ns0:c r="O411" s="987" t="str">
        <ns0:f>IF(COUNTA($A411:$M411)=0,"",IF(OR(LEFT(LOWER(TRIM($F411&amp;"")),12)="subscription",LOWER(TRIM($F411&amp;""))="membership"),"",IF(OR(AND($H411&lt;&gt;"",$H411=0),LEFT(LOWER(TRIM($F411&amp;"")),9)="free game",LOWER(TRIM($F411&amp;""))="free",LOWER(TRIM($F411&amp;""))="free entry"),IF(OR(NOT(ISNUMBER($N411)),NOT(ISNUMBER($I411)),$I411=0),"N/A",IFERROR($N411/$I411,"N/A")),IF(OR($N411="",$I411="",$I411=0),"",IFERROR($N411/$I411,"")))))</ns0:f>
        <ns0:v/>
      </ns0:c>
      <ns0:c r="P411" s="987">
        <ns0:f>IF(COUNTA($A411:$M411)=0,"",IF(OR(LEFT(LOWER(TRIM($F411&amp;"")),12)="subscription",LOWER(TRIM($F411&amp;""))="membership"),"",IF(LOWER(TRIM($D411&amp;""))="estimate","N/A",IF(LOWER($L411&amp;"")="yes",0,IF(OR(AND($H411&lt;&gt;"",$H411=0),LEFT(LOWER(TRIM($F411&amp;"")),9)="free game",LOWER(TRIM($F411&amp;""))="free",LOWER(TRIM($F411&amp;""))="free entry"),IF(ISNUMBER($K411),$K411,""),IF($K411&lt;&gt;"",$K411,""))))))</ns0:f>
      </ns0:c>
      <ns0:c r="Q411" s="114">
        <ns0:f>IF(COUNTA($A411:$M411)=0,"",IF(OR($U411="Subscription",$U411=""),"",IF($U411="Estimate","N/A",IF($U411="Profit",ROUND(IFERROR($P411,0)-IFERROR($H411,0),2),0))))</ns0:f>
      </ns0:c>
      <ns0:c r="R411" s="114">
        <ns0:f>IF(COUNTA($A411:$M411)=0,"",IF(OR($U411="Subscription",$U411=""),"",IF($U411="Estimate","N/A",IF($U411="Draw",$H411,0))))</ns0:f>
      </ns0:c>
      <ns0:c r="S411" s="114">
        <ns0:f>IF(COUNTA($A411:$M411)=0,"",IF(OR($U411="Subscription",$U411=""),"",IF($U411="Estimate","N/A",IF($U411="Disqualified",$H411,0))))</ns0:f>
      </ns0:c>
      <ns0:c r="T411" s="955">
        <ns0:f>IF(COUNTA($A411:$M411)=0,"",IF(OR($U411="Subscription",$U411=""),"",IF($U411="Estimate","N/A",IF(OR($U411="Free Game",$U411="Disqualified — Free Game",$H411=0),"N/A",IF($U411="Profit",$Q411/$H411,IF($U411="Disqualified",-$S411/$H411,0))))))</ns0:f>
      </ns0:c>
      <ns0:c r="U411" s="920">
        <ns0:f>IF(COUNTA($A411:$M411)=0,"",IF(OR(LEFT(LOWER(TRIM($F411&amp;"")),12)="subscription",LOWER(TRIM($F411&amp;""))="membership"),"Subscription",IF(LOWER(TRIM($D411&amp;""))="estimate","Estimate",IF(OR(AND($H411&lt;&gt;"",$H411=0),LEFT(LOWER(TRIM($F411&amp;"")),9)="free game",LOWER(TRIM($F411&amp;""))="free",LOWER(TRIM($F411&amp;""))="free entry"),IF(LOWER($L411&amp;"")="yes","Disqualified — Free Game","Free Game"),IF(LOWER($L411&amp;"")="yes","Disqualified",IF($P411="","",IF(ROUND(IFERROR(VALUE($P411),0)-IFERROR(VALUE($H411),0),2)&gt;0,"Profit","Draw")))))))</ns0:f>
      </ns0:c>
      <ns0:c r="V411" s="956" t="str">
        <ns0:f>IF(COUNTA($A411:$M411)=0,"",IF(OR($B411="",$C411="",$U411="Subscription"),"",IFERROR(ROUNDUP(($C411-$B411)/7,0),"")))</ns0:f>
      </ns0:c>
      <ns0:c r="W411" s="114">
        <ns0:f>IF(COUNTA($A411:$M411)=0,"",IF(OR($U411="Subscription",$U411=""),"",IF($U411="Estimate","N/A",IF(OR($U411="Free Game",$U411="Disqualified — Free Game"),0,ROUND(IFERROR($Q411,0)-IFERROR($S411,0),2)))))</ns0:f>
      </ns0:c>
      <ns0:c r="X411" s="956" t="str">
        <ns0:f>IF(COUNTA($A411:$M411)=0,"",IF(OR($U411="Subscription",NOT(ISNUMBER($J411)),NOT(ISNUMBER($I411)),$J411=0,$I411=0,$I411&gt;$J411),"",$J411-$I411))</ns0:f>
      </ns0:c>
      <ns0:c r="Y411" s="955" t="str">
        <ns0:f>IF(COUNTA($A411:$M411)=0,"",IF(OR($U411="Subscription",NOT(ISNUMBER($J411)),$J411=0,$X411=""),"",$X411/$J411))</ns0:f>
      </ns0:c>
      <ns0:c r="Z411" s="957" t="str">
        <ns0:f>IF(COUNTA($A411:$M411)=0,"",Instructions!$B$29+SUM($W$5:W411))</ns0:f>
      </ns0:c>
    </ns0:row>
    <ns0:row r="412" ht="36" customHeight="1">
      <ns0:c r="A412" s="439"/>
      <ns0:c r="B412" s="453"/>
      <ns0:c r="C412" s="453"/>
      <ns0:c r="D412" s="454"/>
      <ns0:c r="E412" s="454"/>
      <ns0:c r="F412" s="454"/>
      <ns0:c r="G412" s="986"/>
      <ns0:c r="H412" s="455"/>
      <ns0:c r="I412" s="456"/>
      <ns0:c r="J412" s="456"/>
      <ns0:c r="K412" s="986"/>
      <ns0:c r="L412" s="454"/>
      <ns0:c r="M412" s="439"/>
      <ns0:c r="N412" s="987" t="str">
        <ns0:f>IF(COUNTA($A412:$M412)=0,"",IF(OR(LEFT(LOWER(TRIM($F412&amp;"")),12)="subscription",LOWER(TRIM($F412&amp;""))="membership"),"",IF(OR(AND($H412&lt;&gt;"",$H412=0),LEFT(LOWER(TRIM($F412&amp;"")),9)="free game",LOWER(TRIM($F412&amp;""))="free",LOWER(TRIM($F412&amp;""))="free entry"),IF(ISNUMBER($G412),IF(ISNUMBER(SEARCH("non",LOWER($E412&amp;""))),$G412*0.85,$G412),"N/A"),IF($G412="","",IFERROR(IF(ISNUMBER(SEARCH("non",LOWER($E412&amp;""))),$G412*0.85,$G412),"")))))</ns0:f>
        <ns0:v/>
      </ns0:c>
      <ns0:c r="O412" s="987" t="str">
        <ns0:f>IF(COUNTA($A412:$M412)=0,"",IF(OR(LEFT(LOWER(TRIM($F412&amp;"")),12)="subscription",LOWER(TRIM($F412&amp;""))="membership"),"",IF(OR(AND($H412&lt;&gt;"",$H412=0),LEFT(LOWER(TRIM($F412&amp;"")),9)="free game",LOWER(TRIM($F412&amp;""))="free",LOWER(TRIM($F412&amp;""))="free entry"),IF(OR(NOT(ISNUMBER($N412)),NOT(ISNUMBER($I412)),$I412=0),"N/A",IFERROR($N412/$I412,"N/A")),IF(OR($N412="",$I412="",$I412=0),"",IFERROR($N412/$I412,"")))))</ns0:f>
        <ns0:v/>
      </ns0:c>
      <ns0:c r="P412" s="987">
        <ns0:f>IF(COUNTA($A412:$M412)=0,"",IF(OR(LEFT(LOWER(TRIM($F412&amp;"")),12)="subscription",LOWER(TRIM($F412&amp;""))="membership"),"",IF(LOWER(TRIM($D412&amp;""))="estimate","N/A",IF(LOWER($L412&amp;"")="yes",0,IF(OR(AND($H412&lt;&gt;"",$H412=0),LEFT(LOWER(TRIM($F412&amp;"")),9)="free game",LOWER(TRIM($F412&amp;""))="free",LOWER(TRIM($F412&amp;""))="free entry"),IF(ISNUMBER($K412),$K412,""),IF($K412&lt;&gt;"",$K412,""))))))</ns0:f>
      </ns0:c>
      <ns0:c r="Q412" s="114">
        <ns0:f>IF(COUNTA($A412:$M412)=0,"",IF(OR($U412="Subscription",$U412=""),"",IF($U412="Estimate","N/A",IF($U412="Profit",ROUND(IFERROR($P412,0)-IFERROR($H412,0),2),0))))</ns0:f>
      </ns0:c>
      <ns0:c r="R412" s="114">
        <ns0:f>IF(COUNTA($A412:$M412)=0,"",IF(OR($U412="Subscription",$U412=""),"",IF($U412="Estimate","N/A",IF($U412="Draw",$H412,0))))</ns0:f>
      </ns0:c>
      <ns0:c r="S412" s="114">
        <ns0:f>IF(COUNTA($A412:$M412)=0,"",IF(OR($U412="Subscription",$U412=""),"",IF($U412="Estimate","N/A",IF($U412="Disqualified",$H412,0))))</ns0:f>
      </ns0:c>
      <ns0:c r="T412" s="955">
        <ns0:f>IF(COUNTA($A412:$M412)=0,"",IF(OR($U412="Subscription",$U412=""),"",IF($U412="Estimate","N/A",IF(OR($U412="Free Game",$U412="Disqualified — Free Game",$H412=0),"N/A",IF($U412="Profit",$Q412/$H412,IF($U412="Disqualified",-$S412/$H412,0))))))</ns0:f>
      </ns0:c>
      <ns0:c r="U412" s="920">
        <ns0:f>IF(COUNTA($A412:$M412)=0,"",IF(OR(LEFT(LOWER(TRIM($F412&amp;"")),12)="subscription",LOWER(TRIM($F412&amp;""))="membership"),"Subscription",IF(LOWER(TRIM($D412&amp;""))="estimate","Estimate",IF(OR(AND($H412&lt;&gt;"",$H412=0),LEFT(LOWER(TRIM($F412&amp;"")),9)="free game",LOWER(TRIM($F412&amp;""))="free",LOWER(TRIM($F412&amp;""))="free entry"),IF(LOWER($L412&amp;"")="yes","Disqualified — Free Game","Free Game"),IF(LOWER($L412&amp;"")="yes","Disqualified",IF($P412="","",IF(ROUND(IFERROR(VALUE($P412),0)-IFERROR(VALUE($H412),0),2)&gt;0,"Profit","Draw")))))))</ns0:f>
      </ns0:c>
      <ns0:c r="V412" s="956" t="str">
        <ns0:f>IF(COUNTA($A412:$M412)=0,"",IF(OR($B412="",$C412="",$U412="Subscription"),"",IFERROR(ROUNDUP(($C412-$B412)/7,0),"")))</ns0:f>
      </ns0:c>
      <ns0:c r="W412" s="114">
        <ns0:f>IF(COUNTA($A412:$M412)=0,"",IF(OR($U412="Subscription",$U412=""),"",IF($U412="Estimate","N/A",IF(OR($U412="Free Game",$U412="Disqualified — Free Game"),0,ROUND(IFERROR($Q412,0)-IFERROR($S412,0),2)))))</ns0:f>
      </ns0:c>
      <ns0:c r="X412" s="956" t="str">
        <ns0:f>IF(COUNTA($A412:$M412)=0,"",IF(OR($U412="Subscription",NOT(ISNUMBER($J412)),NOT(ISNUMBER($I412)),$J412=0,$I412=0,$I412&gt;$J412),"",$J412-$I412))</ns0:f>
      </ns0:c>
      <ns0:c r="Y412" s="955" t="str">
        <ns0:f>IF(COUNTA($A412:$M412)=0,"",IF(OR($U412="Subscription",NOT(ISNUMBER($J412)),$J412=0,$X412=""),"",$X412/$J412))</ns0:f>
      </ns0:c>
      <ns0:c r="Z412" s="957" t="str">
        <ns0:f>IF(COUNTA($A412:$M412)=0,"",Instructions!$B$29+SUM($W$5:W412))</ns0:f>
      </ns0:c>
    </ns0:row>
    <ns0:row r="413" ht="36" customHeight="1">
      <ns0:c r="A413" s="439"/>
      <ns0:c r="B413" s="453"/>
      <ns0:c r="C413" s="453"/>
      <ns0:c r="D413" s="454"/>
      <ns0:c r="E413" s="454"/>
      <ns0:c r="F413" s="454"/>
      <ns0:c r="G413" s="986"/>
      <ns0:c r="H413" s="455"/>
      <ns0:c r="I413" s="456"/>
      <ns0:c r="J413" s="456"/>
      <ns0:c r="K413" s="986"/>
      <ns0:c r="L413" s="454"/>
      <ns0:c r="M413" s="439"/>
      <ns0:c r="N413" s="987" t="str">
        <ns0:f>IF(COUNTA($A413:$M413)=0,"",IF(OR(LEFT(LOWER(TRIM($F413&amp;"")),12)="subscription",LOWER(TRIM($F413&amp;""))="membership"),"",IF(OR(AND($H413&lt;&gt;"",$H413=0),LEFT(LOWER(TRIM($F413&amp;"")),9)="free game",LOWER(TRIM($F413&amp;""))="free",LOWER(TRIM($F413&amp;""))="free entry"),IF(ISNUMBER($G413),IF(ISNUMBER(SEARCH("non",LOWER($E413&amp;""))),$G413*0.85,$G413),"N/A"),IF($G413="","",IFERROR(IF(ISNUMBER(SEARCH("non",LOWER($E413&amp;""))),$G413*0.85,$G413),"")))))</ns0:f>
        <ns0:v/>
      </ns0:c>
      <ns0:c r="O413" s="987" t="str">
        <ns0:f>IF(COUNTA($A413:$M413)=0,"",IF(OR(LEFT(LOWER(TRIM($F413&amp;"")),12)="subscription",LOWER(TRIM($F413&amp;""))="membership"),"",IF(OR(AND($H413&lt;&gt;"",$H413=0),LEFT(LOWER(TRIM($F413&amp;"")),9)="free game",LOWER(TRIM($F413&amp;""))="free",LOWER(TRIM($F413&amp;""))="free entry"),IF(OR(NOT(ISNUMBER($N413)),NOT(ISNUMBER($I413)),$I413=0),"N/A",IFERROR($N413/$I413,"N/A")),IF(OR($N413="",$I413="",$I413=0),"",IFERROR($N413/$I413,"")))))</ns0:f>
        <ns0:v/>
      </ns0:c>
      <ns0:c r="P413" s="987">
        <ns0:f>IF(COUNTA($A413:$M413)=0,"",IF(OR(LEFT(LOWER(TRIM($F413&amp;"")),12)="subscription",LOWER(TRIM($F413&amp;""))="membership"),"",IF(LOWER(TRIM($D413&amp;""))="estimate","N/A",IF(LOWER($L413&amp;"")="yes",0,IF(OR(AND($H413&lt;&gt;"",$H413=0),LEFT(LOWER(TRIM($F413&amp;"")),9)="free game",LOWER(TRIM($F413&amp;""))="free",LOWER(TRIM($F413&amp;""))="free entry"),IF(ISNUMBER($K413),$K413,""),IF($K413&lt;&gt;"",$K413,""))))))</ns0:f>
      </ns0:c>
      <ns0:c r="Q413" s="114">
        <ns0:f>IF(COUNTA($A413:$M413)=0,"",IF(OR($U413="Subscription",$U413=""),"",IF($U413="Estimate","N/A",IF($U413="Profit",ROUND(IFERROR($P413,0)-IFERROR($H413,0),2),0))))</ns0:f>
      </ns0:c>
      <ns0:c r="R413" s="114">
        <ns0:f>IF(COUNTA($A413:$M413)=0,"",IF(OR($U413="Subscription",$U413=""),"",IF($U413="Estimate","N/A",IF($U413="Draw",$H413,0))))</ns0:f>
      </ns0:c>
      <ns0:c r="S413" s="114">
        <ns0:f>IF(COUNTA($A413:$M413)=0,"",IF(OR($U413="Subscription",$U413=""),"",IF($U413="Estimate","N/A",IF($U413="Disqualified",$H413,0))))</ns0:f>
      </ns0:c>
      <ns0:c r="T413" s="955">
        <ns0:f>IF(COUNTA($A413:$M413)=0,"",IF(OR($U413="Subscription",$U413=""),"",IF($U413="Estimate","N/A",IF(OR($U413="Free Game",$U413="Disqualified — Free Game",$H413=0),"N/A",IF($U413="Profit",$Q413/$H413,IF($U413="Disqualified",-$S413/$H413,0))))))</ns0:f>
      </ns0:c>
      <ns0:c r="U413" s="920">
        <ns0:f>IF(COUNTA($A413:$M413)=0,"",IF(OR(LEFT(LOWER(TRIM($F413&amp;"")),12)="subscription",LOWER(TRIM($F413&amp;""))="membership"),"Subscription",IF(LOWER(TRIM($D413&amp;""))="estimate","Estimate",IF(OR(AND($H413&lt;&gt;"",$H413=0),LEFT(LOWER(TRIM($F413&amp;"")),9)="free game",LOWER(TRIM($F413&amp;""))="free",LOWER(TRIM($F413&amp;""))="free entry"),IF(LOWER($L413&amp;"")="yes","Disqualified — Free Game","Free Game"),IF(LOWER($L413&amp;"")="yes","Disqualified",IF($P413="","",IF(ROUND(IFERROR(VALUE($P413),0)-IFERROR(VALUE($H413),0),2)&gt;0,"Profit","Draw")))))))</ns0:f>
      </ns0:c>
      <ns0:c r="V413" s="956" t="str">
        <ns0:f>IF(COUNTA($A413:$M413)=0,"",IF(OR($B413="",$C413="",$U413="Subscription"),"",IFERROR(ROUNDUP(($C413-$B413)/7,0),"")))</ns0:f>
      </ns0:c>
      <ns0:c r="W413" s="114">
        <ns0:f>IF(COUNTA($A413:$M413)=0,"",IF(OR($U413="Subscription",$U413=""),"",IF($U413="Estimate","N/A",IF(OR($U413="Free Game",$U413="Disqualified — Free Game"),0,ROUND(IFERROR($Q413,0)-IFERROR($S413,0),2)))))</ns0:f>
      </ns0:c>
      <ns0:c r="X413" s="956" t="str">
        <ns0:f>IF(COUNTA($A413:$M413)=0,"",IF(OR($U413="Subscription",NOT(ISNUMBER($J413)),NOT(ISNUMBER($I413)),$J413=0,$I413=0,$I413&gt;$J413),"",$J413-$I413))</ns0:f>
      </ns0:c>
      <ns0:c r="Y413" s="955" t="str">
        <ns0:f>IF(COUNTA($A413:$M413)=0,"",IF(OR($U413="Subscription",NOT(ISNUMBER($J413)),$J413=0,$X413=""),"",$X413/$J413))</ns0:f>
      </ns0:c>
      <ns0:c r="Z413" s="957" t="str">
        <ns0:f>IF(COUNTA($A413:$M413)=0,"",Instructions!$B$29+SUM($W$5:W413))</ns0:f>
      </ns0:c>
    </ns0:row>
    <ns0:row r="414" ht="36" customHeight="1">
      <ns0:c r="A414" s="439"/>
      <ns0:c r="B414" s="453"/>
      <ns0:c r="C414" s="453"/>
      <ns0:c r="D414" s="454"/>
      <ns0:c r="E414" s="454"/>
      <ns0:c r="F414" s="454"/>
      <ns0:c r="G414" s="986"/>
      <ns0:c r="H414" s="455"/>
      <ns0:c r="I414" s="456"/>
      <ns0:c r="J414" s="456"/>
      <ns0:c r="K414" s="986"/>
      <ns0:c r="L414" s="454"/>
      <ns0:c r="M414" s="439"/>
      <ns0:c r="N414" s="987" t="str">
        <ns0:f>IF(COUNTA($A414:$M414)=0,"",IF(OR(LEFT(LOWER(TRIM($F414&amp;"")),12)="subscription",LOWER(TRIM($F414&amp;""))="membership"),"",IF(OR(AND($H414&lt;&gt;"",$H414=0),LEFT(LOWER(TRIM($F414&amp;"")),9)="free game",LOWER(TRIM($F414&amp;""))="free",LOWER(TRIM($F414&amp;""))="free entry"),IF(ISNUMBER($G414),IF(ISNUMBER(SEARCH("non",LOWER($E414&amp;""))),$G414*0.85,$G414),"N/A"),IF($G414="","",IFERROR(IF(ISNUMBER(SEARCH("non",LOWER($E414&amp;""))),$G414*0.85,$G414),"")))))</ns0:f>
        <ns0:v/>
      </ns0:c>
      <ns0:c r="O414" s="987" t="str">
        <ns0:f>IF(COUNTA($A414:$M414)=0,"",IF(OR(LEFT(LOWER(TRIM($F414&amp;"")),12)="subscription",LOWER(TRIM($F414&amp;""))="membership"),"",IF(OR(AND($H414&lt;&gt;"",$H414=0),LEFT(LOWER(TRIM($F414&amp;"")),9)="free game",LOWER(TRIM($F414&amp;""))="free",LOWER(TRIM($F414&amp;""))="free entry"),IF(OR(NOT(ISNUMBER($N414)),NOT(ISNUMBER($I414)),$I414=0),"N/A",IFERROR($N414/$I414,"N/A")),IF(OR($N414="",$I414="",$I414=0),"",IFERROR($N414/$I414,"")))))</ns0:f>
        <ns0:v/>
      </ns0:c>
      <ns0:c r="P414" s="987">
        <ns0:f>IF(COUNTA($A414:$M414)=0,"",IF(OR(LEFT(LOWER(TRIM($F414&amp;"")),12)="subscription",LOWER(TRIM($F414&amp;""))="membership"),"",IF(LOWER(TRIM($D414&amp;""))="estimate","N/A",IF(LOWER($L414&amp;"")="yes",0,IF(OR(AND($H414&lt;&gt;"",$H414=0),LEFT(LOWER(TRIM($F414&amp;"")),9)="free game",LOWER(TRIM($F414&amp;""))="free",LOWER(TRIM($F414&amp;""))="free entry"),IF(ISNUMBER($K414),$K414,""),IF($K414&lt;&gt;"",$K414,""))))))</ns0:f>
      </ns0:c>
      <ns0:c r="Q414" s="114">
        <ns0:f>IF(COUNTA($A414:$M414)=0,"",IF(OR($U414="Subscription",$U414=""),"",IF($U414="Estimate","N/A",IF($U414="Profit",ROUND(IFERROR($P414,0)-IFERROR($H414,0),2),0))))</ns0:f>
      </ns0:c>
      <ns0:c r="R414" s="114">
        <ns0:f>IF(COUNTA($A414:$M414)=0,"",IF(OR($U414="Subscription",$U414=""),"",IF($U414="Estimate","N/A",IF($U414="Draw",$H414,0))))</ns0:f>
      </ns0:c>
      <ns0:c r="S414" s="114">
        <ns0:f>IF(COUNTA($A414:$M414)=0,"",IF(OR($U414="Subscription",$U414=""),"",IF($U414="Estimate","N/A",IF($U414="Disqualified",$H414,0))))</ns0:f>
      </ns0:c>
      <ns0:c r="T414" s="955">
        <ns0:f>IF(COUNTA($A414:$M414)=0,"",IF(OR($U414="Subscription",$U414=""),"",IF($U414="Estimate","N/A",IF(OR($U414="Free Game",$U414="Disqualified — Free Game",$H414=0),"N/A",IF($U414="Profit",$Q414/$H414,IF($U414="Disqualified",-$S414/$H414,0))))))</ns0:f>
      </ns0:c>
      <ns0:c r="U414" s="920">
        <ns0:f>IF(COUNTA($A414:$M414)=0,"",IF(OR(LEFT(LOWER(TRIM($F414&amp;"")),12)="subscription",LOWER(TRIM($F414&amp;""))="membership"),"Subscription",IF(LOWER(TRIM($D414&amp;""))="estimate","Estimate",IF(OR(AND($H414&lt;&gt;"",$H414=0),LEFT(LOWER(TRIM($F414&amp;"")),9)="free game",LOWER(TRIM($F414&amp;""))="free",LOWER(TRIM($F414&amp;""))="free entry"),IF(LOWER($L414&amp;"")="yes","Disqualified — Free Game","Free Game"),IF(LOWER($L414&amp;"")="yes","Disqualified",IF($P414="","",IF(ROUND(IFERROR(VALUE($P414),0)-IFERROR(VALUE($H414),0),2)&gt;0,"Profit","Draw")))))))</ns0:f>
      </ns0:c>
      <ns0:c r="V414" s="956" t="str">
        <ns0:f>IF(COUNTA($A414:$M414)=0,"",IF(OR($B414="",$C414="",$U414="Subscription"),"",IFERROR(ROUNDUP(($C414-$B414)/7,0),"")))</ns0:f>
      </ns0:c>
      <ns0:c r="W414" s="114">
        <ns0:f>IF(COUNTA($A414:$M414)=0,"",IF(OR($U414="Subscription",$U414=""),"",IF($U414="Estimate","N/A",IF(OR($U414="Free Game",$U414="Disqualified — Free Game"),0,ROUND(IFERROR($Q414,0)-IFERROR($S414,0),2)))))</ns0:f>
      </ns0:c>
      <ns0:c r="X414" s="956" t="str">
        <ns0:f>IF(COUNTA($A414:$M414)=0,"",IF(OR($U414="Subscription",NOT(ISNUMBER($J414)),NOT(ISNUMBER($I414)),$J414=0,$I414=0,$I414&gt;$J414),"",$J414-$I414))</ns0:f>
      </ns0:c>
      <ns0:c r="Y414" s="955" t="str">
        <ns0:f>IF(COUNTA($A414:$M414)=0,"",IF(OR($U414="Subscription",NOT(ISNUMBER($J414)),$J414=0,$X414=""),"",$X414/$J414))</ns0:f>
      </ns0:c>
      <ns0:c r="Z414" s="957" t="str">
        <ns0:f>IF(COUNTA($A414:$M414)=0,"",Instructions!$B$29+SUM($W$5:W414))</ns0:f>
      </ns0:c>
    </ns0:row>
    <ns0:row r="415" ht="36" customHeight="1">
      <ns0:c r="A415" s="439"/>
      <ns0:c r="B415" s="453"/>
      <ns0:c r="C415" s="453"/>
      <ns0:c r="D415" s="454"/>
      <ns0:c r="E415" s="454"/>
      <ns0:c r="F415" s="454"/>
      <ns0:c r="G415" s="986"/>
      <ns0:c r="H415" s="455"/>
      <ns0:c r="I415" s="456"/>
      <ns0:c r="J415" s="456"/>
      <ns0:c r="K415" s="986"/>
      <ns0:c r="L415" s="454"/>
      <ns0:c r="M415" s="439"/>
      <ns0:c r="N415" s="987" t="str">
        <ns0:f>IF(COUNTA($A415:$M415)=0,"",IF(OR(LEFT(LOWER(TRIM($F415&amp;"")),12)="subscription",LOWER(TRIM($F415&amp;""))="membership"),"",IF(OR(AND($H415&lt;&gt;"",$H415=0),LEFT(LOWER(TRIM($F415&amp;"")),9)="free game",LOWER(TRIM($F415&amp;""))="free",LOWER(TRIM($F415&amp;""))="free entry"),IF(ISNUMBER($G415),IF(ISNUMBER(SEARCH("non",LOWER($E415&amp;""))),$G415*0.85,$G415),"N/A"),IF($G415="","",IFERROR(IF(ISNUMBER(SEARCH("non",LOWER($E415&amp;""))),$G415*0.85,$G415),"")))))</ns0:f>
        <ns0:v/>
      </ns0:c>
      <ns0:c r="O415" s="987" t="str">
        <ns0:f>IF(COUNTA($A415:$M415)=0,"",IF(OR(LEFT(LOWER(TRIM($F415&amp;"")),12)="subscription",LOWER(TRIM($F415&amp;""))="membership"),"",IF(OR(AND($H415&lt;&gt;"",$H415=0),LEFT(LOWER(TRIM($F415&amp;"")),9)="free game",LOWER(TRIM($F415&amp;""))="free",LOWER(TRIM($F415&amp;""))="free entry"),IF(OR(NOT(ISNUMBER($N415)),NOT(ISNUMBER($I415)),$I415=0),"N/A",IFERROR($N415/$I415,"N/A")),IF(OR($N415="",$I415="",$I415=0),"",IFERROR($N415/$I415,"")))))</ns0:f>
        <ns0:v/>
      </ns0:c>
      <ns0:c r="P415" s="987">
        <ns0:f>IF(COUNTA($A415:$M415)=0,"",IF(OR(LEFT(LOWER(TRIM($F415&amp;"")),12)="subscription",LOWER(TRIM($F415&amp;""))="membership"),"",IF(LOWER(TRIM($D415&amp;""))="estimate","N/A",IF(LOWER($L415&amp;"")="yes",0,IF(OR(AND($H415&lt;&gt;"",$H415=0),LEFT(LOWER(TRIM($F415&amp;"")),9)="free game",LOWER(TRIM($F415&amp;""))="free",LOWER(TRIM($F415&amp;""))="free entry"),IF(ISNUMBER($K415),$K415,""),IF($K415&lt;&gt;"",$K415,""))))))</ns0:f>
      </ns0:c>
      <ns0:c r="Q415" s="114">
        <ns0:f>IF(COUNTA($A415:$M415)=0,"",IF(OR($U415="Subscription",$U415=""),"",IF($U415="Estimate","N/A",IF($U415="Profit",ROUND(IFERROR($P415,0)-IFERROR($H415,0),2),0))))</ns0:f>
      </ns0:c>
      <ns0:c r="R415" s="114">
        <ns0:f>IF(COUNTA($A415:$M415)=0,"",IF(OR($U415="Subscription",$U415=""),"",IF($U415="Estimate","N/A",IF($U415="Draw",$H415,0))))</ns0:f>
      </ns0:c>
      <ns0:c r="S415" s="114">
        <ns0:f>IF(COUNTA($A415:$M415)=0,"",IF(OR($U415="Subscription",$U415=""),"",IF($U415="Estimate","N/A",IF($U415="Disqualified",$H415,0))))</ns0:f>
      </ns0:c>
      <ns0:c r="T415" s="955">
        <ns0:f>IF(COUNTA($A415:$M415)=0,"",IF(OR($U415="Subscription",$U415=""),"",IF($U415="Estimate","N/A",IF(OR($U415="Free Game",$U415="Disqualified — Free Game",$H415=0),"N/A",IF($U415="Profit",$Q415/$H415,IF($U415="Disqualified",-$S415/$H415,0))))))</ns0:f>
      </ns0:c>
      <ns0:c r="U415" s="920">
        <ns0:f>IF(COUNTA($A415:$M415)=0,"",IF(OR(LEFT(LOWER(TRIM($F415&amp;"")),12)="subscription",LOWER(TRIM($F415&amp;""))="membership"),"Subscription",IF(LOWER(TRIM($D415&amp;""))="estimate","Estimate",IF(OR(AND($H415&lt;&gt;"",$H415=0),LEFT(LOWER(TRIM($F415&amp;"")),9)="free game",LOWER(TRIM($F415&amp;""))="free",LOWER(TRIM($F415&amp;""))="free entry"),IF(LOWER($L415&amp;"")="yes","Disqualified — Free Game","Free Game"),IF(LOWER($L415&amp;"")="yes","Disqualified",IF($P415="","",IF(ROUND(IFERROR(VALUE($P415),0)-IFERROR(VALUE($H415),0),2)&gt;0,"Profit","Draw")))))))</ns0:f>
      </ns0:c>
      <ns0:c r="V415" s="956" t="str">
        <ns0:f>IF(COUNTA($A415:$M415)=0,"",IF(OR($B415="",$C415="",$U415="Subscription"),"",IFERROR(ROUNDUP(($C415-$B415)/7,0),"")))</ns0:f>
      </ns0:c>
      <ns0:c r="W415" s="114">
        <ns0:f>IF(COUNTA($A415:$M415)=0,"",IF(OR($U415="Subscription",$U415=""),"",IF($U415="Estimate","N/A",IF(OR($U415="Free Game",$U415="Disqualified — Free Game"),0,ROUND(IFERROR($Q415,0)-IFERROR($S415,0),2)))))</ns0:f>
      </ns0:c>
      <ns0:c r="X415" s="956" t="str">
        <ns0:f>IF(COUNTA($A415:$M415)=0,"",IF(OR($U415="Subscription",NOT(ISNUMBER($J415)),NOT(ISNUMBER($I415)),$J415=0,$I415=0,$I415&gt;$J415),"",$J415-$I415))</ns0:f>
      </ns0:c>
      <ns0:c r="Y415" s="955" t="str">
        <ns0:f>IF(COUNTA($A415:$M415)=0,"",IF(OR($U415="Subscription",NOT(ISNUMBER($J415)),$J415=0,$X415=""),"",$X415/$J415))</ns0:f>
      </ns0:c>
      <ns0:c r="Z415" s="957" t="str">
        <ns0:f>IF(COUNTA($A415:$M415)=0,"",Instructions!$B$29+SUM($W$5:W415))</ns0:f>
      </ns0:c>
    </ns0:row>
    <ns0:row r="416" ht="36" customHeight="1">
      <ns0:c r="A416" s="439"/>
      <ns0:c r="B416" s="453"/>
      <ns0:c r="C416" s="453"/>
      <ns0:c r="D416" s="454"/>
      <ns0:c r="E416" s="454"/>
      <ns0:c r="F416" s="454"/>
      <ns0:c r="G416" s="986"/>
      <ns0:c r="H416" s="455"/>
      <ns0:c r="I416" s="456"/>
      <ns0:c r="J416" s="456"/>
      <ns0:c r="K416" s="986"/>
      <ns0:c r="L416" s="454"/>
      <ns0:c r="M416" s="439"/>
      <ns0:c r="N416" s="987" t="str">
        <ns0:f>IF(COUNTA($A416:$M416)=0,"",IF(OR(LEFT(LOWER(TRIM($F416&amp;"")),12)="subscription",LOWER(TRIM($F416&amp;""))="membership"),"",IF(OR(AND($H416&lt;&gt;"",$H416=0),LEFT(LOWER(TRIM($F416&amp;"")),9)="free game",LOWER(TRIM($F416&amp;""))="free",LOWER(TRIM($F416&amp;""))="free entry"),IF(ISNUMBER($G416),IF(ISNUMBER(SEARCH("non",LOWER($E416&amp;""))),$G416*0.85,$G416),"N/A"),IF($G416="","",IFERROR(IF(ISNUMBER(SEARCH("non",LOWER($E416&amp;""))),$G416*0.85,$G416),"")))))</ns0:f>
        <ns0:v/>
      </ns0:c>
      <ns0:c r="O416" s="987" t="str">
        <ns0:f>IF(COUNTA($A416:$M416)=0,"",IF(OR(LEFT(LOWER(TRIM($F416&amp;"")),12)="subscription",LOWER(TRIM($F416&amp;""))="membership"),"",IF(OR(AND($H416&lt;&gt;"",$H416=0),LEFT(LOWER(TRIM($F416&amp;"")),9)="free game",LOWER(TRIM($F416&amp;""))="free",LOWER(TRIM($F416&amp;""))="free entry"),IF(OR(NOT(ISNUMBER($N416)),NOT(ISNUMBER($I416)),$I416=0),"N/A",IFERROR($N416/$I416,"N/A")),IF(OR($N416="",$I416="",$I416=0),"",IFERROR($N416/$I416,"")))))</ns0:f>
        <ns0:v/>
      </ns0:c>
      <ns0:c r="P416" s="987">
        <ns0:f>IF(COUNTA($A416:$M416)=0,"",IF(OR(LEFT(LOWER(TRIM($F416&amp;"")),12)="subscription",LOWER(TRIM($F416&amp;""))="membership"),"",IF(LOWER(TRIM($D416&amp;""))="estimate","N/A",IF(LOWER($L416&amp;"")="yes",0,IF(OR(AND($H416&lt;&gt;"",$H416=0),LEFT(LOWER(TRIM($F416&amp;"")),9)="free game",LOWER(TRIM($F416&amp;""))="free",LOWER(TRIM($F416&amp;""))="free entry"),IF(ISNUMBER($K416),$K416,""),IF($K416&lt;&gt;"",$K416,""))))))</ns0:f>
      </ns0:c>
      <ns0:c r="Q416" s="114">
        <ns0:f>IF(COUNTA($A416:$M416)=0,"",IF(OR($U416="Subscription",$U416=""),"",IF($U416="Estimate","N/A",IF($U416="Profit",ROUND(IFERROR($P416,0)-IFERROR($H416,0),2),0))))</ns0:f>
      </ns0:c>
      <ns0:c r="R416" s="114">
        <ns0:f>IF(COUNTA($A416:$M416)=0,"",IF(OR($U416="Subscription",$U416=""),"",IF($U416="Estimate","N/A",IF($U416="Draw",$H416,0))))</ns0:f>
      </ns0:c>
      <ns0:c r="S416" s="114">
        <ns0:f>IF(COUNTA($A416:$M416)=0,"",IF(OR($U416="Subscription",$U416=""),"",IF($U416="Estimate","N/A",IF($U416="Disqualified",$H416,0))))</ns0:f>
      </ns0:c>
      <ns0:c r="T416" s="955">
        <ns0:f>IF(COUNTA($A416:$M416)=0,"",IF(OR($U416="Subscription",$U416=""),"",IF($U416="Estimate","N/A",IF(OR($U416="Free Game",$U416="Disqualified — Free Game",$H416=0),"N/A",IF($U416="Profit",$Q416/$H416,IF($U416="Disqualified",-$S416/$H416,0))))))</ns0:f>
      </ns0:c>
      <ns0:c r="U416" s="920">
        <ns0:f>IF(COUNTA($A416:$M416)=0,"",IF(OR(LEFT(LOWER(TRIM($F416&amp;"")),12)="subscription",LOWER(TRIM($F416&amp;""))="membership"),"Subscription",IF(LOWER(TRIM($D416&amp;""))="estimate","Estimate",IF(OR(AND($H416&lt;&gt;"",$H416=0),LEFT(LOWER(TRIM($F416&amp;"")),9)="free game",LOWER(TRIM($F416&amp;""))="free",LOWER(TRIM($F416&amp;""))="free entry"),IF(LOWER($L416&amp;"")="yes","Disqualified — Free Game","Free Game"),IF(LOWER($L416&amp;"")="yes","Disqualified",IF($P416="","",IF(ROUND(IFERROR(VALUE($P416),0)-IFERROR(VALUE($H416),0),2)&gt;0,"Profit","Draw")))))))</ns0:f>
      </ns0:c>
      <ns0:c r="V416" s="956" t="str">
        <ns0:f>IF(COUNTA($A416:$M416)=0,"",IF(OR($B416="",$C416="",$U416="Subscription"),"",IFERROR(ROUNDUP(($C416-$B416)/7,0),"")))</ns0:f>
      </ns0:c>
      <ns0:c r="W416" s="114">
        <ns0:f>IF(COUNTA($A416:$M416)=0,"",IF(OR($U416="Subscription",$U416=""),"",IF($U416="Estimate","N/A",IF(OR($U416="Free Game",$U416="Disqualified — Free Game"),0,ROUND(IFERROR($Q416,0)-IFERROR($S416,0),2)))))</ns0:f>
      </ns0:c>
      <ns0:c r="X416" s="956" t="str">
        <ns0:f>IF(COUNTA($A416:$M416)=0,"",IF(OR($U416="Subscription",NOT(ISNUMBER($J416)),NOT(ISNUMBER($I416)),$J416=0,$I416=0,$I416&gt;$J416),"",$J416-$I416))</ns0:f>
      </ns0:c>
      <ns0:c r="Y416" s="955" t="str">
        <ns0:f>IF(COUNTA($A416:$M416)=0,"",IF(OR($U416="Subscription",NOT(ISNUMBER($J416)),$J416=0,$X416=""),"",$X416/$J416))</ns0:f>
      </ns0:c>
      <ns0:c r="Z416" s="957" t="str">
        <ns0:f>IF(COUNTA($A416:$M416)=0,"",Instructions!$B$29+SUM($W$5:W416))</ns0:f>
      </ns0:c>
    </ns0:row>
    <ns0:row r="417" ht="36" customHeight="1">
      <ns0:c r="A417" s="439"/>
      <ns0:c r="B417" s="453"/>
      <ns0:c r="C417" s="453"/>
      <ns0:c r="D417" s="454"/>
      <ns0:c r="E417" s="454"/>
      <ns0:c r="F417" s="454"/>
      <ns0:c r="G417" s="986"/>
      <ns0:c r="H417" s="455"/>
      <ns0:c r="I417" s="456"/>
      <ns0:c r="J417" s="456"/>
      <ns0:c r="K417" s="986"/>
      <ns0:c r="L417" s="454"/>
      <ns0:c r="M417" s="439"/>
      <ns0:c r="N417" s="987" t="str">
        <ns0:f>IF(COUNTA($A417:$M417)=0,"",IF(OR(LEFT(LOWER(TRIM($F417&amp;"")),12)="subscription",LOWER(TRIM($F417&amp;""))="membership"),"",IF(OR(AND($H417&lt;&gt;"",$H417=0),LEFT(LOWER(TRIM($F417&amp;"")),9)="free game",LOWER(TRIM($F417&amp;""))="free",LOWER(TRIM($F417&amp;""))="free entry"),IF(ISNUMBER($G417),IF(ISNUMBER(SEARCH("non",LOWER($E417&amp;""))),$G417*0.85,$G417),"N/A"),IF($G417="","",IFERROR(IF(ISNUMBER(SEARCH("non",LOWER($E417&amp;""))),$G417*0.85,$G417),"")))))</ns0:f>
        <ns0:v/>
      </ns0:c>
      <ns0:c r="O417" s="987" t="str">
        <ns0:f>IF(COUNTA($A417:$M417)=0,"",IF(OR(LEFT(LOWER(TRIM($F417&amp;"")),12)="subscription",LOWER(TRIM($F417&amp;""))="membership"),"",IF(OR(AND($H417&lt;&gt;"",$H417=0),LEFT(LOWER(TRIM($F417&amp;"")),9)="free game",LOWER(TRIM($F417&amp;""))="free",LOWER(TRIM($F417&amp;""))="free entry"),IF(OR(NOT(ISNUMBER($N417)),NOT(ISNUMBER($I417)),$I417=0),"N/A",IFERROR($N417/$I417,"N/A")),IF(OR($N417="",$I417="",$I417=0),"",IFERROR($N417/$I417,"")))))</ns0:f>
        <ns0:v/>
      </ns0:c>
      <ns0:c r="P417" s="987">
        <ns0:f>IF(COUNTA($A417:$M417)=0,"",IF(OR(LEFT(LOWER(TRIM($F417&amp;"")),12)="subscription",LOWER(TRIM($F417&amp;""))="membership"),"",IF(LOWER(TRIM($D417&amp;""))="estimate","N/A",IF(LOWER($L417&amp;"")="yes",0,IF(OR(AND($H417&lt;&gt;"",$H417=0),LEFT(LOWER(TRIM($F417&amp;"")),9)="free game",LOWER(TRIM($F417&amp;""))="free",LOWER(TRIM($F417&amp;""))="free entry"),IF(ISNUMBER($K417),$K417,""),IF($K417&lt;&gt;"",$K417,""))))))</ns0:f>
      </ns0:c>
      <ns0:c r="Q417" s="114">
        <ns0:f>IF(COUNTA($A417:$M417)=0,"",IF(OR($U417="Subscription",$U417=""),"",IF($U417="Estimate","N/A",IF($U417="Profit",ROUND(IFERROR($P417,0)-IFERROR($H417,0),2),0))))</ns0:f>
      </ns0:c>
      <ns0:c r="R417" s="114">
        <ns0:f>IF(COUNTA($A417:$M417)=0,"",IF(OR($U417="Subscription",$U417=""),"",IF($U417="Estimate","N/A",IF($U417="Draw",$H417,0))))</ns0:f>
      </ns0:c>
      <ns0:c r="S417" s="114">
        <ns0:f>IF(COUNTA($A417:$M417)=0,"",IF(OR($U417="Subscription",$U417=""),"",IF($U417="Estimate","N/A",IF($U417="Disqualified",$H417,0))))</ns0:f>
      </ns0:c>
      <ns0:c r="T417" s="955">
        <ns0:f>IF(COUNTA($A417:$M417)=0,"",IF(OR($U417="Subscription",$U417=""),"",IF($U417="Estimate","N/A",IF(OR($U417="Free Game",$U417="Disqualified — Free Game",$H417=0),"N/A",IF($U417="Profit",$Q417/$H417,IF($U417="Disqualified",-$S417/$H417,0))))))</ns0:f>
      </ns0:c>
      <ns0:c r="U417" s="920">
        <ns0:f>IF(COUNTA($A417:$M417)=0,"",IF(OR(LEFT(LOWER(TRIM($F417&amp;"")),12)="subscription",LOWER(TRIM($F417&amp;""))="membership"),"Subscription",IF(LOWER(TRIM($D417&amp;""))="estimate","Estimate",IF(OR(AND($H417&lt;&gt;"",$H417=0),LEFT(LOWER(TRIM($F417&amp;"")),9)="free game",LOWER(TRIM($F417&amp;""))="free",LOWER(TRIM($F417&amp;""))="free entry"),IF(LOWER($L417&amp;"")="yes","Disqualified — Free Game","Free Game"),IF(LOWER($L417&amp;"")="yes","Disqualified",IF($P417="","",IF(ROUND(IFERROR(VALUE($P417),0)-IFERROR(VALUE($H417),0),2)&gt;0,"Profit","Draw")))))))</ns0:f>
      </ns0:c>
      <ns0:c r="V417" s="956" t="str">
        <ns0:f>IF(COUNTA($A417:$M417)=0,"",IF(OR($B417="",$C417="",$U417="Subscription"),"",IFERROR(ROUNDUP(($C417-$B417)/7,0),"")))</ns0:f>
      </ns0:c>
      <ns0:c r="W417" s="114">
        <ns0:f>IF(COUNTA($A417:$M417)=0,"",IF(OR($U417="Subscription",$U417=""),"",IF($U417="Estimate","N/A",IF(OR($U417="Free Game",$U417="Disqualified — Free Game"),0,ROUND(IFERROR($Q417,0)-IFERROR($S417,0),2)))))</ns0:f>
      </ns0:c>
      <ns0:c r="X417" s="956" t="str">
        <ns0:f>IF(COUNTA($A417:$M417)=0,"",IF(OR($U417="Subscription",NOT(ISNUMBER($J417)),NOT(ISNUMBER($I417)),$J417=0,$I417=0,$I417&gt;$J417),"",$J417-$I417))</ns0:f>
      </ns0:c>
      <ns0:c r="Y417" s="955" t="str">
        <ns0:f>IF(COUNTA($A417:$M417)=0,"",IF(OR($U417="Subscription",NOT(ISNUMBER($J417)),$J417=0,$X417=""),"",$X417/$J417))</ns0:f>
      </ns0:c>
      <ns0:c r="Z417" s="957" t="str">
        <ns0:f>IF(COUNTA($A417:$M417)=0,"",Instructions!$B$29+SUM($W$5:W417))</ns0:f>
      </ns0:c>
    </ns0:row>
    <ns0:row r="418" ht="36" customHeight="1">
      <ns0:c r="A418" s="439"/>
      <ns0:c r="B418" s="453"/>
      <ns0:c r="C418" s="453"/>
      <ns0:c r="D418" s="454"/>
      <ns0:c r="E418" s="454"/>
      <ns0:c r="F418" s="454"/>
      <ns0:c r="G418" s="986"/>
      <ns0:c r="H418" s="455"/>
      <ns0:c r="I418" s="456"/>
      <ns0:c r="J418" s="456"/>
      <ns0:c r="K418" s="986"/>
      <ns0:c r="L418" s="454"/>
      <ns0:c r="M418" s="439"/>
      <ns0:c r="N418" s="987" t="str">
        <ns0:f>IF(COUNTA($A418:$M418)=0,"",IF(OR(LEFT(LOWER(TRIM($F418&amp;"")),12)="subscription",LOWER(TRIM($F418&amp;""))="membership"),"",IF(OR(AND($H418&lt;&gt;"",$H418=0),LEFT(LOWER(TRIM($F418&amp;"")),9)="free game",LOWER(TRIM($F418&amp;""))="free",LOWER(TRIM($F418&amp;""))="free entry"),IF(ISNUMBER($G418),IF(ISNUMBER(SEARCH("non",LOWER($E418&amp;""))),$G418*0.85,$G418),"N/A"),IF($G418="","",IFERROR(IF(ISNUMBER(SEARCH("non",LOWER($E418&amp;""))),$G418*0.85,$G418),"")))))</ns0:f>
        <ns0:v/>
      </ns0:c>
      <ns0:c r="O418" s="987" t="str">
        <ns0:f>IF(COUNTA($A418:$M418)=0,"",IF(OR(LEFT(LOWER(TRIM($F418&amp;"")),12)="subscription",LOWER(TRIM($F418&amp;""))="membership"),"",IF(OR(AND($H418&lt;&gt;"",$H418=0),LEFT(LOWER(TRIM($F418&amp;"")),9)="free game",LOWER(TRIM($F418&amp;""))="free",LOWER(TRIM($F418&amp;""))="free entry"),IF(OR(NOT(ISNUMBER($N418)),NOT(ISNUMBER($I418)),$I418=0),"N/A",IFERROR($N418/$I418,"N/A")),IF(OR($N418="",$I418="",$I418=0),"",IFERROR($N418/$I418,"")))))</ns0:f>
        <ns0:v/>
      </ns0:c>
      <ns0:c r="P418" s="987">
        <ns0:f>IF(COUNTA($A418:$M418)=0,"",IF(OR(LEFT(LOWER(TRIM($F418&amp;"")),12)="subscription",LOWER(TRIM($F418&amp;""))="membership"),"",IF(LOWER(TRIM($D418&amp;""))="estimate","N/A",IF(LOWER($L418&amp;"")="yes",0,IF(OR(AND($H418&lt;&gt;"",$H418=0),LEFT(LOWER(TRIM($F418&amp;"")),9)="free game",LOWER(TRIM($F418&amp;""))="free",LOWER(TRIM($F418&amp;""))="free entry"),IF(ISNUMBER($K418),$K418,""),IF($K418&lt;&gt;"",$K418,""))))))</ns0:f>
      </ns0:c>
      <ns0:c r="Q418" s="114">
        <ns0:f>IF(COUNTA($A418:$M418)=0,"",IF(OR($U418="Subscription",$U418=""),"",IF($U418="Estimate","N/A",IF($U418="Profit",ROUND(IFERROR($P418,0)-IFERROR($H418,0),2),0))))</ns0:f>
      </ns0:c>
      <ns0:c r="R418" s="114">
        <ns0:f>IF(COUNTA($A418:$M418)=0,"",IF(OR($U418="Subscription",$U418=""),"",IF($U418="Estimate","N/A",IF($U418="Draw",$H418,0))))</ns0:f>
      </ns0:c>
      <ns0:c r="S418" s="114">
        <ns0:f>IF(COUNTA($A418:$M418)=0,"",IF(OR($U418="Subscription",$U418=""),"",IF($U418="Estimate","N/A",IF($U418="Disqualified",$H418,0))))</ns0:f>
      </ns0:c>
      <ns0:c r="T418" s="955">
        <ns0:f>IF(COUNTA($A418:$M418)=0,"",IF(OR($U418="Subscription",$U418=""),"",IF($U418="Estimate","N/A",IF(OR($U418="Free Game",$U418="Disqualified — Free Game",$H418=0),"N/A",IF($U418="Profit",$Q418/$H418,IF($U418="Disqualified",-$S418/$H418,0))))))</ns0:f>
      </ns0:c>
      <ns0:c r="U418" s="920">
        <ns0:f>IF(COUNTA($A418:$M418)=0,"",IF(OR(LEFT(LOWER(TRIM($F418&amp;"")),12)="subscription",LOWER(TRIM($F418&amp;""))="membership"),"Subscription",IF(LOWER(TRIM($D418&amp;""))="estimate","Estimate",IF(OR(AND($H418&lt;&gt;"",$H418=0),LEFT(LOWER(TRIM($F418&amp;"")),9)="free game",LOWER(TRIM($F418&amp;""))="free",LOWER(TRIM($F418&amp;""))="free entry"),IF(LOWER($L418&amp;"")="yes","Disqualified — Free Game","Free Game"),IF(LOWER($L418&amp;"")="yes","Disqualified",IF($P418="","",IF(ROUND(IFERROR(VALUE($P418),0)-IFERROR(VALUE($H418),0),2)&gt;0,"Profit","Draw")))))))</ns0:f>
      </ns0:c>
      <ns0:c r="V418" s="956" t="str">
        <ns0:f>IF(COUNTA($A418:$M418)=0,"",IF(OR($B418="",$C418="",$U418="Subscription"),"",IFERROR(ROUNDUP(($C418-$B418)/7,0),"")))</ns0:f>
      </ns0:c>
      <ns0:c r="W418" s="114">
        <ns0:f>IF(COUNTA($A418:$M418)=0,"",IF(OR($U418="Subscription",$U418=""),"",IF($U418="Estimate","N/A",IF(OR($U418="Free Game",$U418="Disqualified — Free Game"),0,ROUND(IFERROR($Q418,0)-IFERROR($S418,0),2)))))</ns0:f>
      </ns0:c>
      <ns0:c r="X418" s="956" t="str">
        <ns0:f>IF(COUNTA($A418:$M418)=0,"",IF(OR($U418="Subscription",NOT(ISNUMBER($J418)),NOT(ISNUMBER($I418)),$J418=0,$I418=0,$I418&gt;$J418),"",$J418-$I418))</ns0:f>
      </ns0:c>
      <ns0:c r="Y418" s="955" t="str">
        <ns0:f>IF(COUNTA($A418:$M418)=0,"",IF(OR($U418="Subscription",NOT(ISNUMBER($J418)),$J418=0,$X418=""),"",$X418/$J418))</ns0:f>
      </ns0:c>
      <ns0:c r="Z418" s="957" t="str">
        <ns0:f>IF(COUNTA($A418:$M418)=0,"",Instructions!$B$29+SUM($W$5:W418))</ns0:f>
      </ns0:c>
    </ns0:row>
    <ns0:row r="419" ht="36" customHeight="1">
      <ns0:c r="A419" s="439"/>
      <ns0:c r="B419" s="453"/>
      <ns0:c r="C419" s="453"/>
      <ns0:c r="D419" s="454"/>
      <ns0:c r="E419" s="454"/>
      <ns0:c r="F419" s="454"/>
      <ns0:c r="G419" s="986"/>
      <ns0:c r="H419" s="455"/>
      <ns0:c r="I419" s="456"/>
      <ns0:c r="J419" s="456"/>
      <ns0:c r="K419" s="986"/>
      <ns0:c r="L419" s="454"/>
      <ns0:c r="M419" s="439"/>
      <ns0:c r="N419" s="987" t="str">
        <ns0:f>IF(COUNTA($A419:$M419)=0,"",IF(OR(LEFT(LOWER(TRIM($F419&amp;"")),12)="subscription",LOWER(TRIM($F419&amp;""))="membership"),"",IF(OR(AND($H419&lt;&gt;"",$H419=0),LEFT(LOWER(TRIM($F419&amp;"")),9)="free game",LOWER(TRIM($F419&amp;""))="free",LOWER(TRIM($F419&amp;""))="free entry"),IF(ISNUMBER($G419),IF(ISNUMBER(SEARCH("non",LOWER($E419&amp;""))),$G419*0.85,$G419),"N/A"),IF($G419="","",IFERROR(IF(ISNUMBER(SEARCH("non",LOWER($E419&amp;""))),$G419*0.85,$G419),"")))))</ns0:f>
        <ns0:v/>
      </ns0:c>
      <ns0:c r="O419" s="987" t="str">
        <ns0:f>IF(COUNTA($A419:$M419)=0,"",IF(OR(LEFT(LOWER(TRIM($F419&amp;"")),12)="subscription",LOWER(TRIM($F419&amp;""))="membership"),"",IF(OR(AND($H419&lt;&gt;"",$H419=0),LEFT(LOWER(TRIM($F419&amp;"")),9)="free game",LOWER(TRIM($F419&amp;""))="free",LOWER(TRIM($F419&amp;""))="free entry"),IF(OR(NOT(ISNUMBER($N419)),NOT(ISNUMBER($I419)),$I419=0),"N/A",IFERROR($N419/$I419,"N/A")),IF(OR($N419="",$I419="",$I419=0),"",IFERROR($N419/$I419,"")))))</ns0:f>
        <ns0:v/>
      </ns0:c>
      <ns0:c r="P419" s="987">
        <ns0:f>IF(COUNTA($A419:$M419)=0,"",IF(OR(LEFT(LOWER(TRIM($F419&amp;"")),12)="subscription",LOWER(TRIM($F419&amp;""))="membership"),"",IF(LOWER(TRIM($D419&amp;""))="estimate","N/A",IF(LOWER($L419&amp;"")="yes",0,IF(OR(AND($H419&lt;&gt;"",$H419=0),LEFT(LOWER(TRIM($F419&amp;"")),9)="free game",LOWER(TRIM($F419&amp;""))="free",LOWER(TRIM($F419&amp;""))="free entry"),IF(ISNUMBER($K419),$K419,""),IF($K419&lt;&gt;"",$K419,""))))))</ns0:f>
      </ns0:c>
      <ns0:c r="Q419" s="114">
        <ns0:f>IF(COUNTA($A419:$M419)=0,"",IF(OR($U419="Subscription",$U419=""),"",IF($U419="Estimate","N/A",IF($U419="Profit",ROUND(IFERROR($P419,0)-IFERROR($H419,0),2),0))))</ns0:f>
      </ns0:c>
      <ns0:c r="R419" s="114">
        <ns0:f>IF(COUNTA($A419:$M419)=0,"",IF(OR($U419="Subscription",$U419=""),"",IF($U419="Estimate","N/A",IF($U419="Draw",$H419,0))))</ns0:f>
      </ns0:c>
      <ns0:c r="S419" s="114">
        <ns0:f>IF(COUNTA($A419:$M419)=0,"",IF(OR($U419="Subscription",$U419=""),"",IF($U419="Estimate","N/A",IF($U419="Disqualified",$H419,0))))</ns0:f>
      </ns0:c>
      <ns0:c r="T419" s="955">
        <ns0:f>IF(COUNTA($A419:$M419)=0,"",IF(OR($U419="Subscription",$U419=""),"",IF($U419="Estimate","N/A",IF(OR($U419="Free Game",$U419="Disqualified — Free Game",$H419=0),"N/A",IF($U419="Profit",$Q419/$H419,IF($U419="Disqualified",-$S419/$H419,0))))))</ns0:f>
      </ns0:c>
      <ns0:c r="U419" s="920">
        <ns0:f>IF(COUNTA($A419:$M419)=0,"",IF(OR(LEFT(LOWER(TRIM($F419&amp;"")),12)="subscription",LOWER(TRIM($F419&amp;""))="membership"),"Subscription",IF(LOWER(TRIM($D419&amp;""))="estimate","Estimate",IF(OR(AND($H419&lt;&gt;"",$H419=0),LEFT(LOWER(TRIM($F419&amp;"")),9)="free game",LOWER(TRIM($F419&amp;""))="free",LOWER(TRIM($F419&amp;""))="free entry"),IF(LOWER($L419&amp;"")="yes","Disqualified — Free Game","Free Game"),IF(LOWER($L419&amp;"")="yes","Disqualified",IF($P419="","",IF(ROUND(IFERROR(VALUE($P419),0)-IFERROR(VALUE($H419),0),2)&gt;0,"Profit","Draw")))))))</ns0:f>
      </ns0:c>
      <ns0:c r="V419" s="956" t="str">
        <ns0:f>IF(COUNTA($A419:$M419)=0,"",IF(OR($B419="",$C419="",$U419="Subscription"),"",IFERROR(ROUNDUP(($C419-$B419)/7,0),"")))</ns0:f>
      </ns0:c>
      <ns0:c r="W419" s="114">
        <ns0:f>IF(COUNTA($A419:$M419)=0,"",IF(OR($U419="Subscription",$U419=""),"",IF($U419="Estimate","N/A",IF(OR($U419="Free Game",$U419="Disqualified — Free Game"),0,ROUND(IFERROR($Q419,0)-IFERROR($S419,0),2)))))</ns0:f>
      </ns0:c>
      <ns0:c r="X419" s="956" t="str">
        <ns0:f>IF(COUNTA($A419:$M419)=0,"",IF(OR($U419="Subscription",NOT(ISNUMBER($J419)),NOT(ISNUMBER($I419)),$J419=0,$I419=0,$I419&gt;$J419),"",$J419-$I419))</ns0:f>
      </ns0:c>
      <ns0:c r="Y419" s="955" t="str">
        <ns0:f>IF(COUNTA($A419:$M419)=0,"",IF(OR($U419="Subscription",NOT(ISNUMBER($J419)),$J419=0,$X419=""),"",$X419/$J419))</ns0:f>
      </ns0:c>
      <ns0:c r="Z419" s="957" t="str">
        <ns0:f>IF(COUNTA($A419:$M419)=0,"",Instructions!$B$29+SUM($W$5:W419))</ns0:f>
      </ns0:c>
    </ns0:row>
    <ns0:row r="420" ht="36" customHeight="1">
      <ns0:c r="A420" s="439"/>
      <ns0:c r="B420" s="453"/>
      <ns0:c r="C420" s="453"/>
      <ns0:c r="D420" s="454"/>
      <ns0:c r="E420" s="454"/>
      <ns0:c r="F420" s="454"/>
      <ns0:c r="G420" s="986"/>
      <ns0:c r="H420" s="455"/>
      <ns0:c r="I420" s="456"/>
      <ns0:c r="J420" s="456"/>
      <ns0:c r="K420" s="986"/>
      <ns0:c r="L420" s="454"/>
      <ns0:c r="M420" s="439"/>
      <ns0:c r="N420" s="987" t="str">
        <ns0:f>IF(COUNTA($A420:$M420)=0,"",IF(OR(LEFT(LOWER(TRIM($F420&amp;"")),12)="subscription",LOWER(TRIM($F420&amp;""))="membership"),"",IF(OR(AND($H420&lt;&gt;"",$H420=0),LEFT(LOWER(TRIM($F420&amp;"")),9)="free game",LOWER(TRIM($F420&amp;""))="free",LOWER(TRIM($F420&amp;""))="free entry"),IF(ISNUMBER($G420),IF(ISNUMBER(SEARCH("non",LOWER($E420&amp;""))),$G420*0.85,$G420),"N/A"),IF($G420="","",IFERROR(IF(ISNUMBER(SEARCH("non",LOWER($E420&amp;""))),$G420*0.85,$G420),"")))))</ns0:f>
        <ns0:v/>
      </ns0:c>
      <ns0:c r="O420" s="987" t="str">
        <ns0:f>IF(COUNTA($A420:$M420)=0,"",IF(OR(LEFT(LOWER(TRIM($F420&amp;"")),12)="subscription",LOWER(TRIM($F420&amp;""))="membership"),"",IF(OR(AND($H420&lt;&gt;"",$H420=0),LEFT(LOWER(TRIM($F420&amp;"")),9)="free game",LOWER(TRIM($F420&amp;""))="free",LOWER(TRIM($F420&amp;""))="free entry"),IF(OR(NOT(ISNUMBER($N420)),NOT(ISNUMBER($I420)),$I420=0),"N/A",IFERROR($N420/$I420,"N/A")),IF(OR($N420="",$I420="",$I420=0),"",IFERROR($N420/$I420,"")))))</ns0:f>
        <ns0:v/>
      </ns0:c>
      <ns0:c r="P420" s="987">
        <ns0:f>IF(COUNTA($A420:$M420)=0,"",IF(OR(LEFT(LOWER(TRIM($F420&amp;"")),12)="subscription",LOWER(TRIM($F420&amp;""))="membership"),"",IF(LOWER(TRIM($D420&amp;""))="estimate","N/A",IF(LOWER($L420&amp;"")="yes",0,IF(OR(AND($H420&lt;&gt;"",$H420=0),LEFT(LOWER(TRIM($F420&amp;"")),9)="free game",LOWER(TRIM($F420&amp;""))="free",LOWER(TRIM($F420&amp;""))="free entry"),IF(ISNUMBER($K420),$K420,""),IF($K420&lt;&gt;"",$K420,""))))))</ns0:f>
      </ns0:c>
      <ns0:c r="Q420" s="114">
        <ns0:f>IF(COUNTA($A420:$M420)=0,"",IF(OR($U420="Subscription",$U420=""),"",IF($U420="Estimate","N/A",IF($U420="Profit",ROUND(IFERROR($P420,0)-IFERROR($H420,0),2),0))))</ns0:f>
      </ns0:c>
      <ns0:c r="R420" s="114">
        <ns0:f>IF(COUNTA($A420:$M420)=0,"",IF(OR($U420="Subscription",$U420=""),"",IF($U420="Estimate","N/A",IF($U420="Draw",$H420,0))))</ns0:f>
      </ns0:c>
      <ns0:c r="S420" s="114">
        <ns0:f>IF(COUNTA($A420:$M420)=0,"",IF(OR($U420="Subscription",$U420=""),"",IF($U420="Estimate","N/A",IF($U420="Disqualified",$H420,0))))</ns0:f>
      </ns0:c>
      <ns0:c r="T420" s="955">
        <ns0:f>IF(COUNTA($A420:$M420)=0,"",IF(OR($U420="Subscription",$U420=""),"",IF($U420="Estimate","N/A",IF(OR($U420="Free Game",$U420="Disqualified — Free Game",$H420=0),"N/A",IF($U420="Profit",$Q420/$H420,IF($U420="Disqualified",-$S420/$H420,0))))))</ns0:f>
      </ns0:c>
      <ns0:c r="U420" s="920">
        <ns0:f>IF(COUNTA($A420:$M420)=0,"",IF(OR(LEFT(LOWER(TRIM($F420&amp;"")),12)="subscription",LOWER(TRIM($F420&amp;""))="membership"),"Subscription",IF(LOWER(TRIM($D420&amp;""))="estimate","Estimate",IF(OR(AND($H420&lt;&gt;"",$H420=0),LEFT(LOWER(TRIM($F420&amp;"")),9)="free game",LOWER(TRIM($F420&amp;""))="free",LOWER(TRIM($F420&amp;""))="free entry"),IF(LOWER($L420&amp;"")="yes","Disqualified — Free Game","Free Game"),IF(LOWER($L420&amp;"")="yes","Disqualified",IF($P420="","",IF(ROUND(IFERROR(VALUE($P420),0)-IFERROR(VALUE($H420),0),2)&gt;0,"Profit","Draw")))))))</ns0:f>
      </ns0:c>
      <ns0:c r="V420" s="956" t="str">
        <ns0:f>IF(COUNTA($A420:$M420)=0,"",IF(OR($B420="",$C420="",$U420="Subscription"),"",IFERROR(ROUNDUP(($C420-$B420)/7,0),"")))</ns0:f>
      </ns0:c>
      <ns0:c r="W420" s="114">
        <ns0:f>IF(COUNTA($A420:$M420)=0,"",IF(OR($U420="Subscription",$U420=""),"",IF($U420="Estimate","N/A",IF(OR($U420="Free Game",$U420="Disqualified — Free Game"),0,ROUND(IFERROR($Q420,0)-IFERROR($S420,0),2)))))</ns0:f>
      </ns0:c>
      <ns0:c r="X420" s="956" t="str">
        <ns0:f>IF(COUNTA($A420:$M420)=0,"",IF(OR($U420="Subscription",NOT(ISNUMBER($J420)),NOT(ISNUMBER($I420)),$J420=0,$I420=0,$I420&gt;$J420),"",$J420-$I420))</ns0:f>
      </ns0:c>
      <ns0:c r="Y420" s="955" t="str">
        <ns0:f>IF(COUNTA($A420:$M420)=0,"",IF(OR($U420="Subscription",NOT(ISNUMBER($J420)),$J420=0,$X420=""),"",$X420/$J420))</ns0:f>
      </ns0:c>
      <ns0:c r="Z420" s="957" t="str">
        <ns0:f>IF(COUNTA($A420:$M420)=0,"",Instructions!$B$29+SUM($W$5:W420))</ns0:f>
      </ns0:c>
    </ns0:row>
    <ns0:row r="421" ht="36" customHeight="1">
      <ns0:c r="A421" s="439"/>
      <ns0:c r="B421" s="453"/>
      <ns0:c r="C421" s="453"/>
      <ns0:c r="D421" s="454"/>
      <ns0:c r="E421" s="454"/>
      <ns0:c r="F421" s="454"/>
      <ns0:c r="G421" s="986"/>
      <ns0:c r="H421" s="455"/>
      <ns0:c r="I421" s="456"/>
      <ns0:c r="J421" s="456"/>
      <ns0:c r="K421" s="986"/>
      <ns0:c r="L421" s="454"/>
      <ns0:c r="M421" s="439"/>
      <ns0:c r="N421" s="987" t="str">
        <ns0:f>IF(COUNTA($A421:$M421)=0,"",IF(OR(LEFT(LOWER(TRIM($F421&amp;"")),12)="subscription",LOWER(TRIM($F421&amp;""))="membership"),"",IF(OR(AND($H421&lt;&gt;"",$H421=0),LEFT(LOWER(TRIM($F421&amp;"")),9)="free game",LOWER(TRIM($F421&amp;""))="free",LOWER(TRIM($F421&amp;""))="free entry"),IF(ISNUMBER($G421),IF(ISNUMBER(SEARCH("non",LOWER($E421&amp;""))),$G421*0.85,$G421),"N/A"),IF($G421="","",IFERROR(IF(ISNUMBER(SEARCH("non",LOWER($E421&amp;""))),$G421*0.85,$G421),"")))))</ns0:f>
        <ns0:v/>
      </ns0:c>
      <ns0:c r="O421" s="987" t="str">
        <ns0:f>IF(COUNTA($A421:$M421)=0,"",IF(OR(LEFT(LOWER(TRIM($F421&amp;"")),12)="subscription",LOWER(TRIM($F421&amp;""))="membership"),"",IF(OR(AND($H421&lt;&gt;"",$H421=0),LEFT(LOWER(TRIM($F421&amp;"")),9)="free game",LOWER(TRIM($F421&amp;""))="free",LOWER(TRIM($F421&amp;""))="free entry"),IF(OR(NOT(ISNUMBER($N421)),NOT(ISNUMBER($I421)),$I421=0),"N/A",IFERROR($N421/$I421,"N/A")),IF(OR($N421="",$I421="",$I421=0),"",IFERROR($N421/$I421,"")))))</ns0:f>
        <ns0:v/>
      </ns0:c>
      <ns0:c r="P421" s="987">
        <ns0:f>IF(COUNTA($A421:$M421)=0,"",IF(OR(LEFT(LOWER(TRIM($F421&amp;"")),12)="subscription",LOWER(TRIM($F421&amp;""))="membership"),"",IF(LOWER(TRIM($D421&amp;""))="estimate","N/A",IF(LOWER($L421&amp;"")="yes",0,IF(OR(AND($H421&lt;&gt;"",$H421=0),LEFT(LOWER(TRIM($F421&amp;"")),9)="free game",LOWER(TRIM($F421&amp;""))="free",LOWER(TRIM($F421&amp;""))="free entry"),IF(ISNUMBER($K421),$K421,""),IF($K421&lt;&gt;"",$K421,""))))))</ns0:f>
      </ns0:c>
      <ns0:c r="Q421" s="114">
        <ns0:f>IF(COUNTA($A421:$M421)=0,"",IF(OR($U421="Subscription",$U421=""),"",IF($U421="Estimate","N/A",IF($U421="Profit",ROUND(IFERROR($P421,0)-IFERROR($H421,0),2),0))))</ns0:f>
      </ns0:c>
      <ns0:c r="R421" s="114">
        <ns0:f>IF(COUNTA($A421:$M421)=0,"",IF(OR($U421="Subscription",$U421=""),"",IF($U421="Estimate","N/A",IF($U421="Draw",$H421,0))))</ns0:f>
      </ns0:c>
      <ns0:c r="S421" s="114">
        <ns0:f>IF(COUNTA($A421:$M421)=0,"",IF(OR($U421="Subscription",$U421=""),"",IF($U421="Estimate","N/A",IF($U421="Disqualified",$H421,0))))</ns0:f>
      </ns0:c>
      <ns0:c r="T421" s="955">
        <ns0:f>IF(COUNTA($A421:$M421)=0,"",IF(OR($U421="Subscription",$U421=""),"",IF($U421="Estimate","N/A",IF(OR($U421="Free Game",$U421="Disqualified — Free Game",$H421=0),"N/A",IF($U421="Profit",$Q421/$H421,IF($U421="Disqualified",-$S421/$H421,0))))))</ns0:f>
      </ns0:c>
      <ns0:c r="U421" s="920">
        <ns0:f>IF(COUNTA($A421:$M421)=0,"",IF(OR(LEFT(LOWER(TRIM($F421&amp;"")),12)="subscription",LOWER(TRIM($F421&amp;""))="membership"),"Subscription",IF(LOWER(TRIM($D421&amp;""))="estimate","Estimate",IF(OR(AND($H421&lt;&gt;"",$H421=0),LEFT(LOWER(TRIM($F421&amp;"")),9)="free game",LOWER(TRIM($F421&amp;""))="free",LOWER(TRIM($F421&amp;""))="free entry"),IF(LOWER($L421&amp;"")="yes","Disqualified — Free Game","Free Game"),IF(LOWER($L421&amp;"")="yes","Disqualified",IF($P421="","",IF(ROUND(IFERROR(VALUE($P421),0)-IFERROR(VALUE($H421),0),2)&gt;0,"Profit","Draw")))))))</ns0:f>
      </ns0:c>
      <ns0:c r="V421" s="956" t="str">
        <ns0:f>IF(COUNTA($A421:$M421)=0,"",IF(OR($B421="",$C421="",$U421="Subscription"),"",IFERROR(ROUNDUP(($C421-$B421)/7,0),"")))</ns0:f>
      </ns0:c>
      <ns0:c r="W421" s="114">
        <ns0:f>IF(COUNTA($A421:$M421)=0,"",IF(OR($U421="Subscription",$U421=""),"",IF($U421="Estimate","N/A",IF(OR($U421="Free Game",$U421="Disqualified — Free Game"),0,ROUND(IFERROR($Q421,0)-IFERROR($S421,0),2)))))</ns0:f>
      </ns0:c>
      <ns0:c r="X421" s="956" t="str">
        <ns0:f>IF(COUNTA($A421:$M421)=0,"",IF(OR($U421="Subscription",NOT(ISNUMBER($J421)),NOT(ISNUMBER($I421)),$J421=0,$I421=0,$I421&gt;$J421),"",$J421-$I421))</ns0:f>
      </ns0:c>
      <ns0:c r="Y421" s="955" t="str">
        <ns0:f>IF(COUNTA($A421:$M421)=0,"",IF(OR($U421="Subscription",NOT(ISNUMBER($J421)),$J421=0,$X421=""),"",$X421/$J421))</ns0:f>
      </ns0:c>
      <ns0:c r="Z421" s="957" t="str">
        <ns0:f>IF(COUNTA($A421:$M421)=0,"",Instructions!$B$29+SUM($W$5:W421))</ns0:f>
      </ns0:c>
    </ns0:row>
    <ns0:row r="422" ht="36" customHeight="1">
      <ns0:c r="A422" s="439"/>
      <ns0:c r="B422" s="453"/>
      <ns0:c r="C422" s="453"/>
      <ns0:c r="D422" s="454"/>
      <ns0:c r="E422" s="454"/>
      <ns0:c r="F422" s="454"/>
      <ns0:c r="G422" s="986"/>
      <ns0:c r="H422" s="455"/>
      <ns0:c r="I422" s="456"/>
      <ns0:c r="J422" s="456"/>
      <ns0:c r="K422" s="986"/>
      <ns0:c r="L422" s="454"/>
      <ns0:c r="M422" s="439"/>
      <ns0:c r="N422" s="987" t="str">
        <ns0:f>IF(COUNTA($A422:$M422)=0,"",IF(OR(LEFT(LOWER(TRIM($F422&amp;"")),12)="subscription",LOWER(TRIM($F422&amp;""))="membership"),"",IF(OR(AND($H422&lt;&gt;"",$H422=0),LEFT(LOWER(TRIM($F422&amp;"")),9)="free game",LOWER(TRIM($F422&amp;""))="free",LOWER(TRIM($F422&amp;""))="free entry"),IF(ISNUMBER($G422),IF(ISNUMBER(SEARCH("non",LOWER($E422&amp;""))),$G422*0.85,$G422),"N/A"),IF($G422="","",IFERROR(IF(ISNUMBER(SEARCH("non",LOWER($E422&amp;""))),$G422*0.85,$G422),"")))))</ns0:f>
        <ns0:v/>
      </ns0:c>
      <ns0:c r="O422" s="987" t="str">
        <ns0:f>IF(COUNTA($A422:$M422)=0,"",IF(OR(LEFT(LOWER(TRIM($F422&amp;"")),12)="subscription",LOWER(TRIM($F422&amp;""))="membership"),"",IF(OR(AND($H422&lt;&gt;"",$H422=0),LEFT(LOWER(TRIM($F422&amp;"")),9)="free game",LOWER(TRIM($F422&amp;""))="free",LOWER(TRIM($F422&amp;""))="free entry"),IF(OR(NOT(ISNUMBER($N422)),NOT(ISNUMBER($I422)),$I422=0),"N/A",IFERROR($N422/$I422,"N/A")),IF(OR($N422="",$I422="",$I422=0),"",IFERROR($N422/$I422,"")))))</ns0:f>
        <ns0:v/>
      </ns0:c>
      <ns0:c r="P422" s="987">
        <ns0:f>IF(COUNTA($A422:$M422)=0,"",IF(OR(LEFT(LOWER(TRIM($F422&amp;"")),12)="subscription",LOWER(TRIM($F422&amp;""))="membership"),"",IF(LOWER(TRIM($D422&amp;""))="estimate","N/A",IF(LOWER($L422&amp;"")="yes",0,IF(OR(AND($H422&lt;&gt;"",$H422=0),LEFT(LOWER(TRIM($F422&amp;"")),9)="free game",LOWER(TRIM($F422&amp;""))="free",LOWER(TRIM($F422&amp;""))="free entry"),IF(ISNUMBER($K422),$K422,""),IF($K422&lt;&gt;"",$K422,""))))))</ns0:f>
      </ns0:c>
      <ns0:c r="Q422" s="114">
        <ns0:f>IF(COUNTA($A422:$M422)=0,"",IF(OR($U422="Subscription",$U422=""),"",IF($U422="Estimate","N/A",IF($U422="Profit",ROUND(IFERROR($P422,0)-IFERROR($H422,0),2),0))))</ns0:f>
      </ns0:c>
      <ns0:c r="R422" s="114">
        <ns0:f>IF(COUNTA($A422:$M422)=0,"",IF(OR($U422="Subscription",$U422=""),"",IF($U422="Estimate","N/A",IF($U422="Draw",$H422,0))))</ns0:f>
      </ns0:c>
      <ns0:c r="S422" s="114">
        <ns0:f>IF(COUNTA($A422:$M422)=0,"",IF(OR($U422="Subscription",$U422=""),"",IF($U422="Estimate","N/A",IF($U422="Disqualified",$H422,0))))</ns0:f>
      </ns0:c>
      <ns0:c r="T422" s="955">
        <ns0:f>IF(COUNTA($A422:$M422)=0,"",IF(OR($U422="Subscription",$U422=""),"",IF($U422="Estimate","N/A",IF(OR($U422="Free Game",$U422="Disqualified — Free Game",$H422=0),"N/A",IF($U422="Profit",$Q422/$H422,IF($U422="Disqualified",-$S422/$H422,0))))))</ns0:f>
      </ns0:c>
      <ns0:c r="U422" s="920">
        <ns0:f>IF(COUNTA($A422:$M422)=0,"",IF(OR(LEFT(LOWER(TRIM($F422&amp;"")),12)="subscription",LOWER(TRIM($F422&amp;""))="membership"),"Subscription",IF(LOWER(TRIM($D422&amp;""))="estimate","Estimate",IF(OR(AND($H422&lt;&gt;"",$H422=0),LEFT(LOWER(TRIM($F422&amp;"")),9)="free game",LOWER(TRIM($F422&amp;""))="free",LOWER(TRIM($F422&amp;""))="free entry"),IF(LOWER($L422&amp;"")="yes","Disqualified — Free Game","Free Game"),IF(LOWER($L422&amp;"")="yes","Disqualified",IF($P422="","",IF(ROUND(IFERROR(VALUE($P422),0)-IFERROR(VALUE($H422),0),2)&gt;0,"Profit","Draw")))))))</ns0:f>
      </ns0:c>
      <ns0:c r="V422" s="956" t="str">
        <ns0:f>IF(COUNTA($A422:$M422)=0,"",IF(OR($B422="",$C422="",$U422="Subscription"),"",IFERROR(ROUNDUP(($C422-$B422)/7,0),"")))</ns0:f>
      </ns0:c>
      <ns0:c r="W422" s="114">
        <ns0:f>IF(COUNTA($A422:$M422)=0,"",IF(OR($U422="Subscription",$U422=""),"",IF($U422="Estimate","N/A",IF(OR($U422="Free Game",$U422="Disqualified — Free Game"),0,ROUND(IFERROR($Q422,0)-IFERROR($S422,0),2)))))</ns0:f>
      </ns0:c>
      <ns0:c r="X422" s="956" t="str">
        <ns0:f>IF(COUNTA($A422:$M422)=0,"",IF(OR($U422="Subscription",NOT(ISNUMBER($J422)),NOT(ISNUMBER($I422)),$J422=0,$I422=0,$I422&gt;$J422),"",$J422-$I422))</ns0:f>
      </ns0:c>
      <ns0:c r="Y422" s="955" t="str">
        <ns0:f>IF(COUNTA($A422:$M422)=0,"",IF(OR($U422="Subscription",NOT(ISNUMBER($J422)),$J422=0,$X422=""),"",$X422/$J422))</ns0:f>
      </ns0:c>
      <ns0:c r="Z422" s="957" t="str">
        <ns0:f>IF(COUNTA($A422:$M422)=0,"",Instructions!$B$29+SUM($W$5:W422))</ns0:f>
      </ns0:c>
    </ns0:row>
    <ns0:row r="423" ht="36" customHeight="1">
      <ns0:c r="A423" s="439"/>
      <ns0:c r="B423" s="453"/>
      <ns0:c r="C423" s="453"/>
      <ns0:c r="D423" s="454"/>
      <ns0:c r="E423" s="454"/>
      <ns0:c r="F423" s="454"/>
      <ns0:c r="G423" s="986"/>
      <ns0:c r="H423" s="455"/>
      <ns0:c r="I423" s="456"/>
      <ns0:c r="J423" s="456"/>
      <ns0:c r="K423" s="986"/>
      <ns0:c r="L423" s="454"/>
      <ns0:c r="M423" s="439"/>
      <ns0:c r="N423" s="987" t="str">
        <ns0:f>IF(COUNTA($A423:$M423)=0,"",IF(OR(LEFT(LOWER(TRIM($F423&amp;"")),12)="subscription",LOWER(TRIM($F423&amp;""))="membership"),"",IF(OR(AND($H423&lt;&gt;"",$H423=0),LEFT(LOWER(TRIM($F423&amp;"")),9)="free game",LOWER(TRIM($F423&amp;""))="free",LOWER(TRIM($F423&amp;""))="free entry"),IF(ISNUMBER($G423),IF(ISNUMBER(SEARCH("non",LOWER($E423&amp;""))),$G423*0.85,$G423),"N/A"),IF($G423="","",IFERROR(IF(ISNUMBER(SEARCH("non",LOWER($E423&amp;""))),$G423*0.85,$G423),"")))))</ns0:f>
        <ns0:v/>
      </ns0:c>
      <ns0:c r="O423" s="987" t="str">
        <ns0:f>IF(COUNTA($A423:$M423)=0,"",IF(OR(LEFT(LOWER(TRIM($F423&amp;"")),12)="subscription",LOWER(TRIM($F423&amp;""))="membership"),"",IF(OR(AND($H423&lt;&gt;"",$H423=0),LEFT(LOWER(TRIM($F423&amp;"")),9)="free game",LOWER(TRIM($F423&amp;""))="free",LOWER(TRIM($F423&amp;""))="free entry"),IF(OR(NOT(ISNUMBER($N423)),NOT(ISNUMBER($I423)),$I423=0),"N/A",IFERROR($N423/$I423,"N/A")),IF(OR($N423="",$I423="",$I423=0),"",IFERROR($N423/$I423,"")))))</ns0:f>
        <ns0:v/>
      </ns0:c>
      <ns0:c r="P423" s="987">
        <ns0:f>IF(COUNTA($A423:$M423)=0,"",IF(OR(LEFT(LOWER(TRIM($F423&amp;"")),12)="subscription",LOWER(TRIM($F423&amp;""))="membership"),"",IF(LOWER(TRIM($D423&amp;""))="estimate","N/A",IF(LOWER($L423&amp;"")="yes",0,IF(OR(AND($H423&lt;&gt;"",$H423=0),LEFT(LOWER(TRIM($F423&amp;"")),9)="free game",LOWER(TRIM($F423&amp;""))="free",LOWER(TRIM($F423&amp;""))="free entry"),IF(ISNUMBER($K423),$K423,""),IF($K423&lt;&gt;"",$K423,""))))))</ns0:f>
      </ns0:c>
      <ns0:c r="Q423" s="114">
        <ns0:f>IF(COUNTA($A423:$M423)=0,"",IF(OR($U423="Subscription",$U423=""),"",IF($U423="Estimate","N/A",IF($U423="Profit",ROUND(IFERROR($P423,0)-IFERROR($H423,0),2),0))))</ns0:f>
      </ns0:c>
      <ns0:c r="R423" s="114">
        <ns0:f>IF(COUNTA($A423:$M423)=0,"",IF(OR($U423="Subscription",$U423=""),"",IF($U423="Estimate","N/A",IF($U423="Draw",$H423,0))))</ns0:f>
      </ns0:c>
      <ns0:c r="S423" s="114">
        <ns0:f>IF(COUNTA($A423:$M423)=0,"",IF(OR($U423="Subscription",$U423=""),"",IF($U423="Estimate","N/A",IF($U423="Disqualified",$H423,0))))</ns0:f>
      </ns0:c>
      <ns0:c r="T423" s="955">
        <ns0:f>IF(COUNTA($A423:$M423)=0,"",IF(OR($U423="Subscription",$U423=""),"",IF($U423="Estimate","N/A",IF(OR($U423="Free Game",$U423="Disqualified — Free Game",$H423=0),"N/A",IF($U423="Profit",$Q423/$H423,IF($U423="Disqualified",-$S423/$H423,0))))))</ns0:f>
      </ns0:c>
      <ns0:c r="U423" s="920">
        <ns0:f>IF(COUNTA($A423:$M423)=0,"",IF(OR(LEFT(LOWER(TRIM($F423&amp;"")),12)="subscription",LOWER(TRIM($F423&amp;""))="membership"),"Subscription",IF(LOWER(TRIM($D423&amp;""))="estimate","Estimate",IF(OR(AND($H423&lt;&gt;"",$H423=0),LEFT(LOWER(TRIM($F423&amp;"")),9)="free game",LOWER(TRIM($F423&amp;""))="free",LOWER(TRIM($F423&amp;""))="free entry"),IF(LOWER($L423&amp;"")="yes","Disqualified — Free Game","Free Game"),IF(LOWER($L423&amp;"")="yes","Disqualified",IF($P423="","",IF(ROUND(IFERROR(VALUE($P423),0)-IFERROR(VALUE($H423),0),2)&gt;0,"Profit","Draw")))))))</ns0:f>
      </ns0:c>
      <ns0:c r="V423" s="956" t="str">
        <ns0:f>IF(COUNTA($A423:$M423)=0,"",IF(OR($B423="",$C423="",$U423="Subscription"),"",IFERROR(ROUNDUP(($C423-$B423)/7,0),"")))</ns0:f>
      </ns0:c>
      <ns0:c r="W423" s="114">
        <ns0:f>IF(COUNTA($A423:$M423)=0,"",IF(OR($U423="Subscription",$U423=""),"",IF($U423="Estimate","N/A",IF(OR($U423="Free Game",$U423="Disqualified — Free Game"),0,ROUND(IFERROR($Q423,0)-IFERROR($S423,0),2)))))</ns0:f>
      </ns0:c>
      <ns0:c r="X423" s="956" t="str">
        <ns0:f>IF(COUNTA($A423:$M423)=0,"",IF(OR($U423="Subscription",NOT(ISNUMBER($J423)),NOT(ISNUMBER($I423)),$J423=0,$I423=0,$I423&gt;$J423),"",$J423-$I423))</ns0:f>
      </ns0:c>
      <ns0:c r="Y423" s="955" t="str">
        <ns0:f>IF(COUNTA($A423:$M423)=0,"",IF(OR($U423="Subscription",NOT(ISNUMBER($J423)),$J423=0,$X423=""),"",$X423/$J423))</ns0:f>
      </ns0:c>
      <ns0:c r="Z423" s="957" t="str">
        <ns0:f>IF(COUNTA($A423:$M423)=0,"",Instructions!$B$29+SUM($W$5:W423))</ns0:f>
      </ns0:c>
    </ns0:row>
    <ns0:row r="424" ht="36" customHeight="1">
      <ns0:c r="A424" s="439"/>
      <ns0:c r="B424" s="453"/>
      <ns0:c r="C424" s="453"/>
      <ns0:c r="D424" s="454"/>
      <ns0:c r="E424" s="454"/>
      <ns0:c r="F424" s="454"/>
      <ns0:c r="G424" s="986"/>
      <ns0:c r="H424" s="455"/>
      <ns0:c r="I424" s="456"/>
      <ns0:c r="J424" s="456"/>
      <ns0:c r="K424" s="986"/>
      <ns0:c r="L424" s="454"/>
      <ns0:c r="M424" s="439"/>
      <ns0:c r="N424" s="987" t="str">
        <ns0:f>IF(COUNTA($A424:$M424)=0,"",IF(OR(LEFT(LOWER(TRIM($F424&amp;"")),12)="subscription",LOWER(TRIM($F424&amp;""))="membership"),"",IF(OR(AND($H424&lt;&gt;"",$H424=0),LEFT(LOWER(TRIM($F424&amp;"")),9)="free game",LOWER(TRIM($F424&amp;""))="free",LOWER(TRIM($F424&amp;""))="free entry"),IF(ISNUMBER($G424),IF(ISNUMBER(SEARCH("non",LOWER($E424&amp;""))),$G424*0.85,$G424),"N/A"),IF($G424="","",IFERROR(IF(ISNUMBER(SEARCH("non",LOWER($E424&amp;""))),$G424*0.85,$G424),"")))))</ns0:f>
        <ns0:v/>
      </ns0:c>
      <ns0:c r="O424" s="987" t="str">
        <ns0:f>IF(COUNTA($A424:$M424)=0,"",IF(OR(LEFT(LOWER(TRIM($F424&amp;"")),12)="subscription",LOWER(TRIM($F424&amp;""))="membership"),"",IF(OR(AND($H424&lt;&gt;"",$H424=0),LEFT(LOWER(TRIM($F424&amp;"")),9)="free game",LOWER(TRIM($F424&amp;""))="free",LOWER(TRIM($F424&amp;""))="free entry"),IF(OR(NOT(ISNUMBER($N424)),NOT(ISNUMBER($I424)),$I424=0),"N/A",IFERROR($N424/$I424,"N/A")),IF(OR($N424="",$I424="",$I424=0),"",IFERROR($N424/$I424,"")))))</ns0:f>
        <ns0:v/>
      </ns0:c>
      <ns0:c r="P424" s="987">
        <ns0:f>IF(COUNTA($A424:$M424)=0,"",IF(OR(LEFT(LOWER(TRIM($F424&amp;"")),12)="subscription",LOWER(TRIM($F424&amp;""))="membership"),"",IF(LOWER(TRIM($D424&amp;""))="estimate","N/A",IF(LOWER($L424&amp;"")="yes",0,IF(OR(AND($H424&lt;&gt;"",$H424=0),LEFT(LOWER(TRIM($F424&amp;"")),9)="free game",LOWER(TRIM($F424&amp;""))="free",LOWER(TRIM($F424&amp;""))="free entry"),IF(ISNUMBER($K424),$K424,""),IF($K424&lt;&gt;"",$K424,""))))))</ns0:f>
      </ns0:c>
      <ns0:c r="Q424" s="114">
        <ns0:f>IF(COUNTA($A424:$M424)=0,"",IF(OR($U424="Subscription",$U424=""),"",IF($U424="Estimate","N/A",IF($U424="Profit",ROUND(IFERROR($P424,0)-IFERROR($H424,0),2),0))))</ns0:f>
      </ns0:c>
      <ns0:c r="R424" s="114">
        <ns0:f>IF(COUNTA($A424:$M424)=0,"",IF(OR($U424="Subscription",$U424=""),"",IF($U424="Estimate","N/A",IF($U424="Draw",$H424,0))))</ns0:f>
      </ns0:c>
      <ns0:c r="S424" s="114">
        <ns0:f>IF(COUNTA($A424:$M424)=0,"",IF(OR($U424="Subscription",$U424=""),"",IF($U424="Estimate","N/A",IF($U424="Disqualified",$H424,0))))</ns0:f>
      </ns0:c>
      <ns0:c r="T424" s="955">
        <ns0:f>IF(COUNTA($A424:$M424)=0,"",IF(OR($U424="Subscription",$U424=""),"",IF($U424="Estimate","N/A",IF(OR($U424="Free Game",$U424="Disqualified — Free Game",$H424=0),"N/A",IF($U424="Profit",$Q424/$H424,IF($U424="Disqualified",-$S424/$H424,0))))))</ns0:f>
      </ns0:c>
      <ns0:c r="U424" s="920">
        <ns0:f>IF(COUNTA($A424:$M424)=0,"",IF(OR(LEFT(LOWER(TRIM($F424&amp;"")),12)="subscription",LOWER(TRIM($F424&amp;""))="membership"),"Subscription",IF(LOWER(TRIM($D424&amp;""))="estimate","Estimate",IF(OR(AND($H424&lt;&gt;"",$H424=0),LEFT(LOWER(TRIM($F424&amp;"")),9)="free game",LOWER(TRIM($F424&amp;""))="free",LOWER(TRIM($F424&amp;""))="free entry"),IF(LOWER($L424&amp;"")="yes","Disqualified — Free Game","Free Game"),IF(LOWER($L424&amp;"")="yes","Disqualified",IF($P424="","",IF(ROUND(IFERROR(VALUE($P424),0)-IFERROR(VALUE($H424),0),2)&gt;0,"Profit","Draw")))))))</ns0:f>
      </ns0:c>
      <ns0:c r="V424" s="956" t="str">
        <ns0:f>IF(COUNTA($A424:$M424)=0,"",IF(OR($B424="",$C424="",$U424="Subscription"),"",IFERROR(ROUNDUP(($C424-$B424)/7,0),"")))</ns0:f>
      </ns0:c>
      <ns0:c r="W424" s="114">
        <ns0:f>IF(COUNTA($A424:$M424)=0,"",IF(OR($U424="Subscription",$U424=""),"",IF($U424="Estimate","N/A",IF(OR($U424="Free Game",$U424="Disqualified — Free Game"),0,ROUND(IFERROR($Q424,0)-IFERROR($S424,0),2)))))</ns0:f>
      </ns0:c>
      <ns0:c r="X424" s="956" t="str">
        <ns0:f>IF(COUNTA($A424:$M424)=0,"",IF(OR($U424="Subscription",NOT(ISNUMBER($J424)),NOT(ISNUMBER($I424)),$J424=0,$I424=0,$I424&gt;$J424),"",$J424-$I424))</ns0:f>
      </ns0:c>
      <ns0:c r="Y424" s="955" t="str">
        <ns0:f>IF(COUNTA($A424:$M424)=0,"",IF(OR($U424="Subscription",NOT(ISNUMBER($J424)),$J424=0,$X424=""),"",$X424/$J424))</ns0:f>
      </ns0:c>
      <ns0:c r="Z424" s="957" t="str">
        <ns0:f>IF(COUNTA($A424:$M424)=0,"",Instructions!$B$29+SUM($W$5:W424))</ns0:f>
      </ns0:c>
    </ns0:row>
    <ns0:row r="425" ht="36" customHeight="1">
      <ns0:c r="A425" s="439"/>
      <ns0:c r="B425" s="453"/>
      <ns0:c r="C425" s="453"/>
      <ns0:c r="D425" s="454"/>
      <ns0:c r="E425" s="454"/>
      <ns0:c r="F425" s="454"/>
      <ns0:c r="G425" s="986"/>
      <ns0:c r="H425" s="455"/>
      <ns0:c r="I425" s="456"/>
      <ns0:c r="J425" s="456"/>
      <ns0:c r="K425" s="986"/>
      <ns0:c r="L425" s="454"/>
      <ns0:c r="M425" s="439"/>
      <ns0:c r="N425" s="987" t="str">
        <ns0:f>IF(COUNTA($A425:$M425)=0,"",IF(OR(LEFT(LOWER(TRIM($F425&amp;"")),12)="subscription",LOWER(TRIM($F425&amp;""))="membership"),"",IF(OR(AND($H425&lt;&gt;"",$H425=0),LEFT(LOWER(TRIM($F425&amp;"")),9)="free game",LOWER(TRIM($F425&amp;""))="free",LOWER(TRIM($F425&amp;""))="free entry"),IF(ISNUMBER($G425),IF(ISNUMBER(SEARCH("non",LOWER($E425&amp;""))),$G425*0.85,$G425),"N/A"),IF($G425="","",IFERROR(IF(ISNUMBER(SEARCH("non",LOWER($E425&amp;""))),$G425*0.85,$G425),"")))))</ns0:f>
        <ns0:v/>
      </ns0:c>
      <ns0:c r="O425" s="987" t="str">
        <ns0:f>IF(COUNTA($A425:$M425)=0,"",IF(OR(LEFT(LOWER(TRIM($F425&amp;"")),12)="subscription",LOWER(TRIM($F425&amp;""))="membership"),"",IF(OR(AND($H425&lt;&gt;"",$H425=0),LEFT(LOWER(TRIM($F425&amp;"")),9)="free game",LOWER(TRIM($F425&amp;""))="free",LOWER(TRIM($F425&amp;""))="free entry"),IF(OR(NOT(ISNUMBER($N425)),NOT(ISNUMBER($I425)),$I425=0),"N/A",IFERROR($N425/$I425,"N/A")),IF(OR($N425="",$I425="",$I425=0),"",IFERROR($N425/$I425,"")))))</ns0:f>
        <ns0:v/>
      </ns0:c>
      <ns0:c r="P425" s="987">
        <ns0:f>IF(COUNTA($A425:$M425)=0,"",IF(OR(LEFT(LOWER(TRIM($F425&amp;"")),12)="subscription",LOWER(TRIM($F425&amp;""))="membership"),"",IF(LOWER(TRIM($D425&amp;""))="estimate","N/A",IF(LOWER($L425&amp;"")="yes",0,IF(OR(AND($H425&lt;&gt;"",$H425=0),LEFT(LOWER(TRIM($F425&amp;"")),9)="free game",LOWER(TRIM($F425&amp;""))="free",LOWER(TRIM($F425&amp;""))="free entry"),IF(ISNUMBER($K425),$K425,""),IF($K425&lt;&gt;"",$K425,""))))))</ns0:f>
      </ns0:c>
      <ns0:c r="Q425" s="114">
        <ns0:f>IF(COUNTA($A425:$M425)=0,"",IF(OR($U425="Subscription",$U425=""),"",IF($U425="Estimate","N/A",IF($U425="Profit",ROUND(IFERROR($P425,0)-IFERROR($H425,0),2),0))))</ns0:f>
      </ns0:c>
      <ns0:c r="R425" s="114">
        <ns0:f>IF(COUNTA($A425:$M425)=0,"",IF(OR($U425="Subscription",$U425=""),"",IF($U425="Estimate","N/A",IF($U425="Draw",$H425,0))))</ns0:f>
      </ns0:c>
      <ns0:c r="S425" s="114">
        <ns0:f>IF(COUNTA($A425:$M425)=0,"",IF(OR($U425="Subscription",$U425=""),"",IF($U425="Estimate","N/A",IF($U425="Disqualified",$H425,0))))</ns0:f>
      </ns0:c>
      <ns0:c r="T425" s="955">
        <ns0:f>IF(COUNTA($A425:$M425)=0,"",IF(OR($U425="Subscription",$U425=""),"",IF($U425="Estimate","N/A",IF(OR($U425="Free Game",$U425="Disqualified — Free Game",$H425=0),"N/A",IF($U425="Profit",$Q425/$H425,IF($U425="Disqualified",-$S425/$H425,0))))))</ns0:f>
      </ns0:c>
      <ns0:c r="U425" s="920">
        <ns0:f>IF(COUNTA($A425:$M425)=0,"",IF(OR(LEFT(LOWER(TRIM($F425&amp;"")),12)="subscription",LOWER(TRIM($F425&amp;""))="membership"),"Subscription",IF(LOWER(TRIM($D425&amp;""))="estimate","Estimate",IF(OR(AND($H425&lt;&gt;"",$H425=0),LEFT(LOWER(TRIM($F425&amp;"")),9)="free game",LOWER(TRIM($F425&amp;""))="free",LOWER(TRIM($F425&amp;""))="free entry"),IF(LOWER($L425&amp;"")="yes","Disqualified — Free Game","Free Game"),IF(LOWER($L425&amp;"")="yes","Disqualified",IF($P425="","",IF(ROUND(IFERROR(VALUE($P425),0)-IFERROR(VALUE($H425),0),2)&gt;0,"Profit","Draw")))))))</ns0:f>
      </ns0:c>
      <ns0:c r="V425" s="956" t="str">
        <ns0:f>IF(COUNTA($A425:$M425)=0,"",IF(OR($B425="",$C425="",$U425="Subscription"),"",IFERROR(ROUNDUP(($C425-$B425)/7,0),"")))</ns0:f>
      </ns0:c>
      <ns0:c r="W425" s="114">
        <ns0:f>IF(COUNTA($A425:$M425)=0,"",IF(OR($U425="Subscription",$U425=""),"",IF($U425="Estimate","N/A",IF(OR($U425="Free Game",$U425="Disqualified — Free Game"),0,ROUND(IFERROR($Q425,0)-IFERROR($S425,0),2)))))</ns0:f>
      </ns0:c>
      <ns0:c r="X425" s="956" t="str">
        <ns0:f>IF(COUNTA($A425:$M425)=0,"",IF(OR($U425="Subscription",NOT(ISNUMBER($J425)),NOT(ISNUMBER($I425)),$J425=0,$I425=0,$I425&gt;$J425),"",$J425-$I425))</ns0:f>
      </ns0:c>
      <ns0:c r="Y425" s="955" t="str">
        <ns0:f>IF(COUNTA($A425:$M425)=0,"",IF(OR($U425="Subscription",NOT(ISNUMBER($J425)),$J425=0,$X425=""),"",$X425/$J425))</ns0:f>
      </ns0:c>
      <ns0:c r="Z425" s="957" t="str">
        <ns0:f>IF(COUNTA($A425:$M425)=0,"",Instructions!$B$29+SUM($W$5:W425))</ns0:f>
      </ns0:c>
    </ns0:row>
    <ns0:row r="426" ht="36" customHeight="1">
      <ns0:c r="A426" s="439"/>
      <ns0:c r="B426" s="453"/>
      <ns0:c r="C426" s="453"/>
      <ns0:c r="D426" s="454"/>
      <ns0:c r="E426" s="454"/>
      <ns0:c r="F426" s="454"/>
      <ns0:c r="G426" s="986"/>
      <ns0:c r="H426" s="455"/>
      <ns0:c r="I426" s="456"/>
      <ns0:c r="J426" s="456"/>
      <ns0:c r="K426" s="986"/>
      <ns0:c r="L426" s="454"/>
      <ns0:c r="M426" s="439"/>
      <ns0:c r="N426" s="987" t="str">
        <ns0:f>IF(COUNTA($A426:$M426)=0,"",IF(OR(LEFT(LOWER(TRIM($F426&amp;"")),12)="subscription",LOWER(TRIM($F426&amp;""))="membership"),"",IF(OR(AND($H426&lt;&gt;"",$H426=0),LEFT(LOWER(TRIM($F426&amp;"")),9)="free game",LOWER(TRIM($F426&amp;""))="free",LOWER(TRIM($F426&amp;""))="free entry"),IF(ISNUMBER($G426),IF(ISNUMBER(SEARCH("non",LOWER($E426&amp;""))),$G426*0.85,$G426),"N/A"),IF($G426="","",IFERROR(IF(ISNUMBER(SEARCH("non",LOWER($E426&amp;""))),$G426*0.85,$G426),"")))))</ns0:f>
        <ns0:v/>
      </ns0:c>
      <ns0:c r="O426" s="987" t="str">
        <ns0:f>IF(COUNTA($A426:$M426)=0,"",IF(OR(LEFT(LOWER(TRIM($F426&amp;"")),12)="subscription",LOWER(TRIM($F426&amp;""))="membership"),"",IF(OR(AND($H426&lt;&gt;"",$H426=0),LEFT(LOWER(TRIM($F426&amp;"")),9)="free game",LOWER(TRIM($F426&amp;""))="free",LOWER(TRIM($F426&amp;""))="free entry"),IF(OR(NOT(ISNUMBER($N426)),NOT(ISNUMBER($I426)),$I426=0),"N/A",IFERROR($N426/$I426,"N/A")),IF(OR($N426="",$I426="",$I426=0),"",IFERROR($N426/$I426,"")))))</ns0:f>
        <ns0:v/>
      </ns0:c>
      <ns0:c r="P426" s="987">
        <ns0:f>IF(COUNTA($A426:$M426)=0,"",IF(OR(LEFT(LOWER(TRIM($F426&amp;"")),12)="subscription",LOWER(TRIM($F426&amp;""))="membership"),"",IF(LOWER(TRIM($D426&amp;""))="estimate","N/A",IF(LOWER($L426&amp;"")="yes",0,IF(OR(AND($H426&lt;&gt;"",$H426=0),LEFT(LOWER(TRIM($F426&amp;"")),9)="free game",LOWER(TRIM($F426&amp;""))="free",LOWER(TRIM($F426&amp;""))="free entry"),IF(ISNUMBER($K426),$K426,""),IF($K426&lt;&gt;"",$K426,""))))))</ns0:f>
      </ns0:c>
      <ns0:c r="Q426" s="114">
        <ns0:f>IF(COUNTA($A426:$M426)=0,"",IF(OR($U426="Subscription",$U426=""),"",IF($U426="Estimate","N/A",IF($U426="Profit",ROUND(IFERROR($P426,0)-IFERROR($H426,0),2),0))))</ns0:f>
      </ns0:c>
      <ns0:c r="R426" s="114">
        <ns0:f>IF(COUNTA($A426:$M426)=0,"",IF(OR($U426="Subscription",$U426=""),"",IF($U426="Estimate","N/A",IF($U426="Draw",$H426,0))))</ns0:f>
      </ns0:c>
      <ns0:c r="S426" s="114">
        <ns0:f>IF(COUNTA($A426:$M426)=0,"",IF(OR($U426="Subscription",$U426=""),"",IF($U426="Estimate","N/A",IF($U426="Disqualified",$H426,0))))</ns0:f>
      </ns0:c>
      <ns0:c r="T426" s="955">
        <ns0:f>IF(COUNTA($A426:$M426)=0,"",IF(OR($U426="Subscription",$U426=""),"",IF($U426="Estimate","N/A",IF(OR($U426="Free Game",$U426="Disqualified — Free Game",$H426=0),"N/A",IF($U426="Profit",$Q426/$H426,IF($U426="Disqualified",-$S426/$H426,0))))))</ns0:f>
      </ns0:c>
      <ns0:c r="U426" s="920">
        <ns0:f>IF(COUNTA($A426:$M426)=0,"",IF(OR(LEFT(LOWER(TRIM($F426&amp;"")),12)="subscription",LOWER(TRIM($F426&amp;""))="membership"),"Subscription",IF(LOWER(TRIM($D426&amp;""))="estimate","Estimate",IF(OR(AND($H426&lt;&gt;"",$H426=0),LEFT(LOWER(TRIM($F426&amp;"")),9)="free game",LOWER(TRIM($F426&amp;""))="free",LOWER(TRIM($F426&amp;""))="free entry"),IF(LOWER($L426&amp;"")="yes","Disqualified — Free Game","Free Game"),IF(LOWER($L426&amp;"")="yes","Disqualified",IF($P426="","",IF(ROUND(IFERROR(VALUE($P426),0)-IFERROR(VALUE($H426),0),2)&gt;0,"Profit","Draw")))))))</ns0:f>
      </ns0:c>
      <ns0:c r="V426" s="956" t="str">
        <ns0:f>IF(COUNTA($A426:$M426)=0,"",IF(OR($B426="",$C426="",$U426="Subscription"),"",IFERROR(ROUNDUP(($C426-$B426)/7,0),"")))</ns0:f>
      </ns0:c>
      <ns0:c r="W426" s="114">
        <ns0:f>IF(COUNTA($A426:$M426)=0,"",IF(OR($U426="Subscription",$U426=""),"",IF($U426="Estimate","N/A",IF(OR($U426="Free Game",$U426="Disqualified — Free Game"),0,ROUND(IFERROR($Q426,0)-IFERROR($S426,0),2)))))</ns0:f>
      </ns0:c>
      <ns0:c r="X426" s="956" t="str">
        <ns0:f>IF(COUNTA($A426:$M426)=0,"",IF(OR($U426="Subscription",NOT(ISNUMBER($J426)),NOT(ISNUMBER($I426)),$J426=0,$I426=0,$I426&gt;$J426),"",$J426-$I426))</ns0:f>
      </ns0:c>
      <ns0:c r="Y426" s="955" t="str">
        <ns0:f>IF(COUNTA($A426:$M426)=0,"",IF(OR($U426="Subscription",NOT(ISNUMBER($J426)),$J426=0,$X426=""),"",$X426/$J426))</ns0:f>
      </ns0:c>
      <ns0:c r="Z426" s="957" t="str">
        <ns0:f>IF(COUNTA($A426:$M426)=0,"",Instructions!$B$29+SUM($W$5:W426))</ns0:f>
      </ns0:c>
    </ns0:row>
    <ns0:row r="427" ht="36" customHeight="1">
      <ns0:c r="A427" s="439"/>
      <ns0:c r="B427" s="453"/>
      <ns0:c r="C427" s="453"/>
      <ns0:c r="D427" s="454"/>
      <ns0:c r="E427" s="454"/>
      <ns0:c r="F427" s="454"/>
      <ns0:c r="G427" s="986"/>
      <ns0:c r="H427" s="455"/>
      <ns0:c r="I427" s="456"/>
      <ns0:c r="J427" s="456"/>
      <ns0:c r="K427" s="986"/>
      <ns0:c r="L427" s="454"/>
      <ns0:c r="M427" s="439"/>
      <ns0:c r="N427" s="987" t="str">
        <ns0:f>IF(COUNTA($A427:$M427)=0,"",IF(OR(LEFT(LOWER(TRIM($F427&amp;"")),12)="subscription",LOWER(TRIM($F427&amp;""))="membership"),"",IF(OR(AND($H427&lt;&gt;"",$H427=0),LEFT(LOWER(TRIM($F427&amp;"")),9)="free game",LOWER(TRIM($F427&amp;""))="free",LOWER(TRIM($F427&amp;""))="free entry"),IF(ISNUMBER($G427),IF(ISNUMBER(SEARCH("non",LOWER($E427&amp;""))),$G427*0.85,$G427),"N/A"),IF($G427="","",IFERROR(IF(ISNUMBER(SEARCH("non",LOWER($E427&amp;""))),$G427*0.85,$G427),"")))))</ns0:f>
        <ns0:v/>
      </ns0:c>
      <ns0:c r="O427" s="987" t="str">
        <ns0:f>IF(COUNTA($A427:$M427)=0,"",IF(OR(LEFT(LOWER(TRIM($F427&amp;"")),12)="subscription",LOWER(TRIM($F427&amp;""))="membership"),"",IF(OR(AND($H427&lt;&gt;"",$H427=0),LEFT(LOWER(TRIM($F427&amp;"")),9)="free game",LOWER(TRIM($F427&amp;""))="free",LOWER(TRIM($F427&amp;""))="free entry"),IF(OR(NOT(ISNUMBER($N427)),NOT(ISNUMBER($I427)),$I427=0),"N/A",IFERROR($N427/$I427,"N/A")),IF(OR($N427="",$I427="",$I427=0),"",IFERROR($N427/$I427,"")))))</ns0:f>
        <ns0:v/>
      </ns0:c>
      <ns0:c r="P427" s="987">
        <ns0:f>IF(COUNTA($A427:$M427)=0,"",IF(OR(LEFT(LOWER(TRIM($F427&amp;"")),12)="subscription",LOWER(TRIM($F427&amp;""))="membership"),"",IF(LOWER(TRIM($D427&amp;""))="estimate","N/A",IF(LOWER($L427&amp;"")="yes",0,IF(OR(AND($H427&lt;&gt;"",$H427=0),LEFT(LOWER(TRIM($F427&amp;"")),9)="free game",LOWER(TRIM($F427&amp;""))="free",LOWER(TRIM($F427&amp;""))="free entry"),IF(ISNUMBER($K427),$K427,""),IF($K427&lt;&gt;"",$K427,""))))))</ns0:f>
      </ns0:c>
      <ns0:c r="Q427" s="114">
        <ns0:f>IF(COUNTA($A427:$M427)=0,"",IF(OR($U427="Subscription",$U427=""),"",IF($U427="Estimate","N/A",IF($U427="Profit",ROUND(IFERROR($P427,0)-IFERROR($H427,0),2),0))))</ns0:f>
      </ns0:c>
      <ns0:c r="R427" s="114">
        <ns0:f>IF(COUNTA($A427:$M427)=0,"",IF(OR($U427="Subscription",$U427=""),"",IF($U427="Estimate","N/A",IF($U427="Draw",$H427,0))))</ns0:f>
      </ns0:c>
      <ns0:c r="S427" s="114">
        <ns0:f>IF(COUNTA($A427:$M427)=0,"",IF(OR($U427="Subscription",$U427=""),"",IF($U427="Estimate","N/A",IF($U427="Disqualified",$H427,0))))</ns0:f>
      </ns0:c>
      <ns0:c r="T427" s="955">
        <ns0:f>IF(COUNTA($A427:$M427)=0,"",IF(OR($U427="Subscription",$U427=""),"",IF($U427="Estimate","N/A",IF(OR($U427="Free Game",$U427="Disqualified — Free Game",$H427=0),"N/A",IF($U427="Profit",$Q427/$H427,IF($U427="Disqualified",-$S427/$H427,0))))))</ns0:f>
      </ns0:c>
      <ns0:c r="U427" s="920">
        <ns0:f>IF(COUNTA($A427:$M427)=0,"",IF(OR(LEFT(LOWER(TRIM($F427&amp;"")),12)="subscription",LOWER(TRIM($F427&amp;""))="membership"),"Subscription",IF(LOWER(TRIM($D427&amp;""))="estimate","Estimate",IF(OR(AND($H427&lt;&gt;"",$H427=0),LEFT(LOWER(TRIM($F427&amp;"")),9)="free game",LOWER(TRIM($F427&amp;""))="free",LOWER(TRIM($F427&amp;""))="free entry"),IF(LOWER($L427&amp;"")="yes","Disqualified — Free Game","Free Game"),IF(LOWER($L427&amp;"")="yes","Disqualified",IF($P427="","",IF(ROUND(IFERROR(VALUE($P427),0)-IFERROR(VALUE($H427),0),2)&gt;0,"Profit","Draw")))))))</ns0:f>
      </ns0:c>
      <ns0:c r="V427" s="956" t="str">
        <ns0:f>IF(COUNTA($A427:$M427)=0,"",IF(OR($B427="",$C427="",$U427="Subscription"),"",IFERROR(ROUNDUP(($C427-$B427)/7,0),"")))</ns0:f>
      </ns0:c>
      <ns0:c r="W427" s="114">
        <ns0:f>IF(COUNTA($A427:$M427)=0,"",IF(OR($U427="Subscription",$U427=""),"",IF($U427="Estimate","N/A",IF(OR($U427="Free Game",$U427="Disqualified — Free Game"),0,ROUND(IFERROR($Q427,0)-IFERROR($S427,0),2)))))</ns0:f>
      </ns0:c>
      <ns0:c r="X427" s="956" t="str">
        <ns0:f>IF(COUNTA($A427:$M427)=0,"",IF(OR($U427="Subscription",NOT(ISNUMBER($J427)),NOT(ISNUMBER($I427)),$J427=0,$I427=0,$I427&gt;$J427),"",$J427-$I427))</ns0:f>
      </ns0:c>
      <ns0:c r="Y427" s="955" t="str">
        <ns0:f>IF(COUNTA($A427:$M427)=0,"",IF(OR($U427="Subscription",NOT(ISNUMBER($J427)),$J427=0,$X427=""),"",$X427/$J427))</ns0:f>
      </ns0:c>
      <ns0:c r="Z427" s="957" t="str">
        <ns0:f>IF(COUNTA($A427:$M427)=0,"",Instructions!$B$29+SUM($W$5:W427))</ns0:f>
      </ns0:c>
    </ns0:row>
    <ns0:row r="428" ht="36" customHeight="1">
      <ns0:c r="A428" s="439"/>
      <ns0:c r="B428" s="453"/>
      <ns0:c r="C428" s="453"/>
      <ns0:c r="D428" s="454"/>
      <ns0:c r="E428" s="454"/>
      <ns0:c r="F428" s="454"/>
      <ns0:c r="G428" s="986"/>
      <ns0:c r="H428" s="455"/>
      <ns0:c r="I428" s="456"/>
      <ns0:c r="J428" s="456"/>
      <ns0:c r="K428" s="986"/>
      <ns0:c r="L428" s="454"/>
      <ns0:c r="M428" s="439"/>
      <ns0:c r="N428" s="987" t="str">
        <ns0:f>IF(COUNTA($A428:$M428)=0,"",IF(OR(LEFT(LOWER(TRIM($F428&amp;"")),12)="subscription",LOWER(TRIM($F428&amp;""))="membership"),"",IF(OR(AND($H428&lt;&gt;"",$H428=0),LEFT(LOWER(TRIM($F428&amp;"")),9)="free game",LOWER(TRIM($F428&amp;""))="free",LOWER(TRIM($F428&amp;""))="free entry"),IF(ISNUMBER($G428),IF(ISNUMBER(SEARCH("non",LOWER($E428&amp;""))),$G428*0.85,$G428),"N/A"),IF($G428="","",IFERROR(IF(ISNUMBER(SEARCH("non",LOWER($E428&amp;""))),$G428*0.85,$G428),"")))))</ns0:f>
        <ns0:v/>
      </ns0:c>
      <ns0:c r="O428" s="987" t="str">
        <ns0:f>IF(COUNTA($A428:$M428)=0,"",IF(OR(LEFT(LOWER(TRIM($F428&amp;"")),12)="subscription",LOWER(TRIM($F428&amp;""))="membership"),"",IF(OR(AND($H428&lt;&gt;"",$H428=0),LEFT(LOWER(TRIM($F428&amp;"")),9)="free game",LOWER(TRIM($F428&amp;""))="free",LOWER(TRIM($F428&amp;""))="free entry"),IF(OR(NOT(ISNUMBER($N428)),NOT(ISNUMBER($I428)),$I428=0),"N/A",IFERROR($N428/$I428,"N/A")),IF(OR($N428="",$I428="",$I428=0),"",IFERROR($N428/$I428,"")))))</ns0:f>
        <ns0:v/>
      </ns0:c>
      <ns0:c r="P428" s="987">
        <ns0:f>IF(COUNTA($A428:$M428)=0,"",IF(OR(LEFT(LOWER(TRIM($F428&amp;"")),12)="subscription",LOWER(TRIM($F428&amp;""))="membership"),"",IF(LOWER(TRIM($D428&amp;""))="estimate","N/A",IF(LOWER($L428&amp;"")="yes",0,IF(OR(AND($H428&lt;&gt;"",$H428=0),LEFT(LOWER(TRIM($F428&amp;"")),9)="free game",LOWER(TRIM($F428&amp;""))="free",LOWER(TRIM($F428&amp;""))="free entry"),IF(ISNUMBER($K428),$K428,""),IF($K428&lt;&gt;"",$K428,""))))))</ns0:f>
      </ns0:c>
      <ns0:c r="Q428" s="114">
        <ns0:f>IF(COUNTA($A428:$M428)=0,"",IF(OR($U428="Subscription",$U428=""),"",IF($U428="Estimate","N/A",IF($U428="Profit",ROUND(IFERROR($P428,0)-IFERROR($H428,0),2),0))))</ns0:f>
      </ns0:c>
      <ns0:c r="R428" s="114">
        <ns0:f>IF(COUNTA($A428:$M428)=0,"",IF(OR($U428="Subscription",$U428=""),"",IF($U428="Estimate","N/A",IF($U428="Draw",$H428,0))))</ns0:f>
      </ns0:c>
      <ns0:c r="S428" s="114">
        <ns0:f>IF(COUNTA($A428:$M428)=0,"",IF(OR($U428="Subscription",$U428=""),"",IF($U428="Estimate","N/A",IF($U428="Disqualified",$H428,0))))</ns0:f>
      </ns0:c>
      <ns0:c r="T428" s="955">
        <ns0:f>IF(COUNTA($A428:$M428)=0,"",IF(OR($U428="Subscription",$U428=""),"",IF($U428="Estimate","N/A",IF(OR($U428="Free Game",$U428="Disqualified — Free Game",$H428=0),"N/A",IF($U428="Profit",$Q428/$H428,IF($U428="Disqualified",-$S428/$H428,0))))))</ns0:f>
      </ns0:c>
      <ns0:c r="U428" s="920">
        <ns0:f>IF(COUNTA($A428:$M428)=0,"",IF(OR(LEFT(LOWER(TRIM($F428&amp;"")),12)="subscription",LOWER(TRIM($F428&amp;""))="membership"),"Subscription",IF(LOWER(TRIM($D428&amp;""))="estimate","Estimate",IF(OR(AND($H428&lt;&gt;"",$H428=0),LEFT(LOWER(TRIM($F428&amp;"")),9)="free game",LOWER(TRIM($F428&amp;""))="free",LOWER(TRIM($F428&amp;""))="free entry"),IF(LOWER($L428&amp;"")="yes","Disqualified — Free Game","Free Game"),IF(LOWER($L428&amp;"")="yes","Disqualified",IF($P428="","",IF(ROUND(IFERROR(VALUE($P428),0)-IFERROR(VALUE($H428),0),2)&gt;0,"Profit","Draw")))))))</ns0:f>
      </ns0:c>
      <ns0:c r="V428" s="956" t="str">
        <ns0:f>IF(COUNTA($A428:$M428)=0,"",IF(OR($B428="",$C428="",$U428="Subscription"),"",IFERROR(ROUNDUP(($C428-$B428)/7,0),"")))</ns0:f>
      </ns0:c>
      <ns0:c r="W428" s="114">
        <ns0:f>IF(COUNTA($A428:$M428)=0,"",IF(OR($U428="Subscription",$U428=""),"",IF($U428="Estimate","N/A",IF(OR($U428="Free Game",$U428="Disqualified — Free Game"),0,ROUND(IFERROR($Q428,0)-IFERROR($S428,0),2)))))</ns0:f>
      </ns0:c>
      <ns0:c r="X428" s="956" t="str">
        <ns0:f>IF(COUNTA($A428:$M428)=0,"",IF(OR($U428="Subscription",NOT(ISNUMBER($J428)),NOT(ISNUMBER($I428)),$J428=0,$I428=0,$I428&gt;$J428),"",$J428-$I428))</ns0:f>
      </ns0:c>
      <ns0:c r="Y428" s="955" t="str">
        <ns0:f>IF(COUNTA($A428:$M428)=0,"",IF(OR($U428="Subscription",NOT(ISNUMBER($J428)),$J428=0,$X428=""),"",$X428/$J428))</ns0:f>
      </ns0:c>
      <ns0:c r="Z428" s="957" t="str">
        <ns0:f>IF(COUNTA($A428:$M428)=0,"",Instructions!$B$29+SUM($W$5:W428))</ns0:f>
      </ns0:c>
    </ns0:row>
    <ns0:row r="429" ht="36" customHeight="1">
      <ns0:c r="A429" s="439"/>
      <ns0:c r="B429" s="453"/>
      <ns0:c r="C429" s="453"/>
      <ns0:c r="D429" s="454"/>
      <ns0:c r="E429" s="454"/>
      <ns0:c r="F429" s="454"/>
      <ns0:c r="G429" s="986"/>
      <ns0:c r="H429" s="455"/>
      <ns0:c r="I429" s="456"/>
      <ns0:c r="J429" s="456"/>
      <ns0:c r="K429" s="986"/>
      <ns0:c r="L429" s="454"/>
      <ns0:c r="M429" s="439"/>
      <ns0:c r="N429" s="987" t="str">
        <ns0:f>IF(COUNTA($A429:$M429)=0,"",IF(OR(LEFT(LOWER(TRIM($F429&amp;"")),12)="subscription",LOWER(TRIM($F429&amp;""))="membership"),"",IF(OR(AND($H429&lt;&gt;"",$H429=0),LEFT(LOWER(TRIM($F429&amp;"")),9)="free game",LOWER(TRIM($F429&amp;""))="free",LOWER(TRIM($F429&amp;""))="free entry"),IF(ISNUMBER($G429),IF(ISNUMBER(SEARCH("non",LOWER($E429&amp;""))),$G429*0.85,$G429),"N/A"),IF($G429="","",IFERROR(IF(ISNUMBER(SEARCH("non",LOWER($E429&amp;""))),$G429*0.85,$G429),"")))))</ns0:f>
        <ns0:v/>
      </ns0:c>
      <ns0:c r="O429" s="987" t="str">
        <ns0:f>IF(COUNTA($A429:$M429)=0,"",IF(OR(LEFT(LOWER(TRIM($F429&amp;"")),12)="subscription",LOWER(TRIM($F429&amp;""))="membership"),"",IF(OR(AND($H429&lt;&gt;"",$H429=0),LEFT(LOWER(TRIM($F429&amp;"")),9)="free game",LOWER(TRIM($F429&amp;""))="free",LOWER(TRIM($F429&amp;""))="free entry"),IF(OR(NOT(ISNUMBER($N429)),NOT(ISNUMBER($I429)),$I429=0),"N/A",IFERROR($N429/$I429,"N/A")),IF(OR($N429="",$I429="",$I429=0),"",IFERROR($N429/$I429,"")))))</ns0:f>
        <ns0:v/>
      </ns0:c>
      <ns0:c r="P429" s="987">
        <ns0:f>IF(COUNTA($A429:$M429)=0,"",IF(OR(LEFT(LOWER(TRIM($F429&amp;"")),12)="subscription",LOWER(TRIM($F429&amp;""))="membership"),"",IF(LOWER(TRIM($D429&amp;""))="estimate","N/A",IF(LOWER($L429&amp;"")="yes",0,IF(OR(AND($H429&lt;&gt;"",$H429=0),LEFT(LOWER(TRIM($F429&amp;"")),9)="free game",LOWER(TRIM($F429&amp;""))="free",LOWER(TRIM($F429&amp;""))="free entry"),IF(ISNUMBER($K429),$K429,""),IF($K429&lt;&gt;"",$K429,""))))))</ns0:f>
      </ns0:c>
      <ns0:c r="Q429" s="114">
        <ns0:f>IF(COUNTA($A429:$M429)=0,"",IF(OR($U429="Subscription",$U429=""),"",IF($U429="Estimate","N/A",IF($U429="Profit",ROUND(IFERROR($P429,0)-IFERROR($H429,0),2),0))))</ns0:f>
      </ns0:c>
      <ns0:c r="R429" s="114">
        <ns0:f>IF(COUNTA($A429:$M429)=0,"",IF(OR($U429="Subscription",$U429=""),"",IF($U429="Estimate","N/A",IF($U429="Draw",$H429,0))))</ns0:f>
      </ns0:c>
      <ns0:c r="S429" s="114">
        <ns0:f>IF(COUNTA($A429:$M429)=0,"",IF(OR($U429="Subscription",$U429=""),"",IF($U429="Estimate","N/A",IF($U429="Disqualified",$H429,0))))</ns0:f>
      </ns0:c>
      <ns0:c r="T429" s="955">
        <ns0:f>IF(COUNTA($A429:$M429)=0,"",IF(OR($U429="Subscription",$U429=""),"",IF($U429="Estimate","N/A",IF(OR($U429="Free Game",$U429="Disqualified — Free Game",$H429=0),"N/A",IF($U429="Profit",$Q429/$H429,IF($U429="Disqualified",-$S429/$H429,0))))))</ns0:f>
      </ns0:c>
      <ns0:c r="U429" s="920">
        <ns0:f>IF(COUNTA($A429:$M429)=0,"",IF(OR(LEFT(LOWER(TRIM($F429&amp;"")),12)="subscription",LOWER(TRIM($F429&amp;""))="membership"),"Subscription",IF(LOWER(TRIM($D429&amp;""))="estimate","Estimate",IF(OR(AND($H429&lt;&gt;"",$H429=0),LEFT(LOWER(TRIM($F429&amp;"")),9)="free game",LOWER(TRIM($F429&amp;""))="free",LOWER(TRIM($F429&amp;""))="free entry"),IF(LOWER($L429&amp;"")="yes","Disqualified — Free Game","Free Game"),IF(LOWER($L429&amp;"")="yes","Disqualified",IF($P429="","",IF(ROUND(IFERROR(VALUE($P429),0)-IFERROR(VALUE($H429),0),2)&gt;0,"Profit","Draw")))))))</ns0:f>
      </ns0:c>
      <ns0:c r="V429" s="956" t="str">
        <ns0:f>IF(COUNTA($A429:$M429)=0,"",IF(OR($B429="",$C429="",$U429="Subscription"),"",IFERROR(ROUNDUP(($C429-$B429)/7,0),"")))</ns0:f>
      </ns0:c>
      <ns0:c r="W429" s="114">
        <ns0:f>IF(COUNTA($A429:$M429)=0,"",IF(OR($U429="Subscription",$U429=""),"",IF($U429="Estimate","N/A",IF(OR($U429="Free Game",$U429="Disqualified — Free Game"),0,ROUND(IFERROR($Q429,0)-IFERROR($S429,0),2)))))</ns0:f>
      </ns0:c>
      <ns0:c r="X429" s="956" t="str">
        <ns0:f>IF(COUNTA($A429:$M429)=0,"",IF(OR($U429="Subscription",NOT(ISNUMBER($J429)),NOT(ISNUMBER($I429)),$J429=0,$I429=0,$I429&gt;$J429),"",$J429-$I429))</ns0:f>
      </ns0:c>
      <ns0:c r="Y429" s="955" t="str">
        <ns0:f>IF(COUNTA($A429:$M429)=0,"",IF(OR($U429="Subscription",NOT(ISNUMBER($J429)),$J429=0,$X429=""),"",$X429/$J429))</ns0:f>
      </ns0:c>
      <ns0:c r="Z429" s="957" t="str">
        <ns0:f>IF(COUNTA($A429:$M429)=0,"",Instructions!$B$29+SUM($W$5:W429))</ns0:f>
      </ns0:c>
    </ns0:row>
    <ns0:row r="430" ht="36" customHeight="1">
      <ns0:c r="A430" s="439"/>
      <ns0:c r="B430" s="453"/>
      <ns0:c r="C430" s="453"/>
      <ns0:c r="D430" s="454"/>
      <ns0:c r="E430" s="454"/>
      <ns0:c r="F430" s="454"/>
      <ns0:c r="G430" s="986"/>
      <ns0:c r="H430" s="455"/>
      <ns0:c r="I430" s="456"/>
      <ns0:c r="J430" s="456"/>
      <ns0:c r="K430" s="986"/>
      <ns0:c r="L430" s="454"/>
      <ns0:c r="M430" s="439"/>
      <ns0:c r="N430" s="987" t="str">
        <ns0:f>IF(COUNTA($A430:$M430)=0,"",IF(OR(LEFT(LOWER(TRIM($F430&amp;"")),12)="subscription",LOWER(TRIM($F430&amp;""))="membership"),"",IF(OR(AND($H430&lt;&gt;"",$H430=0),LEFT(LOWER(TRIM($F430&amp;"")),9)="free game",LOWER(TRIM($F430&amp;""))="free",LOWER(TRIM($F430&amp;""))="free entry"),IF(ISNUMBER($G430),IF(ISNUMBER(SEARCH("non",LOWER($E430&amp;""))),$G430*0.85,$G430),"N/A"),IF($G430="","",IFERROR(IF(ISNUMBER(SEARCH("non",LOWER($E430&amp;""))),$G430*0.85,$G430),"")))))</ns0:f>
        <ns0:v/>
      </ns0:c>
      <ns0:c r="O430" s="987" t="str">
        <ns0:f>IF(COUNTA($A430:$M430)=0,"",IF(OR(LEFT(LOWER(TRIM($F430&amp;"")),12)="subscription",LOWER(TRIM($F430&amp;""))="membership"),"",IF(OR(AND($H430&lt;&gt;"",$H430=0),LEFT(LOWER(TRIM($F430&amp;"")),9)="free game",LOWER(TRIM($F430&amp;""))="free",LOWER(TRIM($F430&amp;""))="free entry"),IF(OR(NOT(ISNUMBER($N430)),NOT(ISNUMBER($I430)),$I430=0),"N/A",IFERROR($N430/$I430,"N/A")),IF(OR($N430="",$I430="",$I430=0),"",IFERROR($N430/$I430,"")))))</ns0:f>
        <ns0:v/>
      </ns0:c>
      <ns0:c r="P430" s="987">
        <ns0:f>IF(COUNTA($A430:$M430)=0,"",IF(OR(LEFT(LOWER(TRIM($F430&amp;"")),12)="subscription",LOWER(TRIM($F430&amp;""))="membership"),"",IF(LOWER(TRIM($D430&amp;""))="estimate","N/A",IF(LOWER($L430&amp;"")="yes",0,IF(OR(AND($H430&lt;&gt;"",$H430=0),LEFT(LOWER(TRIM($F430&amp;"")),9)="free game",LOWER(TRIM($F430&amp;""))="free",LOWER(TRIM($F430&amp;""))="free entry"),IF(ISNUMBER($K430),$K430,""),IF($K430&lt;&gt;"",$K430,""))))))</ns0:f>
      </ns0:c>
      <ns0:c r="Q430" s="114">
        <ns0:f>IF(COUNTA($A430:$M430)=0,"",IF(OR($U430="Subscription",$U430=""),"",IF($U430="Estimate","N/A",IF($U430="Profit",ROUND(IFERROR($P430,0)-IFERROR($H430,0),2),0))))</ns0:f>
      </ns0:c>
      <ns0:c r="R430" s="114">
        <ns0:f>IF(COUNTA($A430:$M430)=0,"",IF(OR($U430="Subscription",$U430=""),"",IF($U430="Estimate","N/A",IF($U430="Draw",$H430,0))))</ns0:f>
      </ns0:c>
      <ns0:c r="S430" s="114">
        <ns0:f>IF(COUNTA($A430:$M430)=0,"",IF(OR($U430="Subscription",$U430=""),"",IF($U430="Estimate","N/A",IF($U430="Disqualified",$H430,0))))</ns0:f>
      </ns0:c>
      <ns0:c r="T430" s="955">
        <ns0:f>IF(COUNTA($A430:$M430)=0,"",IF(OR($U430="Subscription",$U430=""),"",IF($U430="Estimate","N/A",IF(OR($U430="Free Game",$U430="Disqualified — Free Game",$H430=0),"N/A",IF($U430="Profit",$Q430/$H430,IF($U430="Disqualified",-$S430/$H430,0))))))</ns0:f>
      </ns0:c>
      <ns0:c r="U430" s="920">
        <ns0:f>IF(COUNTA($A430:$M430)=0,"",IF(OR(LEFT(LOWER(TRIM($F430&amp;"")),12)="subscription",LOWER(TRIM($F430&amp;""))="membership"),"Subscription",IF(LOWER(TRIM($D430&amp;""))="estimate","Estimate",IF(OR(AND($H430&lt;&gt;"",$H430=0),LEFT(LOWER(TRIM($F430&amp;"")),9)="free game",LOWER(TRIM($F430&amp;""))="free",LOWER(TRIM($F430&amp;""))="free entry"),IF(LOWER($L430&amp;"")="yes","Disqualified — Free Game","Free Game"),IF(LOWER($L430&amp;"")="yes","Disqualified",IF($P430="","",IF(ROUND(IFERROR(VALUE($P430),0)-IFERROR(VALUE($H430),0),2)&gt;0,"Profit","Draw")))))))</ns0:f>
      </ns0:c>
      <ns0:c r="V430" s="956" t="str">
        <ns0:f>IF(COUNTA($A430:$M430)=0,"",IF(OR($B430="",$C430="",$U430="Subscription"),"",IFERROR(ROUNDUP(($C430-$B430)/7,0),"")))</ns0:f>
      </ns0:c>
      <ns0:c r="W430" s="114">
        <ns0:f>IF(COUNTA($A430:$M430)=0,"",IF(OR($U430="Subscription",$U430=""),"",IF($U430="Estimate","N/A",IF(OR($U430="Free Game",$U430="Disqualified — Free Game"),0,ROUND(IFERROR($Q430,0)-IFERROR($S430,0),2)))))</ns0:f>
      </ns0:c>
      <ns0:c r="X430" s="956" t="str">
        <ns0:f>IF(COUNTA($A430:$M430)=0,"",IF(OR($U430="Subscription",NOT(ISNUMBER($J430)),NOT(ISNUMBER($I430)),$J430=0,$I430=0,$I430&gt;$J430),"",$J430-$I430))</ns0:f>
      </ns0:c>
      <ns0:c r="Y430" s="955" t="str">
        <ns0:f>IF(COUNTA($A430:$M430)=0,"",IF(OR($U430="Subscription",NOT(ISNUMBER($J430)),$J430=0,$X430=""),"",$X430/$J430))</ns0:f>
      </ns0:c>
      <ns0:c r="Z430" s="957" t="str">
        <ns0:f>IF(COUNTA($A430:$M430)=0,"",Instructions!$B$29+SUM($W$5:W430))</ns0:f>
      </ns0:c>
    </ns0:row>
    <ns0:row r="431" ht="36" customHeight="1">
      <ns0:c r="A431" s="439"/>
      <ns0:c r="B431" s="453"/>
      <ns0:c r="C431" s="453"/>
      <ns0:c r="D431" s="454"/>
      <ns0:c r="E431" s="454"/>
      <ns0:c r="F431" s="454"/>
      <ns0:c r="G431" s="986"/>
      <ns0:c r="H431" s="455"/>
      <ns0:c r="I431" s="456"/>
      <ns0:c r="J431" s="456"/>
      <ns0:c r="K431" s="986"/>
      <ns0:c r="L431" s="454"/>
      <ns0:c r="M431" s="439"/>
      <ns0:c r="N431" s="987" t="str">
        <ns0:f>IF(COUNTA($A431:$M431)=0,"",IF(OR(LEFT(LOWER(TRIM($F431&amp;"")),12)="subscription",LOWER(TRIM($F431&amp;""))="membership"),"",IF(OR(AND($H431&lt;&gt;"",$H431=0),LEFT(LOWER(TRIM($F431&amp;"")),9)="free game",LOWER(TRIM($F431&amp;""))="free",LOWER(TRIM($F431&amp;""))="free entry"),IF(ISNUMBER($G431),IF(ISNUMBER(SEARCH("non",LOWER($E431&amp;""))),$G431*0.85,$G431),"N/A"),IF($G431="","",IFERROR(IF(ISNUMBER(SEARCH("non",LOWER($E431&amp;""))),$G431*0.85,$G431),"")))))</ns0:f>
        <ns0:v/>
      </ns0:c>
      <ns0:c r="O431" s="987" t="str">
        <ns0:f>IF(COUNTA($A431:$M431)=0,"",IF(OR(LEFT(LOWER(TRIM($F431&amp;"")),12)="subscription",LOWER(TRIM($F431&amp;""))="membership"),"",IF(OR(AND($H431&lt;&gt;"",$H431=0),LEFT(LOWER(TRIM($F431&amp;"")),9)="free game",LOWER(TRIM($F431&amp;""))="free",LOWER(TRIM($F431&amp;""))="free entry"),IF(OR(NOT(ISNUMBER($N431)),NOT(ISNUMBER($I431)),$I431=0),"N/A",IFERROR($N431/$I431,"N/A")),IF(OR($N431="",$I431="",$I431=0),"",IFERROR($N431/$I431,"")))))</ns0:f>
        <ns0:v/>
      </ns0:c>
      <ns0:c r="P431" s="987">
        <ns0:f>IF(COUNTA($A431:$M431)=0,"",IF(OR(LEFT(LOWER(TRIM($F431&amp;"")),12)="subscription",LOWER(TRIM($F431&amp;""))="membership"),"",IF(LOWER(TRIM($D431&amp;""))="estimate","N/A",IF(LOWER($L431&amp;"")="yes",0,IF(OR(AND($H431&lt;&gt;"",$H431=0),LEFT(LOWER(TRIM($F431&amp;"")),9)="free game",LOWER(TRIM($F431&amp;""))="free",LOWER(TRIM($F431&amp;""))="free entry"),IF(ISNUMBER($K431),$K431,""),IF($K431&lt;&gt;"",$K431,""))))))</ns0:f>
      </ns0:c>
      <ns0:c r="Q431" s="114">
        <ns0:f>IF(COUNTA($A431:$M431)=0,"",IF(OR($U431="Subscription",$U431=""),"",IF($U431="Estimate","N/A",IF($U431="Profit",ROUND(IFERROR($P431,0)-IFERROR($H431,0),2),0))))</ns0:f>
      </ns0:c>
      <ns0:c r="R431" s="114">
        <ns0:f>IF(COUNTA($A431:$M431)=0,"",IF(OR($U431="Subscription",$U431=""),"",IF($U431="Estimate","N/A",IF($U431="Draw",$H431,0))))</ns0:f>
      </ns0:c>
      <ns0:c r="S431" s="114">
        <ns0:f>IF(COUNTA($A431:$M431)=0,"",IF(OR($U431="Subscription",$U431=""),"",IF($U431="Estimate","N/A",IF($U431="Disqualified",$H431,0))))</ns0:f>
      </ns0:c>
      <ns0:c r="T431" s="955">
        <ns0:f>IF(COUNTA($A431:$M431)=0,"",IF(OR($U431="Subscription",$U431=""),"",IF($U431="Estimate","N/A",IF(OR($U431="Free Game",$U431="Disqualified — Free Game",$H431=0),"N/A",IF($U431="Profit",$Q431/$H431,IF($U431="Disqualified",-$S431/$H431,0))))))</ns0:f>
      </ns0:c>
      <ns0:c r="U431" s="920">
        <ns0:f>IF(COUNTA($A431:$M431)=0,"",IF(OR(LEFT(LOWER(TRIM($F431&amp;"")),12)="subscription",LOWER(TRIM($F431&amp;""))="membership"),"Subscription",IF(LOWER(TRIM($D431&amp;""))="estimate","Estimate",IF(OR(AND($H431&lt;&gt;"",$H431=0),LEFT(LOWER(TRIM($F431&amp;"")),9)="free game",LOWER(TRIM($F431&amp;""))="free",LOWER(TRIM($F431&amp;""))="free entry"),IF(LOWER($L431&amp;"")="yes","Disqualified — Free Game","Free Game"),IF(LOWER($L431&amp;"")="yes","Disqualified",IF($P431="","",IF(ROUND(IFERROR(VALUE($P431),0)-IFERROR(VALUE($H431),0),2)&gt;0,"Profit","Draw")))))))</ns0:f>
      </ns0:c>
      <ns0:c r="V431" s="956" t="str">
        <ns0:f>IF(COUNTA($A431:$M431)=0,"",IF(OR($B431="",$C431="",$U431="Subscription"),"",IFERROR(ROUNDUP(($C431-$B431)/7,0),"")))</ns0:f>
      </ns0:c>
      <ns0:c r="W431" s="114">
        <ns0:f>IF(COUNTA($A431:$M431)=0,"",IF(OR($U431="Subscription",$U431=""),"",IF($U431="Estimate","N/A",IF(OR($U431="Free Game",$U431="Disqualified — Free Game"),0,ROUND(IFERROR($Q431,0)-IFERROR($S431,0),2)))))</ns0:f>
      </ns0:c>
      <ns0:c r="X431" s="956" t="str">
        <ns0:f>IF(COUNTA($A431:$M431)=0,"",IF(OR($U431="Subscription",NOT(ISNUMBER($J431)),NOT(ISNUMBER($I431)),$J431=0,$I431=0,$I431&gt;$J431),"",$J431-$I431))</ns0:f>
      </ns0:c>
      <ns0:c r="Y431" s="955" t="str">
        <ns0:f>IF(COUNTA($A431:$M431)=0,"",IF(OR($U431="Subscription",NOT(ISNUMBER($J431)),$J431=0,$X431=""),"",$X431/$J431))</ns0:f>
      </ns0:c>
      <ns0:c r="Z431" s="957" t="str">
        <ns0:f>IF(COUNTA($A431:$M431)=0,"",Instructions!$B$29+SUM($W$5:W431))</ns0:f>
      </ns0:c>
    </ns0:row>
    <ns0:row r="432" ht="36" customHeight="1">
      <ns0:c r="A432" s="439"/>
      <ns0:c r="B432" s="453"/>
      <ns0:c r="C432" s="453"/>
      <ns0:c r="D432" s="454"/>
      <ns0:c r="E432" s="454"/>
      <ns0:c r="F432" s="454"/>
      <ns0:c r="G432" s="986"/>
      <ns0:c r="H432" s="455"/>
      <ns0:c r="I432" s="456"/>
      <ns0:c r="J432" s="456"/>
      <ns0:c r="K432" s="986"/>
      <ns0:c r="L432" s="454"/>
      <ns0:c r="M432" s="439"/>
      <ns0:c r="N432" s="987" t="str">
        <ns0:f>IF(COUNTA($A432:$M432)=0,"",IF(OR(LEFT(LOWER(TRIM($F432&amp;"")),12)="subscription",LOWER(TRIM($F432&amp;""))="membership"),"",IF(OR(AND($H432&lt;&gt;"",$H432=0),LEFT(LOWER(TRIM($F432&amp;"")),9)="free game",LOWER(TRIM($F432&amp;""))="free",LOWER(TRIM($F432&amp;""))="free entry"),IF(ISNUMBER($G432),IF(ISNUMBER(SEARCH("non",LOWER($E432&amp;""))),$G432*0.85,$G432),"N/A"),IF($G432="","",IFERROR(IF(ISNUMBER(SEARCH("non",LOWER($E432&amp;""))),$G432*0.85,$G432),"")))))</ns0:f>
        <ns0:v/>
      </ns0:c>
      <ns0:c r="O432" s="987" t="str">
        <ns0:f>IF(COUNTA($A432:$M432)=0,"",IF(OR(LEFT(LOWER(TRIM($F432&amp;"")),12)="subscription",LOWER(TRIM($F432&amp;""))="membership"),"",IF(OR(AND($H432&lt;&gt;"",$H432=0),LEFT(LOWER(TRIM($F432&amp;"")),9)="free game",LOWER(TRIM($F432&amp;""))="free",LOWER(TRIM($F432&amp;""))="free entry"),IF(OR(NOT(ISNUMBER($N432)),NOT(ISNUMBER($I432)),$I432=0),"N/A",IFERROR($N432/$I432,"N/A")),IF(OR($N432="",$I432="",$I432=0),"",IFERROR($N432/$I432,"")))))</ns0:f>
        <ns0:v/>
      </ns0:c>
      <ns0:c r="P432" s="987">
        <ns0:f>IF(COUNTA($A432:$M432)=0,"",IF(OR(LEFT(LOWER(TRIM($F432&amp;"")),12)="subscription",LOWER(TRIM($F432&amp;""))="membership"),"",IF(LOWER(TRIM($D432&amp;""))="estimate","N/A",IF(LOWER($L432&amp;"")="yes",0,IF(OR(AND($H432&lt;&gt;"",$H432=0),LEFT(LOWER(TRIM($F432&amp;"")),9)="free game",LOWER(TRIM($F432&amp;""))="free",LOWER(TRIM($F432&amp;""))="free entry"),IF(ISNUMBER($K432),$K432,""),IF($K432&lt;&gt;"",$K432,""))))))</ns0:f>
      </ns0:c>
      <ns0:c r="Q432" s="114">
        <ns0:f>IF(COUNTA($A432:$M432)=0,"",IF(OR($U432="Subscription",$U432=""),"",IF($U432="Estimate","N/A",IF($U432="Profit",ROUND(IFERROR($P432,0)-IFERROR($H432,0),2),0))))</ns0:f>
      </ns0:c>
      <ns0:c r="R432" s="114">
        <ns0:f>IF(COUNTA($A432:$M432)=0,"",IF(OR($U432="Subscription",$U432=""),"",IF($U432="Estimate","N/A",IF($U432="Draw",$H432,0))))</ns0:f>
      </ns0:c>
      <ns0:c r="S432" s="114">
        <ns0:f>IF(COUNTA($A432:$M432)=0,"",IF(OR($U432="Subscription",$U432=""),"",IF($U432="Estimate","N/A",IF($U432="Disqualified",$H432,0))))</ns0:f>
      </ns0:c>
      <ns0:c r="T432" s="955">
        <ns0:f>IF(COUNTA($A432:$M432)=0,"",IF(OR($U432="Subscription",$U432=""),"",IF($U432="Estimate","N/A",IF(OR($U432="Free Game",$U432="Disqualified — Free Game",$H432=0),"N/A",IF($U432="Profit",$Q432/$H432,IF($U432="Disqualified",-$S432/$H432,0))))))</ns0:f>
      </ns0:c>
      <ns0:c r="U432" s="920">
        <ns0:f>IF(COUNTA($A432:$M432)=0,"",IF(OR(LEFT(LOWER(TRIM($F432&amp;"")),12)="subscription",LOWER(TRIM($F432&amp;""))="membership"),"Subscription",IF(LOWER(TRIM($D432&amp;""))="estimate","Estimate",IF(OR(AND($H432&lt;&gt;"",$H432=0),LEFT(LOWER(TRIM($F432&amp;"")),9)="free game",LOWER(TRIM($F432&amp;""))="free",LOWER(TRIM($F432&amp;""))="free entry"),IF(LOWER($L432&amp;"")="yes","Disqualified — Free Game","Free Game"),IF(LOWER($L432&amp;"")="yes","Disqualified",IF($P432="","",IF(ROUND(IFERROR(VALUE($P432),0)-IFERROR(VALUE($H432),0),2)&gt;0,"Profit","Draw")))))))</ns0:f>
      </ns0:c>
      <ns0:c r="V432" s="956" t="str">
        <ns0:f>IF(COUNTA($A432:$M432)=0,"",IF(OR($B432="",$C432="",$U432="Subscription"),"",IFERROR(ROUNDUP(($C432-$B432)/7,0),"")))</ns0:f>
      </ns0:c>
      <ns0:c r="W432" s="114">
        <ns0:f>IF(COUNTA($A432:$M432)=0,"",IF(OR($U432="Subscription",$U432=""),"",IF($U432="Estimate","N/A",IF(OR($U432="Free Game",$U432="Disqualified — Free Game"),0,ROUND(IFERROR($Q432,0)-IFERROR($S432,0),2)))))</ns0:f>
      </ns0:c>
      <ns0:c r="X432" s="956" t="str">
        <ns0:f>IF(COUNTA($A432:$M432)=0,"",IF(OR($U432="Subscription",NOT(ISNUMBER($J432)),NOT(ISNUMBER($I432)),$J432=0,$I432=0,$I432&gt;$J432),"",$J432-$I432))</ns0:f>
      </ns0:c>
      <ns0:c r="Y432" s="955" t="str">
        <ns0:f>IF(COUNTA($A432:$M432)=0,"",IF(OR($U432="Subscription",NOT(ISNUMBER($J432)),$J432=0,$X432=""),"",$X432/$J432))</ns0:f>
      </ns0:c>
      <ns0:c r="Z432" s="957" t="str">
        <ns0:f>IF(COUNTA($A432:$M432)=0,"",Instructions!$B$29+SUM($W$5:W432))</ns0:f>
      </ns0:c>
    </ns0:row>
    <ns0:row r="433" ht="36" customHeight="1">
      <ns0:c r="A433" s="439"/>
      <ns0:c r="B433" s="453"/>
      <ns0:c r="C433" s="453"/>
      <ns0:c r="D433" s="454"/>
      <ns0:c r="E433" s="454"/>
      <ns0:c r="F433" s="454"/>
      <ns0:c r="G433" s="986"/>
      <ns0:c r="H433" s="455"/>
      <ns0:c r="I433" s="456"/>
      <ns0:c r="J433" s="456"/>
      <ns0:c r="K433" s="986"/>
      <ns0:c r="L433" s="454"/>
      <ns0:c r="M433" s="439"/>
      <ns0:c r="N433" s="987" t="str">
        <ns0:f>IF(COUNTA($A433:$M433)=0,"",IF(OR(LEFT(LOWER(TRIM($F433&amp;"")),12)="subscription",LOWER(TRIM($F433&amp;""))="membership"),"",IF(OR(AND($H433&lt;&gt;"",$H433=0),LEFT(LOWER(TRIM($F433&amp;"")),9)="free game",LOWER(TRIM($F433&amp;""))="free",LOWER(TRIM($F433&amp;""))="free entry"),IF(ISNUMBER($G433),IF(ISNUMBER(SEARCH("non",LOWER($E433&amp;""))),$G433*0.85,$G433),"N/A"),IF($G433="","",IFERROR(IF(ISNUMBER(SEARCH("non",LOWER($E433&amp;""))),$G433*0.85,$G433),"")))))</ns0:f>
        <ns0:v/>
      </ns0:c>
      <ns0:c r="O433" s="987" t="str">
        <ns0:f>IF(COUNTA($A433:$M433)=0,"",IF(OR(LEFT(LOWER(TRIM($F433&amp;"")),12)="subscription",LOWER(TRIM($F433&amp;""))="membership"),"",IF(OR(AND($H433&lt;&gt;"",$H433=0),LEFT(LOWER(TRIM($F433&amp;"")),9)="free game",LOWER(TRIM($F433&amp;""))="free",LOWER(TRIM($F433&amp;""))="free entry"),IF(OR(NOT(ISNUMBER($N433)),NOT(ISNUMBER($I433)),$I433=0),"N/A",IFERROR($N433/$I433,"N/A")),IF(OR($N433="",$I433="",$I433=0),"",IFERROR($N433/$I433,"")))))</ns0:f>
        <ns0:v/>
      </ns0:c>
      <ns0:c r="P433" s="987">
        <ns0:f>IF(COUNTA($A433:$M433)=0,"",IF(OR(LEFT(LOWER(TRIM($F433&amp;"")),12)="subscription",LOWER(TRIM($F433&amp;""))="membership"),"",IF(LOWER(TRIM($D433&amp;""))="estimate","N/A",IF(LOWER($L433&amp;"")="yes",0,IF(OR(AND($H433&lt;&gt;"",$H433=0),LEFT(LOWER(TRIM($F433&amp;"")),9)="free game",LOWER(TRIM($F433&amp;""))="free",LOWER(TRIM($F433&amp;""))="free entry"),IF(ISNUMBER($K433),$K433,""),IF($K433&lt;&gt;"",$K433,""))))))</ns0:f>
      </ns0:c>
      <ns0:c r="Q433" s="114">
        <ns0:f>IF(COUNTA($A433:$M433)=0,"",IF(OR($U433="Subscription",$U433=""),"",IF($U433="Estimate","N/A",IF($U433="Profit",ROUND(IFERROR($P433,0)-IFERROR($H433,0),2),0))))</ns0:f>
      </ns0:c>
      <ns0:c r="R433" s="114">
        <ns0:f>IF(COUNTA($A433:$M433)=0,"",IF(OR($U433="Subscription",$U433=""),"",IF($U433="Estimate","N/A",IF($U433="Draw",$H433,0))))</ns0:f>
      </ns0:c>
      <ns0:c r="S433" s="114">
        <ns0:f>IF(COUNTA($A433:$M433)=0,"",IF(OR($U433="Subscription",$U433=""),"",IF($U433="Estimate","N/A",IF($U433="Disqualified",$H433,0))))</ns0:f>
      </ns0:c>
      <ns0:c r="T433" s="955">
        <ns0:f>IF(COUNTA($A433:$M433)=0,"",IF(OR($U433="Subscription",$U433=""),"",IF($U433="Estimate","N/A",IF(OR($U433="Free Game",$U433="Disqualified — Free Game",$H433=0),"N/A",IF($U433="Profit",$Q433/$H433,IF($U433="Disqualified",-$S433/$H433,0))))))</ns0:f>
      </ns0:c>
      <ns0:c r="U433" s="920">
        <ns0:f>IF(COUNTA($A433:$M433)=0,"",IF(OR(LEFT(LOWER(TRIM($F433&amp;"")),12)="subscription",LOWER(TRIM($F433&amp;""))="membership"),"Subscription",IF(LOWER(TRIM($D433&amp;""))="estimate","Estimate",IF(OR(AND($H433&lt;&gt;"",$H433=0),LEFT(LOWER(TRIM($F433&amp;"")),9)="free game",LOWER(TRIM($F433&amp;""))="free",LOWER(TRIM($F433&amp;""))="free entry"),IF(LOWER($L433&amp;"")="yes","Disqualified — Free Game","Free Game"),IF(LOWER($L433&amp;"")="yes","Disqualified",IF($P433="","",IF(ROUND(IFERROR(VALUE($P433),0)-IFERROR(VALUE($H433),0),2)&gt;0,"Profit","Draw")))))))</ns0:f>
      </ns0:c>
      <ns0:c r="V433" s="956" t="str">
        <ns0:f>IF(COUNTA($A433:$M433)=0,"",IF(OR($B433="",$C433="",$U433="Subscription"),"",IFERROR(ROUNDUP(($C433-$B433)/7,0),"")))</ns0:f>
      </ns0:c>
      <ns0:c r="W433" s="114">
        <ns0:f>IF(COUNTA($A433:$M433)=0,"",IF(OR($U433="Subscription",$U433=""),"",IF($U433="Estimate","N/A",IF(OR($U433="Free Game",$U433="Disqualified — Free Game"),0,ROUND(IFERROR($Q433,0)-IFERROR($S433,0),2)))))</ns0:f>
      </ns0:c>
      <ns0:c r="X433" s="956" t="str">
        <ns0:f>IF(COUNTA($A433:$M433)=0,"",IF(OR($U433="Subscription",NOT(ISNUMBER($J433)),NOT(ISNUMBER($I433)),$J433=0,$I433=0,$I433&gt;$J433),"",$J433-$I433))</ns0:f>
      </ns0:c>
      <ns0:c r="Y433" s="955" t="str">
        <ns0:f>IF(COUNTA($A433:$M433)=0,"",IF(OR($U433="Subscription",NOT(ISNUMBER($J433)),$J433=0,$X433=""),"",$X433/$J433))</ns0:f>
      </ns0:c>
      <ns0:c r="Z433" s="957" t="str">
        <ns0:f>IF(COUNTA($A433:$M433)=0,"",Instructions!$B$29+SUM($W$5:W433))</ns0:f>
      </ns0:c>
    </ns0:row>
    <ns0:row r="434" ht="36" customHeight="1">
      <ns0:c r="A434" s="439"/>
      <ns0:c r="B434" s="453"/>
      <ns0:c r="C434" s="453"/>
      <ns0:c r="D434" s="454"/>
      <ns0:c r="E434" s="454"/>
      <ns0:c r="F434" s="454"/>
      <ns0:c r="G434" s="986"/>
      <ns0:c r="H434" s="455"/>
      <ns0:c r="I434" s="456"/>
      <ns0:c r="J434" s="456"/>
      <ns0:c r="K434" s="986"/>
      <ns0:c r="L434" s="454"/>
      <ns0:c r="M434" s="439"/>
      <ns0:c r="N434" s="987" t="str">
        <ns0:f>IF(COUNTA($A434:$M434)=0,"",IF(OR(LEFT(LOWER(TRIM($F434&amp;"")),12)="subscription",LOWER(TRIM($F434&amp;""))="membership"),"",IF(OR(AND($H434&lt;&gt;"",$H434=0),LEFT(LOWER(TRIM($F434&amp;"")),9)="free game",LOWER(TRIM($F434&amp;""))="free",LOWER(TRIM($F434&amp;""))="free entry"),IF(ISNUMBER($G434),IF(ISNUMBER(SEARCH("non",LOWER($E434&amp;""))),$G434*0.85,$G434),"N/A"),IF($G434="","",IFERROR(IF(ISNUMBER(SEARCH("non",LOWER($E434&amp;""))),$G434*0.85,$G434),"")))))</ns0:f>
        <ns0:v/>
      </ns0:c>
      <ns0:c r="O434" s="987" t="str">
        <ns0:f>IF(COUNTA($A434:$M434)=0,"",IF(OR(LEFT(LOWER(TRIM($F434&amp;"")),12)="subscription",LOWER(TRIM($F434&amp;""))="membership"),"",IF(OR(AND($H434&lt;&gt;"",$H434=0),LEFT(LOWER(TRIM($F434&amp;"")),9)="free game",LOWER(TRIM($F434&amp;""))="free",LOWER(TRIM($F434&amp;""))="free entry"),IF(OR(NOT(ISNUMBER($N434)),NOT(ISNUMBER($I434)),$I434=0),"N/A",IFERROR($N434/$I434,"N/A")),IF(OR($N434="",$I434="",$I434=0),"",IFERROR($N434/$I434,"")))))</ns0:f>
        <ns0:v/>
      </ns0:c>
      <ns0:c r="P434" s="987">
        <ns0:f>IF(COUNTA($A434:$M434)=0,"",IF(OR(LEFT(LOWER(TRIM($F434&amp;"")),12)="subscription",LOWER(TRIM($F434&amp;""))="membership"),"",IF(LOWER(TRIM($D434&amp;""))="estimate","N/A",IF(LOWER($L434&amp;"")="yes",0,IF(OR(AND($H434&lt;&gt;"",$H434=0),LEFT(LOWER(TRIM($F434&amp;"")),9)="free game",LOWER(TRIM($F434&amp;""))="free",LOWER(TRIM($F434&amp;""))="free entry"),IF(ISNUMBER($K434),$K434,""),IF($K434&lt;&gt;"",$K434,""))))))</ns0:f>
      </ns0:c>
      <ns0:c r="Q434" s="114">
        <ns0:f>IF(COUNTA($A434:$M434)=0,"",IF(OR($U434="Subscription",$U434=""),"",IF($U434="Estimate","N/A",IF($U434="Profit",ROUND(IFERROR($P434,0)-IFERROR($H434,0),2),0))))</ns0:f>
      </ns0:c>
      <ns0:c r="R434" s="114">
        <ns0:f>IF(COUNTA($A434:$M434)=0,"",IF(OR($U434="Subscription",$U434=""),"",IF($U434="Estimate","N/A",IF($U434="Draw",$H434,0))))</ns0:f>
      </ns0:c>
      <ns0:c r="S434" s="114">
        <ns0:f>IF(COUNTA($A434:$M434)=0,"",IF(OR($U434="Subscription",$U434=""),"",IF($U434="Estimate","N/A",IF($U434="Disqualified",$H434,0))))</ns0:f>
      </ns0:c>
      <ns0:c r="T434" s="955">
        <ns0:f>IF(COUNTA($A434:$M434)=0,"",IF(OR($U434="Subscription",$U434=""),"",IF($U434="Estimate","N/A",IF(OR($U434="Free Game",$U434="Disqualified — Free Game",$H434=0),"N/A",IF($U434="Profit",$Q434/$H434,IF($U434="Disqualified",-$S434/$H434,0))))))</ns0:f>
      </ns0:c>
      <ns0:c r="U434" s="920">
        <ns0:f>IF(COUNTA($A434:$M434)=0,"",IF(OR(LEFT(LOWER(TRIM($F434&amp;"")),12)="subscription",LOWER(TRIM($F434&amp;""))="membership"),"Subscription",IF(LOWER(TRIM($D434&amp;""))="estimate","Estimate",IF(OR(AND($H434&lt;&gt;"",$H434=0),LEFT(LOWER(TRIM($F434&amp;"")),9)="free game",LOWER(TRIM($F434&amp;""))="free",LOWER(TRIM($F434&amp;""))="free entry"),IF(LOWER($L434&amp;"")="yes","Disqualified — Free Game","Free Game"),IF(LOWER($L434&amp;"")="yes","Disqualified",IF($P434="","",IF(ROUND(IFERROR(VALUE($P434),0)-IFERROR(VALUE($H434),0),2)&gt;0,"Profit","Draw")))))))</ns0:f>
      </ns0:c>
      <ns0:c r="V434" s="956" t="str">
        <ns0:f>IF(COUNTA($A434:$M434)=0,"",IF(OR($B434="",$C434="",$U434="Subscription"),"",IFERROR(ROUNDUP(($C434-$B434)/7,0),"")))</ns0:f>
      </ns0:c>
      <ns0:c r="W434" s="114">
        <ns0:f>IF(COUNTA($A434:$M434)=0,"",IF(OR($U434="Subscription",$U434=""),"",IF($U434="Estimate","N/A",IF(OR($U434="Free Game",$U434="Disqualified — Free Game"),0,ROUND(IFERROR($Q434,0)-IFERROR($S434,0),2)))))</ns0:f>
      </ns0:c>
      <ns0:c r="X434" s="956" t="str">
        <ns0:f>IF(COUNTA($A434:$M434)=0,"",IF(OR($U434="Subscription",NOT(ISNUMBER($J434)),NOT(ISNUMBER($I434)),$J434=0,$I434=0,$I434&gt;$J434),"",$J434-$I434))</ns0:f>
      </ns0:c>
      <ns0:c r="Y434" s="955" t="str">
        <ns0:f>IF(COUNTA($A434:$M434)=0,"",IF(OR($U434="Subscription",NOT(ISNUMBER($J434)),$J434=0,$X434=""),"",$X434/$J434))</ns0:f>
      </ns0:c>
      <ns0:c r="Z434" s="957" t="str">
        <ns0:f>IF(COUNTA($A434:$M434)=0,"",Instructions!$B$29+SUM($W$5:W434))</ns0:f>
      </ns0:c>
    </ns0:row>
    <ns0:row r="435" ht="36" customHeight="1">
      <ns0:c r="A435" s="439"/>
      <ns0:c r="B435" s="453"/>
      <ns0:c r="C435" s="453"/>
      <ns0:c r="D435" s="454"/>
      <ns0:c r="E435" s="454"/>
      <ns0:c r="F435" s="454"/>
      <ns0:c r="G435" s="986"/>
      <ns0:c r="H435" s="455"/>
      <ns0:c r="I435" s="456"/>
      <ns0:c r="J435" s="456"/>
      <ns0:c r="K435" s="986"/>
      <ns0:c r="L435" s="454"/>
      <ns0:c r="M435" s="439"/>
      <ns0:c r="N435" s="987" t="str">
        <ns0:f>IF(COUNTA($A435:$M435)=0,"",IF(OR(LEFT(LOWER(TRIM($F435&amp;"")),12)="subscription",LOWER(TRIM($F435&amp;""))="membership"),"",IF(OR(AND($H435&lt;&gt;"",$H435=0),LEFT(LOWER(TRIM($F435&amp;"")),9)="free game",LOWER(TRIM($F435&amp;""))="free",LOWER(TRIM($F435&amp;""))="free entry"),IF(ISNUMBER($G435),IF(ISNUMBER(SEARCH("non",LOWER($E435&amp;""))),$G435*0.85,$G435),"N/A"),IF($G435="","",IFERROR(IF(ISNUMBER(SEARCH("non",LOWER($E435&amp;""))),$G435*0.85,$G435),"")))))</ns0:f>
        <ns0:v/>
      </ns0:c>
      <ns0:c r="O435" s="987" t="str">
        <ns0:f>IF(COUNTA($A435:$M435)=0,"",IF(OR(LEFT(LOWER(TRIM($F435&amp;"")),12)="subscription",LOWER(TRIM($F435&amp;""))="membership"),"",IF(OR(AND($H435&lt;&gt;"",$H435=0),LEFT(LOWER(TRIM($F435&amp;"")),9)="free game",LOWER(TRIM($F435&amp;""))="free",LOWER(TRIM($F435&amp;""))="free entry"),IF(OR(NOT(ISNUMBER($N435)),NOT(ISNUMBER($I435)),$I435=0),"N/A",IFERROR($N435/$I435,"N/A")),IF(OR($N435="",$I435="",$I435=0),"",IFERROR($N435/$I435,"")))))</ns0:f>
        <ns0:v/>
      </ns0:c>
      <ns0:c r="P435" s="987">
        <ns0:f>IF(COUNTA($A435:$M435)=0,"",IF(OR(LEFT(LOWER(TRIM($F435&amp;"")),12)="subscription",LOWER(TRIM($F435&amp;""))="membership"),"",IF(LOWER(TRIM($D435&amp;""))="estimate","N/A",IF(LOWER($L435&amp;"")="yes",0,IF(OR(AND($H435&lt;&gt;"",$H435=0),LEFT(LOWER(TRIM($F435&amp;"")),9)="free game",LOWER(TRIM($F435&amp;""))="free",LOWER(TRIM($F435&amp;""))="free entry"),IF(ISNUMBER($K435),$K435,""),IF($K435&lt;&gt;"",$K435,""))))))</ns0:f>
      </ns0:c>
      <ns0:c r="Q435" s="114">
        <ns0:f>IF(COUNTA($A435:$M435)=0,"",IF(OR($U435="Subscription",$U435=""),"",IF($U435="Estimate","N/A",IF($U435="Profit",ROUND(IFERROR($P435,0)-IFERROR($H435,0),2),0))))</ns0:f>
      </ns0:c>
      <ns0:c r="R435" s="114">
        <ns0:f>IF(COUNTA($A435:$M435)=0,"",IF(OR($U435="Subscription",$U435=""),"",IF($U435="Estimate","N/A",IF($U435="Draw",$H435,0))))</ns0:f>
      </ns0:c>
      <ns0:c r="S435" s="114">
        <ns0:f>IF(COUNTA($A435:$M435)=0,"",IF(OR($U435="Subscription",$U435=""),"",IF($U435="Estimate","N/A",IF($U435="Disqualified",$H435,0))))</ns0:f>
      </ns0:c>
      <ns0:c r="T435" s="955">
        <ns0:f>IF(COUNTA($A435:$M435)=0,"",IF(OR($U435="Subscription",$U435=""),"",IF($U435="Estimate","N/A",IF(OR($U435="Free Game",$U435="Disqualified — Free Game",$H435=0),"N/A",IF($U435="Profit",$Q435/$H435,IF($U435="Disqualified",-$S435/$H435,0))))))</ns0:f>
      </ns0:c>
      <ns0:c r="U435" s="920">
        <ns0:f>IF(COUNTA($A435:$M435)=0,"",IF(OR(LEFT(LOWER(TRIM($F435&amp;"")),12)="subscription",LOWER(TRIM($F435&amp;""))="membership"),"Subscription",IF(LOWER(TRIM($D435&amp;""))="estimate","Estimate",IF(OR(AND($H435&lt;&gt;"",$H435=0),LEFT(LOWER(TRIM($F435&amp;"")),9)="free game",LOWER(TRIM($F435&amp;""))="free",LOWER(TRIM($F435&amp;""))="free entry"),IF(LOWER($L435&amp;"")="yes","Disqualified — Free Game","Free Game"),IF(LOWER($L435&amp;"")="yes","Disqualified",IF($P435="","",IF(ROUND(IFERROR(VALUE($P435),0)-IFERROR(VALUE($H435),0),2)&gt;0,"Profit","Draw")))))))</ns0:f>
      </ns0:c>
      <ns0:c r="V435" s="956" t="str">
        <ns0:f>IF(COUNTA($A435:$M435)=0,"",IF(OR($B435="",$C435="",$U435="Subscription"),"",IFERROR(ROUNDUP(($C435-$B435)/7,0),"")))</ns0:f>
      </ns0:c>
      <ns0:c r="W435" s="114">
        <ns0:f>IF(COUNTA($A435:$M435)=0,"",IF(OR($U435="Subscription",$U435=""),"",IF($U435="Estimate","N/A",IF(OR($U435="Free Game",$U435="Disqualified — Free Game"),0,ROUND(IFERROR($Q435,0)-IFERROR($S435,0),2)))))</ns0:f>
      </ns0:c>
      <ns0:c r="X435" s="956" t="str">
        <ns0:f>IF(COUNTA($A435:$M435)=0,"",IF(OR($U435="Subscription",NOT(ISNUMBER($J435)),NOT(ISNUMBER($I435)),$J435=0,$I435=0,$I435&gt;$J435),"",$J435-$I435))</ns0:f>
      </ns0:c>
      <ns0:c r="Y435" s="955" t="str">
        <ns0:f>IF(COUNTA($A435:$M435)=0,"",IF(OR($U435="Subscription",NOT(ISNUMBER($J435)),$J435=0,$X435=""),"",$X435/$J435))</ns0:f>
      </ns0:c>
      <ns0:c r="Z435" s="957" t="str">
        <ns0:f>IF(COUNTA($A435:$M435)=0,"",Instructions!$B$29+SUM($W$5:W435))</ns0:f>
      </ns0:c>
    </ns0:row>
    <ns0:row r="436" ht="36" customHeight="1">
      <ns0:c r="A436" s="439"/>
      <ns0:c r="B436" s="453"/>
      <ns0:c r="C436" s="453"/>
      <ns0:c r="D436" s="454"/>
      <ns0:c r="E436" s="454"/>
      <ns0:c r="F436" s="454"/>
      <ns0:c r="G436" s="986"/>
      <ns0:c r="H436" s="455"/>
      <ns0:c r="I436" s="456"/>
      <ns0:c r="J436" s="456"/>
      <ns0:c r="K436" s="986"/>
      <ns0:c r="L436" s="454"/>
      <ns0:c r="M436" s="439"/>
      <ns0:c r="N436" s="987" t="str">
        <ns0:f>IF(COUNTA($A436:$M436)=0,"",IF(OR(LEFT(LOWER(TRIM($F436&amp;"")),12)="subscription",LOWER(TRIM($F436&amp;""))="membership"),"",IF(OR(AND($H436&lt;&gt;"",$H436=0),LEFT(LOWER(TRIM($F436&amp;"")),9)="free game",LOWER(TRIM($F436&amp;""))="free",LOWER(TRIM($F436&amp;""))="free entry"),IF(ISNUMBER($G436),IF(ISNUMBER(SEARCH("non",LOWER($E436&amp;""))),$G436*0.85,$G436),"N/A"),IF($G436="","",IFERROR(IF(ISNUMBER(SEARCH("non",LOWER($E436&amp;""))),$G436*0.85,$G436),"")))))</ns0:f>
        <ns0:v/>
      </ns0:c>
      <ns0:c r="O436" s="987" t="str">
        <ns0:f>IF(COUNTA($A436:$M436)=0,"",IF(OR(LEFT(LOWER(TRIM($F436&amp;"")),12)="subscription",LOWER(TRIM($F436&amp;""))="membership"),"",IF(OR(AND($H436&lt;&gt;"",$H436=0),LEFT(LOWER(TRIM($F436&amp;"")),9)="free game",LOWER(TRIM($F436&amp;""))="free",LOWER(TRIM($F436&amp;""))="free entry"),IF(OR(NOT(ISNUMBER($N436)),NOT(ISNUMBER($I436)),$I436=0),"N/A",IFERROR($N436/$I436,"N/A")),IF(OR($N436="",$I436="",$I436=0),"",IFERROR($N436/$I436,"")))))</ns0:f>
        <ns0:v/>
      </ns0:c>
      <ns0:c r="P436" s="987">
        <ns0:f>IF(COUNTA($A436:$M436)=0,"",IF(OR(LEFT(LOWER(TRIM($F436&amp;"")),12)="subscription",LOWER(TRIM($F436&amp;""))="membership"),"",IF(LOWER(TRIM($D436&amp;""))="estimate","N/A",IF(LOWER($L436&amp;"")="yes",0,IF(OR(AND($H436&lt;&gt;"",$H436=0),LEFT(LOWER(TRIM($F436&amp;"")),9)="free game",LOWER(TRIM($F436&amp;""))="free",LOWER(TRIM($F436&amp;""))="free entry"),IF(ISNUMBER($K436),$K436,""),IF($K436&lt;&gt;"",$K436,""))))))</ns0:f>
      </ns0:c>
      <ns0:c r="Q436" s="114">
        <ns0:f>IF(COUNTA($A436:$M436)=0,"",IF(OR($U436="Subscription",$U436=""),"",IF($U436="Estimate","N/A",IF($U436="Profit",ROUND(IFERROR($P436,0)-IFERROR($H436,0),2),0))))</ns0:f>
      </ns0:c>
      <ns0:c r="R436" s="114">
        <ns0:f>IF(COUNTA($A436:$M436)=0,"",IF(OR($U436="Subscription",$U436=""),"",IF($U436="Estimate","N/A",IF($U436="Draw",$H436,0))))</ns0:f>
      </ns0:c>
      <ns0:c r="S436" s="114">
        <ns0:f>IF(COUNTA($A436:$M436)=0,"",IF(OR($U436="Subscription",$U436=""),"",IF($U436="Estimate","N/A",IF($U436="Disqualified",$H436,0))))</ns0:f>
      </ns0:c>
      <ns0:c r="T436" s="955">
        <ns0:f>IF(COUNTA($A436:$M436)=0,"",IF(OR($U436="Subscription",$U436=""),"",IF($U436="Estimate","N/A",IF(OR($U436="Free Game",$U436="Disqualified — Free Game",$H436=0),"N/A",IF($U436="Profit",$Q436/$H436,IF($U436="Disqualified",-$S436/$H436,0))))))</ns0:f>
      </ns0:c>
      <ns0:c r="U436" s="920">
        <ns0:f>IF(COUNTA($A436:$M436)=0,"",IF(OR(LEFT(LOWER(TRIM($F436&amp;"")),12)="subscription",LOWER(TRIM($F436&amp;""))="membership"),"Subscription",IF(LOWER(TRIM($D436&amp;""))="estimate","Estimate",IF(OR(AND($H436&lt;&gt;"",$H436=0),LEFT(LOWER(TRIM($F436&amp;"")),9)="free game",LOWER(TRIM($F436&amp;""))="free",LOWER(TRIM($F436&amp;""))="free entry"),IF(LOWER($L436&amp;"")="yes","Disqualified — Free Game","Free Game"),IF(LOWER($L436&amp;"")="yes","Disqualified",IF($P436="","",IF(ROUND(IFERROR(VALUE($P436),0)-IFERROR(VALUE($H436),0),2)&gt;0,"Profit","Draw")))))))</ns0:f>
      </ns0:c>
      <ns0:c r="V436" s="956" t="str">
        <ns0:f>IF(COUNTA($A436:$M436)=0,"",IF(OR($B436="",$C436="",$U436="Subscription"),"",IFERROR(ROUNDUP(($C436-$B436)/7,0),"")))</ns0:f>
      </ns0:c>
      <ns0:c r="W436" s="114">
        <ns0:f>IF(COUNTA($A436:$M436)=0,"",IF(OR($U436="Subscription",$U436=""),"",IF($U436="Estimate","N/A",IF(OR($U436="Free Game",$U436="Disqualified — Free Game"),0,ROUND(IFERROR($Q436,0)-IFERROR($S436,0),2)))))</ns0:f>
      </ns0:c>
      <ns0:c r="X436" s="956" t="str">
        <ns0:f>IF(COUNTA($A436:$M436)=0,"",IF(OR($U436="Subscription",NOT(ISNUMBER($J436)),NOT(ISNUMBER($I436)),$J436=0,$I436=0,$I436&gt;$J436),"",$J436-$I436))</ns0:f>
      </ns0:c>
      <ns0:c r="Y436" s="955" t="str">
        <ns0:f>IF(COUNTA($A436:$M436)=0,"",IF(OR($U436="Subscription",NOT(ISNUMBER($J436)),$J436=0,$X436=""),"",$X436/$J436))</ns0:f>
      </ns0:c>
      <ns0:c r="Z436" s="957" t="str">
        <ns0:f>IF(COUNTA($A436:$M436)=0,"",Instructions!$B$29+SUM($W$5:W436))</ns0:f>
      </ns0:c>
    </ns0:row>
    <ns0:row r="437" ht="36" customHeight="1">
      <ns0:c r="A437" s="439"/>
      <ns0:c r="B437" s="453"/>
      <ns0:c r="C437" s="453"/>
      <ns0:c r="D437" s="454"/>
      <ns0:c r="E437" s="454"/>
      <ns0:c r="F437" s="454"/>
      <ns0:c r="G437" s="986"/>
      <ns0:c r="H437" s="455"/>
      <ns0:c r="I437" s="456"/>
      <ns0:c r="J437" s="456"/>
      <ns0:c r="K437" s="986"/>
      <ns0:c r="L437" s="454"/>
      <ns0:c r="M437" s="439"/>
      <ns0:c r="N437" s="987" t="str">
        <ns0:f>IF(COUNTA($A437:$M437)=0,"",IF(OR(LEFT(LOWER(TRIM($F437&amp;"")),12)="subscription",LOWER(TRIM($F437&amp;""))="membership"),"",IF(OR(AND($H437&lt;&gt;"",$H437=0),LEFT(LOWER(TRIM($F437&amp;"")),9)="free game",LOWER(TRIM($F437&amp;""))="free",LOWER(TRIM($F437&amp;""))="free entry"),IF(ISNUMBER($G437),IF(ISNUMBER(SEARCH("non",LOWER($E437&amp;""))),$G437*0.85,$G437),"N/A"),IF($G437="","",IFERROR(IF(ISNUMBER(SEARCH("non",LOWER($E437&amp;""))),$G437*0.85,$G437),"")))))</ns0:f>
        <ns0:v/>
      </ns0:c>
      <ns0:c r="O437" s="987" t="str">
        <ns0:f>IF(COUNTA($A437:$M437)=0,"",IF(OR(LEFT(LOWER(TRIM($F437&amp;"")),12)="subscription",LOWER(TRIM($F437&amp;""))="membership"),"",IF(OR(AND($H437&lt;&gt;"",$H437=0),LEFT(LOWER(TRIM($F437&amp;"")),9)="free game",LOWER(TRIM($F437&amp;""))="free",LOWER(TRIM($F437&amp;""))="free entry"),IF(OR(NOT(ISNUMBER($N437)),NOT(ISNUMBER($I437)),$I437=0),"N/A",IFERROR($N437/$I437,"N/A")),IF(OR($N437="",$I437="",$I437=0),"",IFERROR($N437/$I437,"")))))</ns0:f>
        <ns0:v/>
      </ns0:c>
      <ns0:c r="P437" s="987">
        <ns0:f>IF(COUNTA($A437:$M437)=0,"",IF(OR(LEFT(LOWER(TRIM($F437&amp;"")),12)="subscription",LOWER(TRIM($F437&amp;""))="membership"),"",IF(LOWER(TRIM($D437&amp;""))="estimate","N/A",IF(LOWER($L437&amp;"")="yes",0,IF(OR(AND($H437&lt;&gt;"",$H437=0),LEFT(LOWER(TRIM($F437&amp;"")),9)="free game",LOWER(TRIM($F437&amp;""))="free",LOWER(TRIM($F437&amp;""))="free entry"),IF(ISNUMBER($K437),$K437,""),IF($K437&lt;&gt;"",$K437,""))))))</ns0:f>
      </ns0:c>
      <ns0:c r="Q437" s="114">
        <ns0:f>IF(COUNTA($A437:$M437)=0,"",IF(OR($U437="Subscription",$U437=""),"",IF($U437="Estimate","N/A",IF($U437="Profit",ROUND(IFERROR($P437,0)-IFERROR($H437,0),2),0))))</ns0:f>
      </ns0:c>
      <ns0:c r="R437" s="114">
        <ns0:f>IF(COUNTA($A437:$M437)=0,"",IF(OR($U437="Subscription",$U437=""),"",IF($U437="Estimate","N/A",IF($U437="Draw",$H437,0))))</ns0:f>
      </ns0:c>
      <ns0:c r="S437" s="114">
        <ns0:f>IF(COUNTA($A437:$M437)=0,"",IF(OR($U437="Subscription",$U437=""),"",IF($U437="Estimate","N/A",IF($U437="Disqualified",$H437,0))))</ns0:f>
      </ns0:c>
      <ns0:c r="T437" s="955">
        <ns0:f>IF(COUNTA($A437:$M437)=0,"",IF(OR($U437="Subscription",$U437=""),"",IF($U437="Estimate","N/A",IF(OR($U437="Free Game",$U437="Disqualified — Free Game",$H437=0),"N/A",IF($U437="Profit",$Q437/$H437,IF($U437="Disqualified",-$S437/$H437,0))))))</ns0:f>
      </ns0:c>
      <ns0:c r="U437" s="920">
        <ns0:f>IF(COUNTA($A437:$M437)=0,"",IF(OR(LEFT(LOWER(TRIM($F437&amp;"")),12)="subscription",LOWER(TRIM($F437&amp;""))="membership"),"Subscription",IF(LOWER(TRIM($D437&amp;""))="estimate","Estimate",IF(OR(AND($H437&lt;&gt;"",$H437=0),LEFT(LOWER(TRIM($F437&amp;"")),9)="free game",LOWER(TRIM($F437&amp;""))="free",LOWER(TRIM($F437&amp;""))="free entry"),IF(LOWER($L437&amp;"")="yes","Disqualified — Free Game","Free Game"),IF(LOWER($L437&amp;"")="yes","Disqualified",IF($P437="","",IF(ROUND(IFERROR(VALUE($P437),0)-IFERROR(VALUE($H437),0),2)&gt;0,"Profit","Draw")))))))</ns0:f>
      </ns0:c>
      <ns0:c r="V437" s="956" t="str">
        <ns0:f>IF(COUNTA($A437:$M437)=0,"",IF(OR($B437="",$C437="",$U437="Subscription"),"",IFERROR(ROUNDUP(($C437-$B437)/7,0),"")))</ns0:f>
      </ns0:c>
      <ns0:c r="W437" s="114">
        <ns0:f>IF(COUNTA($A437:$M437)=0,"",IF(OR($U437="Subscription",$U437=""),"",IF($U437="Estimate","N/A",IF(OR($U437="Free Game",$U437="Disqualified — Free Game"),0,ROUND(IFERROR($Q437,0)-IFERROR($S437,0),2)))))</ns0:f>
      </ns0:c>
      <ns0:c r="X437" s="956" t="str">
        <ns0:f>IF(COUNTA($A437:$M437)=0,"",IF(OR($U437="Subscription",NOT(ISNUMBER($J437)),NOT(ISNUMBER($I437)),$J437=0,$I437=0,$I437&gt;$J437),"",$J437-$I437))</ns0:f>
      </ns0:c>
      <ns0:c r="Y437" s="955" t="str">
        <ns0:f>IF(COUNTA($A437:$M437)=0,"",IF(OR($U437="Subscription",NOT(ISNUMBER($J437)),$J437=0,$X437=""),"",$X437/$J437))</ns0:f>
      </ns0:c>
      <ns0:c r="Z437" s="957" t="str">
        <ns0:f>IF(COUNTA($A437:$M437)=0,"",Instructions!$B$29+SUM($W$5:W437))</ns0:f>
      </ns0:c>
    </ns0:row>
    <ns0:row r="438" ht="36" customHeight="1">
      <ns0:c r="A438" s="439"/>
      <ns0:c r="B438" s="453"/>
      <ns0:c r="C438" s="453"/>
      <ns0:c r="D438" s="454"/>
      <ns0:c r="E438" s="454"/>
      <ns0:c r="F438" s="454"/>
      <ns0:c r="G438" s="986"/>
      <ns0:c r="H438" s="455"/>
      <ns0:c r="I438" s="456"/>
      <ns0:c r="J438" s="456"/>
      <ns0:c r="K438" s="986"/>
      <ns0:c r="L438" s="454"/>
      <ns0:c r="M438" s="439"/>
      <ns0:c r="N438" s="987" t="str">
        <ns0:f>IF(COUNTA($A438:$M438)=0,"",IF(OR(LEFT(LOWER(TRIM($F438&amp;"")),12)="subscription",LOWER(TRIM($F438&amp;""))="membership"),"",IF(OR(AND($H438&lt;&gt;"",$H438=0),LEFT(LOWER(TRIM($F438&amp;"")),9)="free game",LOWER(TRIM($F438&amp;""))="free",LOWER(TRIM($F438&amp;""))="free entry"),IF(ISNUMBER($G438),IF(ISNUMBER(SEARCH("non",LOWER($E438&amp;""))),$G438*0.85,$G438),"N/A"),IF($G438="","",IFERROR(IF(ISNUMBER(SEARCH("non",LOWER($E438&amp;""))),$G438*0.85,$G438),"")))))</ns0:f>
        <ns0:v/>
      </ns0:c>
      <ns0:c r="O438" s="987" t="str">
        <ns0:f>IF(COUNTA($A438:$M438)=0,"",IF(OR(LEFT(LOWER(TRIM($F438&amp;"")),12)="subscription",LOWER(TRIM($F438&amp;""))="membership"),"",IF(OR(AND($H438&lt;&gt;"",$H438=0),LEFT(LOWER(TRIM($F438&amp;"")),9)="free game",LOWER(TRIM($F438&amp;""))="free",LOWER(TRIM($F438&amp;""))="free entry"),IF(OR(NOT(ISNUMBER($N438)),NOT(ISNUMBER($I438)),$I438=0),"N/A",IFERROR($N438/$I438,"N/A")),IF(OR($N438="",$I438="",$I438=0),"",IFERROR($N438/$I438,"")))))</ns0:f>
        <ns0:v/>
      </ns0:c>
      <ns0:c r="P438" s="987">
        <ns0:f>IF(COUNTA($A438:$M438)=0,"",IF(OR(LEFT(LOWER(TRIM($F438&amp;"")),12)="subscription",LOWER(TRIM($F438&amp;""))="membership"),"",IF(LOWER(TRIM($D438&amp;""))="estimate","N/A",IF(LOWER($L438&amp;"")="yes",0,IF(OR(AND($H438&lt;&gt;"",$H438=0),LEFT(LOWER(TRIM($F438&amp;"")),9)="free game",LOWER(TRIM($F438&amp;""))="free",LOWER(TRIM($F438&amp;""))="free entry"),IF(ISNUMBER($K438),$K438,""),IF($K438&lt;&gt;"",$K438,""))))))</ns0:f>
      </ns0:c>
      <ns0:c r="Q438" s="114">
        <ns0:f>IF(COUNTA($A438:$M438)=0,"",IF(OR($U438="Subscription",$U438=""),"",IF($U438="Estimate","N/A",IF($U438="Profit",ROUND(IFERROR($P438,0)-IFERROR($H438,0),2),0))))</ns0:f>
      </ns0:c>
      <ns0:c r="R438" s="114">
        <ns0:f>IF(COUNTA($A438:$M438)=0,"",IF(OR($U438="Subscription",$U438=""),"",IF($U438="Estimate","N/A",IF($U438="Draw",$H438,0))))</ns0:f>
      </ns0:c>
      <ns0:c r="S438" s="114">
        <ns0:f>IF(COUNTA($A438:$M438)=0,"",IF(OR($U438="Subscription",$U438=""),"",IF($U438="Estimate","N/A",IF($U438="Disqualified",$H438,0))))</ns0:f>
      </ns0:c>
      <ns0:c r="T438" s="955">
        <ns0:f>IF(COUNTA($A438:$M438)=0,"",IF(OR($U438="Subscription",$U438=""),"",IF($U438="Estimate","N/A",IF(OR($U438="Free Game",$U438="Disqualified — Free Game",$H438=0),"N/A",IF($U438="Profit",$Q438/$H438,IF($U438="Disqualified",-$S438/$H438,0))))))</ns0:f>
      </ns0:c>
      <ns0:c r="U438" s="920">
        <ns0:f>IF(COUNTA($A438:$M438)=0,"",IF(OR(LEFT(LOWER(TRIM($F438&amp;"")),12)="subscription",LOWER(TRIM($F438&amp;""))="membership"),"Subscription",IF(LOWER(TRIM($D438&amp;""))="estimate","Estimate",IF(OR(AND($H438&lt;&gt;"",$H438=0),LEFT(LOWER(TRIM($F438&amp;"")),9)="free game",LOWER(TRIM($F438&amp;""))="free",LOWER(TRIM($F438&amp;""))="free entry"),IF(LOWER($L438&amp;"")="yes","Disqualified — Free Game","Free Game"),IF(LOWER($L438&amp;"")="yes","Disqualified",IF($P438="","",IF(ROUND(IFERROR(VALUE($P438),0)-IFERROR(VALUE($H438),0),2)&gt;0,"Profit","Draw")))))))</ns0:f>
      </ns0:c>
      <ns0:c r="V438" s="956" t="str">
        <ns0:f>IF(COUNTA($A438:$M438)=0,"",IF(OR($B438="",$C438="",$U438="Subscription"),"",IFERROR(ROUNDUP(($C438-$B438)/7,0),"")))</ns0:f>
      </ns0:c>
      <ns0:c r="W438" s="114">
        <ns0:f>IF(COUNTA($A438:$M438)=0,"",IF(OR($U438="Subscription",$U438=""),"",IF($U438="Estimate","N/A",IF(OR($U438="Free Game",$U438="Disqualified — Free Game"),0,ROUND(IFERROR($Q438,0)-IFERROR($S438,0),2)))))</ns0:f>
      </ns0:c>
      <ns0:c r="X438" s="956" t="str">
        <ns0:f>IF(COUNTA($A438:$M438)=0,"",IF(OR($U438="Subscription",NOT(ISNUMBER($J438)),NOT(ISNUMBER($I438)),$J438=0,$I438=0,$I438&gt;$J438),"",$J438-$I438))</ns0:f>
      </ns0:c>
      <ns0:c r="Y438" s="955" t="str">
        <ns0:f>IF(COUNTA($A438:$M438)=0,"",IF(OR($U438="Subscription",NOT(ISNUMBER($J438)),$J438=0,$X438=""),"",$X438/$J438))</ns0:f>
      </ns0:c>
      <ns0:c r="Z438" s="957" t="str">
        <ns0:f>IF(COUNTA($A438:$M438)=0,"",Instructions!$B$29+SUM($W$5:W438))</ns0:f>
      </ns0:c>
    </ns0:row>
    <ns0:row r="439" ht="36" customHeight="1">
      <ns0:c r="A439" s="439"/>
      <ns0:c r="B439" s="453"/>
      <ns0:c r="C439" s="453"/>
      <ns0:c r="D439" s="454"/>
      <ns0:c r="E439" s="454"/>
      <ns0:c r="F439" s="454"/>
      <ns0:c r="G439" s="986"/>
      <ns0:c r="H439" s="455"/>
      <ns0:c r="I439" s="456"/>
      <ns0:c r="J439" s="456"/>
      <ns0:c r="K439" s="986"/>
      <ns0:c r="L439" s="454"/>
      <ns0:c r="M439" s="439"/>
      <ns0:c r="N439" s="987" t="str">
        <ns0:f>IF(COUNTA($A439:$M439)=0,"",IF(OR(LEFT(LOWER(TRIM($F439&amp;"")),12)="subscription",LOWER(TRIM($F439&amp;""))="membership"),"",IF(OR(AND($H439&lt;&gt;"",$H439=0),LEFT(LOWER(TRIM($F439&amp;"")),9)="free game",LOWER(TRIM($F439&amp;""))="free",LOWER(TRIM($F439&amp;""))="free entry"),IF(ISNUMBER($G439),IF(ISNUMBER(SEARCH("non",LOWER($E439&amp;""))),$G439*0.85,$G439),"N/A"),IF($G439="","",IFERROR(IF(ISNUMBER(SEARCH("non",LOWER($E439&amp;""))),$G439*0.85,$G439),"")))))</ns0:f>
        <ns0:v/>
      </ns0:c>
      <ns0:c r="O439" s="987" t="str">
        <ns0:f>IF(COUNTA($A439:$M439)=0,"",IF(OR(LEFT(LOWER(TRIM($F439&amp;"")),12)="subscription",LOWER(TRIM($F439&amp;""))="membership"),"",IF(OR(AND($H439&lt;&gt;"",$H439=0),LEFT(LOWER(TRIM($F439&amp;"")),9)="free game",LOWER(TRIM($F439&amp;""))="free",LOWER(TRIM($F439&amp;""))="free entry"),IF(OR(NOT(ISNUMBER($N439)),NOT(ISNUMBER($I439)),$I439=0),"N/A",IFERROR($N439/$I439,"N/A")),IF(OR($N439="",$I439="",$I439=0),"",IFERROR($N439/$I439,"")))))</ns0:f>
        <ns0:v/>
      </ns0:c>
      <ns0:c r="P439" s="987">
        <ns0:f>IF(COUNTA($A439:$M439)=0,"",IF(OR(LEFT(LOWER(TRIM($F439&amp;"")),12)="subscription",LOWER(TRIM($F439&amp;""))="membership"),"",IF(LOWER(TRIM($D439&amp;""))="estimate","N/A",IF(LOWER($L439&amp;"")="yes",0,IF(OR(AND($H439&lt;&gt;"",$H439=0),LEFT(LOWER(TRIM($F439&amp;"")),9)="free game",LOWER(TRIM($F439&amp;""))="free",LOWER(TRIM($F439&amp;""))="free entry"),IF(ISNUMBER($K439),$K439,""),IF($K439&lt;&gt;"",$K439,""))))))</ns0:f>
      </ns0:c>
      <ns0:c r="Q439" s="114">
        <ns0:f>IF(COUNTA($A439:$M439)=0,"",IF(OR($U439="Subscription",$U439=""),"",IF($U439="Estimate","N/A",IF($U439="Profit",ROUND(IFERROR($P439,0)-IFERROR($H439,0),2),0))))</ns0:f>
      </ns0:c>
      <ns0:c r="R439" s="114">
        <ns0:f>IF(COUNTA($A439:$M439)=0,"",IF(OR($U439="Subscription",$U439=""),"",IF($U439="Estimate","N/A",IF($U439="Draw",$H439,0))))</ns0:f>
      </ns0:c>
      <ns0:c r="S439" s="114">
        <ns0:f>IF(COUNTA($A439:$M439)=0,"",IF(OR($U439="Subscription",$U439=""),"",IF($U439="Estimate","N/A",IF($U439="Disqualified",$H439,0))))</ns0:f>
      </ns0:c>
      <ns0:c r="T439" s="955">
        <ns0:f>IF(COUNTA($A439:$M439)=0,"",IF(OR($U439="Subscription",$U439=""),"",IF($U439="Estimate","N/A",IF(OR($U439="Free Game",$U439="Disqualified — Free Game",$H439=0),"N/A",IF($U439="Profit",$Q439/$H439,IF($U439="Disqualified",-$S439/$H439,0))))))</ns0:f>
      </ns0:c>
      <ns0:c r="U439" s="920">
        <ns0:f>IF(COUNTA($A439:$M439)=0,"",IF(OR(LEFT(LOWER(TRIM($F439&amp;"")),12)="subscription",LOWER(TRIM($F439&amp;""))="membership"),"Subscription",IF(LOWER(TRIM($D439&amp;""))="estimate","Estimate",IF(OR(AND($H439&lt;&gt;"",$H439=0),LEFT(LOWER(TRIM($F439&amp;"")),9)="free game",LOWER(TRIM($F439&amp;""))="free",LOWER(TRIM($F439&amp;""))="free entry"),IF(LOWER($L439&amp;"")="yes","Disqualified — Free Game","Free Game"),IF(LOWER($L439&amp;"")="yes","Disqualified",IF($P439="","",IF(ROUND(IFERROR(VALUE($P439),0)-IFERROR(VALUE($H439),0),2)&gt;0,"Profit","Draw")))))))</ns0:f>
      </ns0:c>
      <ns0:c r="V439" s="956" t="str">
        <ns0:f>IF(COUNTA($A439:$M439)=0,"",IF(OR($B439="",$C439="",$U439="Subscription"),"",IFERROR(ROUNDUP(($C439-$B439)/7,0),"")))</ns0:f>
      </ns0:c>
      <ns0:c r="W439" s="114">
        <ns0:f>IF(COUNTA($A439:$M439)=0,"",IF(OR($U439="Subscription",$U439=""),"",IF($U439="Estimate","N/A",IF(OR($U439="Free Game",$U439="Disqualified — Free Game"),0,ROUND(IFERROR($Q439,0)-IFERROR($S439,0),2)))))</ns0:f>
      </ns0:c>
      <ns0:c r="X439" s="956" t="str">
        <ns0:f>IF(COUNTA($A439:$M439)=0,"",IF(OR($U439="Subscription",NOT(ISNUMBER($J439)),NOT(ISNUMBER($I439)),$J439=0,$I439=0,$I439&gt;$J439),"",$J439-$I439))</ns0:f>
      </ns0:c>
      <ns0:c r="Y439" s="955" t="str">
        <ns0:f>IF(COUNTA($A439:$M439)=0,"",IF(OR($U439="Subscription",NOT(ISNUMBER($J439)),$J439=0,$X439=""),"",$X439/$J439))</ns0:f>
      </ns0:c>
      <ns0:c r="Z439" s="957" t="str">
        <ns0:f>IF(COUNTA($A439:$M439)=0,"",Instructions!$B$29+SUM($W$5:W439))</ns0:f>
      </ns0:c>
    </ns0:row>
    <ns0:row r="440" ht="36" customHeight="1">
      <ns0:c r="A440" s="439"/>
      <ns0:c r="B440" s="453"/>
      <ns0:c r="C440" s="453"/>
      <ns0:c r="D440" s="454"/>
      <ns0:c r="E440" s="454"/>
      <ns0:c r="F440" s="454"/>
      <ns0:c r="G440" s="986"/>
      <ns0:c r="H440" s="455"/>
      <ns0:c r="I440" s="456"/>
      <ns0:c r="J440" s="456"/>
      <ns0:c r="K440" s="986"/>
      <ns0:c r="L440" s="454"/>
      <ns0:c r="M440" s="439"/>
      <ns0:c r="N440" s="987" t="str">
        <ns0:f>IF(COUNTA($A440:$M440)=0,"",IF(OR(LEFT(LOWER(TRIM($F440&amp;"")),12)="subscription",LOWER(TRIM($F440&amp;""))="membership"),"",IF(OR(AND($H440&lt;&gt;"",$H440=0),LEFT(LOWER(TRIM($F440&amp;"")),9)="free game",LOWER(TRIM($F440&amp;""))="free",LOWER(TRIM($F440&amp;""))="free entry"),IF(ISNUMBER($G440),IF(ISNUMBER(SEARCH("non",LOWER($E440&amp;""))),$G440*0.85,$G440),"N/A"),IF($G440="","",IFERROR(IF(ISNUMBER(SEARCH("non",LOWER($E440&amp;""))),$G440*0.85,$G440),"")))))</ns0:f>
        <ns0:v/>
      </ns0:c>
      <ns0:c r="O440" s="987" t="str">
        <ns0:f>IF(COUNTA($A440:$M440)=0,"",IF(OR(LEFT(LOWER(TRIM($F440&amp;"")),12)="subscription",LOWER(TRIM($F440&amp;""))="membership"),"",IF(OR(AND($H440&lt;&gt;"",$H440=0),LEFT(LOWER(TRIM($F440&amp;"")),9)="free game",LOWER(TRIM($F440&amp;""))="free",LOWER(TRIM($F440&amp;""))="free entry"),IF(OR(NOT(ISNUMBER($N440)),NOT(ISNUMBER($I440)),$I440=0),"N/A",IFERROR($N440/$I440,"N/A")),IF(OR($N440="",$I440="",$I440=0),"",IFERROR($N440/$I440,"")))))</ns0:f>
        <ns0:v/>
      </ns0:c>
      <ns0:c r="P440" s="987">
        <ns0:f>IF(COUNTA($A440:$M440)=0,"",IF(OR(LEFT(LOWER(TRIM($F440&amp;"")),12)="subscription",LOWER(TRIM($F440&amp;""))="membership"),"",IF(LOWER(TRIM($D440&amp;""))="estimate","N/A",IF(LOWER($L440&amp;"")="yes",0,IF(OR(AND($H440&lt;&gt;"",$H440=0),LEFT(LOWER(TRIM($F440&amp;"")),9)="free game",LOWER(TRIM($F440&amp;""))="free",LOWER(TRIM($F440&amp;""))="free entry"),IF(ISNUMBER($K440),$K440,""),IF($K440&lt;&gt;"",$K440,""))))))</ns0:f>
      </ns0:c>
      <ns0:c r="Q440" s="114">
        <ns0:f>IF(COUNTA($A440:$M440)=0,"",IF(OR($U440="Subscription",$U440=""),"",IF($U440="Estimate","N/A",IF($U440="Profit",ROUND(IFERROR($P440,0)-IFERROR($H440,0),2),0))))</ns0:f>
      </ns0:c>
      <ns0:c r="R440" s="114">
        <ns0:f>IF(COUNTA($A440:$M440)=0,"",IF(OR($U440="Subscription",$U440=""),"",IF($U440="Estimate","N/A",IF($U440="Draw",$H440,0))))</ns0:f>
      </ns0:c>
      <ns0:c r="S440" s="114">
        <ns0:f>IF(COUNTA($A440:$M440)=0,"",IF(OR($U440="Subscription",$U440=""),"",IF($U440="Estimate","N/A",IF($U440="Disqualified",$H440,0))))</ns0:f>
      </ns0:c>
      <ns0:c r="T440" s="955">
        <ns0:f>IF(COUNTA($A440:$M440)=0,"",IF(OR($U440="Subscription",$U440=""),"",IF($U440="Estimate","N/A",IF(OR($U440="Free Game",$U440="Disqualified — Free Game",$H440=0),"N/A",IF($U440="Profit",$Q440/$H440,IF($U440="Disqualified",-$S440/$H440,0))))))</ns0:f>
      </ns0:c>
      <ns0:c r="U440" s="920">
        <ns0:f>IF(COUNTA($A440:$M440)=0,"",IF(OR(LEFT(LOWER(TRIM($F440&amp;"")),12)="subscription",LOWER(TRIM($F440&amp;""))="membership"),"Subscription",IF(LOWER(TRIM($D440&amp;""))="estimate","Estimate",IF(OR(AND($H440&lt;&gt;"",$H440=0),LEFT(LOWER(TRIM($F440&amp;"")),9)="free game",LOWER(TRIM($F440&amp;""))="free",LOWER(TRIM($F440&amp;""))="free entry"),IF(LOWER($L440&amp;"")="yes","Disqualified — Free Game","Free Game"),IF(LOWER($L440&amp;"")="yes","Disqualified",IF($P440="","",IF(ROUND(IFERROR(VALUE($P440),0)-IFERROR(VALUE($H440),0),2)&gt;0,"Profit","Draw")))))))</ns0:f>
      </ns0:c>
      <ns0:c r="V440" s="956" t="str">
        <ns0:f>IF(COUNTA($A440:$M440)=0,"",IF(OR($B440="",$C440="",$U440="Subscription"),"",IFERROR(ROUNDUP(($C440-$B440)/7,0),"")))</ns0:f>
      </ns0:c>
      <ns0:c r="W440" s="114">
        <ns0:f>IF(COUNTA($A440:$M440)=0,"",IF(OR($U440="Subscription",$U440=""),"",IF($U440="Estimate","N/A",IF(OR($U440="Free Game",$U440="Disqualified — Free Game"),0,ROUND(IFERROR($Q440,0)-IFERROR($S440,0),2)))))</ns0:f>
      </ns0:c>
      <ns0:c r="X440" s="956" t="str">
        <ns0:f>IF(COUNTA($A440:$M440)=0,"",IF(OR($U440="Subscription",NOT(ISNUMBER($J440)),NOT(ISNUMBER($I440)),$J440=0,$I440=0,$I440&gt;$J440),"",$J440-$I440))</ns0:f>
      </ns0:c>
      <ns0:c r="Y440" s="955" t="str">
        <ns0:f>IF(COUNTA($A440:$M440)=0,"",IF(OR($U440="Subscription",NOT(ISNUMBER($J440)),$J440=0,$X440=""),"",$X440/$J440))</ns0:f>
      </ns0:c>
      <ns0:c r="Z440" s="957" t="str">
        <ns0:f>IF(COUNTA($A440:$M440)=0,"",Instructions!$B$29+SUM($W$5:W440))</ns0:f>
      </ns0:c>
    </ns0:row>
    <ns0:row r="441" ht="36" customHeight="1">
      <ns0:c r="A441" s="439"/>
      <ns0:c r="B441" s="453"/>
      <ns0:c r="C441" s="453"/>
      <ns0:c r="D441" s="454"/>
      <ns0:c r="E441" s="454"/>
      <ns0:c r="F441" s="454"/>
      <ns0:c r="G441" s="986"/>
      <ns0:c r="H441" s="455"/>
      <ns0:c r="I441" s="456"/>
      <ns0:c r="J441" s="456"/>
      <ns0:c r="K441" s="986"/>
      <ns0:c r="L441" s="454"/>
      <ns0:c r="M441" s="439"/>
      <ns0:c r="N441" s="987" t="str">
        <ns0:f>IF(COUNTA($A441:$M441)=0,"",IF(OR(LEFT(LOWER(TRIM($F441&amp;"")),12)="subscription",LOWER(TRIM($F441&amp;""))="membership"),"",IF(OR(AND($H441&lt;&gt;"",$H441=0),LEFT(LOWER(TRIM($F441&amp;"")),9)="free game",LOWER(TRIM($F441&amp;""))="free",LOWER(TRIM($F441&amp;""))="free entry"),IF(ISNUMBER($G441),IF(ISNUMBER(SEARCH("non",LOWER($E441&amp;""))),$G441*0.85,$G441),"N/A"),IF($G441="","",IFERROR(IF(ISNUMBER(SEARCH("non",LOWER($E441&amp;""))),$G441*0.85,$G441),"")))))</ns0:f>
        <ns0:v/>
      </ns0:c>
      <ns0:c r="O441" s="987" t="str">
        <ns0:f>IF(COUNTA($A441:$M441)=0,"",IF(OR(LEFT(LOWER(TRIM($F441&amp;"")),12)="subscription",LOWER(TRIM($F441&amp;""))="membership"),"",IF(OR(AND($H441&lt;&gt;"",$H441=0),LEFT(LOWER(TRIM($F441&amp;"")),9)="free game",LOWER(TRIM($F441&amp;""))="free",LOWER(TRIM($F441&amp;""))="free entry"),IF(OR(NOT(ISNUMBER($N441)),NOT(ISNUMBER($I441)),$I441=0),"N/A",IFERROR($N441/$I441,"N/A")),IF(OR($N441="",$I441="",$I441=0),"",IFERROR($N441/$I441,"")))))</ns0:f>
        <ns0:v/>
      </ns0:c>
      <ns0:c r="P441" s="987">
        <ns0:f>IF(COUNTA($A441:$M441)=0,"",IF(OR(LEFT(LOWER(TRIM($F441&amp;"")),12)="subscription",LOWER(TRIM($F441&amp;""))="membership"),"",IF(LOWER(TRIM($D441&amp;""))="estimate","N/A",IF(LOWER($L441&amp;"")="yes",0,IF(OR(AND($H441&lt;&gt;"",$H441=0),LEFT(LOWER(TRIM($F441&amp;"")),9)="free game",LOWER(TRIM($F441&amp;""))="free",LOWER(TRIM($F441&amp;""))="free entry"),IF(ISNUMBER($K441),$K441,""),IF($K441&lt;&gt;"",$K441,""))))))</ns0:f>
      </ns0:c>
      <ns0:c r="Q441" s="114">
        <ns0:f>IF(COUNTA($A441:$M441)=0,"",IF(OR($U441="Subscription",$U441=""),"",IF($U441="Estimate","N/A",IF($U441="Profit",ROUND(IFERROR($P441,0)-IFERROR($H441,0),2),0))))</ns0:f>
      </ns0:c>
      <ns0:c r="R441" s="114">
        <ns0:f>IF(COUNTA($A441:$M441)=0,"",IF(OR($U441="Subscription",$U441=""),"",IF($U441="Estimate","N/A",IF($U441="Draw",$H441,0))))</ns0:f>
      </ns0:c>
      <ns0:c r="S441" s="114">
        <ns0:f>IF(COUNTA($A441:$M441)=0,"",IF(OR($U441="Subscription",$U441=""),"",IF($U441="Estimate","N/A",IF($U441="Disqualified",$H441,0))))</ns0:f>
      </ns0:c>
      <ns0:c r="T441" s="955">
        <ns0:f>IF(COUNTA($A441:$M441)=0,"",IF(OR($U441="Subscription",$U441=""),"",IF($U441="Estimate","N/A",IF(OR($U441="Free Game",$U441="Disqualified — Free Game",$H441=0),"N/A",IF($U441="Profit",$Q441/$H441,IF($U441="Disqualified",-$S441/$H441,0))))))</ns0:f>
      </ns0:c>
      <ns0:c r="U441" s="920">
        <ns0:f>IF(COUNTA($A441:$M441)=0,"",IF(OR(LEFT(LOWER(TRIM($F441&amp;"")),12)="subscription",LOWER(TRIM($F441&amp;""))="membership"),"Subscription",IF(LOWER(TRIM($D441&amp;""))="estimate","Estimate",IF(OR(AND($H441&lt;&gt;"",$H441=0),LEFT(LOWER(TRIM($F441&amp;"")),9)="free game",LOWER(TRIM($F441&amp;""))="free",LOWER(TRIM($F441&amp;""))="free entry"),IF(LOWER($L441&amp;"")="yes","Disqualified — Free Game","Free Game"),IF(LOWER($L441&amp;"")="yes","Disqualified",IF($P441="","",IF(ROUND(IFERROR(VALUE($P441),0)-IFERROR(VALUE($H441),0),2)&gt;0,"Profit","Draw")))))))</ns0:f>
      </ns0:c>
      <ns0:c r="V441" s="956" t="str">
        <ns0:f>IF(COUNTA($A441:$M441)=0,"",IF(OR($B441="",$C441="",$U441="Subscription"),"",IFERROR(ROUNDUP(($C441-$B441)/7,0),"")))</ns0:f>
      </ns0:c>
      <ns0:c r="W441" s="114">
        <ns0:f>IF(COUNTA($A441:$M441)=0,"",IF(OR($U441="Subscription",$U441=""),"",IF($U441="Estimate","N/A",IF(OR($U441="Free Game",$U441="Disqualified — Free Game"),0,ROUND(IFERROR($Q441,0)-IFERROR($S441,0),2)))))</ns0:f>
      </ns0:c>
      <ns0:c r="X441" s="956" t="str">
        <ns0:f>IF(COUNTA($A441:$M441)=0,"",IF(OR($U441="Subscription",NOT(ISNUMBER($J441)),NOT(ISNUMBER($I441)),$J441=0,$I441=0,$I441&gt;$J441),"",$J441-$I441))</ns0:f>
      </ns0:c>
      <ns0:c r="Y441" s="955" t="str">
        <ns0:f>IF(COUNTA($A441:$M441)=0,"",IF(OR($U441="Subscription",NOT(ISNUMBER($J441)),$J441=0,$X441=""),"",$X441/$J441))</ns0:f>
      </ns0:c>
      <ns0:c r="Z441" s="957" t="str">
        <ns0:f>IF(COUNTA($A441:$M441)=0,"",Instructions!$B$29+SUM($W$5:W441))</ns0:f>
      </ns0:c>
    </ns0:row>
    <ns0:row r="442" ht="36" customHeight="1">
      <ns0:c r="A442" s="439"/>
      <ns0:c r="B442" s="453"/>
      <ns0:c r="C442" s="453"/>
      <ns0:c r="D442" s="454"/>
      <ns0:c r="E442" s="454"/>
      <ns0:c r="F442" s="454"/>
      <ns0:c r="G442" s="986"/>
      <ns0:c r="H442" s="455"/>
      <ns0:c r="I442" s="456"/>
      <ns0:c r="J442" s="456"/>
      <ns0:c r="K442" s="986"/>
      <ns0:c r="L442" s="454"/>
      <ns0:c r="M442" s="439"/>
      <ns0:c r="N442" s="987" t="str">
        <ns0:f>IF(COUNTA($A442:$M442)=0,"",IF(OR(LEFT(LOWER(TRIM($F442&amp;"")),12)="subscription",LOWER(TRIM($F442&amp;""))="membership"),"",IF(OR(AND($H442&lt;&gt;"",$H442=0),LEFT(LOWER(TRIM($F442&amp;"")),9)="free game",LOWER(TRIM($F442&amp;""))="free",LOWER(TRIM($F442&amp;""))="free entry"),IF(ISNUMBER($G442),IF(ISNUMBER(SEARCH("non",LOWER($E442&amp;""))),$G442*0.85,$G442),"N/A"),IF($G442="","",IFERROR(IF(ISNUMBER(SEARCH("non",LOWER($E442&amp;""))),$G442*0.85,$G442),"")))))</ns0:f>
        <ns0:v/>
      </ns0:c>
      <ns0:c r="O442" s="987" t="str">
        <ns0:f>IF(COUNTA($A442:$M442)=0,"",IF(OR(LEFT(LOWER(TRIM($F442&amp;"")),12)="subscription",LOWER(TRIM($F442&amp;""))="membership"),"",IF(OR(AND($H442&lt;&gt;"",$H442=0),LEFT(LOWER(TRIM($F442&amp;"")),9)="free game",LOWER(TRIM($F442&amp;""))="free",LOWER(TRIM($F442&amp;""))="free entry"),IF(OR(NOT(ISNUMBER($N442)),NOT(ISNUMBER($I442)),$I442=0),"N/A",IFERROR($N442/$I442,"N/A")),IF(OR($N442="",$I442="",$I442=0),"",IFERROR($N442/$I442,"")))))</ns0:f>
        <ns0:v/>
      </ns0:c>
      <ns0:c r="P442" s="987">
        <ns0:f>IF(COUNTA($A442:$M442)=0,"",IF(OR(LEFT(LOWER(TRIM($F442&amp;"")),12)="subscription",LOWER(TRIM($F442&amp;""))="membership"),"",IF(LOWER(TRIM($D442&amp;""))="estimate","N/A",IF(LOWER($L442&amp;"")="yes",0,IF(OR(AND($H442&lt;&gt;"",$H442=0),LEFT(LOWER(TRIM($F442&amp;"")),9)="free game",LOWER(TRIM($F442&amp;""))="free",LOWER(TRIM($F442&amp;""))="free entry"),IF(ISNUMBER($K442),$K442,""),IF($K442&lt;&gt;"",$K442,""))))))</ns0:f>
      </ns0:c>
      <ns0:c r="Q442" s="114">
        <ns0:f>IF(COUNTA($A442:$M442)=0,"",IF(OR($U442="Subscription",$U442=""),"",IF($U442="Estimate","N/A",IF($U442="Profit",ROUND(IFERROR($P442,0)-IFERROR($H442,0),2),0))))</ns0:f>
      </ns0:c>
      <ns0:c r="R442" s="114">
        <ns0:f>IF(COUNTA($A442:$M442)=0,"",IF(OR($U442="Subscription",$U442=""),"",IF($U442="Estimate","N/A",IF($U442="Draw",$H442,0))))</ns0:f>
      </ns0:c>
      <ns0:c r="S442" s="114">
        <ns0:f>IF(COUNTA($A442:$M442)=0,"",IF(OR($U442="Subscription",$U442=""),"",IF($U442="Estimate","N/A",IF($U442="Disqualified",$H442,0))))</ns0:f>
      </ns0:c>
      <ns0:c r="T442" s="955">
        <ns0:f>IF(COUNTA($A442:$M442)=0,"",IF(OR($U442="Subscription",$U442=""),"",IF($U442="Estimate","N/A",IF(OR($U442="Free Game",$U442="Disqualified — Free Game",$H442=0),"N/A",IF($U442="Profit",$Q442/$H442,IF($U442="Disqualified",-$S442/$H442,0))))))</ns0:f>
      </ns0:c>
      <ns0:c r="U442" s="920">
        <ns0:f>IF(COUNTA($A442:$M442)=0,"",IF(OR(LEFT(LOWER(TRIM($F442&amp;"")),12)="subscription",LOWER(TRIM($F442&amp;""))="membership"),"Subscription",IF(LOWER(TRIM($D442&amp;""))="estimate","Estimate",IF(OR(AND($H442&lt;&gt;"",$H442=0),LEFT(LOWER(TRIM($F442&amp;"")),9)="free game",LOWER(TRIM($F442&amp;""))="free",LOWER(TRIM($F442&amp;""))="free entry"),IF(LOWER($L442&amp;"")="yes","Disqualified — Free Game","Free Game"),IF(LOWER($L442&amp;"")="yes","Disqualified",IF($P442="","",IF(ROUND(IFERROR(VALUE($P442),0)-IFERROR(VALUE($H442),0),2)&gt;0,"Profit","Draw")))))))</ns0:f>
      </ns0:c>
      <ns0:c r="V442" s="956" t="str">
        <ns0:f>IF(COUNTA($A442:$M442)=0,"",IF(OR($B442="",$C442="",$U442="Subscription"),"",IFERROR(ROUNDUP(($C442-$B442)/7,0),"")))</ns0:f>
      </ns0:c>
      <ns0:c r="W442" s="114">
        <ns0:f>IF(COUNTA($A442:$M442)=0,"",IF(OR($U442="Subscription",$U442=""),"",IF($U442="Estimate","N/A",IF(OR($U442="Free Game",$U442="Disqualified — Free Game"),0,ROUND(IFERROR($Q442,0)-IFERROR($S442,0),2)))))</ns0:f>
      </ns0:c>
      <ns0:c r="X442" s="956" t="str">
        <ns0:f>IF(COUNTA($A442:$M442)=0,"",IF(OR($U442="Subscription",NOT(ISNUMBER($J442)),NOT(ISNUMBER($I442)),$J442=0,$I442=0,$I442&gt;$J442),"",$J442-$I442))</ns0:f>
      </ns0:c>
      <ns0:c r="Y442" s="955" t="str">
        <ns0:f>IF(COUNTA($A442:$M442)=0,"",IF(OR($U442="Subscription",NOT(ISNUMBER($J442)),$J442=0,$X442=""),"",$X442/$J442))</ns0:f>
      </ns0:c>
      <ns0:c r="Z442" s="957" t="str">
        <ns0:f>IF(COUNTA($A442:$M442)=0,"",Instructions!$B$29+SUM($W$5:W442))</ns0:f>
      </ns0:c>
    </ns0:row>
    <ns0:row r="443" ht="36" customHeight="1">
      <ns0:c r="A443" s="439"/>
      <ns0:c r="B443" s="453"/>
      <ns0:c r="C443" s="453"/>
      <ns0:c r="D443" s="454"/>
      <ns0:c r="E443" s="454"/>
      <ns0:c r="F443" s="454"/>
      <ns0:c r="G443" s="986"/>
      <ns0:c r="H443" s="455"/>
      <ns0:c r="I443" s="456"/>
      <ns0:c r="J443" s="456"/>
      <ns0:c r="K443" s="986"/>
      <ns0:c r="L443" s="454"/>
      <ns0:c r="M443" s="439"/>
      <ns0:c r="N443" s="987" t="str">
        <ns0:f>IF(COUNTA($A443:$M443)=0,"",IF(OR(LEFT(LOWER(TRIM($F443&amp;"")),12)="subscription",LOWER(TRIM($F443&amp;""))="membership"),"",IF(OR(AND($H443&lt;&gt;"",$H443=0),LEFT(LOWER(TRIM($F443&amp;"")),9)="free game",LOWER(TRIM($F443&amp;""))="free",LOWER(TRIM($F443&amp;""))="free entry"),IF(ISNUMBER($G443),IF(ISNUMBER(SEARCH("non",LOWER($E443&amp;""))),$G443*0.85,$G443),"N/A"),IF($G443="","",IFERROR(IF(ISNUMBER(SEARCH("non",LOWER($E443&amp;""))),$G443*0.85,$G443),"")))))</ns0:f>
        <ns0:v/>
      </ns0:c>
      <ns0:c r="O443" s="987" t="str">
        <ns0:f>IF(COUNTA($A443:$M443)=0,"",IF(OR(LEFT(LOWER(TRIM($F443&amp;"")),12)="subscription",LOWER(TRIM($F443&amp;""))="membership"),"",IF(OR(AND($H443&lt;&gt;"",$H443=0),LEFT(LOWER(TRIM($F443&amp;"")),9)="free game",LOWER(TRIM($F443&amp;""))="free",LOWER(TRIM($F443&amp;""))="free entry"),IF(OR(NOT(ISNUMBER($N443)),NOT(ISNUMBER($I443)),$I443=0),"N/A",IFERROR($N443/$I443,"N/A")),IF(OR($N443="",$I443="",$I443=0),"",IFERROR($N443/$I443,"")))))</ns0:f>
        <ns0:v/>
      </ns0:c>
      <ns0:c r="P443" s="987">
        <ns0:f>IF(COUNTA($A443:$M443)=0,"",IF(OR(LEFT(LOWER(TRIM($F443&amp;"")),12)="subscription",LOWER(TRIM($F443&amp;""))="membership"),"",IF(LOWER(TRIM($D443&amp;""))="estimate","N/A",IF(LOWER($L443&amp;"")="yes",0,IF(OR(AND($H443&lt;&gt;"",$H443=0),LEFT(LOWER(TRIM($F443&amp;"")),9)="free game",LOWER(TRIM($F443&amp;""))="free",LOWER(TRIM($F443&amp;""))="free entry"),IF(ISNUMBER($K443),$K443,""),IF($K443&lt;&gt;"",$K443,""))))))</ns0:f>
      </ns0:c>
      <ns0:c r="Q443" s="114">
        <ns0:f>IF(COUNTA($A443:$M443)=0,"",IF(OR($U443="Subscription",$U443=""),"",IF($U443="Estimate","N/A",IF($U443="Profit",ROUND(IFERROR($P443,0)-IFERROR($H443,0),2),0))))</ns0:f>
      </ns0:c>
      <ns0:c r="R443" s="114">
        <ns0:f>IF(COUNTA($A443:$M443)=0,"",IF(OR($U443="Subscription",$U443=""),"",IF($U443="Estimate","N/A",IF($U443="Draw",$H443,0))))</ns0:f>
      </ns0:c>
      <ns0:c r="S443" s="114">
        <ns0:f>IF(COUNTA($A443:$M443)=0,"",IF(OR($U443="Subscription",$U443=""),"",IF($U443="Estimate","N/A",IF($U443="Disqualified",$H443,0))))</ns0:f>
      </ns0:c>
      <ns0:c r="T443" s="955">
        <ns0:f>IF(COUNTA($A443:$M443)=0,"",IF(OR($U443="Subscription",$U443=""),"",IF($U443="Estimate","N/A",IF(OR($U443="Free Game",$U443="Disqualified — Free Game",$H443=0),"N/A",IF($U443="Profit",$Q443/$H443,IF($U443="Disqualified",-$S443/$H443,0))))))</ns0:f>
      </ns0:c>
      <ns0:c r="U443" s="920">
        <ns0:f>IF(COUNTA($A443:$M443)=0,"",IF(OR(LEFT(LOWER(TRIM($F443&amp;"")),12)="subscription",LOWER(TRIM($F443&amp;""))="membership"),"Subscription",IF(LOWER(TRIM($D443&amp;""))="estimate","Estimate",IF(OR(AND($H443&lt;&gt;"",$H443=0),LEFT(LOWER(TRIM($F443&amp;"")),9)="free game",LOWER(TRIM($F443&amp;""))="free",LOWER(TRIM($F443&amp;""))="free entry"),IF(LOWER($L443&amp;"")="yes","Disqualified — Free Game","Free Game"),IF(LOWER($L443&amp;"")="yes","Disqualified",IF($P443="","",IF(ROUND(IFERROR(VALUE($P443),0)-IFERROR(VALUE($H443),0),2)&gt;0,"Profit","Draw")))))))</ns0:f>
      </ns0:c>
      <ns0:c r="V443" s="956" t="str">
        <ns0:f>IF(COUNTA($A443:$M443)=0,"",IF(OR($B443="",$C443="",$U443="Subscription"),"",IFERROR(ROUNDUP(($C443-$B443)/7,0),"")))</ns0:f>
      </ns0:c>
      <ns0:c r="W443" s="114">
        <ns0:f>IF(COUNTA($A443:$M443)=0,"",IF(OR($U443="Subscription",$U443=""),"",IF($U443="Estimate","N/A",IF(OR($U443="Free Game",$U443="Disqualified — Free Game"),0,ROUND(IFERROR($Q443,0)-IFERROR($S443,0),2)))))</ns0:f>
      </ns0:c>
      <ns0:c r="X443" s="956" t="str">
        <ns0:f>IF(COUNTA($A443:$M443)=0,"",IF(OR($U443="Subscription",NOT(ISNUMBER($J443)),NOT(ISNUMBER($I443)),$J443=0,$I443=0,$I443&gt;$J443),"",$J443-$I443))</ns0:f>
      </ns0:c>
      <ns0:c r="Y443" s="955" t="str">
        <ns0:f>IF(COUNTA($A443:$M443)=0,"",IF(OR($U443="Subscription",NOT(ISNUMBER($J443)),$J443=0,$X443=""),"",$X443/$J443))</ns0:f>
      </ns0:c>
      <ns0:c r="Z443" s="957" t="str">
        <ns0:f>IF(COUNTA($A443:$M443)=0,"",Instructions!$B$29+SUM($W$5:W443))</ns0:f>
      </ns0:c>
    </ns0:row>
    <ns0:row r="444" ht="36" customHeight="1">
      <ns0:c r="A444" s="439"/>
      <ns0:c r="B444" s="453"/>
      <ns0:c r="C444" s="453"/>
      <ns0:c r="D444" s="454"/>
      <ns0:c r="E444" s="454"/>
      <ns0:c r="F444" s="454"/>
      <ns0:c r="G444" s="986"/>
      <ns0:c r="H444" s="455"/>
      <ns0:c r="I444" s="456"/>
      <ns0:c r="J444" s="456"/>
      <ns0:c r="K444" s="986"/>
      <ns0:c r="L444" s="454"/>
      <ns0:c r="M444" s="439"/>
      <ns0:c r="N444" s="987" t="str">
        <ns0:f>IF(COUNTA($A444:$M444)=0,"",IF(OR(LEFT(LOWER(TRIM($F444&amp;"")),12)="subscription",LOWER(TRIM($F444&amp;""))="membership"),"",IF(OR(AND($H444&lt;&gt;"",$H444=0),LEFT(LOWER(TRIM($F444&amp;"")),9)="free game",LOWER(TRIM($F444&amp;""))="free",LOWER(TRIM($F444&amp;""))="free entry"),IF(ISNUMBER($G444),IF(ISNUMBER(SEARCH("non",LOWER($E444&amp;""))),$G444*0.85,$G444),"N/A"),IF($G444="","",IFERROR(IF(ISNUMBER(SEARCH("non",LOWER($E444&amp;""))),$G444*0.85,$G444),"")))))</ns0:f>
        <ns0:v/>
      </ns0:c>
      <ns0:c r="O444" s="987" t="str">
        <ns0:f>IF(COUNTA($A444:$M444)=0,"",IF(OR(LEFT(LOWER(TRIM($F444&amp;"")),12)="subscription",LOWER(TRIM($F444&amp;""))="membership"),"",IF(OR(AND($H444&lt;&gt;"",$H444=0),LEFT(LOWER(TRIM($F444&amp;"")),9)="free game",LOWER(TRIM($F444&amp;""))="free",LOWER(TRIM($F444&amp;""))="free entry"),IF(OR(NOT(ISNUMBER($N444)),NOT(ISNUMBER($I444)),$I444=0),"N/A",IFERROR($N444/$I444,"N/A")),IF(OR($N444="",$I444="",$I444=0),"",IFERROR($N444/$I444,"")))))</ns0:f>
        <ns0:v/>
      </ns0:c>
      <ns0:c r="P444" s="987">
        <ns0:f>IF(COUNTA($A444:$M444)=0,"",IF(OR(LEFT(LOWER(TRIM($F444&amp;"")),12)="subscription",LOWER(TRIM($F444&amp;""))="membership"),"",IF(LOWER(TRIM($D444&amp;""))="estimate","N/A",IF(LOWER($L444&amp;"")="yes",0,IF(OR(AND($H444&lt;&gt;"",$H444=0),LEFT(LOWER(TRIM($F444&amp;"")),9)="free game",LOWER(TRIM($F444&amp;""))="free",LOWER(TRIM($F444&amp;""))="free entry"),IF(ISNUMBER($K444),$K444,""),IF($K444&lt;&gt;"",$K444,""))))))</ns0:f>
      </ns0:c>
      <ns0:c r="Q444" s="114">
        <ns0:f>IF(COUNTA($A444:$M444)=0,"",IF(OR($U444="Subscription",$U444=""),"",IF($U444="Estimate","N/A",IF($U444="Profit",ROUND(IFERROR($P444,0)-IFERROR($H444,0),2),0))))</ns0:f>
      </ns0:c>
      <ns0:c r="R444" s="114">
        <ns0:f>IF(COUNTA($A444:$M444)=0,"",IF(OR($U444="Subscription",$U444=""),"",IF($U444="Estimate","N/A",IF($U444="Draw",$H444,0))))</ns0:f>
      </ns0:c>
      <ns0:c r="S444" s="114">
        <ns0:f>IF(COUNTA($A444:$M444)=0,"",IF(OR($U444="Subscription",$U444=""),"",IF($U444="Estimate","N/A",IF($U444="Disqualified",$H444,0))))</ns0:f>
      </ns0:c>
      <ns0:c r="T444" s="955">
        <ns0:f>IF(COUNTA($A444:$M444)=0,"",IF(OR($U444="Subscription",$U444=""),"",IF($U444="Estimate","N/A",IF(OR($U444="Free Game",$U444="Disqualified — Free Game",$H444=0),"N/A",IF($U444="Profit",$Q444/$H444,IF($U444="Disqualified",-$S444/$H444,0))))))</ns0:f>
      </ns0:c>
      <ns0:c r="U444" s="920">
        <ns0:f>IF(COUNTA($A444:$M444)=0,"",IF(OR(LEFT(LOWER(TRIM($F444&amp;"")),12)="subscription",LOWER(TRIM($F444&amp;""))="membership"),"Subscription",IF(LOWER(TRIM($D444&amp;""))="estimate","Estimate",IF(OR(AND($H444&lt;&gt;"",$H444=0),LEFT(LOWER(TRIM($F444&amp;"")),9)="free game",LOWER(TRIM($F444&amp;""))="free",LOWER(TRIM($F444&amp;""))="free entry"),IF(LOWER($L444&amp;"")="yes","Disqualified — Free Game","Free Game"),IF(LOWER($L444&amp;"")="yes","Disqualified",IF($P444="","",IF(ROUND(IFERROR(VALUE($P444),0)-IFERROR(VALUE($H444),0),2)&gt;0,"Profit","Draw")))))))</ns0:f>
      </ns0:c>
      <ns0:c r="V444" s="956" t="str">
        <ns0:f>IF(COUNTA($A444:$M444)=0,"",IF(OR($B444="",$C444="",$U444="Subscription"),"",IFERROR(ROUNDUP(($C444-$B444)/7,0),"")))</ns0:f>
      </ns0:c>
      <ns0:c r="W444" s="114">
        <ns0:f>IF(COUNTA($A444:$M444)=0,"",IF(OR($U444="Subscription",$U444=""),"",IF($U444="Estimate","N/A",IF(OR($U444="Free Game",$U444="Disqualified — Free Game"),0,ROUND(IFERROR($Q444,0)-IFERROR($S444,0),2)))))</ns0:f>
      </ns0:c>
      <ns0:c r="X444" s="956" t="str">
        <ns0:f>IF(COUNTA($A444:$M444)=0,"",IF(OR($U444="Subscription",NOT(ISNUMBER($J444)),NOT(ISNUMBER($I444)),$J444=0,$I444=0,$I444&gt;$J444),"",$J444-$I444))</ns0:f>
      </ns0:c>
      <ns0:c r="Y444" s="955" t="str">
        <ns0:f>IF(COUNTA($A444:$M444)=0,"",IF(OR($U444="Subscription",NOT(ISNUMBER($J444)),$J444=0,$X444=""),"",$X444/$J444))</ns0:f>
      </ns0:c>
      <ns0:c r="Z444" s="957" t="str">
        <ns0:f>IF(COUNTA($A444:$M444)=0,"",Instructions!$B$29+SUM($W$5:W444))</ns0:f>
      </ns0:c>
    </ns0:row>
    <ns0:row r="445" ht="36" customHeight="1">
      <ns0:c r="A445" s="439"/>
      <ns0:c r="B445" s="453"/>
      <ns0:c r="C445" s="453"/>
      <ns0:c r="D445" s="454"/>
      <ns0:c r="E445" s="454"/>
      <ns0:c r="F445" s="454"/>
      <ns0:c r="G445" s="986"/>
      <ns0:c r="H445" s="455"/>
      <ns0:c r="I445" s="456"/>
      <ns0:c r="J445" s="456"/>
      <ns0:c r="K445" s="986"/>
      <ns0:c r="L445" s="454"/>
      <ns0:c r="M445" s="439"/>
      <ns0:c r="N445" s="987" t="str">
        <ns0:f>IF(COUNTA($A445:$M445)=0,"",IF(OR(LEFT(LOWER(TRIM($F445&amp;"")),12)="subscription",LOWER(TRIM($F445&amp;""))="membership"),"",IF(OR(AND($H445&lt;&gt;"",$H445=0),LEFT(LOWER(TRIM($F445&amp;"")),9)="free game",LOWER(TRIM($F445&amp;""))="free",LOWER(TRIM($F445&amp;""))="free entry"),IF(ISNUMBER($G445),IF(ISNUMBER(SEARCH("non",LOWER($E445&amp;""))),$G445*0.85,$G445),"N/A"),IF($G445="","",IFERROR(IF(ISNUMBER(SEARCH("non",LOWER($E445&amp;""))),$G445*0.85,$G445),"")))))</ns0:f>
        <ns0:v/>
      </ns0:c>
      <ns0:c r="O445" s="987" t="str">
        <ns0:f>IF(COUNTA($A445:$M445)=0,"",IF(OR(LEFT(LOWER(TRIM($F445&amp;"")),12)="subscription",LOWER(TRIM($F445&amp;""))="membership"),"",IF(OR(AND($H445&lt;&gt;"",$H445=0),LEFT(LOWER(TRIM($F445&amp;"")),9)="free game",LOWER(TRIM($F445&amp;""))="free",LOWER(TRIM($F445&amp;""))="free entry"),IF(OR(NOT(ISNUMBER($N445)),NOT(ISNUMBER($I445)),$I445=0),"N/A",IFERROR($N445/$I445,"N/A")),IF(OR($N445="",$I445="",$I445=0),"",IFERROR($N445/$I445,"")))))</ns0:f>
        <ns0:v/>
      </ns0:c>
      <ns0:c r="P445" s="987">
        <ns0:f>IF(COUNTA($A445:$M445)=0,"",IF(OR(LEFT(LOWER(TRIM($F445&amp;"")),12)="subscription",LOWER(TRIM($F445&amp;""))="membership"),"",IF(LOWER(TRIM($D445&amp;""))="estimate","N/A",IF(LOWER($L445&amp;"")="yes",0,IF(OR(AND($H445&lt;&gt;"",$H445=0),LEFT(LOWER(TRIM($F445&amp;"")),9)="free game",LOWER(TRIM($F445&amp;""))="free",LOWER(TRIM($F445&amp;""))="free entry"),IF(ISNUMBER($K445),$K445,""),IF($K445&lt;&gt;"",$K445,""))))))</ns0:f>
      </ns0:c>
      <ns0:c r="Q445" s="114">
        <ns0:f>IF(COUNTA($A445:$M445)=0,"",IF(OR($U445="Subscription",$U445=""),"",IF($U445="Estimate","N/A",IF($U445="Profit",ROUND(IFERROR($P445,0)-IFERROR($H445,0),2),0))))</ns0:f>
      </ns0:c>
      <ns0:c r="R445" s="114">
        <ns0:f>IF(COUNTA($A445:$M445)=0,"",IF(OR($U445="Subscription",$U445=""),"",IF($U445="Estimate","N/A",IF($U445="Draw",$H445,0))))</ns0:f>
      </ns0:c>
      <ns0:c r="S445" s="114">
        <ns0:f>IF(COUNTA($A445:$M445)=0,"",IF(OR($U445="Subscription",$U445=""),"",IF($U445="Estimate","N/A",IF($U445="Disqualified",$H445,0))))</ns0:f>
      </ns0:c>
      <ns0:c r="T445" s="955">
        <ns0:f>IF(COUNTA($A445:$M445)=0,"",IF(OR($U445="Subscription",$U445=""),"",IF($U445="Estimate","N/A",IF(OR($U445="Free Game",$U445="Disqualified — Free Game",$H445=0),"N/A",IF($U445="Profit",$Q445/$H445,IF($U445="Disqualified",-$S445/$H445,0))))))</ns0:f>
      </ns0:c>
      <ns0:c r="U445" s="920">
        <ns0:f>IF(COUNTA($A445:$M445)=0,"",IF(OR(LEFT(LOWER(TRIM($F445&amp;"")),12)="subscription",LOWER(TRIM($F445&amp;""))="membership"),"Subscription",IF(LOWER(TRIM($D445&amp;""))="estimate","Estimate",IF(OR(AND($H445&lt;&gt;"",$H445=0),LEFT(LOWER(TRIM($F445&amp;"")),9)="free game",LOWER(TRIM($F445&amp;""))="free",LOWER(TRIM($F445&amp;""))="free entry"),IF(LOWER($L445&amp;"")="yes","Disqualified — Free Game","Free Game"),IF(LOWER($L445&amp;"")="yes","Disqualified",IF($P445="","",IF(ROUND(IFERROR(VALUE($P445),0)-IFERROR(VALUE($H445),0),2)&gt;0,"Profit","Draw")))))))</ns0:f>
      </ns0:c>
      <ns0:c r="V445" s="956" t="str">
        <ns0:f>IF(COUNTA($A445:$M445)=0,"",IF(OR($B445="",$C445="",$U445="Subscription"),"",IFERROR(ROUNDUP(($C445-$B445)/7,0),"")))</ns0:f>
      </ns0:c>
      <ns0:c r="W445" s="114">
        <ns0:f>IF(COUNTA($A445:$M445)=0,"",IF(OR($U445="Subscription",$U445=""),"",IF($U445="Estimate","N/A",IF(OR($U445="Free Game",$U445="Disqualified — Free Game"),0,ROUND(IFERROR($Q445,0)-IFERROR($S445,0),2)))))</ns0:f>
      </ns0:c>
      <ns0:c r="X445" s="956" t="str">
        <ns0:f>IF(COUNTA($A445:$M445)=0,"",IF(OR($U445="Subscription",NOT(ISNUMBER($J445)),NOT(ISNUMBER($I445)),$J445=0,$I445=0,$I445&gt;$J445),"",$J445-$I445))</ns0:f>
      </ns0:c>
      <ns0:c r="Y445" s="955" t="str">
        <ns0:f>IF(COUNTA($A445:$M445)=0,"",IF(OR($U445="Subscription",NOT(ISNUMBER($J445)),$J445=0,$X445=""),"",$X445/$J445))</ns0:f>
      </ns0:c>
      <ns0:c r="Z445" s="957" t="str">
        <ns0:f>IF(COUNTA($A445:$M445)=0,"",Instructions!$B$29+SUM($W$5:W445))</ns0:f>
      </ns0:c>
    </ns0:row>
    <ns0:row r="446" ht="36" customHeight="1">
      <ns0:c r="A446" s="439"/>
      <ns0:c r="B446" s="453"/>
      <ns0:c r="C446" s="453"/>
      <ns0:c r="D446" s="454"/>
      <ns0:c r="E446" s="454"/>
      <ns0:c r="F446" s="454"/>
      <ns0:c r="G446" s="986"/>
      <ns0:c r="H446" s="455"/>
      <ns0:c r="I446" s="456"/>
      <ns0:c r="J446" s="456"/>
      <ns0:c r="K446" s="986"/>
      <ns0:c r="L446" s="454"/>
      <ns0:c r="M446" s="439"/>
      <ns0:c r="N446" s="987" t="str">
        <ns0:f>IF(COUNTA($A446:$M446)=0,"",IF(OR(LEFT(LOWER(TRIM($F446&amp;"")),12)="subscription",LOWER(TRIM($F446&amp;""))="membership"),"",IF(OR(AND($H446&lt;&gt;"",$H446=0),LEFT(LOWER(TRIM($F446&amp;"")),9)="free game",LOWER(TRIM($F446&amp;""))="free",LOWER(TRIM($F446&amp;""))="free entry"),IF(ISNUMBER($G446),IF(ISNUMBER(SEARCH("non",LOWER($E446&amp;""))),$G446*0.85,$G446),"N/A"),IF($G446="","",IFERROR(IF(ISNUMBER(SEARCH("non",LOWER($E446&amp;""))),$G446*0.85,$G446),"")))))</ns0:f>
        <ns0:v/>
      </ns0:c>
      <ns0:c r="O446" s="987" t="str">
        <ns0:f>IF(COUNTA($A446:$M446)=0,"",IF(OR(LEFT(LOWER(TRIM($F446&amp;"")),12)="subscription",LOWER(TRIM($F446&amp;""))="membership"),"",IF(OR(AND($H446&lt;&gt;"",$H446=0),LEFT(LOWER(TRIM($F446&amp;"")),9)="free game",LOWER(TRIM($F446&amp;""))="free",LOWER(TRIM($F446&amp;""))="free entry"),IF(OR(NOT(ISNUMBER($N446)),NOT(ISNUMBER($I446)),$I446=0),"N/A",IFERROR($N446/$I446,"N/A")),IF(OR($N446="",$I446="",$I446=0),"",IFERROR($N446/$I446,"")))))</ns0:f>
        <ns0:v/>
      </ns0:c>
      <ns0:c r="P446" s="987">
        <ns0:f>IF(COUNTA($A446:$M446)=0,"",IF(OR(LEFT(LOWER(TRIM($F446&amp;"")),12)="subscription",LOWER(TRIM($F446&amp;""))="membership"),"",IF(LOWER(TRIM($D446&amp;""))="estimate","N/A",IF(LOWER($L446&amp;"")="yes",0,IF(OR(AND($H446&lt;&gt;"",$H446=0),LEFT(LOWER(TRIM($F446&amp;"")),9)="free game",LOWER(TRIM($F446&amp;""))="free",LOWER(TRIM($F446&amp;""))="free entry"),IF(ISNUMBER($K446),$K446,""),IF($K446&lt;&gt;"",$K446,""))))))</ns0:f>
      </ns0:c>
      <ns0:c r="Q446" s="114">
        <ns0:f>IF(COUNTA($A446:$M446)=0,"",IF(OR($U446="Subscription",$U446=""),"",IF($U446="Estimate","N/A",IF($U446="Profit",ROUND(IFERROR($P446,0)-IFERROR($H446,0),2),0))))</ns0:f>
      </ns0:c>
      <ns0:c r="R446" s="114">
        <ns0:f>IF(COUNTA($A446:$M446)=0,"",IF(OR($U446="Subscription",$U446=""),"",IF($U446="Estimate","N/A",IF($U446="Draw",$H446,0))))</ns0:f>
      </ns0:c>
      <ns0:c r="S446" s="114">
        <ns0:f>IF(COUNTA($A446:$M446)=0,"",IF(OR($U446="Subscription",$U446=""),"",IF($U446="Estimate","N/A",IF($U446="Disqualified",$H446,0))))</ns0:f>
      </ns0:c>
      <ns0:c r="T446" s="955">
        <ns0:f>IF(COUNTA($A446:$M446)=0,"",IF(OR($U446="Subscription",$U446=""),"",IF($U446="Estimate","N/A",IF(OR($U446="Free Game",$U446="Disqualified — Free Game",$H446=0),"N/A",IF($U446="Profit",$Q446/$H446,IF($U446="Disqualified",-$S446/$H446,0))))))</ns0:f>
      </ns0:c>
      <ns0:c r="U446" s="920">
        <ns0:f>IF(COUNTA($A446:$M446)=0,"",IF(OR(LEFT(LOWER(TRIM($F446&amp;"")),12)="subscription",LOWER(TRIM($F446&amp;""))="membership"),"Subscription",IF(LOWER(TRIM($D446&amp;""))="estimate","Estimate",IF(OR(AND($H446&lt;&gt;"",$H446=0),LEFT(LOWER(TRIM($F446&amp;"")),9)="free game",LOWER(TRIM($F446&amp;""))="free",LOWER(TRIM($F446&amp;""))="free entry"),IF(LOWER($L446&amp;"")="yes","Disqualified — Free Game","Free Game"),IF(LOWER($L446&amp;"")="yes","Disqualified",IF($P446="","",IF(ROUND(IFERROR(VALUE($P446),0)-IFERROR(VALUE($H446),0),2)&gt;0,"Profit","Draw")))))))</ns0:f>
      </ns0:c>
      <ns0:c r="V446" s="956" t="str">
        <ns0:f>IF(COUNTA($A446:$M446)=0,"",IF(OR($B446="",$C446="",$U446="Subscription"),"",IFERROR(ROUNDUP(($C446-$B446)/7,0),"")))</ns0:f>
      </ns0:c>
      <ns0:c r="W446" s="114">
        <ns0:f>IF(COUNTA($A446:$M446)=0,"",IF(OR($U446="Subscription",$U446=""),"",IF($U446="Estimate","N/A",IF(OR($U446="Free Game",$U446="Disqualified — Free Game"),0,ROUND(IFERROR($Q446,0)-IFERROR($S446,0),2)))))</ns0:f>
      </ns0:c>
      <ns0:c r="X446" s="956" t="str">
        <ns0:f>IF(COUNTA($A446:$M446)=0,"",IF(OR($U446="Subscription",NOT(ISNUMBER($J446)),NOT(ISNUMBER($I446)),$J446=0,$I446=0,$I446&gt;$J446),"",$J446-$I446))</ns0:f>
      </ns0:c>
      <ns0:c r="Y446" s="955" t="str">
        <ns0:f>IF(COUNTA($A446:$M446)=0,"",IF(OR($U446="Subscription",NOT(ISNUMBER($J446)),$J446=0,$X446=""),"",$X446/$J446))</ns0:f>
      </ns0:c>
      <ns0:c r="Z446" s="957" t="str">
        <ns0:f>IF(COUNTA($A446:$M446)=0,"",Instructions!$B$29+SUM($W$5:W446))</ns0:f>
      </ns0:c>
    </ns0:row>
    <ns0:row r="447" ht="36" customHeight="1">
      <ns0:c r="A447" s="439"/>
      <ns0:c r="B447" s="453"/>
      <ns0:c r="C447" s="453"/>
      <ns0:c r="D447" s="454"/>
      <ns0:c r="E447" s="454"/>
      <ns0:c r="F447" s="454"/>
      <ns0:c r="G447" s="986"/>
      <ns0:c r="H447" s="455"/>
      <ns0:c r="I447" s="456"/>
      <ns0:c r="J447" s="456"/>
      <ns0:c r="K447" s="986"/>
      <ns0:c r="L447" s="454"/>
      <ns0:c r="M447" s="439"/>
      <ns0:c r="N447" s="987" t="str">
        <ns0:f>IF(COUNTA($A447:$M447)=0,"",IF(OR(LEFT(LOWER(TRIM($F447&amp;"")),12)="subscription",LOWER(TRIM($F447&amp;""))="membership"),"",IF(OR(AND($H447&lt;&gt;"",$H447=0),LEFT(LOWER(TRIM($F447&amp;"")),9)="free game",LOWER(TRIM($F447&amp;""))="free",LOWER(TRIM($F447&amp;""))="free entry"),IF(ISNUMBER($G447),IF(ISNUMBER(SEARCH("non",LOWER($E447&amp;""))),$G447*0.85,$G447),"N/A"),IF($G447="","",IFERROR(IF(ISNUMBER(SEARCH("non",LOWER($E447&amp;""))),$G447*0.85,$G447),"")))))</ns0:f>
        <ns0:v/>
      </ns0:c>
      <ns0:c r="O447" s="987" t="str">
        <ns0:f>IF(COUNTA($A447:$M447)=0,"",IF(OR(LEFT(LOWER(TRIM($F447&amp;"")),12)="subscription",LOWER(TRIM($F447&amp;""))="membership"),"",IF(OR(AND($H447&lt;&gt;"",$H447=0),LEFT(LOWER(TRIM($F447&amp;"")),9)="free game",LOWER(TRIM($F447&amp;""))="free",LOWER(TRIM($F447&amp;""))="free entry"),IF(OR(NOT(ISNUMBER($N447)),NOT(ISNUMBER($I447)),$I447=0),"N/A",IFERROR($N447/$I447,"N/A")),IF(OR($N447="",$I447="",$I447=0),"",IFERROR($N447/$I447,"")))))</ns0:f>
        <ns0:v/>
      </ns0:c>
      <ns0:c r="P447" s="987">
        <ns0:f>IF(COUNTA($A447:$M447)=0,"",IF(OR(LEFT(LOWER(TRIM($F447&amp;"")),12)="subscription",LOWER(TRIM($F447&amp;""))="membership"),"",IF(LOWER(TRIM($D447&amp;""))="estimate","N/A",IF(LOWER($L447&amp;"")="yes",0,IF(OR(AND($H447&lt;&gt;"",$H447=0),LEFT(LOWER(TRIM($F447&amp;"")),9)="free game",LOWER(TRIM($F447&amp;""))="free",LOWER(TRIM($F447&amp;""))="free entry"),IF(ISNUMBER($K447),$K447,""),IF($K447&lt;&gt;"",$K447,""))))))</ns0:f>
      </ns0:c>
      <ns0:c r="Q447" s="114">
        <ns0:f>IF(COUNTA($A447:$M447)=0,"",IF(OR($U447="Subscription",$U447=""),"",IF($U447="Estimate","N/A",IF($U447="Profit",ROUND(IFERROR($P447,0)-IFERROR($H447,0),2),0))))</ns0:f>
      </ns0:c>
      <ns0:c r="R447" s="114">
        <ns0:f>IF(COUNTA($A447:$M447)=0,"",IF(OR($U447="Subscription",$U447=""),"",IF($U447="Estimate","N/A",IF($U447="Draw",$H447,0))))</ns0:f>
      </ns0:c>
      <ns0:c r="S447" s="114">
        <ns0:f>IF(COUNTA($A447:$M447)=0,"",IF(OR($U447="Subscription",$U447=""),"",IF($U447="Estimate","N/A",IF($U447="Disqualified",$H447,0))))</ns0:f>
      </ns0:c>
      <ns0:c r="T447" s="955">
        <ns0:f>IF(COUNTA($A447:$M447)=0,"",IF(OR($U447="Subscription",$U447=""),"",IF($U447="Estimate","N/A",IF(OR($U447="Free Game",$U447="Disqualified — Free Game",$H447=0),"N/A",IF($U447="Profit",$Q447/$H447,IF($U447="Disqualified",-$S447/$H447,0))))))</ns0:f>
      </ns0:c>
      <ns0:c r="U447" s="920">
        <ns0:f>IF(COUNTA($A447:$M447)=0,"",IF(OR(LEFT(LOWER(TRIM($F447&amp;"")),12)="subscription",LOWER(TRIM($F447&amp;""))="membership"),"Subscription",IF(LOWER(TRIM($D447&amp;""))="estimate","Estimate",IF(OR(AND($H447&lt;&gt;"",$H447=0),LEFT(LOWER(TRIM($F447&amp;"")),9)="free game",LOWER(TRIM($F447&amp;""))="free",LOWER(TRIM($F447&amp;""))="free entry"),IF(LOWER($L447&amp;"")="yes","Disqualified — Free Game","Free Game"),IF(LOWER($L447&amp;"")="yes","Disqualified",IF($P447="","",IF(ROUND(IFERROR(VALUE($P447),0)-IFERROR(VALUE($H447),0),2)&gt;0,"Profit","Draw")))))))</ns0:f>
      </ns0:c>
      <ns0:c r="V447" s="956" t="str">
        <ns0:f>IF(COUNTA($A447:$M447)=0,"",IF(OR($B447="",$C447="",$U447="Subscription"),"",IFERROR(ROUNDUP(($C447-$B447)/7,0),"")))</ns0:f>
      </ns0:c>
      <ns0:c r="W447" s="114">
        <ns0:f>IF(COUNTA($A447:$M447)=0,"",IF(OR($U447="Subscription",$U447=""),"",IF($U447="Estimate","N/A",IF(OR($U447="Free Game",$U447="Disqualified — Free Game"),0,ROUND(IFERROR($Q447,0)-IFERROR($S447,0),2)))))</ns0:f>
      </ns0:c>
      <ns0:c r="X447" s="956" t="str">
        <ns0:f>IF(COUNTA($A447:$M447)=0,"",IF(OR($U447="Subscription",NOT(ISNUMBER($J447)),NOT(ISNUMBER($I447)),$J447=0,$I447=0,$I447&gt;$J447),"",$J447-$I447))</ns0:f>
      </ns0:c>
      <ns0:c r="Y447" s="955" t="str">
        <ns0:f>IF(COUNTA($A447:$M447)=0,"",IF(OR($U447="Subscription",NOT(ISNUMBER($J447)),$J447=0,$X447=""),"",$X447/$J447))</ns0:f>
      </ns0:c>
      <ns0:c r="Z447" s="957" t="str">
        <ns0:f>IF(COUNTA($A447:$M447)=0,"",Instructions!$B$29+SUM($W$5:W447))</ns0:f>
      </ns0:c>
    </ns0:row>
    <ns0:row r="448" ht="36" customHeight="1">
      <ns0:c r="A448" s="439"/>
      <ns0:c r="B448" s="453"/>
      <ns0:c r="C448" s="453"/>
      <ns0:c r="D448" s="454"/>
      <ns0:c r="E448" s="454"/>
      <ns0:c r="F448" s="454"/>
      <ns0:c r="G448" s="986"/>
      <ns0:c r="H448" s="455"/>
      <ns0:c r="I448" s="456"/>
      <ns0:c r="J448" s="456"/>
      <ns0:c r="K448" s="986"/>
      <ns0:c r="L448" s="454"/>
      <ns0:c r="M448" s="439"/>
      <ns0:c r="N448" s="987" t="str">
        <ns0:f>IF(COUNTA($A448:$M448)=0,"",IF(OR(LEFT(LOWER(TRIM($F448&amp;"")),12)="subscription",LOWER(TRIM($F448&amp;""))="membership"),"",IF(OR(AND($H448&lt;&gt;"",$H448=0),LEFT(LOWER(TRIM($F448&amp;"")),9)="free game",LOWER(TRIM($F448&amp;""))="free",LOWER(TRIM($F448&amp;""))="free entry"),IF(ISNUMBER($G448),IF(ISNUMBER(SEARCH("non",LOWER($E448&amp;""))),$G448*0.85,$G448),"N/A"),IF($G448="","",IFERROR(IF(ISNUMBER(SEARCH("non",LOWER($E448&amp;""))),$G448*0.85,$G448),"")))))</ns0:f>
        <ns0:v/>
      </ns0:c>
      <ns0:c r="O448" s="987" t="str">
        <ns0:f>IF(COUNTA($A448:$M448)=0,"",IF(OR(LEFT(LOWER(TRIM($F448&amp;"")),12)="subscription",LOWER(TRIM($F448&amp;""))="membership"),"",IF(OR(AND($H448&lt;&gt;"",$H448=0),LEFT(LOWER(TRIM($F448&amp;"")),9)="free game",LOWER(TRIM($F448&amp;""))="free",LOWER(TRIM($F448&amp;""))="free entry"),IF(OR(NOT(ISNUMBER($N448)),NOT(ISNUMBER($I448)),$I448=0),"N/A",IFERROR($N448/$I448,"N/A")),IF(OR($N448="",$I448="",$I448=0),"",IFERROR($N448/$I448,"")))))</ns0:f>
        <ns0:v/>
      </ns0:c>
      <ns0:c r="P448" s="987">
        <ns0:f>IF(COUNTA($A448:$M448)=0,"",IF(OR(LEFT(LOWER(TRIM($F448&amp;"")),12)="subscription",LOWER(TRIM($F448&amp;""))="membership"),"",IF(LOWER(TRIM($D448&amp;""))="estimate","N/A",IF(LOWER($L448&amp;"")="yes",0,IF(OR(AND($H448&lt;&gt;"",$H448=0),LEFT(LOWER(TRIM($F448&amp;"")),9)="free game",LOWER(TRIM($F448&amp;""))="free",LOWER(TRIM($F448&amp;""))="free entry"),IF(ISNUMBER($K448),$K448,""),IF($K448&lt;&gt;"",$K448,""))))))</ns0:f>
      </ns0:c>
      <ns0:c r="Q448" s="114">
        <ns0:f>IF(COUNTA($A448:$M448)=0,"",IF(OR($U448="Subscription",$U448=""),"",IF($U448="Estimate","N/A",IF($U448="Profit",ROUND(IFERROR($P448,0)-IFERROR($H448,0),2),0))))</ns0:f>
      </ns0:c>
      <ns0:c r="R448" s="114">
        <ns0:f>IF(COUNTA($A448:$M448)=0,"",IF(OR($U448="Subscription",$U448=""),"",IF($U448="Estimate","N/A",IF($U448="Draw",$H448,0))))</ns0:f>
      </ns0:c>
      <ns0:c r="S448" s="114">
        <ns0:f>IF(COUNTA($A448:$M448)=0,"",IF(OR($U448="Subscription",$U448=""),"",IF($U448="Estimate","N/A",IF($U448="Disqualified",$H448,0))))</ns0:f>
      </ns0:c>
      <ns0:c r="T448" s="955">
        <ns0:f>IF(COUNTA($A448:$M448)=0,"",IF(OR($U448="Subscription",$U448=""),"",IF($U448="Estimate","N/A",IF(OR($U448="Free Game",$U448="Disqualified — Free Game",$H448=0),"N/A",IF($U448="Profit",$Q448/$H448,IF($U448="Disqualified",-$S448/$H448,0))))))</ns0:f>
      </ns0:c>
      <ns0:c r="U448" s="920">
        <ns0:f>IF(COUNTA($A448:$M448)=0,"",IF(OR(LEFT(LOWER(TRIM($F448&amp;"")),12)="subscription",LOWER(TRIM($F448&amp;""))="membership"),"Subscription",IF(LOWER(TRIM($D448&amp;""))="estimate","Estimate",IF(OR(AND($H448&lt;&gt;"",$H448=0),LEFT(LOWER(TRIM($F448&amp;"")),9)="free game",LOWER(TRIM($F448&amp;""))="free",LOWER(TRIM($F448&amp;""))="free entry"),IF(LOWER($L448&amp;"")="yes","Disqualified — Free Game","Free Game"),IF(LOWER($L448&amp;"")="yes","Disqualified",IF($P448="","",IF(ROUND(IFERROR(VALUE($P448),0)-IFERROR(VALUE($H448),0),2)&gt;0,"Profit","Draw")))))))</ns0:f>
      </ns0:c>
      <ns0:c r="V448" s="956" t="str">
        <ns0:f>IF(COUNTA($A448:$M448)=0,"",IF(OR($B448="",$C448="",$U448="Subscription"),"",IFERROR(ROUNDUP(($C448-$B448)/7,0),"")))</ns0:f>
      </ns0:c>
      <ns0:c r="W448" s="114">
        <ns0:f>IF(COUNTA($A448:$M448)=0,"",IF(OR($U448="Subscription",$U448=""),"",IF($U448="Estimate","N/A",IF(OR($U448="Free Game",$U448="Disqualified — Free Game"),0,ROUND(IFERROR($Q448,0)-IFERROR($S448,0),2)))))</ns0:f>
      </ns0:c>
      <ns0:c r="X448" s="956" t="str">
        <ns0:f>IF(COUNTA($A448:$M448)=0,"",IF(OR($U448="Subscription",NOT(ISNUMBER($J448)),NOT(ISNUMBER($I448)),$J448=0,$I448=0,$I448&gt;$J448),"",$J448-$I448))</ns0:f>
      </ns0:c>
      <ns0:c r="Y448" s="955" t="str">
        <ns0:f>IF(COUNTA($A448:$M448)=0,"",IF(OR($U448="Subscription",NOT(ISNUMBER($J448)),$J448=0,$X448=""),"",$X448/$J448))</ns0:f>
      </ns0:c>
      <ns0:c r="Z448" s="957" t="str">
        <ns0:f>IF(COUNTA($A448:$M448)=0,"",Instructions!$B$29+SUM($W$5:W448))</ns0:f>
      </ns0:c>
    </ns0:row>
    <ns0:row r="449" ht="36" customHeight="1">
      <ns0:c r="A449" s="439"/>
      <ns0:c r="B449" s="453"/>
      <ns0:c r="C449" s="453"/>
      <ns0:c r="D449" s="454"/>
      <ns0:c r="E449" s="454"/>
      <ns0:c r="F449" s="454"/>
      <ns0:c r="G449" s="986"/>
      <ns0:c r="H449" s="455"/>
      <ns0:c r="I449" s="456"/>
      <ns0:c r="J449" s="456"/>
      <ns0:c r="K449" s="986"/>
      <ns0:c r="L449" s="454"/>
      <ns0:c r="M449" s="439"/>
      <ns0:c r="N449" s="987" t="str">
        <ns0:f>IF(COUNTA($A449:$M449)=0,"",IF(OR(LEFT(LOWER(TRIM($F449&amp;"")),12)="subscription",LOWER(TRIM($F449&amp;""))="membership"),"",IF(OR(AND($H449&lt;&gt;"",$H449=0),LEFT(LOWER(TRIM($F449&amp;"")),9)="free game",LOWER(TRIM($F449&amp;""))="free",LOWER(TRIM($F449&amp;""))="free entry"),IF(ISNUMBER($G449),IF(ISNUMBER(SEARCH("non",LOWER($E449&amp;""))),$G449*0.85,$G449),"N/A"),IF($G449="","",IFERROR(IF(ISNUMBER(SEARCH("non",LOWER($E449&amp;""))),$G449*0.85,$G449),"")))))</ns0:f>
        <ns0:v/>
      </ns0:c>
      <ns0:c r="O449" s="987" t="str">
        <ns0:f>IF(COUNTA($A449:$M449)=0,"",IF(OR(LEFT(LOWER(TRIM($F449&amp;"")),12)="subscription",LOWER(TRIM($F449&amp;""))="membership"),"",IF(OR(AND($H449&lt;&gt;"",$H449=0),LEFT(LOWER(TRIM($F449&amp;"")),9)="free game",LOWER(TRIM($F449&amp;""))="free",LOWER(TRIM($F449&amp;""))="free entry"),IF(OR(NOT(ISNUMBER($N449)),NOT(ISNUMBER($I449)),$I449=0),"N/A",IFERROR($N449/$I449,"N/A")),IF(OR($N449="",$I449="",$I449=0),"",IFERROR($N449/$I449,"")))))</ns0:f>
        <ns0:v/>
      </ns0:c>
      <ns0:c r="P449" s="987">
        <ns0:f>IF(COUNTA($A449:$M449)=0,"",IF(OR(LEFT(LOWER(TRIM($F449&amp;"")),12)="subscription",LOWER(TRIM($F449&amp;""))="membership"),"",IF(LOWER(TRIM($D449&amp;""))="estimate","N/A",IF(LOWER($L449&amp;"")="yes",0,IF(OR(AND($H449&lt;&gt;"",$H449=0),LEFT(LOWER(TRIM($F449&amp;"")),9)="free game",LOWER(TRIM($F449&amp;""))="free",LOWER(TRIM($F449&amp;""))="free entry"),IF(ISNUMBER($K449),$K449,""),IF($K449&lt;&gt;"",$K449,""))))))</ns0:f>
      </ns0:c>
      <ns0:c r="Q449" s="114">
        <ns0:f>IF(COUNTA($A449:$M449)=0,"",IF(OR($U449="Subscription",$U449=""),"",IF($U449="Estimate","N/A",IF($U449="Profit",ROUND(IFERROR($P449,0)-IFERROR($H449,0),2),0))))</ns0:f>
      </ns0:c>
      <ns0:c r="R449" s="114">
        <ns0:f>IF(COUNTA($A449:$M449)=0,"",IF(OR($U449="Subscription",$U449=""),"",IF($U449="Estimate","N/A",IF($U449="Draw",$H449,0))))</ns0:f>
      </ns0:c>
      <ns0:c r="S449" s="114">
        <ns0:f>IF(COUNTA($A449:$M449)=0,"",IF(OR($U449="Subscription",$U449=""),"",IF($U449="Estimate","N/A",IF($U449="Disqualified",$H449,0))))</ns0:f>
      </ns0:c>
      <ns0:c r="T449" s="955">
        <ns0:f>IF(COUNTA($A449:$M449)=0,"",IF(OR($U449="Subscription",$U449=""),"",IF($U449="Estimate","N/A",IF(OR($U449="Free Game",$U449="Disqualified — Free Game",$H449=0),"N/A",IF($U449="Profit",$Q449/$H449,IF($U449="Disqualified",-$S449/$H449,0))))))</ns0:f>
      </ns0:c>
      <ns0:c r="U449" s="920">
        <ns0:f>IF(COUNTA($A449:$M449)=0,"",IF(OR(LEFT(LOWER(TRIM($F449&amp;"")),12)="subscription",LOWER(TRIM($F449&amp;""))="membership"),"Subscription",IF(LOWER(TRIM($D449&amp;""))="estimate","Estimate",IF(OR(AND($H449&lt;&gt;"",$H449=0),LEFT(LOWER(TRIM($F449&amp;"")),9)="free game",LOWER(TRIM($F449&amp;""))="free",LOWER(TRIM($F449&amp;""))="free entry"),IF(LOWER($L449&amp;"")="yes","Disqualified — Free Game","Free Game"),IF(LOWER($L449&amp;"")="yes","Disqualified",IF($P449="","",IF(ROUND(IFERROR(VALUE($P449),0)-IFERROR(VALUE($H449),0),2)&gt;0,"Profit","Draw")))))))</ns0:f>
      </ns0:c>
      <ns0:c r="V449" s="956" t="str">
        <ns0:f>IF(COUNTA($A449:$M449)=0,"",IF(OR($B449="",$C449="",$U449="Subscription"),"",IFERROR(ROUNDUP(($C449-$B449)/7,0),"")))</ns0:f>
      </ns0:c>
      <ns0:c r="W449" s="114">
        <ns0:f>IF(COUNTA($A449:$M449)=0,"",IF(OR($U449="Subscription",$U449=""),"",IF($U449="Estimate","N/A",IF(OR($U449="Free Game",$U449="Disqualified — Free Game"),0,ROUND(IFERROR($Q449,0)-IFERROR($S449,0),2)))))</ns0:f>
      </ns0:c>
      <ns0:c r="X449" s="956" t="str">
        <ns0:f>IF(COUNTA($A449:$M449)=0,"",IF(OR($U449="Subscription",NOT(ISNUMBER($J449)),NOT(ISNUMBER($I449)),$J449=0,$I449=0,$I449&gt;$J449),"",$J449-$I449))</ns0:f>
      </ns0:c>
      <ns0:c r="Y449" s="955" t="str">
        <ns0:f>IF(COUNTA($A449:$M449)=0,"",IF(OR($U449="Subscription",NOT(ISNUMBER($J449)),$J449=0,$X449=""),"",$X449/$J449))</ns0:f>
      </ns0:c>
      <ns0:c r="Z449" s="957" t="str">
        <ns0:f>IF(COUNTA($A449:$M449)=0,"",Instructions!$B$29+SUM($W$5:W449))</ns0:f>
      </ns0:c>
    </ns0:row>
    <ns0:row r="450" ht="36" customHeight="1">
      <ns0:c r="A450" s="439"/>
      <ns0:c r="B450" s="453"/>
      <ns0:c r="C450" s="453"/>
      <ns0:c r="D450" s="454"/>
      <ns0:c r="E450" s="454"/>
      <ns0:c r="F450" s="454"/>
      <ns0:c r="G450" s="986"/>
      <ns0:c r="H450" s="455"/>
      <ns0:c r="I450" s="456"/>
      <ns0:c r="J450" s="456"/>
      <ns0:c r="K450" s="986"/>
      <ns0:c r="L450" s="454"/>
      <ns0:c r="M450" s="439"/>
      <ns0:c r="N450" s="987" t="str">
        <ns0:f>IF(COUNTA($A450:$M450)=0,"",IF(OR(LEFT(LOWER(TRIM($F450&amp;"")),12)="subscription",LOWER(TRIM($F450&amp;""))="membership"),"",IF(OR(AND($H450&lt;&gt;"",$H450=0),LEFT(LOWER(TRIM($F450&amp;"")),9)="free game",LOWER(TRIM($F450&amp;""))="free",LOWER(TRIM($F450&amp;""))="free entry"),IF(ISNUMBER($G450),IF(ISNUMBER(SEARCH("non",LOWER($E450&amp;""))),$G450*0.85,$G450),"N/A"),IF($G450="","",IFERROR(IF(ISNUMBER(SEARCH("non",LOWER($E450&amp;""))),$G450*0.85,$G450),"")))))</ns0:f>
        <ns0:v/>
      </ns0:c>
      <ns0:c r="O450" s="987" t="str">
        <ns0:f>IF(COUNTA($A450:$M450)=0,"",IF(OR(LEFT(LOWER(TRIM($F450&amp;"")),12)="subscription",LOWER(TRIM($F450&amp;""))="membership"),"",IF(OR(AND($H450&lt;&gt;"",$H450=0),LEFT(LOWER(TRIM($F450&amp;"")),9)="free game",LOWER(TRIM($F450&amp;""))="free",LOWER(TRIM($F450&amp;""))="free entry"),IF(OR(NOT(ISNUMBER($N450)),NOT(ISNUMBER($I450)),$I450=0),"N/A",IFERROR($N450/$I450,"N/A")),IF(OR($N450="",$I450="",$I450=0),"",IFERROR($N450/$I450,"")))))</ns0:f>
        <ns0:v/>
      </ns0:c>
      <ns0:c r="P450" s="987">
        <ns0:f>IF(COUNTA($A450:$M450)=0,"",IF(OR(LEFT(LOWER(TRIM($F450&amp;"")),12)="subscription",LOWER(TRIM($F450&amp;""))="membership"),"",IF(LOWER(TRIM($D450&amp;""))="estimate","N/A",IF(LOWER($L450&amp;"")="yes",0,IF(OR(AND($H450&lt;&gt;"",$H450=0),LEFT(LOWER(TRIM($F450&amp;"")),9)="free game",LOWER(TRIM($F450&amp;""))="free",LOWER(TRIM($F450&amp;""))="free entry"),IF(ISNUMBER($K450),$K450,""),IF($K450&lt;&gt;"",$K450,""))))))</ns0:f>
      </ns0:c>
      <ns0:c r="Q450" s="114">
        <ns0:f>IF(COUNTA($A450:$M450)=0,"",IF(OR($U450="Subscription",$U450=""),"",IF($U450="Estimate","N/A",IF($U450="Profit",ROUND(IFERROR($P450,0)-IFERROR($H450,0),2),0))))</ns0:f>
      </ns0:c>
      <ns0:c r="R450" s="114">
        <ns0:f>IF(COUNTA($A450:$M450)=0,"",IF(OR($U450="Subscription",$U450=""),"",IF($U450="Estimate","N/A",IF($U450="Draw",$H450,0))))</ns0:f>
      </ns0:c>
      <ns0:c r="S450" s="114">
        <ns0:f>IF(COUNTA($A450:$M450)=0,"",IF(OR($U450="Subscription",$U450=""),"",IF($U450="Estimate","N/A",IF($U450="Disqualified",$H450,0))))</ns0:f>
      </ns0:c>
      <ns0:c r="T450" s="955">
        <ns0:f>IF(COUNTA($A450:$M450)=0,"",IF(OR($U450="Subscription",$U450=""),"",IF($U450="Estimate","N/A",IF(OR($U450="Free Game",$U450="Disqualified — Free Game",$H450=0),"N/A",IF($U450="Profit",$Q450/$H450,IF($U450="Disqualified",-$S450/$H450,0))))))</ns0:f>
      </ns0:c>
      <ns0:c r="U450" s="920">
        <ns0:f>IF(COUNTA($A450:$M450)=0,"",IF(OR(LEFT(LOWER(TRIM($F450&amp;"")),12)="subscription",LOWER(TRIM($F450&amp;""))="membership"),"Subscription",IF(LOWER(TRIM($D450&amp;""))="estimate","Estimate",IF(OR(AND($H450&lt;&gt;"",$H450=0),LEFT(LOWER(TRIM($F450&amp;"")),9)="free game",LOWER(TRIM($F450&amp;""))="free",LOWER(TRIM($F450&amp;""))="free entry"),IF(LOWER($L450&amp;"")="yes","Disqualified — Free Game","Free Game"),IF(LOWER($L450&amp;"")="yes","Disqualified",IF($P450="","",IF(ROUND(IFERROR(VALUE($P450),0)-IFERROR(VALUE($H450),0),2)&gt;0,"Profit","Draw")))))))</ns0:f>
      </ns0:c>
      <ns0:c r="V450" s="956" t="str">
        <ns0:f>IF(COUNTA($A450:$M450)=0,"",IF(OR($B450="",$C450="",$U450="Subscription"),"",IFERROR(ROUNDUP(($C450-$B450)/7,0),"")))</ns0:f>
      </ns0:c>
      <ns0:c r="W450" s="114">
        <ns0:f>IF(COUNTA($A450:$M450)=0,"",IF(OR($U450="Subscription",$U450=""),"",IF($U450="Estimate","N/A",IF(OR($U450="Free Game",$U450="Disqualified — Free Game"),0,ROUND(IFERROR($Q450,0)-IFERROR($S450,0),2)))))</ns0:f>
      </ns0:c>
      <ns0:c r="X450" s="956" t="str">
        <ns0:f>IF(COUNTA($A450:$M450)=0,"",IF(OR($U450="Subscription",NOT(ISNUMBER($J450)),NOT(ISNUMBER($I450)),$J450=0,$I450=0,$I450&gt;$J450),"",$J450-$I450))</ns0:f>
      </ns0:c>
      <ns0:c r="Y450" s="955" t="str">
        <ns0:f>IF(COUNTA($A450:$M450)=0,"",IF(OR($U450="Subscription",NOT(ISNUMBER($J450)),$J450=0,$X450=""),"",$X450/$J450))</ns0:f>
      </ns0:c>
      <ns0:c r="Z450" s="957" t="str">
        <ns0:f>IF(COUNTA($A450:$M450)=0,"",Instructions!$B$29+SUM($W$5:W450))</ns0:f>
      </ns0:c>
    </ns0:row>
    <ns0:row r="451" ht="36" customHeight="1">
      <ns0:c r="A451" s="439"/>
      <ns0:c r="B451" s="453"/>
      <ns0:c r="C451" s="453"/>
      <ns0:c r="D451" s="454"/>
      <ns0:c r="E451" s="454"/>
      <ns0:c r="F451" s="454"/>
      <ns0:c r="G451" s="986"/>
      <ns0:c r="H451" s="455"/>
      <ns0:c r="I451" s="456"/>
      <ns0:c r="J451" s="456"/>
      <ns0:c r="K451" s="986"/>
      <ns0:c r="L451" s="454"/>
      <ns0:c r="M451" s="439"/>
      <ns0:c r="N451" s="987" t="str">
        <ns0:f>IF(COUNTA($A451:$M451)=0,"",IF(OR(LEFT(LOWER(TRIM($F451&amp;"")),12)="subscription",LOWER(TRIM($F451&amp;""))="membership"),"",IF(OR(AND($H451&lt;&gt;"",$H451=0),LEFT(LOWER(TRIM($F451&amp;"")),9)="free game",LOWER(TRIM($F451&amp;""))="free",LOWER(TRIM($F451&amp;""))="free entry"),IF(ISNUMBER($G451),IF(ISNUMBER(SEARCH("non",LOWER($E451&amp;""))),$G451*0.85,$G451),"N/A"),IF($G451="","",IFERROR(IF(ISNUMBER(SEARCH("non",LOWER($E451&amp;""))),$G451*0.85,$G451),"")))))</ns0:f>
        <ns0:v/>
      </ns0:c>
      <ns0:c r="O451" s="987" t="str">
        <ns0:f>IF(COUNTA($A451:$M451)=0,"",IF(OR(LEFT(LOWER(TRIM($F451&amp;"")),12)="subscription",LOWER(TRIM($F451&amp;""))="membership"),"",IF(OR(AND($H451&lt;&gt;"",$H451=0),LEFT(LOWER(TRIM($F451&amp;"")),9)="free game",LOWER(TRIM($F451&amp;""))="free",LOWER(TRIM($F451&amp;""))="free entry"),IF(OR(NOT(ISNUMBER($N451)),NOT(ISNUMBER($I451)),$I451=0),"N/A",IFERROR($N451/$I451,"N/A")),IF(OR($N451="",$I451="",$I451=0),"",IFERROR($N451/$I451,"")))))</ns0:f>
        <ns0:v/>
      </ns0:c>
      <ns0:c r="P451" s="987">
        <ns0:f>IF(COUNTA($A451:$M451)=0,"",IF(OR(LEFT(LOWER(TRIM($F451&amp;"")),12)="subscription",LOWER(TRIM($F451&amp;""))="membership"),"",IF(LOWER(TRIM($D451&amp;""))="estimate","N/A",IF(LOWER($L451&amp;"")="yes",0,IF(OR(AND($H451&lt;&gt;"",$H451=0),LEFT(LOWER(TRIM($F451&amp;"")),9)="free game",LOWER(TRIM($F451&amp;""))="free",LOWER(TRIM($F451&amp;""))="free entry"),IF(ISNUMBER($K451),$K451,""),IF($K451&lt;&gt;"",$K451,""))))))</ns0:f>
      </ns0:c>
      <ns0:c r="Q451" s="114">
        <ns0:f>IF(COUNTA($A451:$M451)=0,"",IF(OR($U451="Subscription",$U451=""),"",IF($U451="Estimate","N/A",IF($U451="Profit",ROUND(IFERROR($P451,0)-IFERROR($H451,0),2),0))))</ns0:f>
      </ns0:c>
      <ns0:c r="R451" s="114">
        <ns0:f>IF(COUNTA($A451:$M451)=0,"",IF(OR($U451="Subscription",$U451=""),"",IF($U451="Estimate","N/A",IF($U451="Draw",$H451,0))))</ns0:f>
      </ns0:c>
      <ns0:c r="S451" s="114">
        <ns0:f>IF(COUNTA($A451:$M451)=0,"",IF(OR($U451="Subscription",$U451=""),"",IF($U451="Estimate","N/A",IF($U451="Disqualified",$H451,0))))</ns0:f>
      </ns0:c>
      <ns0:c r="T451" s="955">
        <ns0:f>IF(COUNTA($A451:$M451)=0,"",IF(OR($U451="Subscription",$U451=""),"",IF($U451="Estimate","N/A",IF(OR($U451="Free Game",$U451="Disqualified — Free Game",$H451=0),"N/A",IF($U451="Profit",$Q451/$H451,IF($U451="Disqualified",-$S451/$H451,0))))))</ns0:f>
      </ns0:c>
      <ns0:c r="U451" s="920">
        <ns0:f>IF(COUNTA($A451:$M451)=0,"",IF(OR(LEFT(LOWER(TRIM($F451&amp;"")),12)="subscription",LOWER(TRIM($F451&amp;""))="membership"),"Subscription",IF(LOWER(TRIM($D451&amp;""))="estimate","Estimate",IF(OR(AND($H451&lt;&gt;"",$H451=0),LEFT(LOWER(TRIM($F451&amp;"")),9)="free game",LOWER(TRIM($F451&amp;""))="free",LOWER(TRIM($F451&amp;""))="free entry"),IF(LOWER($L451&amp;"")="yes","Disqualified — Free Game","Free Game"),IF(LOWER($L451&amp;"")="yes","Disqualified",IF($P451="","",IF(ROUND(IFERROR(VALUE($P451),0)-IFERROR(VALUE($H451),0),2)&gt;0,"Profit","Draw")))))))</ns0:f>
      </ns0:c>
      <ns0:c r="V451" s="956" t="str">
        <ns0:f>IF(COUNTA($A451:$M451)=0,"",IF(OR($B451="",$C451="",$U451="Subscription"),"",IFERROR(ROUNDUP(($C451-$B451)/7,0),"")))</ns0:f>
      </ns0:c>
      <ns0:c r="W451" s="114">
        <ns0:f>IF(COUNTA($A451:$M451)=0,"",IF(OR($U451="Subscription",$U451=""),"",IF($U451="Estimate","N/A",IF(OR($U451="Free Game",$U451="Disqualified — Free Game"),0,ROUND(IFERROR($Q451,0)-IFERROR($S451,0),2)))))</ns0:f>
      </ns0:c>
      <ns0:c r="X451" s="956" t="str">
        <ns0:f>IF(COUNTA($A451:$M451)=0,"",IF(OR($U451="Subscription",NOT(ISNUMBER($J451)),NOT(ISNUMBER($I451)),$J451=0,$I451=0,$I451&gt;$J451),"",$J451-$I451))</ns0:f>
      </ns0:c>
      <ns0:c r="Y451" s="955" t="str">
        <ns0:f>IF(COUNTA($A451:$M451)=0,"",IF(OR($U451="Subscription",NOT(ISNUMBER($J451)),$J451=0,$X451=""),"",$X451/$J451))</ns0:f>
      </ns0:c>
      <ns0:c r="Z451" s="957" t="str">
        <ns0:f>IF(COUNTA($A451:$M451)=0,"",Instructions!$B$29+SUM($W$5:W451))</ns0:f>
      </ns0:c>
    </ns0:row>
    <ns0:row r="452" ht="36" customHeight="1">
      <ns0:c r="A452" s="439"/>
      <ns0:c r="B452" s="453"/>
      <ns0:c r="C452" s="453"/>
      <ns0:c r="D452" s="454"/>
      <ns0:c r="E452" s="454"/>
      <ns0:c r="F452" s="454"/>
      <ns0:c r="G452" s="986"/>
      <ns0:c r="H452" s="455"/>
      <ns0:c r="I452" s="456"/>
      <ns0:c r="J452" s="456"/>
      <ns0:c r="K452" s="986"/>
      <ns0:c r="L452" s="454"/>
      <ns0:c r="M452" s="439"/>
      <ns0:c r="N452" s="987" t="str">
        <ns0:f>IF(COUNTA($A452:$M452)=0,"",IF(OR(LEFT(LOWER(TRIM($F452&amp;"")),12)="subscription",LOWER(TRIM($F452&amp;""))="membership"),"",IF(OR(AND($H452&lt;&gt;"",$H452=0),LEFT(LOWER(TRIM($F452&amp;"")),9)="free game",LOWER(TRIM($F452&amp;""))="free",LOWER(TRIM($F452&amp;""))="free entry"),IF(ISNUMBER($G452),IF(ISNUMBER(SEARCH("non",LOWER($E452&amp;""))),$G452*0.85,$G452),"N/A"),IF($G452="","",IFERROR(IF(ISNUMBER(SEARCH("non",LOWER($E452&amp;""))),$G452*0.85,$G452),"")))))</ns0:f>
        <ns0:v/>
      </ns0:c>
      <ns0:c r="O452" s="987" t="str">
        <ns0:f>IF(COUNTA($A452:$M452)=0,"",IF(OR(LEFT(LOWER(TRIM($F452&amp;"")),12)="subscription",LOWER(TRIM($F452&amp;""))="membership"),"",IF(OR(AND($H452&lt;&gt;"",$H452=0),LEFT(LOWER(TRIM($F452&amp;"")),9)="free game",LOWER(TRIM($F452&amp;""))="free",LOWER(TRIM($F452&amp;""))="free entry"),IF(OR(NOT(ISNUMBER($N452)),NOT(ISNUMBER($I452)),$I452=0),"N/A",IFERROR($N452/$I452,"N/A")),IF(OR($N452="",$I452="",$I452=0),"",IFERROR($N452/$I452,"")))))</ns0:f>
        <ns0:v/>
      </ns0:c>
      <ns0:c r="P452" s="987">
        <ns0:f>IF(COUNTA($A452:$M452)=0,"",IF(OR(LEFT(LOWER(TRIM($F452&amp;"")),12)="subscription",LOWER(TRIM($F452&amp;""))="membership"),"",IF(LOWER(TRIM($D452&amp;""))="estimate","N/A",IF(LOWER($L452&amp;"")="yes",0,IF(OR(AND($H452&lt;&gt;"",$H452=0),LEFT(LOWER(TRIM($F452&amp;"")),9)="free game",LOWER(TRIM($F452&amp;""))="free",LOWER(TRIM($F452&amp;""))="free entry"),IF(ISNUMBER($K452),$K452,""),IF($K452&lt;&gt;"",$K452,""))))))</ns0:f>
      </ns0:c>
      <ns0:c r="Q452" s="114">
        <ns0:f>IF(COUNTA($A452:$M452)=0,"",IF(OR($U452="Subscription",$U452=""),"",IF($U452="Estimate","N/A",IF($U452="Profit",ROUND(IFERROR($P452,0)-IFERROR($H452,0),2),0))))</ns0:f>
      </ns0:c>
      <ns0:c r="R452" s="114">
        <ns0:f>IF(COUNTA($A452:$M452)=0,"",IF(OR($U452="Subscription",$U452=""),"",IF($U452="Estimate","N/A",IF($U452="Draw",$H452,0))))</ns0:f>
      </ns0:c>
      <ns0:c r="S452" s="114">
        <ns0:f>IF(COUNTA($A452:$M452)=0,"",IF(OR($U452="Subscription",$U452=""),"",IF($U452="Estimate","N/A",IF($U452="Disqualified",$H452,0))))</ns0:f>
      </ns0:c>
      <ns0:c r="T452" s="955">
        <ns0:f>IF(COUNTA($A452:$M452)=0,"",IF(OR($U452="Subscription",$U452=""),"",IF($U452="Estimate","N/A",IF(OR($U452="Free Game",$U452="Disqualified — Free Game",$H452=0),"N/A",IF($U452="Profit",$Q452/$H452,IF($U452="Disqualified",-$S452/$H452,0))))))</ns0:f>
      </ns0:c>
      <ns0:c r="U452" s="920">
        <ns0:f>IF(COUNTA($A452:$M452)=0,"",IF(OR(LEFT(LOWER(TRIM($F452&amp;"")),12)="subscription",LOWER(TRIM($F452&amp;""))="membership"),"Subscription",IF(LOWER(TRIM($D452&amp;""))="estimate","Estimate",IF(OR(AND($H452&lt;&gt;"",$H452=0),LEFT(LOWER(TRIM($F452&amp;"")),9)="free game",LOWER(TRIM($F452&amp;""))="free",LOWER(TRIM($F452&amp;""))="free entry"),IF(LOWER($L452&amp;"")="yes","Disqualified — Free Game","Free Game"),IF(LOWER($L452&amp;"")="yes","Disqualified",IF($P452="","",IF(ROUND(IFERROR(VALUE($P452),0)-IFERROR(VALUE($H452),0),2)&gt;0,"Profit","Draw")))))))</ns0:f>
      </ns0:c>
      <ns0:c r="V452" s="956" t="str">
        <ns0:f>IF(COUNTA($A452:$M452)=0,"",IF(OR($B452="",$C452="",$U452="Subscription"),"",IFERROR(ROUNDUP(($C452-$B452)/7,0),"")))</ns0:f>
      </ns0:c>
      <ns0:c r="W452" s="114">
        <ns0:f>IF(COUNTA($A452:$M452)=0,"",IF(OR($U452="Subscription",$U452=""),"",IF($U452="Estimate","N/A",IF(OR($U452="Free Game",$U452="Disqualified — Free Game"),0,ROUND(IFERROR($Q452,0)-IFERROR($S452,0),2)))))</ns0:f>
      </ns0:c>
      <ns0:c r="X452" s="956" t="str">
        <ns0:f>IF(COUNTA($A452:$M452)=0,"",IF(OR($U452="Subscription",NOT(ISNUMBER($J452)),NOT(ISNUMBER($I452)),$J452=0,$I452=0,$I452&gt;$J452),"",$J452-$I452))</ns0:f>
      </ns0:c>
      <ns0:c r="Y452" s="955" t="str">
        <ns0:f>IF(COUNTA($A452:$M452)=0,"",IF(OR($U452="Subscription",NOT(ISNUMBER($J452)),$J452=0,$X452=""),"",$X452/$J452))</ns0:f>
      </ns0:c>
      <ns0:c r="Z452" s="957" t="str">
        <ns0:f>IF(COUNTA($A452:$M452)=0,"",Instructions!$B$29+SUM($W$5:W452))</ns0:f>
      </ns0:c>
    </ns0:row>
    <ns0:row r="453" ht="36" customHeight="1">
      <ns0:c r="A453" s="439"/>
      <ns0:c r="B453" s="453"/>
      <ns0:c r="C453" s="453"/>
      <ns0:c r="D453" s="454"/>
      <ns0:c r="E453" s="454"/>
      <ns0:c r="F453" s="454"/>
      <ns0:c r="G453" s="986"/>
      <ns0:c r="H453" s="455"/>
      <ns0:c r="I453" s="456"/>
      <ns0:c r="J453" s="456"/>
      <ns0:c r="K453" s="986"/>
      <ns0:c r="L453" s="454"/>
      <ns0:c r="M453" s="439"/>
      <ns0:c r="N453" s="987" t="str">
        <ns0:f>IF(COUNTA($A453:$M453)=0,"",IF(OR(LEFT(LOWER(TRIM($F453&amp;"")),12)="subscription",LOWER(TRIM($F453&amp;""))="membership"),"",IF(OR(AND($H453&lt;&gt;"",$H453=0),LEFT(LOWER(TRIM($F453&amp;"")),9)="free game",LOWER(TRIM($F453&amp;""))="free",LOWER(TRIM($F453&amp;""))="free entry"),IF(ISNUMBER($G453),IF(ISNUMBER(SEARCH("non",LOWER($E453&amp;""))),$G453*0.85,$G453),"N/A"),IF($G453="","",IFERROR(IF(ISNUMBER(SEARCH("non",LOWER($E453&amp;""))),$G453*0.85,$G453),"")))))</ns0:f>
        <ns0:v/>
      </ns0:c>
      <ns0:c r="O453" s="987" t="str">
        <ns0:f>IF(COUNTA($A453:$M453)=0,"",IF(OR(LEFT(LOWER(TRIM($F453&amp;"")),12)="subscription",LOWER(TRIM($F453&amp;""))="membership"),"",IF(OR(AND($H453&lt;&gt;"",$H453=0),LEFT(LOWER(TRIM($F453&amp;"")),9)="free game",LOWER(TRIM($F453&amp;""))="free",LOWER(TRIM($F453&amp;""))="free entry"),IF(OR(NOT(ISNUMBER($N453)),NOT(ISNUMBER($I453)),$I453=0),"N/A",IFERROR($N453/$I453,"N/A")),IF(OR($N453="",$I453="",$I453=0),"",IFERROR($N453/$I453,"")))))</ns0:f>
        <ns0:v/>
      </ns0:c>
      <ns0:c r="P453" s="987">
        <ns0:f>IF(COUNTA($A453:$M453)=0,"",IF(OR(LEFT(LOWER(TRIM($F453&amp;"")),12)="subscription",LOWER(TRIM($F453&amp;""))="membership"),"",IF(LOWER(TRIM($D453&amp;""))="estimate","N/A",IF(LOWER($L453&amp;"")="yes",0,IF(OR(AND($H453&lt;&gt;"",$H453=0),LEFT(LOWER(TRIM($F453&amp;"")),9)="free game",LOWER(TRIM($F453&amp;""))="free",LOWER(TRIM($F453&amp;""))="free entry"),IF(ISNUMBER($K453),$K453,""),IF($K453&lt;&gt;"",$K453,""))))))</ns0:f>
      </ns0:c>
      <ns0:c r="Q453" s="114">
        <ns0:f>IF(COUNTA($A453:$M453)=0,"",IF(OR($U453="Subscription",$U453=""),"",IF($U453="Estimate","N/A",IF($U453="Profit",ROUND(IFERROR($P453,0)-IFERROR($H453,0),2),0))))</ns0:f>
      </ns0:c>
      <ns0:c r="R453" s="114">
        <ns0:f>IF(COUNTA($A453:$M453)=0,"",IF(OR($U453="Subscription",$U453=""),"",IF($U453="Estimate","N/A",IF($U453="Draw",$H453,0))))</ns0:f>
      </ns0:c>
      <ns0:c r="S453" s="114">
        <ns0:f>IF(COUNTA($A453:$M453)=0,"",IF(OR($U453="Subscription",$U453=""),"",IF($U453="Estimate","N/A",IF($U453="Disqualified",$H453,0))))</ns0:f>
      </ns0:c>
      <ns0:c r="T453" s="955">
        <ns0:f>IF(COUNTA($A453:$M453)=0,"",IF(OR($U453="Subscription",$U453=""),"",IF($U453="Estimate","N/A",IF(OR($U453="Free Game",$U453="Disqualified — Free Game",$H453=0),"N/A",IF($U453="Profit",$Q453/$H453,IF($U453="Disqualified",-$S453/$H453,0))))))</ns0:f>
      </ns0:c>
      <ns0:c r="U453" s="920">
        <ns0:f>IF(COUNTA($A453:$M453)=0,"",IF(OR(LEFT(LOWER(TRIM($F453&amp;"")),12)="subscription",LOWER(TRIM($F453&amp;""))="membership"),"Subscription",IF(LOWER(TRIM($D453&amp;""))="estimate","Estimate",IF(OR(AND($H453&lt;&gt;"",$H453=0),LEFT(LOWER(TRIM($F453&amp;"")),9)="free game",LOWER(TRIM($F453&amp;""))="free",LOWER(TRIM($F453&amp;""))="free entry"),IF(LOWER($L453&amp;"")="yes","Disqualified — Free Game","Free Game"),IF(LOWER($L453&amp;"")="yes","Disqualified",IF($P453="","",IF(ROUND(IFERROR(VALUE($P453),0)-IFERROR(VALUE($H453),0),2)&gt;0,"Profit","Draw")))))))</ns0:f>
      </ns0:c>
      <ns0:c r="V453" s="956" t="str">
        <ns0:f>IF(COUNTA($A453:$M453)=0,"",IF(OR($B453="",$C453="",$U453="Subscription"),"",IFERROR(ROUNDUP(($C453-$B453)/7,0),"")))</ns0:f>
      </ns0:c>
      <ns0:c r="W453" s="114">
        <ns0:f>IF(COUNTA($A453:$M453)=0,"",IF(OR($U453="Subscription",$U453=""),"",IF($U453="Estimate","N/A",IF(OR($U453="Free Game",$U453="Disqualified — Free Game"),0,ROUND(IFERROR($Q453,0)-IFERROR($S453,0),2)))))</ns0:f>
      </ns0:c>
      <ns0:c r="X453" s="956" t="str">
        <ns0:f>IF(COUNTA($A453:$M453)=0,"",IF(OR($U453="Subscription",NOT(ISNUMBER($J453)),NOT(ISNUMBER($I453)),$J453=0,$I453=0,$I453&gt;$J453),"",$J453-$I453))</ns0:f>
      </ns0:c>
      <ns0:c r="Y453" s="955" t="str">
        <ns0:f>IF(COUNTA($A453:$M453)=0,"",IF(OR($U453="Subscription",NOT(ISNUMBER($J453)),$J453=0,$X453=""),"",$X453/$J453))</ns0:f>
      </ns0:c>
      <ns0:c r="Z453" s="957" t="str">
        <ns0:f>IF(COUNTA($A453:$M453)=0,"",Instructions!$B$29+SUM($W$5:W453))</ns0:f>
      </ns0:c>
    </ns0:row>
    <ns0:row r="454" ht="36" customHeight="1">
      <ns0:c r="A454" s="439"/>
      <ns0:c r="B454" s="453"/>
      <ns0:c r="C454" s="453"/>
      <ns0:c r="D454" s="454"/>
      <ns0:c r="E454" s="454"/>
      <ns0:c r="F454" s="454"/>
      <ns0:c r="G454" s="986"/>
      <ns0:c r="H454" s="455"/>
      <ns0:c r="I454" s="456"/>
      <ns0:c r="J454" s="456"/>
      <ns0:c r="K454" s="986"/>
      <ns0:c r="L454" s="454"/>
      <ns0:c r="M454" s="439"/>
      <ns0:c r="N454" s="987" t="str">
        <ns0:f>IF(COUNTA($A454:$M454)=0,"",IF(OR(LEFT(LOWER(TRIM($F454&amp;"")),12)="subscription",LOWER(TRIM($F454&amp;""))="membership"),"",IF(OR(AND($H454&lt;&gt;"",$H454=0),LEFT(LOWER(TRIM($F454&amp;"")),9)="free game",LOWER(TRIM($F454&amp;""))="free",LOWER(TRIM($F454&amp;""))="free entry"),IF(ISNUMBER($G454),IF(ISNUMBER(SEARCH("non",LOWER($E454&amp;""))),$G454*0.85,$G454),"N/A"),IF($G454="","",IFERROR(IF(ISNUMBER(SEARCH("non",LOWER($E454&amp;""))),$G454*0.85,$G454),"")))))</ns0:f>
        <ns0:v/>
      </ns0:c>
      <ns0:c r="O454" s="987" t="str">
        <ns0:f>IF(COUNTA($A454:$M454)=0,"",IF(OR(LEFT(LOWER(TRIM($F454&amp;"")),12)="subscription",LOWER(TRIM($F454&amp;""))="membership"),"",IF(OR(AND($H454&lt;&gt;"",$H454=0),LEFT(LOWER(TRIM($F454&amp;"")),9)="free game",LOWER(TRIM($F454&amp;""))="free",LOWER(TRIM($F454&amp;""))="free entry"),IF(OR(NOT(ISNUMBER($N454)),NOT(ISNUMBER($I454)),$I454=0),"N/A",IFERROR($N454/$I454,"N/A")),IF(OR($N454="",$I454="",$I454=0),"",IFERROR($N454/$I454,"")))))</ns0:f>
        <ns0:v/>
      </ns0:c>
      <ns0:c r="P454" s="987">
        <ns0:f>IF(COUNTA($A454:$M454)=0,"",IF(OR(LEFT(LOWER(TRIM($F454&amp;"")),12)="subscription",LOWER(TRIM($F454&amp;""))="membership"),"",IF(LOWER(TRIM($D454&amp;""))="estimate","N/A",IF(LOWER($L454&amp;"")="yes",0,IF(OR(AND($H454&lt;&gt;"",$H454=0),LEFT(LOWER(TRIM($F454&amp;"")),9)="free game",LOWER(TRIM($F454&amp;""))="free",LOWER(TRIM($F454&amp;""))="free entry"),IF(ISNUMBER($K454),$K454,""),IF($K454&lt;&gt;"",$K454,""))))))</ns0:f>
      </ns0:c>
      <ns0:c r="Q454" s="114">
        <ns0:f>IF(COUNTA($A454:$M454)=0,"",IF(OR($U454="Subscription",$U454=""),"",IF($U454="Estimate","N/A",IF($U454="Profit",ROUND(IFERROR($P454,0)-IFERROR($H454,0),2),0))))</ns0:f>
      </ns0:c>
      <ns0:c r="R454" s="114">
        <ns0:f>IF(COUNTA($A454:$M454)=0,"",IF(OR($U454="Subscription",$U454=""),"",IF($U454="Estimate","N/A",IF($U454="Draw",$H454,0))))</ns0:f>
      </ns0:c>
      <ns0:c r="S454" s="114">
        <ns0:f>IF(COUNTA($A454:$M454)=0,"",IF(OR($U454="Subscription",$U454=""),"",IF($U454="Estimate","N/A",IF($U454="Disqualified",$H454,0))))</ns0:f>
      </ns0:c>
      <ns0:c r="T454" s="955">
        <ns0:f>IF(COUNTA($A454:$M454)=0,"",IF(OR($U454="Subscription",$U454=""),"",IF($U454="Estimate","N/A",IF(OR($U454="Free Game",$U454="Disqualified — Free Game",$H454=0),"N/A",IF($U454="Profit",$Q454/$H454,IF($U454="Disqualified",-$S454/$H454,0))))))</ns0:f>
      </ns0:c>
      <ns0:c r="U454" s="920">
        <ns0:f>IF(COUNTA($A454:$M454)=0,"",IF(OR(LEFT(LOWER(TRIM($F454&amp;"")),12)="subscription",LOWER(TRIM($F454&amp;""))="membership"),"Subscription",IF(LOWER(TRIM($D454&amp;""))="estimate","Estimate",IF(OR(AND($H454&lt;&gt;"",$H454=0),LEFT(LOWER(TRIM($F454&amp;"")),9)="free game",LOWER(TRIM($F454&amp;""))="free",LOWER(TRIM($F454&amp;""))="free entry"),IF(LOWER($L454&amp;"")="yes","Disqualified — Free Game","Free Game"),IF(LOWER($L454&amp;"")="yes","Disqualified",IF($P454="","",IF(ROUND(IFERROR(VALUE($P454),0)-IFERROR(VALUE($H454),0),2)&gt;0,"Profit","Draw")))))))</ns0:f>
      </ns0:c>
      <ns0:c r="V454" s="956" t="str">
        <ns0:f>IF(COUNTA($A454:$M454)=0,"",IF(OR($B454="",$C454="",$U454="Subscription"),"",IFERROR(ROUNDUP(($C454-$B454)/7,0),"")))</ns0:f>
      </ns0:c>
      <ns0:c r="W454" s="114">
        <ns0:f>IF(COUNTA($A454:$M454)=0,"",IF(OR($U454="Subscription",$U454=""),"",IF($U454="Estimate","N/A",IF(OR($U454="Free Game",$U454="Disqualified — Free Game"),0,ROUND(IFERROR($Q454,0)-IFERROR($S454,0),2)))))</ns0:f>
      </ns0:c>
      <ns0:c r="X454" s="956" t="str">
        <ns0:f>IF(COUNTA($A454:$M454)=0,"",IF(OR($U454="Subscription",NOT(ISNUMBER($J454)),NOT(ISNUMBER($I454)),$J454=0,$I454=0,$I454&gt;$J454),"",$J454-$I454))</ns0:f>
      </ns0:c>
      <ns0:c r="Y454" s="955" t="str">
        <ns0:f>IF(COUNTA($A454:$M454)=0,"",IF(OR($U454="Subscription",NOT(ISNUMBER($J454)),$J454=0,$X454=""),"",$X454/$J454))</ns0:f>
      </ns0:c>
      <ns0:c r="Z454" s="957" t="str">
        <ns0:f>IF(COUNTA($A454:$M454)=0,"",Instructions!$B$29+SUM($W$5:W454))</ns0:f>
      </ns0:c>
    </ns0:row>
    <ns0:row r="455" ht="36" customHeight="1">
      <ns0:c r="A455" s="439"/>
      <ns0:c r="B455" s="453"/>
      <ns0:c r="C455" s="453"/>
      <ns0:c r="D455" s="454"/>
      <ns0:c r="E455" s="454"/>
      <ns0:c r="F455" s="454"/>
      <ns0:c r="G455" s="986"/>
      <ns0:c r="H455" s="455"/>
      <ns0:c r="I455" s="456"/>
      <ns0:c r="J455" s="456"/>
      <ns0:c r="K455" s="986"/>
      <ns0:c r="L455" s="454"/>
      <ns0:c r="M455" s="439"/>
      <ns0:c r="N455" s="987" t="str">
        <ns0:f>IF(COUNTA($A455:$M455)=0,"",IF(OR(LEFT(LOWER(TRIM($F455&amp;"")),12)="subscription",LOWER(TRIM($F455&amp;""))="membership"),"",IF(OR(AND($H455&lt;&gt;"",$H455=0),LEFT(LOWER(TRIM($F455&amp;"")),9)="free game",LOWER(TRIM($F455&amp;""))="free",LOWER(TRIM($F455&amp;""))="free entry"),IF(ISNUMBER($G455),IF(ISNUMBER(SEARCH("non",LOWER($E455&amp;""))),$G455*0.85,$G455),"N/A"),IF($G455="","",IFERROR(IF(ISNUMBER(SEARCH("non",LOWER($E455&amp;""))),$G455*0.85,$G455),"")))))</ns0:f>
        <ns0:v/>
      </ns0:c>
      <ns0:c r="O455" s="987" t="str">
        <ns0:f>IF(COUNTA($A455:$M455)=0,"",IF(OR(LEFT(LOWER(TRIM($F455&amp;"")),12)="subscription",LOWER(TRIM($F455&amp;""))="membership"),"",IF(OR(AND($H455&lt;&gt;"",$H455=0),LEFT(LOWER(TRIM($F455&amp;"")),9)="free game",LOWER(TRIM($F455&amp;""))="free",LOWER(TRIM($F455&amp;""))="free entry"),IF(OR(NOT(ISNUMBER($N455)),NOT(ISNUMBER($I455)),$I455=0),"N/A",IFERROR($N455/$I455,"N/A")),IF(OR($N455="",$I455="",$I455=0),"",IFERROR($N455/$I455,"")))))</ns0:f>
        <ns0:v/>
      </ns0:c>
      <ns0:c r="P455" s="987">
        <ns0:f>IF(COUNTA($A455:$M455)=0,"",IF(OR(LEFT(LOWER(TRIM($F455&amp;"")),12)="subscription",LOWER(TRIM($F455&amp;""))="membership"),"",IF(LOWER(TRIM($D455&amp;""))="estimate","N/A",IF(LOWER($L455&amp;"")="yes",0,IF(OR(AND($H455&lt;&gt;"",$H455=0),LEFT(LOWER(TRIM($F455&amp;"")),9)="free game",LOWER(TRIM($F455&amp;""))="free",LOWER(TRIM($F455&amp;""))="free entry"),IF(ISNUMBER($K455),$K455,""),IF($K455&lt;&gt;"",$K455,""))))))</ns0:f>
      </ns0:c>
      <ns0:c r="Q455" s="114">
        <ns0:f>IF(COUNTA($A455:$M455)=0,"",IF(OR($U455="Subscription",$U455=""),"",IF($U455="Estimate","N/A",IF($U455="Profit",ROUND(IFERROR($P455,0)-IFERROR($H455,0),2),0))))</ns0:f>
      </ns0:c>
      <ns0:c r="R455" s="114">
        <ns0:f>IF(COUNTA($A455:$M455)=0,"",IF(OR($U455="Subscription",$U455=""),"",IF($U455="Estimate","N/A",IF($U455="Draw",$H455,0))))</ns0:f>
      </ns0:c>
      <ns0:c r="S455" s="114">
        <ns0:f>IF(COUNTA($A455:$M455)=0,"",IF(OR($U455="Subscription",$U455=""),"",IF($U455="Estimate","N/A",IF($U455="Disqualified",$H455,0))))</ns0:f>
      </ns0:c>
      <ns0:c r="T455" s="955">
        <ns0:f>IF(COUNTA($A455:$M455)=0,"",IF(OR($U455="Subscription",$U455=""),"",IF($U455="Estimate","N/A",IF(OR($U455="Free Game",$U455="Disqualified — Free Game",$H455=0),"N/A",IF($U455="Profit",$Q455/$H455,IF($U455="Disqualified",-$S455/$H455,0))))))</ns0:f>
      </ns0:c>
      <ns0:c r="U455" s="920">
        <ns0:f>IF(COUNTA($A455:$M455)=0,"",IF(OR(LEFT(LOWER(TRIM($F455&amp;"")),12)="subscription",LOWER(TRIM($F455&amp;""))="membership"),"Subscription",IF(LOWER(TRIM($D455&amp;""))="estimate","Estimate",IF(OR(AND($H455&lt;&gt;"",$H455=0),LEFT(LOWER(TRIM($F455&amp;"")),9)="free game",LOWER(TRIM($F455&amp;""))="free",LOWER(TRIM($F455&amp;""))="free entry"),IF(LOWER($L455&amp;"")="yes","Disqualified — Free Game","Free Game"),IF(LOWER($L455&amp;"")="yes","Disqualified",IF($P455="","",IF(ROUND(IFERROR(VALUE($P455),0)-IFERROR(VALUE($H455),0),2)&gt;0,"Profit","Draw")))))))</ns0:f>
      </ns0:c>
      <ns0:c r="V455" s="956" t="str">
        <ns0:f>IF(COUNTA($A455:$M455)=0,"",IF(OR($B455="",$C455="",$U455="Subscription"),"",IFERROR(ROUNDUP(($C455-$B455)/7,0),"")))</ns0:f>
      </ns0:c>
      <ns0:c r="W455" s="114">
        <ns0:f>IF(COUNTA($A455:$M455)=0,"",IF(OR($U455="Subscription",$U455=""),"",IF($U455="Estimate","N/A",IF(OR($U455="Free Game",$U455="Disqualified — Free Game"),0,ROUND(IFERROR($Q455,0)-IFERROR($S455,0),2)))))</ns0:f>
      </ns0:c>
      <ns0:c r="X455" s="956" t="str">
        <ns0:f>IF(COUNTA($A455:$M455)=0,"",IF(OR($U455="Subscription",NOT(ISNUMBER($J455)),NOT(ISNUMBER($I455)),$J455=0,$I455=0,$I455&gt;$J455),"",$J455-$I455))</ns0:f>
      </ns0:c>
      <ns0:c r="Y455" s="955" t="str">
        <ns0:f>IF(COUNTA($A455:$M455)=0,"",IF(OR($U455="Subscription",NOT(ISNUMBER($J455)),$J455=0,$X455=""),"",$X455/$J455))</ns0:f>
      </ns0:c>
      <ns0:c r="Z455" s="957" t="str">
        <ns0:f>IF(COUNTA($A455:$M455)=0,"",Instructions!$B$29+SUM($W$5:W455))</ns0:f>
      </ns0:c>
    </ns0:row>
    <ns0:row r="456" ht="36" customHeight="1">
      <ns0:c r="A456" s="439"/>
      <ns0:c r="B456" s="453"/>
      <ns0:c r="C456" s="453"/>
      <ns0:c r="D456" s="454"/>
      <ns0:c r="E456" s="454"/>
      <ns0:c r="F456" s="454"/>
      <ns0:c r="G456" s="986"/>
      <ns0:c r="H456" s="455"/>
      <ns0:c r="I456" s="456"/>
      <ns0:c r="J456" s="456"/>
      <ns0:c r="K456" s="986"/>
      <ns0:c r="L456" s="454"/>
      <ns0:c r="M456" s="439"/>
      <ns0:c r="N456" s="987" t="str">
        <ns0:f>IF(COUNTA($A456:$M456)=0,"",IF(OR(LEFT(LOWER(TRIM($F456&amp;"")),12)="subscription",LOWER(TRIM($F456&amp;""))="membership"),"",IF(OR(AND($H456&lt;&gt;"",$H456=0),LEFT(LOWER(TRIM($F456&amp;"")),9)="free game",LOWER(TRIM($F456&amp;""))="free",LOWER(TRIM($F456&amp;""))="free entry"),IF(ISNUMBER($G456),IF(ISNUMBER(SEARCH("non",LOWER($E456&amp;""))),$G456*0.85,$G456),"N/A"),IF($G456="","",IFERROR(IF(ISNUMBER(SEARCH("non",LOWER($E456&amp;""))),$G456*0.85,$G456),"")))))</ns0:f>
        <ns0:v/>
      </ns0:c>
      <ns0:c r="O456" s="987" t="str">
        <ns0:f>IF(COUNTA($A456:$M456)=0,"",IF(OR(LEFT(LOWER(TRIM($F456&amp;"")),12)="subscription",LOWER(TRIM($F456&amp;""))="membership"),"",IF(OR(AND($H456&lt;&gt;"",$H456=0),LEFT(LOWER(TRIM($F456&amp;"")),9)="free game",LOWER(TRIM($F456&amp;""))="free",LOWER(TRIM($F456&amp;""))="free entry"),IF(OR(NOT(ISNUMBER($N456)),NOT(ISNUMBER($I456)),$I456=0),"N/A",IFERROR($N456/$I456,"N/A")),IF(OR($N456="",$I456="",$I456=0),"",IFERROR($N456/$I456,"")))))</ns0:f>
        <ns0:v/>
      </ns0:c>
      <ns0:c r="P456" s="987">
        <ns0:f>IF(COUNTA($A456:$M456)=0,"",IF(OR(LEFT(LOWER(TRIM($F456&amp;"")),12)="subscription",LOWER(TRIM($F456&amp;""))="membership"),"",IF(LOWER(TRIM($D456&amp;""))="estimate","N/A",IF(LOWER($L456&amp;"")="yes",0,IF(OR(AND($H456&lt;&gt;"",$H456=0),LEFT(LOWER(TRIM($F456&amp;"")),9)="free game",LOWER(TRIM($F456&amp;""))="free",LOWER(TRIM($F456&amp;""))="free entry"),IF(ISNUMBER($K456),$K456,""),IF($K456&lt;&gt;"",$K456,""))))))</ns0:f>
      </ns0:c>
      <ns0:c r="Q456" s="114">
        <ns0:f>IF(COUNTA($A456:$M456)=0,"",IF(OR($U456="Subscription",$U456=""),"",IF($U456="Estimate","N/A",IF($U456="Profit",ROUND(IFERROR($P456,0)-IFERROR($H456,0),2),0))))</ns0:f>
      </ns0:c>
      <ns0:c r="R456" s="114">
        <ns0:f>IF(COUNTA($A456:$M456)=0,"",IF(OR($U456="Subscription",$U456=""),"",IF($U456="Estimate","N/A",IF($U456="Draw",$H456,0))))</ns0:f>
      </ns0:c>
      <ns0:c r="S456" s="114">
        <ns0:f>IF(COUNTA($A456:$M456)=0,"",IF(OR($U456="Subscription",$U456=""),"",IF($U456="Estimate","N/A",IF($U456="Disqualified",$H456,0))))</ns0:f>
      </ns0:c>
      <ns0:c r="T456" s="955">
        <ns0:f>IF(COUNTA($A456:$M456)=0,"",IF(OR($U456="Subscription",$U456=""),"",IF($U456="Estimate","N/A",IF(OR($U456="Free Game",$U456="Disqualified — Free Game",$H456=0),"N/A",IF($U456="Profit",$Q456/$H456,IF($U456="Disqualified",-$S456/$H456,0))))))</ns0:f>
      </ns0:c>
      <ns0:c r="U456" s="920">
        <ns0:f>IF(COUNTA($A456:$M456)=0,"",IF(OR(LEFT(LOWER(TRIM($F456&amp;"")),12)="subscription",LOWER(TRIM($F456&amp;""))="membership"),"Subscription",IF(LOWER(TRIM($D456&amp;""))="estimate","Estimate",IF(OR(AND($H456&lt;&gt;"",$H456=0),LEFT(LOWER(TRIM($F456&amp;"")),9)="free game",LOWER(TRIM($F456&amp;""))="free",LOWER(TRIM($F456&amp;""))="free entry"),IF(LOWER($L456&amp;"")="yes","Disqualified — Free Game","Free Game"),IF(LOWER($L456&amp;"")="yes","Disqualified",IF($P456="","",IF(ROUND(IFERROR(VALUE($P456),0)-IFERROR(VALUE($H456),0),2)&gt;0,"Profit","Draw")))))))</ns0:f>
      </ns0:c>
      <ns0:c r="V456" s="956" t="str">
        <ns0:f>IF(COUNTA($A456:$M456)=0,"",IF(OR($B456="",$C456="",$U456="Subscription"),"",IFERROR(ROUNDUP(($C456-$B456)/7,0),"")))</ns0:f>
      </ns0:c>
      <ns0:c r="W456" s="114">
        <ns0:f>IF(COUNTA($A456:$M456)=0,"",IF(OR($U456="Subscription",$U456=""),"",IF($U456="Estimate","N/A",IF(OR($U456="Free Game",$U456="Disqualified — Free Game"),0,ROUND(IFERROR($Q456,0)-IFERROR($S456,0),2)))))</ns0:f>
      </ns0:c>
      <ns0:c r="X456" s="956" t="str">
        <ns0:f>IF(COUNTA($A456:$M456)=0,"",IF(OR($U456="Subscription",NOT(ISNUMBER($J456)),NOT(ISNUMBER($I456)),$J456=0,$I456=0,$I456&gt;$J456),"",$J456-$I456))</ns0:f>
      </ns0:c>
      <ns0:c r="Y456" s="955" t="str">
        <ns0:f>IF(COUNTA($A456:$M456)=0,"",IF(OR($U456="Subscription",NOT(ISNUMBER($J456)),$J456=0,$X456=""),"",$X456/$J456))</ns0:f>
      </ns0:c>
      <ns0:c r="Z456" s="957" t="str">
        <ns0:f>IF(COUNTA($A456:$M456)=0,"",Instructions!$B$29+SUM($W$5:W456))</ns0:f>
      </ns0:c>
    </ns0:row>
    <ns0:row r="457" ht="36" customHeight="1">
      <ns0:c r="A457" s="439"/>
      <ns0:c r="B457" s="453"/>
      <ns0:c r="C457" s="453"/>
      <ns0:c r="D457" s="454"/>
      <ns0:c r="E457" s="454"/>
      <ns0:c r="F457" s="454"/>
      <ns0:c r="G457" s="986"/>
      <ns0:c r="H457" s="455"/>
      <ns0:c r="I457" s="456"/>
      <ns0:c r="J457" s="456"/>
      <ns0:c r="K457" s="986"/>
      <ns0:c r="L457" s="454"/>
      <ns0:c r="M457" s="439"/>
      <ns0:c r="N457" s="987" t="str">
        <ns0:f>IF(COUNTA($A457:$M457)=0,"",IF(OR(LEFT(LOWER(TRIM($F457&amp;"")),12)="subscription",LOWER(TRIM($F457&amp;""))="membership"),"",IF(OR(AND($H457&lt;&gt;"",$H457=0),LEFT(LOWER(TRIM($F457&amp;"")),9)="free game",LOWER(TRIM($F457&amp;""))="free",LOWER(TRIM($F457&amp;""))="free entry"),IF(ISNUMBER($G457),IF(ISNUMBER(SEARCH("non",LOWER($E457&amp;""))),$G457*0.85,$G457),"N/A"),IF($G457="","",IFERROR(IF(ISNUMBER(SEARCH("non",LOWER($E457&amp;""))),$G457*0.85,$G457),"")))))</ns0:f>
        <ns0:v/>
      </ns0:c>
      <ns0:c r="O457" s="987" t="str">
        <ns0:f>IF(COUNTA($A457:$M457)=0,"",IF(OR(LEFT(LOWER(TRIM($F457&amp;"")),12)="subscription",LOWER(TRIM($F457&amp;""))="membership"),"",IF(OR(AND($H457&lt;&gt;"",$H457=0),LEFT(LOWER(TRIM($F457&amp;"")),9)="free game",LOWER(TRIM($F457&amp;""))="free",LOWER(TRIM($F457&amp;""))="free entry"),IF(OR(NOT(ISNUMBER($N457)),NOT(ISNUMBER($I457)),$I457=0),"N/A",IFERROR($N457/$I457,"N/A")),IF(OR($N457="",$I457="",$I457=0),"",IFERROR($N457/$I457,"")))))</ns0:f>
        <ns0:v/>
      </ns0:c>
      <ns0:c r="P457" s="987">
        <ns0:f>IF(COUNTA($A457:$M457)=0,"",IF(OR(LEFT(LOWER(TRIM($F457&amp;"")),12)="subscription",LOWER(TRIM($F457&amp;""))="membership"),"",IF(LOWER(TRIM($D457&amp;""))="estimate","N/A",IF(LOWER($L457&amp;"")="yes",0,IF(OR(AND($H457&lt;&gt;"",$H457=0),LEFT(LOWER(TRIM($F457&amp;"")),9)="free game",LOWER(TRIM($F457&amp;""))="free",LOWER(TRIM($F457&amp;""))="free entry"),IF(ISNUMBER($K457),$K457,""),IF($K457&lt;&gt;"",$K457,""))))))</ns0:f>
      </ns0:c>
      <ns0:c r="Q457" s="114">
        <ns0:f>IF(COUNTA($A457:$M457)=0,"",IF(OR($U457="Subscription",$U457=""),"",IF($U457="Estimate","N/A",IF($U457="Profit",ROUND(IFERROR($P457,0)-IFERROR($H457,0),2),0))))</ns0:f>
      </ns0:c>
      <ns0:c r="R457" s="114">
        <ns0:f>IF(COUNTA($A457:$M457)=0,"",IF(OR($U457="Subscription",$U457=""),"",IF($U457="Estimate","N/A",IF($U457="Draw",$H457,0))))</ns0:f>
      </ns0:c>
      <ns0:c r="S457" s="114">
        <ns0:f>IF(COUNTA($A457:$M457)=0,"",IF(OR($U457="Subscription",$U457=""),"",IF($U457="Estimate","N/A",IF($U457="Disqualified",$H457,0))))</ns0:f>
      </ns0:c>
      <ns0:c r="T457" s="955">
        <ns0:f>IF(COUNTA($A457:$M457)=0,"",IF(OR($U457="Subscription",$U457=""),"",IF($U457="Estimate","N/A",IF(OR($U457="Free Game",$U457="Disqualified — Free Game",$H457=0),"N/A",IF($U457="Profit",$Q457/$H457,IF($U457="Disqualified",-$S457/$H457,0))))))</ns0:f>
      </ns0:c>
      <ns0:c r="U457" s="920">
        <ns0:f>IF(COUNTA($A457:$M457)=0,"",IF(OR(LEFT(LOWER(TRIM($F457&amp;"")),12)="subscription",LOWER(TRIM($F457&amp;""))="membership"),"Subscription",IF(LOWER(TRIM($D457&amp;""))="estimate","Estimate",IF(OR(AND($H457&lt;&gt;"",$H457=0),LEFT(LOWER(TRIM($F457&amp;"")),9)="free game",LOWER(TRIM($F457&amp;""))="free",LOWER(TRIM($F457&amp;""))="free entry"),IF(LOWER($L457&amp;"")="yes","Disqualified — Free Game","Free Game"),IF(LOWER($L457&amp;"")="yes","Disqualified",IF($P457="","",IF(ROUND(IFERROR(VALUE($P457),0)-IFERROR(VALUE($H457),0),2)&gt;0,"Profit","Draw")))))))</ns0:f>
      </ns0:c>
      <ns0:c r="V457" s="956" t="str">
        <ns0:f>IF(COUNTA($A457:$M457)=0,"",IF(OR($B457="",$C457="",$U457="Subscription"),"",IFERROR(ROUNDUP(($C457-$B457)/7,0),"")))</ns0:f>
      </ns0:c>
      <ns0:c r="W457" s="114">
        <ns0:f>IF(COUNTA($A457:$M457)=0,"",IF(OR($U457="Subscription",$U457=""),"",IF($U457="Estimate","N/A",IF(OR($U457="Free Game",$U457="Disqualified — Free Game"),0,ROUND(IFERROR($Q457,0)-IFERROR($S457,0),2)))))</ns0:f>
      </ns0:c>
      <ns0:c r="X457" s="956" t="str">
        <ns0:f>IF(COUNTA($A457:$M457)=0,"",IF(OR($U457="Subscription",NOT(ISNUMBER($J457)),NOT(ISNUMBER($I457)),$J457=0,$I457=0,$I457&gt;$J457),"",$J457-$I457))</ns0:f>
      </ns0:c>
      <ns0:c r="Y457" s="955" t="str">
        <ns0:f>IF(COUNTA($A457:$M457)=0,"",IF(OR($U457="Subscription",NOT(ISNUMBER($J457)),$J457=0,$X457=""),"",$X457/$J457))</ns0:f>
      </ns0:c>
      <ns0:c r="Z457" s="957" t="str">
        <ns0:f>IF(COUNTA($A457:$M457)=0,"",Instructions!$B$29+SUM($W$5:W457))</ns0:f>
      </ns0:c>
    </ns0:row>
    <ns0:row r="458" ht="36" customHeight="1">
      <ns0:c r="A458" s="439"/>
      <ns0:c r="B458" s="453"/>
      <ns0:c r="C458" s="453"/>
      <ns0:c r="D458" s="454"/>
      <ns0:c r="E458" s="454"/>
      <ns0:c r="F458" s="454"/>
      <ns0:c r="G458" s="986"/>
      <ns0:c r="H458" s="455"/>
      <ns0:c r="I458" s="456"/>
      <ns0:c r="J458" s="456"/>
      <ns0:c r="K458" s="986"/>
      <ns0:c r="L458" s="454"/>
      <ns0:c r="M458" s="439"/>
      <ns0:c r="N458" s="987" t="str">
        <ns0:f>IF(COUNTA($A458:$M458)=0,"",IF(OR(LEFT(LOWER(TRIM($F458&amp;"")),12)="subscription",LOWER(TRIM($F458&amp;""))="membership"),"",IF(OR(AND($H458&lt;&gt;"",$H458=0),LEFT(LOWER(TRIM($F458&amp;"")),9)="free game",LOWER(TRIM($F458&amp;""))="free",LOWER(TRIM($F458&amp;""))="free entry"),IF(ISNUMBER($G458),IF(ISNUMBER(SEARCH("non",LOWER($E458&amp;""))),$G458*0.85,$G458),"N/A"),IF($G458="","",IFERROR(IF(ISNUMBER(SEARCH("non",LOWER($E458&amp;""))),$G458*0.85,$G458),"")))))</ns0:f>
        <ns0:v/>
      </ns0:c>
      <ns0:c r="O458" s="987" t="str">
        <ns0:f>IF(COUNTA($A458:$M458)=0,"",IF(OR(LEFT(LOWER(TRIM($F458&amp;"")),12)="subscription",LOWER(TRIM($F458&amp;""))="membership"),"",IF(OR(AND($H458&lt;&gt;"",$H458=0),LEFT(LOWER(TRIM($F458&amp;"")),9)="free game",LOWER(TRIM($F458&amp;""))="free",LOWER(TRIM($F458&amp;""))="free entry"),IF(OR(NOT(ISNUMBER($N458)),NOT(ISNUMBER($I458)),$I458=0),"N/A",IFERROR($N458/$I458,"N/A")),IF(OR($N458="",$I458="",$I458=0),"",IFERROR($N458/$I458,"")))))</ns0:f>
        <ns0:v/>
      </ns0:c>
      <ns0:c r="P458" s="987">
        <ns0:f>IF(COUNTA($A458:$M458)=0,"",IF(OR(LEFT(LOWER(TRIM($F458&amp;"")),12)="subscription",LOWER(TRIM($F458&amp;""))="membership"),"",IF(LOWER(TRIM($D458&amp;""))="estimate","N/A",IF(LOWER($L458&amp;"")="yes",0,IF(OR(AND($H458&lt;&gt;"",$H458=0),LEFT(LOWER(TRIM($F458&amp;"")),9)="free game",LOWER(TRIM($F458&amp;""))="free",LOWER(TRIM($F458&amp;""))="free entry"),IF(ISNUMBER($K458),$K458,""),IF($K458&lt;&gt;"",$K458,""))))))</ns0:f>
      </ns0:c>
      <ns0:c r="Q458" s="114">
        <ns0:f>IF(COUNTA($A458:$M458)=0,"",IF(OR($U458="Subscription",$U458=""),"",IF($U458="Estimate","N/A",IF($U458="Profit",ROUND(IFERROR($P458,0)-IFERROR($H458,0),2),0))))</ns0:f>
      </ns0:c>
      <ns0:c r="R458" s="114">
        <ns0:f>IF(COUNTA($A458:$M458)=0,"",IF(OR($U458="Subscription",$U458=""),"",IF($U458="Estimate","N/A",IF($U458="Draw",$H458,0))))</ns0:f>
      </ns0:c>
      <ns0:c r="S458" s="114">
        <ns0:f>IF(COUNTA($A458:$M458)=0,"",IF(OR($U458="Subscription",$U458=""),"",IF($U458="Estimate","N/A",IF($U458="Disqualified",$H458,0))))</ns0:f>
      </ns0:c>
      <ns0:c r="T458" s="955">
        <ns0:f>IF(COUNTA($A458:$M458)=0,"",IF(OR($U458="Subscription",$U458=""),"",IF($U458="Estimate","N/A",IF(OR($U458="Free Game",$U458="Disqualified — Free Game",$H458=0),"N/A",IF($U458="Profit",$Q458/$H458,IF($U458="Disqualified",-$S458/$H458,0))))))</ns0:f>
      </ns0:c>
      <ns0:c r="U458" s="920">
        <ns0:f>IF(COUNTA($A458:$M458)=0,"",IF(OR(LEFT(LOWER(TRIM($F458&amp;"")),12)="subscription",LOWER(TRIM($F458&amp;""))="membership"),"Subscription",IF(LOWER(TRIM($D458&amp;""))="estimate","Estimate",IF(OR(AND($H458&lt;&gt;"",$H458=0),LEFT(LOWER(TRIM($F458&amp;"")),9)="free game",LOWER(TRIM($F458&amp;""))="free",LOWER(TRIM($F458&amp;""))="free entry"),IF(LOWER($L458&amp;"")="yes","Disqualified — Free Game","Free Game"),IF(LOWER($L458&amp;"")="yes","Disqualified",IF($P458="","",IF(ROUND(IFERROR(VALUE($P458),0)-IFERROR(VALUE($H458),0),2)&gt;0,"Profit","Draw")))))))</ns0:f>
      </ns0:c>
      <ns0:c r="V458" s="956" t="str">
        <ns0:f>IF(COUNTA($A458:$M458)=0,"",IF(OR($B458="",$C458="",$U458="Subscription"),"",IFERROR(ROUNDUP(($C458-$B458)/7,0),"")))</ns0:f>
      </ns0:c>
      <ns0:c r="W458" s="114">
        <ns0:f>IF(COUNTA($A458:$M458)=0,"",IF(OR($U458="Subscription",$U458=""),"",IF($U458="Estimate","N/A",IF(OR($U458="Free Game",$U458="Disqualified — Free Game"),0,ROUND(IFERROR($Q458,0)-IFERROR($S458,0),2)))))</ns0:f>
      </ns0:c>
      <ns0:c r="X458" s="956" t="str">
        <ns0:f>IF(COUNTA($A458:$M458)=0,"",IF(OR($U458="Subscription",NOT(ISNUMBER($J458)),NOT(ISNUMBER($I458)),$J458=0,$I458=0,$I458&gt;$J458),"",$J458-$I458))</ns0:f>
      </ns0:c>
      <ns0:c r="Y458" s="955" t="str">
        <ns0:f>IF(COUNTA($A458:$M458)=0,"",IF(OR($U458="Subscription",NOT(ISNUMBER($J458)),$J458=0,$X458=""),"",$X458/$J458))</ns0:f>
      </ns0:c>
      <ns0:c r="Z458" s="957" t="str">
        <ns0:f>IF(COUNTA($A458:$M458)=0,"",Instructions!$B$29+SUM($W$5:W458))</ns0:f>
      </ns0:c>
    </ns0:row>
    <ns0:row r="459" ht="36" customHeight="1">
      <ns0:c r="A459" s="439"/>
      <ns0:c r="B459" s="453"/>
      <ns0:c r="C459" s="453"/>
      <ns0:c r="D459" s="454"/>
      <ns0:c r="E459" s="454"/>
      <ns0:c r="F459" s="454"/>
      <ns0:c r="G459" s="986"/>
      <ns0:c r="H459" s="455"/>
      <ns0:c r="I459" s="456"/>
      <ns0:c r="J459" s="456"/>
      <ns0:c r="K459" s="986"/>
      <ns0:c r="L459" s="454"/>
      <ns0:c r="M459" s="439"/>
      <ns0:c r="N459" s="987" t="str">
        <ns0:f>IF(COUNTA($A459:$M459)=0,"",IF(OR(LEFT(LOWER(TRIM($F459&amp;"")),12)="subscription",LOWER(TRIM($F459&amp;""))="membership"),"",IF(OR(AND($H459&lt;&gt;"",$H459=0),LEFT(LOWER(TRIM($F459&amp;"")),9)="free game",LOWER(TRIM($F459&amp;""))="free",LOWER(TRIM($F459&amp;""))="free entry"),IF(ISNUMBER($G459),IF(ISNUMBER(SEARCH("non",LOWER($E459&amp;""))),$G459*0.85,$G459),"N/A"),IF($G459="","",IFERROR(IF(ISNUMBER(SEARCH("non",LOWER($E459&amp;""))),$G459*0.85,$G459),"")))))</ns0:f>
        <ns0:v/>
      </ns0:c>
      <ns0:c r="O459" s="987" t="str">
        <ns0:f>IF(COUNTA($A459:$M459)=0,"",IF(OR(LEFT(LOWER(TRIM($F459&amp;"")),12)="subscription",LOWER(TRIM($F459&amp;""))="membership"),"",IF(OR(AND($H459&lt;&gt;"",$H459=0),LEFT(LOWER(TRIM($F459&amp;"")),9)="free game",LOWER(TRIM($F459&amp;""))="free",LOWER(TRIM($F459&amp;""))="free entry"),IF(OR(NOT(ISNUMBER($N459)),NOT(ISNUMBER($I459)),$I459=0),"N/A",IFERROR($N459/$I459,"N/A")),IF(OR($N459="",$I459="",$I459=0),"",IFERROR($N459/$I459,"")))))</ns0:f>
        <ns0:v/>
      </ns0:c>
      <ns0:c r="P459" s="987">
        <ns0:f>IF(COUNTA($A459:$M459)=0,"",IF(OR(LEFT(LOWER(TRIM($F459&amp;"")),12)="subscription",LOWER(TRIM($F459&amp;""))="membership"),"",IF(LOWER(TRIM($D459&amp;""))="estimate","N/A",IF(LOWER($L459&amp;"")="yes",0,IF(OR(AND($H459&lt;&gt;"",$H459=0),LEFT(LOWER(TRIM($F459&amp;"")),9)="free game",LOWER(TRIM($F459&amp;""))="free",LOWER(TRIM($F459&amp;""))="free entry"),IF(ISNUMBER($K459),$K459,""),IF($K459&lt;&gt;"",$K459,""))))))</ns0:f>
      </ns0:c>
      <ns0:c r="Q459" s="114">
        <ns0:f>IF(COUNTA($A459:$M459)=0,"",IF(OR($U459="Subscription",$U459=""),"",IF($U459="Estimate","N/A",IF($U459="Profit",ROUND(IFERROR($P459,0)-IFERROR($H459,0),2),0))))</ns0:f>
      </ns0:c>
      <ns0:c r="R459" s="114">
        <ns0:f>IF(COUNTA($A459:$M459)=0,"",IF(OR($U459="Subscription",$U459=""),"",IF($U459="Estimate","N/A",IF($U459="Draw",$H459,0))))</ns0:f>
      </ns0:c>
      <ns0:c r="S459" s="114">
        <ns0:f>IF(COUNTA($A459:$M459)=0,"",IF(OR($U459="Subscription",$U459=""),"",IF($U459="Estimate","N/A",IF($U459="Disqualified",$H459,0))))</ns0:f>
      </ns0:c>
      <ns0:c r="T459" s="955">
        <ns0:f>IF(COUNTA($A459:$M459)=0,"",IF(OR($U459="Subscription",$U459=""),"",IF($U459="Estimate","N/A",IF(OR($U459="Free Game",$U459="Disqualified — Free Game",$H459=0),"N/A",IF($U459="Profit",$Q459/$H459,IF($U459="Disqualified",-$S459/$H459,0))))))</ns0:f>
      </ns0:c>
      <ns0:c r="U459" s="920">
        <ns0:f>IF(COUNTA($A459:$M459)=0,"",IF(OR(LEFT(LOWER(TRIM($F459&amp;"")),12)="subscription",LOWER(TRIM($F459&amp;""))="membership"),"Subscription",IF(LOWER(TRIM($D459&amp;""))="estimate","Estimate",IF(OR(AND($H459&lt;&gt;"",$H459=0),LEFT(LOWER(TRIM($F459&amp;"")),9)="free game",LOWER(TRIM($F459&amp;""))="free",LOWER(TRIM($F459&amp;""))="free entry"),IF(LOWER($L459&amp;"")="yes","Disqualified — Free Game","Free Game"),IF(LOWER($L459&amp;"")="yes","Disqualified",IF($P459="","",IF(ROUND(IFERROR(VALUE($P459),0)-IFERROR(VALUE($H459),0),2)&gt;0,"Profit","Draw")))))))</ns0:f>
      </ns0:c>
      <ns0:c r="V459" s="956" t="str">
        <ns0:f>IF(COUNTA($A459:$M459)=0,"",IF(OR($B459="",$C459="",$U459="Subscription"),"",IFERROR(ROUNDUP(($C459-$B459)/7,0),"")))</ns0:f>
      </ns0:c>
      <ns0:c r="W459" s="114">
        <ns0:f>IF(COUNTA($A459:$M459)=0,"",IF(OR($U459="Subscription",$U459=""),"",IF($U459="Estimate","N/A",IF(OR($U459="Free Game",$U459="Disqualified — Free Game"),0,ROUND(IFERROR($Q459,0)-IFERROR($S459,0),2)))))</ns0:f>
      </ns0:c>
      <ns0:c r="X459" s="956" t="str">
        <ns0:f>IF(COUNTA($A459:$M459)=0,"",IF(OR($U459="Subscription",NOT(ISNUMBER($J459)),NOT(ISNUMBER($I459)),$J459=0,$I459=0,$I459&gt;$J459),"",$J459-$I459))</ns0:f>
      </ns0:c>
      <ns0:c r="Y459" s="955" t="str">
        <ns0:f>IF(COUNTA($A459:$M459)=0,"",IF(OR($U459="Subscription",NOT(ISNUMBER($J459)),$J459=0,$X459=""),"",$X459/$J459))</ns0:f>
      </ns0:c>
      <ns0:c r="Z459" s="957" t="str">
        <ns0:f>IF(COUNTA($A459:$M459)=0,"",Instructions!$B$29+SUM($W$5:W459))</ns0:f>
      </ns0:c>
    </ns0:row>
    <ns0:row r="460" ht="36" customHeight="1">
      <ns0:c r="A460" s="439"/>
      <ns0:c r="B460" s="453"/>
      <ns0:c r="C460" s="453"/>
      <ns0:c r="D460" s="454"/>
      <ns0:c r="E460" s="454"/>
      <ns0:c r="F460" s="454"/>
      <ns0:c r="G460" s="986"/>
      <ns0:c r="H460" s="455"/>
      <ns0:c r="I460" s="456"/>
      <ns0:c r="J460" s="456"/>
      <ns0:c r="K460" s="986"/>
      <ns0:c r="L460" s="454"/>
      <ns0:c r="M460" s="439"/>
      <ns0:c r="N460" s="987" t="str">
        <ns0:f>IF(COUNTA($A460:$M460)=0,"",IF(OR(LEFT(LOWER(TRIM($F460&amp;"")),12)="subscription",LOWER(TRIM($F460&amp;""))="membership"),"",IF(OR(AND($H460&lt;&gt;"",$H460=0),LEFT(LOWER(TRIM($F460&amp;"")),9)="free game",LOWER(TRIM($F460&amp;""))="free",LOWER(TRIM($F460&amp;""))="free entry"),IF(ISNUMBER($G460),IF(ISNUMBER(SEARCH("non",LOWER($E460&amp;""))),$G460*0.85,$G460),"N/A"),IF($G460="","",IFERROR(IF(ISNUMBER(SEARCH("non",LOWER($E460&amp;""))),$G460*0.85,$G460),"")))))</ns0:f>
        <ns0:v/>
      </ns0:c>
      <ns0:c r="O460" s="987" t="str">
        <ns0:f>IF(COUNTA($A460:$M460)=0,"",IF(OR(LEFT(LOWER(TRIM($F460&amp;"")),12)="subscription",LOWER(TRIM($F460&amp;""))="membership"),"",IF(OR(AND($H460&lt;&gt;"",$H460=0),LEFT(LOWER(TRIM($F460&amp;"")),9)="free game",LOWER(TRIM($F460&amp;""))="free",LOWER(TRIM($F460&amp;""))="free entry"),IF(OR(NOT(ISNUMBER($N460)),NOT(ISNUMBER($I460)),$I460=0),"N/A",IFERROR($N460/$I460,"N/A")),IF(OR($N460="",$I460="",$I460=0),"",IFERROR($N460/$I460,"")))))</ns0:f>
        <ns0:v/>
      </ns0:c>
      <ns0:c r="P460" s="987">
        <ns0:f>IF(COUNTA($A460:$M460)=0,"",IF(OR(LEFT(LOWER(TRIM($F460&amp;"")),12)="subscription",LOWER(TRIM($F460&amp;""))="membership"),"",IF(LOWER(TRIM($D460&amp;""))="estimate","N/A",IF(LOWER($L460&amp;"")="yes",0,IF(OR(AND($H460&lt;&gt;"",$H460=0),LEFT(LOWER(TRIM($F460&amp;"")),9)="free game",LOWER(TRIM($F460&amp;""))="free",LOWER(TRIM($F460&amp;""))="free entry"),IF(ISNUMBER($K460),$K460,""),IF($K460&lt;&gt;"",$K460,""))))))</ns0:f>
      </ns0:c>
      <ns0:c r="Q460" s="114">
        <ns0:f>IF(COUNTA($A460:$M460)=0,"",IF(OR($U460="Subscription",$U460=""),"",IF($U460="Estimate","N/A",IF($U460="Profit",ROUND(IFERROR($P460,0)-IFERROR($H460,0),2),0))))</ns0:f>
      </ns0:c>
      <ns0:c r="R460" s="114">
        <ns0:f>IF(COUNTA($A460:$M460)=0,"",IF(OR($U460="Subscription",$U460=""),"",IF($U460="Estimate","N/A",IF($U460="Draw",$H460,0))))</ns0:f>
      </ns0:c>
      <ns0:c r="S460" s="114">
        <ns0:f>IF(COUNTA($A460:$M460)=0,"",IF(OR($U460="Subscription",$U460=""),"",IF($U460="Estimate","N/A",IF($U460="Disqualified",$H460,0))))</ns0:f>
      </ns0:c>
      <ns0:c r="T460" s="955">
        <ns0:f>IF(COUNTA($A460:$M460)=0,"",IF(OR($U460="Subscription",$U460=""),"",IF($U460="Estimate","N/A",IF(OR($U460="Free Game",$U460="Disqualified — Free Game",$H460=0),"N/A",IF($U460="Profit",$Q460/$H460,IF($U460="Disqualified",-$S460/$H460,0))))))</ns0:f>
      </ns0:c>
      <ns0:c r="U460" s="920">
        <ns0:f>IF(COUNTA($A460:$M460)=0,"",IF(OR(LEFT(LOWER(TRIM($F460&amp;"")),12)="subscription",LOWER(TRIM($F460&amp;""))="membership"),"Subscription",IF(LOWER(TRIM($D460&amp;""))="estimate","Estimate",IF(OR(AND($H460&lt;&gt;"",$H460=0),LEFT(LOWER(TRIM($F460&amp;"")),9)="free game",LOWER(TRIM($F460&amp;""))="free",LOWER(TRIM($F460&amp;""))="free entry"),IF(LOWER($L460&amp;"")="yes","Disqualified — Free Game","Free Game"),IF(LOWER($L460&amp;"")="yes","Disqualified",IF($P460="","",IF(ROUND(IFERROR(VALUE($P460),0)-IFERROR(VALUE($H460),0),2)&gt;0,"Profit","Draw")))))))</ns0:f>
      </ns0:c>
      <ns0:c r="V460" s="956" t="str">
        <ns0:f>IF(COUNTA($A460:$M460)=0,"",IF(OR($B460="",$C460="",$U460="Subscription"),"",IFERROR(ROUNDUP(($C460-$B460)/7,0),"")))</ns0:f>
      </ns0:c>
      <ns0:c r="W460" s="114">
        <ns0:f>IF(COUNTA($A460:$M460)=0,"",IF(OR($U460="Subscription",$U460=""),"",IF($U460="Estimate","N/A",IF(OR($U460="Free Game",$U460="Disqualified — Free Game"),0,ROUND(IFERROR($Q460,0)-IFERROR($S460,0),2)))))</ns0:f>
      </ns0:c>
      <ns0:c r="X460" s="956" t="str">
        <ns0:f>IF(COUNTA($A460:$M460)=0,"",IF(OR($U460="Subscription",NOT(ISNUMBER($J460)),NOT(ISNUMBER($I460)),$J460=0,$I460=0,$I460&gt;$J460),"",$J460-$I460))</ns0:f>
      </ns0:c>
      <ns0:c r="Y460" s="955" t="str">
        <ns0:f>IF(COUNTA($A460:$M460)=0,"",IF(OR($U460="Subscription",NOT(ISNUMBER($J460)),$J460=0,$X460=""),"",$X460/$J460))</ns0:f>
      </ns0:c>
      <ns0:c r="Z460" s="957" t="str">
        <ns0:f>IF(COUNTA($A460:$M460)=0,"",Instructions!$B$29+SUM($W$5:W460))</ns0:f>
      </ns0:c>
    </ns0:row>
    <ns0:row r="461" ht="36" customHeight="1">
      <ns0:c r="A461" s="439"/>
      <ns0:c r="B461" s="453"/>
      <ns0:c r="C461" s="453"/>
      <ns0:c r="D461" s="454"/>
      <ns0:c r="E461" s="454"/>
      <ns0:c r="F461" s="454"/>
      <ns0:c r="G461" s="986"/>
      <ns0:c r="H461" s="455"/>
      <ns0:c r="I461" s="456"/>
      <ns0:c r="J461" s="456"/>
      <ns0:c r="K461" s="986"/>
      <ns0:c r="L461" s="454"/>
      <ns0:c r="M461" s="439"/>
      <ns0:c r="N461" s="987" t="str">
        <ns0:f>IF(COUNTA($A461:$M461)=0,"",IF(OR(LEFT(LOWER(TRIM($F461&amp;"")),12)="subscription",LOWER(TRIM($F461&amp;""))="membership"),"",IF(OR(AND($H461&lt;&gt;"",$H461=0),LEFT(LOWER(TRIM($F461&amp;"")),9)="free game",LOWER(TRIM($F461&amp;""))="free",LOWER(TRIM($F461&amp;""))="free entry"),IF(ISNUMBER($G461),IF(ISNUMBER(SEARCH("non",LOWER($E461&amp;""))),$G461*0.85,$G461),"N/A"),IF($G461="","",IFERROR(IF(ISNUMBER(SEARCH("non",LOWER($E461&amp;""))),$G461*0.85,$G461),"")))))</ns0:f>
        <ns0:v/>
      </ns0:c>
      <ns0:c r="O461" s="987" t="str">
        <ns0:f>IF(COUNTA($A461:$M461)=0,"",IF(OR(LEFT(LOWER(TRIM($F461&amp;"")),12)="subscription",LOWER(TRIM($F461&amp;""))="membership"),"",IF(OR(AND($H461&lt;&gt;"",$H461=0),LEFT(LOWER(TRIM($F461&amp;"")),9)="free game",LOWER(TRIM($F461&amp;""))="free",LOWER(TRIM($F461&amp;""))="free entry"),IF(OR(NOT(ISNUMBER($N461)),NOT(ISNUMBER($I461)),$I461=0),"N/A",IFERROR($N461/$I461,"N/A")),IF(OR($N461="",$I461="",$I461=0),"",IFERROR($N461/$I461,"")))))</ns0:f>
        <ns0:v/>
      </ns0:c>
      <ns0:c r="P461" s="987">
        <ns0:f>IF(COUNTA($A461:$M461)=0,"",IF(OR(LEFT(LOWER(TRIM($F461&amp;"")),12)="subscription",LOWER(TRIM($F461&amp;""))="membership"),"",IF(LOWER(TRIM($D461&amp;""))="estimate","N/A",IF(LOWER($L461&amp;"")="yes",0,IF(OR(AND($H461&lt;&gt;"",$H461=0),LEFT(LOWER(TRIM($F461&amp;"")),9)="free game",LOWER(TRIM($F461&amp;""))="free",LOWER(TRIM($F461&amp;""))="free entry"),IF(ISNUMBER($K461),$K461,""),IF($K461&lt;&gt;"",$K461,""))))))</ns0:f>
      </ns0:c>
      <ns0:c r="Q461" s="114">
        <ns0:f>IF(COUNTA($A461:$M461)=0,"",IF(OR($U461="Subscription",$U461=""),"",IF($U461="Estimate","N/A",IF($U461="Profit",ROUND(IFERROR($P461,0)-IFERROR($H461,0),2),0))))</ns0:f>
      </ns0:c>
      <ns0:c r="R461" s="114">
        <ns0:f>IF(COUNTA($A461:$M461)=0,"",IF(OR($U461="Subscription",$U461=""),"",IF($U461="Estimate","N/A",IF($U461="Draw",$H461,0))))</ns0:f>
      </ns0:c>
      <ns0:c r="S461" s="114">
        <ns0:f>IF(COUNTA($A461:$M461)=0,"",IF(OR($U461="Subscription",$U461=""),"",IF($U461="Estimate","N/A",IF($U461="Disqualified",$H461,0))))</ns0:f>
      </ns0:c>
      <ns0:c r="T461" s="955">
        <ns0:f>IF(COUNTA($A461:$M461)=0,"",IF(OR($U461="Subscription",$U461=""),"",IF($U461="Estimate","N/A",IF(OR($U461="Free Game",$U461="Disqualified — Free Game",$H461=0),"N/A",IF($U461="Profit",$Q461/$H461,IF($U461="Disqualified",-$S461/$H461,0))))))</ns0:f>
      </ns0:c>
      <ns0:c r="U461" s="920">
        <ns0:f>IF(COUNTA($A461:$M461)=0,"",IF(OR(LEFT(LOWER(TRIM($F461&amp;"")),12)="subscription",LOWER(TRIM($F461&amp;""))="membership"),"Subscription",IF(LOWER(TRIM($D461&amp;""))="estimate","Estimate",IF(OR(AND($H461&lt;&gt;"",$H461=0),LEFT(LOWER(TRIM($F461&amp;"")),9)="free game",LOWER(TRIM($F461&amp;""))="free",LOWER(TRIM($F461&amp;""))="free entry"),IF(LOWER($L461&amp;"")="yes","Disqualified — Free Game","Free Game"),IF(LOWER($L461&amp;"")="yes","Disqualified",IF($P461="","",IF(ROUND(IFERROR(VALUE($P461),0)-IFERROR(VALUE($H461),0),2)&gt;0,"Profit","Draw")))))))</ns0:f>
      </ns0:c>
      <ns0:c r="V461" s="956" t="str">
        <ns0:f>IF(COUNTA($A461:$M461)=0,"",IF(OR($B461="",$C461="",$U461="Subscription"),"",IFERROR(ROUNDUP(($C461-$B461)/7,0),"")))</ns0:f>
      </ns0:c>
      <ns0:c r="W461" s="114">
        <ns0:f>IF(COUNTA($A461:$M461)=0,"",IF(OR($U461="Subscription",$U461=""),"",IF($U461="Estimate","N/A",IF(OR($U461="Free Game",$U461="Disqualified — Free Game"),0,ROUND(IFERROR($Q461,0)-IFERROR($S461,0),2)))))</ns0:f>
      </ns0:c>
      <ns0:c r="X461" s="956" t="str">
        <ns0:f>IF(COUNTA($A461:$M461)=0,"",IF(OR($U461="Subscription",NOT(ISNUMBER($J461)),NOT(ISNUMBER($I461)),$J461=0,$I461=0,$I461&gt;$J461),"",$J461-$I461))</ns0:f>
      </ns0:c>
      <ns0:c r="Y461" s="955" t="str">
        <ns0:f>IF(COUNTA($A461:$M461)=0,"",IF(OR($U461="Subscription",NOT(ISNUMBER($J461)),$J461=0,$X461=""),"",$X461/$J461))</ns0:f>
      </ns0:c>
      <ns0:c r="Z461" s="957" t="str">
        <ns0:f>IF(COUNTA($A461:$M461)=0,"",Instructions!$B$29+SUM($W$5:W461))</ns0:f>
      </ns0:c>
    </ns0:row>
    <ns0:row r="462" ht="36" customHeight="1">
      <ns0:c r="A462" s="439"/>
      <ns0:c r="B462" s="453"/>
      <ns0:c r="C462" s="453"/>
      <ns0:c r="D462" s="454"/>
      <ns0:c r="E462" s="454"/>
      <ns0:c r="F462" s="454"/>
      <ns0:c r="G462" s="986"/>
      <ns0:c r="H462" s="455"/>
      <ns0:c r="I462" s="456"/>
      <ns0:c r="J462" s="456"/>
      <ns0:c r="K462" s="986"/>
      <ns0:c r="L462" s="454"/>
      <ns0:c r="M462" s="439"/>
      <ns0:c r="N462" s="987" t="str">
        <ns0:f>IF(COUNTA($A462:$M462)=0,"",IF(OR(LEFT(LOWER(TRIM($F462&amp;"")),12)="subscription",LOWER(TRIM($F462&amp;""))="membership"),"",IF(OR(AND($H462&lt;&gt;"",$H462=0),LEFT(LOWER(TRIM($F462&amp;"")),9)="free game",LOWER(TRIM($F462&amp;""))="free",LOWER(TRIM($F462&amp;""))="free entry"),IF(ISNUMBER($G462),IF(ISNUMBER(SEARCH("non",LOWER($E462&amp;""))),$G462*0.85,$G462),"N/A"),IF($G462="","",IFERROR(IF(ISNUMBER(SEARCH("non",LOWER($E462&amp;""))),$G462*0.85,$G462),"")))))</ns0:f>
        <ns0:v/>
      </ns0:c>
      <ns0:c r="O462" s="987" t="str">
        <ns0:f>IF(COUNTA($A462:$M462)=0,"",IF(OR(LEFT(LOWER(TRIM($F462&amp;"")),12)="subscription",LOWER(TRIM($F462&amp;""))="membership"),"",IF(OR(AND($H462&lt;&gt;"",$H462=0),LEFT(LOWER(TRIM($F462&amp;"")),9)="free game",LOWER(TRIM($F462&amp;""))="free",LOWER(TRIM($F462&amp;""))="free entry"),IF(OR(NOT(ISNUMBER($N462)),NOT(ISNUMBER($I462)),$I462=0),"N/A",IFERROR($N462/$I462,"N/A")),IF(OR($N462="",$I462="",$I462=0),"",IFERROR($N462/$I462,"")))))</ns0:f>
        <ns0:v/>
      </ns0:c>
      <ns0:c r="P462" s="987">
        <ns0:f>IF(COUNTA($A462:$M462)=0,"",IF(OR(LEFT(LOWER(TRIM($F462&amp;"")),12)="subscription",LOWER(TRIM($F462&amp;""))="membership"),"",IF(LOWER(TRIM($D462&amp;""))="estimate","N/A",IF(LOWER($L462&amp;"")="yes",0,IF(OR(AND($H462&lt;&gt;"",$H462=0),LEFT(LOWER(TRIM($F462&amp;"")),9)="free game",LOWER(TRIM($F462&amp;""))="free",LOWER(TRIM($F462&amp;""))="free entry"),IF(ISNUMBER($K462),$K462,""),IF($K462&lt;&gt;"",$K462,""))))))</ns0:f>
      </ns0:c>
      <ns0:c r="Q462" s="114">
        <ns0:f>IF(COUNTA($A462:$M462)=0,"",IF(OR($U462="Subscription",$U462=""),"",IF($U462="Estimate","N/A",IF($U462="Profit",ROUND(IFERROR($P462,0)-IFERROR($H462,0),2),0))))</ns0:f>
      </ns0:c>
      <ns0:c r="R462" s="114">
        <ns0:f>IF(COUNTA($A462:$M462)=0,"",IF(OR($U462="Subscription",$U462=""),"",IF($U462="Estimate","N/A",IF($U462="Draw",$H462,0))))</ns0:f>
      </ns0:c>
      <ns0:c r="S462" s="114">
        <ns0:f>IF(COUNTA($A462:$M462)=0,"",IF(OR($U462="Subscription",$U462=""),"",IF($U462="Estimate","N/A",IF($U462="Disqualified",$H462,0))))</ns0:f>
      </ns0:c>
      <ns0:c r="T462" s="955">
        <ns0:f>IF(COUNTA($A462:$M462)=0,"",IF(OR($U462="Subscription",$U462=""),"",IF($U462="Estimate","N/A",IF(OR($U462="Free Game",$U462="Disqualified — Free Game",$H462=0),"N/A",IF($U462="Profit",$Q462/$H462,IF($U462="Disqualified",-$S462/$H462,0))))))</ns0:f>
      </ns0:c>
      <ns0:c r="U462" s="920">
        <ns0:f>IF(COUNTA($A462:$M462)=0,"",IF(OR(LEFT(LOWER(TRIM($F462&amp;"")),12)="subscription",LOWER(TRIM($F462&amp;""))="membership"),"Subscription",IF(LOWER(TRIM($D462&amp;""))="estimate","Estimate",IF(OR(AND($H462&lt;&gt;"",$H462=0),LEFT(LOWER(TRIM($F462&amp;"")),9)="free game",LOWER(TRIM($F462&amp;""))="free",LOWER(TRIM($F462&amp;""))="free entry"),IF(LOWER($L462&amp;"")="yes","Disqualified — Free Game","Free Game"),IF(LOWER($L462&amp;"")="yes","Disqualified",IF($P462="","",IF(ROUND(IFERROR(VALUE($P462),0)-IFERROR(VALUE($H462),0),2)&gt;0,"Profit","Draw")))))))</ns0:f>
      </ns0:c>
      <ns0:c r="V462" s="956" t="str">
        <ns0:f>IF(COUNTA($A462:$M462)=0,"",IF(OR($B462="",$C462="",$U462="Subscription"),"",IFERROR(ROUNDUP(($C462-$B462)/7,0),"")))</ns0:f>
      </ns0:c>
      <ns0:c r="W462" s="114">
        <ns0:f>IF(COUNTA($A462:$M462)=0,"",IF(OR($U462="Subscription",$U462=""),"",IF($U462="Estimate","N/A",IF(OR($U462="Free Game",$U462="Disqualified — Free Game"),0,ROUND(IFERROR($Q462,0)-IFERROR($S462,0),2)))))</ns0:f>
      </ns0:c>
      <ns0:c r="X462" s="956" t="str">
        <ns0:f>IF(COUNTA($A462:$M462)=0,"",IF(OR($U462="Subscription",NOT(ISNUMBER($J462)),NOT(ISNUMBER($I462)),$J462=0,$I462=0,$I462&gt;$J462),"",$J462-$I462))</ns0:f>
      </ns0:c>
      <ns0:c r="Y462" s="955" t="str">
        <ns0:f>IF(COUNTA($A462:$M462)=0,"",IF(OR($U462="Subscription",NOT(ISNUMBER($J462)),$J462=0,$X462=""),"",$X462/$J462))</ns0:f>
      </ns0:c>
      <ns0:c r="Z462" s="957" t="str">
        <ns0:f>IF(COUNTA($A462:$M462)=0,"",Instructions!$B$29+SUM($W$5:W462))</ns0:f>
      </ns0:c>
    </ns0:row>
    <ns0:row r="463" ht="36" customHeight="1">
      <ns0:c r="A463" s="439"/>
      <ns0:c r="B463" s="453"/>
      <ns0:c r="C463" s="453"/>
      <ns0:c r="D463" s="454"/>
      <ns0:c r="E463" s="454"/>
      <ns0:c r="F463" s="454"/>
      <ns0:c r="G463" s="986"/>
      <ns0:c r="H463" s="455"/>
      <ns0:c r="I463" s="456"/>
      <ns0:c r="J463" s="456"/>
      <ns0:c r="K463" s="986"/>
      <ns0:c r="L463" s="454"/>
      <ns0:c r="M463" s="439"/>
      <ns0:c r="N463" s="987" t="str">
        <ns0:f>IF(COUNTA($A463:$M463)=0,"",IF(OR(LEFT(LOWER(TRIM($F463&amp;"")),12)="subscription",LOWER(TRIM($F463&amp;""))="membership"),"",IF(OR(AND($H463&lt;&gt;"",$H463=0),LEFT(LOWER(TRIM($F463&amp;"")),9)="free game",LOWER(TRIM($F463&amp;""))="free",LOWER(TRIM($F463&amp;""))="free entry"),IF(ISNUMBER($G463),IF(ISNUMBER(SEARCH("non",LOWER($E463&amp;""))),$G463*0.85,$G463),"N/A"),IF($G463="","",IFERROR(IF(ISNUMBER(SEARCH("non",LOWER($E463&amp;""))),$G463*0.85,$G463),"")))))</ns0:f>
        <ns0:v/>
      </ns0:c>
      <ns0:c r="O463" s="987" t="str">
        <ns0:f>IF(COUNTA($A463:$M463)=0,"",IF(OR(LEFT(LOWER(TRIM($F463&amp;"")),12)="subscription",LOWER(TRIM($F463&amp;""))="membership"),"",IF(OR(AND($H463&lt;&gt;"",$H463=0),LEFT(LOWER(TRIM($F463&amp;"")),9)="free game",LOWER(TRIM($F463&amp;""))="free",LOWER(TRIM($F463&amp;""))="free entry"),IF(OR(NOT(ISNUMBER($N463)),NOT(ISNUMBER($I463)),$I463=0),"N/A",IFERROR($N463/$I463,"N/A")),IF(OR($N463="",$I463="",$I463=0),"",IFERROR($N463/$I463,"")))))</ns0:f>
        <ns0:v/>
      </ns0:c>
      <ns0:c r="P463" s="987">
        <ns0:f>IF(COUNTA($A463:$M463)=0,"",IF(OR(LEFT(LOWER(TRIM($F463&amp;"")),12)="subscription",LOWER(TRIM($F463&amp;""))="membership"),"",IF(LOWER(TRIM($D463&amp;""))="estimate","N/A",IF(LOWER($L463&amp;"")="yes",0,IF(OR(AND($H463&lt;&gt;"",$H463=0),LEFT(LOWER(TRIM($F463&amp;"")),9)="free game",LOWER(TRIM($F463&amp;""))="free",LOWER(TRIM($F463&amp;""))="free entry"),IF(ISNUMBER($K463),$K463,""),IF($K463&lt;&gt;"",$K463,""))))))</ns0:f>
      </ns0:c>
      <ns0:c r="Q463" s="114">
        <ns0:f>IF(COUNTA($A463:$M463)=0,"",IF(OR($U463="Subscription",$U463=""),"",IF($U463="Estimate","N/A",IF($U463="Profit",ROUND(IFERROR($P463,0)-IFERROR($H463,0),2),0))))</ns0:f>
      </ns0:c>
      <ns0:c r="R463" s="114">
        <ns0:f>IF(COUNTA($A463:$M463)=0,"",IF(OR($U463="Subscription",$U463=""),"",IF($U463="Estimate","N/A",IF($U463="Draw",$H463,0))))</ns0:f>
      </ns0:c>
      <ns0:c r="S463" s="114">
        <ns0:f>IF(COUNTA($A463:$M463)=0,"",IF(OR($U463="Subscription",$U463=""),"",IF($U463="Estimate","N/A",IF($U463="Disqualified",$H463,0))))</ns0:f>
      </ns0:c>
      <ns0:c r="T463" s="955">
        <ns0:f>IF(COUNTA($A463:$M463)=0,"",IF(OR($U463="Subscription",$U463=""),"",IF($U463="Estimate","N/A",IF(OR($U463="Free Game",$U463="Disqualified — Free Game",$H463=0),"N/A",IF($U463="Profit",$Q463/$H463,IF($U463="Disqualified",-$S463/$H463,0))))))</ns0:f>
      </ns0:c>
      <ns0:c r="U463" s="920">
        <ns0:f>IF(COUNTA($A463:$M463)=0,"",IF(OR(LEFT(LOWER(TRIM($F463&amp;"")),12)="subscription",LOWER(TRIM($F463&amp;""))="membership"),"Subscription",IF(LOWER(TRIM($D463&amp;""))="estimate","Estimate",IF(OR(AND($H463&lt;&gt;"",$H463=0),LEFT(LOWER(TRIM($F463&amp;"")),9)="free game",LOWER(TRIM($F463&amp;""))="free",LOWER(TRIM($F463&amp;""))="free entry"),IF(LOWER($L463&amp;"")="yes","Disqualified — Free Game","Free Game"),IF(LOWER($L463&amp;"")="yes","Disqualified",IF($P463="","",IF(ROUND(IFERROR(VALUE($P463),0)-IFERROR(VALUE($H463),0),2)&gt;0,"Profit","Draw")))))))</ns0:f>
      </ns0:c>
      <ns0:c r="V463" s="956" t="str">
        <ns0:f>IF(COUNTA($A463:$M463)=0,"",IF(OR($B463="",$C463="",$U463="Subscription"),"",IFERROR(ROUNDUP(($C463-$B463)/7,0),"")))</ns0:f>
      </ns0:c>
      <ns0:c r="W463" s="114">
        <ns0:f>IF(COUNTA($A463:$M463)=0,"",IF(OR($U463="Subscription",$U463=""),"",IF($U463="Estimate","N/A",IF(OR($U463="Free Game",$U463="Disqualified — Free Game"),0,ROUND(IFERROR($Q463,0)-IFERROR($S463,0),2)))))</ns0:f>
      </ns0:c>
      <ns0:c r="X463" s="956" t="str">
        <ns0:f>IF(COUNTA($A463:$M463)=0,"",IF(OR($U463="Subscription",NOT(ISNUMBER($J463)),NOT(ISNUMBER($I463)),$J463=0,$I463=0,$I463&gt;$J463),"",$J463-$I463))</ns0:f>
      </ns0:c>
      <ns0:c r="Y463" s="955" t="str">
        <ns0:f>IF(COUNTA($A463:$M463)=0,"",IF(OR($U463="Subscription",NOT(ISNUMBER($J463)),$J463=0,$X463=""),"",$X463/$J463))</ns0:f>
      </ns0:c>
      <ns0:c r="Z463" s="957" t="str">
        <ns0:f>IF(COUNTA($A463:$M463)=0,"",Instructions!$B$29+SUM($W$5:W463))</ns0:f>
      </ns0:c>
    </ns0:row>
    <ns0:row r="464" ht="36" customHeight="1">
      <ns0:c r="A464" s="439"/>
      <ns0:c r="B464" s="453"/>
      <ns0:c r="C464" s="453"/>
      <ns0:c r="D464" s="454"/>
      <ns0:c r="E464" s="454"/>
      <ns0:c r="F464" s="454"/>
      <ns0:c r="G464" s="986"/>
      <ns0:c r="H464" s="455"/>
      <ns0:c r="I464" s="456"/>
      <ns0:c r="J464" s="456"/>
      <ns0:c r="K464" s="986"/>
      <ns0:c r="L464" s="454"/>
      <ns0:c r="M464" s="439"/>
      <ns0:c r="N464" s="987" t="str">
        <ns0:f>IF(COUNTA($A464:$M464)=0,"",IF(OR(LEFT(LOWER(TRIM($F464&amp;"")),12)="subscription",LOWER(TRIM($F464&amp;""))="membership"),"",IF(OR(AND($H464&lt;&gt;"",$H464=0),LEFT(LOWER(TRIM($F464&amp;"")),9)="free game",LOWER(TRIM($F464&amp;""))="free",LOWER(TRIM($F464&amp;""))="free entry"),IF(ISNUMBER($G464),IF(ISNUMBER(SEARCH("non",LOWER($E464&amp;""))),$G464*0.85,$G464),"N/A"),IF($G464="","",IFERROR(IF(ISNUMBER(SEARCH("non",LOWER($E464&amp;""))),$G464*0.85,$G464),"")))))</ns0:f>
        <ns0:v/>
      </ns0:c>
      <ns0:c r="O464" s="987" t="str">
        <ns0:f>IF(COUNTA($A464:$M464)=0,"",IF(OR(LEFT(LOWER(TRIM($F464&amp;"")),12)="subscription",LOWER(TRIM($F464&amp;""))="membership"),"",IF(OR(AND($H464&lt;&gt;"",$H464=0),LEFT(LOWER(TRIM($F464&amp;"")),9)="free game",LOWER(TRIM($F464&amp;""))="free",LOWER(TRIM($F464&amp;""))="free entry"),IF(OR(NOT(ISNUMBER($N464)),NOT(ISNUMBER($I464)),$I464=0),"N/A",IFERROR($N464/$I464,"N/A")),IF(OR($N464="",$I464="",$I464=0),"",IFERROR($N464/$I464,"")))))</ns0:f>
        <ns0:v/>
      </ns0:c>
      <ns0:c r="P464" s="987">
        <ns0:f>IF(COUNTA($A464:$M464)=0,"",IF(OR(LEFT(LOWER(TRIM($F464&amp;"")),12)="subscription",LOWER(TRIM($F464&amp;""))="membership"),"",IF(LOWER(TRIM($D464&amp;""))="estimate","N/A",IF(LOWER($L464&amp;"")="yes",0,IF(OR(AND($H464&lt;&gt;"",$H464=0),LEFT(LOWER(TRIM($F464&amp;"")),9)="free game",LOWER(TRIM($F464&amp;""))="free",LOWER(TRIM($F464&amp;""))="free entry"),IF(ISNUMBER($K464),$K464,""),IF($K464&lt;&gt;"",$K464,""))))))</ns0:f>
      </ns0:c>
      <ns0:c r="Q464" s="114">
        <ns0:f>IF(COUNTA($A464:$M464)=0,"",IF(OR($U464="Subscription",$U464=""),"",IF($U464="Estimate","N/A",IF($U464="Profit",ROUND(IFERROR($P464,0)-IFERROR($H464,0),2),0))))</ns0:f>
      </ns0:c>
      <ns0:c r="R464" s="114">
        <ns0:f>IF(COUNTA($A464:$M464)=0,"",IF(OR($U464="Subscription",$U464=""),"",IF($U464="Estimate","N/A",IF($U464="Draw",$H464,0))))</ns0:f>
      </ns0:c>
      <ns0:c r="S464" s="114">
        <ns0:f>IF(COUNTA($A464:$M464)=0,"",IF(OR($U464="Subscription",$U464=""),"",IF($U464="Estimate","N/A",IF($U464="Disqualified",$H464,0))))</ns0:f>
      </ns0:c>
      <ns0:c r="T464" s="955">
        <ns0:f>IF(COUNTA($A464:$M464)=0,"",IF(OR($U464="Subscription",$U464=""),"",IF($U464="Estimate","N/A",IF(OR($U464="Free Game",$U464="Disqualified — Free Game",$H464=0),"N/A",IF($U464="Profit",$Q464/$H464,IF($U464="Disqualified",-$S464/$H464,0))))))</ns0:f>
      </ns0:c>
      <ns0:c r="U464" s="920">
        <ns0:f>IF(COUNTA($A464:$M464)=0,"",IF(OR(LEFT(LOWER(TRIM($F464&amp;"")),12)="subscription",LOWER(TRIM($F464&amp;""))="membership"),"Subscription",IF(LOWER(TRIM($D464&amp;""))="estimate","Estimate",IF(OR(AND($H464&lt;&gt;"",$H464=0),LEFT(LOWER(TRIM($F464&amp;"")),9)="free game",LOWER(TRIM($F464&amp;""))="free",LOWER(TRIM($F464&amp;""))="free entry"),IF(LOWER($L464&amp;"")="yes","Disqualified — Free Game","Free Game"),IF(LOWER($L464&amp;"")="yes","Disqualified",IF($P464="","",IF(ROUND(IFERROR(VALUE($P464),0)-IFERROR(VALUE($H464),0),2)&gt;0,"Profit","Draw")))))))</ns0:f>
      </ns0:c>
      <ns0:c r="V464" s="956" t="str">
        <ns0:f>IF(COUNTA($A464:$M464)=0,"",IF(OR($B464="",$C464="",$U464="Subscription"),"",IFERROR(ROUNDUP(($C464-$B464)/7,0),"")))</ns0:f>
      </ns0:c>
      <ns0:c r="W464" s="114">
        <ns0:f>IF(COUNTA($A464:$M464)=0,"",IF(OR($U464="Subscription",$U464=""),"",IF($U464="Estimate","N/A",IF(OR($U464="Free Game",$U464="Disqualified — Free Game"),0,ROUND(IFERROR($Q464,0)-IFERROR($S464,0),2)))))</ns0:f>
      </ns0:c>
      <ns0:c r="X464" s="956" t="str">
        <ns0:f>IF(COUNTA($A464:$M464)=0,"",IF(OR($U464="Subscription",NOT(ISNUMBER($J464)),NOT(ISNUMBER($I464)),$J464=0,$I464=0,$I464&gt;$J464),"",$J464-$I464))</ns0:f>
      </ns0:c>
      <ns0:c r="Y464" s="955" t="str">
        <ns0:f>IF(COUNTA($A464:$M464)=0,"",IF(OR($U464="Subscription",NOT(ISNUMBER($J464)),$J464=0,$X464=""),"",$X464/$J464))</ns0:f>
      </ns0:c>
      <ns0:c r="Z464" s="957" t="str">
        <ns0:f>IF(COUNTA($A464:$M464)=0,"",Instructions!$B$29+SUM($W$5:W464))</ns0:f>
      </ns0:c>
    </ns0:row>
    <ns0:row r="465" ht="36" customHeight="1">
      <ns0:c r="A465" s="439"/>
      <ns0:c r="B465" s="453"/>
      <ns0:c r="C465" s="453"/>
      <ns0:c r="D465" s="454"/>
      <ns0:c r="E465" s="454"/>
      <ns0:c r="F465" s="454"/>
      <ns0:c r="G465" s="986"/>
      <ns0:c r="H465" s="455"/>
      <ns0:c r="I465" s="456"/>
      <ns0:c r="J465" s="456"/>
      <ns0:c r="K465" s="986"/>
      <ns0:c r="L465" s="454"/>
      <ns0:c r="M465" s="439"/>
      <ns0:c r="N465" s="987" t="str">
        <ns0:f>IF(COUNTA($A465:$M465)=0,"",IF(OR(LEFT(LOWER(TRIM($F465&amp;"")),12)="subscription",LOWER(TRIM($F465&amp;""))="membership"),"",IF(OR(AND($H465&lt;&gt;"",$H465=0),LEFT(LOWER(TRIM($F465&amp;"")),9)="free game",LOWER(TRIM($F465&amp;""))="free",LOWER(TRIM($F465&amp;""))="free entry"),IF(ISNUMBER($G465),IF(ISNUMBER(SEARCH("non",LOWER($E465&amp;""))),$G465*0.85,$G465),"N/A"),IF($G465="","",IFERROR(IF(ISNUMBER(SEARCH("non",LOWER($E465&amp;""))),$G465*0.85,$G465),"")))))</ns0:f>
        <ns0:v/>
      </ns0:c>
      <ns0:c r="O465" s="987" t="str">
        <ns0:f>IF(COUNTA($A465:$M465)=0,"",IF(OR(LEFT(LOWER(TRIM($F465&amp;"")),12)="subscription",LOWER(TRIM($F465&amp;""))="membership"),"",IF(OR(AND($H465&lt;&gt;"",$H465=0),LEFT(LOWER(TRIM($F465&amp;"")),9)="free game",LOWER(TRIM($F465&amp;""))="free",LOWER(TRIM($F465&amp;""))="free entry"),IF(OR(NOT(ISNUMBER($N465)),NOT(ISNUMBER($I465)),$I465=0),"N/A",IFERROR($N465/$I465,"N/A")),IF(OR($N465="",$I465="",$I465=0),"",IFERROR($N465/$I465,"")))))</ns0:f>
        <ns0:v/>
      </ns0:c>
      <ns0:c r="P465" s="987">
        <ns0:f>IF(COUNTA($A465:$M465)=0,"",IF(OR(LEFT(LOWER(TRIM($F465&amp;"")),12)="subscription",LOWER(TRIM($F465&amp;""))="membership"),"",IF(LOWER(TRIM($D465&amp;""))="estimate","N/A",IF(LOWER($L465&amp;"")="yes",0,IF(OR(AND($H465&lt;&gt;"",$H465=0),LEFT(LOWER(TRIM($F465&amp;"")),9)="free game",LOWER(TRIM($F465&amp;""))="free",LOWER(TRIM($F465&amp;""))="free entry"),IF(ISNUMBER($K465),$K465,""),IF($K465&lt;&gt;"",$K465,""))))))</ns0:f>
      </ns0:c>
      <ns0:c r="Q465" s="114">
        <ns0:f>IF(COUNTA($A465:$M465)=0,"",IF(OR($U465="Subscription",$U465=""),"",IF($U465="Estimate","N/A",IF($U465="Profit",ROUND(IFERROR($P465,0)-IFERROR($H465,0),2),0))))</ns0:f>
      </ns0:c>
      <ns0:c r="R465" s="114">
        <ns0:f>IF(COUNTA($A465:$M465)=0,"",IF(OR($U465="Subscription",$U465=""),"",IF($U465="Estimate","N/A",IF($U465="Draw",$H465,0))))</ns0:f>
      </ns0:c>
      <ns0:c r="S465" s="114">
        <ns0:f>IF(COUNTA($A465:$M465)=0,"",IF(OR($U465="Subscription",$U465=""),"",IF($U465="Estimate","N/A",IF($U465="Disqualified",$H465,0))))</ns0:f>
      </ns0:c>
      <ns0:c r="T465" s="955">
        <ns0:f>IF(COUNTA($A465:$M465)=0,"",IF(OR($U465="Subscription",$U465=""),"",IF($U465="Estimate","N/A",IF(OR($U465="Free Game",$U465="Disqualified — Free Game",$H465=0),"N/A",IF($U465="Profit",$Q465/$H465,IF($U465="Disqualified",-$S465/$H465,0))))))</ns0:f>
      </ns0:c>
      <ns0:c r="U465" s="920">
        <ns0:f>IF(COUNTA($A465:$M465)=0,"",IF(OR(LEFT(LOWER(TRIM($F465&amp;"")),12)="subscription",LOWER(TRIM($F465&amp;""))="membership"),"Subscription",IF(LOWER(TRIM($D465&amp;""))="estimate","Estimate",IF(OR(AND($H465&lt;&gt;"",$H465=0),LEFT(LOWER(TRIM($F465&amp;"")),9)="free game",LOWER(TRIM($F465&amp;""))="free",LOWER(TRIM($F465&amp;""))="free entry"),IF(LOWER($L465&amp;"")="yes","Disqualified — Free Game","Free Game"),IF(LOWER($L465&amp;"")="yes","Disqualified",IF($P465="","",IF(ROUND(IFERROR(VALUE($P465),0)-IFERROR(VALUE($H465),0),2)&gt;0,"Profit","Draw")))))))</ns0:f>
      </ns0:c>
      <ns0:c r="V465" s="956" t="str">
        <ns0:f>IF(COUNTA($A465:$M465)=0,"",IF(OR($B465="",$C465="",$U465="Subscription"),"",IFERROR(ROUNDUP(($C465-$B465)/7,0),"")))</ns0:f>
      </ns0:c>
      <ns0:c r="W465" s="114">
        <ns0:f>IF(COUNTA($A465:$M465)=0,"",IF(OR($U465="Subscription",$U465=""),"",IF($U465="Estimate","N/A",IF(OR($U465="Free Game",$U465="Disqualified — Free Game"),0,ROUND(IFERROR($Q465,0)-IFERROR($S465,0),2)))))</ns0:f>
      </ns0:c>
      <ns0:c r="X465" s="956" t="str">
        <ns0:f>IF(COUNTA($A465:$M465)=0,"",IF(OR($U465="Subscription",NOT(ISNUMBER($J465)),NOT(ISNUMBER($I465)),$J465=0,$I465=0,$I465&gt;$J465),"",$J465-$I465))</ns0:f>
      </ns0:c>
      <ns0:c r="Y465" s="955" t="str">
        <ns0:f>IF(COUNTA($A465:$M465)=0,"",IF(OR($U465="Subscription",NOT(ISNUMBER($J465)),$J465=0,$X465=""),"",$X465/$J465))</ns0:f>
      </ns0:c>
      <ns0:c r="Z465" s="957" t="str">
        <ns0:f>IF(COUNTA($A465:$M465)=0,"",Instructions!$B$29+SUM($W$5:W465))</ns0:f>
      </ns0:c>
    </ns0:row>
    <ns0:row r="466" ht="36" customHeight="1">
      <ns0:c r="A466" s="439"/>
      <ns0:c r="B466" s="453"/>
      <ns0:c r="C466" s="453"/>
      <ns0:c r="D466" s="454"/>
      <ns0:c r="E466" s="454"/>
      <ns0:c r="F466" s="454"/>
      <ns0:c r="G466" s="986"/>
      <ns0:c r="H466" s="455"/>
      <ns0:c r="I466" s="456"/>
      <ns0:c r="J466" s="456"/>
      <ns0:c r="K466" s="986"/>
      <ns0:c r="L466" s="454"/>
      <ns0:c r="M466" s="439"/>
      <ns0:c r="N466" s="987" t="str">
        <ns0:f>IF(COUNTA($A466:$M466)=0,"",IF(OR(LEFT(LOWER(TRIM($F466&amp;"")),12)="subscription",LOWER(TRIM($F466&amp;""))="membership"),"",IF(OR(AND($H466&lt;&gt;"",$H466=0),LEFT(LOWER(TRIM($F466&amp;"")),9)="free game",LOWER(TRIM($F466&amp;""))="free",LOWER(TRIM($F466&amp;""))="free entry"),IF(ISNUMBER($G466),IF(ISNUMBER(SEARCH("non",LOWER($E466&amp;""))),$G466*0.85,$G466),"N/A"),IF($G466="","",IFERROR(IF(ISNUMBER(SEARCH("non",LOWER($E466&amp;""))),$G466*0.85,$G466),"")))))</ns0:f>
        <ns0:v/>
      </ns0:c>
      <ns0:c r="O466" s="987" t="str">
        <ns0:f>IF(COUNTA($A466:$M466)=0,"",IF(OR(LEFT(LOWER(TRIM($F466&amp;"")),12)="subscription",LOWER(TRIM($F466&amp;""))="membership"),"",IF(OR(AND($H466&lt;&gt;"",$H466=0),LEFT(LOWER(TRIM($F466&amp;"")),9)="free game",LOWER(TRIM($F466&amp;""))="free",LOWER(TRIM($F466&amp;""))="free entry"),IF(OR(NOT(ISNUMBER($N466)),NOT(ISNUMBER($I466)),$I466=0),"N/A",IFERROR($N466/$I466,"N/A")),IF(OR($N466="",$I466="",$I466=0),"",IFERROR($N466/$I466,"")))))</ns0:f>
        <ns0:v/>
      </ns0:c>
      <ns0:c r="P466" s="987">
        <ns0:f>IF(COUNTA($A466:$M466)=0,"",IF(OR(LEFT(LOWER(TRIM($F466&amp;"")),12)="subscription",LOWER(TRIM($F466&amp;""))="membership"),"",IF(LOWER(TRIM($D466&amp;""))="estimate","N/A",IF(LOWER($L466&amp;"")="yes",0,IF(OR(AND($H466&lt;&gt;"",$H466=0),LEFT(LOWER(TRIM($F466&amp;"")),9)="free game",LOWER(TRIM($F466&amp;""))="free",LOWER(TRIM($F466&amp;""))="free entry"),IF(ISNUMBER($K466),$K466,""),IF($K466&lt;&gt;"",$K466,""))))))</ns0:f>
      </ns0:c>
      <ns0:c r="Q466" s="114">
        <ns0:f>IF(COUNTA($A466:$M466)=0,"",IF(OR($U466="Subscription",$U466=""),"",IF($U466="Estimate","N/A",IF($U466="Profit",ROUND(IFERROR($P466,0)-IFERROR($H466,0),2),0))))</ns0:f>
      </ns0:c>
      <ns0:c r="R466" s="114">
        <ns0:f>IF(COUNTA($A466:$M466)=0,"",IF(OR($U466="Subscription",$U466=""),"",IF($U466="Estimate","N/A",IF($U466="Draw",$H466,0))))</ns0:f>
      </ns0:c>
      <ns0:c r="S466" s="114">
        <ns0:f>IF(COUNTA($A466:$M466)=0,"",IF(OR($U466="Subscription",$U466=""),"",IF($U466="Estimate","N/A",IF($U466="Disqualified",$H466,0))))</ns0:f>
      </ns0:c>
      <ns0:c r="T466" s="955">
        <ns0:f>IF(COUNTA($A466:$M466)=0,"",IF(OR($U466="Subscription",$U466=""),"",IF($U466="Estimate","N/A",IF(OR($U466="Free Game",$U466="Disqualified — Free Game",$H466=0),"N/A",IF($U466="Profit",$Q466/$H466,IF($U466="Disqualified",-$S466/$H466,0))))))</ns0:f>
      </ns0:c>
      <ns0:c r="U466" s="920">
        <ns0:f>IF(COUNTA($A466:$M466)=0,"",IF(OR(LEFT(LOWER(TRIM($F466&amp;"")),12)="subscription",LOWER(TRIM($F466&amp;""))="membership"),"Subscription",IF(LOWER(TRIM($D466&amp;""))="estimate","Estimate",IF(OR(AND($H466&lt;&gt;"",$H466=0),LEFT(LOWER(TRIM($F466&amp;"")),9)="free game",LOWER(TRIM($F466&amp;""))="free",LOWER(TRIM($F466&amp;""))="free entry"),IF(LOWER($L466&amp;"")="yes","Disqualified — Free Game","Free Game"),IF(LOWER($L466&amp;"")="yes","Disqualified",IF($P466="","",IF(ROUND(IFERROR(VALUE($P466),0)-IFERROR(VALUE($H466),0),2)&gt;0,"Profit","Draw")))))))</ns0:f>
      </ns0:c>
      <ns0:c r="V466" s="956" t="str">
        <ns0:f>IF(COUNTA($A466:$M466)=0,"",IF(OR($B466="",$C466="",$U466="Subscription"),"",IFERROR(ROUNDUP(($C466-$B466)/7,0),"")))</ns0:f>
      </ns0:c>
      <ns0:c r="W466" s="114">
        <ns0:f>IF(COUNTA($A466:$M466)=0,"",IF(OR($U466="Subscription",$U466=""),"",IF($U466="Estimate","N/A",IF(OR($U466="Free Game",$U466="Disqualified — Free Game"),0,ROUND(IFERROR($Q466,0)-IFERROR($S466,0),2)))))</ns0:f>
      </ns0:c>
      <ns0:c r="X466" s="956" t="str">
        <ns0:f>IF(COUNTA($A466:$M466)=0,"",IF(OR($U466="Subscription",NOT(ISNUMBER($J466)),NOT(ISNUMBER($I466)),$J466=0,$I466=0,$I466&gt;$J466),"",$J466-$I466))</ns0:f>
      </ns0:c>
      <ns0:c r="Y466" s="955" t="str">
        <ns0:f>IF(COUNTA($A466:$M466)=0,"",IF(OR($U466="Subscription",NOT(ISNUMBER($J466)),$J466=0,$X466=""),"",$X466/$J466))</ns0:f>
      </ns0:c>
      <ns0:c r="Z466" s="957" t="str">
        <ns0:f>IF(COUNTA($A466:$M466)=0,"",Instructions!$B$29+SUM($W$5:W466))</ns0:f>
      </ns0:c>
    </ns0:row>
    <ns0:row r="467" ht="36" customHeight="1">
      <ns0:c r="A467" s="439"/>
      <ns0:c r="B467" s="453"/>
      <ns0:c r="C467" s="453"/>
      <ns0:c r="D467" s="454"/>
      <ns0:c r="E467" s="454"/>
      <ns0:c r="F467" s="454"/>
      <ns0:c r="G467" s="986"/>
      <ns0:c r="H467" s="455"/>
      <ns0:c r="I467" s="456"/>
      <ns0:c r="J467" s="456"/>
      <ns0:c r="K467" s="986"/>
      <ns0:c r="L467" s="454"/>
      <ns0:c r="M467" s="439"/>
      <ns0:c r="N467" s="987" t="str">
        <ns0:f>IF(COUNTA($A467:$M467)=0,"",IF(OR(LEFT(LOWER(TRIM($F467&amp;"")),12)="subscription",LOWER(TRIM($F467&amp;""))="membership"),"",IF(OR(AND($H467&lt;&gt;"",$H467=0),LEFT(LOWER(TRIM($F467&amp;"")),9)="free game",LOWER(TRIM($F467&amp;""))="free",LOWER(TRIM($F467&amp;""))="free entry"),IF(ISNUMBER($G467),IF(ISNUMBER(SEARCH("non",LOWER($E467&amp;""))),$G467*0.85,$G467),"N/A"),IF($G467="","",IFERROR(IF(ISNUMBER(SEARCH("non",LOWER($E467&amp;""))),$G467*0.85,$G467),"")))))</ns0:f>
        <ns0:v/>
      </ns0:c>
      <ns0:c r="O467" s="987" t="str">
        <ns0:f>IF(COUNTA($A467:$M467)=0,"",IF(OR(LEFT(LOWER(TRIM($F467&amp;"")),12)="subscription",LOWER(TRIM($F467&amp;""))="membership"),"",IF(OR(AND($H467&lt;&gt;"",$H467=0),LEFT(LOWER(TRIM($F467&amp;"")),9)="free game",LOWER(TRIM($F467&amp;""))="free",LOWER(TRIM($F467&amp;""))="free entry"),IF(OR(NOT(ISNUMBER($N467)),NOT(ISNUMBER($I467)),$I467=0),"N/A",IFERROR($N467/$I467,"N/A")),IF(OR($N467="",$I467="",$I467=0),"",IFERROR($N467/$I467,"")))))</ns0:f>
        <ns0:v/>
      </ns0:c>
      <ns0:c r="P467" s="987">
        <ns0:f>IF(COUNTA($A467:$M467)=0,"",IF(OR(LEFT(LOWER(TRIM($F467&amp;"")),12)="subscription",LOWER(TRIM($F467&amp;""))="membership"),"",IF(LOWER(TRIM($D467&amp;""))="estimate","N/A",IF(LOWER($L467&amp;"")="yes",0,IF(OR(AND($H467&lt;&gt;"",$H467=0),LEFT(LOWER(TRIM($F467&amp;"")),9)="free game",LOWER(TRIM($F467&amp;""))="free",LOWER(TRIM($F467&amp;""))="free entry"),IF(ISNUMBER($K467),$K467,""),IF($K467&lt;&gt;"",$K467,""))))))</ns0:f>
      </ns0:c>
      <ns0:c r="Q467" s="114">
        <ns0:f>IF(COUNTA($A467:$M467)=0,"",IF(OR($U467="Subscription",$U467=""),"",IF($U467="Estimate","N/A",IF($U467="Profit",ROUND(IFERROR($P467,0)-IFERROR($H467,0),2),0))))</ns0:f>
      </ns0:c>
      <ns0:c r="R467" s="114">
        <ns0:f>IF(COUNTA($A467:$M467)=0,"",IF(OR($U467="Subscription",$U467=""),"",IF($U467="Estimate","N/A",IF($U467="Draw",$H467,0))))</ns0:f>
      </ns0:c>
      <ns0:c r="S467" s="114">
        <ns0:f>IF(COUNTA($A467:$M467)=0,"",IF(OR($U467="Subscription",$U467=""),"",IF($U467="Estimate","N/A",IF($U467="Disqualified",$H467,0))))</ns0:f>
      </ns0:c>
      <ns0:c r="T467" s="955">
        <ns0:f>IF(COUNTA($A467:$M467)=0,"",IF(OR($U467="Subscription",$U467=""),"",IF($U467="Estimate","N/A",IF(OR($U467="Free Game",$U467="Disqualified — Free Game",$H467=0),"N/A",IF($U467="Profit",$Q467/$H467,IF($U467="Disqualified",-$S467/$H467,0))))))</ns0:f>
      </ns0:c>
      <ns0:c r="U467" s="920">
        <ns0:f>IF(COUNTA($A467:$M467)=0,"",IF(OR(LEFT(LOWER(TRIM($F467&amp;"")),12)="subscription",LOWER(TRIM($F467&amp;""))="membership"),"Subscription",IF(LOWER(TRIM($D467&amp;""))="estimate","Estimate",IF(OR(AND($H467&lt;&gt;"",$H467=0),LEFT(LOWER(TRIM($F467&amp;"")),9)="free game",LOWER(TRIM($F467&amp;""))="free",LOWER(TRIM($F467&amp;""))="free entry"),IF(LOWER($L467&amp;"")="yes","Disqualified — Free Game","Free Game"),IF(LOWER($L467&amp;"")="yes","Disqualified",IF($P467="","",IF(ROUND(IFERROR(VALUE($P467),0)-IFERROR(VALUE($H467),0),2)&gt;0,"Profit","Draw")))))))</ns0:f>
      </ns0:c>
      <ns0:c r="V467" s="956" t="str">
        <ns0:f>IF(COUNTA($A467:$M467)=0,"",IF(OR($B467="",$C467="",$U467="Subscription"),"",IFERROR(ROUNDUP(($C467-$B467)/7,0),"")))</ns0:f>
      </ns0:c>
      <ns0:c r="W467" s="114">
        <ns0:f>IF(COUNTA($A467:$M467)=0,"",IF(OR($U467="Subscription",$U467=""),"",IF($U467="Estimate","N/A",IF(OR($U467="Free Game",$U467="Disqualified — Free Game"),0,ROUND(IFERROR($Q467,0)-IFERROR($S467,0),2)))))</ns0:f>
      </ns0:c>
      <ns0:c r="X467" s="956" t="str">
        <ns0:f>IF(COUNTA($A467:$M467)=0,"",IF(OR($U467="Subscription",NOT(ISNUMBER($J467)),NOT(ISNUMBER($I467)),$J467=0,$I467=0,$I467&gt;$J467),"",$J467-$I467))</ns0:f>
      </ns0:c>
      <ns0:c r="Y467" s="955" t="str">
        <ns0:f>IF(COUNTA($A467:$M467)=0,"",IF(OR($U467="Subscription",NOT(ISNUMBER($J467)),$J467=0,$X467=""),"",$X467/$J467))</ns0:f>
      </ns0:c>
      <ns0:c r="Z467" s="957" t="str">
        <ns0:f>IF(COUNTA($A467:$M467)=0,"",Instructions!$B$29+SUM($W$5:W467))</ns0:f>
      </ns0:c>
    </ns0:row>
    <ns0:row r="468" ht="36" customHeight="1">
      <ns0:c r="A468" s="439"/>
      <ns0:c r="B468" s="453"/>
      <ns0:c r="C468" s="453"/>
      <ns0:c r="D468" s="454"/>
      <ns0:c r="E468" s="454"/>
      <ns0:c r="F468" s="454"/>
      <ns0:c r="G468" s="986"/>
      <ns0:c r="H468" s="455"/>
      <ns0:c r="I468" s="456"/>
      <ns0:c r="J468" s="456"/>
      <ns0:c r="K468" s="986"/>
      <ns0:c r="L468" s="454"/>
      <ns0:c r="M468" s="439"/>
      <ns0:c r="N468" s="987" t="str">
        <ns0:f>IF(COUNTA($A468:$M468)=0,"",IF(OR(LEFT(LOWER(TRIM($F468&amp;"")),12)="subscription",LOWER(TRIM($F468&amp;""))="membership"),"",IF(OR(AND($H468&lt;&gt;"",$H468=0),LEFT(LOWER(TRIM($F468&amp;"")),9)="free game",LOWER(TRIM($F468&amp;""))="free",LOWER(TRIM($F468&amp;""))="free entry"),IF(ISNUMBER($G468),IF(ISNUMBER(SEARCH("non",LOWER($E468&amp;""))),$G468*0.85,$G468),"N/A"),IF($G468="","",IFERROR(IF(ISNUMBER(SEARCH("non",LOWER($E468&amp;""))),$G468*0.85,$G468),"")))))</ns0:f>
        <ns0:v/>
      </ns0:c>
      <ns0:c r="O468" s="987" t="str">
        <ns0:f>IF(COUNTA($A468:$M468)=0,"",IF(OR(LEFT(LOWER(TRIM($F468&amp;"")),12)="subscription",LOWER(TRIM($F468&amp;""))="membership"),"",IF(OR(AND($H468&lt;&gt;"",$H468=0),LEFT(LOWER(TRIM($F468&amp;"")),9)="free game",LOWER(TRIM($F468&amp;""))="free",LOWER(TRIM($F468&amp;""))="free entry"),IF(OR(NOT(ISNUMBER($N468)),NOT(ISNUMBER($I468)),$I468=0),"N/A",IFERROR($N468/$I468,"N/A")),IF(OR($N468="",$I468="",$I468=0),"",IFERROR($N468/$I468,"")))))</ns0:f>
        <ns0:v/>
      </ns0:c>
      <ns0:c r="P468" s="987">
        <ns0:f>IF(COUNTA($A468:$M468)=0,"",IF(OR(LEFT(LOWER(TRIM($F468&amp;"")),12)="subscription",LOWER(TRIM($F468&amp;""))="membership"),"",IF(LOWER(TRIM($D468&amp;""))="estimate","N/A",IF(LOWER($L468&amp;"")="yes",0,IF(OR(AND($H468&lt;&gt;"",$H468=0),LEFT(LOWER(TRIM($F468&amp;"")),9)="free game",LOWER(TRIM($F468&amp;""))="free",LOWER(TRIM($F468&amp;""))="free entry"),IF(ISNUMBER($K468),$K468,""),IF($K468&lt;&gt;"",$K468,""))))))</ns0:f>
      </ns0:c>
      <ns0:c r="Q468" s="114">
        <ns0:f>IF(COUNTA($A468:$M468)=0,"",IF(OR($U468="Subscription",$U468=""),"",IF($U468="Estimate","N/A",IF($U468="Profit",ROUND(IFERROR($P468,0)-IFERROR($H468,0),2),0))))</ns0:f>
      </ns0:c>
      <ns0:c r="R468" s="114">
        <ns0:f>IF(COUNTA($A468:$M468)=0,"",IF(OR($U468="Subscription",$U468=""),"",IF($U468="Estimate","N/A",IF($U468="Draw",$H468,0))))</ns0:f>
      </ns0:c>
      <ns0:c r="S468" s="114">
        <ns0:f>IF(COUNTA($A468:$M468)=0,"",IF(OR($U468="Subscription",$U468=""),"",IF($U468="Estimate","N/A",IF($U468="Disqualified",$H468,0))))</ns0:f>
      </ns0:c>
      <ns0:c r="T468" s="955">
        <ns0:f>IF(COUNTA($A468:$M468)=0,"",IF(OR($U468="Subscription",$U468=""),"",IF($U468="Estimate","N/A",IF(OR($U468="Free Game",$U468="Disqualified — Free Game",$H468=0),"N/A",IF($U468="Profit",$Q468/$H468,IF($U468="Disqualified",-$S468/$H468,0))))))</ns0:f>
      </ns0:c>
      <ns0:c r="U468" s="920">
        <ns0:f>IF(COUNTA($A468:$M468)=0,"",IF(OR(LEFT(LOWER(TRIM($F468&amp;"")),12)="subscription",LOWER(TRIM($F468&amp;""))="membership"),"Subscription",IF(LOWER(TRIM($D468&amp;""))="estimate","Estimate",IF(OR(AND($H468&lt;&gt;"",$H468=0),LEFT(LOWER(TRIM($F468&amp;"")),9)="free game",LOWER(TRIM($F468&amp;""))="free",LOWER(TRIM($F468&amp;""))="free entry"),IF(LOWER($L468&amp;"")="yes","Disqualified — Free Game","Free Game"),IF(LOWER($L468&amp;"")="yes","Disqualified",IF($P468="","",IF(ROUND(IFERROR(VALUE($P468),0)-IFERROR(VALUE($H468),0),2)&gt;0,"Profit","Draw")))))))</ns0:f>
      </ns0:c>
      <ns0:c r="V468" s="956" t="str">
        <ns0:f>IF(COUNTA($A468:$M468)=0,"",IF(OR($B468="",$C468="",$U468="Subscription"),"",IFERROR(ROUNDUP(($C468-$B468)/7,0),"")))</ns0:f>
      </ns0:c>
      <ns0:c r="W468" s="114">
        <ns0:f>IF(COUNTA($A468:$M468)=0,"",IF(OR($U468="Subscription",$U468=""),"",IF($U468="Estimate","N/A",IF(OR($U468="Free Game",$U468="Disqualified — Free Game"),0,ROUND(IFERROR($Q468,0)-IFERROR($S468,0),2)))))</ns0:f>
      </ns0:c>
      <ns0:c r="X468" s="956" t="str">
        <ns0:f>IF(COUNTA($A468:$M468)=0,"",IF(OR($U468="Subscription",NOT(ISNUMBER($J468)),NOT(ISNUMBER($I468)),$J468=0,$I468=0,$I468&gt;$J468),"",$J468-$I468))</ns0:f>
      </ns0:c>
      <ns0:c r="Y468" s="955" t="str">
        <ns0:f>IF(COUNTA($A468:$M468)=0,"",IF(OR($U468="Subscription",NOT(ISNUMBER($J468)),$J468=0,$X468=""),"",$X468/$J468))</ns0:f>
      </ns0:c>
      <ns0:c r="Z468" s="957" t="str">
        <ns0:f>IF(COUNTA($A468:$M468)=0,"",Instructions!$B$29+SUM($W$5:W468))</ns0:f>
      </ns0:c>
    </ns0:row>
    <ns0:row r="469" ht="36" customHeight="1">
      <ns0:c r="A469" s="439"/>
      <ns0:c r="B469" s="453"/>
      <ns0:c r="C469" s="453"/>
      <ns0:c r="D469" s="454"/>
      <ns0:c r="E469" s="454"/>
      <ns0:c r="F469" s="454"/>
      <ns0:c r="G469" s="986"/>
      <ns0:c r="H469" s="455"/>
      <ns0:c r="I469" s="456"/>
      <ns0:c r="J469" s="456"/>
      <ns0:c r="K469" s="986"/>
      <ns0:c r="L469" s="454"/>
      <ns0:c r="M469" s="439"/>
      <ns0:c r="N469" s="987" t="str">
        <ns0:f>IF(COUNTA($A469:$M469)=0,"",IF(OR(LEFT(LOWER(TRIM($F469&amp;"")),12)="subscription",LOWER(TRIM($F469&amp;""))="membership"),"",IF(OR(AND($H469&lt;&gt;"",$H469=0),LEFT(LOWER(TRIM($F469&amp;"")),9)="free game",LOWER(TRIM($F469&amp;""))="free",LOWER(TRIM($F469&amp;""))="free entry"),IF(ISNUMBER($G469),IF(ISNUMBER(SEARCH("non",LOWER($E469&amp;""))),$G469*0.85,$G469),"N/A"),IF($G469="","",IFERROR(IF(ISNUMBER(SEARCH("non",LOWER($E469&amp;""))),$G469*0.85,$G469),"")))))</ns0:f>
        <ns0:v/>
      </ns0:c>
      <ns0:c r="O469" s="987" t="str">
        <ns0:f>IF(COUNTA($A469:$M469)=0,"",IF(OR(LEFT(LOWER(TRIM($F469&amp;"")),12)="subscription",LOWER(TRIM($F469&amp;""))="membership"),"",IF(OR(AND($H469&lt;&gt;"",$H469=0),LEFT(LOWER(TRIM($F469&amp;"")),9)="free game",LOWER(TRIM($F469&amp;""))="free",LOWER(TRIM($F469&amp;""))="free entry"),IF(OR(NOT(ISNUMBER($N469)),NOT(ISNUMBER($I469)),$I469=0),"N/A",IFERROR($N469/$I469,"N/A")),IF(OR($N469="",$I469="",$I469=0),"",IFERROR($N469/$I469,"")))))</ns0:f>
        <ns0:v/>
      </ns0:c>
      <ns0:c r="P469" s="987">
        <ns0:f>IF(COUNTA($A469:$M469)=0,"",IF(OR(LEFT(LOWER(TRIM($F469&amp;"")),12)="subscription",LOWER(TRIM($F469&amp;""))="membership"),"",IF(LOWER(TRIM($D469&amp;""))="estimate","N/A",IF(LOWER($L469&amp;"")="yes",0,IF(OR(AND($H469&lt;&gt;"",$H469=0),LEFT(LOWER(TRIM($F469&amp;"")),9)="free game",LOWER(TRIM($F469&amp;""))="free",LOWER(TRIM($F469&amp;""))="free entry"),IF(ISNUMBER($K469),$K469,""),IF($K469&lt;&gt;"",$K469,""))))))</ns0:f>
      </ns0:c>
      <ns0:c r="Q469" s="114">
        <ns0:f>IF(COUNTA($A469:$M469)=0,"",IF(OR($U469="Subscription",$U469=""),"",IF($U469="Estimate","N/A",IF($U469="Profit",ROUND(IFERROR($P469,0)-IFERROR($H469,0),2),0))))</ns0:f>
      </ns0:c>
      <ns0:c r="R469" s="114">
        <ns0:f>IF(COUNTA($A469:$M469)=0,"",IF(OR($U469="Subscription",$U469=""),"",IF($U469="Estimate","N/A",IF($U469="Draw",$H469,0))))</ns0:f>
      </ns0:c>
      <ns0:c r="S469" s="114">
        <ns0:f>IF(COUNTA($A469:$M469)=0,"",IF(OR($U469="Subscription",$U469=""),"",IF($U469="Estimate","N/A",IF($U469="Disqualified",$H469,0))))</ns0:f>
      </ns0:c>
      <ns0:c r="T469" s="955">
        <ns0:f>IF(COUNTA($A469:$M469)=0,"",IF(OR($U469="Subscription",$U469=""),"",IF($U469="Estimate","N/A",IF(OR($U469="Free Game",$U469="Disqualified — Free Game",$H469=0),"N/A",IF($U469="Profit",$Q469/$H469,IF($U469="Disqualified",-$S469/$H469,0))))))</ns0:f>
      </ns0:c>
      <ns0:c r="U469" s="920">
        <ns0:f>IF(COUNTA($A469:$M469)=0,"",IF(OR(LEFT(LOWER(TRIM($F469&amp;"")),12)="subscription",LOWER(TRIM($F469&amp;""))="membership"),"Subscription",IF(LOWER(TRIM($D469&amp;""))="estimate","Estimate",IF(OR(AND($H469&lt;&gt;"",$H469=0),LEFT(LOWER(TRIM($F469&amp;"")),9)="free game",LOWER(TRIM($F469&amp;""))="free",LOWER(TRIM($F469&amp;""))="free entry"),IF(LOWER($L469&amp;"")="yes","Disqualified — Free Game","Free Game"),IF(LOWER($L469&amp;"")="yes","Disqualified",IF($P469="","",IF(ROUND(IFERROR(VALUE($P469),0)-IFERROR(VALUE($H469),0),2)&gt;0,"Profit","Draw")))))))</ns0:f>
      </ns0:c>
      <ns0:c r="V469" s="956" t="str">
        <ns0:f>IF(COUNTA($A469:$M469)=0,"",IF(OR($B469="",$C469="",$U469="Subscription"),"",IFERROR(ROUNDUP(($C469-$B469)/7,0),"")))</ns0:f>
      </ns0:c>
      <ns0:c r="W469" s="114">
        <ns0:f>IF(COUNTA($A469:$M469)=0,"",IF(OR($U469="Subscription",$U469=""),"",IF($U469="Estimate","N/A",IF(OR($U469="Free Game",$U469="Disqualified — Free Game"),0,ROUND(IFERROR($Q469,0)-IFERROR($S469,0),2)))))</ns0:f>
      </ns0:c>
      <ns0:c r="X469" s="956" t="str">
        <ns0:f>IF(COUNTA($A469:$M469)=0,"",IF(OR($U469="Subscription",NOT(ISNUMBER($J469)),NOT(ISNUMBER($I469)),$J469=0,$I469=0,$I469&gt;$J469),"",$J469-$I469))</ns0:f>
      </ns0:c>
      <ns0:c r="Y469" s="955" t="str">
        <ns0:f>IF(COUNTA($A469:$M469)=0,"",IF(OR($U469="Subscription",NOT(ISNUMBER($J469)),$J469=0,$X469=""),"",$X469/$J469))</ns0:f>
      </ns0:c>
      <ns0:c r="Z469" s="957" t="str">
        <ns0:f>IF(COUNTA($A469:$M469)=0,"",Instructions!$B$29+SUM($W$5:W469))</ns0:f>
      </ns0:c>
    </ns0:row>
    <ns0:row r="470" ht="36" customHeight="1">
      <ns0:c r="A470" s="439"/>
      <ns0:c r="B470" s="453"/>
      <ns0:c r="C470" s="453"/>
      <ns0:c r="D470" s="454"/>
      <ns0:c r="E470" s="454"/>
      <ns0:c r="F470" s="454"/>
      <ns0:c r="G470" s="986"/>
      <ns0:c r="H470" s="455"/>
      <ns0:c r="I470" s="456"/>
      <ns0:c r="J470" s="456"/>
      <ns0:c r="K470" s="986"/>
      <ns0:c r="L470" s="454"/>
      <ns0:c r="M470" s="439"/>
      <ns0:c r="N470" s="987" t="str">
        <ns0:f>IF(COUNTA($A470:$M470)=0,"",IF(OR(LEFT(LOWER(TRIM($F470&amp;"")),12)="subscription",LOWER(TRIM($F470&amp;""))="membership"),"",IF(OR(AND($H470&lt;&gt;"",$H470=0),LEFT(LOWER(TRIM($F470&amp;"")),9)="free game",LOWER(TRIM($F470&amp;""))="free",LOWER(TRIM($F470&amp;""))="free entry"),IF(ISNUMBER($G470),IF(ISNUMBER(SEARCH("non",LOWER($E470&amp;""))),$G470*0.85,$G470),"N/A"),IF($G470="","",IFERROR(IF(ISNUMBER(SEARCH("non",LOWER($E470&amp;""))),$G470*0.85,$G470),"")))))</ns0:f>
        <ns0:v/>
      </ns0:c>
      <ns0:c r="O470" s="987" t="str">
        <ns0:f>IF(COUNTA($A470:$M470)=0,"",IF(OR(LEFT(LOWER(TRIM($F470&amp;"")),12)="subscription",LOWER(TRIM($F470&amp;""))="membership"),"",IF(OR(AND($H470&lt;&gt;"",$H470=0),LEFT(LOWER(TRIM($F470&amp;"")),9)="free game",LOWER(TRIM($F470&amp;""))="free",LOWER(TRIM($F470&amp;""))="free entry"),IF(OR(NOT(ISNUMBER($N470)),NOT(ISNUMBER($I470)),$I470=0),"N/A",IFERROR($N470/$I470,"N/A")),IF(OR($N470="",$I470="",$I470=0),"",IFERROR($N470/$I470,"")))))</ns0:f>
        <ns0:v/>
      </ns0:c>
      <ns0:c r="P470" s="987">
        <ns0:f>IF(COUNTA($A470:$M470)=0,"",IF(OR(LEFT(LOWER(TRIM($F470&amp;"")),12)="subscription",LOWER(TRIM($F470&amp;""))="membership"),"",IF(LOWER(TRIM($D470&amp;""))="estimate","N/A",IF(LOWER($L470&amp;"")="yes",0,IF(OR(AND($H470&lt;&gt;"",$H470=0),LEFT(LOWER(TRIM($F470&amp;"")),9)="free game",LOWER(TRIM($F470&amp;""))="free",LOWER(TRIM($F470&amp;""))="free entry"),IF(ISNUMBER($K470),$K470,""),IF($K470&lt;&gt;"",$K470,""))))))</ns0:f>
      </ns0:c>
      <ns0:c r="Q470" s="114">
        <ns0:f>IF(COUNTA($A470:$M470)=0,"",IF(OR($U470="Subscription",$U470=""),"",IF($U470="Estimate","N/A",IF($U470="Profit",ROUND(IFERROR($P470,0)-IFERROR($H470,0),2),0))))</ns0:f>
      </ns0:c>
      <ns0:c r="R470" s="114">
        <ns0:f>IF(COUNTA($A470:$M470)=0,"",IF(OR($U470="Subscription",$U470=""),"",IF($U470="Estimate","N/A",IF($U470="Draw",$H470,0))))</ns0:f>
      </ns0:c>
      <ns0:c r="S470" s="114">
        <ns0:f>IF(COUNTA($A470:$M470)=0,"",IF(OR($U470="Subscription",$U470=""),"",IF($U470="Estimate","N/A",IF($U470="Disqualified",$H470,0))))</ns0:f>
      </ns0:c>
      <ns0:c r="T470" s="955">
        <ns0:f>IF(COUNTA($A470:$M470)=0,"",IF(OR($U470="Subscription",$U470=""),"",IF($U470="Estimate","N/A",IF(OR($U470="Free Game",$U470="Disqualified — Free Game",$H470=0),"N/A",IF($U470="Profit",$Q470/$H470,IF($U470="Disqualified",-$S470/$H470,0))))))</ns0:f>
      </ns0:c>
      <ns0:c r="U470" s="920">
        <ns0:f>IF(COUNTA($A470:$M470)=0,"",IF(OR(LEFT(LOWER(TRIM($F470&amp;"")),12)="subscription",LOWER(TRIM($F470&amp;""))="membership"),"Subscription",IF(LOWER(TRIM($D470&amp;""))="estimate","Estimate",IF(OR(AND($H470&lt;&gt;"",$H470=0),LEFT(LOWER(TRIM($F470&amp;"")),9)="free game",LOWER(TRIM($F470&amp;""))="free",LOWER(TRIM($F470&amp;""))="free entry"),IF(LOWER($L470&amp;"")="yes","Disqualified — Free Game","Free Game"),IF(LOWER($L470&amp;"")="yes","Disqualified",IF($P470="","",IF(ROUND(IFERROR(VALUE($P470),0)-IFERROR(VALUE($H470),0),2)&gt;0,"Profit","Draw")))))))</ns0:f>
      </ns0:c>
      <ns0:c r="V470" s="956" t="str">
        <ns0:f>IF(COUNTA($A470:$M470)=0,"",IF(OR($B470="",$C470="",$U470="Subscription"),"",IFERROR(ROUNDUP(($C470-$B470)/7,0),"")))</ns0:f>
      </ns0:c>
      <ns0:c r="W470" s="114">
        <ns0:f>IF(COUNTA($A470:$M470)=0,"",IF(OR($U470="Subscription",$U470=""),"",IF($U470="Estimate","N/A",IF(OR($U470="Free Game",$U470="Disqualified — Free Game"),0,ROUND(IFERROR($Q470,0)-IFERROR($S470,0),2)))))</ns0:f>
      </ns0:c>
      <ns0:c r="X470" s="956" t="str">
        <ns0:f>IF(COUNTA($A470:$M470)=0,"",IF(OR($U470="Subscription",NOT(ISNUMBER($J470)),NOT(ISNUMBER($I470)),$J470=0,$I470=0,$I470&gt;$J470),"",$J470-$I470))</ns0:f>
      </ns0:c>
      <ns0:c r="Y470" s="955" t="str">
        <ns0:f>IF(COUNTA($A470:$M470)=0,"",IF(OR($U470="Subscription",NOT(ISNUMBER($J470)),$J470=0,$X470=""),"",$X470/$J470))</ns0:f>
      </ns0:c>
      <ns0:c r="Z470" s="957" t="str">
        <ns0:f>IF(COUNTA($A470:$M470)=0,"",Instructions!$B$29+SUM($W$5:W470))</ns0:f>
      </ns0:c>
    </ns0:row>
    <ns0:row r="471" ht="36" customHeight="1">
      <ns0:c r="A471" s="439"/>
      <ns0:c r="B471" s="453"/>
      <ns0:c r="C471" s="453"/>
      <ns0:c r="D471" s="454"/>
      <ns0:c r="E471" s="454"/>
      <ns0:c r="F471" s="454"/>
      <ns0:c r="G471" s="986"/>
      <ns0:c r="H471" s="455"/>
      <ns0:c r="I471" s="456"/>
      <ns0:c r="J471" s="456"/>
      <ns0:c r="K471" s="986"/>
      <ns0:c r="L471" s="454"/>
      <ns0:c r="M471" s="439"/>
      <ns0:c r="N471" s="987" t="str">
        <ns0:f>IF(COUNTA($A471:$M471)=0,"",IF(OR(LEFT(LOWER(TRIM($F471&amp;"")),12)="subscription",LOWER(TRIM($F471&amp;""))="membership"),"",IF(OR(AND($H471&lt;&gt;"",$H471=0),LEFT(LOWER(TRIM($F471&amp;"")),9)="free game",LOWER(TRIM($F471&amp;""))="free",LOWER(TRIM($F471&amp;""))="free entry"),IF(ISNUMBER($G471),IF(ISNUMBER(SEARCH("non",LOWER($E471&amp;""))),$G471*0.85,$G471),"N/A"),IF($G471="","",IFERROR(IF(ISNUMBER(SEARCH("non",LOWER($E471&amp;""))),$G471*0.85,$G471),"")))))</ns0:f>
        <ns0:v/>
      </ns0:c>
      <ns0:c r="O471" s="987" t="str">
        <ns0:f>IF(COUNTA($A471:$M471)=0,"",IF(OR(LEFT(LOWER(TRIM($F471&amp;"")),12)="subscription",LOWER(TRIM($F471&amp;""))="membership"),"",IF(OR(AND($H471&lt;&gt;"",$H471=0),LEFT(LOWER(TRIM($F471&amp;"")),9)="free game",LOWER(TRIM($F471&amp;""))="free",LOWER(TRIM($F471&amp;""))="free entry"),IF(OR(NOT(ISNUMBER($N471)),NOT(ISNUMBER($I471)),$I471=0),"N/A",IFERROR($N471/$I471,"N/A")),IF(OR($N471="",$I471="",$I471=0),"",IFERROR($N471/$I471,"")))))</ns0:f>
        <ns0:v/>
      </ns0:c>
      <ns0:c r="P471" s="987">
        <ns0:f>IF(COUNTA($A471:$M471)=0,"",IF(OR(LEFT(LOWER(TRIM($F471&amp;"")),12)="subscription",LOWER(TRIM($F471&amp;""))="membership"),"",IF(LOWER(TRIM($D471&amp;""))="estimate","N/A",IF(LOWER($L471&amp;"")="yes",0,IF(OR(AND($H471&lt;&gt;"",$H471=0),LEFT(LOWER(TRIM($F471&amp;"")),9)="free game",LOWER(TRIM($F471&amp;""))="free",LOWER(TRIM($F471&amp;""))="free entry"),IF(ISNUMBER($K471),$K471,""),IF($K471&lt;&gt;"",$K471,""))))))</ns0:f>
      </ns0:c>
      <ns0:c r="Q471" s="114">
        <ns0:f>IF(COUNTA($A471:$M471)=0,"",IF(OR($U471="Subscription",$U471=""),"",IF($U471="Estimate","N/A",IF($U471="Profit",ROUND(IFERROR($P471,0)-IFERROR($H471,0),2),0))))</ns0:f>
      </ns0:c>
      <ns0:c r="R471" s="114">
        <ns0:f>IF(COUNTA($A471:$M471)=0,"",IF(OR($U471="Subscription",$U471=""),"",IF($U471="Estimate","N/A",IF($U471="Draw",$H471,0))))</ns0:f>
      </ns0:c>
      <ns0:c r="S471" s="114">
        <ns0:f>IF(COUNTA($A471:$M471)=0,"",IF(OR($U471="Subscription",$U471=""),"",IF($U471="Estimate","N/A",IF($U471="Disqualified",$H471,0))))</ns0:f>
      </ns0:c>
      <ns0:c r="T471" s="955">
        <ns0:f>IF(COUNTA($A471:$M471)=0,"",IF(OR($U471="Subscription",$U471=""),"",IF($U471="Estimate","N/A",IF(OR($U471="Free Game",$U471="Disqualified — Free Game",$H471=0),"N/A",IF($U471="Profit",$Q471/$H471,IF($U471="Disqualified",-$S471/$H471,0))))))</ns0:f>
      </ns0:c>
      <ns0:c r="U471" s="920">
        <ns0:f>IF(COUNTA($A471:$M471)=0,"",IF(OR(LEFT(LOWER(TRIM($F471&amp;"")),12)="subscription",LOWER(TRIM($F471&amp;""))="membership"),"Subscription",IF(LOWER(TRIM($D471&amp;""))="estimate","Estimate",IF(OR(AND($H471&lt;&gt;"",$H471=0),LEFT(LOWER(TRIM($F471&amp;"")),9)="free game",LOWER(TRIM($F471&amp;""))="free",LOWER(TRIM($F471&amp;""))="free entry"),IF(LOWER($L471&amp;"")="yes","Disqualified — Free Game","Free Game"),IF(LOWER($L471&amp;"")="yes","Disqualified",IF($P471="","",IF(ROUND(IFERROR(VALUE($P471),0)-IFERROR(VALUE($H471),0),2)&gt;0,"Profit","Draw")))))))</ns0:f>
      </ns0:c>
      <ns0:c r="V471" s="956" t="str">
        <ns0:f>IF(COUNTA($A471:$M471)=0,"",IF(OR($B471="",$C471="",$U471="Subscription"),"",IFERROR(ROUNDUP(($C471-$B471)/7,0),"")))</ns0:f>
      </ns0:c>
      <ns0:c r="W471" s="114">
        <ns0:f>IF(COUNTA($A471:$M471)=0,"",IF(OR($U471="Subscription",$U471=""),"",IF($U471="Estimate","N/A",IF(OR($U471="Free Game",$U471="Disqualified — Free Game"),0,ROUND(IFERROR($Q471,0)-IFERROR($S471,0),2)))))</ns0:f>
      </ns0:c>
      <ns0:c r="X471" s="956" t="str">
        <ns0:f>IF(COUNTA($A471:$M471)=0,"",IF(OR($U471="Subscription",NOT(ISNUMBER($J471)),NOT(ISNUMBER($I471)),$J471=0,$I471=0,$I471&gt;$J471),"",$J471-$I471))</ns0:f>
      </ns0:c>
      <ns0:c r="Y471" s="955" t="str">
        <ns0:f>IF(COUNTA($A471:$M471)=0,"",IF(OR($U471="Subscription",NOT(ISNUMBER($J471)),$J471=0,$X471=""),"",$X471/$J471))</ns0:f>
      </ns0:c>
      <ns0:c r="Z471" s="957" t="str">
        <ns0:f>IF(COUNTA($A471:$M471)=0,"",Instructions!$B$29+SUM($W$5:W471))</ns0:f>
      </ns0:c>
    </ns0:row>
    <ns0:row r="472" ht="36" customHeight="1">
      <ns0:c r="A472" s="439"/>
      <ns0:c r="B472" s="453"/>
      <ns0:c r="C472" s="453"/>
      <ns0:c r="D472" s="454"/>
      <ns0:c r="E472" s="454"/>
      <ns0:c r="F472" s="454"/>
      <ns0:c r="G472" s="986"/>
      <ns0:c r="H472" s="455"/>
      <ns0:c r="I472" s="456"/>
      <ns0:c r="J472" s="456"/>
      <ns0:c r="K472" s="986"/>
      <ns0:c r="L472" s="454"/>
      <ns0:c r="M472" s="439"/>
      <ns0:c r="N472" s="987" t="str">
        <ns0:f>IF(COUNTA($A472:$M472)=0,"",IF(OR(LEFT(LOWER(TRIM($F472&amp;"")),12)="subscription",LOWER(TRIM($F472&amp;""))="membership"),"",IF(OR(AND($H472&lt;&gt;"",$H472=0),LEFT(LOWER(TRIM($F472&amp;"")),9)="free game",LOWER(TRIM($F472&amp;""))="free",LOWER(TRIM($F472&amp;""))="free entry"),IF(ISNUMBER($G472),IF(ISNUMBER(SEARCH("non",LOWER($E472&amp;""))),$G472*0.85,$G472),"N/A"),IF($G472="","",IFERROR(IF(ISNUMBER(SEARCH("non",LOWER($E472&amp;""))),$G472*0.85,$G472),"")))))</ns0:f>
        <ns0:v/>
      </ns0:c>
      <ns0:c r="O472" s="987" t="str">
        <ns0:f>IF(COUNTA($A472:$M472)=0,"",IF(OR(LEFT(LOWER(TRIM($F472&amp;"")),12)="subscription",LOWER(TRIM($F472&amp;""))="membership"),"",IF(OR(AND($H472&lt;&gt;"",$H472=0),LEFT(LOWER(TRIM($F472&amp;"")),9)="free game",LOWER(TRIM($F472&amp;""))="free",LOWER(TRIM($F472&amp;""))="free entry"),IF(OR(NOT(ISNUMBER($N472)),NOT(ISNUMBER($I472)),$I472=0),"N/A",IFERROR($N472/$I472,"N/A")),IF(OR($N472="",$I472="",$I472=0),"",IFERROR($N472/$I472,"")))))</ns0:f>
        <ns0:v/>
      </ns0:c>
      <ns0:c r="P472" s="987">
        <ns0:f>IF(COUNTA($A472:$M472)=0,"",IF(OR(LEFT(LOWER(TRIM($F472&amp;"")),12)="subscription",LOWER(TRIM($F472&amp;""))="membership"),"",IF(LOWER(TRIM($D472&amp;""))="estimate","N/A",IF(LOWER($L472&amp;"")="yes",0,IF(OR(AND($H472&lt;&gt;"",$H472=0),LEFT(LOWER(TRIM($F472&amp;"")),9)="free game",LOWER(TRIM($F472&amp;""))="free",LOWER(TRIM($F472&amp;""))="free entry"),IF(ISNUMBER($K472),$K472,""),IF($K472&lt;&gt;"",$K472,""))))))</ns0:f>
      </ns0:c>
      <ns0:c r="Q472" s="114">
        <ns0:f>IF(COUNTA($A472:$M472)=0,"",IF(OR($U472="Subscription",$U472=""),"",IF($U472="Estimate","N/A",IF($U472="Profit",ROUND(IFERROR($P472,0)-IFERROR($H472,0),2),0))))</ns0:f>
      </ns0:c>
      <ns0:c r="R472" s="114">
        <ns0:f>IF(COUNTA($A472:$M472)=0,"",IF(OR($U472="Subscription",$U472=""),"",IF($U472="Estimate","N/A",IF($U472="Draw",$H472,0))))</ns0:f>
      </ns0:c>
      <ns0:c r="S472" s="114">
        <ns0:f>IF(COUNTA($A472:$M472)=0,"",IF(OR($U472="Subscription",$U472=""),"",IF($U472="Estimate","N/A",IF($U472="Disqualified",$H472,0))))</ns0:f>
      </ns0:c>
      <ns0:c r="T472" s="955">
        <ns0:f>IF(COUNTA($A472:$M472)=0,"",IF(OR($U472="Subscription",$U472=""),"",IF($U472="Estimate","N/A",IF(OR($U472="Free Game",$U472="Disqualified — Free Game",$H472=0),"N/A",IF($U472="Profit",$Q472/$H472,IF($U472="Disqualified",-$S472/$H472,0))))))</ns0:f>
      </ns0:c>
      <ns0:c r="U472" s="920">
        <ns0:f>IF(COUNTA($A472:$M472)=0,"",IF(OR(LEFT(LOWER(TRIM($F472&amp;"")),12)="subscription",LOWER(TRIM($F472&amp;""))="membership"),"Subscription",IF(LOWER(TRIM($D472&amp;""))="estimate","Estimate",IF(OR(AND($H472&lt;&gt;"",$H472=0),LEFT(LOWER(TRIM($F472&amp;"")),9)="free game",LOWER(TRIM($F472&amp;""))="free",LOWER(TRIM($F472&amp;""))="free entry"),IF(LOWER($L472&amp;"")="yes","Disqualified — Free Game","Free Game"),IF(LOWER($L472&amp;"")="yes","Disqualified",IF($P472="","",IF(ROUND(IFERROR(VALUE($P472),0)-IFERROR(VALUE($H472),0),2)&gt;0,"Profit","Draw")))))))</ns0:f>
      </ns0:c>
      <ns0:c r="V472" s="956" t="str">
        <ns0:f>IF(COUNTA($A472:$M472)=0,"",IF(OR($B472="",$C472="",$U472="Subscription"),"",IFERROR(ROUNDUP(($C472-$B472)/7,0),"")))</ns0:f>
      </ns0:c>
      <ns0:c r="W472" s="114">
        <ns0:f>IF(COUNTA($A472:$M472)=0,"",IF(OR($U472="Subscription",$U472=""),"",IF($U472="Estimate","N/A",IF(OR($U472="Free Game",$U472="Disqualified — Free Game"),0,ROUND(IFERROR($Q472,0)-IFERROR($S472,0),2)))))</ns0:f>
      </ns0:c>
      <ns0:c r="X472" s="956" t="str">
        <ns0:f>IF(COUNTA($A472:$M472)=0,"",IF(OR($U472="Subscription",NOT(ISNUMBER($J472)),NOT(ISNUMBER($I472)),$J472=0,$I472=0,$I472&gt;$J472),"",$J472-$I472))</ns0:f>
      </ns0:c>
      <ns0:c r="Y472" s="955" t="str">
        <ns0:f>IF(COUNTA($A472:$M472)=0,"",IF(OR($U472="Subscription",NOT(ISNUMBER($J472)),$J472=0,$X472=""),"",$X472/$J472))</ns0:f>
      </ns0:c>
      <ns0:c r="Z472" s="957" t="str">
        <ns0:f>IF(COUNTA($A472:$M472)=0,"",Instructions!$B$29+SUM($W$5:W472))</ns0:f>
      </ns0:c>
    </ns0:row>
    <ns0:row r="473" ht="36" customHeight="1">
      <ns0:c r="A473" s="439"/>
      <ns0:c r="B473" s="453"/>
      <ns0:c r="C473" s="453"/>
      <ns0:c r="D473" s="454"/>
      <ns0:c r="E473" s="454"/>
      <ns0:c r="F473" s="454"/>
      <ns0:c r="G473" s="986"/>
      <ns0:c r="H473" s="455"/>
      <ns0:c r="I473" s="456"/>
      <ns0:c r="J473" s="456"/>
      <ns0:c r="K473" s="986"/>
      <ns0:c r="L473" s="454"/>
      <ns0:c r="M473" s="439"/>
      <ns0:c r="N473" s="987" t="str">
        <ns0:f>IF(COUNTA($A473:$M473)=0,"",IF(OR(LEFT(LOWER(TRIM($F473&amp;"")),12)="subscription",LOWER(TRIM($F473&amp;""))="membership"),"",IF(OR(AND($H473&lt;&gt;"",$H473=0),LEFT(LOWER(TRIM($F473&amp;"")),9)="free game",LOWER(TRIM($F473&amp;""))="free",LOWER(TRIM($F473&amp;""))="free entry"),IF(ISNUMBER($G473),IF(ISNUMBER(SEARCH("non",LOWER($E473&amp;""))),$G473*0.85,$G473),"N/A"),IF($G473="","",IFERROR(IF(ISNUMBER(SEARCH("non",LOWER($E473&amp;""))),$G473*0.85,$G473),"")))))</ns0:f>
        <ns0:v/>
      </ns0:c>
      <ns0:c r="O473" s="987" t="str">
        <ns0:f>IF(COUNTA($A473:$M473)=0,"",IF(OR(LEFT(LOWER(TRIM($F473&amp;"")),12)="subscription",LOWER(TRIM($F473&amp;""))="membership"),"",IF(OR(AND($H473&lt;&gt;"",$H473=0),LEFT(LOWER(TRIM($F473&amp;"")),9)="free game",LOWER(TRIM($F473&amp;""))="free",LOWER(TRIM($F473&amp;""))="free entry"),IF(OR(NOT(ISNUMBER($N473)),NOT(ISNUMBER($I473)),$I473=0),"N/A",IFERROR($N473/$I473,"N/A")),IF(OR($N473="",$I473="",$I473=0),"",IFERROR($N473/$I473,"")))))</ns0:f>
        <ns0:v/>
      </ns0:c>
      <ns0:c r="P473" s="987">
        <ns0:f>IF(COUNTA($A473:$M473)=0,"",IF(OR(LEFT(LOWER(TRIM($F473&amp;"")),12)="subscription",LOWER(TRIM($F473&amp;""))="membership"),"",IF(LOWER(TRIM($D473&amp;""))="estimate","N/A",IF(LOWER($L473&amp;"")="yes",0,IF(OR(AND($H473&lt;&gt;"",$H473=0),LEFT(LOWER(TRIM($F473&amp;"")),9)="free game",LOWER(TRIM($F473&amp;""))="free",LOWER(TRIM($F473&amp;""))="free entry"),IF(ISNUMBER($K473),$K473,""),IF($K473&lt;&gt;"",$K473,""))))))</ns0:f>
      </ns0:c>
      <ns0:c r="Q473" s="114">
        <ns0:f>IF(COUNTA($A473:$M473)=0,"",IF(OR($U473="Subscription",$U473=""),"",IF($U473="Estimate","N/A",IF($U473="Profit",ROUND(IFERROR($P473,0)-IFERROR($H473,0),2),0))))</ns0:f>
      </ns0:c>
      <ns0:c r="R473" s="114">
        <ns0:f>IF(COUNTA($A473:$M473)=0,"",IF(OR($U473="Subscription",$U473=""),"",IF($U473="Estimate","N/A",IF($U473="Draw",$H473,0))))</ns0:f>
      </ns0:c>
      <ns0:c r="S473" s="114">
        <ns0:f>IF(COUNTA($A473:$M473)=0,"",IF(OR($U473="Subscription",$U473=""),"",IF($U473="Estimate","N/A",IF($U473="Disqualified",$H473,0))))</ns0:f>
      </ns0:c>
      <ns0:c r="T473" s="955">
        <ns0:f>IF(COUNTA($A473:$M473)=0,"",IF(OR($U473="Subscription",$U473=""),"",IF($U473="Estimate","N/A",IF(OR($U473="Free Game",$U473="Disqualified — Free Game",$H473=0),"N/A",IF($U473="Profit",$Q473/$H473,IF($U473="Disqualified",-$S473/$H473,0))))))</ns0:f>
      </ns0:c>
      <ns0:c r="U473" s="920">
        <ns0:f>IF(COUNTA($A473:$M473)=0,"",IF(OR(LEFT(LOWER(TRIM($F473&amp;"")),12)="subscription",LOWER(TRIM($F473&amp;""))="membership"),"Subscription",IF(LOWER(TRIM($D473&amp;""))="estimate","Estimate",IF(OR(AND($H473&lt;&gt;"",$H473=0),LEFT(LOWER(TRIM($F473&amp;"")),9)="free game",LOWER(TRIM($F473&amp;""))="free",LOWER(TRIM($F473&amp;""))="free entry"),IF(LOWER($L473&amp;"")="yes","Disqualified — Free Game","Free Game"),IF(LOWER($L473&amp;"")="yes","Disqualified",IF($P473="","",IF(ROUND(IFERROR(VALUE($P473),0)-IFERROR(VALUE($H473),0),2)&gt;0,"Profit","Draw")))))))</ns0:f>
      </ns0:c>
      <ns0:c r="V473" s="956" t="str">
        <ns0:f>IF(COUNTA($A473:$M473)=0,"",IF(OR($B473="",$C473="",$U473="Subscription"),"",IFERROR(ROUNDUP(($C473-$B473)/7,0),"")))</ns0:f>
      </ns0:c>
      <ns0:c r="W473" s="114">
        <ns0:f>IF(COUNTA($A473:$M473)=0,"",IF(OR($U473="Subscription",$U473=""),"",IF($U473="Estimate","N/A",IF(OR($U473="Free Game",$U473="Disqualified — Free Game"),0,ROUND(IFERROR($Q473,0)-IFERROR($S473,0),2)))))</ns0:f>
      </ns0:c>
      <ns0:c r="X473" s="956" t="str">
        <ns0:f>IF(COUNTA($A473:$M473)=0,"",IF(OR($U473="Subscription",NOT(ISNUMBER($J473)),NOT(ISNUMBER($I473)),$J473=0,$I473=0,$I473&gt;$J473),"",$J473-$I473))</ns0:f>
      </ns0:c>
      <ns0:c r="Y473" s="955" t="str">
        <ns0:f>IF(COUNTA($A473:$M473)=0,"",IF(OR($U473="Subscription",NOT(ISNUMBER($J473)),$J473=0,$X473=""),"",$X473/$J473))</ns0:f>
      </ns0:c>
      <ns0:c r="Z473" s="957" t="str">
        <ns0:f>IF(COUNTA($A473:$M473)=0,"",Instructions!$B$29+SUM($W$5:W473))</ns0:f>
      </ns0:c>
    </ns0:row>
    <ns0:row r="474" ht="36" customHeight="1">
      <ns0:c r="A474" s="439"/>
      <ns0:c r="B474" s="453"/>
      <ns0:c r="C474" s="453"/>
      <ns0:c r="D474" s="454"/>
      <ns0:c r="E474" s="454"/>
      <ns0:c r="F474" s="454"/>
      <ns0:c r="G474" s="986"/>
      <ns0:c r="H474" s="455"/>
      <ns0:c r="I474" s="456"/>
      <ns0:c r="J474" s="456"/>
      <ns0:c r="K474" s="986"/>
      <ns0:c r="L474" s="454"/>
      <ns0:c r="M474" s="439"/>
      <ns0:c r="N474" s="987" t="str">
        <ns0:f>IF(COUNTA($A474:$M474)=0,"",IF(OR(LEFT(LOWER(TRIM($F474&amp;"")),12)="subscription",LOWER(TRIM($F474&amp;""))="membership"),"",IF(OR(AND($H474&lt;&gt;"",$H474=0),LEFT(LOWER(TRIM($F474&amp;"")),9)="free game",LOWER(TRIM($F474&amp;""))="free",LOWER(TRIM($F474&amp;""))="free entry"),IF(ISNUMBER($G474),IF(ISNUMBER(SEARCH("non",LOWER($E474&amp;""))),$G474*0.85,$G474),"N/A"),IF($G474="","",IFERROR(IF(ISNUMBER(SEARCH("non",LOWER($E474&amp;""))),$G474*0.85,$G474),"")))))</ns0:f>
        <ns0:v/>
      </ns0:c>
      <ns0:c r="O474" s="987" t="str">
        <ns0:f>IF(COUNTA($A474:$M474)=0,"",IF(OR(LEFT(LOWER(TRIM($F474&amp;"")),12)="subscription",LOWER(TRIM($F474&amp;""))="membership"),"",IF(OR(AND($H474&lt;&gt;"",$H474=0),LEFT(LOWER(TRIM($F474&amp;"")),9)="free game",LOWER(TRIM($F474&amp;""))="free",LOWER(TRIM($F474&amp;""))="free entry"),IF(OR(NOT(ISNUMBER($N474)),NOT(ISNUMBER($I474)),$I474=0),"N/A",IFERROR($N474/$I474,"N/A")),IF(OR($N474="",$I474="",$I474=0),"",IFERROR($N474/$I474,"")))))</ns0:f>
        <ns0:v/>
      </ns0:c>
      <ns0:c r="P474" s="987">
        <ns0:f>IF(COUNTA($A474:$M474)=0,"",IF(OR(LEFT(LOWER(TRIM($F474&amp;"")),12)="subscription",LOWER(TRIM($F474&amp;""))="membership"),"",IF(LOWER(TRIM($D474&amp;""))="estimate","N/A",IF(LOWER($L474&amp;"")="yes",0,IF(OR(AND($H474&lt;&gt;"",$H474=0),LEFT(LOWER(TRIM($F474&amp;"")),9)="free game",LOWER(TRIM($F474&amp;""))="free",LOWER(TRIM($F474&amp;""))="free entry"),IF(ISNUMBER($K474),$K474,""),IF($K474&lt;&gt;"",$K474,""))))))</ns0:f>
      </ns0:c>
      <ns0:c r="Q474" s="114">
        <ns0:f>IF(COUNTA($A474:$M474)=0,"",IF(OR($U474="Subscription",$U474=""),"",IF($U474="Estimate","N/A",IF($U474="Profit",ROUND(IFERROR($P474,0)-IFERROR($H474,0),2),0))))</ns0:f>
      </ns0:c>
      <ns0:c r="R474" s="114">
        <ns0:f>IF(COUNTA($A474:$M474)=0,"",IF(OR($U474="Subscription",$U474=""),"",IF($U474="Estimate","N/A",IF($U474="Draw",$H474,0))))</ns0:f>
      </ns0:c>
      <ns0:c r="S474" s="114">
        <ns0:f>IF(COUNTA($A474:$M474)=0,"",IF(OR($U474="Subscription",$U474=""),"",IF($U474="Estimate","N/A",IF($U474="Disqualified",$H474,0))))</ns0:f>
      </ns0:c>
      <ns0:c r="T474" s="955">
        <ns0:f>IF(COUNTA($A474:$M474)=0,"",IF(OR($U474="Subscription",$U474=""),"",IF($U474="Estimate","N/A",IF(OR($U474="Free Game",$U474="Disqualified — Free Game",$H474=0),"N/A",IF($U474="Profit",$Q474/$H474,IF($U474="Disqualified",-$S474/$H474,0))))))</ns0:f>
      </ns0:c>
      <ns0:c r="U474" s="920">
        <ns0:f>IF(COUNTA($A474:$M474)=0,"",IF(OR(LEFT(LOWER(TRIM($F474&amp;"")),12)="subscription",LOWER(TRIM($F474&amp;""))="membership"),"Subscription",IF(LOWER(TRIM($D474&amp;""))="estimate","Estimate",IF(OR(AND($H474&lt;&gt;"",$H474=0),LEFT(LOWER(TRIM($F474&amp;"")),9)="free game",LOWER(TRIM($F474&amp;""))="free",LOWER(TRIM($F474&amp;""))="free entry"),IF(LOWER($L474&amp;"")="yes","Disqualified — Free Game","Free Game"),IF(LOWER($L474&amp;"")="yes","Disqualified",IF($P474="","",IF(ROUND(IFERROR(VALUE($P474),0)-IFERROR(VALUE($H474),0),2)&gt;0,"Profit","Draw")))))))</ns0:f>
      </ns0:c>
      <ns0:c r="V474" s="956" t="str">
        <ns0:f>IF(COUNTA($A474:$M474)=0,"",IF(OR($B474="",$C474="",$U474="Subscription"),"",IFERROR(ROUNDUP(($C474-$B474)/7,0),"")))</ns0:f>
      </ns0:c>
      <ns0:c r="W474" s="114">
        <ns0:f>IF(COUNTA($A474:$M474)=0,"",IF(OR($U474="Subscription",$U474=""),"",IF($U474="Estimate","N/A",IF(OR($U474="Free Game",$U474="Disqualified — Free Game"),0,ROUND(IFERROR($Q474,0)-IFERROR($S474,0),2)))))</ns0:f>
      </ns0:c>
      <ns0:c r="X474" s="956" t="str">
        <ns0:f>IF(COUNTA($A474:$M474)=0,"",IF(OR($U474="Subscription",NOT(ISNUMBER($J474)),NOT(ISNUMBER($I474)),$J474=0,$I474=0,$I474&gt;$J474),"",$J474-$I474))</ns0:f>
      </ns0:c>
      <ns0:c r="Y474" s="955" t="str">
        <ns0:f>IF(COUNTA($A474:$M474)=0,"",IF(OR($U474="Subscription",NOT(ISNUMBER($J474)),$J474=0,$X474=""),"",$X474/$J474))</ns0:f>
      </ns0:c>
      <ns0:c r="Z474" s="957" t="str">
        <ns0:f>IF(COUNTA($A474:$M474)=0,"",Instructions!$B$29+SUM($W$5:W474))</ns0:f>
      </ns0:c>
    </ns0:row>
    <ns0:row r="475" ht="36" customHeight="1">
      <ns0:c r="A475" s="439"/>
      <ns0:c r="B475" s="453"/>
      <ns0:c r="C475" s="453"/>
      <ns0:c r="D475" s="454"/>
      <ns0:c r="E475" s="454"/>
      <ns0:c r="F475" s="454"/>
      <ns0:c r="G475" s="986"/>
      <ns0:c r="H475" s="455"/>
      <ns0:c r="I475" s="456"/>
      <ns0:c r="J475" s="456"/>
      <ns0:c r="K475" s="986"/>
      <ns0:c r="L475" s="454"/>
      <ns0:c r="M475" s="439"/>
      <ns0:c r="N475" s="987" t="str">
        <ns0:f>IF(COUNTA($A475:$M475)=0,"",IF(OR(LEFT(LOWER(TRIM($F475&amp;"")),12)="subscription",LOWER(TRIM($F475&amp;""))="membership"),"",IF(OR(AND($H475&lt;&gt;"",$H475=0),LEFT(LOWER(TRIM($F475&amp;"")),9)="free game",LOWER(TRIM($F475&amp;""))="free",LOWER(TRIM($F475&amp;""))="free entry"),IF(ISNUMBER($G475),IF(ISNUMBER(SEARCH("non",LOWER($E475&amp;""))),$G475*0.85,$G475),"N/A"),IF($G475="","",IFERROR(IF(ISNUMBER(SEARCH("non",LOWER($E475&amp;""))),$G475*0.85,$G475),"")))))</ns0:f>
        <ns0:v/>
      </ns0:c>
      <ns0:c r="O475" s="987" t="str">
        <ns0:f>IF(COUNTA($A475:$M475)=0,"",IF(OR(LEFT(LOWER(TRIM($F475&amp;"")),12)="subscription",LOWER(TRIM($F475&amp;""))="membership"),"",IF(OR(AND($H475&lt;&gt;"",$H475=0),LEFT(LOWER(TRIM($F475&amp;"")),9)="free game",LOWER(TRIM($F475&amp;""))="free",LOWER(TRIM($F475&amp;""))="free entry"),IF(OR(NOT(ISNUMBER($N475)),NOT(ISNUMBER($I475)),$I475=0),"N/A",IFERROR($N475/$I475,"N/A")),IF(OR($N475="",$I475="",$I475=0),"",IFERROR($N475/$I475,"")))))</ns0:f>
        <ns0:v/>
      </ns0:c>
      <ns0:c r="P475" s="987">
        <ns0:f>IF(COUNTA($A475:$M475)=0,"",IF(OR(LEFT(LOWER(TRIM($F475&amp;"")),12)="subscription",LOWER(TRIM($F475&amp;""))="membership"),"",IF(LOWER(TRIM($D475&amp;""))="estimate","N/A",IF(LOWER($L475&amp;"")="yes",0,IF(OR(AND($H475&lt;&gt;"",$H475=0),LEFT(LOWER(TRIM($F475&amp;"")),9)="free game",LOWER(TRIM($F475&amp;""))="free",LOWER(TRIM($F475&amp;""))="free entry"),IF(ISNUMBER($K475),$K475,""),IF($K475&lt;&gt;"",$K475,""))))))</ns0:f>
      </ns0:c>
      <ns0:c r="Q475" s="114">
        <ns0:f>IF(COUNTA($A475:$M475)=0,"",IF(OR($U475="Subscription",$U475=""),"",IF($U475="Estimate","N/A",IF($U475="Profit",ROUND(IFERROR($P475,0)-IFERROR($H475,0),2),0))))</ns0:f>
      </ns0:c>
      <ns0:c r="R475" s="114">
        <ns0:f>IF(COUNTA($A475:$M475)=0,"",IF(OR($U475="Subscription",$U475=""),"",IF($U475="Estimate","N/A",IF($U475="Draw",$H475,0))))</ns0:f>
      </ns0:c>
      <ns0:c r="S475" s="114">
        <ns0:f>IF(COUNTA($A475:$M475)=0,"",IF(OR($U475="Subscription",$U475=""),"",IF($U475="Estimate","N/A",IF($U475="Disqualified",$H475,0))))</ns0:f>
      </ns0:c>
      <ns0:c r="T475" s="955">
        <ns0:f>IF(COUNTA($A475:$M475)=0,"",IF(OR($U475="Subscription",$U475=""),"",IF($U475="Estimate","N/A",IF(OR($U475="Free Game",$U475="Disqualified — Free Game",$H475=0),"N/A",IF($U475="Profit",$Q475/$H475,IF($U475="Disqualified",-$S475/$H475,0))))))</ns0:f>
      </ns0:c>
      <ns0:c r="U475" s="920">
        <ns0:f>IF(COUNTA($A475:$M475)=0,"",IF(OR(LEFT(LOWER(TRIM($F475&amp;"")),12)="subscription",LOWER(TRIM($F475&amp;""))="membership"),"Subscription",IF(LOWER(TRIM($D475&amp;""))="estimate","Estimate",IF(OR(AND($H475&lt;&gt;"",$H475=0),LEFT(LOWER(TRIM($F475&amp;"")),9)="free game",LOWER(TRIM($F475&amp;""))="free",LOWER(TRIM($F475&amp;""))="free entry"),IF(LOWER($L475&amp;"")="yes","Disqualified — Free Game","Free Game"),IF(LOWER($L475&amp;"")="yes","Disqualified",IF($P475="","",IF(ROUND(IFERROR(VALUE($P475),0)-IFERROR(VALUE($H475),0),2)&gt;0,"Profit","Draw")))))))</ns0:f>
      </ns0:c>
      <ns0:c r="V475" s="956" t="str">
        <ns0:f>IF(COUNTA($A475:$M475)=0,"",IF(OR($B475="",$C475="",$U475="Subscription"),"",IFERROR(ROUNDUP(($C475-$B475)/7,0),"")))</ns0:f>
      </ns0:c>
      <ns0:c r="W475" s="114">
        <ns0:f>IF(COUNTA($A475:$M475)=0,"",IF(OR($U475="Subscription",$U475=""),"",IF($U475="Estimate","N/A",IF(OR($U475="Free Game",$U475="Disqualified — Free Game"),0,ROUND(IFERROR($Q475,0)-IFERROR($S475,0),2)))))</ns0:f>
      </ns0:c>
      <ns0:c r="X475" s="956" t="str">
        <ns0:f>IF(COUNTA($A475:$M475)=0,"",IF(OR($U475="Subscription",NOT(ISNUMBER($J475)),NOT(ISNUMBER($I475)),$J475=0,$I475=0,$I475&gt;$J475),"",$J475-$I475))</ns0:f>
      </ns0:c>
      <ns0:c r="Y475" s="955" t="str">
        <ns0:f>IF(COUNTA($A475:$M475)=0,"",IF(OR($U475="Subscription",NOT(ISNUMBER($J475)),$J475=0,$X475=""),"",$X475/$J475))</ns0:f>
      </ns0:c>
      <ns0:c r="Z475" s="957" t="str">
        <ns0:f>IF(COUNTA($A475:$M475)=0,"",Instructions!$B$29+SUM($W$5:W475))</ns0:f>
      </ns0:c>
    </ns0:row>
    <ns0:row r="476" ht="36" customHeight="1">
      <ns0:c r="A476" s="439"/>
      <ns0:c r="B476" s="453"/>
      <ns0:c r="C476" s="453"/>
      <ns0:c r="D476" s="454"/>
      <ns0:c r="E476" s="454"/>
      <ns0:c r="F476" s="454"/>
      <ns0:c r="G476" s="986"/>
      <ns0:c r="H476" s="455"/>
      <ns0:c r="I476" s="456"/>
      <ns0:c r="J476" s="456"/>
      <ns0:c r="K476" s="986"/>
      <ns0:c r="L476" s="454"/>
      <ns0:c r="M476" s="439"/>
      <ns0:c r="N476" s="987" t="str">
        <ns0:f>IF(COUNTA($A476:$M476)=0,"",IF(OR(LEFT(LOWER(TRIM($F476&amp;"")),12)="subscription",LOWER(TRIM($F476&amp;""))="membership"),"",IF(OR(AND($H476&lt;&gt;"",$H476=0),LEFT(LOWER(TRIM($F476&amp;"")),9)="free game",LOWER(TRIM($F476&amp;""))="free",LOWER(TRIM($F476&amp;""))="free entry"),IF(ISNUMBER($G476),IF(ISNUMBER(SEARCH("non",LOWER($E476&amp;""))),$G476*0.85,$G476),"N/A"),IF($G476="","",IFERROR(IF(ISNUMBER(SEARCH("non",LOWER($E476&amp;""))),$G476*0.85,$G476),"")))))</ns0:f>
        <ns0:v/>
      </ns0:c>
      <ns0:c r="O476" s="987" t="str">
        <ns0:f>IF(COUNTA($A476:$M476)=0,"",IF(OR(LEFT(LOWER(TRIM($F476&amp;"")),12)="subscription",LOWER(TRIM($F476&amp;""))="membership"),"",IF(OR(AND($H476&lt;&gt;"",$H476=0),LEFT(LOWER(TRIM($F476&amp;"")),9)="free game",LOWER(TRIM($F476&amp;""))="free",LOWER(TRIM($F476&amp;""))="free entry"),IF(OR(NOT(ISNUMBER($N476)),NOT(ISNUMBER($I476)),$I476=0),"N/A",IFERROR($N476/$I476,"N/A")),IF(OR($N476="",$I476="",$I476=0),"",IFERROR($N476/$I476,"")))))</ns0:f>
        <ns0:v/>
      </ns0:c>
      <ns0:c r="P476" s="987">
        <ns0:f>IF(COUNTA($A476:$M476)=0,"",IF(OR(LEFT(LOWER(TRIM($F476&amp;"")),12)="subscription",LOWER(TRIM($F476&amp;""))="membership"),"",IF(LOWER(TRIM($D476&amp;""))="estimate","N/A",IF(LOWER($L476&amp;"")="yes",0,IF(OR(AND($H476&lt;&gt;"",$H476=0),LEFT(LOWER(TRIM($F476&amp;"")),9)="free game",LOWER(TRIM($F476&amp;""))="free",LOWER(TRIM($F476&amp;""))="free entry"),IF(ISNUMBER($K476),$K476,""),IF($K476&lt;&gt;"",$K476,""))))))</ns0:f>
      </ns0:c>
      <ns0:c r="Q476" s="114">
        <ns0:f>IF(COUNTA($A476:$M476)=0,"",IF(OR($U476="Subscription",$U476=""),"",IF($U476="Estimate","N/A",IF($U476="Profit",ROUND(IFERROR($P476,0)-IFERROR($H476,0),2),0))))</ns0:f>
      </ns0:c>
      <ns0:c r="R476" s="114">
        <ns0:f>IF(COUNTA($A476:$M476)=0,"",IF(OR($U476="Subscription",$U476=""),"",IF($U476="Estimate","N/A",IF($U476="Draw",$H476,0))))</ns0:f>
      </ns0:c>
      <ns0:c r="S476" s="114">
        <ns0:f>IF(COUNTA($A476:$M476)=0,"",IF(OR($U476="Subscription",$U476=""),"",IF($U476="Estimate","N/A",IF($U476="Disqualified",$H476,0))))</ns0:f>
      </ns0:c>
      <ns0:c r="T476" s="955">
        <ns0:f>IF(COUNTA($A476:$M476)=0,"",IF(OR($U476="Subscription",$U476=""),"",IF($U476="Estimate","N/A",IF(OR($U476="Free Game",$U476="Disqualified — Free Game",$H476=0),"N/A",IF($U476="Profit",$Q476/$H476,IF($U476="Disqualified",-$S476/$H476,0))))))</ns0:f>
      </ns0:c>
      <ns0:c r="U476" s="920">
        <ns0:f>IF(COUNTA($A476:$M476)=0,"",IF(OR(LEFT(LOWER(TRIM($F476&amp;"")),12)="subscription",LOWER(TRIM($F476&amp;""))="membership"),"Subscription",IF(LOWER(TRIM($D476&amp;""))="estimate","Estimate",IF(OR(AND($H476&lt;&gt;"",$H476=0),LEFT(LOWER(TRIM($F476&amp;"")),9)="free game",LOWER(TRIM($F476&amp;""))="free",LOWER(TRIM($F476&amp;""))="free entry"),IF(LOWER($L476&amp;"")="yes","Disqualified — Free Game","Free Game"),IF(LOWER($L476&amp;"")="yes","Disqualified",IF($P476="","",IF(ROUND(IFERROR(VALUE($P476),0)-IFERROR(VALUE($H476),0),2)&gt;0,"Profit","Draw")))))))</ns0:f>
      </ns0:c>
      <ns0:c r="V476" s="956" t="str">
        <ns0:f>IF(COUNTA($A476:$M476)=0,"",IF(OR($B476="",$C476="",$U476="Subscription"),"",IFERROR(ROUNDUP(($C476-$B476)/7,0),"")))</ns0:f>
      </ns0:c>
      <ns0:c r="W476" s="114">
        <ns0:f>IF(COUNTA($A476:$M476)=0,"",IF(OR($U476="Subscription",$U476=""),"",IF($U476="Estimate","N/A",IF(OR($U476="Free Game",$U476="Disqualified — Free Game"),0,ROUND(IFERROR($Q476,0)-IFERROR($S476,0),2)))))</ns0:f>
      </ns0:c>
      <ns0:c r="X476" s="956" t="str">
        <ns0:f>IF(COUNTA($A476:$M476)=0,"",IF(OR($U476="Subscription",NOT(ISNUMBER($J476)),NOT(ISNUMBER($I476)),$J476=0,$I476=0,$I476&gt;$J476),"",$J476-$I476))</ns0:f>
      </ns0:c>
      <ns0:c r="Y476" s="955" t="str">
        <ns0:f>IF(COUNTA($A476:$M476)=0,"",IF(OR($U476="Subscription",NOT(ISNUMBER($J476)),$J476=0,$X476=""),"",$X476/$J476))</ns0:f>
      </ns0:c>
      <ns0:c r="Z476" s="957" t="str">
        <ns0:f>IF(COUNTA($A476:$M476)=0,"",Instructions!$B$29+SUM($W$5:W476))</ns0:f>
      </ns0:c>
    </ns0:row>
    <ns0:row r="477" ht="36" customHeight="1">
      <ns0:c r="A477" s="439"/>
      <ns0:c r="B477" s="453"/>
      <ns0:c r="C477" s="453"/>
      <ns0:c r="D477" s="454"/>
      <ns0:c r="E477" s="454"/>
      <ns0:c r="F477" s="454"/>
      <ns0:c r="G477" s="986"/>
      <ns0:c r="H477" s="455"/>
      <ns0:c r="I477" s="456"/>
      <ns0:c r="J477" s="456"/>
      <ns0:c r="K477" s="986"/>
      <ns0:c r="L477" s="454"/>
      <ns0:c r="M477" s="439"/>
      <ns0:c r="N477" s="987" t="str">
        <ns0:f>IF(COUNTA($A477:$M477)=0,"",IF(OR(LEFT(LOWER(TRIM($F477&amp;"")),12)="subscription",LOWER(TRIM($F477&amp;""))="membership"),"",IF(OR(AND($H477&lt;&gt;"",$H477=0),LEFT(LOWER(TRIM($F477&amp;"")),9)="free game",LOWER(TRIM($F477&amp;""))="free",LOWER(TRIM($F477&amp;""))="free entry"),IF(ISNUMBER($G477),IF(ISNUMBER(SEARCH("non",LOWER($E477&amp;""))),$G477*0.85,$G477),"N/A"),IF($G477="","",IFERROR(IF(ISNUMBER(SEARCH("non",LOWER($E477&amp;""))),$G477*0.85,$G477),"")))))</ns0:f>
        <ns0:v/>
      </ns0:c>
      <ns0:c r="O477" s="987" t="str">
        <ns0:f>IF(COUNTA($A477:$M477)=0,"",IF(OR(LEFT(LOWER(TRIM($F477&amp;"")),12)="subscription",LOWER(TRIM($F477&amp;""))="membership"),"",IF(OR(AND($H477&lt;&gt;"",$H477=0),LEFT(LOWER(TRIM($F477&amp;"")),9)="free game",LOWER(TRIM($F477&amp;""))="free",LOWER(TRIM($F477&amp;""))="free entry"),IF(OR(NOT(ISNUMBER($N477)),NOT(ISNUMBER($I477)),$I477=0),"N/A",IFERROR($N477/$I477,"N/A")),IF(OR($N477="",$I477="",$I477=0),"",IFERROR($N477/$I477,"")))))</ns0:f>
        <ns0:v/>
      </ns0:c>
      <ns0:c r="P477" s="987">
        <ns0:f>IF(COUNTA($A477:$M477)=0,"",IF(OR(LEFT(LOWER(TRIM($F477&amp;"")),12)="subscription",LOWER(TRIM($F477&amp;""))="membership"),"",IF(LOWER(TRIM($D477&amp;""))="estimate","N/A",IF(LOWER($L477&amp;"")="yes",0,IF(OR(AND($H477&lt;&gt;"",$H477=0),LEFT(LOWER(TRIM($F477&amp;"")),9)="free game",LOWER(TRIM($F477&amp;""))="free",LOWER(TRIM($F477&amp;""))="free entry"),IF(ISNUMBER($K477),$K477,""),IF($K477&lt;&gt;"",$K477,""))))))</ns0:f>
      </ns0:c>
      <ns0:c r="Q477" s="114">
        <ns0:f>IF(COUNTA($A477:$M477)=0,"",IF(OR($U477="Subscription",$U477=""),"",IF($U477="Estimate","N/A",IF($U477="Profit",ROUND(IFERROR($P477,0)-IFERROR($H477,0),2),0))))</ns0:f>
      </ns0:c>
      <ns0:c r="R477" s="114">
        <ns0:f>IF(COUNTA($A477:$M477)=0,"",IF(OR($U477="Subscription",$U477=""),"",IF($U477="Estimate","N/A",IF($U477="Draw",$H477,0))))</ns0:f>
      </ns0:c>
      <ns0:c r="S477" s="114">
        <ns0:f>IF(COUNTA($A477:$M477)=0,"",IF(OR($U477="Subscription",$U477=""),"",IF($U477="Estimate","N/A",IF($U477="Disqualified",$H477,0))))</ns0:f>
      </ns0:c>
      <ns0:c r="T477" s="955">
        <ns0:f>IF(COUNTA($A477:$M477)=0,"",IF(OR($U477="Subscription",$U477=""),"",IF($U477="Estimate","N/A",IF(OR($U477="Free Game",$U477="Disqualified — Free Game",$H477=0),"N/A",IF($U477="Profit",$Q477/$H477,IF($U477="Disqualified",-$S477/$H477,0))))))</ns0:f>
      </ns0:c>
      <ns0:c r="U477" s="920">
        <ns0:f>IF(COUNTA($A477:$M477)=0,"",IF(OR(LEFT(LOWER(TRIM($F477&amp;"")),12)="subscription",LOWER(TRIM($F477&amp;""))="membership"),"Subscription",IF(LOWER(TRIM($D477&amp;""))="estimate","Estimate",IF(OR(AND($H477&lt;&gt;"",$H477=0),LEFT(LOWER(TRIM($F477&amp;"")),9)="free game",LOWER(TRIM($F477&amp;""))="free",LOWER(TRIM($F477&amp;""))="free entry"),IF(LOWER($L477&amp;"")="yes","Disqualified — Free Game","Free Game"),IF(LOWER($L477&amp;"")="yes","Disqualified",IF($P477="","",IF(ROUND(IFERROR(VALUE($P477),0)-IFERROR(VALUE($H477),0),2)&gt;0,"Profit","Draw")))))))</ns0:f>
      </ns0:c>
      <ns0:c r="V477" s="956" t="str">
        <ns0:f>IF(COUNTA($A477:$M477)=0,"",IF(OR($B477="",$C477="",$U477="Subscription"),"",IFERROR(ROUNDUP(($C477-$B477)/7,0),"")))</ns0:f>
      </ns0:c>
      <ns0:c r="W477" s="114">
        <ns0:f>IF(COUNTA($A477:$M477)=0,"",IF(OR($U477="Subscription",$U477=""),"",IF($U477="Estimate","N/A",IF(OR($U477="Free Game",$U477="Disqualified — Free Game"),0,ROUND(IFERROR($Q477,0)-IFERROR($S477,0),2)))))</ns0:f>
      </ns0:c>
      <ns0:c r="X477" s="956" t="str">
        <ns0:f>IF(COUNTA($A477:$M477)=0,"",IF(OR($U477="Subscription",NOT(ISNUMBER($J477)),NOT(ISNUMBER($I477)),$J477=0,$I477=0,$I477&gt;$J477),"",$J477-$I477))</ns0:f>
      </ns0:c>
      <ns0:c r="Y477" s="955" t="str">
        <ns0:f>IF(COUNTA($A477:$M477)=0,"",IF(OR($U477="Subscription",NOT(ISNUMBER($J477)),$J477=0,$X477=""),"",$X477/$J477))</ns0:f>
      </ns0:c>
      <ns0:c r="Z477" s="957" t="str">
        <ns0:f>IF(COUNTA($A477:$M477)=0,"",Instructions!$B$29+SUM($W$5:W477))</ns0:f>
      </ns0:c>
    </ns0:row>
    <ns0:row r="478" ht="36" customHeight="1">
      <ns0:c r="A478" s="439"/>
      <ns0:c r="B478" s="453"/>
      <ns0:c r="C478" s="453"/>
      <ns0:c r="D478" s="454"/>
      <ns0:c r="E478" s="454"/>
      <ns0:c r="F478" s="454"/>
      <ns0:c r="G478" s="986"/>
      <ns0:c r="H478" s="455"/>
      <ns0:c r="I478" s="456"/>
      <ns0:c r="J478" s="456"/>
      <ns0:c r="K478" s="986"/>
      <ns0:c r="L478" s="454"/>
      <ns0:c r="M478" s="439"/>
      <ns0:c r="N478" s="987" t="str">
        <ns0:f>IF(COUNTA($A478:$M478)=0,"",IF(OR(LEFT(LOWER(TRIM($F478&amp;"")),12)="subscription",LOWER(TRIM($F478&amp;""))="membership"),"",IF(OR(AND($H478&lt;&gt;"",$H478=0),LEFT(LOWER(TRIM($F478&amp;"")),9)="free game",LOWER(TRIM($F478&amp;""))="free",LOWER(TRIM($F478&amp;""))="free entry"),IF(ISNUMBER($G478),IF(ISNUMBER(SEARCH("non",LOWER($E478&amp;""))),$G478*0.85,$G478),"N/A"),IF($G478="","",IFERROR(IF(ISNUMBER(SEARCH("non",LOWER($E478&amp;""))),$G478*0.85,$G478),"")))))</ns0:f>
        <ns0:v/>
      </ns0:c>
      <ns0:c r="O478" s="987" t="str">
        <ns0:f>IF(COUNTA($A478:$M478)=0,"",IF(OR(LEFT(LOWER(TRIM($F478&amp;"")),12)="subscription",LOWER(TRIM($F478&amp;""))="membership"),"",IF(OR(AND($H478&lt;&gt;"",$H478=0),LEFT(LOWER(TRIM($F478&amp;"")),9)="free game",LOWER(TRIM($F478&amp;""))="free",LOWER(TRIM($F478&amp;""))="free entry"),IF(OR(NOT(ISNUMBER($N478)),NOT(ISNUMBER($I478)),$I478=0),"N/A",IFERROR($N478/$I478,"N/A")),IF(OR($N478="",$I478="",$I478=0),"",IFERROR($N478/$I478,"")))))</ns0:f>
        <ns0:v/>
      </ns0:c>
      <ns0:c r="P478" s="987">
        <ns0:f>IF(COUNTA($A478:$M478)=0,"",IF(OR(LEFT(LOWER(TRIM($F478&amp;"")),12)="subscription",LOWER(TRIM($F478&amp;""))="membership"),"",IF(LOWER(TRIM($D478&amp;""))="estimate","N/A",IF(LOWER($L478&amp;"")="yes",0,IF(OR(AND($H478&lt;&gt;"",$H478=0),LEFT(LOWER(TRIM($F478&amp;"")),9)="free game",LOWER(TRIM($F478&amp;""))="free",LOWER(TRIM($F478&amp;""))="free entry"),IF(ISNUMBER($K478),$K478,""),IF($K478&lt;&gt;"",$K478,""))))))</ns0:f>
      </ns0:c>
      <ns0:c r="Q478" s="114">
        <ns0:f>IF(COUNTA($A478:$M478)=0,"",IF(OR($U478="Subscription",$U478=""),"",IF($U478="Estimate","N/A",IF($U478="Profit",ROUND(IFERROR($P478,0)-IFERROR($H478,0),2),0))))</ns0:f>
      </ns0:c>
      <ns0:c r="R478" s="114">
        <ns0:f>IF(COUNTA($A478:$M478)=0,"",IF(OR($U478="Subscription",$U478=""),"",IF($U478="Estimate","N/A",IF($U478="Draw",$H478,0))))</ns0:f>
      </ns0:c>
      <ns0:c r="S478" s="114">
        <ns0:f>IF(COUNTA($A478:$M478)=0,"",IF(OR($U478="Subscription",$U478=""),"",IF($U478="Estimate","N/A",IF($U478="Disqualified",$H478,0))))</ns0:f>
      </ns0:c>
      <ns0:c r="T478" s="955">
        <ns0:f>IF(COUNTA($A478:$M478)=0,"",IF(OR($U478="Subscription",$U478=""),"",IF($U478="Estimate","N/A",IF(OR($U478="Free Game",$U478="Disqualified — Free Game",$H478=0),"N/A",IF($U478="Profit",$Q478/$H478,IF($U478="Disqualified",-$S478/$H478,0))))))</ns0:f>
      </ns0:c>
      <ns0:c r="U478" s="920">
        <ns0:f>IF(COUNTA($A478:$M478)=0,"",IF(OR(LEFT(LOWER(TRIM($F478&amp;"")),12)="subscription",LOWER(TRIM($F478&amp;""))="membership"),"Subscription",IF(LOWER(TRIM($D478&amp;""))="estimate","Estimate",IF(OR(AND($H478&lt;&gt;"",$H478=0),LEFT(LOWER(TRIM($F478&amp;"")),9)="free game",LOWER(TRIM($F478&amp;""))="free",LOWER(TRIM($F478&amp;""))="free entry"),IF(LOWER($L478&amp;"")="yes","Disqualified — Free Game","Free Game"),IF(LOWER($L478&amp;"")="yes","Disqualified",IF($P478="","",IF(ROUND(IFERROR(VALUE($P478),0)-IFERROR(VALUE($H478),0),2)&gt;0,"Profit","Draw")))))))</ns0:f>
      </ns0:c>
      <ns0:c r="V478" s="956" t="str">
        <ns0:f>IF(COUNTA($A478:$M478)=0,"",IF(OR($B478="",$C478="",$U478="Subscription"),"",IFERROR(ROUNDUP(($C478-$B478)/7,0),"")))</ns0:f>
      </ns0:c>
      <ns0:c r="W478" s="114">
        <ns0:f>IF(COUNTA($A478:$M478)=0,"",IF(OR($U478="Subscription",$U478=""),"",IF($U478="Estimate","N/A",IF(OR($U478="Free Game",$U478="Disqualified — Free Game"),0,ROUND(IFERROR($Q478,0)-IFERROR($S478,0),2)))))</ns0:f>
      </ns0:c>
      <ns0:c r="X478" s="956" t="str">
        <ns0:f>IF(COUNTA($A478:$M478)=0,"",IF(OR($U478="Subscription",NOT(ISNUMBER($J478)),NOT(ISNUMBER($I478)),$J478=0,$I478=0,$I478&gt;$J478),"",$J478-$I478))</ns0:f>
      </ns0:c>
      <ns0:c r="Y478" s="955" t="str">
        <ns0:f>IF(COUNTA($A478:$M478)=0,"",IF(OR($U478="Subscription",NOT(ISNUMBER($J478)),$J478=0,$X478=""),"",$X478/$J478))</ns0:f>
      </ns0:c>
      <ns0:c r="Z478" s="957" t="str">
        <ns0:f>IF(COUNTA($A478:$M478)=0,"",Instructions!$B$29+SUM($W$5:W478))</ns0:f>
      </ns0:c>
    </ns0:row>
    <ns0:row r="479" ht="36" customHeight="1">
      <ns0:c r="A479" s="439"/>
      <ns0:c r="B479" s="453"/>
      <ns0:c r="C479" s="453"/>
      <ns0:c r="D479" s="454"/>
      <ns0:c r="E479" s="454"/>
      <ns0:c r="F479" s="454"/>
      <ns0:c r="G479" s="986"/>
      <ns0:c r="H479" s="455"/>
      <ns0:c r="I479" s="456"/>
      <ns0:c r="J479" s="456"/>
      <ns0:c r="K479" s="986"/>
      <ns0:c r="L479" s="454"/>
      <ns0:c r="M479" s="439"/>
      <ns0:c r="N479" s="987" t="str">
        <ns0:f>IF(COUNTA($A479:$M479)=0,"",IF(OR(LEFT(LOWER(TRIM($F479&amp;"")),12)="subscription",LOWER(TRIM($F479&amp;""))="membership"),"",IF(OR(AND($H479&lt;&gt;"",$H479=0),LEFT(LOWER(TRIM($F479&amp;"")),9)="free game",LOWER(TRIM($F479&amp;""))="free",LOWER(TRIM($F479&amp;""))="free entry"),IF(ISNUMBER($G479),IF(ISNUMBER(SEARCH("non",LOWER($E479&amp;""))),$G479*0.85,$G479),"N/A"),IF($G479="","",IFERROR(IF(ISNUMBER(SEARCH("non",LOWER($E479&amp;""))),$G479*0.85,$G479),"")))))</ns0:f>
        <ns0:v/>
      </ns0:c>
      <ns0:c r="O479" s="987" t="str">
        <ns0:f>IF(COUNTA($A479:$M479)=0,"",IF(OR(LEFT(LOWER(TRIM($F479&amp;"")),12)="subscription",LOWER(TRIM($F479&amp;""))="membership"),"",IF(OR(AND($H479&lt;&gt;"",$H479=0),LEFT(LOWER(TRIM($F479&amp;"")),9)="free game",LOWER(TRIM($F479&amp;""))="free",LOWER(TRIM($F479&amp;""))="free entry"),IF(OR(NOT(ISNUMBER($N479)),NOT(ISNUMBER($I479)),$I479=0),"N/A",IFERROR($N479/$I479,"N/A")),IF(OR($N479="",$I479="",$I479=0),"",IFERROR($N479/$I479,"")))))</ns0:f>
        <ns0:v/>
      </ns0:c>
      <ns0:c r="P479" s="987">
        <ns0:f>IF(COUNTA($A479:$M479)=0,"",IF(OR(LEFT(LOWER(TRIM($F479&amp;"")),12)="subscription",LOWER(TRIM($F479&amp;""))="membership"),"",IF(LOWER(TRIM($D479&amp;""))="estimate","N/A",IF(LOWER($L479&amp;"")="yes",0,IF(OR(AND($H479&lt;&gt;"",$H479=0),LEFT(LOWER(TRIM($F479&amp;"")),9)="free game",LOWER(TRIM($F479&amp;""))="free",LOWER(TRIM($F479&amp;""))="free entry"),IF(ISNUMBER($K479),$K479,""),IF($K479&lt;&gt;"",$K479,""))))))</ns0:f>
      </ns0:c>
      <ns0:c r="Q479" s="114">
        <ns0:f>IF(COUNTA($A479:$M479)=0,"",IF(OR($U479="Subscription",$U479=""),"",IF($U479="Estimate","N/A",IF($U479="Profit",ROUND(IFERROR($P479,0)-IFERROR($H479,0),2),0))))</ns0:f>
      </ns0:c>
      <ns0:c r="R479" s="114">
        <ns0:f>IF(COUNTA($A479:$M479)=0,"",IF(OR($U479="Subscription",$U479=""),"",IF($U479="Estimate","N/A",IF($U479="Draw",$H479,0))))</ns0:f>
      </ns0:c>
      <ns0:c r="S479" s="114">
        <ns0:f>IF(COUNTA($A479:$M479)=0,"",IF(OR($U479="Subscription",$U479=""),"",IF($U479="Estimate","N/A",IF($U479="Disqualified",$H479,0))))</ns0:f>
      </ns0:c>
      <ns0:c r="T479" s="955">
        <ns0:f>IF(COUNTA($A479:$M479)=0,"",IF(OR($U479="Subscription",$U479=""),"",IF($U479="Estimate","N/A",IF(OR($U479="Free Game",$U479="Disqualified — Free Game",$H479=0),"N/A",IF($U479="Profit",$Q479/$H479,IF($U479="Disqualified",-$S479/$H479,0))))))</ns0:f>
      </ns0:c>
      <ns0:c r="U479" s="920">
        <ns0:f>IF(COUNTA($A479:$M479)=0,"",IF(OR(LEFT(LOWER(TRIM($F479&amp;"")),12)="subscription",LOWER(TRIM($F479&amp;""))="membership"),"Subscription",IF(LOWER(TRIM($D479&amp;""))="estimate","Estimate",IF(OR(AND($H479&lt;&gt;"",$H479=0),LEFT(LOWER(TRIM($F479&amp;"")),9)="free game",LOWER(TRIM($F479&amp;""))="free",LOWER(TRIM($F479&amp;""))="free entry"),IF(LOWER($L479&amp;"")="yes","Disqualified — Free Game","Free Game"),IF(LOWER($L479&amp;"")="yes","Disqualified",IF($P479="","",IF(ROUND(IFERROR(VALUE($P479),0)-IFERROR(VALUE($H479),0),2)&gt;0,"Profit","Draw")))))))</ns0:f>
      </ns0:c>
      <ns0:c r="V479" s="956" t="str">
        <ns0:f>IF(COUNTA($A479:$M479)=0,"",IF(OR($B479="",$C479="",$U479="Subscription"),"",IFERROR(ROUNDUP(($C479-$B479)/7,0),"")))</ns0:f>
      </ns0:c>
      <ns0:c r="W479" s="114">
        <ns0:f>IF(COUNTA($A479:$M479)=0,"",IF(OR($U479="Subscription",$U479=""),"",IF($U479="Estimate","N/A",IF(OR($U479="Free Game",$U479="Disqualified — Free Game"),0,ROUND(IFERROR($Q479,0)-IFERROR($S479,0),2)))))</ns0:f>
      </ns0:c>
      <ns0:c r="X479" s="956" t="str">
        <ns0:f>IF(COUNTA($A479:$M479)=0,"",IF(OR($U479="Subscription",NOT(ISNUMBER($J479)),NOT(ISNUMBER($I479)),$J479=0,$I479=0,$I479&gt;$J479),"",$J479-$I479))</ns0:f>
      </ns0:c>
      <ns0:c r="Y479" s="955" t="str">
        <ns0:f>IF(COUNTA($A479:$M479)=0,"",IF(OR($U479="Subscription",NOT(ISNUMBER($J479)),$J479=0,$X479=""),"",$X479/$J479))</ns0:f>
      </ns0:c>
      <ns0:c r="Z479" s="957" t="str">
        <ns0:f>IF(COUNTA($A479:$M479)=0,"",Instructions!$B$29+SUM($W$5:W479))</ns0:f>
      </ns0:c>
    </ns0:row>
    <ns0:row r="480" ht="36" customHeight="1">
      <ns0:c r="A480" s="439"/>
      <ns0:c r="B480" s="453"/>
      <ns0:c r="C480" s="453"/>
      <ns0:c r="D480" s="454"/>
      <ns0:c r="E480" s="454"/>
      <ns0:c r="F480" s="454"/>
      <ns0:c r="G480" s="986"/>
      <ns0:c r="H480" s="455"/>
      <ns0:c r="I480" s="456"/>
      <ns0:c r="J480" s="456"/>
      <ns0:c r="K480" s="986"/>
      <ns0:c r="L480" s="454"/>
      <ns0:c r="M480" s="439"/>
      <ns0:c r="N480" s="987" t="str">
        <ns0:f>IF(COUNTA($A480:$M480)=0,"",IF(OR(LEFT(LOWER(TRIM($F480&amp;"")),12)="subscription",LOWER(TRIM($F480&amp;""))="membership"),"",IF(OR(AND($H480&lt;&gt;"",$H480=0),LEFT(LOWER(TRIM($F480&amp;"")),9)="free game",LOWER(TRIM($F480&amp;""))="free",LOWER(TRIM($F480&amp;""))="free entry"),IF(ISNUMBER($G480),IF(ISNUMBER(SEARCH("non",LOWER($E480&amp;""))),$G480*0.85,$G480),"N/A"),IF($G480="","",IFERROR(IF(ISNUMBER(SEARCH("non",LOWER($E480&amp;""))),$G480*0.85,$G480),"")))))</ns0:f>
        <ns0:v/>
      </ns0:c>
      <ns0:c r="O480" s="987" t="str">
        <ns0:f>IF(COUNTA($A480:$M480)=0,"",IF(OR(LEFT(LOWER(TRIM($F480&amp;"")),12)="subscription",LOWER(TRIM($F480&amp;""))="membership"),"",IF(OR(AND($H480&lt;&gt;"",$H480=0),LEFT(LOWER(TRIM($F480&amp;"")),9)="free game",LOWER(TRIM($F480&amp;""))="free",LOWER(TRIM($F480&amp;""))="free entry"),IF(OR(NOT(ISNUMBER($N480)),NOT(ISNUMBER($I480)),$I480=0),"N/A",IFERROR($N480/$I480,"N/A")),IF(OR($N480="",$I480="",$I480=0),"",IFERROR($N480/$I480,"")))))</ns0:f>
        <ns0:v/>
      </ns0:c>
      <ns0:c r="P480" s="987">
        <ns0:f>IF(COUNTA($A480:$M480)=0,"",IF(OR(LEFT(LOWER(TRIM($F480&amp;"")),12)="subscription",LOWER(TRIM($F480&amp;""))="membership"),"",IF(LOWER(TRIM($D480&amp;""))="estimate","N/A",IF(LOWER($L480&amp;"")="yes",0,IF(OR(AND($H480&lt;&gt;"",$H480=0),LEFT(LOWER(TRIM($F480&amp;"")),9)="free game",LOWER(TRIM($F480&amp;""))="free",LOWER(TRIM($F480&amp;""))="free entry"),IF(ISNUMBER($K480),$K480,""),IF($K480&lt;&gt;"",$K480,""))))))</ns0:f>
      </ns0:c>
      <ns0:c r="Q480" s="114">
        <ns0:f>IF(COUNTA($A480:$M480)=0,"",IF(OR($U480="Subscription",$U480=""),"",IF($U480="Estimate","N/A",IF($U480="Profit",ROUND(IFERROR($P480,0)-IFERROR($H480,0),2),0))))</ns0:f>
      </ns0:c>
      <ns0:c r="R480" s="114">
        <ns0:f>IF(COUNTA($A480:$M480)=0,"",IF(OR($U480="Subscription",$U480=""),"",IF($U480="Estimate","N/A",IF($U480="Draw",$H480,0))))</ns0:f>
      </ns0:c>
      <ns0:c r="S480" s="114">
        <ns0:f>IF(COUNTA($A480:$M480)=0,"",IF(OR($U480="Subscription",$U480=""),"",IF($U480="Estimate","N/A",IF($U480="Disqualified",$H480,0))))</ns0:f>
      </ns0:c>
      <ns0:c r="T480" s="955">
        <ns0:f>IF(COUNTA($A480:$M480)=0,"",IF(OR($U480="Subscription",$U480=""),"",IF($U480="Estimate","N/A",IF(OR($U480="Free Game",$U480="Disqualified — Free Game",$H480=0),"N/A",IF($U480="Profit",$Q480/$H480,IF($U480="Disqualified",-$S480/$H480,0))))))</ns0:f>
      </ns0:c>
      <ns0:c r="U480" s="920">
        <ns0:f>IF(COUNTA($A480:$M480)=0,"",IF(OR(LEFT(LOWER(TRIM($F480&amp;"")),12)="subscription",LOWER(TRIM($F480&amp;""))="membership"),"Subscription",IF(LOWER(TRIM($D480&amp;""))="estimate","Estimate",IF(OR(AND($H480&lt;&gt;"",$H480=0),LEFT(LOWER(TRIM($F480&amp;"")),9)="free game",LOWER(TRIM($F480&amp;""))="free",LOWER(TRIM($F480&amp;""))="free entry"),IF(LOWER($L480&amp;"")="yes","Disqualified — Free Game","Free Game"),IF(LOWER($L480&amp;"")="yes","Disqualified",IF($P480="","",IF(ROUND(IFERROR(VALUE($P480),0)-IFERROR(VALUE($H480),0),2)&gt;0,"Profit","Draw")))))))</ns0:f>
      </ns0:c>
      <ns0:c r="V480" s="956" t="str">
        <ns0:f>IF(COUNTA($A480:$M480)=0,"",IF(OR($B480="",$C480="",$U480="Subscription"),"",IFERROR(ROUNDUP(($C480-$B480)/7,0),"")))</ns0:f>
      </ns0:c>
      <ns0:c r="W480" s="114">
        <ns0:f>IF(COUNTA($A480:$M480)=0,"",IF(OR($U480="Subscription",$U480=""),"",IF($U480="Estimate","N/A",IF(OR($U480="Free Game",$U480="Disqualified — Free Game"),0,ROUND(IFERROR($Q480,0)-IFERROR($S480,0),2)))))</ns0:f>
      </ns0:c>
      <ns0:c r="X480" s="956" t="str">
        <ns0:f>IF(COUNTA($A480:$M480)=0,"",IF(OR($U480="Subscription",NOT(ISNUMBER($J480)),NOT(ISNUMBER($I480)),$J480=0,$I480=0,$I480&gt;$J480),"",$J480-$I480))</ns0:f>
      </ns0:c>
      <ns0:c r="Y480" s="955" t="str">
        <ns0:f>IF(COUNTA($A480:$M480)=0,"",IF(OR($U480="Subscription",NOT(ISNUMBER($J480)),$J480=0,$X480=""),"",$X480/$J480))</ns0:f>
      </ns0:c>
      <ns0:c r="Z480" s="957" t="str">
        <ns0:f>IF(COUNTA($A480:$M480)=0,"",Instructions!$B$29+SUM($W$5:W480))</ns0:f>
      </ns0:c>
    </ns0:row>
    <ns0:row r="481" ht="36" customHeight="1">
      <ns0:c r="A481" s="439"/>
      <ns0:c r="B481" s="453"/>
      <ns0:c r="C481" s="453"/>
      <ns0:c r="D481" s="454"/>
      <ns0:c r="E481" s="454"/>
      <ns0:c r="F481" s="454"/>
      <ns0:c r="G481" s="986"/>
      <ns0:c r="H481" s="455"/>
      <ns0:c r="I481" s="456"/>
      <ns0:c r="J481" s="456"/>
      <ns0:c r="K481" s="986"/>
      <ns0:c r="L481" s="454"/>
      <ns0:c r="M481" s="439"/>
      <ns0:c r="N481" s="987" t="str">
        <ns0:f>IF(COUNTA($A481:$M481)=0,"",IF(OR(LEFT(LOWER(TRIM($F481&amp;"")),12)="subscription",LOWER(TRIM($F481&amp;""))="membership"),"",IF(OR(AND($H481&lt;&gt;"",$H481=0),LEFT(LOWER(TRIM($F481&amp;"")),9)="free game",LOWER(TRIM($F481&amp;""))="free",LOWER(TRIM($F481&amp;""))="free entry"),IF(ISNUMBER($G481),IF(ISNUMBER(SEARCH("non",LOWER($E481&amp;""))),$G481*0.85,$G481),"N/A"),IF($G481="","",IFERROR(IF(ISNUMBER(SEARCH("non",LOWER($E481&amp;""))),$G481*0.85,$G481),"")))))</ns0:f>
        <ns0:v/>
      </ns0:c>
      <ns0:c r="O481" s="987" t="str">
        <ns0:f>IF(COUNTA($A481:$M481)=0,"",IF(OR(LEFT(LOWER(TRIM($F481&amp;"")),12)="subscription",LOWER(TRIM($F481&amp;""))="membership"),"",IF(OR(AND($H481&lt;&gt;"",$H481=0),LEFT(LOWER(TRIM($F481&amp;"")),9)="free game",LOWER(TRIM($F481&amp;""))="free",LOWER(TRIM($F481&amp;""))="free entry"),IF(OR(NOT(ISNUMBER($N481)),NOT(ISNUMBER($I481)),$I481=0),"N/A",IFERROR($N481/$I481,"N/A")),IF(OR($N481="",$I481="",$I481=0),"",IFERROR($N481/$I481,"")))))</ns0:f>
        <ns0:v/>
      </ns0:c>
      <ns0:c r="P481" s="987">
        <ns0:f>IF(COUNTA($A481:$M481)=0,"",IF(OR(LEFT(LOWER(TRIM($F481&amp;"")),12)="subscription",LOWER(TRIM($F481&amp;""))="membership"),"",IF(LOWER(TRIM($D481&amp;""))="estimate","N/A",IF(LOWER($L481&amp;"")="yes",0,IF(OR(AND($H481&lt;&gt;"",$H481=0),LEFT(LOWER(TRIM($F481&amp;"")),9)="free game",LOWER(TRIM($F481&amp;""))="free",LOWER(TRIM($F481&amp;""))="free entry"),IF(ISNUMBER($K481),$K481,""),IF($K481&lt;&gt;"",$K481,""))))))</ns0:f>
      </ns0:c>
      <ns0:c r="Q481" s="114">
        <ns0:f>IF(COUNTA($A481:$M481)=0,"",IF(OR($U481="Subscription",$U481=""),"",IF($U481="Estimate","N/A",IF($U481="Profit",ROUND(IFERROR($P481,0)-IFERROR($H481,0),2),0))))</ns0:f>
      </ns0:c>
      <ns0:c r="R481" s="114">
        <ns0:f>IF(COUNTA($A481:$M481)=0,"",IF(OR($U481="Subscription",$U481=""),"",IF($U481="Estimate","N/A",IF($U481="Draw",$H481,0))))</ns0:f>
      </ns0:c>
      <ns0:c r="S481" s="114">
        <ns0:f>IF(COUNTA($A481:$M481)=0,"",IF(OR($U481="Subscription",$U481=""),"",IF($U481="Estimate","N/A",IF($U481="Disqualified",$H481,0))))</ns0:f>
      </ns0:c>
      <ns0:c r="T481" s="955">
        <ns0:f>IF(COUNTA($A481:$M481)=0,"",IF(OR($U481="Subscription",$U481=""),"",IF($U481="Estimate","N/A",IF(OR($U481="Free Game",$U481="Disqualified — Free Game",$H481=0),"N/A",IF($U481="Profit",$Q481/$H481,IF($U481="Disqualified",-$S481/$H481,0))))))</ns0:f>
      </ns0:c>
      <ns0:c r="U481" s="920">
        <ns0:f>IF(COUNTA($A481:$M481)=0,"",IF(OR(LEFT(LOWER(TRIM($F481&amp;"")),12)="subscription",LOWER(TRIM($F481&amp;""))="membership"),"Subscription",IF(LOWER(TRIM($D481&amp;""))="estimate","Estimate",IF(OR(AND($H481&lt;&gt;"",$H481=0),LEFT(LOWER(TRIM($F481&amp;"")),9)="free game",LOWER(TRIM($F481&amp;""))="free",LOWER(TRIM($F481&amp;""))="free entry"),IF(LOWER($L481&amp;"")="yes","Disqualified — Free Game","Free Game"),IF(LOWER($L481&amp;"")="yes","Disqualified",IF($P481="","",IF(ROUND(IFERROR(VALUE($P481),0)-IFERROR(VALUE($H481),0),2)&gt;0,"Profit","Draw")))))))</ns0:f>
      </ns0:c>
      <ns0:c r="V481" s="956" t="str">
        <ns0:f>IF(COUNTA($A481:$M481)=0,"",IF(OR($B481="",$C481="",$U481="Subscription"),"",IFERROR(ROUNDUP(($C481-$B481)/7,0),"")))</ns0:f>
      </ns0:c>
      <ns0:c r="W481" s="114">
        <ns0:f>IF(COUNTA($A481:$M481)=0,"",IF(OR($U481="Subscription",$U481=""),"",IF($U481="Estimate","N/A",IF(OR($U481="Free Game",$U481="Disqualified — Free Game"),0,ROUND(IFERROR($Q481,0)-IFERROR($S481,0),2)))))</ns0:f>
      </ns0:c>
      <ns0:c r="X481" s="956" t="str">
        <ns0:f>IF(COUNTA($A481:$M481)=0,"",IF(OR($U481="Subscription",NOT(ISNUMBER($J481)),NOT(ISNUMBER($I481)),$J481=0,$I481=0,$I481&gt;$J481),"",$J481-$I481))</ns0:f>
      </ns0:c>
      <ns0:c r="Y481" s="955" t="str">
        <ns0:f>IF(COUNTA($A481:$M481)=0,"",IF(OR($U481="Subscription",NOT(ISNUMBER($J481)),$J481=0,$X481=""),"",$X481/$J481))</ns0:f>
      </ns0:c>
      <ns0:c r="Z481" s="957" t="str">
        <ns0:f>IF(COUNTA($A481:$M481)=0,"",Instructions!$B$29+SUM($W$5:W481))</ns0:f>
      </ns0:c>
    </ns0:row>
    <ns0:row r="482" ht="36" customHeight="1">
      <ns0:c r="A482" s="439"/>
      <ns0:c r="B482" s="453"/>
      <ns0:c r="C482" s="453"/>
      <ns0:c r="D482" s="454"/>
      <ns0:c r="E482" s="454"/>
      <ns0:c r="F482" s="454"/>
      <ns0:c r="G482" s="986"/>
      <ns0:c r="H482" s="455"/>
      <ns0:c r="I482" s="456"/>
      <ns0:c r="J482" s="456"/>
      <ns0:c r="K482" s="986"/>
      <ns0:c r="L482" s="454"/>
      <ns0:c r="M482" s="439"/>
      <ns0:c r="N482" s="987" t="str">
        <ns0:f>IF(COUNTA($A482:$M482)=0,"",IF(OR(LEFT(LOWER(TRIM($F482&amp;"")),12)="subscription",LOWER(TRIM($F482&amp;""))="membership"),"",IF(OR(AND($H482&lt;&gt;"",$H482=0),LEFT(LOWER(TRIM($F482&amp;"")),9)="free game",LOWER(TRIM($F482&amp;""))="free",LOWER(TRIM($F482&amp;""))="free entry"),IF(ISNUMBER($G482),IF(ISNUMBER(SEARCH("non",LOWER($E482&amp;""))),$G482*0.85,$G482),"N/A"),IF($G482="","",IFERROR(IF(ISNUMBER(SEARCH("non",LOWER($E482&amp;""))),$G482*0.85,$G482),"")))))</ns0:f>
        <ns0:v/>
      </ns0:c>
      <ns0:c r="O482" s="987" t="str">
        <ns0:f>IF(COUNTA($A482:$M482)=0,"",IF(OR(LEFT(LOWER(TRIM($F482&amp;"")),12)="subscription",LOWER(TRIM($F482&amp;""))="membership"),"",IF(OR(AND($H482&lt;&gt;"",$H482=0),LEFT(LOWER(TRIM($F482&amp;"")),9)="free game",LOWER(TRIM($F482&amp;""))="free",LOWER(TRIM($F482&amp;""))="free entry"),IF(OR(NOT(ISNUMBER($N482)),NOT(ISNUMBER($I482)),$I482=0),"N/A",IFERROR($N482/$I482,"N/A")),IF(OR($N482="",$I482="",$I482=0),"",IFERROR($N482/$I482,"")))))</ns0:f>
        <ns0:v/>
      </ns0:c>
      <ns0:c r="P482" s="987">
        <ns0:f>IF(COUNTA($A482:$M482)=0,"",IF(OR(LEFT(LOWER(TRIM($F482&amp;"")),12)="subscription",LOWER(TRIM($F482&amp;""))="membership"),"",IF(LOWER(TRIM($D482&amp;""))="estimate","N/A",IF(LOWER($L482&amp;"")="yes",0,IF(OR(AND($H482&lt;&gt;"",$H482=0),LEFT(LOWER(TRIM($F482&amp;"")),9)="free game",LOWER(TRIM($F482&amp;""))="free",LOWER(TRIM($F482&amp;""))="free entry"),IF(ISNUMBER($K482),$K482,""),IF($K482&lt;&gt;"",$K482,""))))))</ns0:f>
      </ns0:c>
      <ns0:c r="Q482" s="114">
        <ns0:f>IF(COUNTA($A482:$M482)=0,"",IF(OR($U482="Subscription",$U482=""),"",IF($U482="Estimate","N/A",IF($U482="Profit",ROUND(IFERROR($P482,0)-IFERROR($H482,0),2),0))))</ns0:f>
      </ns0:c>
      <ns0:c r="R482" s="114">
        <ns0:f>IF(COUNTA($A482:$M482)=0,"",IF(OR($U482="Subscription",$U482=""),"",IF($U482="Estimate","N/A",IF($U482="Draw",$H482,0))))</ns0:f>
      </ns0:c>
      <ns0:c r="S482" s="114">
        <ns0:f>IF(COUNTA($A482:$M482)=0,"",IF(OR($U482="Subscription",$U482=""),"",IF($U482="Estimate","N/A",IF($U482="Disqualified",$H482,0))))</ns0:f>
      </ns0:c>
      <ns0:c r="T482" s="955">
        <ns0:f>IF(COUNTA($A482:$M482)=0,"",IF(OR($U482="Subscription",$U482=""),"",IF($U482="Estimate","N/A",IF(OR($U482="Free Game",$U482="Disqualified — Free Game",$H482=0),"N/A",IF($U482="Profit",$Q482/$H482,IF($U482="Disqualified",-$S482/$H482,0))))))</ns0:f>
      </ns0:c>
      <ns0:c r="U482" s="920">
        <ns0:f>IF(COUNTA($A482:$M482)=0,"",IF(OR(LEFT(LOWER(TRIM($F482&amp;"")),12)="subscription",LOWER(TRIM($F482&amp;""))="membership"),"Subscription",IF(LOWER(TRIM($D482&amp;""))="estimate","Estimate",IF(OR(AND($H482&lt;&gt;"",$H482=0),LEFT(LOWER(TRIM($F482&amp;"")),9)="free game",LOWER(TRIM($F482&amp;""))="free",LOWER(TRIM($F482&amp;""))="free entry"),IF(LOWER($L482&amp;"")="yes","Disqualified — Free Game","Free Game"),IF(LOWER($L482&amp;"")="yes","Disqualified",IF($P482="","",IF(ROUND(IFERROR(VALUE($P482),0)-IFERROR(VALUE($H482),0),2)&gt;0,"Profit","Draw")))))))</ns0:f>
      </ns0:c>
      <ns0:c r="V482" s="956" t="str">
        <ns0:f>IF(COUNTA($A482:$M482)=0,"",IF(OR($B482="",$C482="",$U482="Subscription"),"",IFERROR(ROUNDUP(($C482-$B482)/7,0),"")))</ns0:f>
      </ns0:c>
      <ns0:c r="W482" s="114">
        <ns0:f>IF(COUNTA($A482:$M482)=0,"",IF(OR($U482="Subscription",$U482=""),"",IF($U482="Estimate","N/A",IF(OR($U482="Free Game",$U482="Disqualified — Free Game"),0,ROUND(IFERROR($Q482,0)-IFERROR($S482,0),2)))))</ns0:f>
      </ns0:c>
      <ns0:c r="X482" s="956" t="str">
        <ns0:f>IF(COUNTA($A482:$M482)=0,"",IF(OR($U482="Subscription",NOT(ISNUMBER($J482)),NOT(ISNUMBER($I482)),$J482=0,$I482=0,$I482&gt;$J482),"",$J482-$I482))</ns0:f>
      </ns0:c>
      <ns0:c r="Y482" s="955" t="str">
        <ns0:f>IF(COUNTA($A482:$M482)=0,"",IF(OR($U482="Subscription",NOT(ISNUMBER($J482)),$J482=0,$X482=""),"",$X482/$J482))</ns0:f>
      </ns0:c>
      <ns0:c r="Z482" s="957" t="str">
        <ns0:f>IF(COUNTA($A482:$M482)=0,"",Instructions!$B$29+SUM($W$5:W482))</ns0:f>
      </ns0:c>
    </ns0:row>
    <ns0:row r="483" ht="36" customHeight="1">
      <ns0:c r="A483" s="439"/>
      <ns0:c r="B483" s="453"/>
      <ns0:c r="C483" s="453"/>
      <ns0:c r="D483" s="454"/>
      <ns0:c r="E483" s="454"/>
      <ns0:c r="F483" s="454"/>
      <ns0:c r="G483" s="986"/>
      <ns0:c r="H483" s="455"/>
      <ns0:c r="I483" s="456"/>
      <ns0:c r="J483" s="456"/>
      <ns0:c r="K483" s="986"/>
      <ns0:c r="L483" s="454"/>
      <ns0:c r="M483" s="439"/>
      <ns0:c r="N483" s="987" t="str">
        <ns0:f>IF(COUNTA($A483:$M483)=0,"",IF(OR(LEFT(LOWER(TRIM($F483&amp;"")),12)="subscription",LOWER(TRIM($F483&amp;""))="membership"),"",IF(OR(AND($H483&lt;&gt;"",$H483=0),LEFT(LOWER(TRIM($F483&amp;"")),9)="free game",LOWER(TRIM($F483&amp;""))="free",LOWER(TRIM($F483&amp;""))="free entry"),IF(ISNUMBER($G483),IF(ISNUMBER(SEARCH("non",LOWER($E483&amp;""))),$G483*0.85,$G483),"N/A"),IF($G483="","",IFERROR(IF(ISNUMBER(SEARCH("non",LOWER($E483&amp;""))),$G483*0.85,$G483),"")))))</ns0:f>
        <ns0:v/>
      </ns0:c>
      <ns0:c r="O483" s="987" t="str">
        <ns0:f>IF(COUNTA($A483:$M483)=0,"",IF(OR(LEFT(LOWER(TRIM($F483&amp;"")),12)="subscription",LOWER(TRIM($F483&amp;""))="membership"),"",IF(OR(AND($H483&lt;&gt;"",$H483=0),LEFT(LOWER(TRIM($F483&amp;"")),9)="free game",LOWER(TRIM($F483&amp;""))="free",LOWER(TRIM($F483&amp;""))="free entry"),IF(OR(NOT(ISNUMBER($N483)),NOT(ISNUMBER($I483)),$I483=0),"N/A",IFERROR($N483/$I483,"N/A")),IF(OR($N483="",$I483="",$I483=0),"",IFERROR($N483/$I483,"")))))</ns0:f>
        <ns0:v/>
      </ns0:c>
      <ns0:c r="P483" s="987">
        <ns0:f>IF(COUNTA($A483:$M483)=0,"",IF(OR(LEFT(LOWER(TRIM($F483&amp;"")),12)="subscription",LOWER(TRIM($F483&amp;""))="membership"),"",IF(LOWER(TRIM($D483&amp;""))="estimate","N/A",IF(LOWER($L483&amp;"")="yes",0,IF(OR(AND($H483&lt;&gt;"",$H483=0),LEFT(LOWER(TRIM($F483&amp;"")),9)="free game",LOWER(TRIM($F483&amp;""))="free",LOWER(TRIM($F483&amp;""))="free entry"),IF(ISNUMBER($K483),$K483,""),IF($K483&lt;&gt;"",$K483,""))))))</ns0:f>
      </ns0:c>
      <ns0:c r="Q483" s="114">
        <ns0:f>IF(COUNTA($A483:$M483)=0,"",IF(OR($U483="Subscription",$U483=""),"",IF($U483="Estimate","N/A",IF($U483="Profit",ROUND(IFERROR($P483,0)-IFERROR($H483,0),2),0))))</ns0:f>
      </ns0:c>
      <ns0:c r="R483" s="114">
        <ns0:f>IF(COUNTA($A483:$M483)=0,"",IF(OR($U483="Subscription",$U483=""),"",IF($U483="Estimate","N/A",IF($U483="Draw",$H483,0))))</ns0:f>
      </ns0:c>
      <ns0:c r="S483" s="114">
        <ns0:f>IF(COUNTA($A483:$M483)=0,"",IF(OR($U483="Subscription",$U483=""),"",IF($U483="Estimate","N/A",IF($U483="Disqualified",$H483,0))))</ns0:f>
      </ns0:c>
      <ns0:c r="T483" s="955">
        <ns0:f>IF(COUNTA($A483:$M483)=0,"",IF(OR($U483="Subscription",$U483=""),"",IF($U483="Estimate","N/A",IF(OR($U483="Free Game",$U483="Disqualified — Free Game",$H483=0),"N/A",IF($U483="Profit",$Q483/$H483,IF($U483="Disqualified",-$S483/$H483,0))))))</ns0:f>
      </ns0:c>
      <ns0:c r="U483" s="920">
        <ns0:f>IF(COUNTA($A483:$M483)=0,"",IF(OR(LEFT(LOWER(TRIM($F483&amp;"")),12)="subscription",LOWER(TRIM($F483&amp;""))="membership"),"Subscription",IF(LOWER(TRIM($D483&amp;""))="estimate","Estimate",IF(OR(AND($H483&lt;&gt;"",$H483=0),LEFT(LOWER(TRIM($F483&amp;"")),9)="free game",LOWER(TRIM($F483&amp;""))="free",LOWER(TRIM($F483&amp;""))="free entry"),IF(LOWER($L483&amp;"")="yes","Disqualified — Free Game","Free Game"),IF(LOWER($L483&amp;"")="yes","Disqualified",IF($P483="","",IF(ROUND(IFERROR(VALUE($P483),0)-IFERROR(VALUE($H483),0),2)&gt;0,"Profit","Draw")))))))</ns0:f>
      </ns0:c>
      <ns0:c r="V483" s="956" t="str">
        <ns0:f>IF(COUNTA($A483:$M483)=0,"",IF(OR($B483="",$C483="",$U483="Subscription"),"",IFERROR(ROUNDUP(($C483-$B483)/7,0),"")))</ns0:f>
      </ns0:c>
      <ns0:c r="W483" s="114">
        <ns0:f>IF(COUNTA($A483:$M483)=0,"",IF(OR($U483="Subscription",$U483=""),"",IF($U483="Estimate","N/A",IF(OR($U483="Free Game",$U483="Disqualified — Free Game"),0,ROUND(IFERROR($Q483,0)-IFERROR($S483,0),2)))))</ns0:f>
      </ns0:c>
      <ns0:c r="X483" s="956" t="str">
        <ns0:f>IF(COUNTA($A483:$M483)=0,"",IF(OR($U483="Subscription",NOT(ISNUMBER($J483)),NOT(ISNUMBER($I483)),$J483=0,$I483=0,$I483&gt;$J483),"",$J483-$I483))</ns0:f>
      </ns0:c>
      <ns0:c r="Y483" s="955" t="str">
        <ns0:f>IF(COUNTA($A483:$M483)=0,"",IF(OR($U483="Subscription",NOT(ISNUMBER($J483)),$J483=0,$X483=""),"",$X483/$J483))</ns0:f>
      </ns0:c>
      <ns0:c r="Z483" s="957" t="str">
        <ns0:f>IF(COUNTA($A483:$M483)=0,"",Instructions!$B$29+SUM($W$5:W483))</ns0:f>
      </ns0:c>
    </ns0:row>
    <ns0:row r="484" ht="36" customHeight="1">
      <ns0:c r="A484" s="439"/>
      <ns0:c r="B484" s="453"/>
      <ns0:c r="C484" s="453"/>
      <ns0:c r="D484" s="454"/>
      <ns0:c r="E484" s="454"/>
      <ns0:c r="F484" s="454"/>
      <ns0:c r="G484" s="986"/>
      <ns0:c r="H484" s="455"/>
      <ns0:c r="I484" s="456"/>
      <ns0:c r="J484" s="456"/>
      <ns0:c r="K484" s="986"/>
      <ns0:c r="L484" s="454"/>
      <ns0:c r="M484" s="439"/>
      <ns0:c r="N484" s="987" t="str">
        <ns0:f>IF(COUNTA($A484:$M484)=0,"",IF(OR(LEFT(LOWER(TRIM($F484&amp;"")),12)="subscription",LOWER(TRIM($F484&amp;""))="membership"),"",IF(OR(AND($H484&lt;&gt;"",$H484=0),LEFT(LOWER(TRIM($F484&amp;"")),9)="free game",LOWER(TRIM($F484&amp;""))="free",LOWER(TRIM($F484&amp;""))="free entry"),IF(ISNUMBER($G484),IF(ISNUMBER(SEARCH("non",LOWER($E484&amp;""))),$G484*0.85,$G484),"N/A"),IF($G484="","",IFERROR(IF(ISNUMBER(SEARCH("non",LOWER($E484&amp;""))),$G484*0.85,$G484),"")))))</ns0:f>
        <ns0:v/>
      </ns0:c>
      <ns0:c r="O484" s="987" t="str">
        <ns0:f>IF(COUNTA($A484:$M484)=0,"",IF(OR(LEFT(LOWER(TRIM($F484&amp;"")),12)="subscription",LOWER(TRIM($F484&amp;""))="membership"),"",IF(OR(AND($H484&lt;&gt;"",$H484=0),LEFT(LOWER(TRIM($F484&amp;"")),9)="free game",LOWER(TRIM($F484&amp;""))="free",LOWER(TRIM($F484&amp;""))="free entry"),IF(OR(NOT(ISNUMBER($N484)),NOT(ISNUMBER($I484)),$I484=0),"N/A",IFERROR($N484/$I484,"N/A")),IF(OR($N484="",$I484="",$I484=0),"",IFERROR($N484/$I484,"")))))</ns0:f>
        <ns0:v/>
      </ns0:c>
      <ns0:c r="P484" s="987">
        <ns0:f>IF(COUNTA($A484:$M484)=0,"",IF(OR(LEFT(LOWER(TRIM($F484&amp;"")),12)="subscription",LOWER(TRIM($F484&amp;""))="membership"),"",IF(LOWER(TRIM($D484&amp;""))="estimate","N/A",IF(LOWER($L484&amp;"")="yes",0,IF(OR(AND($H484&lt;&gt;"",$H484=0),LEFT(LOWER(TRIM($F484&amp;"")),9)="free game",LOWER(TRIM($F484&amp;""))="free",LOWER(TRIM($F484&amp;""))="free entry"),IF(ISNUMBER($K484),$K484,""),IF($K484&lt;&gt;"",$K484,""))))))</ns0:f>
      </ns0:c>
      <ns0:c r="Q484" s="114">
        <ns0:f>IF(COUNTA($A484:$M484)=0,"",IF(OR($U484="Subscription",$U484=""),"",IF($U484="Estimate","N/A",IF($U484="Profit",ROUND(IFERROR($P484,0)-IFERROR($H484,0),2),0))))</ns0:f>
      </ns0:c>
      <ns0:c r="R484" s="114">
        <ns0:f>IF(COUNTA($A484:$M484)=0,"",IF(OR($U484="Subscription",$U484=""),"",IF($U484="Estimate","N/A",IF($U484="Draw",$H484,0))))</ns0:f>
      </ns0:c>
      <ns0:c r="S484" s="114">
        <ns0:f>IF(COUNTA($A484:$M484)=0,"",IF(OR($U484="Subscription",$U484=""),"",IF($U484="Estimate","N/A",IF($U484="Disqualified",$H484,0))))</ns0:f>
      </ns0:c>
      <ns0:c r="T484" s="955">
        <ns0:f>IF(COUNTA($A484:$M484)=0,"",IF(OR($U484="Subscription",$U484=""),"",IF($U484="Estimate","N/A",IF(OR($U484="Free Game",$U484="Disqualified — Free Game",$H484=0),"N/A",IF($U484="Profit",$Q484/$H484,IF($U484="Disqualified",-$S484/$H484,0))))))</ns0:f>
      </ns0:c>
      <ns0:c r="U484" s="920">
        <ns0:f>IF(COUNTA($A484:$M484)=0,"",IF(OR(LEFT(LOWER(TRIM($F484&amp;"")),12)="subscription",LOWER(TRIM($F484&amp;""))="membership"),"Subscription",IF(LOWER(TRIM($D484&amp;""))="estimate","Estimate",IF(OR(AND($H484&lt;&gt;"",$H484=0),LEFT(LOWER(TRIM($F484&amp;"")),9)="free game",LOWER(TRIM($F484&amp;""))="free",LOWER(TRIM($F484&amp;""))="free entry"),IF(LOWER($L484&amp;"")="yes","Disqualified — Free Game","Free Game"),IF(LOWER($L484&amp;"")="yes","Disqualified",IF($P484="","",IF(ROUND(IFERROR(VALUE($P484),0)-IFERROR(VALUE($H484),0),2)&gt;0,"Profit","Draw")))))))</ns0:f>
      </ns0:c>
      <ns0:c r="V484" s="956" t="str">
        <ns0:f>IF(COUNTA($A484:$M484)=0,"",IF(OR($B484="",$C484="",$U484="Subscription"),"",IFERROR(ROUNDUP(($C484-$B484)/7,0),"")))</ns0:f>
      </ns0:c>
      <ns0:c r="W484" s="114">
        <ns0:f>IF(COUNTA($A484:$M484)=0,"",IF(OR($U484="Subscription",$U484=""),"",IF($U484="Estimate","N/A",IF(OR($U484="Free Game",$U484="Disqualified — Free Game"),0,ROUND(IFERROR($Q484,0)-IFERROR($S484,0),2)))))</ns0:f>
      </ns0:c>
      <ns0:c r="X484" s="956" t="str">
        <ns0:f>IF(COUNTA($A484:$M484)=0,"",IF(OR($U484="Subscription",NOT(ISNUMBER($J484)),NOT(ISNUMBER($I484)),$J484=0,$I484=0,$I484&gt;$J484),"",$J484-$I484))</ns0:f>
      </ns0:c>
      <ns0:c r="Y484" s="955" t="str">
        <ns0:f>IF(COUNTA($A484:$M484)=0,"",IF(OR($U484="Subscription",NOT(ISNUMBER($J484)),$J484=0,$X484=""),"",$X484/$J484))</ns0:f>
      </ns0:c>
      <ns0:c r="Z484" s="957" t="str">
        <ns0:f>IF(COUNTA($A484:$M484)=0,"",Instructions!$B$29+SUM($W$5:W484))</ns0:f>
      </ns0:c>
    </ns0:row>
    <ns0:row r="485" ht="36" customHeight="1">
      <ns0:c r="A485" s="439"/>
      <ns0:c r="B485" s="453"/>
      <ns0:c r="C485" s="453"/>
      <ns0:c r="D485" s="454"/>
      <ns0:c r="E485" s="454"/>
      <ns0:c r="F485" s="454"/>
      <ns0:c r="G485" s="986"/>
      <ns0:c r="H485" s="455"/>
      <ns0:c r="I485" s="456"/>
      <ns0:c r="J485" s="456"/>
      <ns0:c r="K485" s="986"/>
      <ns0:c r="L485" s="454"/>
      <ns0:c r="M485" s="439"/>
      <ns0:c r="N485" s="987" t="str">
        <ns0:f>IF(COUNTA($A485:$M485)=0,"",IF(OR(LEFT(LOWER(TRIM($F485&amp;"")),12)="subscription",LOWER(TRIM($F485&amp;""))="membership"),"",IF(OR(AND($H485&lt;&gt;"",$H485=0),LEFT(LOWER(TRIM($F485&amp;"")),9)="free game",LOWER(TRIM($F485&amp;""))="free",LOWER(TRIM($F485&amp;""))="free entry"),IF(ISNUMBER($G485),IF(ISNUMBER(SEARCH("non",LOWER($E485&amp;""))),$G485*0.85,$G485),"N/A"),IF($G485="","",IFERROR(IF(ISNUMBER(SEARCH("non",LOWER($E485&amp;""))),$G485*0.85,$G485),"")))))</ns0:f>
        <ns0:v/>
      </ns0:c>
      <ns0:c r="O485" s="987" t="str">
        <ns0:f>IF(COUNTA($A485:$M485)=0,"",IF(OR(LEFT(LOWER(TRIM($F485&amp;"")),12)="subscription",LOWER(TRIM($F485&amp;""))="membership"),"",IF(OR(AND($H485&lt;&gt;"",$H485=0),LEFT(LOWER(TRIM($F485&amp;"")),9)="free game",LOWER(TRIM($F485&amp;""))="free",LOWER(TRIM($F485&amp;""))="free entry"),IF(OR(NOT(ISNUMBER($N485)),NOT(ISNUMBER($I485)),$I485=0),"N/A",IFERROR($N485/$I485,"N/A")),IF(OR($N485="",$I485="",$I485=0),"",IFERROR($N485/$I485,"")))))</ns0:f>
        <ns0:v/>
      </ns0:c>
      <ns0:c r="P485" s="987">
        <ns0:f>IF(COUNTA($A485:$M485)=0,"",IF(OR(LEFT(LOWER(TRIM($F485&amp;"")),12)="subscription",LOWER(TRIM($F485&amp;""))="membership"),"",IF(LOWER(TRIM($D485&amp;""))="estimate","N/A",IF(LOWER($L485&amp;"")="yes",0,IF(OR(AND($H485&lt;&gt;"",$H485=0),LEFT(LOWER(TRIM($F485&amp;"")),9)="free game",LOWER(TRIM($F485&amp;""))="free",LOWER(TRIM($F485&amp;""))="free entry"),IF(ISNUMBER($K485),$K485,""),IF($K485&lt;&gt;"",$K485,""))))))</ns0:f>
      </ns0:c>
      <ns0:c r="Q485" s="114">
        <ns0:f>IF(COUNTA($A485:$M485)=0,"",IF(OR($U485="Subscription",$U485=""),"",IF($U485="Estimate","N/A",IF($U485="Profit",ROUND(IFERROR($P485,0)-IFERROR($H485,0),2),0))))</ns0:f>
      </ns0:c>
      <ns0:c r="R485" s="114">
        <ns0:f>IF(COUNTA($A485:$M485)=0,"",IF(OR($U485="Subscription",$U485=""),"",IF($U485="Estimate","N/A",IF($U485="Draw",$H485,0))))</ns0:f>
      </ns0:c>
      <ns0:c r="S485" s="114">
        <ns0:f>IF(COUNTA($A485:$M485)=0,"",IF(OR($U485="Subscription",$U485=""),"",IF($U485="Estimate","N/A",IF($U485="Disqualified",$H485,0))))</ns0:f>
      </ns0:c>
      <ns0:c r="T485" s="955">
        <ns0:f>IF(COUNTA($A485:$M485)=0,"",IF(OR($U485="Subscription",$U485=""),"",IF($U485="Estimate","N/A",IF(OR($U485="Free Game",$U485="Disqualified — Free Game",$H485=0),"N/A",IF($U485="Profit",$Q485/$H485,IF($U485="Disqualified",-$S485/$H485,0))))))</ns0:f>
      </ns0:c>
      <ns0:c r="U485" s="920">
        <ns0:f>IF(COUNTA($A485:$M485)=0,"",IF(OR(LEFT(LOWER(TRIM($F485&amp;"")),12)="subscription",LOWER(TRIM($F485&amp;""))="membership"),"Subscription",IF(LOWER(TRIM($D485&amp;""))="estimate","Estimate",IF(OR(AND($H485&lt;&gt;"",$H485=0),LEFT(LOWER(TRIM($F485&amp;"")),9)="free game",LOWER(TRIM($F485&amp;""))="free",LOWER(TRIM($F485&amp;""))="free entry"),IF(LOWER($L485&amp;"")="yes","Disqualified — Free Game","Free Game"),IF(LOWER($L485&amp;"")="yes","Disqualified",IF($P485="","",IF(ROUND(IFERROR(VALUE($P485),0)-IFERROR(VALUE($H485),0),2)&gt;0,"Profit","Draw")))))))</ns0:f>
      </ns0:c>
      <ns0:c r="V485" s="956" t="str">
        <ns0:f>IF(COUNTA($A485:$M485)=0,"",IF(OR($B485="",$C485="",$U485="Subscription"),"",IFERROR(ROUNDUP(($C485-$B485)/7,0),"")))</ns0:f>
      </ns0:c>
      <ns0:c r="W485" s="114">
        <ns0:f>IF(COUNTA($A485:$M485)=0,"",IF(OR($U485="Subscription",$U485=""),"",IF($U485="Estimate","N/A",IF(OR($U485="Free Game",$U485="Disqualified — Free Game"),0,ROUND(IFERROR($Q485,0)-IFERROR($S485,0),2)))))</ns0:f>
      </ns0:c>
      <ns0:c r="X485" s="956" t="str">
        <ns0:f>IF(COUNTA($A485:$M485)=0,"",IF(OR($U485="Subscription",NOT(ISNUMBER($J485)),NOT(ISNUMBER($I485)),$J485=0,$I485=0,$I485&gt;$J485),"",$J485-$I485))</ns0:f>
      </ns0:c>
      <ns0:c r="Y485" s="955" t="str">
        <ns0:f>IF(COUNTA($A485:$M485)=0,"",IF(OR($U485="Subscription",NOT(ISNUMBER($J485)),$J485=0,$X485=""),"",$X485/$J485))</ns0:f>
      </ns0:c>
      <ns0:c r="Z485" s="957" t="str">
        <ns0:f>IF(COUNTA($A485:$M485)=0,"",Instructions!$B$29+SUM($W$5:W485))</ns0:f>
      </ns0:c>
    </ns0:row>
    <ns0:row r="486" ht="36" customHeight="1">
      <ns0:c r="A486" s="439"/>
      <ns0:c r="B486" s="453"/>
      <ns0:c r="C486" s="453"/>
      <ns0:c r="D486" s="454"/>
      <ns0:c r="E486" s="454"/>
      <ns0:c r="F486" s="454"/>
      <ns0:c r="G486" s="986"/>
      <ns0:c r="H486" s="455"/>
      <ns0:c r="I486" s="456"/>
      <ns0:c r="J486" s="456"/>
      <ns0:c r="K486" s="986"/>
      <ns0:c r="L486" s="454"/>
      <ns0:c r="M486" s="439"/>
      <ns0:c r="N486" s="987" t="str">
        <ns0:f>IF(COUNTA($A486:$M486)=0,"",IF(OR(LEFT(LOWER(TRIM($F486&amp;"")),12)="subscription",LOWER(TRIM($F486&amp;""))="membership"),"",IF(OR(AND($H486&lt;&gt;"",$H486=0),LEFT(LOWER(TRIM($F486&amp;"")),9)="free game",LOWER(TRIM($F486&amp;""))="free",LOWER(TRIM($F486&amp;""))="free entry"),IF(ISNUMBER($G486),IF(ISNUMBER(SEARCH("non",LOWER($E486&amp;""))),$G486*0.85,$G486),"N/A"),IF($G486="","",IFERROR(IF(ISNUMBER(SEARCH("non",LOWER($E486&amp;""))),$G486*0.85,$G486),"")))))</ns0:f>
        <ns0:v/>
      </ns0:c>
      <ns0:c r="O486" s="987" t="str">
        <ns0:f>IF(COUNTA($A486:$M486)=0,"",IF(OR(LEFT(LOWER(TRIM($F486&amp;"")),12)="subscription",LOWER(TRIM($F486&amp;""))="membership"),"",IF(OR(AND($H486&lt;&gt;"",$H486=0),LEFT(LOWER(TRIM($F486&amp;"")),9)="free game",LOWER(TRIM($F486&amp;""))="free",LOWER(TRIM($F486&amp;""))="free entry"),IF(OR(NOT(ISNUMBER($N486)),NOT(ISNUMBER($I486)),$I486=0),"N/A",IFERROR($N486/$I486,"N/A")),IF(OR($N486="",$I486="",$I486=0),"",IFERROR($N486/$I486,"")))))</ns0:f>
        <ns0:v/>
      </ns0:c>
      <ns0:c r="P486" s="987">
        <ns0:f>IF(COUNTA($A486:$M486)=0,"",IF(OR(LEFT(LOWER(TRIM($F486&amp;"")),12)="subscription",LOWER(TRIM($F486&amp;""))="membership"),"",IF(LOWER(TRIM($D486&amp;""))="estimate","N/A",IF(LOWER($L486&amp;"")="yes",0,IF(OR(AND($H486&lt;&gt;"",$H486=0),LEFT(LOWER(TRIM($F486&amp;"")),9)="free game",LOWER(TRIM($F486&amp;""))="free",LOWER(TRIM($F486&amp;""))="free entry"),IF(ISNUMBER($K486),$K486,""),IF($K486&lt;&gt;"",$K486,""))))))</ns0:f>
      </ns0:c>
      <ns0:c r="Q486" s="114">
        <ns0:f>IF(COUNTA($A486:$M486)=0,"",IF(OR($U486="Subscription",$U486=""),"",IF($U486="Estimate","N/A",IF($U486="Profit",ROUND(IFERROR($P486,0)-IFERROR($H486,0),2),0))))</ns0:f>
      </ns0:c>
      <ns0:c r="R486" s="114">
        <ns0:f>IF(COUNTA($A486:$M486)=0,"",IF(OR($U486="Subscription",$U486=""),"",IF($U486="Estimate","N/A",IF($U486="Draw",$H486,0))))</ns0:f>
      </ns0:c>
      <ns0:c r="S486" s="114">
        <ns0:f>IF(COUNTA($A486:$M486)=0,"",IF(OR($U486="Subscription",$U486=""),"",IF($U486="Estimate","N/A",IF($U486="Disqualified",$H486,0))))</ns0:f>
      </ns0:c>
      <ns0:c r="T486" s="955">
        <ns0:f>IF(COUNTA($A486:$M486)=0,"",IF(OR($U486="Subscription",$U486=""),"",IF($U486="Estimate","N/A",IF(OR($U486="Free Game",$U486="Disqualified — Free Game",$H486=0),"N/A",IF($U486="Profit",$Q486/$H486,IF($U486="Disqualified",-$S486/$H486,0))))))</ns0:f>
      </ns0:c>
      <ns0:c r="U486" s="920">
        <ns0:f>IF(COUNTA($A486:$M486)=0,"",IF(OR(LEFT(LOWER(TRIM($F486&amp;"")),12)="subscription",LOWER(TRIM($F486&amp;""))="membership"),"Subscription",IF(LOWER(TRIM($D486&amp;""))="estimate","Estimate",IF(OR(AND($H486&lt;&gt;"",$H486=0),LEFT(LOWER(TRIM($F486&amp;"")),9)="free game",LOWER(TRIM($F486&amp;""))="free",LOWER(TRIM($F486&amp;""))="free entry"),IF(LOWER($L486&amp;"")="yes","Disqualified — Free Game","Free Game"),IF(LOWER($L486&amp;"")="yes","Disqualified",IF($P486="","",IF(ROUND(IFERROR(VALUE($P486),0)-IFERROR(VALUE($H486),0),2)&gt;0,"Profit","Draw")))))))</ns0:f>
      </ns0:c>
      <ns0:c r="V486" s="956" t="str">
        <ns0:f>IF(COUNTA($A486:$M486)=0,"",IF(OR($B486="",$C486="",$U486="Subscription"),"",IFERROR(ROUNDUP(($C486-$B486)/7,0),"")))</ns0:f>
      </ns0:c>
      <ns0:c r="W486" s="114">
        <ns0:f>IF(COUNTA($A486:$M486)=0,"",IF(OR($U486="Subscription",$U486=""),"",IF($U486="Estimate","N/A",IF(OR($U486="Free Game",$U486="Disqualified — Free Game"),0,ROUND(IFERROR($Q486,0)-IFERROR($S486,0),2)))))</ns0:f>
      </ns0:c>
      <ns0:c r="X486" s="956" t="str">
        <ns0:f>IF(COUNTA($A486:$M486)=0,"",IF(OR($U486="Subscription",NOT(ISNUMBER($J486)),NOT(ISNUMBER($I486)),$J486=0,$I486=0,$I486&gt;$J486),"",$J486-$I486))</ns0:f>
      </ns0:c>
      <ns0:c r="Y486" s="955" t="str">
        <ns0:f>IF(COUNTA($A486:$M486)=0,"",IF(OR($U486="Subscription",NOT(ISNUMBER($J486)),$J486=0,$X486=""),"",$X486/$J486))</ns0:f>
      </ns0:c>
      <ns0:c r="Z486" s="957" t="str">
        <ns0:f>IF(COUNTA($A486:$M486)=0,"",Instructions!$B$29+SUM($W$5:W486))</ns0:f>
      </ns0:c>
    </ns0:row>
    <ns0:row r="487" ht="36" customHeight="1">
      <ns0:c r="A487" s="439"/>
      <ns0:c r="B487" s="453"/>
      <ns0:c r="C487" s="453"/>
      <ns0:c r="D487" s="454"/>
      <ns0:c r="E487" s="454"/>
      <ns0:c r="F487" s="454"/>
      <ns0:c r="G487" s="986"/>
      <ns0:c r="H487" s="455"/>
      <ns0:c r="I487" s="456"/>
      <ns0:c r="J487" s="456"/>
      <ns0:c r="K487" s="986"/>
      <ns0:c r="L487" s="454"/>
      <ns0:c r="M487" s="439"/>
      <ns0:c r="N487" s="987" t="str">
        <ns0:f>IF(COUNTA($A487:$M487)=0,"",IF(OR(LEFT(LOWER(TRIM($F487&amp;"")),12)="subscription",LOWER(TRIM($F487&amp;""))="membership"),"",IF(OR(AND($H487&lt;&gt;"",$H487=0),LEFT(LOWER(TRIM($F487&amp;"")),9)="free game",LOWER(TRIM($F487&amp;""))="free",LOWER(TRIM($F487&amp;""))="free entry"),IF(ISNUMBER($G487),IF(ISNUMBER(SEARCH("non",LOWER($E487&amp;""))),$G487*0.85,$G487),"N/A"),IF($G487="","",IFERROR(IF(ISNUMBER(SEARCH("non",LOWER($E487&amp;""))),$G487*0.85,$G487),"")))))</ns0:f>
        <ns0:v/>
      </ns0:c>
      <ns0:c r="O487" s="987" t="str">
        <ns0:f>IF(COUNTA($A487:$M487)=0,"",IF(OR(LEFT(LOWER(TRIM($F487&amp;"")),12)="subscription",LOWER(TRIM($F487&amp;""))="membership"),"",IF(OR(AND($H487&lt;&gt;"",$H487=0),LEFT(LOWER(TRIM($F487&amp;"")),9)="free game",LOWER(TRIM($F487&amp;""))="free",LOWER(TRIM($F487&amp;""))="free entry"),IF(OR(NOT(ISNUMBER($N487)),NOT(ISNUMBER($I487)),$I487=0),"N/A",IFERROR($N487/$I487,"N/A")),IF(OR($N487="",$I487="",$I487=0),"",IFERROR($N487/$I487,"")))))</ns0:f>
        <ns0:v/>
      </ns0:c>
      <ns0:c r="P487" s="987">
        <ns0:f>IF(COUNTA($A487:$M487)=0,"",IF(OR(LEFT(LOWER(TRIM($F487&amp;"")),12)="subscription",LOWER(TRIM($F487&amp;""))="membership"),"",IF(LOWER(TRIM($D487&amp;""))="estimate","N/A",IF(LOWER($L487&amp;"")="yes",0,IF(OR(AND($H487&lt;&gt;"",$H487=0),LEFT(LOWER(TRIM($F487&amp;"")),9)="free game",LOWER(TRIM($F487&amp;""))="free",LOWER(TRIM($F487&amp;""))="free entry"),IF(ISNUMBER($K487),$K487,""),IF($K487&lt;&gt;"",$K487,""))))))</ns0:f>
      </ns0:c>
      <ns0:c r="Q487" s="114">
        <ns0:f>IF(COUNTA($A487:$M487)=0,"",IF(OR($U487="Subscription",$U487=""),"",IF($U487="Estimate","N/A",IF($U487="Profit",ROUND(IFERROR($P487,0)-IFERROR($H487,0),2),0))))</ns0:f>
      </ns0:c>
      <ns0:c r="R487" s="114">
        <ns0:f>IF(COUNTA($A487:$M487)=0,"",IF(OR($U487="Subscription",$U487=""),"",IF($U487="Estimate","N/A",IF($U487="Draw",$H487,0))))</ns0:f>
      </ns0:c>
      <ns0:c r="S487" s="114">
        <ns0:f>IF(COUNTA($A487:$M487)=0,"",IF(OR($U487="Subscription",$U487=""),"",IF($U487="Estimate","N/A",IF($U487="Disqualified",$H487,0))))</ns0:f>
      </ns0:c>
      <ns0:c r="T487" s="955">
        <ns0:f>IF(COUNTA($A487:$M487)=0,"",IF(OR($U487="Subscription",$U487=""),"",IF($U487="Estimate","N/A",IF(OR($U487="Free Game",$U487="Disqualified — Free Game",$H487=0),"N/A",IF($U487="Profit",$Q487/$H487,IF($U487="Disqualified",-$S487/$H487,0))))))</ns0:f>
      </ns0:c>
      <ns0:c r="U487" s="920">
        <ns0:f>IF(COUNTA($A487:$M487)=0,"",IF(OR(LEFT(LOWER(TRIM($F487&amp;"")),12)="subscription",LOWER(TRIM($F487&amp;""))="membership"),"Subscription",IF(LOWER(TRIM($D487&amp;""))="estimate","Estimate",IF(OR(AND($H487&lt;&gt;"",$H487=0),LEFT(LOWER(TRIM($F487&amp;"")),9)="free game",LOWER(TRIM($F487&amp;""))="free",LOWER(TRIM($F487&amp;""))="free entry"),IF(LOWER($L487&amp;"")="yes","Disqualified — Free Game","Free Game"),IF(LOWER($L487&amp;"")="yes","Disqualified",IF($P487="","",IF(ROUND(IFERROR(VALUE($P487),0)-IFERROR(VALUE($H487),0),2)&gt;0,"Profit","Draw")))))))</ns0:f>
      </ns0:c>
      <ns0:c r="V487" s="956" t="str">
        <ns0:f>IF(COUNTA($A487:$M487)=0,"",IF(OR($B487="",$C487="",$U487="Subscription"),"",IFERROR(ROUNDUP(($C487-$B487)/7,0),"")))</ns0:f>
      </ns0:c>
      <ns0:c r="W487" s="114">
        <ns0:f>IF(COUNTA($A487:$M487)=0,"",IF(OR($U487="Subscription",$U487=""),"",IF($U487="Estimate","N/A",IF(OR($U487="Free Game",$U487="Disqualified — Free Game"),0,ROUND(IFERROR($Q487,0)-IFERROR($S487,0),2)))))</ns0:f>
      </ns0:c>
      <ns0:c r="X487" s="956" t="str">
        <ns0:f>IF(COUNTA($A487:$M487)=0,"",IF(OR($U487="Subscription",NOT(ISNUMBER($J487)),NOT(ISNUMBER($I487)),$J487=0,$I487=0,$I487&gt;$J487),"",$J487-$I487))</ns0:f>
      </ns0:c>
      <ns0:c r="Y487" s="955" t="str">
        <ns0:f>IF(COUNTA($A487:$M487)=0,"",IF(OR($U487="Subscription",NOT(ISNUMBER($J487)),$J487=0,$X487=""),"",$X487/$J487))</ns0:f>
      </ns0:c>
      <ns0:c r="Z487" s="957" t="str">
        <ns0:f>IF(COUNTA($A487:$M487)=0,"",Instructions!$B$29+SUM($W$5:W487))</ns0:f>
      </ns0:c>
    </ns0:row>
    <ns0:row r="488" ht="36" customHeight="1">
      <ns0:c r="A488" s="439"/>
      <ns0:c r="B488" s="453"/>
      <ns0:c r="C488" s="453"/>
      <ns0:c r="D488" s="454"/>
      <ns0:c r="E488" s="454"/>
      <ns0:c r="F488" s="454"/>
      <ns0:c r="G488" s="986"/>
      <ns0:c r="H488" s="455"/>
      <ns0:c r="I488" s="456"/>
      <ns0:c r="J488" s="456"/>
      <ns0:c r="K488" s="986"/>
      <ns0:c r="L488" s="454"/>
      <ns0:c r="M488" s="439"/>
      <ns0:c r="N488" s="987" t="str">
        <ns0:f>IF(COUNTA($A488:$M488)=0,"",IF(OR(LEFT(LOWER(TRIM($F488&amp;"")),12)="subscription",LOWER(TRIM($F488&amp;""))="membership"),"",IF(OR(AND($H488&lt;&gt;"",$H488=0),LEFT(LOWER(TRIM($F488&amp;"")),9)="free game",LOWER(TRIM($F488&amp;""))="free",LOWER(TRIM($F488&amp;""))="free entry"),IF(ISNUMBER($G488),IF(ISNUMBER(SEARCH("non",LOWER($E488&amp;""))),$G488*0.85,$G488),"N/A"),IF($G488="","",IFERROR(IF(ISNUMBER(SEARCH("non",LOWER($E488&amp;""))),$G488*0.85,$G488),"")))))</ns0:f>
        <ns0:v/>
      </ns0:c>
      <ns0:c r="O488" s="987" t="str">
        <ns0:f>IF(COUNTA($A488:$M488)=0,"",IF(OR(LEFT(LOWER(TRIM($F488&amp;"")),12)="subscription",LOWER(TRIM($F488&amp;""))="membership"),"",IF(OR(AND($H488&lt;&gt;"",$H488=0),LEFT(LOWER(TRIM($F488&amp;"")),9)="free game",LOWER(TRIM($F488&amp;""))="free",LOWER(TRIM($F488&amp;""))="free entry"),IF(OR(NOT(ISNUMBER($N488)),NOT(ISNUMBER($I488)),$I488=0),"N/A",IFERROR($N488/$I488,"N/A")),IF(OR($N488="",$I488="",$I488=0),"",IFERROR($N488/$I488,"")))))</ns0:f>
        <ns0:v/>
      </ns0:c>
      <ns0:c r="P488" s="987">
        <ns0:f>IF(COUNTA($A488:$M488)=0,"",IF(OR(LEFT(LOWER(TRIM($F488&amp;"")),12)="subscription",LOWER(TRIM($F488&amp;""))="membership"),"",IF(LOWER(TRIM($D488&amp;""))="estimate","N/A",IF(LOWER($L488&amp;"")="yes",0,IF(OR(AND($H488&lt;&gt;"",$H488=0),LEFT(LOWER(TRIM($F488&amp;"")),9)="free game",LOWER(TRIM($F488&amp;""))="free",LOWER(TRIM($F488&amp;""))="free entry"),IF(ISNUMBER($K488),$K488,""),IF($K488&lt;&gt;"",$K488,""))))))</ns0:f>
      </ns0:c>
      <ns0:c r="Q488" s="114">
        <ns0:f>IF(COUNTA($A488:$M488)=0,"",IF(OR($U488="Subscription",$U488=""),"",IF($U488="Estimate","N/A",IF($U488="Profit",ROUND(IFERROR($P488,0)-IFERROR($H488,0),2),0))))</ns0:f>
      </ns0:c>
      <ns0:c r="R488" s="114">
        <ns0:f>IF(COUNTA($A488:$M488)=0,"",IF(OR($U488="Subscription",$U488=""),"",IF($U488="Estimate","N/A",IF($U488="Draw",$H488,0))))</ns0:f>
      </ns0:c>
      <ns0:c r="S488" s="114">
        <ns0:f>IF(COUNTA($A488:$M488)=0,"",IF(OR($U488="Subscription",$U488=""),"",IF($U488="Estimate","N/A",IF($U488="Disqualified",$H488,0))))</ns0:f>
      </ns0:c>
      <ns0:c r="T488" s="955">
        <ns0:f>IF(COUNTA($A488:$M488)=0,"",IF(OR($U488="Subscription",$U488=""),"",IF($U488="Estimate","N/A",IF(OR($U488="Free Game",$U488="Disqualified — Free Game",$H488=0),"N/A",IF($U488="Profit",$Q488/$H488,IF($U488="Disqualified",-$S488/$H488,0))))))</ns0:f>
      </ns0:c>
      <ns0:c r="U488" s="920">
        <ns0:f>IF(COUNTA($A488:$M488)=0,"",IF(OR(LEFT(LOWER(TRIM($F488&amp;"")),12)="subscription",LOWER(TRIM($F488&amp;""))="membership"),"Subscription",IF(LOWER(TRIM($D488&amp;""))="estimate","Estimate",IF(OR(AND($H488&lt;&gt;"",$H488=0),LEFT(LOWER(TRIM($F488&amp;"")),9)="free game",LOWER(TRIM($F488&amp;""))="free",LOWER(TRIM($F488&amp;""))="free entry"),IF(LOWER($L488&amp;"")="yes","Disqualified — Free Game","Free Game"),IF(LOWER($L488&amp;"")="yes","Disqualified",IF($P488="","",IF(ROUND(IFERROR(VALUE($P488),0)-IFERROR(VALUE($H488),0),2)&gt;0,"Profit","Draw")))))))</ns0:f>
      </ns0:c>
      <ns0:c r="V488" s="956" t="str">
        <ns0:f>IF(COUNTA($A488:$M488)=0,"",IF(OR($B488="",$C488="",$U488="Subscription"),"",IFERROR(ROUNDUP(($C488-$B488)/7,0),"")))</ns0:f>
      </ns0:c>
      <ns0:c r="W488" s="114">
        <ns0:f>IF(COUNTA($A488:$M488)=0,"",IF(OR($U488="Subscription",$U488=""),"",IF($U488="Estimate","N/A",IF(OR($U488="Free Game",$U488="Disqualified — Free Game"),0,ROUND(IFERROR($Q488,0)-IFERROR($S488,0),2)))))</ns0:f>
      </ns0:c>
      <ns0:c r="X488" s="956" t="str">
        <ns0:f>IF(COUNTA($A488:$M488)=0,"",IF(OR($U488="Subscription",NOT(ISNUMBER($J488)),NOT(ISNUMBER($I488)),$J488=0,$I488=0,$I488&gt;$J488),"",$J488-$I488))</ns0:f>
      </ns0:c>
      <ns0:c r="Y488" s="955" t="str">
        <ns0:f>IF(COUNTA($A488:$M488)=0,"",IF(OR($U488="Subscription",NOT(ISNUMBER($J488)),$J488=0,$X488=""),"",$X488/$J488))</ns0:f>
      </ns0:c>
      <ns0:c r="Z488" s="957" t="str">
        <ns0:f>IF(COUNTA($A488:$M488)=0,"",Instructions!$B$29+SUM($W$5:W488))</ns0:f>
      </ns0:c>
    </ns0:row>
    <ns0:row r="489" ht="36" customHeight="1">
      <ns0:c r="A489" s="439"/>
      <ns0:c r="B489" s="453"/>
      <ns0:c r="C489" s="453"/>
      <ns0:c r="D489" s="454"/>
      <ns0:c r="E489" s="454"/>
      <ns0:c r="F489" s="454"/>
      <ns0:c r="G489" s="986"/>
      <ns0:c r="H489" s="455"/>
      <ns0:c r="I489" s="456"/>
      <ns0:c r="J489" s="456"/>
      <ns0:c r="K489" s="986"/>
      <ns0:c r="L489" s="454"/>
      <ns0:c r="M489" s="439"/>
      <ns0:c r="N489" s="987" t="str">
        <ns0:f>IF(COUNTA($A489:$M489)=0,"",IF(OR(LEFT(LOWER(TRIM($F489&amp;"")),12)="subscription",LOWER(TRIM($F489&amp;""))="membership"),"",IF(OR(AND($H489&lt;&gt;"",$H489=0),LEFT(LOWER(TRIM($F489&amp;"")),9)="free game",LOWER(TRIM($F489&amp;""))="free",LOWER(TRIM($F489&amp;""))="free entry"),IF(ISNUMBER($G489),IF(ISNUMBER(SEARCH("non",LOWER($E489&amp;""))),$G489*0.85,$G489),"N/A"),IF($G489="","",IFERROR(IF(ISNUMBER(SEARCH("non",LOWER($E489&amp;""))),$G489*0.85,$G489),"")))))</ns0:f>
        <ns0:v/>
      </ns0:c>
      <ns0:c r="O489" s="987" t="str">
        <ns0:f>IF(COUNTA($A489:$M489)=0,"",IF(OR(LEFT(LOWER(TRIM($F489&amp;"")),12)="subscription",LOWER(TRIM($F489&amp;""))="membership"),"",IF(OR(AND($H489&lt;&gt;"",$H489=0),LEFT(LOWER(TRIM($F489&amp;"")),9)="free game",LOWER(TRIM($F489&amp;""))="free",LOWER(TRIM($F489&amp;""))="free entry"),IF(OR(NOT(ISNUMBER($N489)),NOT(ISNUMBER($I489)),$I489=0),"N/A",IFERROR($N489/$I489,"N/A")),IF(OR($N489="",$I489="",$I489=0),"",IFERROR($N489/$I489,"")))))</ns0:f>
        <ns0:v/>
      </ns0:c>
      <ns0:c r="P489" s="987">
        <ns0:f>IF(COUNTA($A489:$M489)=0,"",IF(OR(LEFT(LOWER(TRIM($F489&amp;"")),12)="subscription",LOWER(TRIM($F489&amp;""))="membership"),"",IF(LOWER(TRIM($D489&amp;""))="estimate","N/A",IF(LOWER($L489&amp;"")="yes",0,IF(OR(AND($H489&lt;&gt;"",$H489=0),LEFT(LOWER(TRIM($F489&amp;"")),9)="free game",LOWER(TRIM($F489&amp;""))="free",LOWER(TRIM($F489&amp;""))="free entry"),IF(ISNUMBER($K489),$K489,""),IF($K489&lt;&gt;"",$K489,""))))))</ns0:f>
      </ns0:c>
      <ns0:c r="Q489" s="114">
        <ns0:f>IF(COUNTA($A489:$M489)=0,"",IF(OR($U489="Subscription",$U489=""),"",IF($U489="Estimate","N/A",IF($U489="Profit",ROUND(IFERROR($P489,0)-IFERROR($H489,0),2),0))))</ns0:f>
      </ns0:c>
      <ns0:c r="R489" s="114">
        <ns0:f>IF(COUNTA($A489:$M489)=0,"",IF(OR($U489="Subscription",$U489=""),"",IF($U489="Estimate","N/A",IF($U489="Draw",$H489,0))))</ns0:f>
      </ns0:c>
      <ns0:c r="S489" s="114">
        <ns0:f>IF(COUNTA($A489:$M489)=0,"",IF(OR($U489="Subscription",$U489=""),"",IF($U489="Estimate","N/A",IF($U489="Disqualified",$H489,0))))</ns0:f>
      </ns0:c>
      <ns0:c r="T489" s="955">
        <ns0:f>IF(COUNTA($A489:$M489)=0,"",IF(OR($U489="Subscription",$U489=""),"",IF($U489="Estimate","N/A",IF(OR($U489="Free Game",$U489="Disqualified — Free Game",$H489=0),"N/A",IF($U489="Profit",$Q489/$H489,IF($U489="Disqualified",-$S489/$H489,0))))))</ns0:f>
      </ns0:c>
      <ns0:c r="U489" s="920">
        <ns0:f>IF(COUNTA($A489:$M489)=0,"",IF(OR(LEFT(LOWER(TRIM($F489&amp;"")),12)="subscription",LOWER(TRIM($F489&amp;""))="membership"),"Subscription",IF(LOWER(TRIM($D489&amp;""))="estimate","Estimate",IF(OR(AND($H489&lt;&gt;"",$H489=0),LEFT(LOWER(TRIM($F489&amp;"")),9)="free game",LOWER(TRIM($F489&amp;""))="free",LOWER(TRIM($F489&amp;""))="free entry"),IF(LOWER($L489&amp;"")="yes","Disqualified — Free Game","Free Game"),IF(LOWER($L489&amp;"")="yes","Disqualified",IF($P489="","",IF(ROUND(IFERROR(VALUE($P489),0)-IFERROR(VALUE($H489),0),2)&gt;0,"Profit","Draw")))))))</ns0:f>
      </ns0:c>
      <ns0:c r="V489" s="956" t="str">
        <ns0:f>IF(COUNTA($A489:$M489)=0,"",IF(OR($B489="",$C489="",$U489="Subscription"),"",IFERROR(ROUNDUP(($C489-$B489)/7,0),"")))</ns0:f>
      </ns0:c>
      <ns0:c r="W489" s="114">
        <ns0:f>IF(COUNTA($A489:$M489)=0,"",IF(OR($U489="Subscription",$U489=""),"",IF($U489="Estimate","N/A",IF(OR($U489="Free Game",$U489="Disqualified — Free Game"),0,ROUND(IFERROR($Q489,0)-IFERROR($S489,0),2)))))</ns0:f>
      </ns0:c>
      <ns0:c r="X489" s="956" t="str">
        <ns0:f>IF(COUNTA($A489:$M489)=0,"",IF(OR($U489="Subscription",NOT(ISNUMBER($J489)),NOT(ISNUMBER($I489)),$J489=0,$I489=0,$I489&gt;$J489),"",$J489-$I489))</ns0:f>
      </ns0:c>
      <ns0:c r="Y489" s="955" t="str">
        <ns0:f>IF(COUNTA($A489:$M489)=0,"",IF(OR($U489="Subscription",NOT(ISNUMBER($J489)),$J489=0,$X489=""),"",$X489/$J489))</ns0:f>
      </ns0:c>
      <ns0:c r="Z489" s="957" t="str">
        <ns0:f>IF(COUNTA($A489:$M489)=0,"",Instructions!$B$29+SUM($W$5:W489))</ns0:f>
      </ns0:c>
    </ns0:row>
    <ns0:row r="490" ht="36" customHeight="1">
      <ns0:c r="A490" s="439"/>
      <ns0:c r="B490" s="453"/>
      <ns0:c r="C490" s="453"/>
      <ns0:c r="D490" s="454"/>
      <ns0:c r="E490" s="454"/>
      <ns0:c r="F490" s="454"/>
      <ns0:c r="G490" s="986"/>
      <ns0:c r="H490" s="455"/>
      <ns0:c r="I490" s="456"/>
      <ns0:c r="J490" s="456"/>
      <ns0:c r="K490" s="986"/>
      <ns0:c r="L490" s="454"/>
      <ns0:c r="M490" s="439"/>
      <ns0:c r="N490" s="987" t="str">
        <ns0:f>IF(COUNTA($A490:$M490)=0,"",IF(OR(LEFT(LOWER(TRIM($F490&amp;"")),12)="subscription",LOWER(TRIM($F490&amp;""))="membership"),"",IF(OR(AND($H490&lt;&gt;"",$H490=0),LEFT(LOWER(TRIM($F490&amp;"")),9)="free game",LOWER(TRIM($F490&amp;""))="free",LOWER(TRIM($F490&amp;""))="free entry"),IF(ISNUMBER($G490),IF(ISNUMBER(SEARCH("non",LOWER($E490&amp;""))),$G490*0.85,$G490),"N/A"),IF($G490="","",IFERROR(IF(ISNUMBER(SEARCH("non",LOWER($E490&amp;""))),$G490*0.85,$G490),"")))))</ns0:f>
        <ns0:v/>
      </ns0:c>
      <ns0:c r="O490" s="987" t="str">
        <ns0:f>IF(COUNTA($A490:$M490)=0,"",IF(OR(LEFT(LOWER(TRIM($F490&amp;"")),12)="subscription",LOWER(TRIM($F490&amp;""))="membership"),"",IF(OR(AND($H490&lt;&gt;"",$H490=0),LEFT(LOWER(TRIM($F490&amp;"")),9)="free game",LOWER(TRIM($F490&amp;""))="free",LOWER(TRIM($F490&amp;""))="free entry"),IF(OR(NOT(ISNUMBER($N490)),NOT(ISNUMBER($I490)),$I490=0),"N/A",IFERROR($N490/$I490,"N/A")),IF(OR($N490="",$I490="",$I490=0),"",IFERROR($N490/$I490,"")))))</ns0:f>
        <ns0:v/>
      </ns0:c>
      <ns0:c r="P490" s="987">
        <ns0:f>IF(COUNTA($A490:$M490)=0,"",IF(OR(LEFT(LOWER(TRIM($F490&amp;"")),12)="subscription",LOWER(TRIM($F490&amp;""))="membership"),"",IF(LOWER(TRIM($D490&amp;""))="estimate","N/A",IF(LOWER($L490&amp;"")="yes",0,IF(OR(AND($H490&lt;&gt;"",$H490=0),LEFT(LOWER(TRIM($F490&amp;"")),9)="free game",LOWER(TRIM($F490&amp;""))="free",LOWER(TRIM($F490&amp;""))="free entry"),IF(ISNUMBER($K490),$K490,""),IF($K490&lt;&gt;"",$K490,""))))))</ns0:f>
      </ns0:c>
      <ns0:c r="Q490" s="114">
        <ns0:f>IF(COUNTA($A490:$M490)=0,"",IF(OR($U490="Subscription",$U490=""),"",IF($U490="Estimate","N/A",IF($U490="Profit",ROUND(IFERROR($P490,0)-IFERROR($H490,0),2),0))))</ns0:f>
      </ns0:c>
      <ns0:c r="R490" s="114">
        <ns0:f>IF(COUNTA($A490:$M490)=0,"",IF(OR($U490="Subscription",$U490=""),"",IF($U490="Estimate","N/A",IF($U490="Draw",$H490,0))))</ns0:f>
      </ns0:c>
      <ns0:c r="S490" s="114">
        <ns0:f>IF(COUNTA($A490:$M490)=0,"",IF(OR($U490="Subscription",$U490=""),"",IF($U490="Estimate","N/A",IF($U490="Disqualified",$H490,0))))</ns0:f>
      </ns0:c>
      <ns0:c r="T490" s="955">
        <ns0:f>IF(COUNTA($A490:$M490)=0,"",IF(OR($U490="Subscription",$U490=""),"",IF($U490="Estimate","N/A",IF(OR($U490="Free Game",$U490="Disqualified — Free Game",$H490=0),"N/A",IF($U490="Profit",$Q490/$H490,IF($U490="Disqualified",-$S490/$H490,0))))))</ns0:f>
      </ns0:c>
      <ns0:c r="U490" s="920">
        <ns0:f>IF(COUNTA($A490:$M490)=0,"",IF(OR(LEFT(LOWER(TRIM($F490&amp;"")),12)="subscription",LOWER(TRIM($F490&amp;""))="membership"),"Subscription",IF(LOWER(TRIM($D490&amp;""))="estimate","Estimate",IF(OR(AND($H490&lt;&gt;"",$H490=0),LEFT(LOWER(TRIM($F490&amp;"")),9)="free game",LOWER(TRIM($F490&amp;""))="free",LOWER(TRIM($F490&amp;""))="free entry"),IF(LOWER($L490&amp;"")="yes","Disqualified — Free Game","Free Game"),IF(LOWER($L490&amp;"")="yes","Disqualified",IF($P490="","",IF(ROUND(IFERROR(VALUE($P490),0)-IFERROR(VALUE($H490),0),2)&gt;0,"Profit","Draw")))))))</ns0:f>
      </ns0:c>
      <ns0:c r="V490" s="956" t="str">
        <ns0:f>IF(COUNTA($A490:$M490)=0,"",IF(OR($B490="",$C490="",$U490="Subscription"),"",IFERROR(ROUNDUP(($C490-$B490)/7,0),"")))</ns0:f>
      </ns0:c>
      <ns0:c r="W490" s="114">
        <ns0:f>IF(COUNTA($A490:$M490)=0,"",IF(OR($U490="Subscription",$U490=""),"",IF($U490="Estimate","N/A",IF(OR($U490="Free Game",$U490="Disqualified — Free Game"),0,ROUND(IFERROR($Q490,0)-IFERROR($S490,0),2)))))</ns0:f>
      </ns0:c>
      <ns0:c r="X490" s="956" t="str">
        <ns0:f>IF(COUNTA($A490:$M490)=0,"",IF(OR($U490="Subscription",NOT(ISNUMBER($J490)),NOT(ISNUMBER($I490)),$J490=0,$I490=0,$I490&gt;$J490),"",$J490-$I490))</ns0:f>
      </ns0:c>
      <ns0:c r="Y490" s="955" t="str">
        <ns0:f>IF(COUNTA($A490:$M490)=0,"",IF(OR($U490="Subscription",NOT(ISNUMBER($J490)),$J490=0,$X490=""),"",$X490/$J490))</ns0:f>
      </ns0:c>
      <ns0:c r="Z490" s="957" t="str">
        <ns0:f>IF(COUNTA($A490:$M490)=0,"",Instructions!$B$29+SUM($W$5:W490))</ns0:f>
      </ns0:c>
    </ns0:row>
    <ns0:row r="491" ht="36" customHeight="1">
      <ns0:c r="A491" s="439"/>
      <ns0:c r="B491" s="453"/>
      <ns0:c r="C491" s="453"/>
      <ns0:c r="D491" s="454"/>
      <ns0:c r="E491" s="454"/>
      <ns0:c r="F491" s="454"/>
      <ns0:c r="G491" s="986"/>
      <ns0:c r="H491" s="455"/>
      <ns0:c r="I491" s="456"/>
      <ns0:c r="J491" s="456"/>
      <ns0:c r="K491" s="986"/>
      <ns0:c r="L491" s="454"/>
      <ns0:c r="M491" s="439"/>
      <ns0:c r="N491" s="987" t="str">
        <ns0:f>IF(COUNTA($A491:$M491)=0,"",IF(OR(LEFT(LOWER(TRIM($F491&amp;"")),12)="subscription",LOWER(TRIM($F491&amp;""))="membership"),"",IF(OR(AND($H491&lt;&gt;"",$H491=0),LEFT(LOWER(TRIM($F491&amp;"")),9)="free game",LOWER(TRIM($F491&amp;""))="free",LOWER(TRIM($F491&amp;""))="free entry"),IF(ISNUMBER($G491),IF(ISNUMBER(SEARCH("non",LOWER($E491&amp;""))),$G491*0.85,$G491),"N/A"),IF($G491="","",IFERROR(IF(ISNUMBER(SEARCH("non",LOWER($E491&amp;""))),$G491*0.85,$G491),"")))))</ns0:f>
        <ns0:v/>
      </ns0:c>
      <ns0:c r="O491" s="987" t="str">
        <ns0:f>IF(COUNTA($A491:$M491)=0,"",IF(OR(LEFT(LOWER(TRIM($F491&amp;"")),12)="subscription",LOWER(TRIM($F491&amp;""))="membership"),"",IF(OR(AND($H491&lt;&gt;"",$H491=0),LEFT(LOWER(TRIM($F491&amp;"")),9)="free game",LOWER(TRIM($F491&amp;""))="free",LOWER(TRIM($F491&amp;""))="free entry"),IF(OR(NOT(ISNUMBER($N491)),NOT(ISNUMBER($I491)),$I491=0),"N/A",IFERROR($N491/$I491,"N/A")),IF(OR($N491="",$I491="",$I491=0),"",IFERROR($N491/$I491,"")))))</ns0:f>
        <ns0:v/>
      </ns0:c>
      <ns0:c r="P491" s="987">
        <ns0:f>IF(COUNTA($A491:$M491)=0,"",IF(OR(LEFT(LOWER(TRIM($F491&amp;"")),12)="subscription",LOWER(TRIM($F491&amp;""))="membership"),"",IF(LOWER(TRIM($D491&amp;""))="estimate","N/A",IF(LOWER($L491&amp;"")="yes",0,IF(OR(AND($H491&lt;&gt;"",$H491=0),LEFT(LOWER(TRIM($F491&amp;"")),9)="free game",LOWER(TRIM($F491&amp;""))="free",LOWER(TRIM($F491&amp;""))="free entry"),IF(ISNUMBER($K491),$K491,""),IF($K491&lt;&gt;"",$K491,""))))))</ns0:f>
      </ns0:c>
      <ns0:c r="Q491" s="114">
        <ns0:f>IF(COUNTA($A491:$M491)=0,"",IF(OR($U491="Subscription",$U491=""),"",IF($U491="Estimate","N/A",IF($U491="Profit",ROUND(IFERROR($P491,0)-IFERROR($H491,0),2),0))))</ns0:f>
      </ns0:c>
      <ns0:c r="R491" s="114">
        <ns0:f>IF(COUNTA($A491:$M491)=0,"",IF(OR($U491="Subscription",$U491=""),"",IF($U491="Estimate","N/A",IF($U491="Draw",$H491,0))))</ns0:f>
      </ns0:c>
      <ns0:c r="S491" s="114">
        <ns0:f>IF(COUNTA($A491:$M491)=0,"",IF(OR($U491="Subscription",$U491=""),"",IF($U491="Estimate","N/A",IF($U491="Disqualified",$H491,0))))</ns0:f>
      </ns0:c>
      <ns0:c r="T491" s="955">
        <ns0:f>IF(COUNTA($A491:$M491)=0,"",IF(OR($U491="Subscription",$U491=""),"",IF($U491="Estimate","N/A",IF(OR($U491="Free Game",$U491="Disqualified — Free Game",$H491=0),"N/A",IF($U491="Profit",$Q491/$H491,IF($U491="Disqualified",-$S491/$H491,0))))))</ns0:f>
      </ns0:c>
      <ns0:c r="U491" s="920">
        <ns0:f>IF(COUNTA($A491:$M491)=0,"",IF(OR(LEFT(LOWER(TRIM($F491&amp;"")),12)="subscription",LOWER(TRIM($F491&amp;""))="membership"),"Subscription",IF(LOWER(TRIM($D491&amp;""))="estimate","Estimate",IF(OR(AND($H491&lt;&gt;"",$H491=0),LEFT(LOWER(TRIM($F491&amp;"")),9)="free game",LOWER(TRIM($F491&amp;""))="free",LOWER(TRIM($F491&amp;""))="free entry"),IF(LOWER($L491&amp;"")="yes","Disqualified — Free Game","Free Game"),IF(LOWER($L491&amp;"")="yes","Disqualified",IF($P491="","",IF(ROUND(IFERROR(VALUE($P491),0)-IFERROR(VALUE($H491),0),2)&gt;0,"Profit","Draw")))))))</ns0:f>
      </ns0:c>
      <ns0:c r="V491" s="956" t="str">
        <ns0:f>IF(COUNTA($A491:$M491)=0,"",IF(OR($B491="",$C491="",$U491="Subscription"),"",IFERROR(ROUNDUP(($C491-$B491)/7,0),"")))</ns0:f>
      </ns0:c>
      <ns0:c r="W491" s="114">
        <ns0:f>IF(COUNTA($A491:$M491)=0,"",IF(OR($U491="Subscription",$U491=""),"",IF($U491="Estimate","N/A",IF(OR($U491="Free Game",$U491="Disqualified — Free Game"),0,ROUND(IFERROR($Q491,0)-IFERROR($S491,0),2)))))</ns0:f>
      </ns0:c>
      <ns0:c r="X491" s="956" t="str">
        <ns0:f>IF(COUNTA($A491:$M491)=0,"",IF(OR($U491="Subscription",NOT(ISNUMBER($J491)),NOT(ISNUMBER($I491)),$J491=0,$I491=0,$I491&gt;$J491),"",$J491-$I491))</ns0:f>
      </ns0:c>
      <ns0:c r="Y491" s="955" t="str">
        <ns0:f>IF(COUNTA($A491:$M491)=0,"",IF(OR($U491="Subscription",NOT(ISNUMBER($J491)),$J491=0,$X491=""),"",$X491/$J491))</ns0:f>
      </ns0:c>
      <ns0:c r="Z491" s="957" t="str">
        <ns0:f>IF(COUNTA($A491:$M491)=0,"",Instructions!$B$29+SUM($W$5:W491))</ns0:f>
      </ns0:c>
    </ns0:row>
    <ns0:row r="492" ht="36" customHeight="1">
      <ns0:c r="A492" s="439"/>
      <ns0:c r="B492" s="453"/>
      <ns0:c r="C492" s="453"/>
      <ns0:c r="D492" s="454"/>
      <ns0:c r="E492" s="454"/>
      <ns0:c r="F492" s="454"/>
      <ns0:c r="G492" s="986"/>
      <ns0:c r="H492" s="455"/>
      <ns0:c r="I492" s="456"/>
      <ns0:c r="J492" s="456"/>
      <ns0:c r="K492" s="986"/>
      <ns0:c r="L492" s="454"/>
      <ns0:c r="M492" s="439"/>
      <ns0:c r="N492" s="987" t="str">
        <ns0:f>IF(COUNTA($A492:$M492)=0,"",IF(OR(LEFT(LOWER(TRIM($F492&amp;"")),12)="subscription",LOWER(TRIM($F492&amp;""))="membership"),"",IF(OR(AND($H492&lt;&gt;"",$H492=0),LEFT(LOWER(TRIM($F492&amp;"")),9)="free game",LOWER(TRIM($F492&amp;""))="free",LOWER(TRIM($F492&amp;""))="free entry"),IF(ISNUMBER($G492),IF(ISNUMBER(SEARCH("non",LOWER($E492&amp;""))),$G492*0.85,$G492),"N/A"),IF($G492="","",IFERROR(IF(ISNUMBER(SEARCH("non",LOWER($E492&amp;""))),$G492*0.85,$G492),"")))))</ns0:f>
        <ns0:v/>
      </ns0:c>
      <ns0:c r="O492" s="987" t="str">
        <ns0:f>IF(COUNTA($A492:$M492)=0,"",IF(OR(LEFT(LOWER(TRIM($F492&amp;"")),12)="subscription",LOWER(TRIM($F492&amp;""))="membership"),"",IF(OR(AND($H492&lt;&gt;"",$H492=0),LEFT(LOWER(TRIM($F492&amp;"")),9)="free game",LOWER(TRIM($F492&amp;""))="free",LOWER(TRIM($F492&amp;""))="free entry"),IF(OR(NOT(ISNUMBER($N492)),NOT(ISNUMBER($I492)),$I492=0),"N/A",IFERROR($N492/$I492,"N/A")),IF(OR($N492="",$I492="",$I492=0),"",IFERROR($N492/$I492,"")))))</ns0:f>
        <ns0:v/>
      </ns0:c>
      <ns0:c r="P492" s="987">
        <ns0:f>IF(COUNTA($A492:$M492)=0,"",IF(OR(LEFT(LOWER(TRIM($F492&amp;"")),12)="subscription",LOWER(TRIM($F492&amp;""))="membership"),"",IF(LOWER(TRIM($D492&amp;""))="estimate","N/A",IF(LOWER($L492&amp;"")="yes",0,IF(OR(AND($H492&lt;&gt;"",$H492=0),LEFT(LOWER(TRIM($F492&amp;"")),9)="free game",LOWER(TRIM($F492&amp;""))="free",LOWER(TRIM($F492&amp;""))="free entry"),IF(ISNUMBER($K492),$K492,""),IF($K492&lt;&gt;"",$K492,""))))))</ns0:f>
      </ns0:c>
      <ns0:c r="Q492" s="114">
        <ns0:f>IF(COUNTA($A492:$M492)=0,"",IF(OR($U492="Subscription",$U492=""),"",IF($U492="Estimate","N/A",IF($U492="Profit",ROUND(IFERROR($P492,0)-IFERROR($H492,0),2),0))))</ns0:f>
      </ns0:c>
      <ns0:c r="R492" s="114">
        <ns0:f>IF(COUNTA($A492:$M492)=0,"",IF(OR($U492="Subscription",$U492=""),"",IF($U492="Estimate","N/A",IF($U492="Draw",$H492,0))))</ns0:f>
      </ns0:c>
      <ns0:c r="S492" s="114">
        <ns0:f>IF(COUNTA($A492:$M492)=0,"",IF(OR($U492="Subscription",$U492=""),"",IF($U492="Estimate","N/A",IF($U492="Disqualified",$H492,0))))</ns0:f>
      </ns0:c>
      <ns0:c r="T492" s="955">
        <ns0:f>IF(COUNTA($A492:$M492)=0,"",IF(OR($U492="Subscription",$U492=""),"",IF($U492="Estimate","N/A",IF(OR($U492="Free Game",$U492="Disqualified — Free Game",$H492=0),"N/A",IF($U492="Profit",$Q492/$H492,IF($U492="Disqualified",-$S492/$H492,0))))))</ns0:f>
      </ns0:c>
      <ns0:c r="U492" s="920">
        <ns0:f>IF(COUNTA($A492:$M492)=0,"",IF(OR(LEFT(LOWER(TRIM($F492&amp;"")),12)="subscription",LOWER(TRIM($F492&amp;""))="membership"),"Subscription",IF(LOWER(TRIM($D492&amp;""))="estimate","Estimate",IF(OR(AND($H492&lt;&gt;"",$H492=0),LEFT(LOWER(TRIM($F492&amp;"")),9)="free game",LOWER(TRIM($F492&amp;""))="free",LOWER(TRIM($F492&amp;""))="free entry"),IF(LOWER($L492&amp;"")="yes","Disqualified — Free Game","Free Game"),IF(LOWER($L492&amp;"")="yes","Disqualified",IF($P492="","",IF(ROUND(IFERROR(VALUE($P492),0)-IFERROR(VALUE($H492),0),2)&gt;0,"Profit","Draw")))))))</ns0:f>
      </ns0:c>
      <ns0:c r="V492" s="956" t="str">
        <ns0:f>IF(COUNTA($A492:$M492)=0,"",IF(OR($B492="",$C492="",$U492="Subscription"),"",IFERROR(ROUNDUP(($C492-$B492)/7,0),"")))</ns0:f>
      </ns0:c>
      <ns0:c r="W492" s="114">
        <ns0:f>IF(COUNTA($A492:$M492)=0,"",IF(OR($U492="Subscription",$U492=""),"",IF($U492="Estimate","N/A",IF(OR($U492="Free Game",$U492="Disqualified — Free Game"),0,ROUND(IFERROR($Q492,0)-IFERROR($S492,0),2)))))</ns0:f>
      </ns0:c>
      <ns0:c r="X492" s="956" t="str">
        <ns0:f>IF(COUNTA($A492:$M492)=0,"",IF(OR($U492="Subscription",NOT(ISNUMBER($J492)),NOT(ISNUMBER($I492)),$J492=0,$I492=0,$I492&gt;$J492),"",$J492-$I492))</ns0:f>
      </ns0:c>
      <ns0:c r="Y492" s="955" t="str">
        <ns0:f>IF(COUNTA($A492:$M492)=0,"",IF(OR($U492="Subscription",NOT(ISNUMBER($J492)),$J492=0,$X492=""),"",$X492/$J492))</ns0:f>
      </ns0:c>
      <ns0:c r="Z492" s="957" t="str">
        <ns0:f>IF(COUNTA($A492:$M492)=0,"",Instructions!$B$29+SUM($W$5:W492))</ns0:f>
      </ns0:c>
    </ns0:row>
    <ns0:row r="493" ht="36" customHeight="1">
      <ns0:c r="A493" s="439"/>
      <ns0:c r="B493" s="453"/>
      <ns0:c r="C493" s="453"/>
      <ns0:c r="D493" s="454"/>
      <ns0:c r="E493" s="454"/>
      <ns0:c r="F493" s="454"/>
      <ns0:c r="G493" s="986"/>
      <ns0:c r="H493" s="455"/>
      <ns0:c r="I493" s="456"/>
      <ns0:c r="J493" s="456"/>
      <ns0:c r="K493" s="986"/>
      <ns0:c r="L493" s="454"/>
      <ns0:c r="M493" s="439"/>
      <ns0:c r="N493" s="987" t="str">
        <ns0:f>IF(COUNTA($A493:$M493)=0,"",IF(OR(LEFT(LOWER(TRIM($F493&amp;"")),12)="subscription",LOWER(TRIM($F493&amp;""))="membership"),"",IF(OR(AND($H493&lt;&gt;"",$H493=0),LEFT(LOWER(TRIM($F493&amp;"")),9)="free game",LOWER(TRIM($F493&amp;""))="free",LOWER(TRIM($F493&amp;""))="free entry"),IF(ISNUMBER($G493),IF(ISNUMBER(SEARCH("non",LOWER($E493&amp;""))),$G493*0.85,$G493),"N/A"),IF($G493="","",IFERROR(IF(ISNUMBER(SEARCH("non",LOWER($E493&amp;""))),$G493*0.85,$G493),"")))))</ns0:f>
        <ns0:v/>
      </ns0:c>
      <ns0:c r="O493" s="987" t="str">
        <ns0:f>IF(COUNTA($A493:$M493)=0,"",IF(OR(LEFT(LOWER(TRIM($F493&amp;"")),12)="subscription",LOWER(TRIM($F493&amp;""))="membership"),"",IF(OR(AND($H493&lt;&gt;"",$H493=0),LEFT(LOWER(TRIM($F493&amp;"")),9)="free game",LOWER(TRIM($F493&amp;""))="free",LOWER(TRIM($F493&amp;""))="free entry"),IF(OR(NOT(ISNUMBER($N493)),NOT(ISNUMBER($I493)),$I493=0),"N/A",IFERROR($N493/$I493,"N/A")),IF(OR($N493="",$I493="",$I493=0),"",IFERROR($N493/$I493,"")))))</ns0:f>
        <ns0:v/>
      </ns0:c>
      <ns0:c r="P493" s="987">
        <ns0:f>IF(COUNTA($A493:$M493)=0,"",IF(OR(LEFT(LOWER(TRIM($F493&amp;"")),12)="subscription",LOWER(TRIM($F493&amp;""))="membership"),"",IF(LOWER(TRIM($D493&amp;""))="estimate","N/A",IF(LOWER($L493&amp;"")="yes",0,IF(OR(AND($H493&lt;&gt;"",$H493=0),LEFT(LOWER(TRIM($F493&amp;"")),9)="free game",LOWER(TRIM($F493&amp;""))="free",LOWER(TRIM($F493&amp;""))="free entry"),IF(ISNUMBER($K493),$K493,""),IF($K493&lt;&gt;"",$K493,""))))))</ns0:f>
      </ns0:c>
      <ns0:c r="Q493" s="114">
        <ns0:f>IF(COUNTA($A493:$M493)=0,"",IF(OR($U493="Subscription",$U493=""),"",IF($U493="Estimate","N/A",IF($U493="Profit",ROUND(IFERROR($P493,0)-IFERROR($H493,0),2),0))))</ns0:f>
      </ns0:c>
      <ns0:c r="R493" s="114">
        <ns0:f>IF(COUNTA($A493:$M493)=0,"",IF(OR($U493="Subscription",$U493=""),"",IF($U493="Estimate","N/A",IF($U493="Draw",$H493,0))))</ns0:f>
      </ns0:c>
      <ns0:c r="S493" s="114">
        <ns0:f>IF(COUNTA($A493:$M493)=0,"",IF(OR($U493="Subscription",$U493=""),"",IF($U493="Estimate","N/A",IF($U493="Disqualified",$H493,0))))</ns0:f>
      </ns0:c>
      <ns0:c r="T493" s="955">
        <ns0:f>IF(COUNTA($A493:$M493)=0,"",IF(OR($U493="Subscription",$U493=""),"",IF($U493="Estimate","N/A",IF(OR($U493="Free Game",$U493="Disqualified — Free Game",$H493=0),"N/A",IF($U493="Profit",$Q493/$H493,IF($U493="Disqualified",-$S493/$H493,0))))))</ns0:f>
      </ns0:c>
      <ns0:c r="U493" s="920">
        <ns0:f>IF(COUNTA($A493:$M493)=0,"",IF(OR(LEFT(LOWER(TRIM($F493&amp;"")),12)="subscription",LOWER(TRIM($F493&amp;""))="membership"),"Subscription",IF(LOWER(TRIM($D493&amp;""))="estimate","Estimate",IF(OR(AND($H493&lt;&gt;"",$H493=0),LEFT(LOWER(TRIM($F493&amp;"")),9)="free game",LOWER(TRIM($F493&amp;""))="free",LOWER(TRIM($F493&amp;""))="free entry"),IF(LOWER($L493&amp;"")="yes","Disqualified — Free Game","Free Game"),IF(LOWER($L493&amp;"")="yes","Disqualified",IF($P493="","",IF(ROUND(IFERROR(VALUE($P493),0)-IFERROR(VALUE($H493),0),2)&gt;0,"Profit","Draw")))))))</ns0:f>
      </ns0:c>
      <ns0:c r="V493" s="956" t="str">
        <ns0:f>IF(COUNTA($A493:$M493)=0,"",IF(OR($B493="",$C493="",$U493="Subscription"),"",IFERROR(ROUNDUP(($C493-$B493)/7,0),"")))</ns0:f>
      </ns0:c>
      <ns0:c r="W493" s="114">
        <ns0:f>IF(COUNTA($A493:$M493)=0,"",IF(OR($U493="Subscription",$U493=""),"",IF($U493="Estimate","N/A",IF(OR($U493="Free Game",$U493="Disqualified — Free Game"),0,ROUND(IFERROR($Q493,0)-IFERROR($S493,0),2)))))</ns0:f>
      </ns0:c>
      <ns0:c r="X493" s="956" t="str">
        <ns0:f>IF(COUNTA($A493:$M493)=0,"",IF(OR($U493="Subscription",NOT(ISNUMBER($J493)),NOT(ISNUMBER($I493)),$J493=0,$I493=0,$I493&gt;$J493),"",$J493-$I493))</ns0:f>
      </ns0:c>
      <ns0:c r="Y493" s="955" t="str">
        <ns0:f>IF(COUNTA($A493:$M493)=0,"",IF(OR($U493="Subscription",NOT(ISNUMBER($J493)),$J493=0,$X493=""),"",$X493/$J493))</ns0:f>
      </ns0:c>
      <ns0:c r="Z493" s="957" t="str">
        <ns0:f>IF(COUNTA($A493:$M493)=0,"",Instructions!$B$29+SUM($W$5:W493))</ns0:f>
      </ns0:c>
    </ns0:row>
    <ns0:row r="494" ht="36" customHeight="1">
      <ns0:c r="A494" s="439"/>
      <ns0:c r="B494" s="453"/>
      <ns0:c r="C494" s="453"/>
      <ns0:c r="D494" s="454"/>
      <ns0:c r="E494" s="454"/>
      <ns0:c r="F494" s="454"/>
      <ns0:c r="G494" s="986"/>
      <ns0:c r="H494" s="455"/>
      <ns0:c r="I494" s="456"/>
      <ns0:c r="J494" s="456"/>
      <ns0:c r="K494" s="986"/>
      <ns0:c r="L494" s="454"/>
      <ns0:c r="M494" s="439"/>
      <ns0:c r="N494" s="987" t="str">
        <ns0:f>IF(COUNTA($A494:$M494)=0,"",IF(OR(LEFT(LOWER(TRIM($F494&amp;"")),12)="subscription",LOWER(TRIM($F494&amp;""))="membership"),"",IF(OR(AND($H494&lt;&gt;"",$H494=0),LEFT(LOWER(TRIM($F494&amp;"")),9)="free game",LOWER(TRIM($F494&amp;""))="free",LOWER(TRIM($F494&amp;""))="free entry"),IF(ISNUMBER($G494),IF(ISNUMBER(SEARCH("non",LOWER($E494&amp;""))),$G494*0.85,$G494),"N/A"),IF($G494="","",IFERROR(IF(ISNUMBER(SEARCH("non",LOWER($E494&amp;""))),$G494*0.85,$G494),"")))))</ns0:f>
        <ns0:v/>
      </ns0:c>
      <ns0:c r="O494" s="987" t="str">
        <ns0:f>IF(COUNTA($A494:$M494)=0,"",IF(OR(LEFT(LOWER(TRIM($F494&amp;"")),12)="subscription",LOWER(TRIM($F494&amp;""))="membership"),"",IF(OR(AND($H494&lt;&gt;"",$H494=0),LEFT(LOWER(TRIM($F494&amp;"")),9)="free game",LOWER(TRIM($F494&amp;""))="free",LOWER(TRIM($F494&amp;""))="free entry"),IF(OR(NOT(ISNUMBER($N494)),NOT(ISNUMBER($I494)),$I494=0),"N/A",IFERROR($N494/$I494,"N/A")),IF(OR($N494="",$I494="",$I494=0),"",IFERROR($N494/$I494,"")))))</ns0:f>
        <ns0:v/>
      </ns0:c>
      <ns0:c r="P494" s="987">
        <ns0:f>IF(COUNTA($A494:$M494)=0,"",IF(OR(LEFT(LOWER(TRIM($F494&amp;"")),12)="subscription",LOWER(TRIM($F494&amp;""))="membership"),"",IF(LOWER(TRIM($D494&amp;""))="estimate","N/A",IF(LOWER($L494&amp;"")="yes",0,IF(OR(AND($H494&lt;&gt;"",$H494=0),LEFT(LOWER(TRIM($F494&amp;"")),9)="free game",LOWER(TRIM($F494&amp;""))="free",LOWER(TRIM($F494&amp;""))="free entry"),IF(ISNUMBER($K494),$K494,""),IF($K494&lt;&gt;"",$K494,""))))))</ns0:f>
      </ns0:c>
      <ns0:c r="Q494" s="114">
        <ns0:f>IF(COUNTA($A494:$M494)=0,"",IF(OR($U494="Subscription",$U494=""),"",IF($U494="Estimate","N/A",IF($U494="Profit",ROUND(IFERROR($P494,0)-IFERROR($H494,0),2),0))))</ns0:f>
      </ns0:c>
      <ns0:c r="R494" s="114">
        <ns0:f>IF(COUNTA($A494:$M494)=0,"",IF(OR($U494="Subscription",$U494=""),"",IF($U494="Estimate","N/A",IF($U494="Draw",$H494,0))))</ns0:f>
      </ns0:c>
      <ns0:c r="S494" s="114">
        <ns0:f>IF(COUNTA($A494:$M494)=0,"",IF(OR($U494="Subscription",$U494=""),"",IF($U494="Estimate","N/A",IF($U494="Disqualified",$H494,0))))</ns0:f>
      </ns0:c>
      <ns0:c r="T494" s="955">
        <ns0:f>IF(COUNTA($A494:$M494)=0,"",IF(OR($U494="Subscription",$U494=""),"",IF($U494="Estimate","N/A",IF(OR($U494="Free Game",$U494="Disqualified — Free Game",$H494=0),"N/A",IF($U494="Profit",$Q494/$H494,IF($U494="Disqualified",-$S494/$H494,0))))))</ns0:f>
      </ns0:c>
      <ns0:c r="U494" s="920">
        <ns0:f>IF(COUNTA($A494:$M494)=0,"",IF(OR(LEFT(LOWER(TRIM($F494&amp;"")),12)="subscription",LOWER(TRIM($F494&amp;""))="membership"),"Subscription",IF(LOWER(TRIM($D494&amp;""))="estimate","Estimate",IF(OR(AND($H494&lt;&gt;"",$H494=0),LEFT(LOWER(TRIM($F494&amp;"")),9)="free game",LOWER(TRIM($F494&amp;""))="free",LOWER(TRIM($F494&amp;""))="free entry"),IF(LOWER($L494&amp;"")="yes","Disqualified — Free Game","Free Game"),IF(LOWER($L494&amp;"")="yes","Disqualified",IF($P494="","",IF(ROUND(IFERROR(VALUE($P494),0)-IFERROR(VALUE($H494),0),2)&gt;0,"Profit","Draw")))))))</ns0:f>
      </ns0:c>
      <ns0:c r="V494" s="956" t="str">
        <ns0:f>IF(COUNTA($A494:$M494)=0,"",IF(OR($B494="",$C494="",$U494="Subscription"),"",IFERROR(ROUNDUP(($C494-$B494)/7,0),"")))</ns0:f>
      </ns0:c>
      <ns0:c r="W494" s="114">
        <ns0:f>IF(COUNTA($A494:$M494)=0,"",IF(OR($U494="Subscription",$U494=""),"",IF($U494="Estimate","N/A",IF(OR($U494="Free Game",$U494="Disqualified — Free Game"),0,ROUND(IFERROR($Q494,0)-IFERROR($S494,0),2)))))</ns0:f>
      </ns0:c>
      <ns0:c r="X494" s="956" t="str">
        <ns0:f>IF(COUNTA($A494:$M494)=0,"",IF(OR($U494="Subscription",NOT(ISNUMBER($J494)),NOT(ISNUMBER($I494)),$J494=0,$I494=0,$I494&gt;$J494),"",$J494-$I494))</ns0:f>
      </ns0:c>
      <ns0:c r="Y494" s="955" t="str">
        <ns0:f>IF(COUNTA($A494:$M494)=0,"",IF(OR($U494="Subscription",NOT(ISNUMBER($J494)),$J494=0,$X494=""),"",$X494/$J494))</ns0:f>
      </ns0:c>
      <ns0:c r="Z494" s="957" t="str">
        <ns0:f>IF(COUNTA($A494:$M494)=0,"",Instructions!$B$29+SUM($W$5:W494))</ns0:f>
      </ns0:c>
    </ns0:row>
    <ns0:row r="495" ht="36" customHeight="1">
      <ns0:c r="A495" s="439"/>
      <ns0:c r="B495" s="453"/>
      <ns0:c r="C495" s="453"/>
      <ns0:c r="D495" s="454"/>
      <ns0:c r="E495" s="454"/>
      <ns0:c r="F495" s="454"/>
      <ns0:c r="G495" s="986"/>
      <ns0:c r="H495" s="455"/>
      <ns0:c r="I495" s="456"/>
      <ns0:c r="J495" s="456"/>
      <ns0:c r="K495" s="986"/>
      <ns0:c r="L495" s="454"/>
      <ns0:c r="M495" s="439"/>
      <ns0:c r="N495" s="987" t="str">
        <ns0:f>IF(COUNTA($A495:$M495)=0,"",IF(OR(LEFT(LOWER(TRIM($F495&amp;"")),12)="subscription",LOWER(TRIM($F495&amp;""))="membership"),"",IF(OR(AND($H495&lt;&gt;"",$H495=0),LEFT(LOWER(TRIM($F495&amp;"")),9)="free game",LOWER(TRIM($F495&amp;""))="free",LOWER(TRIM($F495&amp;""))="free entry"),IF(ISNUMBER($G495),IF(ISNUMBER(SEARCH("non",LOWER($E495&amp;""))),$G495*0.85,$G495),"N/A"),IF($G495="","",IFERROR(IF(ISNUMBER(SEARCH("non",LOWER($E495&amp;""))),$G495*0.85,$G495),"")))))</ns0:f>
        <ns0:v/>
      </ns0:c>
      <ns0:c r="O495" s="987" t="str">
        <ns0:f>IF(COUNTA($A495:$M495)=0,"",IF(OR(LEFT(LOWER(TRIM($F495&amp;"")),12)="subscription",LOWER(TRIM($F495&amp;""))="membership"),"",IF(OR(AND($H495&lt;&gt;"",$H495=0),LEFT(LOWER(TRIM($F495&amp;"")),9)="free game",LOWER(TRIM($F495&amp;""))="free",LOWER(TRIM($F495&amp;""))="free entry"),IF(OR(NOT(ISNUMBER($N495)),NOT(ISNUMBER($I495)),$I495=0),"N/A",IFERROR($N495/$I495,"N/A")),IF(OR($N495="",$I495="",$I495=0),"",IFERROR($N495/$I495,"")))))</ns0:f>
        <ns0:v/>
      </ns0:c>
      <ns0:c r="P495" s="987">
        <ns0:f>IF(COUNTA($A495:$M495)=0,"",IF(OR(LEFT(LOWER(TRIM($F495&amp;"")),12)="subscription",LOWER(TRIM($F495&amp;""))="membership"),"",IF(LOWER(TRIM($D495&amp;""))="estimate","N/A",IF(LOWER($L495&amp;"")="yes",0,IF(OR(AND($H495&lt;&gt;"",$H495=0),LEFT(LOWER(TRIM($F495&amp;"")),9)="free game",LOWER(TRIM($F495&amp;""))="free",LOWER(TRIM($F495&amp;""))="free entry"),IF(ISNUMBER($K495),$K495,""),IF($K495&lt;&gt;"",$K495,""))))))</ns0:f>
      </ns0:c>
      <ns0:c r="Q495" s="114">
        <ns0:f>IF(COUNTA($A495:$M495)=0,"",IF(OR($U495="Subscription",$U495=""),"",IF($U495="Estimate","N/A",IF($U495="Profit",ROUND(IFERROR($P495,0)-IFERROR($H495,0),2),0))))</ns0:f>
      </ns0:c>
      <ns0:c r="R495" s="114">
        <ns0:f>IF(COUNTA($A495:$M495)=0,"",IF(OR($U495="Subscription",$U495=""),"",IF($U495="Estimate","N/A",IF($U495="Draw",$H495,0))))</ns0:f>
      </ns0:c>
      <ns0:c r="S495" s="114">
        <ns0:f>IF(COUNTA($A495:$M495)=0,"",IF(OR($U495="Subscription",$U495=""),"",IF($U495="Estimate","N/A",IF($U495="Disqualified",$H495,0))))</ns0:f>
      </ns0:c>
      <ns0:c r="T495" s="955">
        <ns0:f>IF(COUNTA($A495:$M495)=0,"",IF(OR($U495="Subscription",$U495=""),"",IF($U495="Estimate","N/A",IF(OR($U495="Free Game",$U495="Disqualified — Free Game",$H495=0),"N/A",IF($U495="Profit",$Q495/$H495,IF($U495="Disqualified",-$S495/$H495,0))))))</ns0:f>
      </ns0:c>
      <ns0:c r="U495" s="920">
        <ns0:f>IF(COUNTA($A495:$M495)=0,"",IF(OR(LEFT(LOWER(TRIM($F495&amp;"")),12)="subscription",LOWER(TRIM($F495&amp;""))="membership"),"Subscription",IF(LOWER(TRIM($D495&amp;""))="estimate","Estimate",IF(OR(AND($H495&lt;&gt;"",$H495=0),LEFT(LOWER(TRIM($F495&amp;"")),9)="free game",LOWER(TRIM($F495&amp;""))="free",LOWER(TRIM($F495&amp;""))="free entry"),IF(LOWER($L495&amp;"")="yes","Disqualified — Free Game","Free Game"),IF(LOWER($L495&amp;"")="yes","Disqualified",IF($P495="","",IF(ROUND(IFERROR(VALUE($P495),0)-IFERROR(VALUE($H495),0),2)&gt;0,"Profit","Draw")))))))</ns0:f>
      </ns0:c>
      <ns0:c r="V495" s="956" t="str">
        <ns0:f>IF(COUNTA($A495:$M495)=0,"",IF(OR($B495="",$C495="",$U495="Subscription"),"",IFERROR(ROUNDUP(($C495-$B495)/7,0),"")))</ns0:f>
      </ns0:c>
      <ns0:c r="W495" s="114">
        <ns0:f>IF(COUNTA($A495:$M495)=0,"",IF(OR($U495="Subscription",$U495=""),"",IF($U495="Estimate","N/A",IF(OR($U495="Free Game",$U495="Disqualified — Free Game"),0,ROUND(IFERROR($Q495,0)-IFERROR($S495,0),2)))))</ns0:f>
      </ns0:c>
      <ns0:c r="X495" s="956" t="str">
        <ns0:f>IF(COUNTA($A495:$M495)=0,"",IF(OR($U495="Subscription",NOT(ISNUMBER($J495)),NOT(ISNUMBER($I495)),$J495=0,$I495=0,$I495&gt;$J495),"",$J495-$I495))</ns0:f>
      </ns0:c>
      <ns0:c r="Y495" s="955" t="str">
        <ns0:f>IF(COUNTA($A495:$M495)=0,"",IF(OR($U495="Subscription",NOT(ISNUMBER($J495)),$J495=0,$X495=""),"",$X495/$J495))</ns0:f>
      </ns0:c>
      <ns0:c r="Z495" s="957" t="str">
        <ns0:f>IF(COUNTA($A495:$M495)=0,"",Instructions!$B$29+SUM($W$5:W495))</ns0:f>
      </ns0:c>
    </ns0:row>
    <ns0:row r="496" ht="36" customHeight="1">
      <ns0:c r="A496" s="439"/>
      <ns0:c r="B496" s="453"/>
      <ns0:c r="C496" s="453"/>
      <ns0:c r="D496" s="454"/>
      <ns0:c r="E496" s="454"/>
      <ns0:c r="F496" s="454"/>
      <ns0:c r="G496" s="986"/>
      <ns0:c r="H496" s="455"/>
      <ns0:c r="I496" s="456"/>
      <ns0:c r="J496" s="456"/>
      <ns0:c r="K496" s="986"/>
      <ns0:c r="L496" s="454"/>
      <ns0:c r="M496" s="439"/>
      <ns0:c r="N496" s="987" t="str">
        <ns0:f>IF(COUNTA($A496:$M496)=0,"",IF(OR(LEFT(LOWER(TRIM($F496&amp;"")),12)="subscription",LOWER(TRIM($F496&amp;""))="membership"),"",IF(OR(AND($H496&lt;&gt;"",$H496=0),LEFT(LOWER(TRIM($F496&amp;"")),9)="free game",LOWER(TRIM($F496&amp;""))="free",LOWER(TRIM($F496&amp;""))="free entry"),IF(ISNUMBER($G496),IF(ISNUMBER(SEARCH("non",LOWER($E496&amp;""))),$G496*0.85,$G496),"N/A"),IF($G496="","",IFERROR(IF(ISNUMBER(SEARCH("non",LOWER($E496&amp;""))),$G496*0.85,$G496),"")))))</ns0:f>
        <ns0:v/>
      </ns0:c>
      <ns0:c r="O496" s="987" t="str">
        <ns0:f>IF(COUNTA($A496:$M496)=0,"",IF(OR(LEFT(LOWER(TRIM($F496&amp;"")),12)="subscription",LOWER(TRIM($F496&amp;""))="membership"),"",IF(OR(AND($H496&lt;&gt;"",$H496=0),LEFT(LOWER(TRIM($F496&amp;"")),9)="free game",LOWER(TRIM($F496&amp;""))="free",LOWER(TRIM($F496&amp;""))="free entry"),IF(OR(NOT(ISNUMBER($N496)),NOT(ISNUMBER($I496)),$I496=0),"N/A",IFERROR($N496/$I496,"N/A")),IF(OR($N496="",$I496="",$I496=0),"",IFERROR($N496/$I496,"")))))</ns0:f>
        <ns0:v/>
      </ns0:c>
      <ns0:c r="P496" s="987">
        <ns0:f>IF(COUNTA($A496:$M496)=0,"",IF(OR(LEFT(LOWER(TRIM($F496&amp;"")),12)="subscription",LOWER(TRIM($F496&amp;""))="membership"),"",IF(LOWER(TRIM($D496&amp;""))="estimate","N/A",IF(LOWER($L496&amp;"")="yes",0,IF(OR(AND($H496&lt;&gt;"",$H496=0),LEFT(LOWER(TRIM($F496&amp;"")),9)="free game",LOWER(TRIM($F496&amp;""))="free",LOWER(TRIM($F496&amp;""))="free entry"),IF(ISNUMBER($K496),$K496,""),IF($K496&lt;&gt;"",$K496,""))))))</ns0:f>
      </ns0:c>
      <ns0:c r="Q496" s="114">
        <ns0:f>IF(COUNTA($A496:$M496)=0,"",IF(OR($U496="Subscription",$U496=""),"",IF($U496="Estimate","N/A",IF($U496="Profit",ROUND(IFERROR($P496,0)-IFERROR($H496,0),2),0))))</ns0:f>
      </ns0:c>
      <ns0:c r="R496" s="114">
        <ns0:f>IF(COUNTA($A496:$M496)=0,"",IF(OR($U496="Subscription",$U496=""),"",IF($U496="Estimate","N/A",IF($U496="Draw",$H496,0))))</ns0:f>
      </ns0:c>
      <ns0:c r="S496" s="114">
        <ns0:f>IF(COUNTA($A496:$M496)=0,"",IF(OR($U496="Subscription",$U496=""),"",IF($U496="Estimate","N/A",IF($U496="Disqualified",$H496,0))))</ns0:f>
      </ns0:c>
      <ns0:c r="T496" s="955">
        <ns0:f>IF(COUNTA($A496:$M496)=0,"",IF(OR($U496="Subscription",$U496=""),"",IF($U496="Estimate","N/A",IF(OR($U496="Free Game",$U496="Disqualified — Free Game",$H496=0),"N/A",IF($U496="Profit",$Q496/$H496,IF($U496="Disqualified",-$S496/$H496,0))))))</ns0:f>
      </ns0:c>
      <ns0:c r="U496" s="920">
        <ns0:f>IF(COUNTA($A496:$M496)=0,"",IF(OR(LEFT(LOWER(TRIM($F496&amp;"")),12)="subscription",LOWER(TRIM($F496&amp;""))="membership"),"Subscription",IF(LOWER(TRIM($D496&amp;""))="estimate","Estimate",IF(OR(AND($H496&lt;&gt;"",$H496=0),LEFT(LOWER(TRIM($F496&amp;"")),9)="free game",LOWER(TRIM($F496&amp;""))="free",LOWER(TRIM($F496&amp;""))="free entry"),IF(LOWER($L496&amp;"")="yes","Disqualified — Free Game","Free Game"),IF(LOWER($L496&amp;"")="yes","Disqualified",IF($P496="","",IF(ROUND(IFERROR(VALUE($P496),0)-IFERROR(VALUE($H496),0),2)&gt;0,"Profit","Draw")))))))</ns0:f>
      </ns0:c>
      <ns0:c r="V496" s="956" t="str">
        <ns0:f>IF(COUNTA($A496:$M496)=0,"",IF(OR($B496="",$C496="",$U496="Subscription"),"",IFERROR(ROUNDUP(($C496-$B496)/7,0),"")))</ns0:f>
      </ns0:c>
      <ns0:c r="W496" s="114">
        <ns0:f>IF(COUNTA($A496:$M496)=0,"",IF(OR($U496="Subscription",$U496=""),"",IF($U496="Estimate","N/A",IF(OR($U496="Free Game",$U496="Disqualified — Free Game"),0,ROUND(IFERROR($Q496,0)-IFERROR($S496,0),2)))))</ns0:f>
      </ns0:c>
      <ns0:c r="X496" s="956" t="str">
        <ns0:f>IF(COUNTA($A496:$M496)=0,"",IF(OR($U496="Subscription",NOT(ISNUMBER($J496)),NOT(ISNUMBER($I496)),$J496=0,$I496=0,$I496&gt;$J496),"",$J496-$I496))</ns0:f>
      </ns0:c>
      <ns0:c r="Y496" s="955" t="str">
        <ns0:f>IF(COUNTA($A496:$M496)=0,"",IF(OR($U496="Subscription",NOT(ISNUMBER($J496)),$J496=0,$X496=""),"",$X496/$J496))</ns0:f>
      </ns0:c>
      <ns0:c r="Z496" s="957" t="str">
        <ns0:f>IF(COUNTA($A496:$M496)=0,"",Instructions!$B$29+SUM($W$5:W496))</ns0:f>
      </ns0:c>
    </ns0:row>
    <ns0:row r="497" ht="36" customHeight="1">
      <ns0:c r="A497" s="439"/>
      <ns0:c r="B497" s="453"/>
      <ns0:c r="C497" s="453"/>
      <ns0:c r="D497" s="454"/>
      <ns0:c r="E497" s="454"/>
      <ns0:c r="F497" s="454"/>
      <ns0:c r="G497" s="986"/>
      <ns0:c r="H497" s="455"/>
      <ns0:c r="I497" s="456"/>
      <ns0:c r="J497" s="456"/>
      <ns0:c r="K497" s="986"/>
      <ns0:c r="L497" s="454"/>
      <ns0:c r="M497" s="439"/>
      <ns0:c r="N497" s="987" t="str">
        <ns0:f>IF(COUNTA($A497:$M497)=0,"",IF(OR(LEFT(LOWER(TRIM($F497&amp;"")),12)="subscription",LOWER(TRIM($F497&amp;""))="membership"),"",IF(OR(AND($H497&lt;&gt;"",$H497=0),LEFT(LOWER(TRIM($F497&amp;"")),9)="free game",LOWER(TRIM($F497&amp;""))="free",LOWER(TRIM($F497&amp;""))="free entry"),IF(ISNUMBER($G497),IF(ISNUMBER(SEARCH("non",LOWER($E497&amp;""))),$G497*0.85,$G497),"N/A"),IF($G497="","",IFERROR(IF(ISNUMBER(SEARCH("non",LOWER($E497&amp;""))),$G497*0.85,$G497),"")))))</ns0:f>
        <ns0:v/>
      </ns0:c>
      <ns0:c r="O497" s="987" t="str">
        <ns0:f>IF(COUNTA($A497:$M497)=0,"",IF(OR(LEFT(LOWER(TRIM($F497&amp;"")),12)="subscription",LOWER(TRIM($F497&amp;""))="membership"),"",IF(OR(AND($H497&lt;&gt;"",$H497=0),LEFT(LOWER(TRIM($F497&amp;"")),9)="free game",LOWER(TRIM($F497&amp;""))="free",LOWER(TRIM($F497&amp;""))="free entry"),IF(OR(NOT(ISNUMBER($N497)),NOT(ISNUMBER($I497)),$I497=0),"N/A",IFERROR($N497/$I497,"N/A")),IF(OR($N497="",$I497="",$I497=0),"",IFERROR($N497/$I497,"")))))</ns0:f>
        <ns0:v/>
      </ns0:c>
      <ns0:c r="P497" s="987">
        <ns0:f>IF(COUNTA($A497:$M497)=0,"",IF(OR(LEFT(LOWER(TRIM($F497&amp;"")),12)="subscription",LOWER(TRIM($F497&amp;""))="membership"),"",IF(LOWER(TRIM($D497&amp;""))="estimate","N/A",IF(LOWER($L497&amp;"")="yes",0,IF(OR(AND($H497&lt;&gt;"",$H497=0),LEFT(LOWER(TRIM($F497&amp;"")),9)="free game",LOWER(TRIM($F497&amp;""))="free",LOWER(TRIM($F497&amp;""))="free entry"),IF(ISNUMBER($K497),$K497,""),IF($K497&lt;&gt;"",$K497,""))))))</ns0:f>
      </ns0:c>
      <ns0:c r="Q497" s="114">
        <ns0:f>IF(COUNTA($A497:$M497)=0,"",IF(OR($U497="Subscription",$U497=""),"",IF($U497="Estimate","N/A",IF($U497="Profit",ROUND(IFERROR($P497,0)-IFERROR($H497,0),2),0))))</ns0:f>
      </ns0:c>
      <ns0:c r="R497" s="114">
        <ns0:f>IF(COUNTA($A497:$M497)=0,"",IF(OR($U497="Subscription",$U497=""),"",IF($U497="Estimate","N/A",IF($U497="Draw",$H497,0))))</ns0:f>
      </ns0:c>
      <ns0:c r="S497" s="114">
        <ns0:f>IF(COUNTA($A497:$M497)=0,"",IF(OR($U497="Subscription",$U497=""),"",IF($U497="Estimate","N/A",IF($U497="Disqualified",$H497,0))))</ns0:f>
      </ns0:c>
      <ns0:c r="T497" s="955">
        <ns0:f>IF(COUNTA($A497:$M497)=0,"",IF(OR($U497="Subscription",$U497=""),"",IF($U497="Estimate","N/A",IF(OR($U497="Free Game",$U497="Disqualified — Free Game",$H497=0),"N/A",IF($U497="Profit",$Q497/$H497,IF($U497="Disqualified",-$S497/$H497,0))))))</ns0:f>
      </ns0:c>
      <ns0:c r="U497" s="920">
        <ns0:f>IF(COUNTA($A497:$M497)=0,"",IF(OR(LEFT(LOWER(TRIM($F497&amp;"")),12)="subscription",LOWER(TRIM($F497&amp;""))="membership"),"Subscription",IF(LOWER(TRIM($D497&amp;""))="estimate","Estimate",IF(OR(AND($H497&lt;&gt;"",$H497=0),LEFT(LOWER(TRIM($F497&amp;"")),9)="free game",LOWER(TRIM($F497&amp;""))="free",LOWER(TRIM($F497&amp;""))="free entry"),IF(LOWER($L497&amp;"")="yes","Disqualified — Free Game","Free Game"),IF(LOWER($L497&amp;"")="yes","Disqualified",IF($P497="","",IF(ROUND(IFERROR(VALUE($P497),0)-IFERROR(VALUE($H497),0),2)&gt;0,"Profit","Draw")))))))</ns0:f>
      </ns0:c>
      <ns0:c r="V497" s="956" t="str">
        <ns0:f>IF(COUNTA($A497:$M497)=0,"",IF(OR($B497="",$C497="",$U497="Subscription"),"",IFERROR(ROUNDUP(($C497-$B497)/7,0),"")))</ns0:f>
      </ns0:c>
      <ns0:c r="W497" s="114">
        <ns0:f>IF(COUNTA($A497:$M497)=0,"",IF(OR($U497="Subscription",$U497=""),"",IF($U497="Estimate","N/A",IF(OR($U497="Free Game",$U497="Disqualified — Free Game"),0,ROUND(IFERROR($Q497,0)-IFERROR($S497,0),2)))))</ns0:f>
      </ns0:c>
      <ns0:c r="X497" s="956" t="str">
        <ns0:f>IF(COUNTA($A497:$M497)=0,"",IF(OR($U497="Subscription",NOT(ISNUMBER($J497)),NOT(ISNUMBER($I497)),$J497=0,$I497=0,$I497&gt;$J497),"",$J497-$I497))</ns0:f>
      </ns0:c>
      <ns0:c r="Y497" s="955" t="str">
        <ns0:f>IF(COUNTA($A497:$M497)=0,"",IF(OR($U497="Subscription",NOT(ISNUMBER($J497)),$J497=0,$X497=""),"",$X497/$J497))</ns0:f>
      </ns0:c>
      <ns0:c r="Z497" s="957" t="str">
        <ns0:f>IF(COUNTA($A497:$M497)=0,"",Instructions!$B$29+SUM($W$5:W497))</ns0:f>
      </ns0:c>
    </ns0:row>
    <ns0:row r="498" ht="36" customHeight="1">
      <ns0:c r="A498" s="439"/>
      <ns0:c r="B498" s="453"/>
      <ns0:c r="C498" s="453"/>
      <ns0:c r="D498" s="454"/>
      <ns0:c r="E498" s="454"/>
      <ns0:c r="F498" s="454"/>
      <ns0:c r="G498" s="986"/>
      <ns0:c r="H498" s="455"/>
      <ns0:c r="I498" s="456"/>
      <ns0:c r="J498" s="456"/>
      <ns0:c r="K498" s="986"/>
      <ns0:c r="L498" s="454"/>
      <ns0:c r="M498" s="439"/>
      <ns0:c r="N498" s="987" t="str">
        <ns0:f>IF(COUNTA($A498:$M498)=0,"",IF(OR(LEFT(LOWER(TRIM($F498&amp;"")),12)="subscription",LOWER(TRIM($F498&amp;""))="membership"),"",IF(OR(AND($H498&lt;&gt;"",$H498=0),LEFT(LOWER(TRIM($F498&amp;"")),9)="free game",LOWER(TRIM($F498&amp;""))="free",LOWER(TRIM($F498&amp;""))="free entry"),IF(ISNUMBER($G498),IF(ISNUMBER(SEARCH("non",LOWER($E498&amp;""))),$G498*0.85,$G498),"N/A"),IF($G498="","",IFERROR(IF(ISNUMBER(SEARCH("non",LOWER($E498&amp;""))),$G498*0.85,$G498),"")))))</ns0:f>
        <ns0:v/>
      </ns0:c>
      <ns0:c r="O498" s="987" t="str">
        <ns0:f>IF(COUNTA($A498:$M498)=0,"",IF(OR(LEFT(LOWER(TRIM($F498&amp;"")),12)="subscription",LOWER(TRIM($F498&amp;""))="membership"),"",IF(OR(AND($H498&lt;&gt;"",$H498=0),LEFT(LOWER(TRIM($F498&amp;"")),9)="free game",LOWER(TRIM($F498&amp;""))="free",LOWER(TRIM($F498&amp;""))="free entry"),IF(OR(NOT(ISNUMBER($N498)),NOT(ISNUMBER($I498)),$I498=0),"N/A",IFERROR($N498/$I498,"N/A")),IF(OR($N498="",$I498="",$I498=0),"",IFERROR($N498/$I498,"")))))</ns0:f>
        <ns0:v/>
      </ns0:c>
      <ns0:c r="P498" s="987">
        <ns0:f>IF(COUNTA($A498:$M498)=0,"",IF(OR(LEFT(LOWER(TRIM($F498&amp;"")),12)="subscription",LOWER(TRIM($F498&amp;""))="membership"),"",IF(LOWER(TRIM($D498&amp;""))="estimate","N/A",IF(LOWER($L498&amp;"")="yes",0,IF(OR(AND($H498&lt;&gt;"",$H498=0),LEFT(LOWER(TRIM($F498&amp;"")),9)="free game",LOWER(TRIM($F498&amp;""))="free",LOWER(TRIM($F498&amp;""))="free entry"),IF(ISNUMBER($K498),$K498,""),IF($K498&lt;&gt;"",$K498,""))))))</ns0:f>
      </ns0:c>
      <ns0:c r="Q498" s="114">
        <ns0:f>IF(COUNTA($A498:$M498)=0,"",IF(OR($U498="Subscription",$U498=""),"",IF($U498="Estimate","N/A",IF($U498="Profit",ROUND(IFERROR($P498,0)-IFERROR($H498,0),2),0))))</ns0:f>
      </ns0:c>
      <ns0:c r="R498" s="114">
        <ns0:f>IF(COUNTA($A498:$M498)=0,"",IF(OR($U498="Subscription",$U498=""),"",IF($U498="Estimate","N/A",IF($U498="Draw",$H498,0))))</ns0:f>
      </ns0:c>
      <ns0:c r="S498" s="114">
        <ns0:f>IF(COUNTA($A498:$M498)=0,"",IF(OR($U498="Subscription",$U498=""),"",IF($U498="Estimate","N/A",IF($U498="Disqualified",$H498,0))))</ns0:f>
      </ns0:c>
      <ns0:c r="T498" s="955">
        <ns0:f>IF(COUNTA($A498:$M498)=0,"",IF(OR($U498="Subscription",$U498=""),"",IF($U498="Estimate","N/A",IF(OR($U498="Free Game",$U498="Disqualified — Free Game",$H498=0),"N/A",IF($U498="Profit",$Q498/$H498,IF($U498="Disqualified",-$S498/$H498,0))))))</ns0:f>
      </ns0:c>
      <ns0:c r="U498" s="920">
        <ns0:f>IF(COUNTA($A498:$M498)=0,"",IF(OR(LEFT(LOWER(TRIM($F498&amp;"")),12)="subscription",LOWER(TRIM($F498&amp;""))="membership"),"Subscription",IF(LOWER(TRIM($D498&amp;""))="estimate","Estimate",IF(OR(AND($H498&lt;&gt;"",$H498=0),LEFT(LOWER(TRIM($F498&amp;"")),9)="free game",LOWER(TRIM($F498&amp;""))="free",LOWER(TRIM($F498&amp;""))="free entry"),IF(LOWER($L498&amp;"")="yes","Disqualified — Free Game","Free Game"),IF(LOWER($L498&amp;"")="yes","Disqualified",IF($P498="","",IF(ROUND(IFERROR(VALUE($P498),0)-IFERROR(VALUE($H498),0),2)&gt;0,"Profit","Draw")))))))</ns0:f>
      </ns0:c>
      <ns0:c r="V498" s="956" t="str">
        <ns0:f>IF(COUNTA($A498:$M498)=0,"",IF(OR($B498="",$C498="",$U498="Subscription"),"",IFERROR(ROUNDUP(($C498-$B498)/7,0),"")))</ns0:f>
      </ns0:c>
      <ns0:c r="W498" s="114">
        <ns0:f>IF(COUNTA($A498:$M498)=0,"",IF(OR($U498="Subscription",$U498=""),"",IF($U498="Estimate","N/A",IF(OR($U498="Free Game",$U498="Disqualified — Free Game"),0,ROUND(IFERROR($Q498,0)-IFERROR($S498,0),2)))))</ns0:f>
      </ns0:c>
      <ns0:c r="X498" s="956" t="str">
        <ns0:f>IF(COUNTA($A498:$M498)=0,"",IF(OR($U498="Subscription",NOT(ISNUMBER($J498)),NOT(ISNUMBER($I498)),$J498=0,$I498=0,$I498&gt;$J498),"",$J498-$I498))</ns0:f>
      </ns0:c>
      <ns0:c r="Y498" s="955" t="str">
        <ns0:f>IF(COUNTA($A498:$M498)=0,"",IF(OR($U498="Subscription",NOT(ISNUMBER($J498)),$J498=0,$X498=""),"",$X498/$J498))</ns0:f>
      </ns0:c>
      <ns0:c r="Z498" s="957" t="str">
        <ns0:f>IF(COUNTA($A498:$M498)=0,"",Instructions!$B$29+SUM($W$5:W498))</ns0:f>
      </ns0:c>
    </ns0:row>
    <ns0:row r="499" ht="36" customHeight="1">
      <ns0:c r="A499" s="439"/>
      <ns0:c r="B499" s="453"/>
      <ns0:c r="C499" s="453"/>
      <ns0:c r="D499" s="454"/>
      <ns0:c r="E499" s="454"/>
      <ns0:c r="F499" s="454"/>
      <ns0:c r="G499" s="986"/>
      <ns0:c r="H499" s="455"/>
      <ns0:c r="I499" s="456"/>
      <ns0:c r="J499" s="456"/>
      <ns0:c r="K499" s="986"/>
      <ns0:c r="L499" s="454"/>
      <ns0:c r="M499" s="439"/>
      <ns0:c r="N499" s="987" t="str">
        <ns0:f>IF(COUNTA($A499:$M499)=0,"",IF(OR(LEFT(LOWER(TRIM($F499&amp;"")),12)="subscription",LOWER(TRIM($F499&amp;""))="membership"),"",IF(OR(AND($H499&lt;&gt;"",$H499=0),LEFT(LOWER(TRIM($F499&amp;"")),9)="free game",LOWER(TRIM($F499&amp;""))="free",LOWER(TRIM($F499&amp;""))="free entry"),IF(ISNUMBER($G499),IF(ISNUMBER(SEARCH("non",LOWER($E499&amp;""))),$G499*0.85,$G499),"N/A"),IF($G499="","",IFERROR(IF(ISNUMBER(SEARCH("non",LOWER($E499&amp;""))),$G499*0.85,$G499),"")))))</ns0:f>
        <ns0:v/>
      </ns0:c>
      <ns0:c r="O499" s="987" t="str">
        <ns0:f>IF(COUNTA($A499:$M499)=0,"",IF(OR(LEFT(LOWER(TRIM($F499&amp;"")),12)="subscription",LOWER(TRIM($F499&amp;""))="membership"),"",IF(OR(AND($H499&lt;&gt;"",$H499=0),LEFT(LOWER(TRIM($F499&amp;"")),9)="free game",LOWER(TRIM($F499&amp;""))="free",LOWER(TRIM($F499&amp;""))="free entry"),IF(OR(NOT(ISNUMBER($N499)),NOT(ISNUMBER($I499)),$I499=0),"N/A",IFERROR($N499/$I499,"N/A")),IF(OR($N499="",$I499="",$I499=0),"",IFERROR($N499/$I499,"")))))</ns0:f>
        <ns0:v/>
      </ns0:c>
      <ns0:c r="P499" s="987">
        <ns0:f>IF(COUNTA($A499:$M499)=0,"",IF(OR(LEFT(LOWER(TRIM($F499&amp;"")),12)="subscription",LOWER(TRIM($F499&amp;""))="membership"),"",IF(LOWER(TRIM($D499&amp;""))="estimate","N/A",IF(LOWER($L499&amp;"")="yes",0,IF(OR(AND($H499&lt;&gt;"",$H499=0),LEFT(LOWER(TRIM($F499&amp;"")),9)="free game",LOWER(TRIM($F499&amp;""))="free",LOWER(TRIM($F499&amp;""))="free entry"),IF(ISNUMBER($K499),$K499,""),IF($K499&lt;&gt;"",$K499,""))))))</ns0:f>
      </ns0:c>
      <ns0:c r="Q499" s="114">
        <ns0:f>IF(COUNTA($A499:$M499)=0,"",IF(OR($U499="Subscription",$U499=""),"",IF($U499="Estimate","N/A",IF($U499="Profit",ROUND(IFERROR($P499,0)-IFERROR($H499,0),2),0))))</ns0:f>
      </ns0:c>
      <ns0:c r="R499" s="114">
        <ns0:f>IF(COUNTA($A499:$M499)=0,"",IF(OR($U499="Subscription",$U499=""),"",IF($U499="Estimate","N/A",IF($U499="Draw",$H499,0))))</ns0:f>
      </ns0:c>
      <ns0:c r="S499" s="114">
        <ns0:f>IF(COUNTA($A499:$M499)=0,"",IF(OR($U499="Subscription",$U499=""),"",IF($U499="Estimate","N/A",IF($U499="Disqualified",$H499,0))))</ns0:f>
      </ns0:c>
      <ns0:c r="T499" s="955">
        <ns0:f>IF(COUNTA($A499:$M499)=0,"",IF(OR($U499="Subscription",$U499=""),"",IF($U499="Estimate","N/A",IF(OR($U499="Free Game",$U499="Disqualified — Free Game",$H499=0),"N/A",IF($U499="Profit",$Q499/$H499,IF($U499="Disqualified",-$S499/$H499,0))))))</ns0:f>
      </ns0:c>
      <ns0:c r="U499" s="920">
        <ns0:f>IF(COUNTA($A499:$M499)=0,"",IF(OR(LEFT(LOWER(TRIM($F499&amp;"")),12)="subscription",LOWER(TRIM($F499&amp;""))="membership"),"Subscription",IF(LOWER(TRIM($D499&amp;""))="estimate","Estimate",IF(OR(AND($H499&lt;&gt;"",$H499=0),LEFT(LOWER(TRIM($F499&amp;"")),9)="free game",LOWER(TRIM($F499&amp;""))="free",LOWER(TRIM($F499&amp;""))="free entry"),IF(LOWER($L499&amp;"")="yes","Disqualified — Free Game","Free Game"),IF(LOWER($L499&amp;"")="yes","Disqualified",IF($P499="","",IF(ROUND(IFERROR(VALUE($P499),0)-IFERROR(VALUE($H499),0),2)&gt;0,"Profit","Draw")))))))</ns0:f>
      </ns0:c>
      <ns0:c r="V499" s="956" t="str">
        <ns0:f>IF(COUNTA($A499:$M499)=0,"",IF(OR($B499="",$C499="",$U499="Subscription"),"",IFERROR(ROUNDUP(($C499-$B499)/7,0),"")))</ns0:f>
      </ns0:c>
      <ns0:c r="W499" s="114">
        <ns0:f>IF(COUNTA($A499:$M499)=0,"",IF(OR($U499="Subscription",$U499=""),"",IF($U499="Estimate","N/A",IF(OR($U499="Free Game",$U499="Disqualified — Free Game"),0,ROUND(IFERROR($Q499,0)-IFERROR($S499,0),2)))))</ns0:f>
      </ns0:c>
      <ns0:c r="X499" s="956" t="str">
        <ns0:f>IF(COUNTA($A499:$M499)=0,"",IF(OR($U499="Subscription",NOT(ISNUMBER($J499)),NOT(ISNUMBER($I499)),$J499=0,$I499=0,$I499&gt;$J499),"",$J499-$I499))</ns0:f>
      </ns0:c>
      <ns0:c r="Y499" s="955" t="str">
        <ns0:f>IF(COUNTA($A499:$M499)=0,"",IF(OR($U499="Subscription",NOT(ISNUMBER($J499)),$J499=0,$X499=""),"",$X499/$J499))</ns0:f>
      </ns0:c>
      <ns0:c r="Z499" s="957" t="str">
        <ns0:f>IF(COUNTA($A499:$M499)=0,"",Instructions!$B$29+SUM($W$5:W499))</ns0:f>
      </ns0:c>
    </ns0:row>
    <ns0:row r="500" ht="36" customHeight="1">
      <ns0:c r="A500" s="439"/>
      <ns0:c r="B500" s="453"/>
      <ns0:c r="C500" s="453"/>
      <ns0:c r="D500" s="454"/>
      <ns0:c r="E500" s="454"/>
      <ns0:c r="F500" s="454"/>
      <ns0:c r="G500" s="986"/>
      <ns0:c r="H500" s="455"/>
      <ns0:c r="I500" s="456"/>
      <ns0:c r="J500" s="456"/>
      <ns0:c r="K500" s="986"/>
      <ns0:c r="L500" s="454"/>
      <ns0:c r="M500" s="439"/>
      <ns0:c r="N500" s="987" t="str">
        <ns0:f>IF(COUNTA($A500:$M500)=0,"",IF(OR(LEFT(LOWER(TRIM($F500&amp;"")),12)="subscription",LOWER(TRIM($F500&amp;""))="membership"),"",IF(OR(AND($H500&lt;&gt;"",$H500=0),LEFT(LOWER(TRIM($F500&amp;"")),9)="free game",LOWER(TRIM($F500&amp;""))="free",LOWER(TRIM($F500&amp;""))="free entry"),IF(ISNUMBER($G500),IF(ISNUMBER(SEARCH("non",LOWER($E500&amp;""))),$G500*0.85,$G500),"N/A"),IF($G500="","",IFERROR(IF(ISNUMBER(SEARCH("non",LOWER($E500&amp;""))),$G500*0.85,$G500),"")))))</ns0:f>
        <ns0:v/>
      </ns0:c>
      <ns0:c r="O500" s="987" t="str">
        <ns0:f>IF(COUNTA($A500:$M500)=0,"",IF(OR(LEFT(LOWER(TRIM($F500&amp;"")),12)="subscription",LOWER(TRIM($F500&amp;""))="membership"),"",IF(OR(AND($H500&lt;&gt;"",$H500=0),LEFT(LOWER(TRIM($F500&amp;"")),9)="free game",LOWER(TRIM($F500&amp;""))="free",LOWER(TRIM($F500&amp;""))="free entry"),IF(OR(NOT(ISNUMBER($N500)),NOT(ISNUMBER($I500)),$I500=0),"N/A",IFERROR($N500/$I500,"N/A")),IF(OR($N500="",$I500="",$I500=0),"",IFERROR($N500/$I500,"")))))</ns0:f>
        <ns0:v/>
      </ns0:c>
      <ns0:c r="P500" s="987">
        <ns0:f>IF(COUNTA($A500:$M500)=0,"",IF(OR(LEFT(LOWER(TRIM($F500&amp;"")),12)="subscription",LOWER(TRIM($F500&amp;""))="membership"),"",IF(LOWER(TRIM($D500&amp;""))="estimate","N/A",IF(LOWER($L500&amp;"")="yes",0,IF(OR(AND($H500&lt;&gt;"",$H500=0),LEFT(LOWER(TRIM($F500&amp;"")),9)="free game",LOWER(TRIM($F500&amp;""))="free",LOWER(TRIM($F500&amp;""))="free entry"),IF(ISNUMBER($K500),$K500,""),IF($K500&lt;&gt;"",$K500,""))))))</ns0:f>
      </ns0:c>
      <ns0:c r="Q500" s="114">
        <ns0:f>IF(COUNTA($A500:$M500)=0,"",IF(OR($U500="Subscription",$U500=""),"",IF($U500="Estimate","N/A",IF($U500="Profit",ROUND(IFERROR($P500,0)-IFERROR($H500,0),2),0))))</ns0:f>
      </ns0:c>
      <ns0:c r="R500" s="114">
        <ns0:f>IF(COUNTA($A500:$M500)=0,"",IF(OR($U500="Subscription",$U500=""),"",IF($U500="Estimate","N/A",IF($U500="Draw",$H500,0))))</ns0:f>
      </ns0:c>
      <ns0:c r="S500" s="114">
        <ns0:f>IF(COUNTA($A500:$M500)=0,"",IF(OR($U500="Subscription",$U500=""),"",IF($U500="Estimate","N/A",IF($U500="Disqualified",$H500,0))))</ns0:f>
      </ns0:c>
      <ns0:c r="T500" s="955">
        <ns0:f>IF(COUNTA($A500:$M500)=0,"",IF(OR($U500="Subscription",$U500=""),"",IF($U500="Estimate","N/A",IF(OR($U500="Free Game",$U500="Disqualified — Free Game",$H500=0),"N/A",IF($U500="Profit",$Q500/$H500,IF($U500="Disqualified",-$S500/$H500,0))))))</ns0:f>
      </ns0:c>
      <ns0:c r="U500" s="920">
        <ns0:f>IF(COUNTA($A500:$M500)=0,"",IF(OR(LEFT(LOWER(TRIM($F500&amp;"")),12)="subscription",LOWER(TRIM($F500&amp;""))="membership"),"Subscription",IF(LOWER(TRIM($D500&amp;""))="estimate","Estimate",IF(OR(AND($H500&lt;&gt;"",$H500=0),LEFT(LOWER(TRIM($F500&amp;"")),9)="free game",LOWER(TRIM($F500&amp;""))="free",LOWER(TRIM($F500&amp;""))="free entry"),IF(LOWER($L500&amp;"")="yes","Disqualified — Free Game","Free Game"),IF(LOWER($L500&amp;"")="yes","Disqualified",IF($P500="","",IF(ROUND(IFERROR(VALUE($P500),0)-IFERROR(VALUE($H500),0),2)&gt;0,"Profit","Draw")))))))</ns0:f>
      </ns0:c>
      <ns0:c r="V500" s="956" t="str">
        <ns0:f>IF(COUNTA($A500:$M500)=0,"",IF(OR($B500="",$C500="",$U500="Subscription"),"",IFERROR(ROUNDUP(($C500-$B500)/7,0),"")))</ns0:f>
      </ns0:c>
      <ns0:c r="W500" s="114">
        <ns0:f>IF(COUNTA($A500:$M500)=0,"",IF(OR($U500="Subscription",$U500=""),"",IF($U500="Estimate","N/A",IF(OR($U500="Free Game",$U500="Disqualified — Free Game"),0,ROUND(IFERROR($Q500,0)-IFERROR($S500,0),2)))))</ns0:f>
      </ns0:c>
      <ns0:c r="X500" s="956" t="str">
        <ns0:f>IF(COUNTA($A500:$M500)=0,"",IF(OR($U500="Subscription",NOT(ISNUMBER($J500)),NOT(ISNUMBER($I500)),$J500=0,$I500=0,$I500&gt;$J500),"",$J500-$I500))</ns0:f>
      </ns0:c>
      <ns0:c r="Y500" s="955" t="str">
        <ns0:f>IF(COUNTA($A500:$M500)=0,"",IF(OR($U500="Subscription",NOT(ISNUMBER($J500)),$J500=0,$X500=""),"",$X500/$J500))</ns0:f>
      </ns0:c>
      <ns0:c r="Z500" s="957" t="str">
        <ns0:f>IF(COUNTA($A500:$M500)=0,"",Instructions!$B$29+SUM($W$5:W500))</ns0:f>
      </ns0:c>
    </ns0:row>
    <ns0:row r="501" ht="36" customHeight="1">
      <ns0:c r="A501" s="439"/>
      <ns0:c r="B501" s="453"/>
      <ns0:c r="C501" s="453"/>
      <ns0:c r="D501" s="454"/>
      <ns0:c r="E501" s="454"/>
      <ns0:c r="F501" s="454"/>
      <ns0:c r="G501" s="986"/>
      <ns0:c r="H501" s="455"/>
      <ns0:c r="I501" s="456"/>
      <ns0:c r="J501" s="456"/>
      <ns0:c r="K501" s="986"/>
      <ns0:c r="L501" s="454"/>
      <ns0:c r="M501" s="439"/>
      <ns0:c r="N501" s="988" t="str">
        <ns0:f>IF(COUNTA($A501:$M501)=0,"",IF(OR(LEFT(LOWER(TRIM($F501&amp;"")),12)="subscription",LOWER(TRIM($F501&amp;""))="membership"),"",IF(OR(AND($H501&lt;&gt;"",$H501=0),LEFT(LOWER(TRIM($F501&amp;"")),9)="free game",LOWER(TRIM($F501&amp;""))="free",LOWER(TRIM($F501&amp;""))="free entry"),IF(ISNUMBER($G501),IF(ISNUMBER(SEARCH("non",LOWER($E501&amp;""))),$G501*0.85,$G501),"N/A"),IF($G501="","",IFERROR(IF(ISNUMBER(SEARCH("non",LOWER($E501&amp;""))),$G501*0.85,$G501),"")))))</ns0:f>
        <ns0:v/>
      </ns0:c>
      <ns0:c r="O501" s="988" t="str">
        <ns0:f>IF(COUNTA($A501:$M501)=0,"",IF(OR(LEFT(LOWER(TRIM($F501&amp;"")),12)="subscription",LOWER(TRIM($F501&amp;""))="membership"),"",IF(OR(AND($H501&lt;&gt;"",$H501=0),LEFT(LOWER(TRIM($F501&amp;"")),9)="free game",LOWER(TRIM($F501&amp;""))="free",LOWER(TRIM($F501&amp;""))="free entry"),IF(OR(NOT(ISNUMBER($N501)),NOT(ISNUMBER($I501)),$I501=0),"N/A",IFERROR($N501/$I501,"N/A")),IF(OR($N501="",$I501="",$I501=0),"",IFERROR($N501/$I501,"")))))</ns0:f>
        <ns0:v/>
      </ns0:c>
      <ns0:c r="P501" s="988">
        <ns0:f>IF(COUNTA($A501:$M501)=0,"",IF(OR(LEFT(LOWER(TRIM($F501&amp;"")),12)="subscription",LOWER(TRIM($F501&amp;""))="membership"),"",IF(LOWER(TRIM($D501&amp;""))="estimate","N/A",IF(LOWER($L501&amp;"")="yes",0,IF(OR(AND($H501&lt;&gt;"",$H501=0),LEFT(LOWER(TRIM($F501&amp;"")),9)="free game",LOWER(TRIM($F501&amp;""))="free",LOWER(TRIM($F501&amp;""))="free entry"),IF(ISNUMBER($K501),$K501,""),IF($K501&lt;&gt;"",$K501,""))))))</ns0:f>
      </ns0:c>
      <ns0:c r="Q501" s="958">
        <ns0:f>IF(COUNTA($A501:$M501)=0,"",IF(OR($U501="Subscription",$U501=""),"",IF($U501="Estimate","N/A",IF($U501="Profit",ROUND(IFERROR($P501,0)-IFERROR($H501,0),2),0))))</ns0:f>
      </ns0:c>
      <ns0:c r="R501" s="958">
        <ns0:f>IF(COUNTA($A501:$M501)=0,"",IF(OR($U501="Subscription",$U501=""),"",IF($U501="Estimate","N/A",IF($U501="Draw",$H501,0))))</ns0:f>
      </ns0:c>
      <ns0:c r="S501" s="958">
        <ns0:f>IF(COUNTA($A501:$M501)=0,"",IF(OR($U501="Subscription",$U501=""),"",IF($U501="Estimate","N/A",IF($U501="Disqualified",$H501,0))))</ns0:f>
      </ns0:c>
      <ns0:c r="T501" s="959">
        <ns0:f>IF(COUNTA($A501:$M501)=0,"",IF(OR($U501="Subscription",$U501=""),"",IF($U501="Estimate","N/A",IF(OR($U501="Free Game",$U501="Disqualified — Free Game",$H501=0),"N/A",IF($U501="Profit",$Q501/$H501,IF($U501="Disqualified",-$S501/$H501,0))))))</ns0:f>
      </ns0:c>
      <ns0:c r="U501" s="920">
        <ns0:f>IF(COUNTA($A501:$M501)=0,"",IF(OR(LEFT(LOWER(TRIM($F501&amp;"")),12)="subscription",LOWER(TRIM($F501&amp;""))="membership"),"Subscription",IF(LOWER(TRIM($D501&amp;""))="estimate","Estimate",IF(OR(AND($H501&lt;&gt;"",$H501=0),LEFT(LOWER(TRIM($F501&amp;"")),9)="free game",LOWER(TRIM($F501&amp;""))="free",LOWER(TRIM($F501&amp;""))="free entry"),IF(LOWER($L501&amp;"")="yes","Disqualified — Free Game","Free Game"),IF(LOWER($L501&amp;"")="yes","Disqualified",IF($P501="","",IF(ROUND(IFERROR(VALUE($P501),0)-IFERROR(VALUE($H501),0),2)&gt;0,"Profit","Draw")))))))</ns0:f>
      </ns0:c>
      <ns0:c r="V501" s="960" t="str">
        <ns0:f>IF(COUNTA($A501:$M501)=0,"",IF(OR($B501="",$C501="",$U501="Subscription"),"",IFERROR(ROUNDUP(($C501-$B501)/7,0),"")))</ns0:f>
      </ns0:c>
      <ns0:c r="W501" s="958">
        <ns0:f>IF(COUNTA($A501:$M501)=0,"",IF(OR($U501="Subscription",$U501=""),"",IF($U501="Estimate","N/A",IF(OR($U501="Free Game",$U501="Disqualified — Free Game"),0,ROUND(IFERROR($Q501,0)-IFERROR($S501,0),2)))))</ns0:f>
      </ns0:c>
      <ns0:c r="X501" s="960" t="str">
        <ns0:f>IF(COUNTA($A501:$M501)=0,"",IF(OR($U501="Subscription",NOT(ISNUMBER($J501)),NOT(ISNUMBER($I501)),$J501=0,$I501=0,$I501&gt;$J501),"",$J501-$I501))</ns0:f>
      </ns0:c>
      <ns0:c r="Y501" s="959" t="str">
        <ns0:f>IF(COUNTA($A501:$M501)=0,"",IF(OR($U501="Subscription",NOT(ISNUMBER($J501)),$J501=0,$X501=""),"",$X501/$J501))</ns0:f>
      </ns0:c>
      <ns0:c r="Z501" s="958" t="str">
        <ns0:f>IF(COUNTA($A501:$M501)=0,"",Instructions!$B$29+SUM($W$5:W501))</ns0:f>
      </ns0:c>
    </ns0:row>
    <ns0:row r="502" ht="36" customHeight="1">
      <ns0:c r="A502" s="439"/>
      <ns0:c r="B502" s="453"/>
      <ns0:c r="C502" s="453"/>
      <ns0:c r="D502" s="454"/>
      <ns0:c r="E502" s="454"/>
      <ns0:c r="F502" s="454"/>
      <ns0:c r="G502" s="986"/>
      <ns0:c r="H502" s="455"/>
      <ns0:c r="I502" s="456"/>
      <ns0:c r="J502" s="456"/>
      <ns0:c r="K502" s="986"/>
      <ns0:c r="L502" s="454"/>
      <ns0:c r="M502" s="439"/>
      <ns0:c r="N502" s="988" t="str">
        <ns0:f>IF(COUNTA($A502:$M502)=0,"",IF(OR(LEFT(LOWER(TRIM($F502&amp;"")),12)="subscription",LOWER(TRIM($F502&amp;""))="membership"),"",IF(OR(AND($H502&lt;&gt;"",$H502=0),LEFT(LOWER(TRIM($F502&amp;"")),9)="free game",LOWER(TRIM($F502&amp;""))="free",LOWER(TRIM($F502&amp;""))="free entry"),IF(ISNUMBER($G502),IF(ISNUMBER(SEARCH("non",LOWER($E502&amp;""))),$G502*0.85,$G502),"N/A"),IF($G502="","",IFERROR(IF(ISNUMBER(SEARCH("non",LOWER($E502&amp;""))),$G502*0.85,$G502),"")))))</ns0:f>
        <ns0:v/>
      </ns0:c>
      <ns0:c r="O502" s="988" t="str">
        <ns0:f>IF(COUNTA($A502:$M502)=0,"",IF(OR(LEFT(LOWER(TRIM($F502&amp;"")),12)="subscription",LOWER(TRIM($F502&amp;""))="membership"),"",IF(OR(AND($H502&lt;&gt;"",$H502=0),LEFT(LOWER(TRIM($F502&amp;"")),9)="free game",LOWER(TRIM($F502&amp;""))="free",LOWER(TRIM($F502&amp;""))="free entry"),IF(OR(NOT(ISNUMBER($N502)),NOT(ISNUMBER($I502)),$I502=0),"N/A",IFERROR($N502/$I502,"N/A")),IF(OR($N502="",$I502="",$I502=0),"",IFERROR($N502/$I502,"")))))</ns0:f>
        <ns0:v/>
      </ns0:c>
      <ns0:c r="P502" s="988">
        <ns0:f>IF(COUNTA($A502:$M502)=0,"",IF(OR(LEFT(LOWER(TRIM($F502&amp;"")),12)="subscription",LOWER(TRIM($F502&amp;""))="membership"),"",IF(LOWER(TRIM($D502&amp;""))="estimate","N/A",IF(LOWER($L502&amp;"")="yes",0,IF(OR(AND($H502&lt;&gt;"",$H502=0),LEFT(LOWER(TRIM($F502&amp;"")),9)="free game",LOWER(TRIM($F502&amp;""))="free",LOWER(TRIM($F502&amp;""))="free entry"),IF(ISNUMBER($K502),$K502,""),IF($K502&lt;&gt;"",$K502,""))))))</ns0:f>
      </ns0:c>
      <ns0:c r="Q502" s="958">
        <ns0:f>IF(COUNTA($A502:$M502)=0,"",IF(OR($U502="Subscription",$U502=""),"",IF($U502="Estimate","N/A",IF($U502="Profit",ROUND(IFERROR($P502,0)-IFERROR($H502,0),2),0))))</ns0:f>
      </ns0:c>
      <ns0:c r="R502" s="958">
        <ns0:f>IF(COUNTA($A502:$M502)=0,"",IF(OR($U502="Subscription",$U502=""),"",IF($U502="Estimate","N/A",IF($U502="Draw",$H502,0))))</ns0:f>
      </ns0:c>
      <ns0:c r="S502" s="958">
        <ns0:f>IF(COUNTA($A502:$M502)=0,"",IF(OR($U502="Subscription",$U502=""),"",IF($U502="Estimate","N/A",IF($U502="Disqualified",$H502,0))))</ns0:f>
      </ns0:c>
      <ns0:c r="T502" s="959">
        <ns0:f>IF(COUNTA($A502:$M502)=0,"",IF(OR($U502="Subscription",$U502=""),"",IF($U502="Estimate","N/A",IF(OR($U502="Free Game",$U502="Disqualified — Free Game",$H502=0),"N/A",IF($U502="Profit",$Q502/$H502,IF($U502="Disqualified",-$S502/$H502,0))))))</ns0:f>
      </ns0:c>
      <ns0:c r="U502" s="920">
        <ns0:f>IF(COUNTA($A502:$M502)=0,"",IF(OR(LEFT(LOWER(TRIM($F502&amp;"")),12)="subscription",LOWER(TRIM($F502&amp;""))="membership"),"Subscription",IF(LOWER(TRIM($D502&amp;""))="estimate","Estimate",IF(OR(AND($H502&lt;&gt;"",$H502=0),LEFT(LOWER(TRIM($F502&amp;"")),9)="free game",LOWER(TRIM($F502&amp;""))="free",LOWER(TRIM($F502&amp;""))="free entry"),IF(LOWER($L502&amp;"")="yes","Disqualified — Free Game","Free Game"),IF(LOWER($L502&amp;"")="yes","Disqualified",IF($P502="","",IF(ROUND(IFERROR(VALUE($P502),0)-IFERROR(VALUE($H502),0),2)&gt;0,"Profit","Draw")))))))</ns0:f>
      </ns0:c>
      <ns0:c r="V502" s="960" t="str">
        <ns0:f>IF(COUNTA($A502:$M502)=0,"",IF(OR($B502="",$C502="",$U502="Subscription"),"",IFERROR(ROUNDUP(($C502-$B502)/7,0),"")))</ns0:f>
      </ns0:c>
      <ns0:c r="W502" s="958">
        <ns0:f>IF(COUNTA($A502:$M502)=0,"",IF(OR($U502="Subscription",$U502=""),"",IF($U502="Estimate","N/A",IF(OR($U502="Free Game",$U502="Disqualified — Free Game"),0,ROUND(IFERROR($Q502,0)-IFERROR($S502,0),2)))))</ns0:f>
      </ns0:c>
      <ns0:c r="X502" s="960" t="str">
        <ns0:f>IF(COUNTA($A502:$M502)=0,"",IF(OR($U502="Subscription",NOT(ISNUMBER($J502)),NOT(ISNUMBER($I502)),$J502=0,$I502=0,$I502&gt;$J502),"",$J502-$I502))</ns0:f>
      </ns0:c>
      <ns0:c r="Y502" s="959" t="str">
        <ns0:f>IF(COUNTA($A502:$M502)=0,"",IF(OR($U502="Subscription",NOT(ISNUMBER($J502)),$J502=0,$X502=""),"",$X502/$J502))</ns0:f>
      </ns0:c>
      <ns0:c r="Z502" s="958" t="str">
        <ns0:f>IF(COUNTA($A502:$M502)=0,"",Instructions!$B$29+SUM($W$5:W502))</ns0:f>
      </ns0:c>
    </ns0:row>
    <ns0:row r="503" ht="36" customHeight="1">
      <ns0:c r="A503" s="439"/>
      <ns0:c r="B503" s="453"/>
      <ns0:c r="C503" s="453"/>
      <ns0:c r="D503" s="454"/>
      <ns0:c r="E503" s="454"/>
      <ns0:c r="F503" s="454"/>
      <ns0:c r="G503" s="986"/>
      <ns0:c r="H503" s="455"/>
      <ns0:c r="I503" s="456"/>
      <ns0:c r="J503" s="456"/>
      <ns0:c r="K503" s="986"/>
      <ns0:c r="L503" s="454"/>
      <ns0:c r="M503" s="439"/>
      <ns0:c r="N503" s="988" t="str">
        <ns0:f>IF(COUNTA($A503:$M503)=0,"",IF(OR(LEFT(LOWER(TRIM($F503&amp;"")),12)="subscription",LOWER(TRIM($F503&amp;""))="membership"),"",IF(OR(AND($H503&lt;&gt;"",$H503=0),LEFT(LOWER(TRIM($F503&amp;"")),9)="free game",LOWER(TRIM($F503&amp;""))="free",LOWER(TRIM($F503&amp;""))="free entry"),IF(ISNUMBER($G503),IF(ISNUMBER(SEARCH("non",LOWER($E503&amp;""))),$G503*0.85,$G503),"N/A"),IF($G503="","",IFERROR(IF(ISNUMBER(SEARCH("non",LOWER($E503&amp;""))),$G503*0.85,$G503),"")))))</ns0:f>
        <ns0:v/>
      </ns0:c>
      <ns0:c r="O503" s="988" t="str">
        <ns0:f>IF(COUNTA($A503:$M503)=0,"",IF(OR(LEFT(LOWER(TRIM($F503&amp;"")),12)="subscription",LOWER(TRIM($F503&amp;""))="membership"),"",IF(OR(AND($H503&lt;&gt;"",$H503=0),LEFT(LOWER(TRIM($F503&amp;"")),9)="free game",LOWER(TRIM($F503&amp;""))="free",LOWER(TRIM($F503&amp;""))="free entry"),IF(OR(NOT(ISNUMBER($N503)),NOT(ISNUMBER($I503)),$I503=0),"N/A",IFERROR($N503/$I503,"N/A")),IF(OR($N503="",$I503="",$I503=0),"",IFERROR($N503/$I503,"")))))</ns0:f>
        <ns0:v/>
      </ns0:c>
      <ns0:c r="P503" s="988">
        <ns0:f>IF(COUNTA($A503:$M503)=0,"",IF(OR(LEFT(LOWER(TRIM($F503&amp;"")),12)="subscription",LOWER(TRIM($F503&amp;""))="membership"),"",IF(LOWER(TRIM($D503&amp;""))="estimate","N/A",IF(LOWER($L503&amp;"")="yes",0,IF(OR(AND($H503&lt;&gt;"",$H503=0),LEFT(LOWER(TRIM($F503&amp;"")),9)="free game",LOWER(TRIM($F503&amp;""))="free",LOWER(TRIM($F503&amp;""))="free entry"),IF(ISNUMBER($K503),$K503,""),IF($K503&lt;&gt;"",$K503,""))))))</ns0:f>
      </ns0:c>
      <ns0:c r="Q503" s="958">
        <ns0:f>IF(COUNTA($A503:$M503)=0,"",IF(OR($U503="Subscription",$U503=""),"",IF($U503="Estimate","N/A",IF($U503="Profit",ROUND(IFERROR($P503,0)-IFERROR($H503,0),2),0))))</ns0:f>
      </ns0:c>
      <ns0:c r="R503" s="958">
        <ns0:f>IF(COUNTA($A503:$M503)=0,"",IF(OR($U503="Subscription",$U503=""),"",IF($U503="Estimate","N/A",IF($U503="Draw",$H503,0))))</ns0:f>
      </ns0:c>
      <ns0:c r="S503" s="958">
        <ns0:f>IF(COUNTA($A503:$M503)=0,"",IF(OR($U503="Subscription",$U503=""),"",IF($U503="Estimate","N/A",IF($U503="Disqualified",$H503,0))))</ns0:f>
      </ns0:c>
      <ns0:c r="T503" s="959">
        <ns0:f>IF(COUNTA($A503:$M503)=0,"",IF(OR($U503="Subscription",$U503=""),"",IF($U503="Estimate","N/A",IF(OR($U503="Free Game",$U503="Disqualified — Free Game",$H503=0),"N/A",IF($U503="Profit",$Q503/$H503,IF($U503="Disqualified",-$S503/$H503,0))))))</ns0:f>
      </ns0:c>
      <ns0:c r="U503" s="920">
        <ns0:f>IF(COUNTA($A503:$M503)=0,"",IF(OR(LEFT(LOWER(TRIM($F503&amp;"")),12)="subscription",LOWER(TRIM($F503&amp;""))="membership"),"Subscription",IF(LOWER(TRIM($D503&amp;""))="estimate","Estimate",IF(OR(AND($H503&lt;&gt;"",$H503=0),LEFT(LOWER(TRIM($F503&amp;"")),9)="free game",LOWER(TRIM($F503&amp;""))="free",LOWER(TRIM($F503&amp;""))="free entry"),IF(LOWER($L503&amp;"")="yes","Disqualified — Free Game","Free Game"),IF(LOWER($L503&amp;"")="yes","Disqualified",IF($P503="","",IF(ROUND(IFERROR(VALUE($P503),0)-IFERROR(VALUE($H503),0),2)&gt;0,"Profit","Draw")))))))</ns0:f>
      </ns0:c>
      <ns0:c r="V503" s="960" t="str">
        <ns0:f>IF(COUNTA($A503:$M503)=0,"",IF(OR($B503="",$C503="",$U503="Subscription"),"",IFERROR(ROUNDUP(($C503-$B503)/7,0),"")))</ns0:f>
      </ns0:c>
      <ns0:c r="W503" s="958">
        <ns0:f>IF(COUNTA($A503:$M503)=0,"",IF(OR($U503="Subscription",$U503=""),"",IF($U503="Estimate","N/A",IF(OR($U503="Free Game",$U503="Disqualified — Free Game"),0,ROUND(IFERROR($Q503,0)-IFERROR($S503,0),2)))))</ns0:f>
      </ns0:c>
      <ns0:c r="X503" s="960" t="str">
        <ns0:f>IF(COUNTA($A503:$M503)=0,"",IF(OR($U503="Subscription",NOT(ISNUMBER($J503)),NOT(ISNUMBER($I503)),$J503=0,$I503=0,$I503&gt;$J503),"",$J503-$I503))</ns0:f>
      </ns0:c>
      <ns0:c r="Y503" s="959" t="str">
        <ns0:f>IF(COUNTA($A503:$M503)=0,"",IF(OR($U503="Subscription",NOT(ISNUMBER($J503)),$J503=0,$X503=""),"",$X503/$J503))</ns0:f>
      </ns0:c>
      <ns0:c r="Z503" s="958" t="str">
        <ns0:f>IF(COUNTA($A503:$M503)=0,"",Instructions!$B$29+SUM($W$5:W503))</ns0:f>
      </ns0:c>
    </ns0:row>
    <ns0:row r="504" ht="36" customHeight="1">
      <ns0:c r="A504" s="439"/>
      <ns0:c r="B504" s="449"/>
      <ns0:c r="C504" s="449"/>
      <ns0:c r="D504" s="450"/>
      <ns0:c r="E504" s="450"/>
      <ns0:c r="F504" s="450"/>
      <ns0:c r="G504" s="985"/>
      <ns0:c r="H504" s="451"/>
      <ns0:c r="I504" s="452"/>
      <ns0:c r="J504" s="452"/>
      <ns0:c r="K504" s="985"/>
      <ns0:c r="L504" s="450"/>
      <ns0:c r="M504" s="439"/>
      <ns0:c r="N504" s="988" t="str">
        <ns0:f>IF(COUNTA($A504:$M504)=0,"",IF(OR(LEFT(LOWER(TRIM($F504&amp;"")),12)="subscription",LOWER(TRIM($F504&amp;""))="membership"),"",IF(OR(AND($H504&lt;&gt;"",$H504=0),LEFT(LOWER(TRIM($F504&amp;"")),9)="free game",LOWER(TRIM($F504&amp;""))="free",LOWER(TRIM($F504&amp;""))="free entry"),IF(ISNUMBER($G504),IF(ISNUMBER(SEARCH("non",LOWER($E504&amp;""))),$G504*0.85,$G504),"N/A"),IF($G504="","",IFERROR(IF(ISNUMBER(SEARCH("non",LOWER($E504&amp;""))),$G504*0.85,$G504),"")))))</ns0:f>
        <ns0:v/>
      </ns0:c>
      <ns0:c r="O504" s="988" t="str">
        <ns0:f>IF(COUNTA($A504:$M504)=0,"",IF(OR(LEFT(LOWER(TRIM($F504&amp;"")),12)="subscription",LOWER(TRIM($F504&amp;""))="membership"),"",IF(OR(AND($H504&lt;&gt;"",$H504=0),LEFT(LOWER(TRIM($F504&amp;"")),9)="free game",LOWER(TRIM($F504&amp;""))="free",LOWER(TRIM($F504&amp;""))="free entry"),IF(OR(NOT(ISNUMBER($N504)),NOT(ISNUMBER($I504)),$I504=0),"N/A",IFERROR($N504/$I504,"N/A")),IF(OR($N504="",$I504="",$I504=0),"",IFERROR($N504/$I504,"")))))</ns0:f>
        <ns0:v/>
      </ns0:c>
      <ns0:c r="P504" s="988">
        <ns0:f>IF(COUNTA($A504:$M504)=0,"",IF(OR(LEFT(LOWER(TRIM($F504&amp;"")),12)="subscription",LOWER(TRIM($F504&amp;""))="membership"),"",IF(LOWER(TRIM($D504&amp;""))="estimate","N/A",IF(LOWER($L504&amp;"")="yes",0,IF(OR(AND($H504&lt;&gt;"",$H504=0),LEFT(LOWER(TRIM($F504&amp;"")),9)="free game",LOWER(TRIM($F504&amp;""))="free",LOWER(TRIM($F504&amp;""))="free entry"),IF(ISNUMBER($K504),$K504,""),IF($K504&lt;&gt;"",$K504,""))))))</ns0:f>
      </ns0:c>
      <ns0:c r="Q504" s="958">
        <ns0:f>IF(COUNTA($A504:$M504)=0,"",IF(OR($U504="Subscription",$U504=""),"",IF($U504="Estimate","N/A",IF($U504="Profit",ROUND(IFERROR($P504,0)-IFERROR($H504,0),2),0))))</ns0:f>
      </ns0:c>
      <ns0:c r="R504" s="958">
        <ns0:f>IF(COUNTA($A504:$M504)=0,"",IF(OR($U504="Subscription",$U504=""),"",IF($U504="Estimate","N/A",IF($U504="Draw",$H504,0))))</ns0:f>
      </ns0:c>
      <ns0:c r="S504" s="958">
        <ns0:f>IF(COUNTA($A504:$M504)=0,"",IF(OR($U504="Subscription",$U504=""),"",IF($U504="Estimate","N/A",IF($U504="Disqualified",$H504,0))))</ns0:f>
      </ns0:c>
      <ns0:c r="T504" s="959">
        <ns0:f>IF(COUNTA($A504:$M504)=0,"",IF(OR($U504="Subscription",$U504=""),"",IF($U504="Estimate","N/A",IF(OR($U504="Free Game",$U504="Disqualified — Free Game",$H504=0),"N/A",IF($U504="Profit",$Q504/$H504,IF($U504="Disqualified",-$S504/$H504,0))))))</ns0:f>
      </ns0:c>
      <ns0:c r="U504" s="920">
        <ns0:f>IF(COUNTA($A504:$M504)=0,"",IF(OR(LEFT(LOWER(TRIM($F504&amp;"")),12)="subscription",LOWER(TRIM($F504&amp;""))="membership"),"Subscription",IF(LOWER(TRIM($D504&amp;""))="estimate","Estimate",IF(OR(AND($H504&lt;&gt;"",$H504=0),LEFT(LOWER(TRIM($F504&amp;"")),9)="free game",LOWER(TRIM($F504&amp;""))="free",LOWER(TRIM($F504&amp;""))="free entry"),IF(LOWER($L504&amp;"")="yes","Disqualified — Free Game","Free Game"),IF(LOWER($L504&amp;"")="yes","Disqualified",IF($P504="","",IF(ROUND(IFERROR(VALUE($P504),0)-IFERROR(VALUE($H504),0),2)&gt;0,"Profit","Draw")))))))</ns0:f>
      </ns0:c>
      <ns0:c r="V504" s="960" t="str">
        <ns0:f>IF(COUNTA($A504:$M504)=0,"",IF(OR($B504="",$C504="",$U504="Subscription"),"",IFERROR(ROUNDUP(($C504-$B504)/7,0),"")))</ns0:f>
      </ns0:c>
      <ns0:c r="W504" s="958">
        <ns0:f>IF(COUNTA($A504:$M504)=0,"",IF(OR($U504="Subscription",$U504=""),"",IF($U504="Estimate","N/A",IF(OR($U504="Free Game",$U504="Disqualified — Free Game"),0,ROUND(IFERROR($Q504,0)-IFERROR($S504,0),2)))))</ns0:f>
      </ns0:c>
      <ns0:c r="X504" s="960" t="str">
        <ns0:f>IF(COUNTA($A504:$M504)=0,"",IF(OR($U504="Subscription",NOT(ISNUMBER($J504)),NOT(ISNUMBER($I504)),$J504=0,$I504=0,$I504&gt;$J504),"",$J504-$I504))</ns0:f>
      </ns0:c>
      <ns0:c r="Y504" s="959" t="str">
        <ns0:f>IF(COUNTA($A504:$M504)=0,"",IF(OR($U504="Subscription",NOT(ISNUMBER($J504)),$J504=0,$X504=""),"",$X504/$J504))</ns0:f>
      </ns0:c>
      <ns0:c r="Z504" s="958" t="str">
        <ns0:f>IF(COUNTA($A504:$M504)=0,"",Instructions!$B$29+SUM($W$5:W504))</ns0:f>
      </ns0:c>
    </ns0:row>
    <ns0:row r="505" ht="44" customHeight="1">
      <ns0:c r="A505" s="198" t="str">
        <ns0:v>END OF WORKBOOK — 500 RECORD ROWS USED. ARCHIVE THIS FILE AND BEGIN A FRESH COPY. DO NOT ENTER RECORDS BELOW THIS ROW.</ns0:v>
      </ns0:c>
      <ns0:c r="B505" s="198"/>
      <ns0:c r="C505" s="198"/>
      <ns0:c r="D505" s="198"/>
      <ns0:c r="E505" s="198"/>
      <ns0:c r="F505" s="198"/>
      <ns0:c r="G505" s="198"/>
      <ns0:c r="H505" s="198"/>
      <ns0:c r="I505" s="198"/>
      <ns0:c r="J505" s="198"/>
      <ns0:c r="K505" s="198"/>
      <ns0:c r="L505" s="198"/>
      <ns0:c r="M505" s="198"/>
      <ns0:c r="N505" s="198"/>
      <ns0:c r="O505" s="198"/>
      <ns0:c r="P505" s="198"/>
      <ns0:c r="Q505" s="198"/>
      <ns0:c r="R505" s="198"/>
      <ns0:c r="S505" s="198"/>
      <ns0:c r="T505" s="198"/>
      <ns0:c r="U505" s="198"/>
      <ns0:c r="V505" s="198"/>
      <ns0:c r="W505" s="198"/>
      <ns0:c r="X505" s="198"/>
      <ns0:c r="Y505" s="198"/>
      <ns0:c r="Z505" s="198"/>
    </ns0:row>
    <ns0:row r="506">
      <ns0:c r="A506" s="245"/>
      <ns0:c r="B506" s="245"/>
      <ns0:c r="C506" s="245"/>
      <ns0:c r="D506" s="245"/>
      <ns0:c r="E506" s="245"/>
      <ns0:c r="F506" s="245"/>
      <ns0:c r="G506" s="245"/>
      <ns0:c r="H506" s="245"/>
      <ns0:c r="I506" s="245"/>
      <ns0:c r="J506" s="245"/>
      <ns0:c r="K506" s="245"/>
      <ns0:c r="L506" s="245"/>
      <ns0:c r="M506" s="245"/>
      <ns0:c r="N506" s="245"/>
      <ns0:c r="O506" s="245"/>
      <ns0:c r="P506" s="245"/>
      <ns0:c r="Q506" s="245"/>
      <ns0:c r="R506" s="245"/>
      <ns0:c r="S506" s="245"/>
      <ns0:c r="T506" s="245"/>
      <ns0:c r="U506" s="245"/>
      <ns0:c r="V506" s="245"/>
      <ns0:c r="W506" s="245"/>
      <ns0:c r="X506" s="245"/>
      <ns0:c r="Y506" s="245"/>
      <ns0:c r="Z506" s="245"/>
    </ns0:row>
    <ns0:row r="507">
      <ns0:c r="A507" s="245"/>
      <ns0:c r="B507" s="245"/>
      <ns0:c r="C507" s="245"/>
      <ns0:c r="D507" s="245"/>
      <ns0:c r="E507" s="245"/>
      <ns0:c r="F507" s="245"/>
      <ns0:c r="G507" s="245"/>
      <ns0:c r="H507" s="245"/>
      <ns0:c r="I507" s="245"/>
      <ns0:c r="J507" s="245"/>
      <ns0:c r="K507" s="245"/>
      <ns0:c r="L507" s="245"/>
      <ns0:c r="M507" s="245"/>
      <ns0:c r="N507" s="245"/>
      <ns0:c r="O507" s="245"/>
      <ns0:c r="P507" s="245"/>
      <ns0:c r="Q507" s="245"/>
      <ns0:c r="R507" s="245"/>
      <ns0:c r="S507" s="245"/>
      <ns0:c r="T507" s="245"/>
      <ns0:c r="U507" s="245"/>
      <ns0:c r="V507" s="245"/>
      <ns0:c r="W507" s="245"/>
      <ns0:c r="X507" s="245"/>
      <ns0:c r="Y507" s="245"/>
      <ns0:c r="Z507" s="245"/>
    </ns0:row>
    <ns0:row r="508">
      <ns0:c r="A508" s="245"/>
      <ns0:c r="B508" s="245"/>
      <ns0:c r="C508" s="245"/>
      <ns0:c r="D508" s="245"/>
      <ns0:c r="E508" s="245"/>
      <ns0:c r="F508" s="245"/>
      <ns0:c r="G508" s="245"/>
      <ns0:c r="H508" s="245"/>
      <ns0:c r="I508" s="245"/>
      <ns0:c r="J508" s="245"/>
      <ns0:c r="K508" s="245"/>
      <ns0:c r="L508" s="245"/>
      <ns0:c r="M508" s="245"/>
      <ns0:c r="N508" s="245"/>
      <ns0:c r="O508" s="245"/>
      <ns0:c r="P508" s="245"/>
      <ns0:c r="Q508" s="245"/>
      <ns0:c r="R508" s="245"/>
      <ns0:c r="S508" s="245"/>
      <ns0:c r="T508" s="245"/>
      <ns0:c r="U508" s="245"/>
      <ns0:c r="V508" s="245"/>
      <ns0:c r="W508" s="245"/>
      <ns0:c r="X508" s="245"/>
      <ns0:c r="Y508" s="245"/>
      <ns0:c r="Z508" s="245"/>
    </ns0:row>
    <ns0:row r="509">
      <ns0:c r="A509" s="245"/>
      <ns0:c r="B509" s="245"/>
      <ns0:c r="C509" s="245"/>
      <ns0:c r="D509" s="245"/>
      <ns0:c r="E509" s="245"/>
      <ns0:c r="F509" s="245"/>
      <ns0:c r="G509" s="245"/>
      <ns0:c r="H509" s="245"/>
      <ns0:c r="I509" s="245"/>
      <ns0:c r="J509" s="245"/>
      <ns0:c r="K509" s="245"/>
      <ns0:c r="L509" s="245"/>
      <ns0:c r="M509" s="245"/>
      <ns0:c r="N509" s="245"/>
      <ns0:c r="O509" s="245"/>
      <ns0:c r="P509" s="245"/>
      <ns0:c r="Q509" s="245"/>
      <ns0:c r="R509" s="245"/>
      <ns0:c r="S509" s="245"/>
      <ns0:c r="T509" s="245"/>
      <ns0:c r="U509" s="245"/>
      <ns0:c r="V509" s="245"/>
      <ns0:c r="W509" s="245"/>
      <ns0:c r="X509" s="245"/>
      <ns0:c r="Y509" s="245"/>
      <ns0:c r="Z509" s="245"/>
    </ns0:row>
    <ns0:row r="510">
      <ns0:c r="A510" s="245"/>
      <ns0:c r="B510" s="245"/>
      <ns0:c r="C510" s="245"/>
      <ns0:c r="D510" s="245"/>
      <ns0:c r="E510" s="245"/>
      <ns0:c r="F510" s="245"/>
      <ns0:c r="G510" s="245"/>
      <ns0:c r="H510" s="245"/>
      <ns0:c r="I510" s="245"/>
      <ns0:c r="J510" s="245"/>
      <ns0:c r="K510" s="245"/>
      <ns0:c r="L510" s="245"/>
      <ns0:c r="M510" s="245"/>
      <ns0:c r="N510" s="245"/>
      <ns0:c r="O510" s="245"/>
      <ns0:c r="P510" s="245"/>
      <ns0:c r="Q510" s="245"/>
      <ns0:c r="R510" s="245"/>
      <ns0:c r="S510" s="245"/>
      <ns0:c r="T510" s="245"/>
      <ns0:c r="U510" s="245"/>
      <ns0:c r="V510" s="245"/>
      <ns0:c r="W510" s="245"/>
      <ns0:c r="X510" s="245"/>
      <ns0:c r="Y510" s="245"/>
      <ns0:c r="Z510" s="245"/>
    </ns0:row>
    <ns0:row r="511">
      <ns0:c r="A511" s="245"/>
      <ns0:c r="B511" s="245"/>
      <ns0:c r="C511" s="245"/>
      <ns0:c r="D511" s="245"/>
      <ns0:c r="E511" s="245"/>
      <ns0:c r="F511" s="245"/>
      <ns0:c r="G511" s="245"/>
      <ns0:c r="H511" s="245"/>
      <ns0:c r="I511" s="245"/>
      <ns0:c r="J511" s="245"/>
      <ns0:c r="K511" s="245"/>
      <ns0:c r="L511" s="245"/>
      <ns0:c r="M511" s="245"/>
      <ns0:c r="N511" s="245"/>
      <ns0:c r="O511" s="245"/>
      <ns0:c r="P511" s="245"/>
      <ns0:c r="Q511" s="245"/>
      <ns0:c r="R511" s="245"/>
      <ns0:c r="S511" s="245"/>
      <ns0:c r="T511" s="245"/>
      <ns0:c r="U511" s="245"/>
      <ns0:c r="V511" s="245"/>
      <ns0:c r="W511" s="245"/>
      <ns0:c r="X511" s="245"/>
      <ns0:c r="Y511" s="245"/>
      <ns0:c r="Z511" s="245"/>
    </ns0:row>
    <ns0:row r="512">
      <ns0:c r="A512" s="245"/>
      <ns0:c r="B512" s="245"/>
      <ns0:c r="C512" s="245"/>
      <ns0:c r="D512" s="245"/>
      <ns0:c r="E512" s="245"/>
      <ns0:c r="F512" s="245"/>
      <ns0:c r="G512" s="245"/>
      <ns0:c r="H512" s="245"/>
      <ns0:c r="I512" s="245"/>
      <ns0:c r="J512" s="245"/>
      <ns0:c r="K512" s="245"/>
      <ns0:c r="L512" s="245"/>
      <ns0:c r="M512" s="245"/>
      <ns0:c r="N512" s="245"/>
      <ns0:c r="O512" s="245"/>
      <ns0:c r="P512" s="245"/>
      <ns0:c r="Q512" s="245"/>
      <ns0:c r="R512" s="245"/>
      <ns0:c r="S512" s="245"/>
      <ns0:c r="T512" s="245"/>
      <ns0:c r="U512" s="245"/>
      <ns0:c r="V512" s="245"/>
      <ns0:c r="W512" s="245"/>
      <ns0:c r="X512" s="245"/>
      <ns0:c r="Y512" s="245"/>
      <ns0:c r="Z512" s="245"/>
    </ns0:row>
    <ns0:row r="513">
      <ns0:c r="A513" s="245"/>
      <ns0:c r="B513" s="245"/>
      <ns0:c r="C513" s="245"/>
      <ns0:c r="D513" s="245"/>
      <ns0:c r="E513" s="245"/>
      <ns0:c r="F513" s="245"/>
      <ns0:c r="G513" s="245"/>
      <ns0:c r="H513" s="245"/>
      <ns0:c r="I513" s="245"/>
      <ns0:c r="J513" s="245"/>
      <ns0:c r="K513" s="245"/>
      <ns0:c r="L513" s="245"/>
      <ns0:c r="M513" s="245"/>
      <ns0:c r="N513" s="245"/>
      <ns0:c r="O513" s="245"/>
      <ns0:c r="P513" s="245"/>
      <ns0:c r="Q513" s="245"/>
      <ns0:c r="R513" s="245"/>
      <ns0:c r="S513" s="245"/>
      <ns0:c r="T513" s="245"/>
      <ns0:c r="U513" s="245"/>
      <ns0:c r="V513" s="245"/>
      <ns0:c r="W513" s="245"/>
      <ns0:c r="X513" s="245"/>
      <ns0:c r="Y513" s="245"/>
      <ns0:c r="Z513" s="245"/>
    </ns0:row>
    <ns0:row r="514">
      <ns0:c r="A514" s="245"/>
      <ns0:c r="B514" s="245"/>
      <ns0:c r="C514" s="245"/>
      <ns0:c r="D514" s="245"/>
      <ns0:c r="E514" s="245"/>
      <ns0:c r="F514" s="245"/>
      <ns0:c r="G514" s="245"/>
      <ns0:c r="H514" s="245"/>
      <ns0:c r="I514" s="245"/>
      <ns0:c r="J514" s="245"/>
      <ns0:c r="K514" s="245"/>
      <ns0:c r="L514" s="245"/>
      <ns0:c r="M514" s="245"/>
      <ns0:c r="N514" s="245"/>
      <ns0:c r="O514" s="245"/>
      <ns0:c r="P514" s="245"/>
      <ns0:c r="Q514" s="245"/>
      <ns0:c r="R514" s="245"/>
      <ns0:c r="S514" s="245"/>
      <ns0:c r="T514" s="245"/>
      <ns0:c r="U514" s="245"/>
      <ns0:c r="V514" s="245"/>
      <ns0:c r="W514" s="245"/>
      <ns0:c r="X514" s="245"/>
      <ns0:c r="Y514" s="245"/>
      <ns0:c r="Z514" s="245"/>
    </ns0:row>
    <ns0:row r="515">
      <ns0:c r="A515" s="245"/>
      <ns0:c r="B515" s="245"/>
      <ns0:c r="C515" s="245"/>
      <ns0:c r="D515" s="245"/>
      <ns0:c r="E515" s="245"/>
      <ns0:c r="F515" s="245"/>
      <ns0:c r="G515" s="245"/>
      <ns0:c r="H515" s="245"/>
      <ns0:c r="I515" s="245"/>
      <ns0:c r="J515" s="245"/>
      <ns0:c r="K515" s="245"/>
      <ns0:c r="L515" s="245"/>
      <ns0:c r="M515" s="245"/>
      <ns0:c r="N515" s="245"/>
      <ns0:c r="O515" s="245"/>
      <ns0:c r="P515" s="245"/>
      <ns0:c r="Q515" s="245"/>
      <ns0:c r="R515" s="245"/>
      <ns0:c r="S515" s="245"/>
      <ns0:c r="T515" s="245"/>
      <ns0:c r="U515" s="245"/>
      <ns0:c r="V515" s="245"/>
      <ns0:c r="W515" s="245"/>
      <ns0:c r="X515" s="245"/>
      <ns0:c r="Y515" s="245"/>
      <ns0:c r="Z515" s="245"/>
    </ns0:row>
    <ns0:row r="516">
      <ns0:c r="A516" s="245"/>
      <ns0:c r="B516" s="245"/>
      <ns0:c r="C516" s="245"/>
      <ns0:c r="D516" s="245"/>
      <ns0:c r="E516" s="245"/>
      <ns0:c r="F516" s="245"/>
      <ns0:c r="G516" s="245"/>
      <ns0:c r="H516" s="245"/>
      <ns0:c r="I516" s="245"/>
      <ns0:c r="J516" s="245"/>
      <ns0:c r="K516" s="245"/>
      <ns0:c r="L516" s="245"/>
      <ns0:c r="M516" s="245"/>
      <ns0:c r="N516" s="245"/>
      <ns0:c r="O516" s="245"/>
      <ns0:c r="P516" s="245"/>
      <ns0:c r="Q516" s="245"/>
      <ns0:c r="R516" s="245"/>
      <ns0:c r="S516" s="245"/>
      <ns0:c r="T516" s="245"/>
      <ns0:c r="U516" s="245"/>
      <ns0:c r="V516" s="245"/>
      <ns0:c r="W516" s="245"/>
      <ns0:c r="X516" s="245"/>
      <ns0:c r="Y516" s="245"/>
      <ns0:c r="Z516" s="245"/>
    </ns0:row>
    <ns0:row r="517">
      <ns0:c r="A517" s="245"/>
      <ns0:c r="B517" s="245"/>
      <ns0:c r="C517" s="245"/>
      <ns0:c r="D517" s="245"/>
      <ns0:c r="E517" s="245"/>
      <ns0:c r="F517" s="245"/>
      <ns0:c r="G517" s="245"/>
      <ns0:c r="H517" s="245"/>
      <ns0:c r="I517" s="245"/>
      <ns0:c r="J517" s="245"/>
      <ns0:c r="K517" s="245"/>
      <ns0:c r="L517" s="245"/>
      <ns0:c r="M517" s="245"/>
      <ns0:c r="N517" s="245"/>
      <ns0:c r="O517" s="245"/>
      <ns0:c r="P517" s="245"/>
      <ns0:c r="Q517" s="245"/>
      <ns0:c r="R517" s="245"/>
      <ns0:c r="S517" s="245"/>
      <ns0:c r="T517" s="245"/>
      <ns0:c r="U517" s="245"/>
      <ns0:c r="V517" s="245"/>
      <ns0:c r="W517" s="245"/>
      <ns0:c r="X517" s="245"/>
      <ns0:c r="Y517" s="245"/>
      <ns0:c r="Z517" s="245"/>
    </ns0:row>
    <ns0:row r="518">
      <ns0:c r="A518" s="245"/>
      <ns0:c r="B518" s="245"/>
      <ns0:c r="C518" s="245"/>
      <ns0:c r="D518" s="245"/>
      <ns0:c r="E518" s="245"/>
      <ns0:c r="F518" s="245"/>
      <ns0:c r="G518" s="245"/>
      <ns0:c r="H518" s="245"/>
      <ns0:c r="I518" s="245"/>
      <ns0:c r="J518" s="245"/>
      <ns0:c r="K518" s="245"/>
      <ns0:c r="L518" s="245"/>
      <ns0:c r="M518" s="245"/>
      <ns0:c r="N518" s="245"/>
      <ns0:c r="O518" s="245"/>
      <ns0:c r="P518" s="245"/>
      <ns0:c r="Q518" s="245"/>
      <ns0:c r="R518" s="245"/>
      <ns0:c r="S518" s="245"/>
      <ns0:c r="T518" s="245"/>
      <ns0:c r="U518" s="245"/>
      <ns0:c r="V518" s="245"/>
      <ns0:c r="W518" s="245"/>
      <ns0:c r="X518" s="245"/>
      <ns0:c r="Y518" s="245"/>
      <ns0:c r="Z518" s="245"/>
    </ns0:row>
    <ns0:row r="519">
      <ns0:c r="A519" s="245"/>
      <ns0:c r="B519" s="245"/>
      <ns0:c r="C519" s="245"/>
      <ns0:c r="D519" s="245"/>
      <ns0:c r="E519" s="245"/>
      <ns0:c r="F519" s="245"/>
      <ns0:c r="G519" s="245"/>
      <ns0:c r="H519" s="245"/>
      <ns0:c r="I519" s="245"/>
      <ns0:c r="J519" s="245"/>
      <ns0:c r="K519" s="245"/>
      <ns0:c r="L519" s="245"/>
      <ns0:c r="M519" s="245"/>
      <ns0:c r="N519" s="245"/>
      <ns0:c r="O519" s="245"/>
      <ns0:c r="P519" s="245"/>
      <ns0:c r="Q519" s="245"/>
      <ns0:c r="R519" s="245"/>
      <ns0:c r="S519" s="245"/>
      <ns0:c r="T519" s="245"/>
      <ns0:c r="U519" s="245"/>
      <ns0:c r="V519" s="245"/>
      <ns0:c r="W519" s="245"/>
      <ns0:c r="X519" s="245"/>
      <ns0:c r="Y519" s="245"/>
      <ns0:c r="Z519" s="245"/>
    </ns0:row>
    <ns0:row r="520">
      <ns0:c r="A520" s="245"/>
      <ns0:c r="B520" s="245"/>
      <ns0:c r="C520" s="245"/>
      <ns0:c r="D520" s="245"/>
      <ns0:c r="E520" s="245"/>
      <ns0:c r="F520" s="245"/>
      <ns0:c r="G520" s="245"/>
      <ns0:c r="H520" s="245"/>
      <ns0:c r="I520" s="245"/>
      <ns0:c r="J520" s="245"/>
      <ns0:c r="K520" s="245"/>
      <ns0:c r="L520" s="245"/>
      <ns0:c r="M520" s="245"/>
      <ns0:c r="N520" s="245"/>
      <ns0:c r="O520" s="245"/>
      <ns0:c r="P520" s="245"/>
      <ns0:c r="Q520" s="245"/>
      <ns0:c r="R520" s="245"/>
      <ns0:c r="S520" s="245"/>
      <ns0:c r="T520" s="245"/>
      <ns0:c r="U520" s="245"/>
      <ns0:c r="V520" s="245"/>
      <ns0:c r="W520" s="245"/>
      <ns0:c r="X520" s="245"/>
      <ns0:c r="Y520" s="245"/>
      <ns0:c r="Z520" s="245"/>
    </ns0:row>
    <ns0:row r="521">
      <ns0:c r="A521" s="245"/>
      <ns0:c r="B521" s="245"/>
      <ns0:c r="C521" s="245"/>
      <ns0:c r="D521" s="245"/>
      <ns0:c r="E521" s="245"/>
      <ns0:c r="F521" s="245"/>
      <ns0:c r="G521" s="245"/>
      <ns0:c r="H521" s="245"/>
      <ns0:c r="I521" s="245"/>
      <ns0:c r="J521" s="245"/>
      <ns0:c r="K521" s="245"/>
      <ns0:c r="L521" s="245"/>
      <ns0:c r="M521" s="245"/>
      <ns0:c r="N521" s="245"/>
      <ns0:c r="O521" s="245"/>
      <ns0:c r="P521" s="245"/>
      <ns0:c r="Q521" s="245"/>
      <ns0:c r="R521" s="245"/>
      <ns0:c r="S521" s="245"/>
      <ns0:c r="T521" s="245"/>
      <ns0:c r="U521" s="245"/>
      <ns0:c r="V521" s="245"/>
      <ns0:c r="W521" s="245"/>
      <ns0:c r="X521" s="245"/>
      <ns0:c r="Y521" s="245"/>
      <ns0:c r="Z521" s="245"/>
    </ns0:row>
    <ns0:row r="522">
      <ns0:c r="A522" s="245"/>
      <ns0:c r="B522" s="245"/>
      <ns0:c r="C522" s="245"/>
      <ns0:c r="D522" s="245"/>
      <ns0:c r="E522" s="245"/>
      <ns0:c r="F522" s="245"/>
      <ns0:c r="G522" s="245"/>
      <ns0:c r="H522" s="245"/>
      <ns0:c r="I522" s="245"/>
      <ns0:c r="J522" s="245"/>
      <ns0:c r="K522" s="245"/>
      <ns0:c r="L522" s="245"/>
      <ns0:c r="M522" s="245"/>
      <ns0:c r="N522" s="245"/>
      <ns0:c r="O522" s="245"/>
      <ns0:c r="P522" s="245"/>
      <ns0:c r="Q522" s="245"/>
      <ns0:c r="R522" s="245"/>
      <ns0:c r="S522" s="245"/>
      <ns0:c r="T522" s="245"/>
      <ns0:c r="U522" s="245"/>
      <ns0:c r="V522" s="245"/>
      <ns0:c r="W522" s="245"/>
      <ns0:c r="X522" s="245"/>
      <ns0:c r="Y522" s="245"/>
      <ns0:c r="Z522" s="245"/>
    </ns0:row>
    <ns0:row r="523">
      <ns0:c r="A523" s="245"/>
      <ns0:c r="B523" s="245"/>
      <ns0:c r="C523" s="245"/>
      <ns0:c r="D523" s="245"/>
      <ns0:c r="E523" s="245"/>
      <ns0:c r="F523" s="245"/>
      <ns0:c r="G523" s="245"/>
      <ns0:c r="H523" s="245"/>
      <ns0:c r="I523" s="245"/>
      <ns0:c r="J523" s="245"/>
      <ns0:c r="K523" s="245"/>
      <ns0:c r="L523" s="245"/>
      <ns0:c r="M523" s="245"/>
      <ns0:c r="N523" s="245"/>
      <ns0:c r="O523" s="245"/>
      <ns0:c r="P523" s="245"/>
      <ns0:c r="Q523" s="245"/>
      <ns0:c r="R523" s="245"/>
      <ns0:c r="S523" s="245"/>
      <ns0:c r="T523" s="245"/>
      <ns0:c r="U523" s="245"/>
      <ns0:c r="V523" s="245"/>
      <ns0:c r="W523" s="245"/>
      <ns0:c r="X523" s="245"/>
      <ns0:c r="Y523" s="245"/>
      <ns0:c r="Z523" s="245"/>
    </ns0:row>
    <ns0:row r="524">
      <ns0:c r="A524" s="245"/>
      <ns0:c r="B524" s="245"/>
      <ns0:c r="C524" s="245"/>
      <ns0:c r="D524" s="245"/>
      <ns0:c r="E524" s="245"/>
      <ns0:c r="F524" s="245"/>
      <ns0:c r="G524" s="245"/>
      <ns0:c r="H524" s="245"/>
      <ns0:c r="I524" s="245"/>
      <ns0:c r="J524" s="245"/>
      <ns0:c r="K524" s="245"/>
      <ns0:c r="L524" s="245"/>
      <ns0:c r="M524" s="245"/>
      <ns0:c r="N524" s="245"/>
      <ns0:c r="O524" s="245"/>
      <ns0:c r="P524" s="245"/>
      <ns0:c r="Q524" s="245"/>
      <ns0:c r="R524" s="245"/>
      <ns0:c r="S524" s="245"/>
      <ns0:c r="T524" s="245"/>
      <ns0:c r="U524" s="245"/>
      <ns0:c r="V524" s="245"/>
      <ns0:c r="W524" s="245"/>
      <ns0:c r="X524" s="245"/>
      <ns0:c r="Y524" s="245"/>
      <ns0:c r="Z524" s="245"/>
    </ns0:row>
    <ns0:row r="525">
      <ns0:c r="A525" s="245"/>
      <ns0:c r="B525" s="245"/>
      <ns0:c r="C525" s="245"/>
      <ns0:c r="D525" s="245"/>
      <ns0:c r="E525" s="245"/>
      <ns0:c r="F525" s="245"/>
      <ns0:c r="G525" s="245"/>
      <ns0:c r="H525" s="245"/>
      <ns0:c r="I525" s="245"/>
      <ns0:c r="J525" s="245"/>
      <ns0:c r="K525" s="245"/>
      <ns0:c r="L525" s="245"/>
      <ns0:c r="M525" s="245"/>
      <ns0:c r="N525" s="245"/>
      <ns0:c r="O525" s="245"/>
      <ns0:c r="P525" s="245"/>
      <ns0:c r="Q525" s="245"/>
      <ns0:c r="R525" s="245"/>
      <ns0:c r="S525" s="245"/>
      <ns0:c r="T525" s="245"/>
      <ns0:c r="U525" s="245"/>
      <ns0:c r="V525" s="245"/>
      <ns0:c r="W525" s="245"/>
      <ns0:c r="X525" s="245"/>
      <ns0:c r="Y525" s="245"/>
      <ns0:c r="Z525" s="245"/>
    </ns0:row>
    <ns0:row r="526">
      <ns0:c r="A526" s="245"/>
      <ns0:c r="B526" s="245"/>
      <ns0:c r="C526" s="245"/>
      <ns0:c r="D526" s="245"/>
      <ns0:c r="E526" s="245"/>
      <ns0:c r="F526" s="245"/>
      <ns0:c r="G526" s="245"/>
      <ns0:c r="H526" s="245"/>
      <ns0:c r="I526" s="245"/>
      <ns0:c r="J526" s="245"/>
      <ns0:c r="K526" s="245"/>
      <ns0:c r="L526" s="245"/>
      <ns0:c r="M526" s="245"/>
      <ns0:c r="N526" s="245"/>
      <ns0:c r="O526" s="245"/>
      <ns0:c r="P526" s="245"/>
      <ns0:c r="Q526" s="245"/>
      <ns0:c r="R526" s="245"/>
      <ns0:c r="S526" s="245"/>
      <ns0:c r="T526" s="245"/>
      <ns0:c r="U526" s="245"/>
      <ns0:c r="V526" s="245"/>
      <ns0:c r="W526" s="245"/>
      <ns0:c r="X526" s="245"/>
      <ns0:c r="Y526" s="245"/>
      <ns0:c r="Z526" s="245"/>
    </ns0:row>
    <ns0:row r="527">
      <ns0:c r="A527" s="245"/>
      <ns0:c r="B527" s="245"/>
      <ns0:c r="C527" s="245"/>
      <ns0:c r="D527" s="245"/>
      <ns0:c r="E527" s="245"/>
      <ns0:c r="F527" s="245"/>
      <ns0:c r="G527" s="245"/>
      <ns0:c r="H527" s="245"/>
      <ns0:c r="I527" s="245"/>
      <ns0:c r="J527" s="245"/>
      <ns0:c r="K527" s="245"/>
      <ns0:c r="L527" s="245"/>
      <ns0:c r="M527" s="245"/>
      <ns0:c r="N527" s="245"/>
      <ns0:c r="O527" s="245"/>
      <ns0:c r="P527" s="245"/>
      <ns0:c r="Q527" s="245"/>
      <ns0:c r="R527" s="245"/>
      <ns0:c r="S527" s="245"/>
      <ns0:c r="T527" s="245"/>
      <ns0:c r="U527" s="245"/>
      <ns0:c r="V527" s="245"/>
      <ns0:c r="W527" s="245"/>
      <ns0:c r="X527" s="245"/>
      <ns0:c r="Y527" s="245"/>
      <ns0:c r="Z527" s="245"/>
    </ns0:row>
    <ns0:row r="528">
      <ns0:c r="A528" s="245"/>
      <ns0:c r="B528" s="245"/>
      <ns0:c r="C528" s="245"/>
      <ns0:c r="D528" s="245"/>
      <ns0:c r="E528" s="245"/>
      <ns0:c r="F528" s="245"/>
      <ns0:c r="G528" s="245"/>
      <ns0:c r="H528" s="245"/>
      <ns0:c r="I528" s="245"/>
      <ns0:c r="J528" s="245"/>
      <ns0:c r="K528" s="245"/>
      <ns0:c r="L528" s="245"/>
      <ns0:c r="M528" s="245"/>
      <ns0:c r="N528" s="245"/>
      <ns0:c r="O528" s="245"/>
      <ns0:c r="P528" s="245"/>
      <ns0:c r="Q528" s="245"/>
      <ns0:c r="R528" s="245"/>
      <ns0:c r="S528" s="245"/>
      <ns0:c r="T528" s="245"/>
      <ns0:c r="U528" s="245"/>
      <ns0:c r="V528" s="245"/>
      <ns0:c r="W528" s="245"/>
      <ns0:c r="X528" s="245"/>
      <ns0:c r="Y528" s="245"/>
      <ns0:c r="Z528" s="245"/>
    </ns0:row>
    <ns0:row r="529">
      <ns0:c r="A529" s="245"/>
      <ns0:c r="B529" s="245"/>
      <ns0:c r="C529" s="245"/>
      <ns0:c r="D529" s="245"/>
      <ns0:c r="E529" s="245"/>
      <ns0:c r="F529" s="245"/>
      <ns0:c r="G529" s="245"/>
      <ns0:c r="H529" s="245"/>
      <ns0:c r="I529" s="245"/>
      <ns0:c r="J529" s="245"/>
      <ns0:c r="K529" s="245"/>
      <ns0:c r="L529" s="245"/>
      <ns0:c r="M529" s="245"/>
      <ns0:c r="N529" s="245"/>
      <ns0:c r="O529" s="245"/>
      <ns0:c r="P529" s="245"/>
      <ns0:c r="Q529" s="245"/>
      <ns0:c r="R529" s="245"/>
      <ns0:c r="S529" s="245"/>
      <ns0:c r="T529" s="245"/>
      <ns0:c r="U529" s="245"/>
      <ns0:c r="V529" s="245"/>
      <ns0:c r="W529" s="245"/>
      <ns0:c r="X529" s="245"/>
      <ns0:c r="Y529" s="245"/>
      <ns0:c r="Z529" s="245"/>
    </ns0:row>
    <ns0:row r="530">
      <ns0:c r="A530" s="245"/>
      <ns0:c r="B530" s="245"/>
      <ns0:c r="C530" s="245"/>
      <ns0:c r="D530" s="245"/>
      <ns0:c r="E530" s="245"/>
      <ns0:c r="F530" s="245"/>
      <ns0:c r="G530" s="245"/>
      <ns0:c r="H530" s="245"/>
      <ns0:c r="I530" s="245"/>
      <ns0:c r="J530" s="245"/>
      <ns0:c r="K530" s="245"/>
      <ns0:c r="L530" s="245"/>
      <ns0:c r="M530" s="245"/>
      <ns0:c r="N530" s="245"/>
      <ns0:c r="O530" s="245"/>
      <ns0:c r="P530" s="245"/>
      <ns0:c r="Q530" s="245"/>
      <ns0:c r="R530" s="245"/>
      <ns0:c r="S530" s="245"/>
      <ns0:c r="T530" s="245"/>
      <ns0:c r="U530" s="245"/>
      <ns0:c r="V530" s="245"/>
      <ns0:c r="W530" s="245"/>
      <ns0:c r="X530" s="245"/>
      <ns0:c r="Y530" s="245"/>
      <ns0:c r="Z530" s="245"/>
    </ns0:row>
    <ns0:row r="531">
      <ns0:c r="A531" s="245"/>
      <ns0:c r="B531" s="245"/>
      <ns0:c r="C531" s="245"/>
      <ns0:c r="D531" s="245"/>
      <ns0:c r="E531" s="245"/>
      <ns0:c r="F531" s="245"/>
      <ns0:c r="G531" s="245"/>
      <ns0:c r="H531" s="245"/>
      <ns0:c r="I531" s="245"/>
      <ns0:c r="J531" s="245"/>
      <ns0:c r="K531" s="245"/>
      <ns0:c r="L531" s="245"/>
      <ns0:c r="M531" s="245"/>
      <ns0:c r="N531" s="245"/>
      <ns0:c r="O531" s="245"/>
      <ns0:c r="P531" s="245"/>
      <ns0:c r="Q531" s="245"/>
      <ns0:c r="R531" s="245"/>
      <ns0:c r="S531" s="245"/>
      <ns0:c r="T531" s="245"/>
      <ns0:c r="U531" s="245"/>
      <ns0:c r="V531" s="245"/>
      <ns0:c r="W531" s="245"/>
      <ns0:c r="X531" s="245"/>
      <ns0:c r="Y531" s="245"/>
      <ns0:c r="Z531" s="245"/>
    </ns0:row>
    <ns0:row r="532">
      <ns0:c r="A532" s="245"/>
      <ns0:c r="B532" s="245"/>
      <ns0:c r="C532" s="245"/>
      <ns0:c r="D532" s="245"/>
      <ns0:c r="E532" s="245"/>
      <ns0:c r="F532" s="245"/>
      <ns0:c r="G532" s="245"/>
      <ns0:c r="H532" s="245"/>
      <ns0:c r="I532" s="245"/>
      <ns0:c r="J532" s="245"/>
      <ns0:c r="K532" s="245"/>
      <ns0:c r="L532" s="245"/>
      <ns0:c r="M532" s="245"/>
      <ns0:c r="N532" s="245"/>
      <ns0:c r="O532" s="245"/>
      <ns0:c r="P532" s="245"/>
      <ns0:c r="Q532" s="245"/>
      <ns0:c r="R532" s="245"/>
      <ns0:c r="S532" s="245"/>
      <ns0:c r="T532" s="245"/>
      <ns0:c r="U532" s="245"/>
      <ns0:c r="V532" s="245"/>
      <ns0:c r="W532" s="245"/>
      <ns0:c r="X532" s="245"/>
      <ns0:c r="Y532" s="245"/>
      <ns0:c r="Z532" s="245"/>
    </ns0:row>
    <ns0:row r="533">
      <ns0:c r="A533" s="245"/>
      <ns0:c r="B533" s="245"/>
      <ns0:c r="C533" s="245"/>
      <ns0:c r="D533" s="245"/>
      <ns0:c r="E533" s="245"/>
      <ns0:c r="F533" s="245"/>
      <ns0:c r="G533" s="245"/>
      <ns0:c r="H533" s="245"/>
      <ns0:c r="I533" s="245"/>
      <ns0:c r="J533" s="245"/>
      <ns0:c r="K533" s="245"/>
      <ns0:c r="L533" s="245"/>
      <ns0:c r="M533" s="245"/>
      <ns0:c r="N533" s="245"/>
      <ns0:c r="O533" s="245"/>
      <ns0:c r="P533" s="245"/>
      <ns0:c r="Q533" s="245"/>
      <ns0:c r="R533" s="245"/>
      <ns0:c r="S533" s="245"/>
      <ns0:c r="T533" s="245"/>
      <ns0:c r="U533" s="245"/>
      <ns0:c r="V533" s="245"/>
      <ns0:c r="W533" s="245"/>
      <ns0:c r="X533" s="245"/>
      <ns0:c r="Y533" s="245"/>
      <ns0:c r="Z533" s="245"/>
    </ns0:row>
    <ns0:row r="534">
      <ns0:c r="A534" s="245"/>
      <ns0:c r="B534" s="245"/>
      <ns0:c r="C534" s="245"/>
      <ns0:c r="D534" s="245"/>
      <ns0:c r="E534" s="245"/>
      <ns0:c r="F534" s="245"/>
      <ns0:c r="G534" s="245"/>
      <ns0:c r="H534" s="245"/>
      <ns0:c r="I534" s="245"/>
      <ns0:c r="J534" s="245"/>
      <ns0:c r="K534" s="245"/>
      <ns0:c r="L534" s="245"/>
      <ns0:c r="M534" s="245"/>
      <ns0:c r="N534" s="245"/>
      <ns0:c r="O534" s="245"/>
      <ns0:c r="P534" s="245"/>
      <ns0:c r="Q534" s="245"/>
      <ns0:c r="R534" s="245"/>
      <ns0:c r="S534" s="245"/>
      <ns0:c r="T534" s="245"/>
      <ns0:c r="U534" s="245"/>
      <ns0:c r="V534" s="245"/>
      <ns0:c r="W534" s="245"/>
      <ns0:c r="X534" s="245"/>
      <ns0:c r="Y534" s="245"/>
      <ns0:c r="Z534" s="245"/>
    </ns0:row>
    <ns0:row r="535">
      <ns0:c r="A535" s="245"/>
      <ns0:c r="B535" s="245"/>
      <ns0:c r="C535" s="245"/>
      <ns0:c r="D535" s="245"/>
      <ns0:c r="E535" s="245"/>
      <ns0:c r="F535" s="245"/>
      <ns0:c r="G535" s="245"/>
      <ns0:c r="H535" s="245"/>
      <ns0:c r="I535" s="245"/>
      <ns0:c r="J535" s="245"/>
      <ns0:c r="K535" s="245"/>
      <ns0:c r="L535" s="245"/>
      <ns0:c r="M535" s="245"/>
      <ns0:c r="N535" s="245"/>
      <ns0:c r="O535" s="245"/>
      <ns0:c r="P535" s="245"/>
      <ns0:c r="Q535" s="245"/>
      <ns0:c r="R535" s="245"/>
      <ns0:c r="S535" s="245"/>
      <ns0:c r="T535" s="245"/>
      <ns0:c r="U535" s="245"/>
      <ns0:c r="V535" s="245"/>
      <ns0:c r="W535" s="245"/>
      <ns0:c r="X535" s="245"/>
      <ns0:c r="Y535" s="245"/>
      <ns0:c r="Z535" s="245"/>
    </ns0:row>
    <ns0:row r="536">
      <ns0:c r="A536" s="245"/>
      <ns0:c r="B536" s="245"/>
      <ns0:c r="C536" s="245"/>
      <ns0:c r="D536" s="245"/>
      <ns0:c r="E536" s="245"/>
      <ns0:c r="F536" s="245"/>
      <ns0:c r="G536" s="245"/>
      <ns0:c r="H536" s="245"/>
      <ns0:c r="I536" s="245"/>
      <ns0:c r="J536" s="245"/>
      <ns0:c r="K536" s="245"/>
      <ns0:c r="L536" s="245"/>
      <ns0:c r="M536" s="245"/>
      <ns0:c r="N536" s="245"/>
      <ns0:c r="O536" s="245"/>
      <ns0:c r="P536" s="245"/>
      <ns0:c r="Q536" s="245"/>
      <ns0:c r="R536" s="245"/>
      <ns0:c r="S536" s="245"/>
      <ns0:c r="T536" s="245"/>
      <ns0:c r="U536" s="245"/>
      <ns0:c r="V536" s="245"/>
      <ns0:c r="W536" s="245"/>
      <ns0:c r="X536" s="245"/>
      <ns0:c r="Y536" s="245"/>
      <ns0:c r="Z536" s="245"/>
    </ns0:row>
    <ns0:row r="537">
      <ns0:c r="A537" s="245"/>
      <ns0:c r="B537" s="245"/>
      <ns0:c r="C537" s="245"/>
      <ns0:c r="D537" s="245"/>
      <ns0:c r="E537" s="245"/>
      <ns0:c r="F537" s="245"/>
      <ns0:c r="G537" s="245"/>
      <ns0:c r="H537" s="245"/>
      <ns0:c r="I537" s="245"/>
      <ns0:c r="J537" s="245"/>
      <ns0:c r="K537" s="245"/>
      <ns0:c r="L537" s="245"/>
      <ns0:c r="M537" s="245"/>
      <ns0:c r="N537" s="245"/>
      <ns0:c r="O537" s="245"/>
      <ns0:c r="P537" s="245"/>
      <ns0:c r="Q537" s="245"/>
      <ns0:c r="R537" s="245"/>
      <ns0:c r="S537" s="245"/>
      <ns0:c r="T537" s="245"/>
      <ns0:c r="U537" s="245"/>
      <ns0:c r="V537" s="245"/>
      <ns0:c r="W537" s="245"/>
      <ns0:c r="X537" s="245"/>
      <ns0:c r="Y537" s="245"/>
      <ns0:c r="Z537" s="245"/>
    </ns0:row>
    <ns0:row r="538">
      <ns0:c r="A538" s="245"/>
      <ns0:c r="B538" s="245"/>
      <ns0:c r="C538" s="245"/>
      <ns0:c r="D538" s="245"/>
      <ns0:c r="E538" s="245"/>
      <ns0:c r="F538" s="245"/>
      <ns0:c r="G538" s="245"/>
      <ns0:c r="H538" s="245"/>
      <ns0:c r="I538" s="245"/>
      <ns0:c r="J538" s="245"/>
      <ns0:c r="K538" s="245"/>
      <ns0:c r="L538" s="245"/>
      <ns0:c r="M538" s="245"/>
      <ns0:c r="N538" s="245"/>
      <ns0:c r="O538" s="245"/>
      <ns0:c r="P538" s="245"/>
      <ns0:c r="Q538" s="245"/>
      <ns0:c r="R538" s="245"/>
      <ns0:c r="S538" s="245"/>
      <ns0:c r="T538" s="245"/>
      <ns0:c r="U538" s="245"/>
      <ns0:c r="V538" s="245"/>
      <ns0:c r="W538" s="245"/>
      <ns0:c r="X538" s="245"/>
      <ns0:c r="Y538" s="245"/>
      <ns0:c r="Z538" s="245"/>
    </ns0:row>
    <ns0:row r="539">
      <ns0:c r="A539" s="245"/>
      <ns0:c r="B539" s="245"/>
      <ns0:c r="C539" s="245"/>
      <ns0:c r="D539" s="245"/>
      <ns0:c r="E539" s="245"/>
      <ns0:c r="F539" s="245"/>
      <ns0:c r="G539" s="245"/>
      <ns0:c r="H539" s="245"/>
      <ns0:c r="I539" s="245"/>
      <ns0:c r="J539" s="245"/>
      <ns0:c r="K539" s="245"/>
      <ns0:c r="L539" s="245"/>
      <ns0:c r="M539" s="245"/>
      <ns0:c r="N539" s="245"/>
      <ns0:c r="O539" s="245"/>
      <ns0:c r="P539" s="245"/>
      <ns0:c r="Q539" s="245"/>
      <ns0:c r="R539" s="245"/>
      <ns0:c r="S539" s="245"/>
      <ns0:c r="T539" s="245"/>
      <ns0:c r="U539" s="245"/>
      <ns0:c r="V539" s="245"/>
      <ns0:c r="W539" s="245"/>
      <ns0:c r="X539" s="245"/>
      <ns0:c r="Y539" s="245"/>
      <ns0:c r="Z539" s="245"/>
    </ns0:row>
    <ns0:row r="540">
      <ns0:c r="A540" s="245"/>
      <ns0:c r="B540" s="245"/>
      <ns0:c r="C540" s="245"/>
      <ns0:c r="D540" s="245"/>
      <ns0:c r="E540" s="245"/>
      <ns0:c r="F540" s="245"/>
      <ns0:c r="G540" s="245"/>
      <ns0:c r="H540" s="245"/>
      <ns0:c r="I540" s="245"/>
      <ns0:c r="J540" s="245"/>
      <ns0:c r="K540" s="245"/>
      <ns0:c r="L540" s="245"/>
      <ns0:c r="M540" s="245"/>
      <ns0:c r="N540" s="245"/>
      <ns0:c r="O540" s="245"/>
      <ns0:c r="P540" s="245"/>
      <ns0:c r="Q540" s="245"/>
      <ns0:c r="R540" s="245"/>
      <ns0:c r="S540" s="245"/>
      <ns0:c r="T540" s="245"/>
      <ns0:c r="U540" s="245"/>
      <ns0:c r="V540" s="245"/>
      <ns0:c r="W540" s="245"/>
      <ns0:c r="X540" s="245"/>
      <ns0:c r="Y540" s="245"/>
      <ns0:c r="Z540" s="245"/>
    </ns0:row>
    <ns0:row r="541">
      <ns0:c r="A541" s="245"/>
      <ns0:c r="B541" s="245"/>
      <ns0:c r="C541" s="245"/>
      <ns0:c r="D541" s="245"/>
      <ns0:c r="E541" s="245"/>
      <ns0:c r="F541" s="245"/>
      <ns0:c r="G541" s="245"/>
      <ns0:c r="H541" s="245"/>
      <ns0:c r="I541" s="245"/>
      <ns0:c r="J541" s="245"/>
      <ns0:c r="K541" s="245"/>
      <ns0:c r="L541" s="245"/>
      <ns0:c r="M541" s="245"/>
      <ns0:c r="N541" s="245"/>
      <ns0:c r="O541" s="245"/>
      <ns0:c r="P541" s="245"/>
      <ns0:c r="Q541" s="245"/>
      <ns0:c r="R541" s="245"/>
      <ns0:c r="S541" s="245"/>
      <ns0:c r="T541" s="245"/>
      <ns0:c r="U541" s="245"/>
      <ns0:c r="V541" s="245"/>
      <ns0:c r="W541" s="245"/>
      <ns0:c r="X541" s="245"/>
      <ns0:c r="Y541" s="245"/>
      <ns0:c r="Z541" s="245"/>
    </ns0:row>
    <ns0:row r="542">
      <ns0:c r="A542" s="245"/>
      <ns0:c r="B542" s="245"/>
      <ns0:c r="C542" s="245"/>
      <ns0:c r="D542" s="245"/>
      <ns0:c r="E542" s="245"/>
      <ns0:c r="F542" s="245"/>
      <ns0:c r="G542" s="245"/>
      <ns0:c r="H542" s="245"/>
      <ns0:c r="I542" s="245"/>
      <ns0:c r="J542" s="245"/>
      <ns0:c r="K542" s="245"/>
      <ns0:c r="L542" s="245"/>
      <ns0:c r="M542" s="245"/>
      <ns0:c r="N542" s="245"/>
      <ns0:c r="O542" s="245"/>
      <ns0:c r="P542" s="245"/>
      <ns0:c r="Q542" s="245"/>
      <ns0:c r="R542" s="245"/>
      <ns0:c r="S542" s="245"/>
      <ns0:c r="T542" s="245"/>
      <ns0:c r="U542" s="245"/>
      <ns0:c r="V542" s="245"/>
      <ns0:c r="W542" s="245"/>
      <ns0:c r="X542" s="245"/>
      <ns0:c r="Y542" s="245"/>
      <ns0:c r="Z542" s="245"/>
    </ns0:row>
    <ns0:row r="543">
      <ns0:c r="A543" s="245"/>
      <ns0:c r="B543" s="245"/>
      <ns0:c r="C543" s="245"/>
      <ns0:c r="D543" s="245"/>
      <ns0:c r="E543" s="245"/>
      <ns0:c r="F543" s="245"/>
      <ns0:c r="G543" s="245"/>
      <ns0:c r="H543" s="245"/>
      <ns0:c r="I543" s="245"/>
      <ns0:c r="J543" s="245"/>
      <ns0:c r="K543" s="245"/>
      <ns0:c r="L543" s="245"/>
      <ns0:c r="M543" s="245"/>
      <ns0:c r="N543" s="245"/>
      <ns0:c r="O543" s="245"/>
      <ns0:c r="P543" s="245"/>
      <ns0:c r="Q543" s="245"/>
      <ns0:c r="R543" s="245"/>
      <ns0:c r="S543" s="245"/>
      <ns0:c r="T543" s="245"/>
      <ns0:c r="U543" s="245"/>
      <ns0:c r="V543" s="245"/>
      <ns0:c r="W543" s="245"/>
      <ns0:c r="X543" s="245"/>
      <ns0:c r="Y543" s="245"/>
      <ns0:c r="Z543" s="245"/>
    </ns0:row>
    <ns0:row r="544">
      <ns0:c r="A544" s="245"/>
      <ns0:c r="B544" s="245"/>
      <ns0:c r="C544" s="245"/>
      <ns0:c r="D544" s="245"/>
      <ns0:c r="E544" s="245"/>
      <ns0:c r="F544" s="245"/>
      <ns0:c r="G544" s="245"/>
      <ns0:c r="H544" s="245"/>
      <ns0:c r="I544" s="245"/>
      <ns0:c r="J544" s="245"/>
      <ns0:c r="K544" s="245"/>
      <ns0:c r="L544" s="245"/>
      <ns0:c r="M544" s="245"/>
      <ns0:c r="N544" s="245"/>
      <ns0:c r="O544" s="245"/>
      <ns0:c r="P544" s="245"/>
      <ns0:c r="Q544" s="245"/>
      <ns0:c r="R544" s="245"/>
      <ns0:c r="S544" s="245"/>
      <ns0:c r="T544" s="245"/>
      <ns0:c r="U544" s="245"/>
      <ns0:c r="V544" s="245"/>
      <ns0:c r="W544" s="245"/>
      <ns0:c r="X544" s="245"/>
      <ns0:c r="Y544" s="245"/>
      <ns0:c r="Z544" s="245"/>
    </ns0:row>
    <ns0:row r="545">
      <ns0:c r="A545" s="245"/>
      <ns0:c r="B545" s="245"/>
      <ns0:c r="C545" s="245"/>
      <ns0:c r="D545" s="245"/>
      <ns0:c r="E545" s="245"/>
      <ns0:c r="F545" s="245"/>
      <ns0:c r="G545" s="245"/>
      <ns0:c r="H545" s="245"/>
      <ns0:c r="I545" s="245"/>
      <ns0:c r="J545" s="245"/>
      <ns0:c r="K545" s="245"/>
      <ns0:c r="L545" s="245"/>
      <ns0:c r="M545" s="245"/>
      <ns0:c r="N545" s="245"/>
      <ns0:c r="O545" s="245"/>
      <ns0:c r="P545" s="245"/>
      <ns0:c r="Q545" s="245"/>
      <ns0:c r="R545" s="245"/>
      <ns0:c r="S545" s="245"/>
      <ns0:c r="T545" s="245"/>
      <ns0:c r="U545" s="245"/>
      <ns0:c r="V545" s="245"/>
      <ns0:c r="W545" s="245"/>
      <ns0:c r="X545" s="245"/>
      <ns0:c r="Y545" s="245"/>
      <ns0:c r="Z545" s="245"/>
    </ns0:row>
    <ns0:row r="546">
      <ns0:c r="A546" s="245"/>
      <ns0:c r="B546" s="245"/>
      <ns0:c r="C546" s="245"/>
      <ns0:c r="D546" s="245"/>
      <ns0:c r="E546" s="245"/>
      <ns0:c r="F546" s="245"/>
      <ns0:c r="G546" s="245"/>
      <ns0:c r="H546" s="245"/>
      <ns0:c r="I546" s="245"/>
      <ns0:c r="J546" s="245"/>
      <ns0:c r="K546" s="245"/>
      <ns0:c r="L546" s="245"/>
      <ns0:c r="M546" s="245"/>
      <ns0:c r="N546" s="245"/>
      <ns0:c r="O546" s="245"/>
      <ns0:c r="P546" s="245"/>
      <ns0:c r="Q546" s="245"/>
      <ns0:c r="R546" s="245"/>
      <ns0:c r="S546" s="245"/>
      <ns0:c r="T546" s="245"/>
      <ns0:c r="U546" s="245"/>
      <ns0:c r="V546" s="245"/>
      <ns0:c r="W546" s="245"/>
      <ns0:c r="X546" s="245"/>
      <ns0:c r="Y546" s="245"/>
      <ns0:c r="Z546" s="245"/>
    </ns0:row>
    <ns0:row r="547">
      <ns0:c r="A547" s="245"/>
      <ns0:c r="B547" s="245"/>
      <ns0:c r="C547" s="245"/>
      <ns0:c r="D547" s="245"/>
      <ns0:c r="E547" s="245"/>
      <ns0:c r="F547" s="245"/>
      <ns0:c r="G547" s="245"/>
      <ns0:c r="H547" s="245"/>
      <ns0:c r="I547" s="245"/>
      <ns0:c r="J547" s="245"/>
      <ns0:c r="K547" s="245"/>
      <ns0:c r="L547" s="245"/>
      <ns0:c r="M547" s="245"/>
      <ns0:c r="N547" s="245"/>
      <ns0:c r="O547" s="245"/>
      <ns0:c r="P547" s="245"/>
      <ns0:c r="Q547" s="245"/>
      <ns0:c r="R547" s="245"/>
      <ns0:c r="S547" s="245"/>
      <ns0:c r="T547" s="245"/>
      <ns0:c r="U547" s="245"/>
      <ns0:c r="V547" s="245"/>
      <ns0:c r="W547" s="245"/>
      <ns0:c r="X547" s="245"/>
      <ns0:c r="Y547" s="245"/>
      <ns0:c r="Z547" s="245"/>
    </ns0:row>
    <ns0:row r="548">
      <ns0:c r="A548" s="245"/>
      <ns0:c r="B548" s="245"/>
      <ns0:c r="C548" s="245"/>
      <ns0:c r="D548" s="245"/>
      <ns0:c r="E548" s="245"/>
      <ns0:c r="F548" s="245"/>
      <ns0:c r="G548" s="245"/>
      <ns0:c r="H548" s="245"/>
      <ns0:c r="I548" s="245"/>
      <ns0:c r="J548" s="245"/>
      <ns0:c r="K548" s="245"/>
      <ns0:c r="L548" s="245"/>
      <ns0:c r="M548" s="245"/>
      <ns0:c r="N548" s="245"/>
      <ns0:c r="O548" s="245"/>
      <ns0:c r="P548" s="245"/>
      <ns0:c r="Q548" s="245"/>
      <ns0:c r="R548" s="245"/>
      <ns0:c r="S548" s="245"/>
      <ns0:c r="T548" s="245"/>
      <ns0:c r="U548" s="245"/>
      <ns0:c r="V548" s="245"/>
      <ns0:c r="W548" s="245"/>
      <ns0:c r="X548" s="245"/>
      <ns0:c r="Y548" s="245"/>
      <ns0:c r="Z548" s="245"/>
    </ns0:row>
    <ns0:row r="549">
      <ns0:c r="A549" s="245"/>
      <ns0:c r="B549" s="245"/>
      <ns0:c r="C549" s="245"/>
      <ns0:c r="D549" s="245"/>
      <ns0:c r="E549" s="245"/>
      <ns0:c r="F549" s="245"/>
      <ns0:c r="G549" s="245"/>
      <ns0:c r="H549" s="245"/>
      <ns0:c r="I549" s="245"/>
      <ns0:c r="J549" s="245"/>
      <ns0:c r="K549" s="245"/>
      <ns0:c r="L549" s="245"/>
      <ns0:c r="M549" s="245"/>
      <ns0:c r="N549" s="245"/>
      <ns0:c r="O549" s="245"/>
      <ns0:c r="P549" s="245"/>
      <ns0:c r="Q549" s="245"/>
      <ns0:c r="R549" s="245"/>
      <ns0:c r="S549" s="245"/>
      <ns0:c r="T549" s="245"/>
      <ns0:c r="U549" s="245"/>
      <ns0:c r="V549" s="245"/>
      <ns0:c r="W549" s="245"/>
      <ns0:c r="X549" s="245"/>
      <ns0:c r="Y549" s="245"/>
      <ns0:c r="Z549" s="245"/>
    </ns0:row>
    <ns0:row r="550">
      <ns0:c r="A550" s="245"/>
      <ns0:c r="B550" s="245"/>
      <ns0:c r="C550" s="245"/>
      <ns0:c r="D550" s="245"/>
      <ns0:c r="E550" s="245"/>
      <ns0:c r="F550" s="245"/>
      <ns0:c r="G550" s="245"/>
      <ns0:c r="H550" s="245"/>
      <ns0:c r="I550" s="245"/>
      <ns0:c r="J550" s="245"/>
      <ns0:c r="K550" s="245"/>
      <ns0:c r="L550" s="245"/>
      <ns0:c r="M550" s="245"/>
      <ns0:c r="N550" s="245"/>
      <ns0:c r="O550" s="245"/>
      <ns0:c r="P550" s="245"/>
      <ns0:c r="Q550" s="245"/>
      <ns0:c r="R550" s="245"/>
      <ns0:c r="S550" s="245"/>
      <ns0:c r="T550" s="245"/>
      <ns0:c r="U550" s="245"/>
      <ns0:c r="V550" s="245"/>
      <ns0:c r="W550" s="245"/>
      <ns0:c r="X550" s="245"/>
      <ns0:c r="Y550" s="245"/>
      <ns0:c r="Z550" s="245"/>
    </ns0:row>
    <ns0:row r="551">
      <ns0:c r="A551" s="245"/>
      <ns0:c r="B551" s="245"/>
      <ns0:c r="C551" s="245"/>
      <ns0:c r="D551" s="245"/>
      <ns0:c r="E551" s="245"/>
      <ns0:c r="F551" s="245"/>
      <ns0:c r="G551" s="245"/>
      <ns0:c r="H551" s="245"/>
      <ns0:c r="I551" s="245"/>
      <ns0:c r="J551" s="245"/>
      <ns0:c r="K551" s="245"/>
      <ns0:c r="L551" s="245"/>
      <ns0:c r="M551" s="245"/>
      <ns0:c r="N551" s="245"/>
      <ns0:c r="O551" s="245"/>
      <ns0:c r="P551" s="245"/>
      <ns0:c r="Q551" s="245"/>
      <ns0:c r="R551" s="245"/>
      <ns0:c r="S551" s="245"/>
      <ns0:c r="T551" s="245"/>
      <ns0:c r="U551" s="245"/>
      <ns0:c r="V551" s="245"/>
      <ns0:c r="W551" s="245"/>
      <ns0:c r="X551" s="245"/>
      <ns0:c r="Y551" s="245"/>
      <ns0:c r="Z551" s="245"/>
    </ns0:row>
    <ns0:row r="552">
      <ns0:c r="A552" s="245"/>
      <ns0:c r="B552" s="245"/>
      <ns0:c r="C552" s="245"/>
      <ns0:c r="D552" s="245"/>
      <ns0:c r="E552" s="245"/>
      <ns0:c r="F552" s="245"/>
      <ns0:c r="G552" s="245"/>
      <ns0:c r="H552" s="245"/>
      <ns0:c r="I552" s="245"/>
      <ns0:c r="J552" s="245"/>
      <ns0:c r="K552" s="245"/>
      <ns0:c r="L552" s="245"/>
      <ns0:c r="M552" s="245"/>
      <ns0:c r="N552" s="245"/>
      <ns0:c r="O552" s="245"/>
      <ns0:c r="P552" s="245"/>
      <ns0:c r="Q552" s="245"/>
      <ns0:c r="R552" s="245"/>
      <ns0:c r="S552" s="245"/>
      <ns0:c r="T552" s="245"/>
      <ns0:c r="U552" s="245"/>
      <ns0:c r="V552" s="245"/>
      <ns0:c r="W552" s="245"/>
      <ns0:c r="X552" s="245"/>
      <ns0:c r="Y552" s="245"/>
      <ns0:c r="Z552" s="245"/>
    </ns0:row>
    <ns0:row r="553">
      <ns0:c r="A553" s="245"/>
      <ns0:c r="B553" s="245"/>
      <ns0:c r="C553" s="245"/>
      <ns0:c r="D553" s="245"/>
      <ns0:c r="E553" s="245"/>
      <ns0:c r="F553" s="245"/>
      <ns0:c r="G553" s="245"/>
      <ns0:c r="H553" s="245"/>
      <ns0:c r="I553" s="245"/>
      <ns0:c r="J553" s="245"/>
      <ns0:c r="K553" s="245"/>
      <ns0:c r="L553" s="245"/>
      <ns0:c r="M553" s="245"/>
      <ns0:c r="N553" s="245"/>
      <ns0:c r="O553" s="245"/>
      <ns0:c r="P553" s="245"/>
      <ns0:c r="Q553" s="245"/>
      <ns0:c r="R553" s="245"/>
      <ns0:c r="S553" s="245"/>
      <ns0:c r="T553" s="245"/>
      <ns0:c r="U553" s="245"/>
      <ns0:c r="V553" s="245"/>
      <ns0:c r="W553" s="245"/>
      <ns0:c r="X553" s="245"/>
      <ns0:c r="Y553" s="245"/>
      <ns0:c r="Z553" s="245"/>
    </ns0:row>
    <ns0:row r="554">
      <ns0:c r="A554" s="245"/>
      <ns0:c r="B554" s="245"/>
      <ns0:c r="C554" s="245"/>
      <ns0:c r="D554" s="245"/>
      <ns0:c r="E554" s="245"/>
      <ns0:c r="F554" s="245"/>
      <ns0:c r="G554" s="245"/>
      <ns0:c r="H554" s="245"/>
      <ns0:c r="I554" s="245"/>
      <ns0:c r="J554" s="245"/>
      <ns0:c r="K554" s="245"/>
      <ns0:c r="L554" s="245"/>
      <ns0:c r="M554" s="245"/>
      <ns0:c r="N554" s="245"/>
      <ns0:c r="O554" s="245"/>
      <ns0:c r="P554" s="245"/>
      <ns0:c r="Q554" s="245"/>
      <ns0:c r="R554" s="245"/>
      <ns0:c r="S554" s="245"/>
      <ns0:c r="T554" s="245"/>
      <ns0:c r="U554" s="245"/>
      <ns0:c r="V554" s="245"/>
      <ns0:c r="W554" s="245"/>
      <ns0:c r="X554" s="245"/>
      <ns0:c r="Y554" s="245"/>
      <ns0:c r="Z554" s="245"/>
    </ns0:row>
    <ns0:row r="555">
      <ns0:c r="A555" s="245"/>
      <ns0:c r="B555" s="245"/>
      <ns0:c r="C555" s="245"/>
      <ns0:c r="D555" s="245"/>
      <ns0:c r="E555" s="245"/>
      <ns0:c r="F555" s="245"/>
      <ns0:c r="G555" s="245"/>
      <ns0:c r="H555" s="245"/>
      <ns0:c r="I555" s="245"/>
      <ns0:c r="J555" s="245"/>
      <ns0:c r="K555" s="245"/>
      <ns0:c r="L555" s="245"/>
      <ns0:c r="M555" s="245"/>
      <ns0:c r="N555" s="245"/>
      <ns0:c r="O555" s="245"/>
      <ns0:c r="P555" s="245"/>
      <ns0:c r="Q555" s="245"/>
      <ns0:c r="R555" s="245"/>
      <ns0:c r="S555" s="245"/>
      <ns0:c r="T555" s="245"/>
      <ns0:c r="U555" s="245"/>
      <ns0:c r="V555" s="245"/>
      <ns0:c r="W555" s="245"/>
      <ns0:c r="X555" s="245"/>
      <ns0:c r="Y555" s="245"/>
      <ns0:c r="Z555" s="245"/>
    </ns0:row>
    <ns0:row r="556">
      <ns0:c r="A556" s="245"/>
      <ns0:c r="B556" s="245"/>
      <ns0:c r="C556" s="245"/>
      <ns0:c r="D556" s="245"/>
      <ns0:c r="E556" s="245"/>
      <ns0:c r="F556" s="245"/>
      <ns0:c r="G556" s="245"/>
      <ns0:c r="H556" s="245"/>
      <ns0:c r="I556" s="245"/>
      <ns0:c r="J556" s="245"/>
      <ns0:c r="K556" s="245"/>
      <ns0:c r="L556" s="245"/>
      <ns0:c r="M556" s="245"/>
      <ns0:c r="N556" s="245"/>
      <ns0:c r="O556" s="245"/>
      <ns0:c r="P556" s="245"/>
      <ns0:c r="Q556" s="245"/>
      <ns0:c r="R556" s="245"/>
      <ns0:c r="S556" s="245"/>
      <ns0:c r="T556" s="245"/>
      <ns0:c r="U556" s="245"/>
      <ns0:c r="V556" s="245"/>
      <ns0:c r="W556" s="245"/>
      <ns0:c r="X556" s="245"/>
      <ns0:c r="Y556" s="245"/>
      <ns0:c r="Z556" s="245"/>
    </ns0:row>
    <ns0:row r="557">
      <ns0:c r="A557" s="245"/>
      <ns0:c r="B557" s="245"/>
      <ns0:c r="C557" s="245"/>
      <ns0:c r="D557" s="245"/>
      <ns0:c r="E557" s="245"/>
      <ns0:c r="F557" s="245"/>
      <ns0:c r="G557" s="245"/>
      <ns0:c r="H557" s="245"/>
      <ns0:c r="I557" s="245"/>
      <ns0:c r="J557" s="245"/>
      <ns0:c r="K557" s="245"/>
      <ns0:c r="L557" s="245"/>
      <ns0:c r="M557" s="245"/>
      <ns0:c r="N557" s="245"/>
      <ns0:c r="O557" s="245"/>
      <ns0:c r="P557" s="245"/>
      <ns0:c r="Q557" s="245"/>
      <ns0:c r="R557" s="245"/>
      <ns0:c r="S557" s="245"/>
      <ns0:c r="T557" s="245"/>
      <ns0:c r="U557" s="245"/>
      <ns0:c r="V557" s="245"/>
      <ns0:c r="W557" s="245"/>
      <ns0:c r="X557" s="245"/>
      <ns0:c r="Y557" s="245"/>
      <ns0:c r="Z557" s="245"/>
    </ns0:row>
    <ns0:row r="558">
      <ns0:c r="A558" s="245"/>
      <ns0:c r="B558" s="245"/>
      <ns0:c r="C558" s="245"/>
      <ns0:c r="D558" s="245"/>
      <ns0:c r="E558" s="245"/>
      <ns0:c r="F558" s="245"/>
      <ns0:c r="G558" s="245"/>
      <ns0:c r="H558" s="245"/>
      <ns0:c r="I558" s="245"/>
      <ns0:c r="J558" s="245"/>
      <ns0:c r="K558" s="245"/>
      <ns0:c r="L558" s="245"/>
      <ns0:c r="M558" s="245"/>
      <ns0:c r="N558" s="245"/>
      <ns0:c r="O558" s="245"/>
      <ns0:c r="P558" s="245"/>
      <ns0:c r="Q558" s="245"/>
      <ns0:c r="R558" s="245"/>
      <ns0:c r="S558" s="245"/>
      <ns0:c r="T558" s="245"/>
      <ns0:c r="U558" s="245"/>
      <ns0:c r="V558" s="245"/>
      <ns0:c r="W558" s="245"/>
      <ns0:c r="X558" s="245"/>
      <ns0:c r="Y558" s="245"/>
      <ns0:c r="Z558" s="245"/>
    </ns0:row>
    <ns0:row r="559">
      <ns0:c r="A559" s="245"/>
      <ns0:c r="B559" s="245"/>
      <ns0:c r="C559" s="245"/>
      <ns0:c r="D559" s="245"/>
      <ns0:c r="E559" s="245"/>
      <ns0:c r="F559" s="245"/>
      <ns0:c r="G559" s="245"/>
      <ns0:c r="H559" s="245"/>
      <ns0:c r="I559" s="245"/>
      <ns0:c r="J559" s="245"/>
      <ns0:c r="K559" s="245"/>
      <ns0:c r="L559" s="245"/>
      <ns0:c r="M559" s="245"/>
      <ns0:c r="N559" s="245"/>
      <ns0:c r="O559" s="245"/>
      <ns0:c r="P559" s="245"/>
      <ns0:c r="Q559" s="245"/>
      <ns0:c r="R559" s="245"/>
      <ns0:c r="S559" s="245"/>
      <ns0:c r="T559" s="245"/>
      <ns0:c r="U559" s="245"/>
      <ns0:c r="V559" s="245"/>
      <ns0:c r="W559" s="245"/>
      <ns0:c r="X559" s="245"/>
      <ns0:c r="Y559" s="245"/>
      <ns0:c r="Z559" s="245"/>
    </ns0:row>
    <ns0:row r="560">
      <ns0:c r="A560" s="245"/>
      <ns0:c r="B560" s="245"/>
      <ns0:c r="C560" s="245"/>
      <ns0:c r="D560" s="245"/>
      <ns0:c r="E560" s="245"/>
      <ns0:c r="F560" s="245"/>
      <ns0:c r="G560" s="245"/>
      <ns0:c r="H560" s="245"/>
      <ns0:c r="I560" s="245"/>
      <ns0:c r="J560" s="245"/>
      <ns0:c r="K560" s="245"/>
      <ns0:c r="L560" s="245"/>
      <ns0:c r="M560" s="245"/>
      <ns0:c r="N560" s="245"/>
      <ns0:c r="O560" s="245"/>
      <ns0:c r="P560" s="245"/>
      <ns0:c r="Q560" s="245"/>
      <ns0:c r="R560" s="245"/>
      <ns0:c r="S560" s="245"/>
      <ns0:c r="T560" s="245"/>
      <ns0:c r="U560" s="245"/>
      <ns0:c r="V560" s="245"/>
      <ns0:c r="W560" s="245"/>
      <ns0:c r="X560" s="245"/>
      <ns0:c r="Y560" s="245"/>
      <ns0:c r="Z560" s="245"/>
    </ns0:row>
    <ns0:row r="561">
      <ns0:c r="A561" s="245"/>
      <ns0:c r="B561" s="245"/>
      <ns0:c r="C561" s="245"/>
      <ns0:c r="D561" s="245"/>
      <ns0:c r="E561" s="245"/>
      <ns0:c r="F561" s="245"/>
      <ns0:c r="G561" s="245"/>
      <ns0:c r="H561" s="245"/>
      <ns0:c r="I561" s="245"/>
      <ns0:c r="J561" s="245"/>
      <ns0:c r="K561" s="245"/>
      <ns0:c r="L561" s="245"/>
      <ns0:c r="M561" s="245"/>
      <ns0:c r="N561" s="245"/>
      <ns0:c r="O561" s="245"/>
      <ns0:c r="P561" s="245"/>
      <ns0:c r="Q561" s="245"/>
      <ns0:c r="R561" s="245"/>
      <ns0:c r="S561" s="245"/>
      <ns0:c r="T561" s="245"/>
      <ns0:c r="U561" s="245"/>
      <ns0:c r="V561" s="245"/>
      <ns0:c r="W561" s="245"/>
      <ns0:c r="X561" s="245"/>
      <ns0:c r="Y561" s="245"/>
      <ns0:c r="Z561" s="245"/>
    </ns0:row>
    <ns0:row r="562">
      <ns0:c r="A562" s="245"/>
      <ns0:c r="B562" s="245"/>
      <ns0:c r="C562" s="245"/>
      <ns0:c r="D562" s="245"/>
      <ns0:c r="E562" s="245"/>
      <ns0:c r="F562" s="245"/>
      <ns0:c r="G562" s="245"/>
      <ns0:c r="H562" s="245"/>
      <ns0:c r="I562" s="245"/>
      <ns0:c r="J562" s="245"/>
      <ns0:c r="K562" s="245"/>
      <ns0:c r="L562" s="245"/>
      <ns0:c r="M562" s="245"/>
      <ns0:c r="N562" s="245"/>
      <ns0:c r="O562" s="245"/>
      <ns0:c r="P562" s="245"/>
      <ns0:c r="Q562" s="245"/>
      <ns0:c r="R562" s="245"/>
      <ns0:c r="S562" s="245"/>
      <ns0:c r="T562" s="245"/>
      <ns0:c r="U562" s="245"/>
      <ns0:c r="V562" s="245"/>
      <ns0:c r="W562" s="245"/>
      <ns0:c r="X562" s="245"/>
      <ns0:c r="Y562" s="245"/>
      <ns0:c r="Z562" s="245"/>
    </ns0:row>
    <ns0:row r="563">
      <ns0:c r="A563" s="245"/>
      <ns0:c r="B563" s="245"/>
      <ns0:c r="C563" s="245"/>
      <ns0:c r="D563" s="245"/>
      <ns0:c r="E563" s="245"/>
      <ns0:c r="F563" s="245"/>
      <ns0:c r="G563" s="245"/>
      <ns0:c r="H563" s="245"/>
      <ns0:c r="I563" s="245"/>
      <ns0:c r="J563" s="245"/>
      <ns0:c r="K563" s="245"/>
      <ns0:c r="L563" s="245"/>
      <ns0:c r="M563" s="245"/>
      <ns0:c r="N563" s="245"/>
      <ns0:c r="O563" s="245"/>
      <ns0:c r="P563" s="245"/>
      <ns0:c r="Q563" s="245"/>
      <ns0:c r="R563" s="245"/>
      <ns0:c r="S563" s="245"/>
      <ns0:c r="T563" s="245"/>
      <ns0:c r="U563" s="245"/>
      <ns0:c r="V563" s="245"/>
      <ns0:c r="W563" s="245"/>
      <ns0:c r="X563" s="245"/>
      <ns0:c r="Y563" s="245"/>
      <ns0:c r="Z563" s="245"/>
    </ns0:row>
    <ns0:row r="564">
      <ns0:c r="A564" s="245"/>
      <ns0:c r="B564" s="245"/>
      <ns0:c r="C564" s="245"/>
      <ns0:c r="D564" s="245"/>
      <ns0:c r="E564" s="245"/>
      <ns0:c r="F564" s="245"/>
      <ns0:c r="G564" s="245"/>
      <ns0:c r="H564" s="245"/>
      <ns0:c r="I564" s="245"/>
      <ns0:c r="J564" s="245"/>
      <ns0:c r="K564" s="245"/>
      <ns0:c r="L564" s="245"/>
      <ns0:c r="M564" s="245"/>
      <ns0:c r="N564" s="245"/>
      <ns0:c r="O564" s="245"/>
      <ns0:c r="P564" s="245"/>
      <ns0:c r="Q564" s="245"/>
      <ns0:c r="R564" s="245"/>
      <ns0:c r="S564" s="245"/>
      <ns0:c r="T564" s="245"/>
      <ns0:c r="U564" s="245"/>
      <ns0:c r="V564" s="245"/>
      <ns0:c r="W564" s="245"/>
      <ns0:c r="X564" s="245"/>
      <ns0:c r="Y564" s="245"/>
      <ns0:c r="Z564" s="245"/>
    </ns0:row>
    <ns0:row r="565">
      <ns0:c r="A565" s="245"/>
      <ns0:c r="B565" s="245"/>
      <ns0:c r="C565" s="245"/>
      <ns0:c r="D565" s="245"/>
      <ns0:c r="E565" s="245"/>
      <ns0:c r="F565" s="245"/>
      <ns0:c r="G565" s="245"/>
      <ns0:c r="H565" s="245"/>
      <ns0:c r="I565" s="245"/>
      <ns0:c r="J565" s="245"/>
      <ns0:c r="K565" s="245"/>
      <ns0:c r="L565" s="245"/>
      <ns0:c r="M565" s="245"/>
      <ns0:c r="N565" s="245"/>
      <ns0:c r="O565" s="245"/>
      <ns0:c r="P565" s="245"/>
      <ns0:c r="Q565" s="245"/>
      <ns0:c r="R565" s="245"/>
      <ns0:c r="S565" s="245"/>
      <ns0:c r="T565" s="245"/>
      <ns0:c r="U565" s="245"/>
      <ns0:c r="V565" s="245"/>
      <ns0:c r="W565" s="245"/>
      <ns0:c r="X565" s="245"/>
      <ns0:c r="Y565" s="245"/>
      <ns0:c r="Z565" s="245"/>
    </ns0:row>
    <ns0:row r="566">
      <ns0:c r="A566" s="245"/>
      <ns0:c r="B566" s="245"/>
      <ns0:c r="C566" s="245"/>
      <ns0:c r="D566" s="245"/>
      <ns0:c r="E566" s="245"/>
      <ns0:c r="F566" s="245"/>
      <ns0:c r="G566" s="245"/>
      <ns0:c r="H566" s="245"/>
      <ns0:c r="I566" s="245"/>
      <ns0:c r="J566" s="245"/>
      <ns0:c r="K566" s="245"/>
      <ns0:c r="L566" s="245"/>
      <ns0:c r="M566" s="245"/>
      <ns0:c r="N566" s="245"/>
      <ns0:c r="O566" s="245"/>
      <ns0:c r="P566" s="245"/>
      <ns0:c r="Q566" s="245"/>
      <ns0:c r="R566" s="245"/>
      <ns0:c r="S566" s="245"/>
      <ns0:c r="T566" s="245"/>
      <ns0:c r="U566" s="245"/>
      <ns0:c r="V566" s="245"/>
      <ns0:c r="W566" s="245"/>
      <ns0:c r="X566" s="245"/>
      <ns0:c r="Y566" s="245"/>
      <ns0:c r="Z566" s="245"/>
    </ns0:row>
    <ns0:row r="567">
      <ns0:c r="A567" s="245"/>
      <ns0:c r="B567" s="245"/>
      <ns0:c r="C567" s="245"/>
      <ns0:c r="D567" s="245"/>
      <ns0:c r="E567" s="245"/>
      <ns0:c r="F567" s="245"/>
      <ns0:c r="G567" s="245"/>
      <ns0:c r="H567" s="245"/>
      <ns0:c r="I567" s="245"/>
      <ns0:c r="J567" s="245"/>
      <ns0:c r="K567" s="245"/>
      <ns0:c r="L567" s="245"/>
      <ns0:c r="M567" s="245"/>
      <ns0:c r="N567" s="245"/>
      <ns0:c r="O567" s="245"/>
      <ns0:c r="P567" s="245"/>
      <ns0:c r="Q567" s="245"/>
      <ns0:c r="R567" s="245"/>
      <ns0:c r="S567" s="245"/>
      <ns0:c r="T567" s="245"/>
      <ns0:c r="U567" s="245"/>
      <ns0:c r="V567" s="245"/>
      <ns0:c r="W567" s="245"/>
      <ns0:c r="X567" s="245"/>
      <ns0:c r="Y567" s="245"/>
      <ns0:c r="Z567" s="245"/>
    </ns0:row>
    <ns0:row r="568">
      <ns0:c r="A568" s="245"/>
      <ns0:c r="B568" s="245"/>
      <ns0:c r="C568" s="245"/>
      <ns0:c r="D568" s="245"/>
      <ns0:c r="E568" s="245"/>
      <ns0:c r="F568" s="245"/>
      <ns0:c r="G568" s="245"/>
      <ns0:c r="H568" s="245"/>
      <ns0:c r="I568" s="245"/>
      <ns0:c r="J568" s="245"/>
      <ns0:c r="K568" s="245"/>
      <ns0:c r="L568" s="245"/>
      <ns0:c r="M568" s="245"/>
      <ns0:c r="N568" s="245"/>
      <ns0:c r="O568" s="245"/>
      <ns0:c r="P568" s="245"/>
      <ns0:c r="Q568" s="245"/>
      <ns0:c r="R568" s="245"/>
      <ns0:c r="S568" s="245"/>
      <ns0:c r="T568" s="245"/>
      <ns0:c r="U568" s="245"/>
      <ns0:c r="V568" s="245"/>
      <ns0:c r="W568" s="245"/>
      <ns0:c r="X568" s="245"/>
      <ns0:c r="Y568" s="245"/>
      <ns0:c r="Z568" s="245"/>
    </ns0:row>
    <ns0:row r="569">
      <ns0:c r="A569" s="245"/>
      <ns0:c r="B569" s="245"/>
      <ns0:c r="C569" s="245"/>
      <ns0:c r="D569" s="245"/>
      <ns0:c r="E569" s="245"/>
      <ns0:c r="F569" s="245"/>
      <ns0:c r="G569" s="245"/>
      <ns0:c r="H569" s="245"/>
      <ns0:c r="I569" s="245"/>
      <ns0:c r="J569" s="245"/>
      <ns0:c r="K569" s="245"/>
      <ns0:c r="L569" s="245"/>
      <ns0:c r="M569" s="245"/>
      <ns0:c r="N569" s="245"/>
      <ns0:c r="O569" s="245"/>
      <ns0:c r="P569" s="245"/>
      <ns0:c r="Q569" s="245"/>
      <ns0:c r="R569" s="245"/>
      <ns0:c r="S569" s="245"/>
      <ns0:c r="T569" s="245"/>
      <ns0:c r="U569" s="245"/>
      <ns0:c r="V569" s="245"/>
      <ns0:c r="W569" s="245"/>
      <ns0:c r="X569" s="245"/>
      <ns0:c r="Y569" s="245"/>
      <ns0:c r="Z569" s="245"/>
    </ns0:row>
    <ns0:row r="570">
      <ns0:c r="A570" s="245"/>
      <ns0:c r="B570" s="245"/>
      <ns0:c r="C570" s="245"/>
      <ns0:c r="D570" s="245"/>
      <ns0:c r="E570" s="245"/>
      <ns0:c r="F570" s="245"/>
      <ns0:c r="G570" s="245"/>
      <ns0:c r="H570" s="245"/>
      <ns0:c r="I570" s="245"/>
      <ns0:c r="J570" s="245"/>
      <ns0:c r="K570" s="245"/>
      <ns0:c r="L570" s="245"/>
      <ns0:c r="M570" s="245"/>
      <ns0:c r="N570" s="245"/>
      <ns0:c r="O570" s="245"/>
      <ns0:c r="P570" s="245"/>
      <ns0:c r="Q570" s="245"/>
      <ns0:c r="R570" s="245"/>
      <ns0:c r="S570" s="245"/>
      <ns0:c r="T570" s="245"/>
      <ns0:c r="U570" s="245"/>
      <ns0:c r="V570" s="245"/>
      <ns0:c r="W570" s="245"/>
      <ns0:c r="X570" s="245"/>
      <ns0:c r="Y570" s="245"/>
      <ns0:c r="Z570" s="245"/>
    </ns0:row>
    <ns0:row r="571">
      <ns0:c r="A571" s="245"/>
      <ns0:c r="B571" s="245"/>
      <ns0:c r="C571" s="245"/>
      <ns0:c r="D571" s="245"/>
      <ns0:c r="E571" s="245"/>
      <ns0:c r="F571" s="245"/>
      <ns0:c r="G571" s="245"/>
      <ns0:c r="H571" s="245"/>
      <ns0:c r="I571" s="245"/>
      <ns0:c r="J571" s="245"/>
      <ns0:c r="K571" s="245"/>
      <ns0:c r="L571" s="245"/>
      <ns0:c r="M571" s="245"/>
      <ns0:c r="N571" s="245"/>
      <ns0:c r="O571" s="245"/>
      <ns0:c r="P571" s="245"/>
      <ns0:c r="Q571" s="245"/>
      <ns0:c r="R571" s="245"/>
      <ns0:c r="S571" s="245"/>
      <ns0:c r="T571" s="245"/>
      <ns0:c r="U571" s="245"/>
      <ns0:c r="V571" s="245"/>
      <ns0:c r="W571" s="245"/>
      <ns0:c r="X571" s="245"/>
      <ns0:c r="Y571" s="245"/>
      <ns0:c r="Z571" s="245"/>
    </ns0:row>
    <ns0:row r="572">
      <ns0:c r="A572" s="245"/>
      <ns0:c r="B572" s="245"/>
      <ns0:c r="C572" s="245"/>
      <ns0:c r="D572" s="245"/>
      <ns0:c r="E572" s="245"/>
      <ns0:c r="F572" s="245"/>
      <ns0:c r="G572" s="245"/>
      <ns0:c r="H572" s="245"/>
      <ns0:c r="I572" s="245"/>
      <ns0:c r="J572" s="245"/>
      <ns0:c r="K572" s="245"/>
      <ns0:c r="L572" s="245"/>
      <ns0:c r="M572" s="245"/>
      <ns0:c r="N572" s="245"/>
      <ns0:c r="O572" s="245"/>
      <ns0:c r="P572" s="245"/>
      <ns0:c r="Q572" s="245"/>
      <ns0:c r="R572" s="245"/>
      <ns0:c r="S572" s="245"/>
      <ns0:c r="T572" s="245"/>
      <ns0:c r="U572" s="245"/>
      <ns0:c r="V572" s="245"/>
      <ns0:c r="W572" s="245"/>
      <ns0:c r="X572" s="245"/>
      <ns0:c r="Y572" s="245"/>
      <ns0:c r="Z572" s="245"/>
    </ns0:row>
    <ns0:row r="573">
      <ns0:c r="A573" s="245"/>
      <ns0:c r="B573" s="245"/>
      <ns0:c r="C573" s="245"/>
      <ns0:c r="D573" s="245"/>
      <ns0:c r="E573" s="245"/>
      <ns0:c r="F573" s="245"/>
      <ns0:c r="G573" s="245"/>
      <ns0:c r="H573" s="245"/>
      <ns0:c r="I573" s="245"/>
      <ns0:c r="J573" s="245"/>
      <ns0:c r="K573" s="245"/>
      <ns0:c r="L573" s="245"/>
      <ns0:c r="M573" s="245"/>
      <ns0:c r="N573" s="245"/>
      <ns0:c r="O573" s="245"/>
      <ns0:c r="P573" s="245"/>
      <ns0:c r="Q573" s="245"/>
      <ns0:c r="R573" s="245"/>
      <ns0:c r="S573" s="245"/>
      <ns0:c r="T573" s="245"/>
      <ns0:c r="U573" s="245"/>
      <ns0:c r="V573" s="245"/>
      <ns0:c r="W573" s="245"/>
      <ns0:c r="X573" s="245"/>
      <ns0:c r="Y573" s="245"/>
      <ns0:c r="Z573" s="245"/>
    </ns0:row>
    <ns0:row r="574">
      <ns0:c r="A574" s="245"/>
      <ns0:c r="B574" s="245"/>
      <ns0:c r="C574" s="245"/>
      <ns0:c r="D574" s="245"/>
      <ns0:c r="E574" s="245"/>
      <ns0:c r="F574" s="245"/>
      <ns0:c r="G574" s="245"/>
      <ns0:c r="H574" s="245"/>
      <ns0:c r="I574" s="245"/>
      <ns0:c r="J574" s="245"/>
      <ns0:c r="K574" s="245"/>
      <ns0:c r="L574" s="245"/>
      <ns0:c r="M574" s="245"/>
      <ns0:c r="N574" s="245"/>
      <ns0:c r="O574" s="245"/>
      <ns0:c r="P574" s="245"/>
      <ns0:c r="Q574" s="245"/>
      <ns0:c r="R574" s="245"/>
      <ns0:c r="S574" s="245"/>
      <ns0:c r="T574" s="245"/>
      <ns0:c r="U574" s="245"/>
      <ns0:c r="V574" s="245"/>
      <ns0:c r="W574" s="245"/>
      <ns0:c r="X574" s="245"/>
      <ns0:c r="Y574" s="245"/>
      <ns0:c r="Z574" s="245"/>
    </ns0:row>
    <ns0:row r="575">
      <ns0:c r="A575" s="245"/>
      <ns0:c r="B575" s="245"/>
      <ns0:c r="C575" s="245"/>
      <ns0:c r="D575" s="245"/>
      <ns0:c r="E575" s="245"/>
      <ns0:c r="F575" s="245"/>
      <ns0:c r="G575" s="245"/>
      <ns0:c r="H575" s="245"/>
      <ns0:c r="I575" s="245"/>
      <ns0:c r="J575" s="245"/>
      <ns0:c r="K575" s="245"/>
      <ns0:c r="L575" s="245"/>
      <ns0:c r="M575" s="245"/>
      <ns0:c r="N575" s="245"/>
      <ns0:c r="O575" s="245"/>
      <ns0:c r="P575" s="245"/>
      <ns0:c r="Q575" s="245"/>
      <ns0:c r="R575" s="245"/>
      <ns0:c r="S575" s="245"/>
      <ns0:c r="T575" s="245"/>
      <ns0:c r="U575" s="245"/>
      <ns0:c r="V575" s="245"/>
      <ns0:c r="W575" s="245"/>
      <ns0:c r="X575" s="245"/>
      <ns0:c r="Y575" s="245"/>
      <ns0:c r="Z575" s="245"/>
    </ns0:row>
    <ns0:row r="576">
      <ns0:c r="A576" s="245"/>
      <ns0:c r="B576" s="245"/>
      <ns0:c r="C576" s="245"/>
      <ns0:c r="D576" s="245"/>
      <ns0:c r="E576" s="245"/>
      <ns0:c r="F576" s="245"/>
      <ns0:c r="G576" s="245"/>
      <ns0:c r="H576" s="245"/>
      <ns0:c r="I576" s="245"/>
      <ns0:c r="J576" s="245"/>
      <ns0:c r="K576" s="245"/>
      <ns0:c r="L576" s="245"/>
      <ns0:c r="M576" s="245"/>
      <ns0:c r="N576" s="245"/>
      <ns0:c r="O576" s="245"/>
      <ns0:c r="P576" s="245"/>
      <ns0:c r="Q576" s="245"/>
      <ns0:c r="R576" s="245"/>
      <ns0:c r="S576" s="245"/>
      <ns0:c r="T576" s="245"/>
      <ns0:c r="U576" s="245"/>
      <ns0:c r="V576" s="245"/>
      <ns0:c r="W576" s="245"/>
      <ns0:c r="X576" s="245"/>
      <ns0:c r="Y576" s="245"/>
      <ns0:c r="Z576" s="245"/>
    </ns0:row>
    <ns0:row r="577">
      <ns0:c r="A577" s="245"/>
      <ns0:c r="B577" s="245"/>
      <ns0:c r="C577" s="245"/>
      <ns0:c r="D577" s="245"/>
      <ns0:c r="E577" s="245"/>
      <ns0:c r="F577" s="245"/>
      <ns0:c r="G577" s="245"/>
      <ns0:c r="H577" s="245"/>
      <ns0:c r="I577" s="245"/>
      <ns0:c r="J577" s="245"/>
      <ns0:c r="K577" s="245"/>
      <ns0:c r="L577" s="245"/>
      <ns0:c r="M577" s="245"/>
      <ns0:c r="N577" s="245"/>
      <ns0:c r="O577" s="245"/>
      <ns0:c r="P577" s="245"/>
      <ns0:c r="Q577" s="245"/>
      <ns0:c r="R577" s="245"/>
      <ns0:c r="S577" s="245"/>
      <ns0:c r="T577" s="245"/>
      <ns0:c r="U577" s="245"/>
      <ns0:c r="V577" s="245"/>
      <ns0:c r="W577" s="245"/>
      <ns0:c r="X577" s="245"/>
      <ns0:c r="Y577" s="245"/>
      <ns0:c r="Z577" s="245"/>
    </ns0:row>
    <ns0:row r="578">
      <ns0:c r="A578" s="245"/>
      <ns0:c r="B578" s="245"/>
      <ns0:c r="C578" s="245"/>
      <ns0:c r="D578" s="245"/>
      <ns0:c r="E578" s="245"/>
      <ns0:c r="F578" s="245"/>
      <ns0:c r="G578" s="245"/>
      <ns0:c r="H578" s="245"/>
      <ns0:c r="I578" s="245"/>
      <ns0:c r="J578" s="245"/>
      <ns0:c r="K578" s="245"/>
      <ns0:c r="L578" s="245"/>
      <ns0:c r="M578" s="245"/>
      <ns0:c r="N578" s="245"/>
      <ns0:c r="O578" s="245"/>
      <ns0:c r="P578" s="245"/>
      <ns0:c r="Q578" s="245"/>
      <ns0:c r="R578" s="245"/>
      <ns0:c r="S578" s="245"/>
      <ns0:c r="T578" s="245"/>
      <ns0:c r="U578" s="245"/>
      <ns0:c r="V578" s="245"/>
      <ns0:c r="W578" s="245"/>
      <ns0:c r="X578" s="245"/>
      <ns0:c r="Y578" s="245"/>
      <ns0:c r="Z578" s="245"/>
    </ns0:row>
    <ns0:row r="579">
      <ns0:c r="A579" s="245"/>
      <ns0:c r="B579" s="245"/>
      <ns0:c r="C579" s="245"/>
      <ns0:c r="D579" s="245"/>
      <ns0:c r="E579" s="245"/>
      <ns0:c r="F579" s="245"/>
      <ns0:c r="G579" s="245"/>
      <ns0:c r="H579" s="245"/>
      <ns0:c r="I579" s="245"/>
      <ns0:c r="J579" s="245"/>
      <ns0:c r="K579" s="245"/>
      <ns0:c r="L579" s="245"/>
      <ns0:c r="M579" s="245"/>
      <ns0:c r="N579" s="245"/>
      <ns0:c r="O579" s="245"/>
      <ns0:c r="P579" s="245"/>
      <ns0:c r="Q579" s="245"/>
      <ns0:c r="R579" s="245"/>
      <ns0:c r="S579" s="245"/>
      <ns0:c r="T579" s="245"/>
      <ns0:c r="U579" s="245"/>
      <ns0:c r="V579" s="245"/>
      <ns0:c r="W579" s="245"/>
      <ns0:c r="X579" s="245"/>
      <ns0:c r="Y579" s="245"/>
      <ns0:c r="Z579" s="245"/>
    </ns0:row>
    <ns0:row r="580">
      <ns0:c r="A580" s="245"/>
      <ns0:c r="B580" s="245"/>
      <ns0:c r="C580" s="245"/>
      <ns0:c r="D580" s="245"/>
      <ns0:c r="E580" s="245"/>
      <ns0:c r="F580" s="245"/>
      <ns0:c r="G580" s="245"/>
      <ns0:c r="H580" s="245"/>
      <ns0:c r="I580" s="245"/>
      <ns0:c r="J580" s="245"/>
      <ns0:c r="K580" s="245"/>
      <ns0:c r="L580" s="245"/>
      <ns0:c r="M580" s="245"/>
      <ns0:c r="N580" s="245"/>
      <ns0:c r="O580" s="245"/>
      <ns0:c r="P580" s="245"/>
      <ns0:c r="Q580" s="245"/>
      <ns0:c r="R580" s="245"/>
      <ns0:c r="S580" s="245"/>
      <ns0:c r="T580" s="245"/>
      <ns0:c r="U580" s="245"/>
      <ns0:c r="V580" s="245"/>
      <ns0:c r="W580" s="245"/>
      <ns0:c r="X580" s="245"/>
      <ns0:c r="Y580" s="245"/>
      <ns0:c r="Z580" s="245"/>
    </ns0:row>
    <ns0:row r="581">
      <ns0:c r="A581" s="245"/>
      <ns0:c r="B581" s="245"/>
      <ns0:c r="C581" s="245"/>
      <ns0:c r="D581" s="245"/>
      <ns0:c r="E581" s="245"/>
      <ns0:c r="F581" s="245"/>
      <ns0:c r="G581" s="245"/>
      <ns0:c r="H581" s="245"/>
      <ns0:c r="I581" s="245"/>
      <ns0:c r="J581" s="245"/>
      <ns0:c r="K581" s="245"/>
      <ns0:c r="L581" s="245"/>
      <ns0:c r="M581" s="245"/>
      <ns0:c r="N581" s="245"/>
      <ns0:c r="O581" s="245"/>
      <ns0:c r="P581" s="245"/>
      <ns0:c r="Q581" s="245"/>
      <ns0:c r="R581" s="245"/>
      <ns0:c r="S581" s="245"/>
      <ns0:c r="T581" s="245"/>
      <ns0:c r="U581" s="245"/>
      <ns0:c r="V581" s="245"/>
      <ns0:c r="W581" s="245"/>
      <ns0:c r="X581" s="245"/>
      <ns0:c r="Y581" s="245"/>
      <ns0:c r="Z581" s="245"/>
    </ns0:row>
    <ns0:row r="582">
      <ns0:c r="A582" s="245"/>
      <ns0:c r="B582" s="245"/>
      <ns0:c r="C582" s="245"/>
      <ns0:c r="D582" s="245"/>
      <ns0:c r="E582" s="245"/>
      <ns0:c r="F582" s="245"/>
      <ns0:c r="G582" s="245"/>
      <ns0:c r="H582" s="245"/>
      <ns0:c r="I582" s="245"/>
      <ns0:c r="J582" s="245"/>
      <ns0:c r="K582" s="245"/>
      <ns0:c r="L582" s="245"/>
      <ns0:c r="M582" s="245"/>
      <ns0:c r="N582" s="245"/>
      <ns0:c r="O582" s="245"/>
      <ns0:c r="P582" s="245"/>
      <ns0:c r="Q582" s="245"/>
      <ns0:c r="R582" s="245"/>
      <ns0:c r="S582" s="245"/>
      <ns0:c r="T582" s="245"/>
      <ns0:c r="U582" s="245"/>
      <ns0:c r="V582" s="245"/>
      <ns0:c r="W582" s="245"/>
      <ns0:c r="X582" s="245"/>
      <ns0:c r="Y582" s="245"/>
      <ns0:c r="Z582" s="245"/>
    </ns0:row>
    <ns0:row r="583">
      <ns0:c r="A583" s="245"/>
      <ns0:c r="B583" s="245"/>
      <ns0:c r="C583" s="245"/>
      <ns0:c r="D583" s="245"/>
      <ns0:c r="E583" s="245"/>
      <ns0:c r="F583" s="245"/>
      <ns0:c r="G583" s="245"/>
      <ns0:c r="H583" s="245"/>
      <ns0:c r="I583" s="245"/>
      <ns0:c r="J583" s="245"/>
      <ns0:c r="K583" s="245"/>
      <ns0:c r="L583" s="245"/>
      <ns0:c r="M583" s="245"/>
      <ns0:c r="N583" s="245"/>
      <ns0:c r="O583" s="245"/>
      <ns0:c r="P583" s="245"/>
      <ns0:c r="Q583" s="245"/>
      <ns0:c r="R583" s="245"/>
      <ns0:c r="S583" s="245"/>
      <ns0:c r="T583" s="245"/>
      <ns0:c r="U583" s="245"/>
      <ns0:c r="V583" s="245"/>
      <ns0:c r="W583" s="245"/>
      <ns0:c r="X583" s="245"/>
      <ns0:c r="Y583" s="245"/>
      <ns0:c r="Z583" s="245"/>
    </ns0:row>
    <ns0:row r="584">
      <ns0:c r="A584" s="245"/>
      <ns0:c r="B584" s="245"/>
      <ns0:c r="C584" s="245"/>
      <ns0:c r="D584" s="245"/>
      <ns0:c r="E584" s="245"/>
      <ns0:c r="F584" s="245"/>
      <ns0:c r="G584" s="245"/>
      <ns0:c r="H584" s="245"/>
      <ns0:c r="I584" s="245"/>
      <ns0:c r="J584" s="245"/>
      <ns0:c r="K584" s="245"/>
      <ns0:c r="L584" s="245"/>
      <ns0:c r="M584" s="245"/>
      <ns0:c r="N584" s="245"/>
      <ns0:c r="O584" s="245"/>
      <ns0:c r="P584" s="245"/>
      <ns0:c r="Q584" s="245"/>
      <ns0:c r="R584" s="245"/>
      <ns0:c r="S584" s="245"/>
      <ns0:c r="T584" s="245"/>
      <ns0:c r="U584" s="245"/>
      <ns0:c r="V584" s="245"/>
      <ns0:c r="W584" s="245"/>
      <ns0:c r="X584" s="245"/>
      <ns0:c r="Y584" s="245"/>
      <ns0:c r="Z584" s="245"/>
    </ns0:row>
    <ns0:row r="585">
      <ns0:c r="A585" s="245"/>
      <ns0:c r="B585" s="245"/>
      <ns0:c r="C585" s="245"/>
      <ns0:c r="D585" s="245"/>
      <ns0:c r="E585" s="245"/>
      <ns0:c r="F585" s="245"/>
      <ns0:c r="G585" s="245"/>
      <ns0:c r="H585" s="245"/>
      <ns0:c r="I585" s="245"/>
      <ns0:c r="J585" s="245"/>
      <ns0:c r="K585" s="245"/>
      <ns0:c r="L585" s="245"/>
      <ns0:c r="M585" s="245"/>
      <ns0:c r="N585" s="245"/>
      <ns0:c r="O585" s="245"/>
      <ns0:c r="P585" s="245"/>
      <ns0:c r="Q585" s="245"/>
      <ns0:c r="R585" s="245"/>
      <ns0:c r="S585" s="245"/>
      <ns0:c r="T585" s="245"/>
      <ns0:c r="U585" s="245"/>
      <ns0:c r="V585" s="245"/>
      <ns0:c r="W585" s="245"/>
      <ns0:c r="X585" s="245"/>
      <ns0:c r="Y585" s="245"/>
      <ns0:c r="Z585" s="245"/>
    </ns0:row>
    <ns0:row r="586">
      <ns0:c r="A586" s="245"/>
      <ns0:c r="B586" s="245"/>
      <ns0:c r="C586" s="245"/>
      <ns0:c r="D586" s="245"/>
      <ns0:c r="E586" s="245"/>
      <ns0:c r="F586" s="245"/>
      <ns0:c r="G586" s="245"/>
      <ns0:c r="H586" s="245"/>
      <ns0:c r="I586" s="245"/>
      <ns0:c r="J586" s="245"/>
      <ns0:c r="K586" s="245"/>
      <ns0:c r="L586" s="245"/>
      <ns0:c r="M586" s="245"/>
      <ns0:c r="N586" s="245"/>
      <ns0:c r="O586" s="245"/>
      <ns0:c r="P586" s="245"/>
      <ns0:c r="Q586" s="245"/>
      <ns0:c r="R586" s="245"/>
      <ns0:c r="S586" s="245"/>
      <ns0:c r="T586" s="245"/>
      <ns0:c r="U586" s="245"/>
      <ns0:c r="V586" s="245"/>
      <ns0:c r="W586" s="245"/>
      <ns0:c r="X586" s="245"/>
      <ns0:c r="Y586" s="245"/>
      <ns0:c r="Z586" s="245"/>
    </ns0:row>
    <ns0:row r="587">
      <ns0:c r="A587" s="245"/>
      <ns0:c r="B587" s="245"/>
      <ns0:c r="C587" s="245"/>
      <ns0:c r="D587" s="245"/>
      <ns0:c r="E587" s="245"/>
      <ns0:c r="F587" s="245"/>
      <ns0:c r="G587" s="245"/>
      <ns0:c r="H587" s="245"/>
      <ns0:c r="I587" s="245"/>
      <ns0:c r="J587" s="245"/>
      <ns0:c r="K587" s="245"/>
      <ns0:c r="L587" s="245"/>
      <ns0:c r="M587" s="245"/>
      <ns0:c r="N587" s="245"/>
      <ns0:c r="O587" s="245"/>
      <ns0:c r="P587" s="245"/>
      <ns0:c r="Q587" s="245"/>
      <ns0:c r="R587" s="245"/>
      <ns0:c r="S587" s="245"/>
      <ns0:c r="T587" s="245"/>
      <ns0:c r="U587" s="245"/>
      <ns0:c r="V587" s="245"/>
      <ns0:c r="W587" s="245"/>
      <ns0:c r="X587" s="245"/>
      <ns0:c r="Y587" s="245"/>
      <ns0:c r="Z587" s="245"/>
    </ns0:row>
    <ns0:row r="588">
      <ns0:c r="A588" s="245"/>
      <ns0:c r="B588" s="245"/>
      <ns0:c r="C588" s="245"/>
      <ns0:c r="D588" s="245"/>
      <ns0:c r="E588" s="245"/>
      <ns0:c r="F588" s="245"/>
      <ns0:c r="G588" s="245"/>
      <ns0:c r="H588" s="245"/>
      <ns0:c r="I588" s="245"/>
      <ns0:c r="J588" s="245"/>
      <ns0:c r="K588" s="245"/>
      <ns0:c r="L588" s="245"/>
      <ns0:c r="M588" s="245"/>
      <ns0:c r="N588" s="245"/>
      <ns0:c r="O588" s="245"/>
      <ns0:c r="P588" s="245"/>
      <ns0:c r="Q588" s="245"/>
      <ns0:c r="R588" s="245"/>
      <ns0:c r="S588" s="245"/>
      <ns0:c r="T588" s="245"/>
      <ns0:c r="U588" s="245"/>
      <ns0:c r="V588" s="245"/>
      <ns0:c r="W588" s="245"/>
      <ns0:c r="X588" s="245"/>
      <ns0:c r="Y588" s="245"/>
      <ns0:c r="Z588" s="245"/>
    </ns0:row>
    <ns0:row r="589">
      <ns0:c r="A589" s="245"/>
      <ns0:c r="B589" s="245"/>
      <ns0:c r="C589" s="245"/>
      <ns0:c r="D589" s="245"/>
      <ns0:c r="E589" s="245"/>
      <ns0:c r="F589" s="245"/>
      <ns0:c r="G589" s="245"/>
      <ns0:c r="H589" s="245"/>
      <ns0:c r="I589" s="245"/>
      <ns0:c r="J589" s="245"/>
      <ns0:c r="K589" s="245"/>
      <ns0:c r="L589" s="245"/>
      <ns0:c r="M589" s="245"/>
      <ns0:c r="N589" s="245"/>
      <ns0:c r="O589" s="245"/>
      <ns0:c r="P589" s="245"/>
      <ns0:c r="Q589" s="245"/>
      <ns0:c r="R589" s="245"/>
      <ns0:c r="S589" s="245"/>
      <ns0:c r="T589" s="245"/>
      <ns0:c r="U589" s="245"/>
      <ns0:c r="V589" s="245"/>
      <ns0:c r="W589" s="245"/>
      <ns0:c r="X589" s="245"/>
      <ns0:c r="Y589" s="245"/>
      <ns0:c r="Z589" s="245"/>
    </ns0:row>
    <ns0:row r="590">
      <ns0:c r="A590" s="245"/>
      <ns0:c r="B590" s="245"/>
      <ns0:c r="C590" s="245"/>
      <ns0:c r="D590" s="245"/>
      <ns0:c r="E590" s="245"/>
      <ns0:c r="F590" s="245"/>
      <ns0:c r="G590" s="245"/>
      <ns0:c r="H590" s="245"/>
      <ns0:c r="I590" s="245"/>
      <ns0:c r="J590" s="245"/>
      <ns0:c r="K590" s="245"/>
      <ns0:c r="L590" s="245"/>
      <ns0:c r="M590" s="245"/>
      <ns0:c r="N590" s="245"/>
      <ns0:c r="O590" s="245"/>
      <ns0:c r="P590" s="245"/>
      <ns0:c r="Q590" s="245"/>
      <ns0:c r="R590" s="245"/>
      <ns0:c r="S590" s="245"/>
      <ns0:c r="T590" s="245"/>
      <ns0:c r="U590" s="245"/>
      <ns0:c r="V590" s="245"/>
      <ns0:c r="W590" s="245"/>
      <ns0:c r="X590" s="245"/>
      <ns0:c r="Y590" s="245"/>
      <ns0:c r="Z590" s="245"/>
    </ns0:row>
    <ns0:row r="591">
      <ns0:c r="A591" s="245"/>
      <ns0:c r="B591" s="245"/>
      <ns0:c r="C591" s="245"/>
      <ns0:c r="D591" s="245"/>
      <ns0:c r="E591" s="245"/>
      <ns0:c r="F591" s="245"/>
      <ns0:c r="G591" s="245"/>
      <ns0:c r="H591" s="245"/>
      <ns0:c r="I591" s="245"/>
      <ns0:c r="J591" s="245"/>
      <ns0:c r="K591" s="245"/>
      <ns0:c r="L591" s="245"/>
      <ns0:c r="M591" s="245"/>
      <ns0:c r="N591" s="245"/>
      <ns0:c r="O591" s="245"/>
      <ns0:c r="P591" s="245"/>
      <ns0:c r="Q591" s="245"/>
      <ns0:c r="R591" s="245"/>
      <ns0:c r="S591" s="245"/>
      <ns0:c r="T591" s="245"/>
      <ns0:c r="U591" s="245"/>
      <ns0:c r="V591" s="245"/>
      <ns0:c r="W591" s="245"/>
      <ns0:c r="X591" s="245"/>
      <ns0:c r="Y591" s="245"/>
      <ns0:c r="Z591" s="245"/>
    </ns0:row>
    <ns0:row r="592">
      <ns0:c r="A592" s="245"/>
      <ns0:c r="B592" s="245"/>
      <ns0:c r="C592" s="245"/>
      <ns0:c r="D592" s="245"/>
      <ns0:c r="E592" s="245"/>
      <ns0:c r="F592" s="245"/>
      <ns0:c r="G592" s="245"/>
      <ns0:c r="H592" s="245"/>
      <ns0:c r="I592" s="245"/>
      <ns0:c r="J592" s="245"/>
      <ns0:c r="K592" s="245"/>
      <ns0:c r="L592" s="245"/>
      <ns0:c r="M592" s="245"/>
      <ns0:c r="N592" s="245"/>
      <ns0:c r="O592" s="245"/>
      <ns0:c r="P592" s="245"/>
      <ns0:c r="Q592" s="245"/>
      <ns0:c r="R592" s="245"/>
      <ns0:c r="S592" s="245"/>
      <ns0:c r="T592" s="245"/>
      <ns0:c r="U592" s="245"/>
      <ns0:c r="V592" s="245"/>
      <ns0:c r="W592" s="245"/>
      <ns0:c r="X592" s="245"/>
      <ns0:c r="Y592" s="245"/>
      <ns0:c r="Z592" s="245"/>
    </ns0:row>
    <ns0:row r="593">
      <ns0:c r="A593" s="245"/>
      <ns0:c r="B593" s="245"/>
      <ns0:c r="C593" s="245"/>
      <ns0:c r="D593" s="245"/>
      <ns0:c r="E593" s="245"/>
      <ns0:c r="F593" s="245"/>
      <ns0:c r="G593" s="245"/>
      <ns0:c r="H593" s="245"/>
      <ns0:c r="I593" s="245"/>
      <ns0:c r="J593" s="245"/>
      <ns0:c r="K593" s="245"/>
      <ns0:c r="L593" s="245"/>
      <ns0:c r="M593" s="245"/>
      <ns0:c r="N593" s="245"/>
      <ns0:c r="O593" s="245"/>
      <ns0:c r="P593" s="245"/>
      <ns0:c r="Q593" s="245"/>
      <ns0:c r="R593" s="245"/>
      <ns0:c r="S593" s="245"/>
      <ns0:c r="T593" s="245"/>
      <ns0:c r="U593" s="245"/>
      <ns0:c r="V593" s="245"/>
      <ns0:c r="W593" s="245"/>
      <ns0:c r="X593" s="245"/>
      <ns0:c r="Y593" s="245"/>
      <ns0:c r="Z593" s="245"/>
    </ns0:row>
    <ns0:row r="594">
      <ns0:c r="A594" s="245"/>
      <ns0:c r="B594" s="245"/>
      <ns0:c r="C594" s="245"/>
      <ns0:c r="D594" s="245"/>
      <ns0:c r="E594" s="245"/>
      <ns0:c r="F594" s="245"/>
      <ns0:c r="G594" s="245"/>
      <ns0:c r="H594" s="245"/>
      <ns0:c r="I594" s="245"/>
      <ns0:c r="J594" s="245"/>
      <ns0:c r="K594" s="245"/>
      <ns0:c r="L594" s="245"/>
      <ns0:c r="M594" s="245"/>
      <ns0:c r="N594" s="245"/>
      <ns0:c r="O594" s="245"/>
      <ns0:c r="P594" s="245"/>
      <ns0:c r="Q594" s="245"/>
      <ns0:c r="R594" s="245"/>
      <ns0:c r="S594" s="245"/>
      <ns0:c r="T594" s="245"/>
      <ns0:c r="U594" s="245"/>
      <ns0:c r="V594" s="245"/>
      <ns0:c r="W594" s="245"/>
      <ns0:c r="X594" s="245"/>
      <ns0:c r="Y594" s="245"/>
      <ns0:c r="Z594" s="245"/>
    </ns0:row>
    <ns0:row r="595">
      <ns0:c r="A595" s="245"/>
      <ns0:c r="B595" s="245"/>
      <ns0:c r="C595" s="245"/>
      <ns0:c r="D595" s="245"/>
      <ns0:c r="E595" s="245"/>
      <ns0:c r="F595" s="245"/>
      <ns0:c r="G595" s="245"/>
      <ns0:c r="H595" s="245"/>
      <ns0:c r="I595" s="245"/>
      <ns0:c r="J595" s="245"/>
      <ns0:c r="K595" s="245"/>
      <ns0:c r="L595" s="245"/>
      <ns0:c r="M595" s="245"/>
      <ns0:c r="N595" s="245"/>
      <ns0:c r="O595" s="245"/>
      <ns0:c r="P595" s="245"/>
      <ns0:c r="Q595" s="245"/>
      <ns0:c r="R595" s="245"/>
      <ns0:c r="S595" s="245"/>
      <ns0:c r="T595" s="245"/>
      <ns0:c r="U595" s="245"/>
      <ns0:c r="V595" s="245"/>
      <ns0:c r="W595" s="245"/>
      <ns0:c r="X595" s="245"/>
      <ns0:c r="Y595" s="245"/>
      <ns0:c r="Z595" s="245"/>
    </ns0:row>
    <ns0:row r="596">
      <ns0:c r="A596" s="245"/>
      <ns0:c r="B596" s="245"/>
      <ns0:c r="C596" s="245"/>
      <ns0:c r="D596" s="245"/>
      <ns0:c r="E596" s="245"/>
      <ns0:c r="F596" s="245"/>
      <ns0:c r="G596" s="245"/>
      <ns0:c r="H596" s="245"/>
      <ns0:c r="I596" s="245"/>
      <ns0:c r="J596" s="245"/>
      <ns0:c r="K596" s="245"/>
      <ns0:c r="L596" s="245"/>
      <ns0:c r="M596" s="245"/>
      <ns0:c r="N596" s="245"/>
      <ns0:c r="O596" s="245"/>
      <ns0:c r="P596" s="245"/>
      <ns0:c r="Q596" s="245"/>
      <ns0:c r="R596" s="245"/>
      <ns0:c r="S596" s="245"/>
      <ns0:c r="T596" s="245"/>
      <ns0:c r="U596" s="245"/>
      <ns0:c r="V596" s="245"/>
      <ns0:c r="W596" s="245"/>
      <ns0:c r="X596" s="245"/>
      <ns0:c r="Y596" s="245"/>
      <ns0:c r="Z596" s="245"/>
    </ns0:row>
    <ns0:row r="597">
      <ns0:c r="A597" s="245"/>
      <ns0:c r="B597" s="245"/>
      <ns0:c r="C597" s="245"/>
      <ns0:c r="D597" s="245"/>
      <ns0:c r="E597" s="245"/>
      <ns0:c r="F597" s="245"/>
      <ns0:c r="G597" s="245"/>
      <ns0:c r="H597" s="245"/>
      <ns0:c r="I597" s="245"/>
      <ns0:c r="J597" s="245"/>
      <ns0:c r="K597" s="245"/>
      <ns0:c r="L597" s="245"/>
      <ns0:c r="M597" s="245"/>
      <ns0:c r="N597" s="245"/>
      <ns0:c r="O597" s="245"/>
      <ns0:c r="P597" s="245"/>
      <ns0:c r="Q597" s="245"/>
      <ns0:c r="R597" s="245"/>
      <ns0:c r="S597" s="245"/>
      <ns0:c r="T597" s="245"/>
      <ns0:c r="U597" s="245"/>
      <ns0:c r="V597" s="245"/>
      <ns0:c r="W597" s="245"/>
      <ns0:c r="X597" s="245"/>
      <ns0:c r="Y597" s="245"/>
      <ns0:c r="Z597" s="245"/>
    </ns0:row>
    <ns0:row r="598">
      <ns0:c r="A598" s="245"/>
      <ns0:c r="B598" s="245"/>
      <ns0:c r="C598" s="245"/>
      <ns0:c r="D598" s="245"/>
      <ns0:c r="E598" s="245"/>
      <ns0:c r="F598" s="245"/>
      <ns0:c r="G598" s="245"/>
      <ns0:c r="H598" s="245"/>
      <ns0:c r="I598" s="245"/>
      <ns0:c r="J598" s="245"/>
      <ns0:c r="K598" s="245"/>
      <ns0:c r="L598" s="245"/>
      <ns0:c r="M598" s="245"/>
      <ns0:c r="N598" s="245"/>
      <ns0:c r="O598" s="245"/>
      <ns0:c r="P598" s="245"/>
      <ns0:c r="Q598" s="245"/>
      <ns0:c r="R598" s="245"/>
      <ns0:c r="S598" s="245"/>
      <ns0:c r="T598" s="245"/>
      <ns0:c r="U598" s="245"/>
      <ns0:c r="V598" s="245"/>
      <ns0:c r="W598" s="245"/>
      <ns0:c r="X598" s="245"/>
      <ns0:c r="Y598" s="245"/>
      <ns0:c r="Z598" s="245"/>
    </ns0:row>
    <ns0:row r="599">
      <ns0:c r="A599" s="245"/>
      <ns0:c r="B599" s="245"/>
      <ns0:c r="C599" s="245"/>
      <ns0:c r="D599" s="245"/>
      <ns0:c r="E599" s="245"/>
      <ns0:c r="F599" s="245"/>
      <ns0:c r="G599" s="245"/>
      <ns0:c r="H599" s="245"/>
      <ns0:c r="I599" s="245"/>
      <ns0:c r="J599" s="245"/>
      <ns0:c r="K599" s="245"/>
      <ns0:c r="L599" s="245"/>
      <ns0:c r="M599" s="245"/>
      <ns0:c r="N599" s="245"/>
      <ns0:c r="O599" s="245"/>
      <ns0:c r="P599" s="245"/>
      <ns0:c r="Q599" s="245"/>
      <ns0:c r="R599" s="245"/>
      <ns0:c r="S599" s="245"/>
      <ns0:c r="T599" s="245"/>
      <ns0:c r="U599" s="245"/>
      <ns0:c r="V599" s="245"/>
      <ns0:c r="W599" s="245"/>
      <ns0:c r="X599" s="245"/>
      <ns0:c r="Y599" s="245"/>
      <ns0:c r="Z599" s="245"/>
    </ns0:row>
    <ns0:row r="600">
      <ns0:c r="A600" s="245"/>
      <ns0:c r="B600" s="245"/>
      <ns0:c r="C600" s="245"/>
      <ns0:c r="D600" s="245"/>
      <ns0:c r="E600" s="245"/>
      <ns0:c r="F600" s="245"/>
      <ns0:c r="G600" s="245"/>
      <ns0:c r="H600" s="245"/>
      <ns0:c r="I600" s="245"/>
      <ns0:c r="J600" s="245"/>
      <ns0:c r="K600" s="245"/>
      <ns0:c r="L600" s="245"/>
      <ns0:c r="M600" s="245"/>
      <ns0:c r="N600" s="245"/>
      <ns0:c r="O600" s="245"/>
      <ns0:c r="P600" s="245"/>
      <ns0:c r="Q600" s="245"/>
      <ns0:c r="R600" s="245"/>
      <ns0:c r="S600" s="245"/>
      <ns0:c r="T600" s="245"/>
      <ns0:c r="U600" s="245"/>
      <ns0:c r="V600" s="245"/>
      <ns0:c r="W600" s="245"/>
      <ns0:c r="X600" s="245"/>
      <ns0:c r="Y600" s="245"/>
      <ns0:c r="Z600" s="245"/>
    </ns0:row>
    <ns0:row r="601">
      <ns0:c r="A601" s="245"/>
      <ns0:c r="B601" s="245"/>
      <ns0:c r="C601" s="245"/>
      <ns0:c r="D601" s="245"/>
      <ns0:c r="E601" s="245"/>
      <ns0:c r="F601" s="245"/>
      <ns0:c r="G601" s="245"/>
      <ns0:c r="H601" s="245"/>
      <ns0:c r="I601" s="245"/>
      <ns0:c r="J601" s="245"/>
      <ns0:c r="K601" s="245"/>
      <ns0:c r="L601" s="245"/>
      <ns0:c r="M601" s="245"/>
      <ns0:c r="N601" s="245"/>
      <ns0:c r="O601" s="245"/>
      <ns0:c r="P601" s="245"/>
      <ns0:c r="Q601" s="245"/>
      <ns0:c r="R601" s="245"/>
      <ns0:c r="S601" s="245"/>
      <ns0:c r="T601" s="245"/>
      <ns0:c r="U601" s="245"/>
      <ns0:c r="V601" s="245"/>
      <ns0:c r="W601" s="245"/>
      <ns0:c r="X601" s="245"/>
      <ns0:c r="Y601" s="245"/>
      <ns0:c r="Z601" s="245"/>
    </ns0:row>
    <ns0:row r="602">
      <ns0:c r="A602" s="245"/>
      <ns0:c r="B602" s="245"/>
      <ns0:c r="C602" s="245"/>
      <ns0:c r="D602" s="245"/>
      <ns0:c r="E602" s="245"/>
      <ns0:c r="F602" s="245"/>
      <ns0:c r="G602" s="245"/>
      <ns0:c r="H602" s="245"/>
      <ns0:c r="I602" s="245"/>
      <ns0:c r="J602" s="245"/>
      <ns0:c r="K602" s="245"/>
      <ns0:c r="L602" s="245"/>
      <ns0:c r="M602" s="245"/>
      <ns0:c r="N602" s="245"/>
      <ns0:c r="O602" s="245"/>
      <ns0:c r="P602" s="245"/>
      <ns0:c r="Q602" s="245"/>
      <ns0:c r="R602" s="245"/>
      <ns0:c r="S602" s="245"/>
      <ns0:c r="T602" s="245"/>
      <ns0:c r="U602" s="245"/>
      <ns0:c r="V602" s="245"/>
      <ns0:c r="W602" s="245"/>
      <ns0:c r="X602" s="245"/>
      <ns0:c r="Y602" s="245"/>
      <ns0:c r="Z602" s="245"/>
    </ns0:row>
    <ns0:row r="603">
      <ns0:c r="A603" s="245"/>
      <ns0:c r="B603" s="245"/>
      <ns0:c r="C603" s="245"/>
      <ns0:c r="D603" s="245"/>
      <ns0:c r="E603" s="245"/>
      <ns0:c r="F603" s="245"/>
      <ns0:c r="G603" s="245"/>
      <ns0:c r="H603" s="245"/>
      <ns0:c r="I603" s="245"/>
      <ns0:c r="J603" s="245"/>
      <ns0:c r="K603" s="245"/>
      <ns0:c r="L603" s="245"/>
      <ns0:c r="M603" s="245"/>
      <ns0:c r="N603" s="245"/>
      <ns0:c r="O603" s="245"/>
      <ns0:c r="P603" s="245"/>
      <ns0:c r="Q603" s="245"/>
      <ns0:c r="R603" s="245"/>
      <ns0:c r="S603" s="245"/>
      <ns0:c r="T603" s="245"/>
      <ns0:c r="U603" s="245"/>
      <ns0:c r="V603" s="245"/>
      <ns0:c r="W603" s="245"/>
      <ns0:c r="X603" s="245"/>
      <ns0:c r="Y603" s="245"/>
      <ns0:c r="Z603" s="245"/>
    </ns0:row>
    <ns0:row r="604">
      <ns0:c r="A604" s="245"/>
      <ns0:c r="B604" s="245"/>
      <ns0:c r="C604" s="245"/>
      <ns0:c r="D604" s="245"/>
      <ns0:c r="E604" s="245"/>
      <ns0:c r="F604" s="245"/>
      <ns0:c r="G604" s="245"/>
      <ns0:c r="H604" s="245"/>
      <ns0:c r="I604" s="245"/>
      <ns0:c r="J604" s="245"/>
      <ns0:c r="K604" s="245"/>
      <ns0:c r="L604" s="245"/>
      <ns0:c r="M604" s="245"/>
      <ns0:c r="N604" s="245"/>
      <ns0:c r="O604" s="245"/>
      <ns0:c r="P604" s="245"/>
      <ns0:c r="Q604" s="245"/>
      <ns0:c r="R604" s="245"/>
      <ns0:c r="S604" s="245"/>
      <ns0:c r="T604" s="245"/>
      <ns0:c r="U604" s="245"/>
      <ns0:c r="V604" s="245"/>
      <ns0:c r="W604" s="245"/>
      <ns0:c r="X604" s="245"/>
      <ns0:c r="Y604" s="245"/>
      <ns0:c r="Z604" s="245"/>
    </ns0:row>
    <ns0:row r="605">
      <ns0:c r="A605" s="245"/>
      <ns0:c r="B605" s="245"/>
      <ns0:c r="C605" s="245"/>
      <ns0:c r="D605" s="245"/>
      <ns0:c r="E605" s="245"/>
      <ns0:c r="F605" s="245"/>
      <ns0:c r="G605" s="245"/>
      <ns0:c r="H605" s="245"/>
      <ns0:c r="I605" s="245"/>
      <ns0:c r="J605" s="245"/>
      <ns0:c r="K605" s="245"/>
      <ns0:c r="L605" s="245"/>
      <ns0:c r="M605" s="245"/>
      <ns0:c r="N605" s="245"/>
      <ns0:c r="O605" s="245"/>
      <ns0:c r="P605" s="245"/>
      <ns0:c r="Q605" s="245"/>
      <ns0:c r="R605" s="245"/>
      <ns0:c r="S605" s="245"/>
      <ns0:c r="T605" s="245"/>
      <ns0:c r="U605" s="245"/>
      <ns0:c r="V605" s="245"/>
      <ns0:c r="W605" s="245"/>
      <ns0:c r="X605" s="245"/>
      <ns0:c r="Y605" s="245"/>
      <ns0:c r="Z605" s="245"/>
    </ns0:row>
    <ns0:row r="606">
      <ns0:c r="A606" s="245"/>
      <ns0:c r="B606" s="245"/>
      <ns0:c r="C606" s="245"/>
      <ns0:c r="D606" s="245"/>
      <ns0:c r="E606" s="245"/>
      <ns0:c r="F606" s="245"/>
      <ns0:c r="G606" s="245"/>
      <ns0:c r="H606" s="245"/>
      <ns0:c r="I606" s="245"/>
      <ns0:c r="J606" s="245"/>
      <ns0:c r="K606" s="245"/>
      <ns0:c r="L606" s="245"/>
      <ns0:c r="M606" s="245"/>
      <ns0:c r="N606" s="245"/>
      <ns0:c r="O606" s="245"/>
      <ns0:c r="P606" s="245"/>
      <ns0:c r="Q606" s="245"/>
      <ns0:c r="R606" s="245"/>
      <ns0:c r="S606" s="245"/>
      <ns0:c r="T606" s="245"/>
      <ns0:c r="U606" s="245"/>
      <ns0:c r="V606" s="245"/>
      <ns0:c r="W606" s="245"/>
      <ns0:c r="X606" s="245"/>
      <ns0:c r="Y606" s="245"/>
      <ns0:c r="Z606" s="245"/>
    </ns0:row>
    <ns0:row r="607">
      <ns0:c r="A607" s="245"/>
      <ns0:c r="B607" s="245"/>
      <ns0:c r="C607" s="245"/>
      <ns0:c r="D607" s="245"/>
      <ns0:c r="E607" s="245"/>
      <ns0:c r="F607" s="245"/>
      <ns0:c r="G607" s="245"/>
      <ns0:c r="H607" s="245"/>
      <ns0:c r="I607" s="245"/>
      <ns0:c r="J607" s="245"/>
      <ns0:c r="K607" s="245"/>
      <ns0:c r="L607" s="245"/>
      <ns0:c r="M607" s="245"/>
      <ns0:c r="N607" s="245"/>
      <ns0:c r="O607" s="245"/>
      <ns0:c r="P607" s="245"/>
      <ns0:c r="Q607" s="245"/>
      <ns0:c r="R607" s="245"/>
      <ns0:c r="S607" s="245"/>
      <ns0:c r="T607" s="245"/>
      <ns0:c r="U607" s="245"/>
      <ns0:c r="V607" s="245"/>
      <ns0:c r="W607" s="245"/>
      <ns0:c r="X607" s="245"/>
      <ns0:c r="Y607" s="245"/>
      <ns0:c r="Z607" s="245"/>
    </ns0:row>
    <ns0:row r="608">
      <ns0:c r="A608" s="245"/>
      <ns0:c r="B608" s="245"/>
      <ns0:c r="C608" s="245"/>
      <ns0:c r="D608" s="245"/>
      <ns0:c r="E608" s="245"/>
      <ns0:c r="F608" s="245"/>
      <ns0:c r="G608" s="245"/>
      <ns0:c r="H608" s="245"/>
      <ns0:c r="I608" s="245"/>
      <ns0:c r="J608" s="245"/>
      <ns0:c r="K608" s="245"/>
      <ns0:c r="L608" s="245"/>
      <ns0:c r="M608" s="245"/>
      <ns0:c r="N608" s="245"/>
      <ns0:c r="O608" s="245"/>
      <ns0:c r="P608" s="245"/>
      <ns0:c r="Q608" s="245"/>
      <ns0:c r="R608" s="245"/>
      <ns0:c r="S608" s="245"/>
      <ns0:c r="T608" s="245"/>
      <ns0:c r="U608" s="245"/>
      <ns0:c r="V608" s="245"/>
      <ns0:c r="W608" s="245"/>
      <ns0:c r="X608" s="245"/>
      <ns0:c r="Y608" s="245"/>
      <ns0:c r="Z608" s="245"/>
    </ns0:row>
    <ns0:row r="609">
      <ns0:c r="A609" s="245"/>
      <ns0:c r="B609" s="245"/>
      <ns0:c r="C609" s="245"/>
      <ns0:c r="D609" s="245"/>
      <ns0:c r="E609" s="245"/>
      <ns0:c r="F609" s="245"/>
      <ns0:c r="G609" s="245"/>
      <ns0:c r="H609" s="245"/>
      <ns0:c r="I609" s="245"/>
      <ns0:c r="J609" s="245"/>
      <ns0:c r="K609" s="245"/>
      <ns0:c r="L609" s="245"/>
      <ns0:c r="M609" s="245"/>
      <ns0:c r="N609" s="245"/>
      <ns0:c r="O609" s="245"/>
      <ns0:c r="P609" s="245"/>
      <ns0:c r="Q609" s="245"/>
      <ns0:c r="R609" s="245"/>
      <ns0:c r="S609" s="245"/>
      <ns0:c r="T609" s="245"/>
      <ns0:c r="U609" s="245"/>
      <ns0:c r="V609" s="245"/>
      <ns0:c r="W609" s="245"/>
      <ns0:c r="X609" s="245"/>
      <ns0:c r="Y609" s="245"/>
      <ns0:c r="Z609" s="245"/>
    </ns0:row>
    <ns0:row r="610">
      <ns0:c r="A610" s="245"/>
      <ns0:c r="B610" s="245"/>
      <ns0:c r="C610" s="245"/>
      <ns0:c r="D610" s="245"/>
      <ns0:c r="E610" s="245"/>
      <ns0:c r="F610" s="245"/>
      <ns0:c r="G610" s="245"/>
      <ns0:c r="H610" s="245"/>
      <ns0:c r="I610" s="245"/>
      <ns0:c r="J610" s="245"/>
      <ns0:c r="K610" s="245"/>
      <ns0:c r="L610" s="245"/>
      <ns0:c r="M610" s="245"/>
      <ns0:c r="N610" s="245"/>
      <ns0:c r="O610" s="245"/>
      <ns0:c r="P610" s="245"/>
      <ns0:c r="Q610" s="245"/>
      <ns0:c r="R610" s="245"/>
      <ns0:c r="S610" s="245"/>
      <ns0:c r="T610" s="245"/>
      <ns0:c r="U610" s="245"/>
      <ns0:c r="V610" s="245"/>
      <ns0:c r="W610" s="245"/>
      <ns0:c r="X610" s="245"/>
      <ns0:c r="Y610" s="245"/>
      <ns0:c r="Z610" s="245"/>
    </ns0:row>
    <ns0:row r="611">
      <ns0:c r="A611" s="245"/>
      <ns0:c r="B611" s="245"/>
      <ns0:c r="C611" s="245"/>
      <ns0:c r="D611" s="245"/>
      <ns0:c r="E611" s="245"/>
      <ns0:c r="F611" s="245"/>
      <ns0:c r="G611" s="245"/>
      <ns0:c r="H611" s="245"/>
      <ns0:c r="I611" s="245"/>
      <ns0:c r="J611" s="245"/>
      <ns0:c r="K611" s="245"/>
      <ns0:c r="L611" s="245"/>
      <ns0:c r="M611" s="245"/>
      <ns0:c r="N611" s="245"/>
      <ns0:c r="O611" s="245"/>
      <ns0:c r="P611" s="245"/>
      <ns0:c r="Q611" s="245"/>
      <ns0:c r="R611" s="245"/>
      <ns0:c r="S611" s="245"/>
      <ns0:c r="T611" s="245"/>
      <ns0:c r="U611" s="245"/>
      <ns0:c r="V611" s="245"/>
      <ns0:c r="W611" s="245"/>
      <ns0:c r="X611" s="245"/>
      <ns0:c r="Y611" s="245"/>
      <ns0:c r="Z611" s="245"/>
    </ns0:row>
    <ns0:row r="612">
      <ns0:c r="A612" s="245"/>
      <ns0:c r="B612" s="245"/>
      <ns0:c r="C612" s="245"/>
      <ns0:c r="D612" s="245"/>
      <ns0:c r="E612" s="245"/>
      <ns0:c r="F612" s="245"/>
      <ns0:c r="G612" s="245"/>
      <ns0:c r="H612" s="245"/>
      <ns0:c r="I612" s="245"/>
      <ns0:c r="J612" s="245"/>
      <ns0:c r="K612" s="245"/>
      <ns0:c r="L612" s="245"/>
      <ns0:c r="M612" s="245"/>
      <ns0:c r="N612" s="245"/>
      <ns0:c r="O612" s="245"/>
      <ns0:c r="P612" s="245"/>
      <ns0:c r="Q612" s="245"/>
      <ns0:c r="R612" s="245"/>
      <ns0:c r="S612" s="245"/>
      <ns0:c r="T612" s="245"/>
      <ns0:c r="U612" s="245"/>
      <ns0:c r="V612" s="245"/>
      <ns0:c r="W612" s="245"/>
      <ns0:c r="X612" s="245"/>
      <ns0:c r="Y612" s="245"/>
      <ns0:c r="Z612" s="245"/>
    </ns0:row>
    <ns0:row r="613">
      <ns0:c r="A613" s="245"/>
      <ns0:c r="B613" s="245"/>
      <ns0:c r="C613" s="245"/>
      <ns0:c r="D613" s="245"/>
      <ns0:c r="E613" s="245"/>
      <ns0:c r="F613" s="245"/>
      <ns0:c r="G613" s="245"/>
      <ns0:c r="H613" s="245"/>
      <ns0:c r="I613" s="245"/>
      <ns0:c r="J613" s="245"/>
      <ns0:c r="K613" s="245"/>
      <ns0:c r="L613" s="245"/>
      <ns0:c r="M613" s="245"/>
      <ns0:c r="N613" s="245"/>
      <ns0:c r="O613" s="245"/>
      <ns0:c r="P613" s="245"/>
      <ns0:c r="Q613" s="245"/>
      <ns0:c r="R613" s="245"/>
      <ns0:c r="S613" s="245"/>
      <ns0:c r="T613" s="245"/>
      <ns0:c r="U613" s="245"/>
      <ns0:c r="V613" s="245"/>
      <ns0:c r="W613" s="245"/>
      <ns0:c r="X613" s="245"/>
      <ns0:c r="Y613" s="245"/>
      <ns0:c r="Z613" s="245"/>
    </ns0:row>
    <ns0:row r="614">
      <ns0:c r="A614" s="245"/>
      <ns0:c r="B614" s="245"/>
      <ns0:c r="C614" s="245"/>
      <ns0:c r="D614" s="245"/>
      <ns0:c r="E614" s="245"/>
      <ns0:c r="F614" s="245"/>
      <ns0:c r="G614" s="245"/>
      <ns0:c r="H614" s="245"/>
      <ns0:c r="I614" s="245"/>
      <ns0:c r="J614" s="245"/>
      <ns0:c r="K614" s="245"/>
      <ns0:c r="L614" s="245"/>
      <ns0:c r="M614" s="245"/>
      <ns0:c r="N614" s="245"/>
      <ns0:c r="O614" s="245"/>
      <ns0:c r="P614" s="245"/>
      <ns0:c r="Q614" s="245"/>
      <ns0:c r="R614" s="245"/>
      <ns0:c r="S614" s="245"/>
      <ns0:c r="T614" s="245"/>
      <ns0:c r="U614" s="245"/>
      <ns0:c r="V614" s="245"/>
      <ns0:c r="W614" s="245"/>
      <ns0:c r="X614" s="245"/>
      <ns0:c r="Y614" s="245"/>
      <ns0:c r="Z614" s="245"/>
    </ns0:row>
    <ns0:row r="615">
      <ns0:c r="A615" s="245"/>
      <ns0:c r="B615" s="245"/>
      <ns0:c r="C615" s="245"/>
      <ns0:c r="D615" s="245"/>
      <ns0:c r="E615" s="245"/>
      <ns0:c r="F615" s="245"/>
      <ns0:c r="G615" s="245"/>
      <ns0:c r="H615" s="245"/>
      <ns0:c r="I615" s="245"/>
      <ns0:c r="J615" s="245"/>
      <ns0:c r="K615" s="245"/>
      <ns0:c r="L615" s="245"/>
      <ns0:c r="M615" s="245"/>
      <ns0:c r="N615" s="245"/>
      <ns0:c r="O615" s="245"/>
      <ns0:c r="P615" s="245"/>
      <ns0:c r="Q615" s="245"/>
      <ns0:c r="R615" s="245"/>
      <ns0:c r="S615" s="245"/>
      <ns0:c r="T615" s="245"/>
      <ns0:c r="U615" s="245"/>
      <ns0:c r="V615" s="245"/>
      <ns0:c r="W615" s="245"/>
      <ns0:c r="X615" s="245"/>
      <ns0:c r="Y615" s="245"/>
      <ns0:c r="Z615" s="245"/>
    </ns0:row>
    <ns0:row r="616">
      <ns0:c r="A616" s="245"/>
      <ns0:c r="B616" s="245"/>
      <ns0:c r="C616" s="245"/>
      <ns0:c r="D616" s="245"/>
      <ns0:c r="E616" s="245"/>
      <ns0:c r="F616" s="245"/>
      <ns0:c r="G616" s="245"/>
      <ns0:c r="H616" s="245"/>
      <ns0:c r="I616" s="245"/>
      <ns0:c r="J616" s="245"/>
      <ns0:c r="K616" s="245"/>
      <ns0:c r="L616" s="245"/>
      <ns0:c r="M616" s="245"/>
      <ns0:c r="N616" s="245"/>
      <ns0:c r="O616" s="245"/>
      <ns0:c r="P616" s="245"/>
      <ns0:c r="Q616" s="245"/>
      <ns0:c r="R616" s="245"/>
      <ns0:c r="S616" s="245"/>
      <ns0:c r="T616" s="245"/>
      <ns0:c r="U616" s="245"/>
      <ns0:c r="V616" s="245"/>
      <ns0:c r="W616" s="245"/>
      <ns0:c r="X616" s="245"/>
      <ns0:c r="Y616" s="245"/>
      <ns0:c r="Z616" s="245"/>
    </ns0:row>
    <ns0:row r="617">
      <ns0:c r="A617" s="245"/>
      <ns0:c r="B617" s="245"/>
      <ns0:c r="C617" s="245"/>
      <ns0:c r="D617" s="245"/>
      <ns0:c r="E617" s="245"/>
      <ns0:c r="F617" s="245"/>
      <ns0:c r="G617" s="245"/>
      <ns0:c r="H617" s="245"/>
      <ns0:c r="I617" s="245"/>
      <ns0:c r="J617" s="245"/>
      <ns0:c r="K617" s="245"/>
      <ns0:c r="L617" s="245"/>
      <ns0:c r="M617" s="245"/>
      <ns0:c r="N617" s="245"/>
      <ns0:c r="O617" s="245"/>
      <ns0:c r="P617" s="245"/>
      <ns0:c r="Q617" s="245"/>
      <ns0:c r="R617" s="245"/>
      <ns0:c r="S617" s="245"/>
      <ns0:c r="T617" s="245"/>
      <ns0:c r="U617" s="245"/>
      <ns0:c r="V617" s="245"/>
      <ns0:c r="W617" s="245"/>
      <ns0:c r="X617" s="245"/>
      <ns0:c r="Y617" s="245"/>
      <ns0:c r="Z617" s="245"/>
    </ns0:row>
    <ns0:row r="618">
      <ns0:c r="A618" s="245"/>
      <ns0:c r="B618" s="245"/>
      <ns0:c r="C618" s="245"/>
      <ns0:c r="D618" s="245"/>
      <ns0:c r="E618" s="245"/>
      <ns0:c r="F618" s="245"/>
      <ns0:c r="G618" s="245"/>
      <ns0:c r="H618" s="245"/>
      <ns0:c r="I618" s="245"/>
      <ns0:c r="J618" s="245"/>
      <ns0:c r="K618" s="245"/>
      <ns0:c r="L618" s="245"/>
      <ns0:c r="M618" s="245"/>
      <ns0:c r="N618" s="245"/>
      <ns0:c r="O618" s="245"/>
      <ns0:c r="P618" s="245"/>
      <ns0:c r="Q618" s="245"/>
      <ns0:c r="R618" s="245"/>
      <ns0:c r="S618" s="245"/>
      <ns0:c r="T618" s="245"/>
      <ns0:c r="U618" s="245"/>
      <ns0:c r="V618" s="245"/>
      <ns0:c r="W618" s="245"/>
      <ns0:c r="X618" s="245"/>
      <ns0:c r="Y618" s="245"/>
      <ns0:c r="Z618" s="245"/>
    </ns0:row>
    <ns0:row r="619">
      <ns0:c r="A619" s="245"/>
      <ns0:c r="B619" s="245"/>
      <ns0:c r="C619" s="245"/>
      <ns0:c r="D619" s="245"/>
      <ns0:c r="E619" s="245"/>
      <ns0:c r="F619" s="245"/>
      <ns0:c r="G619" s="245"/>
      <ns0:c r="H619" s="245"/>
      <ns0:c r="I619" s="245"/>
      <ns0:c r="J619" s="245"/>
      <ns0:c r="K619" s="245"/>
      <ns0:c r="L619" s="245"/>
      <ns0:c r="M619" s="245"/>
      <ns0:c r="N619" s="245"/>
      <ns0:c r="O619" s="245"/>
      <ns0:c r="P619" s="245"/>
      <ns0:c r="Q619" s="245"/>
      <ns0:c r="R619" s="245"/>
      <ns0:c r="S619" s="245"/>
      <ns0:c r="T619" s="245"/>
      <ns0:c r="U619" s="245"/>
      <ns0:c r="V619" s="245"/>
      <ns0:c r="W619" s="245"/>
      <ns0:c r="X619" s="245"/>
      <ns0:c r="Y619" s="245"/>
      <ns0:c r="Z619" s="245"/>
    </ns0:row>
    <ns0:row r="620">
      <ns0:c r="A620" s="245"/>
      <ns0:c r="B620" s="245"/>
      <ns0:c r="C620" s="245"/>
      <ns0:c r="D620" s="245"/>
      <ns0:c r="E620" s="245"/>
      <ns0:c r="F620" s="245"/>
      <ns0:c r="G620" s="245"/>
      <ns0:c r="H620" s="245"/>
      <ns0:c r="I620" s="245"/>
      <ns0:c r="J620" s="245"/>
      <ns0:c r="K620" s="245"/>
      <ns0:c r="L620" s="245"/>
      <ns0:c r="M620" s="245"/>
      <ns0:c r="N620" s="245"/>
      <ns0:c r="O620" s="245"/>
      <ns0:c r="P620" s="245"/>
      <ns0:c r="Q620" s="245"/>
      <ns0:c r="R620" s="245"/>
      <ns0:c r="S620" s="245"/>
      <ns0:c r="T620" s="245"/>
      <ns0:c r="U620" s="245"/>
      <ns0:c r="V620" s="245"/>
      <ns0:c r="W620" s="245"/>
      <ns0:c r="X620" s="245"/>
      <ns0:c r="Y620" s="245"/>
      <ns0:c r="Z620" s="245"/>
    </ns0:row>
    <ns0:row r="621">
      <ns0:c r="A621" s="245"/>
      <ns0:c r="B621" s="245"/>
      <ns0:c r="C621" s="245"/>
      <ns0:c r="D621" s="245"/>
      <ns0:c r="E621" s="245"/>
      <ns0:c r="F621" s="245"/>
      <ns0:c r="G621" s="245"/>
      <ns0:c r="H621" s="245"/>
      <ns0:c r="I621" s="245"/>
      <ns0:c r="J621" s="245"/>
      <ns0:c r="K621" s="245"/>
      <ns0:c r="L621" s="245"/>
      <ns0:c r="M621" s="245"/>
      <ns0:c r="N621" s="245"/>
      <ns0:c r="O621" s="245"/>
      <ns0:c r="P621" s="245"/>
      <ns0:c r="Q621" s="245"/>
      <ns0:c r="R621" s="245"/>
      <ns0:c r="S621" s="245"/>
      <ns0:c r="T621" s="245"/>
      <ns0:c r="U621" s="245"/>
      <ns0:c r="V621" s="245"/>
      <ns0:c r="W621" s="245"/>
      <ns0:c r="X621" s="245"/>
      <ns0:c r="Y621" s="245"/>
      <ns0:c r="Z621" s="245"/>
    </ns0:row>
    <ns0:row r="622">
      <ns0:c r="A622" s="245"/>
      <ns0:c r="B622" s="245"/>
      <ns0:c r="C622" s="245"/>
      <ns0:c r="D622" s="245"/>
      <ns0:c r="E622" s="245"/>
      <ns0:c r="F622" s="245"/>
      <ns0:c r="G622" s="245"/>
      <ns0:c r="H622" s="245"/>
      <ns0:c r="I622" s="245"/>
      <ns0:c r="J622" s="245"/>
      <ns0:c r="K622" s="245"/>
      <ns0:c r="L622" s="245"/>
      <ns0:c r="M622" s="245"/>
      <ns0:c r="N622" s="245"/>
      <ns0:c r="O622" s="245"/>
      <ns0:c r="P622" s="245"/>
      <ns0:c r="Q622" s="245"/>
      <ns0:c r="R622" s="245"/>
      <ns0:c r="S622" s="245"/>
      <ns0:c r="T622" s="245"/>
      <ns0:c r="U622" s="245"/>
      <ns0:c r="V622" s="245"/>
      <ns0:c r="W622" s="245"/>
      <ns0:c r="X622" s="245"/>
      <ns0:c r="Y622" s="245"/>
      <ns0:c r="Z622" s="245"/>
    </ns0:row>
    <ns0:row r="623">
      <ns0:c r="A623" s="245"/>
      <ns0:c r="B623" s="245"/>
      <ns0:c r="C623" s="245"/>
      <ns0:c r="D623" s="245"/>
      <ns0:c r="E623" s="245"/>
      <ns0:c r="F623" s="245"/>
      <ns0:c r="G623" s="245"/>
      <ns0:c r="H623" s="245"/>
      <ns0:c r="I623" s="245"/>
      <ns0:c r="J623" s="245"/>
      <ns0:c r="K623" s="245"/>
      <ns0:c r="L623" s="245"/>
      <ns0:c r="M623" s="245"/>
      <ns0:c r="N623" s="245"/>
      <ns0:c r="O623" s="245"/>
      <ns0:c r="P623" s="245"/>
      <ns0:c r="Q623" s="245"/>
      <ns0:c r="R623" s="245"/>
      <ns0:c r="S623" s="245"/>
      <ns0:c r="T623" s="245"/>
      <ns0:c r="U623" s="245"/>
      <ns0:c r="V623" s="245"/>
      <ns0:c r="W623" s="245"/>
      <ns0:c r="X623" s="245"/>
      <ns0:c r="Y623" s="245"/>
      <ns0:c r="Z623" s="245"/>
    </ns0:row>
    <ns0:row r="624">
      <ns0:c r="A624" s="245"/>
      <ns0:c r="B624" s="245"/>
      <ns0:c r="C624" s="245"/>
      <ns0:c r="D624" s="245"/>
      <ns0:c r="E624" s="245"/>
      <ns0:c r="F624" s="245"/>
      <ns0:c r="G624" s="245"/>
      <ns0:c r="H624" s="245"/>
      <ns0:c r="I624" s="245"/>
      <ns0:c r="J624" s="245"/>
      <ns0:c r="K624" s="245"/>
      <ns0:c r="L624" s="245"/>
      <ns0:c r="M624" s="245"/>
      <ns0:c r="N624" s="245"/>
      <ns0:c r="O624" s="245"/>
      <ns0:c r="P624" s="245"/>
      <ns0:c r="Q624" s="245"/>
      <ns0:c r="R624" s="245"/>
      <ns0:c r="S624" s="245"/>
      <ns0:c r="T624" s="245"/>
      <ns0:c r="U624" s="245"/>
      <ns0:c r="V624" s="245"/>
      <ns0:c r="W624" s="245"/>
      <ns0:c r="X624" s="245"/>
      <ns0:c r="Y624" s="245"/>
      <ns0:c r="Z624" s="245"/>
    </ns0:row>
    <ns0:row r="625">
      <ns0:c r="A625" s="245"/>
      <ns0:c r="B625" s="245"/>
      <ns0:c r="C625" s="245"/>
      <ns0:c r="D625" s="245"/>
      <ns0:c r="E625" s="245"/>
      <ns0:c r="F625" s="245"/>
      <ns0:c r="G625" s="245"/>
      <ns0:c r="H625" s="245"/>
      <ns0:c r="I625" s="245"/>
      <ns0:c r="J625" s="245"/>
      <ns0:c r="K625" s="245"/>
      <ns0:c r="L625" s="245"/>
      <ns0:c r="M625" s="245"/>
      <ns0:c r="N625" s="245"/>
      <ns0:c r="O625" s="245"/>
      <ns0:c r="P625" s="245"/>
      <ns0:c r="Q625" s="245"/>
      <ns0:c r="R625" s="245"/>
      <ns0:c r="S625" s="245"/>
      <ns0:c r="T625" s="245"/>
      <ns0:c r="U625" s="245"/>
      <ns0:c r="V625" s="245"/>
      <ns0:c r="W625" s="245"/>
      <ns0:c r="X625" s="245"/>
      <ns0:c r="Y625" s="245"/>
      <ns0:c r="Z625" s="245"/>
    </ns0:row>
    <ns0:row r="626">
      <ns0:c r="A626" s="245"/>
      <ns0:c r="B626" s="245"/>
      <ns0:c r="C626" s="245"/>
      <ns0:c r="D626" s="245"/>
      <ns0:c r="E626" s="245"/>
      <ns0:c r="F626" s="245"/>
      <ns0:c r="G626" s="245"/>
      <ns0:c r="H626" s="245"/>
      <ns0:c r="I626" s="245"/>
      <ns0:c r="J626" s="245"/>
      <ns0:c r="K626" s="245"/>
      <ns0:c r="L626" s="245"/>
      <ns0:c r="M626" s="245"/>
      <ns0:c r="N626" s="245"/>
      <ns0:c r="O626" s="245"/>
      <ns0:c r="P626" s="245"/>
      <ns0:c r="Q626" s="245"/>
      <ns0:c r="R626" s="245"/>
      <ns0:c r="S626" s="245"/>
      <ns0:c r="T626" s="245"/>
      <ns0:c r="U626" s="245"/>
      <ns0:c r="V626" s="245"/>
      <ns0:c r="W626" s="245"/>
      <ns0:c r="X626" s="245"/>
      <ns0:c r="Y626" s="245"/>
      <ns0:c r="Z626" s="245"/>
    </ns0:row>
    <ns0:row r="627">
      <ns0:c r="A627" s="245"/>
      <ns0:c r="B627" s="245"/>
      <ns0:c r="C627" s="245"/>
      <ns0:c r="D627" s="245"/>
      <ns0:c r="E627" s="245"/>
      <ns0:c r="F627" s="245"/>
      <ns0:c r="G627" s="245"/>
      <ns0:c r="H627" s="245"/>
      <ns0:c r="I627" s="245"/>
      <ns0:c r="J627" s="245"/>
      <ns0:c r="K627" s="245"/>
      <ns0:c r="L627" s="245"/>
      <ns0:c r="M627" s="245"/>
      <ns0:c r="N627" s="245"/>
      <ns0:c r="O627" s="245"/>
      <ns0:c r="P627" s="245"/>
      <ns0:c r="Q627" s="245"/>
      <ns0:c r="R627" s="245"/>
      <ns0:c r="S627" s="245"/>
      <ns0:c r="T627" s="245"/>
      <ns0:c r="U627" s="245"/>
      <ns0:c r="V627" s="245"/>
      <ns0:c r="W627" s="245"/>
      <ns0:c r="X627" s="245"/>
      <ns0:c r="Y627" s="245"/>
      <ns0:c r="Z627" s="245"/>
    </ns0:row>
    <ns0:row r="628">
      <ns0:c r="A628" s="245"/>
      <ns0:c r="B628" s="245"/>
      <ns0:c r="C628" s="245"/>
      <ns0:c r="D628" s="245"/>
      <ns0:c r="E628" s="245"/>
      <ns0:c r="F628" s="245"/>
      <ns0:c r="G628" s="245"/>
      <ns0:c r="H628" s="245"/>
      <ns0:c r="I628" s="245"/>
      <ns0:c r="J628" s="245"/>
      <ns0:c r="K628" s="245"/>
      <ns0:c r="L628" s="245"/>
      <ns0:c r="M628" s="245"/>
      <ns0:c r="N628" s="245"/>
      <ns0:c r="O628" s="245"/>
      <ns0:c r="P628" s="245"/>
      <ns0:c r="Q628" s="245"/>
      <ns0:c r="R628" s="245"/>
      <ns0:c r="S628" s="245"/>
      <ns0:c r="T628" s="245"/>
      <ns0:c r="U628" s="245"/>
      <ns0:c r="V628" s="245"/>
      <ns0:c r="W628" s="245"/>
      <ns0:c r="X628" s="245"/>
      <ns0:c r="Y628" s="245"/>
      <ns0:c r="Z628" s="245"/>
    </ns0:row>
    <ns0:row r="629">
      <ns0:c r="A629" s="245"/>
      <ns0:c r="B629" s="245"/>
      <ns0:c r="C629" s="245"/>
      <ns0:c r="D629" s="245"/>
      <ns0:c r="E629" s="245"/>
      <ns0:c r="F629" s="245"/>
      <ns0:c r="G629" s="245"/>
      <ns0:c r="H629" s="245"/>
      <ns0:c r="I629" s="245"/>
      <ns0:c r="J629" s="245"/>
      <ns0:c r="K629" s="245"/>
      <ns0:c r="L629" s="245"/>
      <ns0:c r="M629" s="245"/>
      <ns0:c r="N629" s="245"/>
      <ns0:c r="O629" s="245"/>
      <ns0:c r="P629" s="245"/>
      <ns0:c r="Q629" s="245"/>
      <ns0:c r="R629" s="245"/>
      <ns0:c r="S629" s="245"/>
      <ns0:c r="T629" s="245"/>
      <ns0:c r="U629" s="245"/>
      <ns0:c r="V629" s="245"/>
      <ns0:c r="W629" s="245"/>
      <ns0:c r="X629" s="245"/>
      <ns0:c r="Y629" s="245"/>
      <ns0:c r="Z629" s="245"/>
    </ns0:row>
    <ns0:row r="630">
      <ns0:c r="A630" s="245"/>
      <ns0:c r="B630" s="245"/>
      <ns0:c r="C630" s="245"/>
      <ns0:c r="D630" s="245"/>
      <ns0:c r="E630" s="245"/>
      <ns0:c r="F630" s="245"/>
      <ns0:c r="G630" s="245"/>
      <ns0:c r="H630" s="245"/>
      <ns0:c r="I630" s="245"/>
      <ns0:c r="J630" s="245"/>
      <ns0:c r="K630" s="245"/>
      <ns0:c r="L630" s="245"/>
      <ns0:c r="M630" s="245"/>
      <ns0:c r="N630" s="245"/>
      <ns0:c r="O630" s="245"/>
      <ns0:c r="P630" s="245"/>
      <ns0:c r="Q630" s="245"/>
      <ns0:c r="R630" s="245"/>
      <ns0:c r="S630" s="245"/>
      <ns0:c r="T630" s="245"/>
      <ns0:c r="U630" s="245"/>
      <ns0:c r="V630" s="245"/>
      <ns0:c r="W630" s="245"/>
      <ns0:c r="X630" s="245"/>
      <ns0:c r="Y630" s="245"/>
      <ns0:c r="Z630" s="245"/>
    </ns0:row>
    <ns0:row r="631">
      <ns0:c r="A631" s="245"/>
      <ns0:c r="B631" s="245"/>
      <ns0:c r="C631" s="245"/>
      <ns0:c r="D631" s="245"/>
      <ns0:c r="E631" s="245"/>
      <ns0:c r="F631" s="245"/>
      <ns0:c r="G631" s="245"/>
      <ns0:c r="H631" s="245"/>
      <ns0:c r="I631" s="245"/>
      <ns0:c r="J631" s="245"/>
      <ns0:c r="K631" s="245"/>
      <ns0:c r="L631" s="245"/>
      <ns0:c r="M631" s="245"/>
      <ns0:c r="N631" s="245"/>
      <ns0:c r="O631" s="245"/>
      <ns0:c r="P631" s="245"/>
      <ns0:c r="Q631" s="245"/>
      <ns0:c r="R631" s="245"/>
      <ns0:c r="S631" s="245"/>
      <ns0:c r="T631" s="245"/>
      <ns0:c r="U631" s="245"/>
      <ns0:c r="V631" s="245"/>
      <ns0:c r="W631" s="245"/>
      <ns0:c r="X631" s="245"/>
      <ns0:c r="Y631" s="245"/>
      <ns0:c r="Z631" s="245"/>
    </ns0:row>
    <ns0:row r="632">
      <ns0:c r="A632" s="245"/>
      <ns0:c r="B632" s="245"/>
      <ns0:c r="C632" s="245"/>
      <ns0:c r="D632" s="245"/>
      <ns0:c r="E632" s="245"/>
      <ns0:c r="F632" s="245"/>
      <ns0:c r="G632" s="245"/>
      <ns0:c r="H632" s="245"/>
      <ns0:c r="I632" s="245"/>
      <ns0:c r="J632" s="245"/>
      <ns0:c r="K632" s="245"/>
      <ns0:c r="L632" s="245"/>
      <ns0:c r="M632" s="245"/>
      <ns0:c r="N632" s="245"/>
      <ns0:c r="O632" s="245"/>
      <ns0:c r="P632" s="245"/>
      <ns0:c r="Q632" s="245"/>
      <ns0:c r="R632" s="245"/>
      <ns0:c r="S632" s="245"/>
      <ns0:c r="T632" s="245"/>
      <ns0:c r="U632" s="245"/>
      <ns0:c r="V632" s="245"/>
      <ns0:c r="W632" s="245"/>
      <ns0:c r="X632" s="245"/>
      <ns0:c r="Y632" s="245"/>
      <ns0:c r="Z632" s="245"/>
    </ns0:row>
    <ns0:row r="633">
      <ns0:c r="A633" s="245"/>
      <ns0:c r="B633" s="245"/>
      <ns0:c r="C633" s="245"/>
      <ns0:c r="D633" s="245"/>
      <ns0:c r="E633" s="245"/>
      <ns0:c r="F633" s="245"/>
      <ns0:c r="G633" s="245"/>
      <ns0:c r="H633" s="245"/>
      <ns0:c r="I633" s="245"/>
      <ns0:c r="J633" s="245"/>
      <ns0:c r="K633" s="245"/>
      <ns0:c r="L633" s="245"/>
      <ns0:c r="M633" s="245"/>
      <ns0:c r="N633" s="245"/>
      <ns0:c r="O633" s="245"/>
      <ns0:c r="P633" s="245"/>
      <ns0:c r="Q633" s="245"/>
      <ns0:c r="R633" s="245"/>
      <ns0:c r="S633" s="245"/>
      <ns0:c r="T633" s="245"/>
      <ns0:c r="U633" s="245"/>
      <ns0:c r="V633" s="245"/>
      <ns0:c r="W633" s="245"/>
      <ns0:c r="X633" s="245"/>
      <ns0:c r="Y633" s="245"/>
      <ns0:c r="Z633" s="245"/>
    </ns0:row>
    <ns0:row r="634">
      <ns0:c r="A634" s="245"/>
      <ns0:c r="B634" s="245"/>
      <ns0:c r="C634" s="245"/>
      <ns0:c r="D634" s="245"/>
      <ns0:c r="E634" s="245"/>
      <ns0:c r="F634" s="245"/>
      <ns0:c r="G634" s="245"/>
      <ns0:c r="H634" s="245"/>
      <ns0:c r="I634" s="245"/>
      <ns0:c r="J634" s="245"/>
      <ns0:c r="K634" s="245"/>
      <ns0:c r="L634" s="245"/>
      <ns0:c r="M634" s="245"/>
      <ns0:c r="N634" s="245"/>
      <ns0:c r="O634" s="245"/>
      <ns0:c r="P634" s="245"/>
      <ns0:c r="Q634" s="245"/>
      <ns0:c r="R634" s="245"/>
      <ns0:c r="S634" s="245"/>
      <ns0:c r="T634" s="245"/>
      <ns0:c r="U634" s="245"/>
      <ns0:c r="V634" s="245"/>
      <ns0:c r="W634" s="245"/>
      <ns0:c r="X634" s="245"/>
      <ns0:c r="Y634" s="245"/>
      <ns0:c r="Z634" s="245"/>
    </ns0:row>
    <ns0:row r="635">
      <ns0:c r="A635" s="245"/>
      <ns0:c r="B635" s="245"/>
      <ns0:c r="C635" s="245"/>
      <ns0:c r="D635" s="245"/>
      <ns0:c r="E635" s="245"/>
      <ns0:c r="F635" s="245"/>
      <ns0:c r="G635" s="245"/>
      <ns0:c r="H635" s="245"/>
      <ns0:c r="I635" s="245"/>
      <ns0:c r="J635" s="245"/>
      <ns0:c r="K635" s="245"/>
      <ns0:c r="L635" s="245"/>
      <ns0:c r="M635" s="245"/>
      <ns0:c r="N635" s="245"/>
      <ns0:c r="O635" s="245"/>
      <ns0:c r="P635" s="245"/>
      <ns0:c r="Q635" s="245"/>
      <ns0:c r="R635" s="245"/>
      <ns0:c r="S635" s="245"/>
      <ns0:c r="T635" s="245"/>
      <ns0:c r="U635" s="245"/>
      <ns0:c r="V635" s="245"/>
      <ns0:c r="W635" s="245"/>
      <ns0:c r="X635" s="245"/>
      <ns0:c r="Y635" s="245"/>
      <ns0:c r="Z635" s="245"/>
    </ns0:row>
    <ns0:row r="636">
      <ns0:c r="A636" s="245"/>
      <ns0:c r="B636" s="245"/>
      <ns0:c r="C636" s="245"/>
      <ns0:c r="D636" s="245"/>
      <ns0:c r="E636" s="245"/>
      <ns0:c r="F636" s="245"/>
      <ns0:c r="G636" s="245"/>
      <ns0:c r="H636" s="245"/>
      <ns0:c r="I636" s="245"/>
      <ns0:c r="J636" s="245"/>
      <ns0:c r="K636" s="245"/>
      <ns0:c r="L636" s="245"/>
      <ns0:c r="M636" s="245"/>
      <ns0:c r="N636" s="245"/>
      <ns0:c r="O636" s="245"/>
      <ns0:c r="P636" s="245"/>
      <ns0:c r="Q636" s="245"/>
      <ns0:c r="R636" s="245"/>
      <ns0:c r="S636" s="245"/>
      <ns0:c r="T636" s="245"/>
      <ns0:c r="U636" s="245"/>
      <ns0:c r="V636" s="245"/>
      <ns0:c r="W636" s="245"/>
      <ns0:c r="X636" s="245"/>
      <ns0:c r="Y636" s="245"/>
      <ns0:c r="Z636" s="245"/>
    </ns0:row>
    <ns0:row r="637">
      <ns0:c r="A637" s="245"/>
      <ns0:c r="B637" s="245"/>
      <ns0:c r="C637" s="245"/>
      <ns0:c r="D637" s="245"/>
      <ns0:c r="E637" s="245"/>
      <ns0:c r="F637" s="245"/>
      <ns0:c r="G637" s="245"/>
      <ns0:c r="H637" s="245"/>
      <ns0:c r="I637" s="245"/>
      <ns0:c r="J637" s="245"/>
      <ns0:c r="K637" s="245"/>
      <ns0:c r="L637" s="245"/>
      <ns0:c r="M637" s="245"/>
      <ns0:c r="N637" s="245"/>
      <ns0:c r="O637" s="245"/>
      <ns0:c r="P637" s="245"/>
      <ns0:c r="Q637" s="245"/>
      <ns0:c r="R637" s="245"/>
      <ns0:c r="S637" s="245"/>
      <ns0:c r="T637" s="245"/>
      <ns0:c r="U637" s="245"/>
      <ns0:c r="V637" s="245"/>
      <ns0:c r="W637" s="245"/>
      <ns0:c r="X637" s="245"/>
      <ns0:c r="Y637" s="245"/>
      <ns0:c r="Z637" s="245"/>
    </ns0:row>
    <ns0:row r="638">
      <ns0:c r="A638" s="245"/>
      <ns0:c r="B638" s="245"/>
      <ns0:c r="C638" s="245"/>
      <ns0:c r="D638" s="245"/>
      <ns0:c r="E638" s="245"/>
      <ns0:c r="F638" s="245"/>
      <ns0:c r="G638" s="245"/>
      <ns0:c r="H638" s="245"/>
      <ns0:c r="I638" s="245"/>
      <ns0:c r="J638" s="245"/>
      <ns0:c r="K638" s="245"/>
      <ns0:c r="L638" s="245"/>
      <ns0:c r="M638" s="245"/>
      <ns0:c r="N638" s="245"/>
      <ns0:c r="O638" s="245"/>
      <ns0:c r="P638" s="245"/>
      <ns0:c r="Q638" s="245"/>
      <ns0:c r="R638" s="245"/>
      <ns0:c r="S638" s="245"/>
      <ns0:c r="T638" s="245"/>
      <ns0:c r="U638" s="245"/>
      <ns0:c r="V638" s="245"/>
      <ns0:c r="W638" s="245"/>
      <ns0:c r="X638" s="245"/>
      <ns0:c r="Y638" s="245"/>
      <ns0:c r="Z638" s="245"/>
    </ns0:row>
    <ns0:row r="639">
      <ns0:c r="A639" s="245"/>
      <ns0:c r="B639" s="245"/>
      <ns0:c r="C639" s="245"/>
      <ns0:c r="D639" s="245"/>
      <ns0:c r="E639" s="245"/>
      <ns0:c r="F639" s="245"/>
      <ns0:c r="G639" s="245"/>
      <ns0:c r="H639" s="245"/>
      <ns0:c r="I639" s="245"/>
      <ns0:c r="J639" s="245"/>
      <ns0:c r="K639" s="245"/>
      <ns0:c r="L639" s="245"/>
      <ns0:c r="M639" s="245"/>
      <ns0:c r="N639" s="245"/>
      <ns0:c r="O639" s="245"/>
      <ns0:c r="P639" s="245"/>
      <ns0:c r="Q639" s="245"/>
      <ns0:c r="R639" s="245"/>
      <ns0:c r="S639" s="245"/>
      <ns0:c r="T639" s="245"/>
      <ns0:c r="U639" s="245"/>
      <ns0:c r="V639" s="245"/>
      <ns0:c r="W639" s="245"/>
      <ns0:c r="X639" s="245"/>
      <ns0:c r="Y639" s="245"/>
      <ns0:c r="Z639" s="245"/>
    </ns0:row>
    <ns0:row r="640">
      <ns0:c r="A640" s="245"/>
      <ns0:c r="B640" s="245"/>
      <ns0:c r="C640" s="245"/>
      <ns0:c r="D640" s="245"/>
      <ns0:c r="E640" s="245"/>
      <ns0:c r="F640" s="245"/>
      <ns0:c r="G640" s="245"/>
      <ns0:c r="H640" s="245"/>
      <ns0:c r="I640" s="245"/>
      <ns0:c r="J640" s="245"/>
      <ns0:c r="K640" s="245"/>
      <ns0:c r="L640" s="245"/>
      <ns0:c r="M640" s="245"/>
      <ns0:c r="N640" s="245"/>
      <ns0:c r="O640" s="245"/>
      <ns0:c r="P640" s="245"/>
      <ns0:c r="Q640" s="245"/>
      <ns0:c r="R640" s="245"/>
      <ns0:c r="S640" s="245"/>
      <ns0:c r="T640" s="245"/>
      <ns0:c r="U640" s="245"/>
      <ns0:c r="V640" s="245"/>
      <ns0:c r="W640" s="245"/>
      <ns0:c r="X640" s="245"/>
      <ns0:c r="Y640" s="245"/>
      <ns0:c r="Z640" s="245"/>
    </ns0:row>
    <ns0:row r="641">
      <ns0:c r="A641" s="245"/>
      <ns0:c r="B641" s="245"/>
      <ns0:c r="C641" s="245"/>
      <ns0:c r="D641" s="245"/>
      <ns0:c r="E641" s="245"/>
      <ns0:c r="F641" s="245"/>
      <ns0:c r="G641" s="245"/>
      <ns0:c r="H641" s="245"/>
      <ns0:c r="I641" s="245"/>
      <ns0:c r="J641" s="245"/>
      <ns0:c r="K641" s="245"/>
      <ns0:c r="L641" s="245"/>
      <ns0:c r="M641" s="245"/>
      <ns0:c r="N641" s="245"/>
      <ns0:c r="O641" s="245"/>
      <ns0:c r="P641" s="245"/>
      <ns0:c r="Q641" s="245"/>
      <ns0:c r="R641" s="245"/>
      <ns0:c r="S641" s="245"/>
      <ns0:c r="T641" s="245"/>
      <ns0:c r="U641" s="245"/>
      <ns0:c r="V641" s="245"/>
      <ns0:c r="W641" s="245"/>
      <ns0:c r="X641" s="245"/>
      <ns0:c r="Y641" s="245"/>
      <ns0:c r="Z641" s="245"/>
    </ns0:row>
    <ns0:row r="642">
      <ns0:c r="A642" s="245"/>
      <ns0:c r="B642" s="245"/>
      <ns0:c r="C642" s="245"/>
      <ns0:c r="D642" s="245"/>
      <ns0:c r="E642" s="245"/>
      <ns0:c r="F642" s="245"/>
      <ns0:c r="G642" s="245"/>
      <ns0:c r="H642" s="245"/>
      <ns0:c r="I642" s="245"/>
      <ns0:c r="J642" s="245"/>
      <ns0:c r="K642" s="245"/>
      <ns0:c r="L642" s="245"/>
      <ns0:c r="M642" s="245"/>
      <ns0:c r="N642" s="245"/>
      <ns0:c r="O642" s="245"/>
      <ns0:c r="P642" s="245"/>
      <ns0:c r="Q642" s="245"/>
      <ns0:c r="R642" s="245"/>
      <ns0:c r="S642" s="245"/>
      <ns0:c r="T642" s="245"/>
      <ns0:c r="U642" s="245"/>
      <ns0:c r="V642" s="245"/>
      <ns0:c r="W642" s="245"/>
      <ns0:c r="X642" s="245"/>
      <ns0:c r="Y642" s="245"/>
      <ns0:c r="Z642" s="245"/>
    </ns0:row>
    <ns0:row r="643">
      <ns0:c r="A643" s="245"/>
      <ns0:c r="B643" s="245"/>
      <ns0:c r="C643" s="245"/>
      <ns0:c r="D643" s="245"/>
      <ns0:c r="E643" s="245"/>
      <ns0:c r="F643" s="245"/>
      <ns0:c r="G643" s="245"/>
      <ns0:c r="H643" s="245"/>
      <ns0:c r="I643" s="245"/>
      <ns0:c r="J643" s="245"/>
      <ns0:c r="K643" s="245"/>
      <ns0:c r="L643" s="245"/>
      <ns0:c r="M643" s="245"/>
      <ns0:c r="N643" s="245"/>
      <ns0:c r="O643" s="245"/>
      <ns0:c r="P643" s="245"/>
      <ns0:c r="Q643" s="245"/>
      <ns0:c r="R643" s="245"/>
      <ns0:c r="S643" s="245"/>
      <ns0:c r="T643" s="245"/>
      <ns0:c r="U643" s="245"/>
      <ns0:c r="V643" s="245"/>
      <ns0:c r="W643" s="245"/>
      <ns0:c r="X643" s="245"/>
      <ns0:c r="Y643" s="245"/>
      <ns0:c r="Z643" s="245"/>
    </ns0:row>
    <ns0:row r="644">
      <ns0:c r="A644" s="245"/>
      <ns0:c r="B644" s="245"/>
      <ns0:c r="C644" s="245"/>
      <ns0:c r="D644" s="245"/>
      <ns0:c r="E644" s="245"/>
      <ns0:c r="F644" s="245"/>
      <ns0:c r="G644" s="245"/>
      <ns0:c r="H644" s="245"/>
      <ns0:c r="I644" s="245"/>
      <ns0:c r="J644" s="245"/>
      <ns0:c r="K644" s="245"/>
      <ns0:c r="L644" s="245"/>
      <ns0:c r="M644" s="245"/>
      <ns0:c r="N644" s="245"/>
      <ns0:c r="O644" s="245"/>
      <ns0:c r="P644" s="245"/>
      <ns0:c r="Q644" s="245"/>
      <ns0:c r="R644" s="245"/>
      <ns0:c r="S644" s="245"/>
      <ns0:c r="T644" s="245"/>
      <ns0:c r="U644" s="245"/>
      <ns0:c r="V644" s="245"/>
      <ns0:c r="W644" s="245"/>
      <ns0:c r="X644" s="245"/>
      <ns0:c r="Y644" s="245"/>
      <ns0:c r="Z644" s="245"/>
    </ns0:row>
    <ns0:row r="645">
      <ns0:c r="A645" s="245"/>
      <ns0:c r="B645" s="245"/>
      <ns0:c r="C645" s="245"/>
      <ns0:c r="D645" s="245"/>
      <ns0:c r="E645" s="245"/>
      <ns0:c r="F645" s="245"/>
      <ns0:c r="G645" s="245"/>
      <ns0:c r="H645" s="245"/>
      <ns0:c r="I645" s="245"/>
      <ns0:c r="J645" s="245"/>
      <ns0:c r="K645" s="245"/>
      <ns0:c r="L645" s="245"/>
      <ns0:c r="M645" s="245"/>
      <ns0:c r="N645" s="245"/>
      <ns0:c r="O645" s="245"/>
      <ns0:c r="P645" s="245"/>
      <ns0:c r="Q645" s="245"/>
      <ns0:c r="R645" s="245"/>
      <ns0:c r="S645" s="245"/>
      <ns0:c r="T645" s="245"/>
      <ns0:c r="U645" s="245"/>
      <ns0:c r="V645" s="245"/>
      <ns0:c r="W645" s="245"/>
      <ns0:c r="X645" s="245"/>
      <ns0:c r="Y645" s="245"/>
      <ns0:c r="Z645" s="245"/>
    </ns0:row>
    <ns0:row r="646">
      <ns0:c r="A646" s="245"/>
      <ns0:c r="B646" s="245"/>
      <ns0:c r="C646" s="245"/>
      <ns0:c r="D646" s="245"/>
      <ns0:c r="E646" s="245"/>
      <ns0:c r="F646" s="245"/>
      <ns0:c r="G646" s="245"/>
      <ns0:c r="H646" s="245"/>
      <ns0:c r="I646" s="245"/>
      <ns0:c r="J646" s="245"/>
      <ns0:c r="K646" s="245"/>
      <ns0:c r="L646" s="245"/>
      <ns0:c r="M646" s="245"/>
      <ns0:c r="N646" s="245"/>
      <ns0:c r="O646" s="245"/>
      <ns0:c r="P646" s="245"/>
      <ns0:c r="Q646" s="245"/>
      <ns0:c r="R646" s="245"/>
      <ns0:c r="S646" s="245"/>
      <ns0:c r="T646" s="245"/>
      <ns0:c r="U646" s="245"/>
      <ns0:c r="V646" s="245"/>
      <ns0:c r="W646" s="245"/>
      <ns0:c r="X646" s="245"/>
      <ns0:c r="Y646" s="245"/>
      <ns0:c r="Z646" s="245"/>
    </ns0:row>
    <ns0:row r="647">
      <ns0:c r="A647" s="245"/>
      <ns0:c r="B647" s="245"/>
      <ns0:c r="C647" s="245"/>
      <ns0:c r="D647" s="245"/>
      <ns0:c r="E647" s="245"/>
      <ns0:c r="F647" s="245"/>
      <ns0:c r="G647" s="245"/>
      <ns0:c r="H647" s="245"/>
      <ns0:c r="I647" s="245"/>
      <ns0:c r="J647" s="245"/>
      <ns0:c r="K647" s="245"/>
      <ns0:c r="L647" s="245"/>
      <ns0:c r="M647" s="245"/>
      <ns0:c r="N647" s="245"/>
      <ns0:c r="O647" s="245"/>
      <ns0:c r="P647" s="245"/>
      <ns0:c r="Q647" s="245"/>
      <ns0:c r="R647" s="245"/>
      <ns0:c r="S647" s="245"/>
      <ns0:c r="T647" s="245"/>
      <ns0:c r="U647" s="245"/>
      <ns0:c r="V647" s="245"/>
      <ns0:c r="W647" s="245"/>
      <ns0:c r="X647" s="245"/>
      <ns0:c r="Y647" s="245"/>
      <ns0:c r="Z647" s="245"/>
    </ns0:row>
    <ns0:row r="648">
      <ns0:c r="A648" s="245"/>
      <ns0:c r="B648" s="245"/>
      <ns0:c r="C648" s="245"/>
      <ns0:c r="D648" s="245"/>
      <ns0:c r="E648" s="245"/>
      <ns0:c r="F648" s="245"/>
      <ns0:c r="G648" s="245"/>
      <ns0:c r="H648" s="245"/>
      <ns0:c r="I648" s="245"/>
      <ns0:c r="J648" s="245"/>
      <ns0:c r="K648" s="245"/>
      <ns0:c r="L648" s="245"/>
      <ns0:c r="M648" s="245"/>
      <ns0:c r="N648" s="245"/>
      <ns0:c r="O648" s="245"/>
      <ns0:c r="P648" s="245"/>
      <ns0:c r="Q648" s="245"/>
      <ns0:c r="R648" s="245"/>
      <ns0:c r="S648" s="245"/>
      <ns0:c r="T648" s="245"/>
      <ns0:c r="U648" s="245"/>
      <ns0:c r="V648" s="245"/>
      <ns0:c r="W648" s="245"/>
      <ns0:c r="X648" s="245"/>
      <ns0:c r="Y648" s="245"/>
      <ns0:c r="Z648" s="245"/>
    </ns0:row>
    <ns0:row r="649">
      <ns0:c r="A649" s="245"/>
      <ns0:c r="B649" s="245"/>
      <ns0:c r="C649" s="245"/>
      <ns0:c r="D649" s="245"/>
      <ns0:c r="E649" s="245"/>
      <ns0:c r="F649" s="245"/>
      <ns0:c r="G649" s="245"/>
      <ns0:c r="H649" s="245"/>
      <ns0:c r="I649" s="245"/>
      <ns0:c r="J649" s="245"/>
      <ns0:c r="K649" s="245"/>
      <ns0:c r="L649" s="245"/>
      <ns0:c r="M649" s="245"/>
      <ns0:c r="N649" s="245"/>
      <ns0:c r="O649" s="245"/>
      <ns0:c r="P649" s="245"/>
      <ns0:c r="Q649" s="245"/>
      <ns0:c r="R649" s="245"/>
      <ns0:c r="S649" s="245"/>
      <ns0:c r="T649" s="245"/>
      <ns0:c r="U649" s="245"/>
      <ns0:c r="V649" s="245"/>
      <ns0:c r="W649" s="245"/>
      <ns0:c r="X649" s="245"/>
      <ns0:c r="Y649" s="245"/>
      <ns0:c r="Z649" s="245"/>
    </ns0:row>
    <ns0:row r="650">
      <ns0:c r="A650" s="245"/>
      <ns0:c r="B650" s="245"/>
      <ns0:c r="C650" s="245"/>
      <ns0:c r="D650" s="245"/>
      <ns0:c r="E650" s="245"/>
      <ns0:c r="F650" s="245"/>
      <ns0:c r="G650" s="245"/>
      <ns0:c r="H650" s="245"/>
      <ns0:c r="I650" s="245"/>
      <ns0:c r="J650" s="245"/>
      <ns0:c r="K650" s="245"/>
      <ns0:c r="L650" s="245"/>
      <ns0:c r="M650" s="245"/>
      <ns0:c r="N650" s="245"/>
      <ns0:c r="O650" s="245"/>
      <ns0:c r="P650" s="245"/>
      <ns0:c r="Q650" s="245"/>
      <ns0:c r="R650" s="245"/>
      <ns0:c r="S650" s="245"/>
      <ns0:c r="T650" s="245"/>
      <ns0:c r="U650" s="245"/>
      <ns0:c r="V650" s="245"/>
      <ns0:c r="W650" s="245"/>
      <ns0:c r="X650" s="245"/>
      <ns0:c r="Y650" s="245"/>
      <ns0:c r="Z650" s="245"/>
    </ns0:row>
    <ns0:row r="651">
      <ns0:c r="A651" s="245"/>
      <ns0:c r="B651" s="245"/>
      <ns0:c r="C651" s="245"/>
      <ns0:c r="D651" s="245"/>
      <ns0:c r="E651" s="245"/>
      <ns0:c r="F651" s="245"/>
      <ns0:c r="G651" s="245"/>
      <ns0:c r="H651" s="245"/>
      <ns0:c r="I651" s="245"/>
      <ns0:c r="J651" s="245"/>
      <ns0:c r="K651" s="245"/>
      <ns0:c r="L651" s="245"/>
      <ns0:c r="M651" s="245"/>
      <ns0:c r="N651" s="245"/>
      <ns0:c r="O651" s="245"/>
      <ns0:c r="P651" s="245"/>
      <ns0:c r="Q651" s="245"/>
      <ns0:c r="R651" s="245"/>
      <ns0:c r="S651" s="245"/>
      <ns0:c r="T651" s="245"/>
      <ns0:c r="U651" s="245"/>
      <ns0:c r="V651" s="245"/>
      <ns0:c r="W651" s="245"/>
      <ns0:c r="X651" s="245"/>
      <ns0:c r="Y651" s="245"/>
      <ns0:c r="Z651" s="245"/>
    </ns0:row>
    <ns0:row r="652">
      <ns0:c r="A652" s="245"/>
      <ns0:c r="B652" s="245"/>
      <ns0:c r="C652" s="245"/>
      <ns0:c r="D652" s="245"/>
      <ns0:c r="E652" s="245"/>
      <ns0:c r="F652" s="245"/>
      <ns0:c r="G652" s="245"/>
      <ns0:c r="H652" s="245"/>
      <ns0:c r="I652" s="245"/>
      <ns0:c r="J652" s="245"/>
      <ns0:c r="K652" s="245"/>
      <ns0:c r="L652" s="245"/>
      <ns0:c r="M652" s="245"/>
      <ns0:c r="N652" s="245"/>
      <ns0:c r="O652" s="245"/>
      <ns0:c r="P652" s="245"/>
      <ns0:c r="Q652" s="245"/>
      <ns0:c r="R652" s="245"/>
      <ns0:c r="S652" s="245"/>
      <ns0:c r="T652" s="245"/>
      <ns0:c r="U652" s="245"/>
      <ns0:c r="V652" s="245"/>
      <ns0:c r="W652" s="245"/>
      <ns0:c r="X652" s="245"/>
      <ns0:c r="Y652" s="245"/>
      <ns0:c r="Z652" s="245"/>
    </ns0:row>
    <ns0:row r="653">
      <ns0:c r="A653" s="245"/>
      <ns0:c r="B653" s="245"/>
      <ns0:c r="C653" s="245"/>
      <ns0:c r="D653" s="245"/>
      <ns0:c r="E653" s="245"/>
      <ns0:c r="F653" s="245"/>
      <ns0:c r="G653" s="245"/>
      <ns0:c r="H653" s="245"/>
      <ns0:c r="I653" s="245"/>
      <ns0:c r="J653" s="245"/>
      <ns0:c r="K653" s="245"/>
      <ns0:c r="L653" s="245"/>
      <ns0:c r="M653" s="245"/>
      <ns0:c r="N653" s="245"/>
      <ns0:c r="O653" s="245"/>
      <ns0:c r="P653" s="245"/>
      <ns0:c r="Q653" s="245"/>
      <ns0:c r="R653" s="245"/>
      <ns0:c r="S653" s="245"/>
      <ns0:c r="T653" s="245"/>
      <ns0:c r="U653" s="245"/>
      <ns0:c r="V653" s="245"/>
      <ns0:c r="W653" s="245"/>
      <ns0:c r="X653" s="245"/>
      <ns0:c r="Y653" s="245"/>
      <ns0:c r="Z653" s="245"/>
    </ns0:row>
    <ns0:row r="654">
      <ns0:c r="A654" s="245"/>
      <ns0:c r="B654" s="245"/>
      <ns0:c r="C654" s="245"/>
      <ns0:c r="D654" s="245"/>
      <ns0:c r="E654" s="245"/>
      <ns0:c r="F654" s="245"/>
      <ns0:c r="G654" s="245"/>
      <ns0:c r="H654" s="245"/>
      <ns0:c r="I654" s="245"/>
      <ns0:c r="J654" s="245"/>
      <ns0:c r="K654" s="245"/>
      <ns0:c r="L654" s="245"/>
      <ns0:c r="M654" s="245"/>
      <ns0:c r="N654" s="245"/>
      <ns0:c r="O654" s="245"/>
      <ns0:c r="P654" s="245"/>
      <ns0:c r="Q654" s="245"/>
      <ns0:c r="R654" s="245"/>
      <ns0:c r="S654" s="245"/>
      <ns0:c r="T654" s="245"/>
      <ns0:c r="U654" s="245"/>
      <ns0:c r="V654" s="245"/>
      <ns0:c r="W654" s="245"/>
      <ns0:c r="X654" s="245"/>
      <ns0:c r="Y654" s="245"/>
      <ns0:c r="Z654" s="245"/>
    </ns0:row>
    <ns0:row r="655">
      <ns0:c r="A655" s="245"/>
      <ns0:c r="B655" s="245"/>
      <ns0:c r="C655" s="245"/>
      <ns0:c r="D655" s="245"/>
      <ns0:c r="E655" s="245"/>
      <ns0:c r="F655" s="245"/>
      <ns0:c r="G655" s="245"/>
      <ns0:c r="H655" s="245"/>
      <ns0:c r="I655" s="245"/>
      <ns0:c r="J655" s="245"/>
      <ns0:c r="K655" s="245"/>
      <ns0:c r="L655" s="245"/>
      <ns0:c r="M655" s="245"/>
      <ns0:c r="N655" s="245"/>
      <ns0:c r="O655" s="245"/>
      <ns0:c r="P655" s="245"/>
      <ns0:c r="Q655" s="245"/>
      <ns0:c r="R655" s="245"/>
      <ns0:c r="S655" s="245"/>
      <ns0:c r="T655" s="245"/>
      <ns0:c r="U655" s="245"/>
      <ns0:c r="V655" s="245"/>
      <ns0:c r="W655" s="245"/>
      <ns0:c r="X655" s="245"/>
      <ns0:c r="Y655" s="245"/>
      <ns0:c r="Z655" s="245"/>
    </ns0:row>
    <ns0:row r="656">
      <ns0:c r="A656" s="245"/>
      <ns0:c r="B656" s="245"/>
      <ns0:c r="C656" s="245"/>
      <ns0:c r="D656" s="245"/>
      <ns0:c r="E656" s="245"/>
      <ns0:c r="F656" s="245"/>
      <ns0:c r="G656" s="245"/>
      <ns0:c r="H656" s="245"/>
      <ns0:c r="I656" s="245"/>
      <ns0:c r="J656" s="245"/>
      <ns0:c r="K656" s="245"/>
      <ns0:c r="L656" s="245"/>
      <ns0:c r="M656" s="245"/>
      <ns0:c r="N656" s="245"/>
      <ns0:c r="O656" s="245"/>
      <ns0:c r="P656" s="245"/>
      <ns0:c r="Q656" s="245"/>
      <ns0:c r="R656" s="245"/>
      <ns0:c r="S656" s="245"/>
      <ns0:c r="T656" s="245"/>
      <ns0:c r="U656" s="245"/>
      <ns0:c r="V656" s="245"/>
      <ns0:c r="W656" s="245"/>
      <ns0:c r="X656" s="245"/>
      <ns0:c r="Y656" s="245"/>
      <ns0:c r="Z656" s="245"/>
    </ns0:row>
    <ns0:row r="657">
      <ns0:c r="A657" s="245"/>
      <ns0:c r="B657" s="245"/>
      <ns0:c r="C657" s="245"/>
      <ns0:c r="D657" s="245"/>
      <ns0:c r="E657" s="245"/>
      <ns0:c r="F657" s="245"/>
      <ns0:c r="G657" s="245"/>
      <ns0:c r="H657" s="245"/>
      <ns0:c r="I657" s="245"/>
      <ns0:c r="J657" s="245"/>
      <ns0:c r="K657" s="245"/>
      <ns0:c r="L657" s="245"/>
      <ns0:c r="M657" s="245"/>
      <ns0:c r="N657" s="245"/>
      <ns0:c r="O657" s="245"/>
      <ns0:c r="P657" s="245"/>
      <ns0:c r="Q657" s="245"/>
      <ns0:c r="R657" s="245"/>
      <ns0:c r="S657" s="245"/>
      <ns0:c r="T657" s="245"/>
      <ns0:c r="U657" s="245"/>
      <ns0:c r="V657" s="245"/>
      <ns0:c r="W657" s="245"/>
      <ns0:c r="X657" s="245"/>
      <ns0:c r="Y657" s="245"/>
      <ns0:c r="Z657" s="245"/>
    </ns0:row>
    <ns0:row r="658">
      <ns0:c r="A658" s="245"/>
      <ns0:c r="B658" s="245"/>
      <ns0:c r="C658" s="245"/>
      <ns0:c r="D658" s="245"/>
      <ns0:c r="E658" s="245"/>
      <ns0:c r="F658" s="245"/>
      <ns0:c r="G658" s="245"/>
      <ns0:c r="H658" s="245"/>
      <ns0:c r="I658" s="245"/>
      <ns0:c r="J658" s="245"/>
      <ns0:c r="K658" s="245"/>
      <ns0:c r="L658" s="245"/>
      <ns0:c r="M658" s="245"/>
      <ns0:c r="N658" s="245"/>
      <ns0:c r="O658" s="245"/>
      <ns0:c r="P658" s="245"/>
      <ns0:c r="Q658" s="245"/>
      <ns0:c r="R658" s="245"/>
      <ns0:c r="S658" s="245"/>
      <ns0:c r="T658" s="245"/>
      <ns0:c r="U658" s="245"/>
      <ns0:c r="V658" s="245"/>
      <ns0:c r="W658" s="245"/>
      <ns0:c r="X658" s="245"/>
      <ns0:c r="Y658" s="245"/>
      <ns0:c r="Z658" s="245"/>
    </ns0:row>
    <ns0:row r="659">
      <ns0:c r="A659" s="245"/>
      <ns0:c r="B659" s="245"/>
      <ns0:c r="C659" s="245"/>
      <ns0:c r="D659" s="245"/>
      <ns0:c r="E659" s="245"/>
      <ns0:c r="F659" s="245"/>
      <ns0:c r="G659" s="245"/>
      <ns0:c r="H659" s="245"/>
      <ns0:c r="I659" s="245"/>
      <ns0:c r="J659" s="245"/>
      <ns0:c r="K659" s="245"/>
      <ns0:c r="L659" s="245"/>
      <ns0:c r="M659" s="245"/>
      <ns0:c r="N659" s="245"/>
      <ns0:c r="O659" s="245"/>
      <ns0:c r="P659" s="245"/>
      <ns0:c r="Q659" s="245"/>
      <ns0:c r="R659" s="245"/>
      <ns0:c r="S659" s="245"/>
      <ns0:c r="T659" s="245"/>
      <ns0:c r="U659" s="245"/>
      <ns0:c r="V659" s="245"/>
      <ns0:c r="W659" s="245"/>
      <ns0:c r="X659" s="245"/>
      <ns0:c r="Y659" s="245"/>
      <ns0:c r="Z659" s="245"/>
    </ns0:row>
    <ns0:row r="660">
      <ns0:c r="A660" s="245"/>
      <ns0:c r="B660" s="245"/>
      <ns0:c r="C660" s="245"/>
      <ns0:c r="D660" s="245"/>
      <ns0:c r="E660" s="245"/>
      <ns0:c r="F660" s="245"/>
      <ns0:c r="G660" s="245"/>
      <ns0:c r="H660" s="245"/>
      <ns0:c r="I660" s="245"/>
      <ns0:c r="J660" s="245"/>
      <ns0:c r="K660" s="245"/>
      <ns0:c r="L660" s="245"/>
      <ns0:c r="M660" s="245"/>
      <ns0:c r="N660" s="245"/>
      <ns0:c r="O660" s="245"/>
      <ns0:c r="P660" s="245"/>
      <ns0:c r="Q660" s="245"/>
      <ns0:c r="R660" s="245"/>
      <ns0:c r="S660" s="245"/>
      <ns0:c r="T660" s="245"/>
      <ns0:c r="U660" s="245"/>
      <ns0:c r="V660" s="245"/>
      <ns0:c r="W660" s="245"/>
      <ns0:c r="X660" s="245"/>
      <ns0:c r="Y660" s="245"/>
      <ns0:c r="Z660" s="245"/>
    </ns0:row>
    <ns0:row r="661">
      <ns0:c r="A661" s="245"/>
      <ns0:c r="B661" s="245"/>
      <ns0:c r="C661" s="245"/>
      <ns0:c r="D661" s="245"/>
      <ns0:c r="E661" s="245"/>
      <ns0:c r="F661" s="245"/>
      <ns0:c r="G661" s="245"/>
      <ns0:c r="H661" s="245"/>
      <ns0:c r="I661" s="245"/>
      <ns0:c r="J661" s="245"/>
      <ns0:c r="K661" s="245"/>
      <ns0:c r="L661" s="245"/>
      <ns0:c r="M661" s="245"/>
      <ns0:c r="N661" s="245"/>
      <ns0:c r="O661" s="245"/>
      <ns0:c r="P661" s="245"/>
      <ns0:c r="Q661" s="245"/>
      <ns0:c r="R661" s="245"/>
      <ns0:c r="S661" s="245"/>
      <ns0:c r="T661" s="245"/>
      <ns0:c r="U661" s="245"/>
      <ns0:c r="V661" s="245"/>
      <ns0:c r="W661" s="245"/>
      <ns0:c r="X661" s="245"/>
      <ns0:c r="Y661" s="245"/>
      <ns0:c r="Z661" s="245"/>
    </ns0:row>
    <ns0:row r="662">
      <ns0:c r="A662" s="245"/>
      <ns0:c r="B662" s="245"/>
      <ns0:c r="C662" s="245"/>
      <ns0:c r="D662" s="245"/>
      <ns0:c r="E662" s="245"/>
      <ns0:c r="F662" s="245"/>
      <ns0:c r="G662" s="245"/>
      <ns0:c r="H662" s="245"/>
      <ns0:c r="I662" s="245"/>
      <ns0:c r="J662" s="245"/>
      <ns0:c r="K662" s="245"/>
      <ns0:c r="L662" s="245"/>
      <ns0:c r="M662" s="245"/>
      <ns0:c r="N662" s="245"/>
      <ns0:c r="O662" s="245"/>
      <ns0:c r="P662" s="245"/>
      <ns0:c r="Q662" s="245"/>
      <ns0:c r="R662" s="245"/>
      <ns0:c r="S662" s="245"/>
      <ns0:c r="T662" s="245"/>
      <ns0:c r="U662" s="245"/>
      <ns0:c r="V662" s="245"/>
      <ns0:c r="W662" s="245"/>
      <ns0:c r="X662" s="245"/>
      <ns0:c r="Y662" s="245"/>
      <ns0:c r="Z662" s="245"/>
    </ns0:row>
    <ns0:row r="663">
      <ns0:c r="A663" s="245"/>
      <ns0:c r="B663" s="245"/>
      <ns0:c r="C663" s="245"/>
      <ns0:c r="D663" s="245"/>
      <ns0:c r="E663" s="245"/>
      <ns0:c r="F663" s="245"/>
      <ns0:c r="G663" s="245"/>
      <ns0:c r="H663" s="245"/>
      <ns0:c r="I663" s="245"/>
      <ns0:c r="J663" s="245"/>
      <ns0:c r="K663" s="245"/>
      <ns0:c r="L663" s="245"/>
      <ns0:c r="M663" s="245"/>
      <ns0:c r="N663" s="245"/>
      <ns0:c r="O663" s="245"/>
      <ns0:c r="P663" s="245"/>
      <ns0:c r="Q663" s="245"/>
      <ns0:c r="R663" s="245"/>
      <ns0:c r="S663" s="245"/>
      <ns0:c r="T663" s="245"/>
      <ns0:c r="U663" s="245"/>
      <ns0:c r="V663" s="245"/>
      <ns0:c r="W663" s="245"/>
      <ns0:c r="X663" s="245"/>
      <ns0:c r="Y663" s="245"/>
      <ns0:c r="Z663" s="245"/>
    </ns0:row>
    <ns0:row r="664">
      <ns0:c r="A664" s="245"/>
      <ns0:c r="B664" s="245"/>
      <ns0:c r="C664" s="245"/>
      <ns0:c r="D664" s="245"/>
      <ns0:c r="E664" s="245"/>
      <ns0:c r="F664" s="245"/>
      <ns0:c r="G664" s="245"/>
      <ns0:c r="H664" s="245"/>
      <ns0:c r="I664" s="245"/>
      <ns0:c r="J664" s="245"/>
      <ns0:c r="K664" s="245"/>
      <ns0:c r="L664" s="245"/>
      <ns0:c r="M664" s="245"/>
      <ns0:c r="N664" s="245"/>
      <ns0:c r="O664" s="245"/>
      <ns0:c r="P664" s="245"/>
      <ns0:c r="Q664" s="245"/>
      <ns0:c r="R664" s="245"/>
      <ns0:c r="S664" s="245"/>
      <ns0:c r="T664" s="245"/>
      <ns0:c r="U664" s="245"/>
      <ns0:c r="V664" s="245"/>
      <ns0:c r="W664" s="245"/>
      <ns0:c r="X664" s="245"/>
      <ns0:c r="Y664" s="245"/>
      <ns0:c r="Z664" s="245"/>
    </ns0:row>
    <ns0:row r="665">
      <ns0:c r="A665" s="245"/>
      <ns0:c r="B665" s="245"/>
      <ns0:c r="C665" s="245"/>
      <ns0:c r="D665" s="245"/>
      <ns0:c r="E665" s="245"/>
      <ns0:c r="F665" s="245"/>
      <ns0:c r="G665" s="245"/>
      <ns0:c r="H665" s="245"/>
      <ns0:c r="I665" s="245"/>
      <ns0:c r="J665" s="245"/>
      <ns0:c r="K665" s="245"/>
      <ns0:c r="L665" s="245"/>
      <ns0:c r="M665" s="245"/>
      <ns0:c r="N665" s="245"/>
      <ns0:c r="O665" s="245"/>
      <ns0:c r="P665" s="245"/>
      <ns0:c r="Q665" s="245"/>
      <ns0:c r="R665" s="245"/>
      <ns0:c r="S665" s="245"/>
      <ns0:c r="T665" s="245"/>
      <ns0:c r="U665" s="245"/>
      <ns0:c r="V665" s="245"/>
      <ns0:c r="W665" s="245"/>
      <ns0:c r="X665" s="245"/>
      <ns0:c r="Y665" s="245"/>
      <ns0:c r="Z665" s="245"/>
    </ns0:row>
    <ns0:row r="666">
      <ns0:c r="A666" s="245"/>
      <ns0:c r="B666" s="245"/>
      <ns0:c r="C666" s="245"/>
      <ns0:c r="D666" s="245"/>
      <ns0:c r="E666" s="245"/>
      <ns0:c r="F666" s="245"/>
      <ns0:c r="G666" s="245"/>
      <ns0:c r="H666" s="245"/>
      <ns0:c r="I666" s="245"/>
      <ns0:c r="J666" s="245"/>
      <ns0:c r="K666" s="245"/>
      <ns0:c r="L666" s="245"/>
      <ns0:c r="M666" s="245"/>
      <ns0:c r="N666" s="245"/>
      <ns0:c r="O666" s="245"/>
      <ns0:c r="P666" s="245"/>
      <ns0:c r="Q666" s="245"/>
      <ns0:c r="R666" s="245"/>
      <ns0:c r="S666" s="245"/>
      <ns0:c r="T666" s="245"/>
      <ns0:c r="U666" s="245"/>
      <ns0:c r="V666" s="245"/>
      <ns0:c r="W666" s="245"/>
      <ns0:c r="X666" s="245"/>
      <ns0:c r="Y666" s="245"/>
      <ns0:c r="Z666" s="245"/>
    </ns0:row>
    <ns0:row r="667">
      <ns0:c r="A667" s="245"/>
      <ns0:c r="B667" s="245"/>
      <ns0:c r="C667" s="245"/>
      <ns0:c r="D667" s="245"/>
      <ns0:c r="E667" s="245"/>
      <ns0:c r="F667" s="245"/>
      <ns0:c r="G667" s="245"/>
      <ns0:c r="H667" s="245"/>
      <ns0:c r="I667" s="245"/>
      <ns0:c r="J667" s="245"/>
      <ns0:c r="K667" s="245"/>
      <ns0:c r="L667" s="245"/>
      <ns0:c r="M667" s="245"/>
      <ns0:c r="N667" s="245"/>
      <ns0:c r="O667" s="245"/>
      <ns0:c r="P667" s="245"/>
      <ns0:c r="Q667" s="245"/>
      <ns0:c r="R667" s="245"/>
      <ns0:c r="S667" s="245"/>
      <ns0:c r="T667" s="245"/>
      <ns0:c r="U667" s="245"/>
      <ns0:c r="V667" s="245"/>
      <ns0:c r="W667" s="245"/>
      <ns0:c r="X667" s="245"/>
      <ns0:c r="Y667" s="245"/>
      <ns0:c r="Z667" s="245"/>
    </ns0:row>
    <ns0:row r="668">
      <ns0:c r="A668" s="245"/>
      <ns0:c r="B668" s="245"/>
      <ns0:c r="C668" s="245"/>
      <ns0:c r="D668" s="245"/>
      <ns0:c r="E668" s="245"/>
      <ns0:c r="F668" s="245"/>
      <ns0:c r="G668" s="245"/>
      <ns0:c r="H668" s="245"/>
      <ns0:c r="I668" s="245"/>
      <ns0:c r="J668" s="245"/>
      <ns0:c r="K668" s="245"/>
      <ns0:c r="L668" s="245"/>
      <ns0:c r="M668" s="245"/>
      <ns0:c r="N668" s="245"/>
      <ns0:c r="O668" s="245"/>
      <ns0:c r="P668" s="245"/>
      <ns0:c r="Q668" s="245"/>
      <ns0:c r="R668" s="245"/>
      <ns0:c r="S668" s="245"/>
      <ns0:c r="T668" s="245"/>
      <ns0:c r="U668" s="245"/>
      <ns0:c r="V668" s="245"/>
      <ns0:c r="W668" s="245"/>
      <ns0:c r="X668" s="245"/>
      <ns0:c r="Y668" s="245"/>
      <ns0:c r="Z668" s="245"/>
    </ns0:row>
    <ns0:row r="669">
      <ns0:c r="A669" s="245"/>
      <ns0:c r="B669" s="245"/>
      <ns0:c r="C669" s="245"/>
      <ns0:c r="D669" s="245"/>
      <ns0:c r="E669" s="245"/>
      <ns0:c r="F669" s="245"/>
      <ns0:c r="G669" s="245"/>
      <ns0:c r="H669" s="245"/>
      <ns0:c r="I669" s="245"/>
      <ns0:c r="J669" s="245"/>
      <ns0:c r="K669" s="245"/>
      <ns0:c r="L669" s="245"/>
      <ns0:c r="M669" s="245"/>
      <ns0:c r="N669" s="245"/>
      <ns0:c r="O669" s="245"/>
      <ns0:c r="P669" s="245"/>
      <ns0:c r="Q669" s="245"/>
      <ns0:c r="R669" s="245"/>
      <ns0:c r="S669" s="245"/>
      <ns0:c r="T669" s="245"/>
      <ns0:c r="U669" s="245"/>
      <ns0:c r="V669" s="245"/>
      <ns0:c r="W669" s="245"/>
      <ns0:c r="X669" s="245"/>
      <ns0:c r="Y669" s="245"/>
      <ns0:c r="Z669" s="245"/>
    </ns0:row>
    <ns0:row r="670">
      <ns0:c r="A670" s="245"/>
      <ns0:c r="B670" s="245"/>
      <ns0:c r="C670" s="245"/>
      <ns0:c r="D670" s="245"/>
      <ns0:c r="E670" s="245"/>
      <ns0:c r="F670" s="245"/>
      <ns0:c r="G670" s="245"/>
      <ns0:c r="H670" s="245"/>
      <ns0:c r="I670" s="245"/>
      <ns0:c r="J670" s="245"/>
      <ns0:c r="K670" s="245"/>
      <ns0:c r="L670" s="245"/>
      <ns0:c r="M670" s="245"/>
      <ns0:c r="N670" s="245"/>
      <ns0:c r="O670" s="245"/>
      <ns0:c r="P670" s="245"/>
      <ns0:c r="Q670" s="245"/>
      <ns0:c r="R670" s="245"/>
      <ns0:c r="S670" s="245"/>
      <ns0:c r="T670" s="245"/>
      <ns0:c r="U670" s="245"/>
      <ns0:c r="V670" s="245"/>
      <ns0:c r="W670" s="245"/>
      <ns0:c r="X670" s="245"/>
      <ns0:c r="Y670" s="245"/>
      <ns0:c r="Z670" s="245"/>
    </ns0:row>
    <ns0:row r="671">
      <ns0:c r="A671" s="245"/>
      <ns0:c r="B671" s="245"/>
      <ns0:c r="C671" s="245"/>
      <ns0:c r="D671" s="245"/>
      <ns0:c r="E671" s="245"/>
      <ns0:c r="F671" s="245"/>
      <ns0:c r="G671" s="245"/>
      <ns0:c r="H671" s="245"/>
      <ns0:c r="I671" s="245"/>
      <ns0:c r="J671" s="245"/>
      <ns0:c r="K671" s="245"/>
      <ns0:c r="L671" s="245"/>
      <ns0:c r="M671" s="245"/>
      <ns0:c r="N671" s="245"/>
      <ns0:c r="O671" s="245"/>
      <ns0:c r="P671" s="245"/>
      <ns0:c r="Q671" s="245"/>
      <ns0:c r="R671" s="245"/>
      <ns0:c r="S671" s="245"/>
      <ns0:c r="T671" s="245"/>
      <ns0:c r="U671" s="245"/>
      <ns0:c r="V671" s="245"/>
      <ns0:c r="W671" s="245"/>
      <ns0:c r="X671" s="245"/>
      <ns0:c r="Y671" s="245"/>
      <ns0:c r="Z671" s="245"/>
    </ns0:row>
    <ns0:row r="672">
      <ns0:c r="A672" s="245"/>
      <ns0:c r="B672" s="245"/>
      <ns0:c r="C672" s="245"/>
      <ns0:c r="D672" s="245"/>
      <ns0:c r="E672" s="245"/>
      <ns0:c r="F672" s="245"/>
      <ns0:c r="G672" s="245"/>
      <ns0:c r="H672" s="245"/>
      <ns0:c r="I672" s="245"/>
      <ns0:c r="J672" s="245"/>
      <ns0:c r="K672" s="245"/>
      <ns0:c r="L672" s="245"/>
      <ns0:c r="M672" s="245"/>
      <ns0:c r="N672" s="245"/>
      <ns0:c r="O672" s="245"/>
      <ns0:c r="P672" s="245"/>
      <ns0:c r="Q672" s="245"/>
      <ns0:c r="R672" s="245"/>
      <ns0:c r="S672" s="245"/>
      <ns0:c r="T672" s="245"/>
      <ns0:c r="U672" s="245"/>
      <ns0:c r="V672" s="245"/>
      <ns0:c r="W672" s="245"/>
      <ns0:c r="X672" s="245"/>
      <ns0:c r="Y672" s="245"/>
      <ns0:c r="Z672" s="245"/>
    </ns0:row>
    <ns0:row r="673">
      <ns0:c r="A673" s="245"/>
      <ns0:c r="B673" s="245"/>
      <ns0:c r="C673" s="245"/>
      <ns0:c r="D673" s="245"/>
      <ns0:c r="E673" s="245"/>
      <ns0:c r="F673" s="245"/>
      <ns0:c r="G673" s="245"/>
      <ns0:c r="H673" s="245"/>
      <ns0:c r="I673" s="245"/>
      <ns0:c r="J673" s="245"/>
      <ns0:c r="K673" s="245"/>
      <ns0:c r="L673" s="245"/>
      <ns0:c r="M673" s="245"/>
      <ns0:c r="N673" s="245"/>
      <ns0:c r="O673" s="245"/>
      <ns0:c r="P673" s="245"/>
      <ns0:c r="Q673" s="245"/>
      <ns0:c r="R673" s="245"/>
      <ns0:c r="S673" s="245"/>
      <ns0:c r="T673" s="245"/>
      <ns0:c r="U673" s="245"/>
      <ns0:c r="V673" s="245"/>
      <ns0:c r="W673" s="245"/>
      <ns0:c r="X673" s="245"/>
      <ns0:c r="Y673" s="245"/>
      <ns0:c r="Z673" s="245"/>
    </ns0:row>
    <ns0:row r="674">
      <ns0:c r="A674" s="245"/>
      <ns0:c r="B674" s="245"/>
      <ns0:c r="C674" s="245"/>
      <ns0:c r="D674" s="245"/>
      <ns0:c r="E674" s="245"/>
      <ns0:c r="F674" s="245"/>
      <ns0:c r="G674" s="245"/>
      <ns0:c r="H674" s="245"/>
      <ns0:c r="I674" s="245"/>
      <ns0:c r="J674" s="245"/>
      <ns0:c r="K674" s="245"/>
      <ns0:c r="L674" s="245"/>
      <ns0:c r="M674" s="245"/>
      <ns0:c r="N674" s="245"/>
      <ns0:c r="O674" s="245"/>
      <ns0:c r="P674" s="245"/>
      <ns0:c r="Q674" s="245"/>
      <ns0:c r="R674" s="245"/>
      <ns0:c r="S674" s="245"/>
      <ns0:c r="T674" s="245"/>
      <ns0:c r="U674" s="245"/>
      <ns0:c r="V674" s="245"/>
      <ns0:c r="W674" s="245"/>
      <ns0:c r="X674" s="245"/>
      <ns0:c r="Y674" s="245"/>
      <ns0:c r="Z674" s="245"/>
    </ns0:row>
    <ns0:row r="675">
      <ns0:c r="A675" s="245"/>
      <ns0:c r="B675" s="245"/>
      <ns0:c r="C675" s="245"/>
      <ns0:c r="D675" s="245"/>
      <ns0:c r="E675" s="245"/>
      <ns0:c r="F675" s="245"/>
      <ns0:c r="G675" s="245"/>
      <ns0:c r="H675" s="245"/>
      <ns0:c r="I675" s="245"/>
      <ns0:c r="J675" s="245"/>
      <ns0:c r="K675" s="245"/>
      <ns0:c r="L675" s="245"/>
      <ns0:c r="M675" s="245"/>
      <ns0:c r="N675" s="245"/>
      <ns0:c r="O675" s="245"/>
      <ns0:c r="P675" s="245"/>
      <ns0:c r="Q675" s="245"/>
      <ns0:c r="R675" s="245"/>
      <ns0:c r="S675" s="245"/>
      <ns0:c r="T675" s="245"/>
      <ns0:c r="U675" s="245"/>
      <ns0:c r="V675" s="245"/>
      <ns0:c r="W675" s="245"/>
      <ns0:c r="X675" s="245"/>
      <ns0:c r="Y675" s="245"/>
      <ns0:c r="Z675" s="245"/>
    </ns0:row>
    <ns0:row r="676">
      <ns0:c r="A676" s="245"/>
      <ns0:c r="B676" s="245"/>
      <ns0:c r="C676" s="245"/>
      <ns0:c r="D676" s="245"/>
      <ns0:c r="E676" s="245"/>
      <ns0:c r="F676" s="245"/>
      <ns0:c r="G676" s="245"/>
      <ns0:c r="H676" s="245"/>
      <ns0:c r="I676" s="245"/>
      <ns0:c r="J676" s="245"/>
      <ns0:c r="K676" s="245"/>
      <ns0:c r="L676" s="245"/>
      <ns0:c r="M676" s="245"/>
      <ns0:c r="N676" s="245"/>
      <ns0:c r="O676" s="245"/>
      <ns0:c r="P676" s="245"/>
      <ns0:c r="Q676" s="245"/>
      <ns0:c r="R676" s="245"/>
      <ns0:c r="S676" s="245"/>
      <ns0:c r="T676" s="245"/>
      <ns0:c r="U676" s="245"/>
      <ns0:c r="V676" s="245"/>
      <ns0:c r="W676" s="245"/>
      <ns0:c r="X676" s="245"/>
      <ns0:c r="Y676" s="245"/>
      <ns0:c r="Z676" s="245"/>
    </ns0:row>
    <ns0:row r="677">
      <ns0:c r="A677" s="245"/>
      <ns0:c r="B677" s="245"/>
      <ns0:c r="C677" s="245"/>
      <ns0:c r="D677" s="245"/>
      <ns0:c r="E677" s="245"/>
      <ns0:c r="F677" s="245"/>
      <ns0:c r="G677" s="245"/>
      <ns0:c r="H677" s="245"/>
      <ns0:c r="I677" s="245"/>
      <ns0:c r="J677" s="245"/>
      <ns0:c r="K677" s="245"/>
      <ns0:c r="L677" s="245"/>
      <ns0:c r="M677" s="245"/>
      <ns0:c r="N677" s="245"/>
      <ns0:c r="O677" s="245"/>
      <ns0:c r="P677" s="245"/>
      <ns0:c r="Q677" s="245"/>
      <ns0:c r="R677" s="245"/>
      <ns0:c r="S677" s="245"/>
      <ns0:c r="T677" s="245"/>
      <ns0:c r="U677" s="245"/>
      <ns0:c r="V677" s="245"/>
      <ns0:c r="W677" s="245"/>
      <ns0:c r="X677" s="245"/>
      <ns0:c r="Y677" s="245"/>
      <ns0:c r="Z677" s="245"/>
    </ns0:row>
    <ns0:row r="678">
      <ns0:c r="A678" s="245"/>
      <ns0:c r="B678" s="245"/>
      <ns0:c r="C678" s="245"/>
      <ns0:c r="D678" s="245"/>
      <ns0:c r="E678" s="245"/>
      <ns0:c r="F678" s="245"/>
      <ns0:c r="G678" s="245"/>
      <ns0:c r="H678" s="245"/>
      <ns0:c r="I678" s="245"/>
      <ns0:c r="J678" s="245"/>
      <ns0:c r="K678" s="245"/>
      <ns0:c r="L678" s="245"/>
      <ns0:c r="M678" s="245"/>
      <ns0:c r="N678" s="245"/>
      <ns0:c r="O678" s="245"/>
      <ns0:c r="P678" s="245"/>
      <ns0:c r="Q678" s="245"/>
      <ns0:c r="R678" s="245"/>
      <ns0:c r="S678" s="245"/>
      <ns0:c r="T678" s="245"/>
      <ns0:c r="U678" s="245"/>
      <ns0:c r="V678" s="245"/>
      <ns0:c r="W678" s="245"/>
      <ns0:c r="X678" s="245"/>
      <ns0:c r="Y678" s="245"/>
      <ns0:c r="Z678" s="245"/>
    </ns0:row>
    <ns0:row r="679">
      <ns0:c r="A679" s="245"/>
      <ns0:c r="B679" s="245"/>
      <ns0:c r="C679" s="245"/>
      <ns0:c r="D679" s="245"/>
      <ns0:c r="E679" s="245"/>
      <ns0:c r="F679" s="245"/>
      <ns0:c r="G679" s="245"/>
      <ns0:c r="H679" s="245"/>
      <ns0:c r="I679" s="245"/>
      <ns0:c r="J679" s="245"/>
      <ns0:c r="K679" s="245"/>
      <ns0:c r="L679" s="245"/>
      <ns0:c r="M679" s="245"/>
      <ns0:c r="N679" s="245"/>
      <ns0:c r="O679" s="245"/>
      <ns0:c r="P679" s="245"/>
      <ns0:c r="Q679" s="245"/>
      <ns0:c r="R679" s="245"/>
      <ns0:c r="S679" s="245"/>
      <ns0:c r="T679" s="245"/>
      <ns0:c r="U679" s="245"/>
      <ns0:c r="V679" s="245"/>
      <ns0:c r="W679" s="245"/>
      <ns0:c r="X679" s="245"/>
      <ns0:c r="Y679" s="245"/>
      <ns0:c r="Z679" s="245"/>
    </ns0:row>
    <ns0:row r="680">
      <ns0:c r="A680" s="245"/>
      <ns0:c r="B680" s="245"/>
      <ns0:c r="C680" s="245"/>
      <ns0:c r="D680" s="245"/>
      <ns0:c r="E680" s="245"/>
      <ns0:c r="F680" s="245"/>
      <ns0:c r="G680" s="245"/>
      <ns0:c r="H680" s="245"/>
      <ns0:c r="I680" s="245"/>
      <ns0:c r="J680" s="245"/>
      <ns0:c r="K680" s="245"/>
      <ns0:c r="L680" s="245"/>
      <ns0:c r="M680" s="245"/>
      <ns0:c r="N680" s="245"/>
      <ns0:c r="O680" s="245"/>
      <ns0:c r="P680" s="245"/>
      <ns0:c r="Q680" s="245"/>
      <ns0:c r="R680" s="245"/>
      <ns0:c r="S680" s="245"/>
      <ns0:c r="T680" s="245"/>
      <ns0:c r="U680" s="245"/>
      <ns0:c r="V680" s="245"/>
      <ns0:c r="W680" s="245"/>
      <ns0:c r="X680" s="245"/>
      <ns0:c r="Y680" s="245"/>
      <ns0:c r="Z680" s="245"/>
    </ns0:row>
    <ns0:row r="681">
      <ns0:c r="A681" s="245"/>
      <ns0:c r="B681" s="245"/>
      <ns0:c r="C681" s="245"/>
      <ns0:c r="D681" s="245"/>
      <ns0:c r="E681" s="245"/>
      <ns0:c r="F681" s="245"/>
      <ns0:c r="G681" s="245"/>
      <ns0:c r="H681" s="245"/>
      <ns0:c r="I681" s="245"/>
      <ns0:c r="J681" s="245"/>
      <ns0:c r="K681" s="245"/>
      <ns0:c r="L681" s="245"/>
      <ns0:c r="M681" s="245"/>
      <ns0:c r="N681" s="245"/>
      <ns0:c r="O681" s="245"/>
      <ns0:c r="P681" s="245"/>
      <ns0:c r="Q681" s="245"/>
      <ns0:c r="R681" s="245"/>
      <ns0:c r="S681" s="245"/>
      <ns0:c r="T681" s="245"/>
      <ns0:c r="U681" s="245"/>
      <ns0:c r="V681" s="245"/>
      <ns0:c r="W681" s="245"/>
      <ns0:c r="X681" s="245"/>
      <ns0:c r="Y681" s="245"/>
      <ns0:c r="Z681" s="245"/>
    </ns0:row>
    <ns0:row r="682">
      <ns0:c r="A682" s="245"/>
      <ns0:c r="B682" s="245"/>
      <ns0:c r="C682" s="245"/>
      <ns0:c r="D682" s="245"/>
      <ns0:c r="E682" s="245"/>
      <ns0:c r="F682" s="245"/>
      <ns0:c r="G682" s="245"/>
      <ns0:c r="H682" s="245"/>
      <ns0:c r="I682" s="245"/>
      <ns0:c r="J682" s="245"/>
      <ns0:c r="K682" s="245"/>
      <ns0:c r="L682" s="245"/>
      <ns0:c r="M682" s="245"/>
      <ns0:c r="N682" s="245"/>
      <ns0:c r="O682" s="245"/>
      <ns0:c r="P682" s="245"/>
      <ns0:c r="Q682" s="245"/>
      <ns0:c r="R682" s="245"/>
      <ns0:c r="S682" s="245"/>
      <ns0:c r="T682" s="245"/>
      <ns0:c r="U682" s="245"/>
      <ns0:c r="V682" s="245"/>
      <ns0:c r="W682" s="245"/>
      <ns0:c r="X682" s="245"/>
      <ns0:c r="Y682" s="245"/>
      <ns0:c r="Z682" s="245"/>
    </ns0:row>
    <ns0:row r="683">
      <ns0:c r="A683" s="245"/>
      <ns0:c r="B683" s="245"/>
      <ns0:c r="C683" s="245"/>
      <ns0:c r="D683" s="245"/>
      <ns0:c r="E683" s="245"/>
      <ns0:c r="F683" s="245"/>
      <ns0:c r="G683" s="245"/>
      <ns0:c r="H683" s="245"/>
      <ns0:c r="I683" s="245"/>
      <ns0:c r="J683" s="245"/>
      <ns0:c r="K683" s="245"/>
      <ns0:c r="L683" s="245"/>
      <ns0:c r="M683" s="245"/>
      <ns0:c r="N683" s="245"/>
      <ns0:c r="O683" s="245"/>
      <ns0:c r="P683" s="245"/>
      <ns0:c r="Q683" s="245"/>
      <ns0:c r="R683" s="245"/>
      <ns0:c r="S683" s="245"/>
      <ns0:c r="T683" s="245"/>
      <ns0:c r="U683" s="245"/>
      <ns0:c r="V683" s="245"/>
      <ns0:c r="W683" s="245"/>
      <ns0:c r="X683" s="245"/>
      <ns0:c r="Y683" s="245"/>
      <ns0:c r="Z683" s="245"/>
    </ns0:row>
    <ns0:row r="684">
      <ns0:c r="A684" s="245"/>
      <ns0:c r="B684" s="245"/>
      <ns0:c r="C684" s="245"/>
      <ns0:c r="D684" s="245"/>
      <ns0:c r="E684" s="245"/>
      <ns0:c r="F684" s="245"/>
      <ns0:c r="G684" s="245"/>
      <ns0:c r="H684" s="245"/>
      <ns0:c r="I684" s="245"/>
      <ns0:c r="J684" s="245"/>
      <ns0:c r="K684" s="245"/>
      <ns0:c r="L684" s="245"/>
      <ns0:c r="M684" s="245"/>
      <ns0:c r="N684" s="245"/>
      <ns0:c r="O684" s="245"/>
      <ns0:c r="P684" s="245"/>
      <ns0:c r="Q684" s="245"/>
      <ns0:c r="R684" s="245"/>
      <ns0:c r="S684" s="245"/>
      <ns0:c r="T684" s="245"/>
      <ns0:c r="U684" s="245"/>
      <ns0:c r="V684" s="245"/>
      <ns0:c r="W684" s="245"/>
      <ns0:c r="X684" s="245"/>
      <ns0:c r="Y684" s="245"/>
      <ns0:c r="Z684" s="245"/>
    </ns0:row>
    <ns0:row r="685">
      <ns0:c r="A685" s="245"/>
      <ns0:c r="B685" s="245"/>
      <ns0:c r="C685" s="245"/>
      <ns0:c r="D685" s="245"/>
      <ns0:c r="E685" s="245"/>
      <ns0:c r="F685" s="245"/>
      <ns0:c r="G685" s="245"/>
      <ns0:c r="H685" s="245"/>
      <ns0:c r="I685" s="245"/>
      <ns0:c r="J685" s="245"/>
      <ns0:c r="K685" s="245"/>
      <ns0:c r="L685" s="245"/>
      <ns0:c r="M685" s="245"/>
      <ns0:c r="N685" s="245"/>
      <ns0:c r="O685" s="245"/>
      <ns0:c r="P685" s="245"/>
      <ns0:c r="Q685" s="245"/>
      <ns0:c r="R685" s="245"/>
      <ns0:c r="S685" s="245"/>
      <ns0:c r="T685" s="245"/>
      <ns0:c r="U685" s="245"/>
      <ns0:c r="V685" s="245"/>
      <ns0:c r="W685" s="245"/>
      <ns0:c r="X685" s="245"/>
      <ns0:c r="Y685" s="245"/>
      <ns0:c r="Z685" s="245"/>
    </ns0:row>
    <ns0:row r="686">
      <ns0:c r="A686" s="245"/>
      <ns0:c r="B686" s="245"/>
      <ns0:c r="C686" s="245"/>
      <ns0:c r="D686" s="245"/>
      <ns0:c r="E686" s="245"/>
      <ns0:c r="F686" s="245"/>
      <ns0:c r="G686" s="245"/>
      <ns0:c r="H686" s="245"/>
      <ns0:c r="I686" s="245"/>
      <ns0:c r="J686" s="245"/>
      <ns0:c r="K686" s="245"/>
      <ns0:c r="L686" s="245"/>
      <ns0:c r="M686" s="245"/>
      <ns0:c r="N686" s="245"/>
      <ns0:c r="O686" s="245"/>
      <ns0:c r="P686" s="245"/>
      <ns0:c r="Q686" s="245"/>
      <ns0:c r="R686" s="245"/>
      <ns0:c r="S686" s="245"/>
      <ns0:c r="T686" s="245"/>
      <ns0:c r="U686" s="245"/>
      <ns0:c r="V686" s="245"/>
      <ns0:c r="W686" s="245"/>
      <ns0:c r="X686" s="245"/>
      <ns0:c r="Y686" s="245"/>
      <ns0:c r="Z686" s="245"/>
    </ns0:row>
    <ns0:row r="687">
      <ns0:c r="A687" s="245"/>
      <ns0:c r="B687" s="245"/>
      <ns0:c r="C687" s="245"/>
      <ns0:c r="D687" s="245"/>
      <ns0:c r="E687" s="245"/>
      <ns0:c r="F687" s="245"/>
      <ns0:c r="G687" s="245"/>
      <ns0:c r="H687" s="245"/>
      <ns0:c r="I687" s="245"/>
      <ns0:c r="J687" s="245"/>
      <ns0:c r="K687" s="245"/>
      <ns0:c r="L687" s="245"/>
      <ns0:c r="M687" s="245"/>
      <ns0:c r="N687" s="245"/>
      <ns0:c r="O687" s="245"/>
      <ns0:c r="P687" s="245"/>
      <ns0:c r="Q687" s="245"/>
      <ns0:c r="R687" s="245"/>
      <ns0:c r="S687" s="245"/>
      <ns0:c r="T687" s="245"/>
      <ns0:c r="U687" s="245"/>
      <ns0:c r="V687" s="245"/>
      <ns0:c r="W687" s="245"/>
      <ns0:c r="X687" s="245"/>
      <ns0:c r="Y687" s="245"/>
      <ns0:c r="Z687" s="245"/>
    </ns0:row>
    <ns0:row r="688">
      <ns0:c r="A688" s="245"/>
      <ns0:c r="B688" s="245"/>
      <ns0:c r="C688" s="245"/>
      <ns0:c r="D688" s="245"/>
      <ns0:c r="E688" s="245"/>
      <ns0:c r="F688" s="245"/>
      <ns0:c r="G688" s="245"/>
      <ns0:c r="H688" s="245"/>
      <ns0:c r="I688" s="245"/>
      <ns0:c r="J688" s="245"/>
      <ns0:c r="K688" s="245"/>
      <ns0:c r="L688" s="245"/>
      <ns0:c r="M688" s="245"/>
      <ns0:c r="N688" s="245"/>
      <ns0:c r="O688" s="245"/>
      <ns0:c r="P688" s="245"/>
      <ns0:c r="Q688" s="245"/>
      <ns0:c r="R688" s="245"/>
      <ns0:c r="S688" s="245"/>
      <ns0:c r="T688" s="245"/>
      <ns0:c r="U688" s="245"/>
      <ns0:c r="V688" s="245"/>
      <ns0:c r="W688" s="245"/>
      <ns0:c r="X688" s="245"/>
      <ns0:c r="Y688" s="245"/>
      <ns0:c r="Z688" s="245"/>
    </ns0:row>
    <ns0:row r="689">
      <ns0:c r="A689" s="245"/>
      <ns0:c r="B689" s="245"/>
      <ns0:c r="C689" s="245"/>
      <ns0:c r="D689" s="245"/>
      <ns0:c r="E689" s="245"/>
      <ns0:c r="F689" s="245"/>
      <ns0:c r="G689" s="245"/>
      <ns0:c r="H689" s="245"/>
      <ns0:c r="I689" s="245"/>
      <ns0:c r="J689" s="245"/>
      <ns0:c r="K689" s="245"/>
      <ns0:c r="L689" s="245"/>
      <ns0:c r="M689" s="245"/>
      <ns0:c r="N689" s="245"/>
      <ns0:c r="O689" s="245"/>
      <ns0:c r="P689" s="245"/>
      <ns0:c r="Q689" s="245"/>
      <ns0:c r="R689" s="245"/>
      <ns0:c r="S689" s="245"/>
      <ns0:c r="T689" s="245"/>
      <ns0:c r="U689" s="245"/>
      <ns0:c r="V689" s="245"/>
      <ns0:c r="W689" s="245"/>
      <ns0:c r="X689" s="245"/>
      <ns0:c r="Y689" s="245"/>
      <ns0:c r="Z689" s="245"/>
    </ns0:row>
    <ns0:row r="690">
      <ns0:c r="A690" s="245"/>
      <ns0:c r="B690" s="245"/>
      <ns0:c r="C690" s="245"/>
      <ns0:c r="D690" s="245"/>
      <ns0:c r="E690" s="245"/>
      <ns0:c r="F690" s="245"/>
      <ns0:c r="G690" s="245"/>
      <ns0:c r="H690" s="245"/>
      <ns0:c r="I690" s="245"/>
      <ns0:c r="J690" s="245"/>
      <ns0:c r="K690" s="245"/>
      <ns0:c r="L690" s="245"/>
      <ns0:c r="M690" s="245"/>
      <ns0:c r="N690" s="245"/>
      <ns0:c r="O690" s="245"/>
      <ns0:c r="P690" s="245"/>
      <ns0:c r="Q690" s="245"/>
      <ns0:c r="R690" s="245"/>
      <ns0:c r="S690" s="245"/>
      <ns0:c r="T690" s="245"/>
      <ns0:c r="U690" s="245"/>
      <ns0:c r="V690" s="245"/>
      <ns0:c r="W690" s="245"/>
      <ns0:c r="X690" s="245"/>
      <ns0:c r="Y690" s="245"/>
      <ns0:c r="Z690" s="245"/>
    </ns0:row>
    <ns0:row r="691">
      <ns0:c r="A691" s="245"/>
      <ns0:c r="B691" s="245"/>
      <ns0:c r="C691" s="245"/>
      <ns0:c r="D691" s="245"/>
      <ns0:c r="E691" s="245"/>
      <ns0:c r="F691" s="245"/>
      <ns0:c r="G691" s="245"/>
      <ns0:c r="H691" s="245"/>
      <ns0:c r="I691" s="245"/>
      <ns0:c r="J691" s="245"/>
      <ns0:c r="K691" s="245"/>
      <ns0:c r="L691" s="245"/>
      <ns0:c r="M691" s="245"/>
      <ns0:c r="N691" s="245"/>
      <ns0:c r="O691" s="245"/>
      <ns0:c r="P691" s="245"/>
      <ns0:c r="Q691" s="245"/>
      <ns0:c r="R691" s="245"/>
      <ns0:c r="S691" s="245"/>
      <ns0:c r="T691" s="245"/>
      <ns0:c r="U691" s="245"/>
      <ns0:c r="V691" s="245"/>
      <ns0:c r="W691" s="245"/>
      <ns0:c r="X691" s="245"/>
      <ns0:c r="Y691" s="245"/>
      <ns0:c r="Z691" s="245"/>
    </ns0:row>
    <ns0:row r="692">
      <ns0:c r="A692" s="245"/>
      <ns0:c r="B692" s="245"/>
      <ns0:c r="C692" s="245"/>
      <ns0:c r="D692" s="245"/>
      <ns0:c r="E692" s="245"/>
      <ns0:c r="F692" s="245"/>
      <ns0:c r="G692" s="245"/>
      <ns0:c r="H692" s="245"/>
      <ns0:c r="I692" s="245"/>
      <ns0:c r="J692" s="245"/>
      <ns0:c r="K692" s="245"/>
      <ns0:c r="L692" s="245"/>
      <ns0:c r="M692" s="245"/>
      <ns0:c r="N692" s="245"/>
      <ns0:c r="O692" s="245"/>
      <ns0:c r="P692" s="245"/>
      <ns0:c r="Q692" s="245"/>
      <ns0:c r="R692" s="245"/>
      <ns0:c r="S692" s="245"/>
      <ns0:c r="T692" s="245"/>
      <ns0:c r="U692" s="245"/>
      <ns0:c r="V692" s="245"/>
      <ns0:c r="W692" s="245"/>
      <ns0:c r="X692" s="245"/>
      <ns0:c r="Y692" s="245"/>
      <ns0:c r="Z692" s="245"/>
    </ns0:row>
    <ns0:row r="693">
      <ns0:c r="A693" s="245"/>
      <ns0:c r="B693" s="245"/>
      <ns0:c r="C693" s="245"/>
      <ns0:c r="D693" s="245"/>
      <ns0:c r="E693" s="245"/>
      <ns0:c r="F693" s="245"/>
      <ns0:c r="G693" s="245"/>
      <ns0:c r="H693" s="245"/>
      <ns0:c r="I693" s="245"/>
      <ns0:c r="J693" s="245"/>
      <ns0:c r="K693" s="245"/>
      <ns0:c r="L693" s="245"/>
      <ns0:c r="M693" s="245"/>
      <ns0:c r="N693" s="245"/>
      <ns0:c r="O693" s="245"/>
      <ns0:c r="P693" s="245"/>
      <ns0:c r="Q693" s="245"/>
      <ns0:c r="R693" s="245"/>
      <ns0:c r="S693" s="245"/>
      <ns0:c r="T693" s="245"/>
      <ns0:c r="U693" s="245"/>
      <ns0:c r="V693" s="245"/>
      <ns0:c r="W693" s="245"/>
      <ns0:c r="X693" s="245"/>
      <ns0:c r="Y693" s="245"/>
      <ns0:c r="Z693" s="245"/>
    </ns0:row>
    <ns0:row r="694">
      <ns0:c r="A694" s="245"/>
      <ns0:c r="B694" s="245"/>
      <ns0:c r="C694" s="245"/>
      <ns0:c r="D694" s="245"/>
      <ns0:c r="E694" s="245"/>
      <ns0:c r="F694" s="245"/>
      <ns0:c r="G694" s="245"/>
      <ns0:c r="H694" s="245"/>
      <ns0:c r="I694" s="245"/>
      <ns0:c r="J694" s="245"/>
      <ns0:c r="K694" s="245"/>
      <ns0:c r="L694" s="245"/>
      <ns0:c r="M694" s="245"/>
      <ns0:c r="N694" s="245"/>
      <ns0:c r="O694" s="245"/>
      <ns0:c r="P694" s="245"/>
      <ns0:c r="Q694" s="245"/>
      <ns0:c r="R694" s="245"/>
      <ns0:c r="S694" s="245"/>
      <ns0:c r="T694" s="245"/>
      <ns0:c r="U694" s="245"/>
      <ns0:c r="V694" s="245"/>
      <ns0:c r="W694" s="245"/>
      <ns0:c r="X694" s="245"/>
      <ns0:c r="Y694" s="245"/>
      <ns0:c r="Z694" s="245"/>
    </ns0:row>
    <ns0:row r="695">
      <ns0:c r="A695" s="245"/>
      <ns0:c r="B695" s="245"/>
      <ns0:c r="C695" s="245"/>
      <ns0:c r="D695" s="245"/>
      <ns0:c r="E695" s="245"/>
      <ns0:c r="F695" s="245"/>
      <ns0:c r="G695" s="245"/>
      <ns0:c r="H695" s="245"/>
      <ns0:c r="I695" s="245"/>
      <ns0:c r="J695" s="245"/>
      <ns0:c r="K695" s="245"/>
      <ns0:c r="L695" s="245"/>
      <ns0:c r="M695" s="245"/>
      <ns0:c r="N695" s="245"/>
      <ns0:c r="O695" s="245"/>
      <ns0:c r="P695" s="245"/>
      <ns0:c r="Q695" s="245"/>
      <ns0:c r="R695" s="245"/>
      <ns0:c r="S695" s="245"/>
      <ns0:c r="T695" s="245"/>
      <ns0:c r="U695" s="245"/>
      <ns0:c r="V695" s="245"/>
      <ns0:c r="W695" s="245"/>
      <ns0:c r="X695" s="245"/>
      <ns0:c r="Y695" s="245"/>
      <ns0:c r="Z695" s="245"/>
    </ns0:row>
    <ns0:row r="696">
      <ns0:c r="A696" s="245"/>
      <ns0:c r="B696" s="245"/>
      <ns0:c r="C696" s="245"/>
      <ns0:c r="D696" s="245"/>
      <ns0:c r="E696" s="245"/>
      <ns0:c r="F696" s="245"/>
      <ns0:c r="G696" s="245"/>
      <ns0:c r="H696" s="245"/>
      <ns0:c r="I696" s="245"/>
      <ns0:c r="J696" s="245"/>
      <ns0:c r="K696" s="245"/>
      <ns0:c r="L696" s="245"/>
      <ns0:c r="M696" s="245"/>
      <ns0:c r="N696" s="245"/>
      <ns0:c r="O696" s="245"/>
      <ns0:c r="P696" s="245"/>
      <ns0:c r="Q696" s="245"/>
      <ns0:c r="R696" s="245"/>
      <ns0:c r="S696" s="245"/>
      <ns0:c r="T696" s="245"/>
      <ns0:c r="U696" s="245"/>
      <ns0:c r="V696" s="245"/>
      <ns0:c r="W696" s="245"/>
      <ns0:c r="X696" s="245"/>
      <ns0:c r="Y696" s="245"/>
      <ns0:c r="Z696" s="245"/>
    </ns0:row>
    <ns0:row r="697">
      <ns0:c r="A697" s="245"/>
      <ns0:c r="B697" s="245"/>
      <ns0:c r="C697" s="245"/>
      <ns0:c r="D697" s="245"/>
      <ns0:c r="E697" s="245"/>
      <ns0:c r="F697" s="245"/>
      <ns0:c r="G697" s="245"/>
      <ns0:c r="H697" s="245"/>
      <ns0:c r="I697" s="245"/>
      <ns0:c r="J697" s="245"/>
      <ns0:c r="K697" s="245"/>
      <ns0:c r="L697" s="245"/>
      <ns0:c r="M697" s="245"/>
      <ns0:c r="N697" s="245"/>
      <ns0:c r="O697" s="245"/>
      <ns0:c r="P697" s="245"/>
      <ns0:c r="Q697" s="245"/>
      <ns0:c r="R697" s="245"/>
      <ns0:c r="S697" s="245"/>
      <ns0:c r="T697" s="245"/>
      <ns0:c r="U697" s="245"/>
      <ns0:c r="V697" s="245"/>
      <ns0:c r="W697" s="245"/>
      <ns0:c r="X697" s="245"/>
      <ns0:c r="Y697" s="245"/>
      <ns0:c r="Z697" s="245"/>
    </ns0:row>
    <ns0:row r="698">
      <ns0:c r="A698" s="245"/>
      <ns0:c r="B698" s="245"/>
      <ns0:c r="C698" s="245"/>
      <ns0:c r="D698" s="245"/>
      <ns0:c r="E698" s="245"/>
      <ns0:c r="F698" s="245"/>
      <ns0:c r="G698" s="245"/>
      <ns0:c r="H698" s="245"/>
      <ns0:c r="I698" s="245"/>
      <ns0:c r="J698" s="245"/>
      <ns0:c r="K698" s="245"/>
      <ns0:c r="L698" s="245"/>
      <ns0:c r="M698" s="245"/>
      <ns0:c r="N698" s="245"/>
      <ns0:c r="O698" s="245"/>
      <ns0:c r="P698" s="245"/>
      <ns0:c r="Q698" s="245"/>
      <ns0:c r="R698" s="245"/>
      <ns0:c r="S698" s="245"/>
      <ns0:c r="T698" s="245"/>
      <ns0:c r="U698" s="245"/>
      <ns0:c r="V698" s="245"/>
      <ns0:c r="W698" s="245"/>
      <ns0:c r="X698" s="245"/>
      <ns0:c r="Y698" s="245"/>
      <ns0:c r="Z698" s="245"/>
    </ns0:row>
    <ns0:row r="699">
      <ns0:c r="A699" s="245"/>
      <ns0:c r="B699" s="245"/>
      <ns0:c r="C699" s="245"/>
      <ns0:c r="D699" s="245"/>
      <ns0:c r="E699" s="245"/>
      <ns0:c r="F699" s="245"/>
      <ns0:c r="G699" s="245"/>
      <ns0:c r="H699" s="245"/>
      <ns0:c r="I699" s="245"/>
      <ns0:c r="J699" s="245"/>
      <ns0:c r="K699" s="245"/>
      <ns0:c r="L699" s="245"/>
      <ns0:c r="M699" s="245"/>
      <ns0:c r="N699" s="245"/>
      <ns0:c r="O699" s="245"/>
      <ns0:c r="P699" s="245"/>
      <ns0:c r="Q699" s="245"/>
      <ns0:c r="R699" s="245"/>
      <ns0:c r="S699" s="245"/>
      <ns0:c r="T699" s="245"/>
      <ns0:c r="U699" s="245"/>
      <ns0:c r="V699" s="245"/>
      <ns0:c r="W699" s="245"/>
      <ns0:c r="X699" s="245"/>
      <ns0:c r="Y699" s="245"/>
      <ns0:c r="Z699" s="245"/>
    </ns0:row>
    <ns0:row r="700">
      <ns0:c r="A700" s="245"/>
      <ns0:c r="B700" s="245"/>
      <ns0:c r="C700" s="245"/>
      <ns0:c r="D700" s="245"/>
      <ns0:c r="E700" s="245"/>
      <ns0:c r="F700" s="245"/>
      <ns0:c r="G700" s="245"/>
      <ns0:c r="H700" s="245"/>
      <ns0:c r="I700" s="245"/>
      <ns0:c r="J700" s="245"/>
      <ns0:c r="K700" s="245"/>
      <ns0:c r="L700" s="245"/>
      <ns0:c r="M700" s="245"/>
      <ns0:c r="N700" s="245"/>
      <ns0:c r="O700" s="245"/>
      <ns0:c r="P700" s="245"/>
      <ns0:c r="Q700" s="245"/>
      <ns0:c r="R700" s="245"/>
      <ns0:c r="S700" s="245"/>
      <ns0:c r="T700" s="245"/>
      <ns0:c r="U700" s="245"/>
      <ns0:c r="V700" s="245"/>
      <ns0:c r="W700" s="245"/>
      <ns0:c r="X700" s="245"/>
      <ns0:c r="Y700" s="245"/>
      <ns0:c r="Z700" s="245"/>
    </ns0:row>
    <ns0:row r="701">
      <ns0:c r="A701" s="245"/>
      <ns0:c r="B701" s="245"/>
      <ns0:c r="C701" s="245"/>
      <ns0:c r="D701" s="245"/>
      <ns0:c r="E701" s="245"/>
      <ns0:c r="F701" s="245"/>
      <ns0:c r="G701" s="245"/>
      <ns0:c r="H701" s="245"/>
      <ns0:c r="I701" s="245"/>
      <ns0:c r="J701" s="245"/>
      <ns0:c r="K701" s="245"/>
      <ns0:c r="L701" s="245"/>
      <ns0:c r="M701" s="245"/>
      <ns0:c r="N701" s="245"/>
      <ns0:c r="O701" s="245"/>
      <ns0:c r="P701" s="245"/>
      <ns0:c r="Q701" s="245"/>
      <ns0:c r="R701" s="245"/>
      <ns0:c r="S701" s="245"/>
      <ns0:c r="T701" s="245"/>
      <ns0:c r="U701" s="245"/>
      <ns0:c r="V701" s="245"/>
      <ns0:c r="W701" s="245"/>
      <ns0:c r="X701" s="245"/>
      <ns0:c r="Y701" s="245"/>
      <ns0:c r="Z701" s="245"/>
    </ns0:row>
    <ns0:row r="702">
      <ns0:c r="A702" s="245"/>
      <ns0:c r="B702" s="245"/>
      <ns0:c r="C702" s="245"/>
      <ns0:c r="D702" s="245"/>
      <ns0:c r="E702" s="245"/>
      <ns0:c r="F702" s="245"/>
      <ns0:c r="G702" s="245"/>
      <ns0:c r="H702" s="245"/>
      <ns0:c r="I702" s="245"/>
      <ns0:c r="J702" s="245"/>
      <ns0:c r="K702" s="245"/>
      <ns0:c r="L702" s="245"/>
      <ns0:c r="M702" s="245"/>
      <ns0:c r="N702" s="245"/>
      <ns0:c r="O702" s="245"/>
      <ns0:c r="P702" s="245"/>
      <ns0:c r="Q702" s="245"/>
      <ns0:c r="R702" s="245"/>
      <ns0:c r="S702" s="245"/>
      <ns0:c r="T702" s="245"/>
      <ns0:c r="U702" s="245"/>
      <ns0:c r="V702" s="245"/>
      <ns0:c r="W702" s="245"/>
      <ns0:c r="X702" s="245"/>
      <ns0:c r="Y702" s="245"/>
      <ns0:c r="Z702" s="245"/>
    </ns0:row>
    <ns0:row r="703">
      <ns0:c r="A703" s="245"/>
      <ns0:c r="B703" s="245"/>
      <ns0:c r="C703" s="245"/>
      <ns0:c r="D703" s="245"/>
      <ns0:c r="E703" s="245"/>
      <ns0:c r="F703" s="245"/>
      <ns0:c r="G703" s="245"/>
      <ns0:c r="H703" s="245"/>
      <ns0:c r="I703" s="245"/>
      <ns0:c r="J703" s="245"/>
      <ns0:c r="K703" s="245"/>
      <ns0:c r="L703" s="245"/>
      <ns0:c r="M703" s="245"/>
      <ns0:c r="N703" s="245"/>
      <ns0:c r="O703" s="245"/>
      <ns0:c r="P703" s="245"/>
      <ns0:c r="Q703" s="245"/>
      <ns0:c r="R703" s="245"/>
      <ns0:c r="S703" s="245"/>
      <ns0:c r="T703" s="245"/>
      <ns0:c r="U703" s="245"/>
      <ns0:c r="V703" s="245"/>
      <ns0:c r="W703" s="245"/>
      <ns0:c r="X703" s="245"/>
      <ns0:c r="Y703" s="245"/>
      <ns0:c r="Z703" s="245"/>
    </ns0:row>
    <ns0:row r="704">
      <ns0:c r="A704" s="245"/>
      <ns0:c r="B704" s="245"/>
      <ns0:c r="C704" s="245"/>
      <ns0:c r="D704" s="245"/>
      <ns0:c r="E704" s="245"/>
      <ns0:c r="F704" s="245"/>
      <ns0:c r="G704" s="245"/>
      <ns0:c r="H704" s="245"/>
      <ns0:c r="I704" s="245"/>
      <ns0:c r="J704" s="245"/>
      <ns0:c r="K704" s="245"/>
      <ns0:c r="L704" s="245"/>
      <ns0:c r="M704" s="245"/>
      <ns0:c r="N704" s="245"/>
      <ns0:c r="O704" s="245"/>
      <ns0:c r="P704" s="245"/>
      <ns0:c r="Q704" s="245"/>
      <ns0:c r="R704" s="245"/>
      <ns0:c r="S704" s="245"/>
      <ns0:c r="T704" s="245"/>
      <ns0:c r="U704" s="245"/>
      <ns0:c r="V704" s="245"/>
      <ns0:c r="W704" s="245"/>
      <ns0:c r="X704" s="245"/>
      <ns0:c r="Y704" s="245"/>
      <ns0:c r="Z704" s="245"/>
    </ns0:row>
    <ns0:row r="705">
      <ns0:c r="A705" s="245"/>
      <ns0:c r="B705" s="245"/>
      <ns0:c r="C705" s="245"/>
      <ns0:c r="D705" s="245"/>
      <ns0:c r="E705" s="245"/>
      <ns0:c r="F705" s="245"/>
      <ns0:c r="G705" s="245"/>
      <ns0:c r="H705" s="245"/>
      <ns0:c r="I705" s="245"/>
      <ns0:c r="J705" s="245"/>
      <ns0:c r="K705" s="245"/>
      <ns0:c r="L705" s="245"/>
      <ns0:c r="M705" s="245"/>
      <ns0:c r="N705" s="245"/>
      <ns0:c r="O705" s="245"/>
      <ns0:c r="P705" s="245"/>
      <ns0:c r="Q705" s="245"/>
      <ns0:c r="R705" s="245"/>
      <ns0:c r="S705" s="245"/>
      <ns0:c r="T705" s="245"/>
      <ns0:c r="U705" s="245"/>
      <ns0:c r="V705" s="245"/>
      <ns0:c r="W705" s="245"/>
      <ns0:c r="X705" s="245"/>
      <ns0:c r="Y705" s="245"/>
      <ns0:c r="Z705" s="245"/>
    </ns0:row>
    <ns0:row r="706">
      <ns0:c r="A706" s="245"/>
      <ns0:c r="B706" s="245"/>
      <ns0:c r="C706" s="245"/>
      <ns0:c r="D706" s="245"/>
      <ns0:c r="E706" s="245"/>
      <ns0:c r="F706" s="245"/>
      <ns0:c r="G706" s="245"/>
      <ns0:c r="H706" s="245"/>
      <ns0:c r="I706" s="245"/>
      <ns0:c r="J706" s="245"/>
      <ns0:c r="K706" s="245"/>
      <ns0:c r="L706" s="245"/>
      <ns0:c r="M706" s="245"/>
      <ns0:c r="N706" s="245"/>
      <ns0:c r="O706" s="245"/>
      <ns0:c r="P706" s="245"/>
      <ns0:c r="Q706" s="245"/>
      <ns0:c r="R706" s="245"/>
      <ns0:c r="S706" s="245"/>
      <ns0:c r="T706" s="245"/>
      <ns0:c r="U706" s="245"/>
      <ns0:c r="V706" s="245"/>
      <ns0:c r="W706" s="245"/>
      <ns0:c r="X706" s="245"/>
      <ns0:c r="Y706" s="245"/>
      <ns0:c r="Z706" s="245"/>
    </ns0:row>
    <ns0:row r="707">
      <ns0:c r="A707" s="245"/>
      <ns0:c r="B707" s="245"/>
      <ns0:c r="C707" s="245"/>
      <ns0:c r="D707" s="245"/>
      <ns0:c r="E707" s="245"/>
      <ns0:c r="F707" s="245"/>
      <ns0:c r="G707" s="245"/>
      <ns0:c r="H707" s="245"/>
      <ns0:c r="I707" s="245"/>
      <ns0:c r="J707" s="245"/>
      <ns0:c r="K707" s="245"/>
      <ns0:c r="L707" s="245"/>
      <ns0:c r="M707" s="245"/>
      <ns0:c r="N707" s="245"/>
      <ns0:c r="O707" s="245"/>
      <ns0:c r="P707" s="245"/>
      <ns0:c r="Q707" s="245"/>
      <ns0:c r="R707" s="245"/>
      <ns0:c r="S707" s="245"/>
      <ns0:c r="T707" s="245"/>
      <ns0:c r="U707" s="245"/>
      <ns0:c r="V707" s="245"/>
      <ns0:c r="W707" s="245"/>
      <ns0:c r="X707" s="245"/>
      <ns0:c r="Y707" s="245"/>
      <ns0:c r="Z707" s="245"/>
    </ns0:row>
    <ns0:row r="708">
      <ns0:c r="A708" s="245"/>
      <ns0:c r="B708" s="245"/>
      <ns0:c r="C708" s="245"/>
      <ns0:c r="D708" s="245"/>
      <ns0:c r="E708" s="245"/>
      <ns0:c r="F708" s="245"/>
      <ns0:c r="G708" s="245"/>
      <ns0:c r="H708" s="245"/>
      <ns0:c r="I708" s="245"/>
      <ns0:c r="J708" s="245"/>
      <ns0:c r="K708" s="245"/>
      <ns0:c r="L708" s="245"/>
      <ns0:c r="M708" s="245"/>
      <ns0:c r="N708" s="245"/>
      <ns0:c r="O708" s="245"/>
      <ns0:c r="P708" s="245"/>
      <ns0:c r="Q708" s="245"/>
      <ns0:c r="R708" s="245"/>
      <ns0:c r="S708" s="245"/>
      <ns0:c r="T708" s="245"/>
      <ns0:c r="U708" s="245"/>
      <ns0:c r="V708" s="245"/>
      <ns0:c r="W708" s="245"/>
      <ns0:c r="X708" s="245"/>
      <ns0:c r="Y708" s="245"/>
      <ns0:c r="Z708" s="245"/>
    </ns0:row>
    <ns0:row r="709">
      <ns0:c r="A709" s="245"/>
      <ns0:c r="B709" s="245"/>
      <ns0:c r="C709" s="245"/>
      <ns0:c r="D709" s="245"/>
      <ns0:c r="E709" s="245"/>
      <ns0:c r="F709" s="245"/>
      <ns0:c r="G709" s="245"/>
      <ns0:c r="H709" s="245"/>
      <ns0:c r="I709" s="245"/>
      <ns0:c r="J709" s="245"/>
      <ns0:c r="K709" s="245"/>
      <ns0:c r="L709" s="245"/>
      <ns0:c r="M709" s="245"/>
      <ns0:c r="N709" s="245"/>
      <ns0:c r="O709" s="245"/>
      <ns0:c r="P709" s="245"/>
      <ns0:c r="Q709" s="245"/>
      <ns0:c r="R709" s="245"/>
      <ns0:c r="S709" s="245"/>
      <ns0:c r="T709" s="245"/>
      <ns0:c r="U709" s="245"/>
      <ns0:c r="V709" s="245"/>
      <ns0:c r="W709" s="245"/>
      <ns0:c r="X709" s="245"/>
      <ns0:c r="Y709" s="245"/>
      <ns0:c r="Z709" s="245"/>
    </ns0:row>
    <ns0:row r="710">
      <ns0:c r="A710" s="245"/>
      <ns0:c r="B710" s="245"/>
      <ns0:c r="C710" s="245"/>
      <ns0:c r="D710" s="245"/>
      <ns0:c r="E710" s="245"/>
      <ns0:c r="F710" s="245"/>
      <ns0:c r="G710" s="245"/>
      <ns0:c r="H710" s="245"/>
      <ns0:c r="I710" s="245"/>
      <ns0:c r="J710" s="245"/>
      <ns0:c r="K710" s="245"/>
      <ns0:c r="L710" s="245"/>
      <ns0:c r="M710" s="245"/>
      <ns0:c r="N710" s="245"/>
      <ns0:c r="O710" s="245"/>
      <ns0:c r="P710" s="245"/>
      <ns0:c r="Q710" s="245"/>
      <ns0:c r="R710" s="245"/>
      <ns0:c r="S710" s="245"/>
      <ns0:c r="T710" s="245"/>
      <ns0:c r="U710" s="245"/>
      <ns0:c r="V710" s="245"/>
      <ns0:c r="W710" s="245"/>
      <ns0:c r="X710" s="245"/>
      <ns0:c r="Y710" s="245"/>
      <ns0:c r="Z710" s="245"/>
    </ns0:row>
    <ns0:row r="711">
      <ns0:c r="A711" s="245"/>
      <ns0:c r="B711" s="245"/>
      <ns0:c r="C711" s="245"/>
      <ns0:c r="D711" s="245"/>
      <ns0:c r="E711" s="245"/>
      <ns0:c r="F711" s="245"/>
      <ns0:c r="G711" s="245"/>
      <ns0:c r="H711" s="245"/>
      <ns0:c r="I711" s="245"/>
      <ns0:c r="J711" s="245"/>
      <ns0:c r="K711" s="245"/>
      <ns0:c r="L711" s="245"/>
      <ns0:c r="M711" s="245"/>
      <ns0:c r="N711" s="245"/>
      <ns0:c r="O711" s="245"/>
      <ns0:c r="P711" s="245"/>
      <ns0:c r="Q711" s="245"/>
      <ns0:c r="R711" s="245"/>
      <ns0:c r="S711" s="245"/>
      <ns0:c r="T711" s="245"/>
      <ns0:c r="U711" s="245"/>
      <ns0:c r="V711" s="245"/>
      <ns0:c r="W711" s="245"/>
      <ns0:c r="X711" s="245"/>
      <ns0:c r="Y711" s="245"/>
      <ns0:c r="Z711" s="245"/>
    </ns0:row>
    <ns0:row r="712">
      <ns0:c r="A712" s="245"/>
      <ns0:c r="B712" s="245"/>
      <ns0:c r="C712" s="245"/>
      <ns0:c r="D712" s="245"/>
      <ns0:c r="E712" s="245"/>
      <ns0:c r="F712" s="245"/>
      <ns0:c r="G712" s="245"/>
      <ns0:c r="H712" s="245"/>
      <ns0:c r="I712" s="245"/>
      <ns0:c r="J712" s="245"/>
      <ns0:c r="K712" s="245"/>
      <ns0:c r="L712" s="245"/>
      <ns0:c r="M712" s="245"/>
      <ns0:c r="N712" s="245"/>
      <ns0:c r="O712" s="245"/>
      <ns0:c r="P712" s="245"/>
      <ns0:c r="Q712" s="245"/>
      <ns0:c r="R712" s="245"/>
      <ns0:c r="S712" s="245"/>
      <ns0:c r="T712" s="245"/>
      <ns0:c r="U712" s="245"/>
      <ns0:c r="V712" s="245"/>
      <ns0:c r="W712" s="245"/>
      <ns0:c r="X712" s="245"/>
      <ns0:c r="Y712" s="245"/>
      <ns0:c r="Z712" s="245"/>
    </ns0:row>
    <ns0:row r="713">
      <ns0:c r="A713" s="245"/>
      <ns0:c r="B713" s="245"/>
      <ns0:c r="C713" s="245"/>
      <ns0:c r="D713" s="245"/>
      <ns0:c r="E713" s="245"/>
      <ns0:c r="F713" s="245"/>
      <ns0:c r="G713" s="245"/>
      <ns0:c r="H713" s="245"/>
      <ns0:c r="I713" s="245"/>
      <ns0:c r="J713" s="245"/>
      <ns0:c r="K713" s="245"/>
      <ns0:c r="L713" s="245"/>
      <ns0:c r="M713" s="245"/>
      <ns0:c r="N713" s="245"/>
      <ns0:c r="O713" s="245"/>
      <ns0:c r="P713" s="245"/>
      <ns0:c r="Q713" s="245"/>
      <ns0:c r="R713" s="245"/>
      <ns0:c r="S713" s="245"/>
      <ns0:c r="T713" s="245"/>
      <ns0:c r="U713" s="245"/>
      <ns0:c r="V713" s="245"/>
      <ns0:c r="W713" s="245"/>
      <ns0:c r="X713" s="245"/>
      <ns0:c r="Y713" s="245"/>
      <ns0:c r="Z713" s="245"/>
    </ns0:row>
    <ns0:row r="714">
      <ns0:c r="A714" s="245"/>
      <ns0:c r="B714" s="245"/>
      <ns0:c r="C714" s="245"/>
      <ns0:c r="D714" s="245"/>
      <ns0:c r="E714" s="245"/>
      <ns0:c r="F714" s="245"/>
      <ns0:c r="G714" s="245"/>
      <ns0:c r="H714" s="245"/>
      <ns0:c r="I714" s="245"/>
      <ns0:c r="J714" s="245"/>
      <ns0:c r="K714" s="245"/>
      <ns0:c r="L714" s="245"/>
      <ns0:c r="M714" s="245"/>
      <ns0:c r="N714" s="245"/>
      <ns0:c r="O714" s="245"/>
      <ns0:c r="P714" s="245"/>
      <ns0:c r="Q714" s="245"/>
      <ns0:c r="R714" s="245"/>
      <ns0:c r="S714" s="245"/>
      <ns0:c r="T714" s="245"/>
      <ns0:c r="U714" s="245"/>
      <ns0:c r="V714" s="245"/>
      <ns0:c r="W714" s="245"/>
      <ns0:c r="X714" s="245"/>
      <ns0:c r="Y714" s="245"/>
      <ns0:c r="Z714" s="245"/>
    </ns0:row>
    <ns0:row r="715">
      <ns0:c r="A715" s="245"/>
      <ns0:c r="B715" s="245"/>
      <ns0:c r="C715" s="245"/>
      <ns0:c r="D715" s="245"/>
      <ns0:c r="E715" s="245"/>
      <ns0:c r="F715" s="245"/>
      <ns0:c r="G715" s="245"/>
      <ns0:c r="H715" s="245"/>
      <ns0:c r="I715" s="245"/>
      <ns0:c r="J715" s="245"/>
      <ns0:c r="K715" s="245"/>
      <ns0:c r="L715" s="245"/>
      <ns0:c r="M715" s="245"/>
      <ns0:c r="N715" s="245"/>
      <ns0:c r="O715" s="245"/>
      <ns0:c r="P715" s="245"/>
      <ns0:c r="Q715" s="245"/>
      <ns0:c r="R715" s="245"/>
      <ns0:c r="S715" s="245"/>
      <ns0:c r="T715" s="245"/>
      <ns0:c r="U715" s="245"/>
      <ns0:c r="V715" s="245"/>
      <ns0:c r="W715" s="245"/>
      <ns0:c r="X715" s="245"/>
      <ns0:c r="Y715" s="245"/>
      <ns0:c r="Z715" s="245"/>
    </ns0:row>
    <ns0:row r="716">
      <ns0:c r="A716" s="245"/>
      <ns0:c r="B716" s="245"/>
      <ns0:c r="C716" s="245"/>
      <ns0:c r="D716" s="245"/>
      <ns0:c r="E716" s="245"/>
      <ns0:c r="F716" s="245"/>
      <ns0:c r="G716" s="245"/>
      <ns0:c r="H716" s="245"/>
      <ns0:c r="I716" s="245"/>
      <ns0:c r="J716" s="245"/>
      <ns0:c r="K716" s="245"/>
      <ns0:c r="L716" s="245"/>
      <ns0:c r="M716" s="245"/>
      <ns0:c r="N716" s="245"/>
      <ns0:c r="O716" s="245"/>
      <ns0:c r="P716" s="245"/>
      <ns0:c r="Q716" s="245"/>
      <ns0:c r="R716" s="245"/>
      <ns0:c r="S716" s="245"/>
      <ns0:c r="T716" s="245"/>
      <ns0:c r="U716" s="245"/>
      <ns0:c r="V716" s="245"/>
      <ns0:c r="W716" s="245"/>
      <ns0:c r="X716" s="245"/>
      <ns0:c r="Y716" s="245"/>
      <ns0:c r="Z716" s="245"/>
    </ns0:row>
    <ns0:row r="717">
      <ns0:c r="A717" s="245"/>
      <ns0:c r="B717" s="245"/>
      <ns0:c r="C717" s="245"/>
      <ns0:c r="D717" s="245"/>
      <ns0:c r="E717" s="245"/>
      <ns0:c r="F717" s="245"/>
      <ns0:c r="G717" s="245"/>
      <ns0:c r="H717" s="245"/>
      <ns0:c r="I717" s="245"/>
      <ns0:c r="J717" s="245"/>
      <ns0:c r="K717" s="245"/>
      <ns0:c r="L717" s="245"/>
      <ns0:c r="M717" s="245"/>
      <ns0:c r="N717" s="245"/>
      <ns0:c r="O717" s="245"/>
      <ns0:c r="P717" s="245"/>
      <ns0:c r="Q717" s="245"/>
      <ns0:c r="R717" s="245"/>
      <ns0:c r="S717" s="245"/>
      <ns0:c r="T717" s="245"/>
      <ns0:c r="U717" s="245"/>
      <ns0:c r="V717" s="245"/>
      <ns0:c r="W717" s="245"/>
      <ns0:c r="X717" s="245"/>
      <ns0:c r="Y717" s="245"/>
      <ns0:c r="Z717" s="245"/>
    </ns0:row>
    <ns0:row r="718">
      <ns0:c r="A718" s="245"/>
      <ns0:c r="B718" s="245"/>
      <ns0:c r="C718" s="245"/>
      <ns0:c r="D718" s="245"/>
      <ns0:c r="E718" s="245"/>
      <ns0:c r="F718" s="245"/>
      <ns0:c r="G718" s="245"/>
      <ns0:c r="H718" s="245"/>
      <ns0:c r="I718" s="245"/>
      <ns0:c r="J718" s="245"/>
      <ns0:c r="K718" s="245"/>
      <ns0:c r="L718" s="245"/>
      <ns0:c r="M718" s="245"/>
      <ns0:c r="N718" s="245"/>
      <ns0:c r="O718" s="245"/>
      <ns0:c r="P718" s="245"/>
      <ns0:c r="Q718" s="245"/>
      <ns0:c r="R718" s="245"/>
      <ns0:c r="S718" s="245"/>
      <ns0:c r="T718" s="245"/>
      <ns0:c r="U718" s="245"/>
      <ns0:c r="V718" s="245"/>
      <ns0:c r="W718" s="245"/>
      <ns0:c r="X718" s="245"/>
      <ns0:c r="Y718" s="245"/>
      <ns0:c r="Z718" s="245"/>
    </ns0:row>
    <ns0:row r="719">
      <ns0:c r="A719" s="245"/>
      <ns0:c r="B719" s="245"/>
      <ns0:c r="C719" s="245"/>
      <ns0:c r="D719" s="245"/>
      <ns0:c r="E719" s="245"/>
      <ns0:c r="F719" s="245"/>
      <ns0:c r="G719" s="245"/>
      <ns0:c r="H719" s="245"/>
      <ns0:c r="I719" s="245"/>
      <ns0:c r="J719" s="245"/>
      <ns0:c r="K719" s="245"/>
      <ns0:c r="L719" s="245"/>
      <ns0:c r="M719" s="245"/>
      <ns0:c r="N719" s="245"/>
      <ns0:c r="O719" s="245"/>
      <ns0:c r="P719" s="245"/>
      <ns0:c r="Q719" s="245"/>
      <ns0:c r="R719" s="245"/>
      <ns0:c r="S719" s="245"/>
      <ns0:c r="T719" s="245"/>
      <ns0:c r="U719" s="245"/>
      <ns0:c r="V719" s="245"/>
      <ns0:c r="W719" s="245"/>
      <ns0:c r="X719" s="245"/>
      <ns0:c r="Y719" s="245"/>
      <ns0:c r="Z719" s="245"/>
    </ns0:row>
    <ns0:row r="720">
      <ns0:c r="A720" s="245"/>
      <ns0:c r="B720" s="245"/>
      <ns0:c r="C720" s="245"/>
      <ns0:c r="D720" s="245"/>
      <ns0:c r="E720" s="245"/>
      <ns0:c r="F720" s="245"/>
      <ns0:c r="G720" s="245"/>
      <ns0:c r="H720" s="245"/>
      <ns0:c r="I720" s="245"/>
      <ns0:c r="J720" s="245"/>
      <ns0:c r="K720" s="245"/>
      <ns0:c r="L720" s="245"/>
      <ns0:c r="M720" s="245"/>
      <ns0:c r="N720" s="245"/>
      <ns0:c r="O720" s="245"/>
      <ns0:c r="P720" s="245"/>
      <ns0:c r="Q720" s="245"/>
      <ns0:c r="R720" s="245"/>
      <ns0:c r="S720" s="245"/>
      <ns0:c r="T720" s="245"/>
      <ns0:c r="U720" s="245"/>
      <ns0:c r="V720" s="245"/>
      <ns0:c r="W720" s="245"/>
      <ns0:c r="X720" s="245"/>
      <ns0:c r="Y720" s="245"/>
      <ns0:c r="Z720" s="245"/>
    </ns0:row>
    <ns0:row r="721">
      <ns0:c r="A721" s="245"/>
      <ns0:c r="B721" s="245"/>
      <ns0:c r="C721" s="245"/>
      <ns0:c r="D721" s="245"/>
      <ns0:c r="E721" s="245"/>
      <ns0:c r="F721" s="245"/>
      <ns0:c r="G721" s="245"/>
      <ns0:c r="H721" s="245"/>
      <ns0:c r="I721" s="245"/>
      <ns0:c r="J721" s="245"/>
      <ns0:c r="K721" s="245"/>
      <ns0:c r="L721" s="245"/>
      <ns0:c r="M721" s="245"/>
      <ns0:c r="N721" s="245"/>
      <ns0:c r="O721" s="245"/>
      <ns0:c r="P721" s="245"/>
      <ns0:c r="Q721" s="245"/>
      <ns0:c r="R721" s="245"/>
      <ns0:c r="S721" s="245"/>
      <ns0:c r="T721" s="245"/>
      <ns0:c r="U721" s="245"/>
      <ns0:c r="V721" s="245"/>
      <ns0:c r="W721" s="245"/>
      <ns0:c r="X721" s="245"/>
      <ns0:c r="Y721" s="245"/>
      <ns0:c r="Z721" s="245"/>
    </ns0:row>
    <ns0:row r="722">
      <ns0:c r="A722" s="245"/>
      <ns0:c r="B722" s="245"/>
      <ns0:c r="C722" s="245"/>
      <ns0:c r="D722" s="245"/>
      <ns0:c r="E722" s="245"/>
      <ns0:c r="F722" s="245"/>
      <ns0:c r="G722" s="245"/>
      <ns0:c r="H722" s="245"/>
      <ns0:c r="I722" s="245"/>
      <ns0:c r="J722" s="245"/>
      <ns0:c r="K722" s="245"/>
      <ns0:c r="L722" s="245"/>
      <ns0:c r="M722" s="245"/>
      <ns0:c r="N722" s="245"/>
      <ns0:c r="O722" s="245"/>
      <ns0:c r="P722" s="245"/>
      <ns0:c r="Q722" s="245"/>
      <ns0:c r="R722" s="245"/>
      <ns0:c r="S722" s="245"/>
      <ns0:c r="T722" s="245"/>
      <ns0:c r="U722" s="245"/>
      <ns0:c r="V722" s="245"/>
      <ns0:c r="W722" s="245"/>
      <ns0:c r="X722" s="245"/>
      <ns0:c r="Y722" s="245"/>
      <ns0:c r="Z722" s="245"/>
    </ns0:row>
    <ns0:row r="723">
      <ns0:c r="A723" s="245"/>
      <ns0:c r="B723" s="245"/>
      <ns0:c r="C723" s="245"/>
      <ns0:c r="D723" s="245"/>
      <ns0:c r="E723" s="245"/>
      <ns0:c r="F723" s="245"/>
      <ns0:c r="G723" s="245"/>
      <ns0:c r="H723" s="245"/>
      <ns0:c r="I723" s="245"/>
      <ns0:c r="J723" s="245"/>
      <ns0:c r="K723" s="245"/>
      <ns0:c r="L723" s="245"/>
      <ns0:c r="M723" s="245"/>
      <ns0:c r="N723" s="245"/>
      <ns0:c r="O723" s="245"/>
      <ns0:c r="P723" s="245"/>
      <ns0:c r="Q723" s="245"/>
      <ns0:c r="R723" s="245"/>
      <ns0:c r="S723" s="245"/>
      <ns0:c r="T723" s="245"/>
      <ns0:c r="U723" s="245"/>
      <ns0:c r="V723" s="245"/>
      <ns0:c r="W723" s="245"/>
      <ns0:c r="X723" s="245"/>
      <ns0:c r="Y723" s="245"/>
      <ns0:c r="Z723" s="245"/>
    </ns0:row>
    <ns0:row r="724">
      <ns0:c r="A724" s="245"/>
      <ns0:c r="B724" s="245"/>
      <ns0:c r="C724" s="245"/>
      <ns0:c r="D724" s="245"/>
      <ns0:c r="E724" s="245"/>
      <ns0:c r="F724" s="245"/>
      <ns0:c r="G724" s="245"/>
      <ns0:c r="H724" s="245"/>
      <ns0:c r="I724" s="245"/>
      <ns0:c r="J724" s="245"/>
      <ns0:c r="K724" s="245"/>
      <ns0:c r="L724" s="245"/>
      <ns0:c r="M724" s="245"/>
      <ns0:c r="N724" s="245"/>
      <ns0:c r="O724" s="245"/>
      <ns0:c r="P724" s="245"/>
      <ns0:c r="Q724" s="245"/>
      <ns0:c r="R724" s="245"/>
      <ns0:c r="S724" s="245"/>
      <ns0:c r="T724" s="245"/>
      <ns0:c r="U724" s="245"/>
      <ns0:c r="V724" s="245"/>
      <ns0:c r="W724" s="245"/>
      <ns0:c r="X724" s="245"/>
      <ns0:c r="Y724" s="245"/>
      <ns0:c r="Z724" s="245"/>
    </ns0:row>
    <ns0:row r="725">
      <ns0:c r="A725" s="245"/>
      <ns0:c r="B725" s="245"/>
      <ns0:c r="C725" s="245"/>
      <ns0:c r="D725" s="245"/>
      <ns0:c r="E725" s="245"/>
      <ns0:c r="F725" s="245"/>
      <ns0:c r="G725" s="245"/>
      <ns0:c r="H725" s="245"/>
      <ns0:c r="I725" s="245"/>
      <ns0:c r="J725" s="245"/>
      <ns0:c r="K725" s="245"/>
      <ns0:c r="L725" s="245"/>
      <ns0:c r="M725" s="245"/>
      <ns0:c r="N725" s="245"/>
      <ns0:c r="O725" s="245"/>
      <ns0:c r="P725" s="245"/>
      <ns0:c r="Q725" s="245"/>
      <ns0:c r="R725" s="245"/>
      <ns0:c r="S725" s="245"/>
      <ns0:c r="T725" s="245"/>
      <ns0:c r="U725" s="245"/>
      <ns0:c r="V725" s="245"/>
      <ns0:c r="W725" s="245"/>
      <ns0:c r="X725" s="245"/>
      <ns0:c r="Y725" s="245"/>
      <ns0:c r="Z725" s="245"/>
    </ns0:row>
    <ns0:row r="726">
      <ns0:c r="A726" s="245"/>
      <ns0:c r="B726" s="245"/>
      <ns0:c r="C726" s="245"/>
      <ns0:c r="D726" s="245"/>
      <ns0:c r="E726" s="245"/>
      <ns0:c r="F726" s="245"/>
      <ns0:c r="G726" s="245"/>
      <ns0:c r="H726" s="245"/>
      <ns0:c r="I726" s="245"/>
      <ns0:c r="J726" s="245"/>
      <ns0:c r="K726" s="245"/>
      <ns0:c r="L726" s="245"/>
      <ns0:c r="M726" s="245"/>
      <ns0:c r="N726" s="245"/>
      <ns0:c r="O726" s="245"/>
      <ns0:c r="P726" s="245"/>
      <ns0:c r="Q726" s="245"/>
      <ns0:c r="R726" s="245"/>
      <ns0:c r="S726" s="245"/>
      <ns0:c r="T726" s="245"/>
      <ns0:c r="U726" s="245"/>
      <ns0:c r="V726" s="245"/>
      <ns0:c r="W726" s="245"/>
      <ns0:c r="X726" s="245"/>
      <ns0:c r="Y726" s="245"/>
      <ns0:c r="Z726" s="245"/>
    </ns0:row>
    <ns0:row r="727">
      <ns0:c r="A727" s="245"/>
      <ns0:c r="B727" s="245"/>
      <ns0:c r="C727" s="245"/>
      <ns0:c r="D727" s="245"/>
      <ns0:c r="E727" s="245"/>
      <ns0:c r="F727" s="245"/>
      <ns0:c r="G727" s="245"/>
      <ns0:c r="H727" s="245"/>
      <ns0:c r="I727" s="245"/>
      <ns0:c r="J727" s="245"/>
      <ns0:c r="K727" s="245"/>
      <ns0:c r="L727" s="245"/>
      <ns0:c r="M727" s="245"/>
      <ns0:c r="N727" s="245"/>
      <ns0:c r="O727" s="245"/>
      <ns0:c r="P727" s="245"/>
      <ns0:c r="Q727" s="245"/>
      <ns0:c r="R727" s="245"/>
      <ns0:c r="S727" s="245"/>
      <ns0:c r="T727" s="245"/>
      <ns0:c r="U727" s="245"/>
      <ns0:c r="V727" s="245"/>
      <ns0:c r="W727" s="245"/>
      <ns0:c r="X727" s="245"/>
      <ns0:c r="Y727" s="245"/>
      <ns0:c r="Z727" s="245"/>
    </ns0:row>
    <ns0:row r="728">
      <ns0:c r="A728" s="245"/>
      <ns0:c r="B728" s="245"/>
      <ns0:c r="C728" s="245"/>
      <ns0:c r="D728" s="245"/>
      <ns0:c r="E728" s="245"/>
      <ns0:c r="F728" s="245"/>
      <ns0:c r="G728" s="245"/>
      <ns0:c r="H728" s="245"/>
      <ns0:c r="I728" s="245"/>
      <ns0:c r="J728" s="245"/>
      <ns0:c r="K728" s="245"/>
      <ns0:c r="L728" s="245"/>
      <ns0:c r="M728" s="245"/>
      <ns0:c r="N728" s="245"/>
      <ns0:c r="O728" s="245"/>
      <ns0:c r="P728" s="245"/>
      <ns0:c r="Q728" s="245"/>
      <ns0:c r="R728" s="245"/>
      <ns0:c r="S728" s="245"/>
      <ns0:c r="T728" s="245"/>
      <ns0:c r="U728" s="245"/>
      <ns0:c r="V728" s="245"/>
      <ns0:c r="W728" s="245"/>
      <ns0:c r="X728" s="245"/>
      <ns0:c r="Y728" s="245"/>
      <ns0:c r="Z728" s="245"/>
    </ns0:row>
    <ns0:row r="729">
      <ns0:c r="A729" s="245"/>
      <ns0:c r="B729" s="245"/>
      <ns0:c r="C729" s="245"/>
      <ns0:c r="D729" s="245"/>
      <ns0:c r="E729" s="245"/>
      <ns0:c r="F729" s="245"/>
      <ns0:c r="G729" s="245"/>
      <ns0:c r="H729" s="245"/>
      <ns0:c r="I729" s="245"/>
      <ns0:c r="J729" s="245"/>
      <ns0:c r="K729" s="245"/>
      <ns0:c r="L729" s="245"/>
      <ns0:c r="M729" s="245"/>
      <ns0:c r="N729" s="245"/>
      <ns0:c r="O729" s="245"/>
      <ns0:c r="P729" s="245"/>
      <ns0:c r="Q729" s="245"/>
      <ns0:c r="R729" s="245"/>
      <ns0:c r="S729" s="245"/>
      <ns0:c r="T729" s="245"/>
      <ns0:c r="U729" s="245"/>
      <ns0:c r="V729" s="245"/>
      <ns0:c r="W729" s="245"/>
      <ns0:c r="X729" s="245"/>
      <ns0:c r="Y729" s="245"/>
      <ns0:c r="Z729" s="245"/>
    </ns0:row>
    <ns0:row r="730">
      <ns0:c r="A730" s="245"/>
      <ns0:c r="B730" s="245"/>
      <ns0:c r="C730" s="245"/>
      <ns0:c r="D730" s="245"/>
      <ns0:c r="E730" s="245"/>
      <ns0:c r="F730" s="245"/>
      <ns0:c r="G730" s="245"/>
      <ns0:c r="H730" s="245"/>
      <ns0:c r="I730" s="245"/>
      <ns0:c r="J730" s="245"/>
      <ns0:c r="K730" s="245"/>
      <ns0:c r="L730" s="245"/>
      <ns0:c r="M730" s="245"/>
      <ns0:c r="N730" s="245"/>
      <ns0:c r="O730" s="245"/>
      <ns0:c r="P730" s="245"/>
      <ns0:c r="Q730" s="245"/>
      <ns0:c r="R730" s="245"/>
      <ns0:c r="S730" s="245"/>
      <ns0:c r="T730" s="245"/>
      <ns0:c r="U730" s="245"/>
      <ns0:c r="V730" s="245"/>
      <ns0:c r="W730" s="245"/>
      <ns0:c r="X730" s="245"/>
      <ns0:c r="Y730" s="245"/>
      <ns0:c r="Z730" s="245"/>
    </ns0:row>
    <ns0:row r="731">
      <ns0:c r="A731" s="245"/>
      <ns0:c r="B731" s="245"/>
      <ns0:c r="C731" s="245"/>
      <ns0:c r="D731" s="245"/>
      <ns0:c r="E731" s="245"/>
      <ns0:c r="F731" s="245"/>
      <ns0:c r="G731" s="245"/>
      <ns0:c r="H731" s="245"/>
      <ns0:c r="I731" s="245"/>
      <ns0:c r="J731" s="245"/>
      <ns0:c r="K731" s="245"/>
      <ns0:c r="L731" s="245"/>
      <ns0:c r="M731" s="245"/>
      <ns0:c r="N731" s="245"/>
      <ns0:c r="O731" s="245"/>
      <ns0:c r="P731" s="245"/>
      <ns0:c r="Q731" s="245"/>
      <ns0:c r="R731" s="245"/>
      <ns0:c r="S731" s="245"/>
      <ns0:c r="T731" s="245"/>
      <ns0:c r="U731" s="245"/>
      <ns0:c r="V731" s="245"/>
      <ns0:c r="W731" s="245"/>
      <ns0:c r="X731" s="245"/>
      <ns0:c r="Y731" s="245"/>
      <ns0:c r="Z731" s="245"/>
    </ns0:row>
    <ns0:row r="732">
      <ns0:c r="A732" s="245"/>
      <ns0:c r="B732" s="245"/>
      <ns0:c r="C732" s="245"/>
      <ns0:c r="D732" s="245"/>
      <ns0:c r="E732" s="245"/>
      <ns0:c r="F732" s="245"/>
      <ns0:c r="G732" s="245"/>
      <ns0:c r="H732" s="245"/>
      <ns0:c r="I732" s="245"/>
      <ns0:c r="J732" s="245"/>
      <ns0:c r="K732" s="245"/>
      <ns0:c r="L732" s="245"/>
      <ns0:c r="M732" s="245"/>
      <ns0:c r="N732" s="245"/>
      <ns0:c r="O732" s="245"/>
      <ns0:c r="P732" s="245"/>
      <ns0:c r="Q732" s="245"/>
      <ns0:c r="R732" s="245"/>
      <ns0:c r="S732" s="245"/>
      <ns0:c r="T732" s="245"/>
      <ns0:c r="U732" s="245"/>
      <ns0:c r="V732" s="245"/>
      <ns0:c r="W732" s="245"/>
      <ns0:c r="X732" s="245"/>
      <ns0:c r="Y732" s="245"/>
      <ns0:c r="Z732" s="245"/>
    </ns0:row>
    <ns0:row r="733">
      <ns0:c r="A733" s="245"/>
      <ns0:c r="B733" s="245"/>
      <ns0:c r="C733" s="245"/>
      <ns0:c r="D733" s="245"/>
      <ns0:c r="E733" s="245"/>
      <ns0:c r="F733" s="245"/>
      <ns0:c r="G733" s="245"/>
      <ns0:c r="H733" s="245"/>
      <ns0:c r="I733" s="245"/>
      <ns0:c r="J733" s="245"/>
      <ns0:c r="K733" s="245"/>
      <ns0:c r="L733" s="245"/>
      <ns0:c r="M733" s="245"/>
      <ns0:c r="N733" s="245"/>
      <ns0:c r="O733" s="245"/>
      <ns0:c r="P733" s="245"/>
      <ns0:c r="Q733" s="245"/>
      <ns0:c r="R733" s="245"/>
      <ns0:c r="S733" s="245"/>
      <ns0:c r="T733" s="245"/>
      <ns0:c r="U733" s="245"/>
      <ns0:c r="V733" s="245"/>
      <ns0:c r="W733" s="245"/>
      <ns0:c r="X733" s="245"/>
      <ns0:c r="Y733" s="245"/>
      <ns0:c r="Z733" s="245"/>
    </ns0:row>
    <ns0:row r="734">
      <ns0:c r="A734" s="245"/>
      <ns0:c r="B734" s="245"/>
      <ns0:c r="C734" s="245"/>
      <ns0:c r="D734" s="245"/>
      <ns0:c r="E734" s="245"/>
      <ns0:c r="F734" s="245"/>
      <ns0:c r="G734" s="245"/>
      <ns0:c r="H734" s="245"/>
      <ns0:c r="I734" s="245"/>
      <ns0:c r="J734" s="245"/>
      <ns0:c r="K734" s="245"/>
      <ns0:c r="L734" s="245"/>
      <ns0:c r="M734" s="245"/>
      <ns0:c r="N734" s="245"/>
      <ns0:c r="O734" s="245"/>
      <ns0:c r="P734" s="245"/>
      <ns0:c r="Q734" s="245"/>
      <ns0:c r="R734" s="245"/>
      <ns0:c r="S734" s="245"/>
      <ns0:c r="T734" s="245"/>
      <ns0:c r="U734" s="245"/>
      <ns0:c r="V734" s="245"/>
      <ns0:c r="W734" s="245"/>
      <ns0:c r="X734" s="245"/>
      <ns0:c r="Y734" s="245"/>
      <ns0:c r="Z734" s="245"/>
    </ns0:row>
    <ns0:row r="735">
      <ns0:c r="A735" s="245"/>
      <ns0:c r="B735" s="245"/>
      <ns0:c r="C735" s="245"/>
      <ns0:c r="D735" s="245"/>
      <ns0:c r="E735" s="245"/>
      <ns0:c r="F735" s="245"/>
      <ns0:c r="G735" s="245"/>
      <ns0:c r="H735" s="245"/>
      <ns0:c r="I735" s="245"/>
      <ns0:c r="J735" s="245"/>
      <ns0:c r="K735" s="245"/>
      <ns0:c r="L735" s="245"/>
      <ns0:c r="M735" s="245"/>
      <ns0:c r="N735" s="245"/>
      <ns0:c r="O735" s="245"/>
      <ns0:c r="P735" s="245"/>
      <ns0:c r="Q735" s="245"/>
      <ns0:c r="R735" s="245"/>
      <ns0:c r="S735" s="245"/>
      <ns0:c r="T735" s="245"/>
      <ns0:c r="U735" s="245"/>
      <ns0:c r="V735" s="245"/>
      <ns0:c r="W735" s="245"/>
      <ns0:c r="X735" s="245"/>
      <ns0:c r="Y735" s="245"/>
      <ns0:c r="Z735" s="245"/>
    </ns0:row>
    <ns0:row r="736">
      <ns0:c r="A736" s="245"/>
      <ns0:c r="B736" s="245"/>
      <ns0:c r="C736" s="245"/>
      <ns0:c r="D736" s="245"/>
      <ns0:c r="E736" s="245"/>
      <ns0:c r="F736" s="245"/>
      <ns0:c r="G736" s="245"/>
      <ns0:c r="H736" s="245"/>
      <ns0:c r="I736" s="245"/>
      <ns0:c r="J736" s="245"/>
      <ns0:c r="K736" s="245"/>
      <ns0:c r="L736" s="245"/>
      <ns0:c r="M736" s="245"/>
      <ns0:c r="N736" s="245"/>
      <ns0:c r="O736" s="245"/>
      <ns0:c r="P736" s="245"/>
      <ns0:c r="Q736" s="245"/>
      <ns0:c r="R736" s="245"/>
      <ns0:c r="S736" s="245"/>
      <ns0:c r="T736" s="245"/>
      <ns0:c r="U736" s="245"/>
      <ns0:c r="V736" s="245"/>
      <ns0:c r="W736" s="245"/>
      <ns0:c r="X736" s="245"/>
      <ns0:c r="Y736" s="245"/>
      <ns0:c r="Z736" s="245"/>
    </ns0:row>
    <ns0:row r="737">
      <ns0:c r="A737" s="245"/>
      <ns0:c r="B737" s="245"/>
      <ns0:c r="C737" s="245"/>
      <ns0:c r="D737" s="245"/>
      <ns0:c r="E737" s="245"/>
      <ns0:c r="F737" s="245"/>
      <ns0:c r="G737" s="245"/>
      <ns0:c r="H737" s="245"/>
      <ns0:c r="I737" s="245"/>
      <ns0:c r="J737" s="245"/>
      <ns0:c r="K737" s="245"/>
      <ns0:c r="L737" s="245"/>
      <ns0:c r="M737" s="245"/>
      <ns0:c r="N737" s="245"/>
      <ns0:c r="O737" s="245"/>
      <ns0:c r="P737" s="245"/>
      <ns0:c r="Q737" s="245"/>
      <ns0:c r="R737" s="245"/>
      <ns0:c r="S737" s="245"/>
      <ns0:c r="T737" s="245"/>
      <ns0:c r="U737" s="245"/>
      <ns0:c r="V737" s="245"/>
      <ns0:c r="W737" s="245"/>
      <ns0:c r="X737" s="245"/>
      <ns0:c r="Y737" s="245"/>
      <ns0:c r="Z737" s="245"/>
    </ns0:row>
    <ns0:row r="738">
      <ns0:c r="A738" s="245"/>
      <ns0:c r="B738" s="245"/>
      <ns0:c r="C738" s="245"/>
      <ns0:c r="D738" s="245"/>
      <ns0:c r="E738" s="245"/>
      <ns0:c r="F738" s="245"/>
      <ns0:c r="G738" s="245"/>
      <ns0:c r="H738" s="245"/>
      <ns0:c r="I738" s="245"/>
      <ns0:c r="J738" s="245"/>
      <ns0:c r="K738" s="245"/>
      <ns0:c r="L738" s="245"/>
      <ns0:c r="M738" s="245"/>
      <ns0:c r="N738" s="245"/>
      <ns0:c r="O738" s="245"/>
      <ns0:c r="P738" s="245"/>
      <ns0:c r="Q738" s="245"/>
      <ns0:c r="R738" s="245"/>
      <ns0:c r="S738" s="245"/>
      <ns0:c r="T738" s="245"/>
      <ns0:c r="U738" s="245"/>
      <ns0:c r="V738" s="245"/>
      <ns0:c r="W738" s="245"/>
      <ns0:c r="X738" s="245"/>
      <ns0:c r="Y738" s="245"/>
      <ns0:c r="Z738" s="245"/>
    </ns0:row>
    <ns0:row r="739">
      <ns0:c r="A739" s="245"/>
      <ns0:c r="B739" s="245"/>
      <ns0:c r="C739" s="245"/>
      <ns0:c r="D739" s="245"/>
      <ns0:c r="E739" s="245"/>
      <ns0:c r="F739" s="245"/>
      <ns0:c r="G739" s="245"/>
      <ns0:c r="H739" s="245"/>
      <ns0:c r="I739" s="245"/>
      <ns0:c r="J739" s="245"/>
      <ns0:c r="K739" s="245"/>
      <ns0:c r="L739" s="245"/>
      <ns0:c r="M739" s="245"/>
      <ns0:c r="N739" s="245"/>
      <ns0:c r="O739" s="245"/>
      <ns0:c r="P739" s="245"/>
      <ns0:c r="Q739" s="245"/>
      <ns0:c r="R739" s="245"/>
      <ns0:c r="S739" s="245"/>
      <ns0:c r="T739" s="245"/>
      <ns0:c r="U739" s="245"/>
      <ns0:c r="V739" s="245"/>
      <ns0:c r="W739" s="245"/>
      <ns0:c r="X739" s="245"/>
      <ns0:c r="Y739" s="245"/>
      <ns0:c r="Z739" s="245"/>
    </ns0:row>
    <ns0:row r="740">
      <ns0:c r="A740" s="245"/>
      <ns0:c r="B740" s="245"/>
      <ns0:c r="C740" s="245"/>
      <ns0:c r="D740" s="245"/>
      <ns0:c r="E740" s="245"/>
      <ns0:c r="F740" s="245"/>
      <ns0:c r="G740" s="245"/>
      <ns0:c r="H740" s="245"/>
      <ns0:c r="I740" s="245"/>
      <ns0:c r="J740" s="245"/>
      <ns0:c r="K740" s="245"/>
      <ns0:c r="L740" s="245"/>
      <ns0:c r="M740" s="245"/>
      <ns0:c r="N740" s="245"/>
      <ns0:c r="O740" s="245"/>
      <ns0:c r="P740" s="245"/>
      <ns0:c r="Q740" s="245"/>
      <ns0:c r="R740" s="245"/>
      <ns0:c r="S740" s="245"/>
      <ns0:c r="T740" s="245"/>
      <ns0:c r="U740" s="245"/>
      <ns0:c r="V740" s="245"/>
      <ns0:c r="W740" s="245"/>
      <ns0:c r="X740" s="245"/>
      <ns0:c r="Y740" s="245"/>
      <ns0:c r="Z740" s="245"/>
    </ns0:row>
    <ns0:row r="741">
      <ns0:c r="A741" s="245"/>
      <ns0:c r="B741" s="245"/>
      <ns0:c r="C741" s="245"/>
      <ns0:c r="D741" s="245"/>
      <ns0:c r="E741" s="245"/>
      <ns0:c r="F741" s="245"/>
      <ns0:c r="G741" s="245"/>
      <ns0:c r="H741" s="245"/>
      <ns0:c r="I741" s="245"/>
      <ns0:c r="J741" s="245"/>
      <ns0:c r="K741" s="245"/>
      <ns0:c r="L741" s="245"/>
      <ns0:c r="M741" s="245"/>
      <ns0:c r="N741" s="245"/>
      <ns0:c r="O741" s="245"/>
      <ns0:c r="P741" s="245"/>
      <ns0:c r="Q741" s="245"/>
      <ns0:c r="R741" s="245"/>
      <ns0:c r="S741" s="245"/>
      <ns0:c r="T741" s="245"/>
      <ns0:c r="U741" s="245"/>
      <ns0:c r="V741" s="245"/>
      <ns0:c r="W741" s="245"/>
      <ns0:c r="X741" s="245"/>
      <ns0:c r="Y741" s="245"/>
      <ns0:c r="Z741" s="245"/>
    </ns0:row>
    <ns0:row r="742">
      <ns0:c r="A742" s="245"/>
      <ns0:c r="B742" s="245"/>
      <ns0:c r="C742" s="245"/>
      <ns0:c r="D742" s="245"/>
      <ns0:c r="E742" s="245"/>
      <ns0:c r="F742" s="245"/>
      <ns0:c r="G742" s="245"/>
      <ns0:c r="H742" s="245"/>
      <ns0:c r="I742" s="245"/>
      <ns0:c r="J742" s="245"/>
      <ns0:c r="K742" s="245"/>
      <ns0:c r="L742" s="245"/>
      <ns0:c r="M742" s="245"/>
      <ns0:c r="N742" s="245"/>
      <ns0:c r="O742" s="245"/>
      <ns0:c r="P742" s="245"/>
      <ns0:c r="Q742" s="245"/>
      <ns0:c r="R742" s="245"/>
      <ns0:c r="S742" s="245"/>
      <ns0:c r="T742" s="245"/>
      <ns0:c r="U742" s="245"/>
      <ns0:c r="V742" s="245"/>
      <ns0:c r="W742" s="245"/>
      <ns0:c r="X742" s="245"/>
      <ns0:c r="Y742" s="245"/>
      <ns0:c r="Z742" s="245"/>
    </ns0:row>
    <ns0:row r="743">
      <ns0:c r="A743" s="245"/>
      <ns0:c r="B743" s="245"/>
      <ns0:c r="C743" s="245"/>
      <ns0:c r="D743" s="245"/>
      <ns0:c r="E743" s="245"/>
      <ns0:c r="F743" s="245"/>
      <ns0:c r="G743" s="245"/>
      <ns0:c r="H743" s="245"/>
      <ns0:c r="I743" s="245"/>
      <ns0:c r="J743" s="245"/>
      <ns0:c r="K743" s="245"/>
      <ns0:c r="L743" s="245"/>
      <ns0:c r="M743" s="245"/>
      <ns0:c r="N743" s="245"/>
      <ns0:c r="O743" s="245"/>
      <ns0:c r="P743" s="245"/>
      <ns0:c r="Q743" s="245"/>
      <ns0:c r="R743" s="245"/>
      <ns0:c r="S743" s="245"/>
      <ns0:c r="T743" s="245"/>
      <ns0:c r="U743" s="245"/>
      <ns0:c r="V743" s="245"/>
      <ns0:c r="W743" s="245"/>
      <ns0:c r="X743" s="245"/>
      <ns0:c r="Y743" s="245"/>
      <ns0:c r="Z743" s="245"/>
    </ns0:row>
    <ns0:row r="744">
      <ns0:c r="A744" s="245"/>
      <ns0:c r="B744" s="245"/>
      <ns0:c r="C744" s="245"/>
      <ns0:c r="D744" s="245"/>
      <ns0:c r="E744" s="245"/>
      <ns0:c r="F744" s="245"/>
      <ns0:c r="G744" s="245"/>
      <ns0:c r="H744" s="245"/>
      <ns0:c r="I744" s="245"/>
      <ns0:c r="J744" s="245"/>
      <ns0:c r="K744" s="245"/>
      <ns0:c r="L744" s="245"/>
      <ns0:c r="M744" s="245"/>
      <ns0:c r="N744" s="245"/>
      <ns0:c r="O744" s="245"/>
      <ns0:c r="P744" s="245"/>
      <ns0:c r="Q744" s="245"/>
      <ns0:c r="R744" s="245"/>
      <ns0:c r="S744" s="245"/>
      <ns0:c r="T744" s="245"/>
      <ns0:c r="U744" s="245"/>
      <ns0:c r="V744" s="245"/>
      <ns0:c r="W744" s="245"/>
      <ns0:c r="X744" s="245"/>
      <ns0:c r="Y744" s="245"/>
      <ns0:c r="Z744" s="245"/>
    </ns0:row>
    <ns0:row r="745">
      <ns0:c r="A745" s="245"/>
      <ns0:c r="B745" s="245"/>
      <ns0:c r="C745" s="245"/>
      <ns0:c r="D745" s="245"/>
      <ns0:c r="E745" s="245"/>
      <ns0:c r="F745" s="245"/>
      <ns0:c r="G745" s="245"/>
      <ns0:c r="H745" s="245"/>
      <ns0:c r="I745" s="245"/>
      <ns0:c r="J745" s="245"/>
      <ns0:c r="K745" s="245"/>
      <ns0:c r="L745" s="245"/>
      <ns0:c r="M745" s="245"/>
      <ns0:c r="N745" s="245"/>
      <ns0:c r="O745" s="245"/>
      <ns0:c r="P745" s="245"/>
      <ns0:c r="Q745" s="245"/>
      <ns0:c r="R745" s="245"/>
      <ns0:c r="S745" s="245"/>
      <ns0:c r="T745" s="245"/>
      <ns0:c r="U745" s="245"/>
      <ns0:c r="V745" s="245"/>
      <ns0:c r="W745" s="245"/>
      <ns0:c r="X745" s="245"/>
      <ns0:c r="Y745" s="245"/>
      <ns0:c r="Z745" s="245"/>
    </ns0:row>
    <ns0:row r="746">
      <ns0:c r="A746" s="245"/>
      <ns0:c r="B746" s="245"/>
      <ns0:c r="C746" s="245"/>
      <ns0:c r="D746" s="245"/>
      <ns0:c r="E746" s="245"/>
      <ns0:c r="F746" s="245"/>
      <ns0:c r="G746" s="245"/>
      <ns0:c r="H746" s="245"/>
      <ns0:c r="I746" s="245"/>
      <ns0:c r="J746" s="245"/>
      <ns0:c r="K746" s="245"/>
      <ns0:c r="L746" s="245"/>
      <ns0:c r="M746" s="245"/>
      <ns0:c r="N746" s="245"/>
      <ns0:c r="O746" s="245"/>
      <ns0:c r="P746" s="245"/>
      <ns0:c r="Q746" s="245"/>
      <ns0:c r="R746" s="245"/>
      <ns0:c r="S746" s="245"/>
      <ns0:c r="T746" s="245"/>
      <ns0:c r="U746" s="245"/>
      <ns0:c r="V746" s="245"/>
      <ns0:c r="W746" s="245"/>
      <ns0:c r="X746" s="245"/>
      <ns0:c r="Y746" s="245"/>
      <ns0:c r="Z746" s="245"/>
    </ns0:row>
    <ns0:row r="747">
      <ns0:c r="A747" s="245"/>
      <ns0:c r="B747" s="245"/>
      <ns0:c r="C747" s="245"/>
      <ns0:c r="D747" s="245"/>
      <ns0:c r="E747" s="245"/>
      <ns0:c r="F747" s="245"/>
      <ns0:c r="G747" s="245"/>
      <ns0:c r="H747" s="245"/>
      <ns0:c r="I747" s="245"/>
      <ns0:c r="J747" s="245"/>
      <ns0:c r="K747" s="245"/>
      <ns0:c r="L747" s="245"/>
      <ns0:c r="M747" s="245"/>
      <ns0:c r="N747" s="245"/>
      <ns0:c r="O747" s="245"/>
      <ns0:c r="P747" s="245"/>
      <ns0:c r="Q747" s="245"/>
      <ns0:c r="R747" s="245"/>
      <ns0:c r="S747" s="245"/>
      <ns0:c r="T747" s="245"/>
      <ns0:c r="U747" s="245"/>
      <ns0:c r="V747" s="245"/>
      <ns0:c r="W747" s="245"/>
      <ns0:c r="X747" s="245"/>
      <ns0:c r="Y747" s="245"/>
      <ns0:c r="Z747" s="245"/>
    </ns0:row>
    <ns0:row r="748">
      <ns0:c r="A748" s="245"/>
      <ns0:c r="B748" s="245"/>
      <ns0:c r="C748" s="245"/>
      <ns0:c r="D748" s="245"/>
      <ns0:c r="E748" s="245"/>
      <ns0:c r="F748" s="245"/>
      <ns0:c r="G748" s="245"/>
      <ns0:c r="H748" s="245"/>
      <ns0:c r="I748" s="245"/>
      <ns0:c r="J748" s="245"/>
      <ns0:c r="K748" s="245"/>
      <ns0:c r="L748" s="245"/>
      <ns0:c r="M748" s="245"/>
      <ns0:c r="N748" s="245"/>
      <ns0:c r="O748" s="245"/>
      <ns0:c r="P748" s="245"/>
      <ns0:c r="Q748" s="245"/>
      <ns0:c r="R748" s="245"/>
      <ns0:c r="S748" s="245"/>
      <ns0:c r="T748" s="245"/>
      <ns0:c r="U748" s="245"/>
      <ns0:c r="V748" s="245"/>
      <ns0:c r="W748" s="245"/>
      <ns0:c r="X748" s="245"/>
      <ns0:c r="Y748" s="245"/>
      <ns0:c r="Z748" s="245"/>
    </ns0:row>
    <ns0:row r="749">
      <ns0:c r="A749" s="245"/>
      <ns0:c r="B749" s="245"/>
      <ns0:c r="C749" s="245"/>
      <ns0:c r="D749" s="245"/>
      <ns0:c r="E749" s="245"/>
      <ns0:c r="F749" s="245"/>
      <ns0:c r="G749" s="245"/>
      <ns0:c r="H749" s="245"/>
      <ns0:c r="I749" s="245"/>
      <ns0:c r="J749" s="245"/>
      <ns0:c r="K749" s="245"/>
      <ns0:c r="L749" s="245"/>
      <ns0:c r="M749" s="245"/>
      <ns0:c r="N749" s="245"/>
      <ns0:c r="O749" s="245"/>
      <ns0:c r="P749" s="245"/>
      <ns0:c r="Q749" s="245"/>
      <ns0:c r="R749" s="245"/>
      <ns0:c r="S749" s="245"/>
      <ns0:c r="T749" s="245"/>
      <ns0:c r="U749" s="245"/>
      <ns0:c r="V749" s="245"/>
      <ns0:c r="W749" s="245"/>
      <ns0:c r="X749" s="245"/>
      <ns0:c r="Y749" s="245"/>
      <ns0:c r="Z749" s="245"/>
    </ns0:row>
    <ns0:row r="750">
      <ns0:c r="A750" s="245"/>
      <ns0:c r="B750" s="245"/>
      <ns0:c r="C750" s="245"/>
      <ns0:c r="D750" s="245"/>
      <ns0:c r="E750" s="245"/>
      <ns0:c r="F750" s="245"/>
      <ns0:c r="G750" s="245"/>
      <ns0:c r="H750" s="245"/>
      <ns0:c r="I750" s="245"/>
      <ns0:c r="J750" s="245"/>
      <ns0:c r="K750" s="245"/>
      <ns0:c r="L750" s="245"/>
      <ns0:c r="M750" s="245"/>
      <ns0:c r="N750" s="245"/>
      <ns0:c r="O750" s="245"/>
      <ns0:c r="P750" s="245"/>
      <ns0:c r="Q750" s="245"/>
      <ns0:c r="R750" s="245"/>
      <ns0:c r="S750" s="245"/>
      <ns0:c r="T750" s="245"/>
      <ns0:c r="U750" s="245"/>
      <ns0:c r="V750" s="245"/>
      <ns0:c r="W750" s="245"/>
      <ns0:c r="X750" s="245"/>
      <ns0:c r="Y750" s="245"/>
      <ns0:c r="Z750" s="245"/>
    </ns0:row>
    <ns0:row r="751">
      <ns0:c r="A751" s="245"/>
      <ns0:c r="B751" s="245"/>
      <ns0:c r="C751" s="245"/>
      <ns0:c r="D751" s="245"/>
      <ns0:c r="E751" s="245"/>
      <ns0:c r="F751" s="245"/>
      <ns0:c r="G751" s="245"/>
      <ns0:c r="H751" s="245"/>
      <ns0:c r="I751" s="245"/>
      <ns0:c r="J751" s="245"/>
      <ns0:c r="K751" s="245"/>
      <ns0:c r="L751" s="245"/>
      <ns0:c r="M751" s="245"/>
      <ns0:c r="N751" s="245"/>
      <ns0:c r="O751" s="245"/>
      <ns0:c r="P751" s="245"/>
      <ns0:c r="Q751" s="245"/>
      <ns0:c r="R751" s="245"/>
      <ns0:c r="S751" s="245"/>
      <ns0:c r="T751" s="245"/>
      <ns0:c r="U751" s="245"/>
      <ns0:c r="V751" s="245"/>
      <ns0:c r="W751" s="245"/>
      <ns0:c r="X751" s="245"/>
      <ns0:c r="Y751" s="245"/>
      <ns0:c r="Z751" s="245"/>
    </ns0:row>
    <ns0:row r="752">
      <ns0:c r="A752" s="245"/>
      <ns0:c r="B752" s="245"/>
      <ns0:c r="C752" s="245"/>
      <ns0:c r="D752" s="245"/>
      <ns0:c r="E752" s="245"/>
      <ns0:c r="F752" s="245"/>
      <ns0:c r="G752" s="245"/>
      <ns0:c r="H752" s="245"/>
      <ns0:c r="I752" s="245"/>
      <ns0:c r="J752" s="245"/>
      <ns0:c r="K752" s="245"/>
      <ns0:c r="L752" s="245"/>
      <ns0:c r="M752" s="245"/>
      <ns0:c r="N752" s="245"/>
      <ns0:c r="O752" s="245"/>
      <ns0:c r="P752" s="245"/>
      <ns0:c r="Q752" s="245"/>
      <ns0:c r="R752" s="245"/>
      <ns0:c r="S752" s="245"/>
      <ns0:c r="T752" s="245"/>
      <ns0:c r="U752" s="245"/>
      <ns0:c r="V752" s="245"/>
      <ns0:c r="W752" s="245"/>
      <ns0:c r="X752" s="245"/>
      <ns0:c r="Y752" s="245"/>
      <ns0:c r="Z752" s="245"/>
    </ns0:row>
    <ns0:row r="753">
      <ns0:c r="A753" s="245"/>
      <ns0:c r="B753" s="245"/>
      <ns0:c r="C753" s="245"/>
      <ns0:c r="D753" s="245"/>
      <ns0:c r="E753" s="245"/>
      <ns0:c r="F753" s="245"/>
      <ns0:c r="G753" s="245"/>
      <ns0:c r="H753" s="245"/>
      <ns0:c r="I753" s="245"/>
      <ns0:c r="J753" s="245"/>
      <ns0:c r="K753" s="245"/>
      <ns0:c r="L753" s="245"/>
      <ns0:c r="M753" s="245"/>
      <ns0:c r="N753" s="245"/>
      <ns0:c r="O753" s="245"/>
      <ns0:c r="P753" s="245"/>
      <ns0:c r="Q753" s="245"/>
      <ns0:c r="R753" s="245"/>
      <ns0:c r="S753" s="245"/>
      <ns0:c r="T753" s="245"/>
      <ns0:c r="U753" s="245"/>
      <ns0:c r="V753" s="245"/>
      <ns0:c r="W753" s="245"/>
      <ns0:c r="X753" s="245"/>
      <ns0:c r="Y753" s="245"/>
      <ns0:c r="Z753" s="245"/>
    </ns0:row>
    <ns0:row r="754">
      <ns0:c r="A754" s="245"/>
      <ns0:c r="B754" s="245"/>
      <ns0:c r="C754" s="245"/>
      <ns0:c r="D754" s="245"/>
      <ns0:c r="E754" s="245"/>
      <ns0:c r="F754" s="245"/>
      <ns0:c r="G754" s="245"/>
      <ns0:c r="H754" s="245"/>
      <ns0:c r="I754" s="245"/>
      <ns0:c r="J754" s="245"/>
      <ns0:c r="K754" s="245"/>
      <ns0:c r="L754" s="245"/>
      <ns0:c r="M754" s="245"/>
      <ns0:c r="N754" s="245"/>
      <ns0:c r="O754" s="245"/>
      <ns0:c r="P754" s="245"/>
      <ns0:c r="Q754" s="245"/>
      <ns0:c r="R754" s="245"/>
      <ns0:c r="S754" s="245"/>
      <ns0:c r="T754" s="245"/>
      <ns0:c r="U754" s="245"/>
      <ns0:c r="V754" s="245"/>
      <ns0:c r="W754" s="245"/>
      <ns0:c r="X754" s="245"/>
      <ns0:c r="Y754" s="245"/>
      <ns0:c r="Z754" s="245"/>
    </ns0:row>
    <ns0:row r="755">
      <ns0:c r="A755" s="245"/>
      <ns0:c r="B755" s="245"/>
      <ns0:c r="C755" s="245"/>
      <ns0:c r="D755" s="245"/>
      <ns0:c r="E755" s="245"/>
      <ns0:c r="F755" s="245"/>
      <ns0:c r="G755" s="245"/>
      <ns0:c r="H755" s="245"/>
      <ns0:c r="I755" s="245"/>
      <ns0:c r="J755" s="245"/>
      <ns0:c r="K755" s="245"/>
      <ns0:c r="L755" s="245"/>
      <ns0:c r="M755" s="245"/>
      <ns0:c r="N755" s="245"/>
      <ns0:c r="O755" s="245"/>
      <ns0:c r="P755" s="245"/>
      <ns0:c r="Q755" s="245"/>
      <ns0:c r="R755" s="245"/>
      <ns0:c r="S755" s="245"/>
      <ns0:c r="T755" s="245"/>
      <ns0:c r="U755" s="245"/>
      <ns0:c r="V755" s="245"/>
      <ns0:c r="W755" s="245"/>
      <ns0:c r="X755" s="245"/>
      <ns0:c r="Y755" s="245"/>
      <ns0:c r="Z755" s="245"/>
    </ns0:row>
    <ns0:row r="756">
      <ns0:c r="A756" s="245"/>
      <ns0:c r="B756" s="245"/>
      <ns0:c r="C756" s="245"/>
      <ns0:c r="D756" s="245"/>
      <ns0:c r="E756" s="245"/>
      <ns0:c r="F756" s="245"/>
      <ns0:c r="G756" s="245"/>
      <ns0:c r="H756" s="245"/>
      <ns0:c r="I756" s="245"/>
      <ns0:c r="J756" s="245"/>
      <ns0:c r="K756" s="245"/>
      <ns0:c r="L756" s="245"/>
      <ns0:c r="M756" s="245"/>
      <ns0:c r="N756" s="245"/>
      <ns0:c r="O756" s="245"/>
      <ns0:c r="P756" s="245"/>
      <ns0:c r="Q756" s="245"/>
      <ns0:c r="R756" s="245"/>
      <ns0:c r="S756" s="245"/>
      <ns0:c r="T756" s="245"/>
      <ns0:c r="U756" s="245"/>
      <ns0:c r="V756" s="245"/>
      <ns0:c r="W756" s="245"/>
      <ns0:c r="X756" s="245"/>
      <ns0:c r="Y756" s="245"/>
      <ns0:c r="Z756" s="245"/>
    </ns0:row>
    <ns0:row r="757">
      <ns0:c r="A757" s="245"/>
      <ns0:c r="B757" s="245"/>
      <ns0:c r="C757" s="245"/>
      <ns0:c r="D757" s="245"/>
      <ns0:c r="E757" s="245"/>
      <ns0:c r="F757" s="245"/>
      <ns0:c r="G757" s="245"/>
      <ns0:c r="H757" s="245"/>
      <ns0:c r="I757" s="245"/>
      <ns0:c r="J757" s="245"/>
      <ns0:c r="K757" s="245"/>
      <ns0:c r="L757" s="245"/>
      <ns0:c r="M757" s="245"/>
      <ns0:c r="N757" s="245"/>
      <ns0:c r="O757" s="245"/>
      <ns0:c r="P757" s="245"/>
      <ns0:c r="Q757" s="245"/>
      <ns0:c r="R757" s="245"/>
      <ns0:c r="S757" s="245"/>
      <ns0:c r="T757" s="245"/>
      <ns0:c r="U757" s="245"/>
      <ns0:c r="V757" s="245"/>
      <ns0:c r="W757" s="245"/>
      <ns0:c r="X757" s="245"/>
      <ns0:c r="Y757" s="245"/>
      <ns0:c r="Z757" s="245"/>
    </ns0:row>
    <ns0:row r="758">
      <ns0:c r="A758" s="245"/>
      <ns0:c r="B758" s="245"/>
      <ns0:c r="C758" s="245"/>
      <ns0:c r="D758" s="245"/>
      <ns0:c r="E758" s="245"/>
      <ns0:c r="F758" s="245"/>
      <ns0:c r="G758" s="245"/>
      <ns0:c r="H758" s="245"/>
      <ns0:c r="I758" s="245"/>
      <ns0:c r="J758" s="245"/>
      <ns0:c r="K758" s="245"/>
      <ns0:c r="L758" s="245"/>
      <ns0:c r="M758" s="245"/>
      <ns0:c r="N758" s="245"/>
      <ns0:c r="O758" s="245"/>
      <ns0:c r="P758" s="245"/>
      <ns0:c r="Q758" s="245"/>
      <ns0:c r="R758" s="245"/>
      <ns0:c r="S758" s="245"/>
      <ns0:c r="T758" s="245"/>
      <ns0:c r="U758" s="245"/>
      <ns0:c r="V758" s="245"/>
      <ns0:c r="W758" s="245"/>
      <ns0:c r="X758" s="245"/>
      <ns0:c r="Y758" s="245"/>
      <ns0:c r="Z758" s="245"/>
    </ns0:row>
    <ns0:row r="759">
      <ns0:c r="A759" s="245"/>
      <ns0:c r="B759" s="245"/>
      <ns0:c r="C759" s="245"/>
      <ns0:c r="D759" s="245"/>
      <ns0:c r="E759" s="245"/>
      <ns0:c r="F759" s="245"/>
      <ns0:c r="G759" s="245"/>
      <ns0:c r="H759" s="245"/>
      <ns0:c r="I759" s="245"/>
      <ns0:c r="J759" s="245"/>
      <ns0:c r="K759" s="245"/>
      <ns0:c r="L759" s="245"/>
      <ns0:c r="M759" s="245"/>
      <ns0:c r="N759" s="245"/>
      <ns0:c r="O759" s="245"/>
      <ns0:c r="P759" s="245"/>
      <ns0:c r="Q759" s="245"/>
      <ns0:c r="R759" s="245"/>
      <ns0:c r="S759" s="245"/>
      <ns0:c r="T759" s="245"/>
      <ns0:c r="U759" s="245"/>
      <ns0:c r="V759" s="245"/>
      <ns0:c r="W759" s="245"/>
      <ns0:c r="X759" s="245"/>
      <ns0:c r="Y759" s="245"/>
      <ns0:c r="Z759" s="245"/>
    </ns0:row>
    <ns0:row r="760">
      <ns0:c r="A760" s="245"/>
      <ns0:c r="B760" s="245"/>
      <ns0:c r="C760" s="245"/>
      <ns0:c r="D760" s="245"/>
      <ns0:c r="E760" s="245"/>
      <ns0:c r="F760" s="245"/>
      <ns0:c r="G760" s="245"/>
      <ns0:c r="H760" s="245"/>
      <ns0:c r="I760" s="245"/>
      <ns0:c r="J760" s="245"/>
      <ns0:c r="K760" s="245"/>
      <ns0:c r="L760" s="245"/>
      <ns0:c r="M760" s="245"/>
      <ns0:c r="N760" s="245"/>
      <ns0:c r="O760" s="245"/>
      <ns0:c r="P760" s="245"/>
      <ns0:c r="Q760" s="245"/>
      <ns0:c r="R760" s="245"/>
      <ns0:c r="S760" s="245"/>
      <ns0:c r="T760" s="245"/>
      <ns0:c r="U760" s="245"/>
      <ns0:c r="V760" s="245"/>
      <ns0:c r="W760" s="245"/>
      <ns0:c r="X760" s="245"/>
      <ns0:c r="Y760" s="245"/>
      <ns0:c r="Z760" s="245"/>
    </ns0:row>
    <ns0:row r="761">
      <ns0:c r="A761" s="245"/>
      <ns0:c r="B761" s="245"/>
      <ns0:c r="C761" s="245"/>
      <ns0:c r="D761" s="245"/>
      <ns0:c r="E761" s="245"/>
      <ns0:c r="F761" s="245"/>
      <ns0:c r="G761" s="245"/>
      <ns0:c r="H761" s="245"/>
      <ns0:c r="I761" s="245"/>
      <ns0:c r="J761" s="245"/>
      <ns0:c r="K761" s="245"/>
      <ns0:c r="L761" s="245"/>
      <ns0:c r="M761" s="245"/>
      <ns0:c r="N761" s="245"/>
      <ns0:c r="O761" s="245"/>
      <ns0:c r="P761" s="245"/>
      <ns0:c r="Q761" s="245"/>
      <ns0:c r="R761" s="245"/>
      <ns0:c r="S761" s="245"/>
      <ns0:c r="T761" s="245"/>
      <ns0:c r="U761" s="245"/>
      <ns0:c r="V761" s="245"/>
      <ns0:c r="W761" s="245"/>
      <ns0:c r="X761" s="245"/>
      <ns0:c r="Y761" s="245"/>
      <ns0:c r="Z761" s="245"/>
    </ns0:row>
    <ns0:row r="762">
      <ns0:c r="A762" s="245"/>
      <ns0:c r="B762" s="245"/>
      <ns0:c r="C762" s="245"/>
      <ns0:c r="D762" s="245"/>
      <ns0:c r="E762" s="245"/>
      <ns0:c r="F762" s="245"/>
      <ns0:c r="G762" s="245"/>
      <ns0:c r="H762" s="245"/>
      <ns0:c r="I762" s="245"/>
      <ns0:c r="J762" s="245"/>
      <ns0:c r="K762" s="245"/>
      <ns0:c r="L762" s="245"/>
      <ns0:c r="M762" s="245"/>
      <ns0:c r="N762" s="245"/>
      <ns0:c r="O762" s="245"/>
      <ns0:c r="P762" s="245"/>
      <ns0:c r="Q762" s="245"/>
      <ns0:c r="R762" s="245"/>
      <ns0:c r="S762" s="245"/>
      <ns0:c r="T762" s="245"/>
      <ns0:c r="U762" s="245"/>
      <ns0:c r="V762" s="245"/>
      <ns0:c r="W762" s="245"/>
      <ns0:c r="X762" s="245"/>
      <ns0:c r="Y762" s="245"/>
      <ns0:c r="Z762" s="245"/>
    </ns0:row>
    <ns0:row r="763">
      <ns0:c r="A763" s="245"/>
      <ns0:c r="B763" s="245"/>
      <ns0:c r="C763" s="245"/>
      <ns0:c r="D763" s="245"/>
      <ns0:c r="E763" s="245"/>
      <ns0:c r="F763" s="245"/>
      <ns0:c r="G763" s="245"/>
      <ns0:c r="H763" s="245"/>
      <ns0:c r="I763" s="245"/>
      <ns0:c r="J763" s="245"/>
      <ns0:c r="K763" s="245"/>
      <ns0:c r="L763" s="245"/>
      <ns0:c r="M763" s="245"/>
      <ns0:c r="N763" s="245"/>
      <ns0:c r="O763" s="245"/>
      <ns0:c r="P763" s="245"/>
      <ns0:c r="Q763" s="245"/>
      <ns0:c r="R763" s="245"/>
      <ns0:c r="S763" s="245"/>
      <ns0:c r="T763" s="245"/>
      <ns0:c r="U763" s="245"/>
      <ns0:c r="V763" s="245"/>
      <ns0:c r="W763" s="245"/>
      <ns0:c r="X763" s="245"/>
      <ns0:c r="Y763" s="245"/>
      <ns0:c r="Z763" s="245"/>
    </ns0:row>
    <ns0:row r="764">
      <ns0:c r="A764" s="245"/>
      <ns0:c r="B764" s="245"/>
      <ns0:c r="C764" s="245"/>
      <ns0:c r="D764" s="245"/>
      <ns0:c r="E764" s="245"/>
      <ns0:c r="F764" s="245"/>
      <ns0:c r="G764" s="245"/>
      <ns0:c r="H764" s="245"/>
      <ns0:c r="I764" s="245"/>
      <ns0:c r="J764" s="245"/>
      <ns0:c r="K764" s="245"/>
      <ns0:c r="L764" s="245"/>
      <ns0:c r="M764" s="245"/>
      <ns0:c r="N764" s="245"/>
      <ns0:c r="O764" s="245"/>
      <ns0:c r="P764" s="245"/>
      <ns0:c r="Q764" s="245"/>
      <ns0:c r="R764" s="245"/>
      <ns0:c r="S764" s="245"/>
      <ns0:c r="T764" s="245"/>
      <ns0:c r="U764" s="245"/>
      <ns0:c r="V764" s="245"/>
      <ns0:c r="W764" s="245"/>
      <ns0:c r="X764" s="245"/>
      <ns0:c r="Y764" s="245"/>
      <ns0:c r="Z764" s="245"/>
    </ns0:row>
    <ns0:row r="765">
      <ns0:c r="A765" s="245"/>
      <ns0:c r="B765" s="245"/>
      <ns0:c r="C765" s="245"/>
      <ns0:c r="D765" s="245"/>
      <ns0:c r="E765" s="245"/>
      <ns0:c r="F765" s="245"/>
      <ns0:c r="G765" s="245"/>
      <ns0:c r="H765" s="245"/>
      <ns0:c r="I765" s="245"/>
      <ns0:c r="J765" s="245"/>
      <ns0:c r="K765" s="245"/>
      <ns0:c r="L765" s="245"/>
      <ns0:c r="M765" s="245"/>
      <ns0:c r="N765" s="245"/>
      <ns0:c r="O765" s="245"/>
      <ns0:c r="P765" s="245"/>
      <ns0:c r="Q765" s="245"/>
      <ns0:c r="R765" s="245"/>
      <ns0:c r="S765" s="245"/>
      <ns0:c r="T765" s="245"/>
      <ns0:c r="U765" s="245"/>
      <ns0:c r="V765" s="245"/>
      <ns0:c r="W765" s="245"/>
      <ns0:c r="X765" s="245"/>
      <ns0:c r="Y765" s="245"/>
      <ns0:c r="Z765" s="245"/>
    </ns0:row>
    <ns0:row r="766">
      <ns0:c r="A766" s="245"/>
      <ns0:c r="B766" s="245"/>
      <ns0:c r="C766" s="245"/>
      <ns0:c r="D766" s="245"/>
      <ns0:c r="E766" s="245"/>
      <ns0:c r="F766" s="245"/>
      <ns0:c r="G766" s="245"/>
      <ns0:c r="H766" s="245"/>
      <ns0:c r="I766" s="245"/>
      <ns0:c r="J766" s="245"/>
      <ns0:c r="K766" s="245"/>
      <ns0:c r="L766" s="245"/>
      <ns0:c r="M766" s="245"/>
      <ns0:c r="N766" s="245"/>
      <ns0:c r="O766" s="245"/>
      <ns0:c r="P766" s="245"/>
      <ns0:c r="Q766" s="245"/>
      <ns0:c r="R766" s="245"/>
      <ns0:c r="S766" s="245"/>
      <ns0:c r="T766" s="245"/>
      <ns0:c r="U766" s="245"/>
      <ns0:c r="V766" s="245"/>
      <ns0:c r="W766" s="245"/>
      <ns0:c r="X766" s="245"/>
      <ns0:c r="Y766" s="245"/>
      <ns0:c r="Z766" s="245"/>
    </ns0:row>
    <ns0:row r="767">
      <ns0:c r="A767" s="245"/>
      <ns0:c r="B767" s="245"/>
      <ns0:c r="C767" s="245"/>
      <ns0:c r="D767" s="245"/>
      <ns0:c r="E767" s="245"/>
      <ns0:c r="F767" s="245"/>
      <ns0:c r="G767" s="245"/>
      <ns0:c r="H767" s="245"/>
      <ns0:c r="I767" s="245"/>
      <ns0:c r="J767" s="245"/>
      <ns0:c r="K767" s="245"/>
      <ns0:c r="L767" s="245"/>
      <ns0:c r="M767" s="245"/>
      <ns0:c r="N767" s="245"/>
      <ns0:c r="O767" s="245"/>
      <ns0:c r="P767" s="245"/>
      <ns0:c r="Q767" s="245"/>
      <ns0:c r="R767" s="245"/>
      <ns0:c r="S767" s="245"/>
      <ns0:c r="T767" s="245"/>
      <ns0:c r="U767" s="245"/>
      <ns0:c r="V767" s="245"/>
      <ns0:c r="W767" s="245"/>
      <ns0:c r="X767" s="245"/>
      <ns0:c r="Y767" s="245"/>
      <ns0:c r="Z767" s="245"/>
    </ns0:row>
    <ns0:row r="768">
      <ns0:c r="A768" s="245"/>
      <ns0:c r="B768" s="245"/>
      <ns0:c r="C768" s="245"/>
      <ns0:c r="D768" s="245"/>
      <ns0:c r="E768" s="245"/>
      <ns0:c r="F768" s="245"/>
      <ns0:c r="G768" s="245"/>
      <ns0:c r="H768" s="245"/>
      <ns0:c r="I768" s="245"/>
      <ns0:c r="J768" s="245"/>
      <ns0:c r="K768" s="245"/>
      <ns0:c r="L768" s="245"/>
      <ns0:c r="M768" s="245"/>
      <ns0:c r="N768" s="245"/>
      <ns0:c r="O768" s="245"/>
      <ns0:c r="P768" s="245"/>
      <ns0:c r="Q768" s="245"/>
      <ns0:c r="R768" s="245"/>
      <ns0:c r="S768" s="245"/>
      <ns0:c r="T768" s="245"/>
      <ns0:c r="U768" s="245"/>
      <ns0:c r="V768" s="245"/>
      <ns0:c r="W768" s="245"/>
      <ns0:c r="X768" s="245"/>
      <ns0:c r="Y768" s="245"/>
      <ns0:c r="Z768" s="245"/>
    </ns0:row>
    <ns0:row r="769">
      <ns0:c r="A769" s="245"/>
      <ns0:c r="B769" s="245"/>
      <ns0:c r="C769" s="245"/>
      <ns0:c r="D769" s="245"/>
      <ns0:c r="E769" s="245"/>
      <ns0:c r="F769" s="245"/>
      <ns0:c r="G769" s="245"/>
      <ns0:c r="H769" s="245"/>
      <ns0:c r="I769" s="245"/>
      <ns0:c r="J769" s="245"/>
      <ns0:c r="K769" s="245"/>
      <ns0:c r="L769" s="245"/>
      <ns0:c r="M769" s="245"/>
      <ns0:c r="N769" s="245"/>
      <ns0:c r="O769" s="245"/>
      <ns0:c r="P769" s="245"/>
      <ns0:c r="Q769" s="245"/>
      <ns0:c r="R769" s="245"/>
      <ns0:c r="S769" s="245"/>
      <ns0:c r="T769" s="245"/>
      <ns0:c r="U769" s="245"/>
      <ns0:c r="V769" s="245"/>
      <ns0:c r="W769" s="245"/>
      <ns0:c r="X769" s="245"/>
      <ns0:c r="Y769" s="245"/>
      <ns0:c r="Z769" s="245"/>
    </ns0:row>
    <ns0:row r="770">
      <ns0:c r="A770" s="245"/>
      <ns0:c r="B770" s="245"/>
      <ns0:c r="C770" s="245"/>
      <ns0:c r="D770" s="245"/>
      <ns0:c r="E770" s="245"/>
      <ns0:c r="F770" s="245"/>
      <ns0:c r="G770" s="245"/>
      <ns0:c r="H770" s="245"/>
      <ns0:c r="I770" s="245"/>
      <ns0:c r="J770" s="245"/>
      <ns0:c r="K770" s="245"/>
      <ns0:c r="L770" s="245"/>
      <ns0:c r="M770" s="245"/>
      <ns0:c r="N770" s="245"/>
      <ns0:c r="O770" s="245"/>
      <ns0:c r="P770" s="245"/>
      <ns0:c r="Q770" s="245"/>
      <ns0:c r="R770" s="245"/>
      <ns0:c r="S770" s="245"/>
      <ns0:c r="T770" s="245"/>
      <ns0:c r="U770" s="245"/>
      <ns0:c r="V770" s="245"/>
      <ns0:c r="W770" s="245"/>
      <ns0:c r="X770" s="245"/>
      <ns0:c r="Y770" s="245"/>
      <ns0:c r="Z770" s="245"/>
    </ns0:row>
    <ns0:row r="771">
      <ns0:c r="A771" s="245"/>
      <ns0:c r="B771" s="245"/>
      <ns0:c r="C771" s="245"/>
      <ns0:c r="D771" s="245"/>
      <ns0:c r="E771" s="245"/>
      <ns0:c r="F771" s="245"/>
      <ns0:c r="G771" s="245"/>
      <ns0:c r="H771" s="245"/>
      <ns0:c r="I771" s="245"/>
      <ns0:c r="J771" s="245"/>
      <ns0:c r="K771" s="245"/>
      <ns0:c r="L771" s="245"/>
      <ns0:c r="M771" s="245"/>
      <ns0:c r="N771" s="245"/>
      <ns0:c r="O771" s="245"/>
      <ns0:c r="P771" s="245"/>
      <ns0:c r="Q771" s="245"/>
      <ns0:c r="R771" s="245"/>
      <ns0:c r="S771" s="245"/>
      <ns0:c r="T771" s="245"/>
      <ns0:c r="U771" s="245"/>
      <ns0:c r="V771" s="245"/>
      <ns0:c r="W771" s="245"/>
      <ns0:c r="X771" s="245"/>
      <ns0:c r="Y771" s="245"/>
      <ns0:c r="Z771" s="245"/>
    </ns0:row>
    <ns0:row r="772">
      <ns0:c r="A772" s="245"/>
      <ns0:c r="B772" s="245"/>
      <ns0:c r="C772" s="245"/>
      <ns0:c r="D772" s="245"/>
      <ns0:c r="E772" s="245"/>
      <ns0:c r="F772" s="245"/>
      <ns0:c r="G772" s="245"/>
      <ns0:c r="H772" s="245"/>
      <ns0:c r="I772" s="245"/>
      <ns0:c r="J772" s="245"/>
      <ns0:c r="K772" s="245"/>
      <ns0:c r="L772" s="245"/>
      <ns0:c r="M772" s="245"/>
      <ns0:c r="N772" s="245"/>
      <ns0:c r="O772" s="245"/>
      <ns0:c r="P772" s="245"/>
      <ns0:c r="Q772" s="245"/>
      <ns0:c r="R772" s="245"/>
      <ns0:c r="S772" s="245"/>
      <ns0:c r="T772" s="245"/>
      <ns0:c r="U772" s="245"/>
      <ns0:c r="V772" s="245"/>
      <ns0:c r="W772" s="245"/>
      <ns0:c r="X772" s="245"/>
      <ns0:c r="Y772" s="245"/>
      <ns0:c r="Z772" s="245"/>
    </ns0:row>
    <ns0:row r="773">
      <ns0:c r="A773" s="245"/>
      <ns0:c r="B773" s="245"/>
      <ns0:c r="C773" s="245"/>
      <ns0:c r="D773" s="245"/>
      <ns0:c r="E773" s="245"/>
      <ns0:c r="F773" s="245"/>
      <ns0:c r="G773" s="245"/>
      <ns0:c r="H773" s="245"/>
      <ns0:c r="I773" s="245"/>
      <ns0:c r="J773" s="245"/>
      <ns0:c r="K773" s="245"/>
      <ns0:c r="L773" s="245"/>
      <ns0:c r="M773" s="245"/>
      <ns0:c r="N773" s="245"/>
      <ns0:c r="O773" s="245"/>
      <ns0:c r="P773" s="245"/>
      <ns0:c r="Q773" s="245"/>
      <ns0:c r="R773" s="245"/>
      <ns0:c r="S773" s="245"/>
      <ns0:c r="T773" s="245"/>
      <ns0:c r="U773" s="245"/>
      <ns0:c r="V773" s="245"/>
      <ns0:c r="W773" s="245"/>
      <ns0:c r="X773" s="245"/>
      <ns0:c r="Y773" s="245"/>
      <ns0:c r="Z773" s="245"/>
    </ns0:row>
    <ns0:row r="774">
      <ns0:c r="A774" s="245"/>
      <ns0:c r="B774" s="245"/>
      <ns0:c r="C774" s="245"/>
      <ns0:c r="D774" s="245"/>
      <ns0:c r="E774" s="245"/>
      <ns0:c r="F774" s="245"/>
      <ns0:c r="G774" s="245"/>
      <ns0:c r="H774" s="245"/>
      <ns0:c r="I774" s="245"/>
      <ns0:c r="J774" s="245"/>
      <ns0:c r="K774" s="245"/>
      <ns0:c r="L774" s="245"/>
      <ns0:c r="M774" s="245"/>
      <ns0:c r="N774" s="245"/>
      <ns0:c r="O774" s="245"/>
      <ns0:c r="P774" s="245"/>
      <ns0:c r="Q774" s="245"/>
      <ns0:c r="R774" s="245"/>
      <ns0:c r="S774" s="245"/>
      <ns0:c r="T774" s="245"/>
      <ns0:c r="U774" s="245"/>
      <ns0:c r="V774" s="245"/>
      <ns0:c r="W774" s="245"/>
      <ns0:c r="X774" s="245"/>
      <ns0:c r="Y774" s="245"/>
      <ns0:c r="Z774" s="245"/>
    </ns0:row>
    <ns0:row r="775">
      <ns0:c r="A775" s="245"/>
      <ns0:c r="B775" s="245"/>
      <ns0:c r="C775" s="245"/>
      <ns0:c r="D775" s="245"/>
      <ns0:c r="E775" s="245"/>
      <ns0:c r="F775" s="245"/>
      <ns0:c r="G775" s="245"/>
      <ns0:c r="H775" s="245"/>
      <ns0:c r="I775" s="245"/>
      <ns0:c r="J775" s="245"/>
      <ns0:c r="K775" s="245"/>
      <ns0:c r="L775" s="245"/>
      <ns0:c r="M775" s="245"/>
      <ns0:c r="N775" s="245"/>
      <ns0:c r="O775" s="245"/>
      <ns0:c r="P775" s="245"/>
      <ns0:c r="Q775" s="245"/>
      <ns0:c r="R775" s="245"/>
      <ns0:c r="S775" s="245"/>
      <ns0:c r="T775" s="245"/>
      <ns0:c r="U775" s="245"/>
      <ns0:c r="V775" s="245"/>
      <ns0:c r="W775" s="245"/>
      <ns0:c r="X775" s="245"/>
      <ns0:c r="Y775" s="245"/>
      <ns0:c r="Z775" s="245"/>
    </ns0:row>
    <ns0:row r="776">
      <ns0:c r="A776" s="245"/>
      <ns0:c r="B776" s="245"/>
      <ns0:c r="C776" s="245"/>
      <ns0:c r="D776" s="245"/>
      <ns0:c r="E776" s="245"/>
      <ns0:c r="F776" s="245"/>
      <ns0:c r="G776" s="245"/>
      <ns0:c r="H776" s="245"/>
      <ns0:c r="I776" s="245"/>
      <ns0:c r="J776" s="245"/>
      <ns0:c r="K776" s="245"/>
      <ns0:c r="L776" s="245"/>
      <ns0:c r="M776" s="245"/>
      <ns0:c r="N776" s="245"/>
      <ns0:c r="O776" s="245"/>
      <ns0:c r="P776" s="245"/>
      <ns0:c r="Q776" s="245"/>
      <ns0:c r="R776" s="245"/>
      <ns0:c r="S776" s="245"/>
      <ns0:c r="T776" s="245"/>
      <ns0:c r="U776" s="245"/>
      <ns0:c r="V776" s="245"/>
      <ns0:c r="W776" s="245"/>
      <ns0:c r="X776" s="245"/>
      <ns0:c r="Y776" s="245"/>
      <ns0:c r="Z776" s="245"/>
    </ns0:row>
    <ns0:row r="777">
      <ns0:c r="A777" s="245"/>
      <ns0:c r="B777" s="245"/>
      <ns0:c r="C777" s="245"/>
      <ns0:c r="D777" s="245"/>
      <ns0:c r="E777" s="245"/>
      <ns0:c r="F777" s="245"/>
      <ns0:c r="G777" s="245"/>
      <ns0:c r="H777" s="245"/>
      <ns0:c r="I777" s="245"/>
      <ns0:c r="J777" s="245"/>
      <ns0:c r="K777" s="245"/>
      <ns0:c r="L777" s="245"/>
      <ns0:c r="M777" s="245"/>
      <ns0:c r="N777" s="245"/>
      <ns0:c r="O777" s="245"/>
      <ns0:c r="P777" s="245"/>
      <ns0:c r="Q777" s="245"/>
      <ns0:c r="R777" s="245"/>
      <ns0:c r="S777" s="245"/>
      <ns0:c r="T777" s="245"/>
      <ns0:c r="U777" s="245"/>
      <ns0:c r="V777" s="245"/>
      <ns0:c r="W777" s="245"/>
      <ns0:c r="X777" s="245"/>
      <ns0:c r="Y777" s="245"/>
      <ns0:c r="Z777" s="245"/>
    </ns0:row>
    <ns0:row r="778">
      <ns0:c r="A778" s="245"/>
      <ns0:c r="B778" s="245"/>
      <ns0:c r="C778" s="245"/>
      <ns0:c r="D778" s="245"/>
      <ns0:c r="E778" s="245"/>
      <ns0:c r="F778" s="245"/>
      <ns0:c r="G778" s="245"/>
      <ns0:c r="H778" s="245"/>
      <ns0:c r="I778" s="245"/>
      <ns0:c r="J778" s="245"/>
      <ns0:c r="K778" s="245"/>
      <ns0:c r="L778" s="245"/>
      <ns0:c r="M778" s="245"/>
      <ns0:c r="N778" s="245"/>
      <ns0:c r="O778" s="245"/>
      <ns0:c r="P778" s="245"/>
      <ns0:c r="Q778" s="245"/>
      <ns0:c r="R778" s="245"/>
      <ns0:c r="S778" s="245"/>
      <ns0:c r="T778" s="245"/>
      <ns0:c r="U778" s="245"/>
      <ns0:c r="V778" s="245"/>
      <ns0:c r="W778" s="245"/>
      <ns0:c r="X778" s="245"/>
      <ns0:c r="Y778" s="245"/>
      <ns0:c r="Z778" s="245"/>
    </ns0:row>
    <ns0:row r="779">
      <ns0:c r="A779" s="245"/>
      <ns0:c r="B779" s="245"/>
      <ns0:c r="C779" s="245"/>
      <ns0:c r="D779" s="245"/>
      <ns0:c r="E779" s="245"/>
      <ns0:c r="F779" s="245"/>
      <ns0:c r="G779" s="245"/>
      <ns0:c r="H779" s="245"/>
      <ns0:c r="I779" s="245"/>
      <ns0:c r="J779" s="245"/>
      <ns0:c r="K779" s="245"/>
      <ns0:c r="L779" s="245"/>
      <ns0:c r="M779" s="245"/>
      <ns0:c r="N779" s="245"/>
      <ns0:c r="O779" s="245"/>
      <ns0:c r="P779" s="245"/>
      <ns0:c r="Q779" s="245"/>
      <ns0:c r="R779" s="245"/>
      <ns0:c r="S779" s="245"/>
      <ns0:c r="T779" s="245"/>
      <ns0:c r="U779" s="245"/>
      <ns0:c r="V779" s="245"/>
      <ns0:c r="W779" s="245"/>
      <ns0:c r="X779" s="245"/>
      <ns0:c r="Y779" s="245"/>
      <ns0:c r="Z779" s="245"/>
    </ns0:row>
    <ns0:row r="780">
      <ns0:c r="A780" s="245"/>
      <ns0:c r="B780" s="245"/>
      <ns0:c r="C780" s="245"/>
      <ns0:c r="D780" s="245"/>
      <ns0:c r="E780" s="245"/>
      <ns0:c r="F780" s="245"/>
      <ns0:c r="G780" s="245"/>
      <ns0:c r="H780" s="245"/>
      <ns0:c r="I780" s="245"/>
      <ns0:c r="J780" s="245"/>
      <ns0:c r="K780" s="245"/>
      <ns0:c r="L780" s="245"/>
      <ns0:c r="M780" s="245"/>
      <ns0:c r="N780" s="245"/>
      <ns0:c r="O780" s="245"/>
      <ns0:c r="P780" s="245"/>
      <ns0:c r="Q780" s="245"/>
      <ns0:c r="R780" s="245"/>
      <ns0:c r="S780" s="245"/>
      <ns0:c r="T780" s="245"/>
      <ns0:c r="U780" s="245"/>
      <ns0:c r="V780" s="245"/>
      <ns0:c r="W780" s="245"/>
      <ns0:c r="X780" s="245"/>
      <ns0:c r="Y780" s="245"/>
      <ns0:c r="Z780" s="245"/>
    </ns0:row>
    <ns0:row r="781">
      <ns0:c r="A781" s="245"/>
      <ns0:c r="B781" s="245"/>
      <ns0:c r="C781" s="245"/>
      <ns0:c r="D781" s="245"/>
      <ns0:c r="E781" s="245"/>
      <ns0:c r="F781" s="245"/>
      <ns0:c r="G781" s="245"/>
      <ns0:c r="H781" s="245"/>
      <ns0:c r="I781" s="245"/>
      <ns0:c r="J781" s="245"/>
      <ns0:c r="K781" s="245"/>
      <ns0:c r="L781" s="245"/>
      <ns0:c r="M781" s="245"/>
      <ns0:c r="N781" s="245"/>
      <ns0:c r="O781" s="245"/>
      <ns0:c r="P781" s="245"/>
      <ns0:c r="Q781" s="245"/>
      <ns0:c r="R781" s="245"/>
      <ns0:c r="S781" s="245"/>
      <ns0:c r="T781" s="245"/>
      <ns0:c r="U781" s="245"/>
      <ns0:c r="V781" s="245"/>
      <ns0:c r="W781" s="245"/>
      <ns0:c r="X781" s="245"/>
      <ns0:c r="Y781" s="245"/>
      <ns0:c r="Z781" s="245"/>
    </ns0:row>
    <ns0:row r="782">
      <ns0:c r="A782" s="245"/>
      <ns0:c r="B782" s="245"/>
      <ns0:c r="C782" s="245"/>
      <ns0:c r="D782" s="245"/>
      <ns0:c r="E782" s="245"/>
      <ns0:c r="F782" s="245"/>
      <ns0:c r="G782" s="245"/>
      <ns0:c r="H782" s="245"/>
      <ns0:c r="I782" s="245"/>
      <ns0:c r="J782" s="245"/>
      <ns0:c r="K782" s="245"/>
      <ns0:c r="L782" s="245"/>
      <ns0:c r="M782" s="245"/>
      <ns0:c r="N782" s="245"/>
      <ns0:c r="O782" s="245"/>
      <ns0:c r="P782" s="245"/>
      <ns0:c r="Q782" s="245"/>
      <ns0:c r="R782" s="245"/>
      <ns0:c r="S782" s="245"/>
      <ns0:c r="T782" s="245"/>
      <ns0:c r="U782" s="245"/>
      <ns0:c r="V782" s="245"/>
      <ns0:c r="W782" s="245"/>
      <ns0:c r="X782" s="245"/>
      <ns0:c r="Y782" s="245"/>
      <ns0:c r="Z782" s="245"/>
    </ns0:row>
    <ns0:row r="783">
      <ns0:c r="A783" s="245"/>
      <ns0:c r="B783" s="245"/>
      <ns0:c r="C783" s="245"/>
      <ns0:c r="D783" s="245"/>
      <ns0:c r="E783" s="245"/>
      <ns0:c r="F783" s="245"/>
      <ns0:c r="G783" s="245"/>
      <ns0:c r="H783" s="245"/>
      <ns0:c r="I783" s="245"/>
      <ns0:c r="J783" s="245"/>
      <ns0:c r="K783" s="245"/>
      <ns0:c r="L783" s="245"/>
      <ns0:c r="M783" s="245"/>
      <ns0:c r="N783" s="245"/>
      <ns0:c r="O783" s="245"/>
      <ns0:c r="P783" s="245"/>
      <ns0:c r="Q783" s="245"/>
      <ns0:c r="R783" s="245"/>
      <ns0:c r="S783" s="245"/>
      <ns0:c r="T783" s="245"/>
      <ns0:c r="U783" s="245"/>
      <ns0:c r="V783" s="245"/>
      <ns0:c r="W783" s="245"/>
      <ns0:c r="X783" s="245"/>
      <ns0:c r="Y783" s="245"/>
      <ns0:c r="Z783" s="245"/>
    </ns0:row>
    <ns0:row r="784">
      <ns0:c r="A784" s="245"/>
      <ns0:c r="B784" s="245"/>
      <ns0:c r="C784" s="245"/>
      <ns0:c r="D784" s="245"/>
      <ns0:c r="E784" s="245"/>
      <ns0:c r="F784" s="245"/>
      <ns0:c r="G784" s="245"/>
      <ns0:c r="H784" s="245"/>
      <ns0:c r="I784" s="245"/>
      <ns0:c r="J784" s="245"/>
      <ns0:c r="K784" s="245"/>
      <ns0:c r="L784" s="245"/>
      <ns0:c r="M784" s="245"/>
      <ns0:c r="N784" s="245"/>
      <ns0:c r="O784" s="245"/>
      <ns0:c r="P784" s="245"/>
      <ns0:c r="Q784" s="245"/>
      <ns0:c r="R784" s="245"/>
      <ns0:c r="S784" s="245"/>
      <ns0:c r="T784" s="245"/>
      <ns0:c r="U784" s="245"/>
      <ns0:c r="V784" s="245"/>
      <ns0:c r="W784" s="245"/>
      <ns0:c r="X784" s="245"/>
      <ns0:c r="Y784" s="245"/>
      <ns0:c r="Z784" s="245"/>
    </ns0:row>
    <ns0:row r="785">
      <ns0:c r="A785" s="245"/>
      <ns0:c r="B785" s="245"/>
      <ns0:c r="C785" s="245"/>
      <ns0:c r="D785" s="245"/>
      <ns0:c r="E785" s="245"/>
      <ns0:c r="F785" s="245"/>
      <ns0:c r="G785" s="245"/>
      <ns0:c r="H785" s="245"/>
      <ns0:c r="I785" s="245"/>
      <ns0:c r="J785" s="245"/>
      <ns0:c r="K785" s="245"/>
      <ns0:c r="L785" s="245"/>
      <ns0:c r="M785" s="245"/>
      <ns0:c r="N785" s="245"/>
      <ns0:c r="O785" s="245"/>
      <ns0:c r="P785" s="245"/>
      <ns0:c r="Q785" s="245"/>
      <ns0:c r="R785" s="245"/>
      <ns0:c r="S785" s="245"/>
      <ns0:c r="T785" s="245"/>
      <ns0:c r="U785" s="245"/>
      <ns0:c r="V785" s="245"/>
      <ns0:c r="W785" s="245"/>
      <ns0:c r="X785" s="245"/>
      <ns0:c r="Y785" s="245"/>
      <ns0:c r="Z785" s="245"/>
    </ns0:row>
    <ns0:row r="786">
      <ns0:c r="A786" s="245"/>
      <ns0:c r="B786" s="245"/>
      <ns0:c r="C786" s="245"/>
      <ns0:c r="D786" s="245"/>
      <ns0:c r="E786" s="245"/>
      <ns0:c r="F786" s="245"/>
      <ns0:c r="G786" s="245"/>
      <ns0:c r="H786" s="245"/>
      <ns0:c r="I786" s="245"/>
      <ns0:c r="J786" s="245"/>
      <ns0:c r="K786" s="245"/>
      <ns0:c r="L786" s="245"/>
      <ns0:c r="M786" s="245"/>
      <ns0:c r="N786" s="245"/>
      <ns0:c r="O786" s="245"/>
      <ns0:c r="P786" s="245"/>
      <ns0:c r="Q786" s="245"/>
      <ns0:c r="R786" s="245"/>
      <ns0:c r="S786" s="245"/>
      <ns0:c r="T786" s="245"/>
      <ns0:c r="U786" s="245"/>
      <ns0:c r="V786" s="245"/>
      <ns0:c r="W786" s="245"/>
      <ns0:c r="X786" s="245"/>
      <ns0:c r="Y786" s="245"/>
      <ns0:c r="Z786" s="245"/>
    </ns0:row>
    <ns0:row r="787">
      <ns0:c r="A787" s="245"/>
      <ns0:c r="B787" s="245"/>
      <ns0:c r="C787" s="245"/>
      <ns0:c r="D787" s="245"/>
      <ns0:c r="E787" s="245"/>
      <ns0:c r="F787" s="245"/>
      <ns0:c r="G787" s="245"/>
      <ns0:c r="H787" s="245"/>
      <ns0:c r="I787" s="245"/>
      <ns0:c r="J787" s="245"/>
      <ns0:c r="K787" s="245"/>
      <ns0:c r="L787" s="245"/>
      <ns0:c r="M787" s="245"/>
      <ns0:c r="N787" s="245"/>
      <ns0:c r="O787" s="245"/>
      <ns0:c r="P787" s="245"/>
      <ns0:c r="Q787" s="245"/>
      <ns0:c r="R787" s="245"/>
      <ns0:c r="S787" s="245"/>
      <ns0:c r="T787" s="245"/>
      <ns0:c r="U787" s="245"/>
      <ns0:c r="V787" s="245"/>
      <ns0:c r="W787" s="245"/>
      <ns0:c r="X787" s="245"/>
      <ns0:c r="Y787" s="245"/>
      <ns0:c r="Z787" s="245"/>
    </ns0:row>
    <ns0:row r="788">
      <ns0:c r="A788" s="245"/>
      <ns0:c r="B788" s="245"/>
      <ns0:c r="C788" s="245"/>
      <ns0:c r="D788" s="245"/>
      <ns0:c r="E788" s="245"/>
      <ns0:c r="F788" s="245"/>
      <ns0:c r="G788" s="245"/>
      <ns0:c r="H788" s="245"/>
      <ns0:c r="I788" s="245"/>
      <ns0:c r="J788" s="245"/>
      <ns0:c r="K788" s="245"/>
      <ns0:c r="L788" s="245"/>
      <ns0:c r="M788" s="245"/>
      <ns0:c r="N788" s="245"/>
      <ns0:c r="O788" s="245"/>
      <ns0:c r="P788" s="245"/>
      <ns0:c r="Q788" s="245"/>
      <ns0:c r="R788" s="245"/>
      <ns0:c r="S788" s="245"/>
      <ns0:c r="T788" s="245"/>
      <ns0:c r="U788" s="245"/>
      <ns0:c r="V788" s="245"/>
      <ns0:c r="W788" s="245"/>
      <ns0:c r="X788" s="245"/>
      <ns0:c r="Y788" s="245"/>
      <ns0:c r="Z788" s="245"/>
    </ns0:row>
    <ns0:row r="789">
      <ns0:c r="A789" s="245"/>
      <ns0:c r="B789" s="245"/>
      <ns0:c r="C789" s="245"/>
      <ns0:c r="D789" s="245"/>
      <ns0:c r="E789" s="245"/>
      <ns0:c r="F789" s="245"/>
      <ns0:c r="G789" s="245"/>
      <ns0:c r="H789" s="245"/>
      <ns0:c r="I789" s="245"/>
      <ns0:c r="J789" s="245"/>
      <ns0:c r="K789" s="245"/>
      <ns0:c r="L789" s="245"/>
      <ns0:c r="M789" s="245"/>
      <ns0:c r="N789" s="245"/>
      <ns0:c r="O789" s="245"/>
      <ns0:c r="P789" s="245"/>
      <ns0:c r="Q789" s="245"/>
      <ns0:c r="R789" s="245"/>
      <ns0:c r="S789" s="245"/>
      <ns0:c r="T789" s="245"/>
      <ns0:c r="U789" s="245"/>
      <ns0:c r="V789" s="245"/>
      <ns0:c r="W789" s="245"/>
      <ns0:c r="X789" s="245"/>
      <ns0:c r="Y789" s="245"/>
      <ns0:c r="Z789" s="245"/>
    </ns0:row>
    <ns0:row r="790">
      <ns0:c r="A790" s="245"/>
      <ns0:c r="B790" s="245"/>
      <ns0:c r="C790" s="245"/>
      <ns0:c r="D790" s="245"/>
      <ns0:c r="E790" s="245"/>
      <ns0:c r="F790" s="245"/>
      <ns0:c r="G790" s="245"/>
      <ns0:c r="H790" s="245"/>
      <ns0:c r="I790" s="245"/>
      <ns0:c r="J790" s="245"/>
      <ns0:c r="K790" s="245"/>
      <ns0:c r="L790" s="245"/>
      <ns0:c r="M790" s="245"/>
      <ns0:c r="N790" s="245"/>
      <ns0:c r="O790" s="245"/>
      <ns0:c r="P790" s="245"/>
      <ns0:c r="Q790" s="245"/>
      <ns0:c r="R790" s="245"/>
      <ns0:c r="S790" s="245"/>
      <ns0:c r="T790" s="245"/>
      <ns0:c r="U790" s="245"/>
      <ns0:c r="V790" s="245"/>
      <ns0:c r="W790" s="245"/>
      <ns0:c r="X790" s="245"/>
      <ns0:c r="Y790" s="245"/>
      <ns0:c r="Z790" s="245"/>
    </ns0:row>
    <ns0:row r="791">
      <ns0:c r="A791" s="245"/>
      <ns0:c r="B791" s="245"/>
      <ns0:c r="C791" s="245"/>
      <ns0:c r="D791" s="245"/>
      <ns0:c r="E791" s="245"/>
      <ns0:c r="F791" s="245"/>
      <ns0:c r="G791" s="245"/>
      <ns0:c r="H791" s="245"/>
      <ns0:c r="I791" s="245"/>
      <ns0:c r="J791" s="245"/>
      <ns0:c r="K791" s="245"/>
      <ns0:c r="L791" s="245"/>
      <ns0:c r="M791" s="245"/>
      <ns0:c r="N791" s="245"/>
      <ns0:c r="O791" s="245"/>
      <ns0:c r="P791" s="245"/>
      <ns0:c r="Q791" s="245"/>
      <ns0:c r="R791" s="245"/>
      <ns0:c r="S791" s="245"/>
      <ns0:c r="T791" s="245"/>
      <ns0:c r="U791" s="245"/>
      <ns0:c r="V791" s="245"/>
      <ns0:c r="W791" s="245"/>
      <ns0:c r="X791" s="245"/>
      <ns0:c r="Y791" s="245"/>
      <ns0:c r="Z791" s="245"/>
    </ns0:row>
    <ns0:row r="792">
      <ns0:c r="A792" s="245"/>
      <ns0:c r="B792" s="245"/>
      <ns0:c r="C792" s="245"/>
      <ns0:c r="D792" s="245"/>
      <ns0:c r="E792" s="245"/>
      <ns0:c r="F792" s="245"/>
      <ns0:c r="G792" s="245"/>
      <ns0:c r="H792" s="245"/>
      <ns0:c r="I792" s="245"/>
      <ns0:c r="J792" s="245"/>
      <ns0:c r="K792" s="245"/>
      <ns0:c r="L792" s="245"/>
      <ns0:c r="M792" s="245"/>
      <ns0:c r="N792" s="245"/>
      <ns0:c r="O792" s="245"/>
      <ns0:c r="P792" s="245"/>
      <ns0:c r="Q792" s="245"/>
      <ns0:c r="R792" s="245"/>
      <ns0:c r="S792" s="245"/>
      <ns0:c r="T792" s="245"/>
      <ns0:c r="U792" s="245"/>
      <ns0:c r="V792" s="245"/>
      <ns0:c r="W792" s="245"/>
      <ns0:c r="X792" s="245"/>
      <ns0:c r="Y792" s="245"/>
      <ns0:c r="Z792" s="245"/>
    </ns0:row>
    <ns0:row r="793">
      <ns0:c r="A793" s="245"/>
      <ns0:c r="B793" s="245"/>
      <ns0:c r="C793" s="245"/>
      <ns0:c r="D793" s="245"/>
      <ns0:c r="E793" s="245"/>
      <ns0:c r="F793" s="245"/>
      <ns0:c r="G793" s="245"/>
      <ns0:c r="H793" s="245"/>
      <ns0:c r="I793" s="245"/>
      <ns0:c r="J793" s="245"/>
      <ns0:c r="K793" s="245"/>
      <ns0:c r="L793" s="245"/>
      <ns0:c r="M793" s="245"/>
      <ns0:c r="N793" s="245"/>
      <ns0:c r="O793" s="245"/>
      <ns0:c r="P793" s="245"/>
      <ns0:c r="Q793" s="245"/>
      <ns0:c r="R793" s="245"/>
      <ns0:c r="S793" s="245"/>
      <ns0:c r="T793" s="245"/>
      <ns0:c r="U793" s="245"/>
      <ns0:c r="V793" s="245"/>
      <ns0:c r="W793" s="245"/>
      <ns0:c r="X793" s="245"/>
      <ns0:c r="Y793" s="245"/>
      <ns0:c r="Z793" s="245"/>
    </ns0:row>
    <ns0:row r="794">
      <ns0:c r="A794" s="245"/>
      <ns0:c r="B794" s="245"/>
      <ns0:c r="C794" s="245"/>
      <ns0:c r="D794" s="245"/>
      <ns0:c r="E794" s="245"/>
      <ns0:c r="F794" s="245"/>
      <ns0:c r="G794" s="245"/>
      <ns0:c r="H794" s="245"/>
      <ns0:c r="I794" s="245"/>
      <ns0:c r="J794" s="245"/>
      <ns0:c r="K794" s="245"/>
      <ns0:c r="L794" s="245"/>
      <ns0:c r="M794" s="245"/>
      <ns0:c r="N794" s="245"/>
      <ns0:c r="O794" s="245"/>
      <ns0:c r="P794" s="245"/>
      <ns0:c r="Q794" s="245"/>
      <ns0:c r="R794" s="245"/>
      <ns0:c r="S794" s="245"/>
      <ns0:c r="T794" s="245"/>
      <ns0:c r="U794" s="245"/>
      <ns0:c r="V794" s="245"/>
      <ns0:c r="W794" s="245"/>
      <ns0:c r="X794" s="245"/>
      <ns0:c r="Y794" s="245"/>
      <ns0:c r="Z794" s="245"/>
    </ns0:row>
    <ns0:row r="795">
      <ns0:c r="A795" s="245"/>
      <ns0:c r="B795" s="245"/>
      <ns0:c r="C795" s="245"/>
      <ns0:c r="D795" s="245"/>
      <ns0:c r="E795" s="245"/>
      <ns0:c r="F795" s="245"/>
      <ns0:c r="G795" s="245"/>
      <ns0:c r="H795" s="245"/>
      <ns0:c r="I795" s="245"/>
      <ns0:c r="J795" s="245"/>
      <ns0:c r="K795" s="245"/>
      <ns0:c r="L795" s="245"/>
      <ns0:c r="M795" s="245"/>
      <ns0:c r="N795" s="245"/>
      <ns0:c r="O795" s="245"/>
      <ns0:c r="P795" s="245"/>
      <ns0:c r="Q795" s="245"/>
      <ns0:c r="R795" s="245"/>
      <ns0:c r="S795" s="245"/>
      <ns0:c r="T795" s="245"/>
      <ns0:c r="U795" s="245"/>
      <ns0:c r="V795" s="245"/>
      <ns0:c r="W795" s="245"/>
      <ns0:c r="X795" s="245"/>
      <ns0:c r="Y795" s="245"/>
      <ns0:c r="Z795" s="245"/>
    </ns0:row>
    <ns0:row r="796">
      <ns0:c r="A796" s="245"/>
      <ns0:c r="B796" s="245"/>
      <ns0:c r="C796" s="245"/>
      <ns0:c r="D796" s="245"/>
      <ns0:c r="E796" s="245"/>
      <ns0:c r="F796" s="245"/>
      <ns0:c r="G796" s="245"/>
      <ns0:c r="H796" s="245"/>
      <ns0:c r="I796" s="245"/>
      <ns0:c r="J796" s="245"/>
      <ns0:c r="K796" s="245"/>
      <ns0:c r="L796" s="245"/>
      <ns0:c r="M796" s="245"/>
      <ns0:c r="N796" s="245"/>
      <ns0:c r="O796" s="245"/>
      <ns0:c r="P796" s="245"/>
      <ns0:c r="Q796" s="245"/>
      <ns0:c r="R796" s="245"/>
      <ns0:c r="S796" s="245"/>
      <ns0:c r="T796" s="245"/>
      <ns0:c r="U796" s="245"/>
      <ns0:c r="V796" s="245"/>
      <ns0:c r="W796" s="245"/>
      <ns0:c r="X796" s="245"/>
      <ns0:c r="Y796" s="245"/>
      <ns0:c r="Z796" s="245"/>
    </ns0:row>
    <ns0:row r="797">
      <ns0:c r="A797" s="245"/>
      <ns0:c r="B797" s="245"/>
      <ns0:c r="C797" s="245"/>
      <ns0:c r="D797" s="245"/>
      <ns0:c r="E797" s="245"/>
      <ns0:c r="F797" s="245"/>
      <ns0:c r="G797" s="245"/>
      <ns0:c r="H797" s="245"/>
      <ns0:c r="I797" s="245"/>
      <ns0:c r="J797" s="245"/>
      <ns0:c r="K797" s="245"/>
      <ns0:c r="L797" s="245"/>
      <ns0:c r="M797" s="245"/>
      <ns0:c r="N797" s="245"/>
      <ns0:c r="O797" s="245"/>
      <ns0:c r="P797" s="245"/>
      <ns0:c r="Q797" s="245"/>
      <ns0:c r="R797" s="245"/>
      <ns0:c r="S797" s="245"/>
      <ns0:c r="T797" s="245"/>
      <ns0:c r="U797" s="245"/>
      <ns0:c r="V797" s="245"/>
      <ns0:c r="W797" s="245"/>
      <ns0:c r="X797" s="245"/>
      <ns0:c r="Y797" s="245"/>
      <ns0:c r="Z797" s="245"/>
    </ns0:row>
    <ns0:row r="798">
      <ns0:c r="A798" s="245"/>
      <ns0:c r="B798" s="245"/>
      <ns0:c r="C798" s="245"/>
      <ns0:c r="D798" s="245"/>
      <ns0:c r="E798" s="245"/>
      <ns0:c r="F798" s="245"/>
      <ns0:c r="G798" s="245"/>
      <ns0:c r="H798" s="245"/>
      <ns0:c r="I798" s="245"/>
      <ns0:c r="J798" s="245"/>
      <ns0:c r="K798" s="245"/>
      <ns0:c r="L798" s="245"/>
      <ns0:c r="M798" s="245"/>
      <ns0:c r="N798" s="245"/>
      <ns0:c r="O798" s="245"/>
      <ns0:c r="P798" s="245"/>
      <ns0:c r="Q798" s="245"/>
      <ns0:c r="R798" s="245"/>
      <ns0:c r="S798" s="245"/>
      <ns0:c r="T798" s="245"/>
      <ns0:c r="U798" s="245"/>
      <ns0:c r="V798" s="245"/>
      <ns0:c r="W798" s="245"/>
      <ns0:c r="X798" s="245"/>
      <ns0:c r="Y798" s="245"/>
      <ns0:c r="Z798" s="245"/>
    </ns0:row>
    <ns0:row r="799">
      <ns0:c r="A799" s="245"/>
      <ns0:c r="B799" s="245"/>
      <ns0:c r="C799" s="245"/>
      <ns0:c r="D799" s="245"/>
      <ns0:c r="E799" s="245"/>
      <ns0:c r="F799" s="245"/>
      <ns0:c r="G799" s="245"/>
      <ns0:c r="H799" s="245"/>
      <ns0:c r="I799" s="245"/>
      <ns0:c r="J799" s="245"/>
      <ns0:c r="K799" s="245"/>
      <ns0:c r="L799" s="245"/>
      <ns0:c r="M799" s="245"/>
      <ns0:c r="N799" s="245"/>
      <ns0:c r="O799" s="245"/>
      <ns0:c r="P799" s="245"/>
      <ns0:c r="Q799" s="245"/>
      <ns0:c r="R799" s="245"/>
      <ns0:c r="S799" s="245"/>
      <ns0:c r="T799" s="245"/>
      <ns0:c r="U799" s="245"/>
      <ns0:c r="V799" s="245"/>
      <ns0:c r="W799" s="245"/>
      <ns0:c r="X799" s="245"/>
      <ns0:c r="Y799" s="245"/>
      <ns0:c r="Z799" s="245"/>
    </ns0:row>
    <ns0:row r="800">
      <ns0:c r="A800" s="245"/>
      <ns0:c r="B800" s="245"/>
      <ns0:c r="C800" s="245"/>
      <ns0:c r="D800" s="245"/>
      <ns0:c r="E800" s="245"/>
      <ns0:c r="F800" s="245"/>
      <ns0:c r="G800" s="245"/>
      <ns0:c r="H800" s="245"/>
      <ns0:c r="I800" s="245"/>
      <ns0:c r="J800" s="245"/>
      <ns0:c r="K800" s="245"/>
      <ns0:c r="L800" s="245"/>
      <ns0:c r="M800" s="245"/>
      <ns0:c r="N800" s="245"/>
      <ns0:c r="O800" s="245"/>
      <ns0:c r="P800" s="245"/>
      <ns0:c r="Q800" s="245"/>
      <ns0:c r="R800" s="245"/>
      <ns0:c r="S800" s="245"/>
      <ns0:c r="T800" s="245"/>
      <ns0:c r="U800" s="245"/>
      <ns0:c r="V800" s="245"/>
      <ns0:c r="W800" s="245"/>
      <ns0:c r="X800" s="245"/>
      <ns0:c r="Y800" s="245"/>
      <ns0:c r="Z800" s="245"/>
    </ns0:row>
    <ns0:row r="801">
      <ns0:c r="A801" s="245"/>
      <ns0:c r="B801" s="245"/>
      <ns0:c r="C801" s="245"/>
      <ns0:c r="D801" s="245"/>
      <ns0:c r="E801" s="245"/>
      <ns0:c r="F801" s="245"/>
      <ns0:c r="G801" s="245"/>
      <ns0:c r="H801" s="245"/>
      <ns0:c r="I801" s="245"/>
      <ns0:c r="J801" s="245"/>
      <ns0:c r="K801" s="245"/>
      <ns0:c r="L801" s="245"/>
      <ns0:c r="M801" s="245"/>
      <ns0:c r="N801" s="245"/>
      <ns0:c r="O801" s="245"/>
      <ns0:c r="P801" s="245"/>
      <ns0:c r="Q801" s="245"/>
      <ns0:c r="R801" s="245"/>
      <ns0:c r="S801" s="245"/>
      <ns0:c r="T801" s="245"/>
      <ns0:c r="U801" s="245"/>
      <ns0:c r="V801" s="245"/>
      <ns0:c r="W801" s="245"/>
      <ns0:c r="X801" s="245"/>
      <ns0:c r="Y801" s="245"/>
      <ns0:c r="Z801" s="245"/>
    </ns0:row>
    <ns0:row r="802">
      <ns0:c r="A802" s="245"/>
      <ns0:c r="B802" s="245"/>
      <ns0:c r="C802" s="245"/>
      <ns0:c r="D802" s="245"/>
      <ns0:c r="E802" s="245"/>
      <ns0:c r="F802" s="245"/>
      <ns0:c r="G802" s="245"/>
      <ns0:c r="H802" s="245"/>
      <ns0:c r="I802" s="245"/>
      <ns0:c r="J802" s="245"/>
      <ns0:c r="K802" s="245"/>
      <ns0:c r="L802" s="245"/>
      <ns0:c r="M802" s="245"/>
      <ns0:c r="N802" s="245"/>
      <ns0:c r="O802" s="245"/>
      <ns0:c r="P802" s="245"/>
      <ns0:c r="Q802" s="245"/>
      <ns0:c r="R802" s="245"/>
      <ns0:c r="S802" s="245"/>
      <ns0:c r="T802" s="245"/>
      <ns0:c r="U802" s="245"/>
      <ns0:c r="V802" s="245"/>
      <ns0:c r="W802" s="245"/>
      <ns0:c r="X802" s="245"/>
      <ns0:c r="Y802" s="245"/>
      <ns0:c r="Z802" s="245"/>
    </ns0:row>
    <ns0:row r="803">
      <ns0:c r="A803" s="245"/>
      <ns0:c r="B803" s="245"/>
      <ns0:c r="C803" s="245"/>
      <ns0:c r="D803" s="245"/>
      <ns0:c r="E803" s="245"/>
      <ns0:c r="F803" s="245"/>
      <ns0:c r="G803" s="245"/>
      <ns0:c r="H803" s="245"/>
      <ns0:c r="I803" s="245"/>
      <ns0:c r="J803" s="245"/>
      <ns0:c r="K803" s="245"/>
      <ns0:c r="L803" s="245"/>
      <ns0:c r="M803" s="245"/>
      <ns0:c r="N803" s="245"/>
      <ns0:c r="O803" s="245"/>
      <ns0:c r="P803" s="245"/>
      <ns0:c r="Q803" s="245"/>
      <ns0:c r="R803" s="245"/>
      <ns0:c r="S803" s="245"/>
      <ns0:c r="T803" s="245"/>
      <ns0:c r="U803" s="245"/>
      <ns0:c r="V803" s="245"/>
      <ns0:c r="W803" s="245"/>
      <ns0:c r="X803" s="245"/>
      <ns0:c r="Y803" s="245"/>
      <ns0:c r="Z803" s="245"/>
    </ns0:row>
    <ns0:row r="804">
      <ns0:c r="A804" s="245"/>
      <ns0:c r="B804" s="245"/>
      <ns0:c r="C804" s="245"/>
      <ns0:c r="D804" s="245"/>
      <ns0:c r="E804" s="245"/>
      <ns0:c r="F804" s="245"/>
      <ns0:c r="G804" s="245"/>
      <ns0:c r="H804" s="245"/>
      <ns0:c r="I804" s="245"/>
      <ns0:c r="J804" s="245"/>
      <ns0:c r="K804" s="245"/>
      <ns0:c r="L804" s="245"/>
      <ns0:c r="M804" s="245"/>
      <ns0:c r="N804" s="245"/>
      <ns0:c r="O804" s="245"/>
      <ns0:c r="P804" s="245"/>
      <ns0:c r="Q804" s="245"/>
      <ns0:c r="R804" s="245"/>
      <ns0:c r="S804" s="245"/>
      <ns0:c r="T804" s="245"/>
      <ns0:c r="U804" s="245"/>
      <ns0:c r="V804" s="245"/>
      <ns0:c r="W804" s="245"/>
      <ns0:c r="X804" s="245"/>
      <ns0:c r="Y804" s="245"/>
      <ns0:c r="Z804" s="245"/>
    </ns0:row>
    <ns0:row r="805">
      <ns0:c r="A805" s="245"/>
      <ns0:c r="B805" s="245"/>
      <ns0:c r="C805" s="245"/>
      <ns0:c r="D805" s="245"/>
      <ns0:c r="E805" s="245"/>
      <ns0:c r="F805" s="245"/>
      <ns0:c r="G805" s="245"/>
      <ns0:c r="H805" s="245"/>
      <ns0:c r="I805" s="245"/>
      <ns0:c r="J805" s="245"/>
      <ns0:c r="K805" s="245"/>
      <ns0:c r="L805" s="245"/>
      <ns0:c r="M805" s="245"/>
      <ns0:c r="N805" s="245"/>
      <ns0:c r="O805" s="245"/>
      <ns0:c r="P805" s="245"/>
      <ns0:c r="Q805" s="245"/>
      <ns0:c r="R805" s="245"/>
      <ns0:c r="S805" s="245"/>
      <ns0:c r="T805" s="245"/>
      <ns0:c r="U805" s="245"/>
      <ns0:c r="V805" s="245"/>
      <ns0:c r="W805" s="245"/>
      <ns0:c r="X805" s="245"/>
      <ns0:c r="Y805" s="245"/>
      <ns0:c r="Z805" s="245"/>
    </ns0:row>
    <ns0:row r="806">
      <ns0:c r="A806" s="245"/>
      <ns0:c r="B806" s="245"/>
      <ns0:c r="C806" s="245"/>
      <ns0:c r="D806" s="245"/>
      <ns0:c r="E806" s="245"/>
      <ns0:c r="F806" s="245"/>
      <ns0:c r="G806" s="245"/>
      <ns0:c r="H806" s="245"/>
      <ns0:c r="I806" s="245"/>
      <ns0:c r="J806" s="245"/>
      <ns0:c r="K806" s="245"/>
      <ns0:c r="L806" s="245"/>
      <ns0:c r="M806" s="245"/>
      <ns0:c r="N806" s="245"/>
      <ns0:c r="O806" s="245"/>
      <ns0:c r="P806" s="245"/>
      <ns0:c r="Q806" s="245"/>
      <ns0:c r="R806" s="245"/>
      <ns0:c r="S806" s="245"/>
      <ns0:c r="T806" s="245"/>
      <ns0:c r="U806" s="245"/>
      <ns0:c r="V806" s="245"/>
      <ns0:c r="W806" s="245"/>
      <ns0:c r="X806" s="245"/>
      <ns0:c r="Y806" s="245"/>
      <ns0:c r="Z806" s="245"/>
    </ns0:row>
    <ns0:row r="807">
      <ns0:c r="A807" s="245"/>
      <ns0:c r="B807" s="245"/>
      <ns0:c r="C807" s="245"/>
      <ns0:c r="D807" s="245"/>
      <ns0:c r="E807" s="245"/>
      <ns0:c r="F807" s="245"/>
      <ns0:c r="G807" s="245"/>
      <ns0:c r="H807" s="245"/>
      <ns0:c r="I807" s="245"/>
      <ns0:c r="J807" s="245"/>
      <ns0:c r="K807" s="245"/>
      <ns0:c r="L807" s="245"/>
      <ns0:c r="M807" s="245"/>
      <ns0:c r="N807" s="245"/>
      <ns0:c r="O807" s="245"/>
      <ns0:c r="P807" s="245"/>
      <ns0:c r="Q807" s="245"/>
      <ns0:c r="R807" s="245"/>
      <ns0:c r="S807" s="245"/>
      <ns0:c r="T807" s="245"/>
      <ns0:c r="U807" s="245"/>
      <ns0:c r="V807" s="245"/>
      <ns0:c r="W807" s="245"/>
      <ns0:c r="X807" s="245"/>
      <ns0:c r="Y807" s="245"/>
      <ns0:c r="Z807" s="245"/>
    </ns0:row>
    <ns0:row r="808">
      <ns0:c r="A808" s="245"/>
      <ns0:c r="B808" s="245"/>
      <ns0:c r="C808" s="245"/>
      <ns0:c r="D808" s="245"/>
      <ns0:c r="E808" s="245"/>
      <ns0:c r="F808" s="245"/>
      <ns0:c r="G808" s="245"/>
      <ns0:c r="H808" s="245"/>
      <ns0:c r="I808" s="245"/>
      <ns0:c r="J808" s="245"/>
      <ns0:c r="K808" s="245"/>
      <ns0:c r="L808" s="245"/>
      <ns0:c r="M808" s="245"/>
      <ns0:c r="N808" s="245"/>
      <ns0:c r="O808" s="245"/>
      <ns0:c r="P808" s="245"/>
      <ns0:c r="Q808" s="245"/>
      <ns0:c r="R808" s="245"/>
      <ns0:c r="S808" s="245"/>
      <ns0:c r="T808" s="245"/>
      <ns0:c r="U808" s="245"/>
      <ns0:c r="V808" s="245"/>
      <ns0:c r="W808" s="245"/>
      <ns0:c r="X808" s="245"/>
      <ns0:c r="Y808" s="245"/>
      <ns0:c r="Z808" s="245"/>
    </ns0:row>
    <ns0:row r="809">
      <ns0:c r="A809" s="245"/>
      <ns0:c r="B809" s="245"/>
      <ns0:c r="C809" s="245"/>
      <ns0:c r="D809" s="245"/>
      <ns0:c r="E809" s="245"/>
      <ns0:c r="F809" s="245"/>
      <ns0:c r="G809" s="245"/>
      <ns0:c r="H809" s="245"/>
      <ns0:c r="I809" s="245"/>
      <ns0:c r="J809" s="245"/>
      <ns0:c r="K809" s="245"/>
      <ns0:c r="L809" s="245"/>
      <ns0:c r="M809" s="245"/>
      <ns0:c r="N809" s="245"/>
      <ns0:c r="O809" s="245"/>
      <ns0:c r="P809" s="245"/>
      <ns0:c r="Q809" s="245"/>
      <ns0:c r="R809" s="245"/>
      <ns0:c r="S809" s="245"/>
      <ns0:c r="T809" s="245"/>
      <ns0:c r="U809" s="245"/>
      <ns0:c r="V809" s="245"/>
      <ns0:c r="W809" s="245"/>
      <ns0:c r="X809" s="245"/>
      <ns0:c r="Y809" s="245"/>
      <ns0:c r="Z809" s="245"/>
    </ns0:row>
    <ns0:row r="810">
      <ns0:c r="A810" s="245"/>
      <ns0:c r="B810" s="245"/>
      <ns0:c r="C810" s="245"/>
      <ns0:c r="D810" s="245"/>
      <ns0:c r="E810" s="245"/>
      <ns0:c r="F810" s="245"/>
      <ns0:c r="G810" s="245"/>
      <ns0:c r="H810" s="245"/>
      <ns0:c r="I810" s="245"/>
      <ns0:c r="J810" s="245"/>
      <ns0:c r="K810" s="245"/>
      <ns0:c r="L810" s="245"/>
      <ns0:c r="M810" s="245"/>
      <ns0:c r="N810" s="245"/>
      <ns0:c r="O810" s="245"/>
      <ns0:c r="P810" s="245"/>
      <ns0:c r="Q810" s="245"/>
      <ns0:c r="R810" s="245"/>
      <ns0:c r="S810" s="245"/>
      <ns0:c r="T810" s="245"/>
      <ns0:c r="U810" s="245"/>
      <ns0:c r="V810" s="245"/>
      <ns0:c r="W810" s="245"/>
      <ns0:c r="X810" s="245"/>
      <ns0:c r="Y810" s="245"/>
      <ns0:c r="Z810" s="245"/>
    </ns0:row>
    <ns0:row r="811">
      <ns0:c r="A811" s="245"/>
      <ns0:c r="B811" s="245"/>
      <ns0:c r="C811" s="245"/>
      <ns0:c r="D811" s="245"/>
      <ns0:c r="E811" s="245"/>
      <ns0:c r="F811" s="245"/>
      <ns0:c r="G811" s="245"/>
      <ns0:c r="H811" s="245"/>
      <ns0:c r="I811" s="245"/>
      <ns0:c r="J811" s="245"/>
      <ns0:c r="K811" s="245"/>
      <ns0:c r="L811" s="245"/>
      <ns0:c r="M811" s="245"/>
      <ns0:c r="N811" s="245"/>
      <ns0:c r="O811" s="245"/>
      <ns0:c r="P811" s="245"/>
      <ns0:c r="Q811" s="245"/>
      <ns0:c r="R811" s="245"/>
      <ns0:c r="S811" s="245"/>
      <ns0:c r="T811" s="245"/>
      <ns0:c r="U811" s="245"/>
      <ns0:c r="V811" s="245"/>
      <ns0:c r="W811" s="245"/>
      <ns0:c r="X811" s="245"/>
      <ns0:c r="Y811" s="245"/>
      <ns0:c r="Z811" s="245"/>
    </ns0:row>
    <ns0:row r="812">
      <ns0:c r="A812" s="245"/>
      <ns0:c r="B812" s="245"/>
      <ns0:c r="C812" s="245"/>
      <ns0:c r="D812" s="245"/>
      <ns0:c r="E812" s="245"/>
      <ns0:c r="F812" s="245"/>
      <ns0:c r="G812" s="245"/>
      <ns0:c r="H812" s="245"/>
      <ns0:c r="I812" s="245"/>
      <ns0:c r="J812" s="245"/>
      <ns0:c r="K812" s="245"/>
      <ns0:c r="L812" s="245"/>
      <ns0:c r="M812" s="245"/>
      <ns0:c r="N812" s="245"/>
      <ns0:c r="O812" s="245"/>
      <ns0:c r="P812" s="245"/>
      <ns0:c r="Q812" s="245"/>
      <ns0:c r="R812" s="245"/>
      <ns0:c r="S812" s="245"/>
      <ns0:c r="T812" s="245"/>
      <ns0:c r="U812" s="245"/>
      <ns0:c r="V812" s="245"/>
      <ns0:c r="W812" s="245"/>
      <ns0:c r="X812" s="245"/>
      <ns0:c r="Y812" s="245"/>
      <ns0:c r="Z812" s="245"/>
    </ns0:row>
    <ns0:row r="813">
      <ns0:c r="A813" s="245"/>
      <ns0:c r="B813" s="245"/>
      <ns0:c r="C813" s="245"/>
      <ns0:c r="D813" s="245"/>
      <ns0:c r="E813" s="245"/>
      <ns0:c r="F813" s="245"/>
      <ns0:c r="G813" s="245"/>
      <ns0:c r="H813" s="245"/>
      <ns0:c r="I813" s="245"/>
      <ns0:c r="J813" s="245"/>
      <ns0:c r="K813" s="245"/>
      <ns0:c r="L813" s="245"/>
      <ns0:c r="M813" s="245"/>
      <ns0:c r="N813" s="245"/>
      <ns0:c r="O813" s="245"/>
      <ns0:c r="P813" s="245"/>
      <ns0:c r="Q813" s="245"/>
      <ns0:c r="R813" s="245"/>
      <ns0:c r="S813" s="245"/>
      <ns0:c r="T813" s="245"/>
      <ns0:c r="U813" s="245"/>
      <ns0:c r="V813" s="245"/>
      <ns0:c r="W813" s="245"/>
      <ns0:c r="X813" s="245"/>
      <ns0:c r="Y813" s="245"/>
      <ns0:c r="Z813" s="245"/>
    </ns0:row>
    <ns0:row r="814">
      <ns0:c r="A814" s="245"/>
      <ns0:c r="B814" s="245"/>
      <ns0:c r="C814" s="245"/>
      <ns0:c r="D814" s="245"/>
      <ns0:c r="E814" s="245"/>
      <ns0:c r="F814" s="245"/>
      <ns0:c r="G814" s="245"/>
      <ns0:c r="H814" s="245"/>
      <ns0:c r="I814" s="245"/>
      <ns0:c r="J814" s="245"/>
      <ns0:c r="K814" s="245"/>
      <ns0:c r="L814" s="245"/>
      <ns0:c r="M814" s="245"/>
      <ns0:c r="N814" s="245"/>
      <ns0:c r="O814" s="245"/>
      <ns0:c r="P814" s="245"/>
      <ns0:c r="Q814" s="245"/>
      <ns0:c r="R814" s="245"/>
      <ns0:c r="S814" s="245"/>
      <ns0:c r="T814" s="245"/>
      <ns0:c r="U814" s="245"/>
      <ns0:c r="V814" s="245"/>
      <ns0:c r="W814" s="245"/>
      <ns0:c r="X814" s="245"/>
      <ns0:c r="Y814" s="245"/>
      <ns0:c r="Z814" s="245"/>
    </ns0:row>
    <ns0:row r="815">
      <ns0:c r="A815" s="245"/>
      <ns0:c r="B815" s="245"/>
      <ns0:c r="C815" s="245"/>
      <ns0:c r="D815" s="245"/>
      <ns0:c r="E815" s="245"/>
      <ns0:c r="F815" s="245"/>
      <ns0:c r="G815" s="245"/>
      <ns0:c r="H815" s="245"/>
      <ns0:c r="I815" s="245"/>
      <ns0:c r="J815" s="245"/>
      <ns0:c r="K815" s="245"/>
      <ns0:c r="L815" s="245"/>
      <ns0:c r="M815" s="245"/>
      <ns0:c r="N815" s="245"/>
      <ns0:c r="O815" s="245"/>
      <ns0:c r="P815" s="245"/>
      <ns0:c r="Q815" s="245"/>
      <ns0:c r="R815" s="245"/>
      <ns0:c r="S815" s="245"/>
      <ns0:c r="T815" s="245"/>
      <ns0:c r="U815" s="245"/>
      <ns0:c r="V815" s="245"/>
      <ns0:c r="W815" s="245"/>
      <ns0:c r="X815" s="245"/>
      <ns0:c r="Y815" s="245"/>
      <ns0:c r="Z815" s="245"/>
    </ns0:row>
    <ns0:row r="816">
      <ns0:c r="A816" s="245"/>
      <ns0:c r="B816" s="245"/>
      <ns0:c r="C816" s="245"/>
      <ns0:c r="D816" s="245"/>
      <ns0:c r="E816" s="245"/>
      <ns0:c r="F816" s="245"/>
      <ns0:c r="G816" s="245"/>
      <ns0:c r="H816" s="245"/>
      <ns0:c r="I816" s="245"/>
      <ns0:c r="J816" s="245"/>
      <ns0:c r="K816" s="245"/>
      <ns0:c r="L816" s="245"/>
      <ns0:c r="M816" s="245"/>
      <ns0:c r="N816" s="245"/>
      <ns0:c r="O816" s="245"/>
      <ns0:c r="P816" s="245"/>
      <ns0:c r="Q816" s="245"/>
      <ns0:c r="R816" s="245"/>
      <ns0:c r="S816" s="245"/>
      <ns0:c r="T816" s="245"/>
      <ns0:c r="U816" s="245"/>
      <ns0:c r="V816" s="245"/>
      <ns0:c r="W816" s="245"/>
      <ns0:c r="X816" s="245"/>
      <ns0:c r="Y816" s="245"/>
      <ns0:c r="Z816" s="245"/>
    </ns0:row>
    <ns0:row r="817">
      <ns0:c r="A817" s="245"/>
      <ns0:c r="B817" s="245"/>
      <ns0:c r="C817" s="245"/>
      <ns0:c r="D817" s="245"/>
      <ns0:c r="E817" s="245"/>
      <ns0:c r="F817" s="245"/>
      <ns0:c r="G817" s="245"/>
      <ns0:c r="H817" s="245"/>
      <ns0:c r="I817" s="245"/>
      <ns0:c r="J817" s="245"/>
      <ns0:c r="K817" s="245"/>
      <ns0:c r="L817" s="245"/>
      <ns0:c r="M817" s="245"/>
      <ns0:c r="N817" s="245"/>
      <ns0:c r="O817" s="245"/>
      <ns0:c r="P817" s="245"/>
      <ns0:c r="Q817" s="245"/>
      <ns0:c r="R817" s="245"/>
      <ns0:c r="S817" s="245"/>
      <ns0:c r="T817" s="245"/>
      <ns0:c r="U817" s="245"/>
      <ns0:c r="V817" s="245"/>
      <ns0:c r="W817" s="245"/>
      <ns0:c r="X817" s="245"/>
      <ns0:c r="Y817" s="245"/>
      <ns0:c r="Z817" s="245"/>
    </ns0:row>
    <ns0:row r="818">
      <ns0:c r="A818" s="245"/>
      <ns0:c r="B818" s="245"/>
      <ns0:c r="C818" s="245"/>
      <ns0:c r="D818" s="245"/>
      <ns0:c r="E818" s="245"/>
      <ns0:c r="F818" s="245"/>
      <ns0:c r="G818" s="245"/>
      <ns0:c r="H818" s="245"/>
      <ns0:c r="I818" s="245"/>
      <ns0:c r="J818" s="245"/>
      <ns0:c r="K818" s="245"/>
      <ns0:c r="L818" s="245"/>
      <ns0:c r="M818" s="245"/>
      <ns0:c r="N818" s="245"/>
      <ns0:c r="O818" s="245"/>
      <ns0:c r="P818" s="245"/>
      <ns0:c r="Q818" s="245"/>
      <ns0:c r="R818" s="245"/>
      <ns0:c r="S818" s="245"/>
      <ns0:c r="T818" s="245"/>
      <ns0:c r="U818" s="245"/>
      <ns0:c r="V818" s="245"/>
      <ns0:c r="W818" s="245"/>
      <ns0:c r="X818" s="245"/>
      <ns0:c r="Y818" s="245"/>
      <ns0:c r="Z818" s="245"/>
    </ns0:row>
    <ns0:row r="819">
      <ns0:c r="A819" s="245"/>
      <ns0:c r="B819" s="245"/>
      <ns0:c r="C819" s="245"/>
      <ns0:c r="D819" s="245"/>
      <ns0:c r="E819" s="245"/>
      <ns0:c r="F819" s="245"/>
      <ns0:c r="G819" s="245"/>
      <ns0:c r="H819" s="245"/>
      <ns0:c r="I819" s="245"/>
      <ns0:c r="J819" s="245"/>
      <ns0:c r="K819" s="245"/>
      <ns0:c r="L819" s="245"/>
      <ns0:c r="M819" s="245"/>
      <ns0:c r="N819" s="245"/>
      <ns0:c r="O819" s="245"/>
      <ns0:c r="P819" s="245"/>
      <ns0:c r="Q819" s="245"/>
      <ns0:c r="R819" s="245"/>
      <ns0:c r="S819" s="245"/>
      <ns0:c r="T819" s="245"/>
      <ns0:c r="U819" s="245"/>
      <ns0:c r="V819" s="245"/>
      <ns0:c r="W819" s="245"/>
      <ns0:c r="X819" s="245"/>
      <ns0:c r="Y819" s="245"/>
      <ns0:c r="Z819" s="245"/>
    </ns0:row>
    <ns0:row r="820">
      <ns0:c r="A820" s="245"/>
      <ns0:c r="B820" s="245"/>
      <ns0:c r="C820" s="245"/>
      <ns0:c r="D820" s="245"/>
      <ns0:c r="E820" s="245"/>
      <ns0:c r="F820" s="245"/>
      <ns0:c r="G820" s="245"/>
      <ns0:c r="H820" s="245"/>
      <ns0:c r="I820" s="245"/>
      <ns0:c r="J820" s="245"/>
      <ns0:c r="K820" s="245"/>
      <ns0:c r="L820" s="245"/>
      <ns0:c r="M820" s="245"/>
      <ns0:c r="N820" s="245"/>
      <ns0:c r="O820" s="245"/>
      <ns0:c r="P820" s="245"/>
      <ns0:c r="Q820" s="245"/>
      <ns0:c r="R820" s="245"/>
      <ns0:c r="S820" s="245"/>
      <ns0:c r="T820" s="245"/>
      <ns0:c r="U820" s="245"/>
      <ns0:c r="V820" s="245"/>
      <ns0:c r="W820" s="245"/>
      <ns0:c r="X820" s="245"/>
      <ns0:c r="Y820" s="245"/>
      <ns0:c r="Z820" s="245"/>
    </ns0:row>
    <ns0:row r="821">
      <ns0:c r="A821" s="245"/>
      <ns0:c r="B821" s="245"/>
      <ns0:c r="C821" s="245"/>
      <ns0:c r="D821" s="245"/>
      <ns0:c r="E821" s="245"/>
      <ns0:c r="F821" s="245"/>
      <ns0:c r="G821" s="245"/>
      <ns0:c r="H821" s="245"/>
      <ns0:c r="I821" s="245"/>
      <ns0:c r="J821" s="245"/>
      <ns0:c r="K821" s="245"/>
      <ns0:c r="L821" s="245"/>
      <ns0:c r="M821" s="245"/>
      <ns0:c r="N821" s="245"/>
      <ns0:c r="O821" s="245"/>
      <ns0:c r="P821" s="245"/>
      <ns0:c r="Q821" s="245"/>
      <ns0:c r="R821" s="245"/>
      <ns0:c r="S821" s="245"/>
      <ns0:c r="T821" s="245"/>
      <ns0:c r="U821" s="245"/>
      <ns0:c r="V821" s="245"/>
      <ns0:c r="W821" s="245"/>
      <ns0:c r="X821" s="245"/>
      <ns0:c r="Y821" s="245"/>
      <ns0:c r="Z821" s="245"/>
    </ns0:row>
    <ns0:row r="822">
      <ns0:c r="A822" s="245"/>
      <ns0:c r="B822" s="245"/>
      <ns0:c r="C822" s="245"/>
      <ns0:c r="D822" s="245"/>
      <ns0:c r="E822" s="245"/>
      <ns0:c r="F822" s="245"/>
      <ns0:c r="G822" s="245"/>
      <ns0:c r="H822" s="245"/>
      <ns0:c r="I822" s="245"/>
      <ns0:c r="J822" s="245"/>
      <ns0:c r="K822" s="245"/>
      <ns0:c r="L822" s="245"/>
      <ns0:c r="M822" s="245"/>
      <ns0:c r="N822" s="245"/>
      <ns0:c r="O822" s="245"/>
      <ns0:c r="P822" s="245"/>
      <ns0:c r="Q822" s="245"/>
      <ns0:c r="R822" s="245"/>
      <ns0:c r="S822" s="245"/>
      <ns0:c r="T822" s="245"/>
      <ns0:c r="U822" s="245"/>
      <ns0:c r="V822" s="245"/>
      <ns0:c r="W822" s="245"/>
      <ns0:c r="X822" s="245"/>
      <ns0:c r="Y822" s="245"/>
      <ns0:c r="Z822" s="245"/>
    </ns0:row>
    <ns0:row r="823">
      <ns0:c r="A823" s="245"/>
      <ns0:c r="B823" s="245"/>
      <ns0:c r="C823" s="245"/>
      <ns0:c r="D823" s="245"/>
      <ns0:c r="E823" s="245"/>
      <ns0:c r="F823" s="245"/>
      <ns0:c r="G823" s="245"/>
      <ns0:c r="H823" s="245"/>
      <ns0:c r="I823" s="245"/>
      <ns0:c r="J823" s="245"/>
      <ns0:c r="K823" s="245"/>
      <ns0:c r="L823" s="245"/>
      <ns0:c r="M823" s="245"/>
      <ns0:c r="N823" s="245"/>
      <ns0:c r="O823" s="245"/>
      <ns0:c r="P823" s="245"/>
      <ns0:c r="Q823" s="245"/>
      <ns0:c r="R823" s="245"/>
      <ns0:c r="S823" s="245"/>
      <ns0:c r="T823" s="245"/>
      <ns0:c r="U823" s="245"/>
      <ns0:c r="V823" s="245"/>
      <ns0:c r="W823" s="245"/>
      <ns0:c r="X823" s="245"/>
      <ns0:c r="Y823" s="245"/>
      <ns0:c r="Z823" s="245"/>
    </ns0:row>
    <ns0:row r="824">
      <ns0:c r="A824" s="245"/>
      <ns0:c r="B824" s="245"/>
      <ns0:c r="C824" s="245"/>
      <ns0:c r="D824" s="245"/>
      <ns0:c r="E824" s="245"/>
      <ns0:c r="F824" s="245"/>
      <ns0:c r="G824" s="245"/>
      <ns0:c r="H824" s="245"/>
      <ns0:c r="I824" s="245"/>
      <ns0:c r="J824" s="245"/>
      <ns0:c r="K824" s="245"/>
      <ns0:c r="L824" s="245"/>
      <ns0:c r="M824" s="245"/>
      <ns0:c r="N824" s="245"/>
      <ns0:c r="O824" s="245"/>
      <ns0:c r="P824" s="245"/>
      <ns0:c r="Q824" s="245"/>
      <ns0:c r="R824" s="245"/>
      <ns0:c r="S824" s="245"/>
      <ns0:c r="T824" s="245"/>
      <ns0:c r="U824" s="245"/>
      <ns0:c r="V824" s="245"/>
      <ns0:c r="W824" s="245"/>
      <ns0:c r="X824" s="245"/>
      <ns0:c r="Y824" s="245"/>
      <ns0:c r="Z824" s="245"/>
    </ns0:row>
    <ns0:row r="825">
      <ns0:c r="A825" s="245"/>
      <ns0:c r="B825" s="245"/>
      <ns0:c r="C825" s="245"/>
      <ns0:c r="D825" s="245"/>
      <ns0:c r="E825" s="245"/>
      <ns0:c r="F825" s="245"/>
      <ns0:c r="G825" s="245"/>
      <ns0:c r="H825" s="245"/>
      <ns0:c r="I825" s="245"/>
      <ns0:c r="J825" s="245"/>
      <ns0:c r="K825" s="245"/>
      <ns0:c r="L825" s="245"/>
      <ns0:c r="M825" s="245"/>
      <ns0:c r="N825" s="245"/>
      <ns0:c r="O825" s="245"/>
      <ns0:c r="P825" s="245"/>
      <ns0:c r="Q825" s="245"/>
      <ns0:c r="R825" s="245"/>
      <ns0:c r="S825" s="245"/>
      <ns0:c r="T825" s="245"/>
      <ns0:c r="U825" s="245"/>
      <ns0:c r="V825" s="245"/>
      <ns0:c r="W825" s="245"/>
      <ns0:c r="X825" s="245"/>
      <ns0:c r="Y825" s="245"/>
      <ns0:c r="Z825" s="245"/>
    </ns0:row>
    <ns0:row r="826">
      <ns0:c r="A826" s="245"/>
      <ns0:c r="B826" s="245"/>
      <ns0:c r="C826" s="245"/>
      <ns0:c r="D826" s="245"/>
      <ns0:c r="E826" s="245"/>
      <ns0:c r="F826" s="245"/>
      <ns0:c r="G826" s="245"/>
      <ns0:c r="H826" s="245"/>
      <ns0:c r="I826" s="245"/>
      <ns0:c r="J826" s="245"/>
      <ns0:c r="K826" s="245"/>
      <ns0:c r="L826" s="245"/>
      <ns0:c r="M826" s="245"/>
      <ns0:c r="N826" s="245"/>
      <ns0:c r="O826" s="245"/>
      <ns0:c r="P826" s="245"/>
      <ns0:c r="Q826" s="245"/>
      <ns0:c r="R826" s="245"/>
      <ns0:c r="S826" s="245"/>
      <ns0:c r="T826" s="245"/>
      <ns0:c r="U826" s="245"/>
      <ns0:c r="V826" s="245"/>
      <ns0:c r="W826" s="245"/>
      <ns0:c r="X826" s="245"/>
      <ns0:c r="Y826" s="245"/>
      <ns0:c r="Z826" s="245"/>
    </ns0:row>
    <ns0:row r="827">
      <ns0:c r="A827" s="245"/>
      <ns0:c r="B827" s="245"/>
      <ns0:c r="C827" s="245"/>
      <ns0:c r="D827" s="245"/>
      <ns0:c r="E827" s="245"/>
      <ns0:c r="F827" s="245"/>
      <ns0:c r="G827" s="245"/>
      <ns0:c r="H827" s="245"/>
      <ns0:c r="I827" s="245"/>
      <ns0:c r="J827" s="245"/>
      <ns0:c r="K827" s="245"/>
      <ns0:c r="L827" s="245"/>
      <ns0:c r="M827" s="245"/>
      <ns0:c r="N827" s="245"/>
      <ns0:c r="O827" s="245"/>
      <ns0:c r="P827" s="245"/>
      <ns0:c r="Q827" s="245"/>
      <ns0:c r="R827" s="245"/>
      <ns0:c r="S827" s="245"/>
      <ns0:c r="T827" s="245"/>
      <ns0:c r="U827" s="245"/>
      <ns0:c r="V827" s="245"/>
      <ns0:c r="W827" s="245"/>
      <ns0:c r="X827" s="245"/>
      <ns0:c r="Y827" s="245"/>
      <ns0:c r="Z827" s="245"/>
    </ns0:row>
    <ns0:row r="828">
      <ns0:c r="A828" s="245"/>
      <ns0:c r="B828" s="245"/>
      <ns0:c r="C828" s="245"/>
      <ns0:c r="D828" s="245"/>
      <ns0:c r="E828" s="245"/>
      <ns0:c r="F828" s="245"/>
      <ns0:c r="G828" s="245"/>
      <ns0:c r="H828" s="245"/>
      <ns0:c r="I828" s="245"/>
      <ns0:c r="J828" s="245"/>
      <ns0:c r="K828" s="245"/>
      <ns0:c r="L828" s="245"/>
      <ns0:c r="M828" s="245"/>
      <ns0:c r="N828" s="245"/>
      <ns0:c r="O828" s="245"/>
      <ns0:c r="P828" s="245"/>
      <ns0:c r="Q828" s="245"/>
      <ns0:c r="R828" s="245"/>
      <ns0:c r="S828" s="245"/>
      <ns0:c r="T828" s="245"/>
      <ns0:c r="U828" s="245"/>
      <ns0:c r="V828" s="245"/>
      <ns0:c r="W828" s="245"/>
      <ns0:c r="X828" s="245"/>
      <ns0:c r="Y828" s="245"/>
      <ns0:c r="Z828" s="245"/>
    </ns0:row>
    <ns0:row r="829">
      <ns0:c r="A829" s="245"/>
      <ns0:c r="B829" s="245"/>
      <ns0:c r="C829" s="245"/>
      <ns0:c r="D829" s="245"/>
      <ns0:c r="E829" s="245"/>
      <ns0:c r="F829" s="245"/>
      <ns0:c r="G829" s="245"/>
      <ns0:c r="H829" s="245"/>
      <ns0:c r="I829" s="245"/>
      <ns0:c r="J829" s="245"/>
      <ns0:c r="K829" s="245"/>
      <ns0:c r="L829" s="245"/>
      <ns0:c r="M829" s="245"/>
      <ns0:c r="N829" s="245"/>
      <ns0:c r="O829" s="245"/>
      <ns0:c r="P829" s="245"/>
      <ns0:c r="Q829" s="245"/>
      <ns0:c r="R829" s="245"/>
      <ns0:c r="S829" s="245"/>
      <ns0:c r="T829" s="245"/>
      <ns0:c r="U829" s="245"/>
      <ns0:c r="V829" s="245"/>
      <ns0:c r="W829" s="245"/>
      <ns0:c r="X829" s="245"/>
      <ns0:c r="Y829" s="245"/>
      <ns0:c r="Z829" s="245"/>
    </ns0:row>
    <ns0:row r="830">
      <ns0:c r="A830" s="245"/>
      <ns0:c r="B830" s="245"/>
      <ns0:c r="C830" s="245"/>
      <ns0:c r="D830" s="245"/>
      <ns0:c r="E830" s="245"/>
      <ns0:c r="F830" s="245"/>
      <ns0:c r="G830" s="245"/>
      <ns0:c r="H830" s="245"/>
      <ns0:c r="I830" s="245"/>
      <ns0:c r="J830" s="245"/>
      <ns0:c r="K830" s="245"/>
      <ns0:c r="L830" s="245"/>
      <ns0:c r="M830" s="245"/>
      <ns0:c r="N830" s="245"/>
      <ns0:c r="O830" s="245"/>
      <ns0:c r="P830" s="245"/>
      <ns0:c r="Q830" s="245"/>
      <ns0:c r="R830" s="245"/>
      <ns0:c r="S830" s="245"/>
      <ns0:c r="T830" s="245"/>
      <ns0:c r="U830" s="245"/>
      <ns0:c r="V830" s="245"/>
      <ns0:c r="W830" s="245"/>
      <ns0:c r="X830" s="245"/>
      <ns0:c r="Y830" s="245"/>
      <ns0:c r="Z830" s="245"/>
    </ns0:row>
    <ns0:row r="831">
      <ns0:c r="A831" s="245"/>
      <ns0:c r="B831" s="245"/>
      <ns0:c r="C831" s="245"/>
      <ns0:c r="D831" s="245"/>
      <ns0:c r="E831" s="245"/>
      <ns0:c r="F831" s="245"/>
      <ns0:c r="G831" s="245"/>
      <ns0:c r="H831" s="245"/>
      <ns0:c r="I831" s="245"/>
      <ns0:c r="J831" s="245"/>
      <ns0:c r="K831" s="245"/>
      <ns0:c r="L831" s="245"/>
      <ns0:c r="M831" s="245"/>
      <ns0:c r="N831" s="245"/>
      <ns0:c r="O831" s="245"/>
      <ns0:c r="P831" s="245"/>
      <ns0:c r="Q831" s="245"/>
      <ns0:c r="R831" s="245"/>
      <ns0:c r="S831" s="245"/>
      <ns0:c r="T831" s="245"/>
      <ns0:c r="U831" s="245"/>
      <ns0:c r="V831" s="245"/>
      <ns0:c r="W831" s="245"/>
      <ns0:c r="X831" s="245"/>
      <ns0:c r="Y831" s="245"/>
      <ns0:c r="Z831" s="245"/>
    </ns0:row>
    <ns0:row r="832">
      <ns0:c r="A832" s="245"/>
      <ns0:c r="B832" s="245"/>
      <ns0:c r="C832" s="245"/>
      <ns0:c r="D832" s="245"/>
      <ns0:c r="E832" s="245"/>
      <ns0:c r="F832" s="245"/>
      <ns0:c r="G832" s="245"/>
      <ns0:c r="H832" s="245"/>
      <ns0:c r="I832" s="245"/>
      <ns0:c r="J832" s="245"/>
      <ns0:c r="K832" s="245"/>
      <ns0:c r="L832" s="245"/>
      <ns0:c r="M832" s="245"/>
      <ns0:c r="N832" s="245"/>
      <ns0:c r="O832" s="245"/>
      <ns0:c r="P832" s="245"/>
      <ns0:c r="Q832" s="245"/>
      <ns0:c r="R832" s="245"/>
      <ns0:c r="S832" s="245"/>
      <ns0:c r="T832" s="245"/>
      <ns0:c r="U832" s="245"/>
      <ns0:c r="V832" s="245"/>
      <ns0:c r="W832" s="245"/>
      <ns0:c r="X832" s="245"/>
      <ns0:c r="Y832" s="245"/>
      <ns0:c r="Z832" s="245"/>
    </ns0:row>
    <ns0:row r="833">
      <ns0:c r="A833" s="245"/>
      <ns0:c r="B833" s="245"/>
      <ns0:c r="C833" s="245"/>
      <ns0:c r="D833" s="245"/>
      <ns0:c r="E833" s="245"/>
      <ns0:c r="F833" s="245"/>
      <ns0:c r="G833" s="245"/>
      <ns0:c r="H833" s="245"/>
      <ns0:c r="I833" s="245"/>
      <ns0:c r="J833" s="245"/>
      <ns0:c r="K833" s="245"/>
      <ns0:c r="L833" s="245"/>
      <ns0:c r="M833" s="245"/>
      <ns0:c r="N833" s="245"/>
      <ns0:c r="O833" s="245"/>
      <ns0:c r="P833" s="245"/>
      <ns0:c r="Q833" s="245"/>
      <ns0:c r="R833" s="245"/>
      <ns0:c r="S833" s="245"/>
      <ns0:c r="T833" s="245"/>
      <ns0:c r="U833" s="245"/>
      <ns0:c r="V833" s="245"/>
      <ns0:c r="W833" s="245"/>
      <ns0:c r="X833" s="245"/>
      <ns0:c r="Y833" s="245"/>
      <ns0:c r="Z833" s="245"/>
    </ns0:row>
    <ns0:row r="834">
      <ns0:c r="A834" s="245"/>
      <ns0:c r="B834" s="245"/>
      <ns0:c r="C834" s="245"/>
      <ns0:c r="D834" s="245"/>
      <ns0:c r="E834" s="245"/>
      <ns0:c r="F834" s="245"/>
      <ns0:c r="G834" s="245"/>
      <ns0:c r="H834" s="245"/>
      <ns0:c r="I834" s="245"/>
      <ns0:c r="J834" s="245"/>
      <ns0:c r="K834" s="245"/>
      <ns0:c r="L834" s="245"/>
      <ns0:c r="M834" s="245"/>
      <ns0:c r="N834" s="245"/>
      <ns0:c r="O834" s="245"/>
      <ns0:c r="P834" s="245"/>
      <ns0:c r="Q834" s="245"/>
      <ns0:c r="R834" s="245"/>
      <ns0:c r="S834" s="245"/>
      <ns0:c r="T834" s="245"/>
      <ns0:c r="U834" s="245"/>
      <ns0:c r="V834" s="245"/>
      <ns0:c r="W834" s="245"/>
      <ns0:c r="X834" s="245"/>
      <ns0:c r="Y834" s="245"/>
      <ns0:c r="Z834" s="245"/>
    </ns0:row>
    <ns0:row r="835">
      <ns0:c r="A835" s="245"/>
      <ns0:c r="B835" s="245"/>
      <ns0:c r="C835" s="245"/>
      <ns0:c r="D835" s="245"/>
      <ns0:c r="E835" s="245"/>
      <ns0:c r="F835" s="245"/>
      <ns0:c r="G835" s="245"/>
      <ns0:c r="H835" s="245"/>
      <ns0:c r="I835" s="245"/>
      <ns0:c r="J835" s="245"/>
      <ns0:c r="K835" s="245"/>
      <ns0:c r="L835" s="245"/>
      <ns0:c r="M835" s="245"/>
      <ns0:c r="N835" s="245"/>
      <ns0:c r="O835" s="245"/>
      <ns0:c r="P835" s="245"/>
      <ns0:c r="Q835" s="245"/>
      <ns0:c r="R835" s="245"/>
      <ns0:c r="S835" s="245"/>
      <ns0:c r="T835" s="245"/>
      <ns0:c r="U835" s="245"/>
      <ns0:c r="V835" s="245"/>
      <ns0:c r="W835" s="245"/>
      <ns0:c r="X835" s="245"/>
      <ns0:c r="Y835" s="245"/>
      <ns0:c r="Z835" s="245"/>
    </ns0:row>
    <ns0:row r="836">
      <ns0:c r="A836" s="245"/>
      <ns0:c r="B836" s="245"/>
      <ns0:c r="C836" s="245"/>
      <ns0:c r="D836" s="245"/>
      <ns0:c r="E836" s="245"/>
      <ns0:c r="F836" s="245"/>
      <ns0:c r="G836" s="245"/>
      <ns0:c r="H836" s="245"/>
      <ns0:c r="I836" s="245"/>
      <ns0:c r="J836" s="245"/>
      <ns0:c r="K836" s="245"/>
      <ns0:c r="L836" s="245"/>
      <ns0:c r="M836" s="245"/>
      <ns0:c r="N836" s="245"/>
      <ns0:c r="O836" s="245"/>
      <ns0:c r="P836" s="245"/>
      <ns0:c r="Q836" s="245"/>
      <ns0:c r="R836" s="245"/>
      <ns0:c r="S836" s="245"/>
      <ns0:c r="T836" s="245"/>
      <ns0:c r="U836" s="245"/>
      <ns0:c r="V836" s="245"/>
      <ns0:c r="W836" s="245"/>
      <ns0:c r="X836" s="245"/>
      <ns0:c r="Y836" s="245"/>
      <ns0:c r="Z836" s="245"/>
    </ns0:row>
    <ns0:row r="837">
      <ns0:c r="A837" s="245"/>
      <ns0:c r="B837" s="245"/>
      <ns0:c r="C837" s="245"/>
      <ns0:c r="D837" s="245"/>
      <ns0:c r="E837" s="245"/>
      <ns0:c r="F837" s="245"/>
      <ns0:c r="G837" s="245"/>
      <ns0:c r="H837" s="245"/>
      <ns0:c r="I837" s="245"/>
      <ns0:c r="J837" s="245"/>
      <ns0:c r="K837" s="245"/>
      <ns0:c r="L837" s="245"/>
      <ns0:c r="M837" s="245"/>
      <ns0:c r="N837" s="245"/>
      <ns0:c r="O837" s="245"/>
      <ns0:c r="P837" s="245"/>
      <ns0:c r="Q837" s="245"/>
      <ns0:c r="R837" s="245"/>
      <ns0:c r="S837" s="245"/>
      <ns0:c r="T837" s="245"/>
      <ns0:c r="U837" s="245"/>
      <ns0:c r="V837" s="245"/>
      <ns0:c r="W837" s="245"/>
      <ns0:c r="X837" s="245"/>
      <ns0:c r="Y837" s="245"/>
      <ns0:c r="Z837" s="245"/>
    </ns0:row>
    <ns0:row r="838">
      <ns0:c r="A838" s="245"/>
      <ns0:c r="B838" s="245"/>
      <ns0:c r="C838" s="245"/>
      <ns0:c r="D838" s="245"/>
      <ns0:c r="E838" s="245"/>
      <ns0:c r="F838" s="245"/>
      <ns0:c r="G838" s="245"/>
      <ns0:c r="H838" s="245"/>
      <ns0:c r="I838" s="245"/>
      <ns0:c r="J838" s="245"/>
      <ns0:c r="K838" s="245"/>
      <ns0:c r="L838" s="245"/>
      <ns0:c r="M838" s="245"/>
      <ns0:c r="N838" s="245"/>
      <ns0:c r="O838" s="245"/>
      <ns0:c r="P838" s="245"/>
      <ns0:c r="Q838" s="245"/>
      <ns0:c r="R838" s="245"/>
      <ns0:c r="S838" s="245"/>
      <ns0:c r="T838" s="245"/>
      <ns0:c r="U838" s="245"/>
      <ns0:c r="V838" s="245"/>
      <ns0:c r="W838" s="245"/>
      <ns0:c r="X838" s="245"/>
      <ns0:c r="Y838" s="245"/>
      <ns0:c r="Z838" s="245"/>
    </ns0:row>
    <ns0:row r="839">
      <ns0:c r="A839" s="245"/>
      <ns0:c r="B839" s="245"/>
      <ns0:c r="C839" s="245"/>
      <ns0:c r="D839" s="245"/>
      <ns0:c r="E839" s="245"/>
      <ns0:c r="F839" s="245"/>
      <ns0:c r="G839" s="245"/>
      <ns0:c r="H839" s="245"/>
      <ns0:c r="I839" s="245"/>
      <ns0:c r="J839" s="245"/>
      <ns0:c r="K839" s="245"/>
      <ns0:c r="L839" s="245"/>
      <ns0:c r="M839" s="245"/>
      <ns0:c r="N839" s="245"/>
      <ns0:c r="O839" s="245"/>
      <ns0:c r="P839" s="245"/>
      <ns0:c r="Q839" s="245"/>
      <ns0:c r="R839" s="245"/>
      <ns0:c r="S839" s="245"/>
      <ns0:c r="T839" s="245"/>
      <ns0:c r="U839" s="245"/>
      <ns0:c r="V839" s="245"/>
      <ns0:c r="W839" s="245"/>
      <ns0:c r="X839" s="245"/>
      <ns0:c r="Y839" s="245"/>
      <ns0:c r="Z839" s="245"/>
    </ns0:row>
    <ns0:row r="840">
      <ns0:c r="A840" s="245"/>
      <ns0:c r="B840" s="245"/>
      <ns0:c r="C840" s="245"/>
      <ns0:c r="D840" s="245"/>
      <ns0:c r="E840" s="245"/>
      <ns0:c r="F840" s="245"/>
      <ns0:c r="G840" s="245"/>
      <ns0:c r="H840" s="245"/>
      <ns0:c r="I840" s="245"/>
      <ns0:c r="J840" s="245"/>
      <ns0:c r="K840" s="245"/>
      <ns0:c r="L840" s="245"/>
      <ns0:c r="M840" s="245"/>
      <ns0:c r="N840" s="245"/>
      <ns0:c r="O840" s="245"/>
      <ns0:c r="P840" s="245"/>
      <ns0:c r="Q840" s="245"/>
      <ns0:c r="R840" s="245"/>
      <ns0:c r="S840" s="245"/>
      <ns0:c r="T840" s="245"/>
      <ns0:c r="U840" s="245"/>
      <ns0:c r="V840" s="245"/>
      <ns0:c r="W840" s="245"/>
      <ns0:c r="X840" s="245"/>
      <ns0:c r="Y840" s="245"/>
      <ns0:c r="Z840" s="245"/>
    </ns0:row>
    <ns0:row r="841">
      <ns0:c r="A841" s="245"/>
      <ns0:c r="B841" s="245"/>
      <ns0:c r="C841" s="245"/>
      <ns0:c r="D841" s="245"/>
      <ns0:c r="E841" s="245"/>
      <ns0:c r="F841" s="245"/>
      <ns0:c r="G841" s="245"/>
      <ns0:c r="H841" s="245"/>
      <ns0:c r="I841" s="245"/>
      <ns0:c r="J841" s="245"/>
      <ns0:c r="K841" s="245"/>
      <ns0:c r="L841" s="245"/>
      <ns0:c r="M841" s="245"/>
      <ns0:c r="N841" s="245"/>
      <ns0:c r="O841" s="245"/>
      <ns0:c r="P841" s="245"/>
      <ns0:c r="Q841" s="245"/>
      <ns0:c r="R841" s="245"/>
      <ns0:c r="S841" s="245"/>
      <ns0:c r="T841" s="245"/>
      <ns0:c r="U841" s="245"/>
      <ns0:c r="V841" s="245"/>
      <ns0:c r="W841" s="245"/>
      <ns0:c r="X841" s="245"/>
      <ns0:c r="Y841" s="245"/>
      <ns0:c r="Z841" s="245"/>
    </ns0:row>
    <ns0:row r="842">
      <ns0:c r="A842" s="245"/>
      <ns0:c r="B842" s="245"/>
      <ns0:c r="C842" s="245"/>
      <ns0:c r="D842" s="245"/>
      <ns0:c r="E842" s="245"/>
      <ns0:c r="F842" s="245"/>
      <ns0:c r="G842" s="245"/>
      <ns0:c r="H842" s="245"/>
      <ns0:c r="I842" s="245"/>
      <ns0:c r="J842" s="245"/>
      <ns0:c r="K842" s="245"/>
      <ns0:c r="L842" s="245"/>
      <ns0:c r="M842" s="245"/>
      <ns0:c r="N842" s="245"/>
      <ns0:c r="O842" s="245"/>
      <ns0:c r="P842" s="245"/>
      <ns0:c r="Q842" s="245"/>
      <ns0:c r="R842" s="245"/>
      <ns0:c r="S842" s="245"/>
      <ns0:c r="T842" s="245"/>
      <ns0:c r="U842" s="245"/>
      <ns0:c r="V842" s="245"/>
      <ns0:c r="W842" s="245"/>
      <ns0:c r="X842" s="245"/>
      <ns0:c r="Y842" s="245"/>
      <ns0:c r="Z842" s="245"/>
    </ns0:row>
    <ns0:row r="843">
      <ns0:c r="A843" s="245"/>
      <ns0:c r="B843" s="245"/>
      <ns0:c r="C843" s="245"/>
      <ns0:c r="D843" s="245"/>
      <ns0:c r="E843" s="245"/>
      <ns0:c r="F843" s="245"/>
      <ns0:c r="G843" s="245"/>
      <ns0:c r="H843" s="245"/>
      <ns0:c r="I843" s="245"/>
      <ns0:c r="J843" s="245"/>
      <ns0:c r="K843" s="245"/>
      <ns0:c r="L843" s="245"/>
      <ns0:c r="M843" s="245"/>
      <ns0:c r="N843" s="245"/>
      <ns0:c r="O843" s="245"/>
      <ns0:c r="P843" s="245"/>
      <ns0:c r="Q843" s="245"/>
      <ns0:c r="R843" s="245"/>
      <ns0:c r="S843" s="245"/>
      <ns0:c r="T843" s="245"/>
      <ns0:c r="U843" s="245"/>
      <ns0:c r="V843" s="245"/>
      <ns0:c r="W843" s="245"/>
      <ns0:c r="X843" s="245"/>
      <ns0:c r="Y843" s="245"/>
      <ns0:c r="Z843" s="245"/>
    </ns0:row>
    <ns0:row r="844">
      <ns0:c r="A844" s="245"/>
      <ns0:c r="B844" s="245"/>
      <ns0:c r="C844" s="245"/>
      <ns0:c r="D844" s="245"/>
      <ns0:c r="E844" s="245"/>
      <ns0:c r="F844" s="245"/>
      <ns0:c r="G844" s="245"/>
      <ns0:c r="H844" s="245"/>
      <ns0:c r="I844" s="245"/>
      <ns0:c r="J844" s="245"/>
      <ns0:c r="K844" s="245"/>
      <ns0:c r="L844" s="245"/>
      <ns0:c r="M844" s="245"/>
      <ns0:c r="N844" s="245"/>
      <ns0:c r="O844" s="245"/>
      <ns0:c r="P844" s="245"/>
      <ns0:c r="Q844" s="245"/>
      <ns0:c r="R844" s="245"/>
      <ns0:c r="S844" s="245"/>
      <ns0:c r="T844" s="245"/>
      <ns0:c r="U844" s="245"/>
      <ns0:c r="V844" s="245"/>
      <ns0:c r="W844" s="245"/>
      <ns0:c r="X844" s="245"/>
      <ns0:c r="Y844" s="245"/>
      <ns0:c r="Z844" s="245"/>
    </ns0:row>
    <ns0:row r="845">
      <ns0:c r="A845" s="245"/>
      <ns0:c r="B845" s="245"/>
      <ns0:c r="C845" s="245"/>
      <ns0:c r="D845" s="245"/>
      <ns0:c r="E845" s="245"/>
      <ns0:c r="F845" s="245"/>
      <ns0:c r="G845" s="245"/>
      <ns0:c r="H845" s="245"/>
      <ns0:c r="I845" s="245"/>
      <ns0:c r="J845" s="245"/>
      <ns0:c r="K845" s="245"/>
      <ns0:c r="L845" s="245"/>
      <ns0:c r="M845" s="245"/>
      <ns0:c r="N845" s="245"/>
      <ns0:c r="O845" s="245"/>
      <ns0:c r="P845" s="245"/>
      <ns0:c r="Q845" s="245"/>
      <ns0:c r="R845" s="245"/>
      <ns0:c r="S845" s="245"/>
      <ns0:c r="T845" s="245"/>
      <ns0:c r="U845" s="245"/>
      <ns0:c r="V845" s="245"/>
      <ns0:c r="W845" s="245"/>
      <ns0:c r="X845" s="245"/>
      <ns0:c r="Y845" s="245"/>
      <ns0:c r="Z845" s="245"/>
    </ns0:row>
    <ns0:row r="846">
      <ns0:c r="A846" s="245"/>
      <ns0:c r="B846" s="245"/>
      <ns0:c r="C846" s="245"/>
      <ns0:c r="D846" s="245"/>
      <ns0:c r="E846" s="245"/>
      <ns0:c r="F846" s="245"/>
      <ns0:c r="G846" s="245"/>
      <ns0:c r="H846" s="245"/>
      <ns0:c r="I846" s="245"/>
      <ns0:c r="J846" s="245"/>
      <ns0:c r="K846" s="245"/>
      <ns0:c r="L846" s="245"/>
      <ns0:c r="M846" s="245"/>
      <ns0:c r="N846" s="245"/>
      <ns0:c r="O846" s="245"/>
      <ns0:c r="P846" s="245"/>
      <ns0:c r="Q846" s="245"/>
      <ns0:c r="R846" s="245"/>
      <ns0:c r="S846" s="245"/>
      <ns0:c r="T846" s="245"/>
      <ns0:c r="U846" s="245"/>
      <ns0:c r="V846" s="245"/>
      <ns0:c r="W846" s="245"/>
      <ns0:c r="X846" s="245"/>
      <ns0:c r="Y846" s="245"/>
      <ns0:c r="Z846" s="245"/>
    </ns0:row>
    <ns0:row r="847">
      <ns0:c r="A847" s="245"/>
      <ns0:c r="B847" s="245"/>
      <ns0:c r="C847" s="245"/>
      <ns0:c r="D847" s="245"/>
      <ns0:c r="E847" s="245"/>
      <ns0:c r="F847" s="245"/>
      <ns0:c r="G847" s="245"/>
      <ns0:c r="H847" s="245"/>
      <ns0:c r="I847" s="245"/>
      <ns0:c r="J847" s="245"/>
      <ns0:c r="K847" s="245"/>
      <ns0:c r="L847" s="245"/>
      <ns0:c r="M847" s="245"/>
      <ns0:c r="N847" s="245"/>
      <ns0:c r="O847" s="245"/>
      <ns0:c r="P847" s="245"/>
      <ns0:c r="Q847" s="245"/>
      <ns0:c r="R847" s="245"/>
      <ns0:c r="S847" s="245"/>
      <ns0:c r="T847" s="245"/>
      <ns0:c r="U847" s="245"/>
      <ns0:c r="V847" s="245"/>
      <ns0:c r="W847" s="245"/>
      <ns0:c r="X847" s="245"/>
      <ns0:c r="Y847" s="245"/>
      <ns0:c r="Z847" s="245"/>
    </ns0:row>
    <ns0:row r="848">
      <ns0:c r="A848" s="245"/>
      <ns0:c r="B848" s="245"/>
      <ns0:c r="C848" s="245"/>
      <ns0:c r="D848" s="245"/>
      <ns0:c r="E848" s="245"/>
      <ns0:c r="F848" s="245"/>
      <ns0:c r="G848" s="245"/>
      <ns0:c r="H848" s="245"/>
      <ns0:c r="I848" s="245"/>
      <ns0:c r="J848" s="245"/>
      <ns0:c r="K848" s="245"/>
      <ns0:c r="L848" s="245"/>
      <ns0:c r="M848" s="245"/>
      <ns0:c r="N848" s="245"/>
      <ns0:c r="O848" s="245"/>
      <ns0:c r="P848" s="245"/>
      <ns0:c r="Q848" s="245"/>
      <ns0:c r="R848" s="245"/>
      <ns0:c r="S848" s="245"/>
      <ns0:c r="T848" s="245"/>
      <ns0:c r="U848" s="245"/>
      <ns0:c r="V848" s="245"/>
      <ns0:c r="W848" s="245"/>
      <ns0:c r="X848" s="245"/>
      <ns0:c r="Y848" s="245"/>
      <ns0:c r="Z848" s="245"/>
    </ns0:row>
    <ns0:row r="849">
      <ns0:c r="A849" s="245"/>
      <ns0:c r="B849" s="245"/>
      <ns0:c r="C849" s="245"/>
      <ns0:c r="D849" s="245"/>
      <ns0:c r="E849" s="245"/>
      <ns0:c r="F849" s="245"/>
      <ns0:c r="G849" s="245"/>
      <ns0:c r="H849" s="245"/>
      <ns0:c r="I849" s="245"/>
      <ns0:c r="J849" s="245"/>
      <ns0:c r="K849" s="245"/>
      <ns0:c r="L849" s="245"/>
      <ns0:c r="M849" s="245"/>
      <ns0:c r="N849" s="245"/>
      <ns0:c r="O849" s="245"/>
      <ns0:c r="P849" s="245"/>
      <ns0:c r="Q849" s="245"/>
      <ns0:c r="R849" s="245"/>
      <ns0:c r="S849" s="245"/>
      <ns0:c r="T849" s="245"/>
      <ns0:c r="U849" s="245"/>
      <ns0:c r="V849" s="245"/>
      <ns0:c r="W849" s="245"/>
      <ns0:c r="X849" s="245"/>
      <ns0:c r="Y849" s="245"/>
      <ns0:c r="Z849" s="245"/>
    </ns0:row>
    <ns0:row r="850">
      <ns0:c r="A850" s="245"/>
      <ns0:c r="B850" s="245"/>
      <ns0:c r="C850" s="245"/>
      <ns0:c r="D850" s="245"/>
      <ns0:c r="E850" s="245"/>
      <ns0:c r="F850" s="245"/>
      <ns0:c r="G850" s="245"/>
      <ns0:c r="H850" s="245"/>
      <ns0:c r="I850" s="245"/>
      <ns0:c r="J850" s="245"/>
      <ns0:c r="K850" s="245"/>
      <ns0:c r="L850" s="245"/>
      <ns0:c r="M850" s="245"/>
      <ns0:c r="N850" s="245"/>
      <ns0:c r="O850" s="245"/>
      <ns0:c r="P850" s="245"/>
      <ns0:c r="Q850" s="245"/>
      <ns0:c r="R850" s="245"/>
      <ns0:c r="S850" s="245"/>
      <ns0:c r="T850" s="245"/>
      <ns0:c r="U850" s="245"/>
      <ns0:c r="V850" s="245"/>
      <ns0:c r="W850" s="245"/>
      <ns0:c r="X850" s="245"/>
      <ns0:c r="Y850" s="245"/>
      <ns0:c r="Z850" s="245"/>
    </ns0:row>
    <ns0:row r="851">
      <ns0:c r="A851" s="245"/>
      <ns0:c r="B851" s="245"/>
      <ns0:c r="C851" s="245"/>
      <ns0:c r="D851" s="245"/>
      <ns0:c r="E851" s="245"/>
      <ns0:c r="F851" s="245"/>
      <ns0:c r="G851" s="245"/>
      <ns0:c r="H851" s="245"/>
      <ns0:c r="I851" s="245"/>
      <ns0:c r="J851" s="245"/>
      <ns0:c r="K851" s="245"/>
      <ns0:c r="L851" s="245"/>
      <ns0:c r="M851" s="245"/>
      <ns0:c r="N851" s="245"/>
      <ns0:c r="O851" s="245"/>
      <ns0:c r="P851" s="245"/>
      <ns0:c r="Q851" s="245"/>
      <ns0:c r="R851" s="245"/>
      <ns0:c r="S851" s="245"/>
      <ns0:c r="T851" s="245"/>
      <ns0:c r="U851" s="245"/>
      <ns0:c r="V851" s="245"/>
      <ns0:c r="W851" s="245"/>
      <ns0:c r="X851" s="245"/>
      <ns0:c r="Y851" s="245"/>
      <ns0:c r="Z851" s="245"/>
    </ns0:row>
    <ns0:row r="852">
      <ns0:c r="A852" s="245"/>
      <ns0:c r="B852" s="245"/>
      <ns0:c r="C852" s="245"/>
      <ns0:c r="D852" s="245"/>
      <ns0:c r="E852" s="245"/>
      <ns0:c r="F852" s="245"/>
      <ns0:c r="G852" s="245"/>
      <ns0:c r="H852" s="245"/>
      <ns0:c r="I852" s="245"/>
      <ns0:c r="J852" s="245"/>
      <ns0:c r="K852" s="245"/>
      <ns0:c r="L852" s="245"/>
      <ns0:c r="M852" s="245"/>
      <ns0:c r="N852" s="245"/>
      <ns0:c r="O852" s="245"/>
      <ns0:c r="P852" s="245"/>
      <ns0:c r="Q852" s="245"/>
      <ns0:c r="R852" s="245"/>
      <ns0:c r="S852" s="245"/>
      <ns0:c r="T852" s="245"/>
      <ns0:c r="U852" s="245"/>
      <ns0:c r="V852" s="245"/>
      <ns0:c r="W852" s="245"/>
      <ns0:c r="X852" s="245"/>
      <ns0:c r="Y852" s="245"/>
      <ns0:c r="Z852" s="245"/>
    </ns0:row>
    <ns0:row r="853">
      <ns0:c r="A853" s="245"/>
      <ns0:c r="B853" s="245"/>
      <ns0:c r="C853" s="245"/>
      <ns0:c r="D853" s="245"/>
      <ns0:c r="E853" s="245"/>
      <ns0:c r="F853" s="245"/>
      <ns0:c r="G853" s="245"/>
      <ns0:c r="H853" s="245"/>
      <ns0:c r="I853" s="245"/>
      <ns0:c r="J853" s="245"/>
      <ns0:c r="K853" s="245"/>
      <ns0:c r="L853" s="245"/>
      <ns0:c r="M853" s="245"/>
      <ns0:c r="N853" s="245"/>
      <ns0:c r="O853" s="245"/>
      <ns0:c r="P853" s="245"/>
      <ns0:c r="Q853" s="245"/>
      <ns0:c r="R853" s="245"/>
      <ns0:c r="S853" s="245"/>
      <ns0:c r="T853" s="245"/>
      <ns0:c r="U853" s="245"/>
      <ns0:c r="V853" s="245"/>
      <ns0:c r="W853" s="245"/>
      <ns0:c r="X853" s="245"/>
      <ns0:c r="Y853" s="245"/>
      <ns0:c r="Z853" s="245"/>
    </ns0:row>
    <ns0:row r="854">
      <ns0:c r="A854" s="245"/>
      <ns0:c r="B854" s="245"/>
      <ns0:c r="C854" s="245"/>
      <ns0:c r="D854" s="245"/>
      <ns0:c r="E854" s="245"/>
      <ns0:c r="F854" s="245"/>
      <ns0:c r="G854" s="245"/>
      <ns0:c r="H854" s="245"/>
      <ns0:c r="I854" s="245"/>
      <ns0:c r="J854" s="245"/>
      <ns0:c r="K854" s="245"/>
      <ns0:c r="L854" s="245"/>
      <ns0:c r="M854" s="245"/>
      <ns0:c r="N854" s="245"/>
      <ns0:c r="O854" s="245"/>
      <ns0:c r="P854" s="245"/>
      <ns0:c r="Q854" s="245"/>
      <ns0:c r="R854" s="245"/>
      <ns0:c r="S854" s="245"/>
      <ns0:c r="T854" s="245"/>
      <ns0:c r="U854" s="245"/>
      <ns0:c r="V854" s="245"/>
      <ns0:c r="W854" s="245"/>
      <ns0:c r="X854" s="245"/>
      <ns0:c r="Y854" s="245"/>
      <ns0:c r="Z854" s="245"/>
    </ns0:row>
    <ns0:row r="855">
      <ns0:c r="A855" s="245"/>
      <ns0:c r="B855" s="245"/>
      <ns0:c r="C855" s="245"/>
      <ns0:c r="D855" s="245"/>
      <ns0:c r="E855" s="245"/>
      <ns0:c r="F855" s="245"/>
      <ns0:c r="G855" s="245"/>
      <ns0:c r="H855" s="245"/>
      <ns0:c r="I855" s="245"/>
      <ns0:c r="J855" s="245"/>
      <ns0:c r="K855" s="245"/>
      <ns0:c r="L855" s="245"/>
      <ns0:c r="M855" s="245"/>
      <ns0:c r="N855" s="245"/>
      <ns0:c r="O855" s="245"/>
      <ns0:c r="P855" s="245"/>
      <ns0:c r="Q855" s="245"/>
      <ns0:c r="R855" s="245"/>
      <ns0:c r="S855" s="245"/>
      <ns0:c r="T855" s="245"/>
      <ns0:c r="U855" s="245"/>
      <ns0:c r="V855" s="245"/>
      <ns0:c r="W855" s="245"/>
      <ns0:c r="X855" s="245"/>
      <ns0:c r="Y855" s="245"/>
      <ns0:c r="Z855" s="245"/>
    </ns0:row>
    <ns0:row r="856">
      <ns0:c r="A856" s="245"/>
      <ns0:c r="B856" s="245"/>
      <ns0:c r="C856" s="245"/>
      <ns0:c r="D856" s="245"/>
      <ns0:c r="E856" s="245"/>
      <ns0:c r="F856" s="245"/>
      <ns0:c r="G856" s="245"/>
      <ns0:c r="H856" s="245"/>
      <ns0:c r="I856" s="245"/>
      <ns0:c r="J856" s="245"/>
      <ns0:c r="K856" s="245"/>
      <ns0:c r="L856" s="245"/>
      <ns0:c r="M856" s="245"/>
      <ns0:c r="N856" s="245"/>
      <ns0:c r="O856" s="245"/>
      <ns0:c r="P856" s="245"/>
      <ns0:c r="Q856" s="245"/>
      <ns0:c r="R856" s="245"/>
      <ns0:c r="S856" s="245"/>
      <ns0:c r="T856" s="245"/>
      <ns0:c r="U856" s="245"/>
      <ns0:c r="V856" s="245"/>
      <ns0:c r="W856" s="245"/>
      <ns0:c r="X856" s="245"/>
      <ns0:c r="Y856" s="245"/>
      <ns0:c r="Z856" s="245"/>
    </ns0:row>
    <ns0:row r="857">
      <ns0:c r="A857" s="245"/>
      <ns0:c r="B857" s="245"/>
      <ns0:c r="C857" s="245"/>
      <ns0:c r="D857" s="245"/>
      <ns0:c r="E857" s="245"/>
      <ns0:c r="F857" s="245"/>
      <ns0:c r="G857" s="245"/>
      <ns0:c r="H857" s="245"/>
      <ns0:c r="I857" s="245"/>
      <ns0:c r="J857" s="245"/>
      <ns0:c r="K857" s="245"/>
      <ns0:c r="L857" s="245"/>
      <ns0:c r="M857" s="245"/>
      <ns0:c r="N857" s="245"/>
      <ns0:c r="O857" s="245"/>
      <ns0:c r="P857" s="245"/>
      <ns0:c r="Q857" s="245"/>
      <ns0:c r="R857" s="245"/>
      <ns0:c r="S857" s="245"/>
      <ns0:c r="T857" s="245"/>
      <ns0:c r="U857" s="245"/>
      <ns0:c r="V857" s="245"/>
      <ns0:c r="W857" s="245"/>
      <ns0:c r="X857" s="245"/>
      <ns0:c r="Y857" s="245"/>
      <ns0:c r="Z857" s="245"/>
    </ns0:row>
    <ns0:row r="858">
      <ns0:c r="A858" s="245"/>
      <ns0:c r="B858" s="245"/>
      <ns0:c r="C858" s="245"/>
      <ns0:c r="D858" s="245"/>
      <ns0:c r="E858" s="245"/>
      <ns0:c r="F858" s="245"/>
      <ns0:c r="G858" s="245"/>
      <ns0:c r="H858" s="245"/>
      <ns0:c r="I858" s="245"/>
      <ns0:c r="J858" s="245"/>
      <ns0:c r="K858" s="245"/>
      <ns0:c r="L858" s="245"/>
      <ns0:c r="M858" s="245"/>
      <ns0:c r="N858" s="245"/>
      <ns0:c r="O858" s="245"/>
      <ns0:c r="P858" s="245"/>
      <ns0:c r="Q858" s="245"/>
      <ns0:c r="R858" s="245"/>
      <ns0:c r="S858" s="245"/>
      <ns0:c r="T858" s="245"/>
      <ns0:c r="U858" s="245"/>
      <ns0:c r="V858" s="245"/>
      <ns0:c r="W858" s="245"/>
      <ns0:c r="X858" s="245"/>
      <ns0:c r="Y858" s="245"/>
      <ns0:c r="Z858" s="245"/>
    </ns0:row>
    <ns0:row r="859">
      <ns0:c r="A859" s="245"/>
      <ns0:c r="B859" s="245"/>
      <ns0:c r="C859" s="245"/>
      <ns0:c r="D859" s="245"/>
      <ns0:c r="E859" s="245"/>
      <ns0:c r="F859" s="245"/>
      <ns0:c r="G859" s="245"/>
      <ns0:c r="H859" s="245"/>
      <ns0:c r="I859" s="245"/>
      <ns0:c r="J859" s="245"/>
      <ns0:c r="K859" s="245"/>
      <ns0:c r="L859" s="245"/>
      <ns0:c r="M859" s="245"/>
      <ns0:c r="N859" s="245"/>
      <ns0:c r="O859" s="245"/>
      <ns0:c r="P859" s="245"/>
      <ns0:c r="Q859" s="245"/>
      <ns0:c r="R859" s="245"/>
      <ns0:c r="S859" s="245"/>
      <ns0:c r="T859" s="245"/>
      <ns0:c r="U859" s="245"/>
      <ns0:c r="V859" s="245"/>
      <ns0:c r="W859" s="245"/>
      <ns0:c r="X859" s="245"/>
      <ns0:c r="Y859" s="245"/>
      <ns0:c r="Z859" s="245"/>
    </ns0:row>
    <ns0:row r="860">
      <ns0:c r="A860" s="245"/>
      <ns0:c r="B860" s="245"/>
      <ns0:c r="C860" s="245"/>
      <ns0:c r="D860" s="245"/>
      <ns0:c r="E860" s="245"/>
      <ns0:c r="F860" s="245"/>
      <ns0:c r="G860" s="245"/>
      <ns0:c r="H860" s="245"/>
      <ns0:c r="I860" s="245"/>
      <ns0:c r="J860" s="245"/>
      <ns0:c r="K860" s="245"/>
      <ns0:c r="L860" s="245"/>
      <ns0:c r="M860" s="245"/>
      <ns0:c r="N860" s="245"/>
      <ns0:c r="O860" s="245"/>
      <ns0:c r="P860" s="245"/>
      <ns0:c r="Q860" s="245"/>
      <ns0:c r="R860" s="245"/>
      <ns0:c r="S860" s="245"/>
      <ns0:c r="T860" s="245"/>
      <ns0:c r="U860" s="245"/>
      <ns0:c r="V860" s="245"/>
      <ns0:c r="W860" s="245"/>
      <ns0:c r="X860" s="245"/>
      <ns0:c r="Y860" s="245"/>
      <ns0:c r="Z860" s="245"/>
    </ns0:row>
    <ns0:row r="861">
      <ns0:c r="A861" s="245"/>
      <ns0:c r="B861" s="245"/>
      <ns0:c r="C861" s="245"/>
      <ns0:c r="D861" s="245"/>
      <ns0:c r="E861" s="245"/>
      <ns0:c r="F861" s="245"/>
      <ns0:c r="G861" s="245"/>
      <ns0:c r="H861" s="245"/>
      <ns0:c r="I861" s="245"/>
      <ns0:c r="J861" s="245"/>
      <ns0:c r="K861" s="245"/>
      <ns0:c r="L861" s="245"/>
      <ns0:c r="M861" s="245"/>
      <ns0:c r="N861" s="245"/>
      <ns0:c r="O861" s="245"/>
      <ns0:c r="P861" s="245"/>
      <ns0:c r="Q861" s="245"/>
      <ns0:c r="R861" s="245"/>
      <ns0:c r="S861" s="245"/>
      <ns0:c r="T861" s="245"/>
      <ns0:c r="U861" s="245"/>
      <ns0:c r="V861" s="245"/>
      <ns0:c r="W861" s="245"/>
      <ns0:c r="X861" s="245"/>
      <ns0:c r="Y861" s="245"/>
      <ns0:c r="Z861" s="245"/>
    </ns0:row>
    <ns0:row r="862">
      <ns0:c r="A862" s="245"/>
      <ns0:c r="B862" s="245"/>
      <ns0:c r="C862" s="245"/>
      <ns0:c r="D862" s="245"/>
      <ns0:c r="E862" s="245"/>
      <ns0:c r="F862" s="245"/>
      <ns0:c r="G862" s="245"/>
      <ns0:c r="H862" s="245"/>
      <ns0:c r="I862" s="245"/>
      <ns0:c r="J862" s="245"/>
      <ns0:c r="K862" s="245"/>
      <ns0:c r="L862" s="245"/>
      <ns0:c r="M862" s="245"/>
      <ns0:c r="N862" s="245"/>
      <ns0:c r="O862" s="245"/>
      <ns0:c r="P862" s="245"/>
      <ns0:c r="Q862" s="245"/>
      <ns0:c r="R862" s="245"/>
      <ns0:c r="S862" s="245"/>
      <ns0:c r="T862" s="245"/>
      <ns0:c r="U862" s="245"/>
      <ns0:c r="V862" s="245"/>
      <ns0:c r="W862" s="245"/>
      <ns0:c r="X862" s="245"/>
      <ns0:c r="Y862" s="245"/>
      <ns0:c r="Z862" s="245"/>
    </ns0:row>
    <ns0:row r="863">
      <ns0:c r="A863" s="245"/>
      <ns0:c r="B863" s="245"/>
      <ns0:c r="C863" s="245"/>
      <ns0:c r="D863" s="245"/>
      <ns0:c r="E863" s="245"/>
      <ns0:c r="F863" s="245"/>
      <ns0:c r="G863" s="245"/>
      <ns0:c r="H863" s="245"/>
      <ns0:c r="I863" s="245"/>
      <ns0:c r="J863" s="245"/>
      <ns0:c r="K863" s="245"/>
      <ns0:c r="L863" s="245"/>
      <ns0:c r="M863" s="245"/>
      <ns0:c r="N863" s="245"/>
      <ns0:c r="O863" s="245"/>
      <ns0:c r="P863" s="245"/>
      <ns0:c r="Q863" s="245"/>
      <ns0:c r="R863" s="245"/>
      <ns0:c r="S863" s="245"/>
      <ns0:c r="T863" s="245"/>
      <ns0:c r="U863" s="245"/>
      <ns0:c r="V863" s="245"/>
      <ns0:c r="W863" s="245"/>
      <ns0:c r="X863" s="245"/>
      <ns0:c r="Y863" s="245"/>
      <ns0:c r="Z863" s="245"/>
    </ns0:row>
    <ns0:row r="864">
      <ns0:c r="A864" s="245"/>
      <ns0:c r="B864" s="245"/>
      <ns0:c r="C864" s="245"/>
      <ns0:c r="D864" s="245"/>
      <ns0:c r="E864" s="245"/>
      <ns0:c r="F864" s="245"/>
      <ns0:c r="G864" s="245"/>
      <ns0:c r="H864" s="245"/>
      <ns0:c r="I864" s="245"/>
      <ns0:c r="J864" s="245"/>
      <ns0:c r="K864" s="245"/>
      <ns0:c r="L864" s="245"/>
      <ns0:c r="M864" s="245"/>
      <ns0:c r="N864" s="245"/>
      <ns0:c r="O864" s="245"/>
      <ns0:c r="P864" s="245"/>
      <ns0:c r="Q864" s="245"/>
      <ns0:c r="R864" s="245"/>
      <ns0:c r="S864" s="245"/>
      <ns0:c r="T864" s="245"/>
      <ns0:c r="U864" s="245"/>
      <ns0:c r="V864" s="245"/>
      <ns0:c r="W864" s="245"/>
      <ns0:c r="X864" s="245"/>
      <ns0:c r="Y864" s="245"/>
      <ns0:c r="Z864" s="245"/>
    </ns0:row>
    <ns0:row r="865">
      <ns0:c r="A865" s="245"/>
      <ns0:c r="B865" s="245"/>
      <ns0:c r="C865" s="245"/>
      <ns0:c r="D865" s="245"/>
      <ns0:c r="E865" s="245"/>
      <ns0:c r="F865" s="245"/>
      <ns0:c r="G865" s="245"/>
      <ns0:c r="H865" s="245"/>
      <ns0:c r="I865" s="245"/>
      <ns0:c r="J865" s="245"/>
      <ns0:c r="K865" s="245"/>
      <ns0:c r="L865" s="245"/>
      <ns0:c r="M865" s="245"/>
      <ns0:c r="N865" s="245"/>
      <ns0:c r="O865" s="245"/>
      <ns0:c r="P865" s="245"/>
      <ns0:c r="Q865" s="245"/>
      <ns0:c r="R865" s="245"/>
      <ns0:c r="S865" s="245"/>
      <ns0:c r="T865" s="245"/>
      <ns0:c r="U865" s="245"/>
      <ns0:c r="V865" s="245"/>
      <ns0:c r="W865" s="245"/>
      <ns0:c r="X865" s="245"/>
      <ns0:c r="Y865" s="245"/>
      <ns0:c r="Z865" s="245"/>
    </ns0:row>
    <ns0:row r="866">
      <ns0:c r="A866" s="245"/>
      <ns0:c r="B866" s="245"/>
      <ns0:c r="C866" s="245"/>
      <ns0:c r="D866" s="245"/>
      <ns0:c r="E866" s="245"/>
      <ns0:c r="F866" s="245"/>
      <ns0:c r="G866" s="245"/>
      <ns0:c r="H866" s="245"/>
      <ns0:c r="I866" s="245"/>
      <ns0:c r="J866" s="245"/>
      <ns0:c r="K866" s="245"/>
      <ns0:c r="L866" s="245"/>
      <ns0:c r="M866" s="245"/>
      <ns0:c r="N866" s="245"/>
      <ns0:c r="O866" s="245"/>
      <ns0:c r="P866" s="245"/>
      <ns0:c r="Q866" s="245"/>
      <ns0:c r="R866" s="245"/>
      <ns0:c r="S866" s="245"/>
      <ns0:c r="T866" s="245"/>
      <ns0:c r="U866" s="245"/>
      <ns0:c r="V866" s="245"/>
      <ns0:c r="W866" s="245"/>
      <ns0:c r="X866" s="245"/>
      <ns0:c r="Y866" s="245"/>
      <ns0:c r="Z866" s="245"/>
    </ns0:row>
    <ns0:row r="867">
      <ns0:c r="A867" s="245"/>
      <ns0:c r="B867" s="245"/>
      <ns0:c r="C867" s="245"/>
      <ns0:c r="D867" s="245"/>
      <ns0:c r="E867" s="245"/>
      <ns0:c r="F867" s="245"/>
      <ns0:c r="G867" s="245"/>
      <ns0:c r="H867" s="245"/>
      <ns0:c r="I867" s="245"/>
      <ns0:c r="J867" s="245"/>
      <ns0:c r="K867" s="245"/>
      <ns0:c r="L867" s="245"/>
      <ns0:c r="M867" s="245"/>
      <ns0:c r="N867" s="245"/>
      <ns0:c r="O867" s="245"/>
      <ns0:c r="P867" s="245"/>
      <ns0:c r="Q867" s="245"/>
      <ns0:c r="R867" s="245"/>
      <ns0:c r="S867" s="245"/>
      <ns0:c r="T867" s="245"/>
      <ns0:c r="U867" s="245"/>
      <ns0:c r="V867" s="245"/>
      <ns0:c r="W867" s="245"/>
      <ns0:c r="X867" s="245"/>
      <ns0:c r="Y867" s="245"/>
      <ns0:c r="Z867" s="245"/>
    </ns0:row>
    <ns0:row r="868">
      <ns0:c r="A868" s="245"/>
      <ns0:c r="B868" s="245"/>
      <ns0:c r="C868" s="245"/>
      <ns0:c r="D868" s="245"/>
      <ns0:c r="E868" s="245"/>
      <ns0:c r="F868" s="245"/>
      <ns0:c r="G868" s="245"/>
      <ns0:c r="H868" s="245"/>
      <ns0:c r="I868" s="245"/>
      <ns0:c r="J868" s="245"/>
      <ns0:c r="K868" s="245"/>
      <ns0:c r="L868" s="245"/>
      <ns0:c r="M868" s="245"/>
      <ns0:c r="N868" s="245"/>
      <ns0:c r="O868" s="245"/>
      <ns0:c r="P868" s="245"/>
      <ns0:c r="Q868" s="245"/>
      <ns0:c r="R868" s="245"/>
      <ns0:c r="S868" s="245"/>
      <ns0:c r="T868" s="245"/>
      <ns0:c r="U868" s="245"/>
      <ns0:c r="V868" s="245"/>
      <ns0:c r="W868" s="245"/>
      <ns0:c r="X868" s="245"/>
      <ns0:c r="Y868" s="245"/>
      <ns0:c r="Z868" s="245"/>
    </ns0:row>
    <ns0:row r="869">
      <ns0:c r="A869" s="245"/>
      <ns0:c r="B869" s="245"/>
      <ns0:c r="C869" s="245"/>
      <ns0:c r="D869" s="245"/>
      <ns0:c r="E869" s="245"/>
      <ns0:c r="F869" s="245"/>
      <ns0:c r="G869" s="245"/>
      <ns0:c r="H869" s="245"/>
      <ns0:c r="I869" s="245"/>
      <ns0:c r="J869" s="245"/>
      <ns0:c r="K869" s="245"/>
      <ns0:c r="L869" s="245"/>
      <ns0:c r="M869" s="245"/>
      <ns0:c r="N869" s="245"/>
      <ns0:c r="O869" s="245"/>
      <ns0:c r="P869" s="245"/>
      <ns0:c r="Q869" s="245"/>
      <ns0:c r="R869" s="245"/>
      <ns0:c r="S869" s="245"/>
      <ns0:c r="T869" s="245"/>
      <ns0:c r="U869" s="245"/>
      <ns0:c r="V869" s="245"/>
      <ns0:c r="W869" s="245"/>
      <ns0:c r="X869" s="245"/>
      <ns0:c r="Y869" s="245"/>
      <ns0:c r="Z869" s="245"/>
    </ns0:row>
    <ns0:row r="870">
      <ns0:c r="A870" s="245"/>
      <ns0:c r="B870" s="245"/>
      <ns0:c r="C870" s="245"/>
      <ns0:c r="D870" s="245"/>
      <ns0:c r="E870" s="245"/>
      <ns0:c r="F870" s="245"/>
      <ns0:c r="G870" s="245"/>
      <ns0:c r="H870" s="245"/>
      <ns0:c r="I870" s="245"/>
      <ns0:c r="J870" s="245"/>
      <ns0:c r="K870" s="245"/>
      <ns0:c r="L870" s="245"/>
      <ns0:c r="M870" s="245"/>
      <ns0:c r="N870" s="245"/>
      <ns0:c r="O870" s="245"/>
      <ns0:c r="P870" s="245"/>
      <ns0:c r="Q870" s="245"/>
      <ns0:c r="R870" s="245"/>
      <ns0:c r="S870" s="245"/>
      <ns0:c r="T870" s="245"/>
      <ns0:c r="U870" s="245"/>
      <ns0:c r="V870" s="245"/>
      <ns0:c r="W870" s="245"/>
      <ns0:c r="X870" s="245"/>
      <ns0:c r="Y870" s="245"/>
      <ns0:c r="Z870" s="245"/>
    </ns0:row>
    <ns0:row r="871">
      <ns0:c r="A871" s="245"/>
      <ns0:c r="B871" s="245"/>
      <ns0:c r="C871" s="245"/>
      <ns0:c r="D871" s="245"/>
      <ns0:c r="E871" s="245"/>
      <ns0:c r="F871" s="245"/>
      <ns0:c r="G871" s="245"/>
      <ns0:c r="H871" s="245"/>
      <ns0:c r="I871" s="245"/>
      <ns0:c r="J871" s="245"/>
      <ns0:c r="K871" s="245"/>
      <ns0:c r="L871" s="245"/>
      <ns0:c r="M871" s="245"/>
      <ns0:c r="N871" s="245"/>
      <ns0:c r="O871" s="245"/>
      <ns0:c r="P871" s="245"/>
      <ns0:c r="Q871" s="245"/>
      <ns0:c r="R871" s="245"/>
      <ns0:c r="S871" s="245"/>
      <ns0:c r="T871" s="245"/>
      <ns0:c r="U871" s="245"/>
      <ns0:c r="V871" s="245"/>
      <ns0:c r="W871" s="245"/>
      <ns0:c r="X871" s="245"/>
      <ns0:c r="Y871" s="245"/>
      <ns0:c r="Z871" s="245"/>
    </ns0:row>
    <ns0:row r="872">
      <ns0:c r="A872" s="245"/>
      <ns0:c r="B872" s="245"/>
      <ns0:c r="C872" s="245"/>
      <ns0:c r="D872" s="245"/>
      <ns0:c r="E872" s="245"/>
      <ns0:c r="F872" s="245"/>
      <ns0:c r="G872" s="245"/>
      <ns0:c r="H872" s="245"/>
      <ns0:c r="I872" s="245"/>
      <ns0:c r="J872" s="245"/>
      <ns0:c r="K872" s="245"/>
      <ns0:c r="L872" s="245"/>
      <ns0:c r="M872" s="245"/>
      <ns0:c r="N872" s="245"/>
      <ns0:c r="O872" s="245"/>
      <ns0:c r="P872" s="245"/>
      <ns0:c r="Q872" s="245"/>
      <ns0:c r="R872" s="245"/>
      <ns0:c r="S872" s="245"/>
      <ns0:c r="T872" s="245"/>
      <ns0:c r="U872" s="245"/>
      <ns0:c r="V872" s="245"/>
      <ns0:c r="W872" s="245"/>
      <ns0:c r="X872" s="245"/>
      <ns0:c r="Y872" s="245"/>
      <ns0:c r="Z872" s="245"/>
    </ns0:row>
    <ns0:row r="873">
      <ns0:c r="A873" s="245"/>
      <ns0:c r="B873" s="245"/>
      <ns0:c r="C873" s="245"/>
      <ns0:c r="D873" s="245"/>
      <ns0:c r="E873" s="245"/>
      <ns0:c r="F873" s="245"/>
      <ns0:c r="G873" s="245"/>
      <ns0:c r="H873" s="245"/>
      <ns0:c r="I873" s="245"/>
      <ns0:c r="J873" s="245"/>
      <ns0:c r="K873" s="245"/>
      <ns0:c r="L873" s="245"/>
      <ns0:c r="M873" s="245"/>
      <ns0:c r="N873" s="245"/>
      <ns0:c r="O873" s="245"/>
      <ns0:c r="P873" s="245"/>
      <ns0:c r="Q873" s="245"/>
      <ns0:c r="R873" s="245"/>
      <ns0:c r="S873" s="245"/>
      <ns0:c r="T873" s="245"/>
      <ns0:c r="U873" s="245"/>
      <ns0:c r="V873" s="245"/>
      <ns0:c r="W873" s="245"/>
      <ns0:c r="X873" s="245"/>
      <ns0:c r="Y873" s="245"/>
      <ns0:c r="Z873" s="245"/>
    </ns0:row>
    <ns0:row r="874">
      <ns0:c r="A874" s="245"/>
      <ns0:c r="B874" s="245"/>
      <ns0:c r="C874" s="245"/>
      <ns0:c r="D874" s="245"/>
      <ns0:c r="E874" s="245"/>
      <ns0:c r="F874" s="245"/>
      <ns0:c r="G874" s="245"/>
      <ns0:c r="H874" s="245"/>
      <ns0:c r="I874" s="245"/>
      <ns0:c r="J874" s="245"/>
      <ns0:c r="K874" s="245"/>
      <ns0:c r="L874" s="245"/>
      <ns0:c r="M874" s="245"/>
      <ns0:c r="N874" s="245"/>
      <ns0:c r="O874" s="245"/>
      <ns0:c r="P874" s="245"/>
      <ns0:c r="Q874" s="245"/>
      <ns0:c r="R874" s="245"/>
      <ns0:c r="S874" s="245"/>
      <ns0:c r="T874" s="245"/>
      <ns0:c r="U874" s="245"/>
      <ns0:c r="V874" s="245"/>
      <ns0:c r="W874" s="245"/>
      <ns0:c r="X874" s="245"/>
      <ns0:c r="Y874" s="245"/>
      <ns0:c r="Z874" s="245"/>
    </ns0:row>
    <ns0:row r="875">
      <ns0:c r="A875" s="245"/>
      <ns0:c r="B875" s="245"/>
      <ns0:c r="C875" s="245"/>
      <ns0:c r="D875" s="245"/>
      <ns0:c r="E875" s="245"/>
      <ns0:c r="F875" s="245"/>
      <ns0:c r="G875" s="245"/>
      <ns0:c r="H875" s="245"/>
      <ns0:c r="I875" s="245"/>
      <ns0:c r="J875" s="245"/>
      <ns0:c r="K875" s="245"/>
      <ns0:c r="L875" s="245"/>
      <ns0:c r="M875" s="245"/>
      <ns0:c r="N875" s="245"/>
      <ns0:c r="O875" s="245"/>
      <ns0:c r="P875" s="245"/>
      <ns0:c r="Q875" s="245"/>
      <ns0:c r="R875" s="245"/>
      <ns0:c r="S875" s="245"/>
      <ns0:c r="T875" s="245"/>
      <ns0:c r="U875" s="245"/>
      <ns0:c r="V875" s="245"/>
      <ns0:c r="W875" s="245"/>
      <ns0:c r="X875" s="245"/>
      <ns0:c r="Y875" s="245"/>
      <ns0:c r="Z875" s="245"/>
    </ns0:row>
    <ns0:row r="876">
      <ns0:c r="A876" s="245"/>
      <ns0:c r="B876" s="245"/>
      <ns0:c r="C876" s="245"/>
      <ns0:c r="D876" s="245"/>
      <ns0:c r="E876" s="245"/>
      <ns0:c r="F876" s="245"/>
      <ns0:c r="G876" s="245"/>
      <ns0:c r="H876" s="245"/>
      <ns0:c r="I876" s="245"/>
      <ns0:c r="J876" s="245"/>
      <ns0:c r="K876" s="245"/>
      <ns0:c r="L876" s="245"/>
      <ns0:c r="M876" s="245"/>
      <ns0:c r="N876" s="245"/>
      <ns0:c r="O876" s="245"/>
      <ns0:c r="P876" s="245"/>
      <ns0:c r="Q876" s="245"/>
      <ns0:c r="R876" s="245"/>
      <ns0:c r="S876" s="245"/>
      <ns0:c r="T876" s="245"/>
      <ns0:c r="U876" s="245"/>
      <ns0:c r="V876" s="245"/>
      <ns0:c r="W876" s="245"/>
      <ns0:c r="X876" s="245"/>
      <ns0:c r="Y876" s="245"/>
      <ns0:c r="Z876" s="245"/>
    </ns0:row>
    <ns0:row r="877">
      <ns0:c r="A877" s="245"/>
      <ns0:c r="B877" s="245"/>
      <ns0:c r="C877" s="245"/>
      <ns0:c r="D877" s="245"/>
      <ns0:c r="E877" s="245"/>
      <ns0:c r="F877" s="245"/>
      <ns0:c r="G877" s="245"/>
      <ns0:c r="H877" s="245"/>
      <ns0:c r="I877" s="245"/>
      <ns0:c r="J877" s="245"/>
      <ns0:c r="K877" s="245"/>
      <ns0:c r="L877" s="245"/>
      <ns0:c r="M877" s="245"/>
      <ns0:c r="N877" s="245"/>
      <ns0:c r="O877" s="245"/>
      <ns0:c r="P877" s="245"/>
      <ns0:c r="Q877" s="245"/>
      <ns0:c r="R877" s="245"/>
      <ns0:c r="S877" s="245"/>
      <ns0:c r="T877" s="245"/>
      <ns0:c r="U877" s="245"/>
      <ns0:c r="V877" s="245"/>
      <ns0:c r="W877" s="245"/>
      <ns0:c r="X877" s="245"/>
      <ns0:c r="Y877" s="245"/>
      <ns0:c r="Z877" s="245"/>
    </ns0:row>
    <ns0:row r="878">
      <ns0:c r="A878" s="245"/>
      <ns0:c r="B878" s="245"/>
      <ns0:c r="C878" s="245"/>
      <ns0:c r="D878" s="245"/>
      <ns0:c r="E878" s="245"/>
      <ns0:c r="F878" s="245"/>
      <ns0:c r="G878" s="245"/>
      <ns0:c r="H878" s="245"/>
      <ns0:c r="I878" s="245"/>
      <ns0:c r="J878" s="245"/>
      <ns0:c r="K878" s="245"/>
      <ns0:c r="L878" s="245"/>
      <ns0:c r="M878" s="245"/>
      <ns0:c r="N878" s="245"/>
      <ns0:c r="O878" s="245"/>
      <ns0:c r="P878" s="245"/>
      <ns0:c r="Q878" s="245"/>
      <ns0:c r="R878" s="245"/>
      <ns0:c r="S878" s="245"/>
      <ns0:c r="T878" s="245"/>
      <ns0:c r="U878" s="245"/>
      <ns0:c r="V878" s="245"/>
      <ns0:c r="W878" s="245"/>
      <ns0:c r="X878" s="245"/>
      <ns0:c r="Y878" s="245"/>
      <ns0:c r="Z878" s="245"/>
    </ns0:row>
    <ns0:row r="879">
      <ns0:c r="A879" s="245"/>
      <ns0:c r="B879" s="245"/>
      <ns0:c r="C879" s="245"/>
      <ns0:c r="D879" s="245"/>
      <ns0:c r="E879" s="245"/>
      <ns0:c r="F879" s="245"/>
      <ns0:c r="G879" s="245"/>
      <ns0:c r="H879" s="245"/>
      <ns0:c r="I879" s="245"/>
      <ns0:c r="J879" s="245"/>
      <ns0:c r="K879" s="245"/>
      <ns0:c r="L879" s="245"/>
      <ns0:c r="M879" s="245"/>
      <ns0:c r="N879" s="245"/>
      <ns0:c r="O879" s="245"/>
      <ns0:c r="P879" s="245"/>
      <ns0:c r="Q879" s="245"/>
      <ns0:c r="R879" s="245"/>
      <ns0:c r="S879" s="245"/>
      <ns0:c r="T879" s="245"/>
      <ns0:c r="U879" s="245"/>
      <ns0:c r="V879" s="245"/>
      <ns0:c r="W879" s="245"/>
      <ns0:c r="X879" s="245"/>
      <ns0:c r="Y879" s="245"/>
      <ns0:c r="Z879" s="245"/>
    </ns0:row>
    <ns0:row r="880">
      <ns0:c r="A880" s="245"/>
      <ns0:c r="B880" s="245"/>
      <ns0:c r="C880" s="245"/>
      <ns0:c r="D880" s="245"/>
      <ns0:c r="E880" s="245"/>
      <ns0:c r="F880" s="245"/>
      <ns0:c r="G880" s="245"/>
      <ns0:c r="H880" s="245"/>
      <ns0:c r="I880" s="245"/>
      <ns0:c r="J880" s="245"/>
      <ns0:c r="K880" s="245"/>
      <ns0:c r="L880" s="245"/>
      <ns0:c r="M880" s="245"/>
      <ns0:c r="N880" s="245"/>
      <ns0:c r="O880" s="245"/>
      <ns0:c r="P880" s="245"/>
      <ns0:c r="Q880" s="245"/>
      <ns0:c r="R880" s="245"/>
      <ns0:c r="S880" s="245"/>
      <ns0:c r="T880" s="245"/>
      <ns0:c r="U880" s="245"/>
      <ns0:c r="V880" s="245"/>
      <ns0:c r="W880" s="245"/>
      <ns0:c r="X880" s="245"/>
      <ns0:c r="Y880" s="245"/>
      <ns0:c r="Z880" s="245"/>
    </ns0:row>
    <ns0:row r="881">
      <ns0:c r="A881" s="245"/>
      <ns0:c r="B881" s="245"/>
      <ns0:c r="C881" s="245"/>
      <ns0:c r="D881" s="245"/>
      <ns0:c r="E881" s="245"/>
      <ns0:c r="F881" s="245"/>
      <ns0:c r="G881" s="245"/>
      <ns0:c r="H881" s="245"/>
      <ns0:c r="I881" s="245"/>
      <ns0:c r="J881" s="245"/>
      <ns0:c r="K881" s="245"/>
      <ns0:c r="L881" s="245"/>
      <ns0:c r="M881" s="245"/>
      <ns0:c r="N881" s="245"/>
      <ns0:c r="O881" s="245"/>
      <ns0:c r="P881" s="245"/>
      <ns0:c r="Q881" s="245"/>
      <ns0:c r="R881" s="245"/>
      <ns0:c r="S881" s="245"/>
      <ns0:c r="T881" s="245"/>
      <ns0:c r="U881" s="245"/>
      <ns0:c r="V881" s="245"/>
      <ns0:c r="W881" s="245"/>
      <ns0:c r="X881" s="245"/>
      <ns0:c r="Y881" s="245"/>
      <ns0:c r="Z881" s="245"/>
    </ns0:row>
    <ns0:row r="882">
      <ns0:c r="A882" s="245"/>
      <ns0:c r="B882" s="245"/>
      <ns0:c r="C882" s="245"/>
      <ns0:c r="D882" s="245"/>
      <ns0:c r="E882" s="245"/>
      <ns0:c r="F882" s="245"/>
      <ns0:c r="G882" s="245"/>
      <ns0:c r="H882" s="245"/>
      <ns0:c r="I882" s="245"/>
      <ns0:c r="J882" s="245"/>
      <ns0:c r="K882" s="245"/>
      <ns0:c r="L882" s="245"/>
      <ns0:c r="M882" s="245"/>
      <ns0:c r="N882" s="245"/>
      <ns0:c r="O882" s="245"/>
      <ns0:c r="P882" s="245"/>
      <ns0:c r="Q882" s="245"/>
      <ns0:c r="R882" s="245"/>
      <ns0:c r="S882" s="245"/>
      <ns0:c r="T882" s="245"/>
      <ns0:c r="U882" s="245"/>
      <ns0:c r="V882" s="245"/>
      <ns0:c r="W882" s="245"/>
      <ns0:c r="X882" s="245"/>
      <ns0:c r="Y882" s="245"/>
      <ns0:c r="Z882" s="245"/>
    </ns0:row>
    <ns0:row r="883">
      <ns0:c r="A883" s="245"/>
      <ns0:c r="B883" s="245"/>
      <ns0:c r="C883" s="245"/>
      <ns0:c r="D883" s="245"/>
      <ns0:c r="E883" s="245"/>
      <ns0:c r="F883" s="245"/>
      <ns0:c r="G883" s="245"/>
      <ns0:c r="H883" s="245"/>
      <ns0:c r="I883" s="245"/>
      <ns0:c r="J883" s="245"/>
      <ns0:c r="K883" s="245"/>
      <ns0:c r="L883" s="245"/>
      <ns0:c r="M883" s="245"/>
      <ns0:c r="N883" s="245"/>
      <ns0:c r="O883" s="245"/>
      <ns0:c r="P883" s="245"/>
      <ns0:c r="Q883" s="245"/>
      <ns0:c r="R883" s="245"/>
      <ns0:c r="S883" s="245"/>
      <ns0:c r="T883" s="245"/>
      <ns0:c r="U883" s="245"/>
      <ns0:c r="V883" s="245"/>
      <ns0:c r="W883" s="245"/>
      <ns0:c r="X883" s="245"/>
      <ns0:c r="Y883" s="245"/>
      <ns0:c r="Z883" s="245"/>
    </ns0:row>
    <ns0:row r="884">
      <ns0:c r="A884" s="245"/>
      <ns0:c r="B884" s="245"/>
      <ns0:c r="C884" s="245"/>
      <ns0:c r="D884" s="245"/>
      <ns0:c r="E884" s="245"/>
      <ns0:c r="F884" s="245"/>
      <ns0:c r="G884" s="245"/>
      <ns0:c r="H884" s="245"/>
      <ns0:c r="I884" s="245"/>
      <ns0:c r="J884" s="245"/>
      <ns0:c r="K884" s="245"/>
      <ns0:c r="L884" s="245"/>
      <ns0:c r="M884" s="245"/>
      <ns0:c r="N884" s="245"/>
      <ns0:c r="O884" s="245"/>
      <ns0:c r="P884" s="245"/>
      <ns0:c r="Q884" s="245"/>
      <ns0:c r="R884" s="245"/>
      <ns0:c r="S884" s="245"/>
      <ns0:c r="T884" s="245"/>
      <ns0:c r="U884" s="245"/>
      <ns0:c r="V884" s="245"/>
      <ns0:c r="W884" s="245"/>
      <ns0:c r="X884" s="245"/>
      <ns0:c r="Y884" s="245"/>
      <ns0:c r="Z884" s="245"/>
    </ns0:row>
    <ns0:row r="885">
      <ns0:c r="A885" s="245"/>
      <ns0:c r="B885" s="245"/>
      <ns0:c r="C885" s="245"/>
      <ns0:c r="D885" s="245"/>
      <ns0:c r="E885" s="245"/>
      <ns0:c r="F885" s="245"/>
      <ns0:c r="G885" s="245"/>
      <ns0:c r="H885" s="245"/>
      <ns0:c r="I885" s="245"/>
      <ns0:c r="J885" s="245"/>
      <ns0:c r="K885" s="245"/>
      <ns0:c r="L885" s="245"/>
      <ns0:c r="M885" s="245"/>
      <ns0:c r="N885" s="245"/>
      <ns0:c r="O885" s="245"/>
      <ns0:c r="P885" s="245"/>
      <ns0:c r="Q885" s="245"/>
      <ns0:c r="R885" s="245"/>
      <ns0:c r="S885" s="245"/>
      <ns0:c r="T885" s="245"/>
      <ns0:c r="U885" s="245"/>
      <ns0:c r="V885" s="245"/>
      <ns0:c r="W885" s="245"/>
      <ns0:c r="X885" s="245"/>
      <ns0:c r="Y885" s="245"/>
      <ns0:c r="Z885" s="245"/>
    </ns0:row>
    <ns0:row r="886">
      <ns0:c r="A886" s="245"/>
      <ns0:c r="B886" s="245"/>
      <ns0:c r="C886" s="245"/>
      <ns0:c r="D886" s="245"/>
      <ns0:c r="E886" s="245"/>
      <ns0:c r="F886" s="245"/>
      <ns0:c r="G886" s="245"/>
      <ns0:c r="H886" s="245"/>
      <ns0:c r="I886" s="245"/>
      <ns0:c r="J886" s="245"/>
      <ns0:c r="K886" s="245"/>
      <ns0:c r="L886" s="245"/>
      <ns0:c r="M886" s="245"/>
      <ns0:c r="N886" s="245"/>
      <ns0:c r="O886" s="245"/>
      <ns0:c r="P886" s="245"/>
      <ns0:c r="Q886" s="245"/>
      <ns0:c r="R886" s="245"/>
      <ns0:c r="S886" s="245"/>
      <ns0:c r="T886" s="245"/>
      <ns0:c r="U886" s="245"/>
      <ns0:c r="V886" s="245"/>
      <ns0:c r="W886" s="245"/>
      <ns0:c r="X886" s="245"/>
      <ns0:c r="Y886" s="245"/>
      <ns0:c r="Z886" s="245"/>
    </ns0:row>
    <ns0:row r="887">
      <ns0:c r="A887" s="245"/>
      <ns0:c r="B887" s="245"/>
      <ns0:c r="C887" s="245"/>
      <ns0:c r="D887" s="245"/>
      <ns0:c r="E887" s="245"/>
      <ns0:c r="F887" s="245"/>
      <ns0:c r="G887" s="245"/>
      <ns0:c r="H887" s="245"/>
      <ns0:c r="I887" s="245"/>
      <ns0:c r="J887" s="245"/>
      <ns0:c r="K887" s="245"/>
      <ns0:c r="L887" s="245"/>
      <ns0:c r="M887" s="245"/>
      <ns0:c r="N887" s="245"/>
      <ns0:c r="O887" s="245"/>
      <ns0:c r="P887" s="245"/>
      <ns0:c r="Q887" s="245"/>
      <ns0:c r="R887" s="245"/>
      <ns0:c r="S887" s="245"/>
      <ns0:c r="T887" s="245"/>
      <ns0:c r="U887" s="245"/>
      <ns0:c r="V887" s="245"/>
      <ns0:c r="W887" s="245"/>
      <ns0:c r="X887" s="245"/>
      <ns0:c r="Y887" s="245"/>
      <ns0:c r="Z887" s="245"/>
    </ns0:row>
    <ns0:row r="888">
      <ns0:c r="A888" s="245"/>
      <ns0:c r="B888" s="245"/>
      <ns0:c r="C888" s="245"/>
      <ns0:c r="D888" s="245"/>
      <ns0:c r="E888" s="245"/>
      <ns0:c r="F888" s="245"/>
      <ns0:c r="G888" s="245"/>
      <ns0:c r="H888" s="245"/>
      <ns0:c r="I888" s="245"/>
      <ns0:c r="J888" s="245"/>
      <ns0:c r="K888" s="245"/>
      <ns0:c r="L888" s="245"/>
      <ns0:c r="M888" s="245"/>
      <ns0:c r="N888" s="245"/>
      <ns0:c r="O888" s="245"/>
      <ns0:c r="P888" s="245"/>
      <ns0:c r="Q888" s="245"/>
      <ns0:c r="R888" s="245"/>
      <ns0:c r="S888" s="245"/>
      <ns0:c r="T888" s="245"/>
      <ns0:c r="U888" s="245"/>
      <ns0:c r="V888" s="245"/>
      <ns0:c r="W888" s="245"/>
      <ns0:c r="X888" s="245"/>
      <ns0:c r="Y888" s="245"/>
      <ns0:c r="Z888" s="245"/>
    </ns0:row>
    <ns0:row r="889">
      <ns0:c r="A889" s="245"/>
      <ns0:c r="B889" s="245"/>
      <ns0:c r="C889" s="245"/>
      <ns0:c r="D889" s="245"/>
      <ns0:c r="E889" s="245"/>
      <ns0:c r="F889" s="245"/>
      <ns0:c r="G889" s="245"/>
      <ns0:c r="H889" s="245"/>
      <ns0:c r="I889" s="245"/>
      <ns0:c r="J889" s="245"/>
      <ns0:c r="K889" s="245"/>
      <ns0:c r="L889" s="245"/>
      <ns0:c r="M889" s="245"/>
      <ns0:c r="N889" s="245"/>
      <ns0:c r="O889" s="245"/>
      <ns0:c r="P889" s="245"/>
      <ns0:c r="Q889" s="245"/>
      <ns0:c r="R889" s="245"/>
      <ns0:c r="S889" s="245"/>
      <ns0:c r="T889" s="245"/>
      <ns0:c r="U889" s="245"/>
      <ns0:c r="V889" s="245"/>
      <ns0:c r="W889" s="245"/>
      <ns0:c r="X889" s="245"/>
      <ns0:c r="Y889" s="245"/>
      <ns0:c r="Z889" s="245"/>
    </ns0:row>
    <ns0:row r="890">
      <ns0:c r="A890" s="245"/>
      <ns0:c r="B890" s="245"/>
      <ns0:c r="C890" s="245"/>
      <ns0:c r="D890" s="245"/>
      <ns0:c r="E890" s="245"/>
      <ns0:c r="F890" s="245"/>
      <ns0:c r="G890" s="245"/>
      <ns0:c r="H890" s="245"/>
      <ns0:c r="I890" s="245"/>
      <ns0:c r="J890" s="245"/>
      <ns0:c r="K890" s="245"/>
      <ns0:c r="L890" s="245"/>
      <ns0:c r="M890" s="245"/>
      <ns0:c r="N890" s="245"/>
      <ns0:c r="O890" s="245"/>
      <ns0:c r="P890" s="245"/>
      <ns0:c r="Q890" s="245"/>
      <ns0:c r="R890" s="245"/>
      <ns0:c r="S890" s="245"/>
      <ns0:c r="T890" s="245"/>
      <ns0:c r="U890" s="245"/>
      <ns0:c r="V890" s="245"/>
      <ns0:c r="W890" s="245"/>
      <ns0:c r="X890" s="245"/>
      <ns0:c r="Y890" s="245"/>
      <ns0:c r="Z890" s="245"/>
    </ns0:row>
    <ns0:row r="891">
      <ns0:c r="A891" s="245"/>
      <ns0:c r="B891" s="245"/>
      <ns0:c r="C891" s="245"/>
      <ns0:c r="D891" s="245"/>
      <ns0:c r="E891" s="245"/>
      <ns0:c r="F891" s="245"/>
      <ns0:c r="G891" s="245"/>
      <ns0:c r="H891" s="245"/>
      <ns0:c r="I891" s="245"/>
      <ns0:c r="J891" s="245"/>
      <ns0:c r="K891" s="245"/>
      <ns0:c r="L891" s="245"/>
      <ns0:c r="M891" s="245"/>
      <ns0:c r="N891" s="245"/>
      <ns0:c r="O891" s="245"/>
      <ns0:c r="P891" s="245"/>
      <ns0:c r="Q891" s="245"/>
      <ns0:c r="R891" s="245"/>
      <ns0:c r="S891" s="245"/>
      <ns0:c r="T891" s="245"/>
      <ns0:c r="U891" s="245"/>
      <ns0:c r="V891" s="245"/>
      <ns0:c r="W891" s="245"/>
      <ns0:c r="X891" s="245"/>
      <ns0:c r="Y891" s="245"/>
      <ns0:c r="Z891" s="245"/>
    </ns0:row>
    <ns0:row r="892">
      <ns0:c r="A892" s="245"/>
      <ns0:c r="B892" s="245"/>
      <ns0:c r="C892" s="245"/>
      <ns0:c r="D892" s="245"/>
      <ns0:c r="E892" s="245"/>
      <ns0:c r="F892" s="245"/>
      <ns0:c r="G892" s="245"/>
      <ns0:c r="H892" s="245"/>
      <ns0:c r="I892" s="245"/>
      <ns0:c r="J892" s="245"/>
      <ns0:c r="K892" s="245"/>
      <ns0:c r="L892" s="245"/>
      <ns0:c r="M892" s="245"/>
      <ns0:c r="N892" s="245"/>
      <ns0:c r="O892" s="245"/>
      <ns0:c r="P892" s="245"/>
      <ns0:c r="Q892" s="245"/>
      <ns0:c r="R892" s="245"/>
      <ns0:c r="S892" s="245"/>
      <ns0:c r="T892" s="245"/>
      <ns0:c r="U892" s="245"/>
      <ns0:c r="V892" s="245"/>
      <ns0:c r="W892" s="245"/>
      <ns0:c r="X892" s="245"/>
      <ns0:c r="Y892" s="245"/>
      <ns0:c r="Z892" s="245"/>
    </ns0:row>
    <ns0:row r="893">
      <ns0:c r="A893" s="245"/>
      <ns0:c r="B893" s="245"/>
      <ns0:c r="C893" s="245"/>
      <ns0:c r="D893" s="245"/>
      <ns0:c r="E893" s="245"/>
      <ns0:c r="F893" s="245"/>
      <ns0:c r="G893" s="245"/>
      <ns0:c r="H893" s="245"/>
      <ns0:c r="I893" s="245"/>
      <ns0:c r="J893" s="245"/>
      <ns0:c r="K893" s="245"/>
      <ns0:c r="L893" s="245"/>
      <ns0:c r="M893" s="245"/>
      <ns0:c r="N893" s="245"/>
      <ns0:c r="O893" s="245"/>
      <ns0:c r="P893" s="245"/>
      <ns0:c r="Q893" s="245"/>
      <ns0:c r="R893" s="245"/>
      <ns0:c r="S893" s="245"/>
      <ns0:c r="T893" s="245"/>
      <ns0:c r="U893" s="245"/>
      <ns0:c r="V893" s="245"/>
      <ns0:c r="W893" s="245"/>
      <ns0:c r="X893" s="245"/>
      <ns0:c r="Y893" s="245"/>
      <ns0:c r="Z893" s="245"/>
    </ns0:row>
    <ns0:row r="894">
      <ns0:c r="A894" s="245"/>
      <ns0:c r="B894" s="245"/>
      <ns0:c r="C894" s="245"/>
      <ns0:c r="D894" s="245"/>
      <ns0:c r="E894" s="245"/>
      <ns0:c r="F894" s="245"/>
      <ns0:c r="G894" s="245"/>
      <ns0:c r="H894" s="245"/>
      <ns0:c r="I894" s="245"/>
      <ns0:c r="J894" s="245"/>
      <ns0:c r="K894" s="245"/>
      <ns0:c r="L894" s="245"/>
      <ns0:c r="M894" s="245"/>
      <ns0:c r="N894" s="245"/>
      <ns0:c r="O894" s="245"/>
      <ns0:c r="P894" s="245"/>
      <ns0:c r="Q894" s="245"/>
      <ns0:c r="R894" s="245"/>
      <ns0:c r="S894" s="245"/>
      <ns0:c r="T894" s="245"/>
      <ns0:c r="U894" s="245"/>
      <ns0:c r="V894" s="245"/>
      <ns0:c r="W894" s="245"/>
      <ns0:c r="X894" s="245"/>
      <ns0:c r="Y894" s="245"/>
      <ns0:c r="Z894" s="245"/>
    </ns0:row>
    <ns0:row r="895">
      <ns0:c r="A895" s="245"/>
      <ns0:c r="B895" s="245"/>
      <ns0:c r="C895" s="245"/>
      <ns0:c r="D895" s="245"/>
      <ns0:c r="E895" s="245"/>
      <ns0:c r="F895" s="245"/>
      <ns0:c r="G895" s="245"/>
      <ns0:c r="H895" s="245"/>
      <ns0:c r="I895" s="245"/>
      <ns0:c r="J895" s="245"/>
      <ns0:c r="K895" s="245"/>
      <ns0:c r="L895" s="245"/>
      <ns0:c r="M895" s="245"/>
      <ns0:c r="N895" s="245"/>
      <ns0:c r="O895" s="245"/>
      <ns0:c r="P895" s="245"/>
      <ns0:c r="Q895" s="245"/>
      <ns0:c r="R895" s="245"/>
      <ns0:c r="S895" s="245"/>
      <ns0:c r="T895" s="245"/>
      <ns0:c r="U895" s="245"/>
      <ns0:c r="V895" s="245"/>
      <ns0:c r="W895" s="245"/>
      <ns0:c r="X895" s="245"/>
      <ns0:c r="Y895" s="245"/>
      <ns0:c r="Z895" s="245"/>
    </ns0:row>
    <ns0:row r="896">
      <ns0:c r="A896" s="245"/>
      <ns0:c r="B896" s="245"/>
      <ns0:c r="C896" s="245"/>
      <ns0:c r="D896" s="245"/>
      <ns0:c r="E896" s="245"/>
      <ns0:c r="F896" s="245"/>
      <ns0:c r="G896" s="245"/>
      <ns0:c r="H896" s="245"/>
      <ns0:c r="I896" s="245"/>
      <ns0:c r="J896" s="245"/>
      <ns0:c r="K896" s="245"/>
      <ns0:c r="L896" s="245"/>
      <ns0:c r="M896" s="245"/>
      <ns0:c r="N896" s="245"/>
      <ns0:c r="O896" s="245"/>
      <ns0:c r="P896" s="245"/>
      <ns0:c r="Q896" s="245"/>
      <ns0:c r="R896" s="245"/>
      <ns0:c r="S896" s="245"/>
      <ns0:c r="T896" s="245"/>
      <ns0:c r="U896" s="245"/>
      <ns0:c r="V896" s="245"/>
      <ns0:c r="W896" s="245"/>
      <ns0:c r="X896" s="245"/>
      <ns0:c r="Y896" s="245"/>
      <ns0:c r="Z896" s="245"/>
    </ns0:row>
    <ns0:row r="897">
      <ns0:c r="A897" s="245"/>
      <ns0:c r="B897" s="245"/>
      <ns0:c r="C897" s="245"/>
      <ns0:c r="D897" s="245"/>
      <ns0:c r="E897" s="245"/>
      <ns0:c r="F897" s="245"/>
      <ns0:c r="G897" s="245"/>
      <ns0:c r="H897" s="245"/>
      <ns0:c r="I897" s="245"/>
      <ns0:c r="J897" s="245"/>
      <ns0:c r="K897" s="245"/>
      <ns0:c r="L897" s="245"/>
      <ns0:c r="M897" s="245"/>
      <ns0:c r="N897" s="245"/>
      <ns0:c r="O897" s="245"/>
      <ns0:c r="P897" s="245"/>
      <ns0:c r="Q897" s="245"/>
      <ns0:c r="R897" s="245"/>
      <ns0:c r="S897" s="245"/>
      <ns0:c r="T897" s="245"/>
      <ns0:c r="U897" s="245"/>
      <ns0:c r="V897" s="245"/>
      <ns0:c r="W897" s="245"/>
      <ns0:c r="X897" s="245"/>
      <ns0:c r="Y897" s="245"/>
      <ns0:c r="Z897" s="245"/>
    </ns0:row>
    <ns0:row r="898">
      <ns0:c r="A898" s="245"/>
      <ns0:c r="B898" s="245"/>
      <ns0:c r="C898" s="245"/>
      <ns0:c r="D898" s="245"/>
      <ns0:c r="E898" s="245"/>
      <ns0:c r="F898" s="245"/>
      <ns0:c r="G898" s="245"/>
      <ns0:c r="H898" s="245"/>
      <ns0:c r="I898" s="245"/>
      <ns0:c r="J898" s="245"/>
      <ns0:c r="K898" s="245"/>
      <ns0:c r="L898" s="245"/>
      <ns0:c r="M898" s="245"/>
      <ns0:c r="N898" s="245"/>
      <ns0:c r="O898" s="245"/>
      <ns0:c r="P898" s="245"/>
      <ns0:c r="Q898" s="245"/>
      <ns0:c r="R898" s="245"/>
      <ns0:c r="S898" s="245"/>
      <ns0:c r="T898" s="245"/>
      <ns0:c r="U898" s="245"/>
      <ns0:c r="V898" s="245"/>
      <ns0:c r="W898" s="245"/>
      <ns0:c r="X898" s="245"/>
      <ns0:c r="Y898" s="245"/>
      <ns0:c r="Z898" s="245"/>
    </ns0:row>
    <ns0:row r="899">
      <ns0:c r="A899" s="245"/>
      <ns0:c r="B899" s="245"/>
      <ns0:c r="C899" s="245"/>
      <ns0:c r="D899" s="245"/>
      <ns0:c r="E899" s="245"/>
      <ns0:c r="F899" s="245"/>
      <ns0:c r="G899" s="245"/>
      <ns0:c r="H899" s="245"/>
      <ns0:c r="I899" s="245"/>
      <ns0:c r="J899" s="245"/>
      <ns0:c r="K899" s="245"/>
      <ns0:c r="L899" s="245"/>
      <ns0:c r="M899" s="245"/>
      <ns0:c r="N899" s="245"/>
      <ns0:c r="O899" s="245"/>
      <ns0:c r="P899" s="245"/>
      <ns0:c r="Q899" s="245"/>
      <ns0:c r="R899" s="245"/>
      <ns0:c r="S899" s="245"/>
      <ns0:c r="T899" s="245"/>
      <ns0:c r="U899" s="245"/>
      <ns0:c r="V899" s="245"/>
      <ns0:c r="W899" s="245"/>
      <ns0:c r="X899" s="245"/>
      <ns0:c r="Y899" s="245"/>
      <ns0:c r="Z899" s="245"/>
    </ns0:row>
    <ns0:row r="900">
      <ns0:c r="A900" s="245"/>
      <ns0:c r="B900" s="245"/>
      <ns0:c r="C900" s="245"/>
      <ns0:c r="D900" s="245"/>
      <ns0:c r="E900" s="245"/>
      <ns0:c r="F900" s="245"/>
      <ns0:c r="G900" s="245"/>
      <ns0:c r="H900" s="245"/>
      <ns0:c r="I900" s="245"/>
      <ns0:c r="J900" s="245"/>
      <ns0:c r="K900" s="245"/>
      <ns0:c r="L900" s="245"/>
      <ns0:c r="M900" s="245"/>
      <ns0:c r="N900" s="245"/>
      <ns0:c r="O900" s="245"/>
      <ns0:c r="P900" s="245"/>
      <ns0:c r="Q900" s="245"/>
      <ns0:c r="R900" s="245"/>
      <ns0:c r="S900" s="245"/>
      <ns0:c r="T900" s="245"/>
      <ns0:c r="U900" s="245"/>
      <ns0:c r="V900" s="245"/>
      <ns0:c r="W900" s="245"/>
      <ns0:c r="X900" s="245"/>
      <ns0:c r="Y900" s="245"/>
      <ns0:c r="Z900" s="245"/>
    </ns0:row>
    <ns0:row r="901">
      <ns0:c r="A901" s="245"/>
      <ns0:c r="B901" s="245"/>
      <ns0:c r="C901" s="245"/>
      <ns0:c r="D901" s="245"/>
      <ns0:c r="E901" s="245"/>
      <ns0:c r="F901" s="245"/>
      <ns0:c r="G901" s="245"/>
      <ns0:c r="H901" s="245"/>
      <ns0:c r="I901" s="245"/>
      <ns0:c r="J901" s="245"/>
      <ns0:c r="K901" s="245"/>
      <ns0:c r="L901" s="245"/>
      <ns0:c r="M901" s="245"/>
      <ns0:c r="N901" s="245"/>
      <ns0:c r="O901" s="245"/>
      <ns0:c r="P901" s="245"/>
      <ns0:c r="Q901" s="245"/>
      <ns0:c r="R901" s="245"/>
      <ns0:c r="S901" s="245"/>
      <ns0:c r="T901" s="245"/>
      <ns0:c r="U901" s="245"/>
      <ns0:c r="V901" s="245"/>
      <ns0:c r="W901" s="245"/>
      <ns0:c r="X901" s="245"/>
      <ns0:c r="Y901" s="245"/>
      <ns0:c r="Z901" s="245"/>
    </ns0:row>
    <ns0:row r="902">
      <ns0:c r="A902" s="245"/>
      <ns0:c r="B902" s="245"/>
      <ns0:c r="C902" s="245"/>
      <ns0:c r="D902" s="245"/>
      <ns0:c r="E902" s="245"/>
      <ns0:c r="F902" s="245"/>
      <ns0:c r="G902" s="245"/>
      <ns0:c r="H902" s="245"/>
      <ns0:c r="I902" s="245"/>
      <ns0:c r="J902" s="245"/>
      <ns0:c r="K902" s="245"/>
      <ns0:c r="L902" s="245"/>
      <ns0:c r="M902" s="245"/>
      <ns0:c r="N902" s="245"/>
      <ns0:c r="O902" s="245"/>
      <ns0:c r="P902" s="245"/>
      <ns0:c r="Q902" s="245"/>
      <ns0:c r="R902" s="245"/>
      <ns0:c r="S902" s="245"/>
      <ns0:c r="T902" s="245"/>
      <ns0:c r="U902" s="245"/>
      <ns0:c r="V902" s="245"/>
      <ns0:c r="W902" s="245"/>
      <ns0:c r="X902" s="245"/>
      <ns0:c r="Y902" s="245"/>
      <ns0:c r="Z902" s="245"/>
    </ns0:row>
    <ns0:row r="903">
      <ns0:c r="A903" s="245"/>
      <ns0:c r="B903" s="245"/>
      <ns0:c r="C903" s="245"/>
      <ns0:c r="D903" s="245"/>
      <ns0:c r="E903" s="245"/>
      <ns0:c r="F903" s="245"/>
      <ns0:c r="G903" s="245"/>
      <ns0:c r="H903" s="245"/>
      <ns0:c r="I903" s="245"/>
      <ns0:c r="J903" s="245"/>
      <ns0:c r="K903" s="245"/>
      <ns0:c r="L903" s="245"/>
      <ns0:c r="M903" s="245"/>
      <ns0:c r="N903" s="245"/>
      <ns0:c r="O903" s="245"/>
      <ns0:c r="P903" s="245"/>
      <ns0:c r="Q903" s="245"/>
      <ns0:c r="R903" s="245"/>
      <ns0:c r="S903" s="245"/>
      <ns0:c r="T903" s="245"/>
      <ns0:c r="U903" s="245"/>
      <ns0:c r="V903" s="245"/>
      <ns0:c r="W903" s="245"/>
      <ns0:c r="X903" s="245"/>
      <ns0:c r="Y903" s="245"/>
      <ns0:c r="Z903" s="245"/>
    </ns0:row>
    <ns0:row r="904">
      <ns0:c r="A904" s="245"/>
      <ns0:c r="B904" s="245"/>
      <ns0:c r="C904" s="245"/>
      <ns0:c r="D904" s="245"/>
      <ns0:c r="E904" s="245"/>
      <ns0:c r="F904" s="245"/>
      <ns0:c r="G904" s="245"/>
      <ns0:c r="H904" s="245"/>
      <ns0:c r="I904" s="245"/>
      <ns0:c r="J904" s="245"/>
      <ns0:c r="K904" s="245"/>
      <ns0:c r="L904" s="245"/>
      <ns0:c r="M904" s="245"/>
      <ns0:c r="N904" s="245"/>
      <ns0:c r="O904" s="245"/>
      <ns0:c r="P904" s="245"/>
      <ns0:c r="Q904" s="245"/>
      <ns0:c r="R904" s="245"/>
      <ns0:c r="S904" s="245"/>
      <ns0:c r="T904" s="245"/>
      <ns0:c r="U904" s="245"/>
      <ns0:c r="V904" s="245"/>
      <ns0:c r="W904" s="245"/>
      <ns0:c r="X904" s="245"/>
      <ns0:c r="Y904" s="245"/>
      <ns0:c r="Z904" s="245"/>
    </ns0:row>
    <ns0:row r="905">
      <ns0:c r="A905" s="245"/>
      <ns0:c r="B905" s="245"/>
      <ns0:c r="C905" s="245"/>
      <ns0:c r="D905" s="245"/>
      <ns0:c r="E905" s="245"/>
      <ns0:c r="F905" s="245"/>
      <ns0:c r="G905" s="245"/>
      <ns0:c r="H905" s="245"/>
      <ns0:c r="I905" s="245"/>
      <ns0:c r="J905" s="245"/>
      <ns0:c r="K905" s="245"/>
      <ns0:c r="L905" s="245"/>
      <ns0:c r="M905" s="245"/>
      <ns0:c r="N905" s="245"/>
      <ns0:c r="O905" s="245"/>
      <ns0:c r="P905" s="245"/>
      <ns0:c r="Q905" s="245"/>
      <ns0:c r="R905" s="245"/>
      <ns0:c r="S905" s="245"/>
      <ns0:c r="T905" s="245"/>
      <ns0:c r="U905" s="245"/>
      <ns0:c r="V905" s="245"/>
      <ns0:c r="W905" s="245"/>
      <ns0:c r="X905" s="245"/>
      <ns0:c r="Y905" s="245"/>
      <ns0:c r="Z905" s="245"/>
    </ns0:row>
    <ns0:row r="906">
      <ns0:c r="A906" s="245"/>
      <ns0:c r="B906" s="245"/>
      <ns0:c r="C906" s="245"/>
      <ns0:c r="D906" s="245"/>
      <ns0:c r="E906" s="245"/>
      <ns0:c r="F906" s="245"/>
      <ns0:c r="G906" s="245"/>
      <ns0:c r="H906" s="245"/>
      <ns0:c r="I906" s="245"/>
      <ns0:c r="J906" s="245"/>
      <ns0:c r="K906" s="245"/>
      <ns0:c r="L906" s="245"/>
      <ns0:c r="M906" s="245"/>
      <ns0:c r="N906" s="245"/>
      <ns0:c r="O906" s="245"/>
      <ns0:c r="P906" s="245"/>
      <ns0:c r="Q906" s="245"/>
      <ns0:c r="R906" s="245"/>
      <ns0:c r="S906" s="245"/>
      <ns0:c r="T906" s="245"/>
      <ns0:c r="U906" s="245"/>
      <ns0:c r="V906" s="245"/>
      <ns0:c r="W906" s="245"/>
      <ns0:c r="X906" s="245"/>
      <ns0:c r="Y906" s="245"/>
      <ns0:c r="Z906" s="245"/>
    </ns0:row>
    <ns0:row r="907">
      <ns0:c r="A907" s="245"/>
      <ns0:c r="B907" s="245"/>
      <ns0:c r="C907" s="245"/>
      <ns0:c r="D907" s="245"/>
      <ns0:c r="E907" s="245"/>
      <ns0:c r="F907" s="245"/>
      <ns0:c r="G907" s="245"/>
      <ns0:c r="H907" s="245"/>
      <ns0:c r="I907" s="245"/>
      <ns0:c r="J907" s="245"/>
      <ns0:c r="K907" s="245"/>
      <ns0:c r="L907" s="245"/>
      <ns0:c r="M907" s="245"/>
      <ns0:c r="N907" s="245"/>
      <ns0:c r="O907" s="245"/>
      <ns0:c r="P907" s="245"/>
      <ns0:c r="Q907" s="245"/>
      <ns0:c r="R907" s="245"/>
      <ns0:c r="S907" s="245"/>
      <ns0:c r="T907" s="245"/>
      <ns0:c r="U907" s="245"/>
      <ns0:c r="V907" s="245"/>
      <ns0:c r="W907" s="245"/>
      <ns0:c r="X907" s="245"/>
      <ns0:c r="Y907" s="245"/>
      <ns0:c r="Z907" s="245"/>
    </ns0:row>
    <ns0:row r="908">
      <ns0:c r="A908" s="245"/>
      <ns0:c r="B908" s="245"/>
      <ns0:c r="C908" s="245"/>
      <ns0:c r="D908" s="245"/>
      <ns0:c r="E908" s="245"/>
      <ns0:c r="F908" s="245"/>
      <ns0:c r="G908" s="245"/>
      <ns0:c r="H908" s="245"/>
      <ns0:c r="I908" s="245"/>
      <ns0:c r="J908" s="245"/>
      <ns0:c r="K908" s="245"/>
      <ns0:c r="L908" s="245"/>
      <ns0:c r="M908" s="245"/>
      <ns0:c r="N908" s="245"/>
      <ns0:c r="O908" s="245"/>
      <ns0:c r="P908" s="245"/>
      <ns0:c r="Q908" s="245"/>
      <ns0:c r="R908" s="245"/>
      <ns0:c r="S908" s="245"/>
      <ns0:c r="T908" s="245"/>
      <ns0:c r="U908" s="245"/>
      <ns0:c r="V908" s="245"/>
      <ns0:c r="W908" s="245"/>
      <ns0:c r="X908" s="245"/>
      <ns0:c r="Y908" s="245"/>
      <ns0:c r="Z908" s="245"/>
    </ns0:row>
    <ns0:row r="909">
      <ns0:c r="A909" s="245"/>
      <ns0:c r="B909" s="245"/>
      <ns0:c r="C909" s="245"/>
      <ns0:c r="D909" s="245"/>
      <ns0:c r="E909" s="245"/>
      <ns0:c r="F909" s="245"/>
      <ns0:c r="G909" s="245"/>
      <ns0:c r="H909" s="245"/>
      <ns0:c r="I909" s="245"/>
      <ns0:c r="J909" s="245"/>
      <ns0:c r="K909" s="245"/>
      <ns0:c r="L909" s="245"/>
      <ns0:c r="M909" s="245"/>
      <ns0:c r="N909" s="245"/>
      <ns0:c r="O909" s="245"/>
      <ns0:c r="P909" s="245"/>
      <ns0:c r="Q909" s="245"/>
      <ns0:c r="R909" s="245"/>
      <ns0:c r="S909" s="245"/>
      <ns0:c r="T909" s="245"/>
      <ns0:c r="U909" s="245"/>
      <ns0:c r="V909" s="245"/>
      <ns0:c r="W909" s="245"/>
      <ns0:c r="X909" s="245"/>
      <ns0:c r="Y909" s="245"/>
      <ns0:c r="Z909" s="245"/>
    </ns0:row>
    <ns0:row r="910">
      <ns0:c r="A910" s="245"/>
      <ns0:c r="B910" s="245"/>
      <ns0:c r="C910" s="245"/>
      <ns0:c r="D910" s="245"/>
      <ns0:c r="E910" s="245"/>
      <ns0:c r="F910" s="245"/>
      <ns0:c r="G910" s="245"/>
      <ns0:c r="H910" s="245"/>
      <ns0:c r="I910" s="245"/>
      <ns0:c r="J910" s="245"/>
      <ns0:c r="K910" s="245"/>
      <ns0:c r="L910" s="245"/>
      <ns0:c r="M910" s="245"/>
      <ns0:c r="N910" s="245"/>
      <ns0:c r="O910" s="245"/>
      <ns0:c r="P910" s="245"/>
      <ns0:c r="Q910" s="245"/>
      <ns0:c r="R910" s="245"/>
      <ns0:c r="S910" s="245"/>
      <ns0:c r="T910" s="245"/>
      <ns0:c r="U910" s="245"/>
      <ns0:c r="V910" s="245"/>
      <ns0:c r="W910" s="245"/>
      <ns0:c r="X910" s="245"/>
      <ns0:c r="Y910" s="245"/>
      <ns0:c r="Z910" s="245"/>
    </ns0:row>
    <ns0:row r="911">
      <ns0:c r="A911" s="245"/>
      <ns0:c r="B911" s="245"/>
      <ns0:c r="C911" s="245"/>
      <ns0:c r="D911" s="245"/>
      <ns0:c r="E911" s="245"/>
      <ns0:c r="F911" s="245"/>
      <ns0:c r="G911" s="245"/>
      <ns0:c r="H911" s="245"/>
      <ns0:c r="I911" s="245"/>
      <ns0:c r="J911" s="245"/>
      <ns0:c r="K911" s="245"/>
      <ns0:c r="L911" s="245"/>
      <ns0:c r="M911" s="245"/>
      <ns0:c r="N911" s="245"/>
      <ns0:c r="O911" s="245"/>
      <ns0:c r="P911" s="245"/>
      <ns0:c r="Q911" s="245"/>
      <ns0:c r="R911" s="245"/>
      <ns0:c r="S911" s="245"/>
      <ns0:c r="T911" s="245"/>
      <ns0:c r="U911" s="245"/>
      <ns0:c r="V911" s="245"/>
      <ns0:c r="W911" s="245"/>
      <ns0:c r="X911" s="245"/>
      <ns0:c r="Y911" s="245"/>
      <ns0:c r="Z911" s="245"/>
    </ns0:row>
    <ns0:row r="912">
      <ns0:c r="A912" s="245"/>
      <ns0:c r="B912" s="245"/>
      <ns0:c r="C912" s="245"/>
      <ns0:c r="D912" s="245"/>
      <ns0:c r="E912" s="245"/>
      <ns0:c r="F912" s="245"/>
      <ns0:c r="G912" s="245"/>
      <ns0:c r="H912" s="245"/>
      <ns0:c r="I912" s="245"/>
      <ns0:c r="J912" s="245"/>
      <ns0:c r="K912" s="245"/>
      <ns0:c r="L912" s="245"/>
      <ns0:c r="M912" s="245"/>
      <ns0:c r="N912" s="245"/>
      <ns0:c r="O912" s="245"/>
      <ns0:c r="P912" s="245"/>
      <ns0:c r="Q912" s="245"/>
      <ns0:c r="R912" s="245"/>
      <ns0:c r="S912" s="245"/>
      <ns0:c r="T912" s="245"/>
      <ns0:c r="U912" s="245"/>
      <ns0:c r="V912" s="245"/>
      <ns0:c r="W912" s="245"/>
      <ns0:c r="X912" s="245"/>
      <ns0:c r="Y912" s="245"/>
      <ns0:c r="Z912" s="245"/>
    </ns0:row>
    <ns0:row r="913">
      <ns0:c r="A913" s="245"/>
      <ns0:c r="B913" s="245"/>
      <ns0:c r="C913" s="245"/>
      <ns0:c r="D913" s="245"/>
      <ns0:c r="E913" s="245"/>
      <ns0:c r="F913" s="245"/>
      <ns0:c r="G913" s="245"/>
      <ns0:c r="H913" s="245"/>
      <ns0:c r="I913" s="245"/>
      <ns0:c r="J913" s="245"/>
      <ns0:c r="K913" s="245"/>
      <ns0:c r="L913" s="245"/>
      <ns0:c r="M913" s="245"/>
      <ns0:c r="N913" s="245"/>
      <ns0:c r="O913" s="245"/>
      <ns0:c r="P913" s="245"/>
      <ns0:c r="Q913" s="245"/>
      <ns0:c r="R913" s="245"/>
      <ns0:c r="S913" s="245"/>
      <ns0:c r="T913" s="245"/>
      <ns0:c r="U913" s="245"/>
      <ns0:c r="V913" s="245"/>
      <ns0:c r="W913" s="245"/>
      <ns0:c r="X913" s="245"/>
      <ns0:c r="Y913" s="245"/>
      <ns0:c r="Z913" s="245"/>
    </ns0:row>
    <ns0:row r="914">
      <ns0:c r="A914" s="245"/>
      <ns0:c r="B914" s="245"/>
      <ns0:c r="C914" s="245"/>
      <ns0:c r="D914" s="245"/>
      <ns0:c r="E914" s="245"/>
      <ns0:c r="F914" s="245"/>
      <ns0:c r="G914" s="245"/>
      <ns0:c r="H914" s="245"/>
      <ns0:c r="I914" s="245"/>
      <ns0:c r="J914" s="245"/>
      <ns0:c r="K914" s="245"/>
      <ns0:c r="L914" s="245"/>
      <ns0:c r="M914" s="245"/>
      <ns0:c r="N914" s="245"/>
      <ns0:c r="O914" s="245"/>
      <ns0:c r="P914" s="245"/>
      <ns0:c r="Q914" s="245"/>
      <ns0:c r="R914" s="245"/>
      <ns0:c r="S914" s="245"/>
      <ns0:c r="T914" s="245"/>
      <ns0:c r="U914" s="245"/>
      <ns0:c r="V914" s="245"/>
      <ns0:c r="W914" s="245"/>
      <ns0:c r="X914" s="245"/>
      <ns0:c r="Y914" s="245"/>
      <ns0:c r="Z914" s="245"/>
    </ns0:row>
    <ns0:row r="915">
      <ns0:c r="A915" s="245"/>
      <ns0:c r="B915" s="245"/>
      <ns0:c r="C915" s="245"/>
      <ns0:c r="D915" s="245"/>
      <ns0:c r="E915" s="245"/>
      <ns0:c r="F915" s="245"/>
      <ns0:c r="G915" s="245"/>
      <ns0:c r="H915" s="245"/>
      <ns0:c r="I915" s="245"/>
      <ns0:c r="J915" s="245"/>
      <ns0:c r="K915" s="245"/>
      <ns0:c r="L915" s="245"/>
      <ns0:c r="M915" s="245"/>
      <ns0:c r="N915" s="245"/>
      <ns0:c r="O915" s="245"/>
      <ns0:c r="P915" s="245"/>
      <ns0:c r="Q915" s="245"/>
      <ns0:c r="R915" s="245"/>
      <ns0:c r="S915" s="245"/>
      <ns0:c r="T915" s="245"/>
      <ns0:c r="U915" s="245"/>
      <ns0:c r="V915" s="245"/>
      <ns0:c r="W915" s="245"/>
      <ns0:c r="X915" s="245"/>
      <ns0:c r="Y915" s="245"/>
      <ns0:c r="Z915" s="245"/>
    </ns0:row>
    <ns0:row r="916">
      <ns0:c r="A916" s="245"/>
      <ns0:c r="B916" s="245"/>
      <ns0:c r="C916" s="245"/>
      <ns0:c r="D916" s="245"/>
      <ns0:c r="E916" s="245"/>
      <ns0:c r="F916" s="245"/>
      <ns0:c r="G916" s="245"/>
      <ns0:c r="H916" s="245"/>
      <ns0:c r="I916" s="245"/>
      <ns0:c r="J916" s="245"/>
      <ns0:c r="K916" s="245"/>
      <ns0:c r="L916" s="245"/>
      <ns0:c r="M916" s="245"/>
      <ns0:c r="N916" s="245"/>
      <ns0:c r="O916" s="245"/>
      <ns0:c r="P916" s="245"/>
      <ns0:c r="Q916" s="245"/>
      <ns0:c r="R916" s="245"/>
      <ns0:c r="S916" s="245"/>
      <ns0:c r="T916" s="245"/>
      <ns0:c r="U916" s="245"/>
      <ns0:c r="V916" s="245"/>
      <ns0:c r="W916" s="245"/>
      <ns0:c r="X916" s="245"/>
      <ns0:c r="Y916" s="245"/>
      <ns0:c r="Z916" s="245"/>
    </ns0:row>
    <ns0:row r="917">
      <ns0:c r="A917" s="245"/>
      <ns0:c r="B917" s="245"/>
      <ns0:c r="C917" s="245"/>
      <ns0:c r="D917" s="245"/>
      <ns0:c r="E917" s="245"/>
      <ns0:c r="F917" s="245"/>
      <ns0:c r="G917" s="245"/>
      <ns0:c r="H917" s="245"/>
      <ns0:c r="I917" s="245"/>
      <ns0:c r="J917" s="245"/>
      <ns0:c r="K917" s="245"/>
      <ns0:c r="L917" s="245"/>
      <ns0:c r="M917" s="245"/>
      <ns0:c r="N917" s="245"/>
      <ns0:c r="O917" s="245"/>
      <ns0:c r="P917" s="245"/>
      <ns0:c r="Q917" s="245"/>
      <ns0:c r="R917" s="245"/>
      <ns0:c r="S917" s="245"/>
      <ns0:c r="T917" s="245"/>
      <ns0:c r="U917" s="245"/>
      <ns0:c r="V917" s="245"/>
      <ns0:c r="W917" s="245"/>
      <ns0:c r="X917" s="245"/>
      <ns0:c r="Y917" s="245"/>
      <ns0:c r="Z917" s="245"/>
    </ns0:row>
    <ns0:row r="918">
      <ns0:c r="A918" s="245"/>
      <ns0:c r="B918" s="245"/>
      <ns0:c r="C918" s="245"/>
      <ns0:c r="D918" s="245"/>
      <ns0:c r="E918" s="245"/>
      <ns0:c r="F918" s="245"/>
      <ns0:c r="G918" s="245"/>
      <ns0:c r="H918" s="245"/>
      <ns0:c r="I918" s="245"/>
      <ns0:c r="J918" s="245"/>
      <ns0:c r="K918" s="245"/>
      <ns0:c r="L918" s="245"/>
      <ns0:c r="M918" s="245"/>
      <ns0:c r="N918" s="245"/>
      <ns0:c r="O918" s="245"/>
      <ns0:c r="P918" s="245"/>
      <ns0:c r="Q918" s="245"/>
      <ns0:c r="R918" s="245"/>
      <ns0:c r="S918" s="245"/>
      <ns0:c r="T918" s="245"/>
      <ns0:c r="U918" s="245"/>
      <ns0:c r="V918" s="245"/>
      <ns0:c r="W918" s="245"/>
      <ns0:c r="X918" s="245"/>
      <ns0:c r="Y918" s="245"/>
      <ns0:c r="Z918" s="245"/>
    </ns0:row>
    <ns0:row r="919">
      <ns0:c r="A919" s="245"/>
      <ns0:c r="B919" s="245"/>
      <ns0:c r="C919" s="245"/>
      <ns0:c r="D919" s="245"/>
      <ns0:c r="E919" s="245"/>
      <ns0:c r="F919" s="245"/>
      <ns0:c r="G919" s="245"/>
      <ns0:c r="H919" s="245"/>
      <ns0:c r="I919" s="245"/>
      <ns0:c r="J919" s="245"/>
      <ns0:c r="K919" s="245"/>
      <ns0:c r="L919" s="245"/>
      <ns0:c r="M919" s="245"/>
      <ns0:c r="N919" s="245"/>
      <ns0:c r="O919" s="245"/>
      <ns0:c r="P919" s="245"/>
      <ns0:c r="Q919" s="245"/>
      <ns0:c r="R919" s="245"/>
      <ns0:c r="S919" s="245"/>
      <ns0:c r="T919" s="245"/>
      <ns0:c r="U919" s="245"/>
      <ns0:c r="V919" s="245"/>
      <ns0:c r="W919" s="245"/>
      <ns0:c r="X919" s="245"/>
      <ns0:c r="Y919" s="245"/>
      <ns0:c r="Z919" s="245"/>
    </ns0:row>
    <ns0:row r="920">
      <ns0:c r="A920" s="245"/>
      <ns0:c r="B920" s="245"/>
      <ns0:c r="C920" s="245"/>
      <ns0:c r="D920" s="245"/>
      <ns0:c r="E920" s="245"/>
      <ns0:c r="F920" s="245"/>
      <ns0:c r="G920" s="245"/>
      <ns0:c r="H920" s="245"/>
      <ns0:c r="I920" s="245"/>
      <ns0:c r="J920" s="245"/>
      <ns0:c r="K920" s="245"/>
      <ns0:c r="L920" s="245"/>
      <ns0:c r="M920" s="245"/>
      <ns0:c r="N920" s="245"/>
      <ns0:c r="O920" s="245"/>
      <ns0:c r="P920" s="245"/>
      <ns0:c r="Q920" s="245"/>
      <ns0:c r="R920" s="245"/>
      <ns0:c r="S920" s="245"/>
      <ns0:c r="T920" s="245"/>
      <ns0:c r="U920" s="245"/>
      <ns0:c r="V920" s="245"/>
      <ns0:c r="W920" s="245"/>
      <ns0:c r="X920" s="245"/>
      <ns0:c r="Y920" s="245"/>
      <ns0:c r="Z920" s="245"/>
    </ns0:row>
    <ns0:row r="921">
      <ns0:c r="A921" s="245"/>
      <ns0:c r="B921" s="245"/>
      <ns0:c r="C921" s="245"/>
      <ns0:c r="D921" s="245"/>
      <ns0:c r="E921" s="245"/>
      <ns0:c r="F921" s="245"/>
      <ns0:c r="G921" s="245"/>
      <ns0:c r="H921" s="245"/>
      <ns0:c r="I921" s="245"/>
      <ns0:c r="J921" s="245"/>
      <ns0:c r="K921" s="245"/>
      <ns0:c r="L921" s="245"/>
      <ns0:c r="M921" s="245"/>
      <ns0:c r="N921" s="245"/>
      <ns0:c r="O921" s="245"/>
      <ns0:c r="P921" s="245"/>
      <ns0:c r="Q921" s="245"/>
      <ns0:c r="R921" s="245"/>
      <ns0:c r="S921" s="245"/>
      <ns0:c r="T921" s="245"/>
      <ns0:c r="U921" s="245"/>
      <ns0:c r="V921" s="245"/>
      <ns0:c r="W921" s="245"/>
      <ns0:c r="X921" s="245"/>
      <ns0:c r="Y921" s="245"/>
      <ns0:c r="Z921" s="245"/>
    </ns0:row>
    <ns0:row r="922">
      <ns0:c r="A922" s="245"/>
      <ns0:c r="B922" s="245"/>
      <ns0:c r="C922" s="245"/>
      <ns0:c r="D922" s="245"/>
      <ns0:c r="E922" s="245"/>
      <ns0:c r="F922" s="245"/>
      <ns0:c r="G922" s="245"/>
      <ns0:c r="H922" s="245"/>
      <ns0:c r="I922" s="245"/>
      <ns0:c r="J922" s="245"/>
      <ns0:c r="K922" s="245"/>
      <ns0:c r="L922" s="245"/>
      <ns0:c r="M922" s="245"/>
      <ns0:c r="N922" s="245"/>
      <ns0:c r="O922" s="245"/>
      <ns0:c r="P922" s="245"/>
      <ns0:c r="Q922" s="245"/>
      <ns0:c r="R922" s="245"/>
      <ns0:c r="S922" s="245"/>
      <ns0:c r="T922" s="245"/>
      <ns0:c r="U922" s="245"/>
      <ns0:c r="V922" s="245"/>
      <ns0:c r="W922" s="245"/>
      <ns0:c r="X922" s="245"/>
      <ns0:c r="Y922" s="245"/>
      <ns0:c r="Z922" s="245"/>
    </ns0:row>
    <ns0:row r="923">
      <ns0:c r="A923" s="245"/>
      <ns0:c r="B923" s="245"/>
      <ns0:c r="C923" s="245"/>
      <ns0:c r="D923" s="245"/>
      <ns0:c r="E923" s="245"/>
      <ns0:c r="F923" s="245"/>
      <ns0:c r="G923" s="245"/>
      <ns0:c r="H923" s="245"/>
      <ns0:c r="I923" s="245"/>
      <ns0:c r="J923" s="245"/>
      <ns0:c r="K923" s="245"/>
      <ns0:c r="L923" s="245"/>
      <ns0:c r="M923" s="245"/>
      <ns0:c r="N923" s="245"/>
      <ns0:c r="O923" s="245"/>
      <ns0:c r="P923" s="245"/>
      <ns0:c r="Q923" s="245"/>
      <ns0:c r="R923" s="245"/>
      <ns0:c r="S923" s="245"/>
      <ns0:c r="T923" s="245"/>
      <ns0:c r="U923" s="245"/>
      <ns0:c r="V923" s="245"/>
      <ns0:c r="W923" s="245"/>
      <ns0:c r="X923" s="245"/>
      <ns0:c r="Y923" s="245"/>
      <ns0:c r="Z923" s="245"/>
    </ns0:row>
    <ns0:row r="924">
      <ns0:c r="A924" s="245"/>
      <ns0:c r="B924" s="245"/>
      <ns0:c r="C924" s="245"/>
      <ns0:c r="D924" s="245"/>
      <ns0:c r="E924" s="245"/>
      <ns0:c r="F924" s="245"/>
      <ns0:c r="G924" s="245"/>
      <ns0:c r="H924" s="245"/>
      <ns0:c r="I924" s="245"/>
      <ns0:c r="J924" s="245"/>
      <ns0:c r="K924" s="245"/>
      <ns0:c r="L924" s="245"/>
      <ns0:c r="M924" s="245"/>
      <ns0:c r="N924" s="245"/>
      <ns0:c r="O924" s="245"/>
      <ns0:c r="P924" s="245"/>
      <ns0:c r="Q924" s="245"/>
      <ns0:c r="R924" s="245"/>
      <ns0:c r="S924" s="245"/>
      <ns0:c r="T924" s="245"/>
      <ns0:c r="U924" s="245"/>
      <ns0:c r="V924" s="245"/>
      <ns0:c r="W924" s="245"/>
      <ns0:c r="X924" s="245"/>
      <ns0:c r="Y924" s="245"/>
      <ns0:c r="Z924" s="245"/>
    </ns0:row>
    <ns0:row r="925">
      <ns0:c r="A925" s="245"/>
      <ns0:c r="B925" s="245"/>
      <ns0:c r="C925" s="245"/>
      <ns0:c r="D925" s="245"/>
      <ns0:c r="E925" s="245"/>
      <ns0:c r="F925" s="245"/>
      <ns0:c r="G925" s="245"/>
      <ns0:c r="H925" s="245"/>
      <ns0:c r="I925" s="245"/>
      <ns0:c r="J925" s="245"/>
      <ns0:c r="K925" s="245"/>
      <ns0:c r="L925" s="245"/>
      <ns0:c r="M925" s="245"/>
      <ns0:c r="N925" s="245"/>
      <ns0:c r="O925" s="245"/>
      <ns0:c r="P925" s="245"/>
      <ns0:c r="Q925" s="245"/>
      <ns0:c r="R925" s="245"/>
      <ns0:c r="S925" s="245"/>
      <ns0:c r="T925" s="245"/>
      <ns0:c r="U925" s="245"/>
      <ns0:c r="V925" s="245"/>
      <ns0:c r="W925" s="245"/>
      <ns0:c r="X925" s="245"/>
      <ns0:c r="Y925" s="245"/>
      <ns0:c r="Z925" s="245"/>
    </ns0:row>
    <ns0:row r="926">
      <ns0:c r="A926" s="245"/>
      <ns0:c r="B926" s="245"/>
      <ns0:c r="C926" s="245"/>
      <ns0:c r="D926" s="245"/>
      <ns0:c r="E926" s="245"/>
      <ns0:c r="F926" s="245"/>
      <ns0:c r="G926" s="245"/>
      <ns0:c r="H926" s="245"/>
      <ns0:c r="I926" s="245"/>
      <ns0:c r="J926" s="245"/>
      <ns0:c r="K926" s="245"/>
      <ns0:c r="L926" s="245"/>
      <ns0:c r="M926" s="245"/>
      <ns0:c r="N926" s="245"/>
      <ns0:c r="O926" s="245"/>
      <ns0:c r="P926" s="245"/>
      <ns0:c r="Q926" s="245"/>
      <ns0:c r="R926" s="245"/>
      <ns0:c r="S926" s="245"/>
      <ns0:c r="T926" s="245"/>
      <ns0:c r="U926" s="245"/>
      <ns0:c r="V926" s="245"/>
      <ns0:c r="W926" s="245"/>
      <ns0:c r="X926" s="245"/>
      <ns0:c r="Y926" s="245"/>
      <ns0:c r="Z926" s="245"/>
    </ns0:row>
    <ns0:row r="927">
      <ns0:c r="A927" s="245"/>
      <ns0:c r="B927" s="245"/>
      <ns0:c r="C927" s="245"/>
      <ns0:c r="D927" s="245"/>
      <ns0:c r="E927" s="245"/>
      <ns0:c r="F927" s="245"/>
      <ns0:c r="G927" s="245"/>
      <ns0:c r="H927" s="245"/>
      <ns0:c r="I927" s="245"/>
      <ns0:c r="J927" s="245"/>
      <ns0:c r="K927" s="245"/>
      <ns0:c r="L927" s="245"/>
      <ns0:c r="M927" s="245"/>
      <ns0:c r="N927" s="245"/>
      <ns0:c r="O927" s="245"/>
      <ns0:c r="P927" s="245"/>
      <ns0:c r="Q927" s="245"/>
      <ns0:c r="R927" s="245"/>
      <ns0:c r="S927" s="245"/>
      <ns0:c r="T927" s="245"/>
      <ns0:c r="U927" s="245"/>
      <ns0:c r="V927" s="245"/>
      <ns0:c r="W927" s="245"/>
      <ns0:c r="X927" s="245"/>
      <ns0:c r="Y927" s="245"/>
      <ns0:c r="Z927" s="245"/>
    </ns0:row>
    <ns0:row r="928">
      <ns0:c r="A928" s="245"/>
      <ns0:c r="B928" s="245"/>
      <ns0:c r="C928" s="245"/>
      <ns0:c r="D928" s="245"/>
      <ns0:c r="E928" s="245"/>
      <ns0:c r="F928" s="245"/>
      <ns0:c r="G928" s="245"/>
      <ns0:c r="H928" s="245"/>
      <ns0:c r="I928" s="245"/>
      <ns0:c r="J928" s="245"/>
      <ns0:c r="K928" s="245"/>
      <ns0:c r="L928" s="245"/>
      <ns0:c r="M928" s="245"/>
      <ns0:c r="N928" s="245"/>
      <ns0:c r="O928" s="245"/>
      <ns0:c r="P928" s="245"/>
      <ns0:c r="Q928" s="245"/>
      <ns0:c r="R928" s="245"/>
      <ns0:c r="S928" s="245"/>
      <ns0:c r="T928" s="245"/>
      <ns0:c r="U928" s="245"/>
      <ns0:c r="V928" s="245"/>
      <ns0:c r="W928" s="245"/>
      <ns0:c r="X928" s="245"/>
      <ns0:c r="Y928" s="245"/>
      <ns0:c r="Z928" s="245"/>
    </ns0:row>
    <ns0:row r="929">
      <ns0:c r="A929" s="245"/>
      <ns0:c r="B929" s="245"/>
      <ns0:c r="C929" s="245"/>
      <ns0:c r="D929" s="245"/>
      <ns0:c r="E929" s="245"/>
      <ns0:c r="F929" s="245"/>
      <ns0:c r="G929" s="245"/>
      <ns0:c r="H929" s="245"/>
      <ns0:c r="I929" s="245"/>
      <ns0:c r="J929" s="245"/>
      <ns0:c r="K929" s="245"/>
      <ns0:c r="L929" s="245"/>
      <ns0:c r="M929" s="245"/>
      <ns0:c r="N929" s="245"/>
      <ns0:c r="O929" s="245"/>
      <ns0:c r="P929" s="245"/>
      <ns0:c r="Q929" s="245"/>
      <ns0:c r="R929" s="245"/>
      <ns0:c r="S929" s="245"/>
      <ns0:c r="T929" s="245"/>
      <ns0:c r="U929" s="245"/>
      <ns0:c r="V929" s="245"/>
      <ns0:c r="W929" s="245"/>
      <ns0:c r="X929" s="245"/>
      <ns0:c r="Y929" s="245"/>
      <ns0:c r="Z929" s="245"/>
    </ns0:row>
    <ns0:row r="930">
      <ns0:c r="A930" s="245"/>
      <ns0:c r="B930" s="245"/>
      <ns0:c r="C930" s="245"/>
      <ns0:c r="D930" s="245"/>
      <ns0:c r="E930" s="245"/>
      <ns0:c r="F930" s="245"/>
      <ns0:c r="G930" s="245"/>
      <ns0:c r="H930" s="245"/>
      <ns0:c r="I930" s="245"/>
      <ns0:c r="J930" s="245"/>
      <ns0:c r="K930" s="245"/>
      <ns0:c r="L930" s="245"/>
      <ns0:c r="M930" s="245"/>
      <ns0:c r="N930" s="245"/>
      <ns0:c r="O930" s="245"/>
      <ns0:c r="P930" s="245"/>
      <ns0:c r="Q930" s="245"/>
      <ns0:c r="R930" s="245"/>
      <ns0:c r="S930" s="245"/>
      <ns0:c r="T930" s="245"/>
      <ns0:c r="U930" s="245"/>
      <ns0:c r="V930" s="245"/>
      <ns0:c r="W930" s="245"/>
      <ns0:c r="X930" s="245"/>
      <ns0:c r="Y930" s="245"/>
      <ns0:c r="Z930" s="245"/>
    </ns0:row>
    <ns0:row r="931">
      <ns0:c r="A931" s="245"/>
      <ns0:c r="B931" s="245"/>
      <ns0:c r="C931" s="245"/>
      <ns0:c r="D931" s="245"/>
      <ns0:c r="E931" s="245"/>
      <ns0:c r="F931" s="245"/>
      <ns0:c r="G931" s="245"/>
      <ns0:c r="H931" s="245"/>
      <ns0:c r="I931" s="245"/>
      <ns0:c r="J931" s="245"/>
      <ns0:c r="K931" s="245"/>
      <ns0:c r="L931" s="245"/>
      <ns0:c r="M931" s="245"/>
      <ns0:c r="N931" s="245"/>
      <ns0:c r="O931" s="245"/>
      <ns0:c r="P931" s="245"/>
      <ns0:c r="Q931" s="245"/>
      <ns0:c r="R931" s="245"/>
      <ns0:c r="S931" s="245"/>
      <ns0:c r="T931" s="245"/>
      <ns0:c r="U931" s="245"/>
      <ns0:c r="V931" s="245"/>
      <ns0:c r="W931" s="245"/>
      <ns0:c r="X931" s="245"/>
      <ns0:c r="Y931" s="245"/>
      <ns0:c r="Z931" s="245"/>
    </ns0:row>
    <ns0:row r="932">
      <ns0:c r="A932" s="245"/>
      <ns0:c r="B932" s="245"/>
      <ns0:c r="C932" s="245"/>
      <ns0:c r="D932" s="245"/>
      <ns0:c r="E932" s="245"/>
      <ns0:c r="F932" s="245"/>
      <ns0:c r="G932" s="245"/>
      <ns0:c r="H932" s="245"/>
      <ns0:c r="I932" s="245"/>
      <ns0:c r="J932" s="245"/>
      <ns0:c r="K932" s="245"/>
      <ns0:c r="L932" s="245"/>
      <ns0:c r="M932" s="245"/>
      <ns0:c r="N932" s="245"/>
      <ns0:c r="O932" s="245"/>
      <ns0:c r="P932" s="245"/>
      <ns0:c r="Q932" s="245"/>
      <ns0:c r="R932" s="245"/>
      <ns0:c r="S932" s="245"/>
      <ns0:c r="T932" s="245"/>
      <ns0:c r="U932" s="245"/>
      <ns0:c r="V932" s="245"/>
      <ns0:c r="W932" s="245"/>
      <ns0:c r="X932" s="245"/>
      <ns0:c r="Y932" s="245"/>
      <ns0:c r="Z932" s="245"/>
    </ns0:row>
    <ns0:row r="933">
      <ns0:c r="A933" s="245"/>
      <ns0:c r="B933" s="245"/>
      <ns0:c r="C933" s="245"/>
      <ns0:c r="D933" s="245"/>
      <ns0:c r="E933" s="245"/>
      <ns0:c r="F933" s="245"/>
      <ns0:c r="G933" s="245"/>
      <ns0:c r="H933" s="245"/>
      <ns0:c r="I933" s="245"/>
      <ns0:c r="J933" s="245"/>
      <ns0:c r="K933" s="245"/>
      <ns0:c r="L933" s="245"/>
      <ns0:c r="M933" s="245"/>
      <ns0:c r="N933" s="245"/>
      <ns0:c r="O933" s="245"/>
      <ns0:c r="P933" s="245"/>
      <ns0:c r="Q933" s="245"/>
      <ns0:c r="R933" s="245"/>
      <ns0:c r="S933" s="245"/>
      <ns0:c r="T933" s="245"/>
      <ns0:c r="U933" s="245"/>
      <ns0:c r="V933" s="245"/>
      <ns0:c r="W933" s="245"/>
      <ns0:c r="X933" s="245"/>
      <ns0:c r="Y933" s="245"/>
      <ns0:c r="Z933" s="245"/>
    </ns0:row>
    <ns0:row r="934">
      <ns0:c r="A934" s="245"/>
      <ns0:c r="B934" s="245"/>
      <ns0:c r="C934" s="245"/>
      <ns0:c r="D934" s="245"/>
      <ns0:c r="E934" s="245"/>
      <ns0:c r="F934" s="245"/>
      <ns0:c r="G934" s="245"/>
      <ns0:c r="H934" s="245"/>
      <ns0:c r="I934" s="245"/>
      <ns0:c r="J934" s="245"/>
      <ns0:c r="K934" s="245"/>
      <ns0:c r="L934" s="245"/>
      <ns0:c r="M934" s="245"/>
      <ns0:c r="N934" s="245"/>
      <ns0:c r="O934" s="245"/>
      <ns0:c r="P934" s="245"/>
      <ns0:c r="Q934" s="245"/>
      <ns0:c r="R934" s="245"/>
      <ns0:c r="S934" s="245"/>
      <ns0:c r="T934" s="245"/>
      <ns0:c r="U934" s="245"/>
      <ns0:c r="V934" s="245"/>
      <ns0:c r="W934" s="245"/>
      <ns0:c r="X934" s="245"/>
      <ns0:c r="Y934" s="245"/>
      <ns0:c r="Z934" s="245"/>
    </ns0:row>
    <ns0:row r="935">
      <ns0:c r="A935" s="245"/>
      <ns0:c r="B935" s="245"/>
      <ns0:c r="C935" s="245"/>
      <ns0:c r="D935" s="245"/>
      <ns0:c r="E935" s="245"/>
      <ns0:c r="F935" s="245"/>
      <ns0:c r="G935" s="245"/>
      <ns0:c r="H935" s="245"/>
      <ns0:c r="I935" s="245"/>
      <ns0:c r="J935" s="245"/>
      <ns0:c r="K935" s="245"/>
      <ns0:c r="L935" s="245"/>
      <ns0:c r="M935" s="245"/>
      <ns0:c r="N935" s="245"/>
      <ns0:c r="O935" s="245"/>
      <ns0:c r="P935" s="245"/>
      <ns0:c r="Q935" s="245"/>
      <ns0:c r="R935" s="245"/>
      <ns0:c r="S935" s="245"/>
      <ns0:c r="T935" s="245"/>
      <ns0:c r="U935" s="245"/>
      <ns0:c r="V935" s="245"/>
      <ns0:c r="W935" s="245"/>
      <ns0:c r="X935" s="245"/>
      <ns0:c r="Y935" s="245"/>
      <ns0:c r="Z935" s="245"/>
    </ns0:row>
    <ns0:row r="936">
      <ns0:c r="A936" s="245"/>
      <ns0:c r="B936" s="245"/>
      <ns0:c r="C936" s="245"/>
      <ns0:c r="D936" s="245"/>
      <ns0:c r="E936" s="245"/>
      <ns0:c r="F936" s="245"/>
      <ns0:c r="G936" s="245"/>
      <ns0:c r="H936" s="245"/>
      <ns0:c r="I936" s="245"/>
      <ns0:c r="J936" s="245"/>
      <ns0:c r="K936" s="245"/>
      <ns0:c r="L936" s="245"/>
      <ns0:c r="M936" s="245"/>
      <ns0:c r="N936" s="245"/>
      <ns0:c r="O936" s="245"/>
      <ns0:c r="P936" s="245"/>
      <ns0:c r="Q936" s="245"/>
      <ns0:c r="R936" s="245"/>
      <ns0:c r="S936" s="245"/>
      <ns0:c r="T936" s="245"/>
      <ns0:c r="U936" s="245"/>
      <ns0:c r="V936" s="245"/>
      <ns0:c r="W936" s="245"/>
      <ns0:c r="X936" s="245"/>
      <ns0:c r="Y936" s="245"/>
      <ns0:c r="Z936" s="245"/>
    </ns0:row>
    <ns0:row r="937">
      <ns0:c r="A937" s="245"/>
      <ns0:c r="B937" s="245"/>
      <ns0:c r="C937" s="245"/>
      <ns0:c r="D937" s="245"/>
      <ns0:c r="E937" s="245"/>
      <ns0:c r="F937" s="245"/>
      <ns0:c r="G937" s="245"/>
      <ns0:c r="H937" s="245"/>
      <ns0:c r="I937" s="245"/>
      <ns0:c r="J937" s="245"/>
      <ns0:c r="K937" s="245"/>
      <ns0:c r="L937" s="245"/>
      <ns0:c r="M937" s="245"/>
      <ns0:c r="N937" s="245"/>
      <ns0:c r="O937" s="245"/>
      <ns0:c r="P937" s="245"/>
      <ns0:c r="Q937" s="245"/>
      <ns0:c r="R937" s="245"/>
      <ns0:c r="S937" s="245"/>
      <ns0:c r="T937" s="245"/>
      <ns0:c r="U937" s="245"/>
      <ns0:c r="V937" s="245"/>
      <ns0:c r="W937" s="245"/>
      <ns0:c r="X937" s="245"/>
      <ns0:c r="Y937" s="245"/>
      <ns0:c r="Z937" s="245"/>
    </ns0:row>
    <ns0:row r="938">
      <ns0:c r="A938" s="245"/>
      <ns0:c r="B938" s="245"/>
      <ns0:c r="C938" s="245"/>
      <ns0:c r="D938" s="245"/>
      <ns0:c r="E938" s="245"/>
      <ns0:c r="F938" s="245"/>
      <ns0:c r="G938" s="245"/>
      <ns0:c r="H938" s="245"/>
      <ns0:c r="I938" s="245"/>
      <ns0:c r="J938" s="245"/>
      <ns0:c r="K938" s="245"/>
      <ns0:c r="L938" s="245"/>
      <ns0:c r="M938" s="245"/>
      <ns0:c r="N938" s="245"/>
      <ns0:c r="O938" s="245"/>
      <ns0:c r="P938" s="245"/>
      <ns0:c r="Q938" s="245"/>
      <ns0:c r="R938" s="245"/>
      <ns0:c r="S938" s="245"/>
      <ns0:c r="T938" s="245"/>
      <ns0:c r="U938" s="245"/>
      <ns0:c r="V938" s="245"/>
      <ns0:c r="W938" s="245"/>
      <ns0:c r="X938" s="245"/>
      <ns0:c r="Y938" s="245"/>
      <ns0:c r="Z938" s="245"/>
    </ns0:row>
    <ns0:row r="939">
      <ns0:c r="A939" s="245"/>
      <ns0:c r="B939" s="245"/>
      <ns0:c r="C939" s="245"/>
      <ns0:c r="D939" s="245"/>
      <ns0:c r="E939" s="245"/>
      <ns0:c r="F939" s="245"/>
      <ns0:c r="G939" s="245"/>
      <ns0:c r="H939" s="245"/>
      <ns0:c r="I939" s="245"/>
      <ns0:c r="J939" s="245"/>
      <ns0:c r="K939" s="245"/>
      <ns0:c r="L939" s="245"/>
      <ns0:c r="M939" s="245"/>
      <ns0:c r="N939" s="245"/>
      <ns0:c r="O939" s="245"/>
      <ns0:c r="P939" s="245"/>
      <ns0:c r="Q939" s="245"/>
      <ns0:c r="R939" s="245"/>
      <ns0:c r="S939" s="245"/>
      <ns0:c r="T939" s="245"/>
      <ns0:c r="U939" s="245"/>
      <ns0:c r="V939" s="245"/>
      <ns0:c r="W939" s="245"/>
      <ns0:c r="X939" s="245"/>
      <ns0:c r="Y939" s="245"/>
      <ns0:c r="Z939" s="245"/>
    </ns0:row>
    <ns0:row r="940">
      <ns0:c r="A940" s="245"/>
      <ns0:c r="B940" s="245"/>
      <ns0:c r="C940" s="245"/>
      <ns0:c r="D940" s="245"/>
      <ns0:c r="E940" s="245"/>
      <ns0:c r="F940" s="245"/>
      <ns0:c r="G940" s="245"/>
      <ns0:c r="H940" s="245"/>
      <ns0:c r="I940" s="245"/>
      <ns0:c r="J940" s="245"/>
      <ns0:c r="K940" s="245"/>
      <ns0:c r="L940" s="245"/>
      <ns0:c r="M940" s="245"/>
      <ns0:c r="N940" s="245"/>
      <ns0:c r="O940" s="245"/>
      <ns0:c r="P940" s="245"/>
      <ns0:c r="Q940" s="245"/>
      <ns0:c r="R940" s="245"/>
      <ns0:c r="S940" s="245"/>
      <ns0:c r="T940" s="245"/>
      <ns0:c r="U940" s="245"/>
      <ns0:c r="V940" s="245"/>
      <ns0:c r="W940" s="245"/>
      <ns0:c r="X940" s="245"/>
      <ns0:c r="Y940" s="245"/>
      <ns0:c r="Z940" s="245"/>
    </ns0:row>
    <ns0:row r="941">
      <ns0:c r="A941" s="245"/>
      <ns0:c r="B941" s="245"/>
      <ns0:c r="C941" s="245"/>
      <ns0:c r="D941" s="245"/>
      <ns0:c r="E941" s="245"/>
      <ns0:c r="F941" s="245"/>
      <ns0:c r="G941" s="245"/>
      <ns0:c r="H941" s="245"/>
      <ns0:c r="I941" s="245"/>
      <ns0:c r="J941" s="245"/>
      <ns0:c r="K941" s="245"/>
      <ns0:c r="L941" s="245"/>
      <ns0:c r="M941" s="245"/>
      <ns0:c r="N941" s="245"/>
      <ns0:c r="O941" s="245"/>
      <ns0:c r="P941" s="245"/>
      <ns0:c r="Q941" s="245"/>
      <ns0:c r="R941" s="245"/>
      <ns0:c r="S941" s="245"/>
      <ns0:c r="T941" s="245"/>
      <ns0:c r="U941" s="245"/>
      <ns0:c r="V941" s="245"/>
      <ns0:c r="W941" s="245"/>
      <ns0:c r="X941" s="245"/>
      <ns0:c r="Y941" s="245"/>
      <ns0:c r="Z941" s="245"/>
    </ns0:row>
    <ns0:row r="942">
      <ns0:c r="A942" s="245"/>
      <ns0:c r="B942" s="245"/>
      <ns0:c r="C942" s="245"/>
      <ns0:c r="D942" s="245"/>
      <ns0:c r="E942" s="245"/>
      <ns0:c r="F942" s="245"/>
      <ns0:c r="G942" s="245"/>
      <ns0:c r="H942" s="245"/>
      <ns0:c r="I942" s="245"/>
      <ns0:c r="J942" s="245"/>
      <ns0:c r="K942" s="245"/>
      <ns0:c r="L942" s="245"/>
      <ns0:c r="M942" s="245"/>
      <ns0:c r="N942" s="245"/>
      <ns0:c r="O942" s="245"/>
      <ns0:c r="P942" s="245"/>
      <ns0:c r="Q942" s="245"/>
      <ns0:c r="R942" s="245"/>
      <ns0:c r="S942" s="245"/>
      <ns0:c r="T942" s="245"/>
      <ns0:c r="U942" s="245"/>
      <ns0:c r="V942" s="245"/>
      <ns0:c r="W942" s="245"/>
      <ns0:c r="X942" s="245"/>
      <ns0:c r="Y942" s="245"/>
      <ns0:c r="Z942" s="245"/>
    </ns0:row>
    <ns0:row r="943">
      <ns0:c r="A943" s="245"/>
      <ns0:c r="B943" s="245"/>
      <ns0:c r="C943" s="245"/>
      <ns0:c r="D943" s="245"/>
      <ns0:c r="E943" s="245"/>
      <ns0:c r="F943" s="245"/>
      <ns0:c r="G943" s="245"/>
      <ns0:c r="H943" s="245"/>
      <ns0:c r="I943" s="245"/>
      <ns0:c r="J943" s="245"/>
      <ns0:c r="K943" s="245"/>
      <ns0:c r="L943" s="245"/>
      <ns0:c r="M943" s="245"/>
      <ns0:c r="N943" s="245"/>
      <ns0:c r="O943" s="245"/>
      <ns0:c r="P943" s="245"/>
      <ns0:c r="Q943" s="245"/>
      <ns0:c r="R943" s="245"/>
      <ns0:c r="S943" s="245"/>
      <ns0:c r="T943" s="245"/>
      <ns0:c r="U943" s="245"/>
      <ns0:c r="V943" s="245"/>
      <ns0:c r="W943" s="245"/>
      <ns0:c r="X943" s="245"/>
      <ns0:c r="Y943" s="245"/>
      <ns0:c r="Z943" s="245"/>
    </ns0:row>
    <ns0:row r="944">
      <ns0:c r="A944" s="245"/>
      <ns0:c r="B944" s="245"/>
      <ns0:c r="C944" s="245"/>
      <ns0:c r="D944" s="245"/>
      <ns0:c r="E944" s="245"/>
      <ns0:c r="F944" s="245"/>
      <ns0:c r="G944" s="245"/>
      <ns0:c r="H944" s="245"/>
      <ns0:c r="I944" s="245"/>
      <ns0:c r="J944" s="245"/>
      <ns0:c r="K944" s="245"/>
      <ns0:c r="L944" s="245"/>
      <ns0:c r="M944" s="245"/>
      <ns0:c r="N944" s="245"/>
      <ns0:c r="O944" s="245"/>
      <ns0:c r="P944" s="245"/>
      <ns0:c r="Q944" s="245"/>
      <ns0:c r="R944" s="245"/>
      <ns0:c r="S944" s="245"/>
      <ns0:c r="T944" s="245"/>
      <ns0:c r="U944" s="245"/>
      <ns0:c r="V944" s="245"/>
      <ns0:c r="W944" s="245"/>
      <ns0:c r="X944" s="245"/>
      <ns0:c r="Y944" s="245"/>
      <ns0:c r="Z944" s="245"/>
    </ns0:row>
    <ns0:row r="945">
      <ns0:c r="A945" s="245"/>
      <ns0:c r="B945" s="245"/>
      <ns0:c r="C945" s="245"/>
      <ns0:c r="D945" s="245"/>
      <ns0:c r="E945" s="245"/>
      <ns0:c r="F945" s="245"/>
      <ns0:c r="G945" s="245"/>
      <ns0:c r="H945" s="245"/>
      <ns0:c r="I945" s="245"/>
      <ns0:c r="J945" s="245"/>
      <ns0:c r="K945" s="245"/>
      <ns0:c r="L945" s="245"/>
      <ns0:c r="M945" s="245"/>
      <ns0:c r="N945" s="245"/>
      <ns0:c r="O945" s="245"/>
      <ns0:c r="P945" s="245"/>
      <ns0:c r="Q945" s="245"/>
      <ns0:c r="R945" s="245"/>
      <ns0:c r="S945" s="245"/>
      <ns0:c r="T945" s="245"/>
      <ns0:c r="U945" s="245"/>
      <ns0:c r="V945" s="245"/>
      <ns0:c r="W945" s="245"/>
      <ns0:c r="X945" s="245"/>
      <ns0:c r="Y945" s="245"/>
      <ns0:c r="Z945" s="245"/>
    </ns0:row>
    <ns0:row r="946">
      <ns0:c r="A946" s="245"/>
      <ns0:c r="B946" s="245"/>
      <ns0:c r="C946" s="245"/>
      <ns0:c r="D946" s="245"/>
      <ns0:c r="E946" s="245"/>
      <ns0:c r="F946" s="245"/>
      <ns0:c r="G946" s="245"/>
      <ns0:c r="H946" s="245"/>
      <ns0:c r="I946" s="245"/>
      <ns0:c r="J946" s="245"/>
      <ns0:c r="K946" s="245"/>
      <ns0:c r="L946" s="245"/>
      <ns0:c r="M946" s="245"/>
      <ns0:c r="N946" s="245"/>
      <ns0:c r="O946" s="245"/>
      <ns0:c r="P946" s="245"/>
      <ns0:c r="Q946" s="245"/>
      <ns0:c r="R946" s="245"/>
      <ns0:c r="S946" s="245"/>
      <ns0:c r="T946" s="245"/>
      <ns0:c r="U946" s="245"/>
      <ns0:c r="V946" s="245"/>
      <ns0:c r="W946" s="245"/>
      <ns0:c r="X946" s="245"/>
      <ns0:c r="Y946" s="245"/>
      <ns0:c r="Z946" s="245"/>
    </ns0:row>
    <ns0:row r="947">
      <ns0:c r="A947" s="245"/>
      <ns0:c r="B947" s="245"/>
      <ns0:c r="C947" s="245"/>
      <ns0:c r="D947" s="245"/>
      <ns0:c r="E947" s="245"/>
      <ns0:c r="F947" s="245"/>
      <ns0:c r="G947" s="245"/>
      <ns0:c r="H947" s="245"/>
      <ns0:c r="I947" s="245"/>
      <ns0:c r="J947" s="245"/>
      <ns0:c r="K947" s="245"/>
      <ns0:c r="L947" s="245"/>
      <ns0:c r="M947" s="245"/>
      <ns0:c r="N947" s="245"/>
      <ns0:c r="O947" s="245"/>
      <ns0:c r="P947" s="245"/>
      <ns0:c r="Q947" s="245"/>
      <ns0:c r="R947" s="245"/>
      <ns0:c r="S947" s="245"/>
      <ns0:c r="T947" s="245"/>
      <ns0:c r="U947" s="245"/>
      <ns0:c r="V947" s="245"/>
      <ns0:c r="W947" s="245"/>
      <ns0:c r="X947" s="245"/>
      <ns0:c r="Y947" s="245"/>
      <ns0:c r="Z947" s="245"/>
    </ns0:row>
    <ns0:row r="948">
      <ns0:c r="A948" s="245"/>
      <ns0:c r="B948" s="245"/>
      <ns0:c r="C948" s="245"/>
      <ns0:c r="D948" s="245"/>
      <ns0:c r="E948" s="245"/>
      <ns0:c r="F948" s="245"/>
      <ns0:c r="G948" s="245"/>
      <ns0:c r="H948" s="245"/>
      <ns0:c r="I948" s="245"/>
      <ns0:c r="J948" s="245"/>
      <ns0:c r="K948" s="245"/>
      <ns0:c r="L948" s="245"/>
      <ns0:c r="M948" s="245"/>
      <ns0:c r="N948" s="245"/>
      <ns0:c r="O948" s="245"/>
      <ns0:c r="P948" s="245"/>
      <ns0:c r="Q948" s="245"/>
      <ns0:c r="R948" s="245"/>
      <ns0:c r="S948" s="245"/>
      <ns0:c r="T948" s="245"/>
      <ns0:c r="U948" s="245"/>
      <ns0:c r="V948" s="245"/>
      <ns0:c r="W948" s="245"/>
      <ns0:c r="X948" s="245"/>
      <ns0:c r="Y948" s="245"/>
      <ns0:c r="Z948" s="245"/>
    </ns0:row>
    <ns0:row r="949">
      <ns0:c r="A949" s="245"/>
      <ns0:c r="B949" s="245"/>
      <ns0:c r="C949" s="245"/>
      <ns0:c r="D949" s="245"/>
      <ns0:c r="E949" s="245"/>
      <ns0:c r="F949" s="245"/>
      <ns0:c r="G949" s="245"/>
      <ns0:c r="H949" s="245"/>
      <ns0:c r="I949" s="245"/>
      <ns0:c r="J949" s="245"/>
      <ns0:c r="K949" s="245"/>
      <ns0:c r="L949" s="245"/>
      <ns0:c r="M949" s="245"/>
      <ns0:c r="N949" s="245"/>
      <ns0:c r="O949" s="245"/>
      <ns0:c r="P949" s="245"/>
      <ns0:c r="Q949" s="245"/>
      <ns0:c r="R949" s="245"/>
      <ns0:c r="S949" s="245"/>
      <ns0:c r="T949" s="245"/>
      <ns0:c r="U949" s="245"/>
      <ns0:c r="V949" s="245"/>
      <ns0:c r="W949" s="245"/>
      <ns0:c r="X949" s="245"/>
      <ns0:c r="Y949" s="245"/>
      <ns0:c r="Z949" s="245"/>
    </ns0:row>
    <ns0:row r="950">
      <ns0:c r="A950" s="245"/>
      <ns0:c r="B950" s="245"/>
      <ns0:c r="C950" s="245"/>
      <ns0:c r="D950" s="245"/>
      <ns0:c r="E950" s="245"/>
      <ns0:c r="F950" s="245"/>
      <ns0:c r="G950" s="245"/>
      <ns0:c r="H950" s="245"/>
      <ns0:c r="I950" s="245"/>
      <ns0:c r="J950" s="245"/>
      <ns0:c r="K950" s="245"/>
      <ns0:c r="L950" s="245"/>
      <ns0:c r="M950" s="245"/>
      <ns0:c r="N950" s="245"/>
      <ns0:c r="O950" s="245"/>
      <ns0:c r="P950" s="245"/>
      <ns0:c r="Q950" s="245"/>
      <ns0:c r="R950" s="245"/>
      <ns0:c r="S950" s="245"/>
      <ns0:c r="T950" s="245"/>
      <ns0:c r="U950" s="245"/>
      <ns0:c r="V950" s="245"/>
      <ns0:c r="W950" s="245"/>
      <ns0:c r="X950" s="245"/>
      <ns0:c r="Y950" s="245"/>
      <ns0:c r="Z950" s="245"/>
    </ns0:row>
    <ns0:row r="951">
      <ns0:c r="A951" s="245"/>
      <ns0:c r="B951" s="245"/>
      <ns0:c r="C951" s="245"/>
      <ns0:c r="D951" s="245"/>
      <ns0:c r="E951" s="245"/>
      <ns0:c r="F951" s="245"/>
      <ns0:c r="G951" s="245"/>
      <ns0:c r="H951" s="245"/>
      <ns0:c r="I951" s="245"/>
      <ns0:c r="J951" s="245"/>
      <ns0:c r="K951" s="245"/>
      <ns0:c r="L951" s="245"/>
      <ns0:c r="M951" s="245"/>
      <ns0:c r="N951" s="245"/>
      <ns0:c r="O951" s="245"/>
      <ns0:c r="P951" s="245"/>
      <ns0:c r="Q951" s="245"/>
      <ns0:c r="R951" s="245"/>
      <ns0:c r="S951" s="245"/>
      <ns0:c r="T951" s="245"/>
      <ns0:c r="U951" s="245"/>
      <ns0:c r="V951" s="245"/>
      <ns0:c r="W951" s="245"/>
      <ns0:c r="X951" s="245"/>
      <ns0:c r="Y951" s="245"/>
      <ns0:c r="Z951" s="245"/>
    </ns0:row>
    <ns0:row r="952">
      <ns0:c r="A952" s="245"/>
      <ns0:c r="B952" s="245"/>
      <ns0:c r="C952" s="245"/>
      <ns0:c r="D952" s="245"/>
      <ns0:c r="E952" s="245"/>
      <ns0:c r="F952" s="245"/>
      <ns0:c r="G952" s="245"/>
      <ns0:c r="H952" s="245"/>
      <ns0:c r="I952" s="245"/>
      <ns0:c r="J952" s="245"/>
      <ns0:c r="K952" s="245"/>
      <ns0:c r="L952" s="245"/>
      <ns0:c r="M952" s="245"/>
      <ns0:c r="N952" s="245"/>
      <ns0:c r="O952" s="245"/>
      <ns0:c r="P952" s="245"/>
      <ns0:c r="Q952" s="245"/>
      <ns0:c r="R952" s="245"/>
      <ns0:c r="S952" s="245"/>
      <ns0:c r="T952" s="245"/>
      <ns0:c r="U952" s="245"/>
      <ns0:c r="V952" s="245"/>
      <ns0:c r="W952" s="245"/>
      <ns0:c r="X952" s="245"/>
      <ns0:c r="Y952" s="245"/>
      <ns0:c r="Z952" s="245"/>
    </ns0:row>
    <ns0:row r="953">
      <ns0:c r="A953" s="245"/>
      <ns0:c r="B953" s="245"/>
      <ns0:c r="C953" s="245"/>
      <ns0:c r="D953" s="245"/>
      <ns0:c r="E953" s="245"/>
      <ns0:c r="F953" s="245"/>
      <ns0:c r="G953" s="245"/>
      <ns0:c r="H953" s="245"/>
      <ns0:c r="I953" s="245"/>
      <ns0:c r="J953" s="245"/>
      <ns0:c r="K953" s="245"/>
      <ns0:c r="L953" s="245"/>
      <ns0:c r="M953" s="245"/>
      <ns0:c r="N953" s="245"/>
      <ns0:c r="O953" s="245"/>
      <ns0:c r="P953" s="245"/>
      <ns0:c r="Q953" s="245"/>
      <ns0:c r="R953" s="245"/>
      <ns0:c r="S953" s="245"/>
      <ns0:c r="T953" s="245"/>
      <ns0:c r="U953" s="245"/>
      <ns0:c r="V953" s="245"/>
      <ns0:c r="W953" s="245"/>
      <ns0:c r="X953" s="245"/>
      <ns0:c r="Y953" s="245"/>
      <ns0:c r="Z953" s="245"/>
    </ns0:row>
    <ns0:row r="954">
      <ns0:c r="A954" s="245"/>
      <ns0:c r="B954" s="245"/>
      <ns0:c r="C954" s="245"/>
      <ns0:c r="D954" s="245"/>
      <ns0:c r="E954" s="245"/>
      <ns0:c r="F954" s="245"/>
      <ns0:c r="G954" s="245"/>
      <ns0:c r="H954" s="245"/>
      <ns0:c r="I954" s="245"/>
      <ns0:c r="J954" s="245"/>
      <ns0:c r="K954" s="245"/>
      <ns0:c r="L954" s="245"/>
      <ns0:c r="M954" s="245"/>
      <ns0:c r="N954" s="245"/>
      <ns0:c r="O954" s="245"/>
      <ns0:c r="P954" s="245"/>
      <ns0:c r="Q954" s="245"/>
      <ns0:c r="R954" s="245"/>
      <ns0:c r="S954" s="245"/>
      <ns0:c r="T954" s="245"/>
      <ns0:c r="U954" s="245"/>
      <ns0:c r="V954" s="245"/>
      <ns0:c r="W954" s="245"/>
      <ns0:c r="X954" s="245"/>
      <ns0:c r="Y954" s="245"/>
      <ns0:c r="Z954" s="245"/>
    </ns0:row>
    <ns0:row r="955">
      <ns0:c r="A955" s="245"/>
      <ns0:c r="B955" s="245"/>
      <ns0:c r="C955" s="245"/>
      <ns0:c r="D955" s="245"/>
      <ns0:c r="E955" s="245"/>
      <ns0:c r="F955" s="245"/>
      <ns0:c r="G955" s="245"/>
      <ns0:c r="H955" s="245"/>
      <ns0:c r="I955" s="245"/>
      <ns0:c r="J955" s="245"/>
      <ns0:c r="K955" s="245"/>
      <ns0:c r="L955" s="245"/>
      <ns0:c r="M955" s="245"/>
      <ns0:c r="N955" s="245"/>
      <ns0:c r="O955" s="245"/>
      <ns0:c r="P955" s="245"/>
      <ns0:c r="Q955" s="245"/>
      <ns0:c r="R955" s="245"/>
      <ns0:c r="S955" s="245"/>
      <ns0:c r="T955" s="245"/>
      <ns0:c r="U955" s="245"/>
      <ns0:c r="V955" s="245"/>
      <ns0:c r="W955" s="245"/>
      <ns0:c r="X955" s="245"/>
      <ns0:c r="Y955" s="245"/>
      <ns0:c r="Z955" s="245"/>
    </ns0:row>
    <ns0:row r="956">
      <ns0:c r="A956" s="245"/>
      <ns0:c r="B956" s="245"/>
      <ns0:c r="C956" s="245"/>
      <ns0:c r="D956" s="245"/>
      <ns0:c r="E956" s="245"/>
      <ns0:c r="F956" s="245"/>
      <ns0:c r="G956" s="245"/>
      <ns0:c r="H956" s="245"/>
      <ns0:c r="I956" s="245"/>
      <ns0:c r="J956" s="245"/>
      <ns0:c r="K956" s="245"/>
      <ns0:c r="L956" s="245"/>
      <ns0:c r="M956" s="245"/>
      <ns0:c r="N956" s="245"/>
      <ns0:c r="O956" s="245"/>
      <ns0:c r="P956" s="245"/>
      <ns0:c r="Q956" s="245"/>
      <ns0:c r="R956" s="245"/>
      <ns0:c r="S956" s="245"/>
      <ns0:c r="T956" s="245"/>
      <ns0:c r="U956" s="245"/>
      <ns0:c r="V956" s="245"/>
      <ns0:c r="W956" s="245"/>
      <ns0:c r="X956" s="245"/>
      <ns0:c r="Y956" s="245"/>
      <ns0:c r="Z956" s="245"/>
    </ns0:row>
    <ns0:row r="957">
      <ns0:c r="A957" s="245"/>
      <ns0:c r="B957" s="245"/>
      <ns0:c r="C957" s="245"/>
      <ns0:c r="D957" s="245"/>
      <ns0:c r="E957" s="245"/>
      <ns0:c r="F957" s="245"/>
      <ns0:c r="G957" s="245"/>
      <ns0:c r="H957" s="245"/>
      <ns0:c r="I957" s="245"/>
      <ns0:c r="J957" s="245"/>
      <ns0:c r="K957" s="245"/>
      <ns0:c r="L957" s="245"/>
      <ns0:c r="M957" s="245"/>
      <ns0:c r="N957" s="245"/>
      <ns0:c r="O957" s="245"/>
      <ns0:c r="P957" s="245"/>
      <ns0:c r="Q957" s="245"/>
      <ns0:c r="R957" s="245"/>
      <ns0:c r="S957" s="245"/>
      <ns0:c r="T957" s="245"/>
      <ns0:c r="U957" s="245"/>
      <ns0:c r="V957" s="245"/>
      <ns0:c r="W957" s="245"/>
      <ns0:c r="X957" s="245"/>
      <ns0:c r="Y957" s="245"/>
      <ns0:c r="Z957" s="245"/>
    </ns0:row>
    <ns0:row r="958">
      <ns0:c r="A958" s="245"/>
      <ns0:c r="B958" s="245"/>
      <ns0:c r="C958" s="245"/>
      <ns0:c r="D958" s="245"/>
      <ns0:c r="E958" s="245"/>
      <ns0:c r="F958" s="245"/>
      <ns0:c r="G958" s="245"/>
      <ns0:c r="H958" s="245"/>
      <ns0:c r="I958" s="245"/>
      <ns0:c r="J958" s="245"/>
      <ns0:c r="K958" s="245"/>
      <ns0:c r="L958" s="245"/>
      <ns0:c r="M958" s="245"/>
      <ns0:c r="N958" s="245"/>
      <ns0:c r="O958" s="245"/>
      <ns0:c r="P958" s="245"/>
      <ns0:c r="Q958" s="245"/>
      <ns0:c r="R958" s="245"/>
      <ns0:c r="S958" s="245"/>
      <ns0:c r="T958" s="245"/>
      <ns0:c r="U958" s="245"/>
      <ns0:c r="V958" s="245"/>
      <ns0:c r="W958" s="245"/>
      <ns0:c r="X958" s="245"/>
      <ns0:c r="Y958" s="245"/>
      <ns0:c r="Z958" s="245"/>
    </ns0:row>
    <ns0:row r="959">
      <ns0:c r="A959" s="245"/>
      <ns0:c r="B959" s="245"/>
      <ns0:c r="C959" s="245"/>
      <ns0:c r="D959" s="245"/>
      <ns0:c r="E959" s="245"/>
      <ns0:c r="F959" s="245"/>
      <ns0:c r="G959" s="245"/>
      <ns0:c r="H959" s="245"/>
      <ns0:c r="I959" s="245"/>
      <ns0:c r="J959" s="245"/>
      <ns0:c r="K959" s="245"/>
      <ns0:c r="L959" s="245"/>
      <ns0:c r="M959" s="245"/>
      <ns0:c r="N959" s="245"/>
      <ns0:c r="O959" s="245"/>
      <ns0:c r="P959" s="245"/>
      <ns0:c r="Q959" s="245"/>
      <ns0:c r="R959" s="245"/>
      <ns0:c r="S959" s="245"/>
      <ns0:c r="T959" s="245"/>
      <ns0:c r="U959" s="245"/>
      <ns0:c r="V959" s="245"/>
      <ns0:c r="W959" s="245"/>
      <ns0:c r="X959" s="245"/>
      <ns0:c r="Y959" s="245"/>
      <ns0:c r="Z959" s="245"/>
    </ns0:row>
    <ns0:row r="960">
      <ns0:c r="A960" s="245"/>
      <ns0:c r="B960" s="245"/>
      <ns0:c r="C960" s="245"/>
      <ns0:c r="D960" s="245"/>
      <ns0:c r="E960" s="245"/>
      <ns0:c r="F960" s="245"/>
      <ns0:c r="G960" s="245"/>
      <ns0:c r="H960" s="245"/>
      <ns0:c r="I960" s="245"/>
      <ns0:c r="J960" s="245"/>
      <ns0:c r="K960" s="245"/>
      <ns0:c r="L960" s="245"/>
      <ns0:c r="M960" s="245"/>
      <ns0:c r="N960" s="245"/>
      <ns0:c r="O960" s="245"/>
      <ns0:c r="P960" s="245"/>
      <ns0:c r="Q960" s="245"/>
      <ns0:c r="R960" s="245"/>
      <ns0:c r="S960" s="245"/>
      <ns0:c r="T960" s="245"/>
      <ns0:c r="U960" s="245"/>
      <ns0:c r="V960" s="245"/>
      <ns0:c r="W960" s="245"/>
      <ns0:c r="X960" s="245"/>
      <ns0:c r="Y960" s="245"/>
      <ns0:c r="Z960" s="245"/>
    </ns0:row>
    <ns0:row r="961">
      <ns0:c r="A961" s="245"/>
      <ns0:c r="B961" s="245"/>
      <ns0:c r="C961" s="245"/>
      <ns0:c r="D961" s="245"/>
      <ns0:c r="E961" s="245"/>
      <ns0:c r="F961" s="245"/>
      <ns0:c r="G961" s="245"/>
      <ns0:c r="H961" s="245"/>
      <ns0:c r="I961" s="245"/>
      <ns0:c r="J961" s="245"/>
      <ns0:c r="K961" s="245"/>
      <ns0:c r="L961" s="245"/>
      <ns0:c r="M961" s="245"/>
      <ns0:c r="N961" s="245"/>
      <ns0:c r="O961" s="245"/>
      <ns0:c r="P961" s="245"/>
      <ns0:c r="Q961" s="245"/>
      <ns0:c r="R961" s="245"/>
      <ns0:c r="S961" s="245"/>
      <ns0:c r="T961" s="245"/>
      <ns0:c r="U961" s="245"/>
      <ns0:c r="V961" s="245"/>
      <ns0:c r="W961" s="245"/>
      <ns0:c r="X961" s="245"/>
      <ns0:c r="Y961" s="245"/>
      <ns0:c r="Z961" s="245"/>
    </ns0:row>
    <ns0:row r="962">
      <ns0:c r="A962" s="245"/>
      <ns0:c r="B962" s="245"/>
      <ns0:c r="C962" s="245"/>
      <ns0:c r="D962" s="245"/>
      <ns0:c r="E962" s="245"/>
      <ns0:c r="F962" s="245"/>
      <ns0:c r="G962" s="245"/>
      <ns0:c r="H962" s="245"/>
      <ns0:c r="I962" s="245"/>
      <ns0:c r="J962" s="245"/>
      <ns0:c r="K962" s="245"/>
      <ns0:c r="L962" s="245"/>
      <ns0:c r="M962" s="245"/>
      <ns0:c r="N962" s="245"/>
      <ns0:c r="O962" s="245"/>
      <ns0:c r="P962" s="245"/>
      <ns0:c r="Q962" s="245"/>
      <ns0:c r="R962" s="245"/>
      <ns0:c r="S962" s="245"/>
      <ns0:c r="T962" s="245"/>
      <ns0:c r="U962" s="245"/>
      <ns0:c r="V962" s="245"/>
      <ns0:c r="W962" s="245"/>
      <ns0:c r="X962" s="245"/>
      <ns0:c r="Y962" s="245"/>
      <ns0:c r="Z962" s="245"/>
    </ns0:row>
    <ns0:row r="963">
      <ns0:c r="A963" s="245"/>
      <ns0:c r="B963" s="245"/>
      <ns0:c r="C963" s="245"/>
      <ns0:c r="D963" s="245"/>
      <ns0:c r="E963" s="245"/>
      <ns0:c r="F963" s="245"/>
      <ns0:c r="G963" s="245"/>
      <ns0:c r="H963" s="245"/>
      <ns0:c r="I963" s="245"/>
      <ns0:c r="J963" s="245"/>
      <ns0:c r="K963" s="245"/>
      <ns0:c r="L963" s="245"/>
      <ns0:c r="M963" s="245"/>
      <ns0:c r="N963" s="245"/>
      <ns0:c r="O963" s="245"/>
      <ns0:c r="P963" s="245"/>
      <ns0:c r="Q963" s="245"/>
      <ns0:c r="R963" s="245"/>
      <ns0:c r="S963" s="245"/>
      <ns0:c r="T963" s="245"/>
      <ns0:c r="U963" s="245"/>
      <ns0:c r="V963" s="245"/>
      <ns0:c r="W963" s="245"/>
      <ns0:c r="X963" s="245"/>
      <ns0:c r="Y963" s="245"/>
      <ns0:c r="Z963" s="245"/>
    </ns0:row>
    <ns0:row r="964">
      <ns0:c r="A964" s="245"/>
      <ns0:c r="B964" s="245"/>
      <ns0:c r="C964" s="245"/>
      <ns0:c r="D964" s="245"/>
      <ns0:c r="E964" s="245"/>
      <ns0:c r="F964" s="245"/>
      <ns0:c r="G964" s="245"/>
      <ns0:c r="H964" s="245"/>
      <ns0:c r="I964" s="245"/>
      <ns0:c r="J964" s="245"/>
      <ns0:c r="K964" s="245"/>
      <ns0:c r="L964" s="245"/>
      <ns0:c r="M964" s="245"/>
      <ns0:c r="N964" s="245"/>
      <ns0:c r="O964" s="245"/>
      <ns0:c r="P964" s="245"/>
      <ns0:c r="Q964" s="245"/>
      <ns0:c r="R964" s="245"/>
      <ns0:c r="S964" s="245"/>
      <ns0:c r="T964" s="245"/>
      <ns0:c r="U964" s="245"/>
      <ns0:c r="V964" s="245"/>
      <ns0:c r="W964" s="245"/>
      <ns0:c r="X964" s="245"/>
      <ns0:c r="Y964" s="245"/>
      <ns0:c r="Z964" s="245"/>
    </ns0:row>
    <ns0:row r="965">
      <ns0:c r="A965" s="245"/>
      <ns0:c r="B965" s="245"/>
      <ns0:c r="C965" s="245"/>
      <ns0:c r="D965" s="245"/>
      <ns0:c r="E965" s="245"/>
      <ns0:c r="F965" s="245"/>
      <ns0:c r="G965" s="245"/>
      <ns0:c r="H965" s="245"/>
      <ns0:c r="I965" s="245"/>
      <ns0:c r="J965" s="245"/>
      <ns0:c r="K965" s="245"/>
      <ns0:c r="L965" s="245"/>
      <ns0:c r="M965" s="245"/>
      <ns0:c r="N965" s="245"/>
      <ns0:c r="O965" s="245"/>
      <ns0:c r="P965" s="245"/>
      <ns0:c r="Q965" s="245"/>
      <ns0:c r="R965" s="245"/>
      <ns0:c r="S965" s="245"/>
      <ns0:c r="T965" s="245"/>
      <ns0:c r="U965" s="245"/>
      <ns0:c r="V965" s="245"/>
      <ns0:c r="W965" s="245"/>
      <ns0:c r="X965" s="245"/>
      <ns0:c r="Y965" s="245"/>
      <ns0:c r="Z965" s="245"/>
    </ns0:row>
    <ns0:row r="966">
      <ns0:c r="A966" s="245"/>
      <ns0:c r="B966" s="245"/>
      <ns0:c r="C966" s="245"/>
      <ns0:c r="D966" s="245"/>
      <ns0:c r="E966" s="245"/>
      <ns0:c r="F966" s="245"/>
      <ns0:c r="G966" s="245"/>
      <ns0:c r="H966" s="245"/>
      <ns0:c r="I966" s="245"/>
      <ns0:c r="J966" s="245"/>
      <ns0:c r="K966" s="245"/>
      <ns0:c r="L966" s="245"/>
      <ns0:c r="M966" s="245"/>
      <ns0:c r="N966" s="245"/>
      <ns0:c r="O966" s="245"/>
      <ns0:c r="P966" s="245"/>
      <ns0:c r="Q966" s="245"/>
      <ns0:c r="R966" s="245"/>
      <ns0:c r="S966" s="245"/>
      <ns0:c r="T966" s="245"/>
      <ns0:c r="U966" s="245"/>
      <ns0:c r="V966" s="245"/>
      <ns0:c r="W966" s="245"/>
      <ns0:c r="X966" s="245"/>
      <ns0:c r="Y966" s="245"/>
      <ns0:c r="Z966" s="245"/>
    </ns0:row>
    <ns0:row r="967">
      <ns0:c r="A967" s="245"/>
      <ns0:c r="B967" s="245"/>
      <ns0:c r="C967" s="245"/>
      <ns0:c r="D967" s="245"/>
      <ns0:c r="E967" s="245"/>
      <ns0:c r="F967" s="245"/>
      <ns0:c r="G967" s="245"/>
      <ns0:c r="H967" s="245"/>
      <ns0:c r="I967" s="245"/>
      <ns0:c r="J967" s="245"/>
      <ns0:c r="K967" s="245"/>
      <ns0:c r="L967" s="245"/>
      <ns0:c r="M967" s="245"/>
      <ns0:c r="N967" s="245"/>
      <ns0:c r="O967" s="245"/>
      <ns0:c r="P967" s="245"/>
      <ns0:c r="Q967" s="245"/>
      <ns0:c r="R967" s="245"/>
      <ns0:c r="S967" s="245"/>
      <ns0:c r="T967" s="245"/>
      <ns0:c r="U967" s="245"/>
      <ns0:c r="V967" s="245"/>
      <ns0:c r="W967" s="245"/>
      <ns0:c r="X967" s="245"/>
      <ns0:c r="Y967" s="245"/>
      <ns0:c r="Z967" s="245"/>
    </ns0:row>
    <ns0:row r="968">
      <ns0:c r="A968" s="245"/>
      <ns0:c r="B968" s="245"/>
      <ns0:c r="C968" s="245"/>
      <ns0:c r="D968" s="245"/>
      <ns0:c r="E968" s="245"/>
      <ns0:c r="F968" s="245"/>
      <ns0:c r="G968" s="245"/>
      <ns0:c r="H968" s="245"/>
      <ns0:c r="I968" s="245"/>
      <ns0:c r="J968" s="245"/>
      <ns0:c r="K968" s="245"/>
      <ns0:c r="L968" s="245"/>
      <ns0:c r="M968" s="245"/>
      <ns0:c r="N968" s="245"/>
      <ns0:c r="O968" s="245"/>
      <ns0:c r="P968" s="245"/>
      <ns0:c r="Q968" s="245"/>
      <ns0:c r="R968" s="245"/>
      <ns0:c r="S968" s="245"/>
      <ns0:c r="T968" s="245"/>
      <ns0:c r="U968" s="245"/>
      <ns0:c r="V968" s="245"/>
      <ns0:c r="W968" s="245"/>
      <ns0:c r="X968" s="245"/>
      <ns0:c r="Y968" s="245"/>
      <ns0:c r="Z968" s="245"/>
    </ns0:row>
    <ns0:row r="969">
      <ns0:c r="A969" s="245"/>
      <ns0:c r="B969" s="245"/>
      <ns0:c r="C969" s="245"/>
      <ns0:c r="D969" s="245"/>
      <ns0:c r="E969" s="245"/>
      <ns0:c r="F969" s="245"/>
      <ns0:c r="G969" s="245"/>
      <ns0:c r="H969" s="245"/>
      <ns0:c r="I969" s="245"/>
      <ns0:c r="J969" s="245"/>
      <ns0:c r="K969" s="245"/>
      <ns0:c r="L969" s="245"/>
      <ns0:c r="M969" s="245"/>
      <ns0:c r="N969" s="245"/>
      <ns0:c r="O969" s="245"/>
      <ns0:c r="P969" s="245"/>
      <ns0:c r="Q969" s="245"/>
      <ns0:c r="R969" s="245"/>
      <ns0:c r="S969" s="245"/>
      <ns0:c r="T969" s="245"/>
      <ns0:c r="U969" s="245"/>
      <ns0:c r="V969" s="245"/>
      <ns0:c r="W969" s="245"/>
      <ns0:c r="X969" s="245"/>
      <ns0:c r="Y969" s="245"/>
      <ns0:c r="Z969" s="245"/>
    </ns0:row>
    <ns0:row r="970">
      <ns0:c r="A970" s="245"/>
      <ns0:c r="B970" s="245"/>
      <ns0:c r="C970" s="245"/>
      <ns0:c r="D970" s="245"/>
      <ns0:c r="E970" s="245"/>
      <ns0:c r="F970" s="245"/>
      <ns0:c r="G970" s="245"/>
      <ns0:c r="H970" s="245"/>
      <ns0:c r="I970" s="245"/>
      <ns0:c r="J970" s="245"/>
      <ns0:c r="K970" s="245"/>
      <ns0:c r="L970" s="245"/>
      <ns0:c r="M970" s="245"/>
      <ns0:c r="N970" s="245"/>
      <ns0:c r="O970" s="245"/>
      <ns0:c r="P970" s="245"/>
      <ns0:c r="Q970" s="245"/>
      <ns0:c r="R970" s="245"/>
      <ns0:c r="S970" s="245"/>
      <ns0:c r="T970" s="245"/>
      <ns0:c r="U970" s="245"/>
      <ns0:c r="V970" s="245"/>
      <ns0:c r="W970" s="245"/>
      <ns0:c r="X970" s="245"/>
      <ns0:c r="Y970" s="245"/>
      <ns0:c r="Z970" s="245"/>
    </ns0:row>
    <ns0:row r="971">
      <ns0:c r="A971" s="245"/>
      <ns0:c r="B971" s="245"/>
      <ns0:c r="C971" s="245"/>
      <ns0:c r="D971" s="245"/>
      <ns0:c r="E971" s="245"/>
      <ns0:c r="F971" s="245"/>
      <ns0:c r="G971" s="245"/>
      <ns0:c r="H971" s="245"/>
      <ns0:c r="I971" s="245"/>
      <ns0:c r="J971" s="245"/>
      <ns0:c r="K971" s="245"/>
      <ns0:c r="L971" s="245"/>
      <ns0:c r="M971" s="245"/>
      <ns0:c r="N971" s="245"/>
      <ns0:c r="O971" s="245"/>
      <ns0:c r="P971" s="245"/>
      <ns0:c r="Q971" s="245"/>
      <ns0:c r="R971" s="245"/>
      <ns0:c r="S971" s="245"/>
      <ns0:c r="T971" s="245"/>
      <ns0:c r="U971" s="245"/>
      <ns0:c r="V971" s="245"/>
      <ns0:c r="W971" s="245"/>
      <ns0:c r="X971" s="245"/>
      <ns0:c r="Y971" s="245"/>
      <ns0:c r="Z971" s="245"/>
    </ns0:row>
    <ns0:row r="972">
      <ns0:c r="A972" s="245"/>
      <ns0:c r="B972" s="245"/>
      <ns0:c r="C972" s="245"/>
      <ns0:c r="D972" s="245"/>
      <ns0:c r="E972" s="245"/>
      <ns0:c r="F972" s="245"/>
      <ns0:c r="G972" s="245"/>
      <ns0:c r="H972" s="245"/>
      <ns0:c r="I972" s="245"/>
      <ns0:c r="J972" s="245"/>
      <ns0:c r="K972" s="245"/>
      <ns0:c r="L972" s="245"/>
      <ns0:c r="M972" s="245"/>
      <ns0:c r="N972" s="245"/>
      <ns0:c r="O972" s="245"/>
      <ns0:c r="P972" s="245"/>
      <ns0:c r="Q972" s="245"/>
      <ns0:c r="R972" s="245"/>
      <ns0:c r="S972" s="245"/>
      <ns0:c r="T972" s="245"/>
      <ns0:c r="U972" s="245"/>
      <ns0:c r="V972" s="245"/>
      <ns0:c r="W972" s="245"/>
      <ns0:c r="X972" s="245"/>
      <ns0:c r="Y972" s="245"/>
      <ns0:c r="Z972" s="245"/>
    </ns0:row>
    <ns0:row r="973">
      <ns0:c r="A973" s="245"/>
      <ns0:c r="B973" s="245"/>
      <ns0:c r="C973" s="245"/>
      <ns0:c r="D973" s="245"/>
      <ns0:c r="E973" s="245"/>
      <ns0:c r="F973" s="245"/>
      <ns0:c r="G973" s="245"/>
      <ns0:c r="H973" s="245"/>
      <ns0:c r="I973" s="245"/>
      <ns0:c r="J973" s="245"/>
      <ns0:c r="K973" s="245"/>
      <ns0:c r="L973" s="245"/>
      <ns0:c r="M973" s="245"/>
      <ns0:c r="N973" s="245"/>
      <ns0:c r="O973" s="245"/>
      <ns0:c r="P973" s="245"/>
      <ns0:c r="Q973" s="245"/>
      <ns0:c r="R973" s="245"/>
      <ns0:c r="S973" s="245"/>
      <ns0:c r="T973" s="245"/>
      <ns0:c r="U973" s="245"/>
      <ns0:c r="V973" s="245"/>
      <ns0:c r="W973" s="245"/>
      <ns0:c r="X973" s="245"/>
      <ns0:c r="Y973" s="245"/>
      <ns0:c r="Z973" s="245"/>
    </ns0:row>
    <ns0:row r="974">
      <ns0:c r="A974" s="245"/>
      <ns0:c r="B974" s="245"/>
      <ns0:c r="C974" s="245"/>
      <ns0:c r="D974" s="245"/>
      <ns0:c r="E974" s="245"/>
      <ns0:c r="F974" s="245"/>
      <ns0:c r="G974" s="245"/>
      <ns0:c r="H974" s="245"/>
      <ns0:c r="I974" s="245"/>
      <ns0:c r="J974" s="245"/>
      <ns0:c r="K974" s="245"/>
      <ns0:c r="L974" s="245"/>
      <ns0:c r="M974" s="245"/>
      <ns0:c r="N974" s="245"/>
      <ns0:c r="O974" s="245"/>
      <ns0:c r="P974" s="245"/>
      <ns0:c r="Q974" s="245"/>
      <ns0:c r="R974" s="245"/>
      <ns0:c r="S974" s="245"/>
      <ns0:c r="T974" s="245"/>
      <ns0:c r="U974" s="245"/>
      <ns0:c r="V974" s="245"/>
      <ns0:c r="W974" s="245"/>
      <ns0:c r="X974" s="245"/>
      <ns0:c r="Y974" s="245"/>
      <ns0:c r="Z974" s="245"/>
    </ns0:row>
    <ns0:row r="975">
      <ns0:c r="A975" s="245"/>
      <ns0:c r="B975" s="245"/>
      <ns0:c r="C975" s="245"/>
      <ns0:c r="D975" s="245"/>
      <ns0:c r="E975" s="245"/>
      <ns0:c r="F975" s="245"/>
      <ns0:c r="G975" s="245"/>
      <ns0:c r="H975" s="245"/>
      <ns0:c r="I975" s="245"/>
      <ns0:c r="J975" s="245"/>
      <ns0:c r="K975" s="245"/>
      <ns0:c r="L975" s="245"/>
      <ns0:c r="M975" s="245"/>
      <ns0:c r="N975" s="245"/>
      <ns0:c r="O975" s="245"/>
      <ns0:c r="P975" s="245"/>
      <ns0:c r="Q975" s="245"/>
      <ns0:c r="R975" s="245"/>
      <ns0:c r="S975" s="245"/>
      <ns0:c r="T975" s="245"/>
      <ns0:c r="U975" s="245"/>
      <ns0:c r="V975" s="245"/>
      <ns0:c r="W975" s="245"/>
      <ns0:c r="X975" s="245"/>
      <ns0:c r="Y975" s="245"/>
      <ns0:c r="Z975" s="245"/>
    </ns0:row>
    <ns0:row r="976">
      <ns0:c r="A976" s="245"/>
      <ns0:c r="B976" s="245"/>
      <ns0:c r="C976" s="245"/>
      <ns0:c r="D976" s="245"/>
      <ns0:c r="E976" s="245"/>
      <ns0:c r="F976" s="245"/>
      <ns0:c r="G976" s="245"/>
      <ns0:c r="H976" s="245"/>
      <ns0:c r="I976" s="245"/>
      <ns0:c r="J976" s="245"/>
      <ns0:c r="K976" s="245"/>
      <ns0:c r="L976" s="245"/>
      <ns0:c r="M976" s="245"/>
      <ns0:c r="N976" s="245"/>
      <ns0:c r="O976" s="245"/>
      <ns0:c r="P976" s="245"/>
      <ns0:c r="Q976" s="245"/>
      <ns0:c r="R976" s="245"/>
      <ns0:c r="S976" s="245"/>
      <ns0:c r="T976" s="245"/>
      <ns0:c r="U976" s="245"/>
      <ns0:c r="V976" s="245"/>
      <ns0:c r="W976" s="245"/>
      <ns0:c r="X976" s="245"/>
      <ns0:c r="Y976" s="245"/>
      <ns0:c r="Z976" s="245"/>
    </ns0:row>
    <ns0:row r="977">
      <ns0:c r="A977" s="245"/>
      <ns0:c r="B977" s="245"/>
      <ns0:c r="C977" s="245"/>
      <ns0:c r="D977" s="245"/>
      <ns0:c r="E977" s="245"/>
      <ns0:c r="F977" s="245"/>
      <ns0:c r="G977" s="245"/>
      <ns0:c r="H977" s="245"/>
      <ns0:c r="I977" s="245"/>
      <ns0:c r="J977" s="245"/>
      <ns0:c r="K977" s="245"/>
      <ns0:c r="L977" s="245"/>
      <ns0:c r="M977" s="245"/>
      <ns0:c r="N977" s="245"/>
      <ns0:c r="O977" s="245"/>
      <ns0:c r="P977" s="245"/>
      <ns0:c r="Q977" s="245"/>
      <ns0:c r="R977" s="245"/>
      <ns0:c r="S977" s="245"/>
      <ns0:c r="T977" s="245"/>
      <ns0:c r="U977" s="245"/>
      <ns0:c r="V977" s="245"/>
      <ns0:c r="W977" s="245"/>
      <ns0:c r="X977" s="245"/>
      <ns0:c r="Y977" s="245"/>
      <ns0:c r="Z977" s="245"/>
    </ns0:row>
    <ns0:row r="978">
      <ns0:c r="A978" s="245"/>
      <ns0:c r="B978" s="245"/>
      <ns0:c r="C978" s="245"/>
      <ns0:c r="D978" s="245"/>
      <ns0:c r="E978" s="245"/>
      <ns0:c r="F978" s="245"/>
      <ns0:c r="G978" s="245"/>
      <ns0:c r="H978" s="245"/>
      <ns0:c r="I978" s="245"/>
      <ns0:c r="J978" s="245"/>
      <ns0:c r="K978" s="245"/>
      <ns0:c r="L978" s="245"/>
      <ns0:c r="M978" s="245"/>
      <ns0:c r="N978" s="245"/>
      <ns0:c r="O978" s="245"/>
      <ns0:c r="P978" s="245"/>
      <ns0:c r="Q978" s="245"/>
      <ns0:c r="R978" s="245"/>
      <ns0:c r="S978" s="245"/>
      <ns0:c r="T978" s="245"/>
      <ns0:c r="U978" s="245"/>
      <ns0:c r="V978" s="245"/>
      <ns0:c r="W978" s="245"/>
      <ns0:c r="X978" s="245"/>
      <ns0:c r="Y978" s="245"/>
      <ns0:c r="Z978" s="245"/>
    </ns0:row>
    <ns0:row r="979">
      <ns0:c r="A979" s="245"/>
      <ns0:c r="B979" s="245"/>
      <ns0:c r="C979" s="245"/>
      <ns0:c r="D979" s="245"/>
      <ns0:c r="E979" s="245"/>
      <ns0:c r="F979" s="245"/>
      <ns0:c r="G979" s="245"/>
      <ns0:c r="H979" s="245"/>
      <ns0:c r="I979" s="245"/>
      <ns0:c r="J979" s="245"/>
      <ns0:c r="K979" s="245"/>
      <ns0:c r="L979" s="245"/>
      <ns0:c r="M979" s="245"/>
      <ns0:c r="N979" s="245"/>
      <ns0:c r="O979" s="245"/>
      <ns0:c r="P979" s="245"/>
      <ns0:c r="Q979" s="245"/>
      <ns0:c r="R979" s="245"/>
      <ns0:c r="S979" s="245"/>
      <ns0:c r="T979" s="245"/>
      <ns0:c r="U979" s="245"/>
      <ns0:c r="V979" s="245"/>
      <ns0:c r="W979" s="245"/>
      <ns0:c r="X979" s="245"/>
      <ns0:c r="Y979" s="245"/>
      <ns0:c r="Z979" s="245"/>
    </ns0:row>
    <ns0:row r="980">
      <ns0:c r="A980" s="245"/>
      <ns0:c r="B980" s="245"/>
      <ns0:c r="C980" s="245"/>
      <ns0:c r="D980" s="245"/>
      <ns0:c r="E980" s="245"/>
      <ns0:c r="F980" s="245"/>
      <ns0:c r="G980" s="245"/>
      <ns0:c r="H980" s="245"/>
      <ns0:c r="I980" s="245"/>
      <ns0:c r="J980" s="245"/>
      <ns0:c r="K980" s="245"/>
      <ns0:c r="L980" s="245"/>
      <ns0:c r="M980" s="245"/>
      <ns0:c r="N980" s="245"/>
      <ns0:c r="O980" s="245"/>
      <ns0:c r="P980" s="245"/>
      <ns0:c r="Q980" s="245"/>
      <ns0:c r="R980" s="245"/>
      <ns0:c r="S980" s="245"/>
      <ns0:c r="T980" s="245"/>
      <ns0:c r="U980" s="245"/>
      <ns0:c r="V980" s="245"/>
      <ns0:c r="W980" s="245"/>
      <ns0:c r="X980" s="245"/>
      <ns0:c r="Y980" s="245"/>
      <ns0:c r="Z980" s="245"/>
    </ns0:row>
    <ns0:row r="981">
      <ns0:c r="A981" s="245"/>
      <ns0:c r="B981" s="245"/>
      <ns0:c r="C981" s="245"/>
      <ns0:c r="D981" s="245"/>
      <ns0:c r="E981" s="245"/>
      <ns0:c r="F981" s="245"/>
      <ns0:c r="G981" s="245"/>
      <ns0:c r="H981" s="245"/>
      <ns0:c r="I981" s="245"/>
      <ns0:c r="J981" s="245"/>
      <ns0:c r="K981" s="245"/>
      <ns0:c r="L981" s="245"/>
      <ns0:c r="M981" s="245"/>
      <ns0:c r="N981" s="245"/>
      <ns0:c r="O981" s="245"/>
      <ns0:c r="P981" s="245"/>
      <ns0:c r="Q981" s="245"/>
      <ns0:c r="R981" s="245"/>
      <ns0:c r="S981" s="245"/>
      <ns0:c r="T981" s="245"/>
      <ns0:c r="U981" s="245"/>
      <ns0:c r="V981" s="245"/>
      <ns0:c r="W981" s="245"/>
      <ns0:c r="X981" s="245"/>
      <ns0:c r="Y981" s="245"/>
      <ns0:c r="Z981" s="245"/>
    </ns0:row>
    <ns0:row r="982">
      <ns0:c r="A982" s="245"/>
      <ns0:c r="B982" s="245"/>
      <ns0:c r="C982" s="245"/>
      <ns0:c r="D982" s="245"/>
      <ns0:c r="E982" s="245"/>
      <ns0:c r="F982" s="245"/>
      <ns0:c r="G982" s="245"/>
      <ns0:c r="H982" s="245"/>
      <ns0:c r="I982" s="245"/>
      <ns0:c r="J982" s="245"/>
      <ns0:c r="K982" s="245"/>
      <ns0:c r="L982" s="245"/>
      <ns0:c r="M982" s="245"/>
      <ns0:c r="N982" s="245"/>
      <ns0:c r="O982" s="245"/>
      <ns0:c r="P982" s="245"/>
      <ns0:c r="Q982" s="245"/>
      <ns0:c r="R982" s="245"/>
      <ns0:c r="S982" s="245"/>
      <ns0:c r="T982" s="245"/>
      <ns0:c r="U982" s="245"/>
      <ns0:c r="V982" s="245"/>
      <ns0:c r="W982" s="245"/>
      <ns0:c r="X982" s="245"/>
      <ns0:c r="Y982" s="245"/>
      <ns0:c r="Z982" s="245"/>
    </ns0:row>
    <ns0:row r="983">
      <ns0:c r="A983" s="245"/>
      <ns0:c r="B983" s="245"/>
      <ns0:c r="C983" s="245"/>
      <ns0:c r="D983" s="245"/>
      <ns0:c r="E983" s="245"/>
      <ns0:c r="F983" s="245"/>
      <ns0:c r="G983" s="245"/>
      <ns0:c r="H983" s="245"/>
      <ns0:c r="I983" s="245"/>
      <ns0:c r="J983" s="245"/>
      <ns0:c r="K983" s="245"/>
      <ns0:c r="L983" s="245"/>
      <ns0:c r="M983" s="245"/>
      <ns0:c r="N983" s="245"/>
      <ns0:c r="O983" s="245"/>
      <ns0:c r="P983" s="245"/>
      <ns0:c r="Q983" s="245"/>
      <ns0:c r="R983" s="245"/>
      <ns0:c r="S983" s="245"/>
      <ns0:c r="T983" s="245"/>
      <ns0:c r="U983" s="245"/>
      <ns0:c r="V983" s="245"/>
      <ns0:c r="W983" s="245"/>
      <ns0:c r="X983" s="245"/>
      <ns0:c r="Y983" s="245"/>
      <ns0:c r="Z983" s="245"/>
    </ns0:row>
    <ns0:row r="984">
      <ns0:c r="A984" s="245"/>
      <ns0:c r="B984" s="245"/>
      <ns0:c r="C984" s="245"/>
      <ns0:c r="D984" s="245"/>
      <ns0:c r="E984" s="245"/>
      <ns0:c r="F984" s="245"/>
      <ns0:c r="G984" s="245"/>
      <ns0:c r="H984" s="245"/>
      <ns0:c r="I984" s="245"/>
      <ns0:c r="J984" s="245"/>
      <ns0:c r="K984" s="245"/>
      <ns0:c r="L984" s="245"/>
      <ns0:c r="M984" s="245"/>
      <ns0:c r="N984" s="245"/>
      <ns0:c r="O984" s="245"/>
      <ns0:c r="P984" s="245"/>
      <ns0:c r="Q984" s="245"/>
      <ns0:c r="R984" s="245"/>
      <ns0:c r="S984" s="245"/>
      <ns0:c r="T984" s="245"/>
      <ns0:c r="U984" s="245"/>
      <ns0:c r="V984" s="245"/>
      <ns0:c r="W984" s="245"/>
      <ns0:c r="X984" s="245"/>
      <ns0:c r="Y984" s="245"/>
      <ns0:c r="Z984" s="245"/>
    </ns0:row>
    <ns0:row r="985">
      <ns0:c r="A985" s="245"/>
      <ns0:c r="B985" s="245"/>
      <ns0:c r="C985" s="245"/>
      <ns0:c r="D985" s="245"/>
      <ns0:c r="E985" s="245"/>
      <ns0:c r="F985" s="245"/>
      <ns0:c r="G985" s="245"/>
      <ns0:c r="H985" s="245"/>
      <ns0:c r="I985" s="245"/>
      <ns0:c r="J985" s="245"/>
      <ns0:c r="K985" s="245"/>
      <ns0:c r="L985" s="245"/>
      <ns0:c r="M985" s="245"/>
      <ns0:c r="N985" s="245"/>
      <ns0:c r="O985" s="245"/>
      <ns0:c r="P985" s="245"/>
      <ns0:c r="Q985" s="245"/>
      <ns0:c r="R985" s="245"/>
      <ns0:c r="S985" s="245"/>
      <ns0:c r="T985" s="245"/>
      <ns0:c r="U985" s="245"/>
      <ns0:c r="V985" s="245"/>
      <ns0:c r="W985" s="245"/>
      <ns0:c r="X985" s="245"/>
      <ns0:c r="Y985" s="245"/>
      <ns0:c r="Z985" s="245"/>
    </ns0:row>
    <ns0:row r="986">
      <ns0:c r="A986" s="245"/>
      <ns0:c r="B986" s="245"/>
      <ns0:c r="C986" s="245"/>
      <ns0:c r="D986" s="245"/>
      <ns0:c r="E986" s="245"/>
      <ns0:c r="F986" s="245"/>
      <ns0:c r="G986" s="245"/>
      <ns0:c r="H986" s="245"/>
      <ns0:c r="I986" s="245"/>
      <ns0:c r="J986" s="245"/>
      <ns0:c r="K986" s="245"/>
      <ns0:c r="L986" s="245"/>
      <ns0:c r="M986" s="245"/>
      <ns0:c r="N986" s="245"/>
      <ns0:c r="O986" s="245"/>
      <ns0:c r="P986" s="245"/>
      <ns0:c r="Q986" s="245"/>
      <ns0:c r="R986" s="245"/>
      <ns0:c r="S986" s="245"/>
      <ns0:c r="T986" s="245"/>
      <ns0:c r="U986" s="245"/>
      <ns0:c r="V986" s="245"/>
      <ns0:c r="W986" s="245"/>
      <ns0:c r="X986" s="245"/>
      <ns0:c r="Y986" s="245"/>
      <ns0:c r="Z986" s="245"/>
    </ns0:row>
    <ns0:row r="987">
      <ns0:c r="A987" s="245"/>
      <ns0:c r="B987" s="245"/>
      <ns0:c r="C987" s="245"/>
      <ns0:c r="D987" s="245"/>
      <ns0:c r="E987" s="245"/>
      <ns0:c r="F987" s="245"/>
      <ns0:c r="G987" s="245"/>
      <ns0:c r="H987" s="245"/>
      <ns0:c r="I987" s="245"/>
      <ns0:c r="J987" s="245"/>
      <ns0:c r="K987" s="245"/>
      <ns0:c r="L987" s="245"/>
      <ns0:c r="M987" s="245"/>
      <ns0:c r="N987" s="245"/>
      <ns0:c r="O987" s="245"/>
      <ns0:c r="P987" s="245"/>
      <ns0:c r="Q987" s="245"/>
      <ns0:c r="R987" s="245"/>
      <ns0:c r="S987" s="245"/>
      <ns0:c r="T987" s="245"/>
      <ns0:c r="U987" s="245"/>
      <ns0:c r="V987" s="245"/>
      <ns0:c r="W987" s="245"/>
      <ns0:c r="X987" s="245"/>
      <ns0:c r="Y987" s="245"/>
      <ns0:c r="Z987" s="245"/>
    </ns0:row>
    <ns0:row r="988">
      <ns0:c r="A988" s="245"/>
      <ns0:c r="B988" s="245"/>
      <ns0:c r="C988" s="245"/>
      <ns0:c r="D988" s="245"/>
      <ns0:c r="E988" s="245"/>
      <ns0:c r="F988" s="245"/>
      <ns0:c r="G988" s="245"/>
      <ns0:c r="H988" s="245"/>
      <ns0:c r="I988" s="245"/>
      <ns0:c r="J988" s="245"/>
      <ns0:c r="K988" s="245"/>
      <ns0:c r="L988" s="245"/>
      <ns0:c r="M988" s="245"/>
      <ns0:c r="N988" s="245"/>
      <ns0:c r="O988" s="245"/>
      <ns0:c r="P988" s="245"/>
      <ns0:c r="Q988" s="245"/>
      <ns0:c r="R988" s="245"/>
      <ns0:c r="S988" s="245"/>
      <ns0:c r="T988" s="245"/>
      <ns0:c r="U988" s="245"/>
      <ns0:c r="V988" s="245"/>
      <ns0:c r="W988" s="245"/>
      <ns0:c r="X988" s="245"/>
      <ns0:c r="Y988" s="245"/>
      <ns0:c r="Z988" s="245"/>
    </ns0:row>
    <ns0:row r="989">
      <ns0:c r="A989" s="245"/>
      <ns0:c r="B989" s="245"/>
      <ns0:c r="C989" s="245"/>
      <ns0:c r="D989" s="245"/>
      <ns0:c r="E989" s="245"/>
      <ns0:c r="F989" s="245"/>
      <ns0:c r="G989" s="245"/>
      <ns0:c r="H989" s="245"/>
      <ns0:c r="I989" s="245"/>
      <ns0:c r="J989" s="245"/>
      <ns0:c r="K989" s="245"/>
      <ns0:c r="L989" s="245"/>
      <ns0:c r="M989" s="245"/>
      <ns0:c r="N989" s="245"/>
      <ns0:c r="O989" s="245"/>
      <ns0:c r="P989" s="245"/>
      <ns0:c r="Q989" s="245"/>
      <ns0:c r="R989" s="245"/>
      <ns0:c r="S989" s="245"/>
      <ns0:c r="T989" s="245"/>
      <ns0:c r="U989" s="245"/>
      <ns0:c r="V989" s="245"/>
      <ns0:c r="W989" s="245"/>
      <ns0:c r="X989" s="245"/>
      <ns0:c r="Y989" s="245"/>
      <ns0:c r="Z989" s="245"/>
    </ns0:row>
    <ns0:row r="990">
      <ns0:c r="A990" s="245"/>
      <ns0:c r="B990" s="245"/>
      <ns0:c r="C990" s="245"/>
      <ns0:c r="D990" s="245"/>
      <ns0:c r="E990" s="245"/>
      <ns0:c r="F990" s="245"/>
      <ns0:c r="G990" s="245"/>
      <ns0:c r="H990" s="245"/>
      <ns0:c r="I990" s="245"/>
      <ns0:c r="J990" s="245"/>
      <ns0:c r="K990" s="245"/>
      <ns0:c r="L990" s="245"/>
      <ns0:c r="M990" s="245"/>
      <ns0:c r="N990" s="245"/>
      <ns0:c r="O990" s="245"/>
      <ns0:c r="P990" s="245"/>
      <ns0:c r="Q990" s="245"/>
      <ns0:c r="R990" s="245"/>
      <ns0:c r="S990" s="245"/>
      <ns0:c r="T990" s="245"/>
      <ns0:c r="U990" s="245"/>
      <ns0:c r="V990" s="245"/>
      <ns0:c r="W990" s="245"/>
      <ns0:c r="X990" s="245"/>
      <ns0:c r="Y990" s="245"/>
      <ns0:c r="Z990" s="245"/>
    </ns0:row>
    <ns0:row r="991">
      <ns0:c r="A991" s="245"/>
      <ns0:c r="B991" s="245"/>
      <ns0:c r="C991" s="245"/>
      <ns0:c r="D991" s="245"/>
      <ns0:c r="E991" s="245"/>
      <ns0:c r="F991" s="245"/>
      <ns0:c r="G991" s="245"/>
      <ns0:c r="H991" s="245"/>
      <ns0:c r="I991" s="245"/>
      <ns0:c r="J991" s="245"/>
      <ns0:c r="K991" s="245"/>
      <ns0:c r="L991" s="245"/>
      <ns0:c r="M991" s="245"/>
      <ns0:c r="N991" s="245"/>
      <ns0:c r="O991" s="245"/>
      <ns0:c r="P991" s="245"/>
      <ns0:c r="Q991" s="245"/>
      <ns0:c r="R991" s="245"/>
      <ns0:c r="S991" s="245"/>
      <ns0:c r="T991" s="245"/>
      <ns0:c r="U991" s="245"/>
      <ns0:c r="V991" s="245"/>
      <ns0:c r="W991" s="245"/>
      <ns0:c r="X991" s="245"/>
      <ns0:c r="Y991" s="245"/>
      <ns0:c r="Z991" s="245"/>
    </ns0:row>
    <ns0:row r="992">
      <ns0:c r="A992" s="245"/>
      <ns0:c r="B992" s="245"/>
      <ns0:c r="C992" s="245"/>
      <ns0:c r="D992" s="245"/>
      <ns0:c r="E992" s="245"/>
      <ns0:c r="F992" s="245"/>
      <ns0:c r="G992" s="245"/>
      <ns0:c r="H992" s="245"/>
      <ns0:c r="I992" s="245"/>
      <ns0:c r="J992" s="245"/>
      <ns0:c r="K992" s="245"/>
      <ns0:c r="L992" s="245"/>
      <ns0:c r="M992" s="245"/>
      <ns0:c r="N992" s="245"/>
      <ns0:c r="O992" s="245"/>
      <ns0:c r="P992" s="245"/>
      <ns0:c r="Q992" s="245"/>
      <ns0:c r="R992" s="245"/>
      <ns0:c r="S992" s="245"/>
      <ns0:c r="T992" s="245"/>
      <ns0:c r="U992" s="245"/>
      <ns0:c r="V992" s="245"/>
      <ns0:c r="W992" s="245"/>
      <ns0:c r="X992" s="245"/>
      <ns0:c r="Y992" s="245"/>
      <ns0:c r="Z992" s="245"/>
    </ns0:row>
    <ns0:row r="993">
      <ns0:c r="A993" s="245"/>
      <ns0:c r="B993" s="245"/>
      <ns0:c r="C993" s="245"/>
      <ns0:c r="D993" s="245"/>
      <ns0:c r="E993" s="245"/>
      <ns0:c r="F993" s="245"/>
      <ns0:c r="G993" s="245"/>
      <ns0:c r="H993" s="245"/>
      <ns0:c r="I993" s="245"/>
      <ns0:c r="J993" s="245"/>
      <ns0:c r="K993" s="245"/>
      <ns0:c r="L993" s="245"/>
      <ns0:c r="M993" s="245"/>
      <ns0:c r="N993" s="245"/>
      <ns0:c r="O993" s="245"/>
      <ns0:c r="P993" s="245"/>
      <ns0:c r="Q993" s="245"/>
      <ns0:c r="R993" s="245"/>
      <ns0:c r="S993" s="245"/>
      <ns0:c r="T993" s="245"/>
      <ns0:c r="U993" s="245"/>
      <ns0:c r="V993" s="245"/>
      <ns0:c r="W993" s="245"/>
      <ns0:c r="X993" s="245"/>
      <ns0:c r="Y993" s="245"/>
      <ns0:c r="Z993" s="245"/>
    </ns0:row>
    <ns0:row r="994">
      <ns0:c r="A994" s="245"/>
      <ns0:c r="B994" s="245"/>
      <ns0:c r="C994" s="245"/>
      <ns0:c r="D994" s="245"/>
      <ns0:c r="E994" s="245"/>
      <ns0:c r="F994" s="245"/>
      <ns0:c r="G994" s="245"/>
      <ns0:c r="H994" s="245"/>
      <ns0:c r="I994" s="245"/>
      <ns0:c r="J994" s="245"/>
      <ns0:c r="K994" s="245"/>
      <ns0:c r="L994" s="245"/>
      <ns0:c r="M994" s="245"/>
      <ns0:c r="N994" s="245"/>
      <ns0:c r="O994" s="245"/>
      <ns0:c r="P994" s="245"/>
      <ns0:c r="Q994" s="245"/>
      <ns0:c r="R994" s="245"/>
      <ns0:c r="S994" s="245"/>
      <ns0:c r="T994" s="245"/>
      <ns0:c r="U994" s="245"/>
      <ns0:c r="V994" s="245"/>
      <ns0:c r="W994" s="245"/>
      <ns0:c r="X994" s="245"/>
      <ns0:c r="Y994" s="245"/>
      <ns0:c r="Z994" s="245"/>
    </ns0:row>
    <ns0:row r="995">
      <ns0:c r="A995" s="245"/>
      <ns0:c r="B995" s="245"/>
      <ns0:c r="C995" s="245"/>
      <ns0:c r="D995" s="245"/>
      <ns0:c r="E995" s="245"/>
      <ns0:c r="F995" s="245"/>
      <ns0:c r="G995" s="245"/>
      <ns0:c r="H995" s="245"/>
      <ns0:c r="I995" s="245"/>
      <ns0:c r="J995" s="245"/>
      <ns0:c r="K995" s="245"/>
      <ns0:c r="L995" s="245"/>
      <ns0:c r="M995" s="245"/>
      <ns0:c r="N995" s="245"/>
      <ns0:c r="O995" s="245"/>
      <ns0:c r="P995" s="245"/>
      <ns0:c r="Q995" s="245"/>
      <ns0:c r="R995" s="245"/>
      <ns0:c r="S995" s="245"/>
      <ns0:c r="T995" s="245"/>
      <ns0:c r="U995" s="245"/>
      <ns0:c r="V995" s="245"/>
      <ns0:c r="W995" s="245"/>
      <ns0:c r="X995" s="245"/>
      <ns0:c r="Y995" s="245"/>
      <ns0:c r="Z995" s="245"/>
    </ns0:row>
    <ns0:row r="996">
      <ns0:c r="A996" s="245"/>
      <ns0:c r="B996" s="245"/>
      <ns0:c r="C996" s="245"/>
      <ns0:c r="D996" s="245"/>
      <ns0:c r="E996" s="245"/>
      <ns0:c r="F996" s="245"/>
      <ns0:c r="G996" s="245"/>
      <ns0:c r="H996" s="245"/>
      <ns0:c r="I996" s="245"/>
      <ns0:c r="J996" s="245"/>
      <ns0:c r="K996" s="245"/>
      <ns0:c r="L996" s="245"/>
      <ns0:c r="M996" s="245"/>
      <ns0:c r="N996" s="245"/>
      <ns0:c r="O996" s="245"/>
      <ns0:c r="P996" s="245"/>
      <ns0:c r="Q996" s="245"/>
      <ns0:c r="R996" s="245"/>
      <ns0:c r="S996" s="245"/>
      <ns0:c r="T996" s="245"/>
      <ns0:c r="U996" s="245"/>
      <ns0:c r="V996" s="245"/>
      <ns0:c r="W996" s="245"/>
      <ns0:c r="X996" s="245"/>
      <ns0:c r="Y996" s="245"/>
      <ns0:c r="Z996" s="245"/>
    </ns0:row>
    <ns0:row r="997">
      <ns0:c r="A997" s="245"/>
      <ns0:c r="B997" s="245"/>
      <ns0:c r="C997" s="245"/>
      <ns0:c r="D997" s="245"/>
      <ns0:c r="E997" s="245"/>
      <ns0:c r="F997" s="245"/>
      <ns0:c r="G997" s="245"/>
      <ns0:c r="H997" s="245"/>
      <ns0:c r="I997" s="245"/>
      <ns0:c r="J997" s="245"/>
      <ns0:c r="K997" s="245"/>
      <ns0:c r="L997" s="245"/>
      <ns0:c r="M997" s="245"/>
      <ns0:c r="N997" s="245"/>
      <ns0:c r="O997" s="245"/>
      <ns0:c r="P997" s="245"/>
      <ns0:c r="Q997" s="245"/>
      <ns0:c r="R997" s="245"/>
      <ns0:c r="S997" s="245"/>
      <ns0:c r="T997" s="245"/>
      <ns0:c r="U997" s="245"/>
      <ns0:c r="V997" s="245"/>
      <ns0:c r="W997" s="245"/>
      <ns0:c r="X997" s="245"/>
      <ns0:c r="Y997" s="245"/>
      <ns0:c r="Z997" s="245"/>
    </ns0:row>
    <ns0:row r="998">
      <ns0:c r="A998" s="245"/>
      <ns0:c r="B998" s="245"/>
      <ns0:c r="C998" s="245"/>
      <ns0:c r="D998" s="245"/>
      <ns0:c r="E998" s="245"/>
      <ns0:c r="F998" s="245"/>
      <ns0:c r="G998" s="245"/>
      <ns0:c r="H998" s="245"/>
      <ns0:c r="I998" s="245"/>
      <ns0:c r="J998" s="245"/>
      <ns0:c r="K998" s="245"/>
      <ns0:c r="L998" s="245"/>
      <ns0:c r="M998" s="245"/>
      <ns0:c r="N998" s="245"/>
      <ns0:c r="O998" s="245"/>
      <ns0:c r="P998" s="245"/>
      <ns0:c r="Q998" s="245"/>
      <ns0:c r="R998" s="245"/>
      <ns0:c r="S998" s="245"/>
      <ns0:c r="T998" s="245"/>
      <ns0:c r="U998" s="245"/>
      <ns0:c r="V998" s="245"/>
      <ns0:c r="W998" s="245"/>
      <ns0:c r="X998" s="245"/>
      <ns0:c r="Y998" s="245"/>
      <ns0:c r="Z998" s="245"/>
    </ns0:row>
    <ns0:row r="999">
      <ns0:c r="A999" s="245"/>
      <ns0:c r="B999" s="245"/>
      <ns0:c r="C999" s="245"/>
      <ns0:c r="D999" s="245"/>
      <ns0:c r="E999" s="245"/>
      <ns0:c r="F999" s="245"/>
      <ns0:c r="G999" s="245"/>
      <ns0:c r="H999" s="245"/>
      <ns0:c r="I999" s="245"/>
      <ns0:c r="J999" s="245"/>
      <ns0:c r="K999" s="245"/>
      <ns0:c r="L999" s="245"/>
      <ns0:c r="M999" s="245"/>
      <ns0:c r="N999" s="245"/>
      <ns0:c r="O999" s="245"/>
      <ns0:c r="P999" s="245"/>
      <ns0:c r="Q999" s="245"/>
      <ns0:c r="R999" s="245"/>
      <ns0:c r="S999" s="245"/>
      <ns0:c r="T999" s="245"/>
      <ns0:c r="U999" s="245"/>
      <ns0:c r="V999" s="245"/>
      <ns0:c r="W999" s="245"/>
      <ns0:c r="X999" s="245"/>
      <ns0:c r="Y999" s="245"/>
      <ns0:c r="Z999" s="245"/>
    </ns0:row>
    <ns0:row r="1000">
      <ns0:c r="A1000" s="245"/>
      <ns0:c r="B1000" s="245"/>
      <ns0:c r="C1000" s="245"/>
      <ns0:c r="D1000" s="245"/>
      <ns0:c r="E1000" s="245"/>
      <ns0:c r="F1000" s="245"/>
      <ns0:c r="G1000" s="245"/>
      <ns0:c r="H1000" s="245"/>
      <ns0:c r="I1000" s="245"/>
      <ns0:c r="J1000" s="245"/>
      <ns0:c r="K1000" s="245"/>
      <ns0:c r="L1000" s="245"/>
      <ns0:c r="M1000" s="245"/>
      <ns0:c r="N1000" s="245"/>
      <ns0:c r="O1000" s="245"/>
      <ns0:c r="P1000" s="245"/>
      <ns0:c r="Q1000" s="245"/>
      <ns0:c r="R1000" s="245"/>
      <ns0:c r="S1000" s="245"/>
      <ns0:c r="T1000" s="245"/>
      <ns0:c r="U1000" s="245"/>
      <ns0:c r="V1000" s="245"/>
      <ns0:c r="W1000" s="245"/>
      <ns0:c r="X1000" s="245"/>
      <ns0:c r="Y1000" s="245"/>
      <ns0:c r="Z1000" s="245"/>
    </ns0:row>
  </ns0:sheetData>
  <ns0:mergeCells>
    <ns0:mergeCell ref="A1:Z1"/>
    <ns0:mergeCell ref="A2:Z2"/>
    <ns0:mergeCell ref="A3:M3"/>
    <ns0:mergeCell ref="N3:Z3"/>
    <ns0:mergeCell ref="A505:Z505"/>
  </ns0:mergeCells>
  <ns0:conditionalFormatting sqref="Z5:Z500">
    <ns0:cfRule type="expression" dxfId="0" priority="1">
      <ns0:formula>$U5="Profit"</ns0:formula>
    </ns0:cfRule>
    <ns0:cfRule type="expression" dxfId="1" priority="2">
      <ns0:formula>$U5="Draw"</ns0:formula>
    </ns0:cfRule>
    <ns0:cfRule type="expression" dxfId="2" priority="3">
      <ns0:formula>$U5="Free Game"</ns0:formula>
    </ns0:cfRule>
    <ns0:cfRule type="expression" dxfId="3" priority="4">
      <ns0:formula>$U5="Subscription"</ns0:formula>
    </ns0:cfRule>
    <ns0:cfRule type="expression" dxfId="4" priority="5">
      <ns0:formula>$U5="Disqualified"</ns0:formula>
    </ns0:cfRule>
  </ns0:conditionalFormatting>
  <ns0:conditionalFormatting sqref="Z5:Z504">
    <ns0:cfRule type="expression" dxfId="35" priority="11">
      <ns0:formula>$U5="Profit"</ns0:formula>
    </ns0:cfRule>
    <ns0:cfRule type="expression" dxfId="36" priority="12">
      <ns0:formula>$U5="Draw"</ns0:formula>
    </ns0:cfRule>
    <ns0:cfRule type="expression" dxfId="37" priority="13">
      <ns0:formula>OR($U5="Free Game",$U5="Disqualified — Free Game")</ns0:formula>
    </ns0:cfRule>
    <ns0:cfRule type="expression" dxfId="38" priority="14">
      <ns0:formula>$U5="Subscription"</ns0:formula>
    </ns0:cfRule>
    <ns0:cfRule type="expression" dxfId="39" priority="15">
      <ns0:formula>$U5="Disqualified"</ns0:formula>
    </ns0:cfRule>
  </ns0:conditionalFormatting>
  <ns0:dataValidations count="7">
    <ns0:dataValidation type="list" sqref="D5:D500">
      <ns0:formula1>"Estimate,Finalized,N/A"</ns0:formula1>
    </ns0:dataValidation>
    <ns0:dataValidation type="list" sqref="E5:E500">
      <ns0:formula1>"Member,Non-Member,N/A"</ns0:formula1>
    </ns0:dataValidation>
    <ns0:dataValidation type="list" sqref="L5:L500">
      <ns0:formula1>"No,Yes,N/A"</ns0:formula1>
    </ns0:dataValidation>
    <ns0:dataValidation type="list" sqref="D5:D504">
      <ns0:formula1>"Estimate,Finalized"</ns0:formula1>
    </ns0:dataValidation>
    <ns0:dataValidation type="list" sqref="E5:E504">
      <ns0:formula1>"Member,Non-Member"</ns0:formula1>
    </ns0:dataValidation>
    <ns0:dataValidation type="list" allowBlank="1" showDropDown="0" sqref="F5:F504">
      <ns0:formula1>"Cash,Points,Hybrid,Free Game — completed challenge/chips,Subscription — membership charge only"</ns0:formula1>
    </ns0:dataValidation>
    <ns0:dataValidation type="list" sqref="L5:L504">
      <ns0:formula1>"Yes,No"</ns0:formula1>
    </ns0:dataValidation>
  </ns0:dataValidations>
  <ns0:pageMargins left="0.7" right="0.7" top="0.75" bottom="0.75" header="0.3" footer="0.3"/>
  <ns0:tableParts count="1">
    <ns0:tablePart r:id="rId1"/>
  </ns0:tableParts>
</ns0:worksheet>
</file>

<file path=xl/worksheets/sheet3.xml><?xml version="1.0" encoding="utf-8"?>
<worksheet xmlns="http://schemas.openxmlformats.org/spreadsheetml/2006/main">
  <sheetViews>
    <sheetView workbookViewId="0">
      <pane ySplit="4" topLeftCell="A5" activePane="bottomLeft" state="frozen"/>
      <selection pane="bottomLeft" activeCell="A5" sqref="A5"/>
    </sheetView>
  </sheetViews>
  <sheetFormatPr defaultRowHeight="15"/>
  <cols>
    <col min="1" max="1" width="12" hidden="0" customWidth="1"/>
    <col min="2" max="2" width="18" hidden="0" customWidth="1"/>
    <col min="3" max="3" width="24" hidden="0" customWidth="1"/>
    <col min="4" max="4" width="18" hidden="0" customWidth="1"/>
    <col min="5" max="5" width="22" hidden="0" customWidth="1"/>
    <col min="6" max="6" width="30" hidden="0" customWidth="1"/>
    <col min="7" max="7" width="34" hidden="0" customWidth="1"/>
    <col min="9" max="9" width="24" hidden="0" customWidth="1"/>
    <col min="10" max="10" width="12" hidden="0" customWidth="1"/>
    <col min="8" max="8" width="2" customWidth="1" hidden="1"/>
  </cols>
  <sheetData>
    <row r="1" ht="22" hidden="0" customHeight="1">
      <c r="A1" s="961" t="str">
        <v>Record Review — Game Index and Field Review — v251.1</v>
      </c>
      <c r="B1" s="961"/>
      <c r="C1" s="961"/>
      <c r="D1" s="961"/>
      <c r="E1" s="961"/>
      <c r="F1" s="961"/>
      <c r="G1" s="982"/>
      <c r="H1" s="982"/>
      <c r="I1" s="104"/>
      <c r="J1" s="104"/>
    </row>
    <row r="2" ht="44" hidden="0" customHeight="1">
      <c r="A2" s="76" t="str">
        <v>Formula-driven view only — do not type or paste into Record Review. Enter or edit records in Game Records A–M. Blank rows are expected until matching non-subscription games exist. Selecting a prepared cell may show a formula in the formula bar; the worksheet cell should display its calculated result or remain blank.</v>
      </c>
      <c r="B2" s="76"/>
      <c r="C2" s="76"/>
      <c r="D2" s="76"/>
      <c r="E2" s="76"/>
      <c r="F2" s="76"/>
      <c r="G2" s="982"/>
      <c r="H2" s="982"/>
      <c r="I2" s="104"/>
      <c r="J2" s="104"/>
    </row>
    <row r="3" ht="12" hidden="0" customHeight="1">
      <c r="A3" s="476"/>
      <c r="B3" s="476"/>
      <c r="C3" s="476"/>
      <c r="D3" s="476"/>
      <c r="E3" s="476"/>
      <c r="F3" s="476"/>
      <c r="G3" s="476"/>
      <c r="H3" s="476"/>
      <c r="I3" s="104"/>
      <c r="J3" s="104"/>
    </row>
    <row r="4" ht="32" hidden="0" customHeight="1">
      <c r="A4" s="310" t="str">
        <v>Game #</v>
      </c>
      <c r="B4" s="310" t="str">
        <v>Game Records ID</v>
      </c>
      <c r="C4" s="310" t="str">
        <v>Game Name</v>
      </c>
      <c r="D4" s="310" t="str">
        <v>Calculated Result</v>
      </c>
      <c r="E4" s="310" t="str">
        <v>Review Status</v>
      </c>
      <c r="F4" s="310" t="str">
        <v>Blank Fields to Review</v>
      </c>
      <c r="G4" s="310" t="str">
        <v>Notes from Game Records</v>
      </c>
      <c r="H4" s="476"/>
      <c r="I4" s="104"/>
      <c r="J4" s="104"/>
    </row>
    <row r="5" ht="24" hidden="0" customHeight="1">
      <c r="A5" s="332" t="str">
        <f>IF($H5="","",ROWS($A$5:A5))</f>
        <v/>
      </c>
      <c r="B5" s="332" t="str">
        <f>IF($H5="","","G-"&amp;TEXT($A5,"0000"))</f>
        <v/>
      </c>
      <c r="C5" s="331" t="str">
        <f>IF($H5="","",IFERROR(INDEX('Game Records'!$A:$A,$H5),""))</f>
        <v/>
      </c>
      <c r="D5" s="331" t="str">
        <f>IF($H5="","",IFERROR(INDEX('Game Records'!$U:$U,$H5),""))</f>
        <v/>
      </c>
      <c r="E5" s="331" t="str">
        <f>IF($H5="","",IF($F5="","No Highlighted Fields","Highlighted Fields Present"))</f>
        <v/>
      </c>
      <c r="F5" s="331" t="str">
        <f>IF($H5="","",IF(OR(NOT(ISFORMULA(INDEX('Game Records'!$N:$N,$H5))),NOT(ISFORMULA(INDEX('Game Records'!$O:$O,$H5))),NOT(ISFORMULA(INDEX('Game Records'!$P:$P,$H5))),NOT(ISFORMULA(INDEX('Game Records'!$Q:$Q,$H5))),NOT(ISFORMULA(INDEX('Game Records'!$R:$R,$H5))),NOT(ISFORMULA(INDEX('Game Records'!$S:$S,$H5))),NOT(ISFORMULA(INDEX('Game Records'!$T:$T,$H5))),NOT(ISFORMULA(INDEX('Game Records'!$U:$U,$H5))),NOT(ISFORMULA(INDEX('Game Records'!$V:$V,$H5))),NOT(ISFORMULA(INDEX('Game Records'!$W:$W,$H5))),NOT(ISFORMULA(INDEX('Game Records'!$X:$X,$H5))),NOT(ISFORMULA(INDEX('Game Records'!$Y:$Y,$H5))),NOT(ISFORMULA(INDEX('Game Records'!$Z:$Z,$H5)))),"Formula columns missing; ","")&amp;IF(INDEX('Game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Earned; ","")&amp;IF(AND(LOWER(INDEX('Game Records'!$D:$D,$H5)&amp;"")="finalized",INDEX('Game Records'!$U:$U,$H5)&lt;&gt;"Subscription",INDEX('Game Records'!$U:$U,$H5)&lt;&gt;"Free Game",INDEX('Game Records'!$U:$U,$H5)&lt;&gt;"Disqualified — Free Game",OR(INDEX('Game Records'!$L:$L,$H5)="",LOWER(INDEX('Game Records'!$L:$L,$H5)&amp;"")="n/a")),"Disqualified Status; ","")&amp;IF(AND(OR(INDEX('Game Records'!$U:$U,$H5)="Free Game",INDEX('Game Records'!$U:$U,$H5)="Disqualified — Free Game"),N(INDEX('Game Records'!$H:$H,$H5))&lt;&gt;0),"Free Game has a non-zero Entry Fee; ",""))</f>
        <v/>
      </c>
      <c r="G5" s="331" t="str">
        <f>IF($H5="","",IFERROR(INDEX('Game Records'!$M:$M,$H5),""))</f>
        <v/>
      </c>
      <c r="H5" s="104" t="str">
        <f>IFERROR(MATCH(1,INDEX((('Game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 s="310" t="str">
        <v>Review Totals</v>
      </c>
      <c r="J5" s="310"/>
    </row>
    <row r="6" ht="24" hidden="0" customHeight="1">
      <c r="A6" s="332" t="str">
        <f>IF($H6="","",ROWS($A$5:A6))</f>
        <v/>
      </c>
      <c r="B6" s="332" t="str">
        <f>IF($H6="","","G-"&amp;TEXT($A6,"0000"))</f>
        <v/>
      </c>
      <c r="C6" s="331" t="str">
        <f>IF($H6="","",IFERROR(INDEX('Game Records'!$A:$A,$H6),""))</f>
        <v/>
      </c>
      <c r="D6" s="331" t="str">
        <f>IF($H6="","",IFERROR(INDEX('Game Records'!$U:$U,$H6),""))</f>
        <v/>
      </c>
      <c r="E6" s="331" t="str">
        <f>IF($H6="","",IF($F6="","No Highlighted Fields","Highlighted Fields Present"))</f>
        <v/>
      </c>
      <c r="F6" s="331" t="str">
        <f>IF($H6="","",IF(OR(NOT(ISFORMULA(INDEX('Game Records'!$N:$N,$H6))),NOT(ISFORMULA(INDEX('Game Records'!$O:$O,$H6))),NOT(ISFORMULA(INDEX('Game Records'!$P:$P,$H6))),NOT(ISFORMULA(INDEX('Game Records'!$Q:$Q,$H6))),NOT(ISFORMULA(INDEX('Game Records'!$R:$R,$H6))),NOT(ISFORMULA(INDEX('Game Records'!$S:$S,$H6))),NOT(ISFORMULA(INDEX('Game Records'!$T:$T,$H6))),NOT(ISFORMULA(INDEX('Game Records'!$U:$U,$H6))),NOT(ISFORMULA(INDEX('Game Records'!$V:$V,$H6))),NOT(ISFORMULA(INDEX('Game Records'!$W:$W,$H6))),NOT(ISFORMULA(INDEX('Game Records'!$X:$X,$H6))),NOT(ISFORMULA(INDEX('Game Records'!$Y:$Y,$H6))),NOT(ISFORMULA(INDEX('Game Records'!$Z:$Z,$H6)))),"Formula columns missing; ","")&amp;IF(INDEX('Game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Earned; ","")&amp;IF(AND(LOWER(INDEX('Game Records'!$D:$D,$H6)&amp;"")="finalized",INDEX('Game Records'!$U:$U,$H6)&lt;&gt;"Subscription",INDEX('Game Records'!$U:$U,$H6)&lt;&gt;"Free Game",INDEX('Game Records'!$U:$U,$H6)&lt;&gt;"Disqualified — Free Game",OR(INDEX('Game Records'!$L:$L,$H6)="",LOWER(INDEX('Game Records'!$L:$L,$H6)&amp;"")="n/a")),"Disqualified Status; ","")&amp;IF(AND(OR(INDEX('Game Records'!$U:$U,$H6)="Free Game",INDEX('Game Records'!$U:$U,$H6)="Disqualified — Free Game"),N(INDEX('Game Records'!$H:$H,$H6))&lt;&gt;0),"Free Game has a non-zero Entry Fee; ",""))</f>
        <v/>
      </c>
      <c r="G6" s="331" t="str">
        <f>IF($H6="","",IFERROR(INDEX('Game Records'!$M:$M,$H6),""))</f>
        <v/>
      </c>
      <c r="H6" s="104" t="str">
        <f>IF($H5="","",IFERROR(MATCH(1,INDEX((ROW('Game Records'!$U$5:$U$504)&gt;$H5)*(('Game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 s="980" t="str">
        <v>Total Games</v>
      </c>
      <c r="J6" s="981" t="n">
        <f>COUNT($A$5:$A$504)</f>
        <v>0</v>
      </c>
    </row>
    <row r="7" ht="24" hidden="0" customHeight="1">
      <c r="A7" s="332" t="str">
        <f>IF($H7="","",ROWS($A$5:A7))</f>
        <v/>
      </c>
      <c r="B7" s="332" t="str">
        <f>IF($H7="","","G-"&amp;TEXT($A7,"0000"))</f>
        <v/>
      </c>
      <c r="C7" s="331" t="str">
        <f>IF($H7="","",IFERROR(INDEX('Game Records'!$A:$A,$H7),""))</f>
        <v/>
      </c>
      <c r="D7" s="331" t="str">
        <f>IF($H7="","",IFERROR(INDEX('Game Records'!$U:$U,$H7),""))</f>
        <v/>
      </c>
      <c r="E7" s="331" t="str">
        <f>IF($H7="","",IF($F7="","No Highlighted Fields","Highlighted Fields Present"))</f>
        <v/>
      </c>
      <c r="F7" s="331" t="str">
        <f>IF($H7="","",IF(OR(NOT(ISFORMULA(INDEX('Game Records'!$N:$N,$H7))),NOT(ISFORMULA(INDEX('Game Records'!$O:$O,$H7))),NOT(ISFORMULA(INDEX('Game Records'!$P:$P,$H7))),NOT(ISFORMULA(INDEX('Game Records'!$Q:$Q,$H7))),NOT(ISFORMULA(INDEX('Game Records'!$R:$R,$H7))),NOT(ISFORMULA(INDEX('Game Records'!$S:$S,$H7))),NOT(ISFORMULA(INDEX('Game Records'!$T:$T,$H7))),NOT(ISFORMULA(INDEX('Game Records'!$U:$U,$H7))),NOT(ISFORMULA(INDEX('Game Records'!$V:$V,$H7))),NOT(ISFORMULA(INDEX('Game Records'!$W:$W,$H7))),NOT(ISFORMULA(INDEX('Game Records'!$X:$X,$H7))),NOT(ISFORMULA(INDEX('Game Records'!$Y:$Y,$H7))),NOT(ISFORMULA(INDEX('Game Records'!$Z:$Z,$H7)))),"Formula columns missing; ","")&amp;IF(INDEX('Game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Earned; ","")&amp;IF(AND(LOWER(INDEX('Game Records'!$D:$D,$H7)&amp;"")="finalized",INDEX('Game Records'!$U:$U,$H7)&lt;&gt;"Subscription",INDEX('Game Records'!$U:$U,$H7)&lt;&gt;"Free Game",INDEX('Game Records'!$U:$U,$H7)&lt;&gt;"Disqualified — Free Game",OR(INDEX('Game Records'!$L:$L,$H7)="",LOWER(INDEX('Game Records'!$L:$L,$H7)&amp;"")="n/a")),"Disqualified Status; ","")&amp;IF(AND(OR(INDEX('Game Records'!$U:$U,$H7)="Free Game",INDEX('Game Records'!$U:$U,$H7)="Disqualified — Free Game"),N(INDEX('Game Records'!$H:$H,$H7))&lt;&gt;0),"Free Game has a non-zero Entry Fee; ",""))</f>
        <v/>
      </c>
      <c r="G7" s="331" t="str">
        <f>IF($H7="","",IFERROR(INDEX('Game Records'!$M:$M,$H7),""))</f>
        <v/>
      </c>
      <c r="H7" s="104" t="str">
        <f>IF($H6="","",IFERROR(MATCH(1,INDEX((ROW('Game Records'!$U$5:$U$504)&gt;$H6)*(('Game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 s="980" t="str">
        <v>Profit Games</v>
      </c>
      <c r="J7" s="981" t="n">
        <f>COUNTIF('Game Records'!$U$5:$U$504,"Profit")</f>
        <v>0</v>
      </c>
    </row>
    <row r="8" ht="24" hidden="0" customHeight="1">
      <c r="A8" s="332" t="str">
        <f>IF($H8="","",ROWS($A$5:A8))</f>
        <v/>
      </c>
      <c r="B8" s="332" t="str">
        <f>IF($H8="","","G-"&amp;TEXT($A8,"0000"))</f>
        <v/>
      </c>
      <c r="C8" s="331" t="str">
        <f>IF($H8="","",IFERROR(INDEX('Game Records'!$A:$A,$H8),""))</f>
        <v/>
      </c>
      <c r="D8" s="331" t="str">
        <f>IF($H8="","",IFERROR(INDEX('Game Records'!$U:$U,$H8),""))</f>
        <v/>
      </c>
      <c r="E8" s="331" t="str">
        <f>IF($H8="","",IF($F8="","No Highlighted Fields","Highlighted Fields Present"))</f>
        <v/>
      </c>
      <c r="F8" s="331" t="str">
        <f>IF($H8="","",IF(OR(NOT(ISFORMULA(INDEX('Game Records'!$N:$N,$H8))),NOT(ISFORMULA(INDEX('Game Records'!$O:$O,$H8))),NOT(ISFORMULA(INDEX('Game Records'!$P:$P,$H8))),NOT(ISFORMULA(INDEX('Game Records'!$Q:$Q,$H8))),NOT(ISFORMULA(INDEX('Game Records'!$R:$R,$H8))),NOT(ISFORMULA(INDEX('Game Records'!$S:$S,$H8))),NOT(ISFORMULA(INDEX('Game Records'!$T:$T,$H8))),NOT(ISFORMULA(INDEX('Game Records'!$U:$U,$H8))),NOT(ISFORMULA(INDEX('Game Records'!$V:$V,$H8))),NOT(ISFORMULA(INDEX('Game Records'!$W:$W,$H8))),NOT(ISFORMULA(INDEX('Game Records'!$X:$X,$H8))),NOT(ISFORMULA(INDEX('Game Records'!$Y:$Y,$H8))),NOT(ISFORMULA(INDEX('Game Records'!$Z:$Z,$H8)))),"Formula columns missing; ","")&amp;IF(INDEX('Game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Earned; ","")&amp;IF(AND(LOWER(INDEX('Game Records'!$D:$D,$H8)&amp;"")="finalized",INDEX('Game Records'!$U:$U,$H8)&lt;&gt;"Subscription",INDEX('Game Records'!$U:$U,$H8)&lt;&gt;"Free Game",INDEX('Game Records'!$U:$U,$H8)&lt;&gt;"Disqualified — Free Game",OR(INDEX('Game Records'!$L:$L,$H8)="",LOWER(INDEX('Game Records'!$L:$L,$H8)&amp;"")="n/a")),"Disqualified Status; ","")&amp;IF(AND(OR(INDEX('Game Records'!$U:$U,$H8)="Free Game",INDEX('Game Records'!$U:$U,$H8)="Disqualified — Free Game"),N(INDEX('Game Records'!$H:$H,$H8))&lt;&gt;0),"Free Game has a non-zero Entry Fee; ",""))</f>
        <v/>
      </c>
      <c r="G8" s="331" t="str">
        <f>IF($H8="","",IFERROR(INDEX('Game Records'!$M:$M,$H8),""))</f>
        <v/>
      </c>
      <c r="H8" s="104" t="str">
        <f>IF($H7="","",IFERROR(MATCH(1,INDEX((ROW('Game Records'!$U$5:$U$504)&gt;$H7)*(('Game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 s="980" t="str">
        <v>Draw Games</v>
      </c>
      <c r="J8" s="981" t="n">
        <f>COUNTIF('Game Records'!$U$5:$U$504,"Draw")</f>
        <v>0</v>
      </c>
    </row>
    <row r="9" ht="24" hidden="0" customHeight="1">
      <c r="A9" s="332" t="str">
        <f>IF($H9="","",ROWS($A$5:A9))</f>
        <v/>
      </c>
      <c r="B9" s="332" t="str">
        <f>IF($H9="","","G-"&amp;TEXT($A9,"0000"))</f>
        <v/>
      </c>
      <c r="C9" s="331" t="str">
        <f>IF($H9="","",IFERROR(INDEX('Game Records'!$A:$A,$H9),""))</f>
        <v/>
      </c>
      <c r="D9" s="331" t="str">
        <f>IF($H9="","",IFERROR(INDEX('Game Records'!$U:$U,$H9),""))</f>
        <v/>
      </c>
      <c r="E9" s="331" t="str">
        <f>IF($H9="","",IF($F9="","No Highlighted Fields","Highlighted Fields Present"))</f>
        <v/>
      </c>
      <c r="F9" s="331" t="str">
        <f>IF($H9="","",IF(OR(NOT(ISFORMULA(INDEX('Game Records'!$N:$N,$H9))),NOT(ISFORMULA(INDEX('Game Records'!$O:$O,$H9))),NOT(ISFORMULA(INDEX('Game Records'!$P:$P,$H9))),NOT(ISFORMULA(INDEX('Game Records'!$Q:$Q,$H9))),NOT(ISFORMULA(INDEX('Game Records'!$R:$R,$H9))),NOT(ISFORMULA(INDEX('Game Records'!$S:$S,$H9))),NOT(ISFORMULA(INDEX('Game Records'!$T:$T,$H9))),NOT(ISFORMULA(INDEX('Game Records'!$U:$U,$H9))),NOT(ISFORMULA(INDEX('Game Records'!$V:$V,$H9))),NOT(ISFORMULA(INDEX('Game Records'!$W:$W,$H9))),NOT(ISFORMULA(INDEX('Game Records'!$X:$X,$H9))),NOT(ISFORMULA(INDEX('Game Records'!$Y:$Y,$H9))),NOT(ISFORMULA(INDEX('Game Records'!$Z:$Z,$H9)))),"Formula columns missing; ","")&amp;IF(INDEX('Game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Earned; ","")&amp;IF(AND(LOWER(INDEX('Game Records'!$D:$D,$H9)&amp;"")="finalized",INDEX('Game Records'!$U:$U,$H9)&lt;&gt;"Subscription",INDEX('Game Records'!$U:$U,$H9)&lt;&gt;"Free Game",INDEX('Game Records'!$U:$U,$H9)&lt;&gt;"Disqualified — Free Game",OR(INDEX('Game Records'!$L:$L,$H9)="",LOWER(INDEX('Game Records'!$L:$L,$H9)&amp;"")="n/a")),"Disqualified Status; ","")&amp;IF(AND(OR(INDEX('Game Records'!$U:$U,$H9)="Free Game",INDEX('Game Records'!$U:$U,$H9)="Disqualified — Free Game"),N(INDEX('Game Records'!$H:$H,$H9))&lt;&gt;0),"Free Game has a non-zero Entry Fee; ",""))</f>
        <v/>
      </c>
      <c r="G9" s="331" t="str">
        <f>IF($H9="","",IFERROR(INDEX('Game Records'!$M:$M,$H9),""))</f>
        <v/>
      </c>
      <c r="H9" s="104" t="str">
        <f>IF($H8="","",IFERROR(MATCH(1,INDEX((ROW('Game Records'!$U$5:$U$504)&gt;$H8)*(('Game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 s="980" t="str">
        <v>Disqualified Games</v>
      </c>
      <c r="J9" s="981" t="n">
        <f>COUNTIF('Game Records'!$U$5:$U$504,"Disqualified")</f>
        <v>0</v>
      </c>
    </row>
    <row r="10" ht="24" hidden="0" customHeight="1">
      <c r="A10" s="332" t="str">
        <f>IF($H10="","",ROWS($A$5:A10))</f>
        <v/>
      </c>
      <c r="B10" s="332" t="str">
        <f>IF($H10="","","G-"&amp;TEXT($A10,"0000"))</f>
        <v/>
      </c>
      <c r="C10" s="331" t="str">
        <f>IF($H10="","",IFERROR(INDEX('Game Records'!$A:$A,$H10),""))</f>
        <v/>
      </c>
      <c r="D10" s="331" t="str">
        <f>IF($H10="","",IFERROR(INDEX('Game Records'!$U:$U,$H10),""))</f>
        <v/>
      </c>
      <c r="E10" s="331" t="str">
        <f>IF($H10="","",IF($F10="","No Highlighted Fields","Highlighted Fields Present"))</f>
        <v/>
      </c>
      <c r="F10" s="331" t="str">
        <f>IF($H10="","",IF(OR(NOT(ISFORMULA(INDEX('Game Records'!$N:$N,$H10))),NOT(ISFORMULA(INDEX('Game Records'!$O:$O,$H10))),NOT(ISFORMULA(INDEX('Game Records'!$P:$P,$H10))),NOT(ISFORMULA(INDEX('Game Records'!$Q:$Q,$H10))),NOT(ISFORMULA(INDEX('Game Records'!$R:$R,$H10))),NOT(ISFORMULA(INDEX('Game Records'!$S:$S,$H10))),NOT(ISFORMULA(INDEX('Game Records'!$T:$T,$H10))),NOT(ISFORMULA(INDEX('Game Records'!$U:$U,$H10))),NOT(ISFORMULA(INDEX('Game Records'!$V:$V,$H10))),NOT(ISFORMULA(INDEX('Game Records'!$W:$W,$H10))),NOT(ISFORMULA(INDEX('Game Records'!$X:$X,$H10))),NOT(ISFORMULA(INDEX('Game Records'!$Y:$Y,$H10))),NOT(ISFORMULA(INDEX('Game Records'!$Z:$Z,$H10)))),"Formula columns missing; ","")&amp;IF(INDEX('Game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Earned; ","")&amp;IF(AND(LOWER(INDEX('Game Records'!$D:$D,$H10)&amp;"")="finalized",INDEX('Game Records'!$U:$U,$H10)&lt;&gt;"Subscription",INDEX('Game Records'!$U:$U,$H10)&lt;&gt;"Free Game",INDEX('Game Records'!$U:$U,$H10)&lt;&gt;"Disqualified — Free Game",OR(INDEX('Game Records'!$L:$L,$H10)="",LOWER(INDEX('Game Records'!$L:$L,$H10)&amp;"")="n/a")),"Disqualified Status; ","")&amp;IF(AND(OR(INDEX('Game Records'!$U:$U,$H10)="Free Game",INDEX('Game Records'!$U:$U,$H10)="Disqualified — Free Game"),N(INDEX('Game Records'!$H:$H,$H10))&lt;&gt;0),"Free Game has a non-zero Entry Fee; ",""))</f>
        <v/>
      </c>
      <c r="G10" s="331" t="str">
        <f>IF($H10="","",IFERROR(INDEX('Game Records'!$M:$M,$H10),""))</f>
        <v/>
      </c>
      <c r="H10" s="104" t="str">
        <f>IF($H9="","",IFERROR(MATCH(1,INDEX((ROW('Game Records'!$U$5:$U$504)&gt;$H9)*(('Game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 s="980" t="str">
        <v>Free Games</v>
      </c>
      <c r="J10" s="981" t="n">
        <f>COUNTIF('Game Records'!$U$5:$U$504,"Free Game")+COUNTIF('Game Records'!$U$5:$U$504,"Disqualified — Free Game")</f>
        <v>0</v>
      </c>
    </row>
    <row r="11" ht="24" hidden="0" customHeight="1">
      <c r="A11" s="332" t="str">
        <f>IF($H11="","",ROWS($A$5:A11))</f>
        <v/>
      </c>
      <c r="B11" s="332" t="str">
        <f>IF($H11="","","G-"&amp;TEXT($A11,"0000"))</f>
        <v/>
      </c>
      <c r="C11" s="331" t="str">
        <f>IF($H11="","",IFERROR(INDEX('Game Records'!$A:$A,$H11),""))</f>
        <v/>
      </c>
      <c r="D11" s="331" t="str">
        <f>IF($H11="","",IFERROR(INDEX('Game Records'!$U:$U,$H11),""))</f>
        <v/>
      </c>
      <c r="E11" s="331" t="str">
        <f>IF($H11="","",IF($F11="","No Highlighted Fields","Highlighted Fields Present"))</f>
        <v/>
      </c>
      <c r="F11" s="331" t="str">
        <f>IF($H11="","",IF(OR(NOT(ISFORMULA(INDEX('Game Records'!$N:$N,$H11))),NOT(ISFORMULA(INDEX('Game Records'!$O:$O,$H11))),NOT(ISFORMULA(INDEX('Game Records'!$P:$P,$H11))),NOT(ISFORMULA(INDEX('Game Records'!$Q:$Q,$H11))),NOT(ISFORMULA(INDEX('Game Records'!$R:$R,$H11))),NOT(ISFORMULA(INDEX('Game Records'!$S:$S,$H11))),NOT(ISFORMULA(INDEX('Game Records'!$T:$T,$H11))),NOT(ISFORMULA(INDEX('Game Records'!$U:$U,$H11))),NOT(ISFORMULA(INDEX('Game Records'!$V:$V,$H11))),NOT(ISFORMULA(INDEX('Game Records'!$W:$W,$H11))),NOT(ISFORMULA(INDEX('Game Records'!$X:$X,$H11))),NOT(ISFORMULA(INDEX('Game Records'!$Y:$Y,$H11))),NOT(ISFORMULA(INDEX('Game Records'!$Z:$Z,$H11)))),"Formula columns missing; ","")&amp;IF(INDEX('Game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Earned; ","")&amp;IF(AND(LOWER(INDEX('Game Records'!$D:$D,$H11)&amp;"")="finalized",INDEX('Game Records'!$U:$U,$H11)&lt;&gt;"Subscription",INDEX('Game Records'!$U:$U,$H11)&lt;&gt;"Free Game",INDEX('Game Records'!$U:$U,$H11)&lt;&gt;"Disqualified — Free Game",OR(INDEX('Game Records'!$L:$L,$H11)="",LOWER(INDEX('Game Records'!$L:$L,$H11)&amp;"")="n/a")),"Disqualified Status; ","")&amp;IF(AND(OR(INDEX('Game Records'!$U:$U,$H11)="Free Game",INDEX('Game Records'!$U:$U,$H11)="Disqualified — Free Game"),N(INDEX('Game Records'!$H:$H,$H11))&lt;&gt;0),"Free Game has a non-zero Entry Fee; ",""))</f>
        <v/>
      </c>
      <c r="G11" s="331" t="str">
        <f>IF($H11="","",IFERROR(INDEX('Game Records'!$M:$M,$H11),""))</f>
        <v/>
      </c>
      <c r="H11" s="104" t="str">
        <f>IF($H10="","",IFERROR(MATCH(1,INDEX((ROW('Game Records'!$U$5:$U$504)&gt;$H10)*(('Game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 s="980" t="str">
        <v>Points Games</v>
      </c>
      <c r="J11" s="981" t="n">
        <f>COUNTIF('Game Records'!$F$5:$F$504,"Points")</f>
        <v>0</v>
      </c>
    </row>
    <row r="12" ht="24" hidden="0" customHeight="1">
      <c r="A12" s="332" t="str">
        <f>IF($H12="","",ROWS($A$5:A12))</f>
        <v/>
      </c>
      <c r="B12" s="332" t="str">
        <f>IF($H12="","","G-"&amp;TEXT($A12,"0000"))</f>
        <v/>
      </c>
      <c r="C12" s="331" t="str">
        <f>IF($H12="","",IFERROR(INDEX('Game Records'!$A:$A,$H12),""))</f>
        <v/>
      </c>
      <c r="D12" s="331" t="str">
        <f>IF($H12="","",IFERROR(INDEX('Game Records'!$U:$U,$H12),""))</f>
        <v/>
      </c>
      <c r="E12" s="331" t="str">
        <f>IF($H12="","",IF($F12="","No Highlighted Fields","Highlighted Fields Present"))</f>
        <v/>
      </c>
      <c r="F12" s="331" t="str">
        <f>IF($H12="","",IF(OR(NOT(ISFORMULA(INDEX('Game Records'!$N:$N,$H12))),NOT(ISFORMULA(INDEX('Game Records'!$O:$O,$H12))),NOT(ISFORMULA(INDEX('Game Records'!$P:$P,$H12))),NOT(ISFORMULA(INDEX('Game Records'!$Q:$Q,$H12))),NOT(ISFORMULA(INDEX('Game Records'!$R:$R,$H12))),NOT(ISFORMULA(INDEX('Game Records'!$S:$S,$H12))),NOT(ISFORMULA(INDEX('Game Records'!$T:$T,$H12))),NOT(ISFORMULA(INDEX('Game Records'!$U:$U,$H12))),NOT(ISFORMULA(INDEX('Game Records'!$V:$V,$H12))),NOT(ISFORMULA(INDEX('Game Records'!$W:$W,$H12))),NOT(ISFORMULA(INDEX('Game Records'!$X:$X,$H12))),NOT(ISFORMULA(INDEX('Game Records'!$Y:$Y,$H12))),NOT(ISFORMULA(INDEX('Game Records'!$Z:$Z,$H12)))),"Formula columns missing; ","")&amp;IF(INDEX('Game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Earned; ","")&amp;IF(AND(LOWER(INDEX('Game Records'!$D:$D,$H12)&amp;"")="finalized",INDEX('Game Records'!$U:$U,$H12)&lt;&gt;"Subscription",INDEX('Game Records'!$U:$U,$H12)&lt;&gt;"Free Game",INDEX('Game Records'!$U:$U,$H12)&lt;&gt;"Disqualified — Free Game",OR(INDEX('Game Records'!$L:$L,$H12)="",LOWER(INDEX('Game Records'!$L:$L,$H12)&amp;"")="n/a")),"Disqualified Status; ","")&amp;IF(AND(OR(INDEX('Game Records'!$U:$U,$H12)="Free Game",INDEX('Game Records'!$U:$U,$H12)="Disqualified — Free Game"),N(INDEX('Game Records'!$H:$H,$H12))&lt;&gt;0),"Free Game has a non-zero Entry Fee; ",""))</f>
        <v/>
      </c>
      <c r="G12" s="331" t="str">
        <f>IF($H12="","",IFERROR(INDEX('Game Records'!$M:$M,$H12),""))</f>
        <v/>
      </c>
      <c r="H12" s="104" t="str">
        <f>IF($H11="","",IFERROR(MATCH(1,INDEX((ROW('Game Records'!$U$5:$U$504)&gt;$H11)*(('Game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 s="980" t="str">
        <v>Cash / Hybrid Games</v>
      </c>
      <c r="J12" s="981" t="n">
        <f>COUNTIF('Game Records'!$F$5:$F$504,"Cash")+COUNTIF('Game Records'!$F$5:$F$504,"Hybrid")</f>
        <v>0</v>
      </c>
    </row>
    <row r="13" ht="24" hidden="0" customHeight="1">
      <c r="A13" s="332" t="str">
        <f>IF($H13="","",ROWS($A$5:A13))</f>
        <v/>
      </c>
      <c r="B13" s="332" t="str">
        <f>IF($H13="","","G-"&amp;TEXT($A13,"0000"))</f>
        <v/>
      </c>
      <c r="C13" s="331" t="str">
        <f>IF($H13="","",IFERROR(INDEX('Game Records'!$A:$A,$H13),""))</f>
        <v/>
      </c>
      <c r="D13" s="331" t="str">
        <f>IF($H13="","",IFERROR(INDEX('Game Records'!$U:$U,$H13),""))</f>
        <v/>
      </c>
      <c r="E13" s="331" t="str">
        <f>IF($H13="","",IF($F13="","No Highlighted Fields","Highlighted Fields Present"))</f>
        <v/>
      </c>
      <c r="F13" s="331" t="str">
        <f>IF($H13="","",IF(OR(NOT(ISFORMULA(INDEX('Game Records'!$N:$N,$H13))),NOT(ISFORMULA(INDEX('Game Records'!$O:$O,$H13))),NOT(ISFORMULA(INDEX('Game Records'!$P:$P,$H13))),NOT(ISFORMULA(INDEX('Game Records'!$Q:$Q,$H13))),NOT(ISFORMULA(INDEX('Game Records'!$R:$R,$H13))),NOT(ISFORMULA(INDEX('Game Records'!$S:$S,$H13))),NOT(ISFORMULA(INDEX('Game Records'!$T:$T,$H13))),NOT(ISFORMULA(INDEX('Game Records'!$U:$U,$H13))),NOT(ISFORMULA(INDEX('Game Records'!$V:$V,$H13))),NOT(ISFORMULA(INDEX('Game Records'!$W:$W,$H13))),NOT(ISFORMULA(INDEX('Game Records'!$X:$X,$H13))),NOT(ISFORMULA(INDEX('Game Records'!$Y:$Y,$H13))),NOT(ISFORMULA(INDEX('Game Records'!$Z:$Z,$H13)))),"Formula columns missing; ","")&amp;IF(INDEX('Game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Earned; ","")&amp;IF(AND(LOWER(INDEX('Game Records'!$D:$D,$H13)&amp;"")="finalized",INDEX('Game Records'!$U:$U,$H13)&lt;&gt;"Subscription",INDEX('Game Records'!$U:$U,$H13)&lt;&gt;"Free Game",INDEX('Game Records'!$U:$U,$H13)&lt;&gt;"Disqualified — Free Game",OR(INDEX('Game Records'!$L:$L,$H13)="",LOWER(INDEX('Game Records'!$L:$L,$H13)&amp;"")="n/a")),"Disqualified Status; ","")&amp;IF(AND(OR(INDEX('Game Records'!$U:$U,$H13)="Free Game",INDEX('Game Records'!$U:$U,$H13)="Disqualified — Free Game"),N(INDEX('Game Records'!$H:$H,$H13))&lt;&gt;0),"Free Game has a non-zero Entry Fee; ",""))</f>
        <v/>
      </c>
      <c r="G13" s="331" t="str">
        <f>IF($H13="","",IFERROR(INDEX('Game Records'!$M:$M,$H13),""))</f>
        <v/>
      </c>
      <c r="H13" s="104" t="str">
        <f>IF($H12="","",IFERROR(MATCH(1,INDEX((ROW('Game Records'!$U$5:$U$504)&gt;$H12)*(('Game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 s="104"/>
      <c r="J13" s="104"/>
    </row>
    <row r="14" ht="24" hidden="0" customHeight="1">
      <c r="A14" s="332" t="str">
        <f>IF($H14="","",ROWS($A$5:A14))</f>
        <v/>
      </c>
      <c r="B14" s="332" t="str">
        <f>IF($H14="","","G-"&amp;TEXT($A14,"0000"))</f>
        <v/>
      </c>
      <c r="C14" s="331" t="str">
        <f>IF($H14="","",IFERROR(INDEX('Game Records'!$A:$A,$H14),""))</f>
        <v/>
      </c>
      <c r="D14" s="331" t="str">
        <f>IF($H14="","",IFERROR(INDEX('Game Records'!$U:$U,$H14),""))</f>
        <v/>
      </c>
      <c r="E14" s="331" t="str">
        <f>IF($H14="","",IF($F14="","No Highlighted Fields","Highlighted Fields Present"))</f>
        <v/>
      </c>
      <c r="F14" s="331" t="str">
        <f>IF($H14="","",IF(OR(NOT(ISFORMULA(INDEX('Game Records'!$N:$N,$H14))),NOT(ISFORMULA(INDEX('Game Records'!$O:$O,$H14))),NOT(ISFORMULA(INDEX('Game Records'!$P:$P,$H14))),NOT(ISFORMULA(INDEX('Game Records'!$Q:$Q,$H14))),NOT(ISFORMULA(INDEX('Game Records'!$R:$R,$H14))),NOT(ISFORMULA(INDEX('Game Records'!$S:$S,$H14))),NOT(ISFORMULA(INDEX('Game Records'!$T:$T,$H14))),NOT(ISFORMULA(INDEX('Game Records'!$U:$U,$H14))),NOT(ISFORMULA(INDEX('Game Records'!$V:$V,$H14))),NOT(ISFORMULA(INDEX('Game Records'!$W:$W,$H14))),NOT(ISFORMULA(INDEX('Game Records'!$X:$X,$H14))),NOT(ISFORMULA(INDEX('Game Records'!$Y:$Y,$H14))),NOT(ISFORMULA(INDEX('Game Records'!$Z:$Z,$H14)))),"Formula columns missing; ","")&amp;IF(INDEX('Game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Earned; ","")&amp;IF(AND(LOWER(INDEX('Game Records'!$D:$D,$H14)&amp;"")="finalized",INDEX('Game Records'!$U:$U,$H14)&lt;&gt;"Subscription",INDEX('Game Records'!$U:$U,$H14)&lt;&gt;"Free Game",INDEX('Game Records'!$U:$U,$H14)&lt;&gt;"Disqualified — Free Game",OR(INDEX('Game Records'!$L:$L,$H14)="",LOWER(INDEX('Game Records'!$L:$L,$H14)&amp;"")="n/a")),"Disqualified Status; ","")&amp;IF(AND(OR(INDEX('Game Records'!$U:$U,$H14)="Free Game",INDEX('Game Records'!$U:$U,$H14)="Disqualified — Free Game"),N(INDEX('Game Records'!$H:$H,$H14))&lt;&gt;0),"Free Game has a non-zero Entry Fee; ",""))</f>
        <v/>
      </c>
      <c r="G14" s="331" t="str">
        <f>IF($H14="","",IFERROR(INDEX('Game Records'!$M:$M,$H14),""))</f>
        <v/>
      </c>
      <c r="H14" s="104" t="str">
        <f>IF($H13="","",IFERROR(MATCH(1,INDEX((ROW('Game Records'!$U$5:$U$504)&gt;$H13)*(('Game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 s="104"/>
      <c r="J14" s="104"/>
    </row>
    <row r="15" ht="24" hidden="0" customHeight="1">
      <c r="A15" s="332" t="str">
        <f>IF($H15="","",ROWS($A$5:A15))</f>
        <v/>
      </c>
      <c r="B15" s="332" t="str">
        <f>IF($H15="","","G-"&amp;TEXT($A15,"0000"))</f>
        <v/>
      </c>
      <c r="C15" s="331" t="str">
        <f>IF($H15="","",IFERROR(INDEX('Game Records'!$A:$A,$H15),""))</f>
        <v/>
      </c>
      <c r="D15" s="331" t="str">
        <f>IF($H15="","",IFERROR(INDEX('Game Records'!$U:$U,$H15),""))</f>
        <v/>
      </c>
      <c r="E15" s="331" t="str">
        <f>IF($H15="","",IF($F15="","No Highlighted Fields","Highlighted Fields Present"))</f>
        <v/>
      </c>
      <c r="F15" s="331" t="str">
        <f>IF($H15="","",IF(OR(NOT(ISFORMULA(INDEX('Game Records'!$N:$N,$H15))),NOT(ISFORMULA(INDEX('Game Records'!$O:$O,$H15))),NOT(ISFORMULA(INDEX('Game Records'!$P:$P,$H15))),NOT(ISFORMULA(INDEX('Game Records'!$Q:$Q,$H15))),NOT(ISFORMULA(INDEX('Game Records'!$R:$R,$H15))),NOT(ISFORMULA(INDEX('Game Records'!$S:$S,$H15))),NOT(ISFORMULA(INDEX('Game Records'!$T:$T,$H15))),NOT(ISFORMULA(INDEX('Game Records'!$U:$U,$H15))),NOT(ISFORMULA(INDEX('Game Records'!$V:$V,$H15))),NOT(ISFORMULA(INDEX('Game Records'!$W:$W,$H15))),NOT(ISFORMULA(INDEX('Game Records'!$X:$X,$H15))),NOT(ISFORMULA(INDEX('Game Records'!$Y:$Y,$H15))),NOT(ISFORMULA(INDEX('Game Records'!$Z:$Z,$H15)))),"Formula columns missing; ","")&amp;IF(INDEX('Game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Earned; ","")&amp;IF(AND(LOWER(INDEX('Game Records'!$D:$D,$H15)&amp;"")="finalized",INDEX('Game Records'!$U:$U,$H15)&lt;&gt;"Subscription",INDEX('Game Records'!$U:$U,$H15)&lt;&gt;"Free Game",INDEX('Game Records'!$U:$U,$H15)&lt;&gt;"Disqualified — Free Game",OR(INDEX('Game Records'!$L:$L,$H15)="",LOWER(INDEX('Game Records'!$L:$L,$H15)&amp;"")="n/a")),"Disqualified Status; ","")&amp;IF(AND(OR(INDEX('Game Records'!$U:$U,$H15)="Free Game",INDEX('Game Records'!$U:$U,$H15)="Disqualified — Free Game"),N(INDEX('Game Records'!$H:$H,$H15))&lt;&gt;0),"Free Game has a non-zero Entry Fee; ",""))</f>
        <v/>
      </c>
      <c r="G15" s="331" t="str">
        <f>IF($H15="","",IFERROR(INDEX('Game Records'!$M:$M,$H15),""))</f>
        <v/>
      </c>
      <c r="H15" s="104" t="str">
        <f>IF($H14="","",IFERROR(MATCH(1,INDEX((ROW('Game Records'!$U$5:$U$504)&gt;$H14)*(('Game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 s="104"/>
      <c r="J15" s="104"/>
    </row>
    <row r="16" ht="24" hidden="0" customHeight="1">
      <c r="A16" s="332" t="str">
        <f>IF($H16="","",ROWS($A$5:A16))</f>
        <v/>
      </c>
      <c r="B16" s="332" t="str">
        <f>IF($H16="","","G-"&amp;TEXT($A16,"0000"))</f>
        <v/>
      </c>
      <c r="C16" s="331" t="str">
        <f>IF($H16="","",IFERROR(INDEX('Game Records'!$A:$A,$H16),""))</f>
        <v/>
      </c>
      <c r="D16" s="331" t="str">
        <f>IF($H16="","",IFERROR(INDEX('Game Records'!$U:$U,$H16),""))</f>
        <v/>
      </c>
      <c r="E16" s="331" t="str">
        <f>IF($H16="","",IF($F16="","No Highlighted Fields","Highlighted Fields Present"))</f>
        <v/>
      </c>
      <c r="F16" s="331" t="str">
        <f>IF($H16="","",IF(OR(NOT(ISFORMULA(INDEX('Game Records'!$N:$N,$H16))),NOT(ISFORMULA(INDEX('Game Records'!$O:$O,$H16))),NOT(ISFORMULA(INDEX('Game Records'!$P:$P,$H16))),NOT(ISFORMULA(INDEX('Game Records'!$Q:$Q,$H16))),NOT(ISFORMULA(INDEX('Game Records'!$R:$R,$H16))),NOT(ISFORMULA(INDEX('Game Records'!$S:$S,$H16))),NOT(ISFORMULA(INDEX('Game Records'!$T:$T,$H16))),NOT(ISFORMULA(INDEX('Game Records'!$U:$U,$H16))),NOT(ISFORMULA(INDEX('Game Records'!$V:$V,$H16))),NOT(ISFORMULA(INDEX('Game Records'!$W:$W,$H16))),NOT(ISFORMULA(INDEX('Game Records'!$X:$X,$H16))),NOT(ISFORMULA(INDEX('Game Records'!$Y:$Y,$H16))),NOT(ISFORMULA(INDEX('Game Records'!$Z:$Z,$H16)))),"Formula columns missing; ","")&amp;IF(INDEX('Game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Earned; ","")&amp;IF(AND(LOWER(INDEX('Game Records'!$D:$D,$H16)&amp;"")="finalized",INDEX('Game Records'!$U:$U,$H16)&lt;&gt;"Subscription",INDEX('Game Records'!$U:$U,$H16)&lt;&gt;"Free Game",INDEX('Game Records'!$U:$U,$H16)&lt;&gt;"Disqualified — Free Game",OR(INDEX('Game Records'!$L:$L,$H16)="",LOWER(INDEX('Game Records'!$L:$L,$H16)&amp;"")="n/a")),"Disqualified Status; ","")&amp;IF(AND(OR(INDEX('Game Records'!$U:$U,$H16)="Free Game",INDEX('Game Records'!$U:$U,$H16)="Disqualified — Free Game"),N(INDEX('Game Records'!$H:$H,$H16))&lt;&gt;0),"Free Game has a non-zero Entry Fee; ",""))</f>
        <v/>
      </c>
      <c r="G16" s="331" t="str">
        <f>IF($H16="","",IFERROR(INDEX('Game Records'!$M:$M,$H16),""))</f>
        <v/>
      </c>
      <c r="H16" s="104" t="str">
        <f>IF($H15="","",IFERROR(MATCH(1,INDEX((ROW('Game Records'!$U$5:$U$504)&gt;$H15)*(('Game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 s="104"/>
      <c r="J16" s="104"/>
    </row>
    <row r="17" ht="24" hidden="0" customHeight="1">
      <c r="A17" s="332" t="str">
        <f>IF($H17="","",ROWS($A$5:A17))</f>
        <v/>
      </c>
      <c r="B17" s="332" t="str">
        <f>IF($H17="","","G-"&amp;TEXT($A17,"0000"))</f>
        <v/>
      </c>
      <c r="C17" s="331" t="str">
        <f>IF($H17="","",IFERROR(INDEX('Game Records'!$A:$A,$H17),""))</f>
        <v/>
      </c>
      <c r="D17" s="331" t="str">
        <f>IF($H17="","",IFERROR(INDEX('Game Records'!$U:$U,$H17),""))</f>
        <v/>
      </c>
      <c r="E17" s="331" t="str">
        <f>IF($H17="","",IF($F17="","No Highlighted Fields","Highlighted Fields Present"))</f>
        <v/>
      </c>
      <c r="F17" s="331" t="str">
        <f>IF($H17="","",IF(OR(NOT(ISFORMULA(INDEX('Game Records'!$N:$N,$H17))),NOT(ISFORMULA(INDEX('Game Records'!$O:$O,$H17))),NOT(ISFORMULA(INDEX('Game Records'!$P:$P,$H17))),NOT(ISFORMULA(INDEX('Game Records'!$Q:$Q,$H17))),NOT(ISFORMULA(INDEX('Game Records'!$R:$R,$H17))),NOT(ISFORMULA(INDEX('Game Records'!$S:$S,$H17))),NOT(ISFORMULA(INDEX('Game Records'!$T:$T,$H17))),NOT(ISFORMULA(INDEX('Game Records'!$U:$U,$H17))),NOT(ISFORMULA(INDEX('Game Records'!$V:$V,$H17))),NOT(ISFORMULA(INDEX('Game Records'!$W:$W,$H17))),NOT(ISFORMULA(INDEX('Game Records'!$X:$X,$H17))),NOT(ISFORMULA(INDEX('Game Records'!$Y:$Y,$H17))),NOT(ISFORMULA(INDEX('Game Records'!$Z:$Z,$H17)))),"Formula columns missing; ","")&amp;IF(INDEX('Game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Earned; ","")&amp;IF(AND(LOWER(INDEX('Game Records'!$D:$D,$H17)&amp;"")="finalized",INDEX('Game Records'!$U:$U,$H17)&lt;&gt;"Subscription",INDEX('Game Records'!$U:$U,$H17)&lt;&gt;"Free Game",INDEX('Game Records'!$U:$U,$H17)&lt;&gt;"Disqualified — Free Game",OR(INDEX('Game Records'!$L:$L,$H17)="",LOWER(INDEX('Game Records'!$L:$L,$H17)&amp;"")="n/a")),"Disqualified Status; ","")&amp;IF(AND(OR(INDEX('Game Records'!$U:$U,$H17)="Free Game",INDEX('Game Records'!$U:$U,$H17)="Disqualified — Free Game"),N(INDEX('Game Records'!$H:$H,$H17))&lt;&gt;0),"Free Game has a non-zero Entry Fee; ",""))</f>
        <v/>
      </c>
      <c r="G17" s="331" t="str">
        <f>IF($H17="","",IFERROR(INDEX('Game Records'!$M:$M,$H17),""))</f>
        <v/>
      </c>
      <c r="H17" s="104" t="str">
        <f>IF($H16="","",IFERROR(MATCH(1,INDEX((ROW('Game Records'!$U$5:$U$504)&gt;$H16)*(('Game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 s="104"/>
      <c r="J17" s="104"/>
    </row>
    <row r="18" ht="24" hidden="0" customHeight="1">
      <c r="A18" s="332" t="str">
        <f>IF($H18="","",ROWS($A$5:A18))</f>
        <v/>
      </c>
      <c r="B18" s="332" t="str">
        <f>IF($H18="","","G-"&amp;TEXT($A18,"0000"))</f>
        <v/>
      </c>
      <c r="C18" s="331" t="str">
        <f>IF($H18="","",IFERROR(INDEX('Game Records'!$A:$A,$H18),""))</f>
        <v/>
      </c>
      <c r="D18" s="331" t="str">
        <f>IF($H18="","",IFERROR(INDEX('Game Records'!$U:$U,$H18),""))</f>
        <v/>
      </c>
      <c r="E18" s="331" t="str">
        <f>IF($H18="","",IF($F18="","No Highlighted Fields","Highlighted Fields Present"))</f>
        <v/>
      </c>
      <c r="F18" s="331" t="str">
        <f>IF($H18="","",IF(OR(NOT(ISFORMULA(INDEX('Game Records'!$N:$N,$H18))),NOT(ISFORMULA(INDEX('Game Records'!$O:$O,$H18))),NOT(ISFORMULA(INDEX('Game Records'!$P:$P,$H18))),NOT(ISFORMULA(INDEX('Game Records'!$Q:$Q,$H18))),NOT(ISFORMULA(INDEX('Game Records'!$R:$R,$H18))),NOT(ISFORMULA(INDEX('Game Records'!$S:$S,$H18))),NOT(ISFORMULA(INDEX('Game Records'!$T:$T,$H18))),NOT(ISFORMULA(INDEX('Game Records'!$U:$U,$H18))),NOT(ISFORMULA(INDEX('Game Records'!$V:$V,$H18))),NOT(ISFORMULA(INDEX('Game Records'!$W:$W,$H18))),NOT(ISFORMULA(INDEX('Game Records'!$X:$X,$H18))),NOT(ISFORMULA(INDEX('Game Records'!$Y:$Y,$H18))),NOT(ISFORMULA(INDEX('Game Records'!$Z:$Z,$H18)))),"Formula columns missing; ","")&amp;IF(INDEX('Game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Earned; ","")&amp;IF(AND(LOWER(INDEX('Game Records'!$D:$D,$H18)&amp;"")="finalized",INDEX('Game Records'!$U:$U,$H18)&lt;&gt;"Subscription",INDEX('Game Records'!$U:$U,$H18)&lt;&gt;"Free Game",INDEX('Game Records'!$U:$U,$H18)&lt;&gt;"Disqualified — Free Game",OR(INDEX('Game Records'!$L:$L,$H18)="",LOWER(INDEX('Game Records'!$L:$L,$H18)&amp;"")="n/a")),"Disqualified Status; ","")&amp;IF(AND(OR(INDEX('Game Records'!$U:$U,$H18)="Free Game",INDEX('Game Records'!$U:$U,$H18)="Disqualified — Free Game"),N(INDEX('Game Records'!$H:$H,$H18))&lt;&gt;0),"Free Game has a non-zero Entry Fee; ",""))</f>
        <v/>
      </c>
      <c r="G18" s="331" t="str">
        <f>IF($H18="","",IFERROR(INDEX('Game Records'!$M:$M,$H18),""))</f>
        <v/>
      </c>
      <c r="H18" s="104" t="str">
        <f>IF($H17="","",IFERROR(MATCH(1,INDEX((ROW('Game Records'!$U$5:$U$504)&gt;$H17)*(('Game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 s="104"/>
      <c r="J18" s="104"/>
    </row>
    <row r="19" ht="24" hidden="0" customHeight="1">
      <c r="A19" s="332" t="str">
        <f>IF($H19="","",ROWS($A$5:A19))</f>
        <v/>
      </c>
      <c r="B19" s="332" t="str">
        <f>IF($H19="","","G-"&amp;TEXT($A19,"0000"))</f>
        <v/>
      </c>
      <c r="C19" s="331" t="str">
        <f>IF($H19="","",IFERROR(INDEX('Game Records'!$A:$A,$H19),""))</f>
        <v/>
      </c>
      <c r="D19" s="331" t="str">
        <f>IF($H19="","",IFERROR(INDEX('Game Records'!$U:$U,$H19),""))</f>
        <v/>
      </c>
      <c r="E19" s="331" t="str">
        <f>IF($H19="","",IF($F19="","No Highlighted Fields","Highlighted Fields Present"))</f>
        <v/>
      </c>
      <c r="F19" s="331" t="str">
        <f>IF($H19="","",IF(OR(NOT(ISFORMULA(INDEX('Game Records'!$N:$N,$H19))),NOT(ISFORMULA(INDEX('Game Records'!$O:$O,$H19))),NOT(ISFORMULA(INDEX('Game Records'!$P:$P,$H19))),NOT(ISFORMULA(INDEX('Game Records'!$Q:$Q,$H19))),NOT(ISFORMULA(INDEX('Game Records'!$R:$R,$H19))),NOT(ISFORMULA(INDEX('Game Records'!$S:$S,$H19))),NOT(ISFORMULA(INDEX('Game Records'!$T:$T,$H19))),NOT(ISFORMULA(INDEX('Game Records'!$U:$U,$H19))),NOT(ISFORMULA(INDEX('Game Records'!$V:$V,$H19))),NOT(ISFORMULA(INDEX('Game Records'!$W:$W,$H19))),NOT(ISFORMULA(INDEX('Game Records'!$X:$X,$H19))),NOT(ISFORMULA(INDEX('Game Records'!$Y:$Y,$H19))),NOT(ISFORMULA(INDEX('Game Records'!$Z:$Z,$H19)))),"Formula columns missing; ","")&amp;IF(INDEX('Game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Earned; ","")&amp;IF(AND(LOWER(INDEX('Game Records'!$D:$D,$H19)&amp;"")="finalized",INDEX('Game Records'!$U:$U,$H19)&lt;&gt;"Subscription",INDEX('Game Records'!$U:$U,$H19)&lt;&gt;"Free Game",INDEX('Game Records'!$U:$U,$H19)&lt;&gt;"Disqualified — Free Game",OR(INDEX('Game Records'!$L:$L,$H19)="",LOWER(INDEX('Game Records'!$L:$L,$H19)&amp;"")="n/a")),"Disqualified Status; ","")&amp;IF(AND(OR(INDEX('Game Records'!$U:$U,$H19)="Free Game",INDEX('Game Records'!$U:$U,$H19)="Disqualified — Free Game"),N(INDEX('Game Records'!$H:$H,$H19))&lt;&gt;0),"Free Game has a non-zero Entry Fee; ",""))</f>
        <v/>
      </c>
      <c r="G19" s="331" t="str">
        <f>IF($H19="","",IFERROR(INDEX('Game Records'!$M:$M,$H19),""))</f>
        <v/>
      </c>
      <c r="H19" s="104" t="str">
        <f>IF($H18="","",IFERROR(MATCH(1,INDEX((ROW('Game Records'!$U$5:$U$504)&gt;$H18)*(('Game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 s="104"/>
      <c r="J19" s="104"/>
    </row>
    <row r="20" ht="24" hidden="0" customHeight="1">
      <c r="A20" s="332" t="str">
        <f>IF($H20="","",ROWS($A$5:A20))</f>
        <v/>
      </c>
      <c r="B20" s="332" t="str">
        <f>IF($H20="","","G-"&amp;TEXT($A20,"0000"))</f>
        <v/>
      </c>
      <c r="C20" s="331" t="str">
        <f>IF($H20="","",IFERROR(INDEX('Game Records'!$A:$A,$H20),""))</f>
        <v/>
      </c>
      <c r="D20" s="331" t="str">
        <f>IF($H20="","",IFERROR(INDEX('Game Records'!$U:$U,$H20),""))</f>
        <v/>
      </c>
      <c r="E20" s="331" t="str">
        <f>IF($H20="","",IF($F20="","No Highlighted Fields","Highlighted Fields Present"))</f>
        <v/>
      </c>
      <c r="F20" s="331" t="str">
        <f>IF($H20="","",IF(OR(NOT(ISFORMULA(INDEX('Game Records'!$N:$N,$H20))),NOT(ISFORMULA(INDEX('Game Records'!$O:$O,$H20))),NOT(ISFORMULA(INDEX('Game Records'!$P:$P,$H20))),NOT(ISFORMULA(INDEX('Game Records'!$Q:$Q,$H20))),NOT(ISFORMULA(INDEX('Game Records'!$R:$R,$H20))),NOT(ISFORMULA(INDEX('Game Records'!$S:$S,$H20))),NOT(ISFORMULA(INDEX('Game Records'!$T:$T,$H20))),NOT(ISFORMULA(INDEX('Game Records'!$U:$U,$H20))),NOT(ISFORMULA(INDEX('Game Records'!$V:$V,$H20))),NOT(ISFORMULA(INDEX('Game Records'!$W:$W,$H20))),NOT(ISFORMULA(INDEX('Game Records'!$X:$X,$H20))),NOT(ISFORMULA(INDEX('Game Records'!$Y:$Y,$H20))),NOT(ISFORMULA(INDEX('Game Records'!$Z:$Z,$H20)))),"Formula columns missing; ","")&amp;IF(INDEX('Game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Earned; ","")&amp;IF(AND(LOWER(INDEX('Game Records'!$D:$D,$H20)&amp;"")="finalized",INDEX('Game Records'!$U:$U,$H20)&lt;&gt;"Subscription",INDEX('Game Records'!$U:$U,$H20)&lt;&gt;"Free Game",INDEX('Game Records'!$U:$U,$H20)&lt;&gt;"Disqualified — Free Game",OR(INDEX('Game Records'!$L:$L,$H20)="",LOWER(INDEX('Game Records'!$L:$L,$H20)&amp;"")="n/a")),"Disqualified Status; ","")&amp;IF(AND(OR(INDEX('Game Records'!$U:$U,$H20)="Free Game",INDEX('Game Records'!$U:$U,$H20)="Disqualified — Free Game"),N(INDEX('Game Records'!$H:$H,$H20))&lt;&gt;0),"Free Game has a non-zero Entry Fee; ",""))</f>
        <v/>
      </c>
      <c r="G20" s="331" t="str">
        <f>IF($H20="","",IFERROR(INDEX('Game Records'!$M:$M,$H20),""))</f>
        <v/>
      </c>
      <c r="H20" s="104" t="str">
        <f>IF($H19="","",IFERROR(MATCH(1,INDEX((ROW('Game Records'!$U$5:$U$504)&gt;$H19)*(('Game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 s="104"/>
      <c r="J20" s="104"/>
    </row>
    <row r="21" ht="24" hidden="0" customHeight="1">
      <c r="A21" s="332" t="str">
        <f>IF($H21="","",ROWS($A$5:A21))</f>
        <v/>
      </c>
      <c r="B21" s="332" t="str">
        <f>IF($H21="","","G-"&amp;TEXT($A21,"0000"))</f>
        <v/>
      </c>
      <c r="C21" s="331" t="str">
        <f>IF($H21="","",IFERROR(INDEX('Game Records'!$A:$A,$H21),""))</f>
        <v/>
      </c>
      <c r="D21" s="331" t="str">
        <f>IF($H21="","",IFERROR(INDEX('Game Records'!$U:$U,$H21),""))</f>
        <v/>
      </c>
      <c r="E21" s="331" t="str">
        <f>IF($H21="","",IF($F21="","No Highlighted Fields","Highlighted Fields Present"))</f>
        <v/>
      </c>
      <c r="F21" s="331" t="str">
        <f>IF($H21="","",IF(OR(NOT(ISFORMULA(INDEX('Game Records'!$N:$N,$H21))),NOT(ISFORMULA(INDEX('Game Records'!$O:$O,$H21))),NOT(ISFORMULA(INDEX('Game Records'!$P:$P,$H21))),NOT(ISFORMULA(INDEX('Game Records'!$Q:$Q,$H21))),NOT(ISFORMULA(INDEX('Game Records'!$R:$R,$H21))),NOT(ISFORMULA(INDEX('Game Records'!$S:$S,$H21))),NOT(ISFORMULA(INDEX('Game Records'!$T:$T,$H21))),NOT(ISFORMULA(INDEX('Game Records'!$U:$U,$H21))),NOT(ISFORMULA(INDEX('Game Records'!$V:$V,$H21))),NOT(ISFORMULA(INDEX('Game Records'!$W:$W,$H21))),NOT(ISFORMULA(INDEX('Game Records'!$X:$X,$H21))),NOT(ISFORMULA(INDEX('Game Records'!$Y:$Y,$H21))),NOT(ISFORMULA(INDEX('Game Records'!$Z:$Z,$H21)))),"Formula columns missing; ","")&amp;IF(INDEX('Game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Earned; ","")&amp;IF(AND(LOWER(INDEX('Game Records'!$D:$D,$H21)&amp;"")="finalized",INDEX('Game Records'!$U:$U,$H21)&lt;&gt;"Subscription",INDEX('Game Records'!$U:$U,$H21)&lt;&gt;"Free Game",INDEX('Game Records'!$U:$U,$H21)&lt;&gt;"Disqualified — Free Game",OR(INDEX('Game Records'!$L:$L,$H21)="",LOWER(INDEX('Game Records'!$L:$L,$H21)&amp;"")="n/a")),"Disqualified Status; ","")&amp;IF(AND(OR(INDEX('Game Records'!$U:$U,$H21)="Free Game",INDEX('Game Records'!$U:$U,$H21)="Disqualified — Free Game"),N(INDEX('Game Records'!$H:$H,$H21))&lt;&gt;0),"Free Game has a non-zero Entry Fee; ",""))</f>
        <v/>
      </c>
      <c r="G21" s="331" t="str">
        <f>IF($H21="","",IFERROR(INDEX('Game Records'!$M:$M,$H21),""))</f>
        <v/>
      </c>
      <c r="H21" s="104" t="str">
        <f>IF($H20="","",IFERROR(MATCH(1,INDEX((ROW('Game Records'!$U$5:$U$504)&gt;$H20)*(('Game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1" s="104"/>
      <c r="J21" s="104"/>
    </row>
    <row r="22" ht="24" hidden="0" customHeight="1">
      <c r="A22" s="332" t="str">
        <f>IF($H22="","",ROWS($A$5:A22))</f>
        <v/>
      </c>
      <c r="B22" s="332" t="str">
        <f>IF($H22="","","G-"&amp;TEXT($A22,"0000"))</f>
        <v/>
      </c>
      <c r="C22" s="331" t="str">
        <f>IF($H22="","",IFERROR(INDEX('Game Records'!$A:$A,$H22),""))</f>
        <v/>
      </c>
      <c r="D22" s="331" t="str">
        <f>IF($H22="","",IFERROR(INDEX('Game Records'!$U:$U,$H22),""))</f>
        <v/>
      </c>
      <c r="E22" s="331" t="str">
        <f>IF($H22="","",IF($F22="","No Highlighted Fields","Highlighted Fields Present"))</f>
        <v/>
      </c>
      <c r="F22" s="331" t="str">
        <f>IF($H22="","",IF(OR(NOT(ISFORMULA(INDEX('Game Records'!$N:$N,$H22))),NOT(ISFORMULA(INDEX('Game Records'!$O:$O,$H22))),NOT(ISFORMULA(INDEX('Game Records'!$P:$P,$H22))),NOT(ISFORMULA(INDEX('Game Records'!$Q:$Q,$H22))),NOT(ISFORMULA(INDEX('Game Records'!$R:$R,$H22))),NOT(ISFORMULA(INDEX('Game Records'!$S:$S,$H22))),NOT(ISFORMULA(INDEX('Game Records'!$T:$T,$H22))),NOT(ISFORMULA(INDEX('Game Records'!$U:$U,$H22))),NOT(ISFORMULA(INDEX('Game Records'!$V:$V,$H22))),NOT(ISFORMULA(INDEX('Game Records'!$W:$W,$H22))),NOT(ISFORMULA(INDEX('Game Records'!$X:$X,$H22))),NOT(ISFORMULA(INDEX('Game Records'!$Y:$Y,$H22))),NOT(ISFORMULA(INDEX('Game Records'!$Z:$Z,$H22)))),"Formula columns missing; ","")&amp;IF(INDEX('Game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Earned; ","")&amp;IF(AND(LOWER(INDEX('Game Records'!$D:$D,$H22)&amp;"")="finalized",INDEX('Game Records'!$U:$U,$H22)&lt;&gt;"Subscription",INDEX('Game Records'!$U:$U,$H22)&lt;&gt;"Free Game",INDEX('Game Records'!$U:$U,$H22)&lt;&gt;"Disqualified — Free Game",OR(INDEX('Game Records'!$L:$L,$H22)="",LOWER(INDEX('Game Records'!$L:$L,$H22)&amp;"")="n/a")),"Disqualified Status; ","")&amp;IF(AND(OR(INDEX('Game Records'!$U:$U,$H22)="Free Game",INDEX('Game Records'!$U:$U,$H22)="Disqualified — Free Game"),N(INDEX('Game Records'!$H:$H,$H22))&lt;&gt;0),"Free Game has a non-zero Entry Fee; ",""))</f>
        <v/>
      </c>
      <c r="G22" s="331" t="str">
        <f>IF($H22="","",IFERROR(INDEX('Game Records'!$M:$M,$H22),""))</f>
        <v/>
      </c>
      <c r="H22" s="104" t="str">
        <f>IF($H21="","",IFERROR(MATCH(1,INDEX((ROW('Game Records'!$U$5:$U$504)&gt;$H21)*(('Game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2" s="104"/>
      <c r="J22" s="104"/>
    </row>
    <row r="23" ht="24" hidden="0" customHeight="1">
      <c r="A23" s="332" t="str">
        <f>IF($H23="","",ROWS($A$5:A23))</f>
        <v/>
      </c>
      <c r="B23" s="332" t="str">
        <f>IF($H23="","","G-"&amp;TEXT($A23,"0000"))</f>
        <v/>
      </c>
      <c r="C23" s="331" t="str">
        <f>IF($H23="","",IFERROR(INDEX('Game Records'!$A:$A,$H23),""))</f>
        <v/>
      </c>
      <c r="D23" s="331" t="str">
        <f>IF($H23="","",IFERROR(INDEX('Game Records'!$U:$U,$H23),""))</f>
        <v/>
      </c>
      <c r="E23" s="331" t="str">
        <f>IF($H23="","",IF($F23="","No Highlighted Fields","Highlighted Fields Present"))</f>
        <v/>
      </c>
      <c r="F23" s="331" t="str">
        <f>IF($H23="","",IF(OR(NOT(ISFORMULA(INDEX('Game Records'!$N:$N,$H23))),NOT(ISFORMULA(INDEX('Game Records'!$O:$O,$H23))),NOT(ISFORMULA(INDEX('Game Records'!$P:$P,$H23))),NOT(ISFORMULA(INDEX('Game Records'!$Q:$Q,$H23))),NOT(ISFORMULA(INDEX('Game Records'!$R:$R,$H23))),NOT(ISFORMULA(INDEX('Game Records'!$S:$S,$H23))),NOT(ISFORMULA(INDEX('Game Records'!$T:$T,$H23))),NOT(ISFORMULA(INDEX('Game Records'!$U:$U,$H23))),NOT(ISFORMULA(INDEX('Game Records'!$V:$V,$H23))),NOT(ISFORMULA(INDEX('Game Records'!$W:$W,$H23))),NOT(ISFORMULA(INDEX('Game Records'!$X:$X,$H23))),NOT(ISFORMULA(INDEX('Game Records'!$Y:$Y,$H23))),NOT(ISFORMULA(INDEX('Game Records'!$Z:$Z,$H23)))),"Formula columns missing; ","")&amp;IF(INDEX('Game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Earned; ","")&amp;IF(AND(LOWER(INDEX('Game Records'!$D:$D,$H23)&amp;"")="finalized",INDEX('Game Records'!$U:$U,$H23)&lt;&gt;"Subscription",INDEX('Game Records'!$U:$U,$H23)&lt;&gt;"Free Game",INDEX('Game Records'!$U:$U,$H23)&lt;&gt;"Disqualified — Free Game",OR(INDEX('Game Records'!$L:$L,$H23)="",LOWER(INDEX('Game Records'!$L:$L,$H23)&amp;"")="n/a")),"Disqualified Status; ","")&amp;IF(AND(OR(INDEX('Game Records'!$U:$U,$H23)="Free Game",INDEX('Game Records'!$U:$U,$H23)="Disqualified — Free Game"),N(INDEX('Game Records'!$H:$H,$H23))&lt;&gt;0),"Free Game has a non-zero Entry Fee; ",""))</f>
        <v/>
      </c>
      <c r="G23" s="331" t="str">
        <f>IF($H23="","",IFERROR(INDEX('Game Records'!$M:$M,$H23),""))</f>
        <v/>
      </c>
      <c r="H23" s="104" t="str">
        <f>IF($H22="","",IFERROR(MATCH(1,INDEX((ROW('Game Records'!$U$5:$U$504)&gt;$H22)*(('Game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3" s="104"/>
      <c r="J23" s="104"/>
    </row>
    <row r="24" ht="24" hidden="0" customHeight="1">
      <c r="A24" s="332" t="str">
        <f>IF($H24="","",ROWS($A$5:A24))</f>
        <v/>
      </c>
      <c r="B24" s="332" t="str">
        <f>IF($H24="","","G-"&amp;TEXT($A24,"0000"))</f>
        <v/>
      </c>
      <c r="C24" s="331" t="str">
        <f>IF($H24="","",IFERROR(INDEX('Game Records'!$A:$A,$H24),""))</f>
        <v/>
      </c>
      <c r="D24" s="331" t="str">
        <f>IF($H24="","",IFERROR(INDEX('Game Records'!$U:$U,$H24),""))</f>
        <v/>
      </c>
      <c r="E24" s="331" t="str">
        <f>IF($H24="","",IF($F24="","No Highlighted Fields","Highlighted Fields Present"))</f>
        <v/>
      </c>
      <c r="F24" s="331" t="str">
        <f>IF($H24="","",IF(OR(NOT(ISFORMULA(INDEX('Game Records'!$N:$N,$H24))),NOT(ISFORMULA(INDEX('Game Records'!$O:$O,$H24))),NOT(ISFORMULA(INDEX('Game Records'!$P:$P,$H24))),NOT(ISFORMULA(INDEX('Game Records'!$Q:$Q,$H24))),NOT(ISFORMULA(INDEX('Game Records'!$R:$R,$H24))),NOT(ISFORMULA(INDEX('Game Records'!$S:$S,$H24))),NOT(ISFORMULA(INDEX('Game Records'!$T:$T,$H24))),NOT(ISFORMULA(INDEX('Game Records'!$U:$U,$H24))),NOT(ISFORMULA(INDEX('Game Records'!$V:$V,$H24))),NOT(ISFORMULA(INDEX('Game Records'!$W:$W,$H24))),NOT(ISFORMULA(INDEX('Game Records'!$X:$X,$H24))),NOT(ISFORMULA(INDEX('Game Records'!$Y:$Y,$H24))),NOT(ISFORMULA(INDEX('Game Records'!$Z:$Z,$H24)))),"Formula columns missing; ","")&amp;IF(INDEX('Game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Earned; ","")&amp;IF(AND(LOWER(INDEX('Game Records'!$D:$D,$H24)&amp;"")="finalized",INDEX('Game Records'!$U:$U,$H24)&lt;&gt;"Subscription",INDEX('Game Records'!$U:$U,$H24)&lt;&gt;"Free Game",INDEX('Game Records'!$U:$U,$H24)&lt;&gt;"Disqualified — Free Game",OR(INDEX('Game Records'!$L:$L,$H24)="",LOWER(INDEX('Game Records'!$L:$L,$H24)&amp;"")="n/a")),"Disqualified Status; ","")&amp;IF(AND(OR(INDEX('Game Records'!$U:$U,$H24)="Free Game",INDEX('Game Records'!$U:$U,$H24)="Disqualified — Free Game"),N(INDEX('Game Records'!$H:$H,$H24))&lt;&gt;0),"Free Game has a non-zero Entry Fee; ",""))</f>
        <v/>
      </c>
      <c r="G24" s="331" t="str">
        <f>IF($H24="","",IFERROR(INDEX('Game Records'!$M:$M,$H24),""))</f>
        <v/>
      </c>
      <c r="H24" s="104" t="str">
        <f>IF($H23="","",IFERROR(MATCH(1,INDEX((ROW('Game Records'!$U$5:$U$504)&gt;$H23)*(('Game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4" s="104"/>
      <c r="J24" s="104"/>
    </row>
    <row r="25" ht="24" hidden="0" customHeight="1">
      <c r="A25" s="332" t="str">
        <f>IF($H25="","",ROWS($A$5:A25))</f>
        <v/>
      </c>
      <c r="B25" s="332" t="str">
        <f>IF($H25="","","G-"&amp;TEXT($A25,"0000"))</f>
        <v/>
      </c>
      <c r="C25" s="331" t="str">
        <f>IF($H25="","",IFERROR(INDEX('Game Records'!$A:$A,$H25),""))</f>
        <v/>
      </c>
      <c r="D25" s="331" t="str">
        <f>IF($H25="","",IFERROR(INDEX('Game Records'!$U:$U,$H25),""))</f>
        <v/>
      </c>
      <c r="E25" s="331" t="str">
        <f>IF($H25="","",IF($F25="","No Highlighted Fields","Highlighted Fields Present"))</f>
        <v/>
      </c>
      <c r="F25" s="331" t="str">
        <f>IF($H25="","",IF(OR(NOT(ISFORMULA(INDEX('Game Records'!$N:$N,$H25))),NOT(ISFORMULA(INDEX('Game Records'!$O:$O,$H25))),NOT(ISFORMULA(INDEX('Game Records'!$P:$P,$H25))),NOT(ISFORMULA(INDEX('Game Records'!$Q:$Q,$H25))),NOT(ISFORMULA(INDEX('Game Records'!$R:$R,$H25))),NOT(ISFORMULA(INDEX('Game Records'!$S:$S,$H25))),NOT(ISFORMULA(INDEX('Game Records'!$T:$T,$H25))),NOT(ISFORMULA(INDEX('Game Records'!$U:$U,$H25))),NOT(ISFORMULA(INDEX('Game Records'!$V:$V,$H25))),NOT(ISFORMULA(INDEX('Game Records'!$W:$W,$H25))),NOT(ISFORMULA(INDEX('Game Records'!$X:$X,$H25))),NOT(ISFORMULA(INDEX('Game Records'!$Y:$Y,$H25))),NOT(ISFORMULA(INDEX('Game Records'!$Z:$Z,$H25)))),"Formula columns missing; ","")&amp;IF(INDEX('Game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Earned; ","")&amp;IF(AND(LOWER(INDEX('Game Records'!$D:$D,$H25)&amp;"")="finalized",INDEX('Game Records'!$U:$U,$H25)&lt;&gt;"Subscription",INDEX('Game Records'!$U:$U,$H25)&lt;&gt;"Free Game",INDEX('Game Records'!$U:$U,$H25)&lt;&gt;"Disqualified — Free Game",OR(INDEX('Game Records'!$L:$L,$H25)="",LOWER(INDEX('Game Records'!$L:$L,$H25)&amp;"")="n/a")),"Disqualified Status; ","")&amp;IF(AND(OR(INDEX('Game Records'!$U:$U,$H25)="Free Game",INDEX('Game Records'!$U:$U,$H25)="Disqualified — Free Game"),N(INDEX('Game Records'!$H:$H,$H25))&lt;&gt;0),"Free Game has a non-zero Entry Fee; ",""))</f>
        <v/>
      </c>
      <c r="G25" s="331" t="str">
        <f>IF($H25="","",IFERROR(INDEX('Game Records'!$M:$M,$H25),""))</f>
        <v/>
      </c>
      <c r="H25" s="104" t="str">
        <f>IF($H24="","",IFERROR(MATCH(1,INDEX((ROW('Game Records'!$U$5:$U$504)&gt;$H24)*(('Game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5" s="104"/>
      <c r="J25" s="104"/>
    </row>
    <row r="26" ht="24" hidden="0" customHeight="1">
      <c r="A26" s="332" t="str">
        <f>IF($H26="","",ROWS($A$5:A26))</f>
        <v/>
      </c>
      <c r="B26" s="332" t="str">
        <f>IF($H26="","","G-"&amp;TEXT($A26,"0000"))</f>
        <v/>
      </c>
      <c r="C26" s="331" t="str">
        <f>IF($H26="","",IFERROR(INDEX('Game Records'!$A:$A,$H26),""))</f>
        <v/>
      </c>
      <c r="D26" s="331" t="str">
        <f>IF($H26="","",IFERROR(INDEX('Game Records'!$U:$U,$H26),""))</f>
        <v/>
      </c>
      <c r="E26" s="331" t="str">
        <f>IF($H26="","",IF($F26="","No Highlighted Fields","Highlighted Fields Present"))</f>
        <v/>
      </c>
      <c r="F26" s="331" t="str">
        <f>IF($H26="","",IF(OR(NOT(ISFORMULA(INDEX('Game Records'!$N:$N,$H26))),NOT(ISFORMULA(INDEX('Game Records'!$O:$O,$H26))),NOT(ISFORMULA(INDEX('Game Records'!$P:$P,$H26))),NOT(ISFORMULA(INDEX('Game Records'!$Q:$Q,$H26))),NOT(ISFORMULA(INDEX('Game Records'!$R:$R,$H26))),NOT(ISFORMULA(INDEX('Game Records'!$S:$S,$H26))),NOT(ISFORMULA(INDEX('Game Records'!$T:$T,$H26))),NOT(ISFORMULA(INDEX('Game Records'!$U:$U,$H26))),NOT(ISFORMULA(INDEX('Game Records'!$V:$V,$H26))),NOT(ISFORMULA(INDEX('Game Records'!$W:$W,$H26))),NOT(ISFORMULA(INDEX('Game Records'!$X:$X,$H26))),NOT(ISFORMULA(INDEX('Game Records'!$Y:$Y,$H26))),NOT(ISFORMULA(INDEX('Game Records'!$Z:$Z,$H26)))),"Formula columns missing; ","")&amp;IF(INDEX('Game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Earned; ","")&amp;IF(AND(LOWER(INDEX('Game Records'!$D:$D,$H26)&amp;"")="finalized",INDEX('Game Records'!$U:$U,$H26)&lt;&gt;"Subscription",INDEX('Game Records'!$U:$U,$H26)&lt;&gt;"Free Game",INDEX('Game Records'!$U:$U,$H26)&lt;&gt;"Disqualified — Free Game",OR(INDEX('Game Records'!$L:$L,$H26)="",LOWER(INDEX('Game Records'!$L:$L,$H26)&amp;"")="n/a")),"Disqualified Status; ","")&amp;IF(AND(OR(INDEX('Game Records'!$U:$U,$H26)="Free Game",INDEX('Game Records'!$U:$U,$H26)="Disqualified — Free Game"),N(INDEX('Game Records'!$H:$H,$H26))&lt;&gt;0),"Free Game has a non-zero Entry Fee; ",""))</f>
        <v/>
      </c>
      <c r="G26" s="331" t="str">
        <f>IF($H26="","",IFERROR(INDEX('Game Records'!$M:$M,$H26),""))</f>
        <v/>
      </c>
      <c r="H26" s="104" t="str">
        <f>IF($H25="","",IFERROR(MATCH(1,INDEX((ROW('Game Records'!$U$5:$U$504)&gt;$H25)*(('Game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6" s="104"/>
      <c r="J26" s="104"/>
    </row>
    <row r="27" ht="24" hidden="0" customHeight="1">
      <c r="A27" s="332" t="str">
        <f>IF($H27="","",ROWS($A$5:A27))</f>
        <v/>
      </c>
      <c r="B27" s="332" t="str">
        <f>IF($H27="","","G-"&amp;TEXT($A27,"0000"))</f>
        <v/>
      </c>
      <c r="C27" s="331" t="str">
        <f>IF($H27="","",IFERROR(INDEX('Game Records'!$A:$A,$H27),""))</f>
        <v/>
      </c>
      <c r="D27" s="331" t="str">
        <f>IF($H27="","",IFERROR(INDEX('Game Records'!$U:$U,$H27),""))</f>
        <v/>
      </c>
      <c r="E27" s="331" t="str">
        <f>IF($H27="","",IF($F27="","No Highlighted Fields","Highlighted Fields Present"))</f>
        <v/>
      </c>
      <c r="F27" s="331" t="str">
        <f>IF($H27="","",IF(OR(NOT(ISFORMULA(INDEX('Game Records'!$N:$N,$H27))),NOT(ISFORMULA(INDEX('Game Records'!$O:$O,$H27))),NOT(ISFORMULA(INDEX('Game Records'!$P:$P,$H27))),NOT(ISFORMULA(INDEX('Game Records'!$Q:$Q,$H27))),NOT(ISFORMULA(INDEX('Game Records'!$R:$R,$H27))),NOT(ISFORMULA(INDEX('Game Records'!$S:$S,$H27))),NOT(ISFORMULA(INDEX('Game Records'!$T:$T,$H27))),NOT(ISFORMULA(INDEX('Game Records'!$U:$U,$H27))),NOT(ISFORMULA(INDEX('Game Records'!$V:$V,$H27))),NOT(ISFORMULA(INDEX('Game Records'!$W:$W,$H27))),NOT(ISFORMULA(INDEX('Game Records'!$X:$X,$H27))),NOT(ISFORMULA(INDEX('Game Records'!$Y:$Y,$H27))),NOT(ISFORMULA(INDEX('Game Records'!$Z:$Z,$H27)))),"Formula columns missing; ","")&amp;IF(INDEX('Game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Earned; ","")&amp;IF(AND(LOWER(INDEX('Game Records'!$D:$D,$H27)&amp;"")="finalized",INDEX('Game Records'!$U:$U,$H27)&lt;&gt;"Subscription",INDEX('Game Records'!$U:$U,$H27)&lt;&gt;"Free Game",INDEX('Game Records'!$U:$U,$H27)&lt;&gt;"Disqualified — Free Game",OR(INDEX('Game Records'!$L:$L,$H27)="",LOWER(INDEX('Game Records'!$L:$L,$H27)&amp;"")="n/a")),"Disqualified Status; ","")&amp;IF(AND(OR(INDEX('Game Records'!$U:$U,$H27)="Free Game",INDEX('Game Records'!$U:$U,$H27)="Disqualified — Free Game"),N(INDEX('Game Records'!$H:$H,$H27))&lt;&gt;0),"Free Game has a non-zero Entry Fee; ",""))</f>
        <v/>
      </c>
      <c r="G27" s="331" t="str">
        <f>IF($H27="","",IFERROR(INDEX('Game Records'!$M:$M,$H27),""))</f>
        <v/>
      </c>
      <c r="H27" s="104" t="str">
        <f>IF($H26="","",IFERROR(MATCH(1,INDEX((ROW('Game Records'!$U$5:$U$504)&gt;$H26)*(('Game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7" s="104"/>
      <c r="J27" s="104"/>
    </row>
    <row r="28" ht="24" hidden="0" customHeight="1">
      <c r="A28" s="332" t="str">
        <f>IF($H28="","",ROWS($A$5:A28))</f>
        <v/>
      </c>
      <c r="B28" s="332" t="str">
        <f>IF($H28="","","G-"&amp;TEXT($A28,"0000"))</f>
        <v/>
      </c>
      <c r="C28" s="331" t="str">
        <f>IF($H28="","",IFERROR(INDEX('Game Records'!$A:$A,$H28),""))</f>
        <v/>
      </c>
      <c r="D28" s="331" t="str">
        <f>IF($H28="","",IFERROR(INDEX('Game Records'!$U:$U,$H28),""))</f>
        <v/>
      </c>
      <c r="E28" s="331" t="str">
        <f>IF($H28="","",IF($F28="","No Highlighted Fields","Highlighted Fields Present"))</f>
        <v/>
      </c>
      <c r="F28" s="331" t="str">
        <f>IF($H28="","",IF(OR(NOT(ISFORMULA(INDEX('Game Records'!$N:$N,$H28))),NOT(ISFORMULA(INDEX('Game Records'!$O:$O,$H28))),NOT(ISFORMULA(INDEX('Game Records'!$P:$P,$H28))),NOT(ISFORMULA(INDEX('Game Records'!$Q:$Q,$H28))),NOT(ISFORMULA(INDEX('Game Records'!$R:$R,$H28))),NOT(ISFORMULA(INDEX('Game Records'!$S:$S,$H28))),NOT(ISFORMULA(INDEX('Game Records'!$T:$T,$H28))),NOT(ISFORMULA(INDEX('Game Records'!$U:$U,$H28))),NOT(ISFORMULA(INDEX('Game Records'!$V:$V,$H28))),NOT(ISFORMULA(INDEX('Game Records'!$W:$W,$H28))),NOT(ISFORMULA(INDEX('Game Records'!$X:$X,$H28))),NOT(ISFORMULA(INDEX('Game Records'!$Y:$Y,$H28))),NOT(ISFORMULA(INDEX('Game Records'!$Z:$Z,$H28)))),"Formula columns missing; ","")&amp;IF(INDEX('Game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Earned; ","")&amp;IF(AND(LOWER(INDEX('Game Records'!$D:$D,$H28)&amp;"")="finalized",INDEX('Game Records'!$U:$U,$H28)&lt;&gt;"Subscription",INDEX('Game Records'!$U:$U,$H28)&lt;&gt;"Free Game",INDEX('Game Records'!$U:$U,$H28)&lt;&gt;"Disqualified — Free Game",OR(INDEX('Game Records'!$L:$L,$H28)="",LOWER(INDEX('Game Records'!$L:$L,$H28)&amp;"")="n/a")),"Disqualified Status; ","")&amp;IF(AND(OR(INDEX('Game Records'!$U:$U,$H28)="Free Game",INDEX('Game Records'!$U:$U,$H28)="Disqualified — Free Game"),N(INDEX('Game Records'!$H:$H,$H28))&lt;&gt;0),"Free Game has a non-zero Entry Fee; ",""))</f>
        <v/>
      </c>
      <c r="G28" s="331" t="str">
        <f>IF($H28="","",IFERROR(INDEX('Game Records'!$M:$M,$H28),""))</f>
        <v/>
      </c>
      <c r="H28" s="104" t="str">
        <f>IF($H27="","",IFERROR(MATCH(1,INDEX((ROW('Game Records'!$U$5:$U$504)&gt;$H27)*(('Game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8" s="104"/>
      <c r="J28" s="104"/>
    </row>
    <row r="29" ht="24" hidden="0" customHeight="1">
      <c r="A29" s="332" t="str">
        <f>IF($H29="","",ROWS($A$5:A29))</f>
        <v/>
      </c>
      <c r="B29" s="332" t="str">
        <f>IF($H29="","","G-"&amp;TEXT($A29,"0000"))</f>
        <v/>
      </c>
      <c r="C29" s="331" t="str">
        <f>IF($H29="","",IFERROR(INDEX('Game Records'!$A:$A,$H29),""))</f>
        <v/>
      </c>
      <c r="D29" s="331" t="str">
        <f>IF($H29="","",IFERROR(INDEX('Game Records'!$U:$U,$H29),""))</f>
        <v/>
      </c>
      <c r="E29" s="331" t="str">
        <f>IF($H29="","",IF($F29="","No Highlighted Fields","Highlighted Fields Present"))</f>
        <v/>
      </c>
      <c r="F29" s="331" t="str">
        <f>IF($H29="","",IF(OR(NOT(ISFORMULA(INDEX('Game Records'!$N:$N,$H29))),NOT(ISFORMULA(INDEX('Game Records'!$O:$O,$H29))),NOT(ISFORMULA(INDEX('Game Records'!$P:$P,$H29))),NOT(ISFORMULA(INDEX('Game Records'!$Q:$Q,$H29))),NOT(ISFORMULA(INDEX('Game Records'!$R:$R,$H29))),NOT(ISFORMULA(INDEX('Game Records'!$S:$S,$H29))),NOT(ISFORMULA(INDEX('Game Records'!$T:$T,$H29))),NOT(ISFORMULA(INDEX('Game Records'!$U:$U,$H29))),NOT(ISFORMULA(INDEX('Game Records'!$V:$V,$H29))),NOT(ISFORMULA(INDEX('Game Records'!$W:$W,$H29))),NOT(ISFORMULA(INDEX('Game Records'!$X:$X,$H29))),NOT(ISFORMULA(INDEX('Game Records'!$Y:$Y,$H29))),NOT(ISFORMULA(INDEX('Game Records'!$Z:$Z,$H29)))),"Formula columns missing; ","")&amp;IF(INDEX('Game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Earned; ","")&amp;IF(AND(LOWER(INDEX('Game Records'!$D:$D,$H29)&amp;"")="finalized",INDEX('Game Records'!$U:$U,$H29)&lt;&gt;"Subscription",INDEX('Game Records'!$U:$U,$H29)&lt;&gt;"Free Game",INDEX('Game Records'!$U:$U,$H29)&lt;&gt;"Disqualified — Free Game",OR(INDEX('Game Records'!$L:$L,$H29)="",LOWER(INDEX('Game Records'!$L:$L,$H29)&amp;"")="n/a")),"Disqualified Status; ","")&amp;IF(AND(OR(INDEX('Game Records'!$U:$U,$H29)="Free Game",INDEX('Game Records'!$U:$U,$H29)="Disqualified — Free Game"),N(INDEX('Game Records'!$H:$H,$H29))&lt;&gt;0),"Free Game has a non-zero Entry Fee; ",""))</f>
        <v/>
      </c>
      <c r="G29" s="331" t="str">
        <f>IF($H29="","",IFERROR(INDEX('Game Records'!$M:$M,$H29),""))</f>
        <v/>
      </c>
      <c r="H29" s="104" t="str">
        <f>IF($H28="","",IFERROR(MATCH(1,INDEX((ROW('Game Records'!$U$5:$U$504)&gt;$H28)*(('Game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9" s="104"/>
      <c r="J29" s="104"/>
    </row>
    <row r="30" ht="24" hidden="0" customHeight="1">
      <c r="A30" s="332" t="str">
        <f>IF($H30="","",ROWS($A$5:A30))</f>
        <v/>
      </c>
      <c r="B30" s="332" t="str">
        <f>IF($H30="","","G-"&amp;TEXT($A30,"0000"))</f>
        <v/>
      </c>
      <c r="C30" s="331" t="str">
        <f>IF($H30="","",IFERROR(INDEX('Game Records'!$A:$A,$H30),""))</f>
        <v/>
      </c>
      <c r="D30" s="331" t="str">
        <f>IF($H30="","",IFERROR(INDEX('Game Records'!$U:$U,$H30),""))</f>
        <v/>
      </c>
      <c r="E30" s="331" t="str">
        <f>IF($H30="","",IF($F30="","No Highlighted Fields","Highlighted Fields Present"))</f>
        <v/>
      </c>
      <c r="F30" s="331" t="str">
        <f>IF($H30="","",IF(OR(NOT(ISFORMULA(INDEX('Game Records'!$N:$N,$H30))),NOT(ISFORMULA(INDEX('Game Records'!$O:$O,$H30))),NOT(ISFORMULA(INDEX('Game Records'!$P:$P,$H30))),NOT(ISFORMULA(INDEX('Game Records'!$Q:$Q,$H30))),NOT(ISFORMULA(INDEX('Game Records'!$R:$R,$H30))),NOT(ISFORMULA(INDEX('Game Records'!$S:$S,$H30))),NOT(ISFORMULA(INDEX('Game Records'!$T:$T,$H30))),NOT(ISFORMULA(INDEX('Game Records'!$U:$U,$H30))),NOT(ISFORMULA(INDEX('Game Records'!$V:$V,$H30))),NOT(ISFORMULA(INDEX('Game Records'!$W:$W,$H30))),NOT(ISFORMULA(INDEX('Game Records'!$X:$X,$H30))),NOT(ISFORMULA(INDEX('Game Records'!$Y:$Y,$H30))),NOT(ISFORMULA(INDEX('Game Records'!$Z:$Z,$H30)))),"Formula columns missing; ","")&amp;IF(INDEX('Game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Earned; ","")&amp;IF(AND(LOWER(INDEX('Game Records'!$D:$D,$H30)&amp;"")="finalized",INDEX('Game Records'!$U:$U,$H30)&lt;&gt;"Subscription",INDEX('Game Records'!$U:$U,$H30)&lt;&gt;"Free Game",INDEX('Game Records'!$U:$U,$H30)&lt;&gt;"Disqualified — Free Game",OR(INDEX('Game Records'!$L:$L,$H30)="",LOWER(INDEX('Game Records'!$L:$L,$H30)&amp;"")="n/a")),"Disqualified Status; ","")&amp;IF(AND(OR(INDEX('Game Records'!$U:$U,$H30)="Free Game",INDEX('Game Records'!$U:$U,$H30)="Disqualified — Free Game"),N(INDEX('Game Records'!$H:$H,$H30))&lt;&gt;0),"Free Game has a non-zero Entry Fee; ",""))</f>
        <v/>
      </c>
      <c r="G30" s="331" t="str">
        <f>IF($H30="","",IFERROR(INDEX('Game Records'!$M:$M,$H30),""))</f>
        <v/>
      </c>
      <c r="H30" s="104" t="str">
        <f>IF($H29="","",IFERROR(MATCH(1,INDEX((ROW('Game Records'!$U$5:$U$504)&gt;$H29)*(('Game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0" s="104"/>
      <c r="J30" s="104"/>
    </row>
    <row r="31" ht="24" hidden="0" customHeight="1">
      <c r="A31" s="332" t="str">
        <f>IF($H31="","",ROWS($A$5:A31))</f>
        <v/>
      </c>
      <c r="B31" s="332" t="str">
        <f>IF($H31="","","G-"&amp;TEXT($A31,"0000"))</f>
        <v/>
      </c>
      <c r="C31" s="331" t="str">
        <f>IF($H31="","",IFERROR(INDEX('Game Records'!$A:$A,$H31),""))</f>
        <v/>
      </c>
      <c r="D31" s="331" t="str">
        <f>IF($H31="","",IFERROR(INDEX('Game Records'!$U:$U,$H31),""))</f>
        <v/>
      </c>
      <c r="E31" s="331" t="str">
        <f>IF($H31="","",IF($F31="","No Highlighted Fields","Highlighted Fields Present"))</f>
        <v/>
      </c>
      <c r="F31" s="331" t="str">
        <f>IF($H31="","",IF(OR(NOT(ISFORMULA(INDEX('Game Records'!$N:$N,$H31))),NOT(ISFORMULA(INDEX('Game Records'!$O:$O,$H31))),NOT(ISFORMULA(INDEX('Game Records'!$P:$P,$H31))),NOT(ISFORMULA(INDEX('Game Records'!$Q:$Q,$H31))),NOT(ISFORMULA(INDEX('Game Records'!$R:$R,$H31))),NOT(ISFORMULA(INDEX('Game Records'!$S:$S,$H31))),NOT(ISFORMULA(INDEX('Game Records'!$T:$T,$H31))),NOT(ISFORMULA(INDEX('Game Records'!$U:$U,$H31))),NOT(ISFORMULA(INDEX('Game Records'!$V:$V,$H31))),NOT(ISFORMULA(INDEX('Game Records'!$W:$W,$H31))),NOT(ISFORMULA(INDEX('Game Records'!$X:$X,$H31))),NOT(ISFORMULA(INDEX('Game Records'!$Y:$Y,$H31))),NOT(ISFORMULA(INDEX('Game Records'!$Z:$Z,$H31)))),"Formula columns missing; ","")&amp;IF(INDEX('Game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Earned; ","")&amp;IF(AND(LOWER(INDEX('Game Records'!$D:$D,$H31)&amp;"")="finalized",INDEX('Game Records'!$U:$U,$H31)&lt;&gt;"Subscription",INDEX('Game Records'!$U:$U,$H31)&lt;&gt;"Free Game",INDEX('Game Records'!$U:$U,$H31)&lt;&gt;"Disqualified — Free Game",OR(INDEX('Game Records'!$L:$L,$H31)="",LOWER(INDEX('Game Records'!$L:$L,$H31)&amp;"")="n/a")),"Disqualified Status; ","")&amp;IF(AND(OR(INDEX('Game Records'!$U:$U,$H31)="Free Game",INDEX('Game Records'!$U:$U,$H31)="Disqualified — Free Game"),N(INDEX('Game Records'!$H:$H,$H31))&lt;&gt;0),"Free Game has a non-zero Entry Fee; ",""))</f>
        <v/>
      </c>
      <c r="G31" s="331" t="str">
        <f>IF($H31="","",IFERROR(INDEX('Game Records'!$M:$M,$H31),""))</f>
        <v/>
      </c>
      <c r="H31" s="104" t="str">
        <f>IF($H30="","",IFERROR(MATCH(1,INDEX((ROW('Game Records'!$U$5:$U$504)&gt;$H30)*(('Game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1" s="104"/>
      <c r="J31" s="104"/>
    </row>
    <row r="32" ht="24" hidden="0" customHeight="1">
      <c r="A32" s="332" t="str">
        <f>IF($H32="","",ROWS($A$5:A32))</f>
        <v/>
      </c>
      <c r="B32" s="332" t="str">
        <f>IF($H32="","","G-"&amp;TEXT($A32,"0000"))</f>
        <v/>
      </c>
      <c r="C32" s="331" t="str">
        <f>IF($H32="","",IFERROR(INDEX('Game Records'!$A:$A,$H32),""))</f>
        <v/>
      </c>
      <c r="D32" s="331" t="str">
        <f>IF($H32="","",IFERROR(INDEX('Game Records'!$U:$U,$H32),""))</f>
        <v/>
      </c>
      <c r="E32" s="331" t="str">
        <f>IF($H32="","",IF($F32="","No Highlighted Fields","Highlighted Fields Present"))</f>
        <v/>
      </c>
      <c r="F32" s="331" t="str">
        <f>IF($H32="","",IF(OR(NOT(ISFORMULA(INDEX('Game Records'!$N:$N,$H32))),NOT(ISFORMULA(INDEX('Game Records'!$O:$O,$H32))),NOT(ISFORMULA(INDEX('Game Records'!$P:$P,$H32))),NOT(ISFORMULA(INDEX('Game Records'!$Q:$Q,$H32))),NOT(ISFORMULA(INDEX('Game Records'!$R:$R,$H32))),NOT(ISFORMULA(INDEX('Game Records'!$S:$S,$H32))),NOT(ISFORMULA(INDEX('Game Records'!$T:$T,$H32))),NOT(ISFORMULA(INDEX('Game Records'!$U:$U,$H32))),NOT(ISFORMULA(INDEX('Game Records'!$V:$V,$H32))),NOT(ISFORMULA(INDEX('Game Records'!$W:$W,$H32))),NOT(ISFORMULA(INDEX('Game Records'!$X:$X,$H32))),NOT(ISFORMULA(INDEX('Game Records'!$Y:$Y,$H32))),NOT(ISFORMULA(INDEX('Game Records'!$Z:$Z,$H32)))),"Formula columns missing; ","")&amp;IF(INDEX('Game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Earned; ","")&amp;IF(AND(LOWER(INDEX('Game Records'!$D:$D,$H32)&amp;"")="finalized",INDEX('Game Records'!$U:$U,$H32)&lt;&gt;"Subscription",INDEX('Game Records'!$U:$U,$H32)&lt;&gt;"Free Game",INDEX('Game Records'!$U:$U,$H32)&lt;&gt;"Disqualified — Free Game",OR(INDEX('Game Records'!$L:$L,$H32)="",LOWER(INDEX('Game Records'!$L:$L,$H32)&amp;"")="n/a")),"Disqualified Status; ","")&amp;IF(AND(OR(INDEX('Game Records'!$U:$U,$H32)="Free Game",INDEX('Game Records'!$U:$U,$H32)="Disqualified — Free Game"),N(INDEX('Game Records'!$H:$H,$H32))&lt;&gt;0),"Free Game has a non-zero Entry Fee; ",""))</f>
        <v/>
      </c>
      <c r="G32" s="331" t="str">
        <f>IF($H32="","",IFERROR(INDEX('Game Records'!$M:$M,$H32),""))</f>
        <v/>
      </c>
      <c r="H32" s="104" t="str">
        <f>IF($H31="","",IFERROR(MATCH(1,INDEX((ROW('Game Records'!$U$5:$U$504)&gt;$H31)*(('Game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2" s="104"/>
      <c r="J32" s="104"/>
    </row>
    <row r="33" ht="24" hidden="0" customHeight="1">
      <c r="A33" s="332" t="str">
        <f>IF($H33="","",ROWS($A$5:A33))</f>
        <v/>
      </c>
      <c r="B33" s="332" t="str">
        <f>IF($H33="","","G-"&amp;TEXT($A33,"0000"))</f>
        <v/>
      </c>
      <c r="C33" s="331" t="str">
        <f>IF($H33="","",IFERROR(INDEX('Game Records'!$A:$A,$H33),""))</f>
        <v/>
      </c>
      <c r="D33" s="331" t="str">
        <f>IF($H33="","",IFERROR(INDEX('Game Records'!$U:$U,$H33),""))</f>
        <v/>
      </c>
      <c r="E33" s="331" t="str">
        <f>IF($H33="","",IF($F33="","No Highlighted Fields","Highlighted Fields Present"))</f>
        <v/>
      </c>
      <c r="F33" s="331" t="str">
        <f>IF($H33="","",IF(OR(NOT(ISFORMULA(INDEX('Game Records'!$N:$N,$H33))),NOT(ISFORMULA(INDEX('Game Records'!$O:$O,$H33))),NOT(ISFORMULA(INDEX('Game Records'!$P:$P,$H33))),NOT(ISFORMULA(INDEX('Game Records'!$Q:$Q,$H33))),NOT(ISFORMULA(INDEX('Game Records'!$R:$R,$H33))),NOT(ISFORMULA(INDEX('Game Records'!$S:$S,$H33))),NOT(ISFORMULA(INDEX('Game Records'!$T:$T,$H33))),NOT(ISFORMULA(INDEX('Game Records'!$U:$U,$H33))),NOT(ISFORMULA(INDEX('Game Records'!$V:$V,$H33))),NOT(ISFORMULA(INDEX('Game Records'!$W:$W,$H33))),NOT(ISFORMULA(INDEX('Game Records'!$X:$X,$H33))),NOT(ISFORMULA(INDEX('Game Records'!$Y:$Y,$H33))),NOT(ISFORMULA(INDEX('Game Records'!$Z:$Z,$H33)))),"Formula columns missing; ","")&amp;IF(INDEX('Game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Earned; ","")&amp;IF(AND(LOWER(INDEX('Game Records'!$D:$D,$H33)&amp;"")="finalized",INDEX('Game Records'!$U:$U,$H33)&lt;&gt;"Subscription",INDEX('Game Records'!$U:$U,$H33)&lt;&gt;"Free Game",INDEX('Game Records'!$U:$U,$H33)&lt;&gt;"Disqualified — Free Game",OR(INDEX('Game Records'!$L:$L,$H33)="",LOWER(INDEX('Game Records'!$L:$L,$H33)&amp;"")="n/a")),"Disqualified Status; ","")&amp;IF(AND(OR(INDEX('Game Records'!$U:$U,$H33)="Free Game",INDEX('Game Records'!$U:$U,$H33)="Disqualified — Free Game"),N(INDEX('Game Records'!$H:$H,$H33))&lt;&gt;0),"Free Game has a non-zero Entry Fee; ",""))</f>
        <v/>
      </c>
      <c r="G33" s="331" t="str">
        <f>IF($H33="","",IFERROR(INDEX('Game Records'!$M:$M,$H33),""))</f>
        <v/>
      </c>
      <c r="H33" s="104" t="str">
        <f>IF($H32="","",IFERROR(MATCH(1,INDEX((ROW('Game Records'!$U$5:$U$504)&gt;$H32)*(('Game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3" s="104"/>
      <c r="J33" s="104"/>
    </row>
    <row r="34" ht="24" hidden="0" customHeight="1">
      <c r="A34" s="332" t="str">
        <f>IF($H34="","",ROWS($A$5:A34))</f>
        <v/>
      </c>
      <c r="B34" s="332" t="str">
        <f>IF($H34="","","G-"&amp;TEXT($A34,"0000"))</f>
        <v/>
      </c>
      <c r="C34" s="331" t="str">
        <f>IF($H34="","",IFERROR(INDEX('Game Records'!$A:$A,$H34),""))</f>
        <v/>
      </c>
      <c r="D34" s="331" t="str">
        <f>IF($H34="","",IFERROR(INDEX('Game Records'!$U:$U,$H34),""))</f>
        <v/>
      </c>
      <c r="E34" s="331" t="str">
        <f>IF($H34="","",IF($F34="","No Highlighted Fields","Highlighted Fields Present"))</f>
        <v/>
      </c>
      <c r="F34" s="331" t="str">
        <f>IF($H34="","",IF(OR(NOT(ISFORMULA(INDEX('Game Records'!$N:$N,$H34))),NOT(ISFORMULA(INDEX('Game Records'!$O:$O,$H34))),NOT(ISFORMULA(INDEX('Game Records'!$P:$P,$H34))),NOT(ISFORMULA(INDEX('Game Records'!$Q:$Q,$H34))),NOT(ISFORMULA(INDEX('Game Records'!$R:$R,$H34))),NOT(ISFORMULA(INDEX('Game Records'!$S:$S,$H34))),NOT(ISFORMULA(INDEX('Game Records'!$T:$T,$H34))),NOT(ISFORMULA(INDEX('Game Records'!$U:$U,$H34))),NOT(ISFORMULA(INDEX('Game Records'!$V:$V,$H34))),NOT(ISFORMULA(INDEX('Game Records'!$W:$W,$H34))),NOT(ISFORMULA(INDEX('Game Records'!$X:$X,$H34))),NOT(ISFORMULA(INDEX('Game Records'!$Y:$Y,$H34))),NOT(ISFORMULA(INDEX('Game Records'!$Z:$Z,$H34)))),"Formula columns missing; ","")&amp;IF(INDEX('Game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Earned; ","")&amp;IF(AND(LOWER(INDEX('Game Records'!$D:$D,$H34)&amp;"")="finalized",INDEX('Game Records'!$U:$U,$H34)&lt;&gt;"Subscription",INDEX('Game Records'!$U:$U,$H34)&lt;&gt;"Free Game",INDEX('Game Records'!$U:$U,$H34)&lt;&gt;"Disqualified — Free Game",OR(INDEX('Game Records'!$L:$L,$H34)="",LOWER(INDEX('Game Records'!$L:$L,$H34)&amp;"")="n/a")),"Disqualified Status; ","")&amp;IF(AND(OR(INDEX('Game Records'!$U:$U,$H34)="Free Game",INDEX('Game Records'!$U:$U,$H34)="Disqualified — Free Game"),N(INDEX('Game Records'!$H:$H,$H34))&lt;&gt;0),"Free Game has a non-zero Entry Fee; ",""))</f>
        <v/>
      </c>
      <c r="G34" s="331" t="str">
        <f>IF($H34="","",IFERROR(INDEX('Game Records'!$M:$M,$H34),""))</f>
        <v/>
      </c>
      <c r="H34" s="104" t="str">
        <f>IF($H33="","",IFERROR(MATCH(1,INDEX((ROW('Game Records'!$U$5:$U$504)&gt;$H33)*(('Game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4" s="104"/>
      <c r="J34" s="104"/>
    </row>
    <row r="35" ht="24" hidden="0" customHeight="1">
      <c r="A35" s="332" t="str">
        <f>IF($H35="","",ROWS($A$5:A35))</f>
        <v/>
      </c>
      <c r="B35" s="332" t="str">
        <f>IF($H35="","","G-"&amp;TEXT($A35,"0000"))</f>
        <v/>
      </c>
      <c r="C35" s="331" t="str">
        <f>IF($H35="","",IFERROR(INDEX('Game Records'!$A:$A,$H35),""))</f>
        <v/>
      </c>
      <c r="D35" s="331" t="str">
        <f>IF($H35="","",IFERROR(INDEX('Game Records'!$U:$U,$H35),""))</f>
        <v/>
      </c>
      <c r="E35" s="331" t="str">
        <f>IF($H35="","",IF($F35="","No Highlighted Fields","Highlighted Fields Present"))</f>
        <v/>
      </c>
      <c r="F35" s="331" t="str">
        <f>IF($H35="","",IF(OR(NOT(ISFORMULA(INDEX('Game Records'!$N:$N,$H35))),NOT(ISFORMULA(INDEX('Game Records'!$O:$O,$H35))),NOT(ISFORMULA(INDEX('Game Records'!$P:$P,$H35))),NOT(ISFORMULA(INDEX('Game Records'!$Q:$Q,$H35))),NOT(ISFORMULA(INDEX('Game Records'!$R:$R,$H35))),NOT(ISFORMULA(INDEX('Game Records'!$S:$S,$H35))),NOT(ISFORMULA(INDEX('Game Records'!$T:$T,$H35))),NOT(ISFORMULA(INDEX('Game Records'!$U:$U,$H35))),NOT(ISFORMULA(INDEX('Game Records'!$V:$V,$H35))),NOT(ISFORMULA(INDEX('Game Records'!$W:$W,$H35))),NOT(ISFORMULA(INDEX('Game Records'!$X:$X,$H35))),NOT(ISFORMULA(INDEX('Game Records'!$Y:$Y,$H35))),NOT(ISFORMULA(INDEX('Game Records'!$Z:$Z,$H35)))),"Formula columns missing; ","")&amp;IF(INDEX('Game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Earned; ","")&amp;IF(AND(LOWER(INDEX('Game Records'!$D:$D,$H35)&amp;"")="finalized",INDEX('Game Records'!$U:$U,$H35)&lt;&gt;"Subscription",INDEX('Game Records'!$U:$U,$H35)&lt;&gt;"Free Game",INDEX('Game Records'!$U:$U,$H35)&lt;&gt;"Disqualified — Free Game",OR(INDEX('Game Records'!$L:$L,$H35)="",LOWER(INDEX('Game Records'!$L:$L,$H35)&amp;"")="n/a")),"Disqualified Status; ","")&amp;IF(AND(OR(INDEX('Game Records'!$U:$U,$H35)="Free Game",INDEX('Game Records'!$U:$U,$H35)="Disqualified — Free Game"),N(INDEX('Game Records'!$H:$H,$H35))&lt;&gt;0),"Free Game has a non-zero Entry Fee; ",""))</f>
        <v/>
      </c>
      <c r="G35" s="331" t="str">
        <f>IF($H35="","",IFERROR(INDEX('Game Records'!$M:$M,$H35),""))</f>
        <v/>
      </c>
      <c r="H35" s="104" t="str">
        <f>IF($H34="","",IFERROR(MATCH(1,INDEX((ROW('Game Records'!$U$5:$U$504)&gt;$H34)*(('Game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5" s="104"/>
      <c r="J35" s="104"/>
    </row>
    <row r="36" ht="24" hidden="0" customHeight="1">
      <c r="A36" s="332" t="str">
        <f>IF($H36="","",ROWS($A$5:A36))</f>
        <v/>
      </c>
      <c r="B36" s="332" t="str">
        <f>IF($H36="","","G-"&amp;TEXT($A36,"0000"))</f>
        <v/>
      </c>
      <c r="C36" s="331" t="str">
        <f>IF($H36="","",IFERROR(INDEX('Game Records'!$A:$A,$H36),""))</f>
        <v/>
      </c>
      <c r="D36" s="331" t="str">
        <f>IF($H36="","",IFERROR(INDEX('Game Records'!$U:$U,$H36),""))</f>
        <v/>
      </c>
      <c r="E36" s="331" t="str">
        <f>IF($H36="","",IF($F36="","No Highlighted Fields","Highlighted Fields Present"))</f>
        <v/>
      </c>
      <c r="F36" s="331" t="str">
        <f>IF($H36="","",IF(OR(NOT(ISFORMULA(INDEX('Game Records'!$N:$N,$H36))),NOT(ISFORMULA(INDEX('Game Records'!$O:$O,$H36))),NOT(ISFORMULA(INDEX('Game Records'!$P:$P,$H36))),NOT(ISFORMULA(INDEX('Game Records'!$Q:$Q,$H36))),NOT(ISFORMULA(INDEX('Game Records'!$R:$R,$H36))),NOT(ISFORMULA(INDEX('Game Records'!$S:$S,$H36))),NOT(ISFORMULA(INDEX('Game Records'!$T:$T,$H36))),NOT(ISFORMULA(INDEX('Game Records'!$U:$U,$H36))),NOT(ISFORMULA(INDEX('Game Records'!$V:$V,$H36))),NOT(ISFORMULA(INDEX('Game Records'!$W:$W,$H36))),NOT(ISFORMULA(INDEX('Game Records'!$X:$X,$H36))),NOT(ISFORMULA(INDEX('Game Records'!$Y:$Y,$H36))),NOT(ISFORMULA(INDEX('Game Records'!$Z:$Z,$H36)))),"Formula columns missing; ","")&amp;IF(INDEX('Game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Earned; ","")&amp;IF(AND(LOWER(INDEX('Game Records'!$D:$D,$H36)&amp;"")="finalized",INDEX('Game Records'!$U:$U,$H36)&lt;&gt;"Subscription",INDEX('Game Records'!$U:$U,$H36)&lt;&gt;"Free Game",INDEX('Game Records'!$U:$U,$H36)&lt;&gt;"Disqualified — Free Game",OR(INDEX('Game Records'!$L:$L,$H36)="",LOWER(INDEX('Game Records'!$L:$L,$H36)&amp;"")="n/a")),"Disqualified Status; ","")&amp;IF(AND(OR(INDEX('Game Records'!$U:$U,$H36)="Free Game",INDEX('Game Records'!$U:$U,$H36)="Disqualified — Free Game"),N(INDEX('Game Records'!$H:$H,$H36))&lt;&gt;0),"Free Game has a non-zero Entry Fee; ",""))</f>
        <v/>
      </c>
      <c r="G36" s="331" t="str">
        <f>IF($H36="","",IFERROR(INDEX('Game Records'!$M:$M,$H36),""))</f>
        <v/>
      </c>
      <c r="H36" s="104" t="str">
        <f>IF($H35="","",IFERROR(MATCH(1,INDEX((ROW('Game Records'!$U$5:$U$504)&gt;$H35)*(('Game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6" s="104"/>
      <c r="J36" s="104"/>
    </row>
    <row r="37" ht="24" hidden="0" customHeight="1">
      <c r="A37" s="332" t="str">
        <f>IF($H37="","",ROWS($A$5:A37))</f>
        <v/>
      </c>
      <c r="B37" s="332" t="str">
        <f>IF($H37="","","G-"&amp;TEXT($A37,"0000"))</f>
        <v/>
      </c>
      <c r="C37" s="331" t="str">
        <f>IF($H37="","",IFERROR(INDEX('Game Records'!$A:$A,$H37),""))</f>
        <v/>
      </c>
      <c r="D37" s="331" t="str">
        <f>IF($H37="","",IFERROR(INDEX('Game Records'!$U:$U,$H37),""))</f>
        <v/>
      </c>
      <c r="E37" s="331" t="str">
        <f>IF($H37="","",IF($F37="","No Highlighted Fields","Highlighted Fields Present"))</f>
        <v/>
      </c>
      <c r="F37" s="331" t="str">
        <f>IF($H37="","",IF(OR(NOT(ISFORMULA(INDEX('Game Records'!$N:$N,$H37))),NOT(ISFORMULA(INDEX('Game Records'!$O:$O,$H37))),NOT(ISFORMULA(INDEX('Game Records'!$P:$P,$H37))),NOT(ISFORMULA(INDEX('Game Records'!$Q:$Q,$H37))),NOT(ISFORMULA(INDEX('Game Records'!$R:$R,$H37))),NOT(ISFORMULA(INDEX('Game Records'!$S:$S,$H37))),NOT(ISFORMULA(INDEX('Game Records'!$T:$T,$H37))),NOT(ISFORMULA(INDEX('Game Records'!$U:$U,$H37))),NOT(ISFORMULA(INDEX('Game Records'!$V:$V,$H37))),NOT(ISFORMULA(INDEX('Game Records'!$W:$W,$H37))),NOT(ISFORMULA(INDEX('Game Records'!$X:$X,$H37))),NOT(ISFORMULA(INDEX('Game Records'!$Y:$Y,$H37))),NOT(ISFORMULA(INDEX('Game Records'!$Z:$Z,$H37)))),"Formula columns missing; ","")&amp;IF(INDEX('Game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Earned; ","")&amp;IF(AND(LOWER(INDEX('Game Records'!$D:$D,$H37)&amp;"")="finalized",INDEX('Game Records'!$U:$U,$H37)&lt;&gt;"Subscription",INDEX('Game Records'!$U:$U,$H37)&lt;&gt;"Free Game",INDEX('Game Records'!$U:$U,$H37)&lt;&gt;"Disqualified — Free Game",OR(INDEX('Game Records'!$L:$L,$H37)="",LOWER(INDEX('Game Records'!$L:$L,$H37)&amp;"")="n/a")),"Disqualified Status; ","")&amp;IF(AND(OR(INDEX('Game Records'!$U:$U,$H37)="Free Game",INDEX('Game Records'!$U:$U,$H37)="Disqualified — Free Game"),N(INDEX('Game Records'!$H:$H,$H37))&lt;&gt;0),"Free Game has a non-zero Entry Fee; ",""))</f>
        <v/>
      </c>
      <c r="G37" s="331" t="str">
        <f>IF($H37="","",IFERROR(INDEX('Game Records'!$M:$M,$H37),""))</f>
        <v/>
      </c>
      <c r="H37" s="104" t="str">
        <f>IF($H36="","",IFERROR(MATCH(1,INDEX((ROW('Game Records'!$U$5:$U$504)&gt;$H36)*(('Game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7" s="104"/>
      <c r="J37" s="104"/>
    </row>
    <row r="38" ht="24" hidden="0" customHeight="1">
      <c r="A38" s="332" t="str">
        <f>IF($H38="","",ROWS($A$5:A38))</f>
        <v/>
      </c>
      <c r="B38" s="332" t="str">
        <f>IF($H38="","","G-"&amp;TEXT($A38,"0000"))</f>
        <v/>
      </c>
      <c r="C38" s="331" t="str">
        <f>IF($H38="","",IFERROR(INDEX('Game Records'!$A:$A,$H38),""))</f>
        <v/>
      </c>
      <c r="D38" s="331" t="str">
        <f>IF($H38="","",IFERROR(INDEX('Game Records'!$U:$U,$H38),""))</f>
        <v/>
      </c>
      <c r="E38" s="331" t="str">
        <f>IF($H38="","",IF($F38="","No Highlighted Fields","Highlighted Fields Present"))</f>
        <v/>
      </c>
      <c r="F38" s="331" t="str">
        <f>IF($H38="","",IF(OR(NOT(ISFORMULA(INDEX('Game Records'!$N:$N,$H38))),NOT(ISFORMULA(INDEX('Game Records'!$O:$O,$H38))),NOT(ISFORMULA(INDEX('Game Records'!$P:$P,$H38))),NOT(ISFORMULA(INDEX('Game Records'!$Q:$Q,$H38))),NOT(ISFORMULA(INDEX('Game Records'!$R:$R,$H38))),NOT(ISFORMULA(INDEX('Game Records'!$S:$S,$H38))),NOT(ISFORMULA(INDEX('Game Records'!$T:$T,$H38))),NOT(ISFORMULA(INDEX('Game Records'!$U:$U,$H38))),NOT(ISFORMULA(INDEX('Game Records'!$V:$V,$H38))),NOT(ISFORMULA(INDEX('Game Records'!$W:$W,$H38))),NOT(ISFORMULA(INDEX('Game Records'!$X:$X,$H38))),NOT(ISFORMULA(INDEX('Game Records'!$Y:$Y,$H38))),NOT(ISFORMULA(INDEX('Game Records'!$Z:$Z,$H38)))),"Formula columns missing; ","")&amp;IF(INDEX('Game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Earned; ","")&amp;IF(AND(LOWER(INDEX('Game Records'!$D:$D,$H38)&amp;"")="finalized",INDEX('Game Records'!$U:$U,$H38)&lt;&gt;"Subscription",INDEX('Game Records'!$U:$U,$H38)&lt;&gt;"Free Game",INDEX('Game Records'!$U:$U,$H38)&lt;&gt;"Disqualified — Free Game",OR(INDEX('Game Records'!$L:$L,$H38)="",LOWER(INDEX('Game Records'!$L:$L,$H38)&amp;"")="n/a")),"Disqualified Status; ","")&amp;IF(AND(OR(INDEX('Game Records'!$U:$U,$H38)="Free Game",INDEX('Game Records'!$U:$U,$H38)="Disqualified — Free Game"),N(INDEX('Game Records'!$H:$H,$H38))&lt;&gt;0),"Free Game has a non-zero Entry Fee; ",""))</f>
        <v/>
      </c>
      <c r="G38" s="331" t="str">
        <f>IF($H38="","",IFERROR(INDEX('Game Records'!$M:$M,$H38),""))</f>
        <v/>
      </c>
      <c r="H38" s="104" t="str">
        <f>IF($H37="","",IFERROR(MATCH(1,INDEX((ROW('Game Records'!$U$5:$U$504)&gt;$H37)*(('Game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8" s="104"/>
      <c r="J38" s="104"/>
    </row>
    <row r="39" ht="24" hidden="0" customHeight="1">
      <c r="A39" s="332" t="str">
        <f>IF($H39="","",ROWS($A$5:A39))</f>
        <v/>
      </c>
      <c r="B39" s="332" t="str">
        <f>IF($H39="","","G-"&amp;TEXT($A39,"0000"))</f>
        <v/>
      </c>
      <c r="C39" s="331" t="str">
        <f>IF($H39="","",IFERROR(INDEX('Game Records'!$A:$A,$H39),""))</f>
        <v/>
      </c>
      <c r="D39" s="331" t="str">
        <f>IF($H39="","",IFERROR(INDEX('Game Records'!$U:$U,$H39),""))</f>
        <v/>
      </c>
      <c r="E39" s="331" t="str">
        <f>IF($H39="","",IF($F39="","No Highlighted Fields","Highlighted Fields Present"))</f>
        <v/>
      </c>
      <c r="F39" s="331" t="str">
        <f>IF($H39="","",IF(OR(NOT(ISFORMULA(INDEX('Game Records'!$N:$N,$H39))),NOT(ISFORMULA(INDEX('Game Records'!$O:$O,$H39))),NOT(ISFORMULA(INDEX('Game Records'!$P:$P,$H39))),NOT(ISFORMULA(INDEX('Game Records'!$Q:$Q,$H39))),NOT(ISFORMULA(INDEX('Game Records'!$R:$R,$H39))),NOT(ISFORMULA(INDEX('Game Records'!$S:$S,$H39))),NOT(ISFORMULA(INDEX('Game Records'!$T:$T,$H39))),NOT(ISFORMULA(INDEX('Game Records'!$U:$U,$H39))),NOT(ISFORMULA(INDEX('Game Records'!$V:$V,$H39))),NOT(ISFORMULA(INDEX('Game Records'!$W:$W,$H39))),NOT(ISFORMULA(INDEX('Game Records'!$X:$X,$H39))),NOT(ISFORMULA(INDEX('Game Records'!$Y:$Y,$H39))),NOT(ISFORMULA(INDEX('Game Records'!$Z:$Z,$H39)))),"Formula columns missing; ","")&amp;IF(INDEX('Game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Earned; ","")&amp;IF(AND(LOWER(INDEX('Game Records'!$D:$D,$H39)&amp;"")="finalized",INDEX('Game Records'!$U:$U,$H39)&lt;&gt;"Subscription",INDEX('Game Records'!$U:$U,$H39)&lt;&gt;"Free Game",INDEX('Game Records'!$U:$U,$H39)&lt;&gt;"Disqualified — Free Game",OR(INDEX('Game Records'!$L:$L,$H39)="",LOWER(INDEX('Game Records'!$L:$L,$H39)&amp;"")="n/a")),"Disqualified Status; ","")&amp;IF(AND(OR(INDEX('Game Records'!$U:$U,$H39)="Free Game",INDEX('Game Records'!$U:$U,$H39)="Disqualified — Free Game"),N(INDEX('Game Records'!$H:$H,$H39))&lt;&gt;0),"Free Game has a non-zero Entry Fee; ",""))</f>
        <v/>
      </c>
      <c r="G39" s="331" t="str">
        <f>IF($H39="","",IFERROR(INDEX('Game Records'!$M:$M,$H39),""))</f>
        <v/>
      </c>
      <c r="H39" s="104" t="str">
        <f>IF($H38="","",IFERROR(MATCH(1,INDEX((ROW('Game Records'!$U$5:$U$504)&gt;$H38)*(('Game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9" s="104"/>
      <c r="J39" s="104"/>
    </row>
    <row r="40" ht="24" hidden="0" customHeight="1">
      <c r="A40" s="332" t="str">
        <f>IF($H40="","",ROWS($A$5:A40))</f>
        <v/>
      </c>
      <c r="B40" s="332" t="str">
        <f>IF($H40="","","G-"&amp;TEXT($A40,"0000"))</f>
        <v/>
      </c>
      <c r="C40" s="331" t="str">
        <f>IF($H40="","",IFERROR(INDEX('Game Records'!$A:$A,$H40),""))</f>
        <v/>
      </c>
      <c r="D40" s="331" t="str">
        <f>IF($H40="","",IFERROR(INDEX('Game Records'!$U:$U,$H40),""))</f>
        <v/>
      </c>
      <c r="E40" s="331" t="str">
        <f>IF($H40="","",IF($F40="","No Highlighted Fields","Highlighted Fields Present"))</f>
        <v/>
      </c>
      <c r="F40" s="331" t="str">
        <f>IF($H40="","",IF(OR(NOT(ISFORMULA(INDEX('Game Records'!$N:$N,$H40))),NOT(ISFORMULA(INDEX('Game Records'!$O:$O,$H40))),NOT(ISFORMULA(INDEX('Game Records'!$P:$P,$H40))),NOT(ISFORMULA(INDEX('Game Records'!$Q:$Q,$H40))),NOT(ISFORMULA(INDEX('Game Records'!$R:$R,$H40))),NOT(ISFORMULA(INDEX('Game Records'!$S:$S,$H40))),NOT(ISFORMULA(INDEX('Game Records'!$T:$T,$H40))),NOT(ISFORMULA(INDEX('Game Records'!$U:$U,$H40))),NOT(ISFORMULA(INDEX('Game Records'!$V:$V,$H40))),NOT(ISFORMULA(INDEX('Game Records'!$W:$W,$H40))),NOT(ISFORMULA(INDEX('Game Records'!$X:$X,$H40))),NOT(ISFORMULA(INDEX('Game Records'!$Y:$Y,$H40))),NOT(ISFORMULA(INDEX('Game Records'!$Z:$Z,$H40)))),"Formula columns missing; ","")&amp;IF(INDEX('Game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Earned; ","")&amp;IF(AND(LOWER(INDEX('Game Records'!$D:$D,$H40)&amp;"")="finalized",INDEX('Game Records'!$U:$U,$H40)&lt;&gt;"Subscription",INDEX('Game Records'!$U:$U,$H40)&lt;&gt;"Free Game",INDEX('Game Records'!$U:$U,$H40)&lt;&gt;"Disqualified — Free Game",OR(INDEX('Game Records'!$L:$L,$H40)="",LOWER(INDEX('Game Records'!$L:$L,$H40)&amp;"")="n/a")),"Disqualified Status; ","")&amp;IF(AND(OR(INDEX('Game Records'!$U:$U,$H40)="Free Game",INDEX('Game Records'!$U:$U,$H40)="Disqualified — Free Game"),N(INDEX('Game Records'!$H:$H,$H40))&lt;&gt;0),"Free Game has a non-zero Entry Fee; ",""))</f>
        <v/>
      </c>
      <c r="G40" s="331" t="str">
        <f>IF($H40="","",IFERROR(INDEX('Game Records'!$M:$M,$H40),""))</f>
        <v/>
      </c>
      <c r="H40" s="104" t="str">
        <f>IF($H39="","",IFERROR(MATCH(1,INDEX((ROW('Game Records'!$U$5:$U$504)&gt;$H39)*(('Game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0" s="104"/>
      <c r="J40" s="104"/>
    </row>
    <row r="41" ht="24" hidden="0" customHeight="1">
      <c r="A41" s="332" t="str">
        <f>IF($H41="","",ROWS($A$5:A41))</f>
        <v/>
      </c>
      <c r="B41" s="332" t="str">
        <f>IF($H41="","","G-"&amp;TEXT($A41,"0000"))</f>
        <v/>
      </c>
      <c r="C41" s="331" t="str">
        <f>IF($H41="","",IFERROR(INDEX('Game Records'!$A:$A,$H41),""))</f>
        <v/>
      </c>
      <c r="D41" s="331" t="str">
        <f>IF($H41="","",IFERROR(INDEX('Game Records'!$U:$U,$H41),""))</f>
        <v/>
      </c>
      <c r="E41" s="331" t="str">
        <f>IF($H41="","",IF($F41="","No Highlighted Fields","Highlighted Fields Present"))</f>
        <v/>
      </c>
      <c r="F41" s="331" t="str">
        <f>IF($H41="","",IF(OR(NOT(ISFORMULA(INDEX('Game Records'!$N:$N,$H41))),NOT(ISFORMULA(INDEX('Game Records'!$O:$O,$H41))),NOT(ISFORMULA(INDEX('Game Records'!$P:$P,$H41))),NOT(ISFORMULA(INDEX('Game Records'!$Q:$Q,$H41))),NOT(ISFORMULA(INDEX('Game Records'!$R:$R,$H41))),NOT(ISFORMULA(INDEX('Game Records'!$S:$S,$H41))),NOT(ISFORMULA(INDEX('Game Records'!$T:$T,$H41))),NOT(ISFORMULA(INDEX('Game Records'!$U:$U,$H41))),NOT(ISFORMULA(INDEX('Game Records'!$V:$V,$H41))),NOT(ISFORMULA(INDEX('Game Records'!$W:$W,$H41))),NOT(ISFORMULA(INDEX('Game Records'!$X:$X,$H41))),NOT(ISFORMULA(INDEX('Game Records'!$Y:$Y,$H41))),NOT(ISFORMULA(INDEX('Game Records'!$Z:$Z,$H41)))),"Formula columns missing; ","")&amp;IF(INDEX('Game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Earned; ","")&amp;IF(AND(LOWER(INDEX('Game Records'!$D:$D,$H41)&amp;"")="finalized",INDEX('Game Records'!$U:$U,$H41)&lt;&gt;"Subscription",INDEX('Game Records'!$U:$U,$H41)&lt;&gt;"Free Game",INDEX('Game Records'!$U:$U,$H41)&lt;&gt;"Disqualified — Free Game",OR(INDEX('Game Records'!$L:$L,$H41)="",LOWER(INDEX('Game Records'!$L:$L,$H41)&amp;"")="n/a")),"Disqualified Status; ","")&amp;IF(AND(OR(INDEX('Game Records'!$U:$U,$H41)="Free Game",INDEX('Game Records'!$U:$U,$H41)="Disqualified — Free Game"),N(INDEX('Game Records'!$H:$H,$H41))&lt;&gt;0),"Free Game has a non-zero Entry Fee; ",""))</f>
        <v/>
      </c>
      <c r="G41" s="331" t="str">
        <f>IF($H41="","",IFERROR(INDEX('Game Records'!$M:$M,$H41),""))</f>
        <v/>
      </c>
      <c r="H41" s="104" t="str">
        <f>IF($H40="","",IFERROR(MATCH(1,INDEX((ROW('Game Records'!$U$5:$U$504)&gt;$H40)*(('Game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1" s="104"/>
      <c r="J41" s="104"/>
    </row>
    <row r="42" ht="24" hidden="0" customHeight="1">
      <c r="A42" s="332" t="str">
        <f>IF($H42="","",ROWS($A$5:A42))</f>
        <v/>
      </c>
      <c r="B42" s="332" t="str">
        <f>IF($H42="","","G-"&amp;TEXT($A42,"0000"))</f>
        <v/>
      </c>
      <c r="C42" s="331" t="str">
        <f>IF($H42="","",IFERROR(INDEX('Game Records'!$A:$A,$H42),""))</f>
        <v/>
      </c>
      <c r="D42" s="331" t="str">
        <f>IF($H42="","",IFERROR(INDEX('Game Records'!$U:$U,$H42),""))</f>
        <v/>
      </c>
      <c r="E42" s="331" t="str">
        <f>IF($H42="","",IF($F42="","No Highlighted Fields","Highlighted Fields Present"))</f>
        <v/>
      </c>
      <c r="F42" s="331" t="str">
        <f>IF($H42="","",IF(OR(NOT(ISFORMULA(INDEX('Game Records'!$N:$N,$H42))),NOT(ISFORMULA(INDEX('Game Records'!$O:$O,$H42))),NOT(ISFORMULA(INDEX('Game Records'!$P:$P,$H42))),NOT(ISFORMULA(INDEX('Game Records'!$Q:$Q,$H42))),NOT(ISFORMULA(INDEX('Game Records'!$R:$R,$H42))),NOT(ISFORMULA(INDEX('Game Records'!$S:$S,$H42))),NOT(ISFORMULA(INDEX('Game Records'!$T:$T,$H42))),NOT(ISFORMULA(INDEX('Game Records'!$U:$U,$H42))),NOT(ISFORMULA(INDEX('Game Records'!$V:$V,$H42))),NOT(ISFORMULA(INDEX('Game Records'!$W:$W,$H42))),NOT(ISFORMULA(INDEX('Game Records'!$X:$X,$H42))),NOT(ISFORMULA(INDEX('Game Records'!$Y:$Y,$H42))),NOT(ISFORMULA(INDEX('Game Records'!$Z:$Z,$H42)))),"Formula columns missing; ","")&amp;IF(INDEX('Game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Earned; ","")&amp;IF(AND(LOWER(INDEX('Game Records'!$D:$D,$H42)&amp;"")="finalized",INDEX('Game Records'!$U:$U,$H42)&lt;&gt;"Subscription",INDEX('Game Records'!$U:$U,$H42)&lt;&gt;"Free Game",INDEX('Game Records'!$U:$U,$H42)&lt;&gt;"Disqualified — Free Game",OR(INDEX('Game Records'!$L:$L,$H42)="",LOWER(INDEX('Game Records'!$L:$L,$H42)&amp;"")="n/a")),"Disqualified Status; ","")&amp;IF(AND(OR(INDEX('Game Records'!$U:$U,$H42)="Free Game",INDEX('Game Records'!$U:$U,$H42)="Disqualified — Free Game"),N(INDEX('Game Records'!$H:$H,$H42))&lt;&gt;0),"Free Game has a non-zero Entry Fee; ",""))</f>
        <v/>
      </c>
      <c r="G42" s="331" t="str">
        <f>IF($H42="","",IFERROR(INDEX('Game Records'!$M:$M,$H42),""))</f>
        <v/>
      </c>
      <c r="H42" s="104" t="str">
        <f>IF($H41="","",IFERROR(MATCH(1,INDEX((ROW('Game Records'!$U$5:$U$504)&gt;$H41)*(('Game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2" s="104"/>
      <c r="J42" s="104"/>
    </row>
    <row r="43" ht="24" hidden="0" customHeight="1">
      <c r="A43" s="332" t="str">
        <f>IF($H43="","",ROWS($A$5:A43))</f>
        <v/>
      </c>
      <c r="B43" s="332" t="str">
        <f>IF($H43="","","G-"&amp;TEXT($A43,"0000"))</f>
        <v/>
      </c>
      <c r="C43" s="331" t="str">
        <f>IF($H43="","",IFERROR(INDEX('Game Records'!$A:$A,$H43),""))</f>
        <v/>
      </c>
      <c r="D43" s="331" t="str">
        <f>IF($H43="","",IFERROR(INDEX('Game Records'!$U:$U,$H43),""))</f>
        <v/>
      </c>
      <c r="E43" s="331" t="str">
        <f>IF($H43="","",IF($F43="","No Highlighted Fields","Highlighted Fields Present"))</f>
        <v/>
      </c>
      <c r="F43" s="331" t="str">
        <f>IF($H43="","",IF(OR(NOT(ISFORMULA(INDEX('Game Records'!$N:$N,$H43))),NOT(ISFORMULA(INDEX('Game Records'!$O:$O,$H43))),NOT(ISFORMULA(INDEX('Game Records'!$P:$P,$H43))),NOT(ISFORMULA(INDEX('Game Records'!$Q:$Q,$H43))),NOT(ISFORMULA(INDEX('Game Records'!$R:$R,$H43))),NOT(ISFORMULA(INDEX('Game Records'!$S:$S,$H43))),NOT(ISFORMULA(INDEX('Game Records'!$T:$T,$H43))),NOT(ISFORMULA(INDEX('Game Records'!$U:$U,$H43))),NOT(ISFORMULA(INDEX('Game Records'!$V:$V,$H43))),NOT(ISFORMULA(INDEX('Game Records'!$W:$W,$H43))),NOT(ISFORMULA(INDEX('Game Records'!$X:$X,$H43))),NOT(ISFORMULA(INDEX('Game Records'!$Y:$Y,$H43))),NOT(ISFORMULA(INDEX('Game Records'!$Z:$Z,$H43)))),"Formula columns missing; ","")&amp;IF(INDEX('Game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Earned; ","")&amp;IF(AND(LOWER(INDEX('Game Records'!$D:$D,$H43)&amp;"")="finalized",INDEX('Game Records'!$U:$U,$H43)&lt;&gt;"Subscription",INDEX('Game Records'!$U:$U,$H43)&lt;&gt;"Free Game",INDEX('Game Records'!$U:$U,$H43)&lt;&gt;"Disqualified — Free Game",OR(INDEX('Game Records'!$L:$L,$H43)="",LOWER(INDEX('Game Records'!$L:$L,$H43)&amp;"")="n/a")),"Disqualified Status; ","")&amp;IF(AND(OR(INDEX('Game Records'!$U:$U,$H43)="Free Game",INDEX('Game Records'!$U:$U,$H43)="Disqualified — Free Game"),N(INDEX('Game Records'!$H:$H,$H43))&lt;&gt;0),"Free Game has a non-zero Entry Fee; ",""))</f>
        <v/>
      </c>
      <c r="G43" s="331" t="str">
        <f>IF($H43="","",IFERROR(INDEX('Game Records'!$M:$M,$H43),""))</f>
        <v/>
      </c>
      <c r="H43" s="104" t="str">
        <f>IF($H42="","",IFERROR(MATCH(1,INDEX((ROW('Game Records'!$U$5:$U$504)&gt;$H42)*(('Game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3" s="104"/>
      <c r="J43" s="104"/>
    </row>
    <row r="44" ht="24" hidden="0" customHeight="1">
      <c r="A44" s="332" t="str">
        <f>IF($H44="","",ROWS($A$5:A44))</f>
        <v/>
      </c>
      <c r="B44" s="332" t="str">
        <f>IF($H44="","","G-"&amp;TEXT($A44,"0000"))</f>
        <v/>
      </c>
      <c r="C44" s="331" t="str">
        <f>IF($H44="","",IFERROR(INDEX('Game Records'!$A:$A,$H44),""))</f>
        <v/>
      </c>
      <c r="D44" s="331" t="str">
        <f>IF($H44="","",IFERROR(INDEX('Game Records'!$U:$U,$H44),""))</f>
        <v/>
      </c>
      <c r="E44" s="331" t="str">
        <f>IF($H44="","",IF($F44="","No Highlighted Fields","Highlighted Fields Present"))</f>
        <v/>
      </c>
      <c r="F44" s="331" t="str">
        <f>IF($H44="","",IF(OR(NOT(ISFORMULA(INDEX('Game Records'!$N:$N,$H44))),NOT(ISFORMULA(INDEX('Game Records'!$O:$O,$H44))),NOT(ISFORMULA(INDEX('Game Records'!$P:$P,$H44))),NOT(ISFORMULA(INDEX('Game Records'!$Q:$Q,$H44))),NOT(ISFORMULA(INDEX('Game Records'!$R:$R,$H44))),NOT(ISFORMULA(INDEX('Game Records'!$S:$S,$H44))),NOT(ISFORMULA(INDEX('Game Records'!$T:$T,$H44))),NOT(ISFORMULA(INDEX('Game Records'!$U:$U,$H44))),NOT(ISFORMULA(INDEX('Game Records'!$V:$V,$H44))),NOT(ISFORMULA(INDEX('Game Records'!$W:$W,$H44))),NOT(ISFORMULA(INDEX('Game Records'!$X:$X,$H44))),NOT(ISFORMULA(INDEX('Game Records'!$Y:$Y,$H44))),NOT(ISFORMULA(INDEX('Game Records'!$Z:$Z,$H44)))),"Formula columns missing; ","")&amp;IF(INDEX('Game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Earned; ","")&amp;IF(AND(LOWER(INDEX('Game Records'!$D:$D,$H44)&amp;"")="finalized",INDEX('Game Records'!$U:$U,$H44)&lt;&gt;"Subscription",INDEX('Game Records'!$U:$U,$H44)&lt;&gt;"Free Game",INDEX('Game Records'!$U:$U,$H44)&lt;&gt;"Disqualified — Free Game",OR(INDEX('Game Records'!$L:$L,$H44)="",LOWER(INDEX('Game Records'!$L:$L,$H44)&amp;"")="n/a")),"Disqualified Status; ","")&amp;IF(AND(OR(INDEX('Game Records'!$U:$U,$H44)="Free Game",INDEX('Game Records'!$U:$U,$H44)="Disqualified — Free Game"),N(INDEX('Game Records'!$H:$H,$H44))&lt;&gt;0),"Free Game has a non-zero Entry Fee; ",""))</f>
        <v/>
      </c>
      <c r="G44" s="331" t="str">
        <f>IF($H44="","",IFERROR(INDEX('Game Records'!$M:$M,$H44),""))</f>
        <v/>
      </c>
      <c r="H44" s="104" t="str">
        <f>IF($H43="","",IFERROR(MATCH(1,INDEX((ROW('Game Records'!$U$5:$U$504)&gt;$H43)*(('Game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4" s="104"/>
      <c r="J44" s="104"/>
    </row>
    <row r="45" ht="24" hidden="0" customHeight="1">
      <c r="A45" s="332" t="str">
        <f>IF($H45="","",ROWS($A$5:A45))</f>
        <v/>
      </c>
      <c r="B45" s="332" t="str">
        <f>IF($H45="","","G-"&amp;TEXT($A45,"0000"))</f>
        <v/>
      </c>
      <c r="C45" s="331" t="str">
        <f>IF($H45="","",IFERROR(INDEX('Game Records'!$A:$A,$H45),""))</f>
        <v/>
      </c>
      <c r="D45" s="331" t="str">
        <f>IF($H45="","",IFERROR(INDEX('Game Records'!$U:$U,$H45),""))</f>
        <v/>
      </c>
      <c r="E45" s="331" t="str">
        <f>IF($H45="","",IF($F45="","No Highlighted Fields","Highlighted Fields Present"))</f>
        <v/>
      </c>
      <c r="F45" s="331" t="str">
        <f>IF($H45="","",IF(OR(NOT(ISFORMULA(INDEX('Game Records'!$N:$N,$H45))),NOT(ISFORMULA(INDEX('Game Records'!$O:$O,$H45))),NOT(ISFORMULA(INDEX('Game Records'!$P:$P,$H45))),NOT(ISFORMULA(INDEX('Game Records'!$Q:$Q,$H45))),NOT(ISFORMULA(INDEX('Game Records'!$R:$R,$H45))),NOT(ISFORMULA(INDEX('Game Records'!$S:$S,$H45))),NOT(ISFORMULA(INDEX('Game Records'!$T:$T,$H45))),NOT(ISFORMULA(INDEX('Game Records'!$U:$U,$H45))),NOT(ISFORMULA(INDEX('Game Records'!$V:$V,$H45))),NOT(ISFORMULA(INDEX('Game Records'!$W:$W,$H45))),NOT(ISFORMULA(INDEX('Game Records'!$X:$X,$H45))),NOT(ISFORMULA(INDEX('Game Records'!$Y:$Y,$H45))),NOT(ISFORMULA(INDEX('Game Records'!$Z:$Z,$H45)))),"Formula columns missing; ","")&amp;IF(INDEX('Game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Earned; ","")&amp;IF(AND(LOWER(INDEX('Game Records'!$D:$D,$H45)&amp;"")="finalized",INDEX('Game Records'!$U:$U,$H45)&lt;&gt;"Subscription",INDEX('Game Records'!$U:$U,$H45)&lt;&gt;"Free Game",INDEX('Game Records'!$U:$U,$H45)&lt;&gt;"Disqualified — Free Game",OR(INDEX('Game Records'!$L:$L,$H45)="",LOWER(INDEX('Game Records'!$L:$L,$H45)&amp;"")="n/a")),"Disqualified Status; ","")&amp;IF(AND(OR(INDEX('Game Records'!$U:$U,$H45)="Free Game",INDEX('Game Records'!$U:$U,$H45)="Disqualified — Free Game"),N(INDEX('Game Records'!$H:$H,$H45))&lt;&gt;0),"Free Game has a non-zero Entry Fee; ",""))</f>
        <v/>
      </c>
      <c r="G45" s="331" t="str">
        <f>IF($H45="","",IFERROR(INDEX('Game Records'!$M:$M,$H45),""))</f>
        <v/>
      </c>
      <c r="H45" s="104" t="str">
        <f>IF($H44="","",IFERROR(MATCH(1,INDEX((ROW('Game Records'!$U$5:$U$504)&gt;$H44)*(('Game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5" s="104"/>
      <c r="J45" s="104"/>
    </row>
    <row r="46" ht="24" hidden="0" customHeight="1">
      <c r="A46" s="332" t="str">
        <f>IF($H46="","",ROWS($A$5:A46))</f>
        <v/>
      </c>
      <c r="B46" s="332" t="str">
        <f>IF($H46="","","G-"&amp;TEXT($A46,"0000"))</f>
        <v/>
      </c>
      <c r="C46" s="331" t="str">
        <f>IF($H46="","",IFERROR(INDEX('Game Records'!$A:$A,$H46),""))</f>
        <v/>
      </c>
      <c r="D46" s="331" t="str">
        <f>IF($H46="","",IFERROR(INDEX('Game Records'!$U:$U,$H46),""))</f>
        <v/>
      </c>
      <c r="E46" s="331" t="str">
        <f>IF($H46="","",IF($F46="","No Highlighted Fields","Highlighted Fields Present"))</f>
        <v/>
      </c>
      <c r="F46" s="331" t="str">
        <f>IF($H46="","",IF(OR(NOT(ISFORMULA(INDEX('Game Records'!$N:$N,$H46))),NOT(ISFORMULA(INDEX('Game Records'!$O:$O,$H46))),NOT(ISFORMULA(INDEX('Game Records'!$P:$P,$H46))),NOT(ISFORMULA(INDEX('Game Records'!$Q:$Q,$H46))),NOT(ISFORMULA(INDEX('Game Records'!$R:$R,$H46))),NOT(ISFORMULA(INDEX('Game Records'!$S:$S,$H46))),NOT(ISFORMULA(INDEX('Game Records'!$T:$T,$H46))),NOT(ISFORMULA(INDEX('Game Records'!$U:$U,$H46))),NOT(ISFORMULA(INDEX('Game Records'!$V:$V,$H46))),NOT(ISFORMULA(INDEX('Game Records'!$W:$W,$H46))),NOT(ISFORMULA(INDEX('Game Records'!$X:$X,$H46))),NOT(ISFORMULA(INDEX('Game Records'!$Y:$Y,$H46))),NOT(ISFORMULA(INDEX('Game Records'!$Z:$Z,$H46)))),"Formula columns missing; ","")&amp;IF(INDEX('Game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Earned; ","")&amp;IF(AND(LOWER(INDEX('Game Records'!$D:$D,$H46)&amp;"")="finalized",INDEX('Game Records'!$U:$U,$H46)&lt;&gt;"Subscription",INDEX('Game Records'!$U:$U,$H46)&lt;&gt;"Free Game",INDEX('Game Records'!$U:$U,$H46)&lt;&gt;"Disqualified — Free Game",OR(INDEX('Game Records'!$L:$L,$H46)="",LOWER(INDEX('Game Records'!$L:$L,$H46)&amp;"")="n/a")),"Disqualified Status; ","")&amp;IF(AND(OR(INDEX('Game Records'!$U:$U,$H46)="Free Game",INDEX('Game Records'!$U:$U,$H46)="Disqualified — Free Game"),N(INDEX('Game Records'!$H:$H,$H46))&lt;&gt;0),"Free Game has a non-zero Entry Fee; ",""))</f>
        <v/>
      </c>
      <c r="G46" s="331" t="str">
        <f>IF($H46="","",IFERROR(INDEX('Game Records'!$M:$M,$H46),""))</f>
        <v/>
      </c>
      <c r="H46" s="104" t="str">
        <f>IF($H45="","",IFERROR(MATCH(1,INDEX((ROW('Game Records'!$U$5:$U$504)&gt;$H45)*(('Game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6" s="104"/>
      <c r="J46" s="104"/>
    </row>
    <row r="47" ht="24" hidden="0" customHeight="1">
      <c r="A47" s="332" t="str">
        <f>IF($H47="","",ROWS($A$5:A47))</f>
        <v/>
      </c>
      <c r="B47" s="332" t="str">
        <f>IF($H47="","","G-"&amp;TEXT($A47,"0000"))</f>
        <v/>
      </c>
      <c r="C47" s="331" t="str">
        <f>IF($H47="","",IFERROR(INDEX('Game Records'!$A:$A,$H47),""))</f>
        <v/>
      </c>
      <c r="D47" s="331" t="str">
        <f>IF($H47="","",IFERROR(INDEX('Game Records'!$U:$U,$H47),""))</f>
        <v/>
      </c>
      <c r="E47" s="331" t="str">
        <f>IF($H47="","",IF($F47="","No Highlighted Fields","Highlighted Fields Present"))</f>
        <v/>
      </c>
      <c r="F47" s="331" t="str">
        <f>IF($H47="","",IF(OR(NOT(ISFORMULA(INDEX('Game Records'!$N:$N,$H47))),NOT(ISFORMULA(INDEX('Game Records'!$O:$O,$H47))),NOT(ISFORMULA(INDEX('Game Records'!$P:$P,$H47))),NOT(ISFORMULA(INDEX('Game Records'!$Q:$Q,$H47))),NOT(ISFORMULA(INDEX('Game Records'!$R:$R,$H47))),NOT(ISFORMULA(INDEX('Game Records'!$S:$S,$H47))),NOT(ISFORMULA(INDEX('Game Records'!$T:$T,$H47))),NOT(ISFORMULA(INDEX('Game Records'!$U:$U,$H47))),NOT(ISFORMULA(INDEX('Game Records'!$V:$V,$H47))),NOT(ISFORMULA(INDEX('Game Records'!$W:$W,$H47))),NOT(ISFORMULA(INDEX('Game Records'!$X:$X,$H47))),NOT(ISFORMULA(INDEX('Game Records'!$Y:$Y,$H47))),NOT(ISFORMULA(INDEX('Game Records'!$Z:$Z,$H47)))),"Formula columns missing; ","")&amp;IF(INDEX('Game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Earned; ","")&amp;IF(AND(LOWER(INDEX('Game Records'!$D:$D,$H47)&amp;"")="finalized",INDEX('Game Records'!$U:$U,$H47)&lt;&gt;"Subscription",INDEX('Game Records'!$U:$U,$H47)&lt;&gt;"Free Game",INDEX('Game Records'!$U:$U,$H47)&lt;&gt;"Disqualified — Free Game",OR(INDEX('Game Records'!$L:$L,$H47)="",LOWER(INDEX('Game Records'!$L:$L,$H47)&amp;"")="n/a")),"Disqualified Status; ","")&amp;IF(AND(OR(INDEX('Game Records'!$U:$U,$H47)="Free Game",INDEX('Game Records'!$U:$U,$H47)="Disqualified — Free Game"),N(INDEX('Game Records'!$H:$H,$H47))&lt;&gt;0),"Free Game has a non-zero Entry Fee; ",""))</f>
        <v/>
      </c>
      <c r="G47" s="331" t="str">
        <f>IF($H47="","",IFERROR(INDEX('Game Records'!$M:$M,$H47),""))</f>
        <v/>
      </c>
      <c r="H47" s="104" t="str">
        <f>IF($H46="","",IFERROR(MATCH(1,INDEX((ROW('Game Records'!$U$5:$U$504)&gt;$H46)*(('Game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7" s="104"/>
      <c r="J47" s="104"/>
    </row>
    <row r="48" ht="24" hidden="0" customHeight="1">
      <c r="A48" s="332" t="str">
        <f>IF($H48="","",ROWS($A$5:A48))</f>
        <v/>
      </c>
      <c r="B48" s="332" t="str">
        <f>IF($H48="","","G-"&amp;TEXT($A48,"0000"))</f>
        <v/>
      </c>
      <c r="C48" s="331" t="str">
        <f>IF($H48="","",IFERROR(INDEX('Game Records'!$A:$A,$H48),""))</f>
        <v/>
      </c>
      <c r="D48" s="331" t="str">
        <f>IF($H48="","",IFERROR(INDEX('Game Records'!$U:$U,$H48),""))</f>
        <v/>
      </c>
      <c r="E48" s="331" t="str">
        <f>IF($H48="","",IF($F48="","No Highlighted Fields","Highlighted Fields Present"))</f>
        <v/>
      </c>
      <c r="F48" s="331" t="str">
        <f>IF($H48="","",IF(OR(NOT(ISFORMULA(INDEX('Game Records'!$N:$N,$H48))),NOT(ISFORMULA(INDEX('Game Records'!$O:$O,$H48))),NOT(ISFORMULA(INDEX('Game Records'!$P:$P,$H48))),NOT(ISFORMULA(INDEX('Game Records'!$Q:$Q,$H48))),NOT(ISFORMULA(INDEX('Game Records'!$R:$R,$H48))),NOT(ISFORMULA(INDEX('Game Records'!$S:$S,$H48))),NOT(ISFORMULA(INDEX('Game Records'!$T:$T,$H48))),NOT(ISFORMULA(INDEX('Game Records'!$U:$U,$H48))),NOT(ISFORMULA(INDEX('Game Records'!$V:$V,$H48))),NOT(ISFORMULA(INDEX('Game Records'!$W:$W,$H48))),NOT(ISFORMULA(INDEX('Game Records'!$X:$X,$H48))),NOT(ISFORMULA(INDEX('Game Records'!$Y:$Y,$H48))),NOT(ISFORMULA(INDEX('Game Records'!$Z:$Z,$H48)))),"Formula columns missing; ","")&amp;IF(INDEX('Game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Earned; ","")&amp;IF(AND(LOWER(INDEX('Game Records'!$D:$D,$H48)&amp;"")="finalized",INDEX('Game Records'!$U:$U,$H48)&lt;&gt;"Subscription",INDEX('Game Records'!$U:$U,$H48)&lt;&gt;"Free Game",INDEX('Game Records'!$U:$U,$H48)&lt;&gt;"Disqualified — Free Game",OR(INDEX('Game Records'!$L:$L,$H48)="",LOWER(INDEX('Game Records'!$L:$L,$H48)&amp;"")="n/a")),"Disqualified Status; ","")&amp;IF(AND(OR(INDEX('Game Records'!$U:$U,$H48)="Free Game",INDEX('Game Records'!$U:$U,$H48)="Disqualified — Free Game"),N(INDEX('Game Records'!$H:$H,$H48))&lt;&gt;0),"Free Game has a non-zero Entry Fee; ",""))</f>
        <v/>
      </c>
      <c r="G48" s="331" t="str">
        <f>IF($H48="","",IFERROR(INDEX('Game Records'!$M:$M,$H48),""))</f>
        <v/>
      </c>
      <c r="H48" s="104" t="str">
        <f>IF($H47="","",IFERROR(MATCH(1,INDEX((ROW('Game Records'!$U$5:$U$504)&gt;$H47)*(('Game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8" s="104"/>
      <c r="J48" s="104"/>
    </row>
    <row r="49" ht="24" hidden="0" customHeight="1">
      <c r="A49" s="332" t="str">
        <f>IF($H49="","",ROWS($A$5:A49))</f>
        <v/>
      </c>
      <c r="B49" s="332" t="str">
        <f>IF($H49="","","G-"&amp;TEXT($A49,"0000"))</f>
        <v/>
      </c>
      <c r="C49" s="331" t="str">
        <f>IF($H49="","",IFERROR(INDEX('Game Records'!$A:$A,$H49),""))</f>
        <v/>
      </c>
      <c r="D49" s="331" t="str">
        <f>IF($H49="","",IFERROR(INDEX('Game Records'!$U:$U,$H49),""))</f>
        <v/>
      </c>
      <c r="E49" s="331" t="str">
        <f>IF($H49="","",IF($F49="","No Highlighted Fields","Highlighted Fields Present"))</f>
        <v/>
      </c>
      <c r="F49" s="331" t="str">
        <f>IF($H49="","",IF(OR(NOT(ISFORMULA(INDEX('Game Records'!$N:$N,$H49))),NOT(ISFORMULA(INDEX('Game Records'!$O:$O,$H49))),NOT(ISFORMULA(INDEX('Game Records'!$P:$P,$H49))),NOT(ISFORMULA(INDEX('Game Records'!$Q:$Q,$H49))),NOT(ISFORMULA(INDEX('Game Records'!$R:$R,$H49))),NOT(ISFORMULA(INDEX('Game Records'!$S:$S,$H49))),NOT(ISFORMULA(INDEX('Game Records'!$T:$T,$H49))),NOT(ISFORMULA(INDEX('Game Records'!$U:$U,$H49))),NOT(ISFORMULA(INDEX('Game Records'!$V:$V,$H49))),NOT(ISFORMULA(INDEX('Game Records'!$W:$W,$H49))),NOT(ISFORMULA(INDEX('Game Records'!$X:$X,$H49))),NOT(ISFORMULA(INDEX('Game Records'!$Y:$Y,$H49))),NOT(ISFORMULA(INDEX('Game Records'!$Z:$Z,$H49)))),"Formula columns missing; ","")&amp;IF(INDEX('Game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Earned; ","")&amp;IF(AND(LOWER(INDEX('Game Records'!$D:$D,$H49)&amp;"")="finalized",INDEX('Game Records'!$U:$U,$H49)&lt;&gt;"Subscription",INDEX('Game Records'!$U:$U,$H49)&lt;&gt;"Free Game",INDEX('Game Records'!$U:$U,$H49)&lt;&gt;"Disqualified — Free Game",OR(INDEX('Game Records'!$L:$L,$H49)="",LOWER(INDEX('Game Records'!$L:$L,$H49)&amp;"")="n/a")),"Disqualified Status; ","")&amp;IF(AND(OR(INDEX('Game Records'!$U:$U,$H49)="Free Game",INDEX('Game Records'!$U:$U,$H49)="Disqualified — Free Game"),N(INDEX('Game Records'!$H:$H,$H49))&lt;&gt;0),"Free Game has a non-zero Entry Fee; ",""))</f>
        <v/>
      </c>
      <c r="G49" s="331" t="str">
        <f>IF($H49="","",IFERROR(INDEX('Game Records'!$M:$M,$H49),""))</f>
        <v/>
      </c>
      <c r="H49" s="104" t="str">
        <f>IF($H48="","",IFERROR(MATCH(1,INDEX((ROW('Game Records'!$U$5:$U$504)&gt;$H48)*(('Game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9" s="104"/>
      <c r="J49" s="104"/>
    </row>
    <row r="50" ht="24" hidden="0" customHeight="1">
      <c r="A50" s="332" t="str">
        <f>IF($H50="","",ROWS($A$5:A50))</f>
        <v/>
      </c>
      <c r="B50" s="332" t="str">
        <f>IF($H50="","","G-"&amp;TEXT($A50,"0000"))</f>
        <v/>
      </c>
      <c r="C50" s="331" t="str">
        <f>IF($H50="","",IFERROR(INDEX('Game Records'!$A:$A,$H50),""))</f>
        <v/>
      </c>
      <c r="D50" s="331" t="str">
        <f>IF($H50="","",IFERROR(INDEX('Game Records'!$U:$U,$H50),""))</f>
        <v/>
      </c>
      <c r="E50" s="331" t="str">
        <f>IF($H50="","",IF($F50="","No Highlighted Fields","Highlighted Fields Present"))</f>
        <v/>
      </c>
      <c r="F50" s="331" t="str">
        <f>IF($H50="","",IF(OR(NOT(ISFORMULA(INDEX('Game Records'!$N:$N,$H50))),NOT(ISFORMULA(INDEX('Game Records'!$O:$O,$H50))),NOT(ISFORMULA(INDEX('Game Records'!$P:$P,$H50))),NOT(ISFORMULA(INDEX('Game Records'!$Q:$Q,$H50))),NOT(ISFORMULA(INDEX('Game Records'!$R:$R,$H50))),NOT(ISFORMULA(INDEX('Game Records'!$S:$S,$H50))),NOT(ISFORMULA(INDEX('Game Records'!$T:$T,$H50))),NOT(ISFORMULA(INDEX('Game Records'!$U:$U,$H50))),NOT(ISFORMULA(INDEX('Game Records'!$V:$V,$H50))),NOT(ISFORMULA(INDEX('Game Records'!$W:$W,$H50))),NOT(ISFORMULA(INDEX('Game Records'!$X:$X,$H50))),NOT(ISFORMULA(INDEX('Game Records'!$Y:$Y,$H50))),NOT(ISFORMULA(INDEX('Game Records'!$Z:$Z,$H50)))),"Formula columns missing; ","")&amp;IF(INDEX('Game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Earned; ","")&amp;IF(AND(LOWER(INDEX('Game Records'!$D:$D,$H50)&amp;"")="finalized",INDEX('Game Records'!$U:$U,$H50)&lt;&gt;"Subscription",INDEX('Game Records'!$U:$U,$H50)&lt;&gt;"Free Game",INDEX('Game Records'!$U:$U,$H50)&lt;&gt;"Disqualified — Free Game",OR(INDEX('Game Records'!$L:$L,$H50)="",LOWER(INDEX('Game Records'!$L:$L,$H50)&amp;"")="n/a")),"Disqualified Status; ","")&amp;IF(AND(OR(INDEX('Game Records'!$U:$U,$H50)="Free Game",INDEX('Game Records'!$U:$U,$H50)="Disqualified — Free Game"),N(INDEX('Game Records'!$H:$H,$H50))&lt;&gt;0),"Free Game has a non-zero Entry Fee; ",""))</f>
        <v/>
      </c>
      <c r="G50" s="331" t="str">
        <f>IF($H50="","",IFERROR(INDEX('Game Records'!$M:$M,$H50),""))</f>
        <v/>
      </c>
      <c r="H50" s="104" t="str">
        <f>IF($H49="","",IFERROR(MATCH(1,INDEX((ROW('Game Records'!$U$5:$U$504)&gt;$H49)*(('Game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0" s="104"/>
      <c r="J50" s="104"/>
    </row>
    <row r="51" ht="24" hidden="0" customHeight="1">
      <c r="A51" s="332" t="str">
        <f>IF($H51="","",ROWS($A$5:A51))</f>
        <v/>
      </c>
      <c r="B51" s="332" t="str">
        <f>IF($H51="","","G-"&amp;TEXT($A51,"0000"))</f>
        <v/>
      </c>
      <c r="C51" s="331" t="str">
        <f>IF($H51="","",IFERROR(INDEX('Game Records'!$A:$A,$H51),""))</f>
        <v/>
      </c>
      <c r="D51" s="331" t="str">
        <f>IF($H51="","",IFERROR(INDEX('Game Records'!$U:$U,$H51),""))</f>
        <v/>
      </c>
      <c r="E51" s="331" t="str">
        <f>IF($H51="","",IF($F51="","No Highlighted Fields","Highlighted Fields Present"))</f>
        <v/>
      </c>
      <c r="F51" s="331" t="str">
        <f>IF($H51="","",IF(OR(NOT(ISFORMULA(INDEX('Game Records'!$N:$N,$H51))),NOT(ISFORMULA(INDEX('Game Records'!$O:$O,$H51))),NOT(ISFORMULA(INDEX('Game Records'!$P:$P,$H51))),NOT(ISFORMULA(INDEX('Game Records'!$Q:$Q,$H51))),NOT(ISFORMULA(INDEX('Game Records'!$R:$R,$H51))),NOT(ISFORMULA(INDEX('Game Records'!$S:$S,$H51))),NOT(ISFORMULA(INDEX('Game Records'!$T:$T,$H51))),NOT(ISFORMULA(INDEX('Game Records'!$U:$U,$H51))),NOT(ISFORMULA(INDEX('Game Records'!$V:$V,$H51))),NOT(ISFORMULA(INDEX('Game Records'!$W:$W,$H51))),NOT(ISFORMULA(INDEX('Game Records'!$X:$X,$H51))),NOT(ISFORMULA(INDEX('Game Records'!$Y:$Y,$H51))),NOT(ISFORMULA(INDEX('Game Records'!$Z:$Z,$H51)))),"Formula columns missing; ","")&amp;IF(INDEX('Game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Earned; ","")&amp;IF(AND(LOWER(INDEX('Game Records'!$D:$D,$H51)&amp;"")="finalized",INDEX('Game Records'!$U:$U,$H51)&lt;&gt;"Subscription",INDEX('Game Records'!$U:$U,$H51)&lt;&gt;"Free Game",INDEX('Game Records'!$U:$U,$H51)&lt;&gt;"Disqualified — Free Game",OR(INDEX('Game Records'!$L:$L,$H51)="",LOWER(INDEX('Game Records'!$L:$L,$H51)&amp;"")="n/a")),"Disqualified Status; ","")&amp;IF(AND(OR(INDEX('Game Records'!$U:$U,$H51)="Free Game",INDEX('Game Records'!$U:$U,$H51)="Disqualified — Free Game"),N(INDEX('Game Records'!$H:$H,$H51))&lt;&gt;0),"Free Game has a non-zero Entry Fee; ",""))</f>
        <v/>
      </c>
      <c r="G51" s="331" t="str">
        <f>IF($H51="","",IFERROR(INDEX('Game Records'!$M:$M,$H51),""))</f>
        <v/>
      </c>
      <c r="H51" s="104" t="str">
        <f>IF($H50="","",IFERROR(MATCH(1,INDEX((ROW('Game Records'!$U$5:$U$504)&gt;$H50)*(('Game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1" s="104"/>
      <c r="J51" s="104"/>
    </row>
    <row r="52" ht="24" hidden="0" customHeight="1">
      <c r="A52" s="332" t="str">
        <f>IF($H52="","",ROWS($A$5:A52))</f>
        <v/>
      </c>
      <c r="B52" s="332" t="str">
        <f>IF($H52="","","G-"&amp;TEXT($A52,"0000"))</f>
        <v/>
      </c>
      <c r="C52" s="331" t="str">
        <f>IF($H52="","",IFERROR(INDEX('Game Records'!$A:$A,$H52),""))</f>
        <v/>
      </c>
      <c r="D52" s="331" t="str">
        <f>IF($H52="","",IFERROR(INDEX('Game Records'!$U:$U,$H52),""))</f>
        <v/>
      </c>
      <c r="E52" s="331" t="str">
        <f>IF($H52="","",IF($F52="","No Highlighted Fields","Highlighted Fields Present"))</f>
        <v/>
      </c>
      <c r="F52" s="331" t="str">
        <f>IF($H52="","",IF(OR(NOT(ISFORMULA(INDEX('Game Records'!$N:$N,$H52))),NOT(ISFORMULA(INDEX('Game Records'!$O:$O,$H52))),NOT(ISFORMULA(INDEX('Game Records'!$P:$P,$H52))),NOT(ISFORMULA(INDEX('Game Records'!$Q:$Q,$H52))),NOT(ISFORMULA(INDEX('Game Records'!$R:$R,$H52))),NOT(ISFORMULA(INDEX('Game Records'!$S:$S,$H52))),NOT(ISFORMULA(INDEX('Game Records'!$T:$T,$H52))),NOT(ISFORMULA(INDEX('Game Records'!$U:$U,$H52))),NOT(ISFORMULA(INDEX('Game Records'!$V:$V,$H52))),NOT(ISFORMULA(INDEX('Game Records'!$W:$W,$H52))),NOT(ISFORMULA(INDEX('Game Records'!$X:$X,$H52))),NOT(ISFORMULA(INDEX('Game Records'!$Y:$Y,$H52))),NOT(ISFORMULA(INDEX('Game Records'!$Z:$Z,$H52)))),"Formula columns missing; ","")&amp;IF(INDEX('Game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Earned; ","")&amp;IF(AND(LOWER(INDEX('Game Records'!$D:$D,$H52)&amp;"")="finalized",INDEX('Game Records'!$U:$U,$H52)&lt;&gt;"Subscription",INDEX('Game Records'!$U:$U,$H52)&lt;&gt;"Free Game",INDEX('Game Records'!$U:$U,$H52)&lt;&gt;"Disqualified — Free Game",OR(INDEX('Game Records'!$L:$L,$H52)="",LOWER(INDEX('Game Records'!$L:$L,$H52)&amp;"")="n/a")),"Disqualified Status; ","")&amp;IF(AND(OR(INDEX('Game Records'!$U:$U,$H52)="Free Game",INDEX('Game Records'!$U:$U,$H52)="Disqualified — Free Game"),N(INDEX('Game Records'!$H:$H,$H52))&lt;&gt;0),"Free Game has a non-zero Entry Fee; ",""))</f>
        <v/>
      </c>
      <c r="G52" s="331" t="str">
        <f>IF($H52="","",IFERROR(INDEX('Game Records'!$M:$M,$H52),""))</f>
        <v/>
      </c>
      <c r="H52" s="104" t="str">
        <f>IF($H51="","",IFERROR(MATCH(1,INDEX((ROW('Game Records'!$U$5:$U$504)&gt;$H51)*(('Game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2" s="104"/>
      <c r="J52" s="104"/>
    </row>
    <row r="53" ht="24" hidden="0" customHeight="1">
      <c r="A53" s="332" t="str">
        <f>IF($H53="","",ROWS($A$5:A53))</f>
        <v/>
      </c>
      <c r="B53" s="332" t="str">
        <f>IF($H53="","","G-"&amp;TEXT($A53,"0000"))</f>
        <v/>
      </c>
      <c r="C53" s="331" t="str">
        <f>IF($H53="","",IFERROR(INDEX('Game Records'!$A:$A,$H53),""))</f>
        <v/>
      </c>
      <c r="D53" s="331" t="str">
        <f>IF($H53="","",IFERROR(INDEX('Game Records'!$U:$U,$H53),""))</f>
        <v/>
      </c>
      <c r="E53" s="331" t="str">
        <f>IF($H53="","",IF($F53="","No Highlighted Fields","Highlighted Fields Present"))</f>
        <v/>
      </c>
      <c r="F53" s="331" t="str">
        <f>IF($H53="","",IF(OR(NOT(ISFORMULA(INDEX('Game Records'!$N:$N,$H53))),NOT(ISFORMULA(INDEX('Game Records'!$O:$O,$H53))),NOT(ISFORMULA(INDEX('Game Records'!$P:$P,$H53))),NOT(ISFORMULA(INDEX('Game Records'!$Q:$Q,$H53))),NOT(ISFORMULA(INDEX('Game Records'!$R:$R,$H53))),NOT(ISFORMULA(INDEX('Game Records'!$S:$S,$H53))),NOT(ISFORMULA(INDEX('Game Records'!$T:$T,$H53))),NOT(ISFORMULA(INDEX('Game Records'!$U:$U,$H53))),NOT(ISFORMULA(INDEX('Game Records'!$V:$V,$H53))),NOT(ISFORMULA(INDEX('Game Records'!$W:$W,$H53))),NOT(ISFORMULA(INDEX('Game Records'!$X:$X,$H53))),NOT(ISFORMULA(INDEX('Game Records'!$Y:$Y,$H53))),NOT(ISFORMULA(INDEX('Game Records'!$Z:$Z,$H53)))),"Formula columns missing; ","")&amp;IF(INDEX('Game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Earned; ","")&amp;IF(AND(LOWER(INDEX('Game Records'!$D:$D,$H53)&amp;"")="finalized",INDEX('Game Records'!$U:$U,$H53)&lt;&gt;"Subscription",INDEX('Game Records'!$U:$U,$H53)&lt;&gt;"Free Game",INDEX('Game Records'!$U:$U,$H53)&lt;&gt;"Disqualified — Free Game",OR(INDEX('Game Records'!$L:$L,$H53)="",LOWER(INDEX('Game Records'!$L:$L,$H53)&amp;"")="n/a")),"Disqualified Status; ","")&amp;IF(AND(OR(INDEX('Game Records'!$U:$U,$H53)="Free Game",INDEX('Game Records'!$U:$U,$H53)="Disqualified — Free Game"),N(INDEX('Game Records'!$H:$H,$H53))&lt;&gt;0),"Free Game has a non-zero Entry Fee; ",""))</f>
        <v/>
      </c>
      <c r="G53" s="331" t="str">
        <f>IF($H53="","",IFERROR(INDEX('Game Records'!$M:$M,$H53),""))</f>
        <v/>
      </c>
      <c r="H53" s="104" t="str">
        <f>IF($H52="","",IFERROR(MATCH(1,INDEX((ROW('Game Records'!$U$5:$U$504)&gt;$H52)*(('Game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3" s="104"/>
      <c r="J53" s="104"/>
    </row>
    <row r="54" ht="24" hidden="0" customHeight="1">
      <c r="A54" s="332" t="str">
        <f>IF($H54="","",ROWS($A$5:A54))</f>
        <v/>
      </c>
      <c r="B54" s="332" t="str">
        <f>IF($H54="","","G-"&amp;TEXT($A54,"0000"))</f>
        <v/>
      </c>
      <c r="C54" s="331" t="str">
        <f>IF($H54="","",IFERROR(INDEX('Game Records'!$A:$A,$H54),""))</f>
        <v/>
      </c>
      <c r="D54" s="331" t="str">
        <f>IF($H54="","",IFERROR(INDEX('Game Records'!$U:$U,$H54),""))</f>
        <v/>
      </c>
      <c r="E54" s="331" t="str">
        <f>IF($H54="","",IF($F54="","No Highlighted Fields","Highlighted Fields Present"))</f>
        <v/>
      </c>
      <c r="F54" s="331" t="str">
        <f>IF($H54="","",IF(OR(NOT(ISFORMULA(INDEX('Game Records'!$N:$N,$H54))),NOT(ISFORMULA(INDEX('Game Records'!$O:$O,$H54))),NOT(ISFORMULA(INDEX('Game Records'!$P:$P,$H54))),NOT(ISFORMULA(INDEX('Game Records'!$Q:$Q,$H54))),NOT(ISFORMULA(INDEX('Game Records'!$R:$R,$H54))),NOT(ISFORMULA(INDEX('Game Records'!$S:$S,$H54))),NOT(ISFORMULA(INDEX('Game Records'!$T:$T,$H54))),NOT(ISFORMULA(INDEX('Game Records'!$U:$U,$H54))),NOT(ISFORMULA(INDEX('Game Records'!$V:$V,$H54))),NOT(ISFORMULA(INDEX('Game Records'!$W:$W,$H54))),NOT(ISFORMULA(INDEX('Game Records'!$X:$X,$H54))),NOT(ISFORMULA(INDEX('Game Records'!$Y:$Y,$H54))),NOT(ISFORMULA(INDEX('Game Records'!$Z:$Z,$H54)))),"Formula columns missing; ","")&amp;IF(INDEX('Game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Earned; ","")&amp;IF(AND(LOWER(INDEX('Game Records'!$D:$D,$H54)&amp;"")="finalized",INDEX('Game Records'!$U:$U,$H54)&lt;&gt;"Subscription",INDEX('Game Records'!$U:$U,$H54)&lt;&gt;"Free Game",INDEX('Game Records'!$U:$U,$H54)&lt;&gt;"Disqualified — Free Game",OR(INDEX('Game Records'!$L:$L,$H54)="",LOWER(INDEX('Game Records'!$L:$L,$H54)&amp;"")="n/a")),"Disqualified Status; ","")&amp;IF(AND(OR(INDEX('Game Records'!$U:$U,$H54)="Free Game",INDEX('Game Records'!$U:$U,$H54)="Disqualified — Free Game"),N(INDEX('Game Records'!$H:$H,$H54))&lt;&gt;0),"Free Game has a non-zero Entry Fee; ",""))</f>
        <v/>
      </c>
      <c r="G54" s="331" t="str">
        <f>IF($H54="","",IFERROR(INDEX('Game Records'!$M:$M,$H54),""))</f>
        <v/>
      </c>
      <c r="H54" s="104" t="str">
        <f>IF($H53="","",IFERROR(MATCH(1,INDEX((ROW('Game Records'!$U$5:$U$504)&gt;$H53)*(('Game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4" s="104"/>
      <c r="J54" s="104"/>
    </row>
    <row r="55" ht="24" hidden="0" customHeight="1">
      <c r="A55" s="332" t="str">
        <f>IF($H55="","",ROWS($A$5:A55))</f>
        <v/>
      </c>
      <c r="B55" s="332" t="str">
        <f>IF($H55="","","G-"&amp;TEXT($A55,"0000"))</f>
        <v/>
      </c>
      <c r="C55" s="331" t="str">
        <f>IF($H55="","",IFERROR(INDEX('Game Records'!$A:$A,$H55),""))</f>
        <v/>
      </c>
      <c r="D55" s="331" t="str">
        <f>IF($H55="","",IFERROR(INDEX('Game Records'!$U:$U,$H55),""))</f>
        <v/>
      </c>
      <c r="E55" s="331" t="str">
        <f>IF($H55="","",IF($F55="","No Highlighted Fields","Highlighted Fields Present"))</f>
        <v/>
      </c>
      <c r="F55" s="331" t="str">
        <f>IF($H55="","",IF(OR(NOT(ISFORMULA(INDEX('Game Records'!$N:$N,$H55))),NOT(ISFORMULA(INDEX('Game Records'!$O:$O,$H55))),NOT(ISFORMULA(INDEX('Game Records'!$P:$P,$H55))),NOT(ISFORMULA(INDEX('Game Records'!$Q:$Q,$H55))),NOT(ISFORMULA(INDEX('Game Records'!$R:$R,$H55))),NOT(ISFORMULA(INDEX('Game Records'!$S:$S,$H55))),NOT(ISFORMULA(INDEX('Game Records'!$T:$T,$H55))),NOT(ISFORMULA(INDEX('Game Records'!$U:$U,$H55))),NOT(ISFORMULA(INDEX('Game Records'!$V:$V,$H55))),NOT(ISFORMULA(INDEX('Game Records'!$W:$W,$H55))),NOT(ISFORMULA(INDEX('Game Records'!$X:$X,$H55))),NOT(ISFORMULA(INDEX('Game Records'!$Y:$Y,$H55))),NOT(ISFORMULA(INDEX('Game Records'!$Z:$Z,$H55)))),"Formula columns missing; ","")&amp;IF(INDEX('Game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Earned; ","")&amp;IF(AND(LOWER(INDEX('Game Records'!$D:$D,$H55)&amp;"")="finalized",INDEX('Game Records'!$U:$U,$H55)&lt;&gt;"Subscription",INDEX('Game Records'!$U:$U,$H55)&lt;&gt;"Free Game",INDEX('Game Records'!$U:$U,$H55)&lt;&gt;"Disqualified — Free Game",OR(INDEX('Game Records'!$L:$L,$H55)="",LOWER(INDEX('Game Records'!$L:$L,$H55)&amp;"")="n/a")),"Disqualified Status; ","")&amp;IF(AND(OR(INDEX('Game Records'!$U:$U,$H55)="Free Game",INDEX('Game Records'!$U:$U,$H55)="Disqualified — Free Game"),N(INDEX('Game Records'!$H:$H,$H55))&lt;&gt;0),"Free Game has a non-zero Entry Fee; ",""))</f>
        <v/>
      </c>
      <c r="G55" s="331" t="str">
        <f>IF($H55="","",IFERROR(INDEX('Game Records'!$M:$M,$H55),""))</f>
        <v/>
      </c>
      <c r="H55" s="104" t="str">
        <f>IF($H54="","",IFERROR(MATCH(1,INDEX((ROW('Game Records'!$U$5:$U$504)&gt;$H54)*(('Game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5" s="104"/>
      <c r="J55" s="104"/>
    </row>
    <row r="56" ht="24" hidden="0" customHeight="1">
      <c r="A56" s="332" t="str">
        <f>IF($H56="","",ROWS($A$5:A56))</f>
        <v/>
      </c>
      <c r="B56" s="332" t="str">
        <f>IF($H56="","","G-"&amp;TEXT($A56,"0000"))</f>
        <v/>
      </c>
      <c r="C56" s="331" t="str">
        <f>IF($H56="","",IFERROR(INDEX('Game Records'!$A:$A,$H56),""))</f>
        <v/>
      </c>
      <c r="D56" s="331" t="str">
        <f>IF($H56="","",IFERROR(INDEX('Game Records'!$U:$U,$H56),""))</f>
        <v/>
      </c>
      <c r="E56" s="331" t="str">
        <f>IF($H56="","",IF($F56="","No Highlighted Fields","Highlighted Fields Present"))</f>
        <v/>
      </c>
      <c r="F56" s="331" t="str">
        <f>IF($H56="","",IF(OR(NOT(ISFORMULA(INDEX('Game Records'!$N:$N,$H56))),NOT(ISFORMULA(INDEX('Game Records'!$O:$O,$H56))),NOT(ISFORMULA(INDEX('Game Records'!$P:$P,$H56))),NOT(ISFORMULA(INDEX('Game Records'!$Q:$Q,$H56))),NOT(ISFORMULA(INDEX('Game Records'!$R:$R,$H56))),NOT(ISFORMULA(INDEX('Game Records'!$S:$S,$H56))),NOT(ISFORMULA(INDEX('Game Records'!$T:$T,$H56))),NOT(ISFORMULA(INDEX('Game Records'!$U:$U,$H56))),NOT(ISFORMULA(INDEX('Game Records'!$V:$V,$H56))),NOT(ISFORMULA(INDEX('Game Records'!$W:$W,$H56))),NOT(ISFORMULA(INDEX('Game Records'!$X:$X,$H56))),NOT(ISFORMULA(INDEX('Game Records'!$Y:$Y,$H56))),NOT(ISFORMULA(INDEX('Game Records'!$Z:$Z,$H56)))),"Formula columns missing; ","")&amp;IF(INDEX('Game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Earned; ","")&amp;IF(AND(LOWER(INDEX('Game Records'!$D:$D,$H56)&amp;"")="finalized",INDEX('Game Records'!$U:$U,$H56)&lt;&gt;"Subscription",INDEX('Game Records'!$U:$U,$H56)&lt;&gt;"Free Game",INDEX('Game Records'!$U:$U,$H56)&lt;&gt;"Disqualified — Free Game",OR(INDEX('Game Records'!$L:$L,$H56)="",LOWER(INDEX('Game Records'!$L:$L,$H56)&amp;"")="n/a")),"Disqualified Status; ","")&amp;IF(AND(OR(INDEX('Game Records'!$U:$U,$H56)="Free Game",INDEX('Game Records'!$U:$U,$H56)="Disqualified — Free Game"),N(INDEX('Game Records'!$H:$H,$H56))&lt;&gt;0),"Free Game has a non-zero Entry Fee; ",""))</f>
        <v/>
      </c>
      <c r="G56" s="331" t="str">
        <f>IF($H56="","",IFERROR(INDEX('Game Records'!$M:$M,$H56),""))</f>
        <v/>
      </c>
      <c r="H56" s="104" t="str">
        <f>IF($H55="","",IFERROR(MATCH(1,INDEX((ROW('Game Records'!$U$5:$U$504)&gt;$H55)*(('Game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6" s="104"/>
      <c r="J56" s="104"/>
    </row>
    <row r="57" ht="24" hidden="0" customHeight="1">
      <c r="A57" s="332" t="str">
        <f>IF($H57="","",ROWS($A$5:A57))</f>
        <v/>
      </c>
      <c r="B57" s="332" t="str">
        <f>IF($H57="","","G-"&amp;TEXT($A57,"0000"))</f>
        <v/>
      </c>
      <c r="C57" s="331" t="str">
        <f>IF($H57="","",IFERROR(INDEX('Game Records'!$A:$A,$H57),""))</f>
        <v/>
      </c>
      <c r="D57" s="331" t="str">
        <f>IF($H57="","",IFERROR(INDEX('Game Records'!$U:$U,$H57),""))</f>
        <v/>
      </c>
      <c r="E57" s="331" t="str">
        <f>IF($H57="","",IF($F57="","No Highlighted Fields","Highlighted Fields Present"))</f>
        <v/>
      </c>
      <c r="F57" s="331" t="str">
        <f>IF($H57="","",IF(OR(NOT(ISFORMULA(INDEX('Game Records'!$N:$N,$H57))),NOT(ISFORMULA(INDEX('Game Records'!$O:$O,$H57))),NOT(ISFORMULA(INDEX('Game Records'!$P:$P,$H57))),NOT(ISFORMULA(INDEX('Game Records'!$Q:$Q,$H57))),NOT(ISFORMULA(INDEX('Game Records'!$R:$R,$H57))),NOT(ISFORMULA(INDEX('Game Records'!$S:$S,$H57))),NOT(ISFORMULA(INDEX('Game Records'!$T:$T,$H57))),NOT(ISFORMULA(INDEX('Game Records'!$U:$U,$H57))),NOT(ISFORMULA(INDEX('Game Records'!$V:$V,$H57))),NOT(ISFORMULA(INDEX('Game Records'!$W:$W,$H57))),NOT(ISFORMULA(INDEX('Game Records'!$X:$X,$H57))),NOT(ISFORMULA(INDEX('Game Records'!$Y:$Y,$H57))),NOT(ISFORMULA(INDEX('Game Records'!$Z:$Z,$H57)))),"Formula columns missing; ","")&amp;IF(INDEX('Game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Earned; ","")&amp;IF(AND(LOWER(INDEX('Game Records'!$D:$D,$H57)&amp;"")="finalized",INDEX('Game Records'!$U:$U,$H57)&lt;&gt;"Subscription",INDEX('Game Records'!$U:$U,$H57)&lt;&gt;"Free Game",INDEX('Game Records'!$U:$U,$H57)&lt;&gt;"Disqualified — Free Game",OR(INDEX('Game Records'!$L:$L,$H57)="",LOWER(INDEX('Game Records'!$L:$L,$H57)&amp;"")="n/a")),"Disqualified Status; ","")&amp;IF(AND(OR(INDEX('Game Records'!$U:$U,$H57)="Free Game",INDEX('Game Records'!$U:$U,$H57)="Disqualified — Free Game"),N(INDEX('Game Records'!$H:$H,$H57))&lt;&gt;0),"Free Game has a non-zero Entry Fee; ",""))</f>
        <v/>
      </c>
      <c r="G57" s="331" t="str">
        <f>IF($H57="","",IFERROR(INDEX('Game Records'!$M:$M,$H57),""))</f>
        <v/>
      </c>
      <c r="H57" s="104" t="str">
        <f>IF($H56="","",IFERROR(MATCH(1,INDEX((ROW('Game Records'!$U$5:$U$504)&gt;$H56)*(('Game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7" s="104"/>
      <c r="J57" s="104"/>
    </row>
    <row r="58" ht="24" hidden="0" customHeight="1">
      <c r="A58" s="332" t="str">
        <f>IF($H58="","",ROWS($A$5:A58))</f>
        <v/>
      </c>
      <c r="B58" s="332" t="str">
        <f>IF($H58="","","G-"&amp;TEXT($A58,"0000"))</f>
        <v/>
      </c>
      <c r="C58" s="331" t="str">
        <f>IF($H58="","",IFERROR(INDEX('Game Records'!$A:$A,$H58),""))</f>
        <v/>
      </c>
      <c r="D58" s="331" t="str">
        <f>IF($H58="","",IFERROR(INDEX('Game Records'!$U:$U,$H58),""))</f>
        <v/>
      </c>
      <c r="E58" s="331" t="str">
        <f>IF($H58="","",IF($F58="","No Highlighted Fields","Highlighted Fields Present"))</f>
        <v/>
      </c>
      <c r="F58" s="331" t="str">
        <f>IF($H58="","",IF(OR(NOT(ISFORMULA(INDEX('Game Records'!$N:$N,$H58))),NOT(ISFORMULA(INDEX('Game Records'!$O:$O,$H58))),NOT(ISFORMULA(INDEX('Game Records'!$P:$P,$H58))),NOT(ISFORMULA(INDEX('Game Records'!$Q:$Q,$H58))),NOT(ISFORMULA(INDEX('Game Records'!$R:$R,$H58))),NOT(ISFORMULA(INDEX('Game Records'!$S:$S,$H58))),NOT(ISFORMULA(INDEX('Game Records'!$T:$T,$H58))),NOT(ISFORMULA(INDEX('Game Records'!$U:$U,$H58))),NOT(ISFORMULA(INDEX('Game Records'!$V:$V,$H58))),NOT(ISFORMULA(INDEX('Game Records'!$W:$W,$H58))),NOT(ISFORMULA(INDEX('Game Records'!$X:$X,$H58))),NOT(ISFORMULA(INDEX('Game Records'!$Y:$Y,$H58))),NOT(ISFORMULA(INDEX('Game Records'!$Z:$Z,$H58)))),"Formula columns missing; ","")&amp;IF(INDEX('Game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Earned; ","")&amp;IF(AND(LOWER(INDEX('Game Records'!$D:$D,$H58)&amp;"")="finalized",INDEX('Game Records'!$U:$U,$H58)&lt;&gt;"Subscription",INDEX('Game Records'!$U:$U,$H58)&lt;&gt;"Free Game",INDEX('Game Records'!$U:$U,$H58)&lt;&gt;"Disqualified — Free Game",OR(INDEX('Game Records'!$L:$L,$H58)="",LOWER(INDEX('Game Records'!$L:$L,$H58)&amp;"")="n/a")),"Disqualified Status; ","")&amp;IF(AND(OR(INDEX('Game Records'!$U:$U,$H58)="Free Game",INDEX('Game Records'!$U:$U,$H58)="Disqualified — Free Game"),N(INDEX('Game Records'!$H:$H,$H58))&lt;&gt;0),"Free Game has a non-zero Entry Fee; ",""))</f>
        <v/>
      </c>
      <c r="G58" s="331" t="str">
        <f>IF($H58="","",IFERROR(INDEX('Game Records'!$M:$M,$H58),""))</f>
        <v/>
      </c>
      <c r="H58" s="104" t="str">
        <f>IF($H57="","",IFERROR(MATCH(1,INDEX((ROW('Game Records'!$U$5:$U$504)&gt;$H57)*(('Game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8" s="104"/>
      <c r="J58" s="104"/>
    </row>
    <row r="59" ht="24" hidden="0" customHeight="1">
      <c r="A59" s="332" t="str">
        <f>IF($H59="","",ROWS($A$5:A59))</f>
        <v/>
      </c>
      <c r="B59" s="332" t="str">
        <f>IF($H59="","","G-"&amp;TEXT($A59,"0000"))</f>
        <v/>
      </c>
      <c r="C59" s="331" t="str">
        <f>IF($H59="","",IFERROR(INDEX('Game Records'!$A:$A,$H59),""))</f>
        <v/>
      </c>
      <c r="D59" s="331" t="str">
        <f>IF($H59="","",IFERROR(INDEX('Game Records'!$U:$U,$H59),""))</f>
        <v/>
      </c>
      <c r="E59" s="331" t="str">
        <f>IF($H59="","",IF($F59="","No Highlighted Fields","Highlighted Fields Present"))</f>
        <v/>
      </c>
      <c r="F59" s="331" t="str">
        <f>IF($H59="","",IF(OR(NOT(ISFORMULA(INDEX('Game Records'!$N:$N,$H59))),NOT(ISFORMULA(INDEX('Game Records'!$O:$O,$H59))),NOT(ISFORMULA(INDEX('Game Records'!$P:$P,$H59))),NOT(ISFORMULA(INDEX('Game Records'!$Q:$Q,$H59))),NOT(ISFORMULA(INDEX('Game Records'!$R:$R,$H59))),NOT(ISFORMULA(INDEX('Game Records'!$S:$S,$H59))),NOT(ISFORMULA(INDEX('Game Records'!$T:$T,$H59))),NOT(ISFORMULA(INDEX('Game Records'!$U:$U,$H59))),NOT(ISFORMULA(INDEX('Game Records'!$V:$V,$H59))),NOT(ISFORMULA(INDEX('Game Records'!$W:$W,$H59))),NOT(ISFORMULA(INDEX('Game Records'!$X:$X,$H59))),NOT(ISFORMULA(INDEX('Game Records'!$Y:$Y,$H59))),NOT(ISFORMULA(INDEX('Game Records'!$Z:$Z,$H59)))),"Formula columns missing; ","")&amp;IF(INDEX('Game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Earned; ","")&amp;IF(AND(LOWER(INDEX('Game Records'!$D:$D,$H59)&amp;"")="finalized",INDEX('Game Records'!$U:$U,$H59)&lt;&gt;"Subscription",INDEX('Game Records'!$U:$U,$H59)&lt;&gt;"Free Game",INDEX('Game Records'!$U:$U,$H59)&lt;&gt;"Disqualified — Free Game",OR(INDEX('Game Records'!$L:$L,$H59)="",LOWER(INDEX('Game Records'!$L:$L,$H59)&amp;"")="n/a")),"Disqualified Status; ","")&amp;IF(AND(OR(INDEX('Game Records'!$U:$U,$H59)="Free Game",INDEX('Game Records'!$U:$U,$H59)="Disqualified — Free Game"),N(INDEX('Game Records'!$H:$H,$H59))&lt;&gt;0),"Free Game has a non-zero Entry Fee; ",""))</f>
        <v/>
      </c>
      <c r="G59" s="331" t="str">
        <f>IF($H59="","",IFERROR(INDEX('Game Records'!$M:$M,$H59),""))</f>
        <v/>
      </c>
      <c r="H59" s="104" t="str">
        <f>IF($H58="","",IFERROR(MATCH(1,INDEX((ROW('Game Records'!$U$5:$U$504)&gt;$H58)*(('Game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9" s="104"/>
      <c r="J59" s="104"/>
    </row>
    <row r="60" ht="24" hidden="0" customHeight="1">
      <c r="A60" s="332" t="str">
        <f>IF($H60="","",ROWS($A$5:A60))</f>
        <v/>
      </c>
      <c r="B60" s="332" t="str">
        <f>IF($H60="","","G-"&amp;TEXT($A60,"0000"))</f>
        <v/>
      </c>
      <c r="C60" s="331" t="str">
        <f>IF($H60="","",IFERROR(INDEX('Game Records'!$A:$A,$H60),""))</f>
        <v/>
      </c>
      <c r="D60" s="331" t="str">
        <f>IF($H60="","",IFERROR(INDEX('Game Records'!$U:$U,$H60),""))</f>
        <v/>
      </c>
      <c r="E60" s="331" t="str">
        <f>IF($H60="","",IF($F60="","No Highlighted Fields","Highlighted Fields Present"))</f>
        <v/>
      </c>
      <c r="F60" s="331" t="str">
        <f>IF($H60="","",IF(OR(NOT(ISFORMULA(INDEX('Game Records'!$N:$N,$H60))),NOT(ISFORMULA(INDEX('Game Records'!$O:$O,$H60))),NOT(ISFORMULA(INDEX('Game Records'!$P:$P,$H60))),NOT(ISFORMULA(INDEX('Game Records'!$Q:$Q,$H60))),NOT(ISFORMULA(INDEX('Game Records'!$R:$R,$H60))),NOT(ISFORMULA(INDEX('Game Records'!$S:$S,$H60))),NOT(ISFORMULA(INDEX('Game Records'!$T:$T,$H60))),NOT(ISFORMULA(INDEX('Game Records'!$U:$U,$H60))),NOT(ISFORMULA(INDEX('Game Records'!$V:$V,$H60))),NOT(ISFORMULA(INDEX('Game Records'!$W:$W,$H60))),NOT(ISFORMULA(INDEX('Game Records'!$X:$X,$H60))),NOT(ISFORMULA(INDEX('Game Records'!$Y:$Y,$H60))),NOT(ISFORMULA(INDEX('Game Records'!$Z:$Z,$H60)))),"Formula columns missing; ","")&amp;IF(INDEX('Game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Earned; ","")&amp;IF(AND(LOWER(INDEX('Game Records'!$D:$D,$H60)&amp;"")="finalized",INDEX('Game Records'!$U:$U,$H60)&lt;&gt;"Subscription",INDEX('Game Records'!$U:$U,$H60)&lt;&gt;"Free Game",INDEX('Game Records'!$U:$U,$H60)&lt;&gt;"Disqualified — Free Game",OR(INDEX('Game Records'!$L:$L,$H60)="",LOWER(INDEX('Game Records'!$L:$L,$H60)&amp;"")="n/a")),"Disqualified Status; ","")&amp;IF(AND(OR(INDEX('Game Records'!$U:$U,$H60)="Free Game",INDEX('Game Records'!$U:$U,$H60)="Disqualified — Free Game"),N(INDEX('Game Records'!$H:$H,$H60))&lt;&gt;0),"Free Game has a non-zero Entry Fee; ",""))</f>
        <v/>
      </c>
      <c r="G60" s="331" t="str">
        <f>IF($H60="","",IFERROR(INDEX('Game Records'!$M:$M,$H60),""))</f>
        <v/>
      </c>
      <c r="H60" s="104" t="str">
        <f>IF($H59="","",IFERROR(MATCH(1,INDEX((ROW('Game Records'!$U$5:$U$504)&gt;$H59)*(('Game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0" s="104"/>
      <c r="J60" s="104"/>
    </row>
    <row r="61" ht="24" hidden="0" customHeight="1">
      <c r="A61" s="332" t="str">
        <f>IF($H61="","",ROWS($A$5:A61))</f>
        <v/>
      </c>
      <c r="B61" s="332" t="str">
        <f>IF($H61="","","G-"&amp;TEXT($A61,"0000"))</f>
        <v/>
      </c>
      <c r="C61" s="331" t="str">
        <f>IF($H61="","",IFERROR(INDEX('Game Records'!$A:$A,$H61),""))</f>
        <v/>
      </c>
      <c r="D61" s="331" t="str">
        <f>IF($H61="","",IFERROR(INDEX('Game Records'!$U:$U,$H61),""))</f>
        <v/>
      </c>
      <c r="E61" s="331" t="str">
        <f>IF($H61="","",IF($F61="","No Highlighted Fields","Highlighted Fields Present"))</f>
        <v/>
      </c>
      <c r="F61" s="331" t="str">
        <f>IF($H61="","",IF(OR(NOT(ISFORMULA(INDEX('Game Records'!$N:$N,$H61))),NOT(ISFORMULA(INDEX('Game Records'!$O:$O,$H61))),NOT(ISFORMULA(INDEX('Game Records'!$P:$P,$H61))),NOT(ISFORMULA(INDEX('Game Records'!$Q:$Q,$H61))),NOT(ISFORMULA(INDEX('Game Records'!$R:$R,$H61))),NOT(ISFORMULA(INDEX('Game Records'!$S:$S,$H61))),NOT(ISFORMULA(INDEX('Game Records'!$T:$T,$H61))),NOT(ISFORMULA(INDEX('Game Records'!$U:$U,$H61))),NOT(ISFORMULA(INDEX('Game Records'!$V:$V,$H61))),NOT(ISFORMULA(INDEX('Game Records'!$W:$W,$H61))),NOT(ISFORMULA(INDEX('Game Records'!$X:$X,$H61))),NOT(ISFORMULA(INDEX('Game Records'!$Y:$Y,$H61))),NOT(ISFORMULA(INDEX('Game Records'!$Z:$Z,$H61)))),"Formula columns missing; ","")&amp;IF(INDEX('Game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Earned; ","")&amp;IF(AND(LOWER(INDEX('Game Records'!$D:$D,$H61)&amp;"")="finalized",INDEX('Game Records'!$U:$U,$H61)&lt;&gt;"Subscription",INDEX('Game Records'!$U:$U,$H61)&lt;&gt;"Free Game",INDEX('Game Records'!$U:$U,$H61)&lt;&gt;"Disqualified — Free Game",OR(INDEX('Game Records'!$L:$L,$H61)="",LOWER(INDEX('Game Records'!$L:$L,$H61)&amp;"")="n/a")),"Disqualified Status; ","")&amp;IF(AND(OR(INDEX('Game Records'!$U:$U,$H61)="Free Game",INDEX('Game Records'!$U:$U,$H61)="Disqualified — Free Game"),N(INDEX('Game Records'!$H:$H,$H61))&lt;&gt;0),"Free Game has a non-zero Entry Fee; ",""))</f>
        <v/>
      </c>
      <c r="G61" s="331" t="str">
        <f>IF($H61="","",IFERROR(INDEX('Game Records'!$M:$M,$H61),""))</f>
        <v/>
      </c>
      <c r="H61" s="104" t="str">
        <f>IF($H60="","",IFERROR(MATCH(1,INDEX((ROW('Game Records'!$U$5:$U$504)&gt;$H60)*(('Game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1" s="104"/>
      <c r="J61" s="104"/>
    </row>
    <row r="62" ht="24" hidden="0" customHeight="1">
      <c r="A62" s="332" t="str">
        <f>IF($H62="","",ROWS($A$5:A62))</f>
        <v/>
      </c>
      <c r="B62" s="332" t="str">
        <f>IF($H62="","","G-"&amp;TEXT($A62,"0000"))</f>
        <v/>
      </c>
      <c r="C62" s="331" t="str">
        <f>IF($H62="","",IFERROR(INDEX('Game Records'!$A:$A,$H62),""))</f>
        <v/>
      </c>
      <c r="D62" s="331" t="str">
        <f>IF($H62="","",IFERROR(INDEX('Game Records'!$U:$U,$H62),""))</f>
        <v/>
      </c>
      <c r="E62" s="331" t="str">
        <f>IF($H62="","",IF($F62="","No Highlighted Fields","Highlighted Fields Present"))</f>
        <v/>
      </c>
      <c r="F62" s="331" t="str">
        <f>IF($H62="","",IF(OR(NOT(ISFORMULA(INDEX('Game Records'!$N:$N,$H62))),NOT(ISFORMULA(INDEX('Game Records'!$O:$O,$H62))),NOT(ISFORMULA(INDEX('Game Records'!$P:$P,$H62))),NOT(ISFORMULA(INDEX('Game Records'!$Q:$Q,$H62))),NOT(ISFORMULA(INDEX('Game Records'!$R:$R,$H62))),NOT(ISFORMULA(INDEX('Game Records'!$S:$S,$H62))),NOT(ISFORMULA(INDEX('Game Records'!$T:$T,$H62))),NOT(ISFORMULA(INDEX('Game Records'!$U:$U,$H62))),NOT(ISFORMULA(INDEX('Game Records'!$V:$V,$H62))),NOT(ISFORMULA(INDEX('Game Records'!$W:$W,$H62))),NOT(ISFORMULA(INDEX('Game Records'!$X:$X,$H62))),NOT(ISFORMULA(INDEX('Game Records'!$Y:$Y,$H62))),NOT(ISFORMULA(INDEX('Game Records'!$Z:$Z,$H62)))),"Formula columns missing; ","")&amp;IF(INDEX('Game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Earned; ","")&amp;IF(AND(LOWER(INDEX('Game Records'!$D:$D,$H62)&amp;"")="finalized",INDEX('Game Records'!$U:$U,$H62)&lt;&gt;"Subscription",INDEX('Game Records'!$U:$U,$H62)&lt;&gt;"Free Game",INDEX('Game Records'!$U:$U,$H62)&lt;&gt;"Disqualified — Free Game",OR(INDEX('Game Records'!$L:$L,$H62)="",LOWER(INDEX('Game Records'!$L:$L,$H62)&amp;"")="n/a")),"Disqualified Status; ","")&amp;IF(AND(OR(INDEX('Game Records'!$U:$U,$H62)="Free Game",INDEX('Game Records'!$U:$U,$H62)="Disqualified — Free Game"),N(INDEX('Game Records'!$H:$H,$H62))&lt;&gt;0),"Free Game has a non-zero Entry Fee; ",""))</f>
        <v/>
      </c>
      <c r="G62" s="331" t="str">
        <f>IF($H62="","",IFERROR(INDEX('Game Records'!$M:$M,$H62),""))</f>
        <v/>
      </c>
      <c r="H62" s="104" t="str">
        <f>IF($H61="","",IFERROR(MATCH(1,INDEX((ROW('Game Records'!$U$5:$U$504)&gt;$H61)*(('Game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2" s="104"/>
      <c r="J62" s="104"/>
    </row>
    <row r="63" ht="24" hidden="0" customHeight="1">
      <c r="A63" s="332" t="str">
        <f>IF($H63="","",ROWS($A$5:A63))</f>
        <v/>
      </c>
      <c r="B63" s="332" t="str">
        <f>IF($H63="","","G-"&amp;TEXT($A63,"0000"))</f>
        <v/>
      </c>
      <c r="C63" s="331" t="str">
        <f>IF($H63="","",IFERROR(INDEX('Game Records'!$A:$A,$H63),""))</f>
        <v/>
      </c>
      <c r="D63" s="331" t="str">
        <f>IF($H63="","",IFERROR(INDEX('Game Records'!$U:$U,$H63),""))</f>
        <v/>
      </c>
      <c r="E63" s="331" t="str">
        <f>IF($H63="","",IF($F63="","No Highlighted Fields","Highlighted Fields Present"))</f>
        <v/>
      </c>
      <c r="F63" s="331" t="str">
        <f>IF($H63="","",IF(OR(NOT(ISFORMULA(INDEX('Game Records'!$N:$N,$H63))),NOT(ISFORMULA(INDEX('Game Records'!$O:$O,$H63))),NOT(ISFORMULA(INDEX('Game Records'!$P:$P,$H63))),NOT(ISFORMULA(INDEX('Game Records'!$Q:$Q,$H63))),NOT(ISFORMULA(INDEX('Game Records'!$R:$R,$H63))),NOT(ISFORMULA(INDEX('Game Records'!$S:$S,$H63))),NOT(ISFORMULA(INDEX('Game Records'!$T:$T,$H63))),NOT(ISFORMULA(INDEX('Game Records'!$U:$U,$H63))),NOT(ISFORMULA(INDEX('Game Records'!$V:$V,$H63))),NOT(ISFORMULA(INDEX('Game Records'!$W:$W,$H63))),NOT(ISFORMULA(INDEX('Game Records'!$X:$X,$H63))),NOT(ISFORMULA(INDEX('Game Records'!$Y:$Y,$H63))),NOT(ISFORMULA(INDEX('Game Records'!$Z:$Z,$H63)))),"Formula columns missing; ","")&amp;IF(INDEX('Game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Earned; ","")&amp;IF(AND(LOWER(INDEX('Game Records'!$D:$D,$H63)&amp;"")="finalized",INDEX('Game Records'!$U:$U,$H63)&lt;&gt;"Subscription",INDEX('Game Records'!$U:$U,$H63)&lt;&gt;"Free Game",INDEX('Game Records'!$U:$U,$H63)&lt;&gt;"Disqualified — Free Game",OR(INDEX('Game Records'!$L:$L,$H63)="",LOWER(INDEX('Game Records'!$L:$L,$H63)&amp;"")="n/a")),"Disqualified Status; ","")&amp;IF(AND(OR(INDEX('Game Records'!$U:$U,$H63)="Free Game",INDEX('Game Records'!$U:$U,$H63)="Disqualified — Free Game"),N(INDEX('Game Records'!$H:$H,$H63))&lt;&gt;0),"Free Game has a non-zero Entry Fee; ",""))</f>
        <v/>
      </c>
      <c r="G63" s="331" t="str">
        <f>IF($H63="","",IFERROR(INDEX('Game Records'!$M:$M,$H63),""))</f>
        <v/>
      </c>
      <c r="H63" s="104" t="str">
        <f>IF($H62="","",IFERROR(MATCH(1,INDEX((ROW('Game Records'!$U$5:$U$504)&gt;$H62)*(('Game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3" s="104"/>
      <c r="J63" s="104"/>
    </row>
    <row r="64" ht="24" hidden="0" customHeight="1">
      <c r="A64" s="332" t="str">
        <f>IF($H64="","",ROWS($A$5:A64))</f>
        <v/>
      </c>
      <c r="B64" s="332" t="str">
        <f>IF($H64="","","G-"&amp;TEXT($A64,"0000"))</f>
        <v/>
      </c>
      <c r="C64" s="331" t="str">
        <f>IF($H64="","",IFERROR(INDEX('Game Records'!$A:$A,$H64),""))</f>
        <v/>
      </c>
      <c r="D64" s="331" t="str">
        <f>IF($H64="","",IFERROR(INDEX('Game Records'!$U:$U,$H64),""))</f>
        <v/>
      </c>
      <c r="E64" s="331" t="str">
        <f>IF($H64="","",IF($F64="","No Highlighted Fields","Highlighted Fields Present"))</f>
        <v/>
      </c>
      <c r="F64" s="331" t="str">
        <f>IF($H64="","",IF(OR(NOT(ISFORMULA(INDEX('Game Records'!$N:$N,$H64))),NOT(ISFORMULA(INDEX('Game Records'!$O:$O,$H64))),NOT(ISFORMULA(INDEX('Game Records'!$P:$P,$H64))),NOT(ISFORMULA(INDEX('Game Records'!$Q:$Q,$H64))),NOT(ISFORMULA(INDEX('Game Records'!$R:$R,$H64))),NOT(ISFORMULA(INDEX('Game Records'!$S:$S,$H64))),NOT(ISFORMULA(INDEX('Game Records'!$T:$T,$H64))),NOT(ISFORMULA(INDEX('Game Records'!$U:$U,$H64))),NOT(ISFORMULA(INDEX('Game Records'!$V:$V,$H64))),NOT(ISFORMULA(INDEX('Game Records'!$W:$W,$H64))),NOT(ISFORMULA(INDEX('Game Records'!$X:$X,$H64))),NOT(ISFORMULA(INDEX('Game Records'!$Y:$Y,$H64))),NOT(ISFORMULA(INDEX('Game Records'!$Z:$Z,$H64)))),"Formula columns missing; ","")&amp;IF(INDEX('Game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Earned; ","")&amp;IF(AND(LOWER(INDEX('Game Records'!$D:$D,$H64)&amp;"")="finalized",INDEX('Game Records'!$U:$U,$H64)&lt;&gt;"Subscription",INDEX('Game Records'!$U:$U,$H64)&lt;&gt;"Free Game",INDEX('Game Records'!$U:$U,$H64)&lt;&gt;"Disqualified — Free Game",OR(INDEX('Game Records'!$L:$L,$H64)="",LOWER(INDEX('Game Records'!$L:$L,$H64)&amp;"")="n/a")),"Disqualified Status; ","")&amp;IF(AND(OR(INDEX('Game Records'!$U:$U,$H64)="Free Game",INDEX('Game Records'!$U:$U,$H64)="Disqualified — Free Game"),N(INDEX('Game Records'!$H:$H,$H64))&lt;&gt;0),"Free Game has a non-zero Entry Fee; ",""))</f>
        <v/>
      </c>
      <c r="G64" s="331" t="str">
        <f>IF($H64="","",IFERROR(INDEX('Game Records'!$M:$M,$H64),""))</f>
        <v/>
      </c>
      <c r="H64" s="104" t="str">
        <f>IF($H63="","",IFERROR(MATCH(1,INDEX((ROW('Game Records'!$U$5:$U$504)&gt;$H63)*(('Game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4" s="104"/>
      <c r="J64" s="104"/>
    </row>
    <row r="65" ht="24" hidden="0" customHeight="1">
      <c r="A65" s="332" t="str">
        <f>IF($H65="","",ROWS($A$5:A65))</f>
        <v/>
      </c>
      <c r="B65" s="332" t="str">
        <f>IF($H65="","","G-"&amp;TEXT($A65,"0000"))</f>
        <v/>
      </c>
      <c r="C65" s="331" t="str">
        <f>IF($H65="","",IFERROR(INDEX('Game Records'!$A:$A,$H65),""))</f>
        <v/>
      </c>
      <c r="D65" s="331" t="str">
        <f>IF($H65="","",IFERROR(INDEX('Game Records'!$U:$U,$H65),""))</f>
        <v/>
      </c>
      <c r="E65" s="331" t="str">
        <f>IF($H65="","",IF($F65="","No Highlighted Fields","Highlighted Fields Present"))</f>
        <v/>
      </c>
      <c r="F65" s="331" t="str">
        <f>IF($H65="","",IF(OR(NOT(ISFORMULA(INDEX('Game Records'!$N:$N,$H65))),NOT(ISFORMULA(INDEX('Game Records'!$O:$O,$H65))),NOT(ISFORMULA(INDEX('Game Records'!$P:$P,$H65))),NOT(ISFORMULA(INDEX('Game Records'!$Q:$Q,$H65))),NOT(ISFORMULA(INDEX('Game Records'!$R:$R,$H65))),NOT(ISFORMULA(INDEX('Game Records'!$S:$S,$H65))),NOT(ISFORMULA(INDEX('Game Records'!$T:$T,$H65))),NOT(ISFORMULA(INDEX('Game Records'!$U:$U,$H65))),NOT(ISFORMULA(INDEX('Game Records'!$V:$V,$H65))),NOT(ISFORMULA(INDEX('Game Records'!$W:$W,$H65))),NOT(ISFORMULA(INDEX('Game Records'!$X:$X,$H65))),NOT(ISFORMULA(INDEX('Game Records'!$Y:$Y,$H65))),NOT(ISFORMULA(INDEX('Game Records'!$Z:$Z,$H65)))),"Formula columns missing; ","")&amp;IF(INDEX('Game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Earned; ","")&amp;IF(AND(LOWER(INDEX('Game Records'!$D:$D,$H65)&amp;"")="finalized",INDEX('Game Records'!$U:$U,$H65)&lt;&gt;"Subscription",INDEX('Game Records'!$U:$U,$H65)&lt;&gt;"Free Game",INDEX('Game Records'!$U:$U,$H65)&lt;&gt;"Disqualified — Free Game",OR(INDEX('Game Records'!$L:$L,$H65)="",LOWER(INDEX('Game Records'!$L:$L,$H65)&amp;"")="n/a")),"Disqualified Status; ","")&amp;IF(AND(OR(INDEX('Game Records'!$U:$U,$H65)="Free Game",INDEX('Game Records'!$U:$U,$H65)="Disqualified — Free Game"),N(INDEX('Game Records'!$H:$H,$H65))&lt;&gt;0),"Free Game has a non-zero Entry Fee; ",""))</f>
        <v/>
      </c>
      <c r="G65" s="331" t="str">
        <f>IF($H65="","",IFERROR(INDEX('Game Records'!$M:$M,$H65),""))</f>
        <v/>
      </c>
      <c r="H65" s="104" t="str">
        <f>IF($H64="","",IFERROR(MATCH(1,INDEX((ROW('Game Records'!$U$5:$U$504)&gt;$H64)*(('Game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5" s="104"/>
      <c r="J65" s="104"/>
    </row>
    <row r="66" ht="24" hidden="0" customHeight="1">
      <c r="A66" s="332" t="str">
        <f>IF($H66="","",ROWS($A$5:A66))</f>
        <v/>
      </c>
      <c r="B66" s="332" t="str">
        <f>IF($H66="","","G-"&amp;TEXT($A66,"0000"))</f>
        <v/>
      </c>
      <c r="C66" s="331" t="str">
        <f>IF($H66="","",IFERROR(INDEX('Game Records'!$A:$A,$H66),""))</f>
        <v/>
      </c>
      <c r="D66" s="331" t="str">
        <f>IF($H66="","",IFERROR(INDEX('Game Records'!$U:$U,$H66),""))</f>
        <v/>
      </c>
      <c r="E66" s="331" t="str">
        <f>IF($H66="","",IF($F66="","No Highlighted Fields","Highlighted Fields Present"))</f>
        <v/>
      </c>
      <c r="F66" s="331" t="str">
        <f>IF($H66="","",IF(OR(NOT(ISFORMULA(INDEX('Game Records'!$N:$N,$H66))),NOT(ISFORMULA(INDEX('Game Records'!$O:$O,$H66))),NOT(ISFORMULA(INDEX('Game Records'!$P:$P,$H66))),NOT(ISFORMULA(INDEX('Game Records'!$Q:$Q,$H66))),NOT(ISFORMULA(INDEX('Game Records'!$R:$R,$H66))),NOT(ISFORMULA(INDEX('Game Records'!$S:$S,$H66))),NOT(ISFORMULA(INDEX('Game Records'!$T:$T,$H66))),NOT(ISFORMULA(INDEX('Game Records'!$U:$U,$H66))),NOT(ISFORMULA(INDEX('Game Records'!$V:$V,$H66))),NOT(ISFORMULA(INDEX('Game Records'!$W:$W,$H66))),NOT(ISFORMULA(INDEX('Game Records'!$X:$X,$H66))),NOT(ISFORMULA(INDEX('Game Records'!$Y:$Y,$H66))),NOT(ISFORMULA(INDEX('Game Records'!$Z:$Z,$H66)))),"Formula columns missing; ","")&amp;IF(INDEX('Game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Earned; ","")&amp;IF(AND(LOWER(INDEX('Game Records'!$D:$D,$H66)&amp;"")="finalized",INDEX('Game Records'!$U:$U,$H66)&lt;&gt;"Subscription",INDEX('Game Records'!$U:$U,$H66)&lt;&gt;"Free Game",INDEX('Game Records'!$U:$U,$H66)&lt;&gt;"Disqualified — Free Game",OR(INDEX('Game Records'!$L:$L,$H66)="",LOWER(INDEX('Game Records'!$L:$L,$H66)&amp;"")="n/a")),"Disqualified Status; ","")&amp;IF(AND(OR(INDEX('Game Records'!$U:$U,$H66)="Free Game",INDEX('Game Records'!$U:$U,$H66)="Disqualified — Free Game"),N(INDEX('Game Records'!$H:$H,$H66))&lt;&gt;0),"Free Game has a non-zero Entry Fee; ",""))</f>
        <v/>
      </c>
      <c r="G66" s="331" t="str">
        <f>IF($H66="","",IFERROR(INDEX('Game Records'!$M:$M,$H66),""))</f>
        <v/>
      </c>
      <c r="H66" s="104" t="str">
        <f>IF($H65="","",IFERROR(MATCH(1,INDEX((ROW('Game Records'!$U$5:$U$504)&gt;$H65)*(('Game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6" s="104"/>
      <c r="J66" s="104"/>
    </row>
    <row r="67" ht="24" hidden="0" customHeight="1">
      <c r="A67" s="332" t="str">
        <f>IF($H67="","",ROWS($A$5:A67))</f>
        <v/>
      </c>
      <c r="B67" s="332" t="str">
        <f>IF($H67="","","G-"&amp;TEXT($A67,"0000"))</f>
        <v/>
      </c>
      <c r="C67" s="331" t="str">
        <f>IF($H67="","",IFERROR(INDEX('Game Records'!$A:$A,$H67),""))</f>
        <v/>
      </c>
      <c r="D67" s="331" t="str">
        <f>IF($H67="","",IFERROR(INDEX('Game Records'!$U:$U,$H67),""))</f>
        <v/>
      </c>
      <c r="E67" s="331" t="str">
        <f>IF($H67="","",IF($F67="","No Highlighted Fields","Highlighted Fields Present"))</f>
        <v/>
      </c>
      <c r="F67" s="331" t="str">
        <f>IF($H67="","",IF(OR(NOT(ISFORMULA(INDEX('Game Records'!$N:$N,$H67))),NOT(ISFORMULA(INDEX('Game Records'!$O:$O,$H67))),NOT(ISFORMULA(INDEX('Game Records'!$P:$P,$H67))),NOT(ISFORMULA(INDEX('Game Records'!$Q:$Q,$H67))),NOT(ISFORMULA(INDEX('Game Records'!$R:$R,$H67))),NOT(ISFORMULA(INDEX('Game Records'!$S:$S,$H67))),NOT(ISFORMULA(INDEX('Game Records'!$T:$T,$H67))),NOT(ISFORMULA(INDEX('Game Records'!$U:$U,$H67))),NOT(ISFORMULA(INDEX('Game Records'!$V:$V,$H67))),NOT(ISFORMULA(INDEX('Game Records'!$W:$W,$H67))),NOT(ISFORMULA(INDEX('Game Records'!$X:$X,$H67))),NOT(ISFORMULA(INDEX('Game Records'!$Y:$Y,$H67))),NOT(ISFORMULA(INDEX('Game Records'!$Z:$Z,$H67)))),"Formula columns missing; ","")&amp;IF(INDEX('Game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Earned; ","")&amp;IF(AND(LOWER(INDEX('Game Records'!$D:$D,$H67)&amp;"")="finalized",INDEX('Game Records'!$U:$U,$H67)&lt;&gt;"Subscription",INDEX('Game Records'!$U:$U,$H67)&lt;&gt;"Free Game",INDEX('Game Records'!$U:$U,$H67)&lt;&gt;"Disqualified — Free Game",OR(INDEX('Game Records'!$L:$L,$H67)="",LOWER(INDEX('Game Records'!$L:$L,$H67)&amp;"")="n/a")),"Disqualified Status; ","")&amp;IF(AND(OR(INDEX('Game Records'!$U:$U,$H67)="Free Game",INDEX('Game Records'!$U:$U,$H67)="Disqualified — Free Game"),N(INDEX('Game Records'!$H:$H,$H67))&lt;&gt;0),"Free Game has a non-zero Entry Fee; ",""))</f>
        <v/>
      </c>
      <c r="G67" s="331" t="str">
        <f>IF($H67="","",IFERROR(INDEX('Game Records'!$M:$M,$H67),""))</f>
        <v/>
      </c>
      <c r="H67" s="104" t="str">
        <f>IF($H66="","",IFERROR(MATCH(1,INDEX((ROW('Game Records'!$U$5:$U$504)&gt;$H66)*(('Game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7" s="104"/>
      <c r="J67" s="104"/>
    </row>
    <row r="68" ht="24" hidden="0" customHeight="1">
      <c r="A68" s="332" t="str">
        <f>IF($H68="","",ROWS($A$5:A68))</f>
        <v/>
      </c>
      <c r="B68" s="332" t="str">
        <f>IF($H68="","","G-"&amp;TEXT($A68,"0000"))</f>
        <v/>
      </c>
      <c r="C68" s="331" t="str">
        <f>IF($H68="","",IFERROR(INDEX('Game Records'!$A:$A,$H68),""))</f>
        <v/>
      </c>
      <c r="D68" s="331" t="str">
        <f>IF($H68="","",IFERROR(INDEX('Game Records'!$U:$U,$H68),""))</f>
        <v/>
      </c>
      <c r="E68" s="331" t="str">
        <f>IF($H68="","",IF($F68="","No Highlighted Fields","Highlighted Fields Present"))</f>
        <v/>
      </c>
      <c r="F68" s="331" t="str">
        <f>IF($H68="","",IF(OR(NOT(ISFORMULA(INDEX('Game Records'!$N:$N,$H68))),NOT(ISFORMULA(INDEX('Game Records'!$O:$O,$H68))),NOT(ISFORMULA(INDEX('Game Records'!$P:$P,$H68))),NOT(ISFORMULA(INDEX('Game Records'!$Q:$Q,$H68))),NOT(ISFORMULA(INDEX('Game Records'!$R:$R,$H68))),NOT(ISFORMULA(INDEX('Game Records'!$S:$S,$H68))),NOT(ISFORMULA(INDEX('Game Records'!$T:$T,$H68))),NOT(ISFORMULA(INDEX('Game Records'!$U:$U,$H68))),NOT(ISFORMULA(INDEX('Game Records'!$V:$V,$H68))),NOT(ISFORMULA(INDEX('Game Records'!$W:$W,$H68))),NOT(ISFORMULA(INDEX('Game Records'!$X:$X,$H68))),NOT(ISFORMULA(INDEX('Game Records'!$Y:$Y,$H68))),NOT(ISFORMULA(INDEX('Game Records'!$Z:$Z,$H68)))),"Formula columns missing; ","")&amp;IF(INDEX('Game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Earned; ","")&amp;IF(AND(LOWER(INDEX('Game Records'!$D:$D,$H68)&amp;"")="finalized",INDEX('Game Records'!$U:$U,$H68)&lt;&gt;"Subscription",INDEX('Game Records'!$U:$U,$H68)&lt;&gt;"Free Game",INDEX('Game Records'!$U:$U,$H68)&lt;&gt;"Disqualified — Free Game",OR(INDEX('Game Records'!$L:$L,$H68)="",LOWER(INDEX('Game Records'!$L:$L,$H68)&amp;"")="n/a")),"Disqualified Status; ","")&amp;IF(AND(OR(INDEX('Game Records'!$U:$U,$H68)="Free Game",INDEX('Game Records'!$U:$U,$H68)="Disqualified — Free Game"),N(INDEX('Game Records'!$H:$H,$H68))&lt;&gt;0),"Free Game has a non-zero Entry Fee; ",""))</f>
        <v/>
      </c>
      <c r="G68" s="331" t="str">
        <f>IF($H68="","",IFERROR(INDEX('Game Records'!$M:$M,$H68),""))</f>
        <v/>
      </c>
      <c r="H68" s="104" t="str">
        <f>IF($H67="","",IFERROR(MATCH(1,INDEX((ROW('Game Records'!$U$5:$U$504)&gt;$H67)*(('Game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8" s="104"/>
      <c r="J68" s="104"/>
    </row>
    <row r="69" ht="24" hidden="0" customHeight="1">
      <c r="A69" s="332" t="str">
        <f>IF($H69="","",ROWS($A$5:A69))</f>
        <v/>
      </c>
      <c r="B69" s="332" t="str">
        <f>IF($H69="","","G-"&amp;TEXT($A69,"0000"))</f>
        <v/>
      </c>
      <c r="C69" s="331" t="str">
        <f>IF($H69="","",IFERROR(INDEX('Game Records'!$A:$A,$H69),""))</f>
        <v/>
      </c>
      <c r="D69" s="331" t="str">
        <f>IF($H69="","",IFERROR(INDEX('Game Records'!$U:$U,$H69),""))</f>
        <v/>
      </c>
      <c r="E69" s="331" t="str">
        <f>IF($H69="","",IF($F69="","No Highlighted Fields","Highlighted Fields Present"))</f>
        <v/>
      </c>
      <c r="F69" s="331" t="str">
        <f>IF($H69="","",IF(OR(NOT(ISFORMULA(INDEX('Game Records'!$N:$N,$H69))),NOT(ISFORMULA(INDEX('Game Records'!$O:$O,$H69))),NOT(ISFORMULA(INDEX('Game Records'!$P:$P,$H69))),NOT(ISFORMULA(INDEX('Game Records'!$Q:$Q,$H69))),NOT(ISFORMULA(INDEX('Game Records'!$R:$R,$H69))),NOT(ISFORMULA(INDEX('Game Records'!$S:$S,$H69))),NOT(ISFORMULA(INDEX('Game Records'!$T:$T,$H69))),NOT(ISFORMULA(INDEX('Game Records'!$U:$U,$H69))),NOT(ISFORMULA(INDEX('Game Records'!$V:$V,$H69))),NOT(ISFORMULA(INDEX('Game Records'!$W:$W,$H69))),NOT(ISFORMULA(INDEX('Game Records'!$X:$X,$H69))),NOT(ISFORMULA(INDEX('Game Records'!$Y:$Y,$H69))),NOT(ISFORMULA(INDEX('Game Records'!$Z:$Z,$H69)))),"Formula columns missing; ","")&amp;IF(INDEX('Game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Earned; ","")&amp;IF(AND(LOWER(INDEX('Game Records'!$D:$D,$H69)&amp;"")="finalized",INDEX('Game Records'!$U:$U,$H69)&lt;&gt;"Subscription",INDEX('Game Records'!$U:$U,$H69)&lt;&gt;"Free Game",INDEX('Game Records'!$U:$U,$H69)&lt;&gt;"Disqualified — Free Game",OR(INDEX('Game Records'!$L:$L,$H69)="",LOWER(INDEX('Game Records'!$L:$L,$H69)&amp;"")="n/a")),"Disqualified Status; ","")&amp;IF(AND(OR(INDEX('Game Records'!$U:$U,$H69)="Free Game",INDEX('Game Records'!$U:$U,$H69)="Disqualified — Free Game"),N(INDEX('Game Records'!$H:$H,$H69))&lt;&gt;0),"Free Game has a non-zero Entry Fee; ",""))</f>
        <v/>
      </c>
      <c r="G69" s="331" t="str">
        <f>IF($H69="","",IFERROR(INDEX('Game Records'!$M:$M,$H69),""))</f>
        <v/>
      </c>
      <c r="H69" s="104" t="str">
        <f>IF($H68="","",IFERROR(MATCH(1,INDEX((ROW('Game Records'!$U$5:$U$504)&gt;$H68)*(('Game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9" s="104"/>
      <c r="J69" s="104"/>
    </row>
    <row r="70" ht="24" hidden="0" customHeight="1">
      <c r="A70" s="332" t="str">
        <f>IF($H70="","",ROWS($A$5:A70))</f>
        <v/>
      </c>
      <c r="B70" s="332" t="str">
        <f>IF($H70="","","G-"&amp;TEXT($A70,"0000"))</f>
        <v/>
      </c>
      <c r="C70" s="331" t="str">
        <f>IF($H70="","",IFERROR(INDEX('Game Records'!$A:$A,$H70),""))</f>
        <v/>
      </c>
      <c r="D70" s="331" t="str">
        <f>IF($H70="","",IFERROR(INDEX('Game Records'!$U:$U,$H70),""))</f>
        <v/>
      </c>
      <c r="E70" s="331" t="str">
        <f>IF($H70="","",IF($F70="","No Highlighted Fields","Highlighted Fields Present"))</f>
        <v/>
      </c>
      <c r="F70" s="331" t="str">
        <f>IF($H70="","",IF(OR(NOT(ISFORMULA(INDEX('Game Records'!$N:$N,$H70))),NOT(ISFORMULA(INDEX('Game Records'!$O:$O,$H70))),NOT(ISFORMULA(INDEX('Game Records'!$P:$P,$H70))),NOT(ISFORMULA(INDEX('Game Records'!$Q:$Q,$H70))),NOT(ISFORMULA(INDEX('Game Records'!$R:$R,$H70))),NOT(ISFORMULA(INDEX('Game Records'!$S:$S,$H70))),NOT(ISFORMULA(INDEX('Game Records'!$T:$T,$H70))),NOT(ISFORMULA(INDEX('Game Records'!$U:$U,$H70))),NOT(ISFORMULA(INDEX('Game Records'!$V:$V,$H70))),NOT(ISFORMULA(INDEX('Game Records'!$W:$W,$H70))),NOT(ISFORMULA(INDEX('Game Records'!$X:$X,$H70))),NOT(ISFORMULA(INDEX('Game Records'!$Y:$Y,$H70))),NOT(ISFORMULA(INDEX('Game Records'!$Z:$Z,$H70)))),"Formula columns missing; ","")&amp;IF(INDEX('Game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Earned; ","")&amp;IF(AND(LOWER(INDEX('Game Records'!$D:$D,$H70)&amp;"")="finalized",INDEX('Game Records'!$U:$U,$H70)&lt;&gt;"Subscription",INDEX('Game Records'!$U:$U,$H70)&lt;&gt;"Free Game",INDEX('Game Records'!$U:$U,$H70)&lt;&gt;"Disqualified — Free Game",OR(INDEX('Game Records'!$L:$L,$H70)="",LOWER(INDEX('Game Records'!$L:$L,$H70)&amp;"")="n/a")),"Disqualified Status; ","")&amp;IF(AND(OR(INDEX('Game Records'!$U:$U,$H70)="Free Game",INDEX('Game Records'!$U:$U,$H70)="Disqualified — Free Game"),N(INDEX('Game Records'!$H:$H,$H70))&lt;&gt;0),"Free Game has a non-zero Entry Fee; ",""))</f>
        <v/>
      </c>
      <c r="G70" s="331" t="str">
        <f>IF($H70="","",IFERROR(INDEX('Game Records'!$M:$M,$H70),""))</f>
        <v/>
      </c>
      <c r="H70" s="104" t="str">
        <f>IF($H69="","",IFERROR(MATCH(1,INDEX((ROW('Game Records'!$U$5:$U$504)&gt;$H69)*(('Game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0" s="104"/>
      <c r="J70" s="104"/>
    </row>
    <row r="71" ht="24" hidden="0" customHeight="1">
      <c r="A71" s="332" t="str">
        <f>IF($H71="","",ROWS($A$5:A71))</f>
        <v/>
      </c>
      <c r="B71" s="332" t="str">
        <f>IF($H71="","","G-"&amp;TEXT($A71,"0000"))</f>
        <v/>
      </c>
      <c r="C71" s="331" t="str">
        <f>IF($H71="","",IFERROR(INDEX('Game Records'!$A:$A,$H71),""))</f>
        <v/>
      </c>
      <c r="D71" s="331" t="str">
        <f>IF($H71="","",IFERROR(INDEX('Game Records'!$U:$U,$H71),""))</f>
        <v/>
      </c>
      <c r="E71" s="331" t="str">
        <f>IF($H71="","",IF($F71="","No Highlighted Fields","Highlighted Fields Present"))</f>
        <v/>
      </c>
      <c r="F71" s="331" t="str">
        <f>IF($H71="","",IF(OR(NOT(ISFORMULA(INDEX('Game Records'!$N:$N,$H71))),NOT(ISFORMULA(INDEX('Game Records'!$O:$O,$H71))),NOT(ISFORMULA(INDEX('Game Records'!$P:$P,$H71))),NOT(ISFORMULA(INDEX('Game Records'!$Q:$Q,$H71))),NOT(ISFORMULA(INDEX('Game Records'!$R:$R,$H71))),NOT(ISFORMULA(INDEX('Game Records'!$S:$S,$H71))),NOT(ISFORMULA(INDEX('Game Records'!$T:$T,$H71))),NOT(ISFORMULA(INDEX('Game Records'!$U:$U,$H71))),NOT(ISFORMULA(INDEX('Game Records'!$V:$V,$H71))),NOT(ISFORMULA(INDEX('Game Records'!$W:$W,$H71))),NOT(ISFORMULA(INDEX('Game Records'!$X:$X,$H71))),NOT(ISFORMULA(INDEX('Game Records'!$Y:$Y,$H71))),NOT(ISFORMULA(INDEX('Game Records'!$Z:$Z,$H71)))),"Formula columns missing; ","")&amp;IF(INDEX('Game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Earned; ","")&amp;IF(AND(LOWER(INDEX('Game Records'!$D:$D,$H71)&amp;"")="finalized",INDEX('Game Records'!$U:$U,$H71)&lt;&gt;"Subscription",INDEX('Game Records'!$U:$U,$H71)&lt;&gt;"Free Game",INDEX('Game Records'!$U:$U,$H71)&lt;&gt;"Disqualified — Free Game",OR(INDEX('Game Records'!$L:$L,$H71)="",LOWER(INDEX('Game Records'!$L:$L,$H71)&amp;"")="n/a")),"Disqualified Status; ","")&amp;IF(AND(OR(INDEX('Game Records'!$U:$U,$H71)="Free Game",INDEX('Game Records'!$U:$U,$H71)="Disqualified — Free Game"),N(INDEX('Game Records'!$H:$H,$H71))&lt;&gt;0),"Free Game has a non-zero Entry Fee; ",""))</f>
        <v/>
      </c>
      <c r="G71" s="331" t="str">
        <f>IF($H71="","",IFERROR(INDEX('Game Records'!$M:$M,$H71),""))</f>
        <v/>
      </c>
      <c r="H71" s="104" t="str">
        <f>IF($H70="","",IFERROR(MATCH(1,INDEX((ROW('Game Records'!$U$5:$U$504)&gt;$H70)*(('Game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1" s="104"/>
      <c r="J71" s="104"/>
    </row>
    <row r="72" ht="24" hidden="0" customHeight="1">
      <c r="A72" s="332" t="str">
        <f>IF($H72="","",ROWS($A$5:A72))</f>
        <v/>
      </c>
      <c r="B72" s="332" t="str">
        <f>IF($H72="","","G-"&amp;TEXT($A72,"0000"))</f>
        <v/>
      </c>
      <c r="C72" s="331" t="str">
        <f>IF($H72="","",IFERROR(INDEX('Game Records'!$A:$A,$H72),""))</f>
        <v/>
      </c>
      <c r="D72" s="331" t="str">
        <f>IF($H72="","",IFERROR(INDEX('Game Records'!$U:$U,$H72),""))</f>
        <v/>
      </c>
      <c r="E72" s="331" t="str">
        <f>IF($H72="","",IF($F72="","No Highlighted Fields","Highlighted Fields Present"))</f>
        <v/>
      </c>
      <c r="F72" s="331" t="str">
        <f>IF($H72="","",IF(OR(NOT(ISFORMULA(INDEX('Game Records'!$N:$N,$H72))),NOT(ISFORMULA(INDEX('Game Records'!$O:$O,$H72))),NOT(ISFORMULA(INDEX('Game Records'!$P:$P,$H72))),NOT(ISFORMULA(INDEX('Game Records'!$Q:$Q,$H72))),NOT(ISFORMULA(INDEX('Game Records'!$R:$R,$H72))),NOT(ISFORMULA(INDEX('Game Records'!$S:$S,$H72))),NOT(ISFORMULA(INDEX('Game Records'!$T:$T,$H72))),NOT(ISFORMULA(INDEX('Game Records'!$U:$U,$H72))),NOT(ISFORMULA(INDEX('Game Records'!$V:$V,$H72))),NOT(ISFORMULA(INDEX('Game Records'!$W:$W,$H72))),NOT(ISFORMULA(INDEX('Game Records'!$X:$X,$H72))),NOT(ISFORMULA(INDEX('Game Records'!$Y:$Y,$H72))),NOT(ISFORMULA(INDEX('Game Records'!$Z:$Z,$H72)))),"Formula columns missing; ","")&amp;IF(INDEX('Game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Earned; ","")&amp;IF(AND(LOWER(INDEX('Game Records'!$D:$D,$H72)&amp;"")="finalized",INDEX('Game Records'!$U:$U,$H72)&lt;&gt;"Subscription",INDEX('Game Records'!$U:$U,$H72)&lt;&gt;"Free Game",INDEX('Game Records'!$U:$U,$H72)&lt;&gt;"Disqualified — Free Game",OR(INDEX('Game Records'!$L:$L,$H72)="",LOWER(INDEX('Game Records'!$L:$L,$H72)&amp;"")="n/a")),"Disqualified Status; ","")&amp;IF(AND(OR(INDEX('Game Records'!$U:$U,$H72)="Free Game",INDEX('Game Records'!$U:$U,$H72)="Disqualified — Free Game"),N(INDEX('Game Records'!$H:$H,$H72))&lt;&gt;0),"Free Game has a non-zero Entry Fee; ",""))</f>
        <v/>
      </c>
      <c r="G72" s="331" t="str">
        <f>IF($H72="","",IFERROR(INDEX('Game Records'!$M:$M,$H72),""))</f>
        <v/>
      </c>
      <c r="H72" s="104" t="str">
        <f>IF($H71="","",IFERROR(MATCH(1,INDEX((ROW('Game Records'!$U$5:$U$504)&gt;$H71)*(('Game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2" s="104"/>
      <c r="J72" s="104"/>
    </row>
    <row r="73" ht="24" hidden="0" customHeight="1">
      <c r="A73" s="332" t="str">
        <f>IF($H73="","",ROWS($A$5:A73))</f>
        <v/>
      </c>
      <c r="B73" s="332" t="str">
        <f>IF($H73="","","G-"&amp;TEXT($A73,"0000"))</f>
        <v/>
      </c>
      <c r="C73" s="331" t="str">
        <f>IF($H73="","",IFERROR(INDEX('Game Records'!$A:$A,$H73),""))</f>
        <v/>
      </c>
      <c r="D73" s="331" t="str">
        <f>IF($H73="","",IFERROR(INDEX('Game Records'!$U:$U,$H73),""))</f>
        <v/>
      </c>
      <c r="E73" s="331" t="str">
        <f>IF($H73="","",IF($F73="","No Highlighted Fields","Highlighted Fields Present"))</f>
        <v/>
      </c>
      <c r="F73" s="331" t="str">
        <f>IF($H73="","",IF(OR(NOT(ISFORMULA(INDEX('Game Records'!$N:$N,$H73))),NOT(ISFORMULA(INDEX('Game Records'!$O:$O,$H73))),NOT(ISFORMULA(INDEX('Game Records'!$P:$P,$H73))),NOT(ISFORMULA(INDEX('Game Records'!$Q:$Q,$H73))),NOT(ISFORMULA(INDEX('Game Records'!$R:$R,$H73))),NOT(ISFORMULA(INDEX('Game Records'!$S:$S,$H73))),NOT(ISFORMULA(INDEX('Game Records'!$T:$T,$H73))),NOT(ISFORMULA(INDEX('Game Records'!$U:$U,$H73))),NOT(ISFORMULA(INDEX('Game Records'!$V:$V,$H73))),NOT(ISFORMULA(INDEX('Game Records'!$W:$W,$H73))),NOT(ISFORMULA(INDEX('Game Records'!$X:$X,$H73))),NOT(ISFORMULA(INDEX('Game Records'!$Y:$Y,$H73))),NOT(ISFORMULA(INDEX('Game Records'!$Z:$Z,$H73)))),"Formula columns missing; ","")&amp;IF(INDEX('Game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Earned; ","")&amp;IF(AND(LOWER(INDEX('Game Records'!$D:$D,$H73)&amp;"")="finalized",INDEX('Game Records'!$U:$U,$H73)&lt;&gt;"Subscription",INDEX('Game Records'!$U:$U,$H73)&lt;&gt;"Free Game",INDEX('Game Records'!$U:$U,$H73)&lt;&gt;"Disqualified — Free Game",OR(INDEX('Game Records'!$L:$L,$H73)="",LOWER(INDEX('Game Records'!$L:$L,$H73)&amp;"")="n/a")),"Disqualified Status; ","")&amp;IF(AND(OR(INDEX('Game Records'!$U:$U,$H73)="Free Game",INDEX('Game Records'!$U:$U,$H73)="Disqualified — Free Game"),N(INDEX('Game Records'!$H:$H,$H73))&lt;&gt;0),"Free Game has a non-zero Entry Fee; ",""))</f>
        <v/>
      </c>
      <c r="G73" s="331" t="str">
        <f>IF($H73="","",IFERROR(INDEX('Game Records'!$M:$M,$H73),""))</f>
        <v/>
      </c>
      <c r="H73" s="104" t="str">
        <f>IF($H72="","",IFERROR(MATCH(1,INDEX((ROW('Game Records'!$U$5:$U$504)&gt;$H72)*(('Game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3" s="104"/>
      <c r="J73" s="104"/>
    </row>
    <row r="74" ht="24" hidden="0" customHeight="1">
      <c r="A74" s="332" t="str">
        <f>IF($H74="","",ROWS($A$5:A74))</f>
        <v/>
      </c>
      <c r="B74" s="332" t="str">
        <f>IF($H74="","","G-"&amp;TEXT($A74,"0000"))</f>
        <v/>
      </c>
      <c r="C74" s="331" t="str">
        <f>IF($H74="","",IFERROR(INDEX('Game Records'!$A:$A,$H74),""))</f>
        <v/>
      </c>
      <c r="D74" s="331" t="str">
        <f>IF($H74="","",IFERROR(INDEX('Game Records'!$U:$U,$H74),""))</f>
        <v/>
      </c>
      <c r="E74" s="331" t="str">
        <f>IF($H74="","",IF($F74="","No Highlighted Fields","Highlighted Fields Present"))</f>
        <v/>
      </c>
      <c r="F74" s="331" t="str">
        <f>IF($H74="","",IF(OR(NOT(ISFORMULA(INDEX('Game Records'!$N:$N,$H74))),NOT(ISFORMULA(INDEX('Game Records'!$O:$O,$H74))),NOT(ISFORMULA(INDEX('Game Records'!$P:$P,$H74))),NOT(ISFORMULA(INDEX('Game Records'!$Q:$Q,$H74))),NOT(ISFORMULA(INDEX('Game Records'!$R:$R,$H74))),NOT(ISFORMULA(INDEX('Game Records'!$S:$S,$H74))),NOT(ISFORMULA(INDEX('Game Records'!$T:$T,$H74))),NOT(ISFORMULA(INDEX('Game Records'!$U:$U,$H74))),NOT(ISFORMULA(INDEX('Game Records'!$V:$V,$H74))),NOT(ISFORMULA(INDEX('Game Records'!$W:$W,$H74))),NOT(ISFORMULA(INDEX('Game Records'!$X:$X,$H74))),NOT(ISFORMULA(INDEX('Game Records'!$Y:$Y,$H74))),NOT(ISFORMULA(INDEX('Game Records'!$Z:$Z,$H74)))),"Formula columns missing; ","")&amp;IF(INDEX('Game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Earned; ","")&amp;IF(AND(LOWER(INDEX('Game Records'!$D:$D,$H74)&amp;"")="finalized",INDEX('Game Records'!$U:$U,$H74)&lt;&gt;"Subscription",INDEX('Game Records'!$U:$U,$H74)&lt;&gt;"Free Game",INDEX('Game Records'!$U:$U,$H74)&lt;&gt;"Disqualified — Free Game",OR(INDEX('Game Records'!$L:$L,$H74)="",LOWER(INDEX('Game Records'!$L:$L,$H74)&amp;"")="n/a")),"Disqualified Status; ","")&amp;IF(AND(OR(INDEX('Game Records'!$U:$U,$H74)="Free Game",INDEX('Game Records'!$U:$U,$H74)="Disqualified — Free Game"),N(INDEX('Game Records'!$H:$H,$H74))&lt;&gt;0),"Free Game has a non-zero Entry Fee; ",""))</f>
        <v/>
      </c>
      <c r="G74" s="331" t="str">
        <f>IF($H74="","",IFERROR(INDEX('Game Records'!$M:$M,$H74),""))</f>
        <v/>
      </c>
      <c r="H74" s="104" t="str">
        <f>IF($H73="","",IFERROR(MATCH(1,INDEX((ROW('Game Records'!$U$5:$U$504)&gt;$H73)*(('Game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4" s="104"/>
      <c r="J74" s="104"/>
    </row>
    <row r="75" ht="24" hidden="0" customHeight="1">
      <c r="A75" s="332" t="str">
        <f>IF($H75="","",ROWS($A$5:A75))</f>
        <v/>
      </c>
      <c r="B75" s="332" t="str">
        <f>IF($H75="","","G-"&amp;TEXT($A75,"0000"))</f>
        <v/>
      </c>
      <c r="C75" s="331" t="str">
        <f>IF($H75="","",IFERROR(INDEX('Game Records'!$A:$A,$H75),""))</f>
        <v/>
      </c>
      <c r="D75" s="331" t="str">
        <f>IF($H75="","",IFERROR(INDEX('Game Records'!$U:$U,$H75),""))</f>
        <v/>
      </c>
      <c r="E75" s="331" t="str">
        <f>IF($H75="","",IF($F75="","No Highlighted Fields","Highlighted Fields Present"))</f>
        <v/>
      </c>
      <c r="F75" s="331" t="str">
        <f>IF($H75="","",IF(OR(NOT(ISFORMULA(INDEX('Game Records'!$N:$N,$H75))),NOT(ISFORMULA(INDEX('Game Records'!$O:$O,$H75))),NOT(ISFORMULA(INDEX('Game Records'!$P:$P,$H75))),NOT(ISFORMULA(INDEX('Game Records'!$Q:$Q,$H75))),NOT(ISFORMULA(INDEX('Game Records'!$R:$R,$H75))),NOT(ISFORMULA(INDEX('Game Records'!$S:$S,$H75))),NOT(ISFORMULA(INDEX('Game Records'!$T:$T,$H75))),NOT(ISFORMULA(INDEX('Game Records'!$U:$U,$H75))),NOT(ISFORMULA(INDEX('Game Records'!$V:$V,$H75))),NOT(ISFORMULA(INDEX('Game Records'!$W:$W,$H75))),NOT(ISFORMULA(INDEX('Game Records'!$X:$X,$H75))),NOT(ISFORMULA(INDEX('Game Records'!$Y:$Y,$H75))),NOT(ISFORMULA(INDEX('Game Records'!$Z:$Z,$H75)))),"Formula columns missing; ","")&amp;IF(INDEX('Game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Earned; ","")&amp;IF(AND(LOWER(INDEX('Game Records'!$D:$D,$H75)&amp;"")="finalized",INDEX('Game Records'!$U:$U,$H75)&lt;&gt;"Subscription",INDEX('Game Records'!$U:$U,$H75)&lt;&gt;"Free Game",INDEX('Game Records'!$U:$U,$H75)&lt;&gt;"Disqualified — Free Game",OR(INDEX('Game Records'!$L:$L,$H75)="",LOWER(INDEX('Game Records'!$L:$L,$H75)&amp;"")="n/a")),"Disqualified Status; ","")&amp;IF(AND(OR(INDEX('Game Records'!$U:$U,$H75)="Free Game",INDEX('Game Records'!$U:$U,$H75)="Disqualified — Free Game"),N(INDEX('Game Records'!$H:$H,$H75))&lt;&gt;0),"Free Game has a non-zero Entry Fee; ",""))</f>
        <v/>
      </c>
      <c r="G75" s="331" t="str">
        <f>IF($H75="","",IFERROR(INDEX('Game Records'!$M:$M,$H75),""))</f>
        <v/>
      </c>
      <c r="H75" s="104" t="str">
        <f>IF($H74="","",IFERROR(MATCH(1,INDEX((ROW('Game Records'!$U$5:$U$504)&gt;$H74)*(('Game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5" s="104"/>
      <c r="J75" s="104"/>
    </row>
    <row r="76" ht="24" hidden="0" customHeight="1">
      <c r="A76" s="332" t="str">
        <f>IF($H76="","",ROWS($A$5:A76))</f>
        <v/>
      </c>
      <c r="B76" s="332" t="str">
        <f>IF($H76="","","G-"&amp;TEXT($A76,"0000"))</f>
        <v/>
      </c>
      <c r="C76" s="331" t="str">
        <f>IF($H76="","",IFERROR(INDEX('Game Records'!$A:$A,$H76),""))</f>
        <v/>
      </c>
      <c r="D76" s="331" t="str">
        <f>IF($H76="","",IFERROR(INDEX('Game Records'!$U:$U,$H76),""))</f>
        <v/>
      </c>
      <c r="E76" s="331" t="str">
        <f>IF($H76="","",IF($F76="","No Highlighted Fields","Highlighted Fields Present"))</f>
        <v/>
      </c>
      <c r="F76" s="331" t="str">
        <f>IF($H76="","",IF(OR(NOT(ISFORMULA(INDEX('Game Records'!$N:$N,$H76))),NOT(ISFORMULA(INDEX('Game Records'!$O:$O,$H76))),NOT(ISFORMULA(INDEX('Game Records'!$P:$P,$H76))),NOT(ISFORMULA(INDEX('Game Records'!$Q:$Q,$H76))),NOT(ISFORMULA(INDEX('Game Records'!$R:$R,$H76))),NOT(ISFORMULA(INDEX('Game Records'!$S:$S,$H76))),NOT(ISFORMULA(INDEX('Game Records'!$T:$T,$H76))),NOT(ISFORMULA(INDEX('Game Records'!$U:$U,$H76))),NOT(ISFORMULA(INDEX('Game Records'!$V:$V,$H76))),NOT(ISFORMULA(INDEX('Game Records'!$W:$W,$H76))),NOT(ISFORMULA(INDEX('Game Records'!$X:$X,$H76))),NOT(ISFORMULA(INDEX('Game Records'!$Y:$Y,$H76))),NOT(ISFORMULA(INDEX('Game Records'!$Z:$Z,$H76)))),"Formula columns missing; ","")&amp;IF(INDEX('Game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Earned; ","")&amp;IF(AND(LOWER(INDEX('Game Records'!$D:$D,$H76)&amp;"")="finalized",INDEX('Game Records'!$U:$U,$H76)&lt;&gt;"Subscription",INDEX('Game Records'!$U:$U,$H76)&lt;&gt;"Free Game",INDEX('Game Records'!$U:$U,$H76)&lt;&gt;"Disqualified — Free Game",OR(INDEX('Game Records'!$L:$L,$H76)="",LOWER(INDEX('Game Records'!$L:$L,$H76)&amp;"")="n/a")),"Disqualified Status; ","")&amp;IF(AND(OR(INDEX('Game Records'!$U:$U,$H76)="Free Game",INDEX('Game Records'!$U:$U,$H76)="Disqualified — Free Game"),N(INDEX('Game Records'!$H:$H,$H76))&lt;&gt;0),"Free Game has a non-zero Entry Fee; ",""))</f>
        <v/>
      </c>
      <c r="G76" s="331" t="str">
        <f>IF($H76="","",IFERROR(INDEX('Game Records'!$M:$M,$H76),""))</f>
        <v/>
      </c>
      <c r="H76" s="104" t="str">
        <f>IF($H75="","",IFERROR(MATCH(1,INDEX((ROW('Game Records'!$U$5:$U$504)&gt;$H75)*(('Game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6" s="104"/>
      <c r="J76" s="104"/>
    </row>
    <row r="77" ht="24" hidden="0" customHeight="1">
      <c r="A77" s="332" t="str">
        <f>IF($H77="","",ROWS($A$5:A77))</f>
        <v/>
      </c>
      <c r="B77" s="332" t="str">
        <f>IF($H77="","","G-"&amp;TEXT($A77,"0000"))</f>
        <v/>
      </c>
      <c r="C77" s="331" t="str">
        <f>IF($H77="","",IFERROR(INDEX('Game Records'!$A:$A,$H77),""))</f>
        <v/>
      </c>
      <c r="D77" s="331" t="str">
        <f>IF($H77="","",IFERROR(INDEX('Game Records'!$U:$U,$H77),""))</f>
        <v/>
      </c>
      <c r="E77" s="331" t="str">
        <f>IF($H77="","",IF($F77="","No Highlighted Fields","Highlighted Fields Present"))</f>
        <v/>
      </c>
      <c r="F77" s="331" t="str">
        <f>IF($H77="","",IF(OR(NOT(ISFORMULA(INDEX('Game Records'!$N:$N,$H77))),NOT(ISFORMULA(INDEX('Game Records'!$O:$O,$H77))),NOT(ISFORMULA(INDEX('Game Records'!$P:$P,$H77))),NOT(ISFORMULA(INDEX('Game Records'!$Q:$Q,$H77))),NOT(ISFORMULA(INDEX('Game Records'!$R:$R,$H77))),NOT(ISFORMULA(INDEX('Game Records'!$S:$S,$H77))),NOT(ISFORMULA(INDEX('Game Records'!$T:$T,$H77))),NOT(ISFORMULA(INDEX('Game Records'!$U:$U,$H77))),NOT(ISFORMULA(INDEX('Game Records'!$V:$V,$H77))),NOT(ISFORMULA(INDEX('Game Records'!$W:$W,$H77))),NOT(ISFORMULA(INDEX('Game Records'!$X:$X,$H77))),NOT(ISFORMULA(INDEX('Game Records'!$Y:$Y,$H77))),NOT(ISFORMULA(INDEX('Game Records'!$Z:$Z,$H77)))),"Formula columns missing; ","")&amp;IF(INDEX('Game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Earned; ","")&amp;IF(AND(LOWER(INDEX('Game Records'!$D:$D,$H77)&amp;"")="finalized",INDEX('Game Records'!$U:$U,$H77)&lt;&gt;"Subscription",INDEX('Game Records'!$U:$U,$H77)&lt;&gt;"Free Game",INDEX('Game Records'!$U:$U,$H77)&lt;&gt;"Disqualified — Free Game",OR(INDEX('Game Records'!$L:$L,$H77)="",LOWER(INDEX('Game Records'!$L:$L,$H77)&amp;"")="n/a")),"Disqualified Status; ","")&amp;IF(AND(OR(INDEX('Game Records'!$U:$U,$H77)="Free Game",INDEX('Game Records'!$U:$U,$H77)="Disqualified — Free Game"),N(INDEX('Game Records'!$H:$H,$H77))&lt;&gt;0),"Free Game has a non-zero Entry Fee; ",""))</f>
        <v/>
      </c>
      <c r="G77" s="331" t="str">
        <f>IF($H77="","",IFERROR(INDEX('Game Records'!$M:$M,$H77),""))</f>
        <v/>
      </c>
      <c r="H77" s="104" t="str">
        <f>IF($H76="","",IFERROR(MATCH(1,INDEX((ROW('Game Records'!$U$5:$U$504)&gt;$H76)*(('Game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7" s="104"/>
      <c r="J77" s="104"/>
    </row>
    <row r="78" ht="24" hidden="0" customHeight="1">
      <c r="A78" s="332" t="str">
        <f>IF($H78="","",ROWS($A$5:A78))</f>
        <v/>
      </c>
      <c r="B78" s="332" t="str">
        <f>IF($H78="","","G-"&amp;TEXT($A78,"0000"))</f>
        <v/>
      </c>
      <c r="C78" s="331" t="str">
        <f>IF($H78="","",IFERROR(INDEX('Game Records'!$A:$A,$H78),""))</f>
        <v/>
      </c>
      <c r="D78" s="331" t="str">
        <f>IF($H78="","",IFERROR(INDEX('Game Records'!$U:$U,$H78),""))</f>
        <v/>
      </c>
      <c r="E78" s="331" t="str">
        <f>IF($H78="","",IF($F78="","No Highlighted Fields","Highlighted Fields Present"))</f>
        <v/>
      </c>
      <c r="F78" s="331" t="str">
        <f>IF($H78="","",IF(OR(NOT(ISFORMULA(INDEX('Game Records'!$N:$N,$H78))),NOT(ISFORMULA(INDEX('Game Records'!$O:$O,$H78))),NOT(ISFORMULA(INDEX('Game Records'!$P:$P,$H78))),NOT(ISFORMULA(INDEX('Game Records'!$Q:$Q,$H78))),NOT(ISFORMULA(INDEX('Game Records'!$R:$R,$H78))),NOT(ISFORMULA(INDEX('Game Records'!$S:$S,$H78))),NOT(ISFORMULA(INDEX('Game Records'!$T:$T,$H78))),NOT(ISFORMULA(INDEX('Game Records'!$U:$U,$H78))),NOT(ISFORMULA(INDEX('Game Records'!$V:$V,$H78))),NOT(ISFORMULA(INDEX('Game Records'!$W:$W,$H78))),NOT(ISFORMULA(INDEX('Game Records'!$X:$X,$H78))),NOT(ISFORMULA(INDEX('Game Records'!$Y:$Y,$H78))),NOT(ISFORMULA(INDEX('Game Records'!$Z:$Z,$H78)))),"Formula columns missing; ","")&amp;IF(INDEX('Game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Earned; ","")&amp;IF(AND(LOWER(INDEX('Game Records'!$D:$D,$H78)&amp;"")="finalized",INDEX('Game Records'!$U:$U,$H78)&lt;&gt;"Subscription",INDEX('Game Records'!$U:$U,$H78)&lt;&gt;"Free Game",INDEX('Game Records'!$U:$U,$H78)&lt;&gt;"Disqualified — Free Game",OR(INDEX('Game Records'!$L:$L,$H78)="",LOWER(INDEX('Game Records'!$L:$L,$H78)&amp;"")="n/a")),"Disqualified Status; ","")&amp;IF(AND(OR(INDEX('Game Records'!$U:$U,$H78)="Free Game",INDEX('Game Records'!$U:$U,$H78)="Disqualified — Free Game"),N(INDEX('Game Records'!$H:$H,$H78))&lt;&gt;0),"Free Game has a non-zero Entry Fee; ",""))</f>
        <v/>
      </c>
      <c r="G78" s="331" t="str">
        <f>IF($H78="","",IFERROR(INDEX('Game Records'!$M:$M,$H78),""))</f>
        <v/>
      </c>
      <c r="H78" s="104" t="str">
        <f>IF($H77="","",IFERROR(MATCH(1,INDEX((ROW('Game Records'!$U$5:$U$504)&gt;$H77)*(('Game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8" s="104"/>
      <c r="J78" s="104"/>
    </row>
    <row r="79" ht="24" hidden="0" customHeight="1">
      <c r="A79" s="332" t="str">
        <f>IF($H79="","",ROWS($A$5:A79))</f>
        <v/>
      </c>
      <c r="B79" s="332" t="str">
        <f>IF($H79="","","G-"&amp;TEXT($A79,"0000"))</f>
        <v/>
      </c>
      <c r="C79" s="331" t="str">
        <f>IF($H79="","",IFERROR(INDEX('Game Records'!$A:$A,$H79),""))</f>
        <v/>
      </c>
      <c r="D79" s="331" t="str">
        <f>IF($H79="","",IFERROR(INDEX('Game Records'!$U:$U,$H79),""))</f>
        <v/>
      </c>
      <c r="E79" s="331" t="str">
        <f>IF($H79="","",IF($F79="","No Highlighted Fields","Highlighted Fields Present"))</f>
        <v/>
      </c>
      <c r="F79" s="331" t="str">
        <f>IF($H79="","",IF(OR(NOT(ISFORMULA(INDEX('Game Records'!$N:$N,$H79))),NOT(ISFORMULA(INDEX('Game Records'!$O:$O,$H79))),NOT(ISFORMULA(INDEX('Game Records'!$P:$P,$H79))),NOT(ISFORMULA(INDEX('Game Records'!$Q:$Q,$H79))),NOT(ISFORMULA(INDEX('Game Records'!$R:$R,$H79))),NOT(ISFORMULA(INDEX('Game Records'!$S:$S,$H79))),NOT(ISFORMULA(INDEX('Game Records'!$T:$T,$H79))),NOT(ISFORMULA(INDEX('Game Records'!$U:$U,$H79))),NOT(ISFORMULA(INDEX('Game Records'!$V:$V,$H79))),NOT(ISFORMULA(INDEX('Game Records'!$W:$W,$H79))),NOT(ISFORMULA(INDEX('Game Records'!$X:$X,$H79))),NOT(ISFORMULA(INDEX('Game Records'!$Y:$Y,$H79))),NOT(ISFORMULA(INDEX('Game Records'!$Z:$Z,$H79)))),"Formula columns missing; ","")&amp;IF(INDEX('Game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Earned; ","")&amp;IF(AND(LOWER(INDEX('Game Records'!$D:$D,$H79)&amp;"")="finalized",INDEX('Game Records'!$U:$U,$H79)&lt;&gt;"Subscription",INDEX('Game Records'!$U:$U,$H79)&lt;&gt;"Free Game",INDEX('Game Records'!$U:$U,$H79)&lt;&gt;"Disqualified — Free Game",OR(INDEX('Game Records'!$L:$L,$H79)="",LOWER(INDEX('Game Records'!$L:$L,$H79)&amp;"")="n/a")),"Disqualified Status; ","")&amp;IF(AND(OR(INDEX('Game Records'!$U:$U,$H79)="Free Game",INDEX('Game Records'!$U:$U,$H79)="Disqualified — Free Game"),N(INDEX('Game Records'!$H:$H,$H79))&lt;&gt;0),"Free Game has a non-zero Entry Fee; ",""))</f>
        <v/>
      </c>
      <c r="G79" s="331" t="str">
        <f>IF($H79="","",IFERROR(INDEX('Game Records'!$M:$M,$H79),""))</f>
        <v/>
      </c>
      <c r="H79" s="104" t="str">
        <f>IF($H78="","",IFERROR(MATCH(1,INDEX((ROW('Game Records'!$U$5:$U$504)&gt;$H78)*(('Game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9" s="104"/>
      <c r="J79" s="104"/>
    </row>
    <row r="80" ht="24" hidden="0" customHeight="1">
      <c r="A80" s="332" t="str">
        <f>IF($H80="","",ROWS($A$5:A80))</f>
        <v/>
      </c>
      <c r="B80" s="332" t="str">
        <f>IF($H80="","","G-"&amp;TEXT($A80,"0000"))</f>
        <v/>
      </c>
      <c r="C80" s="331" t="str">
        <f>IF($H80="","",IFERROR(INDEX('Game Records'!$A:$A,$H80),""))</f>
        <v/>
      </c>
      <c r="D80" s="331" t="str">
        <f>IF($H80="","",IFERROR(INDEX('Game Records'!$U:$U,$H80),""))</f>
        <v/>
      </c>
      <c r="E80" s="331" t="str">
        <f>IF($H80="","",IF($F80="","No Highlighted Fields","Highlighted Fields Present"))</f>
        <v/>
      </c>
      <c r="F80" s="331" t="str">
        <f>IF($H80="","",IF(OR(NOT(ISFORMULA(INDEX('Game Records'!$N:$N,$H80))),NOT(ISFORMULA(INDEX('Game Records'!$O:$O,$H80))),NOT(ISFORMULA(INDEX('Game Records'!$P:$P,$H80))),NOT(ISFORMULA(INDEX('Game Records'!$Q:$Q,$H80))),NOT(ISFORMULA(INDEX('Game Records'!$R:$R,$H80))),NOT(ISFORMULA(INDEX('Game Records'!$S:$S,$H80))),NOT(ISFORMULA(INDEX('Game Records'!$T:$T,$H80))),NOT(ISFORMULA(INDEX('Game Records'!$U:$U,$H80))),NOT(ISFORMULA(INDEX('Game Records'!$V:$V,$H80))),NOT(ISFORMULA(INDEX('Game Records'!$W:$W,$H80))),NOT(ISFORMULA(INDEX('Game Records'!$X:$X,$H80))),NOT(ISFORMULA(INDEX('Game Records'!$Y:$Y,$H80))),NOT(ISFORMULA(INDEX('Game Records'!$Z:$Z,$H80)))),"Formula columns missing; ","")&amp;IF(INDEX('Game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Earned; ","")&amp;IF(AND(LOWER(INDEX('Game Records'!$D:$D,$H80)&amp;"")="finalized",INDEX('Game Records'!$U:$U,$H80)&lt;&gt;"Subscription",INDEX('Game Records'!$U:$U,$H80)&lt;&gt;"Free Game",INDEX('Game Records'!$U:$U,$H80)&lt;&gt;"Disqualified — Free Game",OR(INDEX('Game Records'!$L:$L,$H80)="",LOWER(INDEX('Game Records'!$L:$L,$H80)&amp;"")="n/a")),"Disqualified Status; ","")&amp;IF(AND(OR(INDEX('Game Records'!$U:$U,$H80)="Free Game",INDEX('Game Records'!$U:$U,$H80)="Disqualified — Free Game"),N(INDEX('Game Records'!$H:$H,$H80))&lt;&gt;0),"Free Game has a non-zero Entry Fee; ",""))</f>
        <v/>
      </c>
      <c r="G80" s="331" t="str">
        <f>IF($H80="","",IFERROR(INDEX('Game Records'!$M:$M,$H80),""))</f>
        <v/>
      </c>
      <c r="H80" s="104" t="str">
        <f>IF($H79="","",IFERROR(MATCH(1,INDEX((ROW('Game Records'!$U$5:$U$504)&gt;$H79)*(('Game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0" s="104"/>
      <c r="J80" s="104"/>
    </row>
    <row r="81" ht="24" hidden="0" customHeight="1">
      <c r="A81" s="332" t="str">
        <f>IF($H81="","",ROWS($A$5:A81))</f>
        <v/>
      </c>
      <c r="B81" s="332" t="str">
        <f>IF($H81="","","G-"&amp;TEXT($A81,"0000"))</f>
        <v/>
      </c>
      <c r="C81" s="331" t="str">
        <f>IF($H81="","",IFERROR(INDEX('Game Records'!$A:$A,$H81),""))</f>
        <v/>
      </c>
      <c r="D81" s="331" t="str">
        <f>IF($H81="","",IFERROR(INDEX('Game Records'!$U:$U,$H81),""))</f>
        <v/>
      </c>
      <c r="E81" s="331" t="str">
        <f>IF($H81="","",IF($F81="","No Highlighted Fields","Highlighted Fields Present"))</f>
        <v/>
      </c>
      <c r="F81" s="331" t="str">
        <f>IF($H81="","",IF(OR(NOT(ISFORMULA(INDEX('Game Records'!$N:$N,$H81))),NOT(ISFORMULA(INDEX('Game Records'!$O:$O,$H81))),NOT(ISFORMULA(INDEX('Game Records'!$P:$P,$H81))),NOT(ISFORMULA(INDEX('Game Records'!$Q:$Q,$H81))),NOT(ISFORMULA(INDEX('Game Records'!$R:$R,$H81))),NOT(ISFORMULA(INDEX('Game Records'!$S:$S,$H81))),NOT(ISFORMULA(INDEX('Game Records'!$T:$T,$H81))),NOT(ISFORMULA(INDEX('Game Records'!$U:$U,$H81))),NOT(ISFORMULA(INDEX('Game Records'!$V:$V,$H81))),NOT(ISFORMULA(INDEX('Game Records'!$W:$W,$H81))),NOT(ISFORMULA(INDEX('Game Records'!$X:$X,$H81))),NOT(ISFORMULA(INDEX('Game Records'!$Y:$Y,$H81))),NOT(ISFORMULA(INDEX('Game Records'!$Z:$Z,$H81)))),"Formula columns missing; ","")&amp;IF(INDEX('Game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Earned; ","")&amp;IF(AND(LOWER(INDEX('Game Records'!$D:$D,$H81)&amp;"")="finalized",INDEX('Game Records'!$U:$U,$H81)&lt;&gt;"Subscription",INDEX('Game Records'!$U:$U,$H81)&lt;&gt;"Free Game",INDEX('Game Records'!$U:$U,$H81)&lt;&gt;"Disqualified — Free Game",OR(INDEX('Game Records'!$L:$L,$H81)="",LOWER(INDEX('Game Records'!$L:$L,$H81)&amp;"")="n/a")),"Disqualified Status; ","")&amp;IF(AND(OR(INDEX('Game Records'!$U:$U,$H81)="Free Game",INDEX('Game Records'!$U:$U,$H81)="Disqualified — Free Game"),N(INDEX('Game Records'!$H:$H,$H81))&lt;&gt;0),"Free Game has a non-zero Entry Fee; ",""))</f>
        <v/>
      </c>
      <c r="G81" s="331" t="str">
        <f>IF($H81="","",IFERROR(INDEX('Game Records'!$M:$M,$H81),""))</f>
        <v/>
      </c>
      <c r="H81" s="104" t="str">
        <f>IF($H80="","",IFERROR(MATCH(1,INDEX((ROW('Game Records'!$U$5:$U$504)&gt;$H80)*(('Game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1" s="104"/>
      <c r="J81" s="104"/>
    </row>
    <row r="82" ht="24" hidden="0" customHeight="1">
      <c r="A82" s="332" t="str">
        <f>IF($H82="","",ROWS($A$5:A82))</f>
        <v/>
      </c>
      <c r="B82" s="332" t="str">
        <f>IF($H82="","","G-"&amp;TEXT($A82,"0000"))</f>
        <v/>
      </c>
      <c r="C82" s="331" t="str">
        <f>IF($H82="","",IFERROR(INDEX('Game Records'!$A:$A,$H82),""))</f>
        <v/>
      </c>
      <c r="D82" s="331" t="str">
        <f>IF($H82="","",IFERROR(INDEX('Game Records'!$U:$U,$H82),""))</f>
        <v/>
      </c>
      <c r="E82" s="331" t="str">
        <f>IF($H82="","",IF($F82="","No Highlighted Fields","Highlighted Fields Present"))</f>
        <v/>
      </c>
      <c r="F82" s="331" t="str">
        <f>IF($H82="","",IF(OR(NOT(ISFORMULA(INDEX('Game Records'!$N:$N,$H82))),NOT(ISFORMULA(INDEX('Game Records'!$O:$O,$H82))),NOT(ISFORMULA(INDEX('Game Records'!$P:$P,$H82))),NOT(ISFORMULA(INDEX('Game Records'!$Q:$Q,$H82))),NOT(ISFORMULA(INDEX('Game Records'!$R:$R,$H82))),NOT(ISFORMULA(INDEX('Game Records'!$S:$S,$H82))),NOT(ISFORMULA(INDEX('Game Records'!$T:$T,$H82))),NOT(ISFORMULA(INDEX('Game Records'!$U:$U,$H82))),NOT(ISFORMULA(INDEX('Game Records'!$V:$V,$H82))),NOT(ISFORMULA(INDEX('Game Records'!$W:$W,$H82))),NOT(ISFORMULA(INDEX('Game Records'!$X:$X,$H82))),NOT(ISFORMULA(INDEX('Game Records'!$Y:$Y,$H82))),NOT(ISFORMULA(INDEX('Game Records'!$Z:$Z,$H82)))),"Formula columns missing; ","")&amp;IF(INDEX('Game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Earned; ","")&amp;IF(AND(LOWER(INDEX('Game Records'!$D:$D,$H82)&amp;"")="finalized",INDEX('Game Records'!$U:$U,$H82)&lt;&gt;"Subscription",INDEX('Game Records'!$U:$U,$H82)&lt;&gt;"Free Game",INDEX('Game Records'!$U:$U,$H82)&lt;&gt;"Disqualified — Free Game",OR(INDEX('Game Records'!$L:$L,$H82)="",LOWER(INDEX('Game Records'!$L:$L,$H82)&amp;"")="n/a")),"Disqualified Status; ","")&amp;IF(AND(OR(INDEX('Game Records'!$U:$U,$H82)="Free Game",INDEX('Game Records'!$U:$U,$H82)="Disqualified — Free Game"),N(INDEX('Game Records'!$H:$H,$H82))&lt;&gt;0),"Free Game has a non-zero Entry Fee; ",""))</f>
        <v/>
      </c>
      <c r="G82" s="331" t="str">
        <f>IF($H82="","",IFERROR(INDEX('Game Records'!$M:$M,$H82),""))</f>
        <v/>
      </c>
      <c r="H82" s="104" t="str">
        <f>IF($H81="","",IFERROR(MATCH(1,INDEX((ROW('Game Records'!$U$5:$U$504)&gt;$H81)*(('Game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2" s="104"/>
      <c r="J82" s="104"/>
    </row>
    <row r="83" ht="24" hidden="0" customHeight="1">
      <c r="A83" s="332" t="str">
        <f>IF($H83="","",ROWS($A$5:A83))</f>
        <v/>
      </c>
      <c r="B83" s="332" t="str">
        <f>IF($H83="","","G-"&amp;TEXT($A83,"0000"))</f>
        <v/>
      </c>
      <c r="C83" s="331" t="str">
        <f>IF($H83="","",IFERROR(INDEX('Game Records'!$A:$A,$H83),""))</f>
        <v/>
      </c>
      <c r="D83" s="331" t="str">
        <f>IF($H83="","",IFERROR(INDEX('Game Records'!$U:$U,$H83),""))</f>
        <v/>
      </c>
      <c r="E83" s="331" t="str">
        <f>IF($H83="","",IF($F83="","No Highlighted Fields","Highlighted Fields Present"))</f>
        <v/>
      </c>
      <c r="F83" s="331" t="str">
        <f>IF($H83="","",IF(OR(NOT(ISFORMULA(INDEX('Game Records'!$N:$N,$H83))),NOT(ISFORMULA(INDEX('Game Records'!$O:$O,$H83))),NOT(ISFORMULA(INDEX('Game Records'!$P:$P,$H83))),NOT(ISFORMULA(INDEX('Game Records'!$Q:$Q,$H83))),NOT(ISFORMULA(INDEX('Game Records'!$R:$R,$H83))),NOT(ISFORMULA(INDEX('Game Records'!$S:$S,$H83))),NOT(ISFORMULA(INDEX('Game Records'!$T:$T,$H83))),NOT(ISFORMULA(INDEX('Game Records'!$U:$U,$H83))),NOT(ISFORMULA(INDEX('Game Records'!$V:$V,$H83))),NOT(ISFORMULA(INDEX('Game Records'!$W:$W,$H83))),NOT(ISFORMULA(INDEX('Game Records'!$X:$X,$H83))),NOT(ISFORMULA(INDEX('Game Records'!$Y:$Y,$H83))),NOT(ISFORMULA(INDEX('Game Records'!$Z:$Z,$H83)))),"Formula columns missing; ","")&amp;IF(INDEX('Game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Earned; ","")&amp;IF(AND(LOWER(INDEX('Game Records'!$D:$D,$H83)&amp;"")="finalized",INDEX('Game Records'!$U:$U,$H83)&lt;&gt;"Subscription",INDEX('Game Records'!$U:$U,$H83)&lt;&gt;"Free Game",INDEX('Game Records'!$U:$U,$H83)&lt;&gt;"Disqualified — Free Game",OR(INDEX('Game Records'!$L:$L,$H83)="",LOWER(INDEX('Game Records'!$L:$L,$H83)&amp;"")="n/a")),"Disqualified Status; ","")&amp;IF(AND(OR(INDEX('Game Records'!$U:$U,$H83)="Free Game",INDEX('Game Records'!$U:$U,$H83)="Disqualified — Free Game"),N(INDEX('Game Records'!$H:$H,$H83))&lt;&gt;0),"Free Game has a non-zero Entry Fee; ",""))</f>
        <v/>
      </c>
      <c r="G83" s="331" t="str">
        <f>IF($H83="","",IFERROR(INDEX('Game Records'!$M:$M,$H83),""))</f>
        <v/>
      </c>
      <c r="H83" s="104" t="str">
        <f>IF($H82="","",IFERROR(MATCH(1,INDEX((ROW('Game Records'!$U$5:$U$504)&gt;$H82)*(('Game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3" s="104"/>
      <c r="J83" s="104"/>
    </row>
    <row r="84" ht="24" hidden="0" customHeight="1">
      <c r="A84" s="332" t="str">
        <f>IF($H84="","",ROWS($A$5:A84))</f>
        <v/>
      </c>
      <c r="B84" s="332" t="str">
        <f>IF($H84="","","G-"&amp;TEXT($A84,"0000"))</f>
        <v/>
      </c>
      <c r="C84" s="331" t="str">
        <f>IF($H84="","",IFERROR(INDEX('Game Records'!$A:$A,$H84),""))</f>
        <v/>
      </c>
      <c r="D84" s="331" t="str">
        <f>IF($H84="","",IFERROR(INDEX('Game Records'!$U:$U,$H84),""))</f>
        <v/>
      </c>
      <c r="E84" s="331" t="str">
        <f>IF($H84="","",IF($F84="","No Highlighted Fields","Highlighted Fields Present"))</f>
        <v/>
      </c>
      <c r="F84" s="331" t="str">
        <f>IF($H84="","",IF(OR(NOT(ISFORMULA(INDEX('Game Records'!$N:$N,$H84))),NOT(ISFORMULA(INDEX('Game Records'!$O:$O,$H84))),NOT(ISFORMULA(INDEX('Game Records'!$P:$P,$H84))),NOT(ISFORMULA(INDEX('Game Records'!$Q:$Q,$H84))),NOT(ISFORMULA(INDEX('Game Records'!$R:$R,$H84))),NOT(ISFORMULA(INDEX('Game Records'!$S:$S,$H84))),NOT(ISFORMULA(INDEX('Game Records'!$T:$T,$H84))),NOT(ISFORMULA(INDEX('Game Records'!$U:$U,$H84))),NOT(ISFORMULA(INDEX('Game Records'!$V:$V,$H84))),NOT(ISFORMULA(INDEX('Game Records'!$W:$W,$H84))),NOT(ISFORMULA(INDEX('Game Records'!$X:$X,$H84))),NOT(ISFORMULA(INDEX('Game Records'!$Y:$Y,$H84))),NOT(ISFORMULA(INDEX('Game Records'!$Z:$Z,$H84)))),"Formula columns missing; ","")&amp;IF(INDEX('Game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Earned; ","")&amp;IF(AND(LOWER(INDEX('Game Records'!$D:$D,$H84)&amp;"")="finalized",INDEX('Game Records'!$U:$U,$H84)&lt;&gt;"Subscription",INDEX('Game Records'!$U:$U,$H84)&lt;&gt;"Free Game",INDEX('Game Records'!$U:$U,$H84)&lt;&gt;"Disqualified — Free Game",OR(INDEX('Game Records'!$L:$L,$H84)="",LOWER(INDEX('Game Records'!$L:$L,$H84)&amp;"")="n/a")),"Disqualified Status; ","")&amp;IF(AND(OR(INDEX('Game Records'!$U:$U,$H84)="Free Game",INDEX('Game Records'!$U:$U,$H84)="Disqualified — Free Game"),N(INDEX('Game Records'!$H:$H,$H84))&lt;&gt;0),"Free Game has a non-zero Entry Fee; ",""))</f>
        <v/>
      </c>
      <c r="G84" s="331" t="str">
        <f>IF($H84="","",IFERROR(INDEX('Game Records'!$M:$M,$H84),""))</f>
        <v/>
      </c>
      <c r="H84" s="104" t="str">
        <f>IF($H83="","",IFERROR(MATCH(1,INDEX((ROW('Game Records'!$U$5:$U$504)&gt;$H83)*(('Game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4" s="104"/>
      <c r="J84" s="104"/>
    </row>
    <row r="85" ht="24" hidden="0" customHeight="1">
      <c r="A85" s="332" t="str">
        <f>IF($H85="","",ROWS($A$5:A85))</f>
        <v/>
      </c>
      <c r="B85" s="332" t="str">
        <f>IF($H85="","","G-"&amp;TEXT($A85,"0000"))</f>
        <v/>
      </c>
      <c r="C85" s="331" t="str">
        <f>IF($H85="","",IFERROR(INDEX('Game Records'!$A:$A,$H85),""))</f>
        <v/>
      </c>
      <c r="D85" s="331" t="str">
        <f>IF($H85="","",IFERROR(INDEX('Game Records'!$U:$U,$H85),""))</f>
        <v/>
      </c>
      <c r="E85" s="331" t="str">
        <f>IF($H85="","",IF($F85="","No Highlighted Fields","Highlighted Fields Present"))</f>
        <v/>
      </c>
      <c r="F85" s="331" t="str">
        <f>IF($H85="","",IF(OR(NOT(ISFORMULA(INDEX('Game Records'!$N:$N,$H85))),NOT(ISFORMULA(INDEX('Game Records'!$O:$O,$H85))),NOT(ISFORMULA(INDEX('Game Records'!$P:$P,$H85))),NOT(ISFORMULA(INDEX('Game Records'!$Q:$Q,$H85))),NOT(ISFORMULA(INDEX('Game Records'!$R:$R,$H85))),NOT(ISFORMULA(INDEX('Game Records'!$S:$S,$H85))),NOT(ISFORMULA(INDEX('Game Records'!$T:$T,$H85))),NOT(ISFORMULA(INDEX('Game Records'!$U:$U,$H85))),NOT(ISFORMULA(INDEX('Game Records'!$V:$V,$H85))),NOT(ISFORMULA(INDEX('Game Records'!$W:$W,$H85))),NOT(ISFORMULA(INDEX('Game Records'!$X:$X,$H85))),NOT(ISFORMULA(INDEX('Game Records'!$Y:$Y,$H85))),NOT(ISFORMULA(INDEX('Game Records'!$Z:$Z,$H85)))),"Formula columns missing; ","")&amp;IF(INDEX('Game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Earned; ","")&amp;IF(AND(LOWER(INDEX('Game Records'!$D:$D,$H85)&amp;"")="finalized",INDEX('Game Records'!$U:$U,$H85)&lt;&gt;"Subscription",INDEX('Game Records'!$U:$U,$H85)&lt;&gt;"Free Game",INDEX('Game Records'!$U:$U,$H85)&lt;&gt;"Disqualified — Free Game",OR(INDEX('Game Records'!$L:$L,$H85)="",LOWER(INDEX('Game Records'!$L:$L,$H85)&amp;"")="n/a")),"Disqualified Status; ","")&amp;IF(AND(OR(INDEX('Game Records'!$U:$U,$H85)="Free Game",INDEX('Game Records'!$U:$U,$H85)="Disqualified — Free Game"),N(INDEX('Game Records'!$H:$H,$H85))&lt;&gt;0),"Free Game has a non-zero Entry Fee; ",""))</f>
        <v/>
      </c>
      <c r="G85" s="331" t="str">
        <f>IF($H85="","",IFERROR(INDEX('Game Records'!$M:$M,$H85),""))</f>
        <v/>
      </c>
      <c r="H85" s="104" t="str">
        <f>IF($H84="","",IFERROR(MATCH(1,INDEX((ROW('Game Records'!$U$5:$U$504)&gt;$H84)*(('Game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5" s="104"/>
      <c r="J85" s="104"/>
    </row>
    <row r="86" ht="24" hidden="0" customHeight="1">
      <c r="A86" s="332" t="str">
        <f>IF($H86="","",ROWS($A$5:A86))</f>
        <v/>
      </c>
      <c r="B86" s="332" t="str">
        <f>IF($H86="","","G-"&amp;TEXT($A86,"0000"))</f>
        <v/>
      </c>
      <c r="C86" s="331" t="str">
        <f>IF($H86="","",IFERROR(INDEX('Game Records'!$A:$A,$H86),""))</f>
        <v/>
      </c>
      <c r="D86" s="331" t="str">
        <f>IF($H86="","",IFERROR(INDEX('Game Records'!$U:$U,$H86),""))</f>
        <v/>
      </c>
      <c r="E86" s="331" t="str">
        <f>IF($H86="","",IF($F86="","No Highlighted Fields","Highlighted Fields Present"))</f>
        <v/>
      </c>
      <c r="F86" s="331" t="str">
        <f>IF($H86="","",IF(OR(NOT(ISFORMULA(INDEX('Game Records'!$N:$N,$H86))),NOT(ISFORMULA(INDEX('Game Records'!$O:$O,$H86))),NOT(ISFORMULA(INDEX('Game Records'!$P:$P,$H86))),NOT(ISFORMULA(INDEX('Game Records'!$Q:$Q,$H86))),NOT(ISFORMULA(INDEX('Game Records'!$R:$R,$H86))),NOT(ISFORMULA(INDEX('Game Records'!$S:$S,$H86))),NOT(ISFORMULA(INDEX('Game Records'!$T:$T,$H86))),NOT(ISFORMULA(INDEX('Game Records'!$U:$U,$H86))),NOT(ISFORMULA(INDEX('Game Records'!$V:$V,$H86))),NOT(ISFORMULA(INDEX('Game Records'!$W:$W,$H86))),NOT(ISFORMULA(INDEX('Game Records'!$X:$X,$H86))),NOT(ISFORMULA(INDEX('Game Records'!$Y:$Y,$H86))),NOT(ISFORMULA(INDEX('Game Records'!$Z:$Z,$H86)))),"Formula columns missing; ","")&amp;IF(INDEX('Game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Earned; ","")&amp;IF(AND(LOWER(INDEX('Game Records'!$D:$D,$H86)&amp;"")="finalized",INDEX('Game Records'!$U:$U,$H86)&lt;&gt;"Subscription",INDEX('Game Records'!$U:$U,$H86)&lt;&gt;"Free Game",INDEX('Game Records'!$U:$U,$H86)&lt;&gt;"Disqualified — Free Game",OR(INDEX('Game Records'!$L:$L,$H86)="",LOWER(INDEX('Game Records'!$L:$L,$H86)&amp;"")="n/a")),"Disqualified Status; ","")&amp;IF(AND(OR(INDEX('Game Records'!$U:$U,$H86)="Free Game",INDEX('Game Records'!$U:$U,$H86)="Disqualified — Free Game"),N(INDEX('Game Records'!$H:$H,$H86))&lt;&gt;0),"Free Game has a non-zero Entry Fee; ",""))</f>
        <v/>
      </c>
      <c r="G86" s="331" t="str">
        <f>IF($H86="","",IFERROR(INDEX('Game Records'!$M:$M,$H86),""))</f>
        <v/>
      </c>
      <c r="H86" s="104" t="str">
        <f>IF($H85="","",IFERROR(MATCH(1,INDEX((ROW('Game Records'!$U$5:$U$504)&gt;$H85)*(('Game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6" s="104"/>
      <c r="J86" s="104"/>
    </row>
    <row r="87" ht="24" hidden="0" customHeight="1">
      <c r="A87" s="332" t="str">
        <f>IF($H87="","",ROWS($A$5:A87))</f>
        <v/>
      </c>
      <c r="B87" s="332" t="str">
        <f>IF($H87="","","G-"&amp;TEXT($A87,"0000"))</f>
        <v/>
      </c>
      <c r="C87" s="331" t="str">
        <f>IF($H87="","",IFERROR(INDEX('Game Records'!$A:$A,$H87),""))</f>
        <v/>
      </c>
      <c r="D87" s="331" t="str">
        <f>IF($H87="","",IFERROR(INDEX('Game Records'!$U:$U,$H87),""))</f>
        <v/>
      </c>
      <c r="E87" s="331" t="str">
        <f>IF($H87="","",IF($F87="","No Highlighted Fields","Highlighted Fields Present"))</f>
        <v/>
      </c>
      <c r="F87" s="331" t="str">
        <f>IF($H87="","",IF(OR(NOT(ISFORMULA(INDEX('Game Records'!$N:$N,$H87))),NOT(ISFORMULA(INDEX('Game Records'!$O:$O,$H87))),NOT(ISFORMULA(INDEX('Game Records'!$P:$P,$H87))),NOT(ISFORMULA(INDEX('Game Records'!$Q:$Q,$H87))),NOT(ISFORMULA(INDEX('Game Records'!$R:$R,$H87))),NOT(ISFORMULA(INDEX('Game Records'!$S:$S,$H87))),NOT(ISFORMULA(INDEX('Game Records'!$T:$T,$H87))),NOT(ISFORMULA(INDEX('Game Records'!$U:$U,$H87))),NOT(ISFORMULA(INDEX('Game Records'!$V:$V,$H87))),NOT(ISFORMULA(INDEX('Game Records'!$W:$W,$H87))),NOT(ISFORMULA(INDEX('Game Records'!$X:$X,$H87))),NOT(ISFORMULA(INDEX('Game Records'!$Y:$Y,$H87))),NOT(ISFORMULA(INDEX('Game Records'!$Z:$Z,$H87)))),"Formula columns missing; ","")&amp;IF(INDEX('Game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Earned; ","")&amp;IF(AND(LOWER(INDEX('Game Records'!$D:$D,$H87)&amp;"")="finalized",INDEX('Game Records'!$U:$U,$H87)&lt;&gt;"Subscription",INDEX('Game Records'!$U:$U,$H87)&lt;&gt;"Free Game",INDEX('Game Records'!$U:$U,$H87)&lt;&gt;"Disqualified — Free Game",OR(INDEX('Game Records'!$L:$L,$H87)="",LOWER(INDEX('Game Records'!$L:$L,$H87)&amp;"")="n/a")),"Disqualified Status; ","")&amp;IF(AND(OR(INDEX('Game Records'!$U:$U,$H87)="Free Game",INDEX('Game Records'!$U:$U,$H87)="Disqualified — Free Game"),N(INDEX('Game Records'!$H:$H,$H87))&lt;&gt;0),"Free Game has a non-zero Entry Fee; ",""))</f>
        <v/>
      </c>
      <c r="G87" s="331" t="str">
        <f>IF($H87="","",IFERROR(INDEX('Game Records'!$M:$M,$H87),""))</f>
        <v/>
      </c>
      <c r="H87" s="104" t="str">
        <f>IF($H86="","",IFERROR(MATCH(1,INDEX((ROW('Game Records'!$U$5:$U$504)&gt;$H86)*(('Game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7" s="104"/>
      <c r="J87" s="104"/>
    </row>
    <row r="88" ht="24" hidden="0" customHeight="1">
      <c r="A88" s="332" t="str">
        <f>IF($H88="","",ROWS($A$5:A88))</f>
        <v/>
      </c>
      <c r="B88" s="332" t="str">
        <f>IF($H88="","","G-"&amp;TEXT($A88,"0000"))</f>
        <v/>
      </c>
      <c r="C88" s="331" t="str">
        <f>IF($H88="","",IFERROR(INDEX('Game Records'!$A:$A,$H88),""))</f>
        <v/>
      </c>
      <c r="D88" s="331" t="str">
        <f>IF($H88="","",IFERROR(INDEX('Game Records'!$U:$U,$H88),""))</f>
        <v/>
      </c>
      <c r="E88" s="331" t="str">
        <f>IF($H88="","",IF($F88="","No Highlighted Fields","Highlighted Fields Present"))</f>
        <v/>
      </c>
      <c r="F88" s="331" t="str">
        <f>IF($H88="","",IF(OR(NOT(ISFORMULA(INDEX('Game Records'!$N:$N,$H88))),NOT(ISFORMULA(INDEX('Game Records'!$O:$O,$H88))),NOT(ISFORMULA(INDEX('Game Records'!$P:$P,$H88))),NOT(ISFORMULA(INDEX('Game Records'!$Q:$Q,$H88))),NOT(ISFORMULA(INDEX('Game Records'!$R:$R,$H88))),NOT(ISFORMULA(INDEX('Game Records'!$S:$S,$H88))),NOT(ISFORMULA(INDEX('Game Records'!$T:$T,$H88))),NOT(ISFORMULA(INDEX('Game Records'!$U:$U,$H88))),NOT(ISFORMULA(INDEX('Game Records'!$V:$V,$H88))),NOT(ISFORMULA(INDEX('Game Records'!$W:$W,$H88))),NOT(ISFORMULA(INDEX('Game Records'!$X:$X,$H88))),NOT(ISFORMULA(INDEX('Game Records'!$Y:$Y,$H88))),NOT(ISFORMULA(INDEX('Game Records'!$Z:$Z,$H88)))),"Formula columns missing; ","")&amp;IF(INDEX('Game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Earned; ","")&amp;IF(AND(LOWER(INDEX('Game Records'!$D:$D,$H88)&amp;"")="finalized",INDEX('Game Records'!$U:$U,$H88)&lt;&gt;"Subscription",INDEX('Game Records'!$U:$U,$H88)&lt;&gt;"Free Game",INDEX('Game Records'!$U:$U,$H88)&lt;&gt;"Disqualified — Free Game",OR(INDEX('Game Records'!$L:$L,$H88)="",LOWER(INDEX('Game Records'!$L:$L,$H88)&amp;"")="n/a")),"Disqualified Status; ","")&amp;IF(AND(OR(INDEX('Game Records'!$U:$U,$H88)="Free Game",INDEX('Game Records'!$U:$U,$H88)="Disqualified — Free Game"),N(INDEX('Game Records'!$H:$H,$H88))&lt;&gt;0),"Free Game has a non-zero Entry Fee; ",""))</f>
        <v/>
      </c>
      <c r="G88" s="331" t="str">
        <f>IF($H88="","",IFERROR(INDEX('Game Records'!$M:$M,$H88),""))</f>
        <v/>
      </c>
      <c r="H88" s="104" t="str">
        <f>IF($H87="","",IFERROR(MATCH(1,INDEX((ROW('Game Records'!$U$5:$U$504)&gt;$H87)*(('Game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8" s="104"/>
      <c r="J88" s="104"/>
    </row>
    <row r="89" ht="24" hidden="0" customHeight="1">
      <c r="A89" s="332" t="str">
        <f>IF($H89="","",ROWS($A$5:A89))</f>
        <v/>
      </c>
      <c r="B89" s="332" t="str">
        <f>IF($H89="","","G-"&amp;TEXT($A89,"0000"))</f>
        <v/>
      </c>
      <c r="C89" s="331" t="str">
        <f>IF($H89="","",IFERROR(INDEX('Game Records'!$A:$A,$H89),""))</f>
        <v/>
      </c>
      <c r="D89" s="331" t="str">
        <f>IF($H89="","",IFERROR(INDEX('Game Records'!$U:$U,$H89),""))</f>
        <v/>
      </c>
      <c r="E89" s="331" t="str">
        <f>IF($H89="","",IF($F89="","No Highlighted Fields","Highlighted Fields Present"))</f>
        <v/>
      </c>
      <c r="F89" s="331" t="str">
        <f>IF($H89="","",IF(OR(NOT(ISFORMULA(INDEX('Game Records'!$N:$N,$H89))),NOT(ISFORMULA(INDEX('Game Records'!$O:$O,$H89))),NOT(ISFORMULA(INDEX('Game Records'!$P:$P,$H89))),NOT(ISFORMULA(INDEX('Game Records'!$Q:$Q,$H89))),NOT(ISFORMULA(INDEX('Game Records'!$R:$R,$H89))),NOT(ISFORMULA(INDEX('Game Records'!$S:$S,$H89))),NOT(ISFORMULA(INDEX('Game Records'!$T:$T,$H89))),NOT(ISFORMULA(INDEX('Game Records'!$U:$U,$H89))),NOT(ISFORMULA(INDEX('Game Records'!$V:$V,$H89))),NOT(ISFORMULA(INDEX('Game Records'!$W:$W,$H89))),NOT(ISFORMULA(INDEX('Game Records'!$X:$X,$H89))),NOT(ISFORMULA(INDEX('Game Records'!$Y:$Y,$H89))),NOT(ISFORMULA(INDEX('Game Records'!$Z:$Z,$H89)))),"Formula columns missing; ","")&amp;IF(INDEX('Game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Earned; ","")&amp;IF(AND(LOWER(INDEX('Game Records'!$D:$D,$H89)&amp;"")="finalized",INDEX('Game Records'!$U:$U,$H89)&lt;&gt;"Subscription",INDEX('Game Records'!$U:$U,$H89)&lt;&gt;"Free Game",INDEX('Game Records'!$U:$U,$H89)&lt;&gt;"Disqualified — Free Game",OR(INDEX('Game Records'!$L:$L,$H89)="",LOWER(INDEX('Game Records'!$L:$L,$H89)&amp;"")="n/a")),"Disqualified Status; ","")&amp;IF(AND(OR(INDEX('Game Records'!$U:$U,$H89)="Free Game",INDEX('Game Records'!$U:$U,$H89)="Disqualified — Free Game"),N(INDEX('Game Records'!$H:$H,$H89))&lt;&gt;0),"Free Game has a non-zero Entry Fee; ",""))</f>
        <v/>
      </c>
      <c r="G89" s="331" t="str">
        <f>IF($H89="","",IFERROR(INDEX('Game Records'!$M:$M,$H89),""))</f>
        <v/>
      </c>
      <c r="H89" s="104" t="str">
        <f>IF($H88="","",IFERROR(MATCH(1,INDEX((ROW('Game Records'!$U$5:$U$504)&gt;$H88)*(('Game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9" s="104"/>
      <c r="J89" s="104"/>
    </row>
    <row r="90" ht="24" hidden="0" customHeight="1">
      <c r="A90" s="332" t="str">
        <f>IF($H90="","",ROWS($A$5:A90))</f>
        <v/>
      </c>
      <c r="B90" s="332" t="str">
        <f>IF($H90="","","G-"&amp;TEXT($A90,"0000"))</f>
        <v/>
      </c>
      <c r="C90" s="331" t="str">
        <f>IF($H90="","",IFERROR(INDEX('Game Records'!$A:$A,$H90),""))</f>
        <v/>
      </c>
      <c r="D90" s="331" t="str">
        <f>IF($H90="","",IFERROR(INDEX('Game Records'!$U:$U,$H90),""))</f>
        <v/>
      </c>
      <c r="E90" s="331" t="str">
        <f>IF($H90="","",IF($F90="","No Highlighted Fields","Highlighted Fields Present"))</f>
        <v/>
      </c>
      <c r="F90" s="331" t="str">
        <f>IF($H90="","",IF(OR(NOT(ISFORMULA(INDEX('Game Records'!$N:$N,$H90))),NOT(ISFORMULA(INDEX('Game Records'!$O:$O,$H90))),NOT(ISFORMULA(INDEX('Game Records'!$P:$P,$H90))),NOT(ISFORMULA(INDEX('Game Records'!$Q:$Q,$H90))),NOT(ISFORMULA(INDEX('Game Records'!$R:$R,$H90))),NOT(ISFORMULA(INDEX('Game Records'!$S:$S,$H90))),NOT(ISFORMULA(INDEX('Game Records'!$T:$T,$H90))),NOT(ISFORMULA(INDEX('Game Records'!$U:$U,$H90))),NOT(ISFORMULA(INDEX('Game Records'!$V:$V,$H90))),NOT(ISFORMULA(INDEX('Game Records'!$W:$W,$H90))),NOT(ISFORMULA(INDEX('Game Records'!$X:$X,$H90))),NOT(ISFORMULA(INDEX('Game Records'!$Y:$Y,$H90))),NOT(ISFORMULA(INDEX('Game Records'!$Z:$Z,$H90)))),"Formula columns missing; ","")&amp;IF(INDEX('Game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Earned; ","")&amp;IF(AND(LOWER(INDEX('Game Records'!$D:$D,$H90)&amp;"")="finalized",INDEX('Game Records'!$U:$U,$H90)&lt;&gt;"Subscription",INDEX('Game Records'!$U:$U,$H90)&lt;&gt;"Free Game",INDEX('Game Records'!$U:$U,$H90)&lt;&gt;"Disqualified — Free Game",OR(INDEX('Game Records'!$L:$L,$H90)="",LOWER(INDEX('Game Records'!$L:$L,$H90)&amp;"")="n/a")),"Disqualified Status; ","")&amp;IF(AND(OR(INDEX('Game Records'!$U:$U,$H90)="Free Game",INDEX('Game Records'!$U:$U,$H90)="Disqualified — Free Game"),N(INDEX('Game Records'!$H:$H,$H90))&lt;&gt;0),"Free Game has a non-zero Entry Fee; ",""))</f>
        <v/>
      </c>
      <c r="G90" s="331" t="str">
        <f>IF($H90="","",IFERROR(INDEX('Game Records'!$M:$M,$H90),""))</f>
        <v/>
      </c>
      <c r="H90" s="104" t="str">
        <f>IF($H89="","",IFERROR(MATCH(1,INDEX((ROW('Game Records'!$U$5:$U$504)&gt;$H89)*(('Game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0" s="104"/>
      <c r="J90" s="104"/>
    </row>
    <row r="91" ht="24" hidden="0" customHeight="1">
      <c r="A91" s="332" t="str">
        <f>IF($H91="","",ROWS($A$5:A91))</f>
        <v/>
      </c>
      <c r="B91" s="332" t="str">
        <f>IF($H91="","","G-"&amp;TEXT($A91,"0000"))</f>
        <v/>
      </c>
      <c r="C91" s="331" t="str">
        <f>IF($H91="","",IFERROR(INDEX('Game Records'!$A:$A,$H91),""))</f>
        <v/>
      </c>
      <c r="D91" s="331" t="str">
        <f>IF($H91="","",IFERROR(INDEX('Game Records'!$U:$U,$H91),""))</f>
        <v/>
      </c>
      <c r="E91" s="331" t="str">
        <f>IF($H91="","",IF($F91="","No Highlighted Fields","Highlighted Fields Present"))</f>
        <v/>
      </c>
      <c r="F91" s="331" t="str">
        <f>IF($H91="","",IF(OR(NOT(ISFORMULA(INDEX('Game Records'!$N:$N,$H91))),NOT(ISFORMULA(INDEX('Game Records'!$O:$O,$H91))),NOT(ISFORMULA(INDEX('Game Records'!$P:$P,$H91))),NOT(ISFORMULA(INDEX('Game Records'!$Q:$Q,$H91))),NOT(ISFORMULA(INDEX('Game Records'!$R:$R,$H91))),NOT(ISFORMULA(INDEX('Game Records'!$S:$S,$H91))),NOT(ISFORMULA(INDEX('Game Records'!$T:$T,$H91))),NOT(ISFORMULA(INDEX('Game Records'!$U:$U,$H91))),NOT(ISFORMULA(INDEX('Game Records'!$V:$V,$H91))),NOT(ISFORMULA(INDEX('Game Records'!$W:$W,$H91))),NOT(ISFORMULA(INDEX('Game Records'!$X:$X,$H91))),NOT(ISFORMULA(INDEX('Game Records'!$Y:$Y,$H91))),NOT(ISFORMULA(INDEX('Game Records'!$Z:$Z,$H91)))),"Formula columns missing; ","")&amp;IF(INDEX('Game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Earned; ","")&amp;IF(AND(LOWER(INDEX('Game Records'!$D:$D,$H91)&amp;"")="finalized",INDEX('Game Records'!$U:$U,$H91)&lt;&gt;"Subscription",INDEX('Game Records'!$U:$U,$H91)&lt;&gt;"Free Game",INDEX('Game Records'!$U:$U,$H91)&lt;&gt;"Disqualified — Free Game",OR(INDEX('Game Records'!$L:$L,$H91)="",LOWER(INDEX('Game Records'!$L:$L,$H91)&amp;"")="n/a")),"Disqualified Status; ","")&amp;IF(AND(OR(INDEX('Game Records'!$U:$U,$H91)="Free Game",INDEX('Game Records'!$U:$U,$H91)="Disqualified — Free Game"),N(INDEX('Game Records'!$H:$H,$H91))&lt;&gt;0),"Free Game has a non-zero Entry Fee; ",""))</f>
        <v/>
      </c>
      <c r="G91" s="331" t="str">
        <f>IF($H91="","",IFERROR(INDEX('Game Records'!$M:$M,$H91),""))</f>
        <v/>
      </c>
      <c r="H91" s="104" t="str">
        <f>IF($H90="","",IFERROR(MATCH(1,INDEX((ROW('Game Records'!$U$5:$U$504)&gt;$H90)*(('Game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1" s="104"/>
      <c r="J91" s="104"/>
    </row>
    <row r="92" ht="24" hidden="0" customHeight="1">
      <c r="A92" s="332" t="str">
        <f>IF($H92="","",ROWS($A$5:A92))</f>
        <v/>
      </c>
      <c r="B92" s="332" t="str">
        <f>IF($H92="","","G-"&amp;TEXT($A92,"0000"))</f>
        <v/>
      </c>
      <c r="C92" s="331" t="str">
        <f>IF($H92="","",IFERROR(INDEX('Game Records'!$A:$A,$H92),""))</f>
        <v/>
      </c>
      <c r="D92" s="331" t="str">
        <f>IF($H92="","",IFERROR(INDEX('Game Records'!$U:$U,$H92),""))</f>
        <v/>
      </c>
      <c r="E92" s="331" t="str">
        <f>IF($H92="","",IF($F92="","No Highlighted Fields","Highlighted Fields Present"))</f>
        <v/>
      </c>
      <c r="F92" s="331" t="str">
        <f>IF($H92="","",IF(OR(NOT(ISFORMULA(INDEX('Game Records'!$N:$N,$H92))),NOT(ISFORMULA(INDEX('Game Records'!$O:$O,$H92))),NOT(ISFORMULA(INDEX('Game Records'!$P:$P,$H92))),NOT(ISFORMULA(INDEX('Game Records'!$Q:$Q,$H92))),NOT(ISFORMULA(INDEX('Game Records'!$R:$R,$H92))),NOT(ISFORMULA(INDEX('Game Records'!$S:$S,$H92))),NOT(ISFORMULA(INDEX('Game Records'!$T:$T,$H92))),NOT(ISFORMULA(INDEX('Game Records'!$U:$U,$H92))),NOT(ISFORMULA(INDEX('Game Records'!$V:$V,$H92))),NOT(ISFORMULA(INDEX('Game Records'!$W:$W,$H92))),NOT(ISFORMULA(INDEX('Game Records'!$X:$X,$H92))),NOT(ISFORMULA(INDEX('Game Records'!$Y:$Y,$H92))),NOT(ISFORMULA(INDEX('Game Records'!$Z:$Z,$H92)))),"Formula columns missing; ","")&amp;IF(INDEX('Game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Earned; ","")&amp;IF(AND(LOWER(INDEX('Game Records'!$D:$D,$H92)&amp;"")="finalized",INDEX('Game Records'!$U:$U,$H92)&lt;&gt;"Subscription",INDEX('Game Records'!$U:$U,$H92)&lt;&gt;"Free Game",INDEX('Game Records'!$U:$U,$H92)&lt;&gt;"Disqualified — Free Game",OR(INDEX('Game Records'!$L:$L,$H92)="",LOWER(INDEX('Game Records'!$L:$L,$H92)&amp;"")="n/a")),"Disqualified Status; ","")&amp;IF(AND(OR(INDEX('Game Records'!$U:$U,$H92)="Free Game",INDEX('Game Records'!$U:$U,$H92)="Disqualified — Free Game"),N(INDEX('Game Records'!$H:$H,$H92))&lt;&gt;0),"Free Game has a non-zero Entry Fee; ",""))</f>
        <v/>
      </c>
      <c r="G92" s="331" t="str">
        <f>IF($H92="","",IFERROR(INDEX('Game Records'!$M:$M,$H92),""))</f>
        <v/>
      </c>
      <c r="H92" s="104" t="str">
        <f>IF($H91="","",IFERROR(MATCH(1,INDEX((ROW('Game Records'!$U$5:$U$504)&gt;$H91)*(('Game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2" s="104"/>
      <c r="J92" s="104"/>
    </row>
    <row r="93" ht="24" hidden="0" customHeight="1">
      <c r="A93" s="332" t="str">
        <f>IF($H93="","",ROWS($A$5:A93))</f>
        <v/>
      </c>
      <c r="B93" s="332" t="str">
        <f>IF($H93="","","G-"&amp;TEXT($A93,"0000"))</f>
        <v/>
      </c>
      <c r="C93" s="331" t="str">
        <f>IF($H93="","",IFERROR(INDEX('Game Records'!$A:$A,$H93),""))</f>
        <v/>
      </c>
      <c r="D93" s="331" t="str">
        <f>IF($H93="","",IFERROR(INDEX('Game Records'!$U:$U,$H93),""))</f>
        <v/>
      </c>
      <c r="E93" s="331" t="str">
        <f>IF($H93="","",IF($F93="","No Highlighted Fields","Highlighted Fields Present"))</f>
        <v/>
      </c>
      <c r="F93" s="331" t="str">
        <f>IF($H93="","",IF(OR(NOT(ISFORMULA(INDEX('Game Records'!$N:$N,$H93))),NOT(ISFORMULA(INDEX('Game Records'!$O:$O,$H93))),NOT(ISFORMULA(INDEX('Game Records'!$P:$P,$H93))),NOT(ISFORMULA(INDEX('Game Records'!$Q:$Q,$H93))),NOT(ISFORMULA(INDEX('Game Records'!$R:$R,$H93))),NOT(ISFORMULA(INDEX('Game Records'!$S:$S,$H93))),NOT(ISFORMULA(INDEX('Game Records'!$T:$T,$H93))),NOT(ISFORMULA(INDEX('Game Records'!$U:$U,$H93))),NOT(ISFORMULA(INDEX('Game Records'!$V:$V,$H93))),NOT(ISFORMULA(INDEX('Game Records'!$W:$W,$H93))),NOT(ISFORMULA(INDEX('Game Records'!$X:$X,$H93))),NOT(ISFORMULA(INDEX('Game Records'!$Y:$Y,$H93))),NOT(ISFORMULA(INDEX('Game Records'!$Z:$Z,$H93)))),"Formula columns missing; ","")&amp;IF(INDEX('Game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Earned; ","")&amp;IF(AND(LOWER(INDEX('Game Records'!$D:$D,$H93)&amp;"")="finalized",INDEX('Game Records'!$U:$U,$H93)&lt;&gt;"Subscription",INDEX('Game Records'!$U:$U,$H93)&lt;&gt;"Free Game",INDEX('Game Records'!$U:$U,$H93)&lt;&gt;"Disqualified — Free Game",OR(INDEX('Game Records'!$L:$L,$H93)="",LOWER(INDEX('Game Records'!$L:$L,$H93)&amp;"")="n/a")),"Disqualified Status; ","")&amp;IF(AND(OR(INDEX('Game Records'!$U:$U,$H93)="Free Game",INDEX('Game Records'!$U:$U,$H93)="Disqualified — Free Game"),N(INDEX('Game Records'!$H:$H,$H93))&lt;&gt;0),"Free Game has a non-zero Entry Fee; ",""))</f>
        <v/>
      </c>
      <c r="G93" s="331" t="str">
        <f>IF($H93="","",IFERROR(INDEX('Game Records'!$M:$M,$H93),""))</f>
        <v/>
      </c>
      <c r="H93" s="104" t="str">
        <f>IF($H92="","",IFERROR(MATCH(1,INDEX((ROW('Game Records'!$U$5:$U$504)&gt;$H92)*(('Game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3" s="104"/>
      <c r="J93" s="104"/>
    </row>
    <row r="94" ht="24" hidden="0" customHeight="1">
      <c r="A94" s="332" t="str">
        <f>IF($H94="","",ROWS($A$5:A94))</f>
        <v/>
      </c>
      <c r="B94" s="332" t="str">
        <f>IF($H94="","","G-"&amp;TEXT($A94,"0000"))</f>
        <v/>
      </c>
      <c r="C94" s="331" t="str">
        <f>IF($H94="","",IFERROR(INDEX('Game Records'!$A:$A,$H94),""))</f>
        <v/>
      </c>
      <c r="D94" s="331" t="str">
        <f>IF($H94="","",IFERROR(INDEX('Game Records'!$U:$U,$H94),""))</f>
        <v/>
      </c>
      <c r="E94" s="331" t="str">
        <f>IF($H94="","",IF($F94="","No Highlighted Fields","Highlighted Fields Present"))</f>
        <v/>
      </c>
      <c r="F94" s="331" t="str">
        <f>IF($H94="","",IF(OR(NOT(ISFORMULA(INDEX('Game Records'!$N:$N,$H94))),NOT(ISFORMULA(INDEX('Game Records'!$O:$O,$H94))),NOT(ISFORMULA(INDEX('Game Records'!$P:$P,$H94))),NOT(ISFORMULA(INDEX('Game Records'!$Q:$Q,$H94))),NOT(ISFORMULA(INDEX('Game Records'!$R:$R,$H94))),NOT(ISFORMULA(INDEX('Game Records'!$S:$S,$H94))),NOT(ISFORMULA(INDEX('Game Records'!$T:$T,$H94))),NOT(ISFORMULA(INDEX('Game Records'!$U:$U,$H94))),NOT(ISFORMULA(INDEX('Game Records'!$V:$V,$H94))),NOT(ISFORMULA(INDEX('Game Records'!$W:$W,$H94))),NOT(ISFORMULA(INDEX('Game Records'!$X:$X,$H94))),NOT(ISFORMULA(INDEX('Game Records'!$Y:$Y,$H94))),NOT(ISFORMULA(INDEX('Game Records'!$Z:$Z,$H94)))),"Formula columns missing; ","")&amp;IF(INDEX('Game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Earned; ","")&amp;IF(AND(LOWER(INDEX('Game Records'!$D:$D,$H94)&amp;"")="finalized",INDEX('Game Records'!$U:$U,$H94)&lt;&gt;"Subscription",INDEX('Game Records'!$U:$U,$H94)&lt;&gt;"Free Game",INDEX('Game Records'!$U:$U,$H94)&lt;&gt;"Disqualified — Free Game",OR(INDEX('Game Records'!$L:$L,$H94)="",LOWER(INDEX('Game Records'!$L:$L,$H94)&amp;"")="n/a")),"Disqualified Status; ","")&amp;IF(AND(OR(INDEX('Game Records'!$U:$U,$H94)="Free Game",INDEX('Game Records'!$U:$U,$H94)="Disqualified — Free Game"),N(INDEX('Game Records'!$H:$H,$H94))&lt;&gt;0),"Free Game has a non-zero Entry Fee; ",""))</f>
        <v/>
      </c>
      <c r="G94" s="331" t="str">
        <f>IF($H94="","",IFERROR(INDEX('Game Records'!$M:$M,$H94),""))</f>
        <v/>
      </c>
      <c r="H94" s="104" t="str">
        <f>IF($H93="","",IFERROR(MATCH(1,INDEX((ROW('Game Records'!$U$5:$U$504)&gt;$H93)*(('Game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4" s="104"/>
      <c r="J94" s="104"/>
    </row>
    <row r="95" ht="24" hidden="0" customHeight="1">
      <c r="A95" s="332" t="str">
        <f>IF($H95="","",ROWS($A$5:A95))</f>
        <v/>
      </c>
      <c r="B95" s="332" t="str">
        <f>IF($H95="","","G-"&amp;TEXT($A95,"0000"))</f>
        <v/>
      </c>
      <c r="C95" s="331" t="str">
        <f>IF($H95="","",IFERROR(INDEX('Game Records'!$A:$A,$H95),""))</f>
        <v/>
      </c>
      <c r="D95" s="331" t="str">
        <f>IF($H95="","",IFERROR(INDEX('Game Records'!$U:$U,$H95),""))</f>
        <v/>
      </c>
      <c r="E95" s="331" t="str">
        <f>IF($H95="","",IF($F95="","No Highlighted Fields","Highlighted Fields Present"))</f>
        <v/>
      </c>
      <c r="F95" s="331" t="str">
        <f>IF($H95="","",IF(OR(NOT(ISFORMULA(INDEX('Game Records'!$N:$N,$H95))),NOT(ISFORMULA(INDEX('Game Records'!$O:$O,$H95))),NOT(ISFORMULA(INDEX('Game Records'!$P:$P,$H95))),NOT(ISFORMULA(INDEX('Game Records'!$Q:$Q,$H95))),NOT(ISFORMULA(INDEX('Game Records'!$R:$R,$H95))),NOT(ISFORMULA(INDEX('Game Records'!$S:$S,$H95))),NOT(ISFORMULA(INDEX('Game Records'!$T:$T,$H95))),NOT(ISFORMULA(INDEX('Game Records'!$U:$U,$H95))),NOT(ISFORMULA(INDEX('Game Records'!$V:$V,$H95))),NOT(ISFORMULA(INDEX('Game Records'!$W:$W,$H95))),NOT(ISFORMULA(INDEX('Game Records'!$X:$X,$H95))),NOT(ISFORMULA(INDEX('Game Records'!$Y:$Y,$H95))),NOT(ISFORMULA(INDEX('Game Records'!$Z:$Z,$H95)))),"Formula columns missing; ","")&amp;IF(INDEX('Game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Earned; ","")&amp;IF(AND(LOWER(INDEX('Game Records'!$D:$D,$H95)&amp;"")="finalized",INDEX('Game Records'!$U:$U,$H95)&lt;&gt;"Subscription",INDEX('Game Records'!$U:$U,$H95)&lt;&gt;"Free Game",INDEX('Game Records'!$U:$U,$H95)&lt;&gt;"Disqualified — Free Game",OR(INDEX('Game Records'!$L:$L,$H95)="",LOWER(INDEX('Game Records'!$L:$L,$H95)&amp;"")="n/a")),"Disqualified Status; ","")&amp;IF(AND(OR(INDEX('Game Records'!$U:$U,$H95)="Free Game",INDEX('Game Records'!$U:$U,$H95)="Disqualified — Free Game"),N(INDEX('Game Records'!$H:$H,$H95))&lt;&gt;0),"Free Game has a non-zero Entry Fee; ",""))</f>
        <v/>
      </c>
      <c r="G95" s="331" t="str">
        <f>IF($H95="","",IFERROR(INDEX('Game Records'!$M:$M,$H95),""))</f>
        <v/>
      </c>
      <c r="H95" s="104" t="str">
        <f>IF($H94="","",IFERROR(MATCH(1,INDEX((ROW('Game Records'!$U$5:$U$504)&gt;$H94)*(('Game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5" s="104"/>
      <c r="J95" s="104"/>
    </row>
    <row r="96" ht="24" hidden="0" customHeight="1">
      <c r="A96" s="332" t="str">
        <f>IF($H96="","",ROWS($A$5:A96))</f>
        <v/>
      </c>
      <c r="B96" s="332" t="str">
        <f>IF($H96="","","G-"&amp;TEXT($A96,"0000"))</f>
        <v/>
      </c>
      <c r="C96" s="331" t="str">
        <f>IF($H96="","",IFERROR(INDEX('Game Records'!$A:$A,$H96),""))</f>
        <v/>
      </c>
      <c r="D96" s="331" t="str">
        <f>IF($H96="","",IFERROR(INDEX('Game Records'!$U:$U,$H96),""))</f>
        <v/>
      </c>
      <c r="E96" s="331" t="str">
        <f>IF($H96="","",IF($F96="","No Highlighted Fields","Highlighted Fields Present"))</f>
        <v/>
      </c>
      <c r="F96" s="331" t="str">
        <f>IF($H96="","",IF(OR(NOT(ISFORMULA(INDEX('Game Records'!$N:$N,$H96))),NOT(ISFORMULA(INDEX('Game Records'!$O:$O,$H96))),NOT(ISFORMULA(INDEX('Game Records'!$P:$P,$H96))),NOT(ISFORMULA(INDEX('Game Records'!$Q:$Q,$H96))),NOT(ISFORMULA(INDEX('Game Records'!$R:$R,$H96))),NOT(ISFORMULA(INDEX('Game Records'!$S:$S,$H96))),NOT(ISFORMULA(INDEX('Game Records'!$T:$T,$H96))),NOT(ISFORMULA(INDEX('Game Records'!$U:$U,$H96))),NOT(ISFORMULA(INDEX('Game Records'!$V:$V,$H96))),NOT(ISFORMULA(INDEX('Game Records'!$W:$W,$H96))),NOT(ISFORMULA(INDEX('Game Records'!$X:$X,$H96))),NOT(ISFORMULA(INDEX('Game Records'!$Y:$Y,$H96))),NOT(ISFORMULA(INDEX('Game Records'!$Z:$Z,$H96)))),"Formula columns missing; ","")&amp;IF(INDEX('Game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Earned; ","")&amp;IF(AND(LOWER(INDEX('Game Records'!$D:$D,$H96)&amp;"")="finalized",INDEX('Game Records'!$U:$U,$H96)&lt;&gt;"Subscription",INDEX('Game Records'!$U:$U,$H96)&lt;&gt;"Free Game",INDEX('Game Records'!$U:$U,$H96)&lt;&gt;"Disqualified — Free Game",OR(INDEX('Game Records'!$L:$L,$H96)="",LOWER(INDEX('Game Records'!$L:$L,$H96)&amp;"")="n/a")),"Disqualified Status; ","")&amp;IF(AND(OR(INDEX('Game Records'!$U:$U,$H96)="Free Game",INDEX('Game Records'!$U:$U,$H96)="Disqualified — Free Game"),N(INDEX('Game Records'!$H:$H,$H96))&lt;&gt;0),"Free Game has a non-zero Entry Fee; ",""))</f>
        <v/>
      </c>
      <c r="G96" s="331" t="str">
        <f>IF($H96="","",IFERROR(INDEX('Game Records'!$M:$M,$H96),""))</f>
        <v/>
      </c>
      <c r="H96" s="104" t="str">
        <f>IF($H95="","",IFERROR(MATCH(1,INDEX((ROW('Game Records'!$U$5:$U$504)&gt;$H95)*(('Game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6" s="104"/>
      <c r="J96" s="104"/>
    </row>
    <row r="97" ht="24" hidden="0" customHeight="1">
      <c r="A97" s="332" t="str">
        <f>IF($H97="","",ROWS($A$5:A97))</f>
        <v/>
      </c>
      <c r="B97" s="332" t="str">
        <f>IF($H97="","","G-"&amp;TEXT($A97,"0000"))</f>
        <v/>
      </c>
      <c r="C97" s="331" t="str">
        <f>IF($H97="","",IFERROR(INDEX('Game Records'!$A:$A,$H97),""))</f>
        <v/>
      </c>
      <c r="D97" s="331" t="str">
        <f>IF($H97="","",IFERROR(INDEX('Game Records'!$U:$U,$H97),""))</f>
        <v/>
      </c>
      <c r="E97" s="331" t="str">
        <f>IF($H97="","",IF($F97="","No Highlighted Fields","Highlighted Fields Present"))</f>
        <v/>
      </c>
      <c r="F97" s="331" t="str">
        <f>IF($H97="","",IF(OR(NOT(ISFORMULA(INDEX('Game Records'!$N:$N,$H97))),NOT(ISFORMULA(INDEX('Game Records'!$O:$O,$H97))),NOT(ISFORMULA(INDEX('Game Records'!$P:$P,$H97))),NOT(ISFORMULA(INDEX('Game Records'!$Q:$Q,$H97))),NOT(ISFORMULA(INDEX('Game Records'!$R:$R,$H97))),NOT(ISFORMULA(INDEX('Game Records'!$S:$S,$H97))),NOT(ISFORMULA(INDEX('Game Records'!$T:$T,$H97))),NOT(ISFORMULA(INDEX('Game Records'!$U:$U,$H97))),NOT(ISFORMULA(INDEX('Game Records'!$V:$V,$H97))),NOT(ISFORMULA(INDEX('Game Records'!$W:$W,$H97))),NOT(ISFORMULA(INDEX('Game Records'!$X:$X,$H97))),NOT(ISFORMULA(INDEX('Game Records'!$Y:$Y,$H97))),NOT(ISFORMULA(INDEX('Game Records'!$Z:$Z,$H97)))),"Formula columns missing; ","")&amp;IF(INDEX('Game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Earned; ","")&amp;IF(AND(LOWER(INDEX('Game Records'!$D:$D,$H97)&amp;"")="finalized",INDEX('Game Records'!$U:$U,$H97)&lt;&gt;"Subscription",INDEX('Game Records'!$U:$U,$H97)&lt;&gt;"Free Game",INDEX('Game Records'!$U:$U,$H97)&lt;&gt;"Disqualified — Free Game",OR(INDEX('Game Records'!$L:$L,$H97)="",LOWER(INDEX('Game Records'!$L:$L,$H97)&amp;"")="n/a")),"Disqualified Status; ","")&amp;IF(AND(OR(INDEX('Game Records'!$U:$U,$H97)="Free Game",INDEX('Game Records'!$U:$U,$H97)="Disqualified — Free Game"),N(INDEX('Game Records'!$H:$H,$H97))&lt;&gt;0),"Free Game has a non-zero Entry Fee; ",""))</f>
        <v/>
      </c>
      <c r="G97" s="331" t="str">
        <f>IF($H97="","",IFERROR(INDEX('Game Records'!$M:$M,$H97),""))</f>
        <v/>
      </c>
      <c r="H97" s="104" t="str">
        <f>IF($H96="","",IFERROR(MATCH(1,INDEX((ROW('Game Records'!$U$5:$U$504)&gt;$H96)*(('Game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7" s="104"/>
      <c r="J97" s="104"/>
    </row>
    <row r="98" ht="24" hidden="0" customHeight="1">
      <c r="A98" s="332" t="str">
        <f>IF($H98="","",ROWS($A$5:A98))</f>
        <v/>
      </c>
      <c r="B98" s="332" t="str">
        <f>IF($H98="","","G-"&amp;TEXT($A98,"0000"))</f>
        <v/>
      </c>
      <c r="C98" s="331" t="str">
        <f>IF($H98="","",IFERROR(INDEX('Game Records'!$A:$A,$H98),""))</f>
        <v/>
      </c>
      <c r="D98" s="331" t="str">
        <f>IF($H98="","",IFERROR(INDEX('Game Records'!$U:$U,$H98),""))</f>
        <v/>
      </c>
      <c r="E98" s="331" t="str">
        <f>IF($H98="","",IF($F98="","No Highlighted Fields","Highlighted Fields Present"))</f>
        <v/>
      </c>
      <c r="F98" s="331" t="str">
        <f>IF($H98="","",IF(OR(NOT(ISFORMULA(INDEX('Game Records'!$N:$N,$H98))),NOT(ISFORMULA(INDEX('Game Records'!$O:$O,$H98))),NOT(ISFORMULA(INDEX('Game Records'!$P:$P,$H98))),NOT(ISFORMULA(INDEX('Game Records'!$Q:$Q,$H98))),NOT(ISFORMULA(INDEX('Game Records'!$R:$R,$H98))),NOT(ISFORMULA(INDEX('Game Records'!$S:$S,$H98))),NOT(ISFORMULA(INDEX('Game Records'!$T:$T,$H98))),NOT(ISFORMULA(INDEX('Game Records'!$U:$U,$H98))),NOT(ISFORMULA(INDEX('Game Records'!$V:$V,$H98))),NOT(ISFORMULA(INDEX('Game Records'!$W:$W,$H98))),NOT(ISFORMULA(INDEX('Game Records'!$X:$X,$H98))),NOT(ISFORMULA(INDEX('Game Records'!$Y:$Y,$H98))),NOT(ISFORMULA(INDEX('Game Records'!$Z:$Z,$H98)))),"Formula columns missing; ","")&amp;IF(INDEX('Game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Earned; ","")&amp;IF(AND(LOWER(INDEX('Game Records'!$D:$D,$H98)&amp;"")="finalized",INDEX('Game Records'!$U:$U,$H98)&lt;&gt;"Subscription",INDEX('Game Records'!$U:$U,$H98)&lt;&gt;"Free Game",INDEX('Game Records'!$U:$U,$H98)&lt;&gt;"Disqualified — Free Game",OR(INDEX('Game Records'!$L:$L,$H98)="",LOWER(INDEX('Game Records'!$L:$L,$H98)&amp;"")="n/a")),"Disqualified Status; ","")&amp;IF(AND(OR(INDEX('Game Records'!$U:$U,$H98)="Free Game",INDEX('Game Records'!$U:$U,$H98)="Disqualified — Free Game"),N(INDEX('Game Records'!$H:$H,$H98))&lt;&gt;0),"Free Game has a non-zero Entry Fee; ",""))</f>
        <v/>
      </c>
      <c r="G98" s="331" t="str">
        <f>IF($H98="","",IFERROR(INDEX('Game Records'!$M:$M,$H98),""))</f>
        <v/>
      </c>
      <c r="H98" s="104" t="str">
        <f>IF($H97="","",IFERROR(MATCH(1,INDEX((ROW('Game Records'!$U$5:$U$504)&gt;$H97)*(('Game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8" s="104"/>
      <c r="J98" s="104"/>
    </row>
    <row r="99" ht="24" hidden="0" customHeight="1">
      <c r="A99" s="332" t="str">
        <f>IF($H99="","",ROWS($A$5:A99))</f>
        <v/>
      </c>
      <c r="B99" s="332" t="str">
        <f>IF($H99="","","G-"&amp;TEXT($A99,"0000"))</f>
        <v/>
      </c>
      <c r="C99" s="331" t="str">
        <f>IF($H99="","",IFERROR(INDEX('Game Records'!$A:$A,$H99),""))</f>
        <v/>
      </c>
      <c r="D99" s="331" t="str">
        <f>IF($H99="","",IFERROR(INDEX('Game Records'!$U:$U,$H99),""))</f>
        <v/>
      </c>
      <c r="E99" s="331" t="str">
        <f>IF($H99="","",IF($F99="","No Highlighted Fields","Highlighted Fields Present"))</f>
        <v/>
      </c>
      <c r="F99" s="331" t="str">
        <f>IF($H99="","",IF(OR(NOT(ISFORMULA(INDEX('Game Records'!$N:$N,$H99))),NOT(ISFORMULA(INDEX('Game Records'!$O:$O,$H99))),NOT(ISFORMULA(INDEX('Game Records'!$P:$P,$H99))),NOT(ISFORMULA(INDEX('Game Records'!$Q:$Q,$H99))),NOT(ISFORMULA(INDEX('Game Records'!$R:$R,$H99))),NOT(ISFORMULA(INDEX('Game Records'!$S:$S,$H99))),NOT(ISFORMULA(INDEX('Game Records'!$T:$T,$H99))),NOT(ISFORMULA(INDEX('Game Records'!$U:$U,$H99))),NOT(ISFORMULA(INDEX('Game Records'!$V:$V,$H99))),NOT(ISFORMULA(INDEX('Game Records'!$W:$W,$H99))),NOT(ISFORMULA(INDEX('Game Records'!$X:$X,$H99))),NOT(ISFORMULA(INDEX('Game Records'!$Y:$Y,$H99))),NOT(ISFORMULA(INDEX('Game Records'!$Z:$Z,$H99)))),"Formula columns missing; ","")&amp;IF(INDEX('Game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Earned; ","")&amp;IF(AND(LOWER(INDEX('Game Records'!$D:$D,$H99)&amp;"")="finalized",INDEX('Game Records'!$U:$U,$H99)&lt;&gt;"Subscription",INDEX('Game Records'!$U:$U,$H99)&lt;&gt;"Free Game",INDEX('Game Records'!$U:$U,$H99)&lt;&gt;"Disqualified — Free Game",OR(INDEX('Game Records'!$L:$L,$H99)="",LOWER(INDEX('Game Records'!$L:$L,$H99)&amp;"")="n/a")),"Disqualified Status; ","")&amp;IF(AND(OR(INDEX('Game Records'!$U:$U,$H99)="Free Game",INDEX('Game Records'!$U:$U,$H99)="Disqualified — Free Game"),N(INDEX('Game Records'!$H:$H,$H99))&lt;&gt;0),"Free Game has a non-zero Entry Fee; ",""))</f>
        <v/>
      </c>
      <c r="G99" s="331" t="str">
        <f>IF($H99="","",IFERROR(INDEX('Game Records'!$M:$M,$H99),""))</f>
        <v/>
      </c>
      <c r="H99" s="104" t="str">
        <f>IF($H98="","",IFERROR(MATCH(1,INDEX((ROW('Game Records'!$U$5:$U$504)&gt;$H98)*(('Game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9" s="104"/>
      <c r="J99" s="104"/>
    </row>
    <row r="100" ht="24" hidden="0" customHeight="1">
      <c r="A100" s="332" t="str">
        <f>IF($H100="","",ROWS($A$5:A100))</f>
        <v/>
      </c>
      <c r="B100" s="332" t="str">
        <f>IF($H100="","","G-"&amp;TEXT($A100,"0000"))</f>
        <v/>
      </c>
      <c r="C100" s="331" t="str">
        <f>IF($H100="","",IFERROR(INDEX('Game Records'!$A:$A,$H100),""))</f>
        <v/>
      </c>
      <c r="D100" s="331" t="str">
        <f>IF($H100="","",IFERROR(INDEX('Game Records'!$U:$U,$H100),""))</f>
        <v/>
      </c>
      <c r="E100" s="331" t="str">
        <f>IF($H100="","",IF($F100="","No Highlighted Fields","Highlighted Fields Present"))</f>
        <v/>
      </c>
      <c r="F100" s="331" t="str">
        <f>IF($H100="","",IF(OR(NOT(ISFORMULA(INDEX('Game Records'!$N:$N,$H100))),NOT(ISFORMULA(INDEX('Game Records'!$O:$O,$H100))),NOT(ISFORMULA(INDEX('Game Records'!$P:$P,$H100))),NOT(ISFORMULA(INDEX('Game Records'!$Q:$Q,$H100))),NOT(ISFORMULA(INDEX('Game Records'!$R:$R,$H100))),NOT(ISFORMULA(INDEX('Game Records'!$S:$S,$H100))),NOT(ISFORMULA(INDEX('Game Records'!$T:$T,$H100))),NOT(ISFORMULA(INDEX('Game Records'!$U:$U,$H100))),NOT(ISFORMULA(INDEX('Game Records'!$V:$V,$H100))),NOT(ISFORMULA(INDEX('Game Records'!$W:$W,$H100))),NOT(ISFORMULA(INDEX('Game Records'!$X:$X,$H100))),NOT(ISFORMULA(INDEX('Game Records'!$Y:$Y,$H100))),NOT(ISFORMULA(INDEX('Game Records'!$Z:$Z,$H100)))),"Formula columns missing; ","")&amp;IF(INDEX('Game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Earned; ","")&amp;IF(AND(LOWER(INDEX('Game Records'!$D:$D,$H100)&amp;"")="finalized",INDEX('Game Records'!$U:$U,$H100)&lt;&gt;"Subscription",INDEX('Game Records'!$U:$U,$H100)&lt;&gt;"Free Game",INDEX('Game Records'!$U:$U,$H100)&lt;&gt;"Disqualified — Free Game",OR(INDEX('Game Records'!$L:$L,$H100)="",LOWER(INDEX('Game Records'!$L:$L,$H100)&amp;"")="n/a")),"Disqualified Status; ","")&amp;IF(AND(OR(INDEX('Game Records'!$U:$U,$H100)="Free Game",INDEX('Game Records'!$U:$U,$H100)="Disqualified — Free Game"),N(INDEX('Game Records'!$H:$H,$H100))&lt;&gt;0),"Free Game has a non-zero Entry Fee; ",""))</f>
        <v/>
      </c>
      <c r="G100" s="331" t="str">
        <f>IF($H100="","",IFERROR(INDEX('Game Records'!$M:$M,$H100),""))</f>
        <v/>
      </c>
      <c r="H100" s="104" t="str">
        <f>IF($H99="","",IFERROR(MATCH(1,INDEX((ROW('Game Records'!$U$5:$U$504)&gt;$H99)*(('Game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0" s="104"/>
      <c r="J100" s="104"/>
    </row>
    <row r="101" ht="24" hidden="0" customHeight="1">
      <c r="A101" s="332" t="str">
        <f>IF($H101="","",ROWS($A$5:A101))</f>
        <v/>
      </c>
      <c r="B101" s="332" t="str">
        <f>IF($H101="","","G-"&amp;TEXT($A101,"0000"))</f>
        <v/>
      </c>
      <c r="C101" s="331" t="str">
        <f>IF($H101="","",IFERROR(INDEX('Game Records'!$A:$A,$H101),""))</f>
        <v/>
      </c>
      <c r="D101" s="331" t="str">
        <f>IF($H101="","",IFERROR(INDEX('Game Records'!$U:$U,$H101),""))</f>
        <v/>
      </c>
      <c r="E101" s="331" t="str">
        <f>IF($H101="","",IF($F101="","No Highlighted Fields","Highlighted Fields Present"))</f>
        <v/>
      </c>
      <c r="F101" s="331" t="str">
        <f>IF($H101="","",IF(OR(NOT(ISFORMULA(INDEX('Game Records'!$N:$N,$H101))),NOT(ISFORMULA(INDEX('Game Records'!$O:$O,$H101))),NOT(ISFORMULA(INDEX('Game Records'!$P:$P,$H101))),NOT(ISFORMULA(INDEX('Game Records'!$Q:$Q,$H101))),NOT(ISFORMULA(INDEX('Game Records'!$R:$R,$H101))),NOT(ISFORMULA(INDEX('Game Records'!$S:$S,$H101))),NOT(ISFORMULA(INDEX('Game Records'!$T:$T,$H101))),NOT(ISFORMULA(INDEX('Game Records'!$U:$U,$H101))),NOT(ISFORMULA(INDEX('Game Records'!$V:$V,$H101))),NOT(ISFORMULA(INDEX('Game Records'!$W:$W,$H101))),NOT(ISFORMULA(INDEX('Game Records'!$X:$X,$H101))),NOT(ISFORMULA(INDEX('Game Records'!$Y:$Y,$H101))),NOT(ISFORMULA(INDEX('Game Records'!$Z:$Z,$H101)))),"Formula columns missing; ","")&amp;IF(INDEX('Game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Earned; ","")&amp;IF(AND(LOWER(INDEX('Game Records'!$D:$D,$H101)&amp;"")="finalized",INDEX('Game Records'!$U:$U,$H101)&lt;&gt;"Subscription",INDEX('Game Records'!$U:$U,$H101)&lt;&gt;"Free Game",INDEX('Game Records'!$U:$U,$H101)&lt;&gt;"Disqualified — Free Game",OR(INDEX('Game Records'!$L:$L,$H101)="",LOWER(INDEX('Game Records'!$L:$L,$H101)&amp;"")="n/a")),"Disqualified Status; ","")&amp;IF(AND(OR(INDEX('Game Records'!$U:$U,$H101)="Free Game",INDEX('Game Records'!$U:$U,$H101)="Disqualified — Free Game"),N(INDEX('Game Records'!$H:$H,$H101))&lt;&gt;0),"Free Game has a non-zero Entry Fee; ",""))</f>
        <v/>
      </c>
      <c r="G101" s="331" t="str">
        <f>IF($H101="","",IFERROR(INDEX('Game Records'!$M:$M,$H101),""))</f>
        <v/>
      </c>
      <c r="H101" s="104" t="str">
        <f>IF($H100="","",IFERROR(MATCH(1,INDEX((ROW('Game Records'!$U$5:$U$504)&gt;$H100)*(('Game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1" s="104"/>
      <c r="J101" s="104"/>
    </row>
    <row r="102" ht="24" hidden="0" customHeight="1">
      <c r="A102" s="332" t="str">
        <f>IF($H102="","",ROWS($A$5:A102))</f>
        <v/>
      </c>
      <c r="B102" s="332" t="str">
        <f>IF($H102="","","G-"&amp;TEXT($A102,"0000"))</f>
        <v/>
      </c>
      <c r="C102" s="331" t="str">
        <f>IF($H102="","",IFERROR(INDEX('Game Records'!$A:$A,$H102),""))</f>
        <v/>
      </c>
      <c r="D102" s="331" t="str">
        <f>IF($H102="","",IFERROR(INDEX('Game Records'!$U:$U,$H102),""))</f>
        <v/>
      </c>
      <c r="E102" s="331" t="str">
        <f>IF($H102="","",IF($F102="","No Highlighted Fields","Highlighted Fields Present"))</f>
        <v/>
      </c>
      <c r="F102" s="331" t="str">
        <f>IF($H102="","",IF(OR(NOT(ISFORMULA(INDEX('Game Records'!$N:$N,$H102))),NOT(ISFORMULA(INDEX('Game Records'!$O:$O,$H102))),NOT(ISFORMULA(INDEX('Game Records'!$P:$P,$H102))),NOT(ISFORMULA(INDEX('Game Records'!$Q:$Q,$H102))),NOT(ISFORMULA(INDEX('Game Records'!$R:$R,$H102))),NOT(ISFORMULA(INDEX('Game Records'!$S:$S,$H102))),NOT(ISFORMULA(INDEX('Game Records'!$T:$T,$H102))),NOT(ISFORMULA(INDEX('Game Records'!$U:$U,$H102))),NOT(ISFORMULA(INDEX('Game Records'!$V:$V,$H102))),NOT(ISFORMULA(INDEX('Game Records'!$W:$W,$H102))),NOT(ISFORMULA(INDEX('Game Records'!$X:$X,$H102))),NOT(ISFORMULA(INDEX('Game Records'!$Y:$Y,$H102))),NOT(ISFORMULA(INDEX('Game Records'!$Z:$Z,$H102)))),"Formula columns missing; ","")&amp;IF(INDEX('Game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Earned; ","")&amp;IF(AND(LOWER(INDEX('Game Records'!$D:$D,$H102)&amp;"")="finalized",INDEX('Game Records'!$U:$U,$H102)&lt;&gt;"Subscription",INDEX('Game Records'!$U:$U,$H102)&lt;&gt;"Free Game",INDEX('Game Records'!$U:$U,$H102)&lt;&gt;"Disqualified — Free Game",OR(INDEX('Game Records'!$L:$L,$H102)="",LOWER(INDEX('Game Records'!$L:$L,$H102)&amp;"")="n/a")),"Disqualified Status; ","")&amp;IF(AND(OR(INDEX('Game Records'!$U:$U,$H102)="Free Game",INDEX('Game Records'!$U:$U,$H102)="Disqualified — Free Game"),N(INDEX('Game Records'!$H:$H,$H102))&lt;&gt;0),"Free Game has a non-zero Entry Fee; ",""))</f>
        <v/>
      </c>
      <c r="G102" s="331" t="str">
        <f>IF($H102="","",IFERROR(INDEX('Game Records'!$M:$M,$H102),""))</f>
        <v/>
      </c>
      <c r="H102" s="104" t="str">
        <f>IF($H101="","",IFERROR(MATCH(1,INDEX((ROW('Game Records'!$U$5:$U$504)&gt;$H101)*(('Game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2" s="104"/>
      <c r="J102" s="104"/>
    </row>
    <row r="103" ht="24" hidden="0" customHeight="1">
      <c r="A103" s="332" t="str">
        <f>IF($H103="","",ROWS($A$5:A103))</f>
        <v/>
      </c>
      <c r="B103" s="332" t="str">
        <f>IF($H103="","","G-"&amp;TEXT($A103,"0000"))</f>
        <v/>
      </c>
      <c r="C103" s="331" t="str">
        <f>IF($H103="","",IFERROR(INDEX('Game Records'!$A:$A,$H103),""))</f>
        <v/>
      </c>
      <c r="D103" s="331" t="str">
        <f>IF($H103="","",IFERROR(INDEX('Game Records'!$U:$U,$H103),""))</f>
        <v/>
      </c>
      <c r="E103" s="331" t="str">
        <f>IF($H103="","",IF($F103="","No Highlighted Fields","Highlighted Fields Present"))</f>
        <v/>
      </c>
      <c r="F103" s="331" t="str">
        <f>IF($H103="","",IF(OR(NOT(ISFORMULA(INDEX('Game Records'!$N:$N,$H103))),NOT(ISFORMULA(INDEX('Game Records'!$O:$O,$H103))),NOT(ISFORMULA(INDEX('Game Records'!$P:$P,$H103))),NOT(ISFORMULA(INDEX('Game Records'!$Q:$Q,$H103))),NOT(ISFORMULA(INDEX('Game Records'!$R:$R,$H103))),NOT(ISFORMULA(INDEX('Game Records'!$S:$S,$H103))),NOT(ISFORMULA(INDEX('Game Records'!$T:$T,$H103))),NOT(ISFORMULA(INDEX('Game Records'!$U:$U,$H103))),NOT(ISFORMULA(INDEX('Game Records'!$V:$V,$H103))),NOT(ISFORMULA(INDEX('Game Records'!$W:$W,$H103))),NOT(ISFORMULA(INDEX('Game Records'!$X:$X,$H103))),NOT(ISFORMULA(INDEX('Game Records'!$Y:$Y,$H103))),NOT(ISFORMULA(INDEX('Game Records'!$Z:$Z,$H103)))),"Formula columns missing; ","")&amp;IF(INDEX('Game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Earned; ","")&amp;IF(AND(LOWER(INDEX('Game Records'!$D:$D,$H103)&amp;"")="finalized",INDEX('Game Records'!$U:$U,$H103)&lt;&gt;"Subscription",INDEX('Game Records'!$U:$U,$H103)&lt;&gt;"Free Game",INDEX('Game Records'!$U:$U,$H103)&lt;&gt;"Disqualified — Free Game",OR(INDEX('Game Records'!$L:$L,$H103)="",LOWER(INDEX('Game Records'!$L:$L,$H103)&amp;"")="n/a")),"Disqualified Status; ","")&amp;IF(AND(OR(INDEX('Game Records'!$U:$U,$H103)="Free Game",INDEX('Game Records'!$U:$U,$H103)="Disqualified — Free Game"),N(INDEX('Game Records'!$H:$H,$H103))&lt;&gt;0),"Free Game has a non-zero Entry Fee; ",""))</f>
        <v/>
      </c>
      <c r="G103" s="331" t="str">
        <f>IF($H103="","",IFERROR(INDEX('Game Records'!$M:$M,$H103),""))</f>
        <v/>
      </c>
      <c r="H103" s="104" t="str">
        <f>IF($H102="","",IFERROR(MATCH(1,INDEX((ROW('Game Records'!$U$5:$U$504)&gt;$H102)*(('Game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3" s="104"/>
      <c r="J103" s="104"/>
    </row>
    <row r="104" ht="24" hidden="0" customHeight="1">
      <c r="A104" s="332" t="str">
        <f>IF($H104="","",ROWS($A$5:A104))</f>
        <v/>
      </c>
      <c r="B104" s="332" t="str">
        <f>IF($H104="","","G-"&amp;TEXT($A104,"0000"))</f>
        <v/>
      </c>
      <c r="C104" s="331" t="str">
        <f>IF($H104="","",IFERROR(INDEX('Game Records'!$A:$A,$H104),""))</f>
        <v/>
      </c>
      <c r="D104" s="331" t="str">
        <f>IF($H104="","",IFERROR(INDEX('Game Records'!$U:$U,$H104),""))</f>
        <v/>
      </c>
      <c r="E104" s="331" t="str">
        <f>IF($H104="","",IF($F104="","No Highlighted Fields","Highlighted Fields Present"))</f>
        <v/>
      </c>
      <c r="F104" s="331" t="str">
        <f>IF($H104="","",IF(OR(NOT(ISFORMULA(INDEX('Game Records'!$N:$N,$H104))),NOT(ISFORMULA(INDEX('Game Records'!$O:$O,$H104))),NOT(ISFORMULA(INDEX('Game Records'!$P:$P,$H104))),NOT(ISFORMULA(INDEX('Game Records'!$Q:$Q,$H104))),NOT(ISFORMULA(INDEX('Game Records'!$R:$R,$H104))),NOT(ISFORMULA(INDEX('Game Records'!$S:$S,$H104))),NOT(ISFORMULA(INDEX('Game Records'!$T:$T,$H104))),NOT(ISFORMULA(INDEX('Game Records'!$U:$U,$H104))),NOT(ISFORMULA(INDEX('Game Records'!$V:$V,$H104))),NOT(ISFORMULA(INDEX('Game Records'!$W:$W,$H104))),NOT(ISFORMULA(INDEX('Game Records'!$X:$X,$H104))),NOT(ISFORMULA(INDEX('Game Records'!$Y:$Y,$H104))),NOT(ISFORMULA(INDEX('Game Records'!$Z:$Z,$H104)))),"Formula columns missing; ","")&amp;IF(INDEX('Game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Earned; ","")&amp;IF(AND(LOWER(INDEX('Game Records'!$D:$D,$H104)&amp;"")="finalized",INDEX('Game Records'!$U:$U,$H104)&lt;&gt;"Subscription",INDEX('Game Records'!$U:$U,$H104)&lt;&gt;"Free Game",INDEX('Game Records'!$U:$U,$H104)&lt;&gt;"Disqualified — Free Game",OR(INDEX('Game Records'!$L:$L,$H104)="",LOWER(INDEX('Game Records'!$L:$L,$H104)&amp;"")="n/a")),"Disqualified Status; ","")&amp;IF(AND(OR(INDEX('Game Records'!$U:$U,$H104)="Free Game",INDEX('Game Records'!$U:$U,$H104)="Disqualified — Free Game"),N(INDEX('Game Records'!$H:$H,$H104))&lt;&gt;0),"Free Game has a non-zero Entry Fee; ",""))</f>
        <v/>
      </c>
      <c r="G104" s="331" t="str">
        <f>IF($H104="","",IFERROR(INDEX('Game Records'!$M:$M,$H104),""))</f>
        <v/>
      </c>
      <c r="H104" s="104" t="str">
        <f>IF($H103="","",IFERROR(MATCH(1,INDEX((ROW('Game Records'!$U$5:$U$504)&gt;$H103)*(('Game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4" s="104"/>
      <c r="J104" s="104"/>
    </row>
    <row r="105" ht="24" hidden="0" customHeight="1">
      <c r="A105" s="332" t="str">
        <f>IF($H105="","",ROWS($A$5:A105))</f>
        <v/>
      </c>
      <c r="B105" s="332" t="str">
        <f>IF($H105="","","G-"&amp;TEXT($A105,"0000"))</f>
        <v/>
      </c>
      <c r="C105" s="331" t="str">
        <f>IF($H105="","",IFERROR(INDEX('Game Records'!$A:$A,$H105),""))</f>
        <v/>
      </c>
      <c r="D105" s="331" t="str">
        <f>IF($H105="","",IFERROR(INDEX('Game Records'!$U:$U,$H105),""))</f>
        <v/>
      </c>
      <c r="E105" s="331" t="str">
        <f>IF($H105="","",IF($F105="","No Highlighted Fields","Highlighted Fields Present"))</f>
        <v/>
      </c>
      <c r="F105" s="331" t="str">
        <f>IF($H105="","",IF(OR(NOT(ISFORMULA(INDEX('Game Records'!$N:$N,$H105))),NOT(ISFORMULA(INDEX('Game Records'!$O:$O,$H105))),NOT(ISFORMULA(INDEX('Game Records'!$P:$P,$H105))),NOT(ISFORMULA(INDEX('Game Records'!$Q:$Q,$H105))),NOT(ISFORMULA(INDEX('Game Records'!$R:$R,$H105))),NOT(ISFORMULA(INDEX('Game Records'!$S:$S,$H105))),NOT(ISFORMULA(INDEX('Game Records'!$T:$T,$H105))),NOT(ISFORMULA(INDEX('Game Records'!$U:$U,$H105))),NOT(ISFORMULA(INDEX('Game Records'!$V:$V,$H105))),NOT(ISFORMULA(INDEX('Game Records'!$W:$W,$H105))),NOT(ISFORMULA(INDEX('Game Records'!$X:$X,$H105))),NOT(ISFORMULA(INDEX('Game Records'!$Y:$Y,$H105))),NOT(ISFORMULA(INDEX('Game Records'!$Z:$Z,$H105)))),"Formula columns missing; ","")&amp;IF(INDEX('Game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Earned; ","")&amp;IF(AND(LOWER(INDEX('Game Records'!$D:$D,$H105)&amp;"")="finalized",INDEX('Game Records'!$U:$U,$H105)&lt;&gt;"Subscription",INDEX('Game Records'!$U:$U,$H105)&lt;&gt;"Free Game",INDEX('Game Records'!$U:$U,$H105)&lt;&gt;"Disqualified — Free Game",OR(INDEX('Game Records'!$L:$L,$H105)="",LOWER(INDEX('Game Records'!$L:$L,$H105)&amp;"")="n/a")),"Disqualified Status; ","")&amp;IF(AND(OR(INDEX('Game Records'!$U:$U,$H105)="Free Game",INDEX('Game Records'!$U:$U,$H105)="Disqualified — Free Game"),N(INDEX('Game Records'!$H:$H,$H105))&lt;&gt;0),"Free Game has a non-zero Entry Fee; ",""))</f>
        <v/>
      </c>
      <c r="G105" s="331" t="str">
        <f>IF($H105="","",IFERROR(INDEX('Game Records'!$M:$M,$H105),""))</f>
        <v/>
      </c>
      <c r="H105" s="104" t="str">
        <f>IF($H104="","",IFERROR(MATCH(1,INDEX((ROW('Game Records'!$U$5:$U$504)&gt;$H104)*(('Game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5" s="104"/>
      <c r="J105" s="104"/>
    </row>
    <row r="106" ht="24" hidden="0" customHeight="1">
      <c r="A106" s="332" t="str">
        <f>IF($H106="","",ROWS($A$5:A106))</f>
        <v/>
      </c>
      <c r="B106" s="332" t="str">
        <f>IF($H106="","","G-"&amp;TEXT($A106,"0000"))</f>
        <v/>
      </c>
      <c r="C106" s="331" t="str">
        <f>IF($H106="","",IFERROR(INDEX('Game Records'!$A:$A,$H106),""))</f>
        <v/>
      </c>
      <c r="D106" s="331" t="str">
        <f>IF($H106="","",IFERROR(INDEX('Game Records'!$U:$U,$H106),""))</f>
        <v/>
      </c>
      <c r="E106" s="331" t="str">
        <f>IF($H106="","",IF($F106="","No Highlighted Fields","Highlighted Fields Present"))</f>
        <v/>
      </c>
      <c r="F106" s="331" t="str">
        <f>IF($H106="","",IF(OR(NOT(ISFORMULA(INDEX('Game Records'!$N:$N,$H106))),NOT(ISFORMULA(INDEX('Game Records'!$O:$O,$H106))),NOT(ISFORMULA(INDEX('Game Records'!$P:$P,$H106))),NOT(ISFORMULA(INDEX('Game Records'!$Q:$Q,$H106))),NOT(ISFORMULA(INDEX('Game Records'!$R:$R,$H106))),NOT(ISFORMULA(INDEX('Game Records'!$S:$S,$H106))),NOT(ISFORMULA(INDEX('Game Records'!$T:$T,$H106))),NOT(ISFORMULA(INDEX('Game Records'!$U:$U,$H106))),NOT(ISFORMULA(INDEX('Game Records'!$V:$V,$H106))),NOT(ISFORMULA(INDEX('Game Records'!$W:$W,$H106))),NOT(ISFORMULA(INDEX('Game Records'!$X:$X,$H106))),NOT(ISFORMULA(INDEX('Game Records'!$Y:$Y,$H106))),NOT(ISFORMULA(INDEX('Game Records'!$Z:$Z,$H106)))),"Formula columns missing; ","")&amp;IF(INDEX('Game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Earned; ","")&amp;IF(AND(LOWER(INDEX('Game Records'!$D:$D,$H106)&amp;"")="finalized",INDEX('Game Records'!$U:$U,$H106)&lt;&gt;"Subscription",INDEX('Game Records'!$U:$U,$H106)&lt;&gt;"Free Game",INDEX('Game Records'!$U:$U,$H106)&lt;&gt;"Disqualified — Free Game",OR(INDEX('Game Records'!$L:$L,$H106)="",LOWER(INDEX('Game Records'!$L:$L,$H106)&amp;"")="n/a")),"Disqualified Status; ","")&amp;IF(AND(OR(INDEX('Game Records'!$U:$U,$H106)="Free Game",INDEX('Game Records'!$U:$U,$H106)="Disqualified — Free Game"),N(INDEX('Game Records'!$H:$H,$H106))&lt;&gt;0),"Free Game has a non-zero Entry Fee; ",""))</f>
        <v/>
      </c>
      <c r="G106" s="331" t="str">
        <f>IF($H106="","",IFERROR(INDEX('Game Records'!$M:$M,$H106),""))</f>
        <v/>
      </c>
      <c r="H106" s="104" t="str">
        <f>IF($H105="","",IFERROR(MATCH(1,INDEX((ROW('Game Records'!$U$5:$U$504)&gt;$H105)*(('Game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6" s="104"/>
      <c r="J106" s="104"/>
    </row>
    <row r="107" ht="24" hidden="0" customHeight="1">
      <c r="A107" s="332" t="str">
        <f>IF($H107="","",ROWS($A$5:A107))</f>
        <v/>
      </c>
      <c r="B107" s="332" t="str">
        <f>IF($H107="","","G-"&amp;TEXT($A107,"0000"))</f>
        <v/>
      </c>
      <c r="C107" s="331" t="str">
        <f>IF($H107="","",IFERROR(INDEX('Game Records'!$A:$A,$H107),""))</f>
        <v/>
      </c>
      <c r="D107" s="331" t="str">
        <f>IF($H107="","",IFERROR(INDEX('Game Records'!$U:$U,$H107),""))</f>
        <v/>
      </c>
      <c r="E107" s="331" t="str">
        <f>IF($H107="","",IF($F107="","No Highlighted Fields","Highlighted Fields Present"))</f>
        <v/>
      </c>
      <c r="F107" s="331" t="str">
        <f>IF($H107="","",IF(OR(NOT(ISFORMULA(INDEX('Game Records'!$N:$N,$H107))),NOT(ISFORMULA(INDEX('Game Records'!$O:$O,$H107))),NOT(ISFORMULA(INDEX('Game Records'!$P:$P,$H107))),NOT(ISFORMULA(INDEX('Game Records'!$Q:$Q,$H107))),NOT(ISFORMULA(INDEX('Game Records'!$R:$R,$H107))),NOT(ISFORMULA(INDEX('Game Records'!$S:$S,$H107))),NOT(ISFORMULA(INDEX('Game Records'!$T:$T,$H107))),NOT(ISFORMULA(INDEX('Game Records'!$U:$U,$H107))),NOT(ISFORMULA(INDEX('Game Records'!$V:$V,$H107))),NOT(ISFORMULA(INDEX('Game Records'!$W:$W,$H107))),NOT(ISFORMULA(INDEX('Game Records'!$X:$X,$H107))),NOT(ISFORMULA(INDEX('Game Records'!$Y:$Y,$H107))),NOT(ISFORMULA(INDEX('Game Records'!$Z:$Z,$H107)))),"Formula columns missing; ","")&amp;IF(INDEX('Game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Earned; ","")&amp;IF(AND(LOWER(INDEX('Game Records'!$D:$D,$H107)&amp;"")="finalized",INDEX('Game Records'!$U:$U,$H107)&lt;&gt;"Subscription",INDEX('Game Records'!$U:$U,$H107)&lt;&gt;"Free Game",INDEX('Game Records'!$U:$U,$H107)&lt;&gt;"Disqualified — Free Game",OR(INDEX('Game Records'!$L:$L,$H107)="",LOWER(INDEX('Game Records'!$L:$L,$H107)&amp;"")="n/a")),"Disqualified Status; ","")&amp;IF(AND(OR(INDEX('Game Records'!$U:$U,$H107)="Free Game",INDEX('Game Records'!$U:$U,$H107)="Disqualified — Free Game"),N(INDEX('Game Records'!$H:$H,$H107))&lt;&gt;0),"Free Game has a non-zero Entry Fee; ",""))</f>
        <v/>
      </c>
      <c r="G107" s="331" t="str">
        <f>IF($H107="","",IFERROR(INDEX('Game Records'!$M:$M,$H107),""))</f>
        <v/>
      </c>
      <c r="H107" s="104" t="str">
        <f>IF($H106="","",IFERROR(MATCH(1,INDEX((ROW('Game Records'!$U$5:$U$504)&gt;$H106)*(('Game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7" s="104"/>
      <c r="J107" s="104"/>
    </row>
    <row r="108" ht="24" hidden="0" customHeight="1">
      <c r="A108" s="332" t="str">
        <f>IF($H108="","",ROWS($A$5:A108))</f>
        <v/>
      </c>
      <c r="B108" s="332" t="str">
        <f>IF($H108="","","G-"&amp;TEXT($A108,"0000"))</f>
        <v/>
      </c>
      <c r="C108" s="331" t="str">
        <f>IF($H108="","",IFERROR(INDEX('Game Records'!$A:$A,$H108),""))</f>
        <v/>
      </c>
      <c r="D108" s="331" t="str">
        <f>IF($H108="","",IFERROR(INDEX('Game Records'!$U:$U,$H108),""))</f>
        <v/>
      </c>
      <c r="E108" s="331" t="str">
        <f>IF($H108="","",IF($F108="","No Highlighted Fields","Highlighted Fields Present"))</f>
        <v/>
      </c>
      <c r="F108" s="331" t="str">
        <f>IF($H108="","",IF(OR(NOT(ISFORMULA(INDEX('Game Records'!$N:$N,$H108))),NOT(ISFORMULA(INDEX('Game Records'!$O:$O,$H108))),NOT(ISFORMULA(INDEX('Game Records'!$P:$P,$H108))),NOT(ISFORMULA(INDEX('Game Records'!$Q:$Q,$H108))),NOT(ISFORMULA(INDEX('Game Records'!$R:$R,$H108))),NOT(ISFORMULA(INDEX('Game Records'!$S:$S,$H108))),NOT(ISFORMULA(INDEX('Game Records'!$T:$T,$H108))),NOT(ISFORMULA(INDEX('Game Records'!$U:$U,$H108))),NOT(ISFORMULA(INDEX('Game Records'!$V:$V,$H108))),NOT(ISFORMULA(INDEX('Game Records'!$W:$W,$H108))),NOT(ISFORMULA(INDEX('Game Records'!$X:$X,$H108))),NOT(ISFORMULA(INDEX('Game Records'!$Y:$Y,$H108))),NOT(ISFORMULA(INDEX('Game Records'!$Z:$Z,$H108)))),"Formula columns missing; ","")&amp;IF(INDEX('Game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Earned; ","")&amp;IF(AND(LOWER(INDEX('Game Records'!$D:$D,$H108)&amp;"")="finalized",INDEX('Game Records'!$U:$U,$H108)&lt;&gt;"Subscription",INDEX('Game Records'!$U:$U,$H108)&lt;&gt;"Free Game",INDEX('Game Records'!$U:$U,$H108)&lt;&gt;"Disqualified — Free Game",OR(INDEX('Game Records'!$L:$L,$H108)="",LOWER(INDEX('Game Records'!$L:$L,$H108)&amp;"")="n/a")),"Disqualified Status; ","")&amp;IF(AND(OR(INDEX('Game Records'!$U:$U,$H108)="Free Game",INDEX('Game Records'!$U:$U,$H108)="Disqualified — Free Game"),N(INDEX('Game Records'!$H:$H,$H108))&lt;&gt;0),"Free Game has a non-zero Entry Fee; ",""))</f>
        <v/>
      </c>
      <c r="G108" s="331" t="str">
        <f>IF($H108="","",IFERROR(INDEX('Game Records'!$M:$M,$H108),""))</f>
        <v/>
      </c>
      <c r="H108" s="104" t="str">
        <f>IF($H107="","",IFERROR(MATCH(1,INDEX((ROW('Game Records'!$U$5:$U$504)&gt;$H107)*(('Game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8" s="104"/>
      <c r="J108" s="104"/>
    </row>
    <row r="109" ht="24" hidden="0" customHeight="1">
      <c r="A109" s="332" t="str">
        <f>IF($H109="","",ROWS($A$5:A109))</f>
        <v/>
      </c>
      <c r="B109" s="332" t="str">
        <f>IF($H109="","","G-"&amp;TEXT($A109,"0000"))</f>
        <v/>
      </c>
      <c r="C109" s="331" t="str">
        <f>IF($H109="","",IFERROR(INDEX('Game Records'!$A:$A,$H109),""))</f>
        <v/>
      </c>
      <c r="D109" s="331" t="str">
        <f>IF($H109="","",IFERROR(INDEX('Game Records'!$U:$U,$H109),""))</f>
        <v/>
      </c>
      <c r="E109" s="331" t="str">
        <f>IF($H109="","",IF($F109="","No Highlighted Fields","Highlighted Fields Present"))</f>
        <v/>
      </c>
      <c r="F109" s="331" t="str">
        <f>IF($H109="","",IF(OR(NOT(ISFORMULA(INDEX('Game Records'!$N:$N,$H109))),NOT(ISFORMULA(INDEX('Game Records'!$O:$O,$H109))),NOT(ISFORMULA(INDEX('Game Records'!$P:$P,$H109))),NOT(ISFORMULA(INDEX('Game Records'!$Q:$Q,$H109))),NOT(ISFORMULA(INDEX('Game Records'!$R:$R,$H109))),NOT(ISFORMULA(INDEX('Game Records'!$S:$S,$H109))),NOT(ISFORMULA(INDEX('Game Records'!$T:$T,$H109))),NOT(ISFORMULA(INDEX('Game Records'!$U:$U,$H109))),NOT(ISFORMULA(INDEX('Game Records'!$V:$V,$H109))),NOT(ISFORMULA(INDEX('Game Records'!$W:$W,$H109))),NOT(ISFORMULA(INDEX('Game Records'!$X:$X,$H109))),NOT(ISFORMULA(INDEX('Game Records'!$Y:$Y,$H109))),NOT(ISFORMULA(INDEX('Game Records'!$Z:$Z,$H109)))),"Formula columns missing; ","")&amp;IF(INDEX('Game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Earned; ","")&amp;IF(AND(LOWER(INDEX('Game Records'!$D:$D,$H109)&amp;"")="finalized",INDEX('Game Records'!$U:$U,$H109)&lt;&gt;"Subscription",INDEX('Game Records'!$U:$U,$H109)&lt;&gt;"Free Game",INDEX('Game Records'!$U:$U,$H109)&lt;&gt;"Disqualified — Free Game",OR(INDEX('Game Records'!$L:$L,$H109)="",LOWER(INDEX('Game Records'!$L:$L,$H109)&amp;"")="n/a")),"Disqualified Status; ","")&amp;IF(AND(OR(INDEX('Game Records'!$U:$U,$H109)="Free Game",INDEX('Game Records'!$U:$U,$H109)="Disqualified — Free Game"),N(INDEX('Game Records'!$H:$H,$H109))&lt;&gt;0),"Free Game has a non-zero Entry Fee; ",""))</f>
        <v/>
      </c>
      <c r="G109" s="331" t="str">
        <f>IF($H109="","",IFERROR(INDEX('Game Records'!$M:$M,$H109),""))</f>
        <v/>
      </c>
      <c r="H109" s="104" t="str">
        <f>IF($H108="","",IFERROR(MATCH(1,INDEX((ROW('Game Records'!$U$5:$U$504)&gt;$H108)*(('Game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9" s="104"/>
      <c r="J109" s="104"/>
    </row>
    <row r="110" ht="24" hidden="0" customHeight="1">
      <c r="A110" s="332" t="str">
        <f>IF($H110="","",ROWS($A$5:A110))</f>
        <v/>
      </c>
      <c r="B110" s="332" t="str">
        <f>IF($H110="","","G-"&amp;TEXT($A110,"0000"))</f>
        <v/>
      </c>
      <c r="C110" s="331" t="str">
        <f>IF($H110="","",IFERROR(INDEX('Game Records'!$A:$A,$H110),""))</f>
        <v/>
      </c>
      <c r="D110" s="331" t="str">
        <f>IF($H110="","",IFERROR(INDEX('Game Records'!$U:$U,$H110),""))</f>
        <v/>
      </c>
      <c r="E110" s="331" t="str">
        <f>IF($H110="","",IF($F110="","No Highlighted Fields","Highlighted Fields Present"))</f>
        <v/>
      </c>
      <c r="F110" s="331" t="str">
        <f>IF($H110="","",IF(OR(NOT(ISFORMULA(INDEX('Game Records'!$N:$N,$H110))),NOT(ISFORMULA(INDEX('Game Records'!$O:$O,$H110))),NOT(ISFORMULA(INDEX('Game Records'!$P:$P,$H110))),NOT(ISFORMULA(INDEX('Game Records'!$Q:$Q,$H110))),NOT(ISFORMULA(INDEX('Game Records'!$R:$R,$H110))),NOT(ISFORMULA(INDEX('Game Records'!$S:$S,$H110))),NOT(ISFORMULA(INDEX('Game Records'!$T:$T,$H110))),NOT(ISFORMULA(INDEX('Game Records'!$U:$U,$H110))),NOT(ISFORMULA(INDEX('Game Records'!$V:$V,$H110))),NOT(ISFORMULA(INDEX('Game Records'!$W:$W,$H110))),NOT(ISFORMULA(INDEX('Game Records'!$X:$X,$H110))),NOT(ISFORMULA(INDEX('Game Records'!$Y:$Y,$H110))),NOT(ISFORMULA(INDEX('Game Records'!$Z:$Z,$H110)))),"Formula columns missing; ","")&amp;IF(INDEX('Game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Earned; ","")&amp;IF(AND(LOWER(INDEX('Game Records'!$D:$D,$H110)&amp;"")="finalized",INDEX('Game Records'!$U:$U,$H110)&lt;&gt;"Subscription",INDEX('Game Records'!$U:$U,$H110)&lt;&gt;"Free Game",INDEX('Game Records'!$U:$U,$H110)&lt;&gt;"Disqualified — Free Game",OR(INDEX('Game Records'!$L:$L,$H110)="",LOWER(INDEX('Game Records'!$L:$L,$H110)&amp;"")="n/a")),"Disqualified Status; ","")&amp;IF(AND(OR(INDEX('Game Records'!$U:$U,$H110)="Free Game",INDEX('Game Records'!$U:$U,$H110)="Disqualified — Free Game"),N(INDEX('Game Records'!$H:$H,$H110))&lt;&gt;0),"Free Game has a non-zero Entry Fee; ",""))</f>
        <v/>
      </c>
      <c r="G110" s="331" t="str">
        <f>IF($H110="","",IFERROR(INDEX('Game Records'!$M:$M,$H110),""))</f>
        <v/>
      </c>
      <c r="H110" s="104" t="str">
        <f>IF($H109="","",IFERROR(MATCH(1,INDEX((ROW('Game Records'!$U$5:$U$504)&gt;$H109)*(('Game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0" s="104"/>
      <c r="J110" s="104"/>
    </row>
    <row r="111" ht="24" hidden="0" customHeight="1">
      <c r="A111" s="332" t="str">
        <f>IF($H111="","",ROWS($A$5:A111))</f>
        <v/>
      </c>
      <c r="B111" s="332" t="str">
        <f>IF($H111="","","G-"&amp;TEXT($A111,"0000"))</f>
        <v/>
      </c>
      <c r="C111" s="331" t="str">
        <f>IF($H111="","",IFERROR(INDEX('Game Records'!$A:$A,$H111),""))</f>
        <v/>
      </c>
      <c r="D111" s="331" t="str">
        <f>IF($H111="","",IFERROR(INDEX('Game Records'!$U:$U,$H111),""))</f>
        <v/>
      </c>
      <c r="E111" s="331" t="str">
        <f>IF($H111="","",IF($F111="","No Highlighted Fields","Highlighted Fields Present"))</f>
        <v/>
      </c>
      <c r="F111" s="331" t="str">
        <f>IF($H111="","",IF(OR(NOT(ISFORMULA(INDEX('Game Records'!$N:$N,$H111))),NOT(ISFORMULA(INDEX('Game Records'!$O:$O,$H111))),NOT(ISFORMULA(INDEX('Game Records'!$P:$P,$H111))),NOT(ISFORMULA(INDEX('Game Records'!$Q:$Q,$H111))),NOT(ISFORMULA(INDEX('Game Records'!$R:$R,$H111))),NOT(ISFORMULA(INDEX('Game Records'!$S:$S,$H111))),NOT(ISFORMULA(INDEX('Game Records'!$T:$T,$H111))),NOT(ISFORMULA(INDEX('Game Records'!$U:$U,$H111))),NOT(ISFORMULA(INDEX('Game Records'!$V:$V,$H111))),NOT(ISFORMULA(INDEX('Game Records'!$W:$W,$H111))),NOT(ISFORMULA(INDEX('Game Records'!$X:$X,$H111))),NOT(ISFORMULA(INDEX('Game Records'!$Y:$Y,$H111))),NOT(ISFORMULA(INDEX('Game Records'!$Z:$Z,$H111)))),"Formula columns missing; ","")&amp;IF(INDEX('Game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Earned; ","")&amp;IF(AND(LOWER(INDEX('Game Records'!$D:$D,$H111)&amp;"")="finalized",INDEX('Game Records'!$U:$U,$H111)&lt;&gt;"Subscription",INDEX('Game Records'!$U:$U,$H111)&lt;&gt;"Free Game",INDEX('Game Records'!$U:$U,$H111)&lt;&gt;"Disqualified — Free Game",OR(INDEX('Game Records'!$L:$L,$H111)="",LOWER(INDEX('Game Records'!$L:$L,$H111)&amp;"")="n/a")),"Disqualified Status; ","")&amp;IF(AND(OR(INDEX('Game Records'!$U:$U,$H111)="Free Game",INDEX('Game Records'!$U:$U,$H111)="Disqualified — Free Game"),N(INDEX('Game Records'!$H:$H,$H111))&lt;&gt;0),"Free Game has a non-zero Entry Fee; ",""))</f>
        <v/>
      </c>
      <c r="G111" s="331" t="str">
        <f>IF($H111="","",IFERROR(INDEX('Game Records'!$M:$M,$H111),""))</f>
        <v/>
      </c>
      <c r="H111" s="104" t="str">
        <f>IF($H110="","",IFERROR(MATCH(1,INDEX((ROW('Game Records'!$U$5:$U$504)&gt;$H110)*(('Game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1" s="104"/>
      <c r="J111" s="104"/>
    </row>
    <row r="112" ht="24" hidden="0" customHeight="1">
      <c r="A112" s="332" t="str">
        <f>IF($H112="","",ROWS($A$5:A112))</f>
        <v/>
      </c>
      <c r="B112" s="332" t="str">
        <f>IF($H112="","","G-"&amp;TEXT($A112,"0000"))</f>
        <v/>
      </c>
      <c r="C112" s="331" t="str">
        <f>IF($H112="","",IFERROR(INDEX('Game Records'!$A:$A,$H112),""))</f>
        <v/>
      </c>
      <c r="D112" s="331" t="str">
        <f>IF($H112="","",IFERROR(INDEX('Game Records'!$U:$U,$H112),""))</f>
        <v/>
      </c>
      <c r="E112" s="331" t="str">
        <f>IF($H112="","",IF($F112="","No Highlighted Fields","Highlighted Fields Present"))</f>
        <v/>
      </c>
      <c r="F112" s="331" t="str">
        <f>IF($H112="","",IF(OR(NOT(ISFORMULA(INDEX('Game Records'!$N:$N,$H112))),NOT(ISFORMULA(INDEX('Game Records'!$O:$O,$H112))),NOT(ISFORMULA(INDEX('Game Records'!$P:$P,$H112))),NOT(ISFORMULA(INDEX('Game Records'!$Q:$Q,$H112))),NOT(ISFORMULA(INDEX('Game Records'!$R:$R,$H112))),NOT(ISFORMULA(INDEX('Game Records'!$S:$S,$H112))),NOT(ISFORMULA(INDEX('Game Records'!$T:$T,$H112))),NOT(ISFORMULA(INDEX('Game Records'!$U:$U,$H112))),NOT(ISFORMULA(INDEX('Game Records'!$V:$V,$H112))),NOT(ISFORMULA(INDEX('Game Records'!$W:$W,$H112))),NOT(ISFORMULA(INDEX('Game Records'!$X:$X,$H112))),NOT(ISFORMULA(INDEX('Game Records'!$Y:$Y,$H112))),NOT(ISFORMULA(INDEX('Game Records'!$Z:$Z,$H112)))),"Formula columns missing; ","")&amp;IF(INDEX('Game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Earned; ","")&amp;IF(AND(LOWER(INDEX('Game Records'!$D:$D,$H112)&amp;"")="finalized",INDEX('Game Records'!$U:$U,$H112)&lt;&gt;"Subscription",INDEX('Game Records'!$U:$U,$H112)&lt;&gt;"Free Game",INDEX('Game Records'!$U:$U,$H112)&lt;&gt;"Disqualified — Free Game",OR(INDEX('Game Records'!$L:$L,$H112)="",LOWER(INDEX('Game Records'!$L:$L,$H112)&amp;"")="n/a")),"Disqualified Status; ","")&amp;IF(AND(OR(INDEX('Game Records'!$U:$U,$H112)="Free Game",INDEX('Game Records'!$U:$U,$H112)="Disqualified — Free Game"),N(INDEX('Game Records'!$H:$H,$H112))&lt;&gt;0),"Free Game has a non-zero Entry Fee; ",""))</f>
        <v/>
      </c>
      <c r="G112" s="331" t="str">
        <f>IF($H112="","",IFERROR(INDEX('Game Records'!$M:$M,$H112),""))</f>
        <v/>
      </c>
      <c r="H112" s="104" t="str">
        <f>IF($H111="","",IFERROR(MATCH(1,INDEX((ROW('Game Records'!$U$5:$U$504)&gt;$H111)*(('Game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2" s="104"/>
      <c r="J112" s="104"/>
    </row>
    <row r="113" ht="24" hidden="0" customHeight="1">
      <c r="A113" s="332" t="str">
        <f>IF($H113="","",ROWS($A$5:A113))</f>
        <v/>
      </c>
      <c r="B113" s="332" t="str">
        <f>IF($H113="","","G-"&amp;TEXT($A113,"0000"))</f>
        <v/>
      </c>
      <c r="C113" s="331" t="str">
        <f>IF($H113="","",IFERROR(INDEX('Game Records'!$A:$A,$H113),""))</f>
        <v/>
      </c>
      <c r="D113" s="331" t="str">
        <f>IF($H113="","",IFERROR(INDEX('Game Records'!$U:$U,$H113),""))</f>
        <v/>
      </c>
      <c r="E113" s="331" t="str">
        <f>IF($H113="","",IF($F113="","No Highlighted Fields","Highlighted Fields Present"))</f>
        <v/>
      </c>
      <c r="F113" s="331" t="str">
        <f>IF($H113="","",IF(OR(NOT(ISFORMULA(INDEX('Game Records'!$N:$N,$H113))),NOT(ISFORMULA(INDEX('Game Records'!$O:$O,$H113))),NOT(ISFORMULA(INDEX('Game Records'!$P:$P,$H113))),NOT(ISFORMULA(INDEX('Game Records'!$Q:$Q,$H113))),NOT(ISFORMULA(INDEX('Game Records'!$R:$R,$H113))),NOT(ISFORMULA(INDEX('Game Records'!$S:$S,$H113))),NOT(ISFORMULA(INDEX('Game Records'!$T:$T,$H113))),NOT(ISFORMULA(INDEX('Game Records'!$U:$U,$H113))),NOT(ISFORMULA(INDEX('Game Records'!$V:$V,$H113))),NOT(ISFORMULA(INDEX('Game Records'!$W:$W,$H113))),NOT(ISFORMULA(INDEX('Game Records'!$X:$X,$H113))),NOT(ISFORMULA(INDEX('Game Records'!$Y:$Y,$H113))),NOT(ISFORMULA(INDEX('Game Records'!$Z:$Z,$H113)))),"Formula columns missing; ","")&amp;IF(INDEX('Game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Earned; ","")&amp;IF(AND(LOWER(INDEX('Game Records'!$D:$D,$H113)&amp;"")="finalized",INDEX('Game Records'!$U:$U,$H113)&lt;&gt;"Subscription",INDEX('Game Records'!$U:$U,$H113)&lt;&gt;"Free Game",INDEX('Game Records'!$U:$U,$H113)&lt;&gt;"Disqualified — Free Game",OR(INDEX('Game Records'!$L:$L,$H113)="",LOWER(INDEX('Game Records'!$L:$L,$H113)&amp;"")="n/a")),"Disqualified Status; ","")&amp;IF(AND(OR(INDEX('Game Records'!$U:$U,$H113)="Free Game",INDEX('Game Records'!$U:$U,$H113)="Disqualified — Free Game"),N(INDEX('Game Records'!$H:$H,$H113))&lt;&gt;0),"Free Game has a non-zero Entry Fee; ",""))</f>
        <v/>
      </c>
      <c r="G113" s="331" t="str">
        <f>IF($H113="","",IFERROR(INDEX('Game Records'!$M:$M,$H113),""))</f>
        <v/>
      </c>
      <c r="H113" s="104" t="str">
        <f>IF($H112="","",IFERROR(MATCH(1,INDEX((ROW('Game Records'!$U$5:$U$504)&gt;$H112)*(('Game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3" s="104"/>
      <c r="J113" s="104"/>
    </row>
    <row r="114" ht="24" hidden="0" customHeight="1">
      <c r="A114" s="332" t="str">
        <f>IF($H114="","",ROWS($A$5:A114))</f>
        <v/>
      </c>
      <c r="B114" s="332" t="str">
        <f>IF($H114="","","G-"&amp;TEXT($A114,"0000"))</f>
        <v/>
      </c>
      <c r="C114" s="331" t="str">
        <f>IF($H114="","",IFERROR(INDEX('Game Records'!$A:$A,$H114),""))</f>
        <v/>
      </c>
      <c r="D114" s="331" t="str">
        <f>IF($H114="","",IFERROR(INDEX('Game Records'!$U:$U,$H114),""))</f>
        <v/>
      </c>
      <c r="E114" s="331" t="str">
        <f>IF($H114="","",IF($F114="","No Highlighted Fields","Highlighted Fields Present"))</f>
        <v/>
      </c>
      <c r="F114" s="331" t="str">
        <f>IF($H114="","",IF(OR(NOT(ISFORMULA(INDEX('Game Records'!$N:$N,$H114))),NOT(ISFORMULA(INDEX('Game Records'!$O:$O,$H114))),NOT(ISFORMULA(INDEX('Game Records'!$P:$P,$H114))),NOT(ISFORMULA(INDEX('Game Records'!$Q:$Q,$H114))),NOT(ISFORMULA(INDEX('Game Records'!$R:$R,$H114))),NOT(ISFORMULA(INDEX('Game Records'!$S:$S,$H114))),NOT(ISFORMULA(INDEX('Game Records'!$T:$T,$H114))),NOT(ISFORMULA(INDEX('Game Records'!$U:$U,$H114))),NOT(ISFORMULA(INDEX('Game Records'!$V:$V,$H114))),NOT(ISFORMULA(INDEX('Game Records'!$W:$W,$H114))),NOT(ISFORMULA(INDEX('Game Records'!$X:$X,$H114))),NOT(ISFORMULA(INDEX('Game Records'!$Y:$Y,$H114))),NOT(ISFORMULA(INDEX('Game Records'!$Z:$Z,$H114)))),"Formula columns missing; ","")&amp;IF(INDEX('Game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Earned; ","")&amp;IF(AND(LOWER(INDEX('Game Records'!$D:$D,$H114)&amp;"")="finalized",INDEX('Game Records'!$U:$U,$H114)&lt;&gt;"Subscription",INDEX('Game Records'!$U:$U,$H114)&lt;&gt;"Free Game",INDEX('Game Records'!$U:$U,$H114)&lt;&gt;"Disqualified — Free Game",OR(INDEX('Game Records'!$L:$L,$H114)="",LOWER(INDEX('Game Records'!$L:$L,$H114)&amp;"")="n/a")),"Disqualified Status; ","")&amp;IF(AND(OR(INDEX('Game Records'!$U:$U,$H114)="Free Game",INDEX('Game Records'!$U:$U,$H114)="Disqualified — Free Game"),N(INDEX('Game Records'!$H:$H,$H114))&lt;&gt;0),"Free Game has a non-zero Entry Fee; ",""))</f>
        <v/>
      </c>
      <c r="G114" s="331" t="str">
        <f>IF($H114="","",IFERROR(INDEX('Game Records'!$M:$M,$H114),""))</f>
        <v/>
      </c>
      <c r="H114" s="104" t="str">
        <f>IF($H113="","",IFERROR(MATCH(1,INDEX((ROW('Game Records'!$U$5:$U$504)&gt;$H113)*(('Game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4" s="104"/>
      <c r="J114" s="104"/>
    </row>
    <row r="115" ht="24" hidden="0" customHeight="1">
      <c r="A115" s="332" t="str">
        <f>IF($H115="","",ROWS($A$5:A115))</f>
        <v/>
      </c>
      <c r="B115" s="332" t="str">
        <f>IF($H115="","","G-"&amp;TEXT($A115,"0000"))</f>
        <v/>
      </c>
      <c r="C115" s="331" t="str">
        <f>IF($H115="","",IFERROR(INDEX('Game Records'!$A:$A,$H115),""))</f>
        <v/>
      </c>
      <c r="D115" s="331" t="str">
        <f>IF($H115="","",IFERROR(INDEX('Game Records'!$U:$U,$H115),""))</f>
        <v/>
      </c>
      <c r="E115" s="331" t="str">
        <f>IF($H115="","",IF($F115="","No Highlighted Fields","Highlighted Fields Present"))</f>
        <v/>
      </c>
      <c r="F115" s="331" t="str">
        <f>IF($H115="","",IF(OR(NOT(ISFORMULA(INDEX('Game Records'!$N:$N,$H115))),NOT(ISFORMULA(INDEX('Game Records'!$O:$O,$H115))),NOT(ISFORMULA(INDEX('Game Records'!$P:$P,$H115))),NOT(ISFORMULA(INDEX('Game Records'!$Q:$Q,$H115))),NOT(ISFORMULA(INDEX('Game Records'!$R:$R,$H115))),NOT(ISFORMULA(INDEX('Game Records'!$S:$S,$H115))),NOT(ISFORMULA(INDEX('Game Records'!$T:$T,$H115))),NOT(ISFORMULA(INDEX('Game Records'!$U:$U,$H115))),NOT(ISFORMULA(INDEX('Game Records'!$V:$V,$H115))),NOT(ISFORMULA(INDEX('Game Records'!$W:$W,$H115))),NOT(ISFORMULA(INDEX('Game Records'!$X:$X,$H115))),NOT(ISFORMULA(INDEX('Game Records'!$Y:$Y,$H115))),NOT(ISFORMULA(INDEX('Game Records'!$Z:$Z,$H115)))),"Formula columns missing; ","")&amp;IF(INDEX('Game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Earned; ","")&amp;IF(AND(LOWER(INDEX('Game Records'!$D:$D,$H115)&amp;"")="finalized",INDEX('Game Records'!$U:$U,$H115)&lt;&gt;"Subscription",INDEX('Game Records'!$U:$U,$H115)&lt;&gt;"Free Game",INDEX('Game Records'!$U:$U,$H115)&lt;&gt;"Disqualified — Free Game",OR(INDEX('Game Records'!$L:$L,$H115)="",LOWER(INDEX('Game Records'!$L:$L,$H115)&amp;"")="n/a")),"Disqualified Status; ","")&amp;IF(AND(OR(INDEX('Game Records'!$U:$U,$H115)="Free Game",INDEX('Game Records'!$U:$U,$H115)="Disqualified — Free Game"),N(INDEX('Game Records'!$H:$H,$H115))&lt;&gt;0),"Free Game has a non-zero Entry Fee; ",""))</f>
        <v/>
      </c>
      <c r="G115" s="331" t="str">
        <f>IF($H115="","",IFERROR(INDEX('Game Records'!$M:$M,$H115),""))</f>
        <v/>
      </c>
      <c r="H115" s="104" t="str">
        <f>IF($H114="","",IFERROR(MATCH(1,INDEX((ROW('Game Records'!$U$5:$U$504)&gt;$H114)*(('Game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5" s="104"/>
      <c r="J115" s="104"/>
    </row>
    <row r="116" ht="24" hidden="0" customHeight="1">
      <c r="A116" s="332" t="str">
        <f>IF($H116="","",ROWS($A$5:A116))</f>
        <v/>
      </c>
      <c r="B116" s="332" t="str">
        <f>IF($H116="","","G-"&amp;TEXT($A116,"0000"))</f>
        <v/>
      </c>
      <c r="C116" s="331" t="str">
        <f>IF($H116="","",IFERROR(INDEX('Game Records'!$A:$A,$H116),""))</f>
        <v/>
      </c>
      <c r="D116" s="331" t="str">
        <f>IF($H116="","",IFERROR(INDEX('Game Records'!$U:$U,$H116),""))</f>
        <v/>
      </c>
      <c r="E116" s="331" t="str">
        <f>IF($H116="","",IF($F116="","No Highlighted Fields","Highlighted Fields Present"))</f>
        <v/>
      </c>
      <c r="F116" s="331" t="str">
        <f>IF($H116="","",IF(OR(NOT(ISFORMULA(INDEX('Game Records'!$N:$N,$H116))),NOT(ISFORMULA(INDEX('Game Records'!$O:$O,$H116))),NOT(ISFORMULA(INDEX('Game Records'!$P:$P,$H116))),NOT(ISFORMULA(INDEX('Game Records'!$Q:$Q,$H116))),NOT(ISFORMULA(INDEX('Game Records'!$R:$R,$H116))),NOT(ISFORMULA(INDEX('Game Records'!$S:$S,$H116))),NOT(ISFORMULA(INDEX('Game Records'!$T:$T,$H116))),NOT(ISFORMULA(INDEX('Game Records'!$U:$U,$H116))),NOT(ISFORMULA(INDEX('Game Records'!$V:$V,$H116))),NOT(ISFORMULA(INDEX('Game Records'!$W:$W,$H116))),NOT(ISFORMULA(INDEX('Game Records'!$X:$X,$H116))),NOT(ISFORMULA(INDEX('Game Records'!$Y:$Y,$H116))),NOT(ISFORMULA(INDEX('Game Records'!$Z:$Z,$H116)))),"Formula columns missing; ","")&amp;IF(INDEX('Game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Earned; ","")&amp;IF(AND(LOWER(INDEX('Game Records'!$D:$D,$H116)&amp;"")="finalized",INDEX('Game Records'!$U:$U,$H116)&lt;&gt;"Subscription",INDEX('Game Records'!$U:$U,$H116)&lt;&gt;"Free Game",INDEX('Game Records'!$U:$U,$H116)&lt;&gt;"Disqualified — Free Game",OR(INDEX('Game Records'!$L:$L,$H116)="",LOWER(INDEX('Game Records'!$L:$L,$H116)&amp;"")="n/a")),"Disqualified Status; ","")&amp;IF(AND(OR(INDEX('Game Records'!$U:$U,$H116)="Free Game",INDEX('Game Records'!$U:$U,$H116)="Disqualified — Free Game"),N(INDEX('Game Records'!$H:$H,$H116))&lt;&gt;0),"Free Game has a non-zero Entry Fee; ",""))</f>
        <v/>
      </c>
      <c r="G116" s="331" t="str">
        <f>IF($H116="","",IFERROR(INDEX('Game Records'!$M:$M,$H116),""))</f>
        <v/>
      </c>
      <c r="H116" s="104" t="str">
        <f>IF($H115="","",IFERROR(MATCH(1,INDEX((ROW('Game Records'!$U$5:$U$504)&gt;$H115)*(('Game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6" s="104"/>
      <c r="J116" s="104"/>
    </row>
    <row r="117" ht="24" hidden="0" customHeight="1">
      <c r="A117" s="332" t="str">
        <f>IF($H117="","",ROWS($A$5:A117))</f>
        <v/>
      </c>
      <c r="B117" s="332" t="str">
        <f>IF($H117="","","G-"&amp;TEXT($A117,"0000"))</f>
        <v/>
      </c>
      <c r="C117" s="331" t="str">
        <f>IF($H117="","",IFERROR(INDEX('Game Records'!$A:$A,$H117),""))</f>
        <v/>
      </c>
      <c r="D117" s="331" t="str">
        <f>IF($H117="","",IFERROR(INDEX('Game Records'!$U:$U,$H117),""))</f>
        <v/>
      </c>
      <c r="E117" s="331" t="str">
        <f>IF($H117="","",IF($F117="","No Highlighted Fields","Highlighted Fields Present"))</f>
        <v/>
      </c>
      <c r="F117" s="331" t="str">
        <f>IF($H117="","",IF(OR(NOT(ISFORMULA(INDEX('Game Records'!$N:$N,$H117))),NOT(ISFORMULA(INDEX('Game Records'!$O:$O,$H117))),NOT(ISFORMULA(INDEX('Game Records'!$P:$P,$H117))),NOT(ISFORMULA(INDEX('Game Records'!$Q:$Q,$H117))),NOT(ISFORMULA(INDEX('Game Records'!$R:$R,$H117))),NOT(ISFORMULA(INDEX('Game Records'!$S:$S,$H117))),NOT(ISFORMULA(INDEX('Game Records'!$T:$T,$H117))),NOT(ISFORMULA(INDEX('Game Records'!$U:$U,$H117))),NOT(ISFORMULA(INDEX('Game Records'!$V:$V,$H117))),NOT(ISFORMULA(INDEX('Game Records'!$W:$W,$H117))),NOT(ISFORMULA(INDEX('Game Records'!$X:$X,$H117))),NOT(ISFORMULA(INDEX('Game Records'!$Y:$Y,$H117))),NOT(ISFORMULA(INDEX('Game Records'!$Z:$Z,$H117)))),"Formula columns missing; ","")&amp;IF(INDEX('Game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Earned; ","")&amp;IF(AND(LOWER(INDEX('Game Records'!$D:$D,$H117)&amp;"")="finalized",INDEX('Game Records'!$U:$U,$H117)&lt;&gt;"Subscription",INDEX('Game Records'!$U:$U,$H117)&lt;&gt;"Free Game",INDEX('Game Records'!$U:$U,$H117)&lt;&gt;"Disqualified — Free Game",OR(INDEX('Game Records'!$L:$L,$H117)="",LOWER(INDEX('Game Records'!$L:$L,$H117)&amp;"")="n/a")),"Disqualified Status; ","")&amp;IF(AND(OR(INDEX('Game Records'!$U:$U,$H117)="Free Game",INDEX('Game Records'!$U:$U,$H117)="Disqualified — Free Game"),N(INDEX('Game Records'!$H:$H,$H117))&lt;&gt;0),"Free Game has a non-zero Entry Fee; ",""))</f>
        <v/>
      </c>
      <c r="G117" s="331" t="str">
        <f>IF($H117="","",IFERROR(INDEX('Game Records'!$M:$M,$H117),""))</f>
        <v/>
      </c>
      <c r="H117" s="104" t="str">
        <f>IF($H116="","",IFERROR(MATCH(1,INDEX((ROW('Game Records'!$U$5:$U$504)&gt;$H116)*(('Game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7" s="104"/>
      <c r="J117" s="104"/>
    </row>
    <row r="118" ht="24" hidden="0" customHeight="1">
      <c r="A118" s="332" t="str">
        <f>IF($H118="","",ROWS($A$5:A118))</f>
        <v/>
      </c>
      <c r="B118" s="332" t="str">
        <f>IF($H118="","","G-"&amp;TEXT($A118,"0000"))</f>
        <v/>
      </c>
      <c r="C118" s="331" t="str">
        <f>IF($H118="","",IFERROR(INDEX('Game Records'!$A:$A,$H118),""))</f>
        <v/>
      </c>
      <c r="D118" s="331" t="str">
        <f>IF($H118="","",IFERROR(INDEX('Game Records'!$U:$U,$H118),""))</f>
        <v/>
      </c>
      <c r="E118" s="331" t="str">
        <f>IF($H118="","",IF($F118="","No Highlighted Fields","Highlighted Fields Present"))</f>
        <v/>
      </c>
      <c r="F118" s="331" t="str">
        <f>IF($H118="","",IF(OR(NOT(ISFORMULA(INDEX('Game Records'!$N:$N,$H118))),NOT(ISFORMULA(INDEX('Game Records'!$O:$O,$H118))),NOT(ISFORMULA(INDEX('Game Records'!$P:$P,$H118))),NOT(ISFORMULA(INDEX('Game Records'!$Q:$Q,$H118))),NOT(ISFORMULA(INDEX('Game Records'!$R:$R,$H118))),NOT(ISFORMULA(INDEX('Game Records'!$S:$S,$H118))),NOT(ISFORMULA(INDEX('Game Records'!$T:$T,$H118))),NOT(ISFORMULA(INDEX('Game Records'!$U:$U,$H118))),NOT(ISFORMULA(INDEX('Game Records'!$V:$V,$H118))),NOT(ISFORMULA(INDEX('Game Records'!$W:$W,$H118))),NOT(ISFORMULA(INDEX('Game Records'!$X:$X,$H118))),NOT(ISFORMULA(INDEX('Game Records'!$Y:$Y,$H118))),NOT(ISFORMULA(INDEX('Game Records'!$Z:$Z,$H118)))),"Formula columns missing; ","")&amp;IF(INDEX('Game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Earned; ","")&amp;IF(AND(LOWER(INDEX('Game Records'!$D:$D,$H118)&amp;"")="finalized",INDEX('Game Records'!$U:$U,$H118)&lt;&gt;"Subscription",INDEX('Game Records'!$U:$U,$H118)&lt;&gt;"Free Game",INDEX('Game Records'!$U:$U,$H118)&lt;&gt;"Disqualified — Free Game",OR(INDEX('Game Records'!$L:$L,$H118)="",LOWER(INDEX('Game Records'!$L:$L,$H118)&amp;"")="n/a")),"Disqualified Status; ","")&amp;IF(AND(OR(INDEX('Game Records'!$U:$U,$H118)="Free Game",INDEX('Game Records'!$U:$U,$H118)="Disqualified — Free Game"),N(INDEX('Game Records'!$H:$H,$H118))&lt;&gt;0),"Free Game has a non-zero Entry Fee; ",""))</f>
        <v/>
      </c>
      <c r="G118" s="331" t="str">
        <f>IF($H118="","",IFERROR(INDEX('Game Records'!$M:$M,$H118),""))</f>
        <v/>
      </c>
      <c r="H118" s="104" t="str">
        <f>IF($H117="","",IFERROR(MATCH(1,INDEX((ROW('Game Records'!$U$5:$U$504)&gt;$H117)*(('Game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8" s="104"/>
      <c r="J118" s="104"/>
    </row>
    <row r="119" ht="24" hidden="0" customHeight="1">
      <c r="A119" s="332" t="str">
        <f>IF($H119="","",ROWS($A$5:A119))</f>
        <v/>
      </c>
      <c r="B119" s="332" t="str">
        <f>IF($H119="","","G-"&amp;TEXT($A119,"0000"))</f>
        <v/>
      </c>
      <c r="C119" s="331" t="str">
        <f>IF($H119="","",IFERROR(INDEX('Game Records'!$A:$A,$H119),""))</f>
        <v/>
      </c>
      <c r="D119" s="331" t="str">
        <f>IF($H119="","",IFERROR(INDEX('Game Records'!$U:$U,$H119),""))</f>
        <v/>
      </c>
      <c r="E119" s="331" t="str">
        <f>IF($H119="","",IF($F119="","No Highlighted Fields","Highlighted Fields Present"))</f>
        <v/>
      </c>
      <c r="F119" s="331" t="str">
        <f>IF($H119="","",IF(OR(NOT(ISFORMULA(INDEX('Game Records'!$N:$N,$H119))),NOT(ISFORMULA(INDEX('Game Records'!$O:$O,$H119))),NOT(ISFORMULA(INDEX('Game Records'!$P:$P,$H119))),NOT(ISFORMULA(INDEX('Game Records'!$Q:$Q,$H119))),NOT(ISFORMULA(INDEX('Game Records'!$R:$R,$H119))),NOT(ISFORMULA(INDEX('Game Records'!$S:$S,$H119))),NOT(ISFORMULA(INDEX('Game Records'!$T:$T,$H119))),NOT(ISFORMULA(INDEX('Game Records'!$U:$U,$H119))),NOT(ISFORMULA(INDEX('Game Records'!$V:$V,$H119))),NOT(ISFORMULA(INDEX('Game Records'!$W:$W,$H119))),NOT(ISFORMULA(INDEX('Game Records'!$X:$X,$H119))),NOT(ISFORMULA(INDEX('Game Records'!$Y:$Y,$H119))),NOT(ISFORMULA(INDEX('Game Records'!$Z:$Z,$H119)))),"Formula columns missing; ","")&amp;IF(INDEX('Game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Earned; ","")&amp;IF(AND(LOWER(INDEX('Game Records'!$D:$D,$H119)&amp;"")="finalized",INDEX('Game Records'!$U:$U,$H119)&lt;&gt;"Subscription",INDEX('Game Records'!$U:$U,$H119)&lt;&gt;"Free Game",INDEX('Game Records'!$U:$U,$H119)&lt;&gt;"Disqualified — Free Game",OR(INDEX('Game Records'!$L:$L,$H119)="",LOWER(INDEX('Game Records'!$L:$L,$H119)&amp;"")="n/a")),"Disqualified Status; ","")&amp;IF(AND(OR(INDEX('Game Records'!$U:$U,$H119)="Free Game",INDEX('Game Records'!$U:$U,$H119)="Disqualified — Free Game"),N(INDEX('Game Records'!$H:$H,$H119))&lt;&gt;0),"Free Game has a non-zero Entry Fee; ",""))</f>
        <v/>
      </c>
      <c r="G119" s="331" t="str">
        <f>IF($H119="","",IFERROR(INDEX('Game Records'!$M:$M,$H119),""))</f>
        <v/>
      </c>
      <c r="H119" s="104" t="str">
        <f>IF($H118="","",IFERROR(MATCH(1,INDEX((ROW('Game Records'!$U$5:$U$504)&gt;$H118)*(('Game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9" s="104"/>
      <c r="J119" s="104"/>
    </row>
    <row r="120" ht="24" hidden="0" customHeight="1">
      <c r="A120" s="332" t="str">
        <f>IF($H120="","",ROWS($A$5:A120))</f>
        <v/>
      </c>
      <c r="B120" s="332" t="str">
        <f>IF($H120="","","G-"&amp;TEXT($A120,"0000"))</f>
        <v/>
      </c>
      <c r="C120" s="331" t="str">
        <f>IF($H120="","",IFERROR(INDEX('Game Records'!$A:$A,$H120),""))</f>
        <v/>
      </c>
      <c r="D120" s="331" t="str">
        <f>IF($H120="","",IFERROR(INDEX('Game Records'!$U:$U,$H120),""))</f>
        <v/>
      </c>
      <c r="E120" s="331" t="str">
        <f>IF($H120="","",IF($F120="","No Highlighted Fields","Highlighted Fields Present"))</f>
        <v/>
      </c>
      <c r="F120" s="331" t="str">
        <f>IF($H120="","",IF(OR(NOT(ISFORMULA(INDEX('Game Records'!$N:$N,$H120))),NOT(ISFORMULA(INDEX('Game Records'!$O:$O,$H120))),NOT(ISFORMULA(INDEX('Game Records'!$P:$P,$H120))),NOT(ISFORMULA(INDEX('Game Records'!$Q:$Q,$H120))),NOT(ISFORMULA(INDEX('Game Records'!$R:$R,$H120))),NOT(ISFORMULA(INDEX('Game Records'!$S:$S,$H120))),NOT(ISFORMULA(INDEX('Game Records'!$T:$T,$H120))),NOT(ISFORMULA(INDEX('Game Records'!$U:$U,$H120))),NOT(ISFORMULA(INDEX('Game Records'!$V:$V,$H120))),NOT(ISFORMULA(INDEX('Game Records'!$W:$W,$H120))),NOT(ISFORMULA(INDEX('Game Records'!$X:$X,$H120))),NOT(ISFORMULA(INDEX('Game Records'!$Y:$Y,$H120))),NOT(ISFORMULA(INDEX('Game Records'!$Z:$Z,$H120)))),"Formula columns missing; ","")&amp;IF(INDEX('Game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Earned; ","")&amp;IF(AND(LOWER(INDEX('Game Records'!$D:$D,$H120)&amp;"")="finalized",INDEX('Game Records'!$U:$U,$H120)&lt;&gt;"Subscription",INDEX('Game Records'!$U:$U,$H120)&lt;&gt;"Free Game",INDEX('Game Records'!$U:$U,$H120)&lt;&gt;"Disqualified — Free Game",OR(INDEX('Game Records'!$L:$L,$H120)="",LOWER(INDEX('Game Records'!$L:$L,$H120)&amp;"")="n/a")),"Disqualified Status; ","")&amp;IF(AND(OR(INDEX('Game Records'!$U:$U,$H120)="Free Game",INDEX('Game Records'!$U:$U,$H120)="Disqualified — Free Game"),N(INDEX('Game Records'!$H:$H,$H120))&lt;&gt;0),"Free Game has a non-zero Entry Fee; ",""))</f>
        <v/>
      </c>
      <c r="G120" s="331" t="str">
        <f>IF($H120="","",IFERROR(INDEX('Game Records'!$M:$M,$H120),""))</f>
        <v/>
      </c>
      <c r="H120" s="104" t="str">
        <f>IF($H119="","",IFERROR(MATCH(1,INDEX((ROW('Game Records'!$U$5:$U$504)&gt;$H119)*(('Game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0" s="104"/>
      <c r="J120" s="104"/>
    </row>
    <row r="121" ht="24" hidden="0" customHeight="1">
      <c r="A121" s="332" t="str">
        <f>IF($H121="","",ROWS($A$5:A121))</f>
        <v/>
      </c>
      <c r="B121" s="332" t="str">
        <f>IF($H121="","","G-"&amp;TEXT($A121,"0000"))</f>
        <v/>
      </c>
      <c r="C121" s="331" t="str">
        <f>IF($H121="","",IFERROR(INDEX('Game Records'!$A:$A,$H121),""))</f>
        <v/>
      </c>
      <c r="D121" s="331" t="str">
        <f>IF($H121="","",IFERROR(INDEX('Game Records'!$U:$U,$H121),""))</f>
        <v/>
      </c>
      <c r="E121" s="331" t="str">
        <f>IF($H121="","",IF($F121="","No Highlighted Fields","Highlighted Fields Present"))</f>
        <v/>
      </c>
      <c r="F121" s="331" t="str">
        <f>IF($H121="","",IF(OR(NOT(ISFORMULA(INDEX('Game Records'!$N:$N,$H121))),NOT(ISFORMULA(INDEX('Game Records'!$O:$O,$H121))),NOT(ISFORMULA(INDEX('Game Records'!$P:$P,$H121))),NOT(ISFORMULA(INDEX('Game Records'!$Q:$Q,$H121))),NOT(ISFORMULA(INDEX('Game Records'!$R:$R,$H121))),NOT(ISFORMULA(INDEX('Game Records'!$S:$S,$H121))),NOT(ISFORMULA(INDEX('Game Records'!$T:$T,$H121))),NOT(ISFORMULA(INDEX('Game Records'!$U:$U,$H121))),NOT(ISFORMULA(INDEX('Game Records'!$V:$V,$H121))),NOT(ISFORMULA(INDEX('Game Records'!$W:$W,$H121))),NOT(ISFORMULA(INDEX('Game Records'!$X:$X,$H121))),NOT(ISFORMULA(INDEX('Game Records'!$Y:$Y,$H121))),NOT(ISFORMULA(INDEX('Game Records'!$Z:$Z,$H121)))),"Formula columns missing; ","")&amp;IF(INDEX('Game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Earned; ","")&amp;IF(AND(LOWER(INDEX('Game Records'!$D:$D,$H121)&amp;"")="finalized",INDEX('Game Records'!$U:$U,$H121)&lt;&gt;"Subscription",INDEX('Game Records'!$U:$U,$H121)&lt;&gt;"Free Game",INDEX('Game Records'!$U:$U,$H121)&lt;&gt;"Disqualified — Free Game",OR(INDEX('Game Records'!$L:$L,$H121)="",LOWER(INDEX('Game Records'!$L:$L,$H121)&amp;"")="n/a")),"Disqualified Status; ","")&amp;IF(AND(OR(INDEX('Game Records'!$U:$U,$H121)="Free Game",INDEX('Game Records'!$U:$U,$H121)="Disqualified — Free Game"),N(INDEX('Game Records'!$H:$H,$H121))&lt;&gt;0),"Free Game has a non-zero Entry Fee; ",""))</f>
        <v/>
      </c>
      <c r="G121" s="331" t="str">
        <f>IF($H121="","",IFERROR(INDEX('Game Records'!$M:$M,$H121),""))</f>
        <v/>
      </c>
      <c r="H121" s="104" t="str">
        <f>IF($H120="","",IFERROR(MATCH(1,INDEX((ROW('Game Records'!$U$5:$U$504)&gt;$H120)*(('Game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1" s="104"/>
      <c r="J121" s="104"/>
    </row>
    <row r="122" ht="24" hidden="0" customHeight="1">
      <c r="A122" s="332" t="str">
        <f>IF($H122="","",ROWS($A$5:A122))</f>
        <v/>
      </c>
      <c r="B122" s="332" t="str">
        <f>IF($H122="","","G-"&amp;TEXT($A122,"0000"))</f>
        <v/>
      </c>
      <c r="C122" s="331" t="str">
        <f>IF($H122="","",IFERROR(INDEX('Game Records'!$A:$A,$H122),""))</f>
        <v/>
      </c>
      <c r="D122" s="331" t="str">
        <f>IF($H122="","",IFERROR(INDEX('Game Records'!$U:$U,$H122),""))</f>
        <v/>
      </c>
      <c r="E122" s="331" t="str">
        <f>IF($H122="","",IF($F122="","No Highlighted Fields","Highlighted Fields Present"))</f>
        <v/>
      </c>
      <c r="F122" s="331" t="str">
        <f>IF($H122="","",IF(OR(NOT(ISFORMULA(INDEX('Game Records'!$N:$N,$H122))),NOT(ISFORMULA(INDEX('Game Records'!$O:$O,$H122))),NOT(ISFORMULA(INDEX('Game Records'!$P:$P,$H122))),NOT(ISFORMULA(INDEX('Game Records'!$Q:$Q,$H122))),NOT(ISFORMULA(INDEX('Game Records'!$R:$R,$H122))),NOT(ISFORMULA(INDEX('Game Records'!$S:$S,$H122))),NOT(ISFORMULA(INDEX('Game Records'!$T:$T,$H122))),NOT(ISFORMULA(INDEX('Game Records'!$U:$U,$H122))),NOT(ISFORMULA(INDEX('Game Records'!$V:$V,$H122))),NOT(ISFORMULA(INDEX('Game Records'!$W:$W,$H122))),NOT(ISFORMULA(INDEX('Game Records'!$X:$X,$H122))),NOT(ISFORMULA(INDEX('Game Records'!$Y:$Y,$H122))),NOT(ISFORMULA(INDEX('Game Records'!$Z:$Z,$H122)))),"Formula columns missing; ","")&amp;IF(INDEX('Game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Earned; ","")&amp;IF(AND(LOWER(INDEX('Game Records'!$D:$D,$H122)&amp;"")="finalized",INDEX('Game Records'!$U:$U,$H122)&lt;&gt;"Subscription",INDEX('Game Records'!$U:$U,$H122)&lt;&gt;"Free Game",INDEX('Game Records'!$U:$U,$H122)&lt;&gt;"Disqualified — Free Game",OR(INDEX('Game Records'!$L:$L,$H122)="",LOWER(INDEX('Game Records'!$L:$L,$H122)&amp;"")="n/a")),"Disqualified Status; ","")&amp;IF(AND(OR(INDEX('Game Records'!$U:$U,$H122)="Free Game",INDEX('Game Records'!$U:$U,$H122)="Disqualified — Free Game"),N(INDEX('Game Records'!$H:$H,$H122))&lt;&gt;0),"Free Game has a non-zero Entry Fee; ",""))</f>
        <v/>
      </c>
      <c r="G122" s="331" t="str">
        <f>IF($H122="","",IFERROR(INDEX('Game Records'!$M:$M,$H122),""))</f>
        <v/>
      </c>
      <c r="H122" s="104" t="str">
        <f>IF($H121="","",IFERROR(MATCH(1,INDEX((ROW('Game Records'!$U$5:$U$504)&gt;$H121)*(('Game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2" s="104"/>
      <c r="J122" s="104"/>
    </row>
    <row r="123" ht="24" hidden="0" customHeight="1">
      <c r="A123" s="332" t="str">
        <f>IF($H123="","",ROWS($A$5:A123))</f>
        <v/>
      </c>
      <c r="B123" s="332" t="str">
        <f>IF($H123="","","G-"&amp;TEXT($A123,"0000"))</f>
        <v/>
      </c>
      <c r="C123" s="331" t="str">
        <f>IF($H123="","",IFERROR(INDEX('Game Records'!$A:$A,$H123),""))</f>
        <v/>
      </c>
      <c r="D123" s="331" t="str">
        <f>IF($H123="","",IFERROR(INDEX('Game Records'!$U:$U,$H123),""))</f>
        <v/>
      </c>
      <c r="E123" s="331" t="str">
        <f>IF($H123="","",IF($F123="","No Highlighted Fields","Highlighted Fields Present"))</f>
        <v/>
      </c>
      <c r="F123" s="331" t="str">
        <f>IF($H123="","",IF(OR(NOT(ISFORMULA(INDEX('Game Records'!$N:$N,$H123))),NOT(ISFORMULA(INDEX('Game Records'!$O:$O,$H123))),NOT(ISFORMULA(INDEX('Game Records'!$P:$P,$H123))),NOT(ISFORMULA(INDEX('Game Records'!$Q:$Q,$H123))),NOT(ISFORMULA(INDEX('Game Records'!$R:$R,$H123))),NOT(ISFORMULA(INDEX('Game Records'!$S:$S,$H123))),NOT(ISFORMULA(INDEX('Game Records'!$T:$T,$H123))),NOT(ISFORMULA(INDEX('Game Records'!$U:$U,$H123))),NOT(ISFORMULA(INDEX('Game Records'!$V:$V,$H123))),NOT(ISFORMULA(INDEX('Game Records'!$W:$W,$H123))),NOT(ISFORMULA(INDEX('Game Records'!$X:$X,$H123))),NOT(ISFORMULA(INDEX('Game Records'!$Y:$Y,$H123))),NOT(ISFORMULA(INDEX('Game Records'!$Z:$Z,$H123)))),"Formula columns missing; ","")&amp;IF(INDEX('Game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Earned; ","")&amp;IF(AND(LOWER(INDEX('Game Records'!$D:$D,$H123)&amp;"")="finalized",INDEX('Game Records'!$U:$U,$H123)&lt;&gt;"Subscription",INDEX('Game Records'!$U:$U,$H123)&lt;&gt;"Free Game",INDEX('Game Records'!$U:$U,$H123)&lt;&gt;"Disqualified — Free Game",OR(INDEX('Game Records'!$L:$L,$H123)="",LOWER(INDEX('Game Records'!$L:$L,$H123)&amp;"")="n/a")),"Disqualified Status; ","")&amp;IF(AND(OR(INDEX('Game Records'!$U:$U,$H123)="Free Game",INDEX('Game Records'!$U:$U,$H123)="Disqualified — Free Game"),N(INDEX('Game Records'!$H:$H,$H123))&lt;&gt;0),"Free Game has a non-zero Entry Fee; ",""))</f>
        <v/>
      </c>
      <c r="G123" s="331" t="str">
        <f>IF($H123="","",IFERROR(INDEX('Game Records'!$M:$M,$H123),""))</f>
        <v/>
      </c>
      <c r="H123" s="104" t="str">
        <f>IF($H122="","",IFERROR(MATCH(1,INDEX((ROW('Game Records'!$U$5:$U$504)&gt;$H122)*(('Game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3" s="104"/>
      <c r="J123" s="104"/>
    </row>
    <row r="124" ht="24" hidden="0" customHeight="1">
      <c r="A124" s="332" t="str">
        <f>IF($H124="","",ROWS($A$5:A124))</f>
        <v/>
      </c>
      <c r="B124" s="332" t="str">
        <f>IF($H124="","","G-"&amp;TEXT($A124,"0000"))</f>
        <v/>
      </c>
      <c r="C124" s="331" t="str">
        <f>IF($H124="","",IFERROR(INDEX('Game Records'!$A:$A,$H124),""))</f>
        <v/>
      </c>
      <c r="D124" s="331" t="str">
        <f>IF($H124="","",IFERROR(INDEX('Game Records'!$U:$U,$H124),""))</f>
        <v/>
      </c>
      <c r="E124" s="331" t="str">
        <f>IF($H124="","",IF($F124="","No Highlighted Fields","Highlighted Fields Present"))</f>
        <v/>
      </c>
      <c r="F124" s="331" t="str">
        <f>IF($H124="","",IF(OR(NOT(ISFORMULA(INDEX('Game Records'!$N:$N,$H124))),NOT(ISFORMULA(INDEX('Game Records'!$O:$O,$H124))),NOT(ISFORMULA(INDEX('Game Records'!$P:$P,$H124))),NOT(ISFORMULA(INDEX('Game Records'!$Q:$Q,$H124))),NOT(ISFORMULA(INDEX('Game Records'!$R:$R,$H124))),NOT(ISFORMULA(INDEX('Game Records'!$S:$S,$H124))),NOT(ISFORMULA(INDEX('Game Records'!$T:$T,$H124))),NOT(ISFORMULA(INDEX('Game Records'!$U:$U,$H124))),NOT(ISFORMULA(INDEX('Game Records'!$V:$V,$H124))),NOT(ISFORMULA(INDEX('Game Records'!$W:$W,$H124))),NOT(ISFORMULA(INDEX('Game Records'!$X:$X,$H124))),NOT(ISFORMULA(INDEX('Game Records'!$Y:$Y,$H124))),NOT(ISFORMULA(INDEX('Game Records'!$Z:$Z,$H124)))),"Formula columns missing; ","")&amp;IF(INDEX('Game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Earned; ","")&amp;IF(AND(LOWER(INDEX('Game Records'!$D:$D,$H124)&amp;"")="finalized",INDEX('Game Records'!$U:$U,$H124)&lt;&gt;"Subscription",INDEX('Game Records'!$U:$U,$H124)&lt;&gt;"Free Game",INDEX('Game Records'!$U:$U,$H124)&lt;&gt;"Disqualified — Free Game",OR(INDEX('Game Records'!$L:$L,$H124)="",LOWER(INDEX('Game Records'!$L:$L,$H124)&amp;"")="n/a")),"Disqualified Status; ","")&amp;IF(AND(OR(INDEX('Game Records'!$U:$U,$H124)="Free Game",INDEX('Game Records'!$U:$U,$H124)="Disqualified — Free Game"),N(INDEX('Game Records'!$H:$H,$H124))&lt;&gt;0),"Free Game has a non-zero Entry Fee; ",""))</f>
        <v/>
      </c>
      <c r="G124" s="331" t="str">
        <f>IF($H124="","",IFERROR(INDEX('Game Records'!$M:$M,$H124),""))</f>
        <v/>
      </c>
      <c r="H124" s="104" t="str">
        <f>IF($H123="","",IFERROR(MATCH(1,INDEX((ROW('Game Records'!$U$5:$U$504)&gt;$H123)*(('Game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4" s="104"/>
      <c r="J124" s="104"/>
    </row>
    <row r="125" ht="24" hidden="0" customHeight="1">
      <c r="A125" s="332" t="str">
        <f>IF($H125="","",ROWS($A$5:A125))</f>
        <v/>
      </c>
      <c r="B125" s="332" t="str">
        <f>IF($H125="","","G-"&amp;TEXT($A125,"0000"))</f>
        <v/>
      </c>
      <c r="C125" s="331" t="str">
        <f>IF($H125="","",IFERROR(INDEX('Game Records'!$A:$A,$H125),""))</f>
        <v/>
      </c>
      <c r="D125" s="331" t="str">
        <f>IF($H125="","",IFERROR(INDEX('Game Records'!$U:$U,$H125),""))</f>
        <v/>
      </c>
      <c r="E125" s="331" t="str">
        <f>IF($H125="","",IF($F125="","No Highlighted Fields","Highlighted Fields Present"))</f>
        <v/>
      </c>
      <c r="F125" s="331" t="str">
        <f>IF($H125="","",IF(OR(NOT(ISFORMULA(INDEX('Game Records'!$N:$N,$H125))),NOT(ISFORMULA(INDEX('Game Records'!$O:$O,$H125))),NOT(ISFORMULA(INDEX('Game Records'!$P:$P,$H125))),NOT(ISFORMULA(INDEX('Game Records'!$Q:$Q,$H125))),NOT(ISFORMULA(INDEX('Game Records'!$R:$R,$H125))),NOT(ISFORMULA(INDEX('Game Records'!$S:$S,$H125))),NOT(ISFORMULA(INDEX('Game Records'!$T:$T,$H125))),NOT(ISFORMULA(INDEX('Game Records'!$U:$U,$H125))),NOT(ISFORMULA(INDEX('Game Records'!$V:$V,$H125))),NOT(ISFORMULA(INDEX('Game Records'!$W:$W,$H125))),NOT(ISFORMULA(INDEX('Game Records'!$X:$X,$H125))),NOT(ISFORMULA(INDEX('Game Records'!$Y:$Y,$H125))),NOT(ISFORMULA(INDEX('Game Records'!$Z:$Z,$H125)))),"Formula columns missing; ","")&amp;IF(INDEX('Game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Earned; ","")&amp;IF(AND(LOWER(INDEX('Game Records'!$D:$D,$H125)&amp;"")="finalized",INDEX('Game Records'!$U:$U,$H125)&lt;&gt;"Subscription",INDEX('Game Records'!$U:$U,$H125)&lt;&gt;"Free Game",INDEX('Game Records'!$U:$U,$H125)&lt;&gt;"Disqualified — Free Game",OR(INDEX('Game Records'!$L:$L,$H125)="",LOWER(INDEX('Game Records'!$L:$L,$H125)&amp;"")="n/a")),"Disqualified Status; ","")&amp;IF(AND(OR(INDEX('Game Records'!$U:$U,$H125)="Free Game",INDEX('Game Records'!$U:$U,$H125)="Disqualified — Free Game"),N(INDEX('Game Records'!$H:$H,$H125))&lt;&gt;0),"Free Game has a non-zero Entry Fee; ",""))</f>
        <v/>
      </c>
      <c r="G125" s="331" t="str">
        <f>IF($H125="","",IFERROR(INDEX('Game Records'!$M:$M,$H125),""))</f>
        <v/>
      </c>
      <c r="H125" s="104" t="str">
        <f>IF($H124="","",IFERROR(MATCH(1,INDEX((ROW('Game Records'!$U$5:$U$504)&gt;$H124)*(('Game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5" s="104"/>
      <c r="J125" s="104"/>
    </row>
    <row r="126" ht="24" hidden="0" customHeight="1">
      <c r="A126" s="332" t="str">
        <f>IF($H126="","",ROWS($A$5:A126))</f>
        <v/>
      </c>
      <c r="B126" s="332" t="str">
        <f>IF($H126="","","G-"&amp;TEXT($A126,"0000"))</f>
        <v/>
      </c>
      <c r="C126" s="331" t="str">
        <f>IF($H126="","",IFERROR(INDEX('Game Records'!$A:$A,$H126),""))</f>
        <v/>
      </c>
      <c r="D126" s="331" t="str">
        <f>IF($H126="","",IFERROR(INDEX('Game Records'!$U:$U,$H126),""))</f>
        <v/>
      </c>
      <c r="E126" s="331" t="str">
        <f>IF($H126="","",IF($F126="","No Highlighted Fields","Highlighted Fields Present"))</f>
        <v/>
      </c>
      <c r="F126" s="331" t="str">
        <f>IF($H126="","",IF(OR(NOT(ISFORMULA(INDEX('Game Records'!$N:$N,$H126))),NOT(ISFORMULA(INDEX('Game Records'!$O:$O,$H126))),NOT(ISFORMULA(INDEX('Game Records'!$P:$P,$H126))),NOT(ISFORMULA(INDEX('Game Records'!$Q:$Q,$H126))),NOT(ISFORMULA(INDEX('Game Records'!$R:$R,$H126))),NOT(ISFORMULA(INDEX('Game Records'!$S:$S,$H126))),NOT(ISFORMULA(INDEX('Game Records'!$T:$T,$H126))),NOT(ISFORMULA(INDEX('Game Records'!$U:$U,$H126))),NOT(ISFORMULA(INDEX('Game Records'!$V:$V,$H126))),NOT(ISFORMULA(INDEX('Game Records'!$W:$W,$H126))),NOT(ISFORMULA(INDEX('Game Records'!$X:$X,$H126))),NOT(ISFORMULA(INDEX('Game Records'!$Y:$Y,$H126))),NOT(ISFORMULA(INDEX('Game Records'!$Z:$Z,$H126)))),"Formula columns missing; ","")&amp;IF(INDEX('Game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Earned; ","")&amp;IF(AND(LOWER(INDEX('Game Records'!$D:$D,$H126)&amp;"")="finalized",INDEX('Game Records'!$U:$U,$H126)&lt;&gt;"Subscription",INDEX('Game Records'!$U:$U,$H126)&lt;&gt;"Free Game",INDEX('Game Records'!$U:$U,$H126)&lt;&gt;"Disqualified — Free Game",OR(INDEX('Game Records'!$L:$L,$H126)="",LOWER(INDEX('Game Records'!$L:$L,$H126)&amp;"")="n/a")),"Disqualified Status; ","")&amp;IF(AND(OR(INDEX('Game Records'!$U:$U,$H126)="Free Game",INDEX('Game Records'!$U:$U,$H126)="Disqualified — Free Game"),N(INDEX('Game Records'!$H:$H,$H126))&lt;&gt;0),"Free Game has a non-zero Entry Fee; ",""))</f>
        <v/>
      </c>
      <c r="G126" s="331" t="str">
        <f>IF($H126="","",IFERROR(INDEX('Game Records'!$M:$M,$H126),""))</f>
        <v/>
      </c>
      <c r="H126" s="104" t="str">
        <f>IF($H125="","",IFERROR(MATCH(1,INDEX((ROW('Game Records'!$U$5:$U$504)&gt;$H125)*(('Game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6" s="104"/>
      <c r="J126" s="104"/>
    </row>
    <row r="127" ht="24" hidden="0" customHeight="1">
      <c r="A127" s="332" t="str">
        <f>IF($H127="","",ROWS($A$5:A127))</f>
        <v/>
      </c>
      <c r="B127" s="332" t="str">
        <f>IF($H127="","","G-"&amp;TEXT($A127,"0000"))</f>
        <v/>
      </c>
      <c r="C127" s="331" t="str">
        <f>IF($H127="","",IFERROR(INDEX('Game Records'!$A:$A,$H127),""))</f>
        <v/>
      </c>
      <c r="D127" s="331" t="str">
        <f>IF($H127="","",IFERROR(INDEX('Game Records'!$U:$U,$H127),""))</f>
        <v/>
      </c>
      <c r="E127" s="331" t="str">
        <f>IF($H127="","",IF($F127="","No Highlighted Fields","Highlighted Fields Present"))</f>
        <v/>
      </c>
      <c r="F127" s="331" t="str">
        <f>IF($H127="","",IF(OR(NOT(ISFORMULA(INDEX('Game Records'!$N:$N,$H127))),NOT(ISFORMULA(INDEX('Game Records'!$O:$O,$H127))),NOT(ISFORMULA(INDEX('Game Records'!$P:$P,$H127))),NOT(ISFORMULA(INDEX('Game Records'!$Q:$Q,$H127))),NOT(ISFORMULA(INDEX('Game Records'!$R:$R,$H127))),NOT(ISFORMULA(INDEX('Game Records'!$S:$S,$H127))),NOT(ISFORMULA(INDEX('Game Records'!$T:$T,$H127))),NOT(ISFORMULA(INDEX('Game Records'!$U:$U,$H127))),NOT(ISFORMULA(INDEX('Game Records'!$V:$V,$H127))),NOT(ISFORMULA(INDEX('Game Records'!$W:$W,$H127))),NOT(ISFORMULA(INDEX('Game Records'!$X:$X,$H127))),NOT(ISFORMULA(INDEX('Game Records'!$Y:$Y,$H127))),NOT(ISFORMULA(INDEX('Game Records'!$Z:$Z,$H127)))),"Formula columns missing; ","")&amp;IF(INDEX('Game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Earned; ","")&amp;IF(AND(LOWER(INDEX('Game Records'!$D:$D,$H127)&amp;"")="finalized",INDEX('Game Records'!$U:$U,$H127)&lt;&gt;"Subscription",INDEX('Game Records'!$U:$U,$H127)&lt;&gt;"Free Game",INDEX('Game Records'!$U:$U,$H127)&lt;&gt;"Disqualified — Free Game",OR(INDEX('Game Records'!$L:$L,$H127)="",LOWER(INDEX('Game Records'!$L:$L,$H127)&amp;"")="n/a")),"Disqualified Status; ","")&amp;IF(AND(OR(INDEX('Game Records'!$U:$U,$H127)="Free Game",INDEX('Game Records'!$U:$U,$H127)="Disqualified — Free Game"),N(INDEX('Game Records'!$H:$H,$H127))&lt;&gt;0),"Free Game has a non-zero Entry Fee; ",""))</f>
        <v/>
      </c>
      <c r="G127" s="331" t="str">
        <f>IF($H127="","",IFERROR(INDEX('Game Records'!$M:$M,$H127),""))</f>
        <v/>
      </c>
      <c r="H127" s="104" t="str">
        <f>IF($H126="","",IFERROR(MATCH(1,INDEX((ROW('Game Records'!$U$5:$U$504)&gt;$H126)*(('Game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7" s="104"/>
      <c r="J127" s="104"/>
    </row>
    <row r="128" ht="24" hidden="0" customHeight="1">
      <c r="A128" s="332" t="str">
        <f>IF($H128="","",ROWS($A$5:A128))</f>
        <v/>
      </c>
      <c r="B128" s="332" t="str">
        <f>IF($H128="","","G-"&amp;TEXT($A128,"0000"))</f>
        <v/>
      </c>
      <c r="C128" s="331" t="str">
        <f>IF($H128="","",IFERROR(INDEX('Game Records'!$A:$A,$H128),""))</f>
        <v/>
      </c>
      <c r="D128" s="331" t="str">
        <f>IF($H128="","",IFERROR(INDEX('Game Records'!$U:$U,$H128),""))</f>
        <v/>
      </c>
      <c r="E128" s="331" t="str">
        <f>IF($H128="","",IF($F128="","No Highlighted Fields","Highlighted Fields Present"))</f>
        <v/>
      </c>
      <c r="F128" s="331" t="str">
        <f>IF($H128="","",IF(OR(NOT(ISFORMULA(INDEX('Game Records'!$N:$N,$H128))),NOT(ISFORMULA(INDEX('Game Records'!$O:$O,$H128))),NOT(ISFORMULA(INDEX('Game Records'!$P:$P,$H128))),NOT(ISFORMULA(INDEX('Game Records'!$Q:$Q,$H128))),NOT(ISFORMULA(INDEX('Game Records'!$R:$R,$H128))),NOT(ISFORMULA(INDEX('Game Records'!$S:$S,$H128))),NOT(ISFORMULA(INDEX('Game Records'!$T:$T,$H128))),NOT(ISFORMULA(INDEX('Game Records'!$U:$U,$H128))),NOT(ISFORMULA(INDEX('Game Records'!$V:$V,$H128))),NOT(ISFORMULA(INDEX('Game Records'!$W:$W,$H128))),NOT(ISFORMULA(INDEX('Game Records'!$X:$X,$H128))),NOT(ISFORMULA(INDEX('Game Records'!$Y:$Y,$H128))),NOT(ISFORMULA(INDEX('Game Records'!$Z:$Z,$H128)))),"Formula columns missing; ","")&amp;IF(INDEX('Game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Earned; ","")&amp;IF(AND(LOWER(INDEX('Game Records'!$D:$D,$H128)&amp;"")="finalized",INDEX('Game Records'!$U:$U,$H128)&lt;&gt;"Subscription",INDEX('Game Records'!$U:$U,$H128)&lt;&gt;"Free Game",INDEX('Game Records'!$U:$U,$H128)&lt;&gt;"Disqualified — Free Game",OR(INDEX('Game Records'!$L:$L,$H128)="",LOWER(INDEX('Game Records'!$L:$L,$H128)&amp;"")="n/a")),"Disqualified Status; ","")&amp;IF(AND(OR(INDEX('Game Records'!$U:$U,$H128)="Free Game",INDEX('Game Records'!$U:$U,$H128)="Disqualified — Free Game"),N(INDEX('Game Records'!$H:$H,$H128))&lt;&gt;0),"Free Game has a non-zero Entry Fee; ",""))</f>
        <v/>
      </c>
      <c r="G128" s="331" t="str">
        <f>IF($H128="","",IFERROR(INDEX('Game Records'!$M:$M,$H128),""))</f>
        <v/>
      </c>
      <c r="H128" s="104" t="str">
        <f>IF($H127="","",IFERROR(MATCH(1,INDEX((ROW('Game Records'!$U$5:$U$504)&gt;$H127)*(('Game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8" s="104"/>
      <c r="J128" s="104"/>
    </row>
    <row r="129" ht="24" hidden="0" customHeight="1">
      <c r="A129" s="332" t="str">
        <f>IF($H129="","",ROWS($A$5:A129))</f>
        <v/>
      </c>
      <c r="B129" s="332" t="str">
        <f>IF($H129="","","G-"&amp;TEXT($A129,"0000"))</f>
        <v/>
      </c>
      <c r="C129" s="331" t="str">
        <f>IF($H129="","",IFERROR(INDEX('Game Records'!$A:$A,$H129),""))</f>
        <v/>
      </c>
      <c r="D129" s="331" t="str">
        <f>IF($H129="","",IFERROR(INDEX('Game Records'!$U:$U,$H129),""))</f>
        <v/>
      </c>
      <c r="E129" s="331" t="str">
        <f>IF($H129="","",IF($F129="","No Highlighted Fields","Highlighted Fields Present"))</f>
        <v/>
      </c>
      <c r="F129" s="331" t="str">
        <f>IF($H129="","",IF(OR(NOT(ISFORMULA(INDEX('Game Records'!$N:$N,$H129))),NOT(ISFORMULA(INDEX('Game Records'!$O:$O,$H129))),NOT(ISFORMULA(INDEX('Game Records'!$P:$P,$H129))),NOT(ISFORMULA(INDEX('Game Records'!$Q:$Q,$H129))),NOT(ISFORMULA(INDEX('Game Records'!$R:$R,$H129))),NOT(ISFORMULA(INDEX('Game Records'!$S:$S,$H129))),NOT(ISFORMULA(INDEX('Game Records'!$T:$T,$H129))),NOT(ISFORMULA(INDEX('Game Records'!$U:$U,$H129))),NOT(ISFORMULA(INDEX('Game Records'!$V:$V,$H129))),NOT(ISFORMULA(INDEX('Game Records'!$W:$W,$H129))),NOT(ISFORMULA(INDEX('Game Records'!$X:$X,$H129))),NOT(ISFORMULA(INDEX('Game Records'!$Y:$Y,$H129))),NOT(ISFORMULA(INDEX('Game Records'!$Z:$Z,$H129)))),"Formula columns missing; ","")&amp;IF(INDEX('Game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Earned; ","")&amp;IF(AND(LOWER(INDEX('Game Records'!$D:$D,$H129)&amp;"")="finalized",INDEX('Game Records'!$U:$U,$H129)&lt;&gt;"Subscription",INDEX('Game Records'!$U:$U,$H129)&lt;&gt;"Free Game",INDEX('Game Records'!$U:$U,$H129)&lt;&gt;"Disqualified — Free Game",OR(INDEX('Game Records'!$L:$L,$H129)="",LOWER(INDEX('Game Records'!$L:$L,$H129)&amp;"")="n/a")),"Disqualified Status; ","")&amp;IF(AND(OR(INDEX('Game Records'!$U:$U,$H129)="Free Game",INDEX('Game Records'!$U:$U,$H129)="Disqualified — Free Game"),N(INDEX('Game Records'!$H:$H,$H129))&lt;&gt;0),"Free Game has a non-zero Entry Fee; ",""))</f>
        <v/>
      </c>
      <c r="G129" s="331" t="str">
        <f>IF($H129="","",IFERROR(INDEX('Game Records'!$M:$M,$H129),""))</f>
        <v/>
      </c>
      <c r="H129" s="104" t="str">
        <f>IF($H128="","",IFERROR(MATCH(1,INDEX((ROW('Game Records'!$U$5:$U$504)&gt;$H128)*(('Game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9" s="104"/>
      <c r="J129" s="104"/>
    </row>
    <row r="130" ht="24" hidden="0" customHeight="1">
      <c r="A130" s="332" t="str">
        <f>IF($H130="","",ROWS($A$5:A130))</f>
        <v/>
      </c>
      <c r="B130" s="332" t="str">
        <f>IF($H130="","","G-"&amp;TEXT($A130,"0000"))</f>
        <v/>
      </c>
      <c r="C130" s="331" t="str">
        <f>IF($H130="","",IFERROR(INDEX('Game Records'!$A:$A,$H130),""))</f>
        <v/>
      </c>
      <c r="D130" s="331" t="str">
        <f>IF($H130="","",IFERROR(INDEX('Game Records'!$U:$U,$H130),""))</f>
        <v/>
      </c>
      <c r="E130" s="331" t="str">
        <f>IF($H130="","",IF($F130="","No Highlighted Fields","Highlighted Fields Present"))</f>
        <v/>
      </c>
      <c r="F130" s="331" t="str">
        <f>IF($H130="","",IF(OR(NOT(ISFORMULA(INDEX('Game Records'!$N:$N,$H130))),NOT(ISFORMULA(INDEX('Game Records'!$O:$O,$H130))),NOT(ISFORMULA(INDEX('Game Records'!$P:$P,$H130))),NOT(ISFORMULA(INDEX('Game Records'!$Q:$Q,$H130))),NOT(ISFORMULA(INDEX('Game Records'!$R:$R,$H130))),NOT(ISFORMULA(INDEX('Game Records'!$S:$S,$H130))),NOT(ISFORMULA(INDEX('Game Records'!$T:$T,$H130))),NOT(ISFORMULA(INDEX('Game Records'!$U:$U,$H130))),NOT(ISFORMULA(INDEX('Game Records'!$V:$V,$H130))),NOT(ISFORMULA(INDEX('Game Records'!$W:$W,$H130))),NOT(ISFORMULA(INDEX('Game Records'!$X:$X,$H130))),NOT(ISFORMULA(INDEX('Game Records'!$Y:$Y,$H130))),NOT(ISFORMULA(INDEX('Game Records'!$Z:$Z,$H130)))),"Formula columns missing; ","")&amp;IF(INDEX('Game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Earned; ","")&amp;IF(AND(LOWER(INDEX('Game Records'!$D:$D,$H130)&amp;"")="finalized",INDEX('Game Records'!$U:$U,$H130)&lt;&gt;"Subscription",INDEX('Game Records'!$U:$U,$H130)&lt;&gt;"Free Game",INDEX('Game Records'!$U:$U,$H130)&lt;&gt;"Disqualified — Free Game",OR(INDEX('Game Records'!$L:$L,$H130)="",LOWER(INDEX('Game Records'!$L:$L,$H130)&amp;"")="n/a")),"Disqualified Status; ","")&amp;IF(AND(OR(INDEX('Game Records'!$U:$U,$H130)="Free Game",INDEX('Game Records'!$U:$U,$H130)="Disqualified — Free Game"),N(INDEX('Game Records'!$H:$H,$H130))&lt;&gt;0),"Free Game has a non-zero Entry Fee; ",""))</f>
        <v/>
      </c>
      <c r="G130" s="331" t="str">
        <f>IF($H130="","",IFERROR(INDEX('Game Records'!$M:$M,$H130),""))</f>
        <v/>
      </c>
      <c r="H130" s="104" t="str">
        <f>IF($H129="","",IFERROR(MATCH(1,INDEX((ROW('Game Records'!$U$5:$U$504)&gt;$H129)*(('Game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0" s="104"/>
      <c r="J130" s="104"/>
    </row>
    <row r="131" ht="24" hidden="0" customHeight="1">
      <c r="A131" s="332" t="str">
        <f>IF($H131="","",ROWS($A$5:A131))</f>
        <v/>
      </c>
      <c r="B131" s="332" t="str">
        <f>IF($H131="","","G-"&amp;TEXT($A131,"0000"))</f>
        <v/>
      </c>
      <c r="C131" s="331" t="str">
        <f>IF($H131="","",IFERROR(INDEX('Game Records'!$A:$A,$H131),""))</f>
        <v/>
      </c>
      <c r="D131" s="331" t="str">
        <f>IF($H131="","",IFERROR(INDEX('Game Records'!$U:$U,$H131),""))</f>
        <v/>
      </c>
      <c r="E131" s="331" t="str">
        <f>IF($H131="","",IF($F131="","No Highlighted Fields","Highlighted Fields Present"))</f>
        <v/>
      </c>
      <c r="F131" s="331" t="str">
        <f>IF($H131="","",IF(OR(NOT(ISFORMULA(INDEX('Game Records'!$N:$N,$H131))),NOT(ISFORMULA(INDEX('Game Records'!$O:$O,$H131))),NOT(ISFORMULA(INDEX('Game Records'!$P:$P,$H131))),NOT(ISFORMULA(INDEX('Game Records'!$Q:$Q,$H131))),NOT(ISFORMULA(INDEX('Game Records'!$R:$R,$H131))),NOT(ISFORMULA(INDEX('Game Records'!$S:$S,$H131))),NOT(ISFORMULA(INDEX('Game Records'!$T:$T,$H131))),NOT(ISFORMULA(INDEX('Game Records'!$U:$U,$H131))),NOT(ISFORMULA(INDEX('Game Records'!$V:$V,$H131))),NOT(ISFORMULA(INDEX('Game Records'!$W:$W,$H131))),NOT(ISFORMULA(INDEX('Game Records'!$X:$X,$H131))),NOT(ISFORMULA(INDEX('Game Records'!$Y:$Y,$H131))),NOT(ISFORMULA(INDEX('Game Records'!$Z:$Z,$H131)))),"Formula columns missing; ","")&amp;IF(INDEX('Game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Earned; ","")&amp;IF(AND(LOWER(INDEX('Game Records'!$D:$D,$H131)&amp;"")="finalized",INDEX('Game Records'!$U:$U,$H131)&lt;&gt;"Subscription",INDEX('Game Records'!$U:$U,$H131)&lt;&gt;"Free Game",INDEX('Game Records'!$U:$U,$H131)&lt;&gt;"Disqualified — Free Game",OR(INDEX('Game Records'!$L:$L,$H131)="",LOWER(INDEX('Game Records'!$L:$L,$H131)&amp;"")="n/a")),"Disqualified Status; ","")&amp;IF(AND(OR(INDEX('Game Records'!$U:$U,$H131)="Free Game",INDEX('Game Records'!$U:$U,$H131)="Disqualified — Free Game"),N(INDEX('Game Records'!$H:$H,$H131))&lt;&gt;0),"Free Game has a non-zero Entry Fee; ",""))</f>
        <v/>
      </c>
      <c r="G131" s="331" t="str">
        <f>IF($H131="","",IFERROR(INDEX('Game Records'!$M:$M,$H131),""))</f>
        <v/>
      </c>
      <c r="H131" s="104" t="str">
        <f>IF($H130="","",IFERROR(MATCH(1,INDEX((ROW('Game Records'!$U$5:$U$504)&gt;$H130)*(('Game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1" s="104"/>
      <c r="J131" s="104"/>
    </row>
    <row r="132" ht="24" hidden="0" customHeight="1">
      <c r="A132" s="332" t="str">
        <f>IF($H132="","",ROWS($A$5:A132))</f>
        <v/>
      </c>
      <c r="B132" s="332" t="str">
        <f>IF($H132="","","G-"&amp;TEXT($A132,"0000"))</f>
        <v/>
      </c>
      <c r="C132" s="331" t="str">
        <f>IF($H132="","",IFERROR(INDEX('Game Records'!$A:$A,$H132),""))</f>
        <v/>
      </c>
      <c r="D132" s="331" t="str">
        <f>IF($H132="","",IFERROR(INDEX('Game Records'!$U:$U,$H132),""))</f>
        <v/>
      </c>
      <c r="E132" s="331" t="str">
        <f>IF($H132="","",IF($F132="","No Highlighted Fields","Highlighted Fields Present"))</f>
        <v/>
      </c>
      <c r="F132" s="331" t="str">
        <f>IF($H132="","",IF(OR(NOT(ISFORMULA(INDEX('Game Records'!$N:$N,$H132))),NOT(ISFORMULA(INDEX('Game Records'!$O:$O,$H132))),NOT(ISFORMULA(INDEX('Game Records'!$P:$P,$H132))),NOT(ISFORMULA(INDEX('Game Records'!$Q:$Q,$H132))),NOT(ISFORMULA(INDEX('Game Records'!$R:$R,$H132))),NOT(ISFORMULA(INDEX('Game Records'!$S:$S,$H132))),NOT(ISFORMULA(INDEX('Game Records'!$T:$T,$H132))),NOT(ISFORMULA(INDEX('Game Records'!$U:$U,$H132))),NOT(ISFORMULA(INDEX('Game Records'!$V:$V,$H132))),NOT(ISFORMULA(INDEX('Game Records'!$W:$W,$H132))),NOT(ISFORMULA(INDEX('Game Records'!$X:$X,$H132))),NOT(ISFORMULA(INDEX('Game Records'!$Y:$Y,$H132))),NOT(ISFORMULA(INDEX('Game Records'!$Z:$Z,$H132)))),"Formula columns missing; ","")&amp;IF(INDEX('Game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Earned; ","")&amp;IF(AND(LOWER(INDEX('Game Records'!$D:$D,$H132)&amp;"")="finalized",INDEX('Game Records'!$U:$U,$H132)&lt;&gt;"Subscription",INDEX('Game Records'!$U:$U,$H132)&lt;&gt;"Free Game",INDEX('Game Records'!$U:$U,$H132)&lt;&gt;"Disqualified — Free Game",OR(INDEX('Game Records'!$L:$L,$H132)="",LOWER(INDEX('Game Records'!$L:$L,$H132)&amp;"")="n/a")),"Disqualified Status; ","")&amp;IF(AND(OR(INDEX('Game Records'!$U:$U,$H132)="Free Game",INDEX('Game Records'!$U:$U,$H132)="Disqualified — Free Game"),N(INDEX('Game Records'!$H:$H,$H132))&lt;&gt;0),"Free Game has a non-zero Entry Fee; ",""))</f>
        <v/>
      </c>
      <c r="G132" s="331" t="str">
        <f>IF($H132="","",IFERROR(INDEX('Game Records'!$M:$M,$H132),""))</f>
        <v/>
      </c>
      <c r="H132" s="104" t="str">
        <f>IF($H131="","",IFERROR(MATCH(1,INDEX((ROW('Game Records'!$U$5:$U$504)&gt;$H131)*(('Game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2" s="104"/>
      <c r="J132" s="104"/>
    </row>
    <row r="133" ht="24" hidden="0" customHeight="1">
      <c r="A133" s="332" t="str">
        <f>IF($H133="","",ROWS($A$5:A133))</f>
        <v/>
      </c>
      <c r="B133" s="332" t="str">
        <f>IF($H133="","","G-"&amp;TEXT($A133,"0000"))</f>
        <v/>
      </c>
      <c r="C133" s="331" t="str">
        <f>IF($H133="","",IFERROR(INDEX('Game Records'!$A:$A,$H133),""))</f>
        <v/>
      </c>
      <c r="D133" s="331" t="str">
        <f>IF($H133="","",IFERROR(INDEX('Game Records'!$U:$U,$H133),""))</f>
        <v/>
      </c>
      <c r="E133" s="331" t="str">
        <f>IF($H133="","",IF($F133="","No Highlighted Fields","Highlighted Fields Present"))</f>
        <v/>
      </c>
      <c r="F133" s="331" t="str">
        <f>IF($H133="","",IF(OR(NOT(ISFORMULA(INDEX('Game Records'!$N:$N,$H133))),NOT(ISFORMULA(INDEX('Game Records'!$O:$O,$H133))),NOT(ISFORMULA(INDEX('Game Records'!$P:$P,$H133))),NOT(ISFORMULA(INDEX('Game Records'!$Q:$Q,$H133))),NOT(ISFORMULA(INDEX('Game Records'!$R:$R,$H133))),NOT(ISFORMULA(INDEX('Game Records'!$S:$S,$H133))),NOT(ISFORMULA(INDEX('Game Records'!$T:$T,$H133))),NOT(ISFORMULA(INDEX('Game Records'!$U:$U,$H133))),NOT(ISFORMULA(INDEX('Game Records'!$V:$V,$H133))),NOT(ISFORMULA(INDEX('Game Records'!$W:$W,$H133))),NOT(ISFORMULA(INDEX('Game Records'!$X:$X,$H133))),NOT(ISFORMULA(INDEX('Game Records'!$Y:$Y,$H133))),NOT(ISFORMULA(INDEX('Game Records'!$Z:$Z,$H133)))),"Formula columns missing; ","")&amp;IF(INDEX('Game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Earned; ","")&amp;IF(AND(LOWER(INDEX('Game Records'!$D:$D,$H133)&amp;"")="finalized",INDEX('Game Records'!$U:$U,$H133)&lt;&gt;"Subscription",INDEX('Game Records'!$U:$U,$H133)&lt;&gt;"Free Game",INDEX('Game Records'!$U:$U,$H133)&lt;&gt;"Disqualified — Free Game",OR(INDEX('Game Records'!$L:$L,$H133)="",LOWER(INDEX('Game Records'!$L:$L,$H133)&amp;"")="n/a")),"Disqualified Status; ","")&amp;IF(AND(OR(INDEX('Game Records'!$U:$U,$H133)="Free Game",INDEX('Game Records'!$U:$U,$H133)="Disqualified — Free Game"),N(INDEX('Game Records'!$H:$H,$H133))&lt;&gt;0),"Free Game has a non-zero Entry Fee; ",""))</f>
        <v/>
      </c>
      <c r="G133" s="331" t="str">
        <f>IF($H133="","",IFERROR(INDEX('Game Records'!$M:$M,$H133),""))</f>
        <v/>
      </c>
      <c r="H133" s="104" t="str">
        <f>IF($H132="","",IFERROR(MATCH(1,INDEX((ROW('Game Records'!$U$5:$U$504)&gt;$H132)*(('Game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3" s="104"/>
      <c r="J133" s="104"/>
    </row>
    <row r="134" ht="24" hidden="0" customHeight="1">
      <c r="A134" s="332" t="str">
        <f>IF($H134="","",ROWS($A$5:A134))</f>
        <v/>
      </c>
      <c r="B134" s="332" t="str">
        <f>IF($H134="","","G-"&amp;TEXT($A134,"0000"))</f>
        <v/>
      </c>
      <c r="C134" s="331" t="str">
        <f>IF($H134="","",IFERROR(INDEX('Game Records'!$A:$A,$H134),""))</f>
        <v/>
      </c>
      <c r="D134" s="331" t="str">
        <f>IF($H134="","",IFERROR(INDEX('Game Records'!$U:$U,$H134),""))</f>
        <v/>
      </c>
      <c r="E134" s="331" t="str">
        <f>IF($H134="","",IF($F134="","No Highlighted Fields","Highlighted Fields Present"))</f>
        <v/>
      </c>
      <c r="F134" s="331" t="str">
        <f>IF($H134="","",IF(OR(NOT(ISFORMULA(INDEX('Game Records'!$N:$N,$H134))),NOT(ISFORMULA(INDEX('Game Records'!$O:$O,$H134))),NOT(ISFORMULA(INDEX('Game Records'!$P:$P,$H134))),NOT(ISFORMULA(INDEX('Game Records'!$Q:$Q,$H134))),NOT(ISFORMULA(INDEX('Game Records'!$R:$R,$H134))),NOT(ISFORMULA(INDEX('Game Records'!$S:$S,$H134))),NOT(ISFORMULA(INDEX('Game Records'!$T:$T,$H134))),NOT(ISFORMULA(INDEX('Game Records'!$U:$U,$H134))),NOT(ISFORMULA(INDEX('Game Records'!$V:$V,$H134))),NOT(ISFORMULA(INDEX('Game Records'!$W:$W,$H134))),NOT(ISFORMULA(INDEX('Game Records'!$X:$X,$H134))),NOT(ISFORMULA(INDEX('Game Records'!$Y:$Y,$H134))),NOT(ISFORMULA(INDEX('Game Records'!$Z:$Z,$H134)))),"Formula columns missing; ","")&amp;IF(INDEX('Game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Earned; ","")&amp;IF(AND(LOWER(INDEX('Game Records'!$D:$D,$H134)&amp;"")="finalized",INDEX('Game Records'!$U:$U,$H134)&lt;&gt;"Subscription",INDEX('Game Records'!$U:$U,$H134)&lt;&gt;"Free Game",INDEX('Game Records'!$U:$U,$H134)&lt;&gt;"Disqualified — Free Game",OR(INDEX('Game Records'!$L:$L,$H134)="",LOWER(INDEX('Game Records'!$L:$L,$H134)&amp;"")="n/a")),"Disqualified Status; ","")&amp;IF(AND(OR(INDEX('Game Records'!$U:$U,$H134)="Free Game",INDEX('Game Records'!$U:$U,$H134)="Disqualified — Free Game"),N(INDEX('Game Records'!$H:$H,$H134))&lt;&gt;0),"Free Game has a non-zero Entry Fee; ",""))</f>
        <v/>
      </c>
      <c r="G134" s="331" t="str">
        <f>IF($H134="","",IFERROR(INDEX('Game Records'!$M:$M,$H134),""))</f>
        <v/>
      </c>
      <c r="H134" s="104" t="str">
        <f>IF($H133="","",IFERROR(MATCH(1,INDEX((ROW('Game Records'!$U$5:$U$504)&gt;$H133)*(('Game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4" s="104"/>
      <c r="J134" s="104"/>
    </row>
    <row r="135" ht="24" hidden="0" customHeight="1">
      <c r="A135" s="332" t="str">
        <f>IF($H135="","",ROWS($A$5:A135))</f>
        <v/>
      </c>
      <c r="B135" s="332" t="str">
        <f>IF($H135="","","G-"&amp;TEXT($A135,"0000"))</f>
        <v/>
      </c>
      <c r="C135" s="331" t="str">
        <f>IF($H135="","",IFERROR(INDEX('Game Records'!$A:$A,$H135),""))</f>
        <v/>
      </c>
      <c r="D135" s="331" t="str">
        <f>IF($H135="","",IFERROR(INDEX('Game Records'!$U:$U,$H135),""))</f>
        <v/>
      </c>
      <c r="E135" s="331" t="str">
        <f>IF($H135="","",IF($F135="","No Highlighted Fields","Highlighted Fields Present"))</f>
        <v/>
      </c>
      <c r="F135" s="331" t="str">
        <f>IF($H135="","",IF(OR(NOT(ISFORMULA(INDEX('Game Records'!$N:$N,$H135))),NOT(ISFORMULA(INDEX('Game Records'!$O:$O,$H135))),NOT(ISFORMULA(INDEX('Game Records'!$P:$P,$H135))),NOT(ISFORMULA(INDEX('Game Records'!$Q:$Q,$H135))),NOT(ISFORMULA(INDEX('Game Records'!$R:$R,$H135))),NOT(ISFORMULA(INDEX('Game Records'!$S:$S,$H135))),NOT(ISFORMULA(INDEX('Game Records'!$T:$T,$H135))),NOT(ISFORMULA(INDEX('Game Records'!$U:$U,$H135))),NOT(ISFORMULA(INDEX('Game Records'!$V:$V,$H135))),NOT(ISFORMULA(INDEX('Game Records'!$W:$W,$H135))),NOT(ISFORMULA(INDEX('Game Records'!$X:$X,$H135))),NOT(ISFORMULA(INDEX('Game Records'!$Y:$Y,$H135))),NOT(ISFORMULA(INDEX('Game Records'!$Z:$Z,$H135)))),"Formula columns missing; ","")&amp;IF(INDEX('Game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Earned; ","")&amp;IF(AND(LOWER(INDEX('Game Records'!$D:$D,$H135)&amp;"")="finalized",INDEX('Game Records'!$U:$U,$H135)&lt;&gt;"Subscription",INDEX('Game Records'!$U:$U,$H135)&lt;&gt;"Free Game",INDEX('Game Records'!$U:$U,$H135)&lt;&gt;"Disqualified — Free Game",OR(INDEX('Game Records'!$L:$L,$H135)="",LOWER(INDEX('Game Records'!$L:$L,$H135)&amp;"")="n/a")),"Disqualified Status; ","")&amp;IF(AND(OR(INDEX('Game Records'!$U:$U,$H135)="Free Game",INDEX('Game Records'!$U:$U,$H135)="Disqualified — Free Game"),N(INDEX('Game Records'!$H:$H,$H135))&lt;&gt;0),"Free Game has a non-zero Entry Fee; ",""))</f>
        <v/>
      </c>
      <c r="G135" s="331" t="str">
        <f>IF($H135="","",IFERROR(INDEX('Game Records'!$M:$M,$H135),""))</f>
        <v/>
      </c>
      <c r="H135" s="104" t="str">
        <f>IF($H134="","",IFERROR(MATCH(1,INDEX((ROW('Game Records'!$U$5:$U$504)&gt;$H134)*(('Game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5" s="104"/>
      <c r="J135" s="104"/>
    </row>
    <row r="136" ht="24" hidden="0" customHeight="1">
      <c r="A136" s="332" t="str">
        <f>IF($H136="","",ROWS($A$5:A136))</f>
        <v/>
      </c>
      <c r="B136" s="332" t="str">
        <f>IF($H136="","","G-"&amp;TEXT($A136,"0000"))</f>
        <v/>
      </c>
      <c r="C136" s="331" t="str">
        <f>IF($H136="","",IFERROR(INDEX('Game Records'!$A:$A,$H136),""))</f>
        <v/>
      </c>
      <c r="D136" s="331" t="str">
        <f>IF($H136="","",IFERROR(INDEX('Game Records'!$U:$U,$H136),""))</f>
        <v/>
      </c>
      <c r="E136" s="331" t="str">
        <f>IF($H136="","",IF($F136="","No Highlighted Fields","Highlighted Fields Present"))</f>
        <v/>
      </c>
      <c r="F136" s="331" t="str">
        <f>IF($H136="","",IF(OR(NOT(ISFORMULA(INDEX('Game Records'!$N:$N,$H136))),NOT(ISFORMULA(INDEX('Game Records'!$O:$O,$H136))),NOT(ISFORMULA(INDEX('Game Records'!$P:$P,$H136))),NOT(ISFORMULA(INDEX('Game Records'!$Q:$Q,$H136))),NOT(ISFORMULA(INDEX('Game Records'!$R:$R,$H136))),NOT(ISFORMULA(INDEX('Game Records'!$S:$S,$H136))),NOT(ISFORMULA(INDEX('Game Records'!$T:$T,$H136))),NOT(ISFORMULA(INDEX('Game Records'!$U:$U,$H136))),NOT(ISFORMULA(INDEX('Game Records'!$V:$V,$H136))),NOT(ISFORMULA(INDEX('Game Records'!$W:$W,$H136))),NOT(ISFORMULA(INDEX('Game Records'!$X:$X,$H136))),NOT(ISFORMULA(INDEX('Game Records'!$Y:$Y,$H136))),NOT(ISFORMULA(INDEX('Game Records'!$Z:$Z,$H136)))),"Formula columns missing; ","")&amp;IF(INDEX('Game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Earned; ","")&amp;IF(AND(LOWER(INDEX('Game Records'!$D:$D,$H136)&amp;"")="finalized",INDEX('Game Records'!$U:$U,$H136)&lt;&gt;"Subscription",INDEX('Game Records'!$U:$U,$H136)&lt;&gt;"Free Game",INDEX('Game Records'!$U:$U,$H136)&lt;&gt;"Disqualified — Free Game",OR(INDEX('Game Records'!$L:$L,$H136)="",LOWER(INDEX('Game Records'!$L:$L,$H136)&amp;"")="n/a")),"Disqualified Status; ","")&amp;IF(AND(OR(INDEX('Game Records'!$U:$U,$H136)="Free Game",INDEX('Game Records'!$U:$U,$H136)="Disqualified — Free Game"),N(INDEX('Game Records'!$H:$H,$H136))&lt;&gt;0),"Free Game has a non-zero Entry Fee; ",""))</f>
        <v/>
      </c>
      <c r="G136" s="331" t="str">
        <f>IF($H136="","",IFERROR(INDEX('Game Records'!$M:$M,$H136),""))</f>
        <v/>
      </c>
      <c r="H136" s="104" t="str">
        <f>IF($H135="","",IFERROR(MATCH(1,INDEX((ROW('Game Records'!$U$5:$U$504)&gt;$H135)*(('Game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6" s="104"/>
      <c r="J136" s="104"/>
    </row>
    <row r="137" ht="24" hidden="0" customHeight="1">
      <c r="A137" s="332" t="str">
        <f>IF($H137="","",ROWS($A$5:A137))</f>
        <v/>
      </c>
      <c r="B137" s="332" t="str">
        <f>IF($H137="","","G-"&amp;TEXT($A137,"0000"))</f>
        <v/>
      </c>
      <c r="C137" s="331" t="str">
        <f>IF($H137="","",IFERROR(INDEX('Game Records'!$A:$A,$H137),""))</f>
        <v/>
      </c>
      <c r="D137" s="331" t="str">
        <f>IF($H137="","",IFERROR(INDEX('Game Records'!$U:$U,$H137),""))</f>
        <v/>
      </c>
      <c r="E137" s="331" t="str">
        <f>IF($H137="","",IF($F137="","No Highlighted Fields","Highlighted Fields Present"))</f>
        <v/>
      </c>
      <c r="F137" s="331" t="str">
        <f>IF($H137="","",IF(OR(NOT(ISFORMULA(INDEX('Game Records'!$N:$N,$H137))),NOT(ISFORMULA(INDEX('Game Records'!$O:$O,$H137))),NOT(ISFORMULA(INDEX('Game Records'!$P:$P,$H137))),NOT(ISFORMULA(INDEX('Game Records'!$Q:$Q,$H137))),NOT(ISFORMULA(INDEX('Game Records'!$R:$R,$H137))),NOT(ISFORMULA(INDEX('Game Records'!$S:$S,$H137))),NOT(ISFORMULA(INDEX('Game Records'!$T:$T,$H137))),NOT(ISFORMULA(INDEX('Game Records'!$U:$U,$H137))),NOT(ISFORMULA(INDEX('Game Records'!$V:$V,$H137))),NOT(ISFORMULA(INDEX('Game Records'!$W:$W,$H137))),NOT(ISFORMULA(INDEX('Game Records'!$X:$X,$H137))),NOT(ISFORMULA(INDEX('Game Records'!$Y:$Y,$H137))),NOT(ISFORMULA(INDEX('Game Records'!$Z:$Z,$H137)))),"Formula columns missing; ","")&amp;IF(INDEX('Game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Earned; ","")&amp;IF(AND(LOWER(INDEX('Game Records'!$D:$D,$H137)&amp;"")="finalized",INDEX('Game Records'!$U:$U,$H137)&lt;&gt;"Subscription",INDEX('Game Records'!$U:$U,$H137)&lt;&gt;"Free Game",INDEX('Game Records'!$U:$U,$H137)&lt;&gt;"Disqualified — Free Game",OR(INDEX('Game Records'!$L:$L,$H137)="",LOWER(INDEX('Game Records'!$L:$L,$H137)&amp;"")="n/a")),"Disqualified Status; ","")&amp;IF(AND(OR(INDEX('Game Records'!$U:$U,$H137)="Free Game",INDEX('Game Records'!$U:$U,$H137)="Disqualified — Free Game"),N(INDEX('Game Records'!$H:$H,$H137))&lt;&gt;0),"Free Game has a non-zero Entry Fee; ",""))</f>
        <v/>
      </c>
      <c r="G137" s="331" t="str">
        <f>IF($H137="","",IFERROR(INDEX('Game Records'!$M:$M,$H137),""))</f>
        <v/>
      </c>
      <c r="H137" s="104" t="str">
        <f>IF($H136="","",IFERROR(MATCH(1,INDEX((ROW('Game Records'!$U$5:$U$504)&gt;$H136)*(('Game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7" s="104"/>
      <c r="J137" s="104"/>
    </row>
    <row r="138" ht="24" hidden="0" customHeight="1">
      <c r="A138" s="332" t="str">
        <f>IF($H138="","",ROWS($A$5:A138))</f>
        <v/>
      </c>
      <c r="B138" s="332" t="str">
        <f>IF($H138="","","G-"&amp;TEXT($A138,"0000"))</f>
        <v/>
      </c>
      <c r="C138" s="331" t="str">
        <f>IF($H138="","",IFERROR(INDEX('Game Records'!$A:$A,$H138),""))</f>
        <v/>
      </c>
      <c r="D138" s="331" t="str">
        <f>IF($H138="","",IFERROR(INDEX('Game Records'!$U:$U,$H138),""))</f>
        <v/>
      </c>
      <c r="E138" s="331" t="str">
        <f>IF($H138="","",IF($F138="","No Highlighted Fields","Highlighted Fields Present"))</f>
        <v/>
      </c>
      <c r="F138" s="331" t="str">
        <f>IF($H138="","",IF(OR(NOT(ISFORMULA(INDEX('Game Records'!$N:$N,$H138))),NOT(ISFORMULA(INDEX('Game Records'!$O:$O,$H138))),NOT(ISFORMULA(INDEX('Game Records'!$P:$P,$H138))),NOT(ISFORMULA(INDEX('Game Records'!$Q:$Q,$H138))),NOT(ISFORMULA(INDEX('Game Records'!$R:$R,$H138))),NOT(ISFORMULA(INDEX('Game Records'!$S:$S,$H138))),NOT(ISFORMULA(INDEX('Game Records'!$T:$T,$H138))),NOT(ISFORMULA(INDEX('Game Records'!$U:$U,$H138))),NOT(ISFORMULA(INDEX('Game Records'!$V:$V,$H138))),NOT(ISFORMULA(INDEX('Game Records'!$W:$W,$H138))),NOT(ISFORMULA(INDEX('Game Records'!$X:$X,$H138))),NOT(ISFORMULA(INDEX('Game Records'!$Y:$Y,$H138))),NOT(ISFORMULA(INDEX('Game Records'!$Z:$Z,$H138)))),"Formula columns missing; ","")&amp;IF(INDEX('Game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Earned; ","")&amp;IF(AND(LOWER(INDEX('Game Records'!$D:$D,$H138)&amp;"")="finalized",INDEX('Game Records'!$U:$U,$H138)&lt;&gt;"Subscription",INDEX('Game Records'!$U:$U,$H138)&lt;&gt;"Free Game",INDEX('Game Records'!$U:$U,$H138)&lt;&gt;"Disqualified — Free Game",OR(INDEX('Game Records'!$L:$L,$H138)="",LOWER(INDEX('Game Records'!$L:$L,$H138)&amp;"")="n/a")),"Disqualified Status; ","")&amp;IF(AND(OR(INDEX('Game Records'!$U:$U,$H138)="Free Game",INDEX('Game Records'!$U:$U,$H138)="Disqualified — Free Game"),N(INDEX('Game Records'!$H:$H,$H138))&lt;&gt;0),"Free Game has a non-zero Entry Fee; ",""))</f>
        <v/>
      </c>
      <c r="G138" s="331" t="str">
        <f>IF($H138="","",IFERROR(INDEX('Game Records'!$M:$M,$H138),""))</f>
        <v/>
      </c>
      <c r="H138" s="104" t="str">
        <f>IF($H137="","",IFERROR(MATCH(1,INDEX((ROW('Game Records'!$U$5:$U$504)&gt;$H137)*(('Game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8" s="104"/>
      <c r="J138" s="104"/>
    </row>
    <row r="139" ht="24" hidden="0" customHeight="1">
      <c r="A139" s="332" t="str">
        <f>IF($H139="","",ROWS($A$5:A139))</f>
        <v/>
      </c>
      <c r="B139" s="332" t="str">
        <f>IF($H139="","","G-"&amp;TEXT($A139,"0000"))</f>
        <v/>
      </c>
      <c r="C139" s="331" t="str">
        <f>IF($H139="","",IFERROR(INDEX('Game Records'!$A:$A,$H139),""))</f>
        <v/>
      </c>
      <c r="D139" s="331" t="str">
        <f>IF($H139="","",IFERROR(INDEX('Game Records'!$U:$U,$H139),""))</f>
        <v/>
      </c>
      <c r="E139" s="331" t="str">
        <f>IF($H139="","",IF($F139="","No Highlighted Fields","Highlighted Fields Present"))</f>
        <v/>
      </c>
      <c r="F139" s="331" t="str">
        <f>IF($H139="","",IF(OR(NOT(ISFORMULA(INDEX('Game Records'!$N:$N,$H139))),NOT(ISFORMULA(INDEX('Game Records'!$O:$O,$H139))),NOT(ISFORMULA(INDEX('Game Records'!$P:$P,$H139))),NOT(ISFORMULA(INDEX('Game Records'!$Q:$Q,$H139))),NOT(ISFORMULA(INDEX('Game Records'!$R:$R,$H139))),NOT(ISFORMULA(INDEX('Game Records'!$S:$S,$H139))),NOT(ISFORMULA(INDEX('Game Records'!$T:$T,$H139))),NOT(ISFORMULA(INDEX('Game Records'!$U:$U,$H139))),NOT(ISFORMULA(INDEX('Game Records'!$V:$V,$H139))),NOT(ISFORMULA(INDEX('Game Records'!$W:$W,$H139))),NOT(ISFORMULA(INDEX('Game Records'!$X:$X,$H139))),NOT(ISFORMULA(INDEX('Game Records'!$Y:$Y,$H139))),NOT(ISFORMULA(INDEX('Game Records'!$Z:$Z,$H139)))),"Formula columns missing; ","")&amp;IF(INDEX('Game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Earned; ","")&amp;IF(AND(LOWER(INDEX('Game Records'!$D:$D,$H139)&amp;"")="finalized",INDEX('Game Records'!$U:$U,$H139)&lt;&gt;"Subscription",INDEX('Game Records'!$U:$U,$H139)&lt;&gt;"Free Game",INDEX('Game Records'!$U:$U,$H139)&lt;&gt;"Disqualified — Free Game",OR(INDEX('Game Records'!$L:$L,$H139)="",LOWER(INDEX('Game Records'!$L:$L,$H139)&amp;"")="n/a")),"Disqualified Status; ","")&amp;IF(AND(OR(INDEX('Game Records'!$U:$U,$H139)="Free Game",INDEX('Game Records'!$U:$U,$H139)="Disqualified — Free Game"),N(INDEX('Game Records'!$H:$H,$H139))&lt;&gt;0),"Free Game has a non-zero Entry Fee; ",""))</f>
        <v/>
      </c>
      <c r="G139" s="331" t="str">
        <f>IF($H139="","",IFERROR(INDEX('Game Records'!$M:$M,$H139),""))</f>
        <v/>
      </c>
      <c r="H139" s="104" t="str">
        <f>IF($H138="","",IFERROR(MATCH(1,INDEX((ROW('Game Records'!$U$5:$U$504)&gt;$H138)*(('Game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9" s="104"/>
      <c r="J139" s="104"/>
    </row>
    <row r="140" ht="24" hidden="0" customHeight="1">
      <c r="A140" s="332" t="str">
        <f>IF($H140="","",ROWS($A$5:A140))</f>
        <v/>
      </c>
      <c r="B140" s="332" t="str">
        <f>IF($H140="","","G-"&amp;TEXT($A140,"0000"))</f>
        <v/>
      </c>
      <c r="C140" s="331" t="str">
        <f>IF($H140="","",IFERROR(INDEX('Game Records'!$A:$A,$H140),""))</f>
        <v/>
      </c>
      <c r="D140" s="331" t="str">
        <f>IF($H140="","",IFERROR(INDEX('Game Records'!$U:$U,$H140),""))</f>
        <v/>
      </c>
      <c r="E140" s="331" t="str">
        <f>IF($H140="","",IF($F140="","No Highlighted Fields","Highlighted Fields Present"))</f>
        <v/>
      </c>
      <c r="F140" s="331" t="str">
        <f>IF($H140="","",IF(OR(NOT(ISFORMULA(INDEX('Game Records'!$N:$N,$H140))),NOT(ISFORMULA(INDEX('Game Records'!$O:$O,$H140))),NOT(ISFORMULA(INDEX('Game Records'!$P:$P,$H140))),NOT(ISFORMULA(INDEX('Game Records'!$Q:$Q,$H140))),NOT(ISFORMULA(INDEX('Game Records'!$R:$R,$H140))),NOT(ISFORMULA(INDEX('Game Records'!$S:$S,$H140))),NOT(ISFORMULA(INDEX('Game Records'!$T:$T,$H140))),NOT(ISFORMULA(INDEX('Game Records'!$U:$U,$H140))),NOT(ISFORMULA(INDEX('Game Records'!$V:$V,$H140))),NOT(ISFORMULA(INDEX('Game Records'!$W:$W,$H140))),NOT(ISFORMULA(INDEX('Game Records'!$X:$X,$H140))),NOT(ISFORMULA(INDEX('Game Records'!$Y:$Y,$H140))),NOT(ISFORMULA(INDEX('Game Records'!$Z:$Z,$H140)))),"Formula columns missing; ","")&amp;IF(INDEX('Game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Earned; ","")&amp;IF(AND(LOWER(INDEX('Game Records'!$D:$D,$H140)&amp;"")="finalized",INDEX('Game Records'!$U:$U,$H140)&lt;&gt;"Subscription",INDEX('Game Records'!$U:$U,$H140)&lt;&gt;"Free Game",INDEX('Game Records'!$U:$U,$H140)&lt;&gt;"Disqualified — Free Game",OR(INDEX('Game Records'!$L:$L,$H140)="",LOWER(INDEX('Game Records'!$L:$L,$H140)&amp;"")="n/a")),"Disqualified Status; ","")&amp;IF(AND(OR(INDEX('Game Records'!$U:$U,$H140)="Free Game",INDEX('Game Records'!$U:$U,$H140)="Disqualified — Free Game"),N(INDEX('Game Records'!$H:$H,$H140))&lt;&gt;0),"Free Game has a non-zero Entry Fee; ",""))</f>
        <v/>
      </c>
      <c r="G140" s="331" t="str">
        <f>IF($H140="","",IFERROR(INDEX('Game Records'!$M:$M,$H140),""))</f>
        <v/>
      </c>
      <c r="H140" s="104" t="str">
        <f>IF($H139="","",IFERROR(MATCH(1,INDEX((ROW('Game Records'!$U$5:$U$504)&gt;$H139)*(('Game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0" s="104"/>
      <c r="J140" s="104"/>
    </row>
    <row r="141" ht="24" hidden="0" customHeight="1">
      <c r="A141" s="332" t="str">
        <f>IF($H141="","",ROWS($A$5:A141))</f>
        <v/>
      </c>
      <c r="B141" s="332" t="str">
        <f>IF($H141="","","G-"&amp;TEXT($A141,"0000"))</f>
        <v/>
      </c>
      <c r="C141" s="331" t="str">
        <f>IF($H141="","",IFERROR(INDEX('Game Records'!$A:$A,$H141),""))</f>
        <v/>
      </c>
      <c r="D141" s="331" t="str">
        <f>IF($H141="","",IFERROR(INDEX('Game Records'!$U:$U,$H141),""))</f>
        <v/>
      </c>
      <c r="E141" s="331" t="str">
        <f>IF($H141="","",IF($F141="","No Highlighted Fields","Highlighted Fields Present"))</f>
        <v/>
      </c>
      <c r="F141" s="331" t="str">
        <f>IF($H141="","",IF(OR(NOT(ISFORMULA(INDEX('Game Records'!$N:$N,$H141))),NOT(ISFORMULA(INDEX('Game Records'!$O:$O,$H141))),NOT(ISFORMULA(INDEX('Game Records'!$P:$P,$H141))),NOT(ISFORMULA(INDEX('Game Records'!$Q:$Q,$H141))),NOT(ISFORMULA(INDEX('Game Records'!$R:$R,$H141))),NOT(ISFORMULA(INDEX('Game Records'!$S:$S,$H141))),NOT(ISFORMULA(INDEX('Game Records'!$T:$T,$H141))),NOT(ISFORMULA(INDEX('Game Records'!$U:$U,$H141))),NOT(ISFORMULA(INDEX('Game Records'!$V:$V,$H141))),NOT(ISFORMULA(INDEX('Game Records'!$W:$W,$H141))),NOT(ISFORMULA(INDEX('Game Records'!$X:$X,$H141))),NOT(ISFORMULA(INDEX('Game Records'!$Y:$Y,$H141))),NOT(ISFORMULA(INDEX('Game Records'!$Z:$Z,$H141)))),"Formula columns missing; ","")&amp;IF(INDEX('Game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Earned; ","")&amp;IF(AND(LOWER(INDEX('Game Records'!$D:$D,$H141)&amp;"")="finalized",INDEX('Game Records'!$U:$U,$H141)&lt;&gt;"Subscription",INDEX('Game Records'!$U:$U,$H141)&lt;&gt;"Free Game",INDEX('Game Records'!$U:$U,$H141)&lt;&gt;"Disqualified — Free Game",OR(INDEX('Game Records'!$L:$L,$H141)="",LOWER(INDEX('Game Records'!$L:$L,$H141)&amp;"")="n/a")),"Disqualified Status; ","")&amp;IF(AND(OR(INDEX('Game Records'!$U:$U,$H141)="Free Game",INDEX('Game Records'!$U:$U,$H141)="Disqualified — Free Game"),N(INDEX('Game Records'!$H:$H,$H141))&lt;&gt;0),"Free Game has a non-zero Entry Fee; ",""))</f>
        <v/>
      </c>
      <c r="G141" s="331" t="str">
        <f>IF($H141="","",IFERROR(INDEX('Game Records'!$M:$M,$H141),""))</f>
        <v/>
      </c>
      <c r="H141" s="104" t="str">
        <f>IF($H140="","",IFERROR(MATCH(1,INDEX((ROW('Game Records'!$U$5:$U$504)&gt;$H140)*(('Game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1" s="104"/>
      <c r="J141" s="104"/>
    </row>
    <row r="142" ht="24" hidden="0" customHeight="1">
      <c r="A142" s="332" t="str">
        <f>IF($H142="","",ROWS($A$5:A142))</f>
        <v/>
      </c>
      <c r="B142" s="332" t="str">
        <f>IF($H142="","","G-"&amp;TEXT($A142,"0000"))</f>
        <v/>
      </c>
      <c r="C142" s="331" t="str">
        <f>IF($H142="","",IFERROR(INDEX('Game Records'!$A:$A,$H142),""))</f>
        <v/>
      </c>
      <c r="D142" s="331" t="str">
        <f>IF($H142="","",IFERROR(INDEX('Game Records'!$U:$U,$H142),""))</f>
        <v/>
      </c>
      <c r="E142" s="331" t="str">
        <f>IF($H142="","",IF($F142="","No Highlighted Fields","Highlighted Fields Present"))</f>
        <v/>
      </c>
      <c r="F142" s="331" t="str">
        <f>IF($H142="","",IF(OR(NOT(ISFORMULA(INDEX('Game Records'!$N:$N,$H142))),NOT(ISFORMULA(INDEX('Game Records'!$O:$O,$H142))),NOT(ISFORMULA(INDEX('Game Records'!$P:$P,$H142))),NOT(ISFORMULA(INDEX('Game Records'!$Q:$Q,$H142))),NOT(ISFORMULA(INDEX('Game Records'!$R:$R,$H142))),NOT(ISFORMULA(INDEX('Game Records'!$S:$S,$H142))),NOT(ISFORMULA(INDEX('Game Records'!$T:$T,$H142))),NOT(ISFORMULA(INDEX('Game Records'!$U:$U,$H142))),NOT(ISFORMULA(INDEX('Game Records'!$V:$V,$H142))),NOT(ISFORMULA(INDEX('Game Records'!$W:$W,$H142))),NOT(ISFORMULA(INDEX('Game Records'!$X:$X,$H142))),NOT(ISFORMULA(INDEX('Game Records'!$Y:$Y,$H142))),NOT(ISFORMULA(INDEX('Game Records'!$Z:$Z,$H142)))),"Formula columns missing; ","")&amp;IF(INDEX('Game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Earned; ","")&amp;IF(AND(LOWER(INDEX('Game Records'!$D:$D,$H142)&amp;"")="finalized",INDEX('Game Records'!$U:$U,$H142)&lt;&gt;"Subscription",INDEX('Game Records'!$U:$U,$H142)&lt;&gt;"Free Game",INDEX('Game Records'!$U:$U,$H142)&lt;&gt;"Disqualified — Free Game",OR(INDEX('Game Records'!$L:$L,$H142)="",LOWER(INDEX('Game Records'!$L:$L,$H142)&amp;"")="n/a")),"Disqualified Status; ","")&amp;IF(AND(OR(INDEX('Game Records'!$U:$U,$H142)="Free Game",INDEX('Game Records'!$U:$U,$H142)="Disqualified — Free Game"),N(INDEX('Game Records'!$H:$H,$H142))&lt;&gt;0),"Free Game has a non-zero Entry Fee; ",""))</f>
        <v/>
      </c>
      <c r="G142" s="331" t="str">
        <f>IF($H142="","",IFERROR(INDEX('Game Records'!$M:$M,$H142),""))</f>
        <v/>
      </c>
      <c r="H142" s="104" t="str">
        <f>IF($H141="","",IFERROR(MATCH(1,INDEX((ROW('Game Records'!$U$5:$U$504)&gt;$H141)*(('Game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2" s="104"/>
      <c r="J142" s="104"/>
    </row>
    <row r="143" ht="24" hidden="0" customHeight="1">
      <c r="A143" s="332" t="str">
        <f>IF($H143="","",ROWS($A$5:A143))</f>
        <v/>
      </c>
      <c r="B143" s="332" t="str">
        <f>IF($H143="","","G-"&amp;TEXT($A143,"0000"))</f>
        <v/>
      </c>
      <c r="C143" s="331" t="str">
        <f>IF($H143="","",IFERROR(INDEX('Game Records'!$A:$A,$H143),""))</f>
        <v/>
      </c>
      <c r="D143" s="331" t="str">
        <f>IF($H143="","",IFERROR(INDEX('Game Records'!$U:$U,$H143),""))</f>
        <v/>
      </c>
      <c r="E143" s="331" t="str">
        <f>IF($H143="","",IF($F143="","No Highlighted Fields","Highlighted Fields Present"))</f>
        <v/>
      </c>
      <c r="F143" s="331" t="str">
        <f>IF($H143="","",IF(OR(NOT(ISFORMULA(INDEX('Game Records'!$N:$N,$H143))),NOT(ISFORMULA(INDEX('Game Records'!$O:$O,$H143))),NOT(ISFORMULA(INDEX('Game Records'!$P:$P,$H143))),NOT(ISFORMULA(INDEX('Game Records'!$Q:$Q,$H143))),NOT(ISFORMULA(INDEX('Game Records'!$R:$R,$H143))),NOT(ISFORMULA(INDEX('Game Records'!$S:$S,$H143))),NOT(ISFORMULA(INDEX('Game Records'!$T:$T,$H143))),NOT(ISFORMULA(INDEX('Game Records'!$U:$U,$H143))),NOT(ISFORMULA(INDEX('Game Records'!$V:$V,$H143))),NOT(ISFORMULA(INDEX('Game Records'!$W:$W,$H143))),NOT(ISFORMULA(INDEX('Game Records'!$X:$X,$H143))),NOT(ISFORMULA(INDEX('Game Records'!$Y:$Y,$H143))),NOT(ISFORMULA(INDEX('Game Records'!$Z:$Z,$H143)))),"Formula columns missing; ","")&amp;IF(INDEX('Game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Earned; ","")&amp;IF(AND(LOWER(INDEX('Game Records'!$D:$D,$H143)&amp;"")="finalized",INDEX('Game Records'!$U:$U,$H143)&lt;&gt;"Subscription",INDEX('Game Records'!$U:$U,$H143)&lt;&gt;"Free Game",INDEX('Game Records'!$U:$U,$H143)&lt;&gt;"Disqualified — Free Game",OR(INDEX('Game Records'!$L:$L,$H143)="",LOWER(INDEX('Game Records'!$L:$L,$H143)&amp;"")="n/a")),"Disqualified Status; ","")&amp;IF(AND(OR(INDEX('Game Records'!$U:$U,$H143)="Free Game",INDEX('Game Records'!$U:$U,$H143)="Disqualified — Free Game"),N(INDEX('Game Records'!$H:$H,$H143))&lt;&gt;0),"Free Game has a non-zero Entry Fee; ",""))</f>
        <v/>
      </c>
      <c r="G143" s="331" t="str">
        <f>IF($H143="","",IFERROR(INDEX('Game Records'!$M:$M,$H143),""))</f>
        <v/>
      </c>
      <c r="H143" s="104" t="str">
        <f>IF($H142="","",IFERROR(MATCH(1,INDEX((ROW('Game Records'!$U$5:$U$504)&gt;$H142)*(('Game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3" s="104"/>
      <c r="J143" s="104"/>
    </row>
    <row r="144" ht="24" hidden="0" customHeight="1">
      <c r="A144" s="332" t="str">
        <f>IF($H144="","",ROWS($A$5:A144))</f>
        <v/>
      </c>
      <c r="B144" s="332" t="str">
        <f>IF($H144="","","G-"&amp;TEXT($A144,"0000"))</f>
        <v/>
      </c>
      <c r="C144" s="331" t="str">
        <f>IF($H144="","",IFERROR(INDEX('Game Records'!$A:$A,$H144),""))</f>
        <v/>
      </c>
      <c r="D144" s="331" t="str">
        <f>IF($H144="","",IFERROR(INDEX('Game Records'!$U:$U,$H144),""))</f>
        <v/>
      </c>
      <c r="E144" s="331" t="str">
        <f>IF($H144="","",IF($F144="","No Highlighted Fields","Highlighted Fields Present"))</f>
        <v/>
      </c>
      <c r="F144" s="331" t="str">
        <f>IF($H144="","",IF(OR(NOT(ISFORMULA(INDEX('Game Records'!$N:$N,$H144))),NOT(ISFORMULA(INDEX('Game Records'!$O:$O,$H144))),NOT(ISFORMULA(INDEX('Game Records'!$P:$P,$H144))),NOT(ISFORMULA(INDEX('Game Records'!$Q:$Q,$H144))),NOT(ISFORMULA(INDEX('Game Records'!$R:$R,$H144))),NOT(ISFORMULA(INDEX('Game Records'!$S:$S,$H144))),NOT(ISFORMULA(INDEX('Game Records'!$T:$T,$H144))),NOT(ISFORMULA(INDEX('Game Records'!$U:$U,$H144))),NOT(ISFORMULA(INDEX('Game Records'!$V:$V,$H144))),NOT(ISFORMULA(INDEX('Game Records'!$W:$W,$H144))),NOT(ISFORMULA(INDEX('Game Records'!$X:$X,$H144))),NOT(ISFORMULA(INDEX('Game Records'!$Y:$Y,$H144))),NOT(ISFORMULA(INDEX('Game Records'!$Z:$Z,$H144)))),"Formula columns missing; ","")&amp;IF(INDEX('Game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Earned; ","")&amp;IF(AND(LOWER(INDEX('Game Records'!$D:$D,$H144)&amp;"")="finalized",INDEX('Game Records'!$U:$U,$H144)&lt;&gt;"Subscription",INDEX('Game Records'!$U:$U,$H144)&lt;&gt;"Free Game",INDEX('Game Records'!$U:$U,$H144)&lt;&gt;"Disqualified — Free Game",OR(INDEX('Game Records'!$L:$L,$H144)="",LOWER(INDEX('Game Records'!$L:$L,$H144)&amp;"")="n/a")),"Disqualified Status; ","")&amp;IF(AND(OR(INDEX('Game Records'!$U:$U,$H144)="Free Game",INDEX('Game Records'!$U:$U,$H144)="Disqualified — Free Game"),N(INDEX('Game Records'!$H:$H,$H144))&lt;&gt;0),"Free Game has a non-zero Entry Fee; ",""))</f>
        <v/>
      </c>
      <c r="G144" s="331" t="str">
        <f>IF($H144="","",IFERROR(INDEX('Game Records'!$M:$M,$H144),""))</f>
        <v/>
      </c>
      <c r="H144" s="104" t="str">
        <f>IF($H143="","",IFERROR(MATCH(1,INDEX((ROW('Game Records'!$U$5:$U$504)&gt;$H143)*(('Game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4" s="104"/>
      <c r="J144" s="104"/>
    </row>
    <row r="145" ht="24" hidden="0" customHeight="1">
      <c r="A145" s="332" t="str">
        <f>IF($H145="","",ROWS($A$5:A145))</f>
        <v/>
      </c>
      <c r="B145" s="332" t="str">
        <f>IF($H145="","","G-"&amp;TEXT($A145,"0000"))</f>
        <v/>
      </c>
      <c r="C145" s="331" t="str">
        <f>IF($H145="","",IFERROR(INDEX('Game Records'!$A:$A,$H145),""))</f>
        <v/>
      </c>
      <c r="D145" s="331" t="str">
        <f>IF($H145="","",IFERROR(INDEX('Game Records'!$U:$U,$H145),""))</f>
        <v/>
      </c>
      <c r="E145" s="331" t="str">
        <f>IF($H145="","",IF($F145="","No Highlighted Fields","Highlighted Fields Present"))</f>
        <v/>
      </c>
      <c r="F145" s="331" t="str">
        <f>IF($H145="","",IF(OR(NOT(ISFORMULA(INDEX('Game Records'!$N:$N,$H145))),NOT(ISFORMULA(INDEX('Game Records'!$O:$O,$H145))),NOT(ISFORMULA(INDEX('Game Records'!$P:$P,$H145))),NOT(ISFORMULA(INDEX('Game Records'!$Q:$Q,$H145))),NOT(ISFORMULA(INDEX('Game Records'!$R:$R,$H145))),NOT(ISFORMULA(INDEX('Game Records'!$S:$S,$H145))),NOT(ISFORMULA(INDEX('Game Records'!$T:$T,$H145))),NOT(ISFORMULA(INDEX('Game Records'!$U:$U,$H145))),NOT(ISFORMULA(INDEX('Game Records'!$V:$V,$H145))),NOT(ISFORMULA(INDEX('Game Records'!$W:$W,$H145))),NOT(ISFORMULA(INDEX('Game Records'!$X:$X,$H145))),NOT(ISFORMULA(INDEX('Game Records'!$Y:$Y,$H145))),NOT(ISFORMULA(INDEX('Game Records'!$Z:$Z,$H145)))),"Formula columns missing; ","")&amp;IF(INDEX('Game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Earned; ","")&amp;IF(AND(LOWER(INDEX('Game Records'!$D:$D,$H145)&amp;"")="finalized",INDEX('Game Records'!$U:$U,$H145)&lt;&gt;"Subscription",INDEX('Game Records'!$U:$U,$H145)&lt;&gt;"Free Game",INDEX('Game Records'!$U:$U,$H145)&lt;&gt;"Disqualified — Free Game",OR(INDEX('Game Records'!$L:$L,$H145)="",LOWER(INDEX('Game Records'!$L:$L,$H145)&amp;"")="n/a")),"Disqualified Status; ","")&amp;IF(AND(OR(INDEX('Game Records'!$U:$U,$H145)="Free Game",INDEX('Game Records'!$U:$U,$H145)="Disqualified — Free Game"),N(INDEX('Game Records'!$H:$H,$H145))&lt;&gt;0),"Free Game has a non-zero Entry Fee; ",""))</f>
        <v/>
      </c>
      <c r="G145" s="331" t="str">
        <f>IF($H145="","",IFERROR(INDEX('Game Records'!$M:$M,$H145),""))</f>
        <v/>
      </c>
      <c r="H145" s="104" t="str">
        <f>IF($H144="","",IFERROR(MATCH(1,INDEX((ROW('Game Records'!$U$5:$U$504)&gt;$H144)*(('Game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5" s="104"/>
      <c r="J145" s="104"/>
    </row>
    <row r="146" ht="24" hidden="0" customHeight="1">
      <c r="A146" s="332" t="str">
        <f>IF($H146="","",ROWS($A$5:A146))</f>
        <v/>
      </c>
      <c r="B146" s="332" t="str">
        <f>IF($H146="","","G-"&amp;TEXT($A146,"0000"))</f>
        <v/>
      </c>
      <c r="C146" s="331" t="str">
        <f>IF($H146="","",IFERROR(INDEX('Game Records'!$A:$A,$H146),""))</f>
        <v/>
      </c>
      <c r="D146" s="331" t="str">
        <f>IF($H146="","",IFERROR(INDEX('Game Records'!$U:$U,$H146),""))</f>
        <v/>
      </c>
      <c r="E146" s="331" t="str">
        <f>IF($H146="","",IF($F146="","No Highlighted Fields","Highlighted Fields Present"))</f>
        <v/>
      </c>
      <c r="F146" s="331" t="str">
        <f>IF($H146="","",IF(OR(NOT(ISFORMULA(INDEX('Game Records'!$N:$N,$H146))),NOT(ISFORMULA(INDEX('Game Records'!$O:$O,$H146))),NOT(ISFORMULA(INDEX('Game Records'!$P:$P,$H146))),NOT(ISFORMULA(INDEX('Game Records'!$Q:$Q,$H146))),NOT(ISFORMULA(INDEX('Game Records'!$R:$R,$H146))),NOT(ISFORMULA(INDEX('Game Records'!$S:$S,$H146))),NOT(ISFORMULA(INDEX('Game Records'!$T:$T,$H146))),NOT(ISFORMULA(INDEX('Game Records'!$U:$U,$H146))),NOT(ISFORMULA(INDEX('Game Records'!$V:$V,$H146))),NOT(ISFORMULA(INDEX('Game Records'!$W:$W,$H146))),NOT(ISFORMULA(INDEX('Game Records'!$X:$X,$H146))),NOT(ISFORMULA(INDEX('Game Records'!$Y:$Y,$H146))),NOT(ISFORMULA(INDEX('Game Records'!$Z:$Z,$H146)))),"Formula columns missing; ","")&amp;IF(INDEX('Game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Earned; ","")&amp;IF(AND(LOWER(INDEX('Game Records'!$D:$D,$H146)&amp;"")="finalized",INDEX('Game Records'!$U:$U,$H146)&lt;&gt;"Subscription",INDEX('Game Records'!$U:$U,$H146)&lt;&gt;"Free Game",INDEX('Game Records'!$U:$U,$H146)&lt;&gt;"Disqualified — Free Game",OR(INDEX('Game Records'!$L:$L,$H146)="",LOWER(INDEX('Game Records'!$L:$L,$H146)&amp;"")="n/a")),"Disqualified Status; ","")&amp;IF(AND(OR(INDEX('Game Records'!$U:$U,$H146)="Free Game",INDEX('Game Records'!$U:$U,$H146)="Disqualified — Free Game"),N(INDEX('Game Records'!$H:$H,$H146))&lt;&gt;0),"Free Game has a non-zero Entry Fee; ",""))</f>
        <v/>
      </c>
      <c r="G146" s="331" t="str">
        <f>IF($H146="","",IFERROR(INDEX('Game Records'!$M:$M,$H146),""))</f>
        <v/>
      </c>
      <c r="H146" s="104" t="str">
        <f>IF($H145="","",IFERROR(MATCH(1,INDEX((ROW('Game Records'!$U$5:$U$504)&gt;$H145)*(('Game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6" s="104"/>
      <c r="J146" s="104"/>
    </row>
    <row r="147" ht="24" hidden="0" customHeight="1">
      <c r="A147" s="332" t="str">
        <f>IF($H147="","",ROWS($A$5:A147))</f>
        <v/>
      </c>
      <c r="B147" s="332" t="str">
        <f>IF($H147="","","G-"&amp;TEXT($A147,"0000"))</f>
        <v/>
      </c>
      <c r="C147" s="331" t="str">
        <f>IF($H147="","",IFERROR(INDEX('Game Records'!$A:$A,$H147),""))</f>
        <v/>
      </c>
      <c r="D147" s="331" t="str">
        <f>IF($H147="","",IFERROR(INDEX('Game Records'!$U:$U,$H147),""))</f>
        <v/>
      </c>
      <c r="E147" s="331" t="str">
        <f>IF($H147="","",IF($F147="","No Highlighted Fields","Highlighted Fields Present"))</f>
        <v/>
      </c>
      <c r="F147" s="331" t="str">
        <f>IF($H147="","",IF(OR(NOT(ISFORMULA(INDEX('Game Records'!$N:$N,$H147))),NOT(ISFORMULA(INDEX('Game Records'!$O:$O,$H147))),NOT(ISFORMULA(INDEX('Game Records'!$P:$P,$H147))),NOT(ISFORMULA(INDEX('Game Records'!$Q:$Q,$H147))),NOT(ISFORMULA(INDEX('Game Records'!$R:$R,$H147))),NOT(ISFORMULA(INDEX('Game Records'!$S:$S,$H147))),NOT(ISFORMULA(INDEX('Game Records'!$T:$T,$H147))),NOT(ISFORMULA(INDEX('Game Records'!$U:$U,$H147))),NOT(ISFORMULA(INDEX('Game Records'!$V:$V,$H147))),NOT(ISFORMULA(INDEX('Game Records'!$W:$W,$H147))),NOT(ISFORMULA(INDEX('Game Records'!$X:$X,$H147))),NOT(ISFORMULA(INDEX('Game Records'!$Y:$Y,$H147))),NOT(ISFORMULA(INDEX('Game Records'!$Z:$Z,$H147)))),"Formula columns missing; ","")&amp;IF(INDEX('Game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Earned; ","")&amp;IF(AND(LOWER(INDEX('Game Records'!$D:$D,$H147)&amp;"")="finalized",INDEX('Game Records'!$U:$U,$H147)&lt;&gt;"Subscription",INDEX('Game Records'!$U:$U,$H147)&lt;&gt;"Free Game",INDEX('Game Records'!$U:$U,$H147)&lt;&gt;"Disqualified — Free Game",OR(INDEX('Game Records'!$L:$L,$H147)="",LOWER(INDEX('Game Records'!$L:$L,$H147)&amp;"")="n/a")),"Disqualified Status; ","")&amp;IF(AND(OR(INDEX('Game Records'!$U:$U,$H147)="Free Game",INDEX('Game Records'!$U:$U,$H147)="Disqualified — Free Game"),N(INDEX('Game Records'!$H:$H,$H147))&lt;&gt;0),"Free Game has a non-zero Entry Fee; ",""))</f>
        <v/>
      </c>
      <c r="G147" s="331" t="str">
        <f>IF($H147="","",IFERROR(INDEX('Game Records'!$M:$M,$H147),""))</f>
        <v/>
      </c>
      <c r="H147" s="104" t="str">
        <f>IF($H146="","",IFERROR(MATCH(1,INDEX((ROW('Game Records'!$U$5:$U$504)&gt;$H146)*(('Game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7" s="104"/>
      <c r="J147" s="104"/>
    </row>
    <row r="148" ht="24" hidden="0" customHeight="1">
      <c r="A148" s="332" t="str">
        <f>IF($H148="","",ROWS($A$5:A148))</f>
        <v/>
      </c>
      <c r="B148" s="332" t="str">
        <f>IF($H148="","","G-"&amp;TEXT($A148,"0000"))</f>
        <v/>
      </c>
      <c r="C148" s="331" t="str">
        <f>IF($H148="","",IFERROR(INDEX('Game Records'!$A:$A,$H148),""))</f>
        <v/>
      </c>
      <c r="D148" s="331" t="str">
        <f>IF($H148="","",IFERROR(INDEX('Game Records'!$U:$U,$H148),""))</f>
        <v/>
      </c>
      <c r="E148" s="331" t="str">
        <f>IF($H148="","",IF($F148="","No Highlighted Fields","Highlighted Fields Present"))</f>
        <v/>
      </c>
      <c r="F148" s="331" t="str">
        <f>IF($H148="","",IF(OR(NOT(ISFORMULA(INDEX('Game Records'!$N:$N,$H148))),NOT(ISFORMULA(INDEX('Game Records'!$O:$O,$H148))),NOT(ISFORMULA(INDEX('Game Records'!$P:$P,$H148))),NOT(ISFORMULA(INDEX('Game Records'!$Q:$Q,$H148))),NOT(ISFORMULA(INDEX('Game Records'!$R:$R,$H148))),NOT(ISFORMULA(INDEX('Game Records'!$S:$S,$H148))),NOT(ISFORMULA(INDEX('Game Records'!$T:$T,$H148))),NOT(ISFORMULA(INDEX('Game Records'!$U:$U,$H148))),NOT(ISFORMULA(INDEX('Game Records'!$V:$V,$H148))),NOT(ISFORMULA(INDEX('Game Records'!$W:$W,$H148))),NOT(ISFORMULA(INDEX('Game Records'!$X:$X,$H148))),NOT(ISFORMULA(INDEX('Game Records'!$Y:$Y,$H148))),NOT(ISFORMULA(INDEX('Game Records'!$Z:$Z,$H148)))),"Formula columns missing; ","")&amp;IF(INDEX('Game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Earned; ","")&amp;IF(AND(LOWER(INDEX('Game Records'!$D:$D,$H148)&amp;"")="finalized",INDEX('Game Records'!$U:$U,$H148)&lt;&gt;"Subscription",INDEX('Game Records'!$U:$U,$H148)&lt;&gt;"Free Game",INDEX('Game Records'!$U:$U,$H148)&lt;&gt;"Disqualified — Free Game",OR(INDEX('Game Records'!$L:$L,$H148)="",LOWER(INDEX('Game Records'!$L:$L,$H148)&amp;"")="n/a")),"Disqualified Status; ","")&amp;IF(AND(OR(INDEX('Game Records'!$U:$U,$H148)="Free Game",INDEX('Game Records'!$U:$U,$H148)="Disqualified — Free Game"),N(INDEX('Game Records'!$H:$H,$H148))&lt;&gt;0),"Free Game has a non-zero Entry Fee; ",""))</f>
        <v/>
      </c>
      <c r="G148" s="331" t="str">
        <f>IF($H148="","",IFERROR(INDEX('Game Records'!$M:$M,$H148),""))</f>
        <v/>
      </c>
      <c r="H148" s="104" t="str">
        <f>IF($H147="","",IFERROR(MATCH(1,INDEX((ROW('Game Records'!$U$5:$U$504)&gt;$H147)*(('Game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8" s="104"/>
      <c r="J148" s="104"/>
    </row>
    <row r="149" ht="24" hidden="0" customHeight="1">
      <c r="A149" s="332" t="str">
        <f>IF($H149="","",ROWS($A$5:A149))</f>
        <v/>
      </c>
      <c r="B149" s="332" t="str">
        <f>IF($H149="","","G-"&amp;TEXT($A149,"0000"))</f>
        <v/>
      </c>
      <c r="C149" s="331" t="str">
        <f>IF($H149="","",IFERROR(INDEX('Game Records'!$A:$A,$H149),""))</f>
        <v/>
      </c>
      <c r="D149" s="331" t="str">
        <f>IF($H149="","",IFERROR(INDEX('Game Records'!$U:$U,$H149),""))</f>
        <v/>
      </c>
      <c r="E149" s="331" t="str">
        <f>IF($H149="","",IF($F149="","No Highlighted Fields","Highlighted Fields Present"))</f>
        <v/>
      </c>
      <c r="F149" s="331" t="str">
        <f>IF($H149="","",IF(OR(NOT(ISFORMULA(INDEX('Game Records'!$N:$N,$H149))),NOT(ISFORMULA(INDEX('Game Records'!$O:$O,$H149))),NOT(ISFORMULA(INDEX('Game Records'!$P:$P,$H149))),NOT(ISFORMULA(INDEX('Game Records'!$Q:$Q,$H149))),NOT(ISFORMULA(INDEX('Game Records'!$R:$R,$H149))),NOT(ISFORMULA(INDEX('Game Records'!$S:$S,$H149))),NOT(ISFORMULA(INDEX('Game Records'!$T:$T,$H149))),NOT(ISFORMULA(INDEX('Game Records'!$U:$U,$H149))),NOT(ISFORMULA(INDEX('Game Records'!$V:$V,$H149))),NOT(ISFORMULA(INDEX('Game Records'!$W:$W,$H149))),NOT(ISFORMULA(INDEX('Game Records'!$X:$X,$H149))),NOT(ISFORMULA(INDEX('Game Records'!$Y:$Y,$H149))),NOT(ISFORMULA(INDEX('Game Records'!$Z:$Z,$H149)))),"Formula columns missing; ","")&amp;IF(INDEX('Game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Earned; ","")&amp;IF(AND(LOWER(INDEX('Game Records'!$D:$D,$H149)&amp;"")="finalized",INDEX('Game Records'!$U:$U,$H149)&lt;&gt;"Subscription",INDEX('Game Records'!$U:$U,$H149)&lt;&gt;"Free Game",INDEX('Game Records'!$U:$U,$H149)&lt;&gt;"Disqualified — Free Game",OR(INDEX('Game Records'!$L:$L,$H149)="",LOWER(INDEX('Game Records'!$L:$L,$H149)&amp;"")="n/a")),"Disqualified Status; ","")&amp;IF(AND(OR(INDEX('Game Records'!$U:$U,$H149)="Free Game",INDEX('Game Records'!$U:$U,$H149)="Disqualified — Free Game"),N(INDEX('Game Records'!$H:$H,$H149))&lt;&gt;0),"Free Game has a non-zero Entry Fee; ",""))</f>
        <v/>
      </c>
      <c r="G149" s="331" t="str">
        <f>IF($H149="","",IFERROR(INDEX('Game Records'!$M:$M,$H149),""))</f>
        <v/>
      </c>
      <c r="H149" s="104" t="str">
        <f>IF($H148="","",IFERROR(MATCH(1,INDEX((ROW('Game Records'!$U$5:$U$504)&gt;$H148)*(('Game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9" s="104"/>
      <c r="J149" s="104"/>
    </row>
    <row r="150" ht="24" hidden="0" customHeight="1">
      <c r="A150" s="332" t="str">
        <f>IF($H150="","",ROWS($A$5:A150))</f>
        <v/>
      </c>
      <c r="B150" s="332" t="str">
        <f>IF($H150="","","G-"&amp;TEXT($A150,"0000"))</f>
        <v/>
      </c>
      <c r="C150" s="331" t="str">
        <f>IF($H150="","",IFERROR(INDEX('Game Records'!$A:$A,$H150),""))</f>
        <v/>
      </c>
      <c r="D150" s="331" t="str">
        <f>IF($H150="","",IFERROR(INDEX('Game Records'!$U:$U,$H150),""))</f>
        <v/>
      </c>
      <c r="E150" s="331" t="str">
        <f>IF($H150="","",IF($F150="","No Highlighted Fields","Highlighted Fields Present"))</f>
        <v/>
      </c>
      <c r="F150" s="331" t="str">
        <f>IF($H150="","",IF(OR(NOT(ISFORMULA(INDEX('Game Records'!$N:$N,$H150))),NOT(ISFORMULA(INDEX('Game Records'!$O:$O,$H150))),NOT(ISFORMULA(INDEX('Game Records'!$P:$P,$H150))),NOT(ISFORMULA(INDEX('Game Records'!$Q:$Q,$H150))),NOT(ISFORMULA(INDEX('Game Records'!$R:$R,$H150))),NOT(ISFORMULA(INDEX('Game Records'!$S:$S,$H150))),NOT(ISFORMULA(INDEX('Game Records'!$T:$T,$H150))),NOT(ISFORMULA(INDEX('Game Records'!$U:$U,$H150))),NOT(ISFORMULA(INDEX('Game Records'!$V:$V,$H150))),NOT(ISFORMULA(INDEX('Game Records'!$W:$W,$H150))),NOT(ISFORMULA(INDEX('Game Records'!$X:$X,$H150))),NOT(ISFORMULA(INDEX('Game Records'!$Y:$Y,$H150))),NOT(ISFORMULA(INDEX('Game Records'!$Z:$Z,$H150)))),"Formula columns missing; ","")&amp;IF(INDEX('Game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Earned; ","")&amp;IF(AND(LOWER(INDEX('Game Records'!$D:$D,$H150)&amp;"")="finalized",INDEX('Game Records'!$U:$U,$H150)&lt;&gt;"Subscription",INDEX('Game Records'!$U:$U,$H150)&lt;&gt;"Free Game",INDEX('Game Records'!$U:$U,$H150)&lt;&gt;"Disqualified — Free Game",OR(INDEX('Game Records'!$L:$L,$H150)="",LOWER(INDEX('Game Records'!$L:$L,$H150)&amp;"")="n/a")),"Disqualified Status; ","")&amp;IF(AND(OR(INDEX('Game Records'!$U:$U,$H150)="Free Game",INDEX('Game Records'!$U:$U,$H150)="Disqualified — Free Game"),N(INDEX('Game Records'!$H:$H,$H150))&lt;&gt;0),"Free Game has a non-zero Entry Fee; ",""))</f>
        <v/>
      </c>
      <c r="G150" s="331" t="str">
        <f>IF($H150="","",IFERROR(INDEX('Game Records'!$M:$M,$H150),""))</f>
        <v/>
      </c>
      <c r="H150" s="104" t="str">
        <f>IF($H149="","",IFERROR(MATCH(1,INDEX((ROW('Game Records'!$U$5:$U$504)&gt;$H149)*(('Game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0" s="104"/>
      <c r="J150" s="104"/>
    </row>
    <row r="151" ht="24" hidden="0" customHeight="1">
      <c r="A151" s="332" t="str">
        <f>IF($H151="","",ROWS($A$5:A151))</f>
        <v/>
      </c>
      <c r="B151" s="332" t="str">
        <f>IF($H151="","","G-"&amp;TEXT($A151,"0000"))</f>
        <v/>
      </c>
      <c r="C151" s="331" t="str">
        <f>IF($H151="","",IFERROR(INDEX('Game Records'!$A:$A,$H151),""))</f>
        <v/>
      </c>
      <c r="D151" s="331" t="str">
        <f>IF($H151="","",IFERROR(INDEX('Game Records'!$U:$U,$H151),""))</f>
        <v/>
      </c>
      <c r="E151" s="331" t="str">
        <f>IF($H151="","",IF($F151="","No Highlighted Fields","Highlighted Fields Present"))</f>
        <v/>
      </c>
      <c r="F151" s="331" t="str">
        <f>IF($H151="","",IF(OR(NOT(ISFORMULA(INDEX('Game Records'!$N:$N,$H151))),NOT(ISFORMULA(INDEX('Game Records'!$O:$O,$H151))),NOT(ISFORMULA(INDEX('Game Records'!$P:$P,$H151))),NOT(ISFORMULA(INDEX('Game Records'!$Q:$Q,$H151))),NOT(ISFORMULA(INDEX('Game Records'!$R:$R,$H151))),NOT(ISFORMULA(INDEX('Game Records'!$S:$S,$H151))),NOT(ISFORMULA(INDEX('Game Records'!$T:$T,$H151))),NOT(ISFORMULA(INDEX('Game Records'!$U:$U,$H151))),NOT(ISFORMULA(INDEX('Game Records'!$V:$V,$H151))),NOT(ISFORMULA(INDEX('Game Records'!$W:$W,$H151))),NOT(ISFORMULA(INDEX('Game Records'!$X:$X,$H151))),NOT(ISFORMULA(INDEX('Game Records'!$Y:$Y,$H151))),NOT(ISFORMULA(INDEX('Game Records'!$Z:$Z,$H151)))),"Formula columns missing; ","")&amp;IF(INDEX('Game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Earned; ","")&amp;IF(AND(LOWER(INDEX('Game Records'!$D:$D,$H151)&amp;"")="finalized",INDEX('Game Records'!$U:$U,$H151)&lt;&gt;"Subscription",INDEX('Game Records'!$U:$U,$H151)&lt;&gt;"Free Game",INDEX('Game Records'!$U:$U,$H151)&lt;&gt;"Disqualified — Free Game",OR(INDEX('Game Records'!$L:$L,$H151)="",LOWER(INDEX('Game Records'!$L:$L,$H151)&amp;"")="n/a")),"Disqualified Status; ","")&amp;IF(AND(OR(INDEX('Game Records'!$U:$U,$H151)="Free Game",INDEX('Game Records'!$U:$U,$H151)="Disqualified — Free Game"),N(INDEX('Game Records'!$H:$H,$H151))&lt;&gt;0),"Free Game has a non-zero Entry Fee; ",""))</f>
        <v/>
      </c>
      <c r="G151" s="331" t="str">
        <f>IF($H151="","",IFERROR(INDEX('Game Records'!$M:$M,$H151),""))</f>
        <v/>
      </c>
      <c r="H151" s="104" t="str">
        <f>IF($H150="","",IFERROR(MATCH(1,INDEX((ROW('Game Records'!$U$5:$U$504)&gt;$H150)*(('Game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1" s="104"/>
      <c r="J151" s="104"/>
    </row>
    <row r="152" ht="24" hidden="0" customHeight="1">
      <c r="A152" s="332" t="str">
        <f>IF($H152="","",ROWS($A$5:A152))</f>
        <v/>
      </c>
      <c r="B152" s="332" t="str">
        <f>IF($H152="","","G-"&amp;TEXT($A152,"0000"))</f>
        <v/>
      </c>
      <c r="C152" s="331" t="str">
        <f>IF($H152="","",IFERROR(INDEX('Game Records'!$A:$A,$H152),""))</f>
        <v/>
      </c>
      <c r="D152" s="331" t="str">
        <f>IF($H152="","",IFERROR(INDEX('Game Records'!$U:$U,$H152),""))</f>
        <v/>
      </c>
      <c r="E152" s="331" t="str">
        <f>IF($H152="","",IF($F152="","No Highlighted Fields","Highlighted Fields Present"))</f>
        <v/>
      </c>
      <c r="F152" s="331" t="str">
        <f>IF($H152="","",IF(OR(NOT(ISFORMULA(INDEX('Game Records'!$N:$N,$H152))),NOT(ISFORMULA(INDEX('Game Records'!$O:$O,$H152))),NOT(ISFORMULA(INDEX('Game Records'!$P:$P,$H152))),NOT(ISFORMULA(INDEX('Game Records'!$Q:$Q,$H152))),NOT(ISFORMULA(INDEX('Game Records'!$R:$R,$H152))),NOT(ISFORMULA(INDEX('Game Records'!$S:$S,$H152))),NOT(ISFORMULA(INDEX('Game Records'!$T:$T,$H152))),NOT(ISFORMULA(INDEX('Game Records'!$U:$U,$H152))),NOT(ISFORMULA(INDEX('Game Records'!$V:$V,$H152))),NOT(ISFORMULA(INDEX('Game Records'!$W:$W,$H152))),NOT(ISFORMULA(INDEX('Game Records'!$X:$X,$H152))),NOT(ISFORMULA(INDEX('Game Records'!$Y:$Y,$H152))),NOT(ISFORMULA(INDEX('Game Records'!$Z:$Z,$H152)))),"Formula columns missing; ","")&amp;IF(INDEX('Game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Earned; ","")&amp;IF(AND(LOWER(INDEX('Game Records'!$D:$D,$H152)&amp;"")="finalized",INDEX('Game Records'!$U:$U,$H152)&lt;&gt;"Subscription",INDEX('Game Records'!$U:$U,$H152)&lt;&gt;"Free Game",INDEX('Game Records'!$U:$U,$H152)&lt;&gt;"Disqualified — Free Game",OR(INDEX('Game Records'!$L:$L,$H152)="",LOWER(INDEX('Game Records'!$L:$L,$H152)&amp;"")="n/a")),"Disqualified Status; ","")&amp;IF(AND(OR(INDEX('Game Records'!$U:$U,$H152)="Free Game",INDEX('Game Records'!$U:$U,$H152)="Disqualified — Free Game"),N(INDEX('Game Records'!$H:$H,$H152))&lt;&gt;0),"Free Game has a non-zero Entry Fee; ",""))</f>
        <v/>
      </c>
      <c r="G152" s="331" t="str">
        <f>IF($H152="","",IFERROR(INDEX('Game Records'!$M:$M,$H152),""))</f>
        <v/>
      </c>
      <c r="H152" s="104" t="str">
        <f>IF($H151="","",IFERROR(MATCH(1,INDEX((ROW('Game Records'!$U$5:$U$504)&gt;$H151)*(('Game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2" s="104"/>
      <c r="J152" s="104"/>
    </row>
    <row r="153" ht="24" hidden="0" customHeight="1">
      <c r="A153" s="332" t="str">
        <f>IF($H153="","",ROWS($A$5:A153))</f>
        <v/>
      </c>
      <c r="B153" s="332" t="str">
        <f>IF($H153="","","G-"&amp;TEXT($A153,"0000"))</f>
        <v/>
      </c>
      <c r="C153" s="331" t="str">
        <f>IF($H153="","",IFERROR(INDEX('Game Records'!$A:$A,$H153),""))</f>
        <v/>
      </c>
      <c r="D153" s="331" t="str">
        <f>IF($H153="","",IFERROR(INDEX('Game Records'!$U:$U,$H153),""))</f>
        <v/>
      </c>
      <c r="E153" s="331" t="str">
        <f>IF($H153="","",IF($F153="","No Highlighted Fields","Highlighted Fields Present"))</f>
        <v/>
      </c>
      <c r="F153" s="331" t="str">
        <f>IF($H153="","",IF(OR(NOT(ISFORMULA(INDEX('Game Records'!$N:$N,$H153))),NOT(ISFORMULA(INDEX('Game Records'!$O:$O,$H153))),NOT(ISFORMULA(INDEX('Game Records'!$P:$P,$H153))),NOT(ISFORMULA(INDEX('Game Records'!$Q:$Q,$H153))),NOT(ISFORMULA(INDEX('Game Records'!$R:$R,$H153))),NOT(ISFORMULA(INDEX('Game Records'!$S:$S,$H153))),NOT(ISFORMULA(INDEX('Game Records'!$T:$T,$H153))),NOT(ISFORMULA(INDEX('Game Records'!$U:$U,$H153))),NOT(ISFORMULA(INDEX('Game Records'!$V:$V,$H153))),NOT(ISFORMULA(INDEX('Game Records'!$W:$W,$H153))),NOT(ISFORMULA(INDEX('Game Records'!$X:$X,$H153))),NOT(ISFORMULA(INDEX('Game Records'!$Y:$Y,$H153))),NOT(ISFORMULA(INDEX('Game Records'!$Z:$Z,$H153)))),"Formula columns missing; ","")&amp;IF(INDEX('Game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Earned; ","")&amp;IF(AND(LOWER(INDEX('Game Records'!$D:$D,$H153)&amp;"")="finalized",INDEX('Game Records'!$U:$U,$H153)&lt;&gt;"Subscription",INDEX('Game Records'!$U:$U,$H153)&lt;&gt;"Free Game",INDEX('Game Records'!$U:$U,$H153)&lt;&gt;"Disqualified — Free Game",OR(INDEX('Game Records'!$L:$L,$H153)="",LOWER(INDEX('Game Records'!$L:$L,$H153)&amp;"")="n/a")),"Disqualified Status; ","")&amp;IF(AND(OR(INDEX('Game Records'!$U:$U,$H153)="Free Game",INDEX('Game Records'!$U:$U,$H153)="Disqualified — Free Game"),N(INDEX('Game Records'!$H:$H,$H153))&lt;&gt;0),"Free Game has a non-zero Entry Fee; ",""))</f>
        <v/>
      </c>
      <c r="G153" s="331" t="str">
        <f>IF($H153="","",IFERROR(INDEX('Game Records'!$M:$M,$H153),""))</f>
        <v/>
      </c>
      <c r="H153" s="104" t="str">
        <f>IF($H152="","",IFERROR(MATCH(1,INDEX((ROW('Game Records'!$U$5:$U$504)&gt;$H152)*(('Game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3" s="104"/>
      <c r="J153" s="104"/>
    </row>
    <row r="154" ht="24" hidden="0" customHeight="1">
      <c r="A154" s="332" t="str">
        <f>IF($H154="","",ROWS($A$5:A154))</f>
        <v/>
      </c>
      <c r="B154" s="332" t="str">
        <f>IF($H154="","","G-"&amp;TEXT($A154,"0000"))</f>
        <v/>
      </c>
      <c r="C154" s="331" t="str">
        <f>IF($H154="","",IFERROR(INDEX('Game Records'!$A:$A,$H154),""))</f>
        <v/>
      </c>
      <c r="D154" s="331" t="str">
        <f>IF($H154="","",IFERROR(INDEX('Game Records'!$U:$U,$H154),""))</f>
        <v/>
      </c>
      <c r="E154" s="331" t="str">
        <f>IF($H154="","",IF($F154="","No Highlighted Fields","Highlighted Fields Present"))</f>
        <v/>
      </c>
      <c r="F154" s="331" t="str">
        <f>IF($H154="","",IF(OR(NOT(ISFORMULA(INDEX('Game Records'!$N:$N,$H154))),NOT(ISFORMULA(INDEX('Game Records'!$O:$O,$H154))),NOT(ISFORMULA(INDEX('Game Records'!$P:$P,$H154))),NOT(ISFORMULA(INDEX('Game Records'!$Q:$Q,$H154))),NOT(ISFORMULA(INDEX('Game Records'!$R:$R,$H154))),NOT(ISFORMULA(INDEX('Game Records'!$S:$S,$H154))),NOT(ISFORMULA(INDEX('Game Records'!$T:$T,$H154))),NOT(ISFORMULA(INDEX('Game Records'!$U:$U,$H154))),NOT(ISFORMULA(INDEX('Game Records'!$V:$V,$H154))),NOT(ISFORMULA(INDEX('Game Records'!$W:$W,$H154))),NOT(ISFORMULA(INDEX('Game Records'!$X:$X,$H154))),NOT(ISFORMULA(INDEX('Game Records'!$Y:$Y,$H154))),NOT(ISFORMULA(INDEX('Game Records'!$Z:$Z,$H154)))),"Formula columns missing; ","")&amp;IF(INDEX('Game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Earned; ","")&amp;IF(AND(LOWER(INDEX('Game Records'!$D:$D,$H154)&amp;"")="finalized",INDEX('Game Records'!$U:$U,$H154)&lt;&gt;"Subscription",INDEX('Game Records'!$U:$U,$H154)&lt;&gt;"Free Game",INDEX('Game Records'!$U:$U,$H154)&lt;&gt;"Disqualified — Free Game",OR(INDEX('Game Records'!$L:$L,$H154)="",LOWER(INDEX('Game Records'!$L:$L,$H154)&amp;"")="n/a")),"Disqualified Status; ","")&amp;IF(AND(OR(INDEX('Game Records'!$U:$U,$H154)="Free Game",INDEX('Game Records'!$U:$U,$H154)="Disqualified — Free Game"),N(INDEX('Game Records'!$H:$H,$H154))&lt;&gt;0),"Free Game has a non-zero Entry Fee; ",""))</f>
        <v/>
      </c>
      <c r="G154" s="331" t="str">
        <f>IF($H154="","",IFERROR(INDEX('Game Records'!$M:$M,$H154),""))</f>
        <v/>
      </c>
      <c r="H154" s="104" t="str">
        <f>IF($H153="","",IFERROR(MATCH(1,INDEX((ROW('Game Records'!$U$5:$U$504)&gt;$H153)*(('Game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4" s="104"/>
      <c r="J154" s="104"/>
    </row>
    <row r="155" ht="24" hidden="0" customHeight="1">
      <c r="A155" s="332" t="str">
        <f>IF($H155="","",ROWS($A$5:A155))</f>
        <v/>
      </c>
      <c r="B155" s="332" t="str">
        <f>IF($H155="","","G-"&amp;TEXT($A155,"0000"))</f>
        <v/>
      </c>
      <c r="C155" s="331" t="str">
        <f>IF($H155="","",IFERROR(INDEX('Game Records'!$A:$A,$H155),""))</f>
        <v/>
      </c>
      <c r="D155" s="331" t="str">
        <f>IF($H155="","",IFERROR(INDEX('Game Records'!$U:$U,$H155),""))</f>
        <v/>
      </c>
      <c r="E155" s="331" t="str">
        <f>IF($H155="","",IF($F155="","No Highlighted Fields","Highlighted Fields Present"))</f>
        <v/>
      </c>
      <c r="F155" s="331" t="str">
        <f>IF($H155="","",IF(OR(NOT(ISFORMULA(INDEX('Game Records'!$N:$N,$H155))),NOT(ISFORMULA(INDEX('Game Records'!$O:$O,$H155))),NOT(ISFORMULA(INDEX('Game Records'!$P:$P,$H155))),NOT(ISFORMULA(INDEX('Game Records'!$Q:$Q,$H155))),NOT(ISFORMULA(INDEX('Game Records'!$R:$R,$H155))),NOT(ISFORMULA(INDEX('Game Records'!$S:$S,$H155))),NOT(ISFORMULA(INDEX('Game Records'!$T:$T,$H155))),NOT(ISFORMULA(INDEX('Game Records'!$U:$U,$H155))),NOT(ISFORMULA(INDEX('Game Records'!$V:$V,$H155))),NOT(ISFORMULA(INDEX('Game Records'!$W:$W,$H155))),NOT(ISFORMULA(INDEX('Game Records'!$X:$X,$H155))),NOT(ISFORMULA(INDEX('Game Records'!$Y:$Y,$H155))),NOT(ISFORMULA(INDEX('Game Records'!$Z:$Z,$H155)))),"Formula columns missing; ","")&amp;IF(INDEX('Game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Earned; ","")&amp;IF(AND(LOWER(INDEX('Game Records'!$D:$D,$H155)&amp;"")="finalized",INDEX('Game Records'!$U:$U,$H155)&lt;&gt;"Subscription",INDEX('Game Records'!$U:$U,$H155)&lt;&gt;"Free Game",INDEX('Game Records'!$U:$U,$H155)&lt;&gt;"Disqualified — Free Game",OR(INDEX('Game Records'!$L:$L,$H155)="",LOWER(INDEX('Game Records'!$L:$L,$H155)&amp;"")="n/a")),"Disqualified Status; ","")&amp;IF(AND(OR(INDEX('Game Records'!$U:$U,$H155)="Free Game",INDEX('Game Records'!$U:$U,$H155)="Disqualified — Free Game"),N(INDEX('Game Records'!$H:$H,$H155))&lt;&gt;0),"Free Game has a non-zero Entry Fee; ",""))</f>
        <v/>
      </c>
      <c r="G155" s="331" t="str">
        <f>IF($H155="","",IFERROR(INDEX('Game Records'!$M:$M,$H155),""))</f>
        <v/>
      </c>
      <c r="H155" s="104" t="str">
        <f>IF($H154="","",IFERROR(MATCH(1,INDEX((ROW('Game Records'!$U$5:$U$504)&gt;$H154)*(('Game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5" s="104"/>
      <c r="J155" s="104"/>
    </row>
    <row r="156" ht="24" hidden="0" customHeight="1">
      <c r="A156" s="332" t="str">
        <f>IF($H156="","",ROWS($A$5:A156))</f>
        <v/>
      </c>
      <c r="B156" s="332" t="str">
        <f>IF($H156="","","G-"&amp;TEXT($A156,"0000"))</f>
        <v/>
      </c>
      <c r="C156" s="331" t="str">
        <f>IF($H156="","",IFERROR(INDEX('Game Records'!$A:$A,$H156),""))</f>
        <v/>
      </c>
      <c r="D156" s="331" t="str">
        <f>IF($H156="","",IFERROR(INDEX('Game Records'!$U:$U,$H156),""))</f>
        <v/>
      </c>
      <c r="E156" s="331" t="str">
        <f>IF($H156="","",IF($F156="","No Highlighted Fields","Highlighted Fields Present"))</f>
        <v/>
      </c>
      <c r="F156" s="331" t="str">
        <f>IF($H156="","",IF(OR(NOT(ISFORMULA(INDEX('Game Records'!$N:$N,$H156))),NOT(ISFORMULA(INDEX('Game Records'!$O:$O,$H156))),NOT(ISFORMULA(INDEX('Game Records'!$P:$P,$H156))),NOT(ISFORMULA(INDEX('Game Records'!$Q:$Q,$H156))),NOT(ISFORMULA(INDEX('Game Records'!$R:$R,$H156))),NOT(ISFORMULA(INDEX('Game Records'!$S:$S,$H156))),NOT(ISFORMULA(INDEX('Game Records'!$T:$T,$H156))),NOT(ISFORMULA(INDEX('Game Records'!$U:$U,$H156))),NOT(ISFORMULA(INDEX('Game Records'!$V:$V,$H156))),NOT(ISFORMULA(INDEX('Game Records'!$W:$W,$H156))),NOT(ISFORMULA(INDEX('Game Records'!$X:$X,$H156))),NOT(ISFORMULA(INDEX('Game Records'!$Y:$Y,$H156))),NOT(ISFORMULA(INDEX('Game Records'!$Z:$Z,$H156)))),"Formula columns missing; ","")&amp;IF(INDEX('Game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Earned; ","")&amp;IF(AND(LOWER(INDEX('Game Records'!$D:$D,$H156)&amp;"")="finalized",INDEX('Game Records'!$U:$U,$H156)&lt;&gt;"Subscription",INDEX('Game Records'!$U:$U,$H156)&lt;&gt;"Free Game",INDEX('Game Records'!$U:$U,$H156)&lt;&gt;"Disqualified — Free Game",OR(INDEX('Game Records'!$L:$L,$H156)="",LOWER(INDEX('Game Records'!$L:$L,$H156)&amp;"")="n/a")),"Disqualified Status; ","")&amp;IF(AND(OR(INDEX('Game Records'!$U:$U,$H156)="Free Game",INDEX('Game Records'!$U:$U,$H156)="Disqualified — Free Game"),N(INDEX('Game Records'!$H:$H,$H156))&lt;&gt;0),"Free Game has a non-zero Entry Fee; ",""))</f>
        <v/>
      </c>
      <c r="G156" s="331" t="str">
        <f>IF($H156="","",IFERROR(INDEX('Game Records'!$M:$M,$H156),""))</f>
        <v/>
      </c>
      <c r="H156" s="104" t="str">
        <f>IF($H155="","",IFERROR(MATCH(1,INDEX((ROW('Game Records'!$U$5:$U$504)&gt;$H155)*(('Game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6" s="104"/>
      <c r="J156" s="104"/>
    </row>
    <row r="157" ht="24" hidden="0" customHeight="1">
      <c r="A157" s="332" t="str">
        <f>IF($H157="","",ROWS($A$5:A157))</f>
        <v/>
      </c>
      <c r="B157" s="332" t="str">
        <f>IF($H157="","","G-"&amp;TEXT($A157,"0000"))</f>
        <v/>
      </c>
      <c r="C157" s="331" t="str">
        <f>IF($H157="","",IFERROR(INDEX('Game Records'!$A:$A,$H157),""))</f>
        <v/>
      </c>
      <c r="D157" s="331" t="str">
        <f>IF($H157="","",IFERROR(INDEX('Game Records'!$U:$U,$H157),""))</f>
        <v/>
      </c>
      <c r="E157" s="331" t="str">
        <f>IF($H157="","",IF($F157="","No Highlighted Fields","Highlighted Fields Present"))</f>
        <v/>
      </c>
      <c r="F157" s="331" t="str">
        <f>IF($H157="","",IF(OR(NOT(ISFORMULA(INDEX('Game Records'!$N:$N,$H157))),NOT(ISFORMULA(INDEX('Game Records'!$O:$O,$H157))),NOT(ISFORMULA(INDEX('Game Records'!$P:$P,$H157))),NOT(ISFORMULA(INDEX('Game Records'!$Q:$Q,$H157))),NOT(ISFORMULA(INDEX('Game Records'!$R:$R,$H157))),NOT(ISFORMULA(INDEX('Game Records'!$S:$S,$H157))),NOT(ISFORMULA(INDEX('Game Records'!$T:$T,$H157))),NOT(ISFORMULA(INDEX('Game Records'!$U:$U,$H157))),NOT(ISFORMULA(INDEX('Game Records'!$V:$V,$H157))),NOT(ISFORMULA(INDEX('Game Records'!$W:$W,$H157))),NOT(ISFORMULA(INDEX('Game Records'!$X:$X,$H157))),NOT(ISFORMULA(INDEX('Game Records'!$Y:$Y,$H157))),NOT(ISFORMULA(INDEX('Game Records'!$Z:$Z,$H157)))),"Formula columns missing; ","")&amp;IF(INDEX('Game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Earned; ","")&amp;IF(AND(LOWER(INDEX('Game Records'!$D:$D,$H157)&amp;"")="finalized",INDEX('Game Records'!$U:$U,$H157)&lt;&gt;"Subscription",INDEX('Game Records'!$U:$U,$H157)&lt;&gt;"Free Game",INDEX('Game Records'!$U:$U,$H157)&lt;&gt;"Disqualified — Free Game",OR(INDEX('Game Records'!$L:$L,$H157)="",LOWER(INDEX('Game Records'!$L:$L,$H157)&amp;"")="n/a")),"Disqualified Status; ","")&amp;IF(AND(OR(INDEX('Game Records'!$U:$U,$H157)="Free Game",INDEX('Game Records'!$U:$U,$H157)="Disqualified — Free Game"),N(INDEX('Game Records'!$H:$H,$H157))&lt;&gt;0),"Free Game has a non-zero Entry Fee; ",""))</f>
        <v/>
      </c>
      <c r="G157" s="331" t="str">
        <f>IF($H157="","",IFERROR(INDEX('Game Records'!$M:$M,$H157),""))</f>
        <v/>
      </c>
      <c r="H157" s="104" t="str">
        <f>IF($H156="","",IFERROR(MATCH(1,INDEX((ROW('Game Records'!$U$5:$U$504)&gt;$H156)*(('Game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7" s="104"/>
      <c r="J157" s="104"/>
    </row>
    <row r="158" ht="24" hidden="0" customHeight="1">
      <c r="A158" s="332" t="str">
        <f>IF($H158="","",ROWS($A$5:A158))</f>
        <v/>
      </c>
      <c r="B158" s="332" t="str">
        <f>IF($H158="","","G-"&amp;TEXT($A158,"0000"))</f>
        <v/>
      </c>
      <c r="C158" s="331" t="str">
        <f>IF($H158="","",IFERROR(INDEX('Game Records'!$A:$A,$H158),""))</f>
        <v/>
      </c>
      <c r="D158" s="331" t="str">
        <f>IF($H158="","",IFERROR(INDEX('Game Records'!$U:$U,$H158),""))</f>
        <v/>
      </c>
      <c r="E158" s="331" t="str">
        <f>IF($H158="","",IF($F158="","No Highlighted Fields","Highlighted Fields Present"))</f>
        <v/>
      </c>
      <c r="F158" s="331" t="str">
        <f>IF($H158="","",IF(OR(NOT(ISFORMULA(INDEX('Game Records'!$N:$N,$H158))),NOT(ISFORMULA(INDEX('Game Records'!$O:$O,$H158))),NOT(ISFORMULA(INDEX('Game Records'!$P:$P,$H158))),NOT(ISFORMULA(INDEX('Game Records'!$Q:$Q,$H158))),NOT(ISFORMULA(INDEX('Game Records'!$R:$R,$H158))),NOT(ISFORMULA(INDEX('Game Records'!$S:$S,$H158))),NOT(ISFORMULA(INDEX('Game Records'!$T:$T,$H158))),NOT(ISFORMULA(INDEX('Game Records'!$U:$U,$H158))),NOT(ISFORMULA(INDEX('Game Records'!$V:$V,$H158))),NOT(ISFORMULA(INDEX('Game Records'!$W:$W,$H158))),NOT(ISFORMULA(INDEX('Game Records'!$X:$X,$H158))),NOT(ISFORMULA(INDEX('Game Records'!$Y:$Y,$H158))),NOT(ISFORMULA(INDEX('Game Records'!$Z:$Z,$H158)))),"Formula columns missing; ","")&amp;IF(INDEX('Game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Earned; ","")&amp;IF(AND(LOWER(INDEX('Game Records'!$D:$D,$H158)&amp;"")="finalized",INDEX('Game Records'!$U:$U,$H158)&lt;&gt;"Subscription",INDEX('Game Records'!$U:$U,$H158)&lt;&gt;"Free Game",INDEX('Game Records'!$U:$U,$H158)&lt;&gt;"Disqualified — Free Game",OR(INDEX('Game Records'!$L:$L,$H158)="",LOWER(INDEX('Game Records'!$L:$L,$H158)&amp;"")="n/a")),"Disqualified Status; ","")&amp;IF(AND(OR(INDEX('Game Records'!$U:$U,$H158)="Free Game",INDEX('Game Records'!$U:$U,$H158)="Disqualified — Free Game"),N(INDEX('Game Records'!$H:$H,$H158))&lt;&gt;0),"Free Game has a non-zero Entry Fee; ",""))</f>
        <v/>
      </c>
      <c r="G158" s="331" t="str">
        <f>IF($H158="","",IFERROR(INDEX('Game Records'!$M:$M,$H158),""))</f>
        <v/>
      </c>
      <c r="H158" s="104" t="str">
        <f>IF($H157="","",IFERROR(MATCH(1,INDEX((ROW('Game Records'!$U$5:$U$504)&gt;$H157)*(('Game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8" s="104"/>
      <c r="J158" s="104"/>
    </row>
    <row r="159" ht="24" hidden="0" customHeight="1">
      <c r="A159" s="332" t="str">
        <f>IF($H159="","",ROWS($A$5:A159))</f>
        <v/>
      </c>
      <c r="B159" s="332" t="str">
        <f>IF($H159="","","G-"&amp;TEXT($A159,"0000"))</f>
        <v/>
      </c>
      <c r="C159" s="331" t="str">
        <f>IF($H159="","",IFERROR(INDEX('Game Records'!$A:$A,$H159),""))</f>
        <v/>
      </c>
      <c r="D159" s="331" t="str">
        <f>IF($H159="","",IFERROR(INDEX('Game Records'!$U:$U,$H159),""))</f>
        <v/>
      </c>
      <c r="E159" s="331" t="str">
        <f>IF($H159="","",IF($F159="","No Highlighted Fields","Highlighted Fields Present"))</f>
        <v/>
      </c>
      <c r="F159" s="331" t="str">
        <f>IF($H159="","",IF(OR(NOT(ISFORMULA(INDEX('Game Records'!$N:$N,$H159))),NOT(ISFORMULA(INDEX('Game Records'!$O:$O,$H159))),NOT(ISFORMULA(INDEX('Game Records'!$P:$P,$H159))),NOT(ISFORMULA(INDEX('Game Records'!$Q:$Q,$H159))),NOT(ISFORMULA(INDEX('Game Records'!$R:$R,$H159))),NOT(ISFORMULA(INDEX('Game Records'!$S:$S,$H159))),NOT(ISFORMULA(INDEX('Game Records'!$T:$T,$H159))),NOT(ISFORMULA(INDEX('Game Records'!$U:$U,$H159))),NOT(ISFORMULA(INDEX('Game Records'!$V:$V,$H159))),NOT(ISFORMULA(INDEX('Game Records'!$W:$W,$H159))),NOT(ISFORMULA(INDEX('Game Records'!$X:$X,$H159))),NOT(ISFORMULA(INDEX('Game Records'!$Y:$Y,$H159))),NOT(ISFORMULA(INDEX('Game Records'!$Z:$Z,$H159)))),"Formula columns missing; ","")&amp;IF(INDEX('Game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Earned; ","")&amp;IF(AND(LOWER(INDEX('Game Records'!$D:$D,$H159)&amp;"")="finalized",INDEX('Game Records'!$U:$U,$H159)&lt;&gt;"Subscription",INDEX('Game Records'!$U:$U,$H159)&lt;&gt;"Free Game",INDEX('Game Records'!$U:$U,$H159)&lt;&gt;"Disqualified — Free Game",OR(INDEX('Game Records'!$L:$L,$H159)="",LOWER(INDEX('Game Records'!$L:$L,$H159)&amp;"")="n/a")),"Disqualified Status; ","")&amp;IF(AND(OR(INDEX('Game Records'!$U:$U,$H159)="Free Game",INDEX('Game Records'!$U:$U,$H159)="Disqualified — Free Game"),N(INDEX('Game Records'!$H:$H,$H159))&lt;&gt;0),"Free Game has a non-zero Entry Fee; ",""))</f>
        <v/>
      </c>
      <c r="G159" s="331" t="str">
        <f>IF($H159="","",IFERROR(INDEX('Game Records'!$M:$M,$H159),""))</f>
        <v/>
      </c>
      <c r="H159" s="104" t="str">
        <f>IF($H158="","",IFERROR(MATCH(1,INDEX((ROW('Game Records'!$U$5:$U$504)&gt;$H158)*(('Game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9" s="104"/>
      <c r="J159" s="104"/>
    </row>
    <row r="160" ht="24" hidden="0" customHeight="1">
      <c r="A160" s="332" t="str">
        <f>IF($H160="","",ROWS($A$5:A160))</f>
        <v/>
      </c>
      <c r="B160" s="332" t="str">
        <f>IF($H160="","","G-"&amp;TEXT($A160,"0000"))</f>
        <v/>
      </c>
      <c r="C160" s="331" t="str">
        <f>IF($H160="","",IFERROR(INDEX('Game Records'!$A:$A,$H160),""))</f>
        <v/>
      </c>
      <c r="D160" s="331" t="str">
        <f>IF($H160="","",IFERROR(INDEX('Game Records'!$U:$U,$H160),""))</f>
        <v/>
      </c>
      <c r="E160" s="331" t="str">
        <f>IF($H160="","",IF($F160="","No Highlighted Fields","Highlighted Fields Present"))</f>
        <v/>
      </c>
      <c r="F160" s="331" t="str">
        <f>IF($H160="","",IF(OR(NOT(ISFORMULA(INDEX('Game Records'!$N:$N,$H160))),NOT(ISFORMULA(INDEX('Game Records'!$O:$O,$H160))),NOT(ISFORMULA(INDEX('Game Records'!$P:$P,$H160))),NOT(ISFORMULA(INDEX('Game Records'!$Q:$Q,$H160))),NOT(ISFORMULA(INDEX('Game Records'!$R:$R,$H160))),NOT(ISFORMULA(INDEX('Game Records'!$S:$S,$H160))),NOT(ISFORMULA(INDEX('Game Records'!$T:$T,$H160))),NOT(ISFORMULA(INDEX('Game Records'!$U:$U,$H160))),NOT(ISFORMULA(INDEX('Game Records'!$V:$V,$H160))),NOT(ISFORMULA(INDEX('Game Records'!$W:$W,$H160))),NOT(ISFORMULA(INDEX('Game Records'!$X:$X,$H160))),NOT(ISFORMULA(INDEX('Game Records'!$Y:$Y,$H160))),NOT(ISFORMULA(INDEX('Game Records'!$Z:$Z,$H160)))),"Formula columns missing; ","")&amp;IF(INDEX('Game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Earned; ","")&amp;IF(AND(LOWER(INDEX('Game Records'!$D:$D,$H160)&amp;"")="finalized",INDEX('Game Records'!$U:$U,$H160)&lt;&gt;"Subscription",INDEX('Game Records'!$U:$U,$H160)&lt;&gt;"Free Game",INDEX('Game Records'!$U:$U,$H160)&lt;&gt;"Disqualified — Free Game",OR(INDEX('Game Records'!$L:$L,$H160)="",LOWER(INDEX('Game Records'!$L:$L,$H160)&amp;"")="n/a")),"Disqualified Status; ","")&amp;IF(AND(OR(INDEX('Game Records'!$U:$U,$H160)="Free Game",INDEX('Game Records'!$U:$U,$H160)="Disqualified — Free Game"),N(INDEX('Game Records'!$H:$H,$H160))&lt;&gt;0),"Free Game has a non-zero Entry Fee; ",""))</f>
        <v/>
      </c>
      <c r="G160" s="331" t="str">
        <f>IF($H160="","",IFERROR(INDEX('Game Records'!$M:$M,$H160),""))</f>
        <v/>
      </c>
      <c r="H160" s="104" t="str">
        <f>IF($H159="","",IFERROR(MATCH(1,INDEX((ROW('Game Records'!$U$5:$U$504)&gt;$H159)*(('Game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0" s="104"/>
      <c r="J160" s="104"/>
    </row>
    <row r="161" ht="24" hidden="0" customHeight="1">
      <c r="A161" s="332" t="str">
        <f>IF($H161="","",ROWS($A$5:A161))</f>
        <v/>
      </c>
      <c r="B161" s="332" t="str">
        <f>IF($H161="","","G-"&amp;TEXT($A161,"0000"))</f>
        <v/>
      </c>
      <c r="C161" s="331" t="str">
        <f>IF($H161="","",IFERROR(INDEX('Game Records'!$A:$A,$H161),""))</f>
        <v/>
      </c>
      <c r="D161" s="331" t="str">
        <f>IF($H161="","",IFERROR(INDEX('Game Records'!$U:$U,$H161),""))</f>
        <v/>
      </c>
      <c r="E161" s="331" t="str">
        <f>IF($H161="","",IF($F161="","No Highlighted Fields","Highlighted Fields Present"))</f>
        <v/>
      </c>
      <c r="F161" s="331" t="str">
        <f>IF($H161="","",IF(OR(NOT(ISFORMULA(INDEX('Game Records'!$N:$N,$H161))),NOT(ISFORMULA(INDEX('Game Records'!$O:$O,$H161))),NOT(ISFORMULA(INDEX('Game Records'!$P:$P,$H161))),NOT(ISFORMULA(INDEX('Game Records'!$Q:$Q,$H161))),NOT(ISFORMULA(INDEX('Game Records'!$R:$R,$H161))),NOT(ISFORMULA(INDEX('Game Records'!$S:$S,$H161))),NOT(ISFORMULA(INDEX('Game Records'!$T:$T,$H161))),NOT(ISFORMULA(INDEX('Game Records'!$U:$U,$H161))),NOT(ISFORMULA(INDEX('Game Records'!$V:$V,$H161))),NOT(ISFORMULA(INDEX('Game Records'!$W:$W,$H161))),NOT(ISFORMULA(INDEX('Game Records'!$X:$X,$H161))),NOT(ISFORMULA(INDEX('Game Records'!$Y:$Y,$H161))),NOT(ISFORMULA(INDEX('Game Records'!$Z:$Z,$H161)))),"Formula columns missing; ","")&amp;IF(INDEX('Game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Earned; ","")&amp;IF(AND(LOWER(INDEX('Game Records'!$D:$D,$H161)&amp;"")="finalized",INDEX('Game Records'!$U:$U,$H161)&lt;&gt;"Subscription",INDEX('Game Records'!$U:$U,$H161)&lt;&gt;"Free Game",INDEX('Game Records'!$U:$U,$H161)&lt;&gt;"Disqualified — Free Game",OR(INDEX('Game Records'!$L:$L,$H161)="",LOWER(INDEX('Game Records'!$L:$L,$H161)&amp;"")="n/a")),"Disqualified Status; ","")&amp;IF(AND(OR(INDEX('Game Records'!$U:$U,$H161)="Free Game",INDEX('Game Records'!$U:$U,$H161)="Disqualified — Free Game"),N(INDEX('Game Records'!$H:$H,$H161))&lt;&gt;0),"Free Game has a non-zero Entry Fee; ",""))</f>
        <v/>
      </c>
      <c r="G161" s="331" t="str">
        <f>IF($H161="","",IFERROR(INDEX('Game Records'!$M:$M,$H161),""))</f>
        <v/>
      </c>
      <c r="H161" s="104" t="str">
        <f>IF($H160="","",IFERROR(MATCH(1,INDEX((ROW('Game Records'!$U$5:$U$504)&gt;$H160)*(('Game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1" s="104"/>
      <c r="J161" s="104"/>
    </row>
    <row r="162" ht="24" hidden="0" customHeight="1">
      <c r="A162" s="332" t="str">
        <f>IF($H162="","",ROWS($A$5:A162))</f>
        <v/>
      </c>
      <c r="B162" s="332" t="str">
        <f>IF($H162="","","G-"&amp;TEXT($A162,"0000"))</f>
        <v/>
      </c>
      <c r="C162" s="331" t="str">
        <f>IF($H162="","",IFERROR(INDEX('Game Records'!$A:$A,$H162),""))</f>
        <v/>
      </c>
      <c r="D162" s="331" t="str">
        <f>IF($H162="","",IFERROR(INDEX('Game Records'!$U:$U,$H162),""))</f>
        <v/>
      </c>
      <c r="E162" s="331" t="str">
        <f>IF($H162="","",IF($F162="","No Highlighted Fields","Highlighted Fields Present"))</f>
        <v/>
      </c>
      <c r="F162" s="331" t="str">
        <f>IF($H162="","",IF(OR(NOT(ISFORMULA(INDEX('Game Records'!$N:$N,$H162))),NOT(ISFORMULA(INDEX('Game Records'!$O:$O,$H162))),NOT(ISFORMULA(INDEX('Game Records'!$P:$P,$H162))),NOT(ISFORMULA(INDEX('Game Records'!$Q:$Q,$H162))),NOT(ISFORMULA(INDEX('Game Records'!$R:$R,$H162))),NOT(ISFORMULA(INDEX('Game Records'!$S:$S,$H162))),NOT(ISFORMULA(INDEX('Game Records'!$T:$T,$H162))),NOT(ISFORMULA(INDEX('Game Records'!$U:$U,$H162))),NOT(ISFORMULA(INDEX('Game Records'!$V:$V,$H162))),NOT(ISFORMULA(INDEX('Game Records'!$W:$W,$H162))),NOT(ISFORMULA(INDEX('Game Records'!$X:$X,$H162))),NOT(ISFORMULA(INDEX('Game Records'!$Y:$Y,$H162))),NOT(ISFORMULA(INDEX('Game Records'!$Z:$Z,$H162)))),"Formula columns missing; ","")&amp;IF(INDEX('Game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Earned; ","")&amp;IF(AND(LOWER(INDEX('Game Records'!$D:$D,$H162)&amp;"")="finalized",INDEX('Game Records'!$U:$U,$H162)&lt;&gt;"Subscription",INDEX('Game Records'!$U:$U,$H162)&lt;&gt;"Free Game",INDEX('Game Records'!$U:$U,$H162)&lt;&gt;"Disqualified — Free Game",OR(INDEX('Game Records'!$L:$L,$H162)="",LOWER(INDEX('Game Records'!$L:$L,$H162)&amp;"")="n/a")),"Disqualified Status; ","")&amp;IF(AND(OR(INDEX('Game Records'!$U:$U,$H162)="Free Game",INDEX('Game Records'!$U:$U,$H162)="Disqualified — Free Game"),N(INDEX('Game Records'!$H:$H,$H162))&lt;&gt;0),"Free Game has a non-zero Entry Fee; ",""))</f>
        <v/>
      </c>
      <c r="G162" s="331" t="str">
        <f>IF($H162="","",IFERROR(INDEX('Game Records'!$M:$M,$H162),""))</f>
        <v/>
      </c>
      <c r="H162" s="104" t="str">
        <f>IF($H161="","",IFERROR(MATCH(1,INDEX((ROW('Game Records'!$U$5:$U$504)&gt;$H161)*(('Game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2" s="104"/>
      <c r="J162" s="104"/>
    </row>
    <row r="163" ht="24" hidden="0" customHeight="1">
      <c r="A163" s="332" t="str">
        <f>IF($H163="","",ROWS($A$5:A163))</f>
        <v/>
      </c>
      <c r="B163" s="332" t="str">
        <f>IF($H163="","","G-"&amp;TEXT($A163,"0000"))</f>
        <v/>
      </c>
      <c r="C163" s="331" t="str">
        <f>IF($H163="","",IFERROR(INDEX('Game Records'!$A:$A,$H163),""))</f>
        <v/>
      </c>
      <c r="D163" s="331" t="str">
        <f>IF($H163="","",IFERROR(INDEX('Game Records'!$U:$U,$H163),""))</f>
        <v/>
      </c>
      <c r="E163" s="331" t="str">
        <f>IF($H163="","",IF($F163="","No Highlighted Fields","Highlighted Fields Present"))</f>
        <v/>
      </c>
      <c r="F163" s="331" t="str">
        <f>IF($H163="","",IF(OR(NOT(ISFORMULA(INDEX('Game Records'!$N:$N,$H163))),NOT(ISFORMULA(INDEX('Game Records'!$O:$O,$H163))),NOT(ISFORMULA(INDEX('Game Records'!$P:$P,$H163))),NOT(ISFORMULA(INDEX('Game Records'!$Q:$Q,$H163))),NOT(ISFORMULA(INDEX('Game Records'!$R:$R,$H163))),NOT(ISFORMULA(INDEX('Game Records'!$S:$S,$H163))),NOT(ISFORMULA(INDEX('Game Records'!$T:$T,$H163))),NOT(ISFORMULA(INDEX('Game Records'!$U:$U,$H163))),NOT(ISFORMULA(INDEX('Game Records'!$V:$V,$H163))),NOT(ISFORMULA(INDEX('Game Records'!$W:$W,$H163))),NOT(ISFORMULA(INDEX('Game Records'!$X:$X,$H163))),NOT(ISFORMULA(INDEX('Game Records'!$Y:$Y,$H163))),NOT(ISFORMULA(INDEX('Game Records'!$Z:$Z,$H163)))),"Formula columns missing; ","")&amp;IF(INDEX('Game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Earned; ","")&amp;IF(AND(LOWER(INDEX('Game Records'!$D:$D,$H163)&amp;"")="finalized",INDEX('Game Records'!$U:$U,$H163)&lt;&gt;"Subscription",INDEX('Game Records'!$U:$U,$H163)&lt;&gt;"Free Game",INDEX('Game Records'!$U:$U,$H163)&lt;&gt;"Disqualified — Free Game",OR(INDEX('Game Records'!$L:$L,$H163)="",LOWER(INDEX('Game Records'!$L:$L,$H163)&amp;"")="n/a")),"Disqualified Status; ","")&amp;IF(AND(OR(INDEX('Game Records'!$U:$U,$H163)="Free Game",INDEX('Game Records'!$U:$U,$H163)="Disqualified — Free Game"),N(INDEX('Game Records'!$H:$H,$H163))&lt;&gt;0),"Free Game has a non-zero Entry Fee; ",""))</f>
        <v/>
      </c>
      <c r="G163" s="331" t="str">
        <f>IF($H163="","",IFERROR(INDEX('Game Records'!$M:$M,$H163),""))</f>
        <v/>
      </c>
      <c r="H163" s="104" t="str">
        <f>IF($H162="","",IFERROR(MATCH(1,INDEX((ROW('Game Records'!$U$5:$U$504)&gt;$H162)*(('Game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3" s="104"/>
      <c r="J163" s="104"/>
    </row>
    <row r="164" ht="24" hidden="0" customHeight="1">
      <c r="A164" s="332" t="str">
        <f>IF($H164="","",ROWS($A$5:A164))</f>
        <v/>
      </c>
      <c r="B164" s="332" t="str">
        <f>IF($H164="","","G-"&amp;TEXT($A164,"0000"))</f>
        <v/>
      </c>
      <c r="C164" s="331" t="str">
        <f>IF($H164="","",IFERROR(INDEX('Game Records'!$A:$A,$H164),""))</f>
        <v/>
      </c>
      <c r="D164" s="331" t="str">
        <f>IF($H164="","",IFERROR(INDEX('Game Records'!$U:$U,$H164),""))</f>
        <v/>
      </c>
      <c r="E164" s="331" t="str">
        <f>IF($H164="","",IF($F164="","No Highlighted Fields","Highlighted Fields Present"))</f>
        <v/>
      </c>
      <c r="F164" s="331" t="str">
        <f>IF($H164="","",IF(OR(NOT(ISFORMULA(INDEX('Game Records'!$N:$N,$H164))),NOT(ISFORMULA(INDEX('Game Records'!$O:$O,$H164))),NOT(ISFORMULA(INDEX('Game Records'!$P:$P,$H164))),NOT(ISFORMULA(INDEX('Game Records'!$Q:$Q,$H164))),NOT(ISFORMULA(INDEX('Game Records'!$R:$R,$H164))),NOT(ISFORMULA(INDEX('Game Records'!$S:$S,$H164))),NOT(ISFORMULA(INDEX('Game Records'!$T:$T,$H164))),NOT(ISFORMULA(INDEX('Game Records'!$U:$U,$H164))),NOT(ISFORMULA(INDEX('Game Records'!$V:$V,$H164))),NOT(ISFORMULA(INDEX('Game Records'!$W:$W,$H164))),NOT(ISFORMULA(INDEX('Game Records'!$X:$X,$H164))),NOT(ISFORMULA(INDEX('Game Records'!$Y:$Y,$H164))),NOT(ISFORMULA(INDEX('Game Records'!$Z:$Z,$H164)))),"Formula columns missing; ","")&amp;IF(INDEX('Game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Earned; ","")&amp;IF(AND(LOWER(INDEX('Game Records'!$D:$D,$H164)&amp;"")="finalized",INDEX('Game Records'!$U:$U,$H164)&lt;&gt;"Subscription",INDEX('Game Records'!$U:$U,$H164)&lt;&gt;"Free Game",INDEX('Game Records'!$U:$U,$H164)&lt;&gt;"Disqualified — Free Game",OR(INDEX('Game Records'!$L:$L,$H164)="",LOWER(INDEX('Game Records'!$L:$L,$H164)&amp;"")="n/a")),"Disqualified Status; ","")&amp;IF(AND(OR(INDEX('Game Records'!$U:$U,$H164)="Free Game",INDEX('Game Records'!$U:$U,$H164)="Disqualified — Free Game"),N(INDEX('Game Records'!$H:$H,$H164))&lt;&gt;0),"Free Game has a non-zero Entry Fee; ",""))</f>
        <v/>
      </c>
      <c r="G164" s="331" t="str">
        <f>IF($H164="","",IFERROR(INDEX('Game Records'!$M:$M,$H164),""))</f>
        <v/>
      </c>
      <c r="H164" s="104" t="str">
        <f>IF($H163="","",IFERROR(MATCH(1,INDEX((ROW('Game Records'!$U$5:$U$504)&gt;$H163)*(('Game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4" s="104"/>
      <c r="J164" s="104"/>
    </row>
    <row r="165" ht="24" hidden="0" customHeight="1">
      <c r="A165" s="332" t="str">
        <f>IF($H165="","",ROWS($A$5:A165))</f>
        <v/>
      </c>
      <c r="B165" s="332" t="str">
        <f>IF($H165="","","G-"&amp;TEXT($A165,"0000"))</f>
        <v/>
      </c>
      <c r="C165" s="331" t="str">
        <f>IF($H165="","",IFERROR(INDEX('Game Records'!$A:$A,$H165),""))</f>
        <v/>
      </c>
      <c r="D165" s="331" t="str">
        <f>IF($H165="","",IFERROR(INDEX('Game Records'!$U:$U,$H165),""))</f>
        <v/>
      </c>
      <c r="E165" s="331" t="str">
        <f>IF($H165="","",IF($F165="","No Highlighted Fields","Highlighted Fields Present"))</f>
        <v/>
      </c>
      <c r="F165" s="331" t="str">
        <f>IF($H165="","",IF(OR(NOT(ISFORMULA(INDEX('Game Records'!$N:$N,$H165))),NOT(ISFORMULA(INDEX('Game Records'!$O:$O,$H165))),NOT(ISFORMULA(INDEX('Game Records'!$P:$P,$H165))),NOT(ISFORMULA(INDEX('Game Records'!$Q:$Q,$H165))),NOT(ISFORMULA(INDEX('Game Records'!$R:$R,$H165))),NOT(ISFORMULA(INDEX('Game Records'!$S:$S,$H165))),NOT(ISFORMULA(INDEX('Game Records'!$T:$T,$H165))),NOT(ISFORMULA(INDEX('Game Records'!$U:$U,$H165))),NOT(ISFORMULA(INDEX('Game Records'!$V:$V,$H165))),NOT(ISFORMULA(INDEX('Game Records'!$W:$W,$H165))),NOT(ISFORMULA(INDEX('Game Records'!$X:$X,$H165))),NOT(ISFORMULA(INDEX('Game Records'!$Y:$Y,$H165))),NOT(ISFORMULA(INDEX('Game Records'!$Z:$Z,$H165)))),"Formula columns missing; ","")&amp;IF(INDEX('Game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Earned; ","")&amp;IF(AND(LOWER(INDEX('Game Records'!$D:$D,$H165)&amp;"")="finalized",INDEX('Game Records'!$U:$U,$H165)&lt;&gt;"Subscription",INDEX('Game Records'!$U:$U,$H165)&lt;&gt;"Free Game",INDEX('Game Records'!$U:$U,$H165)&lt;&gt;"Disqualified — Free Game",OR(INDEX('Game Records'!$L:$L,$H165)="",LOWER(INDEX('Game Records'!$L:$L,$H165)&amp;"")="n/a")),"Disqualified Status; ","")&amp;IF(AND(OR(INDEX('Game Records'!$U:$U,$H165)="Free Game",INDEX('Game Records'!$U:$U,$H165)="Disqualified — Free Game"),N(INDEX('Game Records'!$H:$H,$H165))&lt;&gt;0),"Free Game has a non-zero Entry Fee; ",""))</f>
        <v/>
      </c>
      <c r="G165" s="331" t="str">
        <f>IF($H165="","",IFERROR(INDEX('Game Records'!$M:$M,$H165),""))</f>
        <v/>
      </c>
      <c r="H165" s="104" t="str">
        <f>IF($H164="","",IFERROR(MATCH(1,INDEX((ROW('Game Records'!$U$5:$U$504)&gt;$H164)*(('Game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5" s="104"/>
      <c r="J165" s="104"/>
    </row>
    <row r="166" ht="24" hidden="0" customHeight="1">
      <c r="A166" s="332" t="str">
        <f>IF($H166="","",ROWS($A$5:A166))</f>
        <v/>
      </c>
      <c r="B166" s="332" t="str">
        <f>IF($H166="","","G-"&amp;TEXT($A166,"0000"))</f>
        <v/>
      </c>
      <c r="C166" s="331" t="str">
        <f>IF($H166="","",IFERROR(INDEX('Game Records'!$A:$A,$H166),""))</f>
        <v/>
      </c>
      <c r="D166" s="331" t="str">
        <f>IF($H166="","",IFERROR(INDEX('Game Records'!$U:$U,$H166),""))</f>
        <v/>
      </c>
      <c r="E166" s="331" t="str">
        <f>IF($H166="","",IF($F166="","No Highlighted Fields","Highlighted Fields Present"))</f>
        <v/>
      </c>
      <c r="F166" s="331" t="str">
        <f>IF($H166="","",IF(OR(NOT(ISFORMULA(INDEX('Game Records'!$N:$N,$H166))),NOT(ISFORMULA(INDEX('Game Records'!$O:$O,$H166))),NOT(ISFORMULA(INDEX('Game Records'!$P:$P,$H166))),NOT(ISFORMULA(INDEX('Game Records'!$Q:$Q,$H166))),NOT(ISFORMULA(INDEX('Game Records'!$R:$R,$H166))),NOT(ISFORMULA(INDEX('Game Records'!$S:$S,$H166))),NOT(ISFORMULA(INDEX('Game Records'!$T:$T,$H166))),NOT(ISFORMULA(INDEX('Game Records'!$U:$U,$H166))),NOT(ISFORMULA(INDEX('Game Records'!$V:$V,$H166))),NOT(ISFORMULA(INDEX('Game Records'!$W:$W,$H166))),NOT(ISFORMULA(INDEX('Game Records'!$X:$X,$H166))),NOT(ISFORMULA(INDEX('Game Records'!$Y:$Y,$H166))),NOT(ISFORMULA(INDEX('Game Records'!$Z:$Z,$H166)))),"Formula columns missing; ","")&amp;IF(INDEX('Game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Earned; ","")&amp;IF(AND(LOWER(INDEX('Game Records'!$D:$D,$H166)&amp;"")="finalized",INDEX('Game Records'!$U:$U,$H166)&lt;&gt;"Subscription",INDEX('Game Records'!$U:$U,$H166)&lt;&gt;"Free Game",INDEX('Game Records'!$U:$U,$H166)&lt;&gt;"Disqualified — Free Game",OR(INDEX('Game Records'!$L:$L,$H166)="",LOWER(INDEX('Game Records'!$L:$L,$H166)&amp;"")="n/a")),"Disqualified Status; ","")&amp;IF(AND(OR(INDEX('Game Records'!$U:$U,$H166)="Free Game",INDEX('Game Records'!$U:$U,$H166)="Disqualified — Free Game"),N(INDEX('Game Records'!$H:$H,$H166))&lt;&gt;0),"Free Game has a non-zero Entry Fee; ",""))</f>
        <v/>
      </c>
      <c r="G166" s="331" t="str">
        <f>IF($H166="","",IFERROR(INDEX('Game Records'!$M:$M,$H166),""))</f>
        <v/>
      </c>
      <c r="H166" s="104" t="str">
        <f>IF($H165="","",IFERROR(MATCH(1,INDEX((ROW('Game Records'!$U$5:$U$504)&gt;$H165)*(('Game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6" s="104"/>
      <c r="J166" s="104"/>
    </row>
    <row r="167" ht="24" hidden="0" customHeight="1">
      <c r="A167" s="332" t="str">
        <f>IF($H167="","",ROWS($A$5:A167))</f>
        <v/>
      </c>
      <c r="B167" s="332" t="str">
        <f>IF($H167="","","G-"&amp;TEXT($A167,"0000"))</f>
        <v/>
      </c>
      <c r="C167" s="331" t="str">
        <f>IF($H167="","",IFERROR(INDEX('Game Records'!$A:$A,$H167),""))</f>
        <v/>
      </c>
      <c r="D167" s="331" t="str">
        <f>IF($H167="","",IFERROR(INDEX('Game Records'!$U:$U,$H167),""))</f>
        <v/>
      </c>
      <c r="E167" s="331" t="str">
        <f>IF($H167="","",IF($F167="","No Highlighted Fields","Highlighted Fields Present"))</f>
        <v/>
      </c>
      <c r="F167" s="331" t="str">
        <f>IF($H167="","",IF(OR(NOT(ISFORMULA(INDEX('Game Records'!$N:$N,$H167))),NOT(ISFORMULA(INDEX('Game Records'!$O:$O,$H167))),NOT(ISFORMULA(INDEX('Game Records'!$P:$P,$H167))),NOT(ISFORMULA(INDEX('Game Records'!$Q:$Q,$H167))),NOT(ISFORMULA(INDEX('Game Records'!$R:$R,$H167))),NOT(ISFORMULA(INDEX('Game Records'!$S:$S,$H167))),NOT(ISFORMULA(INDEX('Game Records'!$T:$T,$H167))),NOT(ISFORMULA(INDEX('Game Records'!$U:$U,$H167))),NOT(ISFORMULA(INDEX('Game Records'!$V:$V,$H167))),NOT(ISFORMULA(INDEX('Game Records'!$W:$W,$H167))),NOT(ISFORMULA(INDEX('Game Records'!$X:$X,$H167))),NOT(ISFORMULA(INDEX('Game Records'!$Y:$Y,$H167))),NOT(ISFORMULA(INDEX('Game Records'!$Z:$Z,$H167)))),"Formula columns missing; ","")&amp;IF(INDEX('Game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Earned; ","")&amp;IF(AND(LOWER(INDEX('Game Records'!$D:$D,$H167)&amp;"")="finalized",INDEX('Game Records'!$U:$U,$H167)&lt;&gt;"Subscription",INDEX('Game Records'!$U:$U,$H167)&lt;&gt;"Free Game",INDEX('Game Records'!$U:$U,$H167)&lt;&gt;"Disqualified — Free Game",OR(INDEX('Game Records'!$L:$L,$H167)="",LOWER(INDEX('Game Records'!$L:$L,$H167)&amp;"")="n/a")),"Disqualified Status; ","")&amp;IF(AND(OR(INDEX('Game Records'!$U:$U,$H167)="Free Game",INDEX('Game Records'!$U:$U,$H167)="Disqualified — Free Game"),N(INDEX('Game Records'!$H:$H,$H167))&lt;&gt;0),"Free Game has a non-zero Entry Fee; ",""))</f>
        <v/>
      </c>
      <c r="G167" s="331" t="str">
        <f>IF($H167="","",IFERROR(INDEX('Game Records'!$M:$M,$H167),""))</f>
        <v/>
      </c>
      <c r="H167" s="104" t="str">
        <f>IF($H166="","",IFERROR(MATCH(1,INDEX((ROW('Game Records'!$U$5:$U$504)&gt;$H166)*(('Game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7" s="104"/>
      <c r="J167" s="104"/>
    </row>
    <row r="168" ht="24" hidden="0" customHeight="1">
      <c r="A168" s="332" t="str">
        <f>IF($H168="","",ROWS($A$5:A168))</f>
        <v/>
      </c>
      <c r="B168" s="332" t="str">
        <f>IF($H168="","","G-"&amp;TEXT($A168,"0000"))</f>
        <v/>
      </c>
      <c r="C168" s="331" t="str">
        <f>IF($H168="","",IFERROR(INDEX('Game Records'!$A:$A,$H168),""))</f>
        <v/>
      </c>
      <c r="D168" s="331" t="str">
        <f>IF($H168="","",IFERROR(INDEX('Game Records'!$U:$U,$H168),""))</f>
        <v/>
      </c>
      <c r="E168" s="331" t="str">
        <f>IF($H168="","",IF($F168="","No Highlighted Fields","Highlighted Fields Present"))</f>
        <v/>
      </c>
      <c r="F168" s="331" t="str">
        <f>IF($H168="","",IF(OR(NOT(ISFORMULA(INDEX('Game Records'!$N:$N,$H168))),NOT(ISFORMULA(INDEX('Game Records'!$O:$O,$H168))),NOT(ISFORMULA(INDEX('Game Records'!$P:$P,$H168))),NOT(ISFORMULA(INDEX('Game Records'!$Q:$Q,$H168))),NOT(ISFORMULA(INDEX('Game Records'!$R:$R,$H168))),NOT(ISFORMULA(INDEX('Game Records'!$S:$S,$H168))),NOT(ISFORMULA(INDEX('Game Records'!$T:$T,$H168))),NOT(ISFORMULA(INDEX('Game Records'!$U:$U,$H168))),NOT(ISFORMULA(INDEX('Game Records'!$V:$V,$H168))),NOT(ISFORMULA(INDEX('Game Records'!$W:$W,$H168))),NOT(ISFORMULA(INDEX('Game Records'!$X:$X,$H168))),NOT(ISFORMULA(INDEX('Game Records'!$Y:$Y,$H168))),NOT(ISFORMULA(INDEX('Game Records'!$Z:$Z,$H168)))),"Formula columns missing; ","")&amp;IF(INDEX('Game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Earned; ","")&amp;IF(AND(LOWER(INDEX('Game Records'!$D:$D,$H168)&amp;"")="finalized",INDEX('Game Records'!$U:$U,$H168)&lt;&gt;"Subscription",INDEX('Game Records'!$U:$U,$H168)&lt;&gt;"Free Game",INDEX('Game Records'!$U:$U,$H168)&lt;&gt;"Disqualified — Free Game",OR(INDEX('Game Records'!$L:$L,$H168)="",LOWER(INDEX('Game Records'!$L:$L,$H168)&amp;"")="n/a")),"Disqualified Status; ","")&amp;IF(AND(OR(INDEX('Game Records'!$U:$U,$H168)="Free Game",INDEX('Game Records'!$U:$U,$H168)="Disqualified — Free Game"),N(INDEX('Game Records'!$H:$H,$H168))&lt;&gt;0),"Free Game has a non-zero Entry Fee; ",""))</f>
        <v/>
      </c>
      <c r="G168" s="331" t="str">
        <f>IF($H168="","",IFERROR(INDEX('Game Records'!$M:$M,$H168),""))</f>
        <v/>
      </c>
      <c r="H168" s="104" t="str">
        <f>IF($H167="","",IFERROR(MATCH(1,INDEX((ROW('Game Records'!$U$5:$U$504)&gt;$H167)*(('Game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8" s="104"/>
      <c r="J168" s="104"/>
    </row>
    <row r="169" ht="24" hidden="0" customHeight="1">
      <c r="A169" s="332" t="str">
        <f>IF($H169="","",ROWS($A$5:A169))</f>
        <v/>
      </c>
      <c r="B169" s="332" t="str">
        <f>IF($H169="","","G-"&amp;TEXT($A169,"0000"))</f>
        <v/>
      </c>
      <c r="C169" s="331" t="str">
        <f>IF($H169="","",IFERROR(INDEX('Game Records'!$A:$A,$H169),""))</f>
        <v/>
      </c>
      <c r="D169" s="331" t="str">
        <f>IF($H169="","",IFERROR(INDEX('Game Records'!$U:$U,$H169),""))</f>
        <v/>
      </c>
      <c r="E169" s="331" t="str">
        <f>IF($H169="","",IF($F169="","No Highlighted Fields","Highlighted Fields Present"))</f>
        <v/>
      </c>
      <c r="F169" s="331" t="str">
        <f>IF($H169="","",IF(OR(NOT(ISFORMULA(INDEX('Game Records'!$N:$N,$H169))),NOT(ISFORMULA(INDEX('Game Records'!$O:$O,$H169))),NOT(ISFORMULA(INDEX('Game Records'!$P:$P,$H169))),NOT(ISFORMULA(INDEX('Game Records'!$Q:$Q,$H169))),NOT(ISFORMULA(INDEX('Game Records'!$R:$R,$H169))),NOT(ISFORMULA(INDEX('Game Records'!$S:$S,$H169))),NOT(ISFORMULA(INDEX('Game Records'!$T:$T,$H169))),NOT(ISFORMULA(INDEX('Game Records'!$U:$U,$H169))),NOT(ISFORMULA(INDEX('Game Records'!$V:$V,$H169))),NOT(ISFORMULA(INDEX('Game Records'!$W:$W,$H169))),NOT(ISFORMULA(INDEX('Game Records'!$X:$X,$H169))),NOT(ISFORMULA(INDEX('Game Records'!$Y:$Y,$H169))),NOT(ISFORMULA(INDEX('Game Records'!$Z:$Z,$H169)))),"Formula columns missing; ","")&amp;IF(INDEX('Game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Earned; ","")&amp;IF(AND(LOWER(INDEX('Game Records'!$D:$D,$H169)&amp;"")="finalized",INDEX('Game Records'!$U:$U,$H169)&lt;&gt;"Subscription",INDEX('Game Records'!$U:$U,$H169)&lt;&gt;"Free Game",INDEX('Game Records'!$U:$U,$H169)&lt;&gt;"Disqualified — Free Game",OR(INDEX('Game Records'!$L:$L,$H169)="",LOWER(INDEX('Game Records'!$L:$L,$H169)&amp;"")="n/a")),"Disqualified Status; ","")&amp;IF(AND(OR(INDEX('Game Records'!$U:$U,$H169)="Free Game",INDEX('Game Records'!$U:$U,$H169)="Disqualified — Free Game"),N(INDEX('Game Records'!$H:$H,$H169))&lt;&gt;0),"Free Game has a non-zero Entry Fee; ",""))</f>
        <v/>
      </c>
      <c r="G169" s="331" t="str">
        <f>IF($H169="","",IFERROR(INDEX('Game Records'!$M:$M,$H169),""))</f>
        <v/>
      </c>
      <c r="H169" s="104" t="str">
        <f>IF($H168="","",IFERROR(MATCH(1,INDEX((ROW('Game Records'!$U$5:$U$504)&gt;$H168)*(('Game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9" s="104"/>
      <c r="J169" s="104"/>
    </row>
    <row r="170" ht="24" hidden="0" customHeight="1">
      <c r="A170" s="332" t="str">
        <f>IF($H170="","",ROWS($A$5:A170))</f>
        <v/>
      </c>
      <c r="B170" s="332" t="str">
        <f>IF($H170="","","G-"&amp;TEXT($A170,"0000"))</f>
        <v/>
      </c>
      <c r="C170" s="331" t="str">
        <f>IF($H170="","",IFERROR(INDEX('Game Records'!$A:$A,$H170),""))</f>
        <v/>
      </c>
      <c r="D170" s="331" t="str">
        <f>IF($H170="","",IFERROR(INDEX('Game Records'!$U:$U,$H170),""))</f>
        <v/>
      </c>
      <c r="E170" s="331" t="str">
        <f>IF($H170="","",IF($F170="","No Highlighted Fields","Highlighted Fields Present"))</f>
        <v/>
      </c>
      <c r="F170" s="331" t="str">
        <f>IF($H170="","",IF(OR(NOT(ISFORMULA(INDEX('Game Records'!$N:$N,$H170))),NOT(ISFORMULA(INDEX('Game Records'!$O:$O,$H170))),NOT(ISFORMULA(INDEX('Game Records'!$P:$P,$H170))),NOT(ISFORMULA(INDEX('Game Records'!$Q:$Q,$H170))),NOT(ISFORMULA(INDEX('Game Records'!$R:$R,$H170))),NOT(ISFORMULA(INDEX('Game Records'!$S:$S,$H170))),NOT(ISFORMULA(INDEX('Game Records'!$T:$T,$H170))),NOT(ISFORMULA(INDEX('Game Records'!$U:$U,$H170))),NOT(ISFORMULA(INDEX('Game Records'!$V:$V,$H170))),NOT(ISFORMULA(INDEX('Game Records'!$W:$W,$H170))),NOT(ISFORMULA(INDEX('Game Records'!$X:$X,$H170))),NOT(ISFORMULA(INDEX('Game Records'!$Y:$Y,$H170))),NOT(ISFORMULA(INDEX('Game Records'!$Z:$Z,$H170)))),"Formula columns missing; ","")&amp;IF(INDEX('Game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Earned; ","")&amp;IF(AND(LOWER(INDEX('Game Records'!$D:$D,$H170)&amp;"")="finalized",INDEX('Game Records'!$U:$U,$H170)&lt;&gt;"Subscription",INDEX('Game Records'!$U:$U,$H170)&lt;&gt;"Free Game",INDEX('Game Records'!$U:$U,$H170)&lt;&gt;"Disqualified — Free Game",OR(INDEX('Game Records'!$L:$L,$H170)="",LOWER(INDEX('Game Records'!$L:$L,$H170)&amp;"")="n/a")),"Disqualified Status; ","")&amp;IF(AND(OR(INDEX('Game Records'!$U:$U,$H170)="Free Game",INDEX('Game Records'!$U:$U,$H170)="Disqualified — Free Game"),N(INDEX('Game Records'!$H:$H,$H170))&lt;&gt;0),"Free Game has a non-zero Entry Fee; ",""))</f>
        <v/>
      </c>
      <c r="G170" s="331" t="str">
        <f>IF($H170="","",IFERROR(INDEX('Game Records'!$M:$M,$H170),""))</f>
        <v/>
      </c>
      <c r="H170" s="104" t="str">
        <f>IF($H169="","",IFERROR(MATCH(1,INDEX((ROW('Game Records'!$U$5:$U$504)&gt;$H169)*(('Game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0" s="104"/>
      <c r="J170" s="104"/>
    </row>
    <row r="171" ht="24" hidden="0" customHeight="1">
      <c r="A171" s="332" t="str">
        <f>IF($H171="","",ROWS($A$5:A171))</f>
        <v/>
      </c>
      <c r="B171" s="332" t="str">
        <f>IF($H171="","","G-"&amp;TEXT($A171,"0000"))</f>
        <v/>
      </c>
      <c r="C171" s="331" t="str">
        <f>IF($H171="","",IFERROR(INDEX('Game Records'!$A:$A,$H171),""))</f>
        <v/>
      </c>
      <c r="D171" s="331" t="str">
        <f>IF($H171="","",IFERROR(INDEX('Game Records'!$U:$U,$H171),""))</f>
        <v/>
      </c>
      <c r="E171" s="331" t="str">
        <f>IF($H171="","",IF($F171="","No Highlighted Fields","Highlighted Fields Present"))</f>
        <v/>
      </c>
      <c r="F171" s="331" t="str">
        <f>IF($H171="","",IF(OR(NOT(ISFORMULA(INDEX('Game Records'!$N:$N,$H171))),NOT(ISFORMULA(INDEX('Game Records'!$O:$O,$H171))),NOT(ISFORMULA(INDEX('Game Records'!$P:$P,$H171))),NOT(ISFORMULA(INDEX('Game Records'!$Q:$Q,$H171))),NOT(ISFORMULA(INDEX('Game Records'!$R:$R,$H171))),NOT(ISFORMULA(INDEX('Game Records'!$S:$S,$H171))),NOT(ISFORMULA(INDEX('Game Records'!$T:$T,$H171))),NOT(ISFORMULA(INDEX('Game Records'!$U:$U,$H171))),NOT(ISFORMULA(INDEX('Game Records'!$V:$V,$H171))),NOT(ISFORMULA(INDEX('Game Records'!$W:$W,$H171))),NOT(ISFORMULA(INDEX('Game Records'!$X:$X,$H171))),NOT(ISFORMULA(INDEX('Game Records'!$Y:$Y,$H171))),NOT(ISFORMULA(INDEX('Game Records'!$Z:$Z,$H171)))),"Formula columns missing; ","")&amp;IF(INDEX('Game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Earned; ","")&amp;IF(AND(LOWER(INDEX('Game Records'!$D:$D,$H171)&amp;"")="finalized",INDEX('Game Records'!$U:$U,$H171)&lt;&gt;"Subscription",INDEX('Game Records'!$U:$U,$H171)&lt;&gt;"Free Game",INDEX('Game Records'!$U:$U,$H171)&lt;&gt;"Disqualified — Free Game",OR(INDEX('Game Records'!$L:$L,$H171)="",LOWER(INDEX('Game Records'!$L:$L,$H171)&amp;"")="n/a")),"Disqualified Status; ","")&amp;IF(AND(OR(INDEX('Game Records'!$U:$U,$H171)="Free Game",INDEX('Game Records'!$U:$U,$H171)="Disqualified — Free Game"),N(INDEX('Game Records'!$H:$H,$H171))&lt;&gt;0),"Free Game has a non-zero Entry Fee; ",""))</f>
        <v/>
      </c>
      <c r="G171" s="331" t="str">
        <f>IF($H171="","",IFERROR(INDEX('Game Records'!$M:$M,$H171),""))</f>
        <v/>
      </c>
      <c r="H171" s="104" t="str">
        <f>IF($H170="","",IFERROR(MATCH(1,INDEX((ROW('Game Records'!$U$5:$U$504)&gt;$H170)*(('Game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1" s="104"/>
      <c r="J171" s="104"/>
    </row>
    <row r="172" ht="24" hidden="0" customHeight="1">
      <c r="A172" s="332" t="str">
        <f>IF($H172="","",ROWS($A$5:A172))</f>
        <v/>
      </c>
      <c r="B172" s="332" t="str">
        <f>IF($H172="","","G-"&amp;TEXT($A172,"0000"))</f>
        <v/>
      </c>
      <c r="C172" s="331" t="str">
        <f>IF($H172="","",IFERROR(INDEX('Game Records'!$A:$A,$H172),""))</f>
        <v/>
      </c>
      <c r="D172" s="331" t="str">
        <f>IF($H172="","",IFERROR(INDEX('Game Records'!$U:$U,$H172),""))</f>
        <v/>
      </c>
      <c r="E172" s="331" t="str">
        <f>IF($H172="","",IF($F172="","No Highlighted Fields","Highlighted Fields Present"))</f>
        <v/>
      </c>
      <c r="F172" s="331" t="str">
        <f>IF($H172="","",IF(OR(NOT(ISFORMULA(INDEX('Game Records'!$N:$N,$H172))),NOT(ISFORMULA(INDEX('Game Records'!$O:$O,$H172))),NOT(ISFORMULA(INDEX('Game Records'!$P:$P,$H172))),NOT(ISFORMULA(INDEX('Game Records'!$Q:$Q,$H172))),NOT(ISFORMULA(INDEX('Game Records'!$R:$R,$H172))),NOT(ISFORMULA(INDEX('Game Records'!$S:$S,$H172))),NOT(ISFORMULA(INDEX('Game Records'!$T:$T,$H172))),NOT(ISFORMULA(INDEX('Game Records'!$U:$U,$H172))),NOT(ISFORMULA(INDEX('Game Records'!$V:$V,$H172))),NOT(ISFORMULA(INDEX('Game Records'!$W:$W,$H172))),NOT(ISFORMULA(INDEX('Game Records'!$X:$X,$H172))),NOT(ISFORMULA(INDEX('Game Records'!$Y:$Y,$H172))),NOT(ISFORMULA(INDEX('Game Records'!$Z:$Z,$H172)))),"Formula columns missing; ","")&amp;IF(INDEX('Game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Earned; ","")&amp;IF(AND(LOWER(INDEX('Game Records'!$D:$D,$H172)&amp;"")="finalized",INDEX('Game Records'!$U:$U,$H172)&lt;&gt;"Subscription",INDEX('Game Records'!$U:$U,$H172)&lt;&gt;"Free Game",INDEX('Game Records'!$U:$U,$H172)&lt;&gt;"Disqualified — Free Game",OR(INDEX('Game Records'!$L:$L,$H172)="",LOWER(INDEX('Game Records'!$L:$L,$H172)&amp;"")="n/a")),"Disqualified Status; ","")&amp;IF(AND(OR(INDEX('Game Records'!$U:$U,$H172)="Free Game",INDEX('Game Records'!$U:$U,$H172)="Disqualified — Free Game"),N(INDEX('Game Records'!$H:$H,$H172))&lt;&gt;0),"Free Game has a non-zero Entry Fee; ",""))</f>
        <v/>
      </c>
      <c r="G172" s="331" t="str">
        <f>IF($H172="","",IFERROR(INDEX('Game Records'!$M:$M,$H172),""))</f>
        <v/>
      </c>
      <c r="H172" s="104" t="str">
        <f>IF($H171="","",IFERROR(MATCH(1,INDEX((ROW('Game Records'!$U$5:$U$504)&gt;$H171)*(('Game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2" s="104"/>
      <c r="J172" s="104"/>
    </row>
    <row r="173" ht="24" hidden="0" customHeight="1">
      <c r="A173" s="332" t="str">
        <f>IF($H173="","",ROWS($A$5:A173))</f>
        <v/>
      </c>
      <c r="B173" s="332" t="str">
        <f>IF($H173="","","G-"&amp;TEXT($A173,"0000"))</f>
        <v/>
      </c>
      <c r="C173" s="331" t="str">
        <f>IF($H173="","",IFERROR(INDEX('Game Records'!$A:$A,$H173),""))</f>
        <v/>
      </c>
      <c r="D173" s="331" t="str">
        <f>IF($H173="","",IFERROR(INDEX('Game Records'!$U:$U,$H173),""))</f>
        <v/>
      </c>
      <c r="E173" s="331" t="str">
        <f>IF($H173="","",IF($F173="","No Highlighted Fields","Highlighted Fields Present"))</f>
        <v/>
      </c>
      <c r="F173" s="331" t="str">
        <f>IF($H173="","",IF(OR(NOT(ISFORMULA(INDEX('Game Records'!$N:$N,$H173))),NOT(ISFORMULA(INDEX('Game Records'!$O:$O,$H173))),NOT(ISFORMULA(INDEX('Game Records'!$P:$P,$H173))),NOT(ISFORMULA(INDEX('Game Records'!$Q:$Q,$H173))),NOT(ISFORMULA(INDEX('Game Records'!$R:$R,$H173))),NOT(ISFORMULA(INDEX('Game Records'!$S:$S,$H173))),NOT(ISFORMULA(INDEX('Game Records'!$T:$T,$H173))),NOT(ISFORMULA(INDEX('Game Records'!$U:$U,$H173))),NOT(ISFORMULA(INDEX('Game Records'!$V:$V,$H173))),NOT(ISFORMULA(INDEX('Game Records'!$W:$W,$H173))),NOT(ISFORMULA(INDEX('Game Records'!$X:$X,$H173))),NOT(ISFORMULA(INDEX('Game Records'!$Y:$Y,$H173))),NOT(ISFORMULA(INDEX('Game Records'!$Z:$Z,$H173)))),"Formula columns missing; ","")&amp;IF(INDEX('Game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Earned; ","")&amp;IF(AND(LOWER(INDEX('Game Records'!$D:$D,$H173)&amp;"")="finalized",INDEX('Game Records'!$U:$U,$H173)&lt;&gt;"Subscription",INDEX('Game Records'!$U:$U,$H173)&lt;&gt;"Free Game",INDEX('Game Records'!$U:$U,$H173)&lt;&gt;"Disqualified — Free Game",OR(INDEX('Game Records'!$L:$L,$H173)="",LOWER(INDEX('Game Records'!$L:$L,$H173)&amp;"")="n/a")),"Disqualified Status; ","")&amp;IF(AND(OR(INDEX('Game Records'!$U:$U,$H173)="Free Game",INDEX('Game Records'!$U:$U,$H173)="Disqualified — Free Game"),N(INDEX('Game Records'!$H:$H,$H173))&lt;&gt;0),"Free Game has a non-zero Entry Fee; ",""))</f>
        <v/>
      </c>
      <c r="G173" s="331" t="str">
        <f>IF($H173="","",IFERROR(INDEX('Game Records'!$M:$M,$H173),""))</f>
        <v/>
      </c>
      <c r="H173" s="104" t="str">
        <f>IF($H172="","",IFERROR(MATCH(1,INDEX((ROW('Game Records'!$U$5:$U$504)&gt;$H172)*(('Game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3" s="104"/>
      <c r="J173" s="104"/>
    </row>
    <row r="174" ht="24" hidden="0" customHeight="1">
      <c r="A174" s="332" t="str">
        <f>IF($H174="","",ROWS($A$5:A174))</f>
        <v/>
      </c>
      <c r="B174" s="332" t="str">
        <f>IF($H174="","","G-"&amp;TEXT($A174,"0000"))</f>
        <v/>
      </c>
      <c r="C174" s="331" t="str">
        <f>IF($H174="","",IFERROR(INDEX('Game Records'!$A:$A,$H174),""))</f>
        <v/>
      </c>
      <c r="D174" s="331" t="str">
        <f>IF($H174="","",IFERROR(INDEX('Game Records'!$U:$U,$H174),""))</f>
        <v/>
      </c>
      <c r="E174" s="331" t="str">
        <f>IF($H174="","",IF($F174="","No Highlighted Fields","Highlighted Fields Present"))</f>
        <v/>
      </c>
      <c r="F174" s="331" t="str">
        <f>IF($H174="","",IF(OR(NOT(ISFORMULA(INDEX('Game Records'!$N:$N,$H174))),NOT(ISFORMULA(INDEX('Game Records'!$O:$O,$H174))),NOT(ISFORMULA(INDEX('Game Records'!$P:$P,$H174))),NOT(ISFORMULA(INDEX('Game Records'!$Q:$Q,$H174))),NOT(ISFORMULA(INDEX('Game Records'!$R:$R,$H174))),NOT(ISFORMULA(INDEX('Game Records'!$S:$S,$H174))),NOT(ISFORMULA(INDEX('Game Records'!$T:$T,$H174))),NOT(ISFORMULA(INDEX('Game Records'!$U:$U,$H174))),NOT(ISFORMULA(INDEX('Game Records'!$V:$V,$H174))),NOT(ISFORMULA(INDEX('Game Records'!$W:$W,$H174))),NOT(ISFORMULA(INDEX('Game Records'!$X:$X,$H174))),NOT(ISFORMULA(INDEX('Game Records'!$Y:$Y,$H174))),NOT(ISFORMULA(INDEX('Game Records'!$Z:$Z,$H174)))),"Formula columns missing; ","")&amp;IF(INDEX('Game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Earned; ","")&amp;IF(AND(LOWER(INDEX('Game Records'!$D:$D,$H174)&amp;"")="finalized",INDEX('Game Records'!$U:$U,$H174)&lt;&gt;"Subscription",INDEX('Game Records'!$U:$U,$H174)&lt;&gt;"Free Game",INDEX('Game Records'!$U:$U,$H174)&lt;&gt;"Disqualified — Free Game",OR(INDEX('Game Records'!$L:$L,$H174)="",LOWER(INDEX('Game Records'!$L:$L,$H174)&amp;"")="n/a")),"Disqualified Status; ","")&amp;IF(AND(OR(INDEX('Game Records'!$U:$U,$H174)="Free Game",INDEX('Game Records'!$U:$U,$H174)="Disqualified — Free Game"),N(INDEX('Game Records'!$H:$H,$H174))&lt;&gt;0),"Free Game has a non-zero Entry Fee; ",""))</f>
        <v/>
      </c>
      <c r="G174" s="331" t="str">
        <f>IF($H174="","",IFERROR(INDEX('Game Records'!$M:$M,$H174),""))</f>
        <v/>
      </c>
      <c r="H174" s="104" t="str">
        <f>IF($H173="","",IFERROR(MATCH(1,INDEX((ROW('Game Records'!$U$5:$U$504)&gt;$H173)*(('Game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4" s="104"/>
      <c r="J174" s="104"/>
    </row>
    <row r="175" ht="24" hidden="0" customHeight="1">
      <c r="A175" s="332" t="str">
        <f>IF($H175="","",ROWS($A$5:A175))</f>
        <v/>
      </c>
      <c r="B175" s="332" t="str">
        <f>IF($H175="","","G-"&amp;TEXT($A175,"0000"))</f>
        <v/>
      </c>
      <c r="C175" s="331" t="str">
        <f>IF($H175="","",IFERROR(INDEX('Game Records'!$A:$A,$H175),""))</f>
        <v/>
      </c>
      <c r="D175" s="331" t="str">
        <f>IF($H175="","",IFERROR(INDEX('Game Records'!$U:$U,$H175),""))</f>
        <v/>
      </c>
      <c r="E175" s="331" t="str">
        <f>IF($H175="","",IF($F175="","No Highlighted Fields","Highlighted Fields Present"))</f>
        <v/>
      </c>
      <c r="F175" s="331" t="str">
        <f>IF($H175="","",IF(OR(NOT(ISFORMULA(INDEX('Game Records'!$N:$N,$H175))),NOT(ISFORMULA(INDEX('Game Records'!$O:$O,$H175))),NOT(ISFORMULA(INDEX('Game Records'!$P:$P,$H175))),NOT(ISFORMULA(INDEX('Game Records'!$Q:$Q,$H175))),NOT(ISFORMULA(INDEX('Game Records'!$R:$R,$H175))),NOT(ISFORMULA(INDEX('Game Records'!$S:$S,$H175))),NOT(ISFORMULA(INDEX('Game Records'!$T:$T,$H175))),NOT(ISFORMULA(INDEX('Game Records'!$U:$U,$H175))),NOT(ISFORMULA(INDEX('Game Records'!$V:$V,$H175))),NOT(ISFORMULA(INDEX('Game Records'!$W:$W,$H175))),NOT(ISFORMULA(INDEX('Game Records'!$X:$X,$H175))),NOT(ISFORMULA(INDEX('Game Records'!$Y:$Y,$H175))),NOT(ISFORMULA(INDEX('Game Records'!$Z:$Z,$H175)))),"Formula columns missing; ","")&amp;IF(INDEX('Game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Earned; ","")&amp;IF(AND(LOWER(INDEX('Game Records'!$D:$D,$H175)&amp;"")="finalized",INDEX('Game Records'!$U:$U,$H175)&lt;&gt;"Subscription",INDEX('Game Records'!$U:$U,$H175)&lt;&gt;"Free Game",INDEX('Game Records'!$U:$U,$H175)&lt;&gt;"Disqualified — Free Game",OR(INDEX('Game Records'!$L:$L,$H175)="",LOWER(INDEX('Game Records'!$L:$L,$H175)&amp;"")="n/a")),"Disqualified Status; ","")&amp;IF(AND(OR(INDEX('Game Records'!$U:$U,$H175)="Free Game",INDEX('Game Records'!$U:$U,$H175)="Disqualified — Free Game"),N(INDEX('Game Records'!$H:$H,$H175))&lt;&gt;0),"Free Game has a non-zero Entry Fee; ",""))</f>
        <v/>
      </c>
      <c r="G175" s="331" t="str">
        <f>IF($H175="","",IFERROR(INDEX('Game Records'!$M:$M,$H175),""))</f>
        <v/>
      </c>
      <c r="H175" s="104" t="str">
        <f>IF($H174="","",IFERROR(MATCH(1,INDEX((ROW('Game Records'!$U$5:$U$504)&gt;$H174)*(('Game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5" s="104"/>
      <c r="J175" s="104"/>
    </row>
    <row r="176" ht="24" hidden="0" customHeight="1">
      <c r="A176" s="332" t="str">
        <f>IF($H176="","",ROWS($A$5:A176))</f>
        <v/>
      </c>
      <c r="B176" s="332" t="str">
        <f>IF($H176="","","G-"&amp;TEXT($A176,"0000"))</f>
        <v/>
      </c>
      <c r="C176" s="331" t="str">
        <f>IF($H176="","",IFERROR(INDEX('Game Records'!$A:$A,$H176),""))</f>
        <v/>
      </c>
      <c r="D176" s="331" t="str">
        <f>IF($H176="","",IFERROR(INDEX('Game Records'!$U:$U,$H176),""))</f>
        <v/>
      </c>
      <c r="E176" s="331" t="str">
        <f>IF($H176="","",IF($F176="","No Highlighted Fields","Highlighted Fields Present"))</f>
        <v/>
      </c>
      <c r="F176" s="331" t="str">
        <f>IF($H176="","",IF(OR(NOT(ISFORMULA(INDEX('Game Records'!$N:$N,$H176))),NOT(ISFORMULA(INDEX('Game Records'!$O:$O,$H176))),NOT(ISFORMULA(INDEX('Game Records'!$P:$P,$H176))),NOT(ISFORMULA(INDEX('Game Records'!$Q:$Q,$H176))),NOT(ISFORMULA(INDEX('Game Records'!$R:$R,$H176))),NOT(ISFORMULA(INDEX('Game Records'!$S:$S,$H176))),NOT(ISFORMULA(INDEX('Game Records'!$T:$T,$H176))),NOT(ISFORMULA(INDEX('Game Records'!$U:$U,$H176))),NOT(ISFORMULA(INDEX('Game Records'!$V:$V,$H176))),NOT(ISFORMULA(INDEX('Game Records'!$W:$W,$H176))),NOT(ISFORMULA(INDEX('Game Records'!$X:$X,$H176))),NOT(ISFORMULA(INDEX('Game Records'!$Y:$Y,$H176))),NOT(ISFORMULA(INDEX('Game Records'!$Z:$Z,$H176)))),"Formula columns missing; ","")&amp;IF(INDEX('Game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Earned; ","")&amp;IF(AND(LOWER(INDEX('Game Records'!$D:$D,$H176)&amp;"")="finalized",INDEX('Game Records'!$U:$U,$H176)&lt;&gt;"Subscription",INDEX('Game Records'!$U:$U,$H176)&lt;&gt;"Free Game",INDEX('Game Records'!$U:$U,$H176)&lt;&gt;"Disqualified — Free Game",OR(INDEX('Game Records'!$L:$L,$H176)="",LOWER(INDEX('Game Records'!$L:$L,$H176)&amp;"")="n/a")),"Disqualified Status; ","")&amp;IF(AND(OR(INDEX('Game Records'!$U:$U,$H176)="Free Game",INDEX('Game Records'!$U:$U,$H176)="Disqualified — Free Game"),N(INDEX('Game Records'!$H:$H,$H176))&lt;&gt;0),"Free Game has a non-zero Entry Fee; ",""))</f>
        <v/>
      </c>
      <c r="G176" s="331" t="str">
        <f>IF($H176="","",IFERROR(INDEX('Game Records'!$M:$M,$H176),""))</f>
        <v/>
      </c>
      <c r="H176" s="104" t="str">
        <f>IF($H175="","",IFERROR(MATCH(1,INDEX((ROW('Game Records'!$U$5:$U$504)&gt;$H175)*(('Game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6" s="104"/>
      <c r="J176" s="104"/>
    </row>
    <row r="177" ht="24" hidden="0" customHeight="1">
      <c r="A177" s="332" t="str">
        <f>IF($H177="","",ROWS($A$5:A177))</f>
        <v/>
      </c>
      <c r="B177" s="332" t="str">
        <f>IF($H177="","","G-"&amp;TEXT($A177,"0000"))</f>
        <v/>
      </c>
      <c r="C177" s="331" t="str">
        <f>IF($H177="","",IFERROR(INDEX('Game Records'!$A:$A,$H177),""))</f>
        <v/>
      </c>
      <c r="D177" s="331" t="str">
        <f>IF($H177="","",IFERROR(INDEX('Game Records'!$U:$U,$H177),""))</f>
        <v/>
      </c>
      <c r="E177" s="331" t="str">
        <f>IF($H177="","",IF($F177="","No Highlighted Fields","Highlighted Fields Present"))</f>
        <v/>
      </c>
      <c r="F177" s="331" t="str">
        <f>IF($H177="","",IF(OR(NOT(ISFORMULA(INDEX('Game Records'!$N:$N,$H177))),NOT(ISFORMULA(INDEX('Game Records'!$O:$O,$H177))),NOT(ISFORMULA(INDEX('Game Records'!$P:$P,$H177))),NOT(ISFORMULA(INDEX('Game Records'!$Q:$Q,$H177))),NOT(ISFORMULA(INDEX('Game Records'!$R:$R,$H177))),NOT(ISFORMULA(INDEX('Game Records'!$S:$S,$H177))),NOT(ISFORMULA(INDEX('Game Records'!$T:$T,$H177))),NOT(ISFORMULA(INDEX('Game Records'!$U:$U,$H177))),NOT(ISFORMULA(INDEX('Game Records'!$V:$V,$H177))),NOT(ISFORMULA(INDEX('Game Records'!$W:$W,$H177))),NOT(ISFORMULA(INDEX('Game Records'!$X:$X,$H177))),NOT(ISFORMULA(INDEX('Game Records'!$Y:$Y,$H177))),NOT(ISFORMULA(INDEX('Game Records'!$Z:$Z,$H177)))),"Formula columns missing; ","")&amp;IF(INDEX('Game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Earned; ","")&amp;IF(AND(LOWER(INDEX('Game Records'!$D:$D,$H177)&amp;"")="finalized",INDEX('Game Records'!$U:$U,$H177)&lt;&gt;"Subscription",INDEX('Game Records'!$U:$U,$H177)&lt;&gt;"Free Game",INDEX('Game Records'!$U:$U,$H177)&lt;&gt;"Disqualified — Free Game",OR(INDEX('Game Records'!$L:$L,$H177)="",LOWER(INDEX('Game Records'!$L:$L,$H177)&amp;"")="n/a")),"Disqualified Status; ","")&amp;IF(AND(OR(INDEX('Game Records'!$U:$U,$H177)="Free Game",INDEX('Game Records'!$U:$U,$H177)="Disqualified — Free Game"),N(INDEX('Game Records'!$H:$H,$H177))&lt;&gt;0),"Free Game has a non-zero Entry Fee; ",""))</f>
        <v/>
      </c>
      <c r="G177" s="331" t="str">
        <f>IF($H177="","",IFERROR(INDEX('Game Records'!$M:$M,$H177),""))</f>
        <v/>
      </c>
      <c r="H177" s="104" t="str">
        <f>IF($H176="","",IFERROR(MATCH(1,INDEX((ROW('Game Records'!$U$5:$U$504)&gt;$H176)*(('Game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7" s="104"/>
      <c r="J177" s="104"/>
    </row>
    <row r="178" ht="24" hidden="0" customHeight="1">
      <c r="A178" s="332" t="str">
        <f>IF($H178="","",ROWS($A$5:A178))</f>
        <v/>
      </c>
      <c r="B178" s="332" t="str">
        <f>IF($H178="","","G-"&amp;TEXT($A178,"0000"))</f>
        <v/>
      </c>
      <c r="C178" s="331" t="str">
        <f>IF($H178="","",IFERROR(INDEX('Game Records'!$A:$A,$H178),""))</f>
        <v/>
      </c>
      <c r="D178" s="331" t="str">
        <f>IF($H178="","",IFERROR(INDEX('Game Records'!$U:$U,$H178),""))</f>
        <v/>
      </c>
      <c r="E178" s="331" t="str">
        <f>IF($H178="","",IF($F178="","No Highlighted Fields","Highlighted Fields Present"))</f>
        <v/>
      </c>
      <c r="F178" s="331" t="str">
        <f>IF($H178="","",IF(OR(NOT(ISFORMULA(INDEX('Game Records'!$N:$N,$H178))),NOT(ISFORMULA(INDEX('Game Records'!$O:$O,$H178))),NOT(ISFORMULA(INDEX('Game Records'!$P:$P,$H178))),NOT(ISFORMULA(INDEX('Game Records'!$Q:$Q,$H178))),NOT(ISFORMULA(INDEX('Game Records'!$R:$R,$H178))),NOT(ISFORMULA(INDEX('Game Records'!$S:$S,$H178))),NOT(ISFORMULA(INDEX('Game Records'!$T:$T,$H178))),NOT(ISFORMULA(INDEX('Game Records'!$U:$U,$H178))),NOT(ISFORMULA(INDEX('Game Records'!$V:$V,$H178))),NOT(ISFORMULA(INDEX('Game Records'!$W:$W,$H178))),NOT(ISFORMULA(INDEX('Game Records'!$X:$X,$H178))),NOT(ISFORMULA(INDEX('Game Records'!$Y:$Y,$H178))),NOT(ISFORMULA(INDEX('Game Records'!$Z:$Z,$H178)))),"Formula columns missing; ","")&amp;IF(INDEX('Game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Earned; ","")&amp;IF(AND(LOWER(INDEX('Game Records'!$D:$D,$H178)&amp;"")="finalized",INDEX('Game Records'!$U:$U,$H178)&lt;&gt;"Subscription",INDEX('Game Records'!$U:$U,$H178)&lt;&gt;"Free Game",INDEX('Game Records'!$U:$U,$H178)&lt;&gt;"Disqualified — Free Game",OR(INDEX('Game Records'!$L:$L,$H178)="",LOWER(INDEX('Game Records'!$L:$L,$H178)&amp;"")="n/a")),"Disqualified Status; ","")&amp;IF(AND(OR(INDEX('Game Records'!$U:$U,$H178)="Free Game",INDEX('Game Records'!$U:$U,$H178)="Disqualified — Free Game"),N(INDEX('Game Records'!$H:$H,$H178))&lt;&gt;0),"Free Game has a non-zero Entry Fee; ",""))</f>
        <v/>
      </c>
      <c r="G178" s="331" t="str">
        <f>IF($H178="","",IFERROR(INDEX('Game Records'!$M:$M,$H178),""))</f>
        <v/>
      </c>
      <c r="H178" s="104" t="str">
        <f>IF($H177="","",IFERROR(MATCH(1,INDEX((ROW('Game Records'!$U$5:$U$504)&gt;$H177)*(('Game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8" s="104"/>
      <c r="J178" s="104"/>
    </row>
    <row r="179" ht="24" hidden="0" customHeight="1">
      <c r="A179" s="332" t="str">
        <f>IF($H179="","",ROWS($A$5:A179))</f>
        <v/>
      </c>
      <c r="B179" s="332" t="str">
        <f>IF($H179="","","G-"&amp;TEXT($A179,"0000"))</f>
        <v/>
      </c>
      <c r="C179" s="331" t="str">
        <f>IF($H179="","",IFERROR(INDEX('Game Records'!$A:$A,$H179),""))</f>
        <v/>
      </c>
      <c r="D179" s="331" t="str">
        <f>IF($H179="","",IFERROR(INDEX('Game Records'!$U:$U,$H179),""))</f>
        <v/>
      </c>
      <c r="E179" s="331" t="str">
        <f>IF($H179="","",IF($F179="","No Highlighted Fields","Highlighted Fields Present"))</f>
        <v/>
      </c>
      <c r="F179" s="331" t="str">
        <f>IF($H179="","",IF(OR(NOT(ISFORMULA(INDEX('Game Records'!$N:$N,$H179))),NOT(ISFORMULA(INDEX('Game Records'!$O:$O,$H179))),NOT(ISFORMULA(INDEX('Game Records'!$P:$P,$H179))),NOT(ISFORMULA(INDEX('Game Records'!$Q:$Q,$H179))),NOT(ISFORMULA(INDEX('Game Records'!$R:$R,$H179))),NOT(ISFORMULA(INDEX('Game Records'!$S:$S,$H179))),NOT(ISFORMULA(INDEX('Game Records'!$T:$T,$H179))),NOT(ISFORMULA(INDEX('Game Records'!$U:$U,$H179))),NOT(ISFORMULA(INDEX('Game Records'!$V:$V,$H179))),NOT(ISFORMULA(INDEX('Game Records'!$W:$W,$H179))),NOT(ISFORMULA(INDEX('Game Records'!$X:$X,$H179))),NOT(ISFORMULA(INDEX('Game Records'!$Y:$Y,$H179))),NOT(ISFORMULA(INDEX('Game Records'!$Z:$Z,$H179)))),"Formula columns missing; ","")&amp;IF(INDEX('Game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Earned; ","")&amp;IF(AND(LOWER(INDEX('Game Records'!$D:$D,$H179)&amp;"")="finalized",INDEX('Game Records'!$U:$U,$H179)&lt;&gt;"Subscription",INDEX('Game Records'!$U:$U,$H179)&lt;&gt;"Free Game",INDEX('Game Records'!$U:$U,$H179)&lt;&gt;"Disqualified — Free Game",OR(INDEX('Game Records'!$L:$L,$H179)="",LOWER(INDEX('Game Records'!$L:$L,$H179)&amp;"")="n/a")),"Disqualified Status; ","")&amp;IF(AND(OR(INDEX('Game Records'!$U:$U,$H179)="Free Game",INDEX('Game Records'!$U:$U,$H179)="Disqualified — Free Game"),N(INDEX('Game Records'!$H:$H,$H179))&lt;&gt;0),"Free Game has a non-zero Entry Fee; ",""))</f>
        <v/>
      </c>
      <c r="G179" s="331" t="str">
        <f>IF($H179="","",IFERROR(INDEX('Game Records'!$M:$M,$H179),""))</f>
        <v/>
      </c>
      <c r="H179" s="104" t="str">
        <f>IF($H178="","",IFERROR(MATCH(1,INDEX((ROW('Game Records'!$U$5:$U$504)&gt;$H178)*(('Game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9" s="104"/>
      <c r="J179" s="104"/>
    </row>
    <row r="180" ht="24" hidden="0" customHeight="1">
      <c r="A180" s="332" t="str">
        <f>IF($H180="","",ROWS($A$5:A180))</f>
        <v/>
      </c>
      <c r="B180" s="332" t="str">
        <f>IF($H180="","","G-"&amp;TEXT($A180,"0000"))</f>
        <v/>
      </c>
      <c r="C180" s="331" t="str">
        <f>IF($H180="","",IFERROR(INDEX('Game Records'!$A:$A,$H180),""))</f>
        <v/>
      </c>
      <c r="D180" s="331" t="str">
        <f>IF($H180="","",IFERROR(INDEX('Game Records'!$U:$U,$H180),""))</f>
        <v/>
      </c>
      <c r="E180" s="331" t="str">
        <f>IF($H180="","",IF($F180="","No Highlighted Fields","Highlighted Fields Present"))</f>
        <v/>
      </c>
      <c r="F180" s="331" t="str">
        <f>IF($H180="","",IF(OR(NOT(ISFORMULA(INDEX('Game Records'!$N:$N,$H180))),NOT(ISFORMULA(INDEX('Game Records'!$O:$O,$H180))),NOT(ISFORMULA(INDEX('Game Records'!$P:$P,$H180))),NOT(ISFORMULA(INDEX('Game Records'!$Q:$Q,$H180))),NOT(ISFORMULA(INDEX('Game Records'!$R:$R,$H180))),NOT(ISFORMULA(INDEX('Game Records'!$S:$S,$H180))),NOT(ISFORMULA(INDEX('Game Records'!$T:$T,$H180))),NOT(ISFORMULA(INDEX('Game Records'!$U:$U,$H180))),NOT(ISFORMULA(INDEX('Game Records'!$V:$V,$H180))),NOT(ISFORMULA(INDEX('Game Records'!$W:$W,$H180))),NOT(ISFORMULA(INDEX('Game Records'!$X:$X,$H180))),NOT(ISFORMULA(INDEX('Game Records'!$Y:$Y,$H180))),NOT(ISFORMULA(INDEX('Game Records'!$Z:$Z,$H180)))),"Formula columns missing; ","")&amp;IF(INDEX('Game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Earned; ","")&amp;IF(AND(LOWER(INDEX('Game Records'!$D:$D,$H180)&amp;"")="finalized",INDEX('Game Records'!$U:$U,$H180)&lt;&gt;"Subscription",INDEX('Game Records'!$U:$U,$H180)&lt;&gt;"Free Game",INDEX('Game Records'!$U:$U,$H180)&lt;&gt;"Disqualified — Free Game",OR(INDEX('Game Records'!$L:$L,$H180)="",LOWER(INDEX('Game Records'!$L:$L,$H180)&amp;"")="n/a")),"Disqualified Status; ","")&amp;IF(AND(OR(INDEX('Game Records'!$U:$U,$H180)="Free Game",INDEX('Game Records'!$U:$U,$H180)="Disqualified — Free Game"),N(INDEX('Game Records'!$H:$H,$H180))&lt;&gt;0),"Free Game has a non-zero Entry Fee; ",""))</f>
        <v/>
      </c>
      <c r="G180" s="331" t="str">
        <f>IF($H180="","",IFERROR(INDEX('Game Records'!$M:$M,$H180),""))</f>
        <v/>
      </c>
      <c r="H180" s="104" t="str">
        <f>IF($H179="","",IFERROR(MATCH(1,INDEX((ROW('Game Records'!$U$5:$U$504)&gt;$H179)*(('Game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0" s="104"/>
      <c r="J180" s="104"/>
    </row>
    <row r="181" ht="24" hidden="0" customHeight="1">
      <c r="A181" s="332" t="str">
        <f>IF($H181="","",ROWS($A$5:A181))</f>
        <v/>
      </c>
      <c r="B181" s="332" t="str">
        <f>IF($H181="","","G-"&amp;TEXT($A181,"0000"))</f>
        <v/>
      </c>
      <c r="C181" s="331" t="str">
        <f>IF($H181="","",IFERROR(INDEX('Game Records'!$A:$A,$H181),""))</f>
        <v/>
      </c>
      <c r="D181" s="331" t="str">
        <f>IF($H181="","",IFERROR(INDEX('Game Records'!$U:$U,$H181),""))</f>
        <v/>
      </c>
      <c r="E181" s="331" t="str">
        <f>IF($H181="","",IF($F181="","No Highlighted Fields","Highlighted Fields Present"))</f>
        <v/>
      </c>
      <c r="F181" s="331" t="str">
        <f>IF($H181="","",IF(OR(NOT(ISFORMULA(INDEX('Game Records'!$N:$N,$H181))),NOT(ISFORMULA(INDEX('Game Records'!$O:$O,$H181))),NOT(ISFORMULA(INDEX('Game Records'!$P:$P,$H181))),NOT(ISFORMULA(INDEX('Game Records'!$Q:$Q,$H181))),NOT(ISFORMULA(INDEX('Game Records'!$R:$R,$H181))),NOT(ISFORMULA(INDEX('Game Records'!$S:$S,$H181))),NOT(ISFORMULA(INDEX('Game Records'!$T:$T,$H181))),NOT(ISFORMULA(INDEX('Game Records'!$U:$U,$H181))),NOT(ISFORMULA(INDEX('Game Records'!$V:$V,$H181))),NOT(ISFORMULA(INDEX('Game Records'!$W:$W,$H181))),NOT(ISFORMULA(INDEX('Game Records'!$X:$X,$H181))),NOT(ISFORMULA(INDEX('Game Records'!$Y:$Y,$H181))),NOT(ISFORMULA(INDEX('Game Records'!$Z:$Z,$H181)))),"Formula columns missing; ","")&amp;IF(INDEX('Game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Earned; ","")&amp;IF(AND(LOWER(INDEX('Game Records'!$D:$D,$H181)&amp;"")="finalized",INDEX('Game Records'!$U:$U,$H181)&lt;&gt;"Subscription",INDEX('Game Records'!$U:$U,$H181)&lt;&gt;"Free Game",INDEX('Game Records'!$U:$U,$H181)&lt;&gt;"Disqualified — Free Game",OR(INDEX('Game Records'!$L:$L,$H181)="",LOWER(INDEX('Game Records'!$L:$L,$H181)&amp;"")="n/a")),"Disqualified Status; ","")&amp;IF(AND(OR(INDEX('Game Records'!$U:$U,$H181)="Free Game",INDEX('Game Records'!$U:$U,$H181)="Disqualified — Free Game"),N(INDEX('Game Records'!$H:$H,$H181))&lt;&gt;0),"Free Game has a non-zero Entry Fee; ",""))</f>
        <v/>
      </c>
      <c r="G181" s="331" t="str">
        <f>IF($H181="","",IFERROR(INDEX('Game Records'!$M:$M,$H181),""))</f>
        <v/>
      </c>
      <c r="H181" s="104" t="str">
        <f>IF($H180="","",IFERROR(MATCH(1,INDEX((ROW('Game Records'!$U$5:$U$504)&gt;$H180)*(('Game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1" s="104"/>
      <c r="J181" s="104"/>
    </row>
    <row r="182" ht="24" hidden="0" customHeight="1">
      <c r="A182" s="332" t="str">
        <f>IF($H182="","",ROWS($A$5:A182))</f>
        <v/>
      </c>
      <c r="B182" s="332" t="str">
        <f>IF($H182="","","G-"&amp;TEXT($A182,"0000"))</f>
        <v/>
      </c>
      <c r="C182" s="331" t="str">
        <f>IF($H182="","",IFERROR(INDEX('Game Records'!$A:$A,$H182),""))</f>
        <v/>
      </c>
      <c r="D182" s="331" t="str">
        <f>IF($H182="","",IFERROR(INDEX('Game Records'!$U:$U,$H182),""))</f>
        <v/>
      </c>
      <c r="E182" s="331" t="str">
        <f>IF($H182="","",IF($F182="","No Highlighted Fields","Highlighted Fields Present"))</f>
        <v/>
      </c>
      <c r="F182" s="331" t="str">
        <f>IF($H182="","",IF(OR(NOT(ISFORMULA(INDEX('Game Records'!$N:$N,$H182))),NOT(ISFORMULA(INDEX('Game Records'!$O:$O,$H182))),NOT(ISFORMULA(INDEX('Game Records'!$P:$P,$H182))),NOT(ISFORMULA(INDEX('Game Records'!$Q:$Q,$H182))),NOT(ISFORMULA(INDEX('Game Records'!$R:$R,$H182))),NOT(ISFORMULA(INDEX('Game Records'!$S:$S,$H182))),NOT(ISFORMULA(INDEX('Game Records'!$T:$T,$H182))),NOT(ISFORMULA(INDEX('Game Records'!$U:$U,$H182))),NOT(ISFORMULA(INDEX('Game Records'!$V:$V,$H182))),NOT(ISFORMULA(INDEX('Game Records'!$W:$W,$H182))),NOT(ISFORMULA(INDEX('Game Records'!$X:$X,$H182))),NOT(ISFORMULA(INDEX('Game Records'!$Y:$Y,$H182))),NOT(ISFORMULA(INDEX('Game Records'!$Z:$Z,$H182)))),"Formula columns missing; ","")&amp;IF(INDEX('Game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Earned; ","")&amp;IF(AND(LOWER(INDEX('Game Records'!$D:$D,$H182)&amp;"")="finalized",INDEX('Game Records'!$U:$U,$H182)&lt;&gt;"Subscription",INDEX('Game Records'!$U:$U,$H182)&lt;&gt;"Free Game",INDEX('Game Records'!$U:$U,$H182)&lt;&gt;"Disqualified — Free Game",OR(INDEX('Game Records'!$L:$L,$H182)="",LOWER(INDEX('Game Records'!$L:$L,$H182)&amp;"")="n/a")),"Disqualified Status; ","")&amp;IF(AND(OR(INDEX('Game Records'!$U:$U,$H182)="Free Game",INDEX('Game Records'!$U:$U,$H182)="Disqualified — Free Game"),N(INDEX('Game Records'!$H:$H,$H182))&lt;&gt;0),"Free Game has a non-zero Entry Fee; ",""))</f>
        <v/>
      </c>
      <c r="G182" s="331" t="str">
        <f>IF($H182="","",IFERROR(INDEX('Game Records'!$M:$M,$H182),""))</f>
        <v/>
      </c>
      <c r="H182" s="104" t="str">
        <f>IF($H181="","",IFERROR(MATCH(1,INDEX((ROW('Game Records'!$U$5:$U$504)&gt;$H181)*(('Game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2" s="104"/>
      <c r="J182" s="104"/>
    </row>
    <row r="183" ht="24" hidden="0" customHeight="1">
      <c r="A183" s="332" t="str">
        <f>IF($H183="","",ROWS($A$5:A183))</f>
        <v/>
      </c>
      <c r="B183" s="332" t="str">
        <f>IF($H183="","","G-"&amp;TEXT($A183,"0000"))</f>
        <v/>
      </c>
      <c r="C183" s="331" t="str">
        <f>IF($H183="","",IFERROR(INDEX('Game Records'!$A:$A,$H183),""))</f>
        <v/>
      </c>
      <c r="D183" s="331" t="str">
        <f>IF($H183="","",IFERROR(INDEX('Game Records'!$U:$U,$H183),""))</f>
        <v/>
      </c>
      <c r="E183" s="331" t="str">
        <f>IF($H183="","",IF($F183="","No Highlighted Fields","Highlighted Fields Present"))</f>
        <v/>
      </c>
      <c r="F183" s="331" t="str">
        <f>IF($H183="","",IF(OR(NOT(ISFORMULA(INDEX('Game Records'!$N:$N,$H183))),NOT(ISFORMULA(INDEX('Game Records'!$O:$O,$H183))),NOT(ISFORMULA(INDEX('Game Records'!$P:$P,$H183))),NOT(ISFORMULA(INDEX('Game Records'!$Q:$Q,$H183))),NOT(ISFORMULA(INDEX('Game Records'!$R:$R,$H183))),NOT(ISFORMULA(INDEX('Game Records'!$S:$S,$H183))),NOT(ISFORMULA(INDEX('Game Records'!$T:$T,$H183))),NOT(ISFORMULA(INDEX('Game Records'!$U:$U,$H183))),NOT(ISFORMULA(INDEX('Game Records'!$V:$V,$H183))),NOT(ISFORMULA(INDEX('Game Records'!$W:$W,$H183))),NOT(ISFORMULA(INDEX('Game Records'!$X:$X,$H183))),NOT(ISFORMULA(INDEX('Game Records'!$Y:$Y,$H183))),NOT(ISFORMULA(INDEX('Game Records'!$Z:$Z,$H183)))),"Formula columns missing; ","")&amp;IF(INDEX('Game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Earned; ","")&amp;IF(AND(LOWER(INDEX('Game Records'!$D:$D,$H183)&amp;"")="finalized",INDEX('Game Records'!$U:$U,$H183)&lt;&gt;"Subscription",INDEX('Game Records'!$U:$U,$H183)&lt;&gt;"Free Game",INDEX('Game Records'!$U:$U,$H183)&lt;&gt;"Disqualified — Free Game",OR(INDEX('Game Records'!$L:$L,$H183)="",LOWER(INDEX('Game Records'!$L:$L,$H183)&amp;"")="n/a")),"Disqualified Status; ","")&amp;IF(AND(OR(INDEX('Game Records'!$U:$U,$H183)="Free Game",INDEX('Game Records'!$U:$U,$H183)="Disqualified — Free Game"),N(INDEX('Game Records'!$H:$H,$H183))&lt;&gt;0),"Free Game has a non-zero Entry Fee; ",""))</f>
        <v/>
      </c>
      <c r="G183" s="331" t="str">
        <f>IF($H183="","",IFERROR(INDEX('Game Records'!$M:$M,$H183),""))</f>
        <v/>
      </c>
      <c r="H183" s="104" t="str">
        <f>IF($H182="","",IFERROR(MATCH(1,INDEX((ROW('Game Records'!$U$5:$U$504)&gt;$H182)*(('Game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3" s="104"/>
      <c r="J183" s="104"/>
    </row>
    <row r="184" ht="24" hidden="0" customHeight="1">
      <c r="A184" s="332" t="str">
        <f>IF($H184="","",ROWS($A$5:A184))</f>
        <v/>
      </c>
      <c r="B184" s="332" t="str">
        <f>IF($H184="","","G-"&amp;TEXT($A184,"0000"))</f>
        <v/>
      </c>
      <c r="C184" s="331" t="str">
        <f>IF($H184="","",IFERROR(INDEX('Game Records'!$A:$A,$H184),""))</f>
        <v/>
      </c>
      <c r="D184" s="331" t="str">
        <f>IF($H184="","",IFERROR(INDEX('Game Records'!$U:$U,$H184),""))</f>
        <v/>
      </c>
      <c r="E184" s="331" t="str">
        <f>IF($H184="","",IF($F184="","No Highlighted Fields","Highlighted Fields Present"))</f>
        <v/>
      </c>
      <c r="F184" s="331" t="str">
        <f>IF($H184="","",IF(OR(NOT(ISFORMULA(INDEX('Game Records'!$N:$N,$H184))),NOT(ISFORMULA(INDEX('Game Records'!$O:$O,$H184))),NOT(ISFORMULA(INDEX('Game Records'!$P:$P,$H184))),NOT(ISFORMULA(INDEX('Game Records'!$Q:$Q,$H184))),NOT(ISFORMULA(INDEX('Game Records'!$R:$R,$H184))),NOT(ISFORMULA(INDEX('Game Records'!$S:$S,$H184))),NOT(ISFORMULA(INDEX('Game Records'!$T:$T,$H184))),NOT(ISFORMULA(INDEX('Game Records'!$U:$U,$H184))),NOT(ISFORMULA(INDEX('Game Records'!$V:$V,$H184))),NOT(ISFORMULA(INDEX('Game Records'!$W:$W,$H184))),NOT(ISFORMULA(INDEX('Game Records'!$X:$X,$H184))),NOT(ISFORMULA(INDEX('Game Records'!$Y:$Y,$H184))),NOT(ISFORMULA(INDEX('Game Records'!$Z:$Z,$H184)))),"Formula columns missing; ","")&amp;IF(INDEX('Game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Earned; ","")&amp;IF(AND(LOWER(INDEX('Game Records'!$D:$D,$H184)&amp;"")="finalized",INDEX('Game Records'!$U:$U,$H184)&lt;&gt;"Subscription",INDEX('Game Records'!$U:$U,$H184)&lt;&gt;"Free Game",INDEX('Game Records'!$U:$U,$H184)&lt;&gt;"Disqualified — Free Game",OR(INDEX('Game Records'!$L:$L,$H184)="",LOWER(INDEX('Game Records'!$L:$L,$H184)&amp;"")="n/a")),"Disqualified Status; ","")&amp;IF(AND(OR(INDEX('Game Records'!$U:$U,$H184)="Free Game",INDEX('Game Records'!$U:$U,$H184)="Disqualified — Free Game"),N(INDEX('Game Records'!$H:$H,$H184))&lt;&gt;0),"Free Game has a non-zero Entry Fee; ",""))</f>
        <v/>
      </c>
      <c r="G184" s="331" t="str">
        <f>IF($H184="","",IFERROR(INDEX('Game Records'!$M:$M,$H184),""))</f>
        <v/>
      </c>
      <c r="H184" s="104" t="str">
        <f>IF($H183="","",IFERROR(MATCH(1,INDEX((ROW('Game Records'!$U$5:$U$504)&gt;$H183)*(('Game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4" s="104"/>
      <c r="J184" s="104"/>
    </row>
    <row r="185" ht="24" hidden="0" customHeight="1">
      <c r="A185" s="332" t="str">
        <f>IF($H185="","",ROWS($A$5:A185))</f>
        <v/>
      </c>
      <c r="B185" s="332" t="str">
        <f>IF($H185="","","G-"&amp;TEXT($A185,"0000"))</f>
        <v/>
      </c>
      <c r="C185" s="331" t="str">
        <f>IF($H185="","",IFERROR(INDEX('Game Records'!$A:$A,$H185),""))</f>
        <v/>
      </c>
      <c r="D185" s="331" t="str">
        <f>IF($H185="","",IFERROR(INDEX('Game Records'!$U:$U,$H185),""))</f>
        <v/>
      </c>
      <c r="E185" s="331" t="str">
        <f>IF($H185="","",IF($F185="","No Highlighted Fields","Highlighted Fields Present"))</f>
        <v/>
      </c>
      <c r="F185" s="331" t="str">
        <f>IF($H185="","",IF(OR(NOT(ISFORMULA(INDEX('Game Records'!$N:$N,$H185))),NOT(ISFORMULA(INDEX('Game Records'!$O:$O,$H185))),NOT(ISFORMULA(INDEX('Game Records'!$P:$P,$H185))),NOT(ISFORMULA(INDEX('Game Records'!$Q:$Q,$H185))),NOT(ISFORMULA(INDEX('Game Records'!$R:$R,$H185))),NOT(ISFORMULA(INDEX('Game Records'!$S:$S,$H185))),NOT(ISFORMULA(INDEX('Game Records'!$T:$T,$H185))),NOT(ISFORMULA(INDEX('Game Records'!$U:$U,$H185))),NOT(ISFORMULA(INDEX('Game Records'!$V:$V,$H185))),NOT(ISFORMULA(INDEX('Game Records'!$W:$W,$H185))),NOT(ISFORMULA(INDEX('Game Records'!$X:$X,$H185))),NOT(ISFORMULA(INDEX('Game Records'!$Y:$Y,$H185))),NOT(ISFORMULA(INDEX('Game Records'!$Z:$Z,$H185)))),"Formula columns missing; ","")&amp;IF(INDEX('Game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Earned; ","")&amp;IF(AND(LOWER(INDEX('Game Records'!$D:$D,$H185)&amp;"")="finalized",INDEX('Game Records'!$U:$U,$H185)&lt;&gt;"Subscription",INDEX('Game Records'!$U:$U,$H185)&lt;&gt;"Free Game",INDEX('Game Records'!$U:$U,$H185)&lt;&gt;"Disqualified — Free Game",OR(INDEX('Game Records'!$L:$L,$H185)="",LOWER(INDEX('Game Records'!$L:$L,$H185)&amp;"")="n/a")),"Disqualified Status; ","")&amp;IF(AND(OR(INDEX('Game Records'!$U:$U,$H185)="Free Game",INDEX('Game Records'!$U:$U,$H185)="Disqualified — Free Game"),N(INDEX('Game Records'!$H:$H,$H185))&lt;&gt;0),"Free Game has a non-zero Entry Fee; ",""))</f>
        <v/>
      </c>
      <c r="G185" s="331" t="str">
        <f>IF($H185="","",IFERROR(INDEX('Game Records'!$M:$M,$H185),""))</f>
        <v/>
      </c>
      <c r="H185" s="104" t="str">
        <f>IF($H184="","",IFERROR(MATCH(1,INDEX((ROW('Game Records'!$U$5:$U$504)&gt;$H184)*(('Game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5" s="104"/>
      <c r="J185" s="104"/>
    </row>
    <row r="186" ht="24" hidden="0" customHeight="1">
      <c r="A186" s="332" t="str">
        <f>IF($H186="","",ROWS($A$5:A186))</f>
        <v/>
      </c>
      <c r="B186" s="332" t="str">
        <f>IF($H186="","","G-"&amp;TEXT($A186,"0000"))</f>
        <v/>
      </c>
      <c r="C186" s="331" t="str">
        <f>IF($H186="","",IFERROR(INDEX('Game Records'!$A:$A,$H186),""))</f>
        <v/>
      </c>
      <c r="D186" s="331" t="str">
        <f>IF($H186="","",IFERROR(INDEX('Game Records'!$U:$U,$H186),""))</f>
        <v/>
      </c>
      <c r="E186" s="331" t="str">
        <f>IF($H186="","",IF($F186="","No Highlighted Fields","Highlighted Fields Present"))</f>
        <v/>
      </c>
      <c r="F186" s="331" t="str">
        <f>IF($H186="","",IF(OR(NOT(ISFORMULA(INDEX('Game Records'!$N:$N,$H186))),NOT(ISFORMULA(INDEX('Game Records'!$O:$O,$H186))),NOT(ISFORMULA(INDEX('Game Records'!$P:$P,$H186))),NOT(ISFORMULA(INDEX('Game Records'!$Q:$Q,$H186))),NOT(ISFORMULA(INDEX('Game Records'!$R:$R,$H186))),NOT(ISFORMULA(INDEX('Game Records'!$S:$S,$H186))),NOT(ISFORMULA(INDEX('Game Records'!$T:$T,$H186))),NOT(ISFORMULA(INDEX('Game Records'!$U:$U,$H186))),NOT(ISFORMULA(INDEX('Game Records'!$V:$V,$H186))),NOT(ISFORMULA(INDEX('Game Records'!$W:$W,$H186))),NOT(ISFORMULA(INDEX('Game Records'!$X:$X,$H186))),NOT(ISFORMULA(INDEX('Game Records'!$Y:$Y,$H186))),NOT(ISFORMULA(INDEX('Game Records'!$Z:$Z,$H186)))),"Formula columns missing; ","")&amp;IF(INDEX('Game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Earned; ","")&amp;IF(AND(LOWER(INDEX('Game Records'!$D:$D,$H186)&amp;"")="finalized",INDEX('Game Records'!$U:$U,$H186)&lt;&gt;"Subscription",INDEX('Game Records'!$U:$U,$H186)&lt;&gt;"Free Game",INDEX('Game Records'!$U:$U,$H186)&lt;&gt;"Disqualified — Free Game",OR(INDEX('Game Records'!$L:$L,$H186)="",LOWER(INDEX('Game Records'!$L:$L,$H186)&amp;"")="n/a")),"Disqualified Status; ","")&amp;IF(AND(OR(INDEX('Game Records'!$U:$U,$H186)="Free Game",INDEX('Game Records'!$U:$U,$H186)="Disqualified — Free Game"),N(INDEX('Game Records'!$H:$H,$H186))&lt;&gt;0),"Free Game has a non-zero Entry Fee; ",""))</f>
        <v/>
      </c>
      <c r="G186" s="331" t="str">
        <f>IF($H186="","",IFERROR(INDEX('Game Records'!$M:$M,$H186),""))</f>
        <v/>
      </c>
      <c r="H186" s="104" t="str">
        <f>IF($H185="","",IFERROR(MATCH(1,INDEX((ROW('Game Records'!$U$5:$U$504)&gt;$H185)*(('Game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6" s="104"/>
      <c r="J186" s="104"/>
    </row>
    <row r="187" ht="24" hidden="0" customHeight="1">
      <c r="A187" s="332" t="str">
        <f>IF($H187="","",ROWS($A$5:A187))</f>
        <v/>
      </c>
      <c r="B187" s="332" t="str">
        <f>IF($H187="","","G-"&amp;TEXT($A187,"0000"))</f>
        <v/>
      </c>
      <c r="C187" s="331" t="str">
        <f>IF($H187="","",IFERROR(INDEX('Game Records'!$A:$A,$H187),""))</f>
        <v/>
      </c>
      <c r="D187" s="331" t="str">
        <f>IF($H187="","",IFERROR(INDEX('Game Records'!$U:$U,$H187),""))</f>
        <v/>
      </c>
      <c r="E187" s="331" t="str">
        <f>IF($H187="","",IF($F187="","No Highlighted Fields","Highlighted Fields Present"))</f>
        <v/>
      </c>
      <c r="F187" s="331" t="str">
        <f>IF($H187="","",IF(OR(NOT(ISFORMULA(INDEX('Game Records'!$N:$N,$H187))),NOT(ISFORMULA(INDEX('Game Records'!$O:$O,$H187))),NOT(ISFORMULA(INDEX('Game Records'!$P:$P,$H187))),NOT(ISFORMULA(INDEX('Game Records'!$Q:$Q,$H187))),NOT(ISFORMULA(INDEX('Game Records'!$R:$R,$H187))),NOT(ISFORMULA(INDEX('Game Records'!$S:$S,$H187))),NOT(ISFORMULA(INDEX('Game Records'!$T:$T,$H187))),NOT(ISFORMULA(INDEX('Game Records'!$U:$U,$H187))),NOT(ISFORMULA(INDEX('Game Records'!$V:$V,$H187))),NOT(ISFORMULA(INDEX('Game Records'!$W:$W,$H187))),NOT(ISFORMULA(INDEX('Game Records'!$X:$X,$H187))),NOT(ISFORMULA(INDEX('Game Records'!$Y:$Y,$H187))),NOT(ISFORMULA(INDEX('Game Records'!$Z:$Z,$H187)))),"Formula columns missing; ","")&amp;IF(INDEX('Game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Earned; ","")&amp;IF(AND(LOWER(INDEX('Game Records'!$D:$D,$H187)&amp;"")="finalized",INDEX('Game Records'!$U:$U,$H187)&lt;&gt;"Subscription",INDEX('Game Records'!$U:$U,$H187)&lt;&gt;"Free Game",INDEX('Game Records'!$U:$U,$H187)&lt;&gt;"Disqualified — Free Game",OR(INDEX('Game Records'!$L:$L,$H187)="",LOWER(INDEX('Game Records'!$L:$L,$H187)&amp;"")="n/a")),"Disqualified Status; ","")&amp;IF(AND(OR(INDEX('Game Records'!$U:$U,$H187)="Free Game",INDEX('Game Records'!$U:$U,$H187)="Disqualified — Free Game"),N(INDEX('Game Records'!$H:$H,$H187))&lt;&gt;0),"Free Game has a non-zero Entry Fee; ",""))</f>
        <v/>
      </c>
      <c r="G187" s="331" t="str">
        <f>IF($H187="","",IFERROR(INDEX('Game Records'!$M:$M,$H187),""))</f>
        <v/>
      </c>
      <c r="H187" s="104" t="str">
        <f>IF($H186="","",IFERROR(MATCH(1,INDEX((ROW('Game Records'!$U$5:$U$504)&gt;$H186)*(('Game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7" s="104"/>
      <c r="J187" s="104"/>
    </row>
    <row r="188" ht="24" hidden="0" customHeight="1">
      <c r="A188" s="332" t="str">
        <f>IF($H188="","",ROWS($A$5:A188))</f>
        <v/>
      </c>
      <c r="B188" s="332" t="str">
        <f>IF($H188="","","G-"&amp;TEXT($A188,"0000"))</f>
        <v/>
      </c>
      <c r="C188" s="331" t="str">
        <f>IF($H188="","",IFERROR(INDEX('Game Records'!$A:$A,$H188),""))</f>
        <v/>
      </c>
      <c r="D188" s="331" t="str">
        <f>IF($H188="","",IFERROR(INDEX('Game Records'!$U:$U,$H188),""))</f>
        <v/>
      </c>
      <c r="E188" s="331" t="str">
        <f>IF($H188="","",IF($F188="","No Highlighted Fields","Highlighted Fields Present"))</f>
        <v/>
      </c>
      <c r="F188" s="331" t="str">
        <f>IF($H188="","",IF(OR(NOT(ISFORMULA(INDEX('Game Records'!$N:$N,$H188))),NOT(ISFORMULA(INDEX('Game Records'!$O:$O,$H188))),NOT(ISFORMULA(INDEX('Game Records'!$P:$P,$H188))),NOT(ISFORMULA(INDEX('Game Records'!$Q:$Q,$H188))),NOT(ISFORMULA(INDEX('Game Records'!$R:$R,$H188))),NOT(ISFORMULA(INDEX('Game Records'!$S:$S,$H188))),NOT(ISFORMULA(INDEX('Game Records'!$T:$T,$H188))),NOT(ISFORMULA(INDEX('Game Records'!$U:$U,$H188))),NOT(ISFORMULA(INDEX('Game Records'!$V:$V,$H188))),NOT(ISFORMULA(INDEX('Game Records'!$W:$W,$H188))),NOT(ISFORMULA(INDEX('Game Records'!$X:$X,$H188))),NOT(ISFORMULA(INDEX('Game Records'!$Y:$Y,$H188))),NOT(ISFORMULA(INDEX('Game Records'!$Z:$Z,$H188)))),"Formula columns missing; ","")&amp;IF(INDEX('Game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Earned; ","")&amp;IF(AND(LOWER(INDEX('Game Records'!$D:$D,$H188)&amp;"")="finalized",INDEX('Game Records'!$U:$U,$H188)&lt;&gt;"Subscription",INDEX('Game Records'!$U:$U,$H188)&lt;&gt;"Free Game",INDEX('Game Records'!$U:$U,$H188)&lt;&gt;"Disqualified — Free Game",OR(INDEX('Game Records'!$L:$L,$H188)="",LOWER(INDEX('Game Records'!$L:$L,$H188)&amp;"")="n/a")),"Disqualified Status; ","")&amp;IF(AND(OR(INDEX('Game Records'!$U:$U,$H188)="Free Game",INDEX('Game Records'!$U:$U,$H188)="Disqualified — Free Game"),N(INDEX('Game Records'!$H:$H,$H188))&lt;&gt;0),"Free Game has a non-zero Entry Fee; ",""))</f>
        <v/>
      </c>
      <c r="G188" s="331" t="str">
        <f>IF($H188="","",IFERROR(INDEX('Game Records'!$M:$M,$H188),""))</f>
        <v/>
      </c>
      <c r="H188" s="104" t="str">
        <f>IF($H187="","",IFERROR(MATCH(1,INDEX((ROW('Game Records'!$U$5:$U$504)&gt;$H187)*(('Game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8" s="104"/>
      <c r="J188" s="104"/>
    </row>
    <row r="189" ht="24" hidden="0" customHeight="1">
      <c r="A189" s="332" t="str">
        <f>IF($H189="","",ROWS($A$5:A189))</f>
        <v/>
      </c>
      <c r="B189" s="332" t="str">
        <f>IF($H189="","","G-"&amp;TEXT($A189,"0000"))</f>
        <v/>
      </c>
      <c r="C189" s="331" t="str">
        <f>IF($H189="","",IFERROR(INDEX('Game Records'!$A:$A,$H189),""))</f>
        <v/>
      </c>
      <c r="D189" s="331" t="str">
        <f>IF($H189="","",IFERROR(INDEX('Game Records'!$U:$U,$H189),""))</f>
        <v/>
      </c>
      <c r="E189" s="331" t="str">
        <f>IF($H189="","",IF($F189="","No Highlighted Fields","Highlighted Fields Present"))</f>
        <v/>
      </c>
      <c r="F189" s="331" t="str">
        <f>IF($H189="","",IF(OR(NOT(ISFORMULA(INDEX('Game Records'!$N:$N,$H189))),NOT(ISFORMULA(INDEX('Game Records'!$O:$O,$H189))),NOT(ISFORMULA(INDEX('Game Records'!$P:$P,$H189))),NOT(ISFORMULA(INDEX('Game Records'!$Q:$Q,$H189))),NOT(ISFORMULA(INDEX('Game Records'!$R:$R,$H189))),NOT(ISFORMULA(INDEX('Game Records'!$S:$S,$H189))),NOT(ISFORMULA(INDEX('Game Records'!$T:$T,$H189))),NOT(ISFORMULA(INDEX('Game Records'!$U:$U,$H189))),NOT(ISFORMULA(INDEX('Game Records'!$V:$V,$H189))),NOT(ISFORMULA(INDEX('Game Records'!$W:$W,$H189))),NOT(ISFORMULA(INDEX('Game Records'!$X:$X,$H189))),NOT(ISFORMULA(INDEX('Game Records'!$Y:$Y,$H189))),NOT(ISFORMULA(INDEX('Game Records'!$Z:$Z,$H189)))),"Formula columns missing; ","")&amp;IF(INDEX('Game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Earned; ","")&amp;IF(AND(LOWER(INDEX('Game Records'!$D:$D,$H189)&amp;"")="finalized",INDEX('Game Records'!$U:$U,$H189)&lt;&gt;"Subscription",INDEX('Game Records'!$U:$U,$H189)&lt;&gt;"Free Game",INDEX('Game Records'!$U:$U,$H189)&lt;&gt;"Disqualified — Free Game",OR(INDEX('Game Records'!$L:$L,$H189)="",LOWER(INDEX('Game Records'!$L:$L,$H189)&amp;"")="n/a")),"Disqualified Status; ","")&amp;IF(AND(OR(INDEX('Game Records'!$U:$U,$H189)="Free Game",INDEX('Game Records'!$U:$U,$H189)="Disqualified — Free Game"),N(INDEX('Game Records'!$H:$H,$H189))&lt;&gt;0),"Free Game has a non-zero Entry Fee; ",""))</f>
        <v/>
      </c>
      <c r="G189" s="331" t="str">
        <f>IF($H189="","",IFERROR(INDEX('Game Records'!$M:$M,$H189),""))</f>
        <v/>
      </c>
      <c r="H189" s="104" t="str">
        <f>IF($H188="","",IFERROR(MATCH(1,INDEX((ROW('Game Records'!$U$5:$U$504)&gt;$H188)*(('Game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9" s="104"/>
      <c r="J189" s="104"/>
    </row>
    <row r="190" ht="24" hidden="0" customHeight="1">
      <c r="A190" s="332" t="str">
        <f>IF($H190="","",ROWS($A$5:A190))</f>
        <v/>
      </c>
      <c r="B190" s="332" t="str">
        <f>IF($H190="","","G-"&amp;TEXT($A190,"0000"))</f>
        <v/>
      </c>
      <c r="C190" s="331" t="str">
        <f>IF($H190="","",IFERROR(INDEX('Game Records'!$A:$A,$H190),""))</f>
        <v/>
      </c>
      <c r="D190" s="331" t="str">
        <f>IF($H190="","",IFERROR(INDEX('Game Records'!$U:$U,$H190),""))</f>
        <v/>
      </c>
      <c r="E190" s="331" t="str">
        <f>IF($H190="","",IF($F190="","No Highlighted Fields","Highlighted Fields Present"))</f>
        <v/>
      </c>
      <c r="F190" s="331" t="str">
        <f>IF($H190="","",IF(OR(NOT(ISFORMULA(INDEX('Game Records'!$N:$N,$H190))),NOT(ISFORMULA(INDEX('Game Records'!$O:$O,$H190))),NOT(ISFORMULA(INDEX('Game Records'!$P:$P,$H190))),NOT(ISFORMULA(INDEX('Game Records'!$Q:$Q,$H190))),NOT(ISFORMULA(INDEX('Game Records'!$R:$R,$H190))),NOT(ISFORMULA(INDEX('Game Records'!$S:$S,$H190))),NOT(ISFORMULA(INDEX('Game Records'!$T:$T,$H190))),NOT(ISFORMULA(INDEX('Game Records'!$U:$U,$H190))),NOT(ISFORMULA(INDEX('Game Records'!$V:$V,$H190))),NOT(ISFORMULA(INDEX('Game Records'!$W:$W,$H190))),NOT(ISFORMULA(INDEX('Game Records'!$X:$X,$H190))),NOT(ISFORMULA(INDEX('Game Records'!$Y:$Y,$H190))),NOT(ISFORMULA(INDEX('Game Records'!$Z:$Z,$H190)))),"Formula columns missing; ","")&amp;IF(INDEX('Game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Earned; ","")&amp;IF(AND(LOWER(INDEX('Game Records'!$D:$D,$H190)&amp;"")="finalized",INDEX('Game Records'!$U:$U,$H190)&lt;&gt;"Subscription",INDEX('Game Records'!$U:$U,$H190)&lt;&gt;"Free Game",INDEX('Game Records'!$U:$U,$H190)&lt;&gt;"Disqualified — Free Game",OR(INDEX('Game Records'!$L:$L,$H190)="",LOWER(INDEX('Game Records'!$L:$L,$H190)&amp;"")="n/a")),"Disqualified Status; ","")&amp;IF(AND(OR(INDEX('Game Records'!$U:$U,$H190)="Free Game",INDEX('Game Records'!$U:$U,$H190)="Disqualified — Free Game"),N(INDEX('Game Records'!$H:$H,$H190))&lt;&gt;0),"Free Game has a non-zero Entry Fee; ",""))</f>
        <v/>
      </c>
      <c r="G190" s="331" t="str">
        <f>IF($H190="","",IFERROR(INDEX('Game Records'!$M:$M,$H190),""))</f>
        <v/>
      </c>
      <c r="H190" s="104" t="str">
        <f>IF($H189="","",IFERROR(MATCH(1,INDEX((ROW('Game Records'!$U$5:$U$504)&gt;$H189)*(('Game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0" s="104"/>
      <c r="J190" s="104"/>
    </row>
    <row r="191" ht="24" hidden="0" customHeight="1">
      <c r="A191" s="332" t="str">
        <f>IF($H191="","",ROWS($A$5:A191))</f>
        <v/>
      </c>
      <c r="B191" s="332" t="str">
        <f>IF($H191="","","G-"&amp;TEXT($A191,"0000"))</f>
        <v/>
      </c>
      <c r="C191" s="331" t="str">
        <f>IF($H191="","",IFERROR(INDEX('Game Records'!$A:$A,$H191),""))</f>
        <v/>
      </c>
      <c r="D191" s="331" t="str">
        <f>IF($H191="","",IFERROR(INDEX('Game Records'!$U:$U,$H191),""))</f>
        <v/>
      </c>
      <c r="E191" s="331" t="str">
        <f>IF($H191="","",IF($F191="","No Highlighted Fields","Highlighted Fields Present"))</f>
        <v/>
      </c>
      <c r="F191" s="331" t="str">
        <f>IF($H191="","",IF(OR(NOT(ISFORMULA(INDEX('Game Records'!$N:$N,$H191))),NOT(ISFORMULA(INDEX('Game Records'!$O:$O,$H191))),NOT(ISFORMULA(INDEX('Game Records'!$P:$P,$H191))),NOT(ISFORMULA(INDEX('Game Records'!$Q:$Q,$H191))),NOT(ISFORMULA(INDEX('Game Records'!$R:$R,$H191))),NOT(ISFORMULA(INDEX('Game Records'!$S:$S,$H191))),NOT(ISFORMULA(INDEX('Game Records'!$T:$T,$H191))),NOT(ISFORMULA(INDEX('Game Records'!$U:$U,$H191))),NOT(ISFORMULA(INDEX('Game Records'!$V:$V,$H191))),NOT(ISFORMULA(INDEX('Game Records'!$W:$W,$H191))),NOT(ISFORMULA(INDEX('Game Records'!$X:$X,$H191))),NOT(ISFORMULA(INDEX('Game Records'!$Y:$Y,$H191))),NOT(ISFORMULA(INDEX('Game Records'!$Z:$Z,$H191)))),"Formula columns missing; ","")&amp;IF(INDEX('Game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Earned; ","")&amp;IF(AND(LOWER(INDEX('Game Records'!$D:$D,$H191)&amp;"")="finalized",INDEX('Game Records'!$U:$U,$H191)&lt;&gt;"Subscription",INDEX('Game Records'!$U:$U,$H191)&lt;&gt;"Free Game",INDEX('Game Records'!$U:$U,$H191)&lt;&gt;"Disqualified — Free Game",OR(INDEX('Game Records'!$L:$L,$H191)="",LOWER(INDEX('Game Records'!$L:$L,$H191)&amp;"")="n/a")),"Disqualified Status; ","")&amp;IF(AND(OR(INDEX('Game Records'!$U:$U,$H191)="Free Game",INDEX('Game Records'!$U:$U,$H191)="Disqualified — Free Game"),N(INDEX('Game Records'!$H:$H,$H191))&lt;&gt;0),"Free Game has a non-zero Entry Fee; ",""))</f>
        <v/>
      </c>
      <c r="G191" s="331" t="str">
        <f>IF($H191="","",IFERROR(INDEX('Game Records'!$M:$M,$H191),""))</f>
        <v/>
      </c>
      <c r="H191" s="104" t="str">
        <f>IF($H190="","",IFERROR(MATCH(1,INDEX((ROW('Game Records'!$U$5:$U$504)&gt;$H190)*(('Game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1" s="104"/>
      <c r="J191" s="104"/>
    </row>
    <row r="192" ht="24" hidden="0" customHeight="1">
      <c r="A192" s="332" t="str">
        <f>IF($H192="","",ROWS($A$5:A192))</f>
        <v/>
      </c>
      <c r="B192" s="332" t="str">
        <f>IF($H192="","","G-"&amp;TEXT($A192,"0000"))</f>
        <v/>
      </c>
      <c r="C192" s="331" t="str">
        <f>IF($H192="","",IFERROR(INDEX('Game Records'!$A:$A,$H192),""))</f>
        <v/>
      </c>
      <c r="D192" s="331" t="str">
        <f>IF($H192="","",IFERROR(INDEX('Game Records'!$U:$U,$H192),""))</f>
        <v/>
      </c>
      <c r="E192" s="331" t="str">
        <f>IF($H192="","",IF($F192="","No Highlighted Fields","Highlighted Fields Present"))</f>
        <v/>
      </c>
      <c r="F192" s="331" t="str">
        <f>IF($H192="","",IF(OR(NOT(ISFORMULA(INDEX('Game Records'!$N:$N,$H192))),NOT(ISFORMULA(INDEX('Game Records'!$O:$O,$H192))),NOT(ISFORMULA(INDEX('Game Records'!$P:$P,$H192))),NOT(ISFORMULA(INDEX('Game Records'!$Q:$Q,$H192))),NOT(ISFORMULA(INDEX('Game Records'!$R:$R,$H192))),NOT(ISFORMULA(INDEX('Game Records'!$S:$S,$H192))),NOT(ISFORMULA(INDEX('Game Records'!$T:$T,$H192))),NOT(ISFORMULA(INDEX('Game Records'!$U:$U,$H192))),NOT(ISFORMULA(INDEX('Game Records'!$V:$V,$H192))),NOT(ISFORMULA(INDEX('Game Records'!$W:$W,$H192))),NOT(ISFORMULA(INDEX('Game Records'!$X:$X,$H192))),NOT(ISFORMULA(INDEX('Game Records'!$Y:$Y,$H192))),NOT(ISFORMULA(INDEX('Game Records'!$Z:$Z,$H192)))),"Formula columns missing; ","")&amp;IF(INDEX('Game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Earned; ","")&amp;IF(AND(LOWER(INDEX('Game Records'!$D:$D,$H192)&amp;"")="finalized",INDEX('Game Records'!$U:$U,$H192)&lt;&gt;"Subscription",INDEX('Game Records'!$U:$U,$H192)&lt;&gt;"Free Game",INDEX('Game Records'!$U:$U,$H192)&lt;&gt;"Disqualified — Free Game",OR(INDEX('Game Records'!$L:$L,$H192)="",LOWER(INDEX('Game Records'!$L:$L,$H192)&amp;"")="n/a")),"Disqualified Status; ","")&amp;IF(AND(OR(INDEX('Game Records'!$U:$U,$H192)="Free Game",INDEX('Game Records'!$U:$U,$H192)="Disqualified — Free Game"),N(INDEX('Game Records'!$H:$H,$H192))&lt;&gt;0),"Free Game has a non-zero Entry Fee; ",""))</f>
        <v/>
      </c>
      <c r="G192" s="331" t="str">
        <f>IF($H192="","",IFERROR(INDEX('Game Records'!$M:$M,$H192),""))</f>
        <v/>
      </c>
      <c r="H192" s="104" t="str">
        <f>IF($H191="","",IFERROR(MATCH(1,INDEX((ROW('Game Records'!$U$5:$U$504)&gt;$H191)*(('Game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2" s="104"/>
      <c r="J192" s="104"/>
    </row>
    <row r="193" ht="24" hidden="0" customHeight="1">
      <c r="A193" s="332" t="str">
        <f>IF($H193="","",ROWS($A$5:A193))</f>
        <v/>
      </c>
      <c r="B193" s="332" t="str">
        <f>IF($H193="","","G-"&amp;TEXT($A193,"0000"))</f>
        <v/>
      </c>
      <c r="C193" s="331" t="str">
        <f>IF($H193="","",IFERROR(INDEX('Game Records'!$A:$A,$H193),""))</f>
        <v/>
      </c>
      <c r="D193" s="331" t="str">
        <f>IF($H193="","",IFERROR(INDEX('Game Records'!$U:$U,$H193),""))</f>
        <v/>
      </c>
      <c r="E193" s="331" t="str">
        <f>IF($H193="","",IF($F193="","No Highlighted Fields","Highlighted Fields Present"))</f>
        <v/>
      </c>
      <c r="F193" s="331" t="str">
        <f>IF($H193="","",IF(OR(NOT(ISFORMULA(INDEX('Game Records'!$N:$N,$H193))),NOT(ISFORMULA(INDEX('Game Records'!$O:$O,$H193))),NOT(ISFORMULA(INDEX('Game Records'!$P:$P,$H193))),NOT(ISFORMULA(INDEX('Game Records'!$Q:$Q,$H193))),NOT(ISFORMULA(INDEX('Game Records'!$R:$R,$H193))),NOT(ISFORMULA(INDEX('Game Records'!$S:$S,$H193))),NOT(ISFORMULA(INDEX('Game Records'!$T:$T,$H193))),NOT(ISFORMULA(INDEX('Game Records'!$U:$U,$H193))),NOT(ISFORMULA(INDEX('Game Records'!$V:$V,$H193))),NOT(ISFORMULA(INDEX('Game Records'!$W:$W,$H193))),NOT(ISFORMULA(INDEX('Game Records'!$X:$X,$H193))),NOT(ISFORMULA(INDEX('Game Records'!$Y:$Y,$H193))),NOT(ISFORMULA(INDEX('Game Records'!$Z:$Z,$H193)))),"Formula columns missing; ","")&amp;IF(INDEX('Game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Earned; ","")&amp;IF(AND(LOWER(INDEX('Game Records'!$D:$D,$H193)&amp;"")="finalized",INDEX('Game Records'!$U:$U,$H193)&lt;&gt;"Subscription",INDEX('Game Records'!$U:$U,$H193)&lt;&gt;"Free Game",INDEX('Game Records'!$U:$U,$H193)&lt;&gt;"Disqualified — Free Game",OR(INDEX('Game Records'!$L:$L,$H193)="",LOWER(INDEX('Game Records'!$L:$L,$H193)&amp;"")="n/a")),"Disqualified Status; ","")&amp;IF(AND(OR(INDEX('Game Records'!$U:$U,$H193)="Free Game",INDEX('Game Records'!$U:$U,$H193)="Disqualified — Free Game"),N(INDEX('Game Records'!$H:$H,$H193))&lt;&gt;0),"Free Game has a non-zero Entry Fee; ",""))</f>
        <v/>
      </c>
      <c r="G193" s="331" t="str">
        <f>IF($H193="","",IFERROR(INDEX('Game Records'!$M:$M,$H193),""))</f>
        <v/>
      </c>
      <c r="H193" s="104" t="str">
        <f>IF($H192="","",IFERROR(MATCH(1,INDEX((ROW('Game Records'!$U$5:$U$504)&gt;$H192)*(('Game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3" s="104"/>
      <c r="J193" s="104"/>
    </row>
    <row r="194" ht="24" hidden="0" customHeight="1">
      <c r="A194" s="332" t="str">
        <f>IF($H194="","",ROWS($A$5:A194))</f>
        <v/>
      </c>
      <c r="B194" s="332" t="str">
        <f>IF($H194="","","G-"&amp;TEXT($A194,"0000"))</f>
        <v/>
      </c>
      <c r="C194" s="331" t="str">
        <f>IF($H194="","",IFERROR(INDEX('Game Records'!$A:$A,$H194),""))</f>
        <v/>
      </c>
      <c r="D194" s="331" t="str">
        <f>IF($H194="","",IFERROR(INDEX('Game Records'!$U:$U,$H194),""))</f>
        <v/>
      </c>
      <c r="E194" s="331" t="str">
        <f>IF($H194="","",IF($F194="","No Highlighted Fields","Highlighted Fields Present"))</f>
        <v/>
      </c>
      <c r="F194" s="331" t="str">
        <f>IF($H194="","",IF(OR(NOT(ISFORMULA(INDEX('Game Records'!$N:$N,$H194))),NOT(ISFORMULA(INDEX('Game Records'!$O:$O,$H194))),NOT(ISFORMULA(INDEX('Game Records'!$P:$P,$H194))),NOT(ISFORMULA(INDEX('Game Records'!$Q:$Q,$H194))),NOT(ISFORMULA(INDEX('Game Records'!$R:$R,$H194))),NOT(ISFORMULA(INDEX('Game Records'!$S:$S,$H194))),NOT(ISFORMULA(INDEX('Game Records'!$T:$T,$H194))),NOT(ISFORMULA(INDEX('Game Records'!$U:$U,$H194))),NOT(ISFORMULA(INDEX('Game Records'!$V:$V,$H194))),NOT(ISFORMULA(INDEX('Game Records'!$W:$W,$H194))),NOT(ISFORMULA(INDEX('Game Records'!$X:$X,$H194))),NOT(ISFORMULA(INDEX('Game Records'!$Y:$Y,$H194))),NOT(ISFORMULA(INDEX('Game Records'!$Z:$Z,$H194)))),"Formula columns missing; ","")&amp;IF(INDEX('Game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Earned; ","")&amp;IF(AND(LOWER(INDEX('Game Records'!$D:$D,$H194)&amp;"")="finalized",INDEX('Game Records'!$U:$U,$H194)&lt;&gt;"Subscription",INDEX('Game Records'!$U:$U,$H194)&lt;&gt;"Free Game",INDEX('Game Records'!$U:$U,$H194)&lt;&gt;"Disqualified — Free Game",OR(INDEX('Game Records'!$L:$L,$H194)="",LOWER(INDEX('Game Records'!$L:$L,$H194)&amp;"")="n/a")),"Disqualified Status; ","")&amp;IF(AND(OR(INDEX('Game Records'!$U:$U,$H194)="Free Game",INDEX('Game Records'!$U:$U,$H194)="Disqualified — Free Game"),N(INDEX('Game Records'!$H:$H,$H194))&lt;&gt;0),"Free Game has a non-zero Entry Fee; ",""))</f>
        <v/>
      </c>
      <c r="G194" s="331" t="str">
        <f>IF($H194="","",IFERROR(INDEX('Game Records'!$M:$M,$H194),""))</f>
        <v/>
      </c>
      <c r="H194" s="104" t="str">
        <f>IF($H193="","",IFERROR(MATCH(1,INDEX((ROW('Game Records'!$U$5:$U$504)&gt;$H193)*(('Game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4" s="104"/>
      <c r="J194" s="104"/>
    </row>
    <row r="195" ht="24" hidden="0" customHeight="1">
      <c r="A195" s="332" t="str">
        <f>IF($H195="","",ROWS($A$5:A195))</f>
        <v/>
      </c>
      <c r="B195" s="332" t="str">
        <f>IF($H195="","","G-"&amp;TEXT($A195,"0000"))</f>
        <v/>
      </c>
      <c r="C195" s="331" t="str">
        <f>IF($H195="","",IFERROR(INDEX('Game Records'!$A:$A,$H195),""))</f>
        <v/>
      </c>
      <c r="D195" s="331" t="str">
        <f>IF($H195="","",IFERROR(INDEX('Game Records'!$U:$U,$H195),""))</f>
        <v/>
      </c>
      <c r="E195" s="331" t="str">
        <f>IF($H195="","",IF($F195="","No Highlighted Fields","Highlighted Fields Present"))</f>
        <v/>
      </c>
      <c r="F195" s="331" t="str">
        <f>IF($H195="","",IF(OR(NOT(ISFORMULA(INDEX('Game Records'!$N:$N,$H195))),NOT(ISFORMULA(INDEX('Game Records'!$O:$O,$H195))),NOT(ISFORMULA(INDEX('Game Records'!$P:$P,$H195))),NOT(ISFORMULA(INDEX('Game Records'!$Q:$Q,$H195))),NOT(ISFORMULA(INDEX('Game Records'!$R:$R,$H195))),NOT(ISFORMULA(INDEX('Game Records'!$S:$S,$H195))),NOT(ISFORMULA(INDEX('Game Records'!$T:$T,$H195))),NOT(ISFORMULA(INDEX('Game Records'!$U:$U,$H195))),NOT(ISFORMULA(INDEX('Game Records'!$V:$V,$H195))),NOT(ISFORMULA(INDEX('Game Records'!$W:$W,$H195))),NOT(ISFORMULA(INDEX('Game Records'!$X:$X,$H195))),NOT(ISFORMULA(INDEX('Game Records'!$Y:$Y,$H195))),NOT(ISFORMULA(INDEX('Game Records'!$Z:$Z,$H195)))),"Formula columns missing; ","")&amp;IF(INDEX('Game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Earned; ","")&amp;IF(AND(LOWER(INDEX('Game Records'!$D:$D,$H195)&amp;"")="finalized",INDEX('Game Records'!$U:$U,$H195)&lt;&gt;"Subscription",INDEX('Game Records'!$U:$U,$H195)&lt;&gt;"Free Game",INDEX('Game Records'!$U:$U,$H195)&lt;&gt;"Disqualified — Free Game",OR(INDEX('Game Records'!$L:$L,$H195)="",LOWER(INDEX('Game Records'!$L:$L,$H195)&amp;"")="n/a")),"Disqualified Status; ","")&amp;IF(AND(OR(INDEX('Game Records'!$U:$U,$H195)="Free Game",INDEX('Game Records'!$U:$U,$H195)="Disqualified — Free Game"),N(INDEX('Game Records'!$H:$H,$H195))&lt;&gt;0),"Free Game has a non-zero Entry Fee; ",""))</f>
        <v/>
      </c>
      <c r="G195" s="331" t="str">
        <f>IF($H195="","",IFERROR(INDEX('Game Records'!$M:$M,$H195),""))</f>
        <v/>
      </c>
      <c r="H195" s="104" t="str">
        <f>IF($H194="","",IFERROR(MATCH(1,INDEX((ROW('Game Records'!$U$5:$U$504)&gt;$H194)*(('Game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5" s="104"/>
      <c r="J195" s="104"/>
    </row>
    <row r="196" ht="24" hidden="0" customHeight="1">
      <c r="A196" s="332" t="str">
        <f>IF($H196="","",ROWS($A$5:A196))</f>
        <v/>
      </c>
      <c r="B196" s="332" t="str">
        <f>IF($H196="","","G-"&amp;TEXT($A196,"0000"))</f>
        <v/>
      </c>
      <c r="C196" s="331" t="str">
        <f>IF($H196="","",IFERROR(INDEX('Game Records'!$A:$A,$H196),""))</f>
        <v/>
      </c>
      <c r="D196" s="331" t="str">
        <f>IF($H196="","",IFERROR(INDEX('Game Records'!$U:$U,$H196),""))</f>
        <v/>
      </c>
      <c r="E196" s="331" t="str">
        <f>IF($H196="","",IF($F196="","No Highlighted Fields","Highlighted Fields Present"))</f>
        <v/>
      </c>
      <c r="F196" s="331" t="str">
        <f>IF($H196="","",IF(OR(NOT(ISFORMULA(INDEX('Game Records'!$N:$N,$H196))),NOT(ISFORMULA(INDEX('Game Records'!$O:$O,$H196))),NOT(ISFORMULA(INDEX('Game Records'!$P:$P,$H196))),NOT(ISFORMULA(INDEX('Game Records'!$Q:$Q,$H196))),NOT(ISFORMULA(INDEX('Game Records'!$R:$R,$H196))),NOT(ISFORMULA(INDEX('Game Records'!$S:$S,$H196))),NOT(ISFORMULA(INDEX('Game Records'!$T:$T,$H196))),NOT(ISFORMULA(INDEX('Game Records'!$U:$U,$H196))),NOT(ISFORMULA(INDEX('Game Records'!$V:$V,$H196))),NOT(ISFORMULA(INDEX('Game Records'!$W:$W,$H196))),NOT(ISFORMULA(INDEX('Game Records'!$X:$X,$H196))),NOT(ISFORMULA(INDEX('Game Records'!$Y:$Y,$H196))),NOT(ISFORMULA(INDEX('Game Records'!$Z:$Z,$H196)))),"Formula columns missing; ","")&amp;IF(INDEX('Game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Earned; ","")&amp;IF(AND(LOWER(INDEX('Game Records'!$D:$D,$H196)&amp;"")="finalized",INDEX('Game Records'!$U:$U,$H196)&lt;&gt;"Subscription",INDEX('Game Records'!$U:$U,$H196)&lt;&gt;"Free Game",INDEX('Game Records'!$U:$U,$H196)&lt;&gt;"Disqualified — Free Game",OR(INDEX('Game Records'!$L:$L,$H196)="",LOWER(INDEX('Game Records'!$L:$L,$H196)&amp;"")="n/a")),"Disqualified Status; ","")&amp;IF(AND(OR(INDEX('Game Records'!$U:$U,$H196)="Free Game",INDEX('Game Records'!$U:$U,$H196)="Disqualified — Free Game"),N(INDEX('Game Records'!$H:$H,$H196))&lt;&gt;0),"Free Game has a non-zero Entry Fee; ",""))</f>
        <v/>
      </c>
      <c r="G196" s="331" t="str">
        <f>IF($H196="","",IFERROR(INDEX('Game Records'!$M:$M,$H196),""))</f>
        <v/>
      </c>
      <c r="H196" s="104" t="str">
        <f>IF($H195="","",IFERROR(MATCH(1,INDEX((ROW('Game Records'!$U$5:$U$504)&gt;$H195)*(('Game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6" s="104"/>
      <c r="J196" s="104"/>
    </row>
    <row r="197" ht="24" hidden="0" customHeight="1">
      <c r="A197" s="332" t="str">
        <f>IF($H197="","",ROWS($A$5:A197))</f>
        <v/>
      </c>
      <c r="B197" s="332" t="str">
        <f>IF($H197="","","G-"&amp;TEXT($A197,"0000"))</f>
        <v/>
      </c>
      <c r="C197" s="331" t="str">
        <f>IF($H197="","",IFERROR(INDEX('Game Records'!$A:$A,$H197),""))</f>
        <v/>
      </c>
      <c r="D197" s="331" t="str">
        <f>IF($H197="","",IFERROR(INDEX('Game Records'!$U:$U,$H197),""))</f>
        <v/>
      </c>
      <c r="E197" s="331" t="str">
        <f>IF($H197="","",IF($F197="","No Highlighted Fields","Highlighted Fields Present"))</f>
        <v/>
      </c>
      <c r="F197" s="331" t="str">
        <f>IF($H197="","",IF(OR(NOT(ISFORMULA(INDEX('Game Records'!$N:$N,$H197))),NOT(ISFORMULA(INDEX('Game Records'!$O:$O,$H197))),NOT(ISFORMULA(INDEX('Game Records'!$P:$P,$H197))),NOT(ISFORMULA(INDEX('Game Records'!$Q:$Q,$H197))),NOT(ISFORMULA(INDEX('Game Records'!$R:$R,$H197))),NOT(ISFORMULA(INDEX('Game Records'!$S:$S,$H197))),NOT(ISFORMULA(INDEX('Game Records'!$T:$T,$H197))),NOT(ISFORMULA(INDEX('Game Records'!$U:$U,$H197))),NOT(ISFORMULA(INDEX('Game Records'!$V:$V,$H197))),NOT(ISFORMULA(INDEX('Game Records'!$W:$W,$H197))),NOT(ISFORMULA(INDEX('Game Records'!$X:$X,$H197))),NOT(ISFORMULA(INDEX('Game Records'!$Y:$Y,$H197))),NOT(ISFORMULA(INDEX('Game Records'!$Z:$Z,$H197)))),"Formula columns missing; ","")&amp;IF(INDEX('Game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Earned; ","")&amp;IF(AND(LOWER(INDEX('Game Records'!$D:$D,$H197)&amp;"")="finalized",INDEX('Game Records'!$U:$U,$H197)&lt;&gt;"Subscription",INDEX('Game Records'!$U:$U,$H197)&lt;&gt;"Free Game",INDEX('Game Records'!$U:$U,$H197)&lt;&gt;"Disqualified — Free Game",OR(INDEX('Game Records'!$L:$L,$H197)="",LOWER(INDEX('Game Records'!$L:$L,$H197)&amp;"")="n/a")),"Disqualified Status; ","")&amp;IF(AND(OR(INDEX('Game Records'!$U:$U,$H197)="Free Game",INDEX('Game Records'!$U:$U,$H197)="Disqualified — Free Game"),N(INDEX('Game Records'!$H:$H,$H197))&lt;&gt;0),"Free Game has a non-zero Entry Fee; ",""))</f>
        <v/>
      </c>
      <c r="G197" s="331" t="str">
        <f>IF($H197="","",IFERROR(INDEX('Game Records'!$M:$M,$H197),""))</f>
        <v/>
      </c>
      <c r="H197" s="104" t="str">
        <f>IF($H196="","",IFERROR(MATCH(1,INDEX((ROW('Game Records'!$U$5:$U$504)&gt;$H196)*(('Game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7" s="104"/>
      <c r="J197" s="104"/>
    </row>
    <row r="198" ht="24" hidden="0" customHeight="1">
      <c r="A198" s="332" t="str">
        <f>IF($H198="","",ROWS($A$5:A198))</f>
        <v/>
      </c>
      <c r="B198" s="332" t="str">
        <f>IF($H198="","","G-"&amp;TEXT($A198,"0000"))</f>
        <v/>
      </c>
      <c r="C198" s="331" t="str">
        <f>IF($H198="","",IFERROR(INDEX('Game Records'!$A:$A,$H198),""))</f>
        <v/>
      </c>
      <c r="D198" s="331" t="str">
        <f>IF($H198="","",IFERROR(INDEX('Game Records'!$U:$U,$H198),""))</f>
        <v/>
      </c>
      <c r="E198" s="331" t="str">
        <f>IF($H198="","",IF($F198="","No Highlighted Fields","Highlighted Fields Present"))</f>
        <v/>
      </c>
      <c r="F198" s="331" t="str">
        <f>IF($H198="","",IF(OR(NOT(ISFORMULA(INDEX('Game Records'!$N:$N,$H198))),NOT(ISFORMULA(INDEX('Game Records'!$O:$O,$H198))),NOT(ISFORMULA(INDEX('Game Records'!$P:$P,$H198))),NOT(ISFORMULA(INDEX('Game Records'!$Q:$Q,$H198))),NOT(ISFORMULA(INDEX('Game Records'!$R:$R,$H198))),NOT(ISFORMULA(INDEX('Game Records'!$S:$S,$H198))),NOT(ISFORMULA(INDEX('Game Records'!$T:$T,$H198))),NOT(ISFORMULA(INDEX('Game Records'!$U:$U,$H198))),NOT(ISFORMULA(INDEX('Game Records'!$V:$V,$H198))),NOT(ISFORMULA(INDEX('Game Records'!$W:$W,$H198))),NOT(ISFORMULA(INDEX('Game Records'!$X:$X,$H198))),NOT(ISFORMULA(INDEX('Game Records'!$Y:$Y,$H198))),NOT(ISFORMULA(INDEX('Game Records'!$Z:$Z,$H198)))),"Formula columns missing; ","")&amp;IF(INDEX('Game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Earned; ","")&amp;IF(AND(LOWER(INDEX('Game Records'!$D:$D,$H198)&amp;"")="finalized",INDEX('Game Records'!$U:$U,$H198)&lt;&gt;"Subscription",INDEX('Game Records'!$U:$U,$H198)&lt;&gt;"Free Game",INDEX('Game Records'!$U:$U,$H198)&lt;&gt;"Disqualified — Free Game",OR(INDEX('Game Records'!$L:$L,$H198)="",LOWER(INDEX('Game Records'!$L:$L,$H198)&amp;"")="n/a")),"Disqualified Status; ","")&amp;IF(AND(OR(INDEX('Game Records'!$U:$U,$H198)="Free Game",INDEX('Game Records'!$U:$U,$H198)="Disqualified — Free Game"),N(INDEX('Game Records'!$H:$H,$H198))&lt;&gt;0),"Free Game has a non-zero Entry Fee; ",""))</f>
        <v/>
      </c>
      <c r="G198" s="331" t="str">
        <f>IF($H198="","",IFERROR(INDEX('Game Records'!$M:$M,$H198),""))</f>
        <v/>
      </c>
      <c r="H198" s="104" t="str">
        <f>IF($H197="","",IFERROR(MATCH(1,INDEX((ROW('Game Records'!$U$5:$U$504)&gt;$H197)*(('Game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8" s="104"/>
      <c r="J198" s="104"/>
    </row>
    <row r="199" ht="24" hidden="0" customHeight="1">
      <c r="A199" s="332" t="str">
        <f>IF($H199="","",ROWS($A$5:A199))</f>
        <v/>
      </c>
      <c r="B199" s="332" t="str">
        <f>IF($H199="","","G-"&amp;TEXT($A199,"0000"))</f>
        <v/>
      </c>
      <c r="C199" s="331" t="str">
        <f>IF($H199="","",IFERROR(INDEX('Game Records'!$A:$A,$H199),""))</f>
        <v/>
      </c>
      <c r="D199" s="331" t="str">
        <f>IF($H199="","",IFERROR(INDEX('Game Records'!$U:$U,$H199),""))</f>
        <v/>
      </c>
      <c r="E199" s="331" t="str">
        <f>IF($H199="","",IF($F199="","No Highlighted Fields","Highlighted Fields Present"))</f>
        <v/>
      </c>
      <c r="F199" s="331" t="str">
        <f>IF($H199="","",IF(OR(NOT(ISFORMULA(INDEX('Game Records'!$N:$N,$H199))),NOT(ISFORMULA(INDEX('Game Records'!$O:$O,$H199))),NOT(ISFORMULA(INDEX('Game Records'!$P:$P,$H199))),NOT(ISFORMULA(INDEX('Game Records'!$Q:$Q,$H199))),NOT(ISFORMULA(INDEX('Game Records'!$R:$R,$H199))),NOT(ISFORMULA(INDEX('Game Records'!$S:$S,$H199))),NOT(ISFORMULA(INDEX('Game Records'!$T:$T,$H199))),NOT(ISFORMULA(INDEX('Game Records'!$U:$U,$H199))),NOT(ISFORMULA(INDEX('Game Records'!$V:$V,$H199))),NOT(ISFORMULA(INDEX('Game Records'!$W:$W,$H199))),NOT(ISFORMULA(INDEX('Game Records'!$X:$X,$H199))),NOT(ISFORMULA(INDEX('Game Records'!$Y:$Y,$H199))),NOT(ISFORMULA(INDEX('Game Records'!$Z:$Z,$H199)))),"Formula columns missing; ","")&amp;IF(INDEX('Game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Earned; ","")&amp;IF(AND(LOWER(INDEX('Game Records'!$D:$D,$H199)&amp;"")="finalized",INDEX('Game Records'!$U:$U,$H199)&lt;&gt;"Subscription",INDEX('Game Records'!$U:$U,$H199)&lt;&gt;"Free Game",INDEX('Game Records'!$U:$U,$H199)&lt;&gt;"Disqualified — Free Game",OR(INDEX('Game Records'!$L:$L,$H199)="",LOWER(INDEX('Game Records'!$L:$L,$H199)&amp;"")="n/a")),"Disqualified Status; ","")&amp;IF(AND(OR(INDEX('Game Records'!$U:$U,$H199)="Free Game",INDEX('Game Records'!$U:$U,$H199)="Disqualified — Free Game"),N(INDEX('Game Records'!$H:$H,$H199))&lt;&gt;0),"Free Game has a non-zero Entry Fee; ",""))</f>
        <v/>
      </c>
      <c r="G199" s="331" t="str">
        <f>IF($H199="","",IFERROR(INDEX('Game Records'!$M:$M,$H199),""))</f>
        <v/>
      </c>
      <c r="H199" s="104" t="str">
        <f>IF($H198="","",IFERROR(MATCH(1,INDEX((ROW('Game Records'!$U$5:$U$504)&gt;$H198)*(('Game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9" s="104"/>
      <c r="J199" s="104"/>
    </row>
    <row r="200" ht="24" hidden="0" customHeight="1">
      <c r="A200" s="332" t="str">
        <f>IF($H200="","",ROWS($A$5:A200))</f>
        <v/>
      </c>
      <c r="B200" s="332" t="str">
        <f>IF($H200="","","G-"&amp;TEXT($A200,"0000"))</f>
        <v/>
      </c>
      <c r="C200" s="331" t="str">
        <f>IF($H200="","",IFERROR(INDEX('Game Records'!$A:$A,$H200),""))</f>
        <v/>
      </c>
      <c r="D200" s="331" t="str">
        <f>IF($H200="","",IFERROR(INDEX('Game Records'!$U:$U,$H200),""))</f>
        <v/>
      </c>
      <c r="E200" s="331" t="str">
        <f>IF($H200="","",IF($F200="","No Highlighted Fields","Highlighted Fields Present"))</f>
        <v/>
      </c>
      <c r="F200" s="331" t="str">
        <f>IF($H200="","",IF(OR(NOT(ISFORMULA(INDEX('Game Records'!$N:$N,$H200))),NOT(ISFORMULA(INDEX('Game Records'!$O:$O,$H200))),NOT(ISFORMULA(INDEX('Game Records'!$P:$P,$H200))),NOT(ISFORMULA(INDEX('Game Records'!$Q:$Q,$H200))),NOT(ISFORMULA(INDEX('Game Records'!$R:$R,$H200))),NOT(ISFORMULA(INDEX('Game Records'!$S:$S,$H200))),NOT(ISFORMULA(INDEX('Game Records'!$T:$T,$H200))),NOT(ISFORMULA(INDEX('Game Records'!$U:$U,$H200))),NOT(ISFORMULA(INDEX('Game Records'!$V:$V,$H200))),NOT(ISFORMULA(INDEX('Game Records'!$W:$W,$H200))),NOT(ISFORMULA(INDEX('Game Records'!$X:$X,$H200))),NOT(ISFORMULA(INDEX('Game Records'!$Y:$Y,$H200))),NOT(ISFORMULA(INDEX('Game Records'!$Z:$Z,$H200)))),"Formula columns missing; ","")&amp;IF(INDEX('Game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Earned; ","")&amp;IF(AND(LOWER(INDEX('Game Records'!$D:$D,$H200)&amp;"")="finalized",INDEX('Game Records'!$U:$U,$H200)&lt;&gt;"Subscription",INDEX('Game Records'!$U:$U,$H200)&lt;&gt;"Free Game",INDEX('Game Records'!$U:$U,$H200)&lt;&gt;"Disqualified — Free Game",OR(INDEX('Game Records'!$L:$L,$H200)="",LOWER(INDEX('Game Records'!$L:$L,$H200)&amp;"")="n/a")),"Disqualified Status; ","")&amp;IF(AND(OR(INDEX('Game Records'!$U:$U,$H200)="Free Game",INDEX('Game Records'!$U:$U,$H200)="Disqualified — Free Game"),N(INDEX('Game Records'!$H:$H,$H200))&lt;&gt;0),"Free Game has a non-zero Entry Fee; ",""))</f>
        <v/>
      </c>
      <c r="G200" s="331" t="str">
        <f>IF($H200="","",IFERROR(INDEX('Game Records'!$M:$M,$H200),""))</f>
        <v/>
      </c>
      <c r="H200" s="104" t="str">
        <f>IF($H199="","",IFERROR(MATCH(1,INDEX((ROW('Game Records'!$U$5:$U$504)&gt;$H199)*(('Game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0" s="104"/>
      <c r="J200" s="104"/>
    </row>
    <row r="201" ht="24" customHeight="1">
      <c r="A201" s="332" t="str">
        <f>IF($H201="","",ROWS($A$5:A201))</f>
        <v/>
      </c>
      <c r="B201" s="332" t="str">
        <f>IF($H201="","","G-"&amp;TEXT($A201,"0000"))</f>
        <v/>
      </c>
      <c r="C201" s="331" t="str">
        <f>IF($H201="","",IFERROR(INDEX('Game Records'!$A:$A,$H201),""))</f>
        <v/>
      </c>
      <c r="D201" s="331" t="str">
        <f>IF($H201="","",IFERROR(INDEX('Game Records'!$U:$U,$H201),""))</f>
        <v/>
      </c>
      <c r="E201" s="331" t="str">
        <f>IF($H201="","",IF($F201="","No Highlighted Fields","Highlighted Fields Present"))</f>
        <v/>
      </c>
      <c r="F201" s="331" t="str">
        <f>IF($H201="","",IF(OR(NOT(ISFORMULA(INDEX('Game Records'!$N:$N,$H201))),NOT(ISFORMULA(INDEX('Game Records'!$O:$O,$H201))),NOT(ISFORMULA(INDEX('Game Records'!$P:$P,$H201))),NOT(ISFORMULA(INDEX('Game Records'!$Q:$Q,$H201))),NOT(ISFORMULA(INDEX('Game Records'!$R:$R,$H201))),NOT(ISFORMULA(INDEX('Game Records'!$S:$S,$H201))),NOT(ISFORMULA(INDEX('Game Records'!$T:$T,$H201))),NOT(ISFORMULA(INDEX('Game Records'!$U:$U,$H201))),NOT(ISFORMULA(INDEX('Game Records'!$V:$V,$H201))),NOT(ISFORMULA(INDEX('Game Records'!$W:$W,$H201))),NOT(ISFORMULA(INDEX('Game Records'!$X:$X,$H201))),NOT(ISFORMULA(INDEX('Game Records'!$Y:$Y,$H201))),NOT(ISFORMULA(INDEX('Game Records'!$Z:$Z,$H201)))),"Formula columns missing; ","")&amp;IF(INDEX('Game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Earned; ","")&amp;IF(AND(LOWER(INDEX('Game Records'!$D:$D,$H201)&amp;"")="finalized",INDEX('Game Records'!$U:$U,$H201)&lt;&gt;"Subscription",INDEX('Game Records'!$U:$U,$H201)&lt;&gt;"Free Game",INDEX('Game Records'!$U:$U,$H201)&lt;&gt;"Disqualified — Free Game",OR(INDEX('Game Records'!$L:$L,$H201)="",LOWER(INDEX('Game Records'!$L:$L,$H201)&amp;"")="n/a")),"Disqualified Status; ","")&amp;IF(AND(OR(INDEX('Game Records'!$U:$U,$H201)="Free Game",INDEX('Game Records'!$U:$U,$H201)="Disqualified — Free Game"),N(INDEX('Game Records'!$H:$H,$H201))&lt;&gt;0),"Free Game has a non-zero Entry Fee; ",""))</f>
        <v/>
      </c>
      <c r="G201" s="331" t="str">
        <f>IF($H201="","",IFERROR(INDEX('Game Records'!$M:$M,$H201),""))</f>
        <v/>
      </c>
      <c r="H201" s="104" t="str">
        <f>IF($H200="","",IFERROR(MATCH(1,INDEX((ROW('Game Records'!$U$5:$U$504)&gt;$H200)*(('Game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2" ht="24" customHeight="1">
      <c r="A202" s="332" t="str">
        <f>IF($H202="","",ROWS($A$5:A202))</f>
        <v/>
      </c>
      <c r="B202" s="332" t="str">
        <f>IF($H202="","","G-"&amp;TEXT($A202,"0000"))</f>
        <v/>
      </c>
      <c r="C202" s="331" t="str">
        <f>IF($H202="","",IFERROR(INDEX('Game Records'!$A:$A,$H202),""))</f>
        <v/>
      </c>
      <c r="D202" s="331" t="str">
        <f>IF($H202="","",IFERROR(INDEX('Game Records'!$U:$U,$H202),""))</f>
        <v/>
      </c>
      <c r="E202" s="331" t="str">
        <f>IF($H202="","",IF($F202="","No Highlighted Fields","Highlighted Fields Present"))</f>
        <v/>
      </c>
      <c r="F202" s="331" t="str">
        <f>IF($H202="","",IF(OR(NOT(ISFORMULA(INDEX('Game Records'!$N:$N,$H202))),NOT(ISFORMULA(INDEX('Game Records'!$O:$O,$H202))),NOT(ISFORMULA(INDEX('Game Records'!$P:$P,$H202))),NOT(ISFORMULA(INDEX('Game Records'!$Q:$Q,$H202))),NOT(ISFORMULA(INDEX('Game Records'!$R:$R,$H202))),NOT(ISFORMULA(INDEX('Game Records'!$S:$S,$H202))),NOT(ISFORMULA(INDEX('Game Records'!$T:$T,$H202))),NOT(ISFORMULA(INDEX('Game Records'!$U:$U,$H202))),NOT(ISFORMULA(INDEX('Game Records'!$V:$V,$H202))),NOT(ISFORMULA(INDEX('Game Records'!$W:$W,$H202))),NOT(ISFORMULA(INDEX('Game Records'!$X:$X,$H202))),NOT(ISFORMULA(INDEX('Game Records'!$Y:$Y,$H202))),NOT(ISFORMULA(INDEX('Game Records'!$Z:$Z,$H202)))),"Formula columns missing; ","")&amp;IF(INDEX('Game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Earned; ","")&amp;IF(AND(LOWER(INDEX('Game Records'!$D:$D,$H202)&amp;"")="finalized",INDEX('Game Records'!$U:$U,$H202)&lt;&gt;"Subscription",INDEX('Game Records'!$U:$U,$H202)&lt;&gt;"Free Game",INDEX('Game Records'!$U:$U,$H202)&lt;&gt;"Disqualified — Free Game",OR(INDEX('Game Records'!$L:$L,$H202)="",LOWER(INDEX('Game Records'!$L:$L,$H202)&amp;"")="n/a")),"Disqualified Status; ","")&amp;IF(AND(OR(INDEX('Game Records'!$U:$U,$H202)="Free Game",INDEX('Game Records'!$U:$U,$H202)="Disqualified — Free Game"),N(INDEX('Game Records'!$H:$H,$H202))&lt;&gt;0),"Free Game has a non-zero Entry Fee; ",""))</f>
        <v/>
      </c>
      <c r="G202" s="331" t="str">
        <f>IF($H202="","",IFERROR(INDEX('Game Records'!$M:$M,$H202),""))</f>
        <v/>
      </c>
      <c r="H202" s="104" t="str">
        <f>IF($H201="","",IFERROR(MATCH(1,INDEX((ROW('Game Records'!$U$5:$U$504)&gt;$H201)*(('Game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3" ht="24" customHeight="1">
      <c r="A203" s="332" t="str">
        <f>IF($H203="","",ROWS($A$5:A203))</f>
        <v/>
      </c>
      <c r="B203" s="332" t="str">
        <f>IF($H203="","","G-"&amp;TEXT($A203,"0000"))</f>
        <v/>
      </c>
      <c r="C203" s="331" t="str">
        <f>IF($H203="","",IFERROR(INDEX('Game Records'!$A:$A,$H203),""))</f>
        <v/>
      </c>
      <c r="D203" s="331" t="str">
        <f>IF($H203="","",IFERROR(INDEX('Game Records'!$U:$U,$H203),""))</f>
        <v/>
      </c>
      <c r="E203" s="331" t="str">
        <f>IF($H203="","",IF($F203="","No Highlighted Fields","Highlighted Fields Present"))</f>
        <v/>
      </c>
      <c r="F203" s="331" t="str">
        <f>IF($H203="","",IF(OR(NOT(ISFORMULA(INDEX('Game Records'!$N:$N,$H203))),NOT(ISFORMULA(INDEX('Game Records'!$O:$O,$H203))),NOT(ISFORMULA(INDEX('Game Records'!$P:$P,$H203))),NOT(ISFORMULA(INDEX('Game Records'!$Q:$Q,$H203))),NOT(ISFORMULA(INDEX('Game Records'!$R:$R,$H203))),NOT(ISFORMULA(INDEX('Game Records'!$S:$S,$H203))),NOT(ISFORMULA(INDEX('Game Records'!$T:$T,$H203))),NOT(ISFORMULA(INDEX('Game Records'!$U:$U,$H203))),NOT(ISFORMULA(INDEX('Game Records'!$V:$V,$H203))),NOT(ISFORMULA(INDEX('Game Records'!$W:$W,$H203))),NOT(ISFORMULA(INDEX('Game Records'!$X:$X,$H203))),NOT(ISFORMULA(INDEX('Game Records'!$Y:$Y,$H203))),NOT(ISFORMULA(INDEX('Game Records'!$Z:$Z,$H203)))),"Formula columns missing; ","")&amp;IF(INDEX('Game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Earned; ","")&amp;IF(AND(LOWER(INDEX('Game Records'!$D:$D,$H203)&amp;"")="finalized",INDEX('Game Records'!$U:$U,$H203)&lt;&gt;"Subscription",INDEX('Game Records'!$U:$U,$H203)&lt;&gt;"Free Game",INDEX('Game Records'!$U:$U,$H203)&lt;&gt;"Disqualified — Free Game",OR(INDEX('Game Records'!$L:$L,$H203)="",LOWER(INDEX('Game Records'!$L:$L,$H203)&amp;"")="n/a")),"Disqualified Status; ","")&amp;IF(AND(OR(INDEX('Game Records'!$U:$U,$H203)="Free Game",INDEX('Game Records'!$U:$U,$H203)="Disqualified — Free Game"),N(INDEX('Game Records'!$H:$H,$H203))&lt;&gt;0),"Free Game has a non-zero Entry Fee; ",""))</f>
        <v/>
      </c>
      <c r="G203" s="331" t="str">
        <f>IF($H203="","",IFERROR(INDEX('Game Records'!$M:$M,$H203),""))</f>
        <v/>
      </c>
      <c r="H203" s="104" t="str">
        <f>IF($H202="","",IFERROR(MATCH(1,INDEX((ROW('Game Records'!$U$5:$U$504)&gt;$H202)*(('Game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4" ht="24" customHeight="1">
      <c r="A204" s="332" t="str">
        <f>IF($H204="","",ROWS($A$5:A204))</f>
        <v/>
      </c>
      <c r="B204" s="332" t="str">
        <f>IF($H204="","","G-"&amp;TEXT($A204,"0000"))</f>
        <v/>
      </c>
      <c r="C204" s="331" t="str">
        <f>IF($H204="","",IFERROR(INDEX('Game Records'!$A:$A,$H204),""))</f>
        <v/>
      </c>
      <c r="D204" s="331" t="str">
        <f>IF($H204="","",IFERROR(INDEX('Game Records'!$U:$U,$H204),""))</f>
        <v/>
      </c>
      <c r="E204" s="331" t="str">
        <f>IF($H204="","",IF($F204="","No Highlighted Fields","Highlighted Fields Present"))</f>
        <v/>
      </c>
      <c r="F204" s="331" t="str">
        <f>IF($H204="","",IF(OR(NOT(ISFORMULA(INDEX('Game Records'!$N:$N,$H204))),NOT(ISFORMULA(INDEX('Game Records'!$O:$O,$H204))),NOT(ISFORMULA(INDEX('Game Records'!$P:$P,$H204))),NOT(ISFORMULA(INDEX('Game Records'!$Q:$Q,$H204))),NOT(ISFORMULA(INDEX('Game Records'!$R:$R,$H204))),NOT(ISFORMULA(INDEX('Game Records'!$S:$S,$H204))),NOT(ISFORMULA(INDEX('Game Records'!$T:$T,$H204))),NOT(ISFORMULA(INDEX('Game Records'!$U:$U,$H204))),NOT(ISFORMULA(INDEX('Game Records'!$V:$V,$H204))),NOT(ISFORMULA(INDEX('Game Records'!$W:$W,$H204))),NOT(ISFORMULA(INDEX('Game Records'!$X:$X,$H204))),NOT(ISFORMULA(INDEX('Game Records'!$Y:$Y,$H204))),NOT(ISFORMULA(INDEX('Game Records'!$Z:$Z,$H204)))),"Formula columns missing; ","")&amp;IF(INDEX('Game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Earned; ","")&amp;IF(AND(LOWER(INDEX('Game Records'!$D:$D,$H204)&amp;"")="finalized",INDEX('Game Records'!$U:$U,$H204)&lt;&gt;"Subscription",INDEX('Game Records'!$U:$U,$H204)&lt;&gt;"Free Game",INDEX('Game Records'!$U:$U,$H204)&lt;&gt;"Disqualified — Free Game",OR(INDEX('Game Records'!$L:$L,$H204)="",LOWER(INDEX('Game Records'!$L:$L,$H204)&amp;"")="n/a")),"Disqualified Status; ","")&amp;IF(AND(OR(INDEX('Game Records'!$U:$U,$H204)="Free Game",INDEX('Game Records'!$U:$U,$H204)="Disqualified — Free Game"),N(INDEX('Game Records'!$H:$H,$H204))&lt;&gt;0),"Free Game has a non-zero Entry Fee; ",""))</f>
        <v/>
      </c>
      <c r="G204" s="331" t="str">
        <f>IF($H204="","",IFERROR(INDEX('Game Records'!$M:$M,$H204),""))</f>
        <v/>
      </c>
      <c r="H204" s="104" t="str">
        <f>IF($H203="","",IFERROR(MATCH(1,INDEX((ROW('Game Records'!$U$5:$U$504)&gt;$H203)*(('Game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5" ht="24" customHeight="1">
      <c r="A205" s="332" t="str">
        <f>IF($H205="","",ROWS($A$5:A205))</f>
        <v/>
      </c>
      <c r="B205" s="332" t="str">
        <f>IF($H205="","","G-"&amp;TEXT($A205,"0000"))</f>
        <v/>
      </c>
      <c r="C205" s="331" t="str">
        <f>IF($H205="","",IFERROR(INDEX('Game Records'!$A:$A,$H205),""))</f>
        <v/>
      </c>
      <c r="D205" s="331" t="str">
        <f>IF($H205="","",IFERROR(INDEX('Game Records'!$U:$U,$H205),""))</f>
        <v/>
      </c>
      <c r="E205" s="331" t="str">
        <f>IF($H205="","",IF($F205="","No Highlighted Fields","Highlighted Fields Present"))</f>
        <v/>
      </c>
      <c r="F205" s="331" t="str">
        <f>IF($H205="","",IF(OR(NOT(ISFORMULA(INDEX('Game Records'!$N:$N,$H205))),NOT(ISFORMULA(INDEX('Game Records'!$O:$O,$H205))),NOT(ISFORMULA(INDEX('Game Records'!$P:$P,$H205))),NOT(ISFORMULA(INDEX('Game Records'!$Q:$Q,$H205))),NOT(ISFORMULA(INDEX('Game Records'!$R:$R,$H205))),NOT(ISFORMULA(INDEX('Game Records'!$S:$S,$H205))),NOT(ISFORMULA(INDEX('Game Records'!$T:$T,$H205))),NOT(ISFORMULA(INDEX('Game Records'!$U:$U,$H205))),NOT(ISFORMULA(INDEX('Game Records'!$V:$V,$H205))),NOT(ISFORMULA(INDEX('Game Records'!$W:$W,$H205))),NOT(ISFORMULA(INDEX('Game Records'!$X:$X,$H205))),NOT(ISFORMULA(INDEX('Game Records'!$Y:$Y,$H205))),NOT(ISFORMULA(INDEX('Game Records'!$Z:$Z,$H205)))),"Formula columns missing; ","")&amp;IF(INDEX('Game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Earned; ","")&amp;IF(AND(LOWER(INDEX('Game Records'!$D:$D,$H205)&amp;"")="finalized",INDEX('Game Records'!$U:$U,$H205)&lt;&gt;"Subscription",INDEX('Game Records'!$U:$U,$H205)&lt;&gt;"Free Game",INDEX('Game Records'!$U:$U,$H205)&lt;&gt;"Disqualified — Free Game",OR(INDEX('Game Records'!$L:$L,$H205)="",LOWER(INDEX('Game Records'!$L:$L,$H205)&amp;"")="n/a")),"Disqualified Status; ","")&amp;IF(AND(OR(INDEX('Game Records'!$U:$U,$H205)="Free Game",INDEX('Game Records'!$U:$U,$H205)="Disqualified — Free Game"),N(INDEX('Game Records'!$H:$H,$H205))&lt;&gt;0),"Free Game has a non-zero Entry Fee; ",""))</f>
        <v/>
      </c>
      <c r="G205" s="331" t="str">
        <f>IF($H205="","",IFERROR(INDEX('Game Records'!$M:$M,$H205),""))</f>
        <v/>
      </c>
      <c r="H205" s="104" t="str">
        <f>IF($H204="","",IFERROR(MATCH(1,INDEX((ROW('Game Records'!$U$5:$U$504)&gt;$H204)*(('Game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6" ht="24" customHeight="1">
      <c r="A206" s="332" t="str">
        <f>IF($H206="","",ROWS($A$5:A206))</f>
        <v/>
      </c>
      <c r="B206" s="332" t="str">
        <f>IF($H206="","","G-"&amp;TEXT($A206,"0000"))</f>
        <v/>
      </c>
      <c r="C206" s="331" t="str">
        <f>IF($H206="","",IFERROR(INDEX('Game Records'!$A:$A,$H206),""))</f>
        <v/>
      </c>
      <c r="D206" s="331" t="str">
        <f>IF($H206="","",IFERROR(INDEX('Game Records'!$U:$U,$H206),""))</f>
        <v/>
      </c>
      <c r="E206" s="331" t="str">
        <f>IF($H206="","",IF($F206="","No Highlighted Fields","Highlighted Fields Present"))</f>
        <v/>
      </c>
      <c r="F206" s="331" t="str">
        <f>IF($H206="","",IF(OR(NOT(ISFORMULA(INDEX('Game Records'!$N:$N,$H206))),NOT(ISFORMULA(INDEX('Game Records'!$O:$O,$H206))),NOT(ISFORMULA(INDEX('Game Records'!$P:$P,$H206))),NOT(ISFORMULA(INDEX('Game Records'!$Q:$Q,$H206))),NOT(ISFORMULA(INDEX('Game Records'!$R:$R,$H206))),NOT(ISFORMULA(INDEX('Game Records'!$S:$S,$H206))),NOT(ISFORMULA(INDEX('Game Records'!$T:$T,$H206))),NOT(ISFORMULA(INDEX('Game Records'!$U:$U,$H206))),NOT(ISFORMULA(INDEX('Game Records'!$V:$V,$H206))),NOT(ISFORMULA(INDEX('Game Records'!$W:$W,$H206))),NOT(ISFORMULA(INDEX('Game Records'!$X:$X,$H206))),NOT(ISFORMULA(INDEX('Game Records'!$Y:$Y,$H206))),NOT(ISFORMULA(INDEX('Game Records'!$Z:$Z,$H206)))),"Formula columns missing; ","")&amp;IF(INDEX('Game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Earned; ","")&amp;IF(AND(LOWER(INDEX('Game Records'!$D:$D,$H206)&amp;"")="finalized",INDEX('Game Records'!$U:$U,$H206)&lt;&gt;"Subscription",INDEX('Game Records'!$U:$U,$H206)&lt;&gt;"Free Game",INDEX('Game Records'!$U:$U,$H206)&lt;&gt;"Disqualified — Free Game",OR(INDEX('Game Records'!$L:$L,$H206)="",LOWER(INDEX('Game Records'!$L:$L,$H206)&amp;"")="n/a")),"Disqualified Status; ","")&amp;IF(AND(OR(INDEX('Game Records'!$U:$U,$H206)="Free Game",INDEX('Game Records'!$U:$U,$H206)="Disqualified — Free Game"),N(INDEX('Game Records'!$H:$H,$H206))&lt;&gt;0),"Free Game has a non-zero Entry Fee; ",""))</f>
        <v/>
      </c>
      <c r="G206" s="331" t="str">
        <f>IF($H206="","",IFERROR(INDEX('Game Records'!$M:$M,$H206),""))</f>
        <v/>
      </c>
      <c r="H206" s="104" t="str">
        <f>IF($H205="","",IFERROR(MATCH(1,INDEX((ROW('Game Records'!$U$5:$U$504)&gt;$H205)*(('Game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7" ht="24" customHeight="1">
      <c r="A207" s="332" t="str">
        <f>IF($H207="","",ROWS($A$5:A207))</f>
        <v/>
      </c>
      <c r="B207" s="332" t="str">
        <f>IF($H207="","","G-"&amp;TEXT($A207,"0000"))</f>
        <v/>
      </c>
      <c r="C207" s="331" t="str">
        <f>IF($H207="","",IFERROR(INDEX('Game Records'!$A:$A,$H207),""))</f>
        <v/>
      </c>
      <c r="D207" s="331" t="str">
        <f>IF($H207="","",IFERROR(INDEX('Game Records'!$U:$U,$H207),""))</f>
        <v/>
      </c>
      <c r="E207" s="331" t="str">
        <f>IF($H207="","",IF($F207="","No Highlighted Fields","Highlighted Fields Present"))</f>
        <v/>
      </c>
      <c r="F207" s="331" t="str">
        <f>IF($H207="","",IF(OR(NOT(ISFORMULA(INDEX('Game Records'!$N:$N,$H207))),NOT(ISFORMULA(INDEX('Game Records'!$O:$O,$H207))),NOT(ISFORMULA(INDEX('Game Records'!$P:$P,$H207))),NOT(ISFORMULA(INDEX('Game Records'!$Q:$Q,$H207))),NOT(ISFORMULA(INDEX('Game Records'!$R:$R,$H207))),NOT(ISFORMULA(INDEX('Game Records'!$S:$S,$H207))),NOT(ISFORMULA(INDEX('Game Records'!$T:$T,$H207))),NOT(ISFORMULA(INDEX('Game Records'!$U:$U,$H207))),NOT(ISFORMULA(INDEX('Game Records'!$V:$V,$H207))),NOT(ISFORMULA(INDEX('Game Records'!$W:$W,$H207))),NOT(ISFORMULA(INDEX('Game Records'!$X:$X,$H207))),NOT(ISFORMULA(INDEX('Game Records'!$Y:$Y,$H207))),NOT(ISFORMULA(INDEX('Game Records'!$Z:$Z,$H207)))),"Formula columns missing; ","")&amp;IF(INDEX('Game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Earned; ","")&amp;IF(AND(LOWER(INDEX('Game Records'!$D:$D,$H207)&amp;"")="finalized",INDEX('Game Records'!$U:$U,$H207)&lt;&gt;"Subscription",INDEX('Game Records'!$U:$U,$H207)&lt;&gt;"Free Game",INDEX('Game Records'!$U:$U,$H207)&lt;&gt;"Disqualified — Free Game",OR(INDEX('Game Records'!$L:$L,$H207)="",LOWER(INDEX('Game Records'!$L:$L,$H207)&amp;"")="n/a")),"Disqualified Status; ","")&amp;IF(AND(OR(INDEX('Game Records'!$U:$U,$H207)="Free Game",INDEX('Game Records'!$U:$U,$H207)="Disqualified — Free Game"),N(INDEX('Game Records'!$H:$H,$H207))&lt;&gt;0),"Free Game has a non-zero Entry Fee; ",""))</f>
        <v/>
      </c>
      <c r="G207" s="331" t="str">
        <f>IF($H207="","",IFERROR(INDEX('Game Records'!$M:$M,$H207),""))</f>
        <v/>
      </c>
      <c r="H207" s="104" t="str">
        <f>IF($H206="","",IFERROR(MATCH(1,INDEX((ROW('Game Records'!$U$5:$U$504)&gt;$H206)*(('Game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8" ht="24" customHeight="1">
      <c r="A208" s="332" t="str">
        <f>IF($H208="","",ROWS($A$5:A208))</f>
        <v/>
      </c>
      <c r="B208" s="332" t="str">
        <f>IF($H208="","","G-"&amp;TEXT($A208,"0000"))</f>
        <v/>
      </c>
      <c r="C208" s="331" t="str">
        <f>IF($H208="","",IFERROR(INDEX('Game Records'!$A:$A,$H208),""))</f>
        <v/>
      </c>
      <c r="D208" s="331" t="str">
        <f>IF($H208="","",IFERROR(INDEX('Game Records'!$U:$U,$H208),""))</f>
        <v/>
      </c>
      <c r="E208" s="331" t="str">
        <f>IF($H208="","",IF($F208="","No Highlighted Fields","Highlighted Fields Present"))</f>
        <v/>
      </c>
      <c r="F208" s="331" t="str">
        <f>IF($H208="","",IF(OR(NOT(ISFORMULA(INDEX('Game Records'!$N:$N,$H208))),NOT(ISFORMULA(INDEX('Game Records'!$O:$O,$H208))),NOT(ISFORMULA(INDEX('Game Records'!$P:$P,$H208))),NOT(ISFORMULA(INDEX('Game Records'!$Q:$Q,$H208))),NOT(ISFORMULA(INDEX('Game Records'!$R:$R,$H208))),NOT(ISFORMULA(INDEX('Game Records'!$S:$S,$H208))),NOT(ISFORMULA(INDEX('Game Records'!$T:$T,$H208))),NOT(ISFORMULA(INDEX('Game Records'!$U:$U,$H208))),NOT(ISFORMULA(INDEX('Game Records'!$V:$V,$H208))),NOT(ISFORMULA(INDEX('Game Records'!$W:$W,$H208))),NOT(ISFORMULA(INDEX('Game Records'!$X:$X,$H208))),NOT(ISFORMULA(INDEX('Game Records'!$Y:$Y,$H208))),NOT(ISFORMULA(INDEX('Game Records'!$Z:$Z,$H208)))),"Formula columns missing; ","")&amp;IF(INDEX('Game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Earned; ","")&amp;IF(AND(LOWER(INDEX('Game Records'!$D:$D,$H208)&amp;"")="finalized",INDEX('Game Records'!$U:$U,$H208)&lt;&gt;"Subscription",INDEX('Game Records'!$U:$U,$H208)&lt;&gt;"Free Game",INDEX('Game Records'!$U:$U,$H208)&lt;&gt;"Disqualified — Free Game",OR(INDEX('Game Records'!$L:$L,$H208)="",LOWER(INDEX('Game Records'!$L:$L,$H208)&amp;"")="n/a")),"Disqualified Status; ","")&amp;IF(AND(OR(INDEX('Game Records'!$U:$U,$H208)="Free Game",INDEX('Game Records'!$U:$U,$H208)="Disqualified — Free Game"),N(INDEX('Game Records'!$H:$H,$H208))&lt;&gt;0),"Free Game has a non-zero Entry Fee; ",""))</f>
        <v/>
      </c>
      <c r="G208" s="331" t="str">
        <f>IF($H208="","",IFERROR(INDEX('Game Records'!$M:$M,$H208),""))</f>
        <v/>
      </c>
      <c r="H208" s="104" t="str">
        <f>IF($H207="","",IFERROR(MATCH(1,INDEX((ROW('Game Records'!$U$5:$U$504)&gt;$H207)*(('Game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9" ht="24" customHeight="1">
      <c r="A209" s="332" t="str">
        <f>IF($H209="","",ROWS($A$5:A209))</f>
        <v/>
      </c>
      <c r="B209" s="332" t="str">
        <f>IF($H209="","","G-"&amp;TEXT($A209,"0000"))</f>
        <v/>
      </c>
      <c r="C209" s="331" t="str">
        <f>IF($H209="","",IFERROR(INDEX('Game Records'!$A:$A,$H209),""))</f>
        <v/>
      </c>
      <c r="D209" s="331" t="str">
        <f>IF($H209="","",IFERROR(INDEX('Game Records'!$U:$U,$H209),""))</f>
        <v/>
      </c>
      <c r="E209" s="331" t="str">
        <f>IF($H209="","",IF($F209="","No Highlighted Fields","Highlighted Fields Present"))</f>
        <v/>
      </c>
      <c r="F209" s="331" t="str">
        <f>IF($H209="","",IF(OR(NOT(ISFORMULA(INDEX('Game Records'!$N:$N,$H209))),NOT(ISFORMULA(INDEX('Game Records'!$O:$O,$H209))),NOT(ISFORMULA(INDEX('Game Records'!$P:$P,$H209))),NOT(ISFORMULA(INDEX('Game Records'!$Q:$Q,$H209))),NOT(ISFORMULA(INDEX('Game Records'!$R:$R,$H209))),NOT(ISFORMULA(INDEX('Game Records'!$S:$S,$H209))),NOT(ISFORMULA(INDEX('Game Records'!$T:$T,$H209))),NOT(ISFORMULA(INDEX('Game Records'!$U:$U,$H209))),NOT(ISFORMULA(INDEX('Game Records'!$V:$V,$H209))),NOT(ISFORMULA(INDEX('Game Records'!$W:$W,$H209))),NOT(ISFORMULA(INDEX('Game Records'!$X:$X,$H209))),NOT(ISFORMULA(INDEX('Game Records'!$Y:$Y,$H209))),NOT(ISFORMULA(INDEX('Game Records'!$Z:$Z,$H209)))),"Formula columns missing; ","")&amp;IF(INDEX('Game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Earned; ","")&amp;IF(AND(LOWER(INDEX('Game Records'!$D:$D,$H209)&amp;"")="finalized",INDEX('Game Records'!$U:$U,$H209)&lt;&gt;"Subscription",INDEX('Game Records'!$U:$U,$H209)&lt;&gt;"Free Game",INDEX('Game Records'!$U:$U,$H209)&lt;&gt;"Disqualified — Free Game",OR(INDEX('Game Records'!$L:$L,$H209)="",LOWER(INDEX('Game Records'!$L:$L,$H209)&amp;"")="n/a")),"Disqualified Status; ","")&amp;IF(AND(OR(INDEX('Game Records'!$U:$U,$H209)="Free Game",INDEX('Game Records'!$U:$U,$H209)="Disqualified — Free Game"),N(INDEX('Game Records'!$H:$H,$H209))&lt;&gt;0),"Free Game has a non-zero Entry Fee; ",""))</f>
        <v/>
      </c>
      <c r="G209" s="331" t="str">
        <f>IF($H209="","",IFERROR(INDEX('Game Records'!$M:$M,$H209),""))</f>
        <v/>
      </c>
      <c r="H209" s="104" t="str">
        <f>IF($H208="","",IFERROR(MATCH(1,INDEX((ROW('Game Records'!$U$5:$U$504)&gt;$H208)*(('Game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0" ht="24" customHeight="1">
      <c r="A210" s="332" t="str">
        <f>IF($H210="","",ROWS($A$5:A210))</f>
        <v/>
      </c>
      <c r="B210" s="332" t="str">
        <f>IF($H210="","","G-"&amp;TEXT($A210,"0000"))</f>
        <v/>
      </c>
      <c r="C210" s="331" t="str">
        <f>IF($H210="","",IFERROR(INDEX('Game Records'!$A:$A,$H210),""))</f>
        <v/>
      </c>
      <c r="D210" s="331" t="str">
        <f>IF($H210="","",IFERROR(INDEX('Game Records'!$U:$U,$H210),""))</f>
        <v/>
      </c>
      <c r="E210" s="331" t="str">
        <f>IF($H210="","",IF($F210="","No Highlighted Fields","Highlighted Fields Present"))</f>
        <v/>
      </c>
      <c r="F210" s="331" t="str">
        <f>IF($H210="","",IF(OR(NOT(ISFORMULA(INDEX('Game Records'!$N:$N,$H210))),NOT(ISFORMULA(INDEX('Game Records'!$O:$O,$H210))),NOT(ISFORMULA(INDEX('Game Records'!$P:$P,$H210))),NOT(ISFORMULA(INDEX('Game Records'!$Q:$Q,$H210))),NOT(ISFORMULA(INDEX('Game Records'!$R:$R,$H210))),NOT(ISFORMULA(INDEX('Game Records'!$S:$S,$H210))),NOT(ISFORMULA(INDEX('Game Records'!$T:$T,$H210))),NOT(ISFORMULA(INDEX('Game Records'!$U:$U,$H210))),NOT(ISFORMULA(INDEX('Game Records'!$V:$V,$H210))),NOT(ISFORMULA(INDEX('Game Records'!$W:$W,$H210))),NOT(ISFORMULA(INDEX('Game Records'!$X:$X,$H210))),NOT(ISFORMULA(INDEX('Game Records'!$Y:$Y,$H210))),NOT(ISFORMULA(INDEX('Game Records'!$Z:$Z,$H210)))),"Formula columns missing; ","")&amp;IF(INDEX('Game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Earned; ","")&amp;IF(AND(LOWER(INDEX('Game Records'!$D:$D,$H210)&amp;"")="finalized",INDEX('Game Records'!$U:$U,$H210)&lt;&gt;"Subscription",INDEX('Game Records'!$U:$U,$H210)&lt;&gt;"Free Game",INDEX('Game Records'!$U:$U,$H210)&lt;&gt;"Disqualified — Free Game",OR(INDEX('Game Records'!$L:$L,$H210)="",LOWER(INDEX('Game Records'!$L:$L,$H210)&amp;"")="n/a")),"Disqualified Status; ","")&amp;IF(AND(OR(INDEX('Game Records'!$U:$U,$H210)="Free Game",INDEX('Game Records'!$U:$U,$H210)="Disqualified — Free Game"),N(INDEX('Game Records'!$H:$H,$H210))&lt;&gt;0),"Free Game has a non-zero Entry Fee; ",""))</f>
        <v/>
      </c>
      <c r="G210" s="331" t="str">
        <f>IF($H210="","",IFERROR(INDEX('Game Records'!$M:$M,$H210),""))</f>
        <v/>
      </c>
      <c r="H210" s="104" t="str">
        <f>IF($H209="","",IFERROR(MATCH(1,INDEX((ROW('Game Records'!$U$5:$U$504)&gt;$H209)*(('Game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1" ht="24" customHeight="1">
      <c r="A211" s="332" t="str">
        <f>IF($H211="","",ROWS($A$5:A211))</f>
        <v/>
      </c>
      <c r="B211" s="332" t="str">
        <f>IF($H211="","","G-"&amp;TEXT($A211,"0000"))</f>
        <v/>
      </c>
      <c r="C211" s="331" t="str">
        <f>IF($H211="","",IFERROR(INDEX('Game Records'!$A:$A,$H211),""))</f>
        <v/>
      </c>
      <c r="D211" s="331" t="str">
        <f>IF($H211="","",IFERROR(INDEX('Game Records'!$U:$U,$H211),""))</f>
        <v/>
      </c>
      <c r="E211" s="331" t="str">
        <f>IF($H211="","",IF($F211="","No Highlighted Fields","Highlighted Fields Present"))</f>
        <v/>
      </c>
      <c r="F211" s="331" t="str">
        <f>IF($H211="","",IF(OR(NOT(ISFORMULA(INDEX('Game Records'!$N:$N,$H211))),NOT(ISFORMULA(INDEX('Game Records'!$O:$O,$H211))),NOT(ISFORMULA(INDEX('Game Records'!$P:$P,$H211))),NOT(ISFORMULA(INDEX('Game Records'!$Q:$Q,$H211))),NOT(ISFORMULA(INDEX('Game Records'!$R:$R,$H211))),NOT(ISFORMULA(INDEX('Game Records'!$S:$S,$H211))),NOT(ISFORMULA(INDEX('Game Records'!$T:$T,$H211))),NOT(ISFORMULA(INDEX('Game Records'!$U:$U,$H211))),NOT(ISFORMULA(INDEX('Game Records'!$V:$V,$H211))),NOT(ISFORMULA(INDEX('Game Records'!$W:$W,$H211))),NOT(ISFORMULA(INDEX('Game Records'!$X:$X,$H211))),NOT(ISFORMULA(INDEX('Game Records'!$Y:$Y,$H211))),NOT(ISFORMULA(INDEX('Game Records'!$Z:$Z,$H211)))),"Formula columns missing; ","")&amp;IF(INDEX('Game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Earned; ","")&amp;IF(AND(LOWER(INDEX('Game Records'!$D:$D,$H211)&amp;"")="finalized",INDEX('Game Records'!$U:$U,$H211)&lt;&gt;"Subscription",INDEX('Game Records'!$U:$U,$H211)&lt;&gt;"Free Game",INDEX('Game Records'!$U:$U,$H211)&lt;&gt;"Disqualified — Free Game",OR(INDEX('Game Records'!$L:$L,$H211)="",LOWER(INDEX('Game Records'!$L:$L,$H211)&amp;"")="n/a")),"Disqualified Status; ","")&amp;IF(AND(OR(INDEX('Game Records'!$U:$U,$H211)="Free Game",INDEX('Game Records'!$U:$U,$H211)="Disqualified — Free Game"),N(INDEX('Game Records'!$H:$H,$H211))&lt;&gt;0),"Free Game has a non-zero Entry Fee; ",""))</f>
        <v/>
      </c>
      <c r="G211" s="331" t="str">
        <f>IF($H211="","",IFERROR(INDEX('Game Records'!$M:$M,$H211),""))</f>
        <v/>
      </c>
      <c r="H211" s="104" t="str">
        <f>IF($H210="","",IFERROR(MATCH(1,INDEX((ROW('Game Records'!$U$5:$U$504)&gt;$H210)*(('Game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2" ht="24" customHeight="1">
      <c r="A212" s="332" t="str">
        <f>IF($H212="","",ROWS($A$5:A212))</f>
        <v/>
      </c>
      <c r="B212" s="332" t="str">
        <f>IF($H212="","","G-"&amp;TEXT($A212,"0000"))</f>
        <v/>
      </c>
      <c r="C212" s="331" t="str">
        <f>IF($H212="","",IFERROR(INDEX('Game Records'!$A:$A,$H212),""))</f>
        <v/>
      </c>
      <c r="D212" s="331" t="str">
        <f>IF($H212="","",IFERROR(INDEX('Game Records'!$U:$U,$H212),""))</f>
        <v/>
      </c>
      <c r="E212" s="331" t="str">
        <f>IF($H212="","",IF($F212="","No Highlighted Fields","Highlighted Fields Present"))</f>
        <v/>
      </c>
      <c r="F212" s="331" t="str">
        <f>IF($H212="","",IF(OR(NOT(ISFORMULA(INDEX('Game Records'!$N:$N,$H212))),NOT(ISFORMULA(INDEX('Game Records'!$O:$O,$H212))),NOT(ISFORMULA(INDEX('Game Records'!$P:$P,$H212))),NOT(ISFORMULA(INDEX('Game Records'!$Q:$Q,$H212))),NOT(ISFORMULA(INDEX('Game Records'!$R:$R,$H212))),NOT(ISFORMULA(INDEX('Game Records'!$S:$S,$H212))),NOT(ISFORMULA(INDEX('Game Records'!$T:$T,$H212))),NOT(ISFORMULA(INDEX('Game Records'!$U:$U,$H212))),NOT(ISFORMULA(INDEX('Game Records'!$V:$V,$H212))),NOT(ISFORMULA(INDEX('Game Records'!$W:$W,$H212))),NOT(ISFORMULA(INDEX('Game Records'!$X:$X,$H212))),NOT(ISFORMULA(INDEX('Game Records'!$Y:$Y,$H212))),NOT(ISFORMULA(INDEX('Game Records'!$Z:$Z,$H212)))),"Formula columns missing; ","")&amp;IF(INDEX('Game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Earned; ","")&amp;IF(AND(LOWER(INDEX('Game Records'!$D:$D,$H212)&amp;"")="finalized",INDEX('Game Records'!$U:$U,$H212)&lt;&gt;"Subscription",INDEX('Game Records'!$U:$U,$H212)&lt;&gt;"Free Game",INDEX('Game Records'!$U:$U,$H212)&lt;&gt;"Disqualified — Free Game",OR(INDEX('Game Records'!$L:$L,$H212)="",LOWER(INDEX('Game Records'!$L:$L,$H212)&amp;"")="n/a")),"Disqualified Status; ","")&amp;IF(AND(OR(INDEX('Game Records'!$U:$U,$H212)="Free Game",INDEX('Game Records'!$U:$U,$H212)="Disqualified — Free Game"),N(INDEX('Game Records'!$H:$H,$H212))&lt;&gt;0),"Free Game has a non-zero Entry Fee; ",""))</f>
        <v/>
      </c>
      <c r="G212" s="331" t="str">
        <f>IF($H212="","",IFERROR(INDEX('Game Records'!$M:$M,$H212),""))</f>
        <v/>
      </c>
      <c r="H212" s="104" t="str">
        <f>IF($H211="","",IFERROR(MATCH(1,INDEX((ROW('Game Records'!$U$5:$U$504)&gt;$H211)*(('Game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3" ht="24" customHeight="1">
      <c r="A213" s="332" t="str">
        <f>IF($H213="","",ROWS($A$5:A213))</f>
        <v/>
      </c>
      <c r="B213" s="332" t="str">
        <f>IF($H213="","","G-"&amp;TEXT($A213,"0000"))</f>
        <v/>
      </c>
      <c r="C213" s="331" t="str">
        <f>IF($H213="","",IFERROR(INDEX('Game Records'!$A:$A,$H213),""))</f>
        <v/>
      </c>
      <c r="D213" s="331" t="str">
        <f>IF($H213="","",IFERROR(INDEX('Game Records'!$U:$U,$H213),""))</f>
        <v/>
      </c>
      <c r="E213" s="331" t="str">
        <f>IF($H213="","",IF($F213="","No Highlighted Fields","Highlighted Fields Present"))</f>
        <v/>
      </c>
      <c r="F213" s="331" t="str">
        <f>IF($H213="","",IF(OR(NOT(ISFORMULA(INDEX('Game Records'!$N:$N,$H213))),NOT(ISFORMULA(INDEX('Game Records'!$O:$O,$H213))),NOT(ISFORMULA(INDEX('Game Records'!$P:$P,$H213))),NOT(ISFORMULA(INDEX('Game Records'!$Q:$Q,$H213))),NOT(ISFORMULA(INDEX('Game Records'!$R:$R,$H213))),NOT(ISFORMULA(INDEX('Game Records'!$S:$S,$H213))),NOT(ISFORMULA(INDEX('Game Records'!$T:$T,$H213))),NOT(ISFORMULA(INDEX('Game Records'!$U:$U,$H213))),NOT(ISFORMULA(INDEX('Game Records'!$V:$V,$H213))),NOT(ISFORMULA(INDEX('Game Records'!$W:$W,$H213))),NOT(ISFORMULA(INDEX('Game Records'!$X:$X,$H213))),NOT(ISFORMULA(INDEX('Game Records'!$Y:$Y,$H213))),NOT(ISFORMULA(INDEX('Game Records'!$Z:$Z,$H213)))),"Formula columns missing; ","")&amp;IF(INDEX('Game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Earned; ","")&amp;IF(AND(LOWER(INDEX('Game Records'!$D:$D,$H213)&amp;"")="finalized",INDEX('Game Records'!$U:$U,$H213)&lt;&gt;"Subscription",INDEX('Game Records'!$U:$U,$H213)&lt;&gt;"Free Game",INDEX('Game Records'!$U:$U,$H213)&lt;&gt;"Disqualified — Free Game",OR(INDEX('Game Records'!$L:$L,$H213)="",LOWER(INDEX('Game Records'!$L:$L,$H213)&amp;"")="n/a")),"Disqualified Status; ","")&amp;IF(AND(OR(INDEX('Game Records'!$U:$U,$H213)="Free Game",INDEX('Game Records'!$U:$U,$H213)="Disqualified — Free Game"),N(INDEX('Game Records'!$H:$H,$H213))&lt;&gt;0),"Free Game has a non-zero Entry Fee; ",""))</f>
        <v/>
      </c>
      <c r="G213" s="331" t="str">
        <f>IF($H213="","",IFERROR(INDEX('Game Records'!$M:$M,$H213),""))</f>
        <v/>
      </c>
      <c r="H213" s="104" t="str">
        <f>IF($H212="","",IFERROR(MATCH(1,INDEX((ROW('Game Records'!$U$5:$U$504)&gt;$H212)*(('Game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4" ht="24" customHeight="1">
      <c r="A214" s="332" t="str">
        <f>IF($H214="","",ROWS($A$5:A214))</f>
        <v/>
      </c>
      <c r="B214" s="332" t="str">
        <f>IF($H214="","","G-"&amp;TEXT($A214,"0000"))</f>
        <v/>
      </c>
      <c r="C214" s="331" t="str">
        <f>IF($H214="","",IFERROR(INDEX('Game Records'!$A:$A,$H214),""))</f>
        <v/>
      </c>
      <c r="D214" s="331" t="str">
        <f>IF($H214="","",IFERROR(INDEX('Game Records'!$U:$U,$H214),""))</f>
        <v/>
      </c>
      <c r="E214" s="331" t="str">
        <f>IF($H214="","",IF($F214="","No Highlighted Fields","Highlighted Fields Present"))</f>
        <v/>
      </c>
      <c r="F214" s="331" t="str">
        <f>IF($H214="","",IF(OR(NOT(ISFORMULA(INDEX('Game Records'!$N:$N,$H214))),NOT(ISFORMULA(INDEX('Game Records'!$O:$O,$H214))),NOT(ISFORMULA(INDEX('Game Records'!$P:$P,$H214))),NOT(ISFORMULA(INDEX('Game Records'!$Q:$Q,$H214))),NOT(ISFORMULA(INDEX('Game Records'!$R:$R,$H214))),NOT(ISFORMULA(INDEX('Game Records'!$S:$S,$H214))),NOT(ISFORMULA(INDEX('Game Records'!$T:$T,$H214))),NOT(ISFORMULA(INDEX('Game Records'!$U:$U,$H214))),NOT(ISFORMULA(INDEX('Game Records'!$V:$V,$H214))),NOT(ISFORMULA(INDEX('Game Records'!$W:$W,$H214))),NOT(ISFORMULA(INDEX('Game Records'!$X:$X,$H214))),NOT(ISFORMULA(INDEX('Game Records'!$Y:$Y,$H214))),NOT(ISFORMULA(INDEX('Game Records'!$Z:$Z,$H214)))),"Formula columns missing; ","")&amp;IF(INDEX('Game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Earned; ","")&amp;IF(AND(LOWER(INDEX('Game Records'!$D:$D,$H214)&amp;"")="finalized",INDEX('Game Records'!$U:$U,$H214)&lt;&gt;"Subscription",INDEX('Game Records'!$U:$U,$H214)&lt;&gt;"Free Game",INDEX('Game Records'!$U:$U,$H214)&lt;&gt;"Disqualified — Free Game",OR(INDEX('Game Records'!$L:$L,$H214)="",LOWER(INDEX('Game Records'!$L:$L,$H214)&amp;"")="n/a")),"Disqualified Status; ","")&amp;IF(AND(OR(INDEX('Game Records'!$U:$U,$H214)="Free Game",INDEX('Game Records'!$U:$U,$H214)="Disqualified — Free Game"),N(INDEX('Game Records'!$H:$H,$H214))&lt;&gt;0),"Free Game has a non-zero Entry Fee; ",""))</f>
        <v/>
      </c>
      <c r="G214" s="331" t="str">
        <f>IF($H214="","",IFERROR(INDEX('Game Records'!$M:$M,$H214),""))</f>
        <v/>
      </c>
      <c r="H214" s="104" t="str">
        <f>IF($H213="","",IFERROR(MATCH(1,INDEX((ROW('Game Records'!$U$5:$U$504)&gt;$H213)*(('Game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5" ht="24" customHeight="1">
      <c r="A215" s="332" t="str">
        <f>IF($H215="","",ROWS($A$5:A215))</f>
        <v/>
      </c>
      <c r="B215" s="332" t="str">
        <f>IF($H215="","","G-"&amp;TEXT($A215,"0000"))</f>
        <v/>
      </c>
      <c r="C215" s="331" t="str">
        <f>IF($H215="","",IFERROR(INDEX('Game Records'!$A:$A,$H215),""))</f>
        <v/>
      </c>
      <c r="D215" s="331" t="str">
        <f>IF($H215="","",IFERROR(INDEX('Game Records'!$U:$U,$H215),""))</f>
        <v/>
      </c>
      <c r="E215" s="331" t="str">
        <f>IF($H215="","",IF($F215="","No Highlighted Fields","Highlighted Fields Present"))</f>
        <v/>
      </c>
      <c r="F215" s="331" t="str">
        <f>IF($H215="","",IF(OR(NOT(ISFORMULA(INDEX('Game Records'!$N:$N,$H215))),NOT(ISFORMULA(INDEX('Game Records'!$O:$O,$H215))),NOT(ISFORMULA(INDEX('Game Records'!$P:$P,$H215))),NOT(ISFORMULA(INDEX('Game Records'!$Q:$Q,$H215))),NOT(ISFORMULA(INDEX('Game Records'!$R:$R,$H215))),NOT(ISFORMULA(INDEX('Game Records'!$S:$S,$H215))),NOT(ISFORMULA(INDEX('Game Records'!$T:$T,$H215))),NOT(ISFORMULA(INDEX('Game Records'!$U:$U,$H215))),NOT(ISFORMULA(INDEX('Game Records'!$V:$V,$H215))),NOT(ISFORMULA(INDEX('Game Records'!$W:$W,$H215))),NOT(ISFORMULA(INDEX('Game Records'!$X:$X,$H215))),NOT(ISFORMULA(INDEX('Game Records'!$Y:$Y,$H215))),NOT(ISFORMULA(INDEX('Game Records'!$Z:$Z,$H215)))),"Formula columns missing; ","")&amp;IF(INDEX('Game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Earned; ","")&amp;IF(AND(LOWER(INDEX('Game Records'!$D:$D,$H215)&amp;"")="finalized",INDEX('Game Records'!$U:$U,$H215)&lt;&gt;"Subscription",INDEX('Game Records'!$U:$U,$H215)&lt;&gt;"Free Game",INDEX('Game Records'!$U:$U,$H215)&lt;&gt;"Disqualified — Free Game",OR(INDEX('Game Records'!$L:$L,$H215)="",LOWER(INDEX('Game Records'!$L:$L,$H215)&amp;"")="n/a")),"Disqualified Status; ","")&amp;IF(AND(OR(INDEX('Game Records'!$U:$U,$H215)="Free Game",INDEX('Game Records'!$U:$U,$H215)="Disqualified — Free Game"),N(INDEX('Game Records'!$H:$H,$H215))&lt;&gt;0),"Free Game has a non-zero Entry Fee; ",""))</f>
        <v/>
      </c>
      <c r="G215" s="331" t="str">
        <f>IF($H215="","",IFERROR(INDEX('Game Records'!$M:$M,$H215),""))</f>
        <v/>
      </c>
      <c r="H215" s="104" t="str">
        <f>IF($H214="","",IFERROR(MATCH(1,INDEX((ROW('Game Records'!$U$5:$U$504)&gt;$H214)*(('Game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6" ht="24" customHeight="1">
      <c r="A216" s="332" t="str">
        <f>IF($H216="","",ROWS($A$5:A216))</f>
        <v/>
      </c>
      <c r="B216" s="332" t="str">
        <f>IF($H216="","","G-"&amp;TEXT($A216,"0000"))</f>
        <v/>
      </c>
      <c r="C216" s="331" t="str">
        <f>IF($H216="","",IFERROR(INDEX('Game Records'!$A:$A,$H216),""))</f>
        <v/>
      </c>
      <c r="D216" s="331" t="str">
        <f>IF($H216="","",IFERROR(INDEX('Game Records'!$U:$U,$H216),""))</f>
        <v/>
      </c>
      <c r="E216" s="331" t="str">
        <f>IF($H216="","",IF($F216="","No Highlighted Fields","Highlighted Fields Present"))</f>
        <v/>
      </c>
      <c r="F216" s="331" t="str">
        <f>IF($H216="","",IF(OR(NOT(ISFORMULA(INDEX('Game Records'!$N:$N,$H216))),NOT(ISFORMULA(INDEX('Game Records'!$O:$O,$H216))),NOT(ISFORMULA(INDEX('Game Records'!$P:$P,$H216))),NOT(ISFORMULA(INDEX('Game Records'!$Q:$Q,$H216))),NOT(ISFORMULA(INDEX('Game Records'!$R:$R,$H216))),NOT(ISFORMULA(INDEX('Game Records'!$S:$S,$H216))),NOT(ISFORMULA(INDEX('Game Records'!$T:$T,$H216))),NOT(ISFORMULA(INDEX('Game Records'!$U:$U,$H216))),NOT(ISFORMULA(INDEX('Game Records'!$V:$V,$H216))),NOT(ISFORMULA(INDEX('Game Records'!$W:$W,$H216))),NOT(ISFORMULA(INDEX('Game Records'!$X:$X,$H216))),NOT(ISFORMULA(INDEX('Game Records'!$Y:$Y,$H216))),NOT(ISFORMULA(INDEX('Game Records'!$Z:$Z,$H216)))),"Formula columns missing; ","")&amp;IF(INDEX('Game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Earned; ","")&amp;IF(AND(LOWER(INDEX('Game Records'!$D:$D,$H216)&amp;"")="finalized",INDEX('Game Records'!$U:$U,$H216)&lt;&gt;"Subscription",INDEX('Game Records'!$U:$U,$H216)&lt;&gt;"Free Game",INDEX('Game Records'!$U:$U,$H216)&lt;&gt;"Disqualified — Free Game",OR(INDEX('Game Records'!$L:$L,$H216)="",LOWER(INDEX('Game Records'!$L:$L,$H216)&amp;"")="n/a")),"Disqualified Status; ","")&amp;IF(AND(OR(INDEX('Game Records'!$U:$U,$H216)="Free Game",INDEX('Game Records'!$U:$U,$H216)="Disqualified — Free Game"),N(INDEX('Game Records'!$H:$H,$H216))&lt;&gt;0),"Free Game has a non-zero Entry Fee; ",""))</f>
        <v/>
      </c>
      <c r="G216" s="331" t="str">
        <f>IF($H216="","",IFERROR(INDEX('Game Records'!$M:$M,$H216),""))</f>
        <v/>
      </c>
      <c r="H216" s="104" t="str">
        <f>IF($H215="","",IFERROR(MATCH(1,INDEX((ROW('Game Records'!$U$5:$U$504)&gt;$H215)*(('Game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7" ht="24" customHeight="1">
      <c r="A217" s="332" t="str">
        <f>IF($H217="","",ROWS($A$5:A217))</f>
        <v/>
      </c>
      <c r="B217" s="332" t="str">
        <f>IF($H217="","","G-"&amp;TEXT($A217,"0000"))</f>
        <v/>
      </c>
      <c r="C217" s="331" t="str">
        <f>IF($H217="","",IFERROR(INDEX('Game Records'!$A:$A,$H217),""))</f>
        <v/>
      </c>
      <c r="D217" s="331" t="str">
        <f>IF($H217="","",IFERROR(INDEX('Game Records'!$U:$U,$H217),""))</f>
        <v/>
      </c>
      <c r="E217" s="331" t="str">
        <f>IF($H217="","",IF($F217="","No Highlighted Fields","Highlighted Fields Present"))</f>
        <v/>
      </c>
      <c r="F217" s="331" t="str">
        <f>IF($H217="","",IF(OR(NOT(ISFORMULA(INDEX('Game Records'!$N:$N,$H217))),NOT(ISFORMULA(INDEX('Game Records'!$O:$O,$H217))),NOT(ISFORMULA(INDEX('Game Records'!$P:$P,$H217))),NOT(ISFORMULA(INDEX('Game Records'!$Q:$Q,$H217))),NOT(ISFORMULA(INDEX('Game Records'!$R:$R,$H217))),NOT(ISFORMULA(INDEX('Game Records'!$S:$S,$H217))),NOT(ISFORMULA(INDEX('Game Records'!$T:$T,$H217))),NOT(ISFORMULA(INDEX('Game Records'!$U:$U,$H217))),NOT(ISFORMULA(INDEX('Game Records'!$V:$V,$H217))),NOT(ISFORMULA(INDEX('Game Records'!$W:$W,$H217))),NOT(ISFORMULA(INDEX('Game Records'!$X:$X,$H217))),NOT(ISFORMULA(INDEX('Game Records'!$Y:$Y,$H217))),NOT(ISFORMULA(INDEX('Game Records'!$Z:$Z,$H217)))),"Formula columns missing; ","")&amp;IF(INDEX('Game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Earned; ","")&amp;IF(AND(LOWER(INDEX('Game Records'!$D:$D,$H217)&amp;"")="finalized",INDEX('Game Records'!$U:$U,$H217)&lt;&gt;"Subscription",INDEX('Game Records'!$U:$U,$H217)&lt;&gt;"Free Game",INDEX('Game Records'!$U:$U,$H217)&lt;&gt;"Disqualified — Free Game",OR(INDEX('Game Records'!$L:$L,$H217)="",LOWER(INDEX('Game Records'!$L:$L,$H217)&amp;"")="n/a")),"Disqualified Status; ","")&amp;IF(AND(OR(INDEX('Game Records'!$U:$U,$H217)="Free Game",INDEX('Game Records'!$U:$U,$H217)="Disqualified — Free Game"),N(INDEX('Game Records'!$H:$H,$H217))&lt;&gt;0),"Free Game has a non-zero Entry Fee; ",""))</f>
        <v/>
      </c>
      <c r="G217" s="331" t="str">
        <f>IF($H217="","",IFERROR(INDEX('Game Records'!$M:$M,$H217),""))</f>
        <v/>
      </c>
      <c r="H217" s="104" t="str">
        <f>IF($H216="","",IFERROR(MATCH(1,INDEX((ROW('Game Records'!$U$5:$U$504)&gt;$H216)*(('Game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8" ht="24" customHeight="1">
      <c r="A218" s="332" t="str">
        <f>IF($H218="","",ROWS($A$5:A218))</f>
        <v/>
      </c>
      <c r="B218" s="332" t="str">
        <f>IF($H218="","","G-"&amp;TEXT($A218,"0000"))</f>
        <v/>
      </c>
      <c r="C218" s="331" t="str">
        <f>IF($H218="","",IFERROR(INDEX('Game Records'!$A:$A,$H218),""))</f>
        <v/>
      </c>
      <c r="D218" s="331" t="str">
        <f>IF($H218="","",IFERROR(INDEX('Game Records'!$U:$U,$H218),""))</f>
        <v/>
      </c>
      <c r="E218" s="331" t="str">
        <f>IF($H218="","",IF($F218="","No Highlighted Fields","Highlighted Fields Present"))</f>
        <v/>
      </c>
      <c r="F218" s="331" t="str">
        <f>IF($H218="","",IF(OR(NOT(ISFORMULA(INDEX('Game Records'!$N:$N,$H218))),NOT(ISFORMULA(INDEX('Game Records'!$O:$O,$H218))),NOT(ISFORMULA(INDEX('Game Records'!$P:$P,$H218))),NOT(ISFORMULA(INDEX('Game Records'!$Q:$Q,$H218))),NOT(ISFORMULA(INDEX('Game Records'!$R:$R,$H218))),NOT(ISFORMULA(INDEX('Game Records'!$S:$S,$H218))),NOT(ISFORMULA(INDEX('Game Records'!$T:$T,$H218))),NOT(ISFORMULA(INDEX('Game Records'!$U:$U,$H218))),NOT(ISFORMULA(INDEX('Game Records'!$V:$V,$H218))),NOT(ISFORMULA(INDEX('Game Records'!$W:$W,$H218))),NOT(ISFORMULA(INDEX('Game Records'!$X:$X,$H218))),NOT(ISFORMULA(INDEX('Game Records'!$Y:$Y,$H218))),NOT(ISFORMULA(INDEX('Game Records'!$Z:$Z,$H218)))),"Formula columns missing; ","")&amp;IF(INDEX('Game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Earned; ","")&amp;IF(AND(LOWER(INDEX('Game Records'!$D:$D,$H218)&amp;"")="finalized",INDEX('Game Records'!$U:$U,$H218)&lt;&gt;"Subscription",INDEX('Game Records'!$U:$U,$H218)&lt;&gt;"Free Game",INDEX('Game Records'!$U:$U,$H218)&lt;&gt;"Disqualified — Free Game",OR(INDEX('Game Records'!$L:$L,$H218)="",LOWER(INDEX('Game Records'!$L:$L,$H218)&amp;"")="n/a")),"Disqualified Status; ","")&amp;IF(AND(OR(INDEX('Game Records'!$U:$U,$H218)="Free Game",INDEX('Game Records'!$U:$U,$H218)="Disqualified — Free Game"),N(INDEX('Game Records'!$H:$H,$H218))&lt;&gt;0),"Free Game has a non-zero Entry Fee; ",""))</f>
        <v/>
      </c>
      <c r="G218" s="331" t="str">
        <f>IF($H218="","",IFERROR(INDEX('Game Records'!$M:$M,$H218),""))</f>
        <v/>
      </c>
      <c r="H218" s="104" t="str">
        <f>IF($H217="","",IFERROR(MATCH(1,INDEX((ROW('Game Records'!$U$5:$U$504)&gt;$H217)*(('Game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9" ht="24" customHeight="1">
      <c r="A219" s="332" t="str">
        <f>IF($H219="","",ROWS($A$5:A219))</f>
        <v/>
      </c>
      <c r="B219" s="332" t="str">
        <f>IF($H219="","","G-"&amp;TEXT($A219,"0000"))</f>
        <v/>
      </c>
      <c r="C219" s="331" t="str">
        <f>IF($H219="","",IFERROR(INDEX('Game Records'!$A:$A,$H219),""))</f>
        <v/>
      </c>
      <c r="D219" s="331" t="str">
        <f>IF($H219="","",IFERROR(INDEX('Game Records'!$U:$U,$H219),""))</f>
        <v/>
      </c>
      <c r="E219" s="331" t="str">
        <f>IF($H219="","",IF($F219="","No Highlighted Fields","Highlighted Fields Present"))</f>
        <v/>
      </c>
      <c r="F219" s="331" t="str">
        <f>IF($H219="","",IF(OR(NOT(ISFORMULA(INDEX('Game Records'!$N:$N,$H219))),NOT(ISFORMULA(INDEX('Game Records'!$O:$O,$H219))),NOT(ISFORMULA(INDEX('Game Records'!$P:$P,$H219))),NOT(ISFORMULA(INDEX('Game Records'!$Q:$Q,$H219))),NOT(ISFORMULA(INDEX('Game Records'!$R:$R,$H219))),NOT(ISFORMULA(INDEX('Game Records'!$S:$S,$H219))),NOT(ISFORMULA(INDEX('Game Records'!$T:$T,$H219))),NOT(ISFORMULA(INDEX('Game Records'!$U:$U,$H219))),NOT(ISFORMULA(INDEX('Game Records'!$V:$V,$H219))),NOT(ISFORMULA(INDEX('Game Records'!$W:$W,$H219))),NOT(ISFORMULA(INDEX('Game Records'!$X:$X,$H219))),NOT(ISFORMULA(INDEX('Game Records'!$Y:$Y,$H219))),NOT(ISFORMULA(INDEX('Game Records'!$Z:$Z,$H219)))),"Formula columns missing; ","")&amp;IF(INDEX('Game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Earned; ","")&amp;IF(AND(LOWER(INDEX('Game Records'!$D:$D,$H219)&amp;"")="finalized",INDEX('Game Records'!$U:$U,$H219)&lt;&gt;"Subscription",INDEX('Game Records'!$U:$U,$H219)&lt;&gt;"Free Game",INDEX('Game Records'!$U:$U,$H219)&lt;&gt;"Disqualified — Free Game",OR(INDEX('Game Records'!$L:$L,$H219)="",LOWER(INDEX('Game Records'!$L:$L,$H219)&amp;"")="n/a")),"Disqualified Status; ","")&amp;IF(AND(OR(INDEX('Game Records'!$U:$U,$H219)="Free Game",INDEX('Game Records'!$U:$U,$H219)="Disqualified — Free Game"),N(INDEX('Game Records'!$H:$H,$H219))&lt;&gt;0),"Free Game has a non-zero Entry Fee; ",""))</f>
        <v/>
      </c>
      <c r="G219" s="331" t="str">
        <f>IF($H219="","",IFERROR(INDEX('Game Records'!$M:$M,$H219),""))</f>
        <v/>
      </c>
      <c r="H219" s="104" t="str">
        <f>IF($H218="","",IFERROR(MATCH(1,INDEX((ROW('Game Records'!$U$5:$U$504)&gt;$H218)*(('Game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0" ht="24" customHeight="1">
      <c r="A220" s="332" t="str">
        <f>IF($H220="","",ROWS($A$5:A220))</f>
        <v/>
      </c>
      <c r="B220" s="332" t="str">
        <f>IF($H220="","","G-"&amp;TEXT($A220,"0000"))</f>
        <v/>
      </c>
      <c r="C220" s="331" t="str">
        <f>IF($H220="","",IFERROR(INDEX('Game Records'!$A:$A,$H220),""))</f>
        <v/>
      </c>
      <c r="D220" s="331" t="str">
        <f>IF($H220="","",IFERROR(INDEX('Game Records'!$U:$U,$H220),""))</f>
        <v/>
      </c>
      <c r="E220" s="331" t="str">
        <f>IF($H220="","",IF($F220="","No Highlighted Fields","Highlighted Fields Present"))</f>
        <v/>
      </c>
      <c r="F220" s="331" t="str">
        <f>IF($H220="","",IF(OR(NOT(ISFORMULA(INDEX('Game Records'!$N:$N,$H220))),NOT(ISFORMULA(INDEX('Game Records'!$O:$O,$H220))),NOT(ISFORMULA(INDEX('Game Records'!$P:$P,$H220))),NOT(ISFORMULA(INDEX('Game Records'!$Q:$Q,$H220))),NOT(ISFORMULA(INDEX('Game Records'!$R:$R,$H220))),NOT(ISFORMULA(INDEX('Game Records'!$S:$S,$H220))),NOT(ISFORMULA(INDEX('Game Records'!$T:$T,$H220))),NOT(ISFORMULA(INDEX('Game Records'!$U:$U,$H220))),NOT(ISFORMULA(INDEX('Game Records'!$V:$V,$H220))),NOT(ISFORMULA(INDEX('Game Records'!$W:$W,$H220))),NOT(ISFORMULA(INDEX('Game Records'!$X:$X,$H220))),NOT(ISFORMULA(INDEX('Game Records'!$Y:$Y,$H220))),NOT(ISFORMULA(INDEX('Game Records'!$Z:$Z,$H220)))),"Formula columns missing; ","")&amp;IF(INDEX('Game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Earned; ","")&amp;IF(AND(LOWER(INDEX('Game Records'!$D:$D,$H220)&amp;"")="finalized",INDEX('Game Records'!$U:$U,$H220)&lt;&gt;"Subscription",INDEX('Game Records'!$U:$U,$H220)&lt;&gt;"Free Game",INDEX('Game Records'!$U:$U,$H220)&lt;&gt;"Disqualified — Free Game",OR(INDEX('Game Records'!$L:$L,$H220)="",LOWER(INDEX('Game Records'!$L:$L,$H220)&amp;"")="n/a")),"Disqualified Status; ","")&amp;IF(AND(OR(INDEX('Game Records'!$U:$U,$H220)="Free Game",INDEX('Game Records'!$U:$U,$H220)="Disqualified — Free Game"),N(INDEX('Game Records'!$H:$H,$H220))&lt;&gt;0),"Free Game has a non-zero Entry Fee; ",""))</f>
        <v/>
      </c>
      <c r="G220" s="331" t="str">
        <f>IF($H220="","",IFERROR(INDEX('Game Records'!$M:$M,$H220),""))</f>
        <v/>
      </c>
      <c r="H220" s="104" t="str">
        <f>IF($H219="","",IFERROR(MATCH(1,INDEX((ROW('Game Records'!$U$5:$U$504)&gt;$H219)*(('Game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1" ht="24" customHeight="1">
      <c r="A221" s="332" t="str">
        <f>IF($H221="","",ROWS($A$5:A221))</f>
        <v/>
      </c>
      <c r="B221" s="332" t="str">
        <f>IF($H221="","","G-"&amp;TEXT($A221,"0000"))</f>
        <v/>
      </c>
      <c r="C221" s="331" t="str">
        <f>IF($H221="","",IFERROR(INDEX('Game Records'!$A:$A,$H221),""))</f>
        <v/>
      </c>
      <c r="D221" s="331" t="str">
        <f>IF($H221="","",IFERROR(INDEX('Game Records'!$U:$U,$H221),""))</f>
        <v/>
      </c>
      <c r="E221" s="331" t="str">
        <f>IF($H221="","",IF($F221="","No Highlighted Fields","Highlighted Fields Present"))</f>
        <v/>
      </c>
      <c r="F221" s="331" t="str">
        <f>IF($H221="","",IF(OR(NOT(ISFORMULA(INDEX('Game Records'!$N:$N,$H221))),NOT(ISFORMULA(INDEX('Game Records'!$O:$O,$H221))),NOT(ISFORMULA(INDEX('Game Records'!$P:$P,$H221))),NOT(ISFORMULA(INDEX('Game Records'!$Q:$Q,$H221))),NOT(ISFORMULA(INDEX('Game Records'!$R:$R,$H221))),NOT(ISFORMULA(INDEX('Game Records'!$S:$S,$H221))),NOT(ISFORMULA(INDEX('Game Records'!$T:$T,$H221))),NOT(ISFORMULA(INDEX('Game Records'!$U:$U,$H221))),NOT(ISFORMULA(INDEX('Game Records'!$V:$V,$H221))),NOT(ISFORMULA(INDEX('Game Records'!$W:$W,$H221))),NOT(ISFORMULA(INDEX('Game Records'!$X:$X,$H221))),NOT(ISFORMULA(INDEX('Game Records'!$Y:$Y,$H221))),NOT(ISFORMULA(INDEX('Game Records'!$Z:$Z,$H221)))),"Formula columns missing; ","")&amp;IF(INDEX('Game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Earned; ","")&amp;IF(AND(LOWER(INDEX('Game Records'!$D:$D,$H221)&amp;"")="finalized",INDEX('Game Records'!$U:$U,$H221)&lt;&gt;"Subscription",INDEX('Game Records'!$U:$U,$H221)&lt;&gt;"Free Game",INDEX('Game Records'!$U:$U,$H221)&lt;&gt;"Disqualified — Free Game",OR(INDEX('Game Records'!$L:$L,$H221)="",LOWER(INDEX('Game Records'!$L:$L,$H221)&amp;"")="n/a")),"Disqualified Status; ","")&amp;IF(AND(OR(INDEX('Game Records'!$U:$U,$H221)="Free Game",INDEX('Game Records'!$U:$U,$H221)="Disqualified — Free Game"),N(INDEX('Game Records'!$H:$H,$H221))&lt;&gt;0),"Free Game has a non-zero Entry Fee; ",""))</f>
        <v/>
      </c>
      <c r="G221" s="331" t="str">
        <f>IF($H221="","",IFERROR(INDEX('Game Records'!$M:$M,$H221),""))</f>
        <v/>
      </c>
      <c r="H221" s="104" t="str">
        <f>IF($H220="","",IFERROR(MATCH(1,INDEX((ROW('Game Records'!$U$5:$U$504)&gt;$H220)*(('Game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2" ht="24" customHeight="1">
      <c r="A222" s="332" t="str">
        <f>IF($H222="","",ROWS($A$5:A222))</f>
        <v/>
      </c>
      <c r="B222" s="332" t="str">
        <f>IF($H222="","","G-"&amp;TEXT($A222,"0000"))</f>
        <v/>
      </c>
      <c r="C222" s="331" t="str">
        <f>IF($H222="","",IFERROR(INDEX('Game Records'!$A:$A,$H222),""))</f>
        <v/>
      </c>
      <c r="D222" s="331" t="str">
        <f>IF($H222="","",IFERROR(INDEX('Game Records'!$U:$U,$H222),""))</f>
        <v/>
      </c>
      <c r="E222" s="331" t="str">
        <f>IF($H222="","",IF($F222="","No Highlighted Fields","Highlighted Fields Present"))</f>
        <v/>
      </c>
      <c r="F222" s="331" t="str">
        <f>IF($H222="","",IF(OR(NOT(ISFORMULA(INDEX('Game Records'!$N:$N,$H222))),NOT(ISFORMULA(INDEX('Game Records'!$O:$O,$H222))),NOT(ISFORMULA(INDEX('Game Records'!$P:$P,$H222))),NOT(ISFORMULA(INDEX('Game Records'!$Q:$Q,$H222))),NOT(ISFORMULA(INDEX('Game Records'!$R:$R,$H222))),NOT(ISFORMULA(INDEX('Game Records'!$S:$S,$H222))),NOT(ISFORMULA(INDEX('Game Records'!$T:$T,$H222))),NOT(ISFORMULA(INDEX('Game Records'!$U:$U,$H222))),NOT(ISFORMULA(INDEX('Game Records'!$V:$V,$H222))),NOT(ISFORMULA(INDEX('Game Records'!$W:$W,$H222))),NOT(ISFORMULA(INDEX('Game Records'!$X:$X,$H222))),NOT(ISFORMULA(INDEX('Game Records'!$Y:$Y,$H222))),NOT(ISFORMULA(INDEX('Game Records'!$Z:$Z,$H222)))),"Formula columns missing; ","")&amp;IF(INDEX('Game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Earned; ","")&amp;IF(AND(LOWER(INDEX('Game Records'!$D:$D,$H222)&amp;"")="finalized",INDEX('Game Records'!$U:$U,$H222)&lt;&gt;"Subscription",INDEX('Game Records'!$U:$U,$H222)&lt;&gt;"Free Game",INDEX('Game Records'!$U:$U,$H222)&lt;&gt;"Disqualified — Free Game",OR(INDEX('Game Records'!$L:$L,$H222)="",LOWER(INDEX('Game Records'!$L:$L,$H222)&amp;"")="n/a")),"Disqualified Status; ","")&amp;IF(AND(OR(INDEX('Game Records'!$U:$U,$H222)="Free Game",INDEX('Game Records'!$U:$U,$H222)="Disqualified — Free Game"),N(INDEX('Game Records'!$H:$H,$H222))&lt;&gt;0),"Free Game has a non-zero Entry Fee; ",""))</f>
        <v/>
      </c>
      <c r="G222" s="331" t="str">
        <f>IF($H222="","",IFERROR(INDEX('Game Records'!$M:$M,$H222),""))</f>
        <v/>
      </c>
      <c r="H222" s="104" t="str">
        <f>IF($H221="","",IFERROR(MATCH(1,INDEX((ROW('Game Records'!$U$5:$U$504)&gt;$H221)*(('Game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3" ht="24" customHeight="1">
      <c r="A223" s="332" t="str">
        <f>IF($H223="","",ROWS($A$5:A223))</f>
        <v/>
      </c>
      <c r="B223" s="332" t="str">
        <f>IF($H223="","","G-"&amp;TEXT($A223,"0000"))</f>
        <v/>
      </c>
      <c r="C223" s="331" t="str">
        <f>IF($H223="","",IFERROR(INDEX('Game Records'!$A:$A,$H223),""))</f>
        <v/>
      </c>
      <c r="D223" s="331" t="str">
        <f>IF($H223="","",IFERROR(INDEX('Game Records'!$U:$U,$H223),""))</f>
        <v/>
      </c>
      <c r="E223" s="331" t="str">
        <f>IF($H223="","",IF($F223="","No Highlighted Fields","Highlighted Fields Present"))</f>
        <v/>
      </c>
      <c r="F223" s="331" t="str">
        <f>IF($H223="","",IF(OR(NOT(ISFORMULA(INDEX('Game Records'!$N:$N,$H223))),NOT(ISFORMULA(INDEX('Game Records'!$O:$O,$H223))),NOT(ISFORMULA(INDEX('Game Records'!$P:$P,$H223))),NOT(ISFORMULA(INDEX('Game Records'!$Q:$Q,$H223))),NOT(ISFORMULA(INDEX('Game Records'!$R:$R,$H223))),NOT(ISFORMULA(INDEX('Game Records'!$S:$S,$H223))),NOT(ISFORMULA(INDEX('Game Records'!$T:$T,$H223))),NOT(ISFORMULA(INDEX('Game Records'!$U:$U,$H223))),NOT(ISFORMULA(INDEX('Game Records'!$V:$V,$H223))),NOT(ISFORMULA(INDEX('Game Records'!$W:$W,$H223))),NOT(ISFORMULA(INDEX('Game Records'!$X:$X,$H223))),NOT(ISFORMULA(INDEX('Game Records'!$Y:$Y,$H223))),NOT(ISFORMULA(INDEX('Game Records'!$Z:$Z,$H223)))),"Formula columns missing; ","")&amp;IF(INDEX('Game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Earned; ","")&amp;IF(AND(LOWER(INDEX('Game Records'!$D:$D,$H223)&amp;"")="finalized",INDEX('Game Records'!$U:$U,$H223)&lt;&gt;"Subscription",INDEX('Game Records'!$U:$U,$H223)&lt;&gt;"Free Game",INDEX('Game Records'!$U:$U,$H223)&lt;&gt;"Disqualified — Free Game",OR(INDEX('Game Records'!$L:$L,$H223)="",LOWER(INDEX('Game Records'!$L:$L,$H223)&amp;"")="n/a")),"Disqualified Status; ","")&amp;IF(AND(OR(INDEX('Game Records'!$U:$U,$H223)="Free Game",INDEX('Game Records'!$U:$U,$H223)="Disqualified — Free Game"),N(INDEX('Game Records'!$H:$H,$H223))&lt;&gt;0),"Free Game has a non-zero Entry Fee; ",""))</f>
        <v/>
      </c>
      <c r="G223" s="331" t="str">
        <f>IF($H223="","",IFERROR(INDEX('Game Records'!$M:$M,$H223),""))</f>
        <v/>
      </c>
      <c r="H223" s="104" t="str">
        <f>IF($H222="","",IFERROR(MATCH(1,INDEX((ROW('Game Records'!$U$5:$U$504)&gt;$H222)*(('Game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4" ht="24" customHeight="1">
      <c r="A224" s="332" t="str">
        <f>IF($H224="","",ROWS($A$5:A224))</f>
        <v/>
      </c>
      <c r="B224" s="332" t="str">
        <f>IF($H224="","","G-"&amp;TEXT($A224,"0000"))</f>
        <v/>
      </c>
      <c r="C224" s="331" t="str">
        <f>IF($H224="","",IFERROR(INDEX('Game Records'!$A:$A,$H224),""))</f>
        <v/>
      </c>
      <c r="D224" s="331" t="str">
        <f>IF($H224="","",IFERROR(INDEX('Game Records'!$U:$U,$H224),""))</f>
        <v/>
      </c>
      <c r="E224" s="331" t="str">
        <f>IF($H224="","",IF($F224="","No Highlighted Fields","Highlighted Fields Present"))</f>
        <v/>
      </c>
      <c r="F224" s="331" t="str">
        <f>IF($H224="","",IF(OR(NOT(ISFORMULA(INDEX('Game Records'!$N:$N,$H224))),NOT(ISFORMULA(INDEX('Game Records'!$O:$O,$H224))),NOT(ISFORMULA(INDEX('Game Records'!$P:$P,$H224))),NOT(ISFORMULA(INDEX('Game Records'!$Q:$Q,$H224))),NOT(ISFORMULA(INDEX('Game Records'!$R:$R,$H224))),NOT(ISFORMULA(INDEX('Game Records'!$S:$S,$H224))),NOT(ISFORMULA(INDEX('Game Records'!$T:$T,$H224))),NOT(ISFORMULA(INDEX('Game Records'!$U:$U,$H224))),NOT(ISFORMULA(INDEX('Game Records'!$V:$V,$H224))),NOT(ISFORMULA(INDEX('Game Records'!$W:$W,$H224))),NOT(ISFORMULA(INDEX('Game Records'!$X:$X,$H224))),NOT(ISFORMULA(INDEX('Game Records'!$Y:$Y,$H224))),NOT(ISFORMULA(INDEX('Game Records'!$Z:$Z,$H224)))),"Formula columns missing; ","")&amp;IF(INDEX('Game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Earned; ","")&amp;IF(AND(LOWER(INDEX('Game Records'!$D:$D,$H224)&amp;"")="finalized",INDEX('Game Records'!$U:$U,$H224)&lt;&gt;"Subscription",INDEX('Game Records'!$U:$U,$H224)&lt;&gt;"Free Game",INDEX('Game Records'!$U:$U,$H224)&lt;&gt;"Disqualified — Free Game",OR(INDEX('Game Records'!$L:$L,$H224)="",LOWER(INDEX('Game Records'!$L:$L,$H224)&amp;"")="n/a")),"Disqualified Status; ","")&amp;IF(AND(OR(INDEX('Game Records'!$U:$U,$H224)="Free Game",INDEX('Game Records'!$U:$U,$H224)="Disqualified — Free Game"),N(INDEX('Game Records'!$H:$H,$H224))&lt;&gt;0),"Free Game has a non-zero Entry Fee; ",""))</f>
        <v/>
      </c>
      <c r="G224" s="331" t="str">
        <f>IF($H224="","",IFERROR(INDEX('Game Records'!$M:$M,$H224),""))</f>
        <v/>
      </c>
      <c r="H224" s="104" t="str">
        <f>IF($H223="","",IFERROR(MATCH(1,INDEX((ROW('Game Records'!$U$5:$U$504)&gt;$H223)*(('Game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5" ht="24" customHeight="1">
      <c r="A225" s="332" t="str">
        <f>IF($H225="","",ROWS($A$5:A225))</f>
        <v/>
      </c>
      <c r="B225" s="332" t="str">
        <f>IF($H225="","","G-"&amp;TEXT($A225,"0000"))</f>
        <v/>
      </c>
      <c r="C225" s="331" t="str">
        <f>IF($H225="","",IFERROR(INDEX('Game Records'!$A:$A,$H225),""))</f>
        <v/>
      </c>
      <c r="D225" s="331" t="str">
        <f>IF($H225="","",IFERROR(INDEX('Game Records'!$U:$U,$H225),""))</f>
        <v/>
      </c>
      <c r="E225" s="331" t="str">
        <f>IF($H225="","",IF($F225="","No Highlighted Fields","Highlighted Fields Present"))</f>
        <v/>
      </c>
      <c r="F225" s="331" t="str">
        <f>IF($H225="","",IF(OR(NOT(ISFORMULA(INDEX('Game Records'!$N:$N,$H225))),NOT(ISFORMULA(INDEX('Game Records'!$O:$O,$H225))),NOT(ISFORMULA(INDEX('Game Records'!$P:$P,$H225))),NOT(ISFORMULA(INDEX('Game Records'!$Q:$Q,$H225))),NOT(ISFORMULA(INDEX('Game Records'!$R:$R,$H225))),NOT(ISFORMULA(INDEX('Game Records'!$S:$S,$H225))),NOT(ISFORMULA(INDEX('Game Records'!$T:$T,$H225))),NOT(ISFORMULA(INDEX('Game Records'!$U:$U,$H225))),NOT(ISFORMULA(INDEX('Game Records'!$V:$V,$H225))),NOT(ISFORMULA(INDEX('Game Records'!$W:$W,$H225))),NOT(ISFORMULA(INDEX('Game Records'!$X:$X,$H225))),NOT(ISFORMULA(INDEX('Game Records'!$Y:$Y,$H225))),NOT(ISFORMULA(INDEX('Game Records'!$Z:$Z,$H225)))),"Formula columns missing; ","")&amp;IF(INDEX('Game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Earned; ","")&amp;IF(AND(LOWER(INDEX('Game Records'!$D:$D,$H225)&amp;"")="finalized",INDEX('Game Records'!$U:$U,$H225)&lt;&gt;"Subscription",INDEX('Game Records'!$U:$U,$H225)&lt;&gt;"Free Game",INDEX('Game Records'!$U:$U,$H225)&lt;&gt;"Disqualified — Free Game",OR(INDEX('Game Records'!$L:$L,$H225)="",LOWER(INDEX('Game Records'!$L:$L,$H225)&amp;"")="n/a")),"Disqualified Status; ","")&amp;IF(AND(OR(INDEX('Game Records'!$U:$U,$H225)="Free Game",INDEX('Game Records'!$U:$U,$H225)="Disqualified — Free Game"),N(INDEX('Game Records'!$H:$H,$H225))&lt;&gt;0),"Free Game has a non-zero Entry Fee; ",""))</f>
        <v/>
      </c>
      <c r="G225" s="331" t="str">
        <f>IF($H225="","",IFERROR(INDEX('Game Records'!$M:$M,$H225),""))</f>
        <v/>
      </c>
      <c r="H225" s="104" t="str">
        <f>IF($H224="","",IFERROR(MATCH(1,INDEX((ROW('Game Records'!$U$5:$U$504)&gt;$H224)*(('Game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6" ht="24" customHeight="1">
      <c r="A226" s="332" t="str">
        <f>IF($H226="","",ROWS($A$5:A226))</f>
        <v/>
      </c>
      <c r="B226" s="332" t="str">
        <f>IF($H226="","","G-"&amp;TEXT($A226,"0000"))</f>
        <v/>
      </c>
      <c r="C226" s="331" t="str">
        <f>IF($H226="","",IFERROR(INDEX('Game Records'!$A:$A,$H226),""))</f>
        <v/>
      </c>
      <c r="D226" s="331" t="str">
        <f>IF($H226="","",IFERROR(INDEX('Game Records'!$U:$U,$H226),""))</f>
        <v/>
      </c>
      <c r="E226" s="331" t="str">
        <f>IF($H226="","",IF($F226="","No Highlighted Fields","Highlighted Fields Present"))</f>
        <v/>
      </c>
      <c r="F226" s="331" t="str">
        <f>IF($H226="","",IF(OR(NOT(ISFORMULA(INDEX('Game Records'!$N:$N,$H226))),NOT(ISFORMULA(INDEX('Game Records'!$O:$O,$H226))),NOT(ISFORMULA(INDEX('Game Records'!$P:$P,$H226))),NOT(ISFORMULA(INDEX('Game Records'!$Q:$Q,$H226))),NOT(ISFORMULA(INDEX('Game Records'!$R:$R,$H226))),NOT(ISFORMULA(INDEX('Game Records'!$S:$S,$H226))),NOT(ISFORMULA(INDEX('Game Records'!$T:$T,$H226))),NOT(ISFORMULA(INDEX('Game Records'!$U:$U,$H226))),NOT(ISFORMULA(INDEX('Game Records'!$V:$V,$H226))),NOT(ISFORMULA(INDEX('Game Records'!$W:$W,$H226))),NOT(ISFORMULA(INDEX('Game Records'!$X:$X,$H226))),NOT(ISFORMULA(INDEX('Game Records'!$Y:$Y,$H226))),NOT(ISFORMULA(INDEX('Game Records'!$Z:$Z,$H226)))),"Formula columns missing; ","")&amp;IF(INDEX('Game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Earned; ","")&amp;IF(AND(LOWER(INDEX('Game Records'!$D:$D,$H226)&amp;"")="finalized",INDEX('Game Records'!$U:$U,$H226)&lt;&gt;"Subscription",INDEX('Game Records'!$U:$U,$H226)&lt;&gt;"Free Game",INDEX('Game Records'!$U:$U,$H226)&lt;&gt;"Disqualified — Free Game",OR(INDEX('Game Records'!$L:$L,$H226)="",LOWER(INDEX('Game Records'!$L:$L,$H226)&amp;"")="n/a")),"Disqualified Status; ","")&amp;IF(AND(OR(INDEX('Game Records'!$U:$U,$H226)="Free Game",INDEX('Game Records'!$U:$U,$H226)="Disqualified — Free Game"),N(INDEX('Game Records'!$H:$H,$H226))&lt;&gt;0),"Free Game has a non-zero Entry Fee; ",""))</f>
        <v/>
      </c>
      <c r="G226" s="331" t="str">
        <f>IF($H226="","",IFERROR(INDEX('Game Records'!$M:$M,$H226),""))</f>
        <v/>
      </c>
      <c r="H226" s="104" t="str">
        <f>IF($H225="","",IFERROR(MATCH(1,INDEX((ROW('Game Records'!$U$5:$U$504)&gt;$H225)*(('Game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7" ht="24" customHeight="1">
      <c r="A227" s="332" t="str">
        <f>IF($H227="","",ROWS($A$5:A227))</f>
        <v/>
      </c>
      <c r="B227" s="332" t="str">
        <f>IF($H227="","","G-"&amp;TEXT($A227,"0000"))</f>
        <v/>
      </c>
      <c r="C227" s="331" t="str">
        <f>IF($H227="","",IFERROR(INDEX('Game Records'!$A:$A,$H227),""))</f>
        <v/>
      </c>
      <c r="D227" s="331" t="str">
        <f>IF($H227="","",IFERROR(INDEX('Game Records'!$U:$U,$H227),""))</f>
        <v/>
      </c>
      <c r="E227" s="331" t="str">
        <f>IF($H227="","",IF($F227="","No Highlighted Fields","Highlighted Fields Present"))</f>
        <v/>
      </c>
      <c r="F227" s="331" t="str">
        <f>IF($H227="","",IF(OR(NOT(ISFORMULA(INDEX('Game Records'!$N:$N,$H227))),NOT(ISFORMULA(INDEX('Game Records'!$O:$O,$H227))),NOT(ISFORMULA(INDEX('Game Records'!$P:$P,$H227))),NOT(ISFORMULA(INDEX('Game Records'!$Q:$Q,$H227))),NOT(ISFORMULA(INDEX('Game Records'!$R:$R,$H227))),NOT(ISFORMULA(INDEX('Game Records'!$S:$S,$H227))),NOT(ISFORMULA(INDEX('Game Records'!$T:$T,$H227))),NOT(ISFORMULA(INDEX('Game Records'!$U:$U,$H227))),NOT(ISFORMULA(INDEX('Game Records'!$V:$V,$H227))),NOT(ISFORMULA(INDEX('Game Records'!$W:$W,$H227))),NOT(ISFORMULA(INDEX('Game Records'!$X:$X,$H227))),NOT(ISFORMULA(INDEX('Game Records'!$Y:$Y,$H227))),NOT(ISFORMULA(INDEX('Game Records'!$Z:$Z,$H227)))),"Formula columns missing; ","")&amp;IF(INDEX('Game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Earned; ","")&amp;IF(AND(LOWER(INDEX('Game Records'!$D:$D,$H227)&amp;"")="finalized",INDEX('Game Records'!$U:$U,$H227)&lt;&gt;"Subscription",INDEX('Game Records'!$U:$U,$H227)&lt;&gt;"Free Game",INDEX('Game Records'!$U:$U,$H227)&lt;&gt;"Disqualified — Free Game",OR(INDEX('Game Records'!$L:$L,$H227)="",LOWER(INDEX('Game Records'!$L:$L,$H227)&amp;"")="n/a")),"Disqualified Status; ","")&amp;IF(AND(OR(INDEX('Game Records'!$U:$U,$H227)="Free Game",INDEX('Game Records'!$U:$U,$H227)="Disqualified — Free Game"),N(INDEX('Game Records'!$H:$H,$H227))&lt;&gt;0),"Free Game has a non-zero Entry Fee; ",""))</f>
        <v/>
      </c>
      <c r="G227" s="331" t="str">
        <f>IF($H227="","",IFERROR(INDEX('Game Records'!$M:$M,$H227),""))</f>
        <v/>
      </c>
      <c r="H227" s="104" t="str">
        <f>IF($H226="","",IFERROR(MATCH(1,INDEX((ROW('Game Records'!$U$5:$U$504)&gt;$H226)*(('Game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8" ht="24" customHeight="1">
      <c r="A228" s="332" t="str">
        <f>IF($H228="","",ROWS($A$5:A228))</f>
        <v/>
      </c>
      <c r="B228" s="332" t="str">
        <f>IF($H228="","","G-"&amp;TEXT($A228,"0000"))</f>
        <v/>
      </c>
      <c r="C228" s="331" t="str">
        <f>IF($H228="","",IFERROR(INDEX('Game Records'!$A:$A,$H228),""))</f>
        <v/>
      </c>
      <c r="D228" s="331" t="str">
        <f>IF($H228="","",IFERROR(INDEX('Game Records'!$U:$U,$H228),""))</f>
        <v/>
      </c>
      <c r="E228" s="331" t="str">
        <f>IF($H228="","",IF($F228="","No Highlighted Fields","Highlighted Fields Present"))</f>
        <v/>
      </c>
      <c r="F228" s="331" t="str">
        <f>IF($H228="","",IF(OR(NOT(ISFORMULA(INDEX('Game Records'!$N:$N,$H228))),NOT(ISFORMULA(INDEX('Game Records'!$O:$O,$H228))),NOT(ISFORMULA(INDEX('Game Records'!$P:$P,$H228))),NOT(ISFORMULA(INDEX('Game Records'!$Q:$Q,$H228))),NOT(ISFORMULA(INDEX('Game Records'!$R:$R,$H228))),NOT(ISFORMULA(INDEX('Game Records'!$S:$S,$H228))),NOT(ISFORMULA(INDEX('Game Records'!$T:$T,$H228))),NOT(ISFORMULA(INDEX('Game Records'!$U:$U,$H228))),NOT(ISFORMULA(INDEX('Game Records'!$V:$V,$H228))),NOT(ISFORMULA(INDEX('Game Records'!$W:$W,$H228))),NOT(ISFORMULA(INDEX('Game Records'!$X:$X,$H228))),NOT(ISFORMULA(INDEX('Game Records'!$Y:$Y,$H228))),NOT(ISFORMULA(INDEX('Game Records'!$Z:$Z,$H228)))),"Formula columns missing; ","")&amp;IF(INDEX('Game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Earned; ","")&amp;IF(AND(LOWER(INDEX('Game Records'!$D:$D,$H228)&amp;"")="finalized",INDEX('Game Records'!$U:$U,$H228)&lt;&gt;"Subscription",INDEX('Game Records'!$U:$U,$H228)&lt;&gt;"Free Game",INDEX('Game Records'!$U:$U,$H228)&lt;&gt;"Disqualified — Free Game",OR(INDEX('Game Records'!$L:$L,$H228)="",LOWER(INDEX('Game Records'!$L:$L,$H228)&amp;"")="n/a")),"Disqualified Status; ","")&amp;IF(AND(OR(INDEX('Game Records'!$U:$U,$H228)="Free Game",INDEX('Game Records'!$U:$U,$H228)="Disqualified — Free Game"),N(INDEX('Game Records'!$H:$H,$H228))&lt;&gt;0),"Free Game has a non-zero Entry Fee; ",""))</f>
        <v/>
      </c>
      <c r="G228" s="331" t="str">
        <f>IF($H228="","",IFERROR(INDEX('Game Records'!$M:$M,$H228),""))</f>
        <v/>
      </c>
      <c r="H228" s="104" t="str">
        <f>IF($H227="","",IFERROR(MATCH(1,INDEX((ROW('Game Records'!$U$5:$U$504)&gt;$H227)*(('Game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9" ht="24" customHeight="1">
      <c r="A229" s="332" t="str">
        <f>IF($H229="","",ROWS($A$5:A229))</f>
        <v/>
      </c>
      <c r="B229" s="332" t="str">
        <f>IF($H229="","","G-"&amp;TEXT($A229,"0000"))</f>
        <v/>
      </c>
      <c r="C229" s="331" t="str">
        <f>IF($H229="","",IFERROR(INDEX('Game Records'!$A:$A,$H229),""))</f>
        <v/>
      </c>
      <c r="D229" s="331" t="str">
        <f>IF($H229="","",IFERROR(INDEX('Game Records'!$U:$U,$H229),""))</f>
        <v/>
      </c>
      <c r="E229" s="331" t="str">
        <f>IF($H229="","",IF($F229="","No Highlighted Fields","Highlighted Fields Present"))</f>
        <v/>
      </c>
      <c r="F229" s="331" t="str">
        <f>IF($H229="","",IF(OR(NOT(ISFORMULA(INDEX('Game Records'!$N:$N,$H229))),NOT(ISFORMULA(INDEX('Game Records'!$O:$O,$H229))),NOT(ISFORMULA(INDEX('Game Records'!$P:$P,$H229))),NOT(ISFORMULA(INDEX('Game Records'!$Q:$Q,$H229))),NOT(ISFORMULA(INDEX('Game Records'!$R:$R,$H229))),NOT(ISFORMULA(INDEX('Game Records'!$S:$S,$H229))),NOT(ISFORMULA(INDEX('Game Records'!$T:$T,$H229))),NOT(ISFORMULA(INDEX('Game Records'!$U:$U,$H229))),NOT(ISFORMULA(INDEX('Game Records'!$V:$V,$H229))),NOT(ISFORMULA(INDEX('Game Records'!$W:$W,$H229))),NOT(ISFORMULA(INDEX('Game Records'!$X:$X,$H229))),NOT(ISFORMULA(INDEX('Game Records'!$Y:$Y,$H229))),NOT(ISFORMULA(INDEX('Game Records'!$Z:$Z,$H229)))),"Formula columns missing; ","")&amp;IF(INDEX('Game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Earned; ","")&amp;IF(AND(LOWER(INDEX('Game Records'!$D:$D,$H229)&amp;"")="finalized",INDEX('Game Records'!$U:$U,$H229)&lt;&gt;"Subscription",INDEX('Game Records'!$U:$U,$H229)&lt;&gt;"Free Game",INDEX('Game Records'!$U:$U,$H229)&lt;&gt;"Disqualified — Free Game",OR(INDEX('Game Records'!$L:$L,$H229)="",LOWER(INDEX('Game Records'!$L:$L,$H229)&amp;"")="n/a")),"Disqualified Status; ","")&amp;IF(AND(OR(INDEX('Game Records'!$U:$U,$H229)="Free Game",INDEX('Game Records'!$U:$U,$H229)="Disqualified — Free Game"),N(INDEX('Game Records'!$H:$H,$H229))&lt;&gt;0),"Free Game has a non-zero Entry Fee; ",""))</f>
        <v/>
      </c>
      <c r="G229" s="331" t="str">
        <f>IF($H229="","",IFERROR(INDEX('Game Records'!$M:$M,$H229),""))</f>
        <v/>
      </c>
      <c r="H229" s="104" t="str">
        <f>IF($H228="","",IFERROR(MATCH(1,INDEX((ROW('Game Records'!$U$5:$U$504)&gt;$H228)*(('Game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0" ht="24" customHeight="1">
      <c r="A230" s="332" t="str">
        <f>IF($H230="","",ROWS($A$5:A230))</f>
        <v/>
      </c>
      <c r="B230" s="332" t="str">
        <f>IF($H230="","","G-"&amp;TEXT($A230,"0000"))</f>
        <v/>
      </c>
      <c r="C230" s="331" t="str">
        <f>IF($H230="","",IFERROR(INDEX('Game Records'!$A:$A,$H230),""))</f>
        <v/>
      </c>
      <c r="D230" s="331" t="str">
        <f>IF($H230="","",IFERROR(INDEX('Game Records'!$U:$U,$H230),""))</f>
        <v/>
      </c>
      <c r="E230" s="331" t="str">
        <f>IF($H230="","",IF($F230="","No Highlighted Fields","Highlighted Fields Present"))</f>
        <v/>
      </c>
      <c r="F230" s="331" t="str">
        <f>IF($H230="","",IF(OR(NOT(ISFORMULA(INDEX('Game Records'!$N:$N,$H230))),NOT(ISFORMULA(INDEX('Game Records'!$O:$O,$H230))),NOT(ISFORMULA(INDEX('Game Records'!$P:$P,$H230))),NOT(ISFORMULA(INDEX('Game Records'!$Q:$Q,$H230))),NOT(ISFORMULA(INDEX('Game Records'!$R:$R,$H230))),NOT(ISFORMULA(INDEX('Game Records'!$S:$S,$H230))),NOT(ISFORMULA(INDEX('Game Records'!$T:$T,$H230))),NOT(ISFORMULA(INDEX('Game Records'!$U:$U,$H230))),NOT(ISFORMULA(INDEX('Game Records'!$V:$V,$H230))),NOT(ISFORMULA(INDEX('Game Records'!$W:$W,$H230))),NOT(ISFORMULA(INDEX('Game Records'!$X:$X,$H230))),NOT(ISFORMULA(INDEX('Game Records'!$Y:$Y,$H230))),NOT(ISFORMULA(INDEX('Game Records'!$Z:$Z,$H230)))),"Formula columns missing; ","")&amp;IF(INDEX('Game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Earned; ","")&amp;IF(AND(LOWER(INDEX('Game Records'!$D:$D,$H230)&amp;"")="finalized",INDEX('Game Records'!$U:$U,$H230)&lt;&gt;"Subscription",INDEX('Game Records'!$U:$U,$H230)&lt;&gt;"Free Game",INDEX('Game Records'!$U:$U,$H230)&lt;&gt;"Disqualified — Free Game",OR(INDEX('Game Records'!$L:$L,$H230)="",LOWER(INDEX('Game Records'!$L:$L,$H230)&amp;"")="n/a")),"Disqualified Status; ","")&amp;IF(AND(OR(INDEX('Game Records'!$U:$U,$H230)="Free Game",INDEX('Game Records'!$U:$U,$H230)="Disqualified — Free Game"),N(INDEX('Game Records'!$H:$H,$H230))&lt;&gt;0),"Free Game has a non-zero Entry Fee; ",""))</f>
        <v/>
      </c>
      <c r="G230" s="331" t="str">
        <f>IF($H230="","",IFERROR(INDEX('Game Records'!$M:$M,$H230),""))</f>
        <v/>
      </c>
      <c r="H230" s="104" t="str">
        <f>IF($H229="","",IFERROR(MATCH(1,INDEX((ROW('Game Records'!$U$5:$U$504)&gt;$H229)*(('Game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1" ht="24" customHeight="1">
      <c r="A231" s="332" t="str">
        <f>IF($H231="","",ROWS($A$5:A231))</f>
        <v/>
      </c>
      <c r="B231" s="332" t="str">
        <f>IF($H231="","","G-"&amp;TEXT($A231,"0000"))</f>
        <v/>
      </c>
      <c r="C231" s="331" t="str">
        <f>IF($H231="","",IFERROR(INDEX('Game Records'!$A:$A,$H231),""))</f>
        <v/>
      </c>
      <c r="D231" s="331" t="str">
        <f>IF($H231="","",IFERROR(INDEX('Game Records'!$U:$U,$H231),""))</f>
        <v/>
      </c>
      <c r="E231" s="331" t="str">
        <f>IF($H231="","",IF($F231="","No Highlighted Fields","Highlighted Fields Present"))</f>
        <v/>
      </c>
      <c r="F231" s="331" t="str">
        <f>IF($H231="","",IF(OR(NOT(ISFORMULA(INDEX('Game Records'!$N:$N,$H231))),NOT(ISFORMULA(INDEX('Game Records'!$O:$O,$H231))),NOT(ISFORMULA(INDEX('Game Records'!$P:$P,$H231))),NOT(ISFORMULA(INDEX('Game Records'!$Q:$Q,$H231))),NOT(ISFORMULA(INDEX('Game Records'!$R:$R,$H231))),NOT(ISFORMULA(INDEX('Game Records'!$S:$S,$H231))),NOT(ISFORMULA(INDEX('Game Records'!$T:$T,$H231))),NOT(ISFORMULA(INDEX('Game Records'!$U:$U,$H231))),NOT(ISFORMULA(INDEX('Game Records'!$V:$V,$H231))),NOT(ISFORMULA(INDEX('Game Records'!$W:$W,$H231))),NOT(ISFORMULA(INDEX('Game Records'!$X:$X,$H231))),NOT(ISFORMULA(INDEX('Game Records'!$Y:$Y,$H231))),NOT(ISFORMULA(INDEX('Game Records'!$Z:$Z,$H231)))),"Formula columns missing; ","")&amp;IF(INDEX('Game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Earned; ","")&amp;IF(AND(LOWER(INDEX('Game Records'!$D:$D,$H231)&amp;"")="finalized",INDEX('Game Records'!$U:$U,$H231)&lt;&gt;"Subscription",INDEX('Game Records'!$U:$U,$H231)&lt;&gt;"Free Game",INDEX('Game Records'!$U:$U,$H231)&lt;&gt;"Disqualified — Free Game",OR(INDEX('Game Records'!$L:$L,$H231)="",LOWER(INDEX('Game Records'!$L:$L,$H231)&amp;"")="n/a")),"Disqualified Status; ","")&amp;IF(AND(OR(INDEX('Game Records'!$U:$U,$H231)="Free Game",INDEX('Game Records'!$U:$U,$H231)="Disqualified — Free Game"),N(INDEX('Game Records'!$H:$H,$H231))&lt;&gt;0),"Free Game has a non-zero Entry Fee; ",""))</f>
        <v/>
      </c>
      <c r="G231" s="331" t="str">
        <f>IF($H231="","",IFERROR(INDEX('Game Records'!$M:$M,$H231),""))</f>
        <v/>
      </c>
      <c r="H231" s="104" t="str">
        <f>IF($H230="","",IFERROR(MATCH(1,INDEX((ROW('Game Records'!$U$5:$U$504)&gt;$H230)*(('Game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2" ht="24" customHeight="1">
      <c r="A232" s="332" t="str">
        <f>IF($H232="","",ROWS($A$5:A232))</f>
        <v/>
      </c>
      <c r="B232" s="332" t="str">
        <f>IF($H232="","","G-"&amp;TEXT($A232,"0000"))</f>
        <v/>
      </c>
      <c r="C232" s="331" t="str">
        <f>IF($H232="","",IFERROR(INDEX('Game Records'!$A:$A,$H232),""))</f>
        <v/>
      </c>
      <c r="D232" s="331" t="str">
        <f>IF($H232="","",IFERROR(INDEX('Game Records'!$U:$U,$H232),""))</f>
        <v/>
      </c>
      <c r="E232" s="331" t="str">
        <f>IF($H232="","",IF($F232="","No Highlighted Fields","Highlighted Fields Present"))</f>
        <v/>
      </c>
      <c r="F232" s="331" t="str">
        <f>IF($H232="","",IF(OR(NOT(ISFORMULA(INDEX('Game Records'!$N:$N,$H232))),NOT(ISFORMULA(INDEX('Game Records'!$O:$O,$H232))),NOT(ISFORMULA(INDEX('Game Records'!$P:$P,$H232))),NOT(ISFORMULA(INDEX('Game Records'!$Q:$Q,$H232))),NOT(ISFORMULA(INDEX('Game Records'!$R:$R,$H232))),NOT(ISFORMULA(INDEX('Game Records'!$S:$S,$H232))),NOT(ISFORMULA(INDEX('Game Records'!$T:$T,$H232))),NOT(ISFORMULA(INDEX('Game Records'!$U:$U,$H232))),NOT(ISFORMULA(INDEX('Game Records'!$V:$V,$H232))),NOT(ISFORMULA(INDEX('Game Records'!$W:$W,$H232))),NOT(ISFORMULA(INDEX('Game Records'!$X:$X,$H232))),NOT(ISFORMULA(INDEX('Game Records'!$Y:$Y,$H232))),NOT(ISFORMULA(INDEX('Game Records'!$Z:$Z,$H232)))),"Formula columns missing; ","")&amp;IF(INDEX('Game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Earned; ","")&amp;IF(AND(LOWER(INDEX('Game Records'!$D:$D,$H232)&amp;"")="finalized",INDEX('Game Records'!$U:$U,$H232)&lt;&gt;"Subscription",INDEX('Game Records'!$U:$U,$H232)&lt;&gt;"Free Game",INDEX('Game Records'!$U:$U,$H232)&lt;&gt;"Disqualified — Free Game",OR(INDEX('Game Records'!$L:$L,$H232)="",LOWER(INDEX('Game Records'!$L:$L,$H232)&amp;"")="n/a")),"Disqualified Status; ","")&amp;IF(AND(OR(INDEX('Game Records'!$U:$U,$H232)="Free Game",INDEX('Game Records'!$U:$U,$H232)="Disqualified — Free Game"),N(INDEX('Game Records'!$H:$H,$H232))&lt;&gt;0),"Free Game has a non-zero Entry Fee; ",""))</f>
        <v/>
      </c>
      <c r="G232" s="331" t="str">
        <f>IF($H232="","",IFERROR(INDEX('Game Records'!$M:$M,$H232),""))</f>
        <v/>
      </c>
      <c r="H232" s="104" t="str">
        <f>IF($H231="","",IFERROR(MATCH(1,INDEX((ROW('Game Records'!$U$5:$U$504)&gt;$H231)*(('Game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3" ht="24" customHeight="1">
      <c r="A233" s="332" t="str">
        <f>IF($H233="","",ROWS($A$5:A233))</f>
        <v/>
      </c>
      <c r="B233" s="332" t="str">
        <f>IF($H233="","","G-"&amp;TEXT($A233,"0000"))</f>
        <v/>
      </c>
      <c r="C233" s="331" t="str">
        <f>IF($H233="","",IFERROR(INDEX('Game Records'!$A:$A,$H233),""))</f>
        <v/>
      </c>
      <c r="D233" s="331" t="str">
        <f>IF($H233="","",IFERROR(INDEX('Game Records'!$U:$U,$H233),""))</f>
        <v/>
      </c>
      <c r="E233" s="331" t="str">
        <f>IF($H233="","",IF($F233="","No Highlighted Fields","Highlighted Fields Present"))</f>
        <v/>
      </c>
      <c r="F233" s="331" t="str">
        <f>IF($H233="","",IF(OR(NOT(ISFORMULA(INDEX('Game Records'!$N:$N,$H233))),NOT(ISFORMULA(INDEX('Game Records'!$O:$O,$H233))),NOT(ISFORMULA(INDEX('Game Records'!$P:$P,$H233))),NOT(ISFORMULA(INDEX('Game Records'!$Q:$Q,$H233))),NOT(ISFORMULA(INDEX('Game Records'!$R:$R,$H233))),NOT(ISFORMULA(INDEX('Game Records'!$S:$S,$H233))),NOT(ISFORMULA(INDEX('Game Records'!$T:$T,$H233))),NOT(ISFORMULA(INDEX('Game Records'!$U:$U,$H233))),NOT(ISFORMULA(INDEX('Game Records'!$V:$V,$H233))),NOT(ISFORMULA(INDEX('Game Records'!$W:$W,$H233))),NOT(ISFORMULA(INDEX('Game Records'!$X:$X,$H233))),NOT(ISFORMULA(INDEX('Game Records'!$Y:$Y,$H233))),NOT(ISFORMULA(INDEX('Game Records'!$Z:$Z,$H233)))),"Formula columns missing; ","")&amp;IF(INDEX('Game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Earned; ","")&amp;IF(AND(LOWER(INDEX('Game Records'!$D:$D,$H233)&amp;"")="finalized",INDEX('Game Records'!$U:$U,$H233)&lt;&gt;"Subscription",INDEX('Game Records'!$U:$U,$H233)&lt;&gt;"Free Game",INDEX('Game Records'!$U:$U,$H233)&lt;&gt;"Disqualified — Free Game",OR(INDEX('Game Records'!$L:$L,$H233)="",LOWER(INDEX('Game Records'!$L:$L,$H233)&amp;"")="n/a")),"Disqualified Status; ","")&amp;IF(AND(OR(INDEX('Game Records'!$U:$U,$H233)="Free Game",INDEX('Game Records'!$U:$U,$H233)="Disqualified — Free Game"),N(INDEX('Game Records'!$H:$H,$H233))&lt;&gt;0),"Free Game has a non-zero Entry Fee; ",""))</f>
        <v/>
      </c>
      <c r="G233" s="331" t="str">
        <f>IF($H233="","",IFERROR(INDEX('Game Records'!$M:$M,$H233),""))</f>
        <v/>
      </c>
      <c r="H233" s="104" t="str">
        <f>IF($H232="","",IFERROR(MATCH(1,INDEX((ROW('Game Records'!$U$5:$U$504)&gt;$H232)*(('Game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4" ht="24" customHeight="1">
      <c r="A234" s="332" t="str">
        <f>IF($H234="","",ROWS($A$5:A234))</f>
        <v/>
      </c>
      <c r="B234" s="332" t="str">
        <f>IF($H234="","","G-"&amp;TEXT($A234,"0000"))</f>
        <v/>
      </c>
      <c r="C234" s="331" t="str">
        <f>IF($H234="","",IFERROR(INDEX('Game Records'!$A:$A,$H234),""))</f>
        <v/>
      </c>
      <c r="D234" s="331" t="str">
        <f>IF($H234="","",IFERROR(INDEX('Game Records'!$U:$U,$H234),""))</f>
        <v/>
      </c>
      <c r="E234" s="331" t="str">
        <f>IF($H234="","",IF($F234="","No Highlighted Fields","Highlighted Fields Present"))</f>
        <v/>
      </c>
      <c r="F234" s="331" t="str">
        <f>IF($H234="","",IF(OR(NOT(ISFORMULA(INDEX('Game Records'!$N:$N,$H234))),NOT(ISFORMULA(INDEX('Game Records'!$O:$O,$H234))),NOT(ISFORMULA(INDEX('Game Records'!$P:$P,$H234))),NOT(ISFORMULA(INDEX('Game Records'!$Q:$Q,$H234))),NOT(ISFORMULA(INDEX('Game Records'!$R:$R,$H234))),NOT(ISFORMULA(INDEX('Game Records'!$S:$S,$H234))),NOT(ISFORMULA(INDEX('Game Records'!$T:$T,$H234))),NOT(ISFORMULA(INDEX('Game Records'!$U:$U,$H234))),NOT(ISFORMULA(INDEX('Game Records'!$V:$V,$H234))),NOT(ISFORMULA(INDEX('Game Records'!$W:$W,$H234))),NOT(ISFORMULA(INDEX('Game Records'!$X:$X,$H234))),NOT(ISFORMULA(INDEX('Game Records'!$Y:$Y,$H234))),NOT(ISFORMULA(INDEX('Game Records'!$Z:$Z,$H234)))),"Formula columns missing; ","")&amp;IF(INDEX('Game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Earned; ","")&amp;IF(AND(LOWER(INDEX('Game Records'!$D:$D,$H234)&amp;"")="finalized",INDEX('Game Records'!$U:$U,$H234)&lt;&gt;"Subscription",INDEX('Game Records'!$U:$U,$H234)&lt;&gt;"Free Game",INDEX('Game Records'!$U:$U,$H234)&lt;&gt;"Disqualified — Free Game",OR(INDEX('Game Records'!$L:$L,$H234)="",LOWER(INDEX('Game Records'!$L:$L,$H234)&amp;"")="n/a")),"Disqualified Status; ","")&amp;IF(AND(OR(INDEX('Game Records'!$U:$U,$H234)="Free Game",INDEX('Game Records'!$U:$U,$H234)="Disqualified — Free Game"),N(INDEX('Game Records'!$H:$H,$H234))&lt;&gt;0),"Free Game has a non-zero Entry Fee; ",""))</f>
        <v/>
      </c>
      <c r="G234" s="331" t="str">
        <f>IF($H234="","",IFERROR(INDEX('Game Records'!$M:$M,$H234),""))</f>
        <v/>
      </c>
      <c r="H234" s="104" t="str">
        <f>IF($H233="","",IFERROR(MATCH(1,INDEX((ROW('Game Records'!$U$5:$U$504)&gt;$H233)*(('Game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5" ht="24" customHeight="1">
      <c r="A235" s="332" t="str">
        <f>IF($H235="","",ROWS($A$5:A235))</f>
        <v/>
      </c>
      <c r="B235" s="332" t="str">
        <f>IF($H235="","","G-"&amp;TEXT($A235,"0000"))</f>
        <v/>
      </c>
      <c r="C235" s="331" t="str">
        <f>IF($H235="","",IFERROR(INDEX('Game Records'!$A:$A,$H235),""))</f>
        <v/>
      </c>
      <c r="D235" s="331" t="str">
        <f>IF($H235="","",IFERROR(INDEX('Game Records'!$U:$U,$H235),""))</f>
        <v/>
      </c>
      <c r="E235" s="331" t="str">
        <f>IF($H235="","",IF($F235="","No Highlighted Fields","Highlighted Fields Present"))</f>
        <v/>
      </c>
      <c r="F235" s="331" t="str">
        <f>IF($H235="","",IF(OR(NOT(ISFORMULA(INDEX('Game Records'!$N:$N,$H235))),NOT(ISFORMULA(INDEX('Game Records'!$O:$O,$H235))),NOT(ISFORMULA(INDEX('Game Records'!$P:$P,$H235))),NOT(ISFORMULA(INDEX('Game Records'!$Q:$Q,$H235))),NOT(ISFORMULA(INDEX('Game Records'!$R:$R,$H235))),NOT(ISFORMULA(INDEX('Game Records'!$S:$S,$H235))),NOT(ISFORMULA(INDEX('Game Records'!$T:$T,$H235))),NOT(ISFORMULA(INDEX('Game Records'!$U:$U,$H235))),NOT(ISFORMULA(INDEX('Game Records'!$V:$V,$H235))),NOT(ISFORMULA(INDEX('Game Records'!$W:$W,$H235))),NOT(ISFORMULA(INDEX('Game Records'!$X:$X,$H235))),NOT(ISFORMULA(INDEX('Game Records'!$Y:$Y,$H235))),NOT(ISFORMULA(INDEX('Game Records'!$Z:$Z,$H235)))),"Formula columns missing; ","")&amp;IF(INDEX('Game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Earned; ","")&amp;IF(AND(LOWER(INDEX('Game Records'!$D:$D,$H235)&amp;"")="finalized",INDEX('Game Records'!$U:$U,$H235)&lt;&gt;"Subscription",INDEX('Game Records'!$U:$U,$H235)&lt;&gt;"Free Game",INDEX('Game Records'!$U:$U,$H235)&lt;&gt;"Disqualified — Free Game",OR(INDEX('Game Records'!$L:$L,$H235)="",LOWER(INDEX('Game Records'!$L:$L,$H235)&amp;"")="n/a")),"Disqualified Status; ","")&amp;IF(AND(OR(INDEX('Game Records'!$U:$U,$H235)="Free Game",INDEX('Game Records'!$U:$U,$H235)="Disqualified — Free Game"),N(INDEX('Game Records'!$H:$H,$H235))&lt;&gt;0),"Free Game has a non-zero Entry Fee; ",""))</f>
        <v/>
      </c>
      <c r="G235" s="331" t="str">
        <f>IF($H235="","",IFERROR(INDEX('Game Records'!$M:$M,$H235),""))</f>
        <v/>
      </c>
      <c r="H235" s="104" t="str">
        <f>IF($H234="","",IFERROR(MATCH(1,INDEX((ROW('Game Records'!$U$5:$U$504)&gt;$H234)*(('Game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6" ht="24" customHeight="1">
      <c r="A236" s="332" t="str">
        <f>IF($H236="","",ROWS($A$5:A236))</f>
        <v/>
      </c>
      <c r="B236" s="332" t="str">
        <f>IF($H236="","","G-"&amp;TEXT($A236,"0000"))</f>
        <v/>
      </c>
      <c r="C236" s="331" t="str">
        <f>IF($H236="","",IFERROR(INDEX('Game Records'!$A:$A,$H236),""))</f>
        <v/>
      </c>
      <c r="D236" s="331" t="str">
        <f>IF($H236="","",IFERROR(INDEX('Game Records'!$U:$U,$H236),""))</f>
        <v/>
      </c>
      <c r="E236" s="331" t="str">
        <f>IF($H236="","",IF($F236="","No Highlighted Fields","Highlighted Fields Present"))</f>
        <v/>
      </c>
      <c r="F236" s="331" t="str">
        <f>IF($H236="","",IF(OR(NOT(ISFORMULA(INDEX('Game Records'!$N:$N,$H236))),NOT(ISFORMULA(INDEX('Game Records'!$O:$O,$H236))),NOT(ISFORMULA(INDEX('Game Records'!$P:$P,$H236))),NOT(ISFORMULA(INDEX('Game Records'!$Q:$Q,$H236))),NOT(ISFORMULA(INDEX('Game Records'!$R:$R,$H236))),NOT(ISFORMULA(INDEX('Game Records'!$S:$S,$H236))),NOT(ISFORMULA(INDEX('Game Records'!$T:$T,$H236))),NOT(ISFORMULA(INDEX('Game Records'!$U:$U,$H236))),NOT(ISFORMULA(INDEX('Game Records'!$V:$V,$H236))),NOT(ISFORMULA(INDEX('Game Records'!$W:$W,$H236))),NOT(ISFORMULA(INDEX('Game Records'!$X:$X,$H236))),NOT(ISFORMULA(INDEX('Game Records'!$Y:$Y,$H236))),NOT(ISFORMULA(INDEX('Game Records'!$Z:$Z,$H236)))),"Formula columns missing; ","")&amp;IF(INDEX('Game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Earned; ","")&amp;IF(AND(LOWER(INDEX('Game Records'!$D:$D,$H236)&amp;"")="finalized",INDEX('Game Records'!$U:$U,$H236)&lt;&gt;"Subscription",INDEX('Game Records'!$U:$U,$H236)&lt;&gt;"Free Game",INDEX('Game Records'!$U:$U,$H236)&lt;&gt;"Disqualified — Free Game",OR(INDEX('Game Records'!$L:$L,$H236)="",LOWER(INDEX('Game Records'!$L:$L,$H236)&amp;"")="n/a")),"Disqualified Status; ","")&amp;IF(AND(OR(INDEX('Game Records'!$U:$U,$H236)="Free Game",INDEX('Game Records'!$U:$U,$H236)="Disqualified — Free Game"),N(INDEX('Game Records'!$H:$H,$H236))&lt;&gt;0),"Free Game has a non-zero Entry Fee; ",""))</f>
        <v/>
      </c>
      <c r="G236" s="331" t="str">
        <f>IF($H236="","",IFERROR(INDEX('Game Records'!$M:$M,$H236),""))</f>
        <v/>
      </c>
      <c r="H236" s="104" t="str">
        <f>IF($H235="","",IFERROR(MATCH(1,INDEX((ROW('Game Records'!$U$5:$U$504)&gt;$H235)*(('Game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7" ht="24" customHeight="1">
      <c r="A237" s="332" t="str">
        <f>IF($H237="","",ROWS($A$5:A237))</f>
        <v/>
      </c>
      <c r="B237" s="332" t="str">
        <f>IF($H237="","","G-"&amp;TEXT($A237,"0000"))</f>
        <v/>
      </c>
      <c r="C237" s="331" t="str">
        <f>IF($H237="","",IFERROR(INDEX('Game Records'!$A:$A,$H237),""))</f>
        <v/>
      </c>
      <c r="D237" s="331" t="str">
        <f>IF($H237="","",IFERROR(INDEX('Game Records'!$U:$U,$H237),""))</f>
        <v/>
      </c>
      <c r="E237" s="331" t="str">
        <f>IF($H237="","",IF($F237="","No Highlighted Fields","Highlighted Fields Present"))</f>
        <v/>
      </c>
      <c r="F237" s="331" t="str">
        <f>IF($H237="","",IF(OR(NOT(ISFORMULA(INDEX('Game Records'!$N:$N,$H237))),NOT(ISFORMULA(INDEX('Game Records'!$O:$O,$H237))),NOT(ISFORMULA(INDEX('Game Records'!$P:$P,$H237))),NOT(ISFORMULA(INDEX('Game Records'!$Q:$Q,$H237))),NOT(ISFORMULA(INDEX('Game Records'!$R:$R,$H237))),NOT(ISFORMULA(INDEX('Game Records'!$S:$S,$H237))),NOT(ISFORMULA(INDEX('Game Records'!$T:$T,$H237))),NOT(ISFORMULA(INDEX('Game Records'!$U:$U,$H237))),NOT(ISFORMULA(INDEX('Game Records'!$V:$V,$H237))),NOT(ISFORMULA(INDEX('Game Records'!$W:$W,$H237))),NOT(ISFORMULA(INDEX('Game Records'!$X:$X,$H237))),NOT(ISFORMULA(INDEX('Game Records'!$Y:$Y,$H237))),NOT(ISFORMULA(INDEX('Game Records'!$Z:$Z,$H237)))),"Formula columns missing; ","")&amp;IF(INDEX('Game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Earned; ","")&amp;IF(AND(LOWER(INDEX('Game Records'!$D:$D,$H237)&amp;"")="finalized",INDEX('Game Records'!$U:$U,$H237)&lt;&gt;"Subscription",INDEX('Game Records'!$U:$U,$H237)&lt;&gt;"Free Game",INDEX('Game Records'!$U:$U,$H237)&lt;&gt;"Disqualified — Free Game",OR(INDEX('Game Records'!$L:$L,$H237)="",LOWER(INDEX('Game Records'!$L:$L,$H237)&amp;"")="n/a")),"Disqualified Status; ","")&amp;IF(AND(OR(INDEX('Game Records'!$U:$U,$H237)="Free Game",INDEX('Game Records'!$U:$U,$H237)="Disqualified — Free Game"),N(INDEX('Game Records'!$H:$H,$H237))&lt;&gt;0),"Free Game has a non-zero Entry Fee; ",""))</f>
        <v/>
      </c>
      <c r="G237" s="331" t="str">
        <f>IF($H237="","",IFERROR(INDEX('Game Records'!$M:$M,$H237),""))</f>
        <v/>
      </c>
      <c r="H237" s="104" t="str">
        <f>IF($H236="","",IFERROR(MATCH(1,INDEX((ROW('Game Records'!$U$5:$U$504)&gt;$H236)*(('Game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8" ht="24" customHeight="1">
      <c r="A238" s="332" t="str">
        <f>IF($H238="","",ROWS($A$5:A238))</f>
        <v/>
      </c>
      <c r="B238" s="332" t="str">
        <f>IF($H238="","","G-"&amp;TEXT($A238,"0000"))</f>
        <v/>
      </c>
      <c r="C238" s="331" t="str">
        <f>IF($H238="","",IFERROR(INDEX('Game Records'!$A:$A,$H238),""))</f>
        <v/>
      </c>
      <c r="D238" s="331" t="str">
        <f>IF($H238="","",IFERROR(INDEX('Game Records'!$U:$U,$H238),""))</f>
        <v/>
      </c>
      <c r="E238" s="331" t="str">
        <f>IF($H238="","",IF($F238="","No Highlighted Fields","Highlighted Fields Present"))</f>
        <v/>
      </c>
      <c r="F238" s="331" t="str">
        <f>IF($H238="","",IF(OR(NOT(ISFORMULA(INDEX('Game Records'!$N:$N,$H238))),NOT(ISFORMULA(INDEX('Game Records'!$O:$O,$H238))),NOT(ISFORMULA(INDEX('Game Records'!$P:$P,$H238))),NOT(ISFORMULA(INDEX('Game Records'!$Q:$Q,$H238))),NOT(ISFORMULA(INDEX('Game Records'!$R:$R,$H238))),NOT(ISFORMULA(INDEX('Game Records'!$S:$S,$H238))),NOT(ISFORMULA(INDEX('Game Records'!$T:$T,$H238))),NOT(ISFORMULA(INDEX('Game Records'!$U:$U,$H238))),NOT(ISFORMULA(INDEX('Game Records'!$V:$V,$H238))),NOT(ISFORMULA(INDEX('Game Records'!$W:$W,$H238))),NOT(ISFORMULA(INDEX('Game Records'!$X:$X,$H238))),NOT(ISFORMULA(INDEX('Game Records'!$Y:$Y,$H238))),NOT(ISFORMULA(INDEX('Game Records'!$Z:$Z,$H238)))),"Formula columns missing; ","")&amp;IF(INDEX('Game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Earned; ","")&amp;IF(AND(LOWER(INDEX('Game Records'!$D:$D,$H238)&amp;"")="finalized",INDEX('Game Records'!$U:$U,$H238)&lt;&gt;"Subscription",INDEX('Game Records'!$U:$U,$H238)&lt;&gt;"Free Game",INDEX('Game Records'!$U:$U,$H238)&lt;&gt;"Disqualified — Free Game",OR(INDEX('Game Records'!$L:$L,$H238)="",LOWER(INDEX('Game Records'!$L:$L,$H238)&amp;"")="n/a")),"Disqualified Status; ","")&amp;IF(AND(OR(INDEX('Game Records'!$U:$U,$H238)="Free Game",INDEX('Game Records'!$U:$U,$H238)="Disqualified — Free Game"),N(INDEX('Game Records'!$H:$H,$H238))&lt;&gt;0),"Free Game has a non-zero Entry Fee; ",""))</f>
        <v/>
      </c>
      <c r="G238" s="331" t="str">
        <f>IF($H238="","",IFERROR(INDEX('Game Records'!$M:$M,$H238),""))</f>
        <v/>
      </c>
      <c r="H238" s="104" t="str">
        <f>IF($H237="","",IFERROR(MATCH(1,INDEX((ROW('Game Records'!$U$5:$U$504)&gt;$H237)*(('Game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9" ht="24" customHeight="1">
      <c r="A239" s="332" t="str">
        <f>IF($H239="","",ROWS($A$5:A239))</f>
        <v/>
      </c>
      <c r="B239" s="332" t="str">
        <f>IF($H239="","","G-"&amp;TEXT($A239,"0000"))</f>
        <v/>
      </c>
      <c r="C239" s="331" t="str">
        <f>IF($H239="","",IFERROR(INDEX('Game Records'!$A:$A,$H239),""))</f>
        <v/>
      </c>
      <c r="D239" s="331" t="str">
        <f>IF($H239="","",IFERROR(INDEX('Game Records'!$U:$U,$H239),""))</f>
        <v/>
      </c>
      <c r="E239" s="331" t="str">
        <f>IF($H239="","",IF($F239="","No Highlighted Fields","Highlighted Fields Present"))</f>
        <v/>
      </c>
      <c r="F239" s="331" t="str">
        <f>IF($H239="","",IF(OR(NOT(ISFORMULA(INDEX('Game Records'!$N:$N,$H239))),NOT(ISFORMULA(INDEX('Game Records'!$O:$O,$H239))),NOT(ISFORMULA(INDEX('Game Records'!$P:$P,$H239))),NOT(ISFORMULA(INDEX('Game Records'!$Q:$Q,$H239))),NOT(ISFORMULA(INDEX('Game Records'!$R:$R,$H239))),NOT(ISFORMULA(INDEX('Game Records'!$S:$S,$H239))),NOT(ISFORMULA(INDEX('Game Records'!$T:$T,$H239))),NOT(ISFORMULA(INDEX('Game Records'!$U:$U,$H239))),NOT(ISFORMULA(INDEX('Game Records'!$V:$V,$H239))),NOT(ISFORMULA(INDEX('Game Records'!$W:$W,$H239))),NOT(ISFORMULA(INDEX('Game Records'!$X:$X,$H239))),NOT(ISFORMULA(INDEX('Game Records'!$Y:$Y,$H239))),NOT(ISFORMULA(INDEX('Game Records'!$Z:$Z,$H239)))),"Formula columns missing; ","")&amp;IF(INDEX('Game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Earned; ","")&amp;IF(AND(LOWER(INDEX('Game Records'!$D:$D,$H239)&amp;"")="finalized",INDEX('Game Records'!$U:$U,$H239)&lt;&gt;"Subscription",INDEX('Game Records'!$U:$U,$H239)&lt;&gt;"Free Game",INDEX('Game Records'!$U:$U,$H239)&lt;&gt;"Disqualified — Free Game",OR(INDEX('Game Records'!$L:$L,$H239)="",LOWER(INDEX('Game Records'!$L:$L,$H239)&amp;"")="n/a")),"Disqualified Status; ","")&amp;IF(AND(OR(INDEX('Game Records'!$U:$U,$H239)="Free Game",INDEX('Game Records'!$U:$U,$H239)="Disqualified — Free Game"),N(INDEX('Game Records'!$H:$H,$H239))&lt;&gt;0),"Free Game has a non-zero Entry Fee; ",""))</f>
        <v/>
      </c>
      <c r="G239" s="331" t="str">
        <f>IF($H239="","",IFERROR(INDEX('Game Records'!$M:$M,$H239),""))</f>
        <v/>
      </c>
      <c r="H239" s="104" t="str">
        <f>IF($H238="","",IFERROR(MATCH(1,INDEX((ROW('Game Records'!$U$5:$U$504)&gt;$H238)*(('Game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0" ht="24" customHeight="1">
      <c r="A240" s="332" t="str">
        <f>IF($H240="","",ROWS($A$5:A240))</f>
        <v/>
      </c>
      <c r="B240" s="332" t="str">
        <f>IF($H240="","","G-"&amp;TEXT($A240,"0000"))</f>
        <v/>
      </c>
      <c r="C240" s="331" t="str">
        <f>IF($H240="","",IFERROR(INDEX('Game Records'!$A:$A,$H240),""))</f>
        <v/>
      </c>
      <c r="D240" s="331" t="str">
        <f>IF($H240="","",IFERROR(INDEX('Game Records'!$U:$U,$H240),""))</f>
        <v/>
      </c>
      <c r="E240" s="331" t="str">
        <f>IF($H240="","",IF($F240="","No Highlighted Fields","Highlighted Fields Present"))</f>
        <v/>
      </c>
      <c r="F240" s="331" t="str">
        <f>IF($H240="","",IF(OR(NOT(ISFORMULA(INDEX('Game Records'!$N:$N,$H240))),NOT(ISFORMULA(INDEX('Game Records'!$O:$O,$H240))),NOT(ISFORMULA(INDEX('Game Records'!$P:$P,$H240))),NOT(ISFORMULA(INDEX('Game Records'!$Q:$Q,$H240))),NOT(ISFORMULA(INDEX('Game Records'!$R:$R,$H240))),NOT(ISFORMULA(INDEX('Game Records'!$S:$S,$H240))),NOT(ISFORMULA(INDEX('Game Records'!$T:$T,$H240))),NOT(ISFORMULA(INDEX('Game Records'!$U:$U,$H240))),NOT(ISFORMULA(INDEX('Game Records'!$V:$V,$H240))),NOT(ISFORMULA(INDEX('Game Records'!$W:$W,$H240))),NOT(ISFORMULA(INDEX('Game Records'!$X:$X,$H240))),NOT(ISFORMULA(INDEX('Game Records'!$Y:$Y,$H240))),NOT(ISFORMULA(INDEX('Game Records'!$Z:$Z,$H240)))),"Formula columns missing; ","")&amp;IF(INDEX('Game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Earned; ","")&amp;IF(AND(LOWER(INDEX('Game Records'!$D:$D,$H240)&amp;"")="finalized",INDEX('Game Records'!$U:$U,$H240)&lt;&gt;"Subscription",INDEX('Game Records'!$U:$U,$H240)&lt;&gt;"Free Game",INDEX('Game Records'!$U:$U,$H240)&lt;&gt;"Disqualified — Free Game",OR(INDEX('Game Records'!$L:$L,$H240)="",LOWER(INDEX('Game Records'!$L:$L,$H240)&amp;"")="n/a")),"Disqualified Status; ","")&amp;IF(AND(OR(INDEX('Game Records'!$U:$U,$H240)="Free Game",INDEX('Game Records'!$U:$U,$H240)="Disqualified — Free Game"),N(INDEX('Game Records'!$H:$H,$H240))&lt;&gt;0),"Free Game has a non-zero Entry Fee; ",""))</f>
        <v/>
      </c>
      <c r="G240" s="331" t="str">
        <f>IF($H240="","",IFERROR(INDEX('Game Records'!$M:$M,$H240),""))</f>
        <v/>
      </c>
      <c r="H240" s="104" t="str">
        <f>IF($H239="","",IFERROR(MATCH(1,INDEX((ROW('Game Records'!$U$5:$U$504)&gt;$H239)*(('Game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1" ht="24" customHeight="1">
      <c r="A241" s="332" t="str">
        <f>IF($H241="","",ROWS($A$5:A241))</f>
        <v/>
      </c>
      <c r="B241" s="332" t="str">
        <f>IF($H241="","","G-"&amp;TEXT($A241,"0000"))</f>
        <v/>
      </c>
      <c r="C241" s="331" t="str">
        <f>IF($H241="","",IFERROR(INDEX('Game Records'!$A:$A,$H241),""))</f>
        <v/>
      </c>
      <c r="D241" s="331" t="str">
        <f>IF($H241="","",IFERROR(INDEX('Game Records'!$U:$U,$H241),""))</f>
        <v/>
      </c>
      <c r="E241" s="331" t="str">
        <f>IF($H241="","",IF($F241="","No Highlighted Fields","Highlighted Fields Present"))</f>
        <v/>
      </c>
      <c r="F241" s="331" t="str">
        <f>IF($H241="","",IF(OR(NOT(ISFORMULA(INDEX('Game Records'!$N:$N,$H241))),NOT(ISFORMULA(INDEX('Game Records'!$O:$O,$H241))),NOT(ISFORMULA(INDEX('Game Records'!$P:$P,$H241))),NOT(ISFORMULA(INDEX('Game Records'!$Q:$Q,$H241))),NOT(ISFORMULA(INDEX('Game Records'!$R:$R,$H241))),NOT(ISFORMULA(INDEX('Game Records'!$S:$S,$H241))),NOT(ISFORMULA(INDEX('Game Records'!$T:$T,$H241))),NOT(ISFORMULA(INDEX('Game Records'!$U:$U,$H241))),NOT(ISFORMULA(INDEX('Game Records'!$V:$V,$H241))),NOT(ISFORMULA(INDEX('Game Records'!$W:$W,$H241))),NOT(ISFORMULA(INDEX('Game Records'!$X:$X,$H241))),NOT(ISFORMULA(INDEX('Game Records'!$Y:$Y,$H241))),NOT(ISFORMULA(INDEX('Game Records'!$Z:$Z,$H241)))),"Formula columns missing; ","")&amp;IF(INDEX('Game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Earned; ","")&amp;IF(AND(LOWER(INDEX('Game Records'!$D:$D,$H241)&amp;"")="finalized",INDEX('Game Records'!$U:$U,$H241)&lt;&gt;"Subscription",INDEX('Game Records'!$U:$U,$H241)&lt;&gt;"Free Game",INDEX('Game Records'!$U:$U,$H241)&lt;&gt;"Disqualified — Free Game",OR(INDEX('Game Records'!$L:$L,$H241)="",LOWER(INDEX('Game Records'!$L:$L,$H241)&amp;"")="n/a")),"Disqualified Status; ","")&amp;IF(AND(OR(INDEX('Game Records'!$U:$U,$H241)="Free Game",INDEX('Game Records'!$U:$U,$H241)="Disqualified — Free Game"),N(INDEX('Game Records'!$H:$H,$H241))&lt;&gt;0),"Free Game has a non-zero Entry Fee; ",""))</f>
        <v/>
      </c>
      <c r="G241" s="331" t="str">
        <f>IF($H241="","",IFERROR(INDEX('Game Records'!$M:$M,$H241),""))</f>
        <v/>
      </c>
      <c r="H241" s="104" t="str">
        <f>IF($H240="","",IFERROR(MATCH(1,INDEX((ROW('Game Records'!$U$5:$U$504)&gt;$H240)*(('Game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2" ht="24" customHeight="1">
      <c r="A242" s="332" t="str">
        <f>IF($H242="","",ROWS($A$5:A242))</f>
        <v/>
      </c>
      <c r="B242" s="332" t="str">
        <f>IF($H242="","","G-"&amp;TEXT($A242,"0000"))</f>
        <v/>
      </c>
      <c r="C242" s="331" t="str">
        <f>IF($H242="","",IFERROR(INDEX('Game Records'!$A:$A,$H242),""))</f>
        <v/>
      </c>
      <c r="D242" s="331" t="str">
        <f>IF($H242="","",IFERROR(INDEX('Game Records'!$U:$U,$H242),""))</f>
        <v/>
      </c>
      <c r="E242" s="331" t="str">
        <f>IF($H242="","",IF($F242="","No Highlighted Fields","Highlighted Fields Present"))</f>
        <v/>
      </c>
      <c r="F242" s="331" t="str">
        <f>IF($H242="","",IF(OR(NOT(ISFORMULA(INDEX('Game Records'!$N:$N,$H242))),NOT(ISFORMULA(INDEX('Game Records'!$O:$O,$H242))),NOT(ISFORMULA(INDEX('Game Records'!$P:$P,$H242))),NOT(ISFORMULA(INDEX('Game Records'!$Q:$Q,$H242))),NOT(ISFORMULA(INDEX('Game Records'!$R:$R,$H242))),NOT(ISFORMULA(INDEX('Game Records'!$S:$S,$H242))),NOT(ISFORMULA(INDEX('Game Records'!$T:$T,$H242))),NOT(ISFORMULA(INDEX('Game Records'!$U:$U,$H242))),NOT(ISFORMULA(INDEX('Game Records'!$V:$V,$H242))),NOT(ISFORMULA(INDEX('Game Records'!$W:$W,$H242))),NOT(ISFORMULA(INDEX('Game Records'!$X:$X,$H242))),NOT(ISFORMULA(INDEX('Game Records'!$Y:$Y,$H242))),NOT(ISFORMULA(INDEX('Game Records'!$Z:$Z,$H242)))),"Formula columns missing; ","")&amp;IF(INDEX('Game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Earned; ","")&amp;IF(AND(LOWER(INDEX('Game Records'!$D:$D,$H242)&amp;"")="finalized",INDEX('Game Records'!$U:$U,$H242)&lt;&gt;"Subscription",INDEX('Game Records'!$U:$U,$H242)&lt;&gt;"Free Game",INDEX('Game Records'!$U:$U,$H242)&lt;&gt;"Disqualified — Free Game",OR(INDEX('Game Records'!$L:$L,$H242)="",LOWER(INDEX('Game Records'!$L:$L,$H242)&amp;"")="n/a")),"Disqualified Status; ","")&amp;IF(AND(OR(INDEX('Game Records'!$U:$U,$H242)="Free Game",INDEX('Game Records'!$U:$U,$H242)="Disqualified — Free Game"),N(INDEX('Game Records'!$H:$H,$H242))&lt;&gt;0),"Free Game has a non-zero Entry Fee; ",""))</f>
        <v/>
      </c>
      <c r="G242" s="331" t="str">
        <f>IF($H242="","",IFERROR(INDEX('Game Records'!$M:$M,$H242),""))</f>
        <v/>
      </c>
      <c r="H242" s="104" t="str">
        <f>IF($H241="","",IFERROR(MATCH(1,INDEX((ROW('Game Records'!$U$5:$U$504)&gt;$H241)*(('Game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3" ht="24" customHeight="1">
      <c r="A243" s="332" t="str">
        <f>IF($H243="","",ROWS($A$5:A243))</f>
        <v/>
      </c>
      <c r="B243" s="332" t="str">
        <f>IF($H243="","","G-"&amp;TEXT($A243,"0000"))</f>
        <v/>
      </c>
      <c r="C243" s="331" t="str">
        <f>IF($H243="","",IFERROR(INDEX('Game Records'!$A:$A,$H243),""))</f>
        <v/>
      </c>
      <c r="D243" s="331" t="str">
        <f>IF($H243="","",IFERROR(INDEX('Game Records'!$U:$U,$H243),""))</f>
        <v/>
      </c>
      <c r="E243" s="331" t="str">
        <f>IF($H243="","",IF($F243="","No Highlighted Fields","Highlighted Fields Present"))</f>
        <v/>
      </c>
      <c r="F243" s="331" t="str">
        <f>IF($H243="","",IF(OR(NOT(ISFORMULA(INDEX('Game Records'!$N:$N,$H243))),NOT(ISFORMULA(INDEX('Game Records'!$O:$O,$H243))),NOT(ISFORMULA(INDEX('Game Records'!$P:$P,$H243))),NOT(ISFORMULA(INDEX('Game Records'!$Q:$Q,$H243))),NOT(ISFORMULA(INDEX('Game Records'!$R:$R,$H243))),NOT(ISFORMULA(INDEX('Game Records'!$S:$S,$H243))),NOT(ISFORMULA(INDEX('Game Records'!$T:$T,$H243))),NOT(ISFORMULA(INDEX('Game Records'!$U:$U,$H243))),NOT(ISFORMULA(INDEX('Game Records'!$V:$V,$H243))),NOT(ISFORMULA(INDEX('Game Records'!$W:$W,$H243))),NOT(ISFORMULA(INDEX('Game Records'!$X:$X,$H243))),NOT(ISFORMULA(INDEX('Game Records'!$Y:$Y,$H243))),NOT(ISFORMULA(INDEX('Game Records'!$Z:$Z,$H243)))),"Formula columns missing; ","")&amp;IF(INDEX('Game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Earned; ","")&amp;IF(AND(LOWER(INDEX('Game Records'!$D:$D,$H243)&amp;"")="finalized",INDEX('Game Records'!$U:$U,$H243)&lt;&gt;"Subscription",INDEX('Game Records'!$U:$U,$H243)&lt;&gt;"Free Game",INDEX('Game Records'!$U:$U,$H243)&lt;&gt;"Disqualified — Free Game",OR(INDEX('Game Records'!$L:$L,$H243)="",LOWER(INDEX('Game Records'!$L:$L,$H243)&amp;"")="n/a")),"Disqualified Status; ","")&amp;IF(AND(OR(INDEX('Game Records'!$U:$U,$H243)="Free Game",INDEX('Game Records'!$U:$U,$H243)="Disqualified — Free Game"),N(INDEX('Game Records'!$H:$H,$H243))&lt;&gt;0),"Free Game has a non-zero Entry Fee; ",""))</f>
        <v/>
      </c>
      <c r="G243" s="331" t="str">
        <f>IF($H243="","",IFERROR(INDEX('Game Records'!$M:$M,$H243),""))</f>
        <v/>
      </c>
      <c r="H243" s="104" t="str">
        <f>IF($H242="","",IFERROR(MATCH(1,INDEX((ROW('Game Records'!$U$5:$U$504)&gt;$H242)*(('Game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4" ht="24" customHeight="1">
      <c r="A244" s="332" t="str">
        <f>IF($H244="","",ROWS($A$5:A244))</f>
        <v/>
      </c>
      <c r="B244" s="332" t="str">
        <f>IF($H244="","","G-"&amp;TEXT($A244,"0000"))</f>
        <v/>
      </c>
      <c r="C244" s="331" t="str">
        <f>IF($H244="","",IFERROR(INDEX('Game Records'!$A:$A,$H244),""))</f>
        <v/>
      </c>
      <c r="D244" s="331" t="str">
        <f>IF($H244="","",IFERROR(INDEX('Game Records'!$U:$U,$H244),""))</f>
        <v/>
      </c>
      <c r="E244" s="331" t="str">
        <f>IF($H244="","",IF($F244="","No Highlighted Fields","Highlighted Fields Present"))</f>
        <v/>
      </c>
      <c r="F244" s="331" t="str">
        <f>IF($H244="","",IF(OR(NOT(ISFORMULA(INDEX('Game Records'!$N:$N,$H244))),NOT(ISFORMULA(INDEX('Game Records'!$O:$O,$H244))),NOT(ISFORMULA(INDEX('Game Records'!$P:$P,$H244))),NOT(ISFORMULA(INDEX('Game Records'!$Q:$Q,$H244))),NOT(ISFORMULA(INDEX('Game Records'!$R:$R,$H244))),NOT(ISFORMULA(INDEX('Game Records'!$S:$S,$H244))),NOT(ISFORMULA(INDEX('Game Records'!$T:$T,$H244))),NOT(ISFORMULA(INDEX('Game Records'!$U:$U,$H244))),NOT(ISFORMULA(INDEX('Game Records'!$V:$V,$H244))),NOT(ISFORMULA(INDEX('Game Records'!$W:$W,$H244))),NOT(ISFORMULA(INDEX('Game Records'!$X:$X,$H244))),NOT(ISFORMULA(INDEX('Game Records'!$Y:$Y,$H244))),NOT(ISFORMULA(INDEX('Game Records'!$Z:$Z,$H244)))),"Formula columns missing; ","")&amp;IF(INDEX('Game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Earned; ","")&amp;IF(AND(LOWER(INDEX('Game Records'!$D:$D,$H244)&amp;"")="finalized",INDEX('Game Records'!$U:$U,$H244)&lt;&gt;"Subscription",INDEX('Game Records'!$U:$U,$H244)&lt;&gt;"Free Game",INDEX('Game Records'!$U:$U,$H244)&lt;&gt;"Disqualified — Free Game",OR(INDEX('Game Records'!$L:$L,$H244)="",LOWER(INDEX('Game Records'!$L:$L,$H244)&amp;"")="n/a")),"Disqualified Status; ","")&amp;IF(AND(OR(INDEX('Game Records'!$U:$U,$H244)="Free Game",INDEX('Game Records'!$U:$U,$H244)="Disqualified — Free Game"),N(INDEX('Game Records'!$H:$H,$H244))&lt;&gt;0),"Free Game has a non-zero Entry Fee; ",""))</f>
        <v/>
      </c>
      <c r="G244" s="331" t="str">
        <f>IF($H244="","",IFERROR(INDEX('Game Records'!$M:$M,$H244),""))</f>
        <v/>
      </c>
      <c r="H244" s="104" t="str">
        <f>IF($H243="","",IFERROR(MATCH(1,INDEX((ROW('Game Records'!$U$5:$U$504)&gt;$H243)*(('Game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5" ht="24" customHeight="1">
      <c r="A245" s="332" t="str">
        <f>IF($H245="","",ROWS($A$5:A245))</f>
        <v/>
      </c>
      <c r="B245" s="332" t="str">
        <f>IF($H245="","","G-"&amp;TEXT($A245,"0000"))</f>
        <v/>
      </c>
      <c r="C245" s="331" t="str">
        <f>IF($H245="","",IFERROR(INDEX('Game Records'!$A:$A,$H245),""))</f>
        <v/>
      </c>
      <c r="D245" s="331" t="str">
        <f>IF($H245="","",IFERROR(INDEX('Game Records'!$U:$U,$H245),""))</f>
        <v/>
      </c>
      <c r="E245" s="331" t="str">
        <f>IF($H245="","",IF($F245="","No Highlighted Fields","Highlighted Fields Present"))</f>
        <v/>
      </c>
      <c r="F245" s="331" t="str">
        <f>IF($H245="","",IF(OR(NOT(ISFORMULA(INDEX('Game Records'!$N:$N,$H245))),NOT(ISFORMULA(INDEX('Game Records'!$O:$O,$H245))),NOT(ISFORMULA(INDEX('Game Records'!$P:$P,$H245))),NOT(ISFORMULA(INDEX('Game Records'!$Q:$Q,$H245))),NOT(ISFORMULA(INDEX('Game Records'!$R:$R,$H245))),NOT(ISFORMULA(INDEX('Game Records'!$S:$S,$H245))),NOT(ISFORMULA(INDEX('Game Records'!$T:$T,$H245))),NOT(ISFORMULA(INDEX('Game Records'!$U:$U,$H245))),NOT(ISFORMULA(INDEX('Game Records'!$V:$V,$H245))),NOT(ISFORMULA(INDEX('Game Records'!$W:$W,$H245))),NOT(ISFORMULA(INDEX('Game Records'!$X:$X,$H245))),NOT(ISFORMULA(INDEX('Game Records'!$Y:$Y,$H245))),NOT(ISFORMULA(INDEX('Game Records'!$Z:$Z,$H245)))),"Formula columns missing; ","")&amp;IF(INDEX('Game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Earned; ","")&amp;IF(AND(LOWER(INDEX('Game Records'!$D:$D,$H245)&amp;"")="finalized",INDEX('Game Records'!$U:$U,$H245)&lt;&gt;"Subscription",INDEX('Game Records'!$U:$U,$H245)&lt;&gt;"Free Game",INDEX('Game Records'!$U:$U,$H245)&lt;&gt;"Disqualified — Free Game",OR(INDEX('Game Records'!$L:$L,$H245)="",LOWER(INDEX('Game Records'!$L:$L,$H245)&amp;"")="n/a")),"Disqualified Status; ","")&amp;IF(AND(OR(INDEX('Game Records'!$U:$U,$H245)="Free Game",INDEX('Game Records'!$U:$U,$H245)="Disqualified — Free Game"),N(INDEX('Game Records'!$H:$H,$H245))&lt;&gt;0),"Free Game has a non-zero Entry Fee; ",""))</f>
        <v/>
      </c>
      <c r="G245" s="331" t="str">
        <f>IF($H245="","",IFERROR(INDEX('Game Records'!$M:$M,$H245),""))</f>
        <v/>
      </c>
      <c r="H245" s="104" t="str">
        <f>IF($H244="","",IFERROR(MATCH(1,INDEX((ROW('Game Records'!$U$5:$U$504)&gt;$H244)*(('Game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6" ht="24" customHeight="1">
      <c r="A246" s="332" t="str">
        <f>IF($H246="","",ROWS($A$5:A246))</f>
        <v/>
      </c>
      <c r="B246" s="332" t="str">
        <f>IF($H246="","","G-"&amp;TEXT($A246,"0000"))</f>
        <v/>
      </c>
      <c r="C246" s="331" t="str">
        <f>IF($H246="","",IFERROR(INDEX('Game Records'!$A:$A,$H246),""))</f>
        <v/>
      </c>
      <c r="D246" s="331" t="str">
        <f>IF($H246="","",IFERROR(INDEX('Game Records'!$U:$U,$H246),""))</f>
        <v/>
      </c>
      <c r="E246" s="331" t="str">
        <f>IF($H246="","",IF($F246="","No Highlighted Fields","Highlighted Fields Present"))</f>
        <v/>
      </c>
      <c r="F246" s="331" t="str">
        <f>IF($H246="","",IF(OR(NOT(ISFORMULA(INDEX('Game Records'!$N:$N,$H246))),NOT(ISFORMULA(INDEX('Game Records'!$O:$O,$H246))),NOT(ISFORMULA(INDEX('Game Records'!$P:$P,$H246))),NOT(ISFORMULA(INDEX('Game Records'!$Q:$Q,$H246))),NOT(ISFORMULA(INDEX('Game Records'!$R:$R,$H246))),NOT(ISFORMULA(INDEX('Game Records'!$S:$S,$H246))),NOT(ISFORMULA(INDEX('Game Records'!$T:$T,$H246))),NOT(ISFORMULA(INDEX('Game Records'!$U:$U,$H246))),NOT(ISFORMULA(INDEX('Game Records'!$V:$V,$H246))),NOT(ISFORMULA(INDEX('Game Records'!$W:$W,$H246))),NOT(ISFORMULA(INDEX('Game Records'!$X:$X,$H246))),NOT(ISFORMULA(INDEX('Game Records'!$Y:$Y,$H246))),NOT(ISFORMULA(INDEX('Game Records'!$Z:$Z,$H246)))),"Formula columns missing; ","")&amp;IF(INDEX('Game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Earned; ","")&amp;IF(AND(LOWER(INDEX('Game Records'!$D:$D,$H246)&amp;"")="finalized",INDEX('Game Records'!$U:$U,$H246)&lt;&gt;"Subscription",INDEX('Game Records'!$U:$U,$H246)&lt;&gt;"Free Game",INDEX('Game Records'!$U:$U,$H246)&lt;&gt;"Disqualified — Free Game",OR(INDEX('Game Records'!$L:$L,$H246)="",LOWER(INDEX('Game Records'!$L:$L,$H246)&amp;"")="n/a")),"Disqualified Status; ","")&amp;IF(AND(OR(INDEX('Game Records'!$U:$U,$H246)="Free Game",INDEX('Game Records'!$U:$U,$H246)="Disqualified — Free Game"),N(INDEX('Game Records'!$H:$H,$H246))&lt;&gt;0),"Free Game has a non-zero Entry Fee; ",""))</f>
        <v/>
      </c>
      <c r="G246" s="331" t="str">
        <f>IF($H246="","",IFERROR(INDEX('Game Records'!$M:$M,$H246),""))</f>
        <v/>
      </c>
      <c r="H246" s="104" t="str">
        <f>IF($H245="","",IFERROR(MATCH(1,INDEX((ROW('Game Records'!$U$5:$U$504)&gt;$H245)*(('Game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7" ht="24" customHeight="1">
      <c r="A247" s="332" t="str">
        <f>IF($H247="","",ROWS($A$5:A247))</f>
        <v/>
      </c>
      <c r="B247" s="332" t="str">
        <f>IF($H247="","","G-"&amp;TEXT($A247,"0000"))</f>
        <v/>
      </c>
      <c r="C247" s="331" t="str">
        <f>IF($H247="","",IFERROR(INDEX('Game Records'!$A:$A,$H247),""))</f>
        <v/>
      </c>
      <c r="D247" s="331" t="str">
        <f>IF($H247="","",IFERROR(INDEX('Game Records'!$U:$U,$H247),""))</f>
        <v/>
      </c>
      <c r="E247" s="331" t="str">
        <f>IF($H247="","",IF($F247="","No Highlighted Fields","Highlighted Fields Present"))</f>
        <v/>
      </c>
      <c r="F247" s="331" t="str">
        <f>IF($H247="","",IF(OR(NOT(ISFORMULA(INDEX('Game Records'!$N:$N,$H247))),NOT(ISFORMULA(INDEX('Game Records'!$O:$O,$H247))),NOT(ISFORMULA(INDEX('Game Records'!$P:$P,$H247))),NOT(ISFORMULA(INDEX('Game Records'!$Q:$Q,$H247))),NOT(ISFORMULA(INDEX('Game Records'!$R:$R,$H247))),NOT(ISFORMULA(INDEX('Game Records'!$S:$S,$H247))),NOT(ISFORMULA(INDEX('Game Records'!$T:$T,$H247))),NOT(ISFORMULA(INDEX('Game Records'!$U:$U,$H247))),NOT(ISFORMULA(INDEX('Game Records'!$V:$V,$H247))),NOT(ISFORMULA(INDEX('Game Records'!$W:$W,$H247))),NOT(ISFORMULA(INDEX('Game Records'!$X:$X,$H247))),NOT(ISFORMULA(INDEX('Game Records'!$Y:$Y,$H247))),NOT(ISFORMULA(INDEX('Game Records'!$Z:$Z,$H247)))),"Formula columns missing; ","")&amp;IF(INDEX('Game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Earned; ","")&amp;IF(AND(LOWER(INDEX('Game Records'!$D:$D,$H247)&amp;"")="finalized",INDEX('Game Records'!$U:$U,$H247)&lt;&gt;"Subscription",INDEX('Game Records'!$U:$U,$H247)&lt;&gt;"Free Game",INDEX('Game Records'!$U:$U,$H247)&lt;&gt;"Disqualified — Free Game",OR(INDEX('Game Records'!$L:$L,$H247)="",LOWER(INDEX('Game Records'!$L:$L,$H247)&amp;"")="n/a")),"Disqualified Status; ","")&amp;IF(AND(OR(INDEX('Game Records'!$U:$U,$H247)="Free Game",INDEX('Game Records'!$U:$U,$H247)="Disqualified — Free Game"),N(INDEX('Game Records'!$H:$H,$H247))&lt;&gt;0),"Free Game has a non-zero Entry Fee; ",""))</f>
        <v/>
      </c>
      <c r="G247" s="331" t="str">
        <f>IF($H247="","",IFERROR(INDEX('Game Records'!$M:$M,$H247),""))</f>
        <v/>
      </c>
      <c r="H247" s="104" t="str">
        <f>IF($H246="","",IFERROR(MATCH(1,INDEX((ROW('Game Records'!$U$5:$U$504)&gt;$H246)*(('Game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8" ht="24" customHeight="1">
      <c r="A248" s="332" t="str">
        <f>IF($H248="","",ROWS($A$5:A248))</f>
        <v/>
      </c>
      <c r="B248" s="332" t="str">
        <f>IF($H248="","","G-"&amp;TEXT($A248,"0000"))</f>
        <v/>
      </c>
      <c r="C248" s="331" t="str">
        <f>IF($H248="","",IFERROR(INDEX('Game Records'!$A:$A,$H248),""))</f>
        <v/>
      </c>
      <c r="D248" s="331" t="str">
        <f>IF($H248="","",IFERROR(INDEX('Game Records'!$U:$U,$H248),""))</f>
        <v/>
      </c>
      <c r="E248" s="331" t="str">
        <f>IF($H248="","",IF($F248="","No Highlighted Fields","Highlighted Fields Present"))</f>
        <v/>
      </c>
      <c r="F248" s="331" t="str">
        <f>IF($H248="","",IF(OR(NOT(ISFORMULA(INDEX('Game Records'!$N:$N,$H248))),NOT(ISFORMULA(INDEX('Game Records'!$O:$O,$H248))),NOT(ISFORMULA(INDEX('Game Records'!$P:$P,$H248))),NOT(ISFORMULA(INDEX('Game Records'!$Q:$Q,$H248))),NOT(ISFORMULA(INDEX('Game Records'!$R:$R,$H248))),NOT(ISFORMULA(INDEX('Game Records'!$S:$S,$H248))),NOT(ISFORMULA(INDEX('Game Records'!$T:$T,$H248))),NOT(ISFORMULA(INDEX('Game Records'!$U:$U,$H248))),NOT(ISFORMULA(INDEX('Game Records'!$V:$V,$H248))),NOT(ISFORMULA(INDEX('Game Records'!$W:$W,$H248))),NOT(ISFORMULA(INDEX('Game Records'!$X:$X,$H248))),NOT(ISFORMULA(INDEX('Game Records'!$Y:$Y,$H248))),NOT(ISFORMULA(INDEX('Game Records'!$Z:$Z,$H248)))),"Formula columns missing; ","")&amp;IF(INDEX('Game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Earned; ","")&amp;IF(AND(LOWER(INDEX('Game Records'!$D:$D,$H248)&amp;"")="finalized",INDEX('Game Records'!$U:$U,$H248)&lt;&gt;"Subscription",INDEX('Game Records'!$U:$U,$H248)&lt;&gt;"Free Game",INDEX('Game Records'!$U:$U,$H248)&lt;&gt;"Disqualified — Free Game",OR(INDEX('Game Records'!$L:$L,$H248)="",LOWER(INDEX('Game Records'!$L:$L,$H248)&amp;"")="n/a")),"Disqualified Status; ","")&amp;IF(AND(OR(INDEX('Game Records'!$U:$U,$H248)="Free Game",INDEX('Game Records'!$U:$U,$H248)="Disqualified — Free Game"),N(INDEX('Game Records'!$H:$H,$H248))&lt;&gt;0),"Free Game has a non-zero Entry Fee; ",""))</f>
        <v/>
      </c>
      <c r="G248" s="331" t="str">
        <f>IF($H248="","",IFERROR(INDEX('Game Records'!$M:$M,$H248),""))</f>
        <v/>
      </c>
      <c r="H248" s="104" t="str">
        <f>IF($H247="","",IFERROR(MATCH(1,INDEX((ROW('Game Records'!$U$5:$U$504)&gt;$H247)*(('Game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9" ht="24" customHeight="1">
      <c r="A249" s="332" t="str">
        <f>IF($H249="","",ROWS($A$5:A249))</f>
        <v/>
      </c>
      <c r="B249" s="332" t="str">
        <f>IF($H249="","","G-"&amp;TEXT($A249,"0000"))</f>
        <v/>
      </c>
      <c r="C249" s="331" t="str">
        <f>IF($H249="","",IFERROR(INDEX('Game Records'!$A:$A,$H249),""))</f>
        <v/>
      </c>
      <c r="D249" s="331" t="str">
        <f>IF($H249="","",IFERROR(INDEX('Game Records'!$U:$U,$H249),""))</f>
        <v/>
      </c>
      <c r="E249" s="331" t="str">
        <f>IF($H249="","",IF($F249="","No Highlighted Fields","Highlighted Fields Present"))</f>
        <v/>
      </c>
      <c r="F249" s="331" t="str">
        <f>IF($H249="","",IF(OR(NOT(ISFORMULA(INDEX('Game Records'!$N:$N,$H249))),NOT(ISFORMULA(INDEX('Game Records'!$O:$O,$H249))),NOT(ISFORMULA(INDEX('Game Records'!$P:$P,$H249))),NOT(ISFORMULA(INDEX('Game Records'!$Q:$Q,$H249))),NOT(ISFORMULA(INDEX('Game Records'!$R:$R,$H249))),NOT(ISFORMULA(INDEX('Game Records'!$S:$S,$H249))),NOT(ISFORMULA(INDEX('Game Records'!$T:$T,$H249))),NOT(ISFORMULA(INDEX('Game Records'!$U:$U,$H249))),NOT(ISFORMULA(INDEX('Game Records'!$V:$V,$H249))),NOT(ISFORMULA(INDEX('Game Records'!$W:$W,$H249))),NOT(ISFORMULA(INDEX('Game Records'!$X:$X,$H249))),NOT(ISFORMULA(INDEX('Game Records'!$Y:$Y,$H249))),NOT(ISFORMULA(INDEX('Game Records'!$Z:$Z,$H249)))),"Formula columns missing; ","")&amp;IF(INDEX('Game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Earned; ","")&amp;IF(AND(LOWER(INDEX('Game Records'!$D:$D,$H249)&amp;"")="finalized",INDEX('Game Records'!$U:$U,$H249)&lt;&gt;"Subscription",INDEX('Game Records'!$U:$U,$H249)&lt;&gt;"Free Game",INDEX('Game Records'!$U:$U,$H249)&lt;&gt;"Disqualified — Free Game",OR(INDEX('Game Records'!$L:$L,$H249)="",LOWER(INDEX('Game Records'!$L:$L,$H249)&amp;"")="n/a")),"Disqualified Status; ","")&amp;IF(AND(OR(INDEX('Game Records'!$U:$U,$H249)="Free Game",INDEX('Game Records'!$U:$U,$H249)="Disqualified — Free Game"),N(INDEX('Game Records'!$H:$H,$H249))&lt;&gt;0),"Free Game has a non-zero Entry Fee; ",""))</f>
        <v/>
      </c>
      <c r="G249" s="331" t="str">
        <f>IF($H249="","",IFERROR(INDEX('Game Records'!$M:$M,$H249),""))</f>
        <v/>
      </c>
      <c r="H249" s="104" t="str">
        <f>IF($H248="","",IFERROR(MATCH(1,INDEX((ROW('Game Records'!$U$5:$U$504)&gt;$H248)*(('Game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0" ht="24" customHeight="1">
      <c r="A250" s="332" t="str">
        <f>IF($H250="","",ROWS($A$5:A250))</f>
        <v/>
      </c>
      <c r="B250" s="332" t="str">
        <f>IF($H250="","","G-"&amp;TEXT($A250,"0000"))</f>
        <v/>
      </c>
      <c r="C250" s="331" t="str">
        <f>IF($H250="","",IFERROR(INDEX('Game Records'!$A:$A,$H250),""))</f>
        <v/>
      </c>
      <c r="D250" s="331" t="str">
        <f>IF($H250="","",IFERROR(INDEX('Game Records'!$U:$U,$H250),""))</f>
        <v/>
      </c>
      <c r="E250" s="331" t="str">
        <f>IF($H250="","",IF($F250="","No Highlighted Fields","Highlighted Fields Present"))</f>
        <v/>
      </c>
      <c r="F250" s="331" t="str">
        <f>IF($H250="","",IF(OR(NOT(ISFORMULA(INDEX('Game Records'!$N:$N,$H250))),NOT(ISFORMULA(INDEX('Game Records'!$O:$O,$H250))),NOT(ISFORMULA(INDEX('Game Records'!$P:$P,$H250))),NOT(ISFORMULA(INDEX('Game Records'!$Q:$Q,$H250))),NOT(ISFORMULA(INDEX('Game Records'!$R:$R,$H250))),NOT(ISFORMULA(INDEX('Game Records'!$S:$S,$H250))),NOT(ISFORMULA(INDEX('Game Records'!$T:$T,$H250))),NOT(ISFORMULA(INDEX('Game Records'!$U:$U,$H250))),NOT(ISFORMULA(INDEX('Game Records'!$V:$V,$H250))),NOT(ISFORMULA(INDEX('Game Records'!$W:$W,$H250))),NOT(ISFORMULA(INDEX('Game Records'!$X:$X,$H250))),NOT(ISFORMULA(INDEX('Game Records'!$Y:$Y,$H250))),NOT(ISFORMULA(INDEX('Game Records'!$Z:$Z,$H250)))),"Formula columns missing; ","")&amp;IF(INDEX('Game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Earned; ","")&amp;IF(AND(LOWER(INDEX('Game Records'!$D:$D,$H250)&amp;"")="finalized",INDEX('Game Records'!$U:$U,$H250)&lt;&gt;"Subscription",INDEX('Game Records'!$U:$U,$H250)&lt;&gt;"Free Game",INDEX('Game Records'!$U:$U,$H250)&lt;&gt;"Disqualified — Free Game",OR(INDEX('Game Records'!$L:$L,$H250)="",LOWER(INDEX('Game Records'!$L:$L,$H250)&amp;"")="n/a")),"Disqualified Status; ","")&amp;IF(AND(OR(INDEX('Game Records'!$U:$U,$H250)="Free Game",INDEX('Game Records'!$U:$U,$H250)="Disqualified — Free Game"),N(INDEX('Game Records'!$H:$H,$H250))&lt;&gt;0),"Free Game has a non-zero Entry Fee; ",""))</f>
        <v/>
      </c>
      <c r="G250" s="331" t="str">
        <f>IF($H250="","",IFERROR(INDEX('Game Records'!$M:$M,$H250),""))</f>
        <v/>
      </c>
      <c r="H250" s="104" t="str">
        <f>IF($H249="","",IFERROR(MATCH(1,INDEX((ROW('Game Records'!$U$5:$U$504)&gt;$H249)*(('Game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1" ht="24" customHeight="1">
      <c r="A251" s="332" t="str">
        <f>IF($H251="","",ROWS($A$5:A251))</f>
        <v/>
      </c>
      <c r="B251" s="332" t="str">
        <f>IF($H251="","","G-"&amp;TEXT($A251,"0000"))</f>
        <v/>
      </c>
      <c r="C251" s="331" t="str">
        <f>IF($H251="","",IFERROR(INDEX('Game Records'!$A:$A,$H251),""))</f>
        <v/>
      </c>
      <c r="D251" s="331" t="str">
        <f>IF($H251="","",IFERROR(INDEX('Game Records'!$U:$U,$H251),""))</f>
        <v/>
      </c>
      <c r="E251" s="331" t="str">
        <f>IF($H251="","",IF($F251="","No Highlighted Fields","Highlighted Fields Present"))</f>
        <v/>
      </c>
      <c r="F251" s="331" t="str">
        <f>IF($H251="","",IF(OR(NOT(ISFORMULA(INDEX('Game Records'!$N:$N,$H251))),NOT(ISFORMULA(INDEX('Game Records'!$O:$O,$H251))),NOT(ISFORMULA(INDEX('Game Records'!$P:$P,$H251))),NOT(ISFORMULA(INDEX('Game Records'!$Q:$Q,$H251))),NOT(ISFORMULA(INDEX('Game Records'!$R:$R,$H251))),NOT(ISFORMULA(INDEX('Game Records'!$S:$S,$H251))),NOT(ISFORMULA(INDEX('Game Records'!$T:$T,$H251))),NOT(ISFORMULA(INDEX('Game Records'!$U:$U,$H251))),NOT(ISFORMULA(INDEX('Game Records'!$V:$V,$H251))),NOT(ISFORMULA(INDEX('Game Records'!$W:$W,$H251))),NOT(ISFORMULA(INDEX('Game Records'!$X:$X,$H251))),NOT(ISFORMULA(INDEX('Game Records'!$Y:$Y,$H251))),NOT(ISFORMULA(INDEX('Game Records'!$Z:$Z,$H251)))),"Formula columns missing; ","")&amp;IF(INDEX('Game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Earned; ","")&amp;IF(AND(LOWER(INDEX('Game Records'!$D:$D,$H251)&amp;"")="finalized",INDEX('Game Records'!$U:$U,$H251)&lt;&gt;"Subscription",INDEX('Game Records'!$U:$U,$H251)&lt;&gt;"Free Game",INDEX('Game Records'!$U:$U,$H251)&lt;&gt;"Disqualified — Free Game",OR(INDEX('Game Records'!$L:$L,$H251)="",LOWER(INDEX('Game Records'!$L:$L,$H251)&amp;"")="n/a")),"Disqualified Status; ","")&amp;IF(AND(OR(INDEX('Game Records'!$U:$U,$H251)="Free Game",INDEX('Game Records'!$U:$U,$H251)="Disqualified — Free Game"),N(INDEX('Game Records'!$H:$H,$H251))&lt;&gt;0),"Free Game has a non-zero Entry Fee; ",""))</f>
        <v/>
      </c>
      <c r="G251" s="331" t="str">
        <f>IF($H251="","",IFERROR(INDEX('Game Records'!$M:$M,$H251),""))</f>
        <v/>
      </c>
      <c r="H251" s="104" t="str">
        <f>IF($H250="","",IFERROR(MATCH(1,INDEX((ROW('Game Records'!$U$5:$U$504)&gt;$H250)*(('Game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2" ht="24" customHeight="1">
      <c r="A252" s="332" t="str">
        <f>IF($H252="","",ROWS($A$5:A252))</f>
        <v/>
      </c>
      <c r="B252" s="332" t="str">
        <f>IF($H252="","","G-"&amp;TEXT($A252,"0000"))</f>
        <v/>
      </c>
      <c r="C252" s="331" t="str">
        <f>IF($H252="","",IFERROR(INDEX('Game Records'!$A:$A,$H252),""))</f>
        <v/>
      </c>
      <c r="D252" s="331" t="str">
        <f>IF($H252="","",IFERROR(INDEX('Game Records'!$U:$U,$H252),""))</f>
        <v/>
      </c>
      <c r="E252" s="331" t="str">
        <f>IF($H252="","",IF($F252="","No Highlighted Fields","Highlighted Fields Present"))</f>
        <v/>
      </c>
      <c r="F252" s="331" t="str">
        <f>IF($H252="","",IF(OR(NOT(ISFORMULA(INDEX('Game Records'!$N:$N,$H252))),NOT(ISFORMULA(INDEX('Game Records'!$O:$O,$H252))),NOT(ISFORMULA(INDEX('Game Records'!$P:$P,$H252))),NOT(ISFORMULA(INDEX('Game Records'!$Q:$Q,$H252))),NOT(ISFORMULA(INDEX('Game Records'!$R:$R,$H252))),NOT(ISFORMULA(INDEX('Game Records'!$S:$S,$H252))),NOT(ISFORMULA(INDEX('Game Records'!$T:$T,$H252))),NOT(ISFORMULA(INDEX('Game Records'!$U:$U,$H252))),NOT(ISFORMULA(INDEX('Game Records'!$V:$V,$H252))),NOT(ISFORMULA(INDEX('Game Records'!$W:$W,$H252))),NOT(ISFORMULA(INDEX('Game Records'!$X:$X,$H252))),NOT(ISFORMULA(INDEX('Game Records'!$Y:$Y,$H252))),NOT(ISFORMULA(INDEX('Game Records'!$Z:$Z,$H252)))),"Formula columns missing; ","")&amp;IF(INDEX('Game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Earned; ","")&amp;IF(AND(LOWER(INDEX('Game Records'!$D:$D,$H252)&amp;"")="finalized",INDEX('Game Records'!$U:$U,$H252)&lt;&gt;"Subscription",INDEX('Game Records'!$U:$U,$H252)&lt;&gt;"Free Game",INDEX('Game Records'!$U:$U,$H252)&lt;&gt;"Disqualified — Free Game",OR(INDEX('Game Records'!$L:$L,$H252)="",LOWER(INDEX('Game Records'!$L:$L,$H252)&amp;"")="n/a")),"Disqualified Status; ","")&amp;IF(AND(OR(INDEX('Game Records'!$U:$U,$H252)="Free Game",INDEX('Game Records'!$U:$U,$H252)="Disqualified — Free Game"),N(INDEX('Game Records'!$H:$H,$H252))&lt;&gt;0),"Free Game has a non-zero Entry Fee; ",""))</f>
        <v/>
      </c>
      <c r="G252" s="331" t="str">
        <f>IF($H252="","",IFERROR(INDEX('Game Records'!$M:$M,$H252),""))</f>
        <v/>
      </c>
      <c r="H252" s="104" t="str">
        <f>IF($H251="","",IFERROR(MATCH(1,INDEX((ROW('Game Records'!$U$5:$U$504)&gt;$H251)*(('Game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3" ht="24" customHeight="1">
      <c r="A253" s="332" t="str">
        <f>IF($H253="","",ROWS($A$5:A253))</f>
        <v/>
      </c>
      <c r="B253" s="332" t="str">
        <f>IF($H253="","","G-"&amp;TEXT($A253,"0000"))</f>
        <v/>
      </c>
      <c r="C253" s="331" t="str">
        <f>IF($H253="","",IFERROR(INDEX('Game Records'!$A:$A,$H253),""))</f>
        <v/>
      </c>
      <c r="D253" s="331" t="str">
        <f>IF($H253="","",IFERROR(INDEX('Game Records'!$U:$U,$H253),""))</f>
        <v/>
      </c>
      <c r="E253" s="331" t="str">
        <f>IF($H253="","",IF($F253="","No Highlighted Fields","Highlighted Fields Present"))</f>
        <v/>
      </c>
      <c r="F253" s="331" t="str">
        <f>IF($H253="","",IF(OR(NOT(ISFORMULA(INDEX('Game Records'!$N:$N,$H253))),NOT(ISFORMULA(INDEX('Game Records'!$O:$O,$H253))),NOT(ISFORMULA(INDEX('Game Records'!$P:$P,$H253))),NOT(ISFORMULA(INDEX('Game Records'!$Q:$Q,$H253))),NOT(ISFORMULA(INDEX('Game Records'!$R:$R,$H253))),NOT(ISFORMULA(INDEX('Game Records'!$S:$S,$H253))),NOT(ISFORMULA(INDEX('Game Records'!$T:$T,$H253))),NOT(ISFORMULA(INDEX('Game Records'!$U:$U,$H253))),NOT(ISFORMULA(INDEX('Game Records'!$V:$V,$H253))),NOT(ISFORMULA(INDEX('Game Records'!$W:$W,$H253))),NOT(ISFORMULA(INDEX('Game Records'!$X:$X,$H253))),NOT(ISFORMULA(INDEX('Game Records'!$Y:$Y,$H253))),NOT(ISFORMULA(INDEX('Game Records'!$Z:$Z,$H253)))),"Formula columns missing; ","")&amp;IF(INDEX('Game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Earned; ","")&amp;IF(AND(LOWER(INDEX('Game Records'!$D:$D,$H253)&amp;"")="finalized",INDEX('Game Records'!$U:$U,$H253)&lt;&gt;"Subscription",INDEX('Game Records'!$U:$U,$H253)&lt;&gt;"Free Game",INDEX('Game Records'!$U:$U,$H253)&lt;&gt;"Disqualified — Free Game",OR(INDEX('Game Records'!$L:$L,$H253)="",LOWER(INDEX('Game Records'!$L:$L,$H253)&amp;"")="n/a")),"Disqualified Status; ","")&amp;IF(AND(OR(INDEX('Game Records'!$U:$U,$H253)="Free Game",INDEX('Game Records'!$U:$U,$H253)="Disqualified — Free Game"),N(INDEX('Game Records'!$H:$H,$H253))&lt;&gt;0),"Free Game has a non-zero Entry Fee; ",""))</f>
        <v/>
      </c>
      <c r="G253" s="331" t="str">
        <f>IF($H253="","",IFERROR(INDEX('Game Records'!$M:$M,$H253),""))</f>
        <v/>
      </c>
      <c r="H253" s="104" t="str">
        <f>IF($H252="","",IFERROR(MATCH(1,INDEX((ROW('Game Records'!$U$5:$U$504)&gt;$H252)*(('Game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4" ht="24" customHeight="1">
      <c r="A254" s="332" t="str">
        <f>IF($H254="","",ROWS($A$5:A254))</f>
        <v/>
      </c>
      <c r="B254" s="332" t="str">
        <f>IF($H254="","","G-"&amp;TEXT($A254,"0000"))</f>
        <v/>
      </c>
      <c r="C254" s="331" t="str">
        <f>IF($H254="","",IFERROR(INDEX('Game Records'!$A:$A,$H254),""))</f>
        <v/>
      </c>
      <c r="D254" s="331" t="str">
        <f>IF($H254="","",IFERROR(INDEX('Game Records'!$U:$U,$H254),""))</f>
        <v/>
      </c>
      <c r="E254" s="331" t="str">
        <f>IF($H254="","",IF($F254="","No Highlighted Fields","Highlighted Fields Present"))</f>
        <v/>
      </c>
      <c r="F254" s="331" t="str">
        <f>IF($H254="","",IF(OR(NOT(ISFORMULA(INDEX('Game Records'!$N:$N,$H254))),NOT(ISFORMULA(INDEX('Game Records'!$O:$O,$H254))),NOT(ISFORMULA(INDEX('Game Records'!$P:$P,$H254))),NOT(ISFORMULA(INDEX('Game Records'!$Q:$Q,$H254))),NOT(ISFORMULA(INDEX('Game Records'!$R:$R,$H254))),NOT(ISFORMULA(INDEX('Game Records'!$S:$S,$H254))),NOT(ISFORMULA(INDEX('Game Records'!$T:$T,$H254))),NOT(ISFORMULA(INDEX('Game Records'!$U:$U,$H254))),NOT(ISFORMULA(INDEX('Game Records'!$V:$V,$H254))),NOT(ISFORMULA(INDEX('Game Records'!$W:$W,$H254))),NOT(ISFORMULA(INDEX('Game Records'!$X:$X,$H254))),NOT(ISFORMULA(INDEX('Game Records'!$Y:$Y,$H254))),NOT(ISFORMULA(INDEX('Game Records'!$Z:$Z,$H254)))),"Formula columns missing; ","")&amp;IF(INDEX('Game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Earned; ","")&amp;IF(AND(LOWER(INDEX('Game Records'!$D:$D,$H254)&amp;"")="finalized",INDEX('Game Records'!$U:$U,$H254)&lt;&gt;"Subscription",INDEX('Game Records'!$U:$U,$H254)&lt;&gt;"Free Game",INDEX('Game Records'!$U:$U,$H254)&lt;&gt;"Disqualified — Free Game",OR(INDEX('Game Records'!$L:$L,$H254)="",LOWER(INDEX('Game Records'!$L:$L,$H254)&amp;"")="n/a")),"Disqualified Status; ","")&amp;IF(AND(OR(INDEX('Game Records'!$U:$U,$H254)="Free Game",INDEX('Game Records'!$U:$U,$H254)="Disqualified — Free Game"),N(INDEX('Game Records'!$H:$H,$H254))&lt;&gt;0),"Free Game has a non-zero Entry Fee; ",""))</f>
        <v/>
      </c>
      <c r="G254" s="331" t="str">
        <f>IF($H254="","",IFERROR(INDEX('Game Records'!$M:$M,$H254),""))</f>
        <v/>
      </c>
      <c r="H254" s="104" t="str">
        <f>IF($H253="","",IFERROR(MATCH(1,INDEX((ROW('Game Records'!$U$5:$U$504)&gt;$H253)*(('Game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5" ht="24" customHeight="1">
      <c r="A255" s="332" t="str">
        <f>IF($H255="","",ROWS($A$5:A255))</f>
        <v/>
      </c>
      <c r="B255" s="332" t="str">
        <f>IF($H255="","","G-"&amp;TEXT($A255,"0000"))</f>
        <v/>
      </c>
      <c r="C255" s="331" t="str">
        <f>IF($H255="","",IFERROR(INDEX('Game Records'!$A:$A,$H255),""))</f>
        <v/>
      </c>
      <c r="D255" s="331" t="str">
        <f>IF($H255="","",IFERROR(INDEX('Game Records'!$U:$U,$H255),""))</f>
        <v/>
      </c>
      <c r="E255" s="331" t="str">
        <f>IF($H255="","",IF($F255="","No Highlighted Fields","Highlighted Fields Present"))</f>
        <v/>
      </c>
      <c r="F255" s="331" t="str">
        <f>IF($H255="","",IF(OR(NOT(ISFORMULA(INDEX('Game Records'!$N:$N,$H255))),NOT(ISFORMULA(INDEX('Game Records'!$O:$O,$H255))),NOT(ISFORMULA(INDEX('Game Records'!$P:$P,$H255))),NOT(ISFORMULA(INDEX('Game Records'!$Q:$Q,$H255))),NOT(ISFORMULA(INDEX('Game Records'!$R:$R,$H255))),NOT(ISFORMULA(INDEX('Game Records'!$S:$S,$H255))),NOT(ISFORMULA(INDEX('Game Records'!$T:$T,$H255))),NOT(ISFORMULA(INDEX('Game Records'!$U:$U,$H255))),NOT(ISFORMULA(INDEX('Game Records'!$V:$V,$H255))),NOT(ISFORMULA(INDEX('Game Records'!$W:$W,$H255))),NOT(ISFORMULA(INDEX('Game Records'!$X:$X,$H255))),NOT(ISFORMULA(INDEX('Game Records'!$Y:$Y,$H255))),NOT(ISFORMULA(INDEX('Game Records'!$Z:$Z,$H255)))),"Formula columns missing; ","")&amp;IF(INDEX('Game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Earned; ","")&amp;IF(AND(LOWER(INDEX('Game Records'!$D:$D,$H255)&amp;"")="finalized",INDEX('Game Records'!$U:$U,$H255)&lt;&gt;"Subscription",INDEX('Game Records'!$U:$U,$H255)&lt;&gt;"Free Game",INDEX('Game Records'!$U:$U,$H255)&lt;&gt;"Disqualified — Free Game",OR(INDEX('Game Records'!$L:$L,$H255)="",LOWER(INDEX('Game Records'!$L:$L,$H255)&amp;"")="n/a")),"Disqualified Status; ","")&amp;IF(AND(OR(INDEX('Game Records'!$U:$U,$H255)="Free Game",INDEX('Game Records'!$U:$U,$H255)="Disqualified — Free Game"),N(INDEX('Game Records'!$H:$H,$H255))&lt;&gt;0),"Free Game has a non-zero Entry Fee; ",""))</f>
        <v/>
      </c>
      <c r="G255" s="331" t="str">
        <f>IF($H255="","",IFERROR(INDEX('Game Records'!$M:$M,$H255),""))</f>
        <v/>
      </c>
      <c r="H255" s="104" t="str">
        <f>IF($H254="","",IFERROR(MATCH(1,INDEX((ROW('Game Records'!$U$5:$U$504)&gt;$H254)*(('Game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6" ht="24" customHeight="1">
      <c r="A256" s="332" t="str">
        <f>IF($H256="","",ROWS($A$5:A256))</f>
        <v/>
      </c>
      <c r="B256" s="332" t="str">
        <f>IF($H256="","","G-"&amp;TEXT($A256,"0000"))</f>
        <v/>
      </c>
      <c r="C256" s="331" t="str">
        <f>IF($H256="","",IFERROR(INDEX('Game Records'!$A:$A,$H256),""))</f>
        <v/>
      </c>
      <c r="D256" s="331" t="str">
        <f>IF($H256="","",IFERROR(INDEX('Game Records'!$U:$U,$H256),""))</f>
        <v/>
      </c>
      <c r="E256" s="331" t="str">
        <f>IF($H256="","",IF($F256="","No Highlighted Fields","Highlighted Fields Present"))</f>
        <v/>
      </c>
      <c r="F256" s="331" t="str">
        <f>IF($H256="","",IF(OR(NOT(ISFORMULA(INDEX('Game Records'!$N:$N,$H256))),NOT(ISFORMULA(INDEX('Game Records'!$O:$O,$H256))),NOT(ISFORMULA(INDEX('Game Records'!$P:$P,$H256))),NOT(ISFORMULA(INDEX('Game Records'!$Q:$Q,$H256))),NOT(ISFORMULA(INDEX('Game Records'!$R:$R,$H256))),NOT(ISFORMULA(INDEX('Game Records'!$S:$S,$H256))),NOT(ISFORMULA(INDEX('Game Records'!$T:$T,$H256))),NOT(ISFORMULA(INDEX('Game Records'!$U:$U,$H256))),NOT(ISFORMULA(INDEX('Game Records'!$V:$V,$H256))),NOT(ISFORMULA(INDEX('Game Records'!$W:$W,$H256))),NOT(ISFORMULA(INDEX('Game Records'!$X:$X,$H256))),NOT(ISFORMULA(INDEX('Game Records'!$Y:$Y,$H256))),NOT(ISFORMULA(INDEX('Game Records'!$Z:$Z,$H256)))),"Formula columns missing; ","")&amp;IF(INDEX('Game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Earned; ","")&amp;IF(AND(LOWER(INDEX('Game Records'!$D:$D,$H256)&amp;"")="finalized",INDEX('Game Records'!$U:$U,$H256)&lt;&gt;"Subscription",INDEX('Game Records'!$U:$U,$H256)&lt;&gt;"Free Game",INDEX('Game Records'!$U:$U,$H256)&lt;&gt;"Disqualified — Free Game",OR(INDEX('Game Records'!$L:$L,$H256)="",LOWER(INDEX('Game Records'!$L:$L,$H256)&amp;"")="n/a")),"Disqualified Status; ","")&amp;IF(AND(OR(INDEX('Game Records'!$U:$U,$H256)="Free Game",INDEX('Game Records'!$U:$U,$H256)="Disqualified — Free Game"),N(INDEX('Game Records'!$H:$H,$H256))&lt;&gt;0),"Free Game has a non-zero Entry Fee; ",""))</f>
        <v/>
      </c>
      <c r="G256" s="331" t="str">
        <f>IF($H256="","",IFERROR(INDEX('Game Records'!$M:$M,$H256),""))</f>
        <v/>
      </c>
      <c r="H256" s="104" t="str">
        <f>IF($H255="","",IFERROR(MATCH(1,INDEX((ROW('Game Records'!$U$5:$U$504)&gt;$H255)*(('Game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7" ht="24" customHeight="1">
      <c r="A257" s="332" t="str">
        <f>IF($H257="","",ROWS($A$5:A257))</f>
        <v/>
      </c>
      <c r="B257" s="332" t="str">
        <f>IF($H257="","","G-"&amp;TEXT($A257,"0000"))</f>
        <v/>
      </c>
      <c r="C257" s="331" t="str">
        <f>IF($H257="","",IFERROR(INDEX('Game Records'!$A:$A,$H257),""))</f>
        <v/>
      </c>
      <c r="D257" s="331" t="str">
        <f>IF($H257="","",IFERROR(INDEX('Game Records'!$U:$U,$H257),""))</f>
        <v/>
      </c>
      <c r="E257" s="331" t="str">
        <f>IF($H257="","",IF($F257="","No Highlighted Fields","Highlighted Fields Present"))</f>
        <v/>
      </c>
      <c r="F257" s="331" t="str">
        <f>IF($H257="","",IF(OR(NOT(ISFORMULA(INDEX('Game Records'!$N:$N,$H257))),NOT(ISFORMULA(INDEX('Game Records'!$O:$O,$H257))),NOT(ISFORMULA(INDEX('Game Records'!$P:$P,$H257))),NOT(ISFORMULA(INDEX('Game Records'!$Q:$Q,$H257))),NOT(ISFORMULA(INDEX('Game Records'!$R:$R,$H257))),NOT(ISFORMULA(INDEX('Game Records'!$S:$S,$H257))),NOT(ISFORMULA(INDEX('Game Records'!$T:$T,$H257))),NOT(ISFORMULA(INDEX('Game Records'!$U:$U,$H257))),NOT(ISFORMULA(INDEX('Game Records'!$V:$V,$H257))),NOT(ISFORMULA(INDEX('Game Records'!$W:$W,$H257))),NOT(ISFORMULA(INDEX('Game Records'!$X:$X,$H257))),NOT(ISFORMULA(INDEX('Game Records'!$Y:$Y,$H257))),NOT(ISFORMULA(INDEX('Game Records'!$Z:$Z,$H257)))),"Formula columns missing; ","")&amp;IF(INDEX('Game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Earned; ","")&amp;IF(AND(LOWER(INDEX('Game Records'!$D:$D,$H257)&amp;"")="finalized",INDEX('Game Records'!$U:$U,$H257)&lt;&gt;"Subscription",INDEX('Game Records'!$U:$U,$H257)&lt;&gt;"Free Game",INDEX('Game Records'!$U:$U,$H257)&lt;&gt;"Disqualified — Free Game",OR(INDEX('Game Records'!$L:$L,$H257)="",LOWER(INDEX('Game Records'!$L:$L,$H257)&amp;"")="n/a")),"Disqualified Status; ","")&amp;IF(AND(OR(INDEX('Game Records'!$U:$U,$H257)="Free Game",INDEX('Game Records'!$U:$U,$H257)="Disqualified — Free Game"),N(INDEX('Game Records'!$H:$H,$H257))&lt;&gt;0),"Free Game has a non-zero Entry Fee; ",""))</f>
        <v/>
      </c>
      <c r="G257" s="331" t="str">
        <f>IF($H257="","",IFERROR(INDEX('Game Records'!$M:$M,$H257),""))</f>
        <v/>
      </c>
      <c r="H257" s="104" t="str">
        <f>IF($H256="","",IFERROR(MATCH(1,INDEX((ROW('Game Records'!$U$5:$U$504)&gt;$H256)*(('Game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8" ht="24" customHeight="1">
      <c r="A258" s="332" t="str">
        <f>IF($H258="","",ROWS($A$5:A258))</f>
        <v/>
      </c>
      <c r="B258" s="332" t="str">
        <f>IF($H258="","","G-"&amp;TEXT($A258,"0000"))</f>
        <v/>
      </c>
      <c r="C258" s="331" t="str">
        <f>IF($H258="","",IFERROR(INDEX('Game Records'!$A:$A,$H258),""))</f>
        <v/>
      </c>
      <c r="D258" s="331" t="str">
        <f>IF($H258="","",IFERROR(INDEX('Game Records'!$U:$U,$H258),""))</f>
        <v/>
      </c>
      <c r="E258" s="331" t="str">
        <f>IF($H258="","",IF($F258="","No Highlighted Fields","Highlighted Fields Present"))</f>
        <v/>
      </c>
      <c r="F258" s="331" t="str">
        <f>IF($H258="","",IF(OR(NOT(ISFORMULA(INDEX('Game Records'!$N:$N,$H258))),NOT(ISFORMULA(INDEX('Game Records'!$O:$O,$H258))),NOT(ISFORMULA(INDEX('Game Records'!$P:$P,$H258))),NOT(ISFORMULA(INDEX('Game Records'!$Q:$Q,$H258))),NOT(ISFORMULA(INDEX('Game Records'!$R:$R,$H258))),NOT(ISFORMULA(INDEX('Game Records'!$S:$S,$H258))),NOT(ISFORMULA(INDEX('Game Records'!$T:$T,$H258))),NOT(ISFORMULA(INDEX('Game Records'!$U:$U,$H258))),NOT(ISFORMULA(INDEX('Game Records'!$V:$V,$H258))),NOT(ISFORMULA(INDEX('Game Records'!$W:$W,$H258))),NOT(ISFORMULA(INDEX('Game Records'!$X:$X,$H258))),NOT(ISFORMULA(INDEX('Game Records'!$Y:$Y,$H258))),NOT(ISFORMULA(INDEX('Game Records'!$Z:$Z,$H258)))),"Formula columns missing; ","")&amp;IF(INDEX('Game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Earned; ","")&amp;IF(AND(LOWER(INDEX('Game Records'!$D:$D,$H258)&amp;"")="finalized",INDEX('Game Records'!$U:$U,$H258)&lt;&gt;"Subscription",INDEX('Game Records'!$U:$U,$H258)&lt;&gt;"Free Game",INDEX('Game Records'!$U:$U,$H258)&lt;&gt;"Disqualified — Free Game",OR(INDEX('Game Records'!$L:$L,$H258)="",LOWER(INDEX('Game Records'!$L:$L,$H258)&amp;"")="n/a")),"Disqualified Status; ","")&amp;IF(AND(OR(INDEX('Game Records'!$U:$U,$H258)="Free Game",INDEX('Game Records'!$U:$U,$H258)="Disqualified — Free Game"),N(INDEX('Game Records'!$H:$H,$H258))&lt;&gt;0),"Free Game has a non-zero Entry Fee; ",""))</f>
        <v/>
      </c>
      <c r="G258" s="331" t="str">
        <f>IF($H258="","",IFERROR(INDEX('Game Records'!$M:$M,$H258),""))</f>
        <v/>
      </c>
      <c r="H258" s="104" t="str">
        <f>IF($H257="","",IFERROR(MATCH(1,INDEX((ROW('Game Records'!$U$5:$U$504)&gt;$H257)*(('Game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9" ht="24" customHeight="1">
      <c r="A259" s="332" t="str">
        <f>IF($H259="","",ROWS($A$5:A259))</f>
        <v/>
      </c>
      <c r="B259" s="332" t="str">
        <f>IF($H259="","","G-"&amp;TEXT($A259,"0000"))</f>
        <v/>
      </c>
      <c r="C259" s="331" t="str">
        <f>IF($H259="","",IFERROR(INDEX('Game Records'!$A:$A,$H259),""))</f>
        <v/>
      </c>
      <c r="D259" s="331" t="str">
        <f>IF($H259="","",IFERROR(INDEX('Game Records'!$U:$U,$H259),""))</f>
        <v/>
      </c>
      <c r="E259" s="331" t="str">
        <f>IF($H259="","",IF($F259="","No Highlighted Fields","Highlighted Fields Present"))</f>
        <v/>
      </c>
      <c r="F259" s="331" t="str">
        <f>IF($H259="","",IF(OR(NOT(ISFORMULA(INDEX('Game Records'!$N:$N,$H259))),NOT(ISFORMULA(INDEX('Game Records'!$O:$O,$H259))),NOT(ISFORMULA(INDEX('Game Records'!$P:$P,$H259))),NOT(ISFORMULA(INDEX('Game Records'!$Q:$Q,$H259))),NOT(ISFORMULA(INDEX('Game Records'!$R:$R,$H259))),NOT(ISFORMULA(INDEX('Game Records'!$S:$S,$H259))),NOT(ISFORMULA(INDEX('Game Records'!$T:$T,$H259))),NOT(ISFORMULA(INDEX('Game Records'!$U:$U,$H259))),NOT(ISFORMULA(INDEX('Game Records'!$V:$V,$H259))),NOT(ISFORMULA(INDEX('Game Records'!$W:$W,$H259))),NOT(ISFORMULA(INDEX('Game Records'!$X:$X,$H259))),NOT(ISFORMULA(INDEX('Game Records'!$Y:$Y,$H259))),NOT(ISFORMULA(INDEX('Game Records'!$Z:$Z,$H259)))),"Formula columns missing; ","")&amp;IF(INDEX('Game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Earned; ","")&amp;IF(AND(LOWER(INDEX('Game Records'!$D:$D,$H259)&amp;"")="finalized",INDEX('Game Records'!$U:$U,$H259)&lt;&gt;"Subscription",INDEX('Game Records'!$U:$U,$H259)&lt;&gt;"Free Game",INDEX('Game Records'!$U:$U,$H259)&lt;&gt;"Disqualified — Free Game",OR(INDEX('Game Records'!$L:$L,$H259)="",LOWER(INDEX('Game Records'!$L:$L,$H259)&amp;"")="n/a")),"Disqualified Status; ","")&amp;IF(AND(OR(INDEX('Game Records'!$U:$U,$H259)="Free Game",INDEX('Game Records'!$U:$U,$H259)="Disqualified — Free Game"),N(INDEX('Game Records'!$H:$H,$H259))&lt;&gt;0),"Free Game has a non-zero Entry Fee; ",""))</f>
        <v/>
      </c>
      <c r="G259" s="331" t="str">
        <f>IF($H259="","",IFERROR(INDEX('Game Records'!$M:$M,$H259),""))</f>
        <v/>
      </c>
      <c r="H259" s="104" t="str">
        <f>IF($H258="","",IFERROR(MATCH(1,INDEX((ROW('Game Records'!$U$5:$U$504)&gt;$H258)*(('Game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0" ht="24" customHeight="1">
      <c r="A260" s="332" t="str">
        <f>IF($H260="","",ROWS($A$5:A260))</f>
        <v/>
      </c>
      <c r="B260" s="332" t="str">
        <f>IF($H260="","","G-"&amp;TEXT($A260,"0000"))</f>
        <v/>
      </c>
      <c r="C260" s="331" t="str">
        <f>IF($H260="","",IFERROR(INDEX('Game Records'!$A:$A,$H260),""))</f>
        <v/>
      </c>
      <c r="D260" s="331" t="str">
        <f>IF($H260="","",IFERROR(INDEX('Game Records'!$U:$U,$H260),""))</f>
        <v/>
      </c>
      <c r="E260" s="331" t="str">
        <f>IF($H260="","",IF($F260="","No Highlighted Fields","Highlighted Fields Present"))</f>
        <v/>
      </c>
      <c r="F260" s="331" t="str">
        <f>IF($H260="","",IF(OR(NOT(ISFORMULA(INDEX('Game Records'!$N:$N,$H260))),NOT(ISFORMULA(INDEX('Game Records'!$O:$O,$H260))),NOT(ISFORMULA(INDEX('Game Records'!$P:$P,$H260))),NOT(ISFORMULA(INDEX('Game Records'!$Q:$Q,$H260))),NOT(ISFORMULA(INDEX('Game Records'!$R:$R,$H260))),NOT(ISFORMULA(INDEX('Game Records'!$S:$S,$H260))),NOT(ISFORMULA(INDEX('Game Records'!$T:$T,$H260))),NOT(ISFORMULA(INDEX('Game Records'!$U:$U,$H260))),NOT(ISFORMULA(INDEX('Game Records'!$V:$V,$H260))),NOT(ISFORMULA(INDEX('Game Records'!$W:$W,$H260))),NOT(ISFORMULA(INDEX('Game Records'!$X:$X,$H260))),NOT(ISFORMULA(INDEX('Game Records'!$Y:$Y,$H260))),NOT(ISFORMULA(INDEX('Game Records'!$Z:$Z,$H260)))),"Formula columns missing; ","")&amp;IF(INDEX('Game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Earned; ","")&amp;IF(AND(LOWER(INDEX('Game Records'!$D:$D,$H260)&amp;"")="finalized",INDEX('Game Records'!$U:$U,$H260)&lt;&gt;"Subscription",INDEX('Game Records'!$U:$U,$H260)&lt;&gt;"Free Game",INDEX('Game Records'!$U:$U,$H260)&lt;&gt;"Disqualified — Free Game",OR(INDEX('Game Records'!$L:$L,$H260)="",LOWER(INDEX('Game Records'!$L:$L,$H260)&amp;"")="n/a")),"Disqualified Status; ","")&amp;IF(AND(OR(INDEX('Game Records'!$U:$U,$H260)="Free Game",INDEX('Game Records'!$U:$U,$H260)="Disqualified — Free Game"),N(INDEX('Game Records'!$H:$H,$H260))&lt;&gt;0),"Free Game has a non-zero Entry Fee; ",""))</f>
        <v/>
      </c>
      <c r="G260" s="331" t="str">
        <f>IF($H260="","",IFERROR(INDEX('Game Records'!$M:$M,$H260),""))</f>
        <v/>
      </c>
      <c r="H260" s="104" t="str">
        <f>IF($H259="","",IFERROR(MATCH(1,INDEX((ROW('Game Records'!$U$5:$U$504)&gt;$H259)*(('Game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1" ht="24" customHeight="1">
      <c r="A261" s="332" t="str">
        <f>IF($H261="","",ROWS($A$5:A261))</f>
        <v/>
      </c>
      <c r="B261" s="332" t="str">
        <f>IF($H261="","","G-"&amp;TEXT($A261,"0000"))</f>
        <v/>
      </c>
      <c r="C261" s="331" t="str">
        <f>IF($H261="","",IFERROR(INDEX('Game Records'!$A:$A,$H261),""))</f>
        <v/>
      </c>
      <c r="D261" s="331" t="str">
        <f>IF($H261="","",IFERROR(INDEX('Game Records'!$U:$U,$H261),""))</f>
        <v/>
      </c>
      <c r="E261" s="331" t="str">
        <f>IF($H261="","",IF($F261="","No Highlighted Fields","Highlighted Fields Present"))</f>
        <v/>
      </c>
      <c r="F261" s="331" t="str">
        <f>IF($H261="","",IF(OR(NOT(ISFORMULA(INDEX('Game Records'!$N:$N,$H261))),NOT(ISFORMULA(INDEX('Game Records'!$O:$O,$H261))),NOT(ISFORMULA(INDEX('Game Records'!$P:$P,$H261))),NOT(ISFORMULA(INDEX('Game Records'!$Q:$Q,$H261))),NOT(ISFORMULA(INDEX('Game Records'!$R:$R,$H261))),NOT(ISFORMULA(INDEX('Game Records'!$S:$S,$H261))),NOT(ISFORMULA(INDEX('Game Records'!$T:$T,$H261))),NOT(ISFORMULA(INDEX('Game Records'!$U:$U,$H261))),NOT(ISFORMULA(INDEX('Game Records'!$V:$V,$H261))),NOT(ISFORMULA(INDEX('Game Records'!$W:$W,$H261))),NOT(ISFORMULA(INDEX('Game Records'!$X:$X,$H261))),NOT(ISFORMULA(INDEX('Game Records'!$Y:$Y,$H261))),NOT(ISFORMULA(INDEX('Game Records'!$Z:$Z,$H261)))),"Formula columns missing; ","")&amp;IF(INDEX('Game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Earned; ","")&amp;IF(AND(LOWER(INDEX('Game Records'!$D:$D,$H261)&amp;"")="finalized",INDEX('Game Records'!$U:$U,$H261)&lt;&gt;"Subscription",INDEX('Game Records'!$U:$U,$H261)&lt;&gt;"Free Game",INDEX('Game Records'!$U:$U,$H261)&lt;&gt;"Disqualified — Free Game",OR(INDEX('Game Records'!$L:$L,$H261)="",LOWER(INDEX('Game Records'!$L:$L,$H261)&amp;"")="n/a")),"Disqualified Status; ","")&amp;IF(AND(OR(INDEX('Game Records'!$U:$U,$H261)="Free Game",INDEX('Game Records'!$U:$U,$H261)="Disqualified — Free Game"),N(INDEX('Game Records'!$H:$H,$H261))&lt;&gt;0),"Free Game has a non-zero Entry Fee; ",""))</f>
        <v/>
      </c>
      <c r="G261" s="331" t="str">
        <f>IF($H261="","",IFERROR(INDEX('Game Records'!$M:$M,$H261),""))</f>
        <v/>
      </c>
      <c r="H261" s="104" t="str">
        <f>IF($H260="","",IFERROR(MATCH(1,INDEX((ROW('Game Records'!$U$5:$U$504)&gt;$H260)*(('Game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2" ht="24" customHeight="1">
      <c r="A262" s="332" t="str">
        <f>IF($H262="","",ROWS($A$5:A262))</f>
        <v/>
      </c>
      <c r="B262" s="332" t="str">
        <f>IF($H262="","","G-"&amp;TEXT($A262,"0000"))</f>
        <v/>
      </c>
      <c r="C262" s="331" t="str">
        <f>IF($H262="","",IFERROR(INDEX('Game Records'!$A:$A,$H262),""))</f>
        <v/>
      </c>
      <c r="D262" s="331" t="str">
        <f>IF($H262="","",IFERROR(INDEX('Game Records'!$U:$U,$H262),""))</f>
        <v/>
      </c>
      <c r="E262" s="331" t="str">
        <f>IF($H262="","",IF($F262="","No Highlighted Fields","Highlighted Fields Present"))</f>
        <v/>
      </c>
      <c r="F262" s="331" t="str">
        <f>IF($H262="","",IF(OR(NOT(ISFORMULA(INDEX('Game Records'!$N:$N,$H262))),NOT(ISFORMULA(INDEX('Game Records'!$O:$O,$H262))),NOT(ISFORMULA(INDEX('Game Records'!$P:$P,$H262))),NOT(ISFORMULA(INDEX('Game Records'!$Q:$Q,$H262))),NOT(ISFORMULA(INDEX('Game Records'!$R:$R,$H262))),NOT(ISFORMULA(INDEX('Game Records'!$S:$S,$H262))),NOT(ISFORMULA(INDEX('Game Records'!$T:$T,$H262))),NOT(ISFORMULA(INDEX('Game Records'!$U:$U,$H262))),NOT(ISFORMULA(INDEX('Game Records'!$V:$V,$H262))),NOT(ISFORMULA(INDEX('Game Records'!$W:$W,$H262))),NOT(ISFORMULA(INDEX('Game Records'!$X:$X,$H262))),NOT(ISFORMULA(INDEX('Game Records'!$Y:$Y,$H262))),NOT(ISFORMULA(INDEX('Game Records'!$Z:$Z,$H262)))),"Formula columns missing; ","")&amp;IF(INDEX('Game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Earned; ","")&amp;IF(AND(LOWER(INDEX('Game Records'!$D:$D,$H262)&amp;"")="finalized",INDEX('Game Records'!$U:$U,$H262)&lt;&gt;"Subscription",INDEX('Game Records'!$U:$U,$H262)&lt;&gt;"Free Game",INDEX('Game Records'!$U:$U,$H262)&lt;&gt;"Disqualified — Free Game",OR(INDEX('Game Records'!$L:$L,$H262)="",LOWER(INDEX('Game Records'!$L:$L,$H262)&amp;"")="n/a")),"Disqualified Status; ","")&amp;IF(AND(OR(INDEX('Game Records'!$U:$U,$H262)="Free Game",INDEX('Game Records'!$U:$U,$H262)="Disqualified — Free Game"),N(INDEX('Game Records'!$H:$H,$H262))&lt;&gt;0),"Free Game has a non-zero Entry Fee; ",""))</f>
        <v/>
      </c>
      <c r="G262" s="331" t="str">
        <f>IF($H262="","",IFERROR(INDEX('Game Records'!$M:$M,$H262),""))</f>
        <v/>
      </c>
      <c r="H262" s="104" t="str">
        <f>IF($H261="","",IFERROR(MATCH(1,INDEX((ROW('Game Records'!$U$5:$U$504)&gt;$H261)*(('Game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3" ht="24" customHeight="1">
      <c r="A263" s="332" t="str">
        <f>IF($H263="","",ROWS($A$5:A263))</f>
        <v/>
      </c>
      <c r="B263" s="332" t="str">
        <f>IF($H263="","","G-"&amp;TEXT($A263,"0000"))</f>
        <v/>
      </c>
      <c r="C263" s="331" t="str">
        <f>IF($H263="","",IFERROR(INDEX('Game Records'!$A:$A,$H263),""))</f>
        <v/>
      </c>
      <c r="D263" s="331" t="str">
        <f>IF($H263="","",IFERROR(INDEX('Game Records'!$U:$U,$H263),""))</f>
        <v/>
      </c>
      <c r="E263" s="331" t="str">
        <f>IF($H263="","",IF($F263="","No Highlighted Fields","Highlighted Fields Present"))</f>
        <v/>
      </c>
      <c r="F263" s="331" t="str">
        <f>IF($H263="","",IF(OR(NOT(ISFORMULA(INDEX('Game Records'!$N:$N,$H263))),NOT(ISFORMULA(INDEX('Game Records'!$O:$O,$H263))),NOT(ISFORMULA(INDEX('Game Records'!$P:$P,$H263))),NOT(ISFORMULA(INDEX('Game Records'!$Q:$Q,$H263))),NOT(ISFORMULA(INDEX('Game Records'!$R:$R,$H263))),NOT(ISFORMULA(INDEX('Game Records'!$S:$S,$H263))),NOT(ISFORMULA(INDEX('Game Records'!$T:$T,$H263))),NOT(ISFORMULA(INDEX('Game Records'!$U:$U,$H263))),NOT(ISFORMULA(INDEX('Game Records'!$V:$V,$H263))),NOT(ISFORMULA(INDEX('Game Records'!$W:$W,$H263))),NOT(ISFORMULA(INDEX('Game Records'!$X:$X,$H263))),NOT(ISFORMULA(INDEX('Game Records'!$Y:$Y,$H263))),NOT(ISFORMULA(INDEX('Game Records'!$Z:$Z,$H263)))),"Formula columns missing; ","")&amp;IF(INDEX('Game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Earned; ","")&amp;IF(AND(LOWER(INDEX('Game Records'!$D:$D,$H263)&amp;"")="finalized",INDEX('Game Records'!$U:$U,$H263)&lt;&gt;"Subscription",INDEX('Game Records'!$U:$U,$H263)&lt;&gt;"Free Game",INDEX('Game Records'!$U:$U,$H263)&lt;&gt;"Disqualified — Free Game",OR(INDEX('Game Records'!$L:$L,$H263)="",LOWER(INDEX('Game Records'!$L:$L,$H263)&amp;"")="n/a")),"Disqualified Status; ","")&amp;IF(AND(OR(INDEX('Game Records'!$U:$U,$H263)="Free Game",INDEX('Game Records'!$U:$U,$H263)="Disqualified — Free Game"),N(INDEX('Game Records'!$H:$H,$H263))&lt;&gt;0),"Free Game has a non-zero Entry Fee; ",""))</f>
        <v/>
      </c>
      <c r="G263" s="331" t="str">
        <f>IF($H263="","",IFERROR(INDEX('Game Records'!$M:$M,$H263),""))</f>
        <v/>
      </c>
      <c r="H263" s="104" t="str">
        <f>IF($H262="","",IFERROR(MATCH(1,INDEX((ROW('Game Records'!$U$5:$U$504)&gt;$H262)*(('Game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4" ht="24" customHeight="1">
      <c r="A264" s="332" t="str">
        <f>IF($H264="","",ROWS($A$5:A264))</f>
        <v/>
      </c>
      <c r="B264" s="332" t="str">
        <f>IF($H264="","","G-"&amp;TEXT($A264,"0000"))</f>
        <v/>
      </c>
      <c r="C264" s="331" t="str">
        <f>IF($H264="","",IFERROR(INDEX('Game Records'!$A:$A,$H264),""))</f>
        <v/>
      </c>
      <c r="D264" s="331" t="str">
        <f>IF($H264="","",IFERROR(INDEX('Game Records'!$U:$U,$H264),""))</f>
        <v/>
      </c>
      <c r="E264" s="331" t="str">
        <f>IF($H264="","",IF($F264="","No Highlighted Fields","Highlighted Fields Present"))</f>
        <v/>
      </c>
      <c r="F264" s="331" t="str">
        <f>IF($H264="","",IF(OR(NOT(ISFORMULA(INDEX('Game Records'!$N:$N,$H264))),NOT(ISFORMULA(INDEX('Game Records'!$O:$O,$H264))),NOT(ISFORMULA(INDEX('Game Records'!$P:$P,$H264))),NOT(ISFORMULA(INDEX('Game Records'!$Q:$Q,$H264))),NOT(ISFORMULA(INDEX('Game Records'!$R:$R,$H264))),NOT(ISFORMULA(INDEX('Game Records'!$S:$S,$H264))),NOT(ISFORMULA(INDEX('Game Records'!$T:$T,$H264))),NOT(ISFORMULA(INDEX('Game Records'!$U:$U,$H264))),NOT(ISFORMULA(INDEX('Game Records'!$V:$V,$H264))),NOT(ISFORMULA(INDEX('Game Records'!$W:$W,$H264))),NOT(ISFORMULA(INDEX('Game Records'!$X:$X,$H264))),NOT(ISFORMULA(INDEX('Game Records'!$Y:$Y,$H264))),NOT(ISFORMULA(INDEX('Game Records'!$Z:$Z,$H264)))),"Formula columns missing; ","")&amp;IF(INDEX('Game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Earned; ","")&amp;IF(AND(LOWER(INDEX('Game Records'!$D:$D,$H264)&amp;"")="finalized",INDEX('Game Records'!$U:$U,$H264)&lt;&gt;"Subscription",INDEX('Game Records'!$U:$U,$H264)&lt;&gt;"Free Game",INDEX('Game Records'!$U:$U,$H264)&lt;&gt;"Disqualified — Free Game",OR(INDEX('Game Records'!$L:$L,$H264)="",LOWER(INDEX('Game Records'!$L:$L,$H264)&amp;"")="n/a")),"Disqualified Status; ","")&amp;IF(AND(OR(INDEX('Game Records'!$U:$U,$H264)="Free Game",INDEX('Game Records'!$U:$U,$H264)="Disqualified — Free Game"),N(INDEX('Game Records'!$H:$H,$H264))&lt;&gt;0),"Free Game has a non-zero Entry Fee; ",""))</f>
        <v/>
      </c>
      <c r="G264" s="331" t="str">
        <f>IF($H264="","",IFERROR(INDEX('Game Records'!$M:$M,$H264),""))</f>
        <v/>
      </c>
      <c r="H264" s="104" t="str">
        <f>IF($H263="","",IFERROR(MATCH(1,INDEX((ROW('Game Records'!$U$5:$U$504)&gt;$H263)*(('Game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5" ht="24" customHeight="1">
      <c r="A265" s="332" t="str">
        <f>IF($H265="","",ROWS($A$5:A265))</f>
        <v/>
      </c>
      <c r="B265" s="332" t="str">
        <f>IF($H265="","","G-"&amp;TEXT($A265,"0000"))</f>
        <v/>
      </c>
      <c r="C265" s="331" t="str">
        <f>IF($H265="","",IFERROR(INDEX('Game Records'!$A:$A,$H265),""))</f>
        <v/>
      </c>
      <c r="D265" s="331" t="str">
        <f>IF($H265="","",IFERROR(INDEX('Game Records'!$U:$U,$H265),""))</f>
        <v/>
      </c>
      <c r="E265" s="331" t="str">
        <f>IF($H265="","",IF($F265="","No Highlighted Fields","Highlighted Fields Present"))</f>
        <v/>
      </c>
      <c r="F265" s="331" t="str">
        <f>IF($H265="","",IF(OR(NOT(ISFORMULA(INDEX('Game Records'!$N:$N,$H265))),NOT(ISFORMULA(INDEX('Game Records'!$O:$O,$H265))),NOT(ISFORMULA(INDEX('Game Records'!$P:$P,$H265))),NOT(ISFORMULA(INDEX('Game Records'!$Q:$Q,$H265))),NOT(ISFORMULA(INDEX('Game Records'!$R:$R,$H265))),NOT(ISFORMULA(INDEX('Game Records'!$S:$S,$H265))),NOT(ISFORMULA(INDEX('Game Records'!$T:$T,$H265))),NOT(ISFORMULA(INDEX('Game Records'!$U:$U,$H265))),NOT(ISFORMULA(INDEX('Game Records'!$V:$V,$H265))),NOT(ISFORMULA(INDEX('Game Records'!$W:$W,$H265))),NOT(ISFORMULA(INDEX('Game Records'!$X:$X,$H265))),NOT(ISFORMULA(INDEX('Game Records'!$Y:$Y,$H265))),NOT(ISFORMULA(INDEX('Game Records'!$Z:$Z,$H265)))),"Formula columns missing; ","")&amp;IF(INDEX('Game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Earned; ","")&amp;IF(AND(LOWER(INDEX('Game Records'!$D:$D,$H265)&amp;"")="finalized",INDEX('Game Records'!$U:$U,$H265)&lt;&gt;"Subscription",INDEX('Game Records'!$U:$U,$H265)&lt;&gt;"Free Game",INDEX('Game Records'!$U:$U,$H265)&lt;&gt;"Disqualified — Free Game",OR(INDEX('Game Records'!$L:$L,$H265)="",LOWER(INDEX('Game Records'!$L:$L,$H265)&amp;"")="n/a")),"Disqualified Status; ","")&amp;IF(AND(OR(INDEX('Game Records'!$U:$U,$H265)="Free Game",INDEX('Game Records'!$U:$U,$H265)="Disqualified — Free Game"),N(INDEX('Game Records'!$H:$H,$H265))&lt;&gt;0),"Free Game has a non-zero Entry Fee; ",""))</f>
        <v/>
      </c>
      <c r="G265" s="331" t="str">
        <f>IF($H265="","",IFERROR(INDEX('Game Records'!$M:$M,$H265),""))</f>
        <v/>
      </c>
      <c r="H265" s="104" t="str">
        <f>IF($H264="","",IFERROR(MATCH(1,INDEX((ROW('Game Records'!$U$5:$U$504)&gt;$H264)*(('Game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6" ht="24" customHeight="1">
      <c r="A266" s="332" t="str">
        <f>IF($H266="","",ROWS($A$5:A266))</f>
        <v/>
      </c>
      <c r="B266" s="332" t="str">
        <f>IF($H266="","","G-"&amp;TEXT($A266,"0000"))</f>
        <v/>
      </c>
      <c r="C266" s="331" t="str">
        <f>IF($H266="","",IFERROR(INDEX('Game Records'!$A:$A,$H266),""))</f>
        <v/>
      </c>
      <c r="D266" s="331" t="str">
        <f>IF($H266="","",IFERROR(INDEX('Game Records'!$U:$U,$H266),""))</f>
        <v/>
      </c>
      <c r="E266" s="331" t="str">
        <f>IF($H266="","",IF($F266="","No Highlighted Fields","Highlighted Fields Present"))</f>
        <v/>
      </c>
      <c r="F266" s="331" t="str">
        <f>IF($H266="","",IF(OR(NOT(ISFORMULA(INDEX('Game Records'!$N:$N,$H266))),NOT(ISFORMULA(INDEX('Game Records'!$O:$O,$H266))),NOT(ISFORMULA(INDEX('Game Records'!$P:$P,$H266))),NOT(ISFORMULA(INDEX('Game Records'!$Q:$Q,$H266))),NOT(ISFORMULA(INDEX('Game Records'!$R:$R,$H266))),NOT(ISFORMULA(INDEX('Game Records'!$S:$S,$H266))),NOT(ISFORMULA(INDEX('Game Records'!$T:$T,$H266))),NOT(ISFORMULA(INDEX('Game Records'!$U:$U,$H266))),NOT(ISFORMULA(INDEX('Game Records'!$V:$V,$H266))),NOT(ISFORMULA(INDEX('Game Records'!$W:$W,$H266))),NOT(ISFORMULA(INDEX('Game Records'!$X:$X,$H266))),NOT(ISFORMULA(INDEX('Game Records'!$Y:$Y,$H266))),NOT(ISFORMULA(INDEX('Game Records'!$Z:$Z,$H266)))),"Formula columns missing; ","")&amp;IF(INDEX('Game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Earned; ","")&amp;IF(AND(LOWER(INDEX('Game Records'!$D:$D,$H266)&amp;"")="finalized",INDEX('Game Records'!$U:$U,$H266)&lt;&gt;"Subscription",INDEX('Game Records'!$U:$U,$H266)&lt;&gt;"Free Game",INDEX('Game Records'!$U:$U,$H266)&lt;&gt;"Disqualified — Free Game",OR(INDEX('Game Records'!$L:$L,$H266)="",LOWER(INDEX('Game Records'!$L:$L,$H266)&amp;"")="n/a")),"Disqualified Status; ","")&amp;IF(AND(OR(INDEX('Game Records'!$U:$U,$H266)="Free Game",INDEX('Game Records'!$U:$U,$H266)="Disqualified — Free Game"),N(INDEX('Game Records'!$H:$H,$H266))&lt;&gt;0),"Free Game has a non-zero Entry Fee; ",""))</f>
        <v/>
      </c>
      <c r="G266" s="331" t="str">
        <f>IF($H266="","",IFERROR(INDEX('Game Records'!$M:$M,$H266),""))</f>
        <v/>
      </c>
      <c r="H266" s="104" t="str">
        <f>IF($H265="","",IFERROR(MATCH(1,INDEX((ROW('Game Records'!$U$5:$U$504)&gt;$H265)*(('Game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7" ht="24" customHeight="1">
      <c r="A267" s="332" t="str">
        <f>IF($H267="","",ROWS($A$5:A267))</f>
        <v/>
      </c>
      <c r="B267" s="332" t="str">
        <f>IF($H267="","","G-"&amp;TEXT($A267,"0000"))</f>
        <v/>
      </c>
      <c r="C267" s="331" t="str">
        <f>IF($H267="","",IFERROR(INDEX('Game Records'!$A:$A,$H267),""))</f>
        <v/>
      </c>
      <c r="D267" s="331" t="str">
        <f>IF($H267="","",IFERROR(INDEX('Game Records'!$U:$U,$H267),""))</f>
        <v/>
      </c>
      <c r="E267" s="331" t="str">
        <f>IF($H267="","",IF($F267="","No Highlighted Fields","Highlighted Fields Present"))</f>
        <v/>
      </c>
      <c r="F267" s="331" t="str">
        <f>IF($H267="","",IF(OR(NOT(ISFORMULA(INDEX('Game Records'!$N:$N,$H267))),NOT(ISFORMULA(INDEX('Game Records'!$O:$O,$H267))),NOT(ISFORMULA(INDEX('Game Records'!$P:$P,$H267))),NOT(ISFORMULA(INDEX('Game Records'!$Q:$Q,$H267))),NOT(ISFORMULA(INDEX('Game Records'!$R:$R,$H267))),NOT(ISFORMULA(INDEX('Game Records'!$S:$S,$H267))),NOT(ISFORMULA(INDEX('Game Records'!$T:$T,$H267))),NOT(ISFORMULA(INDEX('Game Records'!$U:$U,$H267))),NOT(ISFORMULA(INDEX('Game Records'!$V:$V,$H267))),NOT(ISFORMULA(INDEX('Game Records'!$W:$W,$H267))),NOT(ISFORMULA(INDEX('Game Records'!$X:$X,$H267))),NOT(ISFORMULA(INDEX('Game Records'!$Y:$Y,$H267))),NOT(ISFORMULA(INDEX('Game Records'!$Z:$Z,$H267)))),"Formula columns missing; ","")&amp;IF(INDEX('Game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Earned; ","")&amp;IF(AND(LOWER(INDEX('Game Records'!$D:$D,$H267)&amp;"")="finalized",INDEX('Game Records'!$U:$U,$H267)&lt;&gt;"Subscription",INDEX('Game Records'!$U:$U,$H267)&lt;&gt;"Free Game",INDEX('Game Records'!$U:$U,$H267)&lt;&gt;"Disqualified — Free Game",OR(INDEX('Game Records'!$L:$L,$H267)="",LOWER(INDEX('Game Records'!$L:$L,$H267)&amp;"")="n/a")),"Disqualified Status; ","")&amp;IF(AND(OR(INDEX('Game Records'!$U:$U,$H267)="Free Game",INDEX('Game Records'!$U:$U,$H267)="Disqualified — Free Game"),N(INDEX('Game Records'!$H:$H,$H267))&lt;&gt;0),"Free Game has a non-zero Entry Fee; ",""))</f>
        <v/>
      </c>
      <c r="G267" s="331" t="str">
        <f>IF($H267="","",IFERROR(INDEX('Game Records'!$M:$M,$H267),""))</f>
        <v/>
      </c>
      <c r="H267" s="104" t="str">
        <f>IF($H266="","",IFERROR(MATCH(1,INDEX((ROW('Game Records'!$U$5:$U$504)&gt;$H266)*(('Game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8" ht="24" customHeight="1">
      <c r="A268" s="332" t="str">
        <f>IF($H268="","",ROWS($A$5:A268))</f>
        <v/>
      </c>
      <c r="B268" s="332" t="str">
        <f>IF($H268="","","G-"&amp;TEXT($A268,"0000"))</f>
        <v/>
      </c>
      <c r="C268" s="331" t="str">
        <f>IF($H268="","",IFERROR(INDEX('Game Records'!$A:$A,$H268),""))</f>
        <v/>
      </c>
      <c r="D268" s="331" t="str">
        <f>IF($H268="","",IFERROR(INDEX('Game Records'!$U:$U,$H268),""))</f>
        <v/>
      </c>
      <c r="E268" s="331" t="str">
        <f>IF($H268="","",IF($F268="","No Highlighted Fields","Highlighted Fields Present"))</f>
        <v/>
      </c>
      <c r="F268" s="331" t="str">
        <f>IF($H268="","",IF(OR(NOT(ISFORMULA(INDEX('Game Records'!$N:$N,$H268))),NOT(ISFORMULA(INDEX('Game Records'!$O:$O,$H268))),NOT(ISFORMULA(INDEX('Game Records'!$P:$P,$H268))),NOT(ISFORMULA(INDEX('Game Records'!$Q:$Q,$H268))),NOT(ISFORMULA(INDEX('Game Records'!$R:$R,$H268))),NOT(ISFORMULA(INDEX('Game Records'!$S:$S,$H268))),NOT(ISFORMULA(INDEX('Game Records'!$T:$T,$H268))),NOT(ISFORMULA(INDEX('Game Records'!$U:$U,$H268))),NOT(ISFORMULA(INDEX('Game Records'!$V:$V,$H268))),NOT(ISFORMULA(INDEX('Game Records'!$W:$W,$H268))),NOT(ISFORMULA(INDEX('Game Records'!$X:$X,$H268))),NOT(ISFORMULA(INDEX('Game Records'!$Y:$Y,$H268))),NOT(ISFORMULA(INDEX('Game Records'!$Z:$Z,$H268)))),"Formula columns missing; ","")&amp;IF(INDEX('Game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Earned; ","")&amp;IF(AND(LOWER(INDEX('Game Records'!$D:$D,$H268)&amp;"")="finalized",INDEX('Game Records'!$U:$U,$H268)&lt;&gt;"Subscription",INDEX('Game Records'!$U:$U,$H268)&lt;&gt;"Free Game",INDEX('Game Records'!$U:$U,$H268)&lt;&gt;"Disqualified — Free Game",OR(INDEX('Game Records'!$L:$L,$H268)="",LOWER(INDEX('Game Records'!$L:$L,$H268)&amp;"")="n/a")),"Disqualified Status; ","")&amp;IF(AND(OR(INDEX('Game Records'!$U:$U,$H268)="Free Game",INDEX('Game Records'!$U:$U,$H268)="Disqualified — Free Game"),N(INDEX('Game Records'!$H:$H,$H268))&lt;&gt;0),"Free Game has a non-zero Entry Fee; ",""))</f>
        <v/>
      </c>
      <c r="G268" s="331" t="str">
        <f>IF($H268="","",IFERROR(INDEX('Game Records'!$M:$M,$H268),""))</f>
        <v/>
      </c>
      <c r="H268" s="104" t="str">
        <f>IF($H267="","",IFERROR(MATCH(1,INDEX((ROW('Game Records'!$U$5:$U$504)&gt;$H267)*(('Game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9" ht="24" customHeight="1">
      <c r="A269" s="332" t="str">
        <f>IF($H269="","",ROWS($A$5:A269))</f>
        <v/>
      </c>
      <c r="B269" s="332" t="str">
        <f>IF($H269="","","G-"&amp;TEXT($A269,"0000"))</f>
        <v/>
      </c>
      <c r="C269" s="331" t="str">
        <f>IF($H269="","",IFERROR(INDEX('Game Records'!$A:$A,$H269),""))</f>
        <v/>
      </c>
      <c r="D269" s="331" t="str">
        <f>IF($H269="","",IFERROR(INDEX('Game Records'!$U:$U,$H269),""))</f>
        <v/>
      </c>
      <c r="E269" s="331" t="str">
        <f>IF($H269="","",IF($F269="","No Highlighted Fields","Highlighted Fields Present"))</f>
        <v/>
      </c>
      <c r="F269" s="331" t="str">
        <f>IF($H269="","",IF(OR(NOT(ISFORMULA(INDEX('Game Records'!$N:$N,$H269))),NOT(ISFORMULA(INDEX('Game Records'!$O:$O,$H269))),NOT(ISFORMULA(INDEX('Game Records'!$P:$P,$H269))),NOT(ISFORMULA(INDEX('Game Records'!$Q:$Q,$H269))),NOT(ISFORMULA(INDEX('Game Records'!$R:$R,$H269))),NOT(ISFORMULA(INDEX('Game Records'!$S:$S,$H269))),NOT(ISFORMULA(INDEX('Game Records'!$T:$T,$H269))),NOT(ISFORMULA(INDEX('Game Records'!$U:$U,$H269))),NOT(ISFORMULA(INDEX('Game Records'!$V:$V,$H269))),NOT(ISFORMULA(INDEX('Game Records'!$W:$W,$H269))),NOT(ISFORMULA(INDEX('Game Records'!$X:$X,$H269))),NOT(ISFORMULA(INDEX('Game Records'!$Y:$Y,$H269))),NOT(ISFORMULA(INDEX('Game Records'!$Z:$Z,$H269)))),"Formula columns missing; ","")&amp;IF(INDEX('Game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Earned; ","")&amp;IF(AND(LOWER(INDEX('Game Records'!$D:$D,$H269)&amp;"")="finalized",INDEX('Game Records'!$U:$U,$H269)&lt;&gt;"Subscription",INDEX('Game Records'!$U:$U,$H269)&lt;&gt;"Free Game",INDEX('Game Records'!$U:$U,$H269)&lt;&gt;"Disqualified — Free Game",OR(INDEX('Game Records'!$L:$L,$H269)="",LOWER(INDEX('Game Records'!$L:$L,$H269)&amp;"")="n/a")),"Disqualified Status; ","")&amp;IF(AND(OR(INDEX('Game Records'!$U:$U,$H269)="Free Game",INDEX('Game Records'!$U:$U,$H269)="Disqualified — Free Game"),N(INDEX('Game Records'!$H:$H,$H269))&lt;&gt;0),"Free Game has a non-zero Entry Fee; ",""))</f>
        <v/>
      </c>
      <c r="G269" s="331" t="str">
        <f>IF($H269="","",IFERROR(INDEX('Game Records'!$M:$M,$H269),""))</f>
        <v/>
      </c>
      <c r="H269" s="104" t="str">
        <f>IF($H268="","",IFERROR(MATCH(1,INDEX((ROW('Game Records'!$U$5:$U$504)&gt;$H268)*(('Game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0" ht="24" customHeight="1">
      <c r="A270" s="332" t="str">
        <f>IF($H270="","",ROWS($A$5:A270))</f>
        <v/>
      </c>
      <c r="B270" s="332" t="str">
        <f>IF($H270="","","G-"&amp;TEXT($A270,"0000"))</f>
        <v/>
      </c>
      <c r="C270" s="331" t="str">
        <f>IF($H270="","",IFERROR(INDEX('Game Records'!$A:$A,$H270),""))</f>
        <v/>
      </c>
      <c r="D270" s="331" t="str">
        <f>IF($H270="","",IFERROR(INDEX('Game Records'!$U:$U,$H270),""))</f>
        <v/>
      </c>
      <c r="E270" s="331" t="str">
        <f>IF($H270="","",IF($F270="","No Highlighted Fields","Highlighted Fields Present"))</f>
        <v/>
      </c>
      <c r="F270" s="331" t="str">
        <f>IF($H270="","",IF(OR(NOT(ISFORMULA(INDEX('Game Records'!$N:$N,$H270))),NOT(ISFORMULA(INDEX('Game Records'!$O:$O,$H270))),NOT(ISFORMULA(INDEX('Game Records'!$P:$P,$H270))),NOT(ISFORMULA(INDEX('Game Records'!$Q:$Q,$H270))),NOT(ISFORMULA(INDEX('Game Records'!$R:$R,$H270))),NOT(ISFORMULA(INDEX('Game Records'!$S:$S,$H270))),NOT(ISFORMULA(INDEX('Game Records'!$T:$T,$H270))),NOT(ISFORMULA(INDEX('Game Records'!$U:$U,$H270))),NOT(ISFORMULA(INDEX('Game Records'!$V:$V,$H270))),NOT(ISFORMULA(INDEX('Game Records'!$W:$W,$H270))),NOT(ISFORMULA(INDEX('Game Records'!$X:$X,$H270))),NOT(ISFORMULA(INDEX('Game Records'!$Y:$Y,$H270))),NOT(ISFORMULA(INDEX('Game Records'!$Z:$Z,$H270)))),"Formula columns missing; ","")&amp;IF(INDEX('Game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Earned; ","")&amp;IF(AND(LOWER(INDEX('Game Records'!$D:$D,$H270)&amp;"")="finalized",INDEX('Game Records'!$U:$U,$H270)&lt;&gt;"Subscription",INDEX('Game Records'!$U:$U,$H270)&lt;&gt;"Free Game",INDEX('Game Records'!$U:$U,$H270)&lt;&gt;"Disqualified — Free Game",OR(INDEX('Game Records'!$L:$L,$H270)="",LOWER(INDEX('Game Records'!$L:$L,$H270)&amp;"")="n/a")),"Disqualified Status; ","")&amp;IF(AND(OR(INDEX('Game Records'!$U:$U,$H270)="Free Game",INDEX('Game Records'!$U:$U,$H270)="Disqualified — Free Game"),N(INDEX('Game Records'!$H:$H,$H270))&lt;&gt;0),"Free Game has a non-zero Entry Fee; ",""))</f>
        <v/>
      </c>
      <c r="G270" s="331" t="str">
        <f>IF($H270="","",IFERROR(INDEX('Game Records'!$M:$M,$H270),""))</f>
        <v/>
      </c>
      <c r="H270" s="104" t="str">
        <f>IF($H269="","",IFERROR(MATCH(1,INDEX((ROW('Game Records'!$U$5:$U$504)&gt;$H269)*(('Game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1" ht="24" customHeight="1">
      <c r="A271" s="332" t="str">
        <f>IF($H271="","",ROWS($A$5:A271))</f>
        <v/>
      </c>
      <c r="B271" s="332" t="str">
        <f>IF($H271="","","G-"&amp;TEXT($A271,"0000"))</f>
        <v/>
      </c>
      <c r="C271" s="331" t="str">
        <f>IF($H271="","",IFERROR(INDEX('Game Records'!$A:$A,$H271),""))</f>
        <v/>
      </c>
      <c r="D271" s="331" t="str">
        <f>IF($H271="","",IFERROR(INDEX('Game Records'!$U:$U,$H271),""))</f>
        <v/>
      </c>
      <c r="E271" s="331" t="str">
        <f>IF($H271="","",IF($F271="","No Highlighted Fields","Highlighted Fields Present"))</f>
        <v/>
      </c>
      <c r="F271" s="331" t="str">
        <f>IF($H271="","",IF(OR(NOT(ISFORMULA(INDEX('Game Records'!$N:$N,$H271))),NOT(ISFORMULA(INDEX('Game Records'!$O:$O,$H271))),NOT(ISFORMULA(INDEX('Game Records'!$P:$P,$H271))),NOT(ISFORMULA(INDEX('Game Records'!$Q:$Q,$H271))),NOT(ISFORMULA(INDEX('Game Records'!$R:$R,$H271))),NOT(ISFORMULA(INDEX('Game Records'!$S:$S,$H271))),NOT(ISFORMULA(INDEX('Game Records'!$T:$T,$H271))),NOT(ISFORMULA(INDEX('Game Records'!$U:$U,$H271))),NOT(ISFORMULA(INDEX('Game Records'!$V:$V,$H271))),NOT(ISFORMULA(INDEX('Game Records'!$W:$W,$H271))),NOT(ISFORMULA(INDEX('Game Records'!$X:$X,$H271))),NOT(ISFORMULA(INDEX('Game Records'!$Y:$Y,$H271))),NOT(ISFORMULA(INDEX('Game Records'!$Z:$Z,$H271)))),"Formula columns missing; ","")&amp;IF(INDEX('Game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Earned; ","")&amp;IF(AND(LOWER(INDEX('Game Records'!$D:$D,$H271)&amp;"")="finalized",INDEX('Game Records'!$U:$U,$H271)&lt;&gt;"Subscription",INDEX('Game Records'!$U:$U,$H271)&lt;&gt;"Free Game",INDEX('Game Records'!$U:$U,$H271)&lt;&gt;"Disqualified — Free Game",OR(INDEX('Game Records'!$L:$L,$H271)="",LOWER(INDEX('Game Records'!$L:$L,$H271)&amp;"")="n/a")),"Disqualified Status; ","")&amp;IF(AND(OR(INDEX('Game Records'!$U:$U,$H271)="Free Game",INDEX('Game Records'!$U:$U,$H271)="Disqualified — Free Game"),N(INDEX('Game Records'!$H:$H,$H271))&lt;&gt;0),"Free Game has a non-zero Entry Fee; ",""))</f>
        <v/>
      </c>
      <c r="G271" s="331" t="str">
        <f>IF($H271="","",IFERROR(INDEX('Game Records'!$M:$M,$H271),""))</f>
        <v/>
      </c>
      <c r="H271" s="104" t="str">
        <f>IF($H270="","",IFERROR(MATCH(1,INDEX((ROW('Game Records'!$U$5:$U$504)&gt;$H270)*(('Game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2" ht="24" customHeight="1">
      <c r="A272" s="332" t="str">
        <f>IF($H272="","",ROWS($A$5:A272))</f>
        <v/>
      </c>
      <c r="B272" s="332" t="str">
        <f>IF($H272="","","G-"&amp;TEXT($A272,"0000"))</f>
        <v/>
      </c>
      <c r="C272" s="331" t="str">
        <f>IF($H272="","",IFERROR(INDEX('Game Records'!$A:$A,$H272),""))</f>
        <v/>
      </c>
      <c r="D272" s="331" t="str">
        <f>IF($H272="","",IFERROR(INDEX('Game Records'!$U:$U,$H272),""))</f>
        <v/>
      </c>
      <c r="E272" s="331" t="str">
        <f>IF($H272="","",IF($F272="","No Highlighted Fields","Highlighted Fields Present"))</f>
        <v/>
      </c>
      <c r="F272" s="331" t="str">
        <f>IF($H272="","",IF(OR(NOT(ISFORMULA(INDEX('Game Records'!$N:$N,$H272))),NOT(ISFORMULA(INDEX('Game Records'!$O:$O,$H272))),NOT(ISFORMULA(INDEX('Game Records'!$P:$P,$H272))),NOT(ISFORMULA(INDEX('Game Records'!$Q:$Q,$H272))),NOT(ISFORMULA(INDEX('Game Records'!$R:$R,$H272))),NOT(ISFORMULA(INDEX('Game Records'!$S:$S,$H272))),NOT(ISFORMULA(INDEX('Game Records'!$T:$T,$H272))),NOT(ISFORMULA(INDEX('Game Records'!$U:$U,$H272))),NOT(ISFORMULA(INDEX('Game Records'!$V:$V,$H272))),NOT(ISFORMULA(INDEX('Game Records'!$W:$W,$H272))),NOT(ISFORMULA(INDEX('Game Records'!$X:$X,$H272))),NOT(ISFORMULA(INDEX('Game Records'!$Y:$Y,$H272))),NOT(ISFORMULA(INDEX('Game Records'!$Z:$Z,$H272)))),"Formula columns missing; ","")&amp;IF(INDEX('Game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Earned; ","")&amp;IF(AND(LOWER(INDEX('Game Records'!$D:$D,$H272)&amp;"")="finalized",INDEX('Game Records'!$U:$U,$H272)&lt;&gt;"Subscription",INDEX('Game Records'!$U:$U,$H272)&lt;&gt;"Free Game",INDEX('Game Records'!$U:$U,$H272)&lt;&gt;"Disqualified — Free Game",OR(INDEX('Game Records'!$L:$L,$H272)="",LOWER(INDEX('Game Records'!$L:$L,$H272)&amp;"")="n/a")),"Disqualified Status; ","")&amp;IF(AND(OR(INDEX('Game Records'!$U:$U,$H272)="Free Game",INDEX('Game Records'!$U:$U,$H272)="Disqualified — Free Game"),N(INDEX('Game Records'!$H:$H,$H272))&lt;&gt;0),"Free Game has a non-zero Entry Fee; ",""))</f>
        <v/>
      </c>
      <c r="G272" s="331" t="str">
        <f>IF($H272="","",IFERROR(INDEX('Game Records'!$M:$M,$H272),""))</f>
        <v/>
      </c>
      <c r="H272" s="104" t="str">
        <f>IF($H271="","",IFERROR(MATCH(1,INDEX((ROW('Game Records'!$U$5:$U$504)&gt;$H271)*(('Game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3" ht="24" customHeight="1">
      <c r="A273" s="332" t="str">
        <f>IF($H273="","",ROWS($A$5:A273))</f>
        <v/>
      </c>
      <c r="B273" s="332" t="str">
        <f>IF($H273="","","G-"&amp;TEXT($A273,"0000"))</f>
        <v/>
      </c>
      <c r="C273" s="331" t="str">
        <f>IF($H273="","",IFERROR(INDEX('Game Records'!$A:$A,$H273),""))</f>
        <v/>
      </c>
      <c r="D273" s="331" t="str">
        <f>IF($H273="","",IFERROR(INDEX('Game Records'!$U:$U,$H273),""))</f>
        <v/>
      </c>
      <c r="E273" s="331" t="str">
        <f>IF($H273="","",IF($F273="","No Highlighted Fields","Highlighted Fields Present"))</f>
        <v/>
      </c>
      <c r="F273" s="331" t="str">
        <f>IF($H273="","",IF(OR(NOT(ISFORMULA(INDEX('Game Records'!$N:$N,$H273))),NOT(ISFORMULA(INDEX('Game Records'!$O:$O,$H273))),NOT(ISFORMULA(INDEX('Game Records'!$P:$P,$H273))),NOT(ISFORMULA(INDEX('Game Records'!$Q:$Q,$H273))),NOT(ISFORMULA(INDEX('Game Records'!$R:$R,$H273))),NOT(ISFORMULA(INDEX('Game Records'!$S:$S,$H273))),NOT(ISFORMULA(INDEX('Game Records'!$T:$T,$H273))),NOT(ISFORMULA(INDEX('Game Records'!$U:$U,$H273))),NOT(ISFORMULA(INDEX('Game Records'!$V:$V,$H273))),NOT(ISFORMULA(INDEX('Game Records'!$W:$W,$H273))),NOT(ISFORMULA(INDEX('Game Records'!$X:$X,$H273))),NOT(ISFORMULA(INDEX('Game Records'!$Y:$Y,$H273))),NOT(ISFORMULA(INDEX('Game Records'!$Z:$Z,$H273)))),"Formula columns missing; ","")&amp;IF(INDEX('Game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Earned; ","")&amp;IF(AND(LOWER(INDEX('Game Records'!$D:$D,$H273)&amp;"")="finalized",INDEX('Game Records'!$U:$U,$H273)&lt;&gt;"Subscription",INDEX('Game Records'!$U:$U,$H273)&lt;&gt;"Free Game",INDEX('Game Records'!$U:$U,$H273)&lt;&gt;"Disqualified — Free Game",OR(INDEX('Game Records'!$L:$L,$H273)="",LOWER(INDEX('Game Records'!$L:$L,$H273)&amp;"")="n/a")),"Disqualified Status; ","")&amp;IF(AND(OR(INDEX('Game Records'!$U:$U,$H273)="Free Game",INDEX('Game Records'!$U:$U,$H273)="Disqualified — Free Game"),N(INDEX('Game Records'!$H:$H,$H273))&lt;&gt;0),"Free Game has a non-zero Entry Fee; ",""))</f>
        <v/>
      </c>
      <c r="G273" s="331" t="str">
        <f>IF($H273="","",IFERROR(INDEX('Game Records'!$M:$M,$H273),""))</f>
        <v/>
      </c>
      <c r="H273" s="104" t="str">
        <f>IF($H272="","",IFERROR(MATCH(1,INDEX((ROW('Game Records'!$U$5:$U$504)&gt;$H272)*(('Game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4" ht="24" customHeight="1">
      <c r="A274" s="332" t="str">
        <f>IF($H274="","",ROWS($A$5:A274))</f>
        <v/>
      </c>
      <c r="B274" s="332" t="str">
        <f>IF($H274="","","G-"&amp;TEXT($A274,"0000"))</f>
        <v/>
      </c>
      <c r="C274" s="331" t="str">
        <f>IF($H274="","",IFERROR(INDEX('Game Records'!$A:$A,$H274),""))</f>
        <v/>
      </c>
      <c r="D274" s="331" t="str">
        <f>IF($H274="","",IFERROR(INDEX('Game Records'!$U:$U,$H274),""))</f>
        <v/>
      </c>
      <c r="E274" s="331" t="str">
        <f>IF($H274="","",IF($F274="","No Highlighted Fields","Highlighted Fields Present"))</f>
        <v/>
      </c>
      <c r="F274" s="331" t="str">
        <f>IF($H274="","",IF(OR(NOT(ISFORMULA(INDEX('Game Records'!$N:$N,$H274))),NOT(ISFORMULA(INDEX('Game Records'!$O:$O,$H274))),NOT(ISFORMULA(INDEX('Game Records'!$P:$P,$H274))),NOT(ISFORMULA(INDEX('Game Records'!$Q:$Q,$H274))),NOT(ISFORMULA(INDEX('Game Records'!$R:$R,$H274))),NOT(ISFORMULA(INDEX('Game Records'!$S:$S,$H274))),NOT(ISFORMULA(INDEX('Game Records'!$T:$T,$H274))),NOT(ISFORMULA(INDEX('Game Records'!$U:$U,$H274))),NOT(ISFORMULA(INDEX('Game Records'!$V:$V,$H274))),NOT(ISFORMULA(INDEX('Game Records'!$W:$W,$H274))),NOT(ISFORMULA(INDEX('Game Records'!$X:$X,$H274))),NOT(ISFORMULA(INDEX('Game Records'!$Y:$Y,$H274))),NOT(ISFORMULA(INDEX('Game Records'!$Z:$Z,$H274)))),"Formula columns missing; ","")&amp;IF(INDEX('Game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Earned; ","")&amp;IF(AND(LOWER(INDEX('Game Records'!$D:$D,$H274)&amp;"")="finalized",INDEX('Game Records'!$U:$U,$H274)&lt;&gt;"Subscription",INDEX('Game Records'!$U:$U,$H274)&lt;&gt;"Free Game",INDEX('Game Records'!$U:$U,$H274)&lt;&gt;"Disqualified — Free Game",OR(INDEX('Game Records'!$L:$L,$H274)="",LOWER(INDEX('Game Records'!$L:$L,$H274)&amp;"")="n/a")),"Disqualified Status; ","")&amp;IF(AND(OR(INDEX('Game Records'!$U:$U,$H274)="Free Game",INDEX('Game Records'!$U:$U,$H274)="Disqualified — Free Game"),N(INDEX('Game Records'!$H:$H,$H274))&lt;&gt;0),"Free Game has a non-zero Entry Fee; ",""))</f>
        <v/>
      </c>
      <c r="G274" s="331" t="str">
        <f>IF($H274="","",IFERROR(INDEX('Game Records'!$M:$M,$H274),""))</f>
        <v/>
      </c>
      <c r="H274" s="104" t="str">
        <f>IF($H273="","",IFERROR(MATCH(1,INDEX((ROW('Game Records'!$U$5:$U$504)&gt;$H273)*(('Game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5" ht="24" customHeight="1">
      <c r="A275" s="332" t="str">
        <f>IF($H275="","",ROWS($A$5:A275))</f>
        <v/>
      </c>
      <c r="B275" s="332" t="str">
        <f>IF($H275="","","G-"&amp;TEXT($A275,"0000"))</f>
        <v/>
      </c>
      <c r="C275" s="331" t="str">
        <f>IF($H275="","",IFERROR(INDEX('Game Records'!$A:$A,$H275),""))</f>
        <v/>
      </c>
      <c r="D275" s="331" t="str">
        <f>IF($H275="","",IFERROR(INDEX('Game Records'!$U:$U,$H275),""))</f>
        <v/>
      </c>
      <c r="E275" s="331" t="str">
        <f>IF($H275="","",IF($F275="","No Highlighted Fields","Highlighted Fields Present"))</f>
        <v/>
      </c>
      <c r="F275" s="331" t="str">
        <f>IF($H275="","",IF(OR(NOT(ISFORMULA(INDEX('Game Records'!$N:$N,$H275))),NOT(ISFORMULA(INDEX('Game Records'!$O:$O,$H275))),NOT(ISFORMULA(INDEX('Game Records'!$P:$P,$H275))),NOT(ISFORMULA(INDEX('Game Records'!$Q:$Q,$H275))),NOT(ISFORMULA(INDEX('Game Records'!$R:$R,$H275))),NOT(ISFORMULA(INDEX('Game Records'!$S:$S,$H275))),NOT(ISFORMULA(INDEX('Game Records'!$T:$T,$H275))),NOT(ISFORMULA(INDEX('Game Records'!$U:$U,$H275))),NOT(ISFORMULA(INDEX('Game Records'!$V:$V,$H275))),NOT(ISFORMULA(INDEX('Game Records'!$W:$W,$H275))),NOT(ISFORMULA(INDEX('Game Records'!$X:$X,$H275))),NOT(ISFORMULA(INDEX('Game Records'!$Y:$Y,$H275))),NOT(ISFORMULA(INDEX('Game Records'!$Z:$Z,$H275)))),"Formula columns missing; ","")&amp;IF(INDEX('Game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Earned; ","")&amp;IF(AND(LOWER(INDEX('Game Records'!$D:$D,$H275)&amp;"")="finalized",INDEX('Game Records'!$U:$U,$H275)&lt;&gt;"Subscription",INDEX('Game Records'!$U:$U,$H275)&lt;&gt;"Free Game",INDEX('Game Records'!$U:$U,$H275)&lt;&gt;"Disqualified — Free Game",OR(INDEX('Game Records'!$L:$L,$H275)="",LOWER(INDEX('Game Records'!$L:$L,$H275)&amp;"")="n/a")),"Disqualified Status; ","")&amp;IF(AND(OR(INDEX('Game Records'!$U:$U,$H275)="Free Game",INDEX('Game Records'!$U:$U,$H275)="Disqualified — Free Game"),N(INDEX('Game Records'!$H:$H,$H275))&lt;&gt;0),"Free Game has a non-zero Entry Fee; ",""))</f>
        <v/>
      </c>
      <c r="G275" s="331" t="str">
        <f>IF($H275="","",IFERROR(INDEX('Game Records'!$M:$M,$H275),""))</f>
        <v/>
      </c>
      <c r="H275" s="104" t="str">
        <f>IF($H274="","",IFERROR(MATCH(1,INDEX((ROW('Game Records'!$U$5:$U$504)&gt;$H274)*(('Game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6" ht="24" customHeight="1">
      <c r="A276" s="332" t="str">
        <f>IF($H276="","",ROWS($A$5:A276))</f>
        <v/>
      </c>
      <c r="B276" s="332" t="str">
        <f>IF($H276="","","G-"&amp;TEXT($A276,"0000"))</f>
        <v/>
      </c>
      <c r="C276" s="331" t="str">
        <f>IF($H276="","",IFERROR(INDEX('Game Records'!$A:$A,$H276),""))</f>
        <v/>
      </c>
      <c r="D276" s="331" t="str">
        <f>IF($H276="","",IFERROR(INDEX('Game Records'!$U:$U,$H276),""))</f>
        <v/>
      </c>
      <c r="E276" s="331" t="str">
        <f>IF($H276="","",IF($F276="","No Highlighted Fields","Highlighted Fields Present"))</f>
        <v/>
      </c>
      <c r="F276" s="331" t="str">
        <f>IF($H276="","",IF(OR(NOT(ISFORMULA(INDEX('Game Records'!$N:$N,$H276))),NOT(ISFORMULA(INDEX('Game Records'!$O:$O,$H276))),NOT(ISFORMULA(INDEX('Game Records'!$P:$P,$H276))),NOT(ISFORMULA(INDEX('Game Records'!$Q:$Q,$H276))),NOT(ISFORMULA(INDEX('Game Records'!$R:$R,$H276))),NOT(ISFORMULA(INDEX('Game Records'!$S:$S,$H276))),NOT(ISFORMULA(INDEX('Game Records'!$T:$T,$H276))),NOT(ISFORMULA(INDEX('Game Records'!$U:$U,$H276))),NOT(ISFORMULA(INDEX('Game Records'!$V:$V,$H276))),NOT(ISFORMULA(INDEX('Game Records'!$W:$W,$H276))),NOT(ISFORMULA(INDEX('Game Records'!$X:$X,$H276))),NOT(ISFORMULA(INDEX('Game Records'!$Y:$Y,$H276))),NOT(ISFORMULA(INDEX('Game Records'!$Z:$Z,$H276)))),"Formula columns missing; ","")&amp;IF(INDEX('Game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Earned; ","")&amp;IF(AND(LOWER(INDEX('Game Records'!$D:$D,$H276)&amp;"")="finalized",INDEX('Game Records'!$U:$U,$H276)&lt;&gt;"Subscription",INDEX('Game Records'!$U:$U,$H276)&lt;&gt;"Free Game",INDEX('Game Records'!$U:$U,$H276)&lt;&gt;"Disqualified — Free Game",OR(INDEX('Game Records'!$L:$L,$H276)="",LOWER(INDEX('Game Records'!$L:$L,$H276)&amp;"")="n/a")),"Disqualified Status; ","")&amp;IF(AND(OR(INDEX('Game Records'!$U:$U,$H276)="Free Game",INDEX('Game Records'!$U:$U,$H276)="Disqualified — Free Game"),N(INDEX('Game Records'!$H:$H,$H276))&lt;&gt;0),"Free Game has a non-zero Entry Fee; ",""))</f>
        <v/>
      </c>
      <c r="G276" s="331" t="str">
        <f>IF($H276="","",IFERROR(INDEX('Game Records'!$M:$M,$H276),""))</f>
        <v/>
      </c>
      <c r="H276" s="104" t="str">
        <f>IF($H275="","",IFERROR(MATCH(1,INDEX((ROW('Game Records'!$U$5:$U$504)&gt;$H275)*(('Game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7" ht="24" customHeight="1">
      <c r="A277" s="332" t="str">
        <f>IF($H277="","",ROWS($A$5:A277))</f>
        <v/>
      </c>
      <c r="B277" s="332" t="str">
        <f>IF($H277="","","G-"&amp;TEXT($A277,"0000"))</f>
        <v/>
      </c>
      <c r="C277" s="331" t="str">
        <f>IF($H277="","",IFERROR(INDEX('Game Records'!$A:$A,$H277),""))</f>
        <v/>
      </c>
      <c r="D277" s="331" t="str">
        <f>IF($H277="","",IFERROR(INDEX('Game Records'!$U:$U,$H277),""))</f>
        <v/>
      </c>
      <c r="E277" s="331" t="str">
        <f>IF($H277="","",IF($F277="","No Highlighted Fields","Highlighted Fields Present"))</f>
        <v/>
      </c>
      <c r="F277" s="331" t="str">
        <f>IF($H277="","",IF(OR(NOT(ISFORMULA(INDEX('Game Records'!$N:$N,$H277))),NOT(ISFORMULA(INDEX('Game Records'!$O:$O,$H277))),NOT(ISFORMULA(INDEX('Game Records'!$P:$P,$H277))),NOT(ISFORMULA(INDEX('Game Records'!$Q:$Q,$H277))),NOT(ISFORMULA(INDEX('Game Records'!$R:$R,$H277))),NOT(ISFORMULA(INDEX('Game Records'!$S:$S,$H277))),NOT(ISFORMULA(INDEX('Game Records'!$T:$T,$H277))),NOT(ISFORMULA(INDEX('Game Records'!$U:$U,$H277))),NOT(ISFORMULA(INDEX('Game Records'!$V:$V,$H277))),NOT(ISFORMULA(INDEX('Game Records'!$W:$W,$H277))),NOT(ISFORMULA(INDEX('Game Records'!$X:$X,$H277))),NOT(ISFORMULA(INDEX('Game Records'!$Y:$Y,$H277))),NOT(ISFORMULA(INDEX('Game Records'!$Z:$Z,$H277)))),"Formula columns missing; ","")&amp;IF(INDEX('Game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Earned; ","")&amp;IF(AND(LOWER(INDEX('Game Records'!$D:$D,$H277)&amp;"")="finalized",INDEX('Game Records'!$U:$U,$H277)&lt;&gt;"Subscription",INDEX('Game Records'!$U:$U,$H277)&lt;&gt;"Free Game",INDEX('Game Records'!$U:$U,$H277)&lt;&gt;"Disqualified — Free Game",OR(INDEX('Game Records'!$L:$L,$H277)="",LOWER(INDEX('Game Records'!$L:$L,$H277)&amp;"")="n/a")),"Disqualified Status; ","")&amp;IF(AND(OR(INDEX('Game Records'!$U:$U,$H277)="Free Game",INDEX('Game Records'!$U:$U,$H277)="Disqualified — Free Game"),N(INDEX('Game Records'!$H:$H,$H277))&lt;&gt;0),"Free Game has a non-zero Entry Fee; ",""))</f>
        <v/>
      </c>
      <c r="G277" s="331" t="str">
        <f>IF($H277="","",IFERROR(INDEX('Game Records'!$M:$M,$H277),""))</f>
        <v/>
      </c>
      <c r="H277" s="104" t="str">
        <f>IF($H276="","",IFERROR(MATCH(1,INDEX((ROW('Game Records'!$U$5:$U$504)&gt;$H276)*(('Game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8" ht="24" customHeight="1">
      <c r="A278" s="332" t="str">
        <f>IF($H278="","",ROWS($A$5:A278))</f>
        <v/>
      </c>
      <c r="B278" s="332" t="str">
        <f>IF($H278="","","G-"&amp;TEXT($A278,"0000"))</f>
        <v/>
      </c>
      <c r="C278" s="331" t="str">
        <f>IF($H278="","",IFERROR(INDEX('Game Records'!$A:$A,$H278),""))</f>
        <v/>
      </c>
      <c r="D278" s="331" t="str">
        <f>IF($H278="","",IFERROR(INDEX('Game Records'!$U:$U,$H278),""))</f>
        <v/>
      </c>
      <c r="E278" s="331" t="str">
        <f>IF($H278="","",IF($F278="","No Highlighted Fields","Highlighted Fields Present"))</f>
        <v/>
      </c>
      <c r="F278" s="331" t="str">
        <f>IF($H278="","",IF(OR(NOT(ISFORMULA(INDEX('Game Records'!$N:$N,$H278))),NOT(ISFORMULA(INDEX('Game Records'!$O:$O,$H278))),NOT(ISFORMULA(INDEX('Game Records'!$P:$P,$H278))),NOT(ISFORMULA(INDEX('Game Records'!$Q:$Q,$H278))),NOT(ISFORMULA(INDEX('Game Records'!$R:$R,$H278))),NOT(ISFORMULA(INDEX('Game Records'!$S:$S,$H278))),NOT(ISFORMULA(INDEX('Game Records'!$T:$T,$H278))),NOT(ISFORMULA(INDEX('Game Records'!$U:$U,$H278))),NOT(ISFORMULA(INDEX('Game Records'!$V:$V,$H278))),NOT(ISFORMULA(INDEX('Game Records'!$W:$W,$H278))),NOT(ISFORMULA(INDEX('Game Records'!$X:$X,$H278))),NOT(ISFORMULA(INDEX('Game Records'!$Y:$Y,$H278))),NOT(ISFORMULA(INDEX('Game Records'!$Z:$Z,$H278)))),"Formula columns missing; ","")&amp;IF(INDEX('Game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Earned; ","")&amp;IF(AND(LOWER(INDEX('Game Records'!$D:$D,$H278)&amp;"")="finalized",INDEX('Game Records'!$U:$U,$H278)&lt;&gt;"Subscription",INDEX('Game Records'!$U:$U,$H278)&lt;&gt;"Free Game",INDEX('Game Records'!$U:$U,$H278)&lt;&gt;"Disqualified — Free Game",OR(INDEX('Game Records'!$L:$L,$H278)="",LOWER(INDEX('Game Records'!$L:$L,$H278)&amp;"")="n/a")),"Disqualified Status; ","")&amp;IF(AND(OR(INDEX('Game Records'!$U:$U,$H278)="Free Game",INDEX('Game Records'!$U:$U,$H278)="Disqualified — Free Game"),N(INDEX('Game Records'!$H:$H,$H278))&lt;&gt;0),"Free Game has a non-zero Entry Fee; ",""))</f>
        <v/>
      </c>
      <c r="G278" s="331" t="str">
        <f>IF($H278="","",IFERROR(INDEX('Game Records'!$M:$M,$H278),""))</f>
        <v/>
      </c>
      <c r="H278" s="104" t="str">
        <f>IF($H277="","",IFERROR(MATCH(1,INDEX((ROW('Game Records'!$U$5:$U$504)&gt;$H277)*(('Game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9" ht="24" customHeight="1">
      <c r="A279" s="332" t="str">
        <f>IF($H279="","",ROWS($A$5:A279))</f>
        <v/>
      </c>
      <c r="B279" s="332" t="str">
        <f>IF($H279="","","G-"&amp;TEXT($A279,"0000"))</f>
        <v/>
      </c>
      <c r="C279" s="331" t="str">
        <f>IF($H279="","",IFERROR(INDEX('Game Records'!$A:$A,$H279),""))</f>
        <v/>
      </c>
      <c r="D279" s="331" t="str">
        <f>IF($H279="","",IFERROR(INDEX('Game Records'!$U:$U,$H279),""))</f>
        <v/>
      </c>
      <c r="E279" s="331" t="str">
        <f>IF($H279="","",IF($F279="","No Highlighted Fields","Highlighted Fields Present"))</f>
        <v/>
      </c>
      <c r="F279" s="331" t="str">
        <f>IF($H279="","",IF(OR(NOT(ISFORMULA(INDEX('Game Records'!$N:$N,$H279))),NOT(ISFORMULA(INDEX('Game Records'!$O:$O,$H279))),NOT(ISFORMULA(INDEX('Game Records'!$P:$P,$H279))),NOT(ISFORMULA(INDEX('Game Records'!$Q:$Q,$H279))),NOT(ISFORMULA(INDEX('Game Records'!$R:$R,$H279))),NOT(ISFORMULA(INDEX('Game Records'!$S:$S,$H279))),NOT(ISFORMULA(INDEX('Game Records'!$T:$T,$H279))),NOT(ISFORMULA(INDEX('Game Records'!$U:$U,$H279))),NOT(ISFORMULA(INDEX('Game Records'!$V:$V,$H279))),NOT(ISFORMULA(INDEX('Game Records'!$W:$W,$H279))),NOT(ISFORMULA(INDEX('Game Records'!$X:$X,$H279))),NOT(ISFORMULA(INDEX('Game Records'!$Y:$Y,$H279))),NOT(ISFORMULA(INDEX('Game Records'!$Z:$Z,$H279)))),"Formula columns missing; ","")&amp;IF(INDEX('Game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Earned; ","")&amp;IF(AND(LOWER(INDEX('Game Records'!$D:$D,$H279)&amp;"")="finalized",INDEX('Game Records'!$U:$U,$H279)&lt;&gt;"Subscription",INDEX('Game Records'!$U:$U,$H279)&lt;&gt;"Free Game",INDEX('Game Records'!$U:$U,$H279)&lt;&gt;"Disqualified — Free Game",OR(INDEX('Game Records'!$L:$L,$H279)="",LOWER(INDEX('Game Records'!$L:$L,$H279)&amp;"")="n/a")),"Disqualified Status; ","")&amp;IF(AND(OR(INDEX('Game Records'!$U:$U,$H279)="Free Game",INDEX('Game Records'!$U:$U,$H279)="Disqualified — Free Game"),N(INDEX('Game Records'!$H:$H,$H279))&lt;&gt;0),"Free Game has a non-zero Entry Fee; ",""))</f>
        <v/>
      </c>
      <c r="G279" s="331" t="str">
        <f>IF($H279="","",IFERROR(INDEX('Game Records'!$M:$M,$H279),""))</f>
        <v/>
      </c>
      <c r="H279" s="104" t="str">
        <f>IF($H278="","",IFERROR(MATCH(1,INDEX((ROW('Game Records'!$U$5:$U$504)&gt;$H278)*(('Game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0" ht="24" customHeight="1">
      <c r="A280" s="332" t="str">
        <f>IF($H280="","",ROWS($A$5:A280))</f>
        <v/>
      </c>
      <c r="B280" s="332" t="str">
        <f>IF($H280="","","G-"&amp;TEXT($A280,"0000"))</f>
        <v/>
      </c>
      <c r="C280" s="331" t="str">
        <f>IF($H280="","",IFERROR(INDEX('Game Records'!$A:$A,$H280),""))</f>
        <v/>
      </c>
      <c r="D280" s="331" t="str">
        <f>IF($H280="","",IFERROR(INDEX('Game Records'!$U:$U,$H280),""))</f>
        <v/>
      </c>
      <c r="E280" s="331" t="str">
        <f>IF($H280="","",IF($F280="","No Highlighted Fields","Highlighted Fields Present"))</f>
        <v/>
      </c>
      <c r="F280" s="331" t="str">
        <f>IF($H280="","",IF(OR(NOT(ISFORMULA(INDEX('Game Records'!$N:$N,$H280))),NOT(ISFORMULA(INDEX('Game Records'!$O:$O,$H280))),NOT(ISFORMULA(INDEX('Game Records'!$P:$P,$H280))),NOT(ISFORMULA(INDEX('Game Records'!$Q:$Q,$H280))),NOT(ISFORMULA(INDEX('Game Records'!$R:$R,$H280))),NOT(ISFORMULA(INDEX('Game Records'!$S:$S,$H280))),NOT(ISFORMULA(INDEX('Game Records'!$T:$T,$H280))),NOT(ISFORMULA(INDEX('Game Records'!$U:$U,$H280))),NOT(ISFORMULA(INDEX('Game Records'!$V:$V,$H280))),NOT(ISFORMULA(INDEX('Game Records'!$W:$W,$H280))),NOT(ISFORMULA(INDEX('Game Records'!$X:$X,$H280))),NOT(ISFORMULA(INDEX('Game Records'!$Y:$Y,$H280))),NOT(ISFORMULA(INDEX('Game Records'!$Z:$Z,$H280)))),"Formula columns missing; ","")&amp;IF(INDEX('Game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Earned; ","")&amp;IF(AND(LOWER(INDEX('Game Records'!$D:$D,$H280)&amp;"")="finalized",INDEX('Game Records'!$U:$U,$H280)&lt;&gt;"Subscription",INDEX('Game Records'!$U:$U,$H280)&lt;&gt;"Free Game",INDEX('Game Records'!$U:$U,$H280)&lt;&gt;"Disqualified — Free Game",OR(INDEX('Game Records'!$L:$L,$H280)="",LOWER(INDEX('Game Records'!$L:$L,$H280)&amp;"")="n/a")),"Disqualified Status; ","")&amp;IF(AND(OR(INDEX('Game Records'!$U:$U,$H280)="Free Game",INDEX('Game Records'!$U:$U,$H280)="Disqualified — Free Game"),N(INDEX('Game Records'!$H:$H,$H280))&lt;&gt;0),"Free Game has a non-zero Entry Fee; ",""))</f>
        <v/>
      </c>
      <c r="G280" s="331" t="str">
        <f>IF($H280="","",IFERROR(INDEX('Game Records'!$M:$M,$H280),""))</f>
        <v/>
      </c>
      <c r="H280" s="104" t="str">
        <f>IF($H279="","",IFERROR(MATCH(1,INDEX((ROW('Game Records'!$U$5:$U$504)&gt;$H279)*(('Game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1" ht="24" customHeight="1">
      <c r="A281" s="332" t="str">
        <f>IF($H281="","",ROWS($A$5:A281))</f>
        <v/>
      </c>
      <c r="B281" s="332" t="str">
        <f>IF($H281="","","G-"&amp;TEXT($A281,"0000"))</f>
        <v/>
      </c>
      <c r="C281" s="331" t="str">
        <f>IF($H281="","",IFERROR(INDEX('Game Records'!$A:$A,$H281),""))</f>
        <v/>
      </c>
      <c r="D281" s="331" t="str">
        <f>IF($H281="","",IFERROR(INDEX('Game Records'!$U:$U,$H281),""))</f>
        <v/>
      </c>
      <c r="E281" s="331" t="str">
        <f>IF($H281="","",IF($F281="","No Highlighted Fields","Highlighted Fields Present"))</f>
        <v/>
      </c>
      <c r="F281" s="331" t="str">
        <f>IF($H281="","",IF(OR(NOT(ISFORMULA(INDEX('Game Records'!$N:$N,$H281))),NOT(ISFORMULA(INDEX('Game Records'!$O:$O,$H281))),NOT(ISFORMULA(INDEX('Game Records'!$P:$P,$H281))),NOT(ISFORMULA(INDEX('Game Records'!$Q:$Q,$H281))),NOT(ISFORMULA(INDEX('Game Records'!$R:$R,$H281))),NOT(ISFORMULA(INDEX('Game Records'!$S:$S,$H281))),NOT(ISFORMULA(INDEX('Game Records'!$T:$T,$H281))),NOT(ISFORMULA(INDEX('Game Records'!$U:$U,$H281))),NOT(ISFORMULA(INDEX('Game Records'!$V:$V,$H281))),NOT(ISFORMULA(INDEX('Game Records'!$W:$W,$H281))),NOT(ISFORMULA(INDEX('Game Records'!$X:$X,$H281))),NOT(ISFORMULA(INDEX('Game Records'!$Y:$Y,$H281))),NOT(ISFORMULA(INDEX('Game Records'!$Z:$Z,$H281)))),"Formula columns missing; ","")&amp;IF(INDEX('Game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Earned; ","")&amp;IF(AND(LOWER(INDEX('Game Records'!$D:$D,$H281)&amp;"")="finalized",INDEX('Game Records'!$U:$U,$H281)&lt;&gt;"Subscription",INDEX('Game Records'!$U:$U,$H281)&lt;&gt;"Free Game",INDEX('Game Records'!$U:$U,$H281)&lt;&gt;"Disqualified — Free Game",OR(INDEX('Game Records'!$L:$L,$H281)="",LOWER(INDEX('Game Records'!$L:$L,$H281)&amp;"")="n/a")),"Disqualified Status; ","")&amp;IF(AND(OR(INDEX('Game Records'!$U:$U,$H281)="Free Game",INDEX('Game Records'!$U:$U,$H281)="Disqualified — Free Game"),N(INDEX('Game Records'!$H:$H,$H281))&lt;&gt;0),"Free Game has a non-zero Entry Fee; ",""))</f>
        <v/>
      </c>
      <c r="G281" s="331" t="str">
        <f>IF($H281="","",IFERROR(INDEX('Game Records'!$M:$M,$H281),""))</f>
        <v/>
      </c>
      <c r="H281" s="104" t="str">
        <f>IF($H280="","",IFERROR(MATCH(1,INDEX((ROW('Game Records'!$U$5:$U$504)&gt;$H280)*(('Game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2" ht="24" customHeight="1">
      <c r="A282" s="332" t="str">
        <f>IF($H282="","",ROWS($A$5:A282))</f>
        <v/>
      </c>
      <c r="B282" s="332" t="str">
        <f>IF($H282="","","G-"&amp;TEXT($A282,"0000"))</f>
        <v/>
      </c>
      <c r="C282" s="331" t="str">
        <f>IF($H282="","",IFERROR(INDEX('Game Records'!$A:$A,$H282),""))</f>
        <v/>
      </c>
      <c r="D282" s="331" t="str">
        <f>IF($H282="","",IFERROR(INDEX('Game Records'!$U:$U,$H282),""))</f>
        <v/>
      </c>
      <c r="E282" s="331" t="str">
        <f>IF($H282="","",IF($F282="","No Highlighted Fields","Highlighted Fields Present"))</f>
        <v/>
      </c>
      <c r="F282" s="331" t="str">
        <f>IF($H282="","",IF(OR(NOT(ISFORMULA(INDEX('Game Records'!$N:$N,$H282))),NOT(ISFORMULA(INDEX('Game Records'!$O:$O,$H282))),NOT(ISFORMULA(INDEX('Game Records'!$P:$P,$H282))),NOT(ISFORMULA(INDEX('Game Records'!$Q:$Q,$H282))),NOT(ISFORMULA(INDEX('Game Records'!$R:$R,$H282))),NOT(ISFORMULA(INDEX('Game Records'!$S:$S,$H282))),NOT(ISFORMULA(INDEX('Game Records'!$T:$T,$H282))),NOT(ISFORMULA(INDEX('Game Records'!$U:$U,$H282))),NOT(ISFORMULA(INDEX('Game Records'!$V:$V,$H282))),NOT(ISFORMULA(INDEX('Game Records'!$W:$W,$H282))),NOT(ISFORMULA(INDEX('Game Records'!$X:$X,$H282))),NOT(ISFORMULA(INDEX('Game Records'!$Y:$Y,$H282))),NOT(ISFORMULA(INDEX('Game Records'!$Z:$Z,$H282)))),"Formula columns missing; ","")&amp;IF(INDEX('Game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Earned; ","")&amp;IF(AND(LOWER(INDEX('Game Records'!$D:$D,$H282)&amp;"")="finalized",INDEX('Game Records'!$U:$U,$H282)&lt;&gt;"Subscription",INDEX('Game Records'!$U:$U,$H282)&lt;&gt;"Free Game",INDEX('Game Records'!$U:$U,$H282)&lt;&gt;"Disqualified — Free Game",OR(INDEX('Game Records'!$L:$L,$H282)="",LOWER(INDEX('Game Records'!$L:$L,$H282)&amp;"")="n/a")),"Disqualified Status; ","")&amp;IF(AND(OR(INDEX('Game Records'!$U:$U,$H282)="Free Game",INDEX('Game Records'!$U:$U,$H282)="Disqualified — Free Game"),N(INDEX('Game Records'!$H:$H,$H282))&lt;&gt;0),"Free Game has a non-zero Entry Fee; ",""))</f>
        <v/>
      </c>
      <c r="G282" s="331" t="str">
        <f>IF($H282="","",IFERROR(INDEX('Game Records'!$M:$M,$H282),""))</f>
        <v/>
      </c>
      <c r="H282" s="104" t="str">
        <f>IF($H281="","",IFERROR(MATCH(1,INDEX((ROW('Game Records'!$U$5:$U$504)&gt;$H281)*(('Game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3" ht="24" customHeight="1">
      <c r="A283" s="332" t="str">
        <f>IF($H283="","",ROWS($A$5:A283))</f>
        <v/>
      </c>
      <c r="B283" s="332" t="str">
        <f>IF($H283="","","G-"&amp;TEXT($A283,"0000"))</f>
        <v/>
      </c>
      <c r="C283" s="331" t="str">
        <f>IF($H283="","",IFERROR(INDEX('Game Records'!$A:$A,$H283),""))</f>
        <v/>
      </c>
      <c r="D283" s="331" t="str">
        <f>IF($H283="","",IFERROR(INDEX('Game Records'!$U:$U,$H283),""))</f>
        <v/>
      </c>
      <c r="E283" s="331" t="str">
        <f>IF($H283="","",IF($F283="","No Highlighted Fields","Highlighted Fields Present"))</f>
        <v/>
      </c>
      <c r="F283" s="331" t="str">
        <f>IF($H283="","",IF(OR(NOT(ISFORMULA(INDEX('Game Records'!$N:$N,$H283))),NOT(ISFORMULA(INDEX('Game Records'!$O:$O,$H283))),NOT(ISFORMULA(INDEX('Game Records'!$P:$P,$H283))),NOT(ISFORMULA(INDEX('Game Records'!$Q:$Q,$H283))),NOT(ISFORMULA(INDEX('Game Records'!$R:$R,$H283))),NOT(ISFORMULA(INDEX('Game Records'!$S:$S,$H283))),NOT(ISFORMULA(INDEX('Game Records'!$T:$T,$H283))),NOT(ISFORMULA(INDEX('Game Records'!$U:$U,$H283))),NOT(ISFORMULA(INDEX('Game Records'!$V:$V,$H283))),NOT(ISFORMULA(INDEX('Game Records'!$W:$W,$H283))),NOT(ISFORMULA(INDEX('Game Records'!$X:$X,$H283))),NOT(ISFORMULA(INDEX('Game Records'!$Y:$Y,$H283))),NOT(ISFORMULA(INDEX('Game Records'!$Z:$Z,$H283)))),"Formula columns missing; ","")&amp;IF(INDEX('Game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Earned; ","")&amp;IF(AND(LOWER(INDEX('Game Records'!$D:$D,$H283)&amp;"")="finalized",INDEX('Game Records'!$U:$U,$H283)&lt;&gt;"Subscription",INDEX('Game Records'!$U:$U,$H283)&lt;&gt;"Free Game",INDEX('Game Records'!$U:$U,$H283)&lt;&gt;"Disqualified — Free Game",OR(INDEX('Game Records'!$L:$L,$H283)="",LOWER(INDEX('Game Records'!$L:$L,$H283)&amp;"")="n/a")),"Disqualified Status; ","")&amp;IF(AND(OR(INDEX('Game Records'!$U:$U,$H283)="Free Game",INDEX('Game Records'!$U:$U,$H283)="Disqualified — Free Game"),N(INDEX('Game Records'!$H:$H,$H283))&lt;&gt;0),"Free Game has a non-zero Entry Fee; ",""))</f>
        <v/>
      </c>
      <c r="G283" s="331" t="str">
        <f>IF($H283="","",IFERROR(INDEX('Game Records'!$M:$M,$H283),""))</f>
        <v/>
      </c>
      <c r="H283" s="104" t="str">
        <f>IF($H282="","",IFERROR(MATCH(1,INDEX((ROW('Game Records'!$U$5:$U$504)&gt;$H282)*(('Game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4" ht="24" customHeight="1">
      <c r="A284" s="332" t="str">
        <f>IF($H284="","",ROWS($A$5:A284))</f>
        <v/>
      </c>
      <c r="B284" s="332" t="str">
        <f>IF($H284="","","G-"&amp;TEXT($A284,"0000"))</f>
        <v/>
      </c>
      <c r="C284" s="331" t="str">
        <f>IF($H284="","",IFERROR(INDEX('Game Records'!$A:$A,$H284),""))</f>
        <v/>
      </c>
      <c r="D284" s="331" t="str">
        <f>IF($H284="","",IFERROR(INDEX('Game Records'!$U:$U,$H284),""))</f>
        <v/>
      </c>
      <c r="E284" s="331" t="str">
        <f>IF($H284="","",IF($F284="","No Highlighted Fields","Highlighted Fields Present"))</f>
        <v/>
      </c>
      <c r="F284" s="331" t="str">
        <f>IF($H284="","",IF(OR(NOT(ISFORMULA(INDEX('Game Records'!$N:$N,$H284))),NOT(ISFORMULA(INDEX('Game Records'!$O:$O,$H284))),NOT(ISFORMULA(INDEX('Game Records'!$P:$P,$H284))),NOT(ISFORMULA(INDEX('Game Records'!$Q:$Q,$H284))),NOT(ISFORMULA(INDEX('Game Records'!$R:$R,$H284))),NOT(ISFORMULA(INDEX('Game Records'!$S:$S,$H284))),NOT(ISFORMULA(INDEX('Game Records'!$T:$T,$H284))),NOT(ISFORMULA(INDEX('Game Records'!$U:$U,$H284))),NOT(ISFORMULA(INDEX('Game Records'!$V:$V,$H284))),NOT(ISFORMULA(INDEX('Game Records'!$W:$W,$H284))),NOT(ISFORMULA(INDEX('Game Records'!$X:$X,$H284))),NOT(ISFORMULA(INDEX('Game Records'!$Y:$Y,$H284))),NOT(ISFORMULA(INDEX('Game Records'!$Z:$Z,$H284)))),"Formula columns missing; ","")&amp;IF(INDEX('Game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Earned; ","")&amp;IF(AND(LOWER(INDEX('Game Records'!$D:$D,$H284)&amp;"")="finalized",INDEX('Game Records'!$U:$U,$H284)&lt;&gt;"Subscription",INDEX('Game Records'!$U:$U,$H284)&lt;&gt;"Free Game",INDEX('Game Records'!$U:$U,$H284)&lt;&gt;"Disqualified — Free Game",OR(INDEX('Game Records'!$L:$L,$H284)="",LOWER(INDEX('Game Records'!$L:$L,$H284)&amp;"")="n/a")),"Disqualified Status; ","")&amp;IF(AND(OR(INDEX('Game Records'!$U:$U,$H284)="Free Game",INDEX('Game Records'!$U:$U,$H284)="Disqualified — Free Game"),N(INDEX('Game Records'!$H:$H,$H284))&lt;&gt;0),"Free Game has a non-zero Entry Fee; ",""))</f>
        <v/>
      </c>
      <c r="G284" s="331" t="str">
        <f>IF($H284="","",IFERROR(INDEX('Game Records'!$M:$M,$H284),""))</f>
        <v/>
      </c>
      <c r="H284" s="104" t="str">
        <f>IF($H283="","",IFERROR(MATCH(1,INDEX((ROW('Game Records'!$U$5:$U$504)&gt;$H283)*(('Game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5" ht="24" customHeight="1">
      <c r="A285" s="332" t="str">
        <f>IF($H285="","",ROWS($A$5:A285))</f>
        <v/>
      </c>
      <c r="B285" s="332" t="str">
        <f>IF($H285="","","G-"&amp;TEXT($A285,"0000"))</f>
        <v/>
      </c>
      <c r="C285" s="331" t="str">
        <f>IF($H285="","",IFERROR(INDEX('Game Records'!$A:$A,$H285),""))</f>
        <v/>
      </c>
      <c r="D285" s="331" t="str">
        <f>IF($H285="","",IFERROR(INDEX('Game Records'!$U:$U,$H285),""))</f>
        <v/>
      </c>
      <c r="E285" s="331" t="str">
        <f>IF($H285="","",IF($F285="","No Highlighted Fields","Highlighted Fields Present"))</f>
        <v/>
      </c>
      <c r="F285" s="331" t="str">
        <f>IF($H285="","",IF(OR(NOT(ISFORMULA(INDEX('Game Records'!$N:$N,$H285))),NOT(ISFORMULA(INDEX('Game Records'!$O:$O,$H285))),NOT(ISFORMULA(INDEX('Game Records'!$P:$P,$H285))),NOT(ISFORMULA(INDEX('Game Records'!$Q:$Q,$H285))),NOT(ISFORMULA(INDEX('Game Records'!$R:$R,$H285))),NOT(ISFORMULA(INDEX('Game Records'!$S:$S,$H285))),NOT(ISFORMULA(INDEX('Game Records'!$T:$T,$H285))),NOT(ISFORMULA(INDEX('Game Records'!$U:$U,$H285))),NOT(ISFORMULA(INDEX('Game Records'!$V:$V,$H285))),NOT(ISFORMULA(INDEX('Game Records'!$W:$W,$H285))),NOT(ISFORMULA(INDEX('Game Records'!$X:$X,$H285))),NOT(ISFORMULA(INDEX('Game Records'!$Y:$Y,$H285))),NOT(ISFORMULA(INDEX('Game Records'!$Z:$Z,$H285)))),"Formula columns missing; ","")&amp;IF(INDEX('Game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Earned; ","")&amp;IF(AND(LOWER(INDEX('Game Records'!$D:$D,$H285)&amp;"")="finalized",INDEX('Game Records'!$U:$U,$H285)&lt;&gt;"Subscription",INDEX('Game Records'!$U:$U,$H285)&lt;&gt;"Free Game",INDEX('Game Records'!$U:$U,$H285)&lt;&gt;"Disqualified — Free Game",OR(INDEX('Game Records'!$L:$L,$H285)="",LOWER(INDEX('Game Records'!$L:$L,$H285)&amp;"")="n/a")),"Disqualified Status; ","")&amp;IF(AND(OR(INDEX('Game Records'!$U:$U,$H285)="Free Game",INDEX('Game Records'!$U:$U,$H285)="Disqualified — Free Game"),N(INDEX('Game Records'!$H:$H,$H285))&lt;&gt;0),"Free Game has a non-zero Entry Fee; ",""))</f>
        <v/>
      </c>
      <c r="G285" s="331" t="str">
        <f>IF($H285="","",IFERROR(INDEX('Game Records'!$M:$M,$H285),""))</f>
        <v/>
      </c>
      <c r="H285" s="104" t="str">
        <f>IF($H284="","",IFERROR(MATCH(1,INDEX((ROW('Game Records'!$U$5:$U$504)&gt;$H284)*(('Game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6" ht="24" customHeight="1">
      <c r="A286" s="332" t="str">
        <f>IF($H286="","",ROWS($A$5:A286))</f>
        <v/>
      </c>
      <c r="B286" s="332" t="str">
        <f>IF($H286="","","G-"&amp;TEXT($A286,"0000"))</f>
        <v/>
      </c>
      <c r="C286" s="331" t="str">
        <f>IF($H286="","",IFERROR(INDEX('Game Records'!$A:$A,$H286),""))</f>
        <v/>
      </c>
      <c r="D286" s="331" t="str">
        <f>IF($H286="","",IFERROR(INDEX('Game Records'!$U:$U,$H286),""))</f>
        <v/>
      </c>
      <c r="E286" s="331" t="str">
        <f>IF($H286="","",IF($F286="","No Highlighted Fields","Highlighted Fields Present"))</f>
        <v/>
      </c>
      <c r="F286" s="331" t="str">
        <f>IF($H286="","",IF(OR(NOT(ISFORMULA(INDEX('Game Records'!$N:$N,$H286))),NOT(ISFORMULA(INDEX('Game Records'!$O:$O,$H286))),NOT(ISFORMULA(INDEX('Game Records'!$P:$P,$H286))),NOT(ISFORMULA(INDEX('Game Records'!$Q:$Q,$H286))),NOT(ISFORMULA(INDEX('Game Records'!$R:$R,$H286))),NOT(ISFORMULA(INDEX('Game Records'!$S:$S,$H286))),NOT(ISFORMULA(INDEX('Game Records'!$T:$T,$H286))),NOT(ISFORMULA(INDEX('Game Records'!$U:$U,$H286))),NOT(ISFORMULA(INDEX('Game Records'!$V:$V,$H286))),NOT(ISFORMULA(INDEX('Game Records'!$W:$W,$H286))),NOT(ISFORMULA(INDEX('Game Records'!$X:$X,$H286))),NOT(ISFORMULA(INDEX('Game Records'!$Y:$Y,$H286))),NOT(ISFORMULA(INDEX('Game Records'!$Z:$Z,$H286)))),"Formula columns missing; ","")&amp;IF(INDEX('Game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Earned; ","")&amp;IF(AND(LOWER(INDEX('Game Records'!$D:$D,$H286)&amp;"")="finalized",INDEX('Game Records'!$U:$U,$H286)&lt;&gt;"Subscription",INDEX('Game Records'!$U:$U,$H286)&lt;&gt;"Free Game",INDEX('Game Records'!$U:$U,$H286)&lt;&gt;"Disqualified — Free Game",OR(INDEX('Game Records'!$L:$L,$H286)="",LOWER(INDEX('Game Records'!$L:$L,$H286)&amp;"")="n/a")),"Disqualified Status; ","")&amp;IF(AND(OR(INDEX('Game Records'!$U:$U,$H286)="Free Game",INDEX('Game Records'!$U:$U,$H286)="Disqualified — Free Game"),N(INDEX('Game Records'!$H:$H,$H286))&lt;&gt;0),"Free Game has a non-zero Entry Fee; ",""))</f>
        <v/>
      </c>
      <c r="G286" s="331" t="str">
        <f>IF($H286="","",IFERROR(INDEX('Game Records'!$M:$M,$H286),""))</f>
        <v/>
      </c>
      <c r="H286" s="104" t="str">
        <f>IF($H285="","",IFERROR(MATCH(1,INDEX((ROW('Game Records'!$U$5:$U$504)&gt;$H285)*(('Game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7" ht="24" customHeight="1">
      <c r="A287" s="332" t="str">
        <f>IF($H287="","",ROWS($A$5:A287))</f>
        <v/>
      </c>
      <c r="B287" s="332" t="str">
        <f>IF($H287="","","G-"&amp;TEXT($A287,"0000"))</f>
        <v/>
      </c>
      <c r="C287" s="331" t="str">
        <f>IF($H287="","",IFERROR(INDEX('Game Records'!$A:$A,$H287),""))</f>
        <v/>
      </c>
      <c r="D287" s="331" t="str">
        <f>IF($H287="","",IFERROR(INDEX('Game Records'!$U:$U,$H287),""))</f>
        <v/>
      </c>
      <c r="E287" s="331" t="str">
        <f>IF($H287="","",IF($F287="","No Highlighted Fields","Highlighted Fields Present"))</f>
        <v/>
      </c>
      <c r="F287" s="331" t="str">
        <f>IF($H287="","",IF(OR(NOT(ISFORMULA(INDEX('Game Records'!$N:$N,$H287))),NOT(ISFORMULA(INDEX('Game Records'!$O:$O,$H287))),NOT(ISFORMULA(INDEX('Game Records'!$P:$P,$H287))),NOT(ISFORMULA(INDEX('Game Records'!$Q:$Q,$H287))),NOT(ISFORMULA(INDEX('Game Records'!$R:$R,$H287))),NOT(ISFORMULA(INDEX('Game Records'!$S:$S,$H287))),NOT(ISFORMULA(INDEX('Game Records'!$T:$T,$H287))),NOT(ISFORMULA(INDEX('Game Records'!$U:$U,$H287))),NOT(ISFORMULA(INDEX('Game Records'!$V:$V,$H287))),NOT(ISFORMULA(INDEX('Game Records'!$W:$W,$H287))),NOT(ISFORMULA(INDEX('Game Records'!$X:$X,$H287))),NOT(ISFORMULA(INDEX('Game Records'!$Y:$Y,$H287))),NOT(ISFORMULA(INDEX('Game Records'!$Z:$Z,$H287)))),"Formula columns missing; ","")&amp;IF(INDEX('Game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Earned; ","")&amp;IF(AND(LOWER(INDEX('Game Records'!$D:$D,$H287)&amp;"")="finalized",INDEX('Game Records'!$U:$U,$H287)&lt;&gt;"Subscription",INDEX('Game Records'!$U:$U,$H287)&lt;&gt;"Free Game",INDEX('Game Records'!$U:$U,$H287)&lt;&gt;"Disqualified — Free Game",OR(INDEX('Game Records'!$L:$L,$H287)="",LOWER(INDEX('Game Records'!$L:$L,$H287)&amp;"")="n/a")),"Disqualified Status; ","")&amp;IF(AND(OR(INDEX('Game Records'!$U:$U,$H287)="Free Game",INDEX('Game Records'!$U:$U,$H287)="Disqualified — Free Game"),N(INDEX('Game Records'!$H:$H,$H287))&lt;&gt;0),"Free Game has a non-zero Entry Fee; ",""))</f>
        <v/>
      </c>
      <c r="G287" s="331" t="str">
        <f>IF($H287="","",IFERROR(INDEX('Game Records'!$M:$M,$H287),""))</f>
        <v/>
      </c>
      <c r="H287" s="104" t="str">
        <f>IF($H286="","",IFERROR(MATCH(1,INDEX((ROW('Game Records'!$U$5:$U$504)&gt;$H286)*(('Game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8" ht="24" customHeight="1">
      <c r="A288" s="332" t="str">
        <f>IF($H288="","",ROWS($A$5:A288))</f>
        <v/>
      </c>
      <c r="B288" s="332" t="str">
        <f>IF($H288="","","G-"&amp;TEXT($A288,"0000"))</f>
        <v/>
      </c>
      <c r="C288" s="331" t="str">
        <f>IF($H288="","",IFERROR(INDEX('Game Records'!$A:$A,$H288),""))</f>
        <v/>
      </c>
      <c r="D288" s="331" t="str">
        <f>IF($H288="","",IFERROR(INDEX('Game Records'!$U:$U,$H288),""))</f>
        <v/>
      </c>
      <c r="E288" s="331" t="str">
        <f>IF($H288="","",IF($F288="","No Highlighted Fields","Highlighted Fields Present"))</f>
        <v/>
      </c>
      <c r="F288" s="331" t="str">
        <f>IF($H288="","",IF(OR(NOT(ISFORMULA(INDEX('Game Records'!$N:$N,$H288))),NOT(ISFORMULA(INDEX('Game Records'!$O:$O,$H288))),NOT(ISFORMULA(INDEX('Game Records'!$P:$P,$H288))),NOT(ISFORMULA(INDEX('Game Records'!$Q:$Q,$H288))),NOT(ISFORMULA(INDEX('Game Records'!$R:$R,$H288))),NOT(ISFORMULA(INDEX('Game Records'!$S:$S,$H288))),NOT(ISFORMULA(INDEX('Game Records'!$T:$T,$H288))),NOT(ISFORMULA(INDEX('Game Records'!$U:$U,$H288))),NOT(ISFORMULA(INDEX('Game Records'!$V:$V,$H288))),NOT(ISFORMULA(INDEX('Game Records'!$W:$W,$H288))),NOT(ISFORMULA(INDEX('Game Records'!$X:$X,$H288))),NOT(ISFORMULA(INDEX('Game Records'!$Y:$Y,$H288))),NOT(ISFORMULA(INDEX('Game Records'!$Z:$Z,$H288)))),"Formula columns missing; ","")&amp;IF(INDEX('Game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Earned; ","")&amp;IF(AND(LOWER(INDEX('Game Records'!$D:$D,$H288)&amp;"")="finalized",INDEX('Game Records'!$U:$U,$H288)&lt;&gt;"Subscription",INDEX('Game Records'!$U:$U,$H288)&lt;&gt;"Free Game",INDEX('Game Records'!$U:$U,$H288)&lt;&gt;"Disqualified — Free Game",OR(INDEX('Game Records'!$L:$L,$H288)="",LOWER(INDEX('Game Records'!$L:$L,$H288)&amp;"")="n/a")),"Disqualified Status; ","")&amp;IF(AND(OR(INDEX('Game Records'!$U:$U,$H288)="Free Game",INDEX('Game Records'!$U:$U,$H288)="Disqualified — Free Game"),N(INDEX('Game Records'!$H:$H,$H288))&lt;&gt;0),"Free Game has a non-zero Entry Fee; ",""))</f>
        <v/>
      </c>
      <c r="G288" s="331" t="str">
        <f>IF($H288="","",IFERROR(INDEX('Game Records'!$M:$M,$H288),""))</f>
        <v/>
      </c>
      <c r="H288" s="104" t="str">
        <f>IF($H287="","",IFERROR(MATCH(1,INDEX((ROW('Game Records'!$U$5:$U$504)&gt;$H287)*(('Game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9" ht="24" customHeight="1">
      <c r="A289" s="332" t="str">
        <f>IF($H289="","",ROWS($A$5:A289))</f>
        <v/>
      </c>
      <c r="B289" s="332" t="str">
        <f>IF($H289="","","G-"&amp;TEXT($A289,"0000"))</f>
        <v/>
      </c>
      <c r="C289" s="331" t="str">
        <f>IF($H289="","",IFERROR(INDEX('Game Records'!$A:$A,$H289),""))</f>
        <v/>
      </c>
      <c r="D289" s="331" t="str">
        <f>IF($H289="","",IFERROR(INDEX('Game Records'!$U:$U,$H289),""))</f>
        <v/>
      </c>
      <c r="E289" s="331" t="str">
        <f>IF($H289="","",IF($F289="","No Highlighted Fields","Highlighted Fields Present"))</f>
        <v/>
      </c>
      <c r="F289" s="331" t="str">
        <f>IF($H289="","",IF(OR(NOT(ISFORMULA(INDEX('Game Records'!$N:$N,$H289))),NOT(ISFORMULA(INDEX('Game Records'!$O:$O,$H289))),NOT(ISFORMULA(INDEX('Game Records'!$P:$P,$H289))),NOT(ISFORMULA(INDEX('Game Records'!$Q:$Q,$H289))),NOT(ISFORMULA(INDEX('Game Records'!$R:$R,$H289))),NOT(ISFORMULA(INDEX('Game Records'!$S:$S,$H289))),NOT(ISFORMULA(INDEX('Game Records'!$T:$T,$H289))),NOT(ISFORMULA(INDEX('Game Records'!$U:$U,$H289))),NOT(ISFORMULA(INDEX('Game Records'!$V:$V,$H289))),NOT(ISFORMULA(INDEX('Game Records'!$W:$W,$H289))),NOT(ISFORMULA(INDEX('Game Records'!$X:$X,$H289))),NOT(ISFORMULA(INDEX('Game Records'!$Y:$Y,$H289))),NOT(ISFORMULA(INDEX('Game Records'!$Z:$Z,$H289)))),"Formula columns missing; ","")&amp;IF(INDEX('Game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Earned; ","")&amp;IF(AND(LOWER(INDEX('Game Records'!$D:$D,$H289)&amp;"")="finalized",INDEX('Game Records'!$U:$U,$H289)&lt;&gt;"Subscription",INDEX('Game Records'!$U:$U,$H289)&lt;&gt;"Free Game",INDEX('Game Records'!$U:$U,$H289)&lt;&gt;"Disqualified — Free Game",OR(INDEX('Game Records'!$L:$L,$H289)="",LOWER(INDEX('Game Records'!$L:$L,$H289)&amp;"")="n/a")),"Disqualified Status; ","")&amp;IF(AND(OR(INDEX('Game Records'!$U:$U,$H289)="Free Game",INDEX('Game Records'!$U:$U,$H289)="Disqualified — Free Game"),N(INDEX('Game Records'!$H:$H,$H289))&lt;&gt;0),"Free Game has a non-zero Entry Fee; ",""))</f>
        <v/>
      </c>
      <c r="G289" s="331" t="str">
        <f>IF($H289="","",IFERROR(INDEX('Game Records'!$M:$M,$H289),""))</f>
        <v/>
      </c>
      <c r="H289" s="104" t="str">
        <f>IF($H288="","",IFERROR(MATCH(1,INDEX((ROW('Game Records'!$U$5:$U$504)&gt;$H288)*(('Game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0" ht="24" customHeight="1">
      <c r="A290" s="332" t="str">
        <f>IF($H290="","",ROWS($A$5:A290))</f>
        <v/>
      </c>
      <c r="B290" s="332" t="str">
        <f>IF($H290="","","G-"&amp;TEXT($A290,"0000"))</f>
        <v/>
      </c>
      <c r="C290" s="331" t="str">
        <f>IF($H290="","",IFERROR(INDEX('Game Records'!$A:$A,$H290),""))</f>
        <v/>
      </c>
      <c r="D290" s="331" t="str">
        <f>IF($H290="","",IFERROR(INDEX('Game Records'!$U:$U,$H290),""))</f>
        <v/>
      </c>
      <c r="E290" s="331" t="str">
        <f>IF($H290="","",IF($F290="","No Highlighted Fields","Highlighted Fields Present"))</f>
        <v/>
      </c>
      <c r="F290" s="331" t="str">
        <f>IF($H290="","",IF(OR(NOT(ISFORMULA(INDEX('Game Records'!$N:$N,$H290))),NOT(ISFORMULA(INDEX('Game Records'!$O:$O,$H290))),NOT(ISFORMULA(INDEX('Game Records'!$P:$P,$H290))),NOT(ISFORMULA(INDEX('Game Records'!$Q:$Q,$H290))),NOT(ISFORMULA(INDEX('Game Records'!$R:$R,$H290))),NOT(ISFORMULA(INDEX('Game Records'!$S:$S,$H290))),NOT(ISFORMULA(INDEX('Game Records'!$T:$T,$H290))),NOT(ISFORMULA(INDEX('Game Records'!$U:$U,$H290))),NOT(ISFORMULA(INDEX('Game Records'!$V:$V,$H290))),NOT(ISFORMULA(INDEX('Game Records'!$W:$W,$H290))),NOT(ISFORMULA(INDEX('Game Records'!$X:$X,$H290))),NOT(ISFORMULA(INDEX('Game Records'!$Y:$Y,$H290))),NOT(ISFORMULA(INDEX('Game Records'!$Z:$Z,$H290)))),"Formula columns missing; ","")&amp;IF(INDEX('Game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Earned; ","")&amp;IF(AND(LOWER(INDEX('Game Records'!$D:$D,$H290)&amp;"")="finalized",INDEX('Game Records'!$U:$U,$H290)&lt;&gt;"Subscription",INDEX('Game Records'!$U:$U,$H290)&lt;&gt;"Free Game",INDEX('Game Records'!$U:$U,$H290)&lt;&gt;"Disqualified — Free Game",OR(INDEX('Game Records'!$L:$L,$H290)="",LOWER(INDEX('Game Records'!$L:$L,$H290)&amp;"")="n/a")),"Disqualified Status; ","")&amp;IF(AND(OR(INDEX('Game Records'!$U:$U,$H290)="Free Game",INDEX('Game Records'!$U:$U,$H290)="Disqualified — Free Game"),N(INDEX('Game Records'!$H:$H,$H290))&lt;&gt;0),"Free Game has a non-zero Entry Fee; ",""))</f>
        <v/>
      </c>
      <c r="G290" s="331" t="str">
        <f>IF($H290="","",IFERROR(INDEX('Game Records'!$M:$M,$H290),""))</f>
        <v/>
      </c>
      <c r="H290" s="104" t="str">
        <f>IF($H289="","",IFERROR(MATCH(1,INDEX((ROW('Game Records'!$U$5:$U$504)&gt;$H289)*(('Game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1" ht="24" customHeight="1">
      <c r="A291" s="332" t="str">
        <f>IF($H291="","",ROWS($A$5:A291))</f>
        <v/>
      </c>
      <c r="B291" s="332" t="str">
        <f>IF($H291="","","G-"&amp;TEXT($A291,"0000"))</f>
        <v/>
      </c>
      <c r="C291" s="331" t="str">
        <f>IF($H291="","",IFERROR(INDEX('Game Records'!$A:$A,$H291),""))</f>
        <v/>
      </c>
      <c r="D291" s="331" t="str">
        <f>IF($H291="","",IFERROR(INDEX('Game Records'!$U:$U,$H291),""))</f>
        <v/>
      </c>
      <c r="E291" s="331" t="str">
        <f>IF($H291="","",IF($F291="","No Highlighted Fields","Highlighted Fields Present"))</f>
        <v/>
      </c>
      <c r="F291" s="331" t="str">
        <f>IF($H291="","",IF(OR(NOT(ISFORMULA(INDEX('Game Records'!$N:$N,$H291))),NOT(ISFORMULA(INDEX('Game Records'!$O:$O,$H291))),NOT(ISFORMULA(INDEX('Game Records'!$P:$P,$H291))),NOT(ISFORMULA(INDEX('Game Records'!$Q:$Q,$H291))),NOT(ISFORMULA(INDEX('Game Records'!$R:$R,$H291))),NOT(ISFORMULA(INDEX('Game Records'!$S:$S,$H291))),NOT(ISFORMULA(INDEX('Game Records'!$T:$T,$H291))),NOT(ISFORMULA(INDEX('Game Records'!$U:$U,$H291))),NOT(ISFORMULA(INDEX('Game Records'!$V:$V,$H291))),NOT(ISFORMULA(INDEX('Game Records'!$W:$W,$H291))),NOT(ISFORMULA(INDEX('Game Records'!$X:$X,$H291))),NOT(ISFORMULA(INDEX('Game Records'!$Y:$Y,$H291))),NOT(ISFORMULA(INDEX('Game Records'!$Z:$Z,$H291)))),"Formula columns missing; ","")&amp;IF(INDEX('Game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Earned; ","")&amp;IF(AND(LOWER(INDEX('Game Records'!$D:$D,$H291)&amp;"")="finalized",INDEX('Game Records'!$U:$U,$H291)&lt;&gt;"Subscription",INDEX('Game Records'!$U:$U,$H291)&lt;&gt;"Free Game",INDEX('Game Records'!$U:$U,$H291)&lt;&gt;"Disqualified — Free Game",OR(INDEX('Game Records'!$L:$L,$H291)="",LOWER(INDEX('Game Records'!$L:$L,$H291)&amp;"")="n/a")),"Disqualified Status; ","")&amp;IF(AND(OR(INDEX('Game Records'!$U:$U,$H291)="Free Game",INDEX('Game Records'!$U:$U,$H291)="Disqualified — Free Game"),N(INDEX('Game Records'!$H:$H,$H291))&lt;&gt;0),"Free Game has a non-zero Entry Fee; ",""))</f>
        <v/>
      </c>
      <c r="G291" s="331" t="str">
        <f>IF($H291="","",IFERROR(INDEX('Game Records'!$M:$M,$H291),""))</f>
        <v/>
      </c>
      <c r="H291" s="104" t="str">
        <f>IF($H290="","",IFERROR(MATCH(1,INDEX((ROW('Game Records'!$U$5:$U$504)&gt;$H290)*(('Game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2" ht="24" customHeight="1">
      <c r="A292" s="332" t="str">
        <f>IF($H292="","",ROWS($A$5:A292))</f>
        <v/>
      </c>
      <c r="B292" s="332" t="str">
        <f>IF($H292="","","G-"&amp;TEXT($A292,"0000"))</f>
        <v/>
      </c>
      <c r="C292" s="331" t="str">
        <f>IF($H292="","",IFERROR(INDEX('Game Records'!$A:$A,$H292),""))</f>
        <v/>
      </c>
      <c r="D292" s="331" t="str">
        <f>IF($H292="","",IFERROR(INDEX('Game Records'!$U:$U,$H292),""))</f>
        <v/>
      </c>
      <c r="E292" s="331" t="str">
        <f>IF($H292="","",IF($F292="","No Highlighted Fields","Highlighted Fields Present"))</f>
        <v/>
      </c>
      <c r="F292" s="331" t="str">
        <f>IF($H292="","",IF(OR(NOT(ISFORMULA(INDEX('Game Records'!$N:$N,$H292))),NOT(ISFORMULA(INDEX('Game Records'!$O:$O,$H292))),NOT(ISFORMULA(INDEX('Game Records'!$P:$P,$H292))),NOT(ISFORMULA(INDEX('Game Records'!$Q:$Q,$H292))),NOT(ISFORMULA(INDEX('Game Records'!$R:$R,$H292))),NOT(ISFORMULA(INDEX('Game Records'!$S:$S,$H292))),NOT(ISFORMULA(INDEX('Game Records'!$T:$T,$H292))),NOT(ISFORMULA(INDEX('Game Records'!$U:$U,$H292))),NOT(ISFORMULA(INDEX('Game Records'!$V:$V,$H292))),NOT(ISFORMULA(INDEX('Game Records'!$W:$W,$H292))),NOT(ISFORMULA(INDEX('Game Records'!$X:$X,$H292))),NOT(ISFORMULA(INDEX('Game Records'!$Y:$Y,$H292))),NOT(ISFORMULA(INDEX('Game Records'!$Z:$Z,$H292)))),"Formula columns missing; ","")&amp;IF(INDEX('Game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Earned; ","")&amp;IF(AND(LOWER(INDEX('Game Records'!$D:$D,$H292)&amp;"")="finalized",INDEX('Game Records'!$U:$U,$H292)&lt;&gt;"Subscription",INDEX('Game Records'!$U:$U,$H292)&lt;&gt;"Free Game",INDEX('Game Records'!$U:$U,$H292)&lt;&gt;"Disqualified — Free Game",OR(INDEX('Game Records'!$L:$L,$H292)="",LOWER(INDEX('Game Records'!$L:$L,$H292)&amp;"")="n/a")),"Disqualified Status; ","")&amp;IF(AND(OR(INDEX('Game Records'!$U:$U,$H292)="Free Game",INDEX('Game Records'!$U:$U,$H292)="Disqualified — Free Game"),N(INDEX('Game Records'!$H:$H,$H292))&lt;&gt;0),"Free Game has a non-zero Entry Fee; ",""))</f>
        <v/>
      </c>
      <c r="G292" s="331" t="str">
        <f>IF($H292="","",IFERROR(INDEX('Game Records'!$M:$M,$H292),""))</f>
        <v/>
      </c>
      <c r="H292" s="104" t="str">
        <f>IF($H291="","",IFERROR(MATCH(1,INDEX((ROW('Game Records'!$U$5:$U$504)&gt;$H291)*(('Game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3" ht="24" customHeight="1">
      <c r="A293" s="332" t="str">
        <f>IF($H293="","",ROWS($A$5:A293))</f>
        <v/>
      </c>
      <c r="B293" s="332" t="str">
        <f>IF($H293="","","G-"&amp;TEXT($A293,"0000"))</f>
        <v/>
      </c>
      <c r="C293" s="331" t="str">
        <f>IF($H293="","",IFERROR(INDEX('Game Records'!$A:$A,$H293),""))</f>
        <v/>
      </c>
      <c r="D293" s="331" t="str">
        <f>IF($H293="","",IFERROR(INDEX('Game Records'!$U:$U,$H293),""))</f>
        <v/>
      </c>
      <c r="E293" s="331" t="str">
        <f>IF($H293="","",IF($F293="","No Highlighted Fields","Highlighted Fields Present"))</f>
        <v/>
      </c>
      <c r="F293" s="331" t="str">
        <f>IF($H293="","",IF(OR(NOT(ISFORMULA(INDEX('Game Records'!$N:$N,$H293))),NOT(ISFORMULA(INDEX('Game Records'!$O:$O,$H293))),NOT(ISFORMULA(INDEX('Game Records'!$P:$P,$H293))),NOT(ISFORMULA(INDEX('Game Records'!$Q:$Q,$H293))),NOT(ISFORMULA(INDEX('Game Records'!$R:$R,$H293))),NOT(ISFORMULA(INDEX('Game Records'!$S:$S,$H293))),NOT(ISFORMULA(INDEX('Game Records'!$T:$T,$H293))),NOT(ISFORMULA(INDEX('Game Records'!$U:$U,$H293))),NOT(ISFORMULA(INDEX('Game Records'!$V:$V,$H293))),NOT(ISFORMULA(INDEX('Game Records'!$W:$W,$H293))),NOT(ISFORMULA(INDEX('Game Records'!$X:$X,$H293))),NOT(ISFORMULA(INDEX('Game Records'!$Y:$Y,$H293))),NOT(ISFORMULA(INDEX('Game Records'!$Z:$Z,$H293)))),"Formula columns missing; ","")&amp;IF(INDEX('Game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Earned; ","")&amp;IF(AND(LOWER(INDEX('Game Records'!$D:$D,$H293)&amp;"")="finalized",INDEX('Game Records'!$U:$U,$H293)&lt;&gt;"Subscription",INDEX('Game Records'!$U:$U,$H293)&lt;&gt;"Free Game",INDEX('Game Records'!$U:$U,$H293)&lt;&gt;"Disqualified — Free Game",OR(INDEX('Game Records'!$L:$L,$H293)="",LOWER(INDEX('Game Records'!$L:$L,$H293)&amp;"")="n/a")),"Disqualified Status; ","")&amp;IF(AND(OR(INDEX('Game Records'!$U:$U,$H293)="Free Game",INDEX('Game Records'!$U:$U,$H293)="Disqualified — Free Game"),N(INDEX('Game Records'!$H:$H,$H293))&lt;&gt;0),"Free Game has a non-zero Entry Fee; ",""))</f>
        <v/>
      </c>
      <c r="G293" s="331" t="str">
        <f>IF($H293="","",IFERROR(INDEX('Game Records'!$M:$M,$H293),""))</f>
        <v/>
      </c>
      <c r="H293" s="104" t="str">
        <f>IF($H292="","",IFERROR(MATCH(1,INDEX((ROW('Game Records'!$U$5:$U$504)&gt;$H292)*(('Game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4" ht="24" customHeight="1">
      <c r="A294" s="332" t="str">
        <f>IF($H294="","",ROWS($A$5:A294))</f>
        <v/>
      </c>
      <c r="B294" s="332" t="str">
        <f>IF($H294="","","G-"&amp;TEXT($A294,"0000"))</f>
        <v/>
      </c>
      <c r="C294" s="331" t="str">
        <f>IF($H294="","",IFERROR(INDEX('Game Records'!$A:$A,$H294),""))</f>
        <v/>
      </c>
      <c r="D294" s="331" t="str">
        <f>IF($H294="","",IFERROR(INDEX('Game Records'!$U:$U,$H294),""))</f>
        <v/>
      </c>
      <c r="E294" s="331" t="str">
        <f>IF($H294="","",IF($F294="","No Highlighted Fields","Highlighted Fields Present"))</f>
        <v/>
      </c>
      <c r="F294" s="331" t="str">
        <f>IF($H294="","",IF(OR(NOT(ISFORMULA(INDEX('Game Records'!$N:$N,$H294))),NOT(ISFORMULA(INDEX('Game Records'!$O:$O,$H294))),NOT(ISFORMULA(INDEX('Game Records'!$P:$P,$H294))),NOT(ISFORMULA(INDEX('Game Records'!$Q:$Q,$H294))),NOT(ISFORMULA(INDEX('Game Records'!$R:$R,$H294))),NOT(ISFORMULA(INDEX('Game Records'!$S:$S,$H294))),NOT(ISFORMULA(INDEX('Game Records'!$T:$T,$H294))),NOT(ISFORMULA(INDEX('Game Records'!$U:$U,$H294))),NOT(ISFORMULA(INDEX('Game Records'!$V:$V,$H294))),NOT(ISFORMULA(INDEX('Game Records'!$W:$W,$H294))),NOT(ISFORMULA(INDEX('Game Records'!$X:$X,$H294))),NOT(ISFORMULA(INDEX('Game Records'!$Y:$Y,$H294))),NOT(ISFORMULA(INDEX('Game Records'!$Z:$Z,$H294)))),"Formula columns missing; ","")&amp;IF(INDEX('Game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Earned; ","")&amp;IF(AND(LOWER(INDEX('Game Records'!$D:$D,$H294)&amp;"")="finalized",INDEX('Game Records'!$U:$U,$H294)&lt;&gt;"Subscription",INDEX('Game Records'!$U:$U,$H294)&lt;&gt;"Free Game",INDEX('Game Records'!$U:$U,$H294)&lt;&gt;"Disqualified — Free Game",OR(INDEX('Game Records'!$L:$L,$H294)="",LOWER(INDEX('Game Records'!$L:$L,$H294)&amp;"")="n/a")),"Disqualified Status; ","")&amp;IF(AND(OR(INDEX('Game Records'!$U:$U,$H294)="Free Game",INDEX('Game Records'!$U:$U,$H294)="Disqualified — Free Game"),N(INDEX('Game Records'!$H:$H,$H294))&lt;&gt;0),"Free Game has a non-zero Entry Fee; ",""))</f>
        <v/>
      </c>
      <c r="G294" s="331" t="str">
        <f>IF($H294="","",IFERROR(INDEX('Game Records'!$M:$M,$H294),""))</f>
        <v/>
      </c>
      <c r="H294" s="104" t="str">
        <f>IF($H293="","",IFERROR(MATCH(1,INDEX((ROW('Game Records'!$U$5:$U$504)&gt;$H293)*(('Game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5" ht="24" customHeight="1">
      <c r="A295" s="332" t="str">
        <f>IF($H295="","",ROWS($A$5:A295))</f>
        <v/>
      </c>
      <c r="B295" s="332" t="str">
        <f>IF($H295="","","G-"&amp;TEXT($A295,"0000"))</f>
        <v/>
      </c>
      <c r="C295" s="331" t="str">
        <f>IF($H295="","",IFERROR(INDEX('Game Records'!$A:$A,$H295),""))</f>
        <v/>
      </c>
      <c r="D295" s="331" t="str">
        <f>IF($H295="","",IFERROR(INDEX('Game Records'!$U:$U,$H295),""))</f>
        <v/>
      </c>
      <c r="E295" s="331" t="str">
        <f>IF($H295="","",IF($F295="","No Highlighted Fields","Highlighted Fields Present"))</f>
        <v/>
      </c>
      <c r="F295" s="331" t="str">
        <f>IF($H295="","",IF(OR(NOT(ISFORMULA(INDEX('Game Records'!$N:$N,$H295))),NOT(ISFORMULA(INDEX('Game Records'!$O:$O,$H295))),NOT(ISFORMULA(INDEX('Game Records'!$P:$P,$H295))),NOT(ISFORMULA(INDEX('Game Records'!$Q:$Q,$H295))),NOT(ISFORMULA(INDEX('Game Records'!$R:$R,$H295))),NOT(ISFORMULA(INDEX('Game Records'!$S:$S,$H295))),NOT(ISFORMULA(INDEX('Game Records'!$T:$T,$H295))),NOT(ISFORMULA(INDEX('Game Records'!$U:$U,$H295))),NOT(ISFORMULA(INDEX('Game Records'!$V:$V,$H295))),NOT(ISFORMULA(INDEX('Game Records'!$W:$W,$H295))),NOT(ISFORMULA(INDEX('Game Records'!$X:$X,$H295))),NOT(ISFORMULA(INDEX('Game Records'!$Y:$Y,$H295))),NOT(ISFORMULA(INDEX('Game Records'!$Z:$Z,$H295)))),"Formula columns missing; ","")&amp;IF(INDEX('Game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Earned; ","")&amp;IF(AND(LOWER(INDEX('Game Records'!$D:$D,$H295)&amp;"")="finalized",INDEX('Game Records'!$U:$U,$H295)&lt;&gt;"Subscription",INDEX('Game Records'!$U:$U,$H295)&lt;&gt;"Free Game",INDEX('Game Records'!$U:$U,$H295)&lt;&gt;"Disqualified — Free Game",OR(INDEX('Game Records'!$L:$L,$H295)="",LOWER(INDEX('Game Records'!$L:$L,$H295)&amp;"")="n/a")),"Disqualified Status; ","")&amp;IF(AND(OR(INDEX('Game Records'!$U:$U,$H295)="Free Game",INDEX('Game Records'!$U:$U,$H295)="Disqualified — Free Game"),N(INDEX('Game Records'!$H:$H,$H295))&lt;&gt;0),"Free Game has a non-zero Entry Fee; ",""))</f>
        <v/>
      </c>
      <c r="G295" s="331" t="str">
        <f>IF($H295="","",IFERROR(INDEX('Game Records'!$M:$M,$H295),""))</f>
        <v/>
      </c>
      <c r="H295" s="104" t="str">
        <f>IF($H294="","",IFERROR(MATCH(1,INDEX((ROW('Game Records'!$U$5:$U$504)&gt;$H294)*(('Game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6" ht="24" customHeight="1">
      <c r="A296" s="332" t="str">
        <f>IF($H296="","",ROWS($A$5:A296))</f>
        <v/>
      </c>
      <c r="B296" s="332" t="str">
        <f>IF($H296="","","G-"&amp;TEXT($A296,"0000"))</f>
        <v/>
      </c>
      <c r="C296" s="331" t="str">
        <f>IF($H296="","",IFERROR(INDEX('Game Records'!$A:$A,$H296),""))</f>
        <v/>
      </c>
      <c r="D296" s="331" t="str">
        <f>IF($H296="","",IFERROR(INDEX('Game Records'!$U:$U,$H296),""))</f>
        <v/>
      </c>
      <c r="E296" s="331" t="str">
        <f>IF($H296="","",IF($F296="","No Highlighted Fields","Highlighted Fields Present"))</f>
        <v/>
      </c>
      <c r="F296" s="331" t="str">
        <f>IF($H296="","",IF(OR(NOT(ISFORMULA(INDEX('Game Records'!$N:$N,$H296))),NOT(ISFORMULA(INDEX('Game Records'!$O:$O,$H296))),NOT(ISFORMULA(INDEX('Game Records'!$P:$P,$H296))),NOT(ISFORMULA(INDEX('Game Records'!$Q:$Q,$H296))),NOT(ISFORMULA(INDEX('Game Records'!$R:$R,$H296))),NOT(ISFORMULA(INDEX('Game Records'!$S:$S,$H296))),NOT(ISFORMULA(INDEX('Game Records'!$T:$T,$H296))),NOT(ISFORMULA(INDEX('Game Records'!$U:$U,$H296))),NOT(ISFORMULA(INDEX('Game Records'!$V:$V,$H296))),NOT(ISFORMULA(INDEX('Game Records'!$W:$W,$H296))),NOT(ISFORMULA(INDEX('Game Records'!$X:$X,$H296))),NOT(ISFORMULA(INDEX('Game Records'!$Y:$Y,$H296))),NOT(ISFORMULA(INDEX('Game Records'!$Z:$Z,$H296)))),"Formula columns missing; ","")&amp;IF(INDEX('Game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Earned; ","")&amp;IF(AND(LOWER(INDEX('Game Records'!$D:$D,$H296)&amp;"")="finalized",INDEX('Game Records'!$U:$U,$H296)&lt;&gt;"Subscription",INDEX('Game Records'!$U:$U,$H296)&lt;&gt;"Free Game",INDEX('Game Records'!$U:$U,$H296)&lt;&gt;"Disqualified — Free Game",OR(INDEX('Game Records'!$L:$L,$H296)="",LOWER(INDEX('Game Records'!$L:$L,$H296)&amp;"")="n/a")),"Disqualified Status; ","")&amp;IF(AND(OR(INDEX('Game Records'!$U:$U,$H296)="Free Game",INDEX('Game Records'!$U:$U,$H296)="Disqualified — Free Game"),N(INDEX('Game Records'!$H:$H,$H296))&lt;&gt;0),"Free Game has a non-zero Entry Fee; ",""))</f>
        <v/>
      </c>
      <c r="G296" s="331" t="str">
        <f>IF($H296="","",IFERROR(INDEX('Game Records'!$M:$M,$H296),""))</f>
        <v/>
      </c>
      <c r="H296" s="104" t="str">
        <f>IF($H295="","",IFERROR(MATCH(1,INDEX((ROW('Game Records'!$U$5:$U$504)&gt;$H295)*(('Game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7" ht="24" customHeight="1">
      <c r="A297" s="332" t="str">
        <f>IF($H297="","",ROWS($A$5:A297))</f>
        <v/>
      </c>
      <c r="B297" s="332" t="str">
        <f>IF($H297="","","G-"&amp;TEXT($A297,"0000"))</f>
        <v/>
      </c>
      <c r="C297" s="331" t="str">
        <f>IF($H297="","",IFERROR(INDEX('Game Records'!$A:$A,$H297),""))</f>
        <v/>
      </c>
      <c r="D297" s="331" t="str">
        <f>IF($H297="","",IFERROR(INDEX('Game Records'!$U:$U,$H297),""))</f>
        <v/>
      </c>
      <c r="E297" s="331" t="str">
        <f>IF($H297="","",IF($F297="","No Highlighted Fields","Highlighted Fields Present"))</f>
        <v/>
      </c>
      <c r="F297" s="331" t="str">
        <f>IF($H297="","",IF(OR(NOT(ISFORMULA(INDEX('Game Records'!$N:$N,$H297))),NOT(ISFORMULA(INDEX('Game Records'!$O:$O,$H297))),NOT(ISFORMULA(INDEX('Game Records'!$P:$P,$H297))),NOT(ISFORMULA(INDEX('Game Records'!$Q:$Q,$H297))),NOT(ISFORMULA(INDEX('Game Records'!$R:$R,$H297))),NOT(ISFORMULA(INDEX('Game Records'!$S:$S,$H297))),NOT(ISFORMULA(INDEX('Game Records'!$T:$T,$H297))),NOT(ISFORMULA(INDEX('Game Records'!$U:$U,$H297))),NOT(ISFORMULA(INDEX('Game Records'!$V:$V,$H297))),NOT(ISFORMULA(INDEX('Game Records'!$W:$W,$H297))),NOT(ISFORMULA(INDEX('Game Records'!$X:$X,$H297))),NOT(ISFORMULA(INDEX('Game Records'!$Y:$Y,$H297))),NOT(ISFORMULA(INDEX('Game Records'!$Z:$Z,$H297)))),"Formula columns missing; ","")&amp;IF(INDEX('Game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Earned; ","")&amp;IF(AND(LOWER(INDEX('Game Records'!$D:$D,$H297)&amp;"")="finalized",INDEX('Game Records'!$U:$U,$H297)&lt;&gt;"Subscription",INDEX('Game Records'!$U:$U,$H297)&lt;&gt;"Free Game",INDEX('Game Records'!$U:$U,$H297)&lt;&gt;"Disqualified — Free Game",OR(INDEX('Game Records'!$L:$L,$H297)="",LOWER(INDEX('Game Records'!$L:$L,$H297)&amp;"")="n/a")),"Disqualified Status; ","")&amp;IF(AND(OR(INDEX('Game Records'!$U:$U,$H297)="Free Game",INDEX('Game Records'!$U:$U,$H297)="Disqualified — Free Game"),N(INDEX('Game Records'!$H:$H,$H297))&lt;&gt;0),"Free Game has a non-zero Entry Fee; ",""))</f>
        <v/>
      </c>
      <c r="G297" s="331" t="str">
        <f>IF($H297="","",IFERROR(INDEX('Game Records'!$M:$M,$H297),""))</f>
        <v/>
      </c>
      <c r="H297" s="104" t="str">
        <f>IF($H296="","",IFERROR(MATCH(1,INDEX((ROW('Game Records'!$U$5:$U$504)&gt;$H296)*(('Game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8" ht="24" customHeight="1">
      <c r="A298" s="332" t="str">
        <f>IF($H298="","",ROWS($A$5:A298))</f>
        <v/>
      </c>
      <c r="B298" s="332" t="str">
        <f>IF($H298="","","G-"&amp;TEXT($A298,"0000"))</f>
        <v/>
      </c>
      <c r="C298" s="331" t="str">
        <f>IF($H298="","",IFERROR(INDEX('Game Records'!$A:$A,$H298),""))</f>
        <v/>
      </c>
      <c r="D298" s="331" t="str">
        <f>IF($H298="","",IFERROR(INDEX('Game Records'!$U:$U,$H298),""))</f>
        <v/>
      </c>
      <c r="E298" s="331" t="str">
        <f>IF($H298="","",IF($F298="","No Highlighted Fields","Highlighted Fields Present"))</f>
        <v/>
      </c>
      <c r="F298" s="331" t="str">
        <f>IF($H298="","",IF(OR(NOT(ISFORMULA(INDEX('Game Records'!$N:$N,$H298))),NOT(ISFORMULA(INDEX('Game Records'!$O:$O,$H298))),NOT(ISFORMULA(INDEX('Game Records'!$P:$P,$H298))),NOT(ISFORMULA(INDEX('Game Records'!$Q:$Q,$H298))),NOT(ISFORMULA(INDEX('Game Records'!$R:$R,$H298))),NOT(ISFORMULA(INDEX('Game Records'!$S:$S,$H298))),NOT(ISFORMULA(INDEX('Game Records'!$T:$T,$H298))),NOT(ISFORMULA(INDEX('Game Records'!$U:$U,$H298))),NOT(ISFORMULA(INDEX('Game Records'!$V:$V,$H298))),NOT(ISFORMULA(INDEX('Game Records'!$W:$W,$H298))),NOT(ISFORMULA(INDEX('Game Records'!$X:$X,$H298))),NOT(ISFORMULA(INDEX('Game Records'!$Y:$Y,$H298))),NOT(ISFORMULA(INDEX('Game Records'!$Z:$Z,$H298)))),"Formula columns missing; ","")&amp;IF(INDEX('Game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Earned; ","")&amp;IF(AND(LOWER(INDEX('Game Records'!$D:$D,$H298)&amp;"")="finalized",INDEX('Game Records'!$U:$U,$H298)&lt;&gt;"Subscription",INDEX('Game Records'!$U:$U,$H298)&lt;&gt;"Free Game",INDEX('Game Records'!$U:$U,$H298)&lt;&gt;"Disqualified — Free Game",OR(INDEX('Game Records'!$L:$L,$H298)="",LOWER(INDEX('Game Records'!$L:$L,$H298)&amp;"")="n/a")),"Disqualified Status; ","")&amp;IF(AND(OR(INDEX('Game Records'!$U:$U,$H298)="Free Game",INDEX('Game Records'!$U:$U,$H298)="Disqualified — Free Game"),N(INDEX('Game Records'!$H:$H,$H298))&lt;&gt;0),"Free Game has a non-zero Entry Fee; ",""))</f>
        <v/>
      </c>
      <c r="G298" s="331" t="str">
        <f>IF($H298="","",IFERROR(INDEX('Game Records'!$M:$M,$H298),""))</f>
        <v/>
      </c>
      <c r="H298" s="104" t="str">
        <f>IF($H297="","",IFERROR(MATCH(1,INDEX((ROW('Game Records'!$U$5:$U$504)&gt;$H297)*(('Game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9" ht="24" customHeight="1">
      <c r="A299" s="332" t="str">
        <f>IF($H299="","",ROWS($A$5:A299))</f>
        <v/>
      </c>
      <c r="B299" s="332" t="str">
        <f>IF($H299="","","G-"&amp;TEXT($A299,"0000"))</f>
        <v/>
      </c>
      <c r="C299" s="331" t="str">
        <f>IF($H299="","",IFERROR(INDEX('Game Records'!$A:$A,$H299),""))</f>
        <v/>
      </c>
      <c r="D299" s="331" t="str">
        <f>IF($H299="","",IFERROR(INDEX('Game Records'!$U:$U,$H299),""))</f>
        <v/>
      </c>
      <c r="E299" s="331" t="str">
        <f>IF($H299="","",IF($F299="","No Highlighted Fields","Highlighted Fields Present"))</f>
        <v/>
      </c>
      <c r="F299" s="331" t="str">
        <f>IF($H299="","",IF(OR(NOT(ISFORMULA(INDEX('Game Records'!$N:$N,$H299))),NOT(ISFORMULA(INDEX('Game Records'!$O:$O,$H299))),NOT(ISFORMULA(INDEX('Game Records'!$P:$P,$H299))),NOT(ISFORMULA(INDEX('Game Records'!$Q:$Q,$H299))),NOT(ISFORMULA(INDEX('Game Records'!$R:$R,$H299))),NOT(ISFORMULA(INDEX('Game Records'!$S:$S,$H299))),NOT(ISFORMULA(INDEX('Game Records'!$T:$T,$H299))),NOT(ISFORMULA(INDEX('Game Records'!$U:$U,$H299))),NOT(ISFORMULA(INDEX('Game Records'!$V:$V,$H299))),NOT(ISFORMULA(INDEX('Game Records'!$W:$W,$H299))),NOT(ISFORMULA(INDEX('Game Records'!$X:$X,$H299))),NOT(ISFORMULA(INDEX('Game Records'!$Y:$Y,$H299))),NOT(ISFORMULA(INDEX('Game Records'!$Z:$Z,$H299)))),"Formula columns missing; ","")&amp;IF(INDEX('Game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Earned; ","")&amp;IF(AND(LOWER(INDEX('Game Records'!$D:$D,$H299)&amp;"")="finalized",INDEX('Game Records'!$U:$U,$H299)&lt;&gt;"Subscription",INDEX('Game Records'!$U:$U,$H299)&lt;&gt;"Free Game",INDEX('Game Records'!$U:$U,$H299)&lt;&gt;"Disqualified — Free Game",OR(INDEX('Game Records'!$L:$L,$H299)="",LOWER(INDEX('Game Records'!$L:$L,$H299)&amp;"")="n/a")),"Disqualified Status; ","")&amp;IF(AND(OR(INDEX('Game Records'!$U:$U,$H299)="Free Game",INDEX('Game Records'!$U:$U,$H299)="Disqualified — Free Game"),N(INDEX('Game Records'!$H:$H,$H299))&lt;&gt;0),"Free Game has a non-zero Entry Fee; ",""))</f>
        <v/>
      </c>
      <c r="G299" s="331" t="str">
        <f>IF($H299="","",IFERROR(INDEX('Game Records'!$M:$M,$H299),""))</f>
        <v/>
      </c>
      <c r="H299" s="104" t="str">
        <f>IF($H298="","",IFERROR(MATCH(1,INDEX((ROW('Game Records'!$U$5:$U$504)&gt;$H298)*(('Game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0" ht="24" customHeight="1">
      <c r="A300" s="332" t="str">
        <f>IF($H300="","",ROWS($A$5:A300))</f>
        <v/>
      </c>
      <c r="B300" s="332" t="str">
        <f>IF($H300="","","G-"&amp;TEXT($A300,"0000"))</f>
        <v/>
      </c>
      <c r="C300" s="331" t="str">
        <f>IF($H300="","",IFERROR(INDEX('Game Records'!$A:$A,$H300),""))</f>
        <v/>
      </c>
      <c r="D300" s="331" t="str">
        <f>IF($H300="","",IFERROR(INDEX('Game Records'!$U:$U,$H300),""))</f>
        <v/>
      </c>
      <c r="E300" s="331" t="str">
        <f>IF($H300="","",IF($F300="","No Highlighted Fields","Highlighted Fields Present"))</f>
        <v/>
      </c>
      <c r="F300" s="331" t="str">
        <f>IF($H300="","",IF(OR(NOT(ISFORMULA(INDEX('Game Records'!$N:$N,$H300))),NOT(ISFORMULA(INDEX('Game Records'!$O:$O,$H300))),NOT(ISFORMULA(INDEX('Game Records'!$P:$P,$H300))),NOT(ISFORMULA(INDEX('Game Records'!$Q:$Q,$H300))),NOT(ISFORMULA(INDEX('Game Records'!$R:$R,$H300))),NOT(ISFORMULA(INDEX('Game Records'!$S:$S,$H300))),NOT(ISFORMULA(INDEX('Game Records'!$T:$T,$H300))),NOT(ISFORMULA(INDEX('Game Records'!$U:$U,$H300))),NOT(ISFORMULA(INDEX('Game Records'!$V:$V,$H300))),NOT(ISFORMULA(INDEX('Game Records'!$W:$W,$H300))),NOT(ISFORMULA(INDEX('Game Records'!$X:$X,$H300))),NOT(ISFORMULA(INDEX('Game Records'!$Y:$Y,$H300))),NOT(ISFORMULA(INDEX('Game Records'!$Z:$Z,$H300)))),"Formula columns missing; ","")&amp;IF(INDEX('Game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Earned; ","")&amp;IF(AND(LOWER(INDEX('Game Records'!$D:$D,$H300)&amp;"")="finalized",INDEX('Game Records'!$U:$U,$H300)&lt;&gt;"Subscription",INDEX('Game Records'!$U:$U,$H300)&lt;&gt;"Free Game",INDEX('Game Records'!$U:$U,$H300)&lt;&gt;"Disqualified — Free Game",OR(INDEX('Game Records'!$L:$L,$H300)="",LOWER(INDEX('Game Records'!$L:$L,$H300)&amp;"")="n/a")),"Disqualified Status; ","")&amp;IF(AND(OR(INDEX('Game Records'!$U:$U,$H300)="Free Game",INDEX('Game Records'!$U:$U,$H300)="Disqualified — Free Game"),N(INDEX('Game Records'!$H:$H,$H300))&lt;&gt;0),"Free Game has a non-zero Entry Fee; ",""))</f>
        <v/>
      </c>
      <c r="G300" s="331" t="str">
        <f>IF($H300="","",IFERROR(INDEX('Game Records'!$M:$M,$H300),""))</f>
        <v/>
      </c>
      <c r="H300" s="104" t="str">
        <f>IF($H299="","",IFERROR(MATCH(1,INDEX((ROW('Game Records'!$U$5:$U$504)&gt;$H299)*(('Game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1" ht="24" customHeight="1">
      <c r="A301" s="332" t="str">
        <f>IF($H301="","",ROWS($A$5:A301))</f>
        <v/>
      </c>
      <c r="B301" s="332" t="str">
        <f>IF($H301="","","G-"&amp;TEXT($A301,"0000"))</f>
        <v/>
      </c>
      <c r="C301" s="331" t="str">
        <f>IF($H301="","",IFERROR(INDEX('Game Records'!$A:$A,$H301),""))</f>
        <v/>
      </c>
      <c r="D301" s="331" t="str">
        <f>IF($H301="","",IFERROR(INDEX('Game Records'!$U:$U,$H301),""))</f>
        <v/>
      </c>
      <c r="E301" s="331" t="str">
        <f>IF($H301="","",IF($F301="","No Highlighted Fields","Highlighted Fields Present"))</f>
        <v/>
      </c>
      <c r="F301" s="331" t="str">
        <f>IF($H301="","",IF(OR(NOT(ISFORMULA(INDEX('Game Records'!$N:$N,$H301))),NOT(ISFORMULA(INDEX('Game Records'!$O:$O,$H301))),NOT(ISFORMULA(INDEX('Game Records'!$P:$P,$H301))),NOT(ISFORMULA(INDEX('Game Records'!$Q:$Q,$H301))),NOT(ISFORMULA(INDEX('Game Records'!$R:$R,$H301))),NOT(ISFORMULA(INDEX('Game Records'!$S:$S,$H301))),NOT(ISFORMULA(INDEX('Game Records'!$T:$T,$H301))),NOT(ISFORMULA(INDEX('Game Records'!$U:$U,$H301))),NOT(ISFORMULA(INDEX('Game Records'!$V:$V,$H301))),NOT(ISFORMULA(INDEX('Game Records'!$W:$W,$H301))),NOT(ISFORMULA(INDEX('Game Records'!$X:$X,$H301))),NOT(ISFORMULA(INDEX('Game Records'!$Y:$Y,$H301))),NOT(ISFORMULA(INDEX('Game Records'!$Z:$Z,$H301)))),"Formula columns missing; ","")&amp;IF(INDEX('Game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Earned; ","")&amp;IF(AND(LOWER(INDEX('Game Records'!$D:$D,$H301)&amp;"")="finalized",INDEX('Game Records'!$U:$U,$H301)&lt;&gt;"Subscription",INDEX('Game Records'!$U:$U,$H301)&lt;&gt;"Free Game",INDEX('Game Records'!$U:$U,$H301)&lt;&gt;"Disqualified — Free Game",OR(INDEX('Game Records'!$L:$L,$H301)="",LOWER(INDEX('Game Records'!$L:$L,$H301)&amp;"")="n/a")),"Disqualified Status; ","")&amp;IF(AND(OR(INDEX('Game Records'!$U:$U,$H301)="Free Game",INDEX('Game Records'!$U:$U,$H301)="Disqualified — Free Game"),N(INDEX('Game Records'!$H:$H,$H301))&lt;&gt;0),"Free Game has a non-zero Entry Fee; ",""))</f>
        <v/>
      </c>
      <c r="G301" s="331" t="str">
        <f>IF($H301="","",IFERROR(INDEX('Game Records'!$M:$M,$H301),""))</f>
        <v/>
      </c>
      <c r="H301" s="104" t="str">
        <f>IF($H300="","",IFERROR(MATCH(1,INDEX((ROW('Game Records'!$U$5:$U$504)&gt;$H300)*(('Game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2" ht="24" customHeight="1">
      <c r="A302" s="332" t="str">
        <f>IF($H302="","",ROWS($A$5:A302))</f>
        <v/>
      </c>
      <c r="B302" s="332" t="str">
        <f>IF($H302="","","G-"&amp;TEXT($A302,"0000"))</f>
        <v/>
      </c>
      <c r="C302" s="331" t="str">
        <f>IF($H302="","",IFERROR(INDEX('Game Records'!$A:$A,$H302),""))</f>
        <v/>
      </c>
      <c r="D302" s="331" t="str">
        <f>IF($H302="","",IFERROR(INDEX('Game Records'!$U:$U,$H302),""))</f>
        <v/>
      </c>
      <c r="E302" s="331" t="str">
        <f>IF($H302="","",IF($F302="","No Highlighted Fields","Highlighted Fields Present"))</f>
        <v/>
      </c>
      <c r="F302" s="331" t="str">
        <f>IF($H302="","",IF(OR(NOT(ISFORMULA(INDEX('Game Records'!$N:$N,$H302))),NOT(ISFORMULA(INDEX('Game Records'!$O:$O,$H302))),NOT(ISFORMULA(INDEX('Game Records'!$P:$P,$H302))),NOT(ISFORMULA(INDEX('Game Records'!$Q:$Q,$H302))),NOT(ISFORMULA(INDEX('Game Records'!$R:$R,$H302))),NOT(ISFORMULA(INDEX('Game Records'!$S:$S,$H302))),NOT(ISFORMULA(INDEX('Game Records'!$T:$T,$H302))),NOT(ISFORMULA(INDEX('Game Records'!$U:$U,$H302))),NOT(ISFORMULA(INDEX('Game Records'!$V:$V,$H302))),NOT(ISFORMULA(INDEX('Game Records'!$W:$W,$H302))),NOT(ISFORMULA(INDEX('Game Records'!$X:$X,$H302))),NOT(ISFORMULA(INDEX('Game Records'!$Y:$Y,$H302))),NOT(ISFORMULA(INDEX('Game Records'!$Z:$Z,$H302)))),"Formula columns missing; ","")&amp;IF(INDEX('Game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Earned; ","")&amp;IF(AND(LOWER(INDEX('Game Records'!$D:$D,$H302)&amp;"")="finalized",INDEX('Game Records'!$U:$U,$H302)&lt;&gt;"Subscription",INDEX('Game Records'!$U:$U,$H302)&lt;&gt;"Free Game",INDEX('Game Records'!$U:$U,$H302)&lt;&gt;"Disqualified — Free Game",OR(INDEX('Game Records'!$L:$L,$H302)="",LOWER(INDEX('Game Records'!$L:$L,$H302)&amp;"")="n/a")),"Disqualified Status; ","")&amp;IF(AND(OR(INDEX('Game Records'!$U:$U,$H302)="Free Game",INDEX('Game Records'!$U:$U,$H302)="Disqualified — Free Game"),N(INDEX('Game Records'!$H:$H,$H302))&lt;&gt;0),"Free Game has a non-zero Entry Fee; ",""))</f>
        <v/>
      </c>
      <c r="G302" s="331" t="str">
        <f>IF($H302="","",IFERROR(INDEX('Game Records'!$M:$M,$H302),""))</f>
        <v/>
      </c>
      <c r="H302" s="104" t="str">
        <f>IF($H301="","",IFERROR(MATCH(1,INDEX((ROW('Game Records'!$U$5:$U$504)&gt;$H301)*(('Game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3" ht="24" customHeight="1">
      <c r="A303" s="332" t="str">
        <f>IF($H303="","",ROWS($A$5:A303))</f>
        <v/>
      </c>
      <c r="B303" s="332" t="str">
        <f>IF($H303="","","G-"&amp;TEXT($A303,"0000"))</f>
        <v/>
      </c>
      <c r="C303" s="331" t="str">
        <f>IF($H303="","",IFERROR(INDEX('Game Records'!$A:$A,$H303),""))</f>
        <v/>
      </c>
      <c r="D303" s="331" t="str">
        <f>IF($H303="","",IFERROR(INDEX('Game Records'!$U:$U,$H303),""))</f>
        <v/>
      </c>
      <c r="E303" s="331" t="str">
        <f>IF($H303="","",IF($F303="","No Highlighted Fields","Highlighted Fields Present"))</f>
        <v/>
      </c>
      <c r="F303" s="331" t="str">
        <f>IF($H303="","",IF(OR(NOT(ISFORMULA(INDEX('Game Records'!$N:$N,$H303))),NOT(ISFORMULA(INDEX('Game Records'!$O:$O,$H303))),NOT(ISFORMULA(INDEX('Game Records'!$P:$P,$H303))),NOT(ISFORMULA(INDEX('Game Records'!$Q:$Q,$H303))),NOT(ISFORMULA(INDEX('Game Records'!$R:$R,$H303))),NOT(ISFORMULA(INDEX('Game Records'!$S:$S,$H303))),NOT(ISFORMULA(INDEX('Game Records'!$T:$T,$H303))),NOT(ISFORMULA(INDEX('Game Records'!$U:$U,$H303))),NOT(ISFORMULA(INDEX('Game Records'!$V:$V,$H303))),NOT(ISFORMULA(INDEX('Game Records'!$W:$W,$H303))),NOT(ISFORMULA(INDEX('Game Records'!$X:$X,$H303))),NOT(ISFORMULA(INDEX('Game Records'!$Y:$Y,$H303))),NOT(ISFORMULA(INDEX('Game Records'!$Z:$Z,$H303)))),"Formula columns missing; ","")&amp;IF(INDEX('Game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Earned; ","")&amp;IF(AND(LOWER(INDEX('Game Records'!$D:$D,$H303)&amp;"")="finalized",INDEX('Game Records'!$U:$U,$H303)&lt;&gt;"Subscription",INDEX('Game Records'!$U:$U,$H303)&lt;&gt;"Free Game",INDEX('Game Records'!$U:$U,$H303)&lt;&gt;"Disqualified — Free Game",OR(INDEX('Game Records'!$L:$L,$H303)="",LOWER(INDEX('Game Records'!$L:$L,$H303)&amp;"")="n/a")),"Disqualified Status; ","")&amp;IF(AND(OR(INDEX('Game Records'!$U:$U,$H303)="Free Game",INDEX('Game Records'!$U:$U,$H303)="Disqualified — Free Game"),N(INDEX('Game Records'!$H:$H,$H303))&lt;&gt;0),"Free Game has a non-zero Entry Fee; ",""))</f>
        <v/>
      </c>
      <c r="G303" s="331" t="str">
        <f>IF($H303="","",IFERROR(INDEX('Game Records'!$M:$M,$H303),""))</f>
        <v/>
      </c>
      <c r="H303" s="104" t="str">
        <f>IF($H302="","",IFERROR(MATCH(1,INDEX((ROW('Game Records'!$U$5:$U$504)&gt;$H302)*(('Game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4" ht="24" customHeight="1">
      <c r="A304" s="332" t="str">
        <f>IF($H304="","",ROWS($A$5:A304))</f>
        <v/>
      </c>
      <c r="B304" s="332" t="str">
        <f>IF($H304="","","G-"&amp;TEXT($A304,"0000"))</f>
        <v/>
      </c>
      <c r="C304" s="331" t="str">
        <f>IF($H304="","",IFERROR(INDEX('Game Records'!$A:$A,$H304),""))</f>
        <v/>
      </c>
      <c r="D304" s="331" t="str">
        <f>IF($H304="","",IFERROR(INDEX('Game Records'!$U:$U,$H304),""))</f>
        <v/>
      </c>
      <c r="E304" s="331" t="str">
        <f>IF($H304="","",IF($F304="","No Highlighted Fields","Highlighted Fields Present"))</f>
        <v/>
      </c>
      <c r="F304" s="331" t="str">
        <f>IF($H304="","",IF(OR(NOT(ISFORMULA(INDEX('Game Records'!$N:$N,$H304))),NOT(ISFORMULA(INDEX('Game Records'!$O:$O,$H304))),NOT(ISFORMULA(INDEX('Game Records'!$P:$P,$H304))),NOT(ISFORMULA(INDEX('Game Records'!$Q:$Q,$H304))),NOT(ISFORMULA(INDEX('Game Records'!$R:$R,$H304))),NOT(ISFORMULA(INDEX('Game Records'!$S:$S,$H304))),NOT(ISFORMULA(INDEX('Game Records'!$T:$T,$H304))),NOT(ISFORMULA(INDEX('Game Records'!$U:$U,$H304))),NOT(ISFORMULA(INDEX('Game Records'!$V:$V,$H304))),NOT(ISFORMULA(INDEX('Game Records'!$W:$W,$H304))),NOT(ISFORMULA(INDEX('Game Records'!$X:$X,$H304))),NOT(ISFORMULA(INDEX('Game Records'!$Y:$Y,$H304))),NOT(ISFORMULA(INDEX('Game Records'!$Z:$Z,$H304)))),"Formula columns missing; ","")&amp;IF(INDEX('Game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Earned; ","")&amp;IF(AND(LOWER(INDEX('Game Records'!$D:$D,$H304)&amp;"")="finalized",INDEX('Game Records'!$U:$U,$H304)&lt;&gt;"Subscription",INDEX('Game Records'!$U:$U,$H304)&lt;&gt;"Free Game",INDEX('Game Records'!$U:$U,$H304)&lt;&gt;"Disqualified — Free Game",OR(INDEX('Game Records'!$L:$L,$H304)="",LOWER(INDEX('Game Records'!$L:$L,$H304)&amp;"")="n/a")),"Disqualified Status; ","")&amp;IF(AND(OR(INDEX('Game Records'!$U:$U,$H304)="Free Game",INDEX('Game Records'!$U:$U,$H304)="Disqualified — Free Game"),N(INDEX('Game Records'!$H:$H,$H304))&lt;&gt;0),"Free Game has a non-zero Entry Fee; ",""))</f>
        <v/>
      </c>
      <c r="G304" s="331" t="str">
        <f>IF($H304="","",IFERROR(INDEX('Game Records'!$M:$M,$H304),""))</f>
        <v/>
      </c>
      <c r="H304" s="104" t="str">
        <f>IF($H303="","",IFERROR(MATCH(1,INDEX((ROW('Game Records'!$U$5:$U$504)&gt;$H303)*(('Game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5" ht="24" customHeight="1">
      <c r="A305" s="332" t="str">
        <f>IF($H305="","",ROWS($A$5:A305))</f>
        <v/>
      </c>
      <c r="B305" s="332" t="str">
        <f>IF($H305="","","G-"&amp;TEXT($A305,"0000"))</f>
        <v/>
      </c>
      <c r="C305" s="331" t="str">
        <f>IF($H305="","",IFERROR(INDEX('Game Records'!$A:$A,$H305),""))</f>
        <v/>
      </c>
      <c r="D305" s="331" t="str">
        <f>IF($H305="","",IFERROR(INDEX('Game Records'!$U:$U,$H305),""))</f>
        <v/>
      </c>
      <c r="E305" s="331" t="str">
        <f>IF($H305="","",IF($F305="","No Highlighted Fields","Highlighted Fields Present"))</f>
        <v/>
      </c>
      <c r="F305" s="331" t="str">
        <f>IF($H305="","",IF(OR(NOT(ISFORMULA(INDEX('Game Records'!$N:$N,$H305))),NOT(ISFORMULA(INDEX('Game Records'!$O:$O,$H305))),NOT(ISFORMULA(INDEX('Game Records'!$P:$P,$H305))),NOT(ISFORMULA(INDEX('Game Records'!$Q:$Q,$H305))),NOT(ISFORMULA(INDEX('Game Records'!$R:$R,$H305))),NOT(ISFORMULA(INDEX('Game Records'!$S:$S,$H305))),NOT(ISFORMULA(INDEX('Game Records'!$T:$T,$H305))),NOT(ISFORMULA(INDEX('Game Records'!$U:$U,$H305))),NOT(ISFORMULA(INDEX('Game Records'!$V:$V,$H305))),NOT(ISFORMULA(INDEX('Game Records'!$W:$W,$H305))),NOT(ISFORMULA(INDEX('Game Records'!$X:$X,$H305))),NOT(ISFORMULA(INDEX('Game Records'!$Y:$Y,$H305))),NOT(ISFORMULA(INDEX('Game Records'!$Z:$Z,$H305)))),"Formula columns missing; ","")&amp;IF(INDEX('Game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Earned; ","")&amp;IF(AND(LOWER(INDEX('Game Records'!$D:$D,$H305)&amp;"")="finalized",INDEX('Game Records'!$U:$U,$H305)&lt;&gt;"Subscription",INDEX('Game Records'!$U:$U,$H305)&lt;&gt;"Free Game",INDEX('Game Records'!$U:$U,$H305)&lt;&gt;"Disqualified — Free Game",OR(INDEX('Game Records'!$L:$L,$H305)="",LOWER(INDEX('Game Records'!$L:$L,$H305)&amp;"")="n/a")),"Disqualified Status; ","")&amp;IF(AND(OR(INDEX('Game Records'!$U:$U,$H305)="Free Game",INDEX('Game Records'!$U:$U,$H305)="Disqualified — Free Game"),N(INDEX('Game Records'!$H:$H,$H305))&lt;&gt;0),"Free Game has a non-zero Entry Fee; ",""))</f>
        <v/>
      </c>
      <c r="G305" s="331" t="str">
        <f>IF($H305="","",IFERROR(INDEX('Game Records'!$M:$M,$H305),""))</f>
        <v/>
      </c>
      <c r="H305" s="104" t="str">
        <f>IF($H304="","",IFERROR(MATCH(1,INDEX((ROW('Game Records'!$U$5:$U$504)&gt;$H304)*(('Game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6" ht="24" customHeight="1">
      <c r="A306" s="332" t="str">
        <f>IF($H306="","",ROWS($A$5:A306))</f>
        <v/>
      </c>
      <c r="B306" s="332" t="str">
        <f>IF($H306="","","G-"&amp;TEXT($A306,"0000"))</f>
        <v/>
      </c>
      <c r="C306" s="331" t="str">
        <f>IF($H306="","",IFERROR(INDEX('Game Records'!$A:$A,$H306),""))</f>
        <v/>
      </c>
      <c r="D306" s="331" t="str">
        <f>IF($H306="","",IFERROR(INDEX('Game Records'!$U:$U,$H306),""))</f>
        <v/>
      </c>
      <c r="E306" s="331" t="str">
        <f>IF($H306="","",IF($F306="","No Highlighted Fields","Highlighted Fields Present"))</f>
        <v/>
      </c>
      <c r="F306" s="331" t="str">
        <f>IF($H306="","",IF(OR(NOT(ISFORMULA(INDEX('Game Records'!$N:$N,$H306))),NOT(ISFORMULA(INDEX('Game Records'!$O:$O,$H306))),NOT(ISFORMULA(INDEX('Game Records'!$P:$P,$H306))),NOT(ISFORMULA(INDEX('Game Records'!$Q:$Q,$H306))),NOT(ISFORMULA(INDEX('Game Records'!$R:$R,$H306))),NOT(ISFORMULA(INDEX('Game Records'!$S:$S,$H306))),NOT(ISFORMULA(INDEX('Game Records'!$T:$T,$H306))),NOT(ISFORMULA(INDEX('Game Records'!$U:$U,$H306))),NOT(ISFORMULA(INDEX('Game Records'!$V:$V,$H306))),NOT(ISFORMULA(INDEX('Game Records'!$W:$W,$H306))),NOT(ISFORMULA(INDEX('Game Records'!$X:$X,$H306))),NOT(ISFORMULA(INDEX('Game Records'!$Y:$Y,$H306))),NOT(ISFORMULA(INDEX('Game Records'!$Z:$Z,$H306)))),"Formula columns missing; ","")&amp;IF(INDEX('Game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Earned; ","")&amp;IF(AND(LOWER(INDEX('Game Records'!$D:$D,$H306)&amp;"")="finalized",INDEX('Game Records'!$U:$U,$H306)&lt;&gt;"Subscription",INDEX('Game Records'!$U:$U,$H306)&lt;&gt;"Free Game",INDEX('Game Records'!$U:$U,$H306)&lt;&gt;"Disqualified — Free Game",OR(INDEX('Game Records'!$L:$L,$H306)="",LOWER(INDEX('Game Records'!$L:$L,$H306)&amp;"")="n/a")),"Disqualified Status; ","")&amp;IF(AND(OR(INDEX('Game Records'!$U:$U,$H306)="Free Game",INDEX('Game Records'!$U:$U,$H306)="Disqualified — Free Game"),N(INDEX('Game Records'!$H:$H,$H306))&lt;&gt;0),"Free Game has a non-zero Entry Fee; ",""))</f>
        <v/>
      </c>
      <c r="G306" s="331" t="str">
        <f>IF($H306="","",IFERROR(INDEX('Game Records'!$M:$M,$H306),""))</f>
        <v/>
      </c>
      <c r="H306" s="104" t="str">
        <f>IF($H305="","",IFERROR(MATCH(1,INDEX((ROW('Game Records'!$U$5:$U$504)&gt;$H305)*(('Game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7" ht="24" customHeight="1">
      <c r="A307" s="332" t="str">
        <f>IF($H307="","",ROWS($A$5:A307))</f>
        <v/>
      </c>
      <c r="B307" s="332" t="str">
        <f>IF($H307="","","G-"&amp;TEXT($A307,"0000"))</f>
        <v/>
      </c>
      <c r="C307" s="331" t="str">
        <f>IF($H307="","",IFERROR(INDEX('Game Records'!$A:$A,$H307),""))</f>
        <v/>
      </c>
      <c r="D307" s="331" t="str">
        <f>IF($H307="","",IFERROR(INDEX('Game Records'!$U:$U,$H307),""))</f>
        <v/>
      </c>
      <c r="E307" s="331" t="str">
        <f>IF($H307="","",IF($F307="","No Highlighted Fields","Highlighted Fields Present"))</f>
        <v/>
      </c>
      <c r="F307" s="331" t="str">
        <f>IF($H307="","",IF(OR(NOT(ISFORMULA(INDEX('Game Records'!$N:$N,$H307))),NOT(ISFORMULA(INDEX('Game Records'!$O:$O,$H307))),NOT(ISFORMULA(INDEX('Game Records'!$P:$P,$H307))),NOT(ISFORMULA(INDEX('Game Records'!$Q:$Q,$H307))),NOT(ISFORMULA(INDEX('Game Records'!$R:$R,$H307))),NOT(ISFORMULA(INDEX('Game Records'!$S:$S,$H307))),NOT(ISFORMULA(INDEX('Game Records'!$T:$T,$H307))),NOT(ISFORMULA(INDEX('Game Records'!$U:$U,$H307))),NOT(ISFORMULA(INDEX('Game Records'!$V:$V,$H307))),NOT(ISFORMULA(INDEX('Game Records'!$W:$W,$H307))),NOT(ISFORMULA(INDEX('Game Records'!$X:$X,$H307))),NOT(ISFORMULA(INDEX('Game Records'!$Y:$Y,$H307))),NOT(ISFORMULA(INDEX('Game Records'!$Z:$Z,$H307)))),"Formula columns missing; ","")&amp;IF(INDEX('Game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Earned; ","")&amp;IF(AND(LOWER(INDEX('Game Records'!$D:$D,$H307)&amp;"")="finalized",INDEX('Game Records'!$U:$U,$H307)&lt;&gt;"Subscription",INDEX('Game Records'!$U:$U,$H307)&lt;&gt;"Free Game",INDEX('Game Records'!$U:$U,$H307)&lt;&gt;"Disqualified — Free Game",OR(INDEX('Game Records'!$L:$L,$H307)="",LOWER(INDEX('Game Records'!$L:$L,$H307)&amp;"")="n/a")),"Disqualified Status; ","")&amp;IF(AND(OR(INDEX('Game Records'!$U:$U,$H307)="Free Game",INDEX('Game Records'!$U:$U,$H307)="Disqualified — Free Game"),N(INDEX('Game Records'!$H:$H,$H307))&lt;&gt;0),"Free Game has a non-zero Entry Fee; ",""))</f>
        <v/>
      </c>
      <c r="G307" s="331" t="str">
        <f>IF($H307="","",IFERROR(INDEX('Game Records'!$M:$M,$H307),""))</f>
        <v/>
      </c>
      <c r="H307" s="104" t="str">
        <f>IF($H306="","",IFERROR(MATCH(1,INDEX((ROW('Game Records'!$U$5:$U$504)&gt;$H306)*(('Game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8" ht="24" customHeight="1">
      <c r="A308" s="332" t="str">
        <f>IF($H308="","",ROWS($A$5:A308))</f>
        <v/>
      </c>
      <c r="B308" s="332" t="str">
        <f>IF($H308="","","G-"&amp;TEXT($A308,"0000"))</f>
        <v/>
      </c>
      <c r="C308" s="331" t="str">
        <f>IF($H308="","",IFERROR(INDEX('Game Records'!$A:$A,$H308),""))</f>
        <v/>
      </c>
      <c r="D308" s="331" t="str">
        <f>IF($H308="","",IFERROR(INDEX('Game Records'!$U:$U,$H308),""))</f>
        <v/>
      </c>
      <c r="E308" s="331" t="str">
        <f>IF($H308="","",IF($F308="","No Highlighted Fields","Highlighted Fields Present"))</f>
        <v/>
      </c>
      <c r="F308" s="331" t="str">
        <f>IF($H308="","",IF(OR(NOT(ISFORMULA(INDEX('Game Records'!$N:$N,$H308))),NOT(ISFORMULA(INDEX('Game Records'!$O:$O,$H308))),NOT(ISFORMULA(INDEX('Game Records'!$P:$P,$H308))),NOT(ISFORMULA(INDEX('Game Records'!$Q:$Q,$H308))),NOT(ISFORMULA(INDEX('Game Records'!$R:$R,$H308))),NOT(ISFORMULA(INDEX('Game Records'!$S:$S,$H308))),NOT(ISFORMULA(INDEX('Game Records'!$T:$T,$H308))),NOT(ISFORMULA(INDEX('Game Records'!$U:$U,$H308))),NOT(ISFORMULA(INDEX('Game Records'!$V:$V,$H308))),NOT(ISFORMULA(INDEX('Game Records'!$W:$W,$H308))),NOT(ISFORMULA(INDEX('Game Records'!$X:$X,$H308))),NOT(ISFORMULA(INDEX('Game Records'!$Y:$Y,$H308))),NOT(ISFORMULA(INDEX('Game Records'!$Z:$Z,$H308)))),"Formula columns missing; ","")&amp;IF(INDEX('Game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Earned; ","")&amp;IF(AND(LOWER(INDEX('Game Records'!$D:$D,$H308)&amp;"")="finalized",INDEX('Game Records'!$U:$U,$H308)&lt;&gt;"Subscription",INDEX('Game Records'!$U:$U,$H308)&lt;&gt;"Free Game",INDEX('Game Records'!$U:$U,$H308)&lt;&gt;"Disqualified — Free Game",OR(INDEX('Game Records'!$L:$L,$H308)="",LOWER(INDEX('Game Records'!$L:$L,$H308)&amp;"")="n/a")),"Disqualified Status; ","")&amp;IF(AND(OR(INDEX('Game Records'!$U:$U,$H308)="Free Game",INDEX('Game Records'!$U:$U,$H308)="Disqualified — Free Game"),N(INDEX('Game Records'!$H:$H,$H308))&lt;&gt;0),"Free Game has a non-zero Entry Fee; ",""))</f>
        <v/>
      </c>
      <c r="G308" s="331" t="str">
        <f>IF($H308="","",IFERROR(INDEX('Game Records'!$M:$M,$H308),""))</f>
        <v/>
      </c>
      <c r="H308" s="104" t="str">
        <f>IF($H307="","",IFERROR(MATCH(1,INDEX((ROW('Game Records'!$U$5:$U$504)&gt;$H307)*(('Game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9" ht="24" customHeight="1">
      <c r="A309" s="332" t="str">
        <f>IF($H309="","",ROWS($A$5:A309))</f>
        <v/>
      </c>
      <c r="B309" s="332" t="str">
        <f>IF($H309="","","G-"&amp;TEXT($A309,"0000"))</f>
        <v/>
      </c>
      <c r="C309" s="331" t="str">
        <f>IF($H309="","",IFERROR(INDEX('Game Records'!$A:$A,$H309),""))</f>
        <v/>
      </c>
      <c r="D309" s="331" t="str">
        <f>IF($H309="","",IFERROR(INDEX('Game Records'!$U:$U,$H309),""))</f>
        <v/>
      </c>
      <c r="E309" s="331" t="str">
        <f>IF($H309="","",IF($F309="","No Highlighted Fields","Highlighted Fields Present"))</f>
        <v/>
      </c>
      <c r="F309" s="331" t="str">
        <f>IF($H309="","",IF(OR(NOT(ISFORMULA(INDEX('Game Records'!$N:$N,$H309))),NOT(ISFORMULA(INDEX('Game Records'!$O:$O,$H309))),NOT(ISFORMULA(INDEX('Game Records'!$P:$P,$H309))),NOT(ISFORMULA(INDEX('Game Records'!$Q:$Q,$H309))),NOT(ISFORMULA(INDEX('Game Records'!$R:$R,$H309))),NOT(ISFORMULA(INDEX('Game Records'!$S:$S,$H309))),NOT(ISFORMULA(INDEX('Game Records'!$T:$T,$H309))),NOT(ISFORMULA(INDEX('Game Records'!$U:$U,$H309))),NOT(ISFORMULA(INDEX('Game Records'!$V:$V,$H309))),NOT(ISFORMULA(INDEX('Game Records'!$W:$W,$H309))),NOT(ISFORMULA(INDEX('Game Records'!$X:$X,$H309))),NOT(ISFORMULA(INDEX('Game Records'!$Y:$Y,$H309))),NOT(ISFORMULA(INDEX('Game Records'!$Z:$Z,$H309)))),"Formula columns missing; ","")&amp;IF(INDEX('Game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Earned; ","")&amp;IF(AND(LOWER(INDEX('Game Records'!$D:$D,$H309)&amp;"")="finalized",INDEX('Game Records'!$U:$U,$H309)&lt;&gt;"Subscription",INDEX('Game Records'!$U:$U,$H309)&lt;&gt;"Free Game",INDEX('Game Records'!$U:$U,$H309)&lt;&gt;"Disqualified — Free Game",OR(INDEX('Game Records'!$L:$L,$H309)="",LOWER(INDEX('Game Records'!$L:$L,$H309)&amp;"")="n/a")),"Disqualified Status; ","")&amp;IF(AND(OR(INDEX('Game Records'!$U:$U,$H309)="Free Game",INDEX('Game Records'!$U:$U,$H309)="Disqualified — Free Game"),N(INDEX('Game Records'!$H:$H,$H309))&lt;&gt;0),"Free Game has a non-zero Entry Fee; ",""))</f>
        <v/>
      </c>
      <c r="G309" s="331" t="str">
        <f>IF($H309="","",IFERROR(INDEX('Game Records'!$M:$M,$H309),""))</f>
        <v/>
      </c>
      <c r="H309" s="104" t="str">
        <f>IF($H308="","",IFERROR(MATCH(1,INDEX((ROW('Game Records'!$U$5:$U$504)&gt;$H308)*(('Game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0" ht="24" customHeight="1">
      <c r="A310" s="332" t="str">
        <f>IF($H310="","",ROWS($A$5:A310))</f>
        <v/>
      </c>
      <c r="B310" s="332" t="str">
        <f>IF($H310="","","G-"&amp;TEXT($A310,"0000"))</f>
        <v/>
      </c>
      <c r="C310" s="331" t="str">
        <f>IF($H310="","",IFERROR(INDEX('Game Records'!$A:$A,$H310),""))</f>
        <v/>
      </c>
      <c r="D310" s="331" t="str">
        <f>IF($H310="","",IFERROR(INDEX('Game Records'!$U:$U,$H310),""))</f>
        <v/>
      </c>
      <c r="E310" s="331" t="str">
        <f>IF($H310="","",IF($F310="","No Highlighted Fields","Highlighted Fields Present"))</f>
        <v/>
      </c>
      <c r="F310" s="331" t="str">
        <f>IF($H310="","",IF(OR(NOT(ISFORMULA(INDEX('Game Records'!$N:$N,$H310))),NOT(ISFORMULA(INDEX('Game Records'!$O:$O,$H310))),NOT(ISFORMULA(INDEX('Game Records'!$P:$P,$H310))),NOT(ISFORMULA(INDEX('Game Records'!$Q:$Q,$H310))),NOT(ISFORMULA(INDEX('Game Records'!$R:$R,$H310))),NOT(ISFORMULA(INDEX('Game Records'!$S:$S,$H310))),NOT(ISFORMULA(INDEX('Game Records'!$T:$T,$H310))),NOT(ISFORMULA(INDEX('Game Records'!$U:$U,$H310))),NOT(ISFORMULA(INDEX('Game Records'!$V:$V,$H310))),NOT(ISFORMULA(INDEX('Game Records'!$W:$W,$H310))),NOT(ISFORMULA(INDEX('Game Records'!$X:$X,$H310))),NOT(ISFORMULA(INDEX('Game Records'!$Y:$Y,$H310))),NOT(ISFORMULA(INDEX('Game Records'!$Z:$Z,$H310)))),"Formula columns missing; ","")&amp;IF(INDEX('Game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Earned; ","")&amp;IF(AND(LOWER(INDEX('Game Records'!$D:$D,$H310)&amp;"")="finalized",INDEX('Game Records'!$U:$U,$H310)&lt;&gt;"Subscription",INDEX('Game Records'!$U:$U,$H310)&lt;&gt;"Free Game",INDEX('Game Records'!$U:$U,$H310)&lt;&gt;"Disqualified — Free Game",OR(INDEX('Game Records'!$L:$L,$H310)="",LOWER(INDEX('Game Records'!$L:$L,$H310)&amp;"")="n/a")),"Disqualified Status; ","")&amp;IF(AND(OR(INDEX('Game Records'!$U:$U,$H310)="Free Game",INDEX('Game Records'!$U:$U,$H310)="Disqualified — Free Game"),N(INDEX('Game Records'!$H:$H,$H310))&lt;&gt;0),"Free Game has a non-zero Entry Fee; ",""))</f>
        <v/>
      </c>
      <c r="G310" s="331" t="str">
        <f>IF($H310="","",IFERROR(INDEX('Game Records'!$M:$M,$H310),""))</f>
        <v/>
      </c>
      <c r="H310" s="104" t="str">
        <f>IF($H309="","",IFERROR(MATCH(1,INDEX((ROW('Game Records'!$U$5:$U$504)&gt;$H309)*(('Game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1" ht="24" customHeight="1">
      <c r="A311" s="332" t="str">
        <f>IF($H311="","",ROWS($A$5:A311))</f>
        <v/>
      </c>
      <c r="B311" s="332" t="str">
        <f>IF($H311="","","G-"&amp;TEXT($A311,"0000"))</f>
        <v/>
      </c>
      <c r="C311" s="331" t="str">
        <f>IF($H311="","",IFERROR(INDEX('Game Records'!$A:$A,$H311),""))</f>
        <v/>
      </c>
      <c r="D311" s="331" t="str">
        <f>IF($H311="","",IFERROR(INDEX('Game Records'!$U:$U,$H311),""))</f>
        <v/>
      </c>
      <c r="E311" s="331" t="str">
        <f>IF($H311="","",IF($F311="","No Highlighted Fields","Highlighted Fields Present"))</f>
        <v/>
      </c>
      <c r="F311" s="331" t="str">
        <f>IF($H311="","",IF(OR(NOT(ISFORMULA(INDEX('Game Records'!$N:$N,$H311))),NOT(ISFORMULA(INDEX('Game Records'!$O:$O,$H311))),NOT(ISFORMULA(INDEX('Game Records'!$P:$P,$H311))),NOT(ISFORMULA(INDEX('Game Records'!$Q:$Q,$H311))),NOT(ISFORMULA(INDEX('Game Records'!$R:$R,$H311))),NOT(ISFORMULA(INDEX('Game Records'!$S:$S,$H311))),NOT(ISFORMULA(INDEX('Game Records'!$T:$T,$H311))),NOT(ISFORMULA(INDEX('Game Records'!$U:$U,$H311))),NOT(ISFORMULA(INDEX('Game Records'!$V:$V,$H311))),NOT(ISFORMULA(INDEX('Game Records'!$W:$W,$H311))),NOT(ISFORMULA(INDEX('Game Records'!$X:$X,$H311))),NOT(ISFORMULA(INDEX('Game Records'!$Y:$Y,$H311))),NOT(ISFORMULA(INDEX('Game Records'!$Z:$Z,$H311)))),"Formula columns missing; ","")&amp;IF(INDEX('Game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Earned; ","")&amp;IF(AND(LOWER(INDEX('Game Records'!$D:$D,$H311)&amp;"")="finalized",INDEX('Game Records'!$U:$U,$H311)&lt;&gt;"Subscription",INDEX('Game Records'!$U:$U,$H311)&lt;&gt;"Free Game",INDEX('Game Records'!$U:$U,$H311)&lt;&gt;"Disqualified — Free Game",OR(INDEX('Game Records'!$L:$L,$H311)="",LOWER(INDEX('Game Records'!$L:$L,$H311)&amp;"")="n/a")),"Disqualified Status; ","")&amp;IF(AND(OR(INDEX('Game Records'!$U:$U,$H311)="Free Game",INDEX('Game Records'!$U:$U,$H311)="Disqualified — Free Game"),N(INDEX('Game Records'!$H:$H,$H311))&lt;&gt;0),"Free Game has a non-zero Entry Fee; ",""))</f>
        <v/>
      </c>
      <c r="G311" s="331" t="str">
        <f>IF($H311="","",IFERROR(INDEX('Game Records'!$M:$M,$H311),""))</f>
        <v/>
      </c>
      <c r="H311" s="104" t="str">
        <f>IF($H310="","",IFERROR(MATCH(1,INDEX((ROW('Game Records'!$U$5:$U$504)&gt;$H310)*(('Game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2" ht="24" customHeight="1">
      <c r="A312" s="332" t="str">
        <f>IF($H312="","",ROWS($A$5:A312))</f>
        <v/>
      </c>
      <c r="B312" s="332" t="str">
        <f>IF($H312="","","G-"&amp;TEXT($A312,"0000"))</f>
        <v/>
      </c>
      <c r="C312" s="331" t="str">
        <f>IF($H312="","",IFERROR(INDEX('Game Records'!$A:$A,$H312),""))</f>
        <v/>
      </c>
      <c r="D312" s="331" t="str">
        <f>IF($H312="","",IFERROR(INDEX('Game Records'!$U:$U,$H312),""))</f>
        <v/>
      </c>
      <c r="E312" s="331" t="str">
        <f>IF($H312="","",IF($F312="","No Highlighted Fields","Highlighted Fields Present"))</f>
        <v/>
      </c>
      <c r="F312" s="331" t="str">
        <f>IF($H312="","",IF(OR(NOT(ISFORMULA(INDEX('Game Records'!$N:$N,$H312))),NOT(ISFORMULA(INDEX('Game Records'!$O:$O,$H312))),NOT(ISFORMULA(INDEX('Game Records'!$P:$P,$H312))),NOT(ISFORMULA(INDEX('Game Records'!$Q:$Q,$H312))),NOT(ISFORMULA(INDEX('Game Records'!$R:$R,$H312))),NOT(ISFORMULA(INDEX('Game Records'!$S:$S,$H312))),NOT(ISFORMULA(INDEX('Game Records'!$T:$T,$H312))),NOT(ISFORMULA(INDEX('Game Records'!$U:$U,$H312))),NOT(ISFORMULA(INDEX('Game Records'!$V:$V,$H312))),NOT(ISFORMULA(INDEX('Game Records'!$W:$W,$H312))),NOT(ISFORMULA(INDEX('Game Records'!$X:$X,$H312))),NOT(ISFORMULA(INDEX('Game Records'!$Y:$Y,$H312))),NOT(ISFORMULA(INDEX('Game Records'!$Z:$Z,$H312)))),"Formula columns missing; ","")&amp;IF(INDEX('Game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Earned; ","")&amp;IF(AND(LOWER(INDEX('Game Records'!$D:$D,$H312)&amp;"")="finalized",INDEX('Game Records'!$U:$U,$H312)&lt;&gt;"Subscription",INDEX('Game Records'!$U:$U,$H312)&lt;&gt;"Free Game",INDEX('Game Records'!$U:$U,$H312)&lt;&gt;"Disqualified — Free Game",OR(INDEX('Game Records'!$L:$L,$H312)="",LOWER(INDEX('Game Records'!$L:$L,$H312)&amp;"")="n/a")),"Disqualified Status; ","")&amp;IF(AND(OR(INDEX('Game Records'!$U:$U,$H312)="Free Game",INDEX('Game Records'!$U:$U,$H312)="Disqualified — Free Game"),N(INDEX('Game Records'!$H:$H,$H312))&lt;&gt;0),"Free Game has a non-zero Entry Fee; ",""))</f>
        <v/>
      </c>
      <c r="G312" s="331" t="str">
        <f>IF($H312="","",IFERROR(INDEX('Game Records'!$M:$M,$H312),""))</f>
        <v/>
      </c>
      <c r="H312" s="104" t="str">
        <f>IF($H311="","",IFERROR(MATCH(1,INDEX((ROW('Game Records'!$U$5:$U$504)&gt;$H311)*(('Game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3" ht="24" customHeight="1">
      <c r="A313" s="332" t="str">
        <f>IF($H313="","",ROWS($A$5:A313))</f>
        <v/>
      </c>
      <c r="B313" s="332" t="str">
        <f>IF($H313="","","G-"&amp;TEXT($A313,"0000"))</f>
        <v/>
      </c>
      <c r="C313" s="331" t="str">
        <f>IF($H313="","",IFERROR(INDEX('Game Records'!$A:$A,$H313),""))</f>
        <v/>
      </c>
      <c r="D313" s="331" t="str">
        <f>IF($H313="","",IFERROR(INDEX('Game Records'!$U:$U,$H313),""))</f>
        <v/>
      </c>
      <c r="E313" s="331" t="str">
        <f>IF($H313="","",IF($F313="","No Highlighted Fields","Highlighted Fields Present"))</f>
        <v/>
      </c>
      <c r="F313" s="331" t="str">
        <f>IF($H313="","",IF(OR(NOT(ISFORMULA(INDEX('Game Records'!$N:$N,$H313))),NOT(ISFORMULA(INDEX('Game Records'!$O:$O,$H313))),NOT(ISFORMULA(INDEX('Game Records'!$P:$P,$H313))),NOT(ISFORMULA(INDEX('Game Records'!$Q:$Q,$H313))),NOT(ISFORMULA(INDEX('Game Records'!$R:$R,$H313))),NOT(ISFORMULA(INDEX('Game Records'!$S:$S,$H313))),NOT(ISFORMULA(INDEX('Game Records'!$T:$T,$H313))),NOT(ISFORMULA(INDEX('Game Records'!$U:$U,$H313))),NOT(ISFORMULA(INDEX('Game Records'!$V:$V,$H313))),NOT(ISFORMULA(INDEX('Game Records'!$W:$W,$H313))),NOT(ISFORMULA(INDEX('Game Records'!$X:$X,$H313))),NOT(ISFORMULA(INDEX('Game Records'!$Y:$Y,$H313))),NOT(ISFORMULA(INDEX('Game Records'!$Z:$Z,$H313)))),"Formula columns missing; ","")&amp;IF(INDEX('Game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Earned; ","")&amp;IF(AND(LOWER(INDEX('Game Records'!$D:$D,$H313)&amp;"")="finalized",INDEX('Game Records'!$U:$U,$H313)&lt;&gt;"Subscription",INDEX('Game Records'!$U:$U,$H313)&lt;&gt;"Free Game",INDEX('Game Records'!$U:$U,$H313)&lt;&gt;"Disqualified — Free Game",OR(INDEX('Game Records'!$L:$L,$H313)="",LOWER(INDEX('Game Records'!$L:$L,$H313)&amp;"")="n/a")),"Disqualified Status; ","")&amp;IF(AND(OR(INDEX('Game Records'!$U:$U,$H313)="Free Game",INDEX('Game Records'!$U:$U,$H313)="Disqualified — Free Game"),N(INDEX('Game Records'!$H:$H,$H313))&lt;&gt;0),"Free Game has a non-zero Entry Fee; ",""))</f>
        <v/>
      </c>
      <c r="G313" s="331" t="str">
        <f>IF($H313="","",IFERROR(INDEX('Game Records'!$M:$M,$H313),""))</f>
        <v/>
      </c>
      <c r="H313" s="104" t="str">
        <f>IF($H312="","",IFERROR(MATCH(1,INDEX((ROW('Game Records'!$U$5:$U$504)&gt;$H312)*(('Game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4" ht="24" customHeight="1">
      <c r="A314" s="332" t="str">
        <f>IF($H314="","",ROWS($A$5:A314))</f>
        <v/>
      </c>
      <c r="B314" s="332" t="str">
        <f>IF($H314="","","G-"&amp;TEXT($A314,"0000"))</f>
        <v/>
      </c>
      <c r="C314" s="331" t="str">
        <f>IF($H314="","",IFERROR(INDEX('Game Records'!$A:$A,$H314),""))</f>
        <v/>
      </c>
      <c r="D314" s="331" t="str">
        <f>IF($H314="","",IFERROR(INDEX('Game Records'!$U:$U,$H314),""))</f>
        <v/>
      </c>
      <c r="E314" s="331" t="str">
        <f>IF($H314="","",IF($F314="","No Highlighted Fields","Highlighted Fields Present"))</f>
        <v/>
      </c>
      <c r="F314" s="331" t="str">
        <f>IF($H314="","",IF(OR(NOT(ISFORMULA(INDEX('Game Records'!$N:$N,$H314))),NOT(ISFORMULA(INDEX('Game Records'!$O:$O,$H314))),NOT(ISFORMULA(INDEX('Game Records'!$P:$P,$H314))),NOT(ISFORMULA(INDEX('Game Records'!$Q:$Q,$H314))),NOT(ISFORMULA(INDEX('Game Records'!$R:$R,$H314))),NOT(ISFORMULA(INDEX('Game Records'!$S:$S,$H314))),NOT(ISFORMULA(INDEX('Game Records'!$T:$T,$H314))),NOT(ISFORMULA(INDEX('Game Records'!$U:$U,$H314))),NOT(ISFORMULA(INDEX('Game Records'!$V:$V,$H314))),NOT(ISFORMULA(INDEX('Game Records'!$W:$W,$H314))),NOT(ISFORMULA(INDEX('Game Records'!$X:$X,$H314))),NOT(ISFORMULA(INDEX('Game Records'!$Y:$Y,$H314))),NOT(ISFORMULA(INDEX('Game Records'!$Z:$Z,$H314)))),"Formula columns missing; ","")&amp;IF(INDEX('Game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Earned; ","")&amp;IF(AND(LOWER(INDEX('Game Records'!$D:$D,$H314)&amp;"")="finalized",INDEX('Game Records'!$U:$U,$H314)&lt;&gt;"Subscription",INDEX('Game Records'!$U:$U,$H314)&lt;&gt;"Free Game",INDEX('Game Records'!$U:$U,$H314)&lt;&gt;"Disqualified — Free Game",OR(INDEX('Game Records'!$L:$L,$H314)="",LOWER(INDEX('Game Records'!$L:$L,$H314)&amp;"")="n/a")),"Disqualified Status; ","")&amp;IF(AND(OR(INDEX('Game Records'!$U:$U,$H314)="Free Game",INDEX('Game Records'!$U:$U,$H314)="Disqualified — Free Game"),N(INDEX('Game Records'!$H:$H,$H314))&lt;&gt;0),"Free Game has a non-zero Entry Fee; ",""))</f>
        <v/>
      </c>
      <c r="G314" s="331" t="str">
        <f>IF($H314="","",IFERROR(INDEX('Game Records'!$M:$M,$H314),""))</f>
        <v/>
      </c>
      <c r="H314" s="104" t="str">
        <f>IF($H313="","",IFERROR(MATCH(1,INDEX((ROW('Game Records'!$U$5:$U$504)&gt;$H313)*(('Game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5" ht="24" customHeight="1">
      <c r="A315" s="332" t="str">
        <f>IF($H315="","",ROWS($A$5:A315))</f>
        <v/>
      </c>
      <c r="B315" s="332" t="str">
        <f>IF($H315="","","G-"&amp;TEXT($A315,"0000"))</f>
        <v/>
      </c>
      <c r="C315" s="331" t="str">
        <f>IF($H315="","",IFERROR(INDEX('Game Records'!$A:$A,$H315),""))</f>
        <v/>
      </c>
      <c r="D315" s="331" t="str">
        <f>IF($H315="","",IFERROR(INDEX('Game Records'!$U:$U,$H315),""))</f>
        <v/>
      </c>
      <c r="E315" s="331" t="str">
        <f>IF($H315="","",IF($F315="","No Highlighted Fields","Highlighted Fields Present"))</f>
        <v/>
      </c>
      <c r="F315" s="331" t="str">
        <f>IF($H315="","",IF(OR(NOT(ISFORMULA(INDEX('Game Records'!$N:$N,$H315))),NOT(ISFORMULA(INDEX('Game Records'!$O:$O,$H315))),NOT(ISFORMULA(INDEX('Game Records'!$P:$P,$H315))),NOT(ISFORMULA(INDEX('Game Records'!$Q:$Q,$H315))),NOT(ISFORMULA(INDEX('Game Records'!$R:$R,$H315))),NOT(ISFORMULA(INDEX('Game Records'!$S:$S,$H315))),NOT(ISFORMULA(INDEX('Game Records'!$T:$T,$H315))),NOT(ISFORMULA(INDEX('Game Records'!$U:$U,$H315))),NOT(ISFORMULA(INDEX('Game Records'!$V:$V,$H315))),NOT(ISFORMULA(INDEX('Game Records'!$W:$W,$H315))),NOT(ISFORMULA(INDEX('Game Records'!$X:$X,$H315))),NOT(ISFORMULA(INDEX('Game Records'!$Y:$Y,$H315))),NOT(ISFORMULA(INDEX('Game Records'!$Z:$Z,$H315)))),"Formula columns missing; ","")&amp;IF(INDEX('Game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Earned; ","")&amp;IF(AND(LOWER(INDEX('Game Records'!$D:$D,$H315)&amp;"")="finalized",INDEX('Game Records'!$U:$U,$H315)&lt;&gt;"Subscription",INDEX('Game Records'!$U:$U,$H315)&lt;&gt;"Free Game",INDEX('Game Records'!$U:$U,$H315)&lt;&gt;"Disqualified — Free Game",OR(INDEX('Game Records'!$L:$L,$H315)="",LOWER(INDEX('Game Records'!$L:$L,$H315)&amp;"")="n/a")),"Disqualified Status; ","")&amp;IF(AND(OR(INDEX('Game Records'!$U:$U,$H315)="Free Game",INDEX('Game Records'!$U:$U,$H315)="Disqualified — Free Game"),N(INDEX('Game Records'!$H:$H,$H315))&lt;&gt;0),"Free Game has a non-zero Entry Fee; ",""))</f>
        <v/>
      </c>
      <c r="G315" s="331" t="str">
        <f>IF($H315="","",IFERROR(INDEX('Game Records'!$M:$M,$H315),""))</f>
        <v/>
      </c>
      <c r="H315" s="104" t="str">
        <f>IF($H314="","",IFERROR(MATCH(1,INDEX((ROW('Game Records'!$U$5:$U$504)&gt;$H314)*(('Game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6" ht="24" customHeight="1">
      <c r="A316" s="332" t="str">
        <f>IF($H316="","",ROWS($A$5:A316))</f>
        <v/>
      </c>
      <c r="B316" s="332" t="str">
        <f>IF($H316="","","G-"&amp;TEXT($A316,"0000"))</f>
        <v/>
      </c>
      <c r="C316" s="331" t="str">
        <f>IF($H316="","",IFERROR(INDEX('Game Records'!$A:$A,$H316),""))</f>
        <v/>
      </c>
      <c r="D316" s="331" t="str">
        <f>IF($H316="","",IFERROR(INDEX('Game Records'!$U:$U,$H316),""))</f>
        <v/>
      </c>
      <c r="E316" s="331" t="str">
        <f>IF($H316="","",IF($F316="","No Highlighted Fields","Highlighted Fields Present"))</f>
        <v/>
      </c>
      <c r="F316" s="331" t="str">
        <f>IF($H316="","",IF(OR(NOT(ISFORMULA(INDEX('Game Records'!$N:$N,$H316))),NOT(ISFORMULA(INDEX('Game Records'!$O:$O,$H316))),NOT(ISFORMULA(INDEX('Game Records'!$P:$P,$H316))),NOT(ISFORMULA(INDEX('Game Records'!$Q:$Q,$H316))),NOT(ISFORMULA(INDEX('Game Records'!$R:$R,$H316))),NOT(ISFORMULA(INDEX('Game Records'!$S:$S,$H316))),NOT(ISFORMULA(INDEX('Game Records'!$T:$T,$H316))),NOT(ISFORMULA(INDEX('Game Records'!$U:$U,$H316))),NOT(ISFORMULA(INDEX('Game Records'!$V:$V,$H316))),NOT(ISFORMULA(INDEX('Game Records'!$W:$W,$H316))),NOT(ISFORMULA(INDEX('Game Records'!$X:$X,$H316))),NOT(ISFORMULA(INDEX('Game Records'!$Y:$Y,$H316))),NOT(ISFORMULA(INDEX('Game Records'!$Z:$Z,$H316)))),"Formula columns missing; ","")&amp;IF(INDEX('Game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Earned; ","")&amp;IF(AND(LOWER(INDEX('Game Records'!$D:$D,$H316)&amp;"")="finalized",INDEX('Game Records'!$U:$U,$H316)&lt;&gt;"Subscription",INDEX('Game Records'!$U:$U,$H316)&lt;&gt;"Free Game",INDEX('Game Records'!$U:$U,$H316)&lt;&gt;"Disqualified — Free Game",OR(INDEX('Game Records'!$L:$L,$H316)="",LOWER(INDEX('Game Records'!$L:$L,$H316)&amp;"")="n/a")),"Disqualified Status; ","")&amp;IF(AND(OR(INDEX('Game Records'!$U:$U,$H316)="Free Game",INDEX('Game Records'!$U:$U,$H316)="Disqualified — Free Game"),N(INDEX('Game Records'!$H:$H,$H316))&lt;&gt;0),"Free Game has a non-zero Entry Fee; ",""))</f>
        <v/>
      </c>
      <c r="G316" s="331" t="str">
        <f>IF($H316="","",IFERROR(INDEX('Game Records'!$M:$M,$H316),""))</f>
        <v/>
      </c>
      <c r="H316" s="104" t="str">
        <f>IF($H315="","",IFERROR(MATCH(1,INDEX((ROW('Game Records'!$U$5:$U$504)&gt;$H315)*(('Game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7" ht="24" customHeight="1">
      <c r="A317" s="332" t="str">
        <f>IF($H317="","",ROWS($A$5:A317))</f>
        <v/>
      </c>
      <c r="B317" s="332" t="str">
        <f>IF($H317="","","G-"&amp;TEXT($A317,"0000"))</f>
        <v/>
      </c>
      <c r="C317" s="331" t="str">
        <f>IF($H317="","",IFERROR(INDEX('Game Records'!$A:$A,$H317),""))</f>
        <v/>
      </c>
      <c r="D317" s="331" t="str">
        <f>IF($H317="","",IFERROR(INDEX('Game Records'!$U:$U,$H317),""))</f>
        <v/>
      </c>
      <c r="E317" s="331" t="str">
        <f>IF($H317="","",IF($F317="","No Highlighted Fields","Highlighted Fields Present"))</f>
        <v/>
      </c>
      <c r="F317" s="331" t="str">
        <f>IF($H317="","",IF(OR(NOT(ISFORMULA(INDEX('Game Records'!$N:$N,$H317))),NOT(ISFORMULA(INDEX('Game Records'!$O:$O,$H317))),NOT(ISFORMULA(INDEX('Game Records'!$P:$P,$H317))),NOT(ISFORMULA(INDEX('Game Records'!$Q:$Q,$H317))),NOT(ISFORMULA(INDEX('Game Records'!$R:$R,$H317))),NOT(ISFORMULA(INDEX('Game Records'!$S:$S,$H317))),NOT(ISFORMULA(INDEX('Game Records'!$T:$T,$H317))),NOT(ISFORMULA(INDEX('Game Records'!$U:$U,$H317))),NOT(ISFORMULA(INDEX('Game Records'!$V:$V,$H317))),NOT(ISFORMULA(INDEX('Game Records'!$W:$W,$H317))),NOT(ISFORMULA(INDEX('Game Records'!$X:$X,$H317))),NOT(ISFORMULA(INDEX('Game Records'!$Y:$Y,$H317))),NOT(ISFORMULA(INDEX('Game Records'!$Z:$Z,$H317)))),"Formula columns missing; ","")&amp;IF(INDEX('Game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Earned; ","")&amp;IF(AND(LOWER(INDEX('Game Records'!$D:$D,$H317)&amp;"")="finalized",INDEX('Game Records'!$U:$U,$H317)&lt;&gt;"Subscription",INDEX('Game Records'!$U:$U,$H317)&lt;&gt;"Free Game",INDEX('Game Records'!$U:$U,$H317)&lt;&gt;"Disqualified — Free Game",OR(INDEX('Game Records'!$L:$L,$H317)="",LOWER(INDEX('Game Records'!$L:$L,$H317)&amp;"")="n/a")),"Disqualified Status; ","")&amp;IF(AND(OR(INDEX('Game Records'!$U:$U,$H317)="Free Game",INDEX('Game Records'!$U:$U,$H317)="Disqualified — Free Game"),N(INDEX('Game Records'!$H:$H,$H317))&lt;&gt;0),"Free Game has a non-zero Entry Fee; ",""))</f>
        <v/>
      </c>
      <c r="G317" s="331" t="str">
        <f>IF($H317="","",IFERROR(INDEX('Game Records'!$M:$M,$H317),""))</f>
        <v/>
      </c>
      <c r="H317" s="104" t="str">
        <f>IF($H316="","",IFERROR(MATCH(1,INDEX((ROW('Game Records'!$U$5:$U$504)&gt;$H316)*(('Game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8" ht="24" customHeight="1">
      <c r="A318" s="332" t="str">
        <f>IF($H318="","",ROWS($A$5:A318))</f>
        <v/>
      </c>
      <c r="B318" s="332" t="str">
        <f>IF($H318="","","G-"&amp;TEXT($A318,"0000"))</f>
        <v/>
      </c>
      <c r="C318" s="331" t="str">
        <f>IF($H318="","",IFERROR(INDEX('Game Records'!$A:$A,$H318),""))</f>
        <v/>
      </c>
      <c r="D318" s="331" t="str">
        <f>IF($H318="","",IFERROR(INDEX('Game Records'!$U:$U,$H318),""))</f>
        <v/>
      </c>
      <c r="E318" s="331" t="str">
        <f>IF($H318="","",IF($F318="","No Highlighted Fields","Highlighted Fields Present"))</f>
        <v/>
      </c>
      <c r="F318" s="331" t="str">
        <f>IF($H318="","",IF(OR(NOT(ISFORMULA(INDEX('Game Records'!$N:$N,$H318))),NOT(ISFORMULA(INDEX('Game Records'!$O:$O,$H318))),NOT(ISFORMULA(INDEX('Game Records'!$P:$P,$H318))),NOT(ISFORMULA(INDEX('Game Records'!$Q:$Q,$H318))),NOT(ISFORMULA(INDEX('Game Records'!$R:$R,$H318))),NOT(ISFORMULA(INDEX('Game Records'!$S:$S,$H318))),NOT(ISFORMULA(INDEX('Game Records'!$T:$T,$H318))),NOT(ISFORMULA(INDEX('Game Records'!$U:$U,$H318))),NOT(ISFORMULA(INDEX('Game Records'!$V:$V,$H318))),NOT(ISFORMULA(INDEX('Game Records'!$W:$W,$H318))),NOT(ISFORMULA(INDEX('Game Records'!$X:$X,$H318))),NOT(ISFORMULA(INDEX('Game Records'!$Y:$Y,$H318))),NOT(ISFORMULA(INDEX('Game Records'!$Z:$Z,$H318)))),"Formula columns missing; ","")&amp;IF(INDEX('Game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Earned; ","")&amp;IF(AND(LOWER(INDEX('Game Records'!$D:$D,$H318)&amp;"")="finalized",INDEX('Game Records'!$U:$U,$H318)&lt;&gt;"Subscription",INDEX('Game Records'!$U:$U,$H318)&lt;&gt;"Free Game",INDEX('Game Records'!$U:$U,$H318)&lt;&gt;"Disqualified — Free Game",OR(INDEX('Game Records'!$L:$L,$H318)="",LOWER(INDEX('Game Records'!$L:$L,$H318)&amp;"")="n/a")),"Disqualified Status; ","")&amp;IF(AND(OR(INDEX('Game Records'!$U:$U,$H318)="Free Game",INDEX('Game Records'!$U:$U,$H318)="Disqualified — Free Game"),N(INDEX('Game Records'!$H:$H,$H318))&lt;&gt;0),"Free Game has a non-zero Entry Fee; ",""))</f>
        <v/>
      </c>
      <c r="G318" s="331" t="str">
        <f>IF($H318="","",IFERROR(INDEX('Game Records'!$M:$M,$H318),""))</f>
        <v/>
      </c>
      <c r="H318" s="104" t="str">
        <f>IF($H317="","",IFERROR(MATCH(1,INDEX((ROW('Game Records'!$U$5:$U$504)&gt;$H317)*(('Game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9" ht="24" customHeight="1">
      <c r="A319" s="332" t="str">
        <f>IF($H319="","",ROWS($A$5:A319))</f>
        <v/>
      </c>
      <c r="B319" s="332" t="str">
        <f>IF($H319="","","G-"&amp;TEXT($A319,"0000"))</f>
        <v/>
      </c>
      <c r="C319" s="331" t="str">
        <f>IF($H319="","",IFERROR(INDEX('Game Records'!$A:$A,$H319),""))</f>
        <v/>
      </c>
      <c r="D319" s="331" t="str">
        <f>IF($H319="","",IFERROR(INDEX('Game Records'!$U:$U,$H319),""))</f>
        <v/>
      </c>
      <c r="E319" s="331" t="str">
        <f>IF($H319="","",IF($F319="","No Highlighted Fields","Highlighted Fields Present"))</f>
        <v/>
      </c>
      <c r="F319" s="331" t="str">
        <f>IF($H319="","",IF(OR(NOT(ISFORMULA(INDEX('Game Records'!$N:$N,$H319))),NOT(ISFORMULA(INDEX('Game Records'!$O:$O,$H319))),NOT(ISFORMULA(INDEX('Game Records'!$P:$P,$H319))),NOT(ISFORMULA(INDEX('Game Records'!$Q:$Q,$H319))),NOT(ISFORMULA(INDEX('Game Records'!$R:$R,$H319))),NOT(ISFORMULA(INDEX('Game Records'!$S:$S,$H319))),NOT(ISFORMULA(INDEX('Game Records'!$T:$T,$H319))),NOT(ISFORMULA(INDEX('Game Records'!$U:$U,$H319))),NOT(ISFORMULA(INDEX('Game Records'!$V:$V,$H319))),NOT(ISFORMULA(INDEX('Game Records'!$W:$W,$H319))),NOT(ISFORMULA(INDEX('Game Records'!$X:$X,$H319))),NOT(ISFORMULA(INDEX('Game Records'!$Y:$Y,$H319))),NOT(ISFORMULA(INDEX('Game Records'!$Z:$Z,$H319)))),"Formula columns missing; ","")&amp;IF(INDEX('Game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Earned; ","")&amp;IF(AND(LOWER(INDEX('Game Records'!$D:$D,$H319)&amp;"")="finalized",INDEX('Game Records'!$U:$U,$H319)&lt;&gt;"Subscription",INDEX('Game Records'!$U:$U,$H319)&lt;&gt;"Free Game",INDEX('Game Records'!$U:$U,$H319)&lt;&gt;"Disqualified — Free Game",OR(INDEX('Game Records'!$L:$L,$H319)="",LOWER(INDEX('Game Records'!$L:$L,$H319)&amp;"")="n/a")),"Disqualified Status; ","")&amp;IF(AND(OR(INDEX('Game Records'!$U:$U,$H319)="Free Game",INDEX('Game Records'!$U:$U,$H319)="Disqualified — Free Game"),N(INDEX('Game Records'!$H:$H,$H319))&lt;&gt;0),"Free Game has a non-zero Entry Fee; ",""))</f>
        <v/>
      </c>
      <c r="G319" s="331" t="str">
        <f>IF($H319="","",IFERROR(INDEX('Game Records'!$M:$M,$H319),""))</f>
        <v/>
      </c>
      <c r="H319" s="104" t="str">
        <f>IF($H318="","",IFERROR(MATCH(1,INDEX((ROW('Game Records'!$U$5:$U$504)&gt;$H318)*(('Game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0" ht="24" customHeight="1">
      <c r="A320" s="332" t="str">
        <f>IF($H320="","",ROWS($A$5:A320))</f>
        <v/>
      </c>
      <c r="B320" s="332" t="str">
        <f>IF($H320="","","G-"&amp;TEXT($A320,"0000"))</f>
        <v/>
      </c>
      <c r="C320" s="331" t="str">
        <f>IF($H320="","",IFERROR(INDEX('Game Records'!$A:$A,$H320),""))</f>
        <v/>
      </c>
      <c r="D320" s="331" t="str">
        <f>IF($H320="","",IFERROR(INDEX('Game Records'!$U:$U,$H320),""))</f>
        <v/>
      </c>
      <c r="E320" s="331" t="str">
        <f>IF($H320="","",IF($F320="","No Highlighted Fields","Highlighted Fields Present"))</f>
        <v/>
      </c>
      <c r="F320" s="331" t="str">
        <f>IF($H320="","",IF(OR(NOT(ISFORMULA(INDEX('Game Records'!$N:$N,$H320))),NOT(ISFORMULA(INDEX('Game Records'!$O:$O,$H320))),NOT(ISFORMULA(INDEX('Game Records'!$P:$P,$H320))),NOT(ISFORMULA(INDEX('Game Records'!$Q:$Q,$H320))),NOT(ISFORMULA(INDEX('Game Records'!$R:$R,$H320))),NOT(ISFORMULA(INDEX('Game Records'!$S:$S,$H320))),NOT(ISFORMULA(INDEX('Game Records'!$T:$T,$H320))),NOT(ISFORMULA(INDEX('Game Records'!$U:$U,$H320))),NOT(ISFORMULA(INDEX('Game Records'!$V:$V,$H320))),NOT(ISFORMULA(INDEX('Game Records'!$W:$W,$H320))),NOT(ISFORMULA(INDEX('Game Records'!$X:$X,$H320))),NOT(ISFORMULA(INDEX('Game Records'!$Y:$Y,$H320))),NOT(ISFORMULA(INDEX('Game Records'!$Z:$Z,$H320)))),"Formula columns missing; ","")&amp;IF(INDEX('Game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Earned; ","")&amp;IF(AND(LOWER(INDEX('Game Records'!$D:$D,$H320)&amp;"")="finalized",INDEX('Game Records'!$U:$U,$H320)&lt;&gt;"Subscription",INDEX('Game Records'!$U:$U,$H320)&lt;&gt;"Free Game",INDEX('Game Records'!$U:$U,$H320)&lt;&gt;"Disqualified — Free Game",OR(INDEX('Game Records'!$L:$L,$H320)="",LOWER(INDEX('Game Records'!$L:$L,$H320)&amp;"")="n/a")),"Disqualified Status; ","")&amp;IF(AND(OR(INDEX('Game Records'!$U:$U,$H320)="Free Game",INDEX('Game Records'!$U:$U,$H320)="Disqualified — Free Game"),N(INDEX('Game Records'!$H:$H,$H320))&lt;&gt;0),"Free Game has a non-zero Entry Fee; ",""))</f>
        <v/>
      </c>
      <c r="G320" s="331" t="str">
        <f>IF($H320="","",IFERROR(INDEX('Game Records'!$M:$M,$H320),""))</f>
        <v/>
      </c>
      <c r="H320" s="104" t="str">
        <f>IF($H319="","",IFERROR(MATCH(1,INDEX((ROW('Game Records'!$U$5:$U$504)&gt;$H319)*(('Game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1" ht="24" customHeight="1">
      <c r="A321" s="332" t="str">
        <f>IF($H321="","",ROWS($A$5:A321))</f>
        <v/>
      </c>
      <c r="B321" s="332" t="str">
        <f>IF($H321="","","G-"&amp;TEXT($A321,"0000"))</f>
        <v/>
      </c>
      <c r="C321" s="331" t="str">
        <f>IF($H321="","",IFERROR(INDEX('Game Records'!$A:$A,$H321),""))</f>
        <v/>
      </c>
      <c r="D321" s="331" t="str">
        <f>IF($H321="","",IFERROR(INDEX('Game Records'!$U:$U,$H321),""))</f>
        <v/>
      </c>
      <c r="E321" s="331" t="str">
        <f>IF($H321="","",IF($F321="","No Highlighted Fields","Highlighted Fields Present"))</f>
        <v/>
      </c>
      <c r="F321" s="331" t="str">
        <f>IF($H321="","",IF(OR(NOT(ISFORMULA(INDEX('Game Records'!$N:$N,$H321))),NOT(ISFORMULA(INDEX('Game Records'!$O:$O,$H321))),NOT(ISFORMULA(INDEX('Game Records'!$P:$P,$H321))),NOT(ISFORMULA(INDEX('Game Records'!$Q:$Q,$H321))),NOT(ISFORMULA(INDEX('Game Records'!$R:$R,$H321))),NOT(ISFORMULA(INDEX('Game Records'!$S:$S,$H321))),NOT(ISFORMULA(INDEX('Game Records'!$T:$T,$H321))),NOT(ISFORMULA(INDEX('Game Records'!$U:$U,$H321))),NOT(ISFORMULA(INDEX('Game Records'!$V:$V,$H321))),NOT(ISFORMULA(INDEX('Game Records'!$W:$W,$H321))),NOT(ISFORMULA(INDEX('Game Records'!$X:$X,$H321))),NOT(ISFORMULA(INDEX('Game Records'!$Y:$Y,$H321))),NOT(ISFORMULA(INDEX('Game Records'!$Z:$Z,$H321)))),"Formula columns missing; ","")&amp;IF(INDEX('Game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Earned; ","")&amp;IF(AND(LOWER(INDEX('Game Records'!$D:$D,$H321)&amp;"")="finalized",INDEX('Game Records'!$U:$U,$H321)&lt;&gt;"Subscription",INDEX('Game Records'!$U:$U,$H321)&lt;&gt;"Free Game",INDEX('Game Records'!$U:$U,$H321)&lt;&gt;"Disqualified — Free Game",OR(INDEX('Game Records'!$L:$L,$H321)="",LOWER(INDEX('Game Records'!$L:$L,$H321)&amp;"")="n/a")),"Disqualified Status; ","")&amp;IF(AND(OR(INDEX('Game Records'!$U:$U,$H321)="Free Game",INDEX('Game Records'!$U:$U,$H321)="Disqualified — Free Game"),N(INDEX('Game Records'!$H:$H,$H321))&lt;&gt;0),"Free Game has a non-zero Entry Fee; ",""))</f>
        <v/>
      </c>
      <c r="G321" s="331" t="str">
        <f>IF($H321="","",IFERROR(INDEX('Game Records'!$M:$M,$H321),""))</f>
        <v/>
      </c>
      <c r="H321" s="104" t="str">
        <f>IF($H320="","",IFERROR(MATCH(1,INDEX((ROW('Game Records'!$U$5:$U$504)&gt;$H320)*(('Game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2" ht="24" customHeight="1">
      <c r="A322" s="332" t="str">
        <f>IF($H322="","",ROWS($A$5:A322))</f>
        <v/>
      </c>
      <c r="B322" s="332" t="str">
        <f>IF($H322="","","G-"&amp;TEXT($A322,"0000"))</f>
        <v/>
      </c>
      <c r="C322" s="331" t="str">
        <f>IF($H322="","",IFERROR(INDEX('Game Records'!$A:$A,$H322),""))</f>
        <v/>
      </c>
      <c r="D322" s="331" t="str">
        <f>IF($H322="","",IFERROR(INDEX('Game Records'!$U:$U,$H322),""))</f>
        <v/>
      </c>
      <c r="E322" s="331" t="str">
        <f>IF($H322="","",IF($F322="","No Highlighted Fields","Highlighted Fields Present"))</f>
        <v/>
      </c>
      <c r="F322" s="331" t="str">
        <f>IF($H322="","",IF(OR(NOT(ISFORMULA(INDEX('Game Records'!$N:$N,$H322))),NOT(ISFORMULA(INDEX('Game Records'!$O:$O,$H322))),NOT(ISFORMULA(INDEX('Game Records'!$P:$P,$H322))),NOT(ISFORMULA(INDEX('Game Records'!$Q:$Q,$H322))),NOT(ISFORMULA(INDEX('Game Records'!$R:$R,$H322))),NOT(ISFORMULA(INDEX('Game Records'!$S:$S,$H322))),NOT(ISFORMULA(INDEX('Game Records'!$T:$T,$H322))),NOT(ISFORMULA(INDEX('Game Records'!$U:$U,$H322))),NOT(ISFORMULA(INDEX('Game Records'!$V:$V,$H322))),NOT(ISFORMULA(INDEX('Game Records'!$W:$W,$H322))),NOT(ISFORMULA(INDEX('Game Records'!$X:$X,$H322))),NOT(ISFORMULA(INDEX('Game Records'!$Y:$Y,$H322))),NOT(ISFORMULA(INDEX('Game Records'!$Z:$Z,$H322)))),"Formula columns missing; ","")&amp;IF(INDEX('Game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Earned; ","")&amp;IF(AND(LOWER(INDEX('Game Records'!$D:$D,$H322)&amp;"")="finalized",INDEX('Game Records'!$U:$U,$H322)&lt;&gt;"Subscription",INDEX('Game Records'!$U:$U,$H322)&lt;&gt;"Free Game",INDEX('Game Records'!$U:$U,$H322)&lt;&gt;"Disqualified — Free Game",OR(INDEX('Game Records'!$L:$L,$H322)="",LOWER(INDEX('Game Records'!$L:$L,$H322)&amp;"")="n/a")),"Disqualified Status; ","")&amp;IF(AND(OR(INDEX('Game Records'!$U:$U,$H322)="Free Game",INDEX('Game Records'!$U:$U,$H322)="Disqualified — Free Game"),N(INDEX('Game Records'!$H:$H,$H322))&lt;&gt;0),"Free Game has a non-zero Entry Fee; ",""))</f>
        <v/>
      </c>
      <c r="G322" s="331" t="str">
        <f>IF($H322="","",IFERROR(INDEX('Game Records'!$M:$M,$H322),""))</f>
        <v/>
      </c>
      <c r="H322" s="104" t="str">
        <f>IF($H321="","",IFERROR(MATCH(1,INDEX((ROW('Game Records'!$U$5:$U$504)&gt;$H321)*(('Game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3" ht="24" customHeight="1">
      <c r="A323" s="332" t="str">
        <f>IF($H323="","",ROWS($A$5:A323))</f>
        <v/>
      </c>
      <c r="B323" s="332" t="str">
        <f>IF($H323="","","G-"&amp;TEXT($A323,"0000"))</f>
        <v/>
      </c>
      <c r="C323" s="331" t="str">
        <f>IF($H323="","",IFERROR(INDEX('Game Records'!$A:$A,$H323),""))</f>
        <v/>
      </c>
      <c r="D323" s="331" t="str">
        <f>IF($H323="","",IFERROR(INDEX('Game Records'!$U:$U,$H323),""))</f>
        <v/>
      </c>
      <c r="E323" s="331" t="str">
        <f>IF($H323="","",IF($F323="","No Highlighted Fields","Highlighted Fields Present"))</f>
        <v/>
      </c>
      <c r="F323" s="331" t="str">
        <f>IF($H323="","",IF(OR(NOT(ISFORMULA(INDEX('Game Records'!$N:$N,$H323))),NOT(ISFORMULA(INDEX('Game Records'!$O:$O,$H323))),NOT(ISFORMULA(INDEX('Game Records'!$P:$P,$H323))),NOT(ISFORMULA(INDEX('Game Records'!$Q:$Q,$H323))),NOT(ISFORMULA(INDEX('Game Records'!$R:$R,$H323))),NOT(ISFORMULA(INDEX('Game Records'!$S:$S,$H323))),NOT(ISFORMULA(INDEX('Game Records'!$T:$T,$H323))),NOT(ISFORMULA(INDEX('Game Records'!$U:$U,$H323))),NOT(ISFORMULA(INDEX('Game Records'!$V:$V,$H323))),NOT(ISFORMULA(INDEX('Game Records'!$W:$W,$H323))),NOT(ISFORMULA(INDEX('Game Records'!$X:$X,$H323))),NOT(ISFORMULA(INDEX('Game Records'!$Y:$Y,$H323))),NOT(ISFORMULA(INDEX('Game Records'!$Z:$Z,$H323)))),"Formula columns missing; ","")&amp;IF(INDEX('Game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Earned; ","")&amp;IF(AND(LOWER(INDEX('Game Records'!$D:$D,$H323)&amp;"")="finalized",INDEX('Game Records'!$U:$U,$H323)&lt;&gt;"Subscription",INDEX('Game Records'!$U:$U,$H323)&lt;&gt;"Free Game",INDEX('Game Records'!$U:$U,$H323)&lt;&gt;"Disqualified — Free Game",OR(INDEX('Game Records'!$L:$L,$H323)="",LOWER(INDEX('Game Records'!$L:$L,$H323)&amp;"")="n/a")),"Disqualified Status; ","")&amp;IF(AND(OR(INDEX('Game Records'!$U:$U,$H323)="Free Game",INDEX('Game Records'!$U:$U,$H323)="Disqualified — Free Game"),N(INDEX('Game Records'!$H:$H,$H323))&lt;&gt;0),"Free Game has a non-zero Entry Fee; ",""))</f>
        <v/>
      </c>
      <c r="G323" s="331" t="str">
        <f>IF($H323="","",IFERROR(INDEX('Game Records'!$M:$M,$H323),""))</f>
        <v/>
      </c>
      <c r="H323" s="104" t="str">
        <f>IF($H322="","",IFERROR(MATCH(1,INDEX((ROW('Game Records'!$U$5:$U$504)&gt;$H322)*(('Game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4" ht="24" customHeight="1">
      <c r="A324" s="332" t="str">
        <f>IF($H324="","",ROWS($A$5:A324))</f>
        <v/>
      </c>
      <c r="B324" s="332" t="str">
        <f>IF($H324="","","G-"&amp;TEXT($A324,"0000"))</f>
        <v/>
      </c>
      <c r="C324" s="331" t="str">
        <f>IF($H324="","",IFERROR(INDEX('Game Records'!$A:$A,$H324),""))</f>
        <v/>
      </c>
      <c r="D324" s="331" t="str">
        <f>IF($H324="","",IFERROR(INDEX('Game Records'!$U:$U,$H324),""))</f>
        <v/>
      </c>
      <c r="E324" s="331" t="str">
        <f>IF($H324="","",IF($F324="","No Highlighted Fields","Highlighted Fields Present"))</f>
        <v/>
      </c>
      <c r="F324" s="331" t="str">
        <f>IF($H324="","",IF(OR(NOT(ISFORMULA(INDEX('Game Records'!$N:$N,$H324))),NOT(ISFORMULA(INDEX('Game Records'!$O:$O,$H324))),NOT(ISFORMULA(INDEX('Game Records'!$P:$P,$H324))),NOT(ISFORMULA(INDEX('Game Records'!$Q:$Q,$H324))),NOT(ISFORMULA(INDEX('Game Records'!$R:$R,$H324))),NOT(ISFORMULA(INDEX('Game Records'!$S:$S,$H324))),NOT(ISFORMULA(INDEX('Game Records'!$T:$T,$H324))),NOT(ISFORMULA(INDEX('Game Records'!$U:$U,$H324))),NOT(ISFORMULA(INDEX('Game Records'!$V:$V,$H324))),NOT(ISFORMULA(INDEX('Game Records'!$W:$W,$H324))),NOT(ISFORMULA(INDEX('Game Records'!$X:$X,$H324))),NOT(ISFORMULA(INDEX('Game Records'!$Y:$Y,$H324))),NOT(ISFORMULA(INDEX('Game Records'!$Z:$Z,$H324)))),"Formula columns missing; ","")&amp;IF(INDEX('Game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Earned; ","")&amp;IF(AND(LOWER(INDEX('Game Records'!$D:$D,$H324)&amp;"")="finalized",INDEX('Game Records'!$U:$U,$H324)&lt;&gt;"Subscription",INDEX('Game Records'!$U:$U,$H324)&lt;&gt;"Free Game",INDEX('Game Records'!$U:$U,$H324)&lt;&gt;"Disqualified — Free Game",OR(INDEX('Game Records'!$L:$L,$H324)="",LOWER(INDEX('Game Records'!$L:$L,$H324)&amp;"")="n/a")),"Disqualified Status; ","")&amp;IF(AND(OR(INDEX('Game Records'!$U:$U,$H324)="Free Game",INDEX('Game Records'!$U:$U,$H324)="Disqualified — Free Game"),N(INDEX('Game Records'!$H:$H,$H324))&lt;&gt;0),"Free Game has a non-zero Entry Fee; ",""))</f>
        <v/>
      </c>
      <c r="G324" s="331" t="str">
        <f>IF($H324="","",IFERROR(INDEX('Game Records'!$M:$M,$H324),""))</f>
        <v/>
      </c>
      <c r="H324" s="104" t="str">
        <f>IF($H323="","",IFERROR(MATCH(1,INDEX((ROW('Game Records'!$U$5:$U$504)&gt;$H323)*(('Game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5" ht="24" customHeight="1">
      <c r="A325" s="332" t="str">
        <f>IF($H325="","",ROWS($A$5:A325))</f>
        <v/>
      </c>
      <c r="B325" s="332" t="str">
        <f>IF($H325="","","G-"&amp;TEXT($A325,"0000"))</f>
        <v/>
      </c>
      <c r="C325" s="331" t="str">
        <f>IF($H325="","",IFERROR(INDEX('Game Records'!$A:$A,$H325),""))</f>
        <v/>
      </c>
      <c r="D325" s="331" t="str">
        <f>IF($H325="","",IFERROR(INDEX('Game Records'!$U:$U,$H325),""))</f>
        <v/>
      </c>
      <c r="E325" s="331" t="str">
        <f>IF($H325="","",IF($F325="","No Highlighted Fields","Highlighted Fields Present"))</f>
        <v/>
      </c>
      <c r="F325" s="331" t="str">
        <f>IF($H325="","",IF(OR(NOT(ISFORMULA(INDEX('Game Records'!$N:$N,$H325))),NOT(ISFORMULA(INDEX('Game Records'!$O:$O,$H325))),NOT(ISFORMULA(INDEX('Game Records'!$P:$P,$H325))),NOT(ISFORMULA(INDEX('Game Records'!$Q:$Q,$H325))),NOT(ISFORMULA(INDEX('Game Records'!$R:$R,$H325))),NOT(ISFORMULA(INDEX('Game Records'!$S:$S,$H325))),NOT(ISFORMULA(INDEX('Game Records'!$T:$T,$H325))),NOT(ISFORMULA(INDEX('Game Records'!$U:$U,$H325))),NOT(ISFORMULA(INDEX('Game Records'!$V:$V,$H325))),NOT(ISFORMULA(INDEX('Game Records'!$W:$W,$H325))),NOT(ISFORMULA(INDEX('Game Records'!$X:$X,$H325))),NOT(ISFORMULA(INDEX('Game Records'!$Y:$Y,$H325))),NOT(ISFORMULA(INDEX('Game Records'!$Z:$Z,$H325)))),"Formula columns missing; ","")&amp;IF(INDEX('Game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Earned; ","")&amp;IF(AND(LOWER(INDEX('Game Records'!$D:$D,$H325)&amp;"")="finalized",INDEX('Game Records'!$U:$U,$H325)&lt;&gt;"Subscription",INDEX('Game Records'!$U:$U,$H325)&lt;&gt;"Free Game",INDEX('Game Records'!$U:$U,$H325)&lt;&gt;"Disqualified — Free Game",OR(INDEX('Game Records'!$L:$L,$H325)="",LOWER(INDEX('Game Records'!$L:$L,$H325)&amp;"")="n/a")),"Disqualified Status; ","")&amp;IF(AND(OR(INDEX('Game Records'!$U:$U,$H325)="Free Game",INDEX('Game Records'!$U:$U,$H325)="Disqualified — Free Game"),N(INDEX('Game Records'!$H:$H,$H325))&lt;&gt;0),"Free Game has a non-zero Entry Fee; ",""))</f>
        <v/>
      </c>
      <c r="G325" s="331" t="str">
        <f>IF($H325="","",IFERROR(INDEX('Game Records'!$M:$M,$H325),""))</f>
        <v/>
      </c>
      <c r="H325" s="104" t="str">
        <f>IF($H324="","",IFERROR(MATCH(1,INDEX((ROW('Game Records'!$U$5:$U$504)&gt;$H324)*(('Game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6" ht="24" customHeight="1">
      <c r="A326" s="332" t="str">
        <f>IF($H326="","",ROWS($A$5:A326))</f>
        <v/>
      </c>
      <c r="B326" s="332" t="str">
        <f>IF($H326="","","G-"&amp;TEXT($A326,"0000"))</f>
        <v/>
      </c>
      <c r="C326" s="331" t="str">
        <f>IF($H326="","",IFERROR(INDEX('Game Records'!$A:$A,$H326),""))</f>
        <v/>
      </c>
      <c r="D326" s="331" t="str">
        <f>IF($H326="","",IFERROR(INDEX('Game Records'!$U:$U,$H326),""))</f>
        <v/>
      </c>
      <c r="E326" s="331" t="str">
        <f>IF($H326="","",IF($F326="","No Highlighted Fields","Highlighted Fields Present"))</f>
        <v/>
      </c>
      <c r="F326" s="331" t="str">
        <f>IF($H326="","",IF(OR(NOT(ISFORMULA(INDEX('Game Records'!$N:$N,$H326))),NOT(ISFORMULA(INDEX('Game Records'!$O:$O,$H326))),NOT(ISFORMULA(INDEX('Game Records'!$P:$P,$H326))),NOT(ISFORMULA(INDEX('Game Records'!$Q:$Q,$H326))),NOT(ISFORMULA(INDEX('Game Records'!$R:$R,$H326))),NOT(ISFORMULA(INDEX('Game Records'!$S:$S,$H326))),NOT(ISFORMULA(INDEX('Game Records'!$T:$T,$H326))),NOT(ISFORMULA(INDEX('Game Records'!$U:$U,$H326))),NOT(ISFORMULA(INDEX('Game Records'!$V:$V,$H326))),NOT(ISFORMULA(INDEX('Game Records'!$W:$W,$H326))),NOT(ISFORMULA(INDEX('Game Records'!$X:$X,$H326))),NOT(ISFORMULA(INDEX('Game Records'!$Y:$Y,$H326))),NOT(ISFORMULA(INDEX('Game Records'!$Z:$Z,$H326)))),"Formula columns missing; ","")&amp;IF(INDEX('Game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Earned; ","")&amp;IF(AND(LOWER(INDEX('Game Records'!$D:$D,$H326)&amp;"")="finalized",INDEX('Game Records'!$U:$U,$H326)&lt;&gt;"Subscription",INDEX('Game Records'!$U:$U,$H326)&lt;&gt;"Free Game",INDEX('Game Records'!$U:$U,$H326)&lt;&gt;"Disqualified — Free Game",OR(INDEX('Game Records'!$L:$L,$H326)="",LOWER(INDEX('Game Records'!$L:$L,$H326)&amp;"")="n/a")),"Disqualified Status; ","")&amp;IF(AND(OR(INDEX('Game Records'!$U:$U,$H326)="Free Game",INDEX('Game Records'!$U:$U,$H326)="Disqualified — Free Game"),N(INDEX('Game Records'!$H:$H,$H326))&lt;&gt;0),"Free Game has a non-zero Entry Fee; ",""))</f>
        <v/>
      </c>
      <c r="G326" s="331" t="str">
        <f>IF($H326="","",IFERROR(INDEX('Game Records'!$M:$M,$H326),""))</f>
        <v/>
      </c>
      <c r="H326" s="104" t="str">
        <f>IF($H325="","",IFERROR(MATCH(1,INDEX((ROW('Game Records'!$U$5:$U$504)&gt;$H325)*(('Game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7" ht="24" customHeight="1">
      <c r="A327" s="332" t="str">
        <f>IF($H327="","",ROWS($A$5:A327))</f>
        <v/>
      </c>
      <c r="B327" s="332" t="str">
        <f>IF($H327="","","G-"&amp;TEXT($A327,"0000"))</f>
        <v/>
      </c>
      <c r="C327" s="331" t="str">
        <f>IF($H327="","",IFERROR(INDEX('Game Records'!$A:$A,$H327),""))</f>
        <v/>
      </c>
      <c r="D327" s="331" t="str">
        <f>IF($H327="","",IFERROR(INDEX('Game Records'!$U:$U,$H327),""))</f>
        <v/>
      </c>
      <c r="E327" s="331" t="str">
        <f>IF($H327="","",IF($F327="","No Highlighted Fields","Highlighted Fields Present"))</f>
        <v/>
      </c>
      <c r="F327" s="331" t="str">
        <f>IF($H327="","",IF(OR(NOT(ISFORMULA(INDEX('Game Records'!$N:$N,$H327))),NOT(ISFORMULA(INDEX('Game Records'!$O:$O,$H327))),NOT(ISFORMULA(INDEX('Game Records'!$P:$P,$H327))),NOT(ISFORMULA(INDEX('Game Records'!$Q:$Q,$H327))),NOT(ISFORMULA(INDEX('Game Records'!$R:$R,$H327))),NOT(ISFORMULA(INDEX('Game Records'!$S:$S,$H327))),NOT(ISFORMULA(INDEX('Game Records'!$T:$T,$H327))),NOT(ISFORMULA(INDEX('Game Records'!$U:$U,$H327))),NOT(ISFORMULA(INDEX('Game Records'!$V:$V,$H327))),NOT(ISFORMULA(INDEX('Game Records'!$W:$W,$H327))),NOT(ISFORMULA(INDEX('Game Records'!$X:$X,$H327))),NOT(ISFORMULA(INDEX('Game Records'!$Y:$Y,$H327))),NOT(ISFORMULA(INDEX('Game Records'!$Z:$Z,$H327)))),"Formula columns missing; ","")&amp;IF(INDEX('Game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Earned; ","")&amp;IF(AND(LOWER(INDEX('Game Records'!$D:$D,$H327)&amp;"")="finalized",INDEX('Game Records'!$U:$U,$H327)&lt;&gt;"Subscription",INDEX('Game Records'!$U:$U,$H327)&lt;&gt;"Free Game",INDEX('Game Records'!$U:$U,$H327)&lt;&gt;"Disqualified — Free Game",OR(INDEX('Game Records'!$L:$L,$H327)="",LOWER(INDEX('Game Records'!$L:$L,$H327)&amp;"")="n/a")),"Disqualified Status; ","")&amp;IF(AND(OR(INDEX('Game Records'!$U:$U,$H327)="Free Game",INDEX('Game Records'!$U:$U,$H327)="Disqualified — Free Game"),N(INDEX('Game Records'!$H:$H,$H327))&lt;&gt;0),"Free Game has a non-zero Entry Fee; ",""))</f>
        <v/>
      </c>
      <c r="G327" s="331" t="str">
        <f>IF($H327="","",IFERROR(INDEX('Game Records'!$M:$M,$H327),""))</f>
        <v/>
      </c>
      <c r="H327" s="104" t="str">
        <f>IF($H326="","",IFERROR(MATCH(1,INDEX((ROW('Game Records'!$U$5:$U$504)&gt;$H326)*(('Game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8" ht="24" customHeight="1">
      <c r="A328" s="332" t="str">
        <f>IF($H328="","",ROWS($A$5:A328))</f>
        <v/>
      </c>
      <c r="B328" s="332" t="str">
        <f>IF($H328="","","G-"&amp;TEXT($A328,"0000"))</f>
        <v/>
      </c>
      <c r="C328" s="331" t="str">
        <f>IF($H328="","",IFERROR(INDEX('Game Records'!$A:$A,$H328),""))</f>
        <v/>
      </c>
      <c r="D328" s="331" t="str">
        <f>IF($H328="","",IFERROR(INDEX('Game Records'!$U:$U,$H328),""))</f>
        <v/>
      </c>
      <c r="E328" s="331" t="str">
        <f>IF($H328="","",IF($F328="","No Highlighted Fields","Highlighted Fields Present"))</f>
        <v/>
      </c>
      <c r="F328" s="331" t="str">
        <f>IF($H328="","",IF(OR(NOT(ISFORMULA(INDEX('Game Records'!$N:$N,$H328))),NOT(ISFORMULA(INDEX('Game Records'!$O:$O,$H328))),NOT(ISFORMULA(INDEX('Game Records'!$P:$P,$H328))),NOT(ISFORMULA(INDEX('Game Records'!$Q:$Q,$H328))),NOT(ISFORMULA(INDEX('Game Records'!$R:$R,$H328))),NOT(ISFORMULA(INDEX('Game Records'!$S:$S,$H328))),NOT(ISFORMULA(INDEX('Game Records'!$T:$T,$H328))),NOT(ISFORMULA(INDEX('Game Records'!$U:$U,$H328))),NOT(ISFORMULA(INDEX('Game Records'!$V:$V,$H328))),NOT(ISFORMULA(INDEX('Game Records'!$W:$W,$H328))),NOT(ISFORMULA(INDEX('Game Records'!$X:$X,$H328))),NOT(ISFORMULA(INDEX('Game Records'!$Y:$Y,$H328))),NOT(ISFORMULA(INDEX('Game Records'!$Z:$Z,$H328)))),"Formula columns missing; ","")&amp;IF(INDEX('Game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Earned; ","")&amp;IF(AND(LOWER(INDEX('Game Records'!$D:$D,$H328)&amp;"")="finalized",INDEX('Game Records'!$U:$U,$H328)&lt;&gt;"Subscription",INDEX('Game Records'!$U:$U,$H328)&lt;&gt;"Free Game",INDEX('Game Records'!$U:$U,$H328)&lt;&gt;"Disqualified — Free Game",OR(INDEX('Game Records'!$L:$L,$H328)="",LOWER(INDEX('Game Records'!$L:$L,$H328)&amp;"")="n/a")),"Disqualified Status; ","")&amp;IF(AND(OR(INDEX('Game Records'!$U:$U,$H328)="Free Game",INDEX('Game Records'!$U:$U,$H328)="Disqualified — Free Game"),N(INDEX('Game Records'!$H:$H,$H328))&lt;&gt;0),"Free Game has a non-zero Entry Fee; ",""))</f>
        <v/>
      </c>
      <c r="G328" s="331" t="str">
        <f>IF($H328="","",IFERROR(INDEX('Game Records'!$M:$M,$H328),""))</f>
        <v/>
      </c>
      <c r="H328" s="104" t="str">
        <f>IF($H327="","",IFERROR(MATCH(1,INDEX((ROW('Game Records'!$U$5:$U$504)&gt;$H327)*(('Game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9" ht="24" customHeight="1">
      <c r="A329" s="332" t="str">
        <f>IF($H329="","",ROWS($A$5:A329))</f>
        <v/>
      </c>
      <c r="B329" s="332" t="str">
        <f>IF($H329="","","G-"&amp;TEXT($A329,"0000"))</f>
        <v/>
      </c>
      <c r="C329" s="331" t="str">
        <f>IF($H329="","",IFERROR(INDEX('Game Records'!$A:$A,$H329),""))</f>
        <v/>
      </c>
      <c r="D329" s="331" t="str">
        <f>IF($H329="","",IFERROR(INDEX('Game Records'!$U:$U,$H329),""))</f>
        <v/>
      </c>
      <c r="E329" s="331" t="str">
        <f>IF($H329="","",IF($F329="","No Highlighted Fields","Highlighted Fields Present"))</f>
        <v/>
      </c>
      <c r="F329" s="331" t="str">
        <f>IF($H329="","",IF(OR(NOT(ISFORMULA(INDEX('Game Records'!$N:$N,$H329))),NOT(ISFORMULA(INDEX('Game Records'!$O:$O,$H329))),NOT(ISFORMULA(INDEX('Game Records'!$P:$P,$H329))),NOT(ISFORMULA(INDEX('Game Records'!$Q:$Q,$H329))),NOT(ISFORMULA(INDEX('Game Records'!$R:$R,$H329))),NOT(ISFORMULA(INDEX('Game Records'!$S:$S,$H329))),NOT(ISFORMULA(INDEX('Game Records'!$T:$T,$H329))),NOT(ISFORMULA(INDEX('Game Records'!$U:$U,$H329))),NOT(ISFORMULA(INDEX('Game Records'!$V:$V,$H329))),NOT(ISFORMULA(INDEX('Game Records'!$W:$W,$H329))),NOT(ISFORMULA(INDEX('Game Records'!$X:$X,$H329))),NOT(ISFORMULA(INDEX('Game Records'!$Y:$Y,$H329))),NOT(ISFORMULA(INDEX('Game Records'!$Z:$Z,$H329)))),"Formula columns missing; ","")&amp;IF(INDEX('Game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Earned; ","")&amp;IF(AND(LOWER(INDEX('Game Records'!$D:$D,$H329)&amp;"")="finalized",INDEX('Game Records'!$U:$U,$H329)&lt;&gt;"Subscription",INDEX('Game Records'!$U:$U,$H329)&lt;&gt;"Free Game",INDEX('Game Records'!$U:$U,$H329)&lt;&gt;"Disqualified — Free Game",OR(INDEX('Game Records'!$L:$L,$H329)="",LOWER(INDEX('Game Records'!$L:$L,$H329)&amp;"")="n/a")),"Disqualified Status; ","")&amp;IF(AND(OR(INDEX('Game Records'!$U:$U,$H329)="Free Game",INDEX('Game Records'!$U:$U,$H329)="Disqualified — Free Game"),N(INDEX('Game Records'!$H:$H,$H329))&lt;&gt;0),"Free Game has a non-zero Entry Fee; ",""))</f>
        <v/>
      </c>
      <c r="G329" s="331" t="str">
        <f>IF($H329="","",IFERROR(INDEX('Game Records'!$M:$M,$H329),""))</f>
        <v/>
      </c>
      <c r="H329" s="104" t="str">
        <f>IF($H328="","",IFERROR(MATCH(1,INDEX((ROW('Game Records'!$U$5:$U$504)&gt;$H328)*(('Game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0" ht="24" customHeight="1">
      <c r="A330" s="332" t="str">
        <f>IF($H330="","",ROWS($A$5:A330))</f>
        <v/>
      </c>
      <c r="B330" s="332" t="str">
        <f>IF($H330="","","G-"&amp;TEXT($A330,"0000"))</f>
        <v/>
      </c>
      <c r="C330" s="331" t="str">
        <f>IF($H330="","",IFERROR(INDEX('Game Records'!$A:$A,$H330),""))</f>
        <v/>
      </c>
      <c r="D330" s="331" t="str">
        <f>IF($H330="","",IFERROR(INDEX('Game Records'!$U:$U,$H330),""))</f>
        <v/>
      </c>
      <c r="E330" s="331" t="str">
        <f>IF($H330="","",IF($F330="","No Highlighted Fields","Highlighted Fields Present"))</f>
        <v/>
      </c>
      <c r="F330" s="331" t="str">
        <f>IF($H330="","",IF(OR(NOT(ISFORMULA(INDEX('Game Records'!$N:$N,$H330))),NOT(ISFORMULA(INDEX('Game Records'!$O:$O,$H330))),NOT(ISFORMULA(INDEX('Game Records'!$P:$P,$H330))),NOT(ISFORMULA(INDEX('Game Records'!$Q:$Q,$H330))),NOT(ISFORMULA(INDEX('Game Records'!$R:$R,$H330))),NOT(ISFORMULA(INDEX('Game Records'!$S:$S,$H330))),NOT(ISFORMULA(INDEX('Game Records'!$T:$T,$H330))),NOT(ISFORMULA(INDEX('Game Records'!$U:$U,$H330))),NOT(ISFORMULA(INDEX('Game Records'!$V:$V,$H330))),NOT(ISFORMULA(INDEX('Game Records'!$W:$W,$H330))),NOT(ISFORMULA(INDEX('Game Records'!$X:$X,$H330))),NOT(ISFORMULA(INDEX('Game Records'!$Y:$Y,$H330))),NOT(ISFORMULA(INDEX('Game Records'!$Z:$Z,$H330)))),"Formula columns missing; ","")&amp;IF(INDEX('Game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Earned; ","")&amp;IF(AND(LOWER(INDEX('Game Records'!$D:$D,$H330)&amp;"")="finalized",INDEX('Game Records'!$U:$U,$H330)&lt;&gt;"Subscription",INDEX('Game Records'!$U:$U,$H330)&lt;&gt;"Free Game",INDEX('Game Records'!$U:$U,$H330)&lt;&gt;"Disqualified — Free Game",OR(INDEX('Game Records'!$L:$L,$H330)="",LOWER(INDEX('Game Records'!$L:$L,$H330)&amp;"")="n/a")),"Disqualified Status; ","")&amp;IF(AND(OR(INDEX('Game Records'!$U:$U,$H330)="Free Game",INDEX('Game Records'!$U:$U,$H330)="Disqualified — Free Game"),N(INDEX('Game Records'!$H:$H,$H330))&lt;&gt;0),"Free Game has a non-zero Entry Fee; ",""))</f>
        <v/>
      </c>
      <c r="G330" s="331" t="str">
        <f>IF($H330="","",IFERROR(INDEX('Game Records'!$M:$M,$H330),""))</f>
        <v/>
      </c>
      <c r="H330" s="104" t="str">
        <f>IF($H329="","",IFERROR(MATCH(1,INDEX((ROW('Game Records'!$U$5:$U$504)&gt;$H329)*(('Game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1" ht="24" customHeight="1">
      <c r="A331" s="332" t="str">
        <f>IF($H331="","",ROWS($A$5:A331))</f>
        <v/>
      </c>
      <c r="B331" s="332" t="str">
        <f>IF($H331="","","G-"&amp;TEXT($A331,"0000"))</f>
        <v/>
      </c>
      <c r="C331" s="331" t="str">
        <f>IF($H331="","",IFERROR(INDEX('Game Records'!$A:$A,$H331),""))</f>
        <v/>
      </c>
      <c r="D331" s="331" t="str">
        <f>IF($H331="","",IFERROR(INDEX('Game Records'!$U:$U,$H331),""))</f>
        <v/>
      </c>
      <c r="E331" s="331" t="str">
        <f>IF($H331="","",IF($F331="","No Highlighted Fields","Highlighted Fields Present"))</f>
        <v/>
      </c>
      <c r="F331" s="331" t="str">
        <f>IF($H331="","",IF(OR(NOT(ISFORMULA(INDEX('Game Records'!$N:$N,$H331))),NOT(ISFORMULA(INDEX('Game Records'!$O:$O,$H331))),NOT(ISFORMULA(INDEX('Game Records'!$P:$P,$H331))),NOT(ISFORMULA(INDEX('Game Records'!$Q:$Q,$H331))),NOT(ISFORMULA(INDEX('Game Records'!$R:$R,$H331))),NOT(ISFORMULA(INDEX('Game Records'!$S:$S,$H331))),NOT(ISFORMULA(INDEX('Game Records'!$T:$T,$H331))),NOT(ISFORMULA(INDEX('Game Records'!$U:$U,$H331))),NOT(ISFORMULA(INDEX('Game Records'!$V:$V,$H331))),NOT(ISFORMULA(INDEX('Game Records'!$W:$W,$H331))),NOT(ISFORMULA(INDEX('Game Records'!$X:$X,$H331))),NOT(ISFORMULA(INDEX('Game Records'!$Y:$Y,$H331))),NOT(ISFORMULA(INDEX('Game Records'!$Z:$Z,$H331)))),"Formula columns missing; ","")&amp;IF(INDEX('Game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Earned; ","")&amp;IF(AND(LOWER(INDEX('Game Records'!$D:$D,$H331)&amp;"")="finalized",INDEX('Game Records'!$U:$U,$H331)&lt;&gt;"Subscription",INDEX('Game Records'!$U:$U,$H331)&lt;&gt;"Free Game",INDEX('Game Records'!$U:$U,$H331)&lt;&gt;"Disqualified — Free Game",OR(INDEX('Game Records'!$L:$L,$H331)="",LOWER(INDEX('Game Records'!$L:$L,$H331)&amp;"")="n/a")),"Disqualified Status; ","")&amp;IF(AND(OR(INDEX('Game Records'!$U:$U,$H331)="Free Game",INDEX('Game Records'!$U:$U,$H331)="Disqualified — Free Game"),N(INDEX('Game Records'!$H:$H,$H331))&lt;&gt;0),"Free Game has a non-zero Entry Fee; ",""))</f>
        <v/>
      </c>
      <c r="G331" s="331" t="str">
        <f>IF($H331="","",IFERROR(INDEX('Game Records'!$M:$M,$H331),""))</f>
        <v/>
      </c>
      <c r="H331" s="104" t="str">
        <f>IF($H330="","",IFERROR(MATCH(1,INDEX((ROW('Game Records'!$U$5:$U$504)&gt;$H330)*(('Game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2" ht="24" customHeight="1">
      <c r="A332" s="332" t="str">
        <f>IF($H332="","",ROWS($A$5:A332))</f>
        <v/>
      </c>
      <c r="B332" s="332" t="str">
        <f>IF($H332="","","G-"&amp;TEXT($A332,"0000"))</f>
        <v/>
      </c>
      <c r="C332" s="331" t="str">
        <f>IF($H332="","",IFERROR(INDEX('Game Records'!$A:$A,$H332),""))</f>
        <v/>
      </c>
      <c r="D332" s="331" t="str">
        <f>IF($H332="","",IFERROR(INDEX('Game Records'!$U:$U,$H332),""))</f>
        <v/>
      </c>
      <c r="E332" s="331" t="str">
        <f>IF($H332="","",IF($F332="","No Highlighted Fields","Highlighted Fields Present"))</f>
        <v/>
      </c>
      <c r="F332" s="331" t="str">
        <f>IF($H332="","",IF(OR(NOT(ISFORMULA(INDEX('Game Records'!$N:$N,$H332))),NOT(ISFORMULA(INDEX('Game Records'!$O:$O,$H332))),NOT(ISFORMULA(INDEX('Game Records'!$P:$P,$H332))),NOT(ISFORMULA(INDEX('Game Records'!$Q:$Q,$H332))),NOT(ISFORMULA(INDEX('Game Records'!$R:$R,$H332))),NOT(ISFORMULA(INDEX('Game Records'!$S:$S,$H332))),NOT(ISFORMULA(INDEX('Game Records'!$T:$T,$H332))),NOT(ISFORMULA(INDEX('Game Records'!$U:$U,$H332))),NOT(ISFORMULA(INDEX('Game Records'!$V:$V,$H332))),NOT(ISFORMULA(INDEX('Game Records'!$W:$W,$H332))),NOT(ISFORMULA(INDEX('Game Records'!$X:$X,$H332))),NOT(ISFORMULA(INDEX('Game Records'!$Y:$Y,$H332))),NOT(ISFORMULA(INDEX('Game Records'!$Z:$Z,$H332)))),"Formula columns missing; ","")&amp;IF(INDEX('Game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Earned; ","")&amp;IF(AND(LOWER(INDEX('Game Records'!$D:$D,$H332)&amp;"")="finalized",INDEX('Game Records'!$U:$U,$H332)&lt;&gt;"Subscription",INDEX('Game Records'!$U:$U,$H332)&lt;&gt;"Free Game",INDEX('Game Records'!$U:$U,$H332)&lt;&gt;"Disqualified — Free Game",OR(INDEX('Game Records'!$L:$L,$H332)="",LOWER(INDEX('Game Records'!$L:$L,$H332)&amp;"")="n/a")),"Disqualified Status; ","")&amp;IF(AND(OR(INDEX('Game Records'!$U:$U,$H332)="Free Game",INDEX('Game Records'!$U:$U,$H332)="Disqualified — Free Game"),N(INDEX('Game Records'!$H:$H,$H332))&lt;&gt;0),"Free Game has a non-zero Entry Fee; ",""))</f>
        <v/>
      </c>
      <c r="G332" s="331" t="str">
        <f>IF($H332="","",IFERROR(INDEX('Game Records'!$M:$M,$H332),""))</f>
        <v/>
      </c>
      <c r="H332" s="104" t="str">
        <f>IF($H331="","",IFERROR(MATCH(1,INDEX((ROW('Game Records'!$U$5:$U$504)&gt;$H331)*(('Game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3" ht="24" customHeight="1">
      <c r="A333" s="332" t="str">
        <f>IF($H333="","",ROWS($A$5:A333))</f>
        <v/>
      </c>
      <c r="B333" s="332" t="str">
        <f>IF($H333="","","G-"&amp;TEXT($A333,"0000"))</f>
        <v/>
      </c>
      <c r="C333" s="331" t="str">
        <f>IF($H333="","",IFERROR(INDEX('Game Records'!$A:$A,$H333),""))</f>
        <v/>
      </c>
      <c r="D333" s="331" t="str">
        <f>IF($H333="","",IFERROR(INDEX('Game Records'!$U:$U,$H333),""))</f>
        <v/>
      </c>
      <c r="E333" s="331" t="str">
        <f>IF($H333="","",IF($F333="","No Highlighted Fields","Highlighted Fields Present"))</f>
        <v/>
      </c>
      <c r="F333" s="331" t="str">
        <f>IF($H333="","",IF(OR(NOT(ISFORMULA(INDEX('Game Records'!$N:$N,$H333))),NOT(ISFORMULA(INDEX('Game Records'!$O:$O,$H333))),NOT(ISFORMULA(INDEX('Game Records'!$P:$P,$H333))),NOT(ISFORMULA(INDEX('Game Records'!$Q:$Q,$H333))),NOT(ISFORMULA(INDEX('Game Records'!$R:$R,$H333))),NOT(ISFORMULA(INDEX('Game Records'!$S:$S,$H333))),NOT(ISFORMULA(INDEX('Game Records'!$T:$T,$H333))),NOT(ISFORMULA(INDEX('Game Records'!$U:$U,$H333))),NOT(ISFORMULA(INDEX('Game Records'!$V:$V,$H333))),NOT(ISFORMULA(INDEX('Game Records'!$W:$W,$H333))),NOT(ISFORMULA(INDEX('Game Records'!$X:$X,$H333))),NOT(ISFORMULA(INDEX('Game Records'!$Y:$Y,$H333))),NOT(ISFORMULA(INDEX('Game Records'!$Z:$Z,$H333)))),"Formula columns missing; ","")&amp;IF(INDEX('Game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Earned; ","")&amp;IF(AND(LOWER(INDEX('Game Records'!$D:$D,$H333)&amp;"")="finalized",INDEX('Game Records'!$U:$U,$H333)&lt;&gt;"Subscription",INDEX('Game Records'!$U:$U,$H333)&lt;&gt;"Free Game",INDEX('Game Records'!$U:$U,$H333)&lt;&gt;"Disqualified — Free Game",OR(INDEX('Game Records'!$L:$L,$H333)="",LOWER(INDEX('Game Records'!$L:$L,$H333)&amp;"")="n/a")),"Disqualified Status; ","")&amp;IF(AND(OR(INDEX('Game Records'!$U:$U,$H333)="Free Game",INDEX('Game Records'!$U:$U,$H333)="Disqualified — Free Game"),N(INDEX('Game Records'!$H:$H,$H333))&lt;&gt;0),"Free Game has a non-zero Entry Fee; ",""))</f>
        <v/>
      </c>
      <c r="G333" s="331" t="str">
        <f>IF($H333="","",IFERROR(INDEX('Game Records'!$M:$M,$H333),""))</f>
        <v/>
      </c>
      <c r="H333" s="104" t="str">
        <f>IF($H332="","",IFERROR(MATCH(1,INDEX((ROW('Game Records'!$U$5:$U$504)&gt;$H332)*(('Game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4" ht="24" customHeight="1">
      <c r="A334" s="332" t="str">
        <f>IF($H334="","",ROWS($A$5:A334))</f>
        <v/>
      </c>
      <c r="B334" s="332" t="str">
        <f>IF($H334="","","G-"&amp;TEXT($A334,"0000"))</f>
        <v/>
      </c>
      <c r="C334" s="331" t="str">
        <f>IF($H334="","",IFERROR(INDEX('Game Records'!$A:$A,$H334),""))</f>
        <v/>
      </c>
      <c r="D334" s="331" t="str">
        <f>IF($H334="","",IFERROR(INDEX('Game Records'!$U:$U,$H334),""))</f>
        <v/>
      </c>
      <c r="E334" s="331" t="str">
        <f>IF($H334="","",IF($F334="","No Highlighted Fields","Highlighted Fields Present"))</f>
        <v/>
      </c>
      <c r="F334" s="331" t="str">
        <f>IF($H334="","",IF(OR(NOT(ISFORMULA(INDEX('Game Records'!$N:$N,$H334))),NOT(ISFORMULA(INDEX('Game Records'!$O:$O,$H334))),NOT(ISFORMULA(INDEX('Game Records'!$P:$P,$H334))),NOT(ISFORMULA(INDEX('Game Records'!$Q:$Q,$H334))),NOT(ISFORMULA(INDEX('Game Records'!$R:$R,$H334))),NOT(ISFORMULA(INDEX('Game Records'!$S:$S,$H334))),NOT(ISFORMULA(INDEX('Game Records'!$T:$T,$H334))),NOT(ISFORMULA(INDEX('Game Records'!$U:$U,$H334))),NOT(ISFORMULA(INDEX('Game Records'!$V:$V,$H334))),NOT(ISFORMULA(INDEX('Game Records'!$W:$W,$H334))),NOT(ISFORMULA(INDEX('Game Records'!$X:$X,$H334))),NOT(ISFORMULA(INDEX('Game Records'!$Y:$Y,$H334))),NOT(ISFORMULA(INDEX('Game Records'!$Z:$Z,$H334)))),"Formula columns missing; ","")&amp;IF(INDEX('Game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Earned; ","")&amp;IF(AND(LOWER(INDEX('Game Records'!$D:$D,$H334)&amp;"")="finalized",INDEX('Game Records'!$U:$U,$H334)&lt;&gt;"Subscription",INDEX('Game Records'!$U:$U,$H334)&lt;&gt;"Free Game",INDEX('Game Records'!$U:$U,$H334)&lt;&gt;"Disqualified — Free Game",OR(INDEX('Game Records'!$L:$L,$H334)="",LOWER(INDEX('Game Records'!$L:$L,$H334)&amp;"")="n/a")),"Disqualified Status; ","")&amp;IF(AND(OR(INDEX('Game Records'!$U:$U,$H334)="Free Game",INDEX('Game Records'!$U:$U,$H334)="Disqualified — Free Game"),N(INDEX('Game Records'!$H:$H,$H334))&lt;&gt;0),"Free Game has a non-zero Entry Fee; ",""))</f>
        <v/>
      </c>
      <c r="G334" s="331" t="str">
        <f>IF($H334="","",IFERROR(INDEX('Game Records'!$M:$M,$H334),""))</f>
        <v/>
      </c>
      <c r="H334" s="104" t="str">
        <f>IF($H333="","",IFERROR(MATCH(1,INDEX((ROW('Game Records'!$U$5:$U$504)&gt;$H333)*(('Game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5" ht="24" customHeight="1">
      <c r="A335" s="332" t="str">
        <f>IF($H335="","",ROWS($A$5:A335))</f>
        <v/>
      </c>
      <c r="B335" s="332" t="str">
        <f>IF($H335="","","G-"&amp;TEXT($A335,"0000"))</f>
        <v/>
      </c>
      <c r="C335" s="331" t="str">
        <f>IF($H335="","",IFERROR(INDEX('Game Records'!$A:$A,$H335),""))</f>
        <v/>
      </c>
      <c r="D335" s="331" t="str">
        <f>IF($H335="","",IFERROR(INDEX('Game Records'!$U:$U,$H335),""))</f>
        <v/>
      </c>
      <c r="E335" s="331" t="str">
        <f>IF($H335="","",IF($F335="","No Highlighted Fields","Highlighted Fields Present"))</f>
        <v/>
      </c>
      <c r="F335" s="331" t="str">
        <f>IF($H335="","",IF(OR(NOT(ISFORMULA(INDEX('Game Records'!$N:$N,$H335))),NOT(ISFORMULA(INDEX('Game Records'!$O:$O,$H335))),NOT(ISFORMULA(INDEX('Game Records'!$P:$P,$H335))),NOT(ISFORMULA(INDEX('Game Records'!$Q:$Q,$H335))),NOT(ISFORMULA(INDEX('Game Records'!$R:$R,$H335))),NOT(ISFORMULA(INDEX('Game Records'!$S:$S,$H335))),NOT(ISFORMULA(INDEX('Game Records'!$T:$T,$H335))),NOT(ISFORMULA(INDEX('Game Records'!$U:$U,$H335))),NOT(ISFORMULA(INDEX('Game Records'!$V:$V,$H335))),NOT(ISFORMULA(INDEX('Game Records'!$W:$W,$H335))),NOT(ISFORMULA(INDEX('Game Records'!$X:$X,$H335))),NOT(ISFORMULA(INDEX('Game Records'!$Y:$Y,$H335))),NOT(ISFORMULA(INDEX('Game Records'!$Z:$Z,$H335)))),"Formula columns missing; ","")&amp;IF(INDEX('Game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Earned; ","")&amp;IF(AND(LOWER(INDEX('Game Records'!$D:$D,$H335)&amp;"")="finalized",INDEX('Game Records'!$U:$U,$H335)&lt;&gt;"Subscription",INDEX('Game Records'!$U:$U,$H335)&lt;&gt;"Free Game",INDEX('Game Records'!$U:$U,$H335)&lt;&gt;"Disqualified — Free Game",OR(INDEX('Game Records'!$L:$L,$H335)="",LOWER(INDEX('Game Records'!$L:$L,$H335)&amp;"")="n/a")),"Disqualified Status; ","")&amp;IF(AND(OR(INDEX('Game Records'!$U:$U,$H335)="Free Game",INDEX('Game Records'!$U:$U,$H335)="Disqualified — Free Game"),N(INDEX('Game Records'!$H:$H,$H335))&lt;&gt;0),"Free Game has a non-zero Entry Fee; ",""))</f>
        <v/>
      </c>
      <c r="G335" s="331" t="str">
        <f>IF($H335="","",IFERROR(INDEX('Game Records'!$M:$M,$H335),""))</f>
        <v/>
      </c>
      <c r="H335" s="104" t="str">
        <f>IF($H334="","",IFERROR(MATCH(1,INDEX((ROW('Game Records'!$U$5:$U$504)&gt;$H334)*(('Game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6" ht="24" customHeight="1">
      <c r="A336" s="332" t="str">
        <f>IF($H336="","",ROWS($A$5:A336))</f>
        <v/>
      </c>
      <c r="B336" s="332" t="str">
        <f>IF($H336="","","G-"&amp;TEXT($A336,"0000"))</f>
        <v/>
      </c>
      <c r="C336" s="331" t="str">
        <f>IF($H336="","",IFERROR(INDEX('Game Records'!$A:$A,$H336),""))</f>
        <v/>
      </c>
      <c r="D336" s="331" t="str">
        <f>IF($H336="","",IFERROR(INDEX('Game Records'!$U:$U,$H336),""))</f>
        <v/>
      </c>
      <c r="E336" s="331" t="str">
        <f>IF($H336="","",IF($F336="","No Highlighted Fields","Highlighted Fields Present"))</f>
        <v/>
      </c>
      <c r="F336" s="331" t="str">
        <f>IF($H336="","",IF(OR(NOT(ISFORMULA(INDEX('Game Records'!$N:$N,$H336))),NOT(ISFORMULA(INDEX('Game Records'!$O:$O,$H336))),NOT(ISFORMULA(INDEX('Game Records'!$P:$P,$H336))),NOT(ISFORMULA(INDEX('Game Records'!$Q:$Q,$H336))),NOT(ISFORMULA(INDEX('Game Records'!$R:$R,$H336))),NOT(ISFORMULA(INDEX('Game Records'!$S:$S,$H336))),NOT(ISFORMULA(INDEX('Game Records'!$T:$T,$H336))),NOT(ISFORMULA(INDEX('Game Records'!$U:$U,$H336))),NOT(ISFORMULA(INDEX('Game Records'!$V:$V,$H336))),NOT(ISFORMULA(INDEX('Game Records'!$W:$W,$H336))),NOT(ISFORMULA(INDEX('Game Records'!$X:$X,$H336))),NOT(ISFORMULA(INDEX('Game Records'!$Y:$Y,$H336))),NOT(ISFORMULA(INDEX('Game Records'!$Z:$Z,$H336)))),"Formula columns missing; ","")&amp;IF(INDEX('Game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Earned; ","")&amp;IF(AND(LOWER(INDEX('Game Records'!$D:$D,$H336)&amp;"")="finalized",INDEX('Game Records'!$U:$U,$H336)&lt;&gt;"Subscription",INDEX('Game Records'!$U:$U,$H336)&lt;&gt;"Free Game",INDEX('Game Records'!$U:$U,$H336)&lt;&gt;"Disqualified — Free Game",OR(INDEX('Game Records'!$L:$L,$H336)="",LOWER(INDEX('Game Records'!$L:$L,$H336)&amp;"")="n/a")),"Disqualified Status; ","")&amp;IF(AND(OR(INDEX('Game Records'!$U:$U,$H336)="Free Game",INDEX('Game Records'!$U:$U,$H336)="Disqualified — Free Game"),N(INDEX('Game Records'!$H:$H,$H336))&lt;&gt;0),"Free Game has a non-zero Entry Fee; ",""))</f>
        <v/>
      </c>
      <c r="G336" s="331" t="str">
        <f>IF($H336="","",IFERROR(INDEX('Game Records'!$M:$M,$H336),""))</f>
        <v/>
      </c>
      <c r="H336" s="104" t="str">
        <f>IF($H335="","",IFERROR(MATCH(1,INDEX((ROW('Game Records'!$U$5:$U$504)&gt;$H335)*(('Game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7" ht="24" customHeight="1">
      <c r="A337" s="332" t="str">
        <f>IF($H337="","",ROWS($A$5:A337))</f>
        <v/>
      </c>
      <c r="B337" s="332" t="str">
        <f>IF($H337="","","G-"&amp;TEXT($A337,"0000"))</f>
        <v/>
      </c>
      <c r="C337" s="331" t="str">
        <f>IF($H337="","",IFERROR(INDEX('Game Records'!$A:$A,$H337),""))</f>
        <v/>
      </c>
      <c r="D337" s="331" t="str">
        <f>IF($H337="","",IFERROR(INDEX('Game Records'!$U:$U,$H337),""))</f>
        <v/>
      </c>
      <c r="E337" s="331" t="str">
        <f>IF($H337="","",IF($F337="","No Highlighted Fields","Highlighted Fields Present"))</f>
        <v/>
      </c>
      <c r="F337" s="331" t="str">
        <f>IF($H337="","",IF(OR(NOT(ISFORMULA(INDEX('Game Records'!$N:$N,$H337))),NOT(ISFORMULA(INDEX('Game Records'!$O:$O,$H337))),NOT(ISFORMULA(INDEX('Game Records'!$P:$P,$H337))),NOT(ISFORMULA(INDEX('Game Records'!$Q:$Q,$H337))),NOT(ISFORMULA(INDEX('Game Records'!$R:$R,$H337))),NOT(ISFORMULA(INDEX('Game Records'!$S:$S,$H337))),NOT(ISFORMULA(INDEX('Game Records'!$T:$T,$H337))),NOT(ISFORMULA(INDEX('Game Records'!$U:$U,$H337))),NOT(ISFORMULA(INDEX('Game Records'!$V:$V,$H337))),NOT(ISFORMULA(INDEX('Game Records'!$W:$W,$H337))),NOT(ISFORMULA(INDEX('Game Records'!$X:$X,$H337))),NOT(ISFORMULA(INDEX('Game Records'!$Y:$Y,$H337))),NOT(ISFORMULA(INDEX('Game Records'!$Z:$Z,$H337)))),"Formula columns missing; ","")&amp;IF(INDEX('Game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Earned; ","")&amp;IF(AND(LOWER(INDEX('Game Records'!$D:$D,$H337)&amp;"")="finalized",INDEX('Game Records'!$U:$U,$H337)&lt;&gt;"Subscription",INDEX('Game Records'!$U:$U,$H337)&lt;&gt;"Free Game",INDEX('Game Records'!$U:$U,$H337)&lt;&gt;"Disqualified — Free Game",OR(INDEX('Game Records'!$L:$L,$H337)="",LOWER(INDEX('Game Records'!$L:$L,$H337)&amp;"")="n/a")),"Disqualified Status; ","")&amp;IF(AND(OR(INDEX('Game Records'!$U:$U,$H337)="Free Game",INDEX('Game Records'!$U:$U,$H337)="Disqualified — Free Game"),N(INDEX('Game Records'!$H:$H,$H337))&lt;&gt;0),"Free Game has a non-zero Entry Fee; ",""))</f>
        <v/>
      </c>
      <c r="G337" s="331" t="str">
        <f>IF($H337="","",IFERROR(INDEX('Game Records'!$M:$M,$H337),""))</f>
        <v/>
      </c>
      <c r="H337" s="104" t="str">
        <f>IF($H336="","",IFERROR(MATCH(1,INDEX((ROW('Game Records'!$U$5:$U$504)&gt;$H336)*(('Game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8" ht="24" customHeight="1">
      <c r="A338" s="332" t="str">
        <f>IF($H338="","",ROWS($A$5:A338))</f>
        <v/>
      </c>
      <c r="B338" s="332" t="str">
        <f>IF($H338="","","G-"&amp;TEXT($A338,"0000"))</f>
        <v/>
      </c>
      <c r="C338" s="331" t="str">
        <f>IF($H338="","",IFERROR(INDEX('Game Records'!$A:$A,$H338),""))</f>
        <v/>
      </c>
      <c r="D338" s="331" t="str">
        <f>IF($H338="","",IFERROR(INDEX('Game Records'!$U:$U,$H338),""))</f>
        <v/>
      </c>
      <c r="E338" s="331" t="str">
        <f>IF($H338="","",IF($F338="","No Highlighted Fields","Highlighted Fields Present"))</f>
        <v/>
      </c>
      <c r="F338" s="331" t="str">
        <f>IF($H338="","",IF(OR(NOT(ISFORMULA(INDEX('Game Records'!$N:$N,$H338))),NOT(ISFORMULA(INDEX('Game Records'!$O:$O,$H338))),NOT(ISFORMULA(INDEX('Game Records'!$P:$P,$H338))),NOT(ISFORMULA(INDEX('Game Records'!$Q:$Q,$H338))),NOT(ISFORMULA(INDEX('Game Records'!$R:$R,$H338))),NOT(ISFORMULA(INDEX('Game Records'!$S:$S,$H338))),NOT(ISFORMULA(INDEX('Game Records'!$T:$T,$H338))),NOT(ISFORMULA(INDEX('Game Records'!$U:$U,$H338))),NOT(ISFORMULA(INDEX('Game Records'!$V:$V,$H338))),NOT(ISFORMULA(INDEX('Game Records'!$W:$W,$H338))),NOT(ISFORMULA(INDEX('Game Records'!$X:$X,$H338))),NOT(ISFORMULA(INDEX('Game Records'!$Y:$Y,$H338))),NOT(ISFORMULA(INDEX('Game Records'!$Z:$Z,$H338)))),"Formula columns missing; ","")&amp;IF(INDEX('Game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Earned; ","")&amp;IF(AND(LOWER(INDEX('Game Records'!$D:$D,$H338)&amp;"")="finalized",INDEX('Game Records'!$U:$U,$H338)&lt;&gt;"Subscription",INDEX('Game Records'!$U:$U,$H338)&lt;&gt;"Free Game",INDEX('Game Records'!$U:$U,$H338)&lt;&gt;"Disqualified — Free Game",OR(INDEX('Game Records'!$L:$L,$H338)="",LOWER(INDEX('Game Records'!$L:$L,$H338)&amp;"")="n/a")),"Disqualified Status; ","")&amp;IF(AND(OR(INDEX('Game Records'!$U:$U,$H338)="Free Game",INDEX('Game Records'!$U:$U,$H338)="Disqualified — Free Game"),N(INDEX('Game Records'!$H:$H,$H338))&lt;&gt;0),"Free Game has a non-zero Entry Fee; ",""))</f>
        <v/>
      </c>
      <c r="G338" s="331" t="str">
        <f>IF($H338="","",IFERROR(INDEX('Game Records'!$M:$M,$H338),""))</f>
        <v/>
      </c>
      <c r="H338" s="104" t="str">
        <f>IF($H337="","",IFERROR(MATCH(1,INDEX((ROW('Game Records'!$U$5:$U$504)&gt;$H337)*(('Game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9" ht="24" customHeight="1">
      <c r="A339" s="332" t="str">
        <f>IF($H339="","",ROWS($A$5:A339))</f>
        <v/>
      </c>
      <c r="B339" s="332" t="str">
        <f>IF($H339="","","G-"&amp;TEXT($A339,"0000"))</f>
        <v/>
      </c>
      <c r="C339" s="331" t="str">
        <f>IF($H339="","",IFERROR(INDEX('Game Records'!$A:$A,$H339),""))</f>
        <v/>
      </c>
      <c r="D339" s="331" t="str">
        <f>IF($H339="","",IFERROR(INDEX('Game Records'!$U:$U,$H339),""))</f>
        <v/>
      </c>
      <c r="E339" s="331" t="str">
        <f>IF($H339="","",IF($F339="","No Highlighted Fields","Highlighted Fields Present"))</f>
        <v/>
      </c>
      <c r="F339" s="331" t="str">
        <f>IF($H339="","",IF(OR(NOT(ISFORMULA(INDEX('Game Records'!$N:$N,$H339))),NOT(ISFORMULA(INDEX('Game Records'!$O:$O,$H339))),NOT(ISFORMULA(INDEX('Game Records'!$P:$P,$H339))),NOT(ISFORMULA(INDEX('Game Records'!$Q:$Q,$H339))),NOT(ISFORMULA(INDEX('Game Records'!$R:$R,$H339))),NOT(ISFORMULA(INDEX('Game Records'!$S:$S,$H339))),NOT(ISFORMULA(INDEX('Game Records'!$T:$T,$H339))),NOT(ISFORMULA(INDEX('Game Records'!$U:$U,$H339))),NOT(ISFORMULA(INDEX('Game Records'!$V:$V,$H339))),NOT(ISFORMULA(INDEX('Game Records'!$W:$W,$H339))),NOT(ISFORMULA(INDEX('Game Records'!$X:$X,$H339))),NOT(ISFORMULA(INDEX('Game Records'!$Y:$Y,$H339))),NOT(ISFORMULA(INDEX('Game Records'!$Z:$Z,$H339)))),"Formula columns missing; ","")&amp;IF(INDEX('Game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Earned; ","")&amp;IF(AND(LOWER(INDEX('Game Records'!$D:$D,$H339)&amp;"")="finalized",INDEX('Game Records'!$U:$U,$H339)&lt;&gt;"Subscription",INDEX('Game Records'!$U:$U,$H339)&lt;&gt;"Free Game",INDEX('Game Records'!$U:$U,$H339)&lt;&gt;"Disqualified — Free Game",OR(INDEX('Game Records'!$L:$L,$H339)="",LOWER(INDEX('Game Records'!$L:$L,$H339)&amp;"")="n/a")),"Disqualified Status; ","")&amp;IF(AND(OR(INDEX('Game Records'!$U:$U,$H339)="Free Game",INDEX('Game Records'!$U:$U,$H339)="Disqualified — Free Game"),N(INDEX('Game Records'!$H:$H,$H339))&lt;&gt;0),"Free Game has a non-zero Entry Fee; ",""))</f>
        <v/>
      </c>
      <c r="G339" s="331" t="str">
        <f>IF($H339="","",IFERROR(INDEX('Game Records'!$M:$M,$H339),""))</f>
        <v/>
      </c>
      <c r="H339" s="104" t="str">
        <f>IF($H338="","",IFERROR(MATCH(1,INDEX((ROW('Game Records'!$U$5:$U$504)&gt;$H338)*(('Game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0" ht="24" customHeight="1">
      <c r="A340" s="332" t="str">
        <f>IF($H340="","",ROWS($A$5:A340))</f>
        <v/>
      </c>
      <c r="B340" s="332" t="str">
        <f>IF($H340="","","G-"&amp;TEXT($A340,"0000"))</f>
        <v/>
      </c>
      <c r="C340" s="331" t="str">
        <f>IF($H340="","",IFERROR(INDEX('Game Records'!$A:$A,$H340),""))</f>
        <v/>
      </c>
      <c r="D340" s="331" t="str">
        <f>IF($H340="","",IFERROR(INDEX('Game Records'!$U:$U,$H340),""))</f>
        <v/>
      </c>
      <c r="E340" s="331" t="str">
        <f>IF($H340="","",IF($F340="","No Highlighted Fields","Highlighted Fields Present"))</f>
        <v/>
      </c>
      <c r="F340" s="331" t="str">
        <f>IF($H340="","",IF(OR(NOT(ISFORMULA(INDEX('Game Records'!$N:$N,$H340))),NOT(ISFORMULA(INDEX('Game Records'!$O:$O,$H340))),NOT(ISFORMULA(INDEX('Game Records'!$P:$P,$H340))),NOT(ISFORMULA(INDEX('Game Records'!$Q:$Q,$H340))),NOT(ISFORMULA(INDEX('Game Records'!$R:$R,$H340))),NOT(ISFORMULA(INDEX('Game Records'!$S:$S,$H340))),NOT(ISFORMULA(INDEX('Game Records'!$T:$T,$H340))),NOT(ISFORMULA(INDEX('Game Records'!$U:$U,$H340))),NOT(ISFORMULA(INDEX('Game Records'!$V:$V,$H340))),NOT(ISFORMULA(INDEX('Game Records'!$W:$W,$H340))),NOT(ISFORMULA(INDEX('Game Records'!$X:$X,$H340))),NOT(ISFORMULA(INDEX('Game Records'!$Y:$Y,$H340))),NOT(ISFORMULA(INDEX('Game Records'!$Z:$Z,$H340)))),"Formula columns missing; ","")&amp;IF(INDEX('Game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Earned; ","")&amp;IF(AND(LOWER(INDEX('Game Records'!$D:$D,$H340)&amp;"")="finalized",INDEX('Game Records'!$U:$U,$H340)&lt;&gt;"Subscription",INDEX('Game Records'!$U:$U,$H340)&lt;&gt;"Free Game",INDEX('Game Records'!$U:$U,$H340)&lt;&gt;"Disqualified — Free Game",OR(INDEX('Game Records'!$L:$L,$H340)="",LOWER(INDEX('Game Records'!$L:$L,$H340)&amp;"")="n/a")),"Disqualified Status; ","")&amp;IF(AND(OR(INDEX('Game Records'!$U:$U,$H340)="Free Game",INDEX('Game Records'!$U:$U,$H340)="Disqualified — Free Game"),N(INDEX('Game Records'!$H:$H,$H340))&lt;&gt;0),"Free Game has a non-zero Entry Fee; ",""))</f>
        <v/>
      </c>
      <c r="G340" s="331" t="str">
        <f>IF($H340="","",IFERROR(INDEX('Game Records'!$M:$M,$H340),""))</f>
        <v/>
      </c>
      <c r="H340" s="104" t="str">
        <f>IF($H339="","",IFERROR(MATCH(1,INDEX((ROW('Game Records'!$U$5:$U$504)&gt;$H339)*(('Game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1" ht="24" customHeight="1">
      <c r="A341" s="332" t="str">
        <f>IF($H341="","",ROWS($A$5:A341))</f>
        <v/>
      </c>
      <c r="B341" s="332" t="str">
        <f>IF($H341="","","G-"&amp;TEXT($A341,"0000"))</f>
        <v/>
      </c>
      <c r="C341" s="331" t="str">
        <f>IF($H341="","",IFERROR(INDEX('Game Records'!$A:$A,$H341),""))</f>
        <v/>
      </c>
      <c r="D341" s="331" t="str">
        <f>IF($H341="","",IFERROR(INDEX('Game Records'!$U:$U,$H341),""))</f>
        <v/>
      </c>
      <c r="E341" s="331" t="str">
        <f>IF($H341="","",IF($F341="","No Highlighted Fields","Highlighted Fields Present"))</f>
        <v/>
      </c>
      <c r="F341" s="331" t="str">
        <f>IF($H341="","",IF(OR(NOT(ISFORMULA(INDEX('Game Records'!$N:$N,$H341))),NOT(ISFORMULA(INDEX('Game Records'!$O:$O,$H341))),NOT(ISFORMULA(INDEX('Game Records'!$P:$P,$H341))),NOT(ISFORMULA(INDEX('Game Records'!$Q:$Q,$H341))),NOT(ISFORMULA(INDEX('Game Records'!$R:$R,$H341))),NOT(ISFORMULA(INDEX('Game Records'!$S:$S,$H341))),NOT(ISFORMULA(INDEX('Game Records'!$T:$T,$H341))),NOT(ISFORMULA(INDEX('Game Records'!$U:$U,$H341))),NOT(ISFORMULA(INDEX('Game Records'!$V:$V,$H341))),NOT(ISFORMULA(INDEX('Game Records'!$W:$W,$H341))),NOT(ISFORMULA(INDEX('Game Records'!$X:$X,$H341))),NOT(ISFORMULA(INDEX('Game Records'!$Y:$Y,$H341))),NOT(ISFORMULA(INDEX('Game Records'!$Z:$Z,$H341)))),"Formula columns missing; ","")&amp;IF(INDEX('Game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Earned; ","")&amp;IF(AND(LOWER(INDEX('Game Records'!$D:$D,$H341)&amp;"")="finalized",INDEX('Game Records'!$U:$U,$H341)&lt;&gt;"Subscription",INDEX('Game Records'!$U:$U,$H341)&lt;&gt;"Free Game",INDEX('Game Records'!$U:$U,$H341)&lt;&gt;"Disqualified — Free Game",OR(INDEX('Game Records'!$L:$L,$H341)="",LOWER(INDEX('Game Records'!$L:$L,$H341)&amp;"")="n/a")),"Disqualified Status; ","")&amp;IF(AND(OR(INDEX('Game Records'!$U:$U,$H341)="Free Game",INDEX('Game Records'!$U:$U,$H341)="Disqualified — Free Game"),N(INDEX('Game Records'!$H:$H,$H341))&lt;&gt;0),"Free Game has a non-zero Entry Fee; ",""))</f>
        <v/>
      </c>
      <c r="G341" s="331" t="str">
        <f>IF($H341="","",IFERROR(INDEX('Game Records'!$M:$M,$H341),""))</f>
        <v/>
      </c>
      <c r="H341" s="104" t="str">
        <f>IF($H340="","",IFERROR(MATCH(1,INDEX((ROW('Game Records'!$U$5:$U$504)&gt;$H340)*(('Game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2" ht="24" customHeight="1">
      <c r="A342" s="332" t="str">
        <f>IF($H342="","",ROWS($A$5:A342))</f>
        <v/>
      </c>
      <c r="B342" s="332" t="str">
        <f>IF($H342="","","G-"&amp;TEXT($A342,"0000"))</f>
        <v/>
      </c>
      <c r="C342" s="331" t="str">
        <f>IF($H342="","",IFERROR(INDEX('Game Records'!$A:$A,$H342),""))</f>
        <v/>
      </c>
      <c r="D342" s="331" t="str">
        <f>IF($H342="","",IFERROR(INDEX('Game Records'!$U:$U,$H342),""))</f>
        <v/>
      </c>
      <c r="E342" s="331" t="str">
        <f>IF($H342="","",IF($F342="","No Highlighted Fields","Highlighted Fields Present"))</f>
        <v/>
      </c>
      <c r="F342" s="331" t="str">
        <f>IF($H342="","",IF(OR(NOT(ISFORMULA(INDEX('Game Records'!$N:$N,$H342))),NOT(ISFORMULA(INDEX('Game Records'!$O:$O,$H342))),NOT(ISFORMULA(INDEX('Game Records'!$P:$P,$H342))),NOT(ISFORMULA(INDEX('Game Records'!$Q:$Q,$H342))),NOT(ISFORMULA(INDEX('Game Records'!$R:$R,$H342))),NOT(ISFORMULA(INDEX('Game Records'!$S:$S,$H342))),NOT(ISFORMULA(INDEX('Game Records'!$T:$T,$H342))),NOT(ISFORMULA(INDEX('Game Records'!$U:$U,$H342))),NOT(ISFORMULA(INDEX('Game Records'!$V:$V,$H342))),NOT(ISFORMULA(INDEX('Game Records'!$W:$W,$H342))),NOT(ISFORMULA(INDEX('Game Records'!$X:$X,$H342))),NOT(ISFORMULA(INDEX('Game Records'!$Y:$Y,$H342))),NOT(ISFORMULA(INDEX('Game Records'!$Z:$Z,$H342)))),"Formula columns missing; ","")&amp;IF(INDEX('Game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Earned; ","")&amp;IF(AND(LOWER(INDEX('Game Records'!$D:$D,$H342)&amp;"")="finalized",INDEX('Game Records'!$U:$U,$H342)&lt;&gt;"Subscription",INDEX('Game Records'!$U:$U,$H342)&lt;&gt;"Free Game",INDEX('Game Records'!$U:$U,$H342)&lt;&gt;"Disqualified — Free Game",OR(INDEX('Game Records'!$L:$L,$H342)="",LOWER(INDEX('Game Records'!$L:$L,$H342)&amp;"")="n/a")),"Disqualified Status; ","")&amp;IF(AND(OR(INDEX('Game Records'!$U:$U,$H342)="Free Game",INDEX('Game Records'!$U:$U,$H342)="Disqualified — Free Game"),N(INDEX('Game Records'!$H:$H,$H342))&lt;&gt;0),"Free Game has a non-zero Entry Fee; ",""))</f>
        <v/>
      </c>
      <c r="G342" s="331" t="str">
        <f>IF($H342="","",IFERROR(INDEX('Game Records'!$M:$M,$H342),""))</f>
        <v/>
      </c>
      <c r="H342" s="104" t="str">
        <f>IF($H341="","",IFERROR(MATCH(1,INDEX((ROW('Game Records'!$U$5:$U$504)&gt;$H341)*(('Game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3" ht="24" customHeight="1">
      <c r="A343" s="332" t="str">
        <f>IF($H343="","",ROWS($A$5:A343))</f>
        <v/>
      </c>
      <c r="B343" s="332" t="str">
        <f>IF($H343="","","G-"&amp;TEXT($A343,"0000"))</f>
        <v/>
      </c>
      <c r="C343" s="331" t="str">
        <f>IF($H343="","",IFERROR(INDEX('Game Records'!$A:$A,$H343),""))</f>
        <v/>
      </c>
      <c r="D343" s="331" t="str">
        <f>IF($H343="","",IFERROR(INDEX('Game Records'!$U:$U,$H343),""))</f>
        <v/>
      </c>
      <c r="E343" s="331" t="str">
        <f>IF($H343="","",IF($F343="","No Highlighted Fields","Highlighted Fields Present"))</f>
        <v/>
      </c>
      <c r="F343" s="331" t="str">
        <f>IF($H343="","",IF(OR(NOT(ISFORMULA(INDEX('Game Records'!$N:$N,$H343))),NOT(ISFORMULA(INDEX('Game Records'!$O:$O,$H343))),NOT(ISFORMULA(INDEX('Game Records'!$P:$P,$H343))),NOT(ISFORMULA(INDEX('Game Records'!$Q:$Q,$H343))),NOT(ISFORMULA(INDEX('Game Records'!$R:$R,$H343))),NOT(ISFORMULA(INDEX('Game Records'!$S:$S,$H343))),NOT(ISFORMULA(INDEX('Game Records'!$T:$T,$H343))),NOT(ISFORMULA(INDEX('Game Records'!$U:$U,$H343))),NOT(ISFORMULA(INDEX('Game Records'!$V:$V,$H343))),NOT(ISFORMULA(INDEX('Game Records'!$W:$W,$H343))),NOT(ISFORMULA(INDEX('Game Records'!$X:$X,$H343))),NOT(ISFORMULA(INDEX('Game Records'!$Y:$Y,$H343))),NOT(ISFORMULA(INDEX('Game Records'!$Z:$Z,$H343)))),"Formula columns missing; ","")&amp;IF(INDEX('Game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Earned; ","")&amp;IF(AND(LOWER(INDEX('Game Records'!$D:$D,$H343)&amp;"")="finalized",INDEX('Game Records'!$U:$U,$H343)&lt;&gt;"Subscription",INDEX('Game Records'!$U:$U,$H343)&lt;&gt;"Free Game",INDEX('Game Records'!$U:$U,$H343)&lt;&gt;"Disqualified — Free Game",OR(INDEX('Game Records'!$L:$L,$H343)="",LOWER(INDEX('Game Records'!$L:$L,$H343)&amp;"")="n/a")),"Disqualified Status; ","")&amp;IF(AND(OR(INDEX('Game Records'!$U:$U,$H343)="Free Game",INDEX('Game Records'!$U:$U,$H343)="Disqualified — Free Game"),N(INDEX('Game Records'!$H:$H,$H343))&lt;&gt;0),"Free Game has a non-zero Entry Fee; ",""))</f>
        <v/>
      </c>
      <c r="G343" s="331" t="str">
        <f>IF($H343="","",IFERROR(INDEX('Game Records'!$M:$M,$H343),""))</f>
        <v/>
      </c>
      <c r="H343" s="104" t="str">
        <f>IF($H342="","",IFERROR(MATCH(1,INDEX((ROW('Game Records'!$U$5:$U$504)&gt;$H342)*(('Game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4" ht="24" customHeight="1">
      <c r="A344" s="332" t="str">
        <f>IF($H344="","",ROWS($A$5:A344))</f>
        <v/>
      </c>
      <c r="B344" s="332" t="str">
        <f>IF($H344="","","G-"&amp;TEXT($A344,"0000"))</f>
        <v/>
      </c>
      <c r="C344" s="331" t="str">
        <f>IF($H344="","",IFERROR(INDEX('Game Records'!$A:$A,$H344),""))</f>
        <v/>
      </c>
      <c r="D344" s="331" t="str">
        <f>IF($H344="","",IFERROR(INDEX('Game Records'!$U:$U,$H344),""))</f>
        <v/>
      </c>
      <c r="E344" s="331" t="str">
        <f>IF($H344="","",IF($F344="","No Highlighted Fields","Highlighted Fields Present"))</f>
        <v/>
      </c>
      <c r="F344" s="331" t="str">
        <f>IF($H344="","",IF(OR(NOT(ISFORMULA(INDEX('Game Records'!$N:$N,$H344))),NOT(ISFORMULA(INDEX('Game Records'!$O:$O,$H344))),NOT(ISFORMULA(INDEX('Game Records'!$P:$P,$H344))),NOT(ISFORMULA(INDEX('Game Records'!$Q:$Q,$H344))),NOT(ISFORMULA(INDEX('Game Records'!$R:$R,$H344))),NOT(ISFORMULA(INDEX('Game Records'!$S:$S,$H344))),NOT(ISFORMULA(INDEX('Game Records'!$T:$T,$H344))),NOT(ISFORMULA(INDEX('Game Records'!$U:$U,$H344))),NOT(ISFORMULA(INDEX('Game Records'!$V:$V,$H344))),NOT(ISFORMULA(INDEX('Game Records'!$W:$W,$H344))),NOT(ISFORMULA(INDEX('Game Records'!$X:$X,$H344))),NOT(ISFORMULA(INDEX('Game Records'!$Y:$Y,$H344))),NOT(ISFORMULA(INDEX('Game Records'!$Z:$Z,$H344)))),"Formula columns missing; ","")&amp;IF(INDEX('Game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Earned; ","")&amp;IF(AND(LOWER(INDEX('Game Records'!$D:$D,$H344)&amp;"")="finalized",INDEX('Game Records'!$U:$U,$H344)&lt;&gt;"Subscription",INDEX('Game Records'!$U:$U,$H344)&lt;&gt;"Free Game",INDEX('Game Records'!$U:$U,$H344)&lt;&gt;"Disqualified — Free Game",OR(INDEX('Game Records'!$L:$L,$H344)="",LOWER(INDEX('Game Records'!$L:$L,$H344)&amp;"")="n/a")),"Disqualified Status; ","")&amp;IF(AND(OR(INDEX('Game Records'!$U:$U,$H344)="Free Game",INDEX('Game Records'!$U:$U,$H344)="Disqualified — Free Game"),N(INDEX('Game Records'!$H:$H,$H344))&lt;&gt;0),"Free Game has a non-zero Entry Fee; ",""))</f>
        <v/>
      </c>
      <c r="G344" s="331" t="str">
        <f>IF($H344="","",IFERROR(INDEX('Game Records'!$M:$M,$H344),""))</f>
        <v/>
      </c>
      <c r="H344" s="104" t="str">
        <f>IF($H343="","",IFERROR(MATCH(1,INDEX((ROW('Game Records'!$U$5:$U$504)&gt;$H343)*(('Game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5" ht="24" customHeight="1">
      <c r="A345" s="332" t="str">
        <f>IF($H345="","",ROWS($A$5:A345))</f>
        <v/>
      </c>
      <c r="B345" s="332" t="str">
        <f>IF($H345="","","G-"&amp;TEXT($A345,"0000"))</f>
        <v/>
      </c>
      <c r="C345" s="331" t="str">
        <f>IF($H345="","",IFERROR(INDEX('Game Records'!$A:$A,$H345),""))</f>
        <v/>
      </c>
      <c r="D345" s="331" t="str">
        <f>IF($H345="","",IFERROR(INDEX('Game Records'!$U:$U,$H345),""))</f>
        <v/>
      </c>
      <c r="E345" s="331" t="str">
        <f>IF($H345="","",IF($F345="","No Highlighted Fields","Highlighted Fields Present"))</f>
        <v/>
      </c>
      <c r="F345" s="331" t="str">
        <f>IF($H345="","",IF(OR(NOT(ISFORMULA(INDEX('Game Records'!$N:$N,$H345))),NOT(ISFORMULA(INDEX('Game Records'!$O:$O,$H345))),NOT(ISFORMULA(INDEX('Game Records'!$P:$P,$H345))),NOT(ISFORMULA(INDEX('Game Records'!$Q:$Q,$H345))),NOT(ISFORMULA(INDEX('Game Records'!$R:$R,$H345))),NOT(ISFORMULA(INDEX('Game Records'!$S:$S,$H345))),NOT(ISFORMULA(INDEX('Game Records'!$T:$T,$H345))),NOT(ISFORMULA(INDEX('Game Records'!$U:$U,$H345))),NOT(ISFORMULA(INDEX('Game Records'!$V:$V,$H345))),NOT(ISFORMULA(INDEX('Game Records'!$W:$W,$H345))),NOT(ISFORMULA(INDEX('Game Records'!$X:$X,$H345))),NOT(ISFORMULA(INDEX('Game Records'!$Y:$Y,$H345))),NOT(ISFORMULA(INDEX('Game Records'!$Z:$Z,$H345)))),"Formula columns missing; ","")&amp;IF(INDEX('Game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Earned; ","")&amp;IF(AND(LOWER(INDEX('Game Records'!$D:$D,$H345)&amp;"")="finalized",INDEX('Game Records'!$U:$U,$H345)&lt;&gt;"Subscription",INDEX('Game Records'!$U:$U,$H345)&lt;&gt;"Free Game",INDEX('Game Records'!$U:$U,$H345)&lt;&gt;"Disqualified — Free Game",OR(INDEX('Game Records'!$L:$L,$H345)="",LOWER(INDEX('Game Records'!$L:$L,$H345)&amp;"")="n/a")),"Disqualified Status; ","")&amp;IF(AND(OR(INDEX('Game Records'!$U:$U,$H345)="Free Game",INDEX('Game Records'!$U:$U,$H345)="Disqualified — Free Game"),N(INDEX('Game Records'!$H:$H,$H345))&lt;&gt;0),"Free Game has a non-zero Entry Fee; ",""))</f>
        <v/>
      </c>
      <c r="G345" s="331" t="str">
        <f>IF($H345="","",IFERROR(INDEX('Game Records'!$M:$M,$H345),""))</f>
        <v/>
      </c>
      <c r="H345" s="104" t="str">
        <f>IF($H344="","",IFERROR(MATCH(1,INDEX((ROW('Game Records'!$U$5:$U$504)&gt;$H344)*(('Game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6" ht="24" customHeight="1">
      <c r="A346" s="332" t="str">
        <f>IF($H346="","",ROWS($A$5:A346))</f>
        <v/>
      </c>
      <c r="B346" s="332" t="str">
        <f>IF($H346="","","G-"&amp;TEXT($A346,"0000"))</f>
        <v/>
      </c>
      <c r="C346" s="331" t="str">
        <f>IF($H346="","",IFERROR(INDEX('Game Records'!$A:$A,$H346),""))</f>
        <v/>
      </c>
      <c r="D346" s="331" t="str">
        <f>IF($H346="","",IFERROR(INDEX('Game Records'!$U:$U,$H346),""))</f>
        <v/>
      </c>
      <c r="E346" s="331" t="str">
        <f>IF($H346="","",IF($F346="","No Highlighted Fields","Highlighted Fields Present"))</f>
        <v/>
      </c>
      <c r="F346" s="331" t="str">
        <f>IF($H346="","",IF(OR(NOT(ISFORMULA(INDEX('Game Records'!$N:$N,$H346))),NOT(ISFORMULA(INDEX('Game Records'!$O:$O,$H346))),NOT(ISFORMULA(INDEX('Game Records'!$P:$P,$H346))),NOT(ISFORMULA(INDEX('Game Records'!$Q:$Q,$H346))),NOT(ISFORMULA(INDEX('Game Records'!$R:$R,$H346))),NOT(ISFORMULA(INDEX('Game Records'!$S:$S,$H346))),NOT(ISFORMULA(INDEX('Game Records'!$T:$T,$H346))),NOT(ISFORMULA(INDEX('Game Records'!$U:$U,$H346))),NOT(ISFORMULA(INDEX('Game Records'!$V:$V,$H346))),NOT(ISFORMULA(INDEX('Game Records'!$W:$W,$H346))),NOT(ISFORMULA(INDEX('Game Records'!$X:$X,$H346))),NOT(ISFORMULA(INDEX('Game Records'!$Y:$Y,$H346))),NOT(ISFORMULA(INDEX('Game Records'!$Z:$Z,$H346)))),"Formula columns missing; ","")&amp;IF(INDEX('Game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Earned; ","")&amp;IF(AND(LOWER(INDEX('Game Records'!$D:$D,$H346)&amp;"")="finalized",INDEX('Game Records'!$U:$U,$H346)&lt;&gt;"Subscription",INDEX('Game Records'!$U:$U,$H346)&lt;&gt;"Free Game",INDEX('Game Records'!$U:$U,$H346)&lt;&gt;"Disqualified — Free Game",OR(INDEX('Game Records'!$L:$L,$H346)="",LOWER(INDEX('Game Records'!$L:$L,$H346)&amp;"")="n/a")),"Disqualified Status; ","")&amp;IF(AND(OR(INDEX('Game Records'!$U:$U,$H346)="Free Game",INDEX('Game Records'!$U:$U,$H346)="Disqualified — Free Game"),N(INDEX('Game Records'!$H:$H,$H346))&lt;&gt;0),"Free Game has a non-zero Entry Fee; ",""))</f>
        <v/>
      </c>
      <c r="G346" s="331" t="str">
        <f>IF($H346="","",IFERROR(INDEX('Game Records'!$M:$M,$H346),""))</f>
        <v/>
      </c>
      <c r="H346" s="104" t="str">
        <f>IF($H345="","",IFERROR(MATCH(1,INDEX((ROW('Game Records'!$U$5:$U$504)&gt;$H345)*(('Game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7" ht="24" customHeight="1">
      <c r="A347" s="332" t="str">
        <f>IF($H347="","",ROWS($A$5:A347))</f>
        <v/>
      </c>
      <c r="B347" s="332" t="str">
        <f>IF($H347="","","G-"&amp;TEXT($A347,"0000"))</f>
        <v/>
      </c>
      <c r="C347" s="331" t="str">
        <f>IF($H347="","",IFERROR(INDEX('Game Records'!$A:$A,$H347),""))</f>
        <v/>
      </c>
      <c r="D347" s="331" t="str">
        <f>IF($H347="","",IFERROR(INDEX('Game Records'!$U:$U,$H347),""))</f>
        <v/>
      </c>
      <c r="E347" s="331" t="str">
        <f>IF($H347="","",IF($F347="","No Highlighted Fields","Highlighted Fields Present"))</f>
        <v/>
      </c>
      <c r="F347" s="331" t="str">
        <f>IF($H347="","",IF(OR(NOT(ISFORMULA(INDEX('Game Records'!$N:$N,$H347))),NOT(ISFORMULA(INDEX('Game Records'!$O:$O,$H347))),NOT(ISFORMULA(INDEX('Game Records'!$P:$P,$H347))),NOT(ISFORMULA(INDEX('Game Records'!$Q:$Q,$H347))),NOT(ISFORMULA(INDEX('Game Records'!$R:$R,$H347))),NOT(ISFORMULA(INDEX('Game Records'!$S:$S,$H347))),NOT(ISFORMULA(INDEX('Game Records'!$T:$T,$H347))),NOT(ISFORMULA(INDEX('Game Records'!$U:$U,$H347))),NOT(ISFORMULA(INDEX('Game Records'!$V:$V,$H347))),NOT(ISFORMULA(INDEX('Game Records'!$W:$W,$H347))),NOT(ISFORMULA(INDEX('Game Records'!$X:$X,$H347))),NOT(ISFORMULA(INDEX('Game Records'!$Y:$Y,$H347))),NOT(ISFORMULA(INDEX('Game Records'!$Z:$Z,$H347)))),"Formula columns missing; ","")&amp;IF(INDEX('Game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Earned; ","")&amp;IF(AND(LOWER(INDEX('Game Records'!$D:$D,$H347)&amp;"")="finalized",INDEX('Game Records'!$U:$U,$H347)&lt;&gt;"Subscription",INDEX('Game Records'!$U:$U,$H347)&lt;&gt;"Free Game",INDEX('Game Records'!$U:$U,$H347)&lt;&gt;"Disqualified — Free Game",OR(INDEX('Game Records'!$L:$L,$H347)="",LOWER(INDEX('Game Records'!$L:$L,$H347)&amp;"")="n/a")),"Disqualified Status; ","")&amp;IF(AND(OR(INDEX('Game Records'!$U:$U,$H347)="Free Game",INDEX('Game Records'!$U:$U,$H347)="Disqualified — Free Game"),N(INDEX('Game Records'!$H:$H,$H347))&lt;&gt;0),"Free Game has a non-zero Entry Fee; ",""))</f>
        <v/>
      </c>
      <c r="G347" s="331" t="str">
        <f>IF($H347="","",IFERROR(INDEX('Game Records'!$M:$M,$H347),""))</f>
        <v/>
      </c>
      <c r="H347" s="104" t="str">
        <f>IF($H346="","",IFERROR(MATCH(1,INDEX((ROW('Game Records'!$U$5:$U$504)&gt;$H346)*(('Game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8" ht="24" customHeight="1">
      <c r="A348" s="332" t="str">
        <f>IF($H348="","",ROWS($A$5:A348))</f>
        <v/>
      </c>
      <c r="B348" s="332" t="str">
        <f>IF($H348="","","G-"&amp;TEXT($A348,"0000"))</f>
        <v/>
      </c>
      <c r="C348" s="331" t="str">
        <f>IF($H348="","",IFERROR(INDEX('Game Records'!$A:$A,$H348),""))</f>
        <v/>
      </c>
      <c r="D348" s="331" t="str">
        <f>IF($H348="","",IFERROR(INDEX('Game Records'!$U:$U,$H348),""))</f>
        <v/>
      </c>
      <c r="E348" s="331" t="str">
        <f>IF($H348="","",IF($F348="","No Highlighted Fields","Highlighted Fields Present"))</f>
        <v/>
      </c>
      <c r="F348" s="331" t="str">
        <f>IF($H348="","",IF(OR(NOT(ISFORMULA(INDEX('Game Records'!$N:$N,$H348))),NOT(ISFORMULA(INDEX('Game Records'!$O:$O,$H348))),NOT(ISFORMULA(INDEX('Game Records'!$P:$P,$H348))),NOT(ISFORMULA(INDEX('Game Records'!$Q:$Q,$H348))),NOT(ISFORMULA(INDEX('Game Records'!$R:$R,$H348))),NOT(ISFORMULA(INDEX('Game Records'!$S:$S,$H348))),NOT(ISFORMULA(INDEX('Game Records'!$T:$T,$H348))),NOT(ISFORMULA(INDEX('Game Records'!$U:$U,$H348))),NOT(ISFORMULA(INDEX('Game Records'!$V:$V,$H348))),NOT(ISFORMULA(INDEX('Game Records'!$W:$W,$H348))),NOT(ISFORMULA(INDEX('Game Records'!$X:$X,$H348))),NOT(ISFORMULA(INDEX('Game Records'!$Y:$Y,$H348))),NOT(ISFORMULA(INDEX('Game Records'!$Z:$Z,$H348)))),"Formula columns missing; ","")&amp;IF(INDEX('Game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Earned; ","")&amp;IF(AND(LOWER(INDEX('Game Records'!$D:$D,$H348)&amp;"")="finalized",INDEX('Game Records'!$U:$U,$H348)&lt;&gt;"Subscription",INDEX('Game Records'!$U:$U,$H348)&lt;&gt;"Free Game",INDEX('Game Records'!$U:$U,$H348)&lt;&gt;"Disqualified — Free Game",OR(INDEX('Game Records'!$L:$L,$H348)="",LOWER(INDEX('Game Records'!$L:$L,$H348)&amp;"")="n/a")),"Disqualified Status; ","")&amp;IF(AND(OR(INDEX('Game Records'!$U:$U,$H348)="Free Game",INDEX('Game Records'!$U:$U,$H348)="Disqualified — Free Game"),N(INDEX('Game Records'!$H:$H,$H348))&lt;&gt;0),"Free Game has a non-zero Entry Fee; ",""))</f>
        <v/>
      </c>
      <c r="G348" s="331" t="str">
        <f>IF($H348="","",IFERROR(INDEX('Game Records'!$M:$M,$H348),""))</f>
        <v/>
      </c>
      <c r="H348" s="104" t="str">
        <f>IF($H347="","",IFERROR(MATCH(1,INDEX((ROW('Game Records'!$U$5:$U$504)&gt;$H347)*(('Game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9" ht="24" customHeight="1">
      <c r="A349" s="332" t="str">
        <f>IF($H349="","",ROWS($A$5:A349))</f>
        <v/>
      </c>
      <c r="B349" s="332" t="str">
        <f>IF($H349="","","G-"&amp;TEXT($A349,"0000"))</f>
        <v/>
      </c>
      <c r="C349" s="331" t="str">
        <f>IF($H349="","",IFERROR(INDEX('Game Records'!$A:$A,$H349),""))</f>
        <v/>
      </c>
      <c r="D349" s="331" t="str">
        <f>IF($H349="","",IFERROR(INDEX('Game Records'!$U:$U,$H349),""))</f>
        <v/>
      </c>
      <c r="E349" s="331" t="str">
        <f>IF($H349="","",IF($F349="","No Highlighted Fields","Highlighted Fields Present"))</f>
        <v/>
      </c>
      <c r="F349" s="331" t="str">
        <f>IF($H349="","",IF(OR(NOT(ISFORMULA(INDEX('Game Records'!$N:$N,$H349))),NOT(ISFORMULA(INDEX('Game Records'!$O:$O,$H349))),NOT(ISFORMULA(INDEX('Game Records'!$P:$P,$H349))),NOT(ISFORMULA(INDEX('Game Records'!$Q:$Q,$H349))),NOT(ISFORMULA(INDEX('Game Records'!$R:$R,$H349))),NOT(ISFORMULA(INDEX('Game Records'!$S:$S,$H349))),NOT(ISFORMULA(INDEX('Game Records'!$T:$T,$H349))),NOT(ISFORMULA(INDEX('Game Records'!$U:$U,$H349))),NOT(ISFORMULA(INDEX('Game Records'!$V:$V,$H349))),NOT(ISFORMULA(INDEX('Game Records'!$W:$W,$H349))),NOT(ISFORMULA(INDEX('Game Records'!$X:$X,$H349))),NOT(ISFORMULA(INDEX('Game Records'!$Y:$Y,$H349))),NOT(ISFORMULA(INDEX('Game Records'!$Z:$Z,$H349)))),"Formula columns missing; ","")&amp;IF(INDEX('Game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Earned; ","")&amp;IF(AND(LOWER(INDEX('Game Records'!$D:$D,$H349)&amp;"")="finalized",INDEX('Game Records'!$U:$U,$H349)&lt;&gt;"Subscription",INDEX('Game Records'!$U:$U,$H349)&lt;&gt;"Free Game",INDEX('Game Records'!$U:$U,$H349)&lt;&gt;"Disqualified — Free Game",OR(INDEX('Game Records'!$L:$L,$H349)="",LOWER(INDEX('Game Records'!$L:$L,$H349)&amp;"")="n/a")),"Disqualified Status; ","")&amp;IF(AND(OR(INDEX('Game Records'!$U:$U,$H349)="Free Game",INDEX('Game Records'!$U:$U,$H349)="Disqualified — Free Game"),N(INDEX('Game Records'!$H:$H,$H349))&lt;&gt;0),"Free Game has a non-zero Entry Fee; ",""))</f>
        <v/>
      </c>
      <c r="G349" s="331" t="str">
        <f>IF($H349="","",IFERROR(INDEX('Game Records'!$M:$M,$H349),""))</f>
        <v/>
      </c>
      <c r="H349" s="104" t="str">
        <f>IF($H348="","",IFERROR(MATCH(1,INDEX((ROW('Game Records'!$U$5:$U$504)&gt;$H348)*(('Game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0" ht="24" customHeight="1">
      <c r="A350" s="332" t="str">
        <f>IF($H350="","",ROWS($A$5:A350))</f>
        <v/>
      </c>
      <c r="B350" s="332" t="str">
        <f>IF($H350="","","G-"&amp;TEXT($A350,"0000"))</f>
        <v/>
      </c>
      <c r="C350" s="331" t="str">
        <f>IF($H350="","",IFERROR(INDEX('Game Records'!$A:$A,$H350),""))</f>
        <v/>
      </c>
      <c r="D350" s="331" t="str">
        <f>IF($H350="","",IFERROR(INDEX('Game Records'!$U:$U,$H350),""))</f>
        <v/>
      </c>
      <c r="E350" s="331" t="str">
        <f>IF($H350="","",IF($F350="","No Highlighted Fields","Highlighted Fields Present"))</f>
        <v/>
      </c>
      <c r="F350" s="331" t="str">
        <f>IF($H350="","",IF(OR(NOT(ISFORMULA(INDEX('Game Records'!$N:$N,$H350))),NOT(ISFORMULA(INDEX('Game Records'!$O:$O,$H350))),NOT(ISFORMULA(INDEX('Game Records'!$P:$P,$H350))),NOT(ISFORMULA(INDEX('Game Records'!$Q:$Q,$H350))),NOT(ISFORMULA(INDEX('Game Records'!$R:$R,$H350))),NOT(ISFORMULA(INDEX('Game Records'!$S:$S,$H350))),NOT(ISFORMULA(INDEX('Game Records'!$T:$T,$H350))),NOT(ISFORMULA(INDEX('Game Records'!$U:$U,$H350))),NOT(ISFORMULA(INDEX('Game Records'!$V:$V,$H350))),NOT(ISFORMULA(INDEX('Game Records'!$W:$W,$H350))),NOT(ISFORMULA(INDEX('Game Records'!$X:$X,$H350))),NOT(ISFORMULA(INDEX('Game Records'!$Y:$Y,$H350))),NOT(ISFORMULA(INDEX('Game Records'!$Z:$Z,$H350)))),"Formula columns missing; ","")&amp;IF(INDEX('Game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Earned; ","")&amp;IF(AND(LOWER(INDEX('Game Records'!$D:$D,$H350)&amp;"")="finalized",INDEX('Game Records'!$U:$U,$H350)&lt;&gt;"Subscription",INDEX('Game Records'!$U:$U,$H350)&lt;&gt;"Free Game",INDEX('Game Records'!$U:$U,$H350)&lt;&gt;"Disqualified — Free Game",OR(INDEX('Game Records'!$L:$L,$H350)="",LOWER(INDEX('Game Records'!$L:$L,$H350)&amp;"")="n/a")),"Disqualified Status; ","")&amp;IF(AND(OR(INDEX('Game Records'!$U:$U,$H350)="Free Game",INDEX('Game Records'!$U:$U,$H350)="Disqualified — Free Game"),N(INDEX('Game Records'!$H:$H,$H350))&lt;&gt;0),"Free Game has a non-zero Entry Fee; ",""))</f>
        <v/>
      </c>
      <c r="G350" s="331" t="str">
        <f>IF($H350="","",IFERROR(INDEX('Game Records'!$M:$M,$H350),""))</f>
        <v/>
      </c>
      <c r="H350" s="104" t="str">
        <f>IF($H349="","",IFERROR(MATCH(1,INDEX((ROW('Game Records'!$U$5:$U$504)&gt;$H349)*(('Game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1" ht="24" customHeight="1">
      <c r="A351" s="332" t="str">
        <f>IF($H351="","",ROWS($A$5:A351))</f>
        <v/>
      </c>
      <c r="B351" s="332" t="str">
        <f>IF($H351="","","G-"&amp;TEXT($A351,"0000"))</f>
        <v/>
      </c>
      <c r="C351" s="331" t="str">
        <f>IF($H351="","",IFERROR(INDEX('Game Records'!$A:$A,$H351),""))</f>
        <v/>
      </c>
      <c r="D351" s="331" t="str">
        <f>IF($H351="","",IFERROR(INDEX('Game Records'!$U:$U,$H351),""))</f>
        <v/>
      </c>
      <c r="E351" s="331" t="str">
        <f>IF($H351="","",IF($F351="","No Highlighted Fields","Highlighted Fields Present"))</f>
        <v/>
      </c>
      <c r="F351" s="331" t="str">
        <f>IF($H351="","",IF(OR(NOT(ISFORMULA(INDEX('Game Records'!$N:$N,$H351))),NOT(ISFORMULA(INDEX('Game Records'!$O:$O,$H351))),NOT(ISFORMULA(INDEX('Game Records'!$P:$P,$H351))),NOT(ISFORMULA(INDEX('Game Records'!$Q:$Q,$H351))),NOT(ISFORMULA(INDEX('Game Records'!$R:$R,$H351))),NOT(ISFORMULA(INDEX('Game Records'!$S:$S,$H351))),NOT(ISFORMULA(INDEX('Game Records'!$T:$T,$H351))),NOT(ISFORMULA(INDEX('Game Records'!$U:$U,$H351))),NOT(ISFORMULA(INDEX('Game Records'!$V:$V,$H351))),NOT(ISFORMULA(INDEX('Game Records'!$W:$W,$H351))),NOT(ISFORMULA(INDEX('Game Records'!$X:$X,$H351))),NOT(ISFORMULA(INDEX('Game Records'!$Y:$Y,$H351))),NOT(ISFORMULA(INDEX('Game Records'!$Z:$Z,$H351)))),"Formula columns missing; ","")&amp;IF(INDEX('Game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Earned; ","")&amp;IF(AND(LOWER(INDEX('Game Records'!$D:$D,$H351)&amp;"")="finalized",INDEX('Game Records'!$U:$U,$H351)&lt;&gt;"Subscription",INDEX('Game Records'!$U:$U,$H351)&lt;&gt;"Free Game",INDEX('Game Records'!$U:$U,$H351)&lt;&gt;"Disqualified — Free Game",OR(INDEX('Game Records'!$L:$L,$H351)="",LOWER(INDEX('Game Records'!$L:$L,$H351)&amp;"")="n/a")),"Disqualified Status; ","")&amp;IF(AND(OR(INDEX('Game Records'!$U:$U,$H351)="Free Game",INDEX('Game Records'!$U:$U,$H351)="Disqualified — Free Game"),N(INDEX('Game Records'!$H:$H,$H351))&lt;&gt;0),"Free Game has a non-zero Entry Fee; ",""))</f>
        <v/>
      </c>
      <c r="G351" s="331" t="str">
        <f>IF($H351="","",IFERROR(INDEX('Game Records'!$M:$M,$H351),""))</f>
        <v/>
      </c>
      <c r="H351" s="104" t="str">
        <f>IF($H350="","",IFERROR(MATCH(1,INDEX((ROW('Game Records'!$U$5:$U$504)&gt;$H350)*(('Game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2" ht="24" customHeight="1">
      <c r="A352" s="332" t="str">
        <f>IF($H352="","",ROWS($A$5:A352))</f>
        <v/>
      </c>
      <c r="B352" s="332" t="str">
        <f>IF($H352="","","G-"&amp;TEXT($A352,"0000"))</f>
        <v/>
      </c>
      <c r="C352" s="331" t="str">
        <f>IF($H352="","",IFERROR(INDEX('Game Records'!$A:$A,$H352),""))</f>
        <v/>
      </c>
      <c r="D352" s="331" t="str">
        <f>IF($H352="","",IFERROR(INDEX('Game Records'!$U:$U,$H352),""))</f>
        <v/>
      </c>
      <c r="E352" s="331" t="str">
        <f>IF($H352="","",IF($F352="","No Highlighted Fields","Highlighted Fields Present"))</f>
        <v/>
      </c>
      <c r="F352" s="331" t="str">
        <f>IF($H352="","",IF(OR(NOT(ISFORMULA(INDEX('Game Records'!$N:$N,$H352))),NOT(ISFORMULA(INDEX('Game Records'!$O:$O,$H352))),NOT(ISFORMULA(INDEX('Game Records'!$P:$P,$H352))),NOT(ISFORMULA(INDEX('Game Records'!$Q:$Q,$H352))),NOT(ISFORMULA(INDEX('Game Records'!$R:$R,$H352))),NOT(ISFORMULA(INDEX('Game Records'!$S:$S,$H352))),NOT(ISFORMULA(INDEX('Game Records'!$T:$T,$H352))),NOT(ISFORMULA(INDEX('Game Records'!$U:$U,$H352))),NOT(ISFORMULA(INDEX('Game Records'!$V:$V,$H352))),NOT(ISFORMULA(INDEX('Game Records'!$W:$W,$H352))),NOT(ISFORMULA(INDEX('Game Records'!$X:$X,$H352))),NOT(ISFORMULA(INDEX('Game Records'!$Y:$Y,$H352))),NOT(ISFORMULA(INDEX('Game Records'!$Z:$Z,$H352)))),"Formula columns missing; ","")&amp;IF(INDEX('Game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Earned; ","")&amp;IF(AND(LOWER(INDEX('Game Records'!$D:$D,$H352)&amp;"")="finalized",INDEX('Game Records'!$U:$U,$H352)&lt;&gt;"Subscription",INDEX('Game Records'!$U:$U,$H352)&lt;&gt;"Free Game",INDEX('Game Records'!$U:$U,$H352)&lt;&gt;"Disqualified — Free Game",OR(INDEX('Game Records'!$L:$L,$H352)="",LOWER(INDEX('Game Records'!$L:$L,$H352)&amp;"")="n/a")),"Disqualified Status; ","")&amp;IF(AND(OR(INDEX('Game Records'!$U:$U,$H352)="Free Game",INDEX('Game Records'!$U:$U,$H352)="Disqualified — Free Game"),N(INDEX('Game Records'!$H:$H,$H352))&lt;&gt;0),"Free Game has a non-zero Entry Fee; ",""))</f>
        <v/>
      </c>
      <c r="G352" s="331" t="str">
        <f>IF($H352="","",IFERROR(INDEX('Game Records'!$M:$M,$H352),""))</f>
        <v/>
      </c>
      <c r="H352" s="104" t="str">
        <f>IF($H351="","",IFERROR(MATCH(1,INDEX((ROW('Game Records'!$U$5:$U$504)&gt;$H351)*(('Game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3" ht="24" customHeight="1">
      <c r="A353" s="332" t="str">
        <f>IF($H353="","",ROWS($A$5:A353))</f>
        <v/>
      </c>
      <c r="B353" s="332" t="str">
        <f>IF($H353="","","G-"&amp;TEXT($A353,"0000"))</f>
        <v/>
      </c>
      <c r="C353" s="331" t="str">
        <f>IF($H353="","",IFERROR(INDEX('Game Records'!$A:$A,$H353),""))</f>
        <v/>
      </c>
      <c r="D353" s="331" t="str">
        <f>IF($H353="","",IFERROR(INDEX('Game Records'!$U:$U,$H353),""))</f>
        <v/>
      </c>
      <c r="E353" s="331" t="str">
        <f>IF($H353="","",IF($F353="","No Highlighted Fields","Highlighted Fields Present"))</f>
        <v/>
      </c>
      <c r="F353" s="331" t="str">
        <f>IF($H353="","",IF(OR(NOT(ISFORMULA(INDEX('Game Records'!$N:$N,$H353))),NOT(ISFORMULA(INDEX('Game Records'!$O:$O,$H353))),NOT(ISFORMULA(INDEX('Game Records'!$P:$P,$H353))),NOT(ISFORMULA(INDEX('Game Records'!$Q:$Q,$H353))),NOT(ISFORMULA(INDEX('Game Records'!$R:$R,$H353))),NOT(ISFORMULA(INDEX('Game Records'!$S:$S,$H353))),NOT(ISFORMULA(INDEX('Game Records'!$T:$T,$H353))),NOT(ISFORMULA(INDEX('Game Records'!$U:$U,$H353))),NOT(ISFORMULA(INDEX('Game Records'!$V:$V,$H353))),NOT(ISFORMULA(INDEX('Game Records'!$W:$W,$H353))),NOT(ISFORMULA(INDEX('Game Records'!$X:$X,$H353))),NOT(ISFORMULA(INDEX('Game Records'!$Y:$Y,$H353))),NOT(ISFORMULA(INDEX('Game Records'!$Z:$Z,$H353)))),"Formula columns missing; ","")&amp;IF(INDEX('Game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Earned; ","")&amp;IF(AND(LOWER(INDEX('Game Records'!$D:$D,$H353)&amp;"")="finalized",INDEX('Game Records'!$U:$U,$H353)&lt;&gt;"Subscription",INDEX('Game Records'!$U:$U,$H353)&lt;&gt;"Free Game",INDEX('Game Records'!$U:$U,$H353)&lt;&gt;"Disqualified — Free Game",OR(INDEX('Game Records'!$L:$L,$H353)="",LOWER(INDEX('Game Records'!$L:$L,$H353)&amp;"")="n/a")),"Disqualified Status; ","")&amp;IF(AND(OR(INDEX('Game Records'!$U:$U,$H353)="Free Game",INDEX('Game Records'!$U:$U,$H353)="Disqualified — Free Game"),N(INDEX('Game Records'!$H:$H,$H353))&lt;&gt;0),"Free Game has a non-zero Entry Fee; ",""))</f>
        <v/>
      </c>
      <c r="G353" s="331" t="str">
        <f>IF($H353="","",IFERROR(INDEX('Game Records'!$M:$M,$H353),""))</f>
        <v/>
      </c>
      <c r="H353" s="104" t="str">
        <f>IF($H352="","",IFERROR(MATCH(1,INDEX((ROW('Game Records'!$U$5:$U$504)&gt;$H352)*(('Game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4" ht="24" customHeight="1">
      <c r="A354" s="332" t="str">
        <f>IF($H354="","",ROWS($A$5:A354))</f>
        <v/>
      </c>
      <c r="B354" s="332" t="str">
        <f>IF($H354="","","G-"&amp;TEXT($A354,"0000"))</f>
        <v/>
      </c>
      <c r="C354" s="331" t="str">
        <f>IF($H354="","",IFERROR(INDEX('Game Records'!$A:$A,$H354),""))</f>
        <v/>
      </c>
      <c r="D354" s="331" t="str">
        <f>IF($H354="","",IFERROR(INDEX('Game Records'!$U:$U,$H354),""))</f>
        <v/>
      </c>
      <c r="E354" s="331" t="str">
        <f>IF($H354="","",IF($F354="","No Highlighted Fields","Highlighted Fields Present"))</f>
        <v/>
      </c>
      <c r="F354" s="331" t="str">
        <f>IF($H354="","",IF(OR(NOT(ISFORMULA(INDEX('Game Records'!$N:$N,$H354))),NOT(ISFORMULA(INDEX('Game Records'!$O:$O,$H354))),NOT(ISFORMULA(INDEX('Game Records'!$P:$P,$H354))),NOT(ISFORMULA(INDEX('Game Records'!$Q:$Q,$H354))),NOT(ISFORMULA(INDEX('Game Records'!$R:$R,$H354))),NOT(ISFORMULA(INDEX('Game Records'!$S:$S,$H354))),NOT(ISFORMULA(INDEX('Game Records'!$T:$T,$H354))),NOT(ISFORMULA(INDEX('Game Records'!$U:$U,$H354))),NOT(ISFORMULA(INDEX('Game Records'!$V:$V,$H354))),NOT(ISFORMULA(INDEX('Game Records'!$W:$W,$H354))),NOT(ISFORMULA(INDEX('Game Records'!$X:$X,$H354))),NOT(ISFORMULA(INDEX('Game Records'!$Y:$Y,$H354))),NOT(ISFORMULA(INDEX('Game Records'!$Z:$Z,$H354)))),"Formula columns missing; ","")&amp;IF(INDEX('Game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Earned; ","")&amp;IF(AND(LOWER(INDEX('Game Records'!$D:$D,$H354)&amp;"")="finalized",INDEX('Game Records'!$U:$U,$H354)&lt;&gt;"Subscription",INDEX('Game Records'!$U:$U,$H354)&lt;&gt;"Free Game",INDEX('Game Records'!$U:$U,$H354)&lt;&gt;"Disqualified — Free Game",OR(INDEX('Game Records'!$L:$L,$H354)="",LOWER(INDEX('Game Records'!$L:$L,$H354)&amp;"")="n/a")),"Disqualified Status; ","")&amp;IF(AND(OR(INDEX('Game Records'!$U:$U,$H354)="Free Game",INDEX('Game Records'!$U:$U,$H354)="Disqualified — Free Game"),N(INDEX('Game Records'!$H:$H,$H354))&lt;&gt;0),"Free Game has a non-zero Entry Fee; ",""))</f>
        <v/>
      </c>
      <c r="G354" s="331" t="str">
        <f>IF($H354="","",IFERROR(INDEX('Game Records'!$M:$M,$H354),""))</f>
        <v/>
      </c>
      <c r="H354" s="104" t="str">
        <f>IF($H353="","",IFERROR(MATCH(1,INDEX((ROW('Game Records'!$U$5:$U$504)&gt;$H353)*(('Game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5" ht="24" customHeight="1">
      <c r="A355" s="332" t="str">
        <f>IF($H355="","",ROWS($A$5:A355))</f>
        <v/>
      </c>
      <c r="B355" s="332" t="str">
        <f>IF($H355="","","G-"&amp;TEXT($A355,"0000"))</f>
        <v/>
      </c>
      <c r="C355" s="331" t="str">
        <f>IF($H355="","",IFERROR(INDEX('Game Records'!$A:$A,$H355),""))</f>
        <v/>
      </c>
      <c r="D355" s="331" t="str">
        <f>IF($H355="","",IFERROR(INDEX('Game Records'!$U:$U,$H355),""))</f>
        <v/>
      </c>
      <c r="E355" s="331" t="str">
        <f>IF($H355="","",IF($F355="","No Highlighted Fields","Highlighted Fields Present"))</f>
        <v/>
      </c>
      <c r="F355" s="331" t="str">
        <f>IF($H355="","",IF(OR(NOT(ISFORMULA(INDEX('Game Records'!$N:$N,$H355))),NOT(ISFORMULA(INDEX('Game Records'!$O:$O,$H355))),NOT(ISFORMULA(INDEX('Game Records'!$P:$P,$H355))),NOT(ISFORMULA(INDEX('Game Records'!$Q:$Q,$H355))),NOT(ISFORMULA(INDEX('Game Records'!$R:$R,$H355))),NOT(ISFORMULA(INDEX('Game Records'!$S:$S,$H355))),NOT(ISFORMULA(INDEX('Game Records'!$T:$T,$H355))),NOT(ISFORMULA(INDEX('Game Records'!$U:$U,$H355))),NOT(ISFORMULA(INDEX('Game Records'!$V:$V,$H355))),NOT(ISFORMULA(INDEX('Game Records'!$W:$W,$H355))),NOT(ISFORMULA(INDEX('Game Records'!$X:$X,$H355))),NOT(ISFORMULA(INDEX('Game Records'!$Y:$Y,$H355))),NOT(ISFORMULA(INDEX('Game Records'!$Z:$Z,$H355)))),"Formula columns missing; ","")&amp;IF(INDEX('Game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Earned; ","")&amp;IF(AND(LOWER(INDEX('Game Records'!$D:$D,$H355)&amp;"")="finalized",INDEX('Game Records'!$U:$U,$H355)&lt;&gt;"Subscription",INDEX('Game Records'!$U:$U,$H355)&lt;&gt;"Free Game",INDEX('Game Records'!$U:$U,$H355)&lt;&gt;"Disqualified — Free Game",OR(INDEX('Game Records'!$L:$L,$H355)="",LOWER(INDEX('Game Records'!$L:$L,$H355)&amp;"")="n/a")),"Disqualified Status; ","")&amp;IF(AND(OR(INDEX('Game Records'!$U:$U,$H355)="Free Game",INDEX('Game Records'!$U:$U,$H355)="Disqualified — Free Game"),N(INDEX('Game Records'!$H:$H,$H355))&lt;&gt;0),"Free Game has a non-zero Entry Fee; ",""))</f>
        <v/>
      </c>
      <c r="G355" s="331" t="str">
        <f>IF($H355="","",IFERROR(INDEX('Game Records'!$M:$M,$H355),""))</f>
        <v/>
      </c>
      <c r="H355" s="104" t="str">
        <f>IF($H354="","",IFERROR(MATCH(1,INDEX((ROW('Game Records'!$U$5:$U$504)&gt;$H354)*(('Game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6" ht="24" customHeight="1">
      <c r="A356" s="332" t="str">
        <f>IF($H356="","",ROWS($A$5:A356))</f>
        <v/>
      </c>
      <c r="B356" s="332" t="str">
        <f>IF($H356="","","G-"&amp;TEXT($A356,"0000"))</f>
        <v/>
      </c>
      <c r="C356" s="331" t="str">
        <f>IF($H356="","",IFERROR(INDEX('Game Records'!$A:$A,$H356),""))</f>
        <v/>
      </c>
      <c r="D356" s="331" t="str">
        <f>IF($H356="","",IFERROR(INDEX('Game Records'!$U:$U,$H356),""))</f>
        <v/>
      </c>
      <c r="E356" s="331" t="str">
        <f>IF($H356="","",IF($F356="","No Highlighted Fields","Highlighted Fields Present"))</f>
        <v/>
      </c>
      <c r="F356" s="331" t="str">
        <f>IF($H356="","",IF(OR(NOT(ISFORMULA(INDEX('Game Records'!$N:$N,$H356))),NOT(ISFORMULA(INDEX('Game Records'!$O:$O,$H356))),NOT(ISFORMULA(INDEX('Game Records'!$P:$P,$H356))),NOT(ISFORMULA(INDEX('Game Records'!$Q:$Q,$H356))),NOT(ISFORMULA(INDEX('Game Records'!$R:$R,$H356))),NOT(ISFORMULA(INDEX('Game Records'!$S:$S,$H356))),NOT(ISFORMULA(INDEX('Game Records'!$T:$T,$H356))),NOT(ISFORMULA(INDEX('Game Records'!$U:$U,$H356))),NOT(ISFORMULA(INDEX('Game Records'!$V:$V,$H356))),NOT(ISFORMULA(INDEX('Game Records'!$W:$W,$H356))),NOT(ISFORMULA(INDEX('Game Records'!$X:$X,$H356))),NOT(ISFORMULA(INDEX('Game Records'!$Y:$Y,$H356))),NOT(ISFORMULA(INDEX('Game Records'!$Z:$Z,$H356)))),"Formula columns missing; ","")&amp;IF(INDEX('Game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Earned; ","")&amp;IF(AND(LOWER(INDEX('Game Records'!$D:$D,$H356)&amp;"")="finalized",INDEX('Game Records'!$U:$U,$H356)&lt;&gt;"Subscription",INDEX('Game Records'!$U:$U,$H356)&lt;&gt;"Free Game",INDEX('Game Records'!$U:$U,$H356)&lt;&gt;"Disqualified — Free Game",OR(INDEX('Game Records'!$L:$L,$H356)="",LOWER(INDEX('Game Records'!$L:$L,$H356)&amp;"")="n/a")),"Disqualified Status; ","")&amp;IF(AND(OR(INDEX('Game Records'!$U:$U,$H356)="Free Game",INDEX('Game Records'!$U:$U,$H356)="Disqualified — Free Game"),N(INDEX('Game Records'!$H:$H,$H356))&lt;&gt;0),"Free Game has a non-zero Entry Fee; ",""))</f>
        <v/>
      </c>
      <c r="G356" s="331" t="str">
        <f>IF($H356="","",IFERROR(INDEX('Game Records'!$M:$M,$H356),""))</f>
        <v/>
      </c>
      <c r="H356" s="104" t="str">
        <f>IF($H355="","",IFERROR(MATCH(1,INDEX((ROW('Game Records'!$U$5:$U$504)&gt;$H355)*(('Game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7" ht="24" customHeight="1">
      <c r="A357" s="332" t="str">
        <f>IF($H357="","",ROWS($A$5:A357))</f>
        <v/>
      </c>
      <c r="B357" s="332" t="str">
        <f>IF($H357="","","G-"&amp;TEXT($A357,"0000"))</f>
        <v/>
      </c>
      <c r="C357" s="331" t="str">
        <f>IF($H357="","",IFERROR(INDEX('Game Records'!$A:$A,$H357),""))</f>
        <v/>
      </c>
      <c r="D357" s="331" t="str">
        <f>IF($H357="","",IFERROR(INDEX('Game Records'!$U:$U,$H357),""))</f>
        <v/>
      </c>
      <c r="E357" s="331" t="str">
        <f>IF($H357="","",IF($F357="","No Highlighted Fields","Highlighted Fields Present"))</f>
        <v/>
      </c>
      <c r="F357" s="331" t="str">
        <f>IF($H357="","",IF(OR(NOT(ISFORMULA(INDEX('Game Records'!$N:$N,$H357))),NOT(ISFORMULA(INDEX('Game Records'!$O:$O,$H357))),NOT(ISFORMULA(INDEX('Game Records'!$P:$P,$H357))),NOT(ISFORMULA(INDEX('Game Records'!$Q:$Q,$H357))),NOT(ISFORMULA(INDEX('Game Records'!$R:$R,$H357))),NOT(ISFORMULA(INDEX('Game Records'!$S:$S,$H357))),NOT(ISFORMULA(INDEX('Game Records'!$T:$T,$H357))),NOT(ISFORMULA(INDEX('Game Records'!$U:$U,$H357))),NOT(ISFORMULA(INDEX('Game Records'!$V:$V,$H357))),NOT(ISFORMULA(INDEX('Game Records'!$W:$W,$H357))),NOT(ISFORMULA(INDEX('Game Records'!$X:$X,$H357))),NOT(ISFORMULA(INDEX('Game Records'!$Y:$Y,$H357))),NOT(ISFORMULA(INDEX('Game Records'!$Z:$Z,$H357)))),"Formula columns missing; ","")&amp;IF(INDEX('Game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Earned; ","")&amp;IF(AND(LOWER(INDEX('Game Records'!$D:$D,$H357)&amp;"")="finalized",INDEX('Game Records'!$U:$U,$H357)&lt;&gt;"Subscription",INDEX('Game Records'!$U:$U,$H357)&lt;&gt;"Free Game",INDEX('Game Records'!$U:$U,$H357)&lt;&gt;"Disqualified — Free Game",OR(INDEX('Game Records'!$L:$L,$H357)="",LOWER(INDEX('Game Records'!$L:$L,$H357)&amp;"")="n/a")),"Disqualified Status; ","")&amp;IF(AND(OR(INDEX('Game Records'!$U:$U,$H357)="Free Game",INDEX('Game Records'!$U:$U,$H357)="Disqualified — Free Game"),N(INDEX('Game Records'!$H:$H,$H357))&lt;&gt;0),"Free Game has a non-zero Entry Fee; ",""))</f>
        <v/>
      </c>
      <c r="G357" s="331" t="str">
        <f>IF($H357="","",IFERROR(INDEX('Game Records'!$M:$M,$H357),""))</f>
        <v/>
      </c>
      <c r="H357" s="104" t="str">
        <f>IF($H356="","",IFERROR(MATCH(1,INDEX((ROW('Game Records'!$U$5:$U$504)&gt;$H356)*(('Game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8" ht="24" customHeight="1">
      <c r="A358" s="332" t="str">
        <f>IF($H358="","",ROWS($A$5:A358))</f>
        <v/>
      </c>
      <c r="B358" s="332" t="str">
        <f>IF($H358="","","G-"&amp;TEXT($A358,"0000"))</f>
        <v/>
      </c>
      <c r="C358" s="331" t="str">
        <f>IF($H358="","",IFERROR(INDEX('Game Records'!$A:$A,$H358),""))</f>
        <v/>
      </c>
      <c r="D358" s="331" t="str">
        <f>IF($H358="","",IFERROR(INDEX('Game Records'!$U:$U,$H358),""))</f>
        <v/>
      </c>
      <c r="E358" s="331" t="str">
        <f>IF($H358="","",IF($F358="","No Highlighted Fields","Highlighted Fields Present"))</f>
        <v/>
      </c>
      <c r="F358" s="331" t="str">
        <f>IF($H358="","",IF(OR(NOT(ISFORMULA(INDEX('Game Records'!$N:$N,$H358))),NOT(ISFORMULA(INDEX('Game Records'!$O:$O,$H358))),NOT(ISFORMULA(INDEX('Game Records'!$P:$P,$H358))),NOT(ISFORMULA(INDEX('Game Records'!$Q:$Q,$H358))),NOT(ISFORMULA(INDEX('Game Records'!$R:$R,$H358))),NOT(ISFORMULA(INDEX('Game Records'!$S:$S,$H358))),NOT(ISFORMULA(INDEX('Game Records'!$T:$T,$H358))),NOT(ISFORMULA(INDEX('Game Records'!$U:$U,$H358))),NOT(ISFORMULA(INDEX('Game Records'!$V:$V,$H358))),NOT(ISFORMULA(INDEX('Game Records'!$W:$W,$H358))),NOT(ISFORMULA(INDEX('Game Records'!$X:$X,$H358))),NOT(ISFORMULA(INDEX('Game Records'!$Y:$Y,$H358))),NOT(ISFORMULA(INDEX('Game Records'!$Z:$Z,$H358)))),"Formula columns missing; ","")&amp;IF(INDEX('Game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Earned; ","")&amp;IF(AND(LOWER(INDEX('Game Records'!$D:$D,$H358)&amp;"")="finalized",INDEX('Game Records'!$U:$U,$H358)&lt;&gt;"Subscription",INDEX('Game Records'!$U:$U,$H358)&lt;&gt;"Free Game",INDEX('Game Records'!$U:$U,$H358)&lt;&gt;"Disqualified — Free Game",OR(INDEX('Game Records'!$L:$L,$H358)="",LOWER(INDEX('Game Records'!$L:$L,$H358)&amp;"")="n/a")),"Disqualified Status; ","")&amp;IF(AND(OR(INDEX('Game Records'!$U:$U,$H358)="Free Game",INDEX('Game Records'!$U:$U,$H358)="Disqualified — Free Game"),N(INDEX('Game Records'!$H:$H,$H358))&lt;&gt;0),"Free Game has a non-zero Entry Fee; ",""))</f>
        <v/>
      </c>
      <c r="G358" s="331" t="str">
        <f>IF($H358="","",IFERROR(INDEX('Game Records'!$M:$M,$H358),""))</f>
        <v/>
      </c>
      <c r="H358" s="104" t="str">
        <f>IF($H357="","",IFERROR(MATCH(1,INDEX((ROW('Game Records'!$U$5:$U$504)&gt;$H357)*(('Game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9" ht="24" customHeight="1">
      <c r="A359" s="332" t="str">
        <f>IF($H359="","",ROWS($A$5:A359))</f>
        <v/>
      </c>
      <c r="B359" s="332" t="str">
        <f>IF($H359="","","G-"&amp;TEXT($A359,"0000"))</f>
        <v/>
      </c>
      <c r="C359" s="331" t="str">
        <f>IF($H359="","",IFERROR(INDEX('Game Records'!$A:$A,$H359),""))</f>
        <v/>
      </c>
      <c r="D359" s="331" t="str">
        <f>IF($H359="","",IFERROR(INDEX('Game Records'!$U:$U,$H359),""))</f>
        <v/>
      </c>
      <c r="E359" s="331" t="str">
        <f>IF($H359="","",IF($F359="","No Highlighted Fields","Highlighted Fields Present"))</f>
        <v/>
      </c>
      <c r="F359" s="331" t="str">
        <f>IF($H359="","",IF(OR(NOT(ISFORMULA(INDEX('Game Records'!$N:$N,$H359))),NOT(ISFORMULA(INDEX('Game Records'!$O:$O,$H359))),NOT(ISFORMULA(INDEX('Game Records'!$P:$P,$H359))),NOT(ISFORMULA(INDEX('Game Records'!$Q:$Q,$H359))),NOT(ISFORMULA(INDEX('Game Records'!$R:$R,$H359))),NOT(ISFORMULA(INDEX('Game Records'!$S:$S,$H359))),NOT(ISFORMULA(INDEX('Game Records'!$T:$T,$H359))),NOT(ISFORMULA(INDEX('Game Records'!$U:$U,$H359))),NOT(ISFORMULA(INDEX('Game Records'!$V:$V,$H359))),NOT(ISFORMULA(INDEX('Game Records'!$W:$W,$H359))),NOT(ISFORMULA(INDEX('Game Records'!$X:$X,$H359))),NOT(ISFORMULA(INDEX('Game Records'!$Y:$Y,$H359))),NOT(ISFORMULA(INDEX('Game Records'!$Z:$Z,$H359)))),"Formula columns missing; ","")&amp;IF(INDEX('Game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Earned; ","")&amp;IF(AND(LOWER(INDEX('Game Records'!$D:$D,$H359)&amp;"")="finalized",INDEX('Game Records'!$U:$U,$H359)&lt;&gt;"Subscription",INDEX('Game Records'!$U:$U,$H359)&lt;&gt;"Free Game",INDEX('Game Records'!$U:$U,$H359)&lt;&gt;"Disqualified — Free Game",OR(INDEX('Game Records'!$L:$L,$H359)="",LOWER(INDEX('Game Records'!$L:$L,$H359)&amp;"")="n/a")),"Disqualified Status; ","")&amp;IF(AND(OR(INDEX('Game Records'!$U:$U,$H359)="Free Game",INDEX('Game Records'!$U:$U,$H359)="Disqualified — Free Game"),N(INDEX('Game Records'!$H:$H,$H359))&lt;&gt;0),"Free Game has a non-zero Entry Fee; ",""))</f>
        <v/>
      </c>
      <c r="G359" s="331" t="str">
        <f>IF($H359="","",IFERROR(INDEX('Game Records'!$M:$M,$H359),""))</f>
        <v/>
      </c>
      <c r="H359" s="104" t="str">
        <f>IF($H358="","",IFERROR(MATCH(1,INDEX((ROW('Game Records'!$U$5:$U$504)&gt;$H358)*(('Game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0" ht="24" customHeight="1">
      <c r="A360" s="332" t="str">
        <f>IF($H360="","",ROWS($A$5:A360))</f>
        <v/>
      </c>
      <c r="B360" s="332" t="str">
        <f>IF($H360="","","G-"&amp;TEXT($A360,"0000"))</f>
        <v/>
      </c>
      <c r="C360" s="331" t="str">
        <f>IF($H360="","",IFERROR(INDEX('Game Records'!$A:$A,$H360),""))</f>
        <v/>
      </c>
      <c r="D360" s="331" t="str">
        <f>IF($H360="","",IFERROR(INDEX('Game Records'!$U:$U,$H360),""))</f>
        <v/>
      </c>
      <c r="E360" s="331" t="str">
        <f>IF($H360="","",IF($F360="","No Highlighted Fields","Highlighted Fields Present"))</f>
        <v/>
      </c>
      <c r="F360" s="331" t="str">
        <f>IF($H360="","",IF(OR(NOT(ISFORMULA(INDEX('Game Records'!$N:$N,$H360))),NOT(ISFORMULA(INDEX('Game Records'!$O:$O,$H360))),NOT(ISFORMULA(INDEX('Game Records'!$P:$P,$H360))),NOT(ISFORMULA(INDEX('Game Records'!$Q:$Q,$H360))),NOT(ISFORMULA(INDEX('Game Records'!$R:$R,$H360))),NOT(ISFORMULA(INDEX('Game Records'!$S:$S,$H360))),NOT(ISFORMULA(INDEX('Game Records'!$T:$T,$H360))),NOT(ISFORMULA(INDEX('Game Records'!$U:$U,$H360))),NOT(ISFORMULA(INDEX('Game Records'!$V:$V,$H360))),NOT(ISFORMULA(INDEX('Game Records'!$W:$W,$H360))),NOT(ISFORMULA(INDEX('Game Records'!$X:$X,$H360))),NOT(ISFORMULA(INDEX('Game Records'!$Y:$Y,$H360))),NOT(ISFORMULA(INDEX('Game Records'!$Z:$Z,$H360)))),"Formula columns missing; ","")&amp;IF(INDEX('Game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Earned; ","")&amp;IF(AND(LOWER(INDEX('Game Records'!$D:$D,$H360)&amp;"")="finalized",INDEX('Game Records'!$U:$U,$H360)&lt;&gt;"Subscription",INDEX('Game Records'!$U:$U,$H360)&lt;&gt;"Free Game",INDEX('Game Records'!$U:$U,$H360)&lt;&gt;"Disqualified — Free Game",OR(INDEX('Game Records'!$L:$L,$H360)="",LOWER(INDEX('Game Records'!$L:$L,$H360)&amp;"")="n/a")),"Disqualified Status; ","")&amp;IF(AND(OR(INDEX('Game Records'!$U:$U,$H360)="Free Game",INDEX('Game Records'!$U:$U,$H360)="Disqualified — Free Game"),N(INDEX('Game Records'!$H:$H,$H360))&lt;&gt;0),"Free Game has a non-zero Entry Fee; ",""))</f>
        <v/>
      </c>
      <c r="G360" s="331" t="str">
        <f>IF($H360="","",IFERROR(INDEX('Game Records'!$M:$M,$H360),""))</f>
        <v/>
      </c>
      <c r="H360" s="104" t="str">
        <f>IF($H359="","",IFERROR(MATCH(1,INDEX((ROW('Game Records'!$U$5:$U$504)&gt;$H359)*(('Game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1" ht="24" customHeight="1">
      <c r="A361" s="332" t="str">
        <f>IF($H361="","",ROWS($A$5:A361))</f>
        <v/>
      </c>
      <c r="B361" s="332" t="str">
        <f>IF($H361="","","G-"&amp;TEXT($A361,"0000"))</f>
        <v/>
      </c>
      <c r="C361" s="331" t="str">
        <f>IF($H361="","",IFERROR(INDEX('Game Records'!$A:$A,$H361),""))</f>
        <v/>
      </c>
      <c r="D361" s="331" t="str">
        <f>IF($H361="","",IFERROR(INDEX('Game Records'!$U:$U,$H361),""))</f>
        <v/>
      </c>
      <c r="E361" s="331" t="str">
        <f>IF($H361="","",IF($F361="","No Highlighted Fields","Highlighted Fields Present"))</f>
        <v/>
      </c>
      <c r="F361" s="331" t="str">
        <f>IF($H361="","",IF(OR(NOT(ISFORMULA(INDEX('Game Records'!$N:$N,$H361))),NOT(ISFORMULA(INDEX('Game Records'!$O:$O,$H361))),NOT(ISFORMULA(INDEX('Game Records'!$P:$P,$H361))),NOT(ISFORMULA(INDEX('Game Records'!$Q:$Q,$H361))),NOT(ISFORMULA(INDEX('Game Records'!$R:$R,$H361))),NOT(ISFORMULA(INDEX('Game Records'!$S:$S,$H361))),NOT(ISFORMULA(INDEX('Game Records'!$T:$T,$H361))),NOT(ISFORMULA(INDEX('Game Records'!$U:$U,$H361))),NOT(ISFORMULA(INDEX('Game Records'!$V:$V,$H361))),NOT(ISFORMULA(INDEX('Game Records'!$W:$W,$H361))),NOT(ISFORMULA(INDEX('Game Records'!$X:$X,$H361))),NOT(ISFORMULA(INDEX('Game Records'!$Y:$Y,$H361))),NOT(ISFORMULA(INDEX('Game Records'!$Z:$Z,$H361)))),"Formula columns missing; ","")&amp;IF(INDEX('Game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Earned; ","")&amp;IF(AND(LOWER(INDEX('Game Records'!$D:$D,$H361)&amp;"")="finalized",INDEX('Game Records'!$U:$U,$H361)&lt;&gt;"Subscription",INDEX('Game Records'!$U:$U,$H361)&lt;&gt;"Free Game",INDEX('Game Records'!$U:$U,$H361)&lt;&gt;"Disqualified — Free Game",OR(INDEX('Game Records'!$L:$L,$H361)="",LOWER(INDEX('Game Records'!$L:$L,$H361)&amp;"")="n/a")),"Disqualified Status; ","")&amp;IF(AND(OR(INDEX('Game Records'!$U:$U,$H361)="Free Game",INDEX('Game Records'!$U:$U,$H361)="Disqualified — Free Game"),N(INDEX('Game Records'!$H:$H,$H361))&lt;&gt;0),"Free Game has a non-zero Entry Fee; ",""))</f>
        <v/>
      </c>
      <c r="G361" s="331" t="str">
        <f>IF($H361="","",IFERROR(INDEX('Game Records'!$M:$M,$H361),""))</f>
        <v/>
      </c>
      <c r="H361" s="104" t="str">
        <f>IF($H360="","",IFERROR(MATCH(1,INDEX((ROW('Game Records'!$U$5:$U$504)&gt;$H360)*(('Game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2" ht="24" customHeight="1">
      <c r="A362" s="332" t="str">
        <f>IF($H362="","",ROWS($A$5:A362))</f>
        <v/>
      </c>
      <c r="B362" s="332" t="str">
        <f>IF($H362="","","G-"&amp;TEXT($A362,"0000"))</f>
        <v/>
      </c>
      <c r="C362" s="331" t="str">
        <f>IF($H362="","",IFERROR(INDEX('Game Records'!$A:$A,$H362),""))</f>
        <v/>
      </c>
      <c r="D362" s="331" t="str">
        <f>IF($H362="","",IFERROR(INDEX('Game Records'!$U:$U,$H362),""))</f>
        <v/>
      </c>
      <c r="E362" s="331" t="str">
        <f>IF($H362="","",IF($F362="","No Highlighted Fields","Highlighted Fields Present"))</f>
        <v/>
      </c>
      <c r="F362" s="331" t="str">
        <f>IF($H362="","",IF(OR(NOT(ISFORMULA(INDEX('Game Records'!$N:$N,$H362))),NOT(ISFORMULA(INDEX('Game Records'!$O:$O,$H362))),NOT(ISFORMULA(INDEX('Game Records'!$P:$P,$H362))),NOT(ISFORMULA(INDEX('Game Records'!$Q:$Q,$H362))),NOT(ISFORMULA(INDEX('Game Records'!$R:$R,$H362))),NOT(ISFORMULA(INDEX('Game Records'!$S:$S,$H362))),NOT(ISFORMULA(INDEX('Game Records'!$T:$T,$H362))),NOT(ISFORMULA(INDEX('Game Records'!$U:$U,$H362))),NOT(ISFORMULA(INDEX('Game Records'!$V:$V,$H362))),NOT(ISFORMULA(INDEX('Game Records'!$W:$W,$H362))),NOT(ISFORMULA(INDEX('Game Records'!$X:$X,$H362))),NOT(ISFORMULA(INDEX('Game Records'!$Y:$Y,$H362))),NOT(ISFORMULA(INDEX('Game Records'!$Z:$Z,$H362)))),"Formula columns missing; ","")&amp;IF(INDEX('Game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Earned; ","")&amp;IF(AND(LOWER(INDEX('Game Records'!$D:$D,$H362)&amp;"")="finalized",INDEX('Game Records'!$U:$U,$H362)&lt;&gt;"Subscription",INDEX('Game Records'!$U:$U,$H362)&lt;&gt;"Free Game",INDEX('Game Records'!$U:$U,$H362)&lt;&gt;"Disqualified — Free Game",OR(INDEX('Game Records'!$L:$L,$H362)="",LOWER(INDEX('Game Records'!$L:$L,$H362)&amp;"")="n/a")),"Disqualified Status; ","")&amp;IF(AND(OR(INDEX('Game Records'!$U:$U,$H362)="Free Game",INDEX('Game Records'!$U:$U,$H362)="Disqualified — Free Game"),N(INDEX('Game Records'!$H:$H,$H362))&lt;&gt;0),"Free Game has a non-zero Entry Fee; ",""))</f>
        <v/>
      </c>
      <c r="G362" s="331" t="str">
        <f>IF($H362="","",IFERROR(INDEX('Game Records'!$M:$M,$H362),""))</f>
        <v/>
      </c>
      <c r="H362" s="104" t="str">
        <f>IF($H361="","",IFERROR(MATCH(1,INDEX((ROW('Game Records'!$U$5:$U$504)&gt;$H361)*(('Game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3" ht="24" customHeight="1">
      <c r="A363" s="332" t="str">
        <f>IF($H363="","",ROWS($A$5:A363))</f>
        <v/>
      </c>
      <c r="B363" s="332" t="str">
        <f>IF($H363="","","G-"&amp;TEXT($A363,"0000"))</f>
        <v/>
      </c>
      <c r="C363" s="331" t="str">
        <f>IF($H363="","",IFERROR(INDEX('Game Records'!$A:$A,$H363),""))</f>
        <v/>
      </c>
      <c r="D363" s="331" t="str">
        <f>IF($H363="","",IFERROR(INDEX('Game Records'!$U:$U,$H363),""))</f>
        <v/>
      </c>
      <c r="E363" s="331" t="str">
        <f>IF($H363="","",IF($F363="","No Highlighted Fields","Highlighted Fields Present"))</f>
        <v/>
      </c>
      <c r="F363" s="331" t="str">
        <f>IF($H363="","",IF(OR(NOT(ISFORMULA(INDEX('Game Records'!$N:$N,$H363))),NOT(ISFORMULA(INDEX('Game Records'!$O:$O,$H363))),NOT(ISFORMULA(INDEX('Game Records'!$P:$P,$H363))),NOT(ISFORMULA(INDEX('Game Records'!$Q:$Q,$H363))),NOT(ISFORMULA(INDEX('Game Records'!$R:$R,$H363))),NOT(ISFORMULA(INDEX('Game Records'!$S:$S,$H363))),NOT(ISFORMULA(INDEX('Game Records'!$T:$T,$H363))),NOT(ISFORMULA(INDEX('Game Records'!$U:$U,$H363))),NOT(ISFORMULA(INDEX('Game Records'!$V:$V,$H363))),NOT(ISFORMULA(INDEX('Game Records'!$W:$W,$H363))),NOT(ISFORMULA(INDEX('Game Records'!$X:$X,$H363))),NOT(ISFORMULA(INDEX('Game Records'!$Y:$Y,$H363))),NOT(ISFORMULA(INDEX('Game Records'!$Z:$Z,$H363)))),"Formula columns missing; ","")&amp;IF(INDEX('Game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Earned; ","")&amp;IF(AND(LOWER(INDEX('Game Records'!$D:$D,$H363)&amp;"")="finalized",INDEX('Game Records'!$U:$U,$H363)&lt;&gt;"Subscription",INDEX('Game Records'!$U:$U,$H363)&lt;&gt;"Free Game",INDEX('Game Records'!$U:$U,$H363)&lt;&gt;"Disqualified — Free Game",OR(INDEX('Game Records'!$L:$L,$H363)="",LOWER(INDEX('Game Records'!$L:$L,$H363)&amp;"")="n/a")),"Disqualified Status; ","")&amp;IF(AND(OR(INDEX('Game Records'!$U:$U,$H363)="Free Game",INDEX('Game Records'!$U:$U,$H363)="Disqualified — Free Game"),N(INDEX('Game Records'!$H:$H,$H363))&lt;&gt;0),"Free Game has a non-zero Entry Fee; ",""))</f>
        <v/>
      </c>
      <c r="G363" s="331" t="str">
        <f>IF($H363="","",IFERROR(INDEX('Game Records'!$M:$M,$H363),""))</f>
        <v/>
      </c>
      <c r="H363" s="104" t="str">
        <f>IF($H362="","",IFERROR(MATCH(1,INDEX((ROW('Game Records'!$U$5:$U$504)&gt;$H362)*(('Game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4" ht="24" customHeight="1">
      <c r="A364" s="332" t="str">
        <f>IF($H364="","",ROWS($A$5:A364))</f>
        <v/>
      </c>
      <c r="B364" s="332" t="str">
        <f>IF($H364="","","G-"&amp;TEXT($A364,"0000"))</f>
        <v/>
      </c>
      <c r="C364" s="331" t="str">
        <f>IF($H364="","",IFERROR(INDEX('Game Records'!$A:$A,$H364),""))</f>
        <v/>
      </c>
      <c r="D364" s="331" t="str">
        <f>IF($H364="","",IFERROR(INDEX('Game Records'!$U:$U,$H364),""))</f>
        <v/>
      </c>
      <c r="E364" s="331" t="str">
        <f>IF($H364="","",IF($F364="","No Highlighted Fields","Highlighted Fields Present"))</f>
        <v/>
      </c>
      <c r="F364" s="331" t="str">
        <f>IF($H364="","",IF(OR(NOT(ISFORMULA(INDEX('Game Records'!$N:$N,$H364))),NOT(ISFORMULA(INDEX('Game Records'!$O:$O,$H364))),NOT(ISFORMULA(INDEX('Game Records'!$P:$P,$H364))),NOT(ISFORMULA(INDEX('Game Records'!$Q:$Q,$H364))),NOT(ISFORMULA(INDEX('Game Records'!$R:$R,$H364))),NOT(ISFORMULA(INDEX('Game Records'!$S:$S,$H364))),NOT(ISFORMULA(INDEX('Game Records'!$T:$T,$H364))),NOT(ISFORMULA(INDEX('Game Records'!$U:$U,$H364))),NOT(ISFORMULA(INDEX('Game Records'!$V:$V,$H364))),NOT(ISFORMULA(INDEX('Game Records'!$W:$W,$H364))),NOT(ISFORMULA(INDEX('Game Records'!$X:$X,$H364))),NOT(ISFORMULA(INDEX('Game Records'!$Y:$Y,$H364))),NOT(ISFORMULA(INDEX('Game Records'!$Z:$Z,$H364)))),"Formula columns missing; ","")&amp;IF(INDEX('Game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Earned; ","")&amp;IF(AND(LOWER(INDEX('Game Records'!$D:$D,$H364)&amp;"")="finalized",INDEX('Game Records'!$U:$U,$H364)&lt;&gt;"Subscription",INDEX('Game Records'!$U:$U,$H364)&lt;&gt;"Free Game",INDEX('Game Records'!$U:$U,$H364)&lt;&gt;"Disqualified — Free Game",OR(INDEX('Game Records'!$L:$L,$H364)="",LOWER(INDEX('Game Records'!$L:$L,$H364)&amp;"")="n/a")),"Disqualified Status; ","")&amp;IF(AND(OR(INDEX('Game Records'!$U:$U,$H364)="Free Game",INDEX('Game Records'!$U:$U,$H364)="Disqualified — Free Game"),N(INDEX('Game Records'!$H:$H,$H364))&lt;&gt;0),"Free Game has a non-zero Entry Fee; ",""))</f>
        <v/>
      </c>
      <c r="G364" s="331" t="str">
        <f>IF($H364="","",IFERROR(INDEX('Game Records'!$M:$M,$H364),""))</f>
        <v/>
      </c>
      <c r="H364" s="104" t="str">
        <f>IF($H363="","",IFERROR(MATCH(1,INDEX((ROW('Game Records'!$U$5:$U$504)&gt;$H363)*(('Game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5" ht="24" customHeight="1">
      <c r="A365" s="332" t="str">
        <f>IF($H365="","",ROWS($A$5:A365))</f>
        <v/>
      </c>
      <c r="B365" s="332" t="str">
        <f>IF($H365="","","G-"&amp;TEXT($A365,"0000"))</f>
        <v/>
      </c>
      <c r="C365" s="331" t="str">
        <f>IF($H365="","",IFERROR(INDEX('Game Records'!$A:$A,$H365),""))</f>
        <v/>
      </c>
      <c r="D365" s="331" t="str">
        <f>IF($H365="","",IFERROR(INDEX('Game Records'!$U:$U,$H365),""))</f>
        <v/>
      </c>
      <c r="E365" s="331" t="str">
        <f>IF($H365="","",IF($F365="","No Highlighted Fields","Highlighted Fields Present"))</f>
        <v/>
      </c>
      <c r="F365" s="331" t="str">
        <f>IF($H365="","",IF(OR(NOT(ISFORMULA(INDEX('Game Records'!$N:$N,$H365))),NOT(ISFORMULA(INDEX('Game Records'!$O:$O,$H365))),NOT(ISFORMULA(INDEX('Game Records'!$P:$P,$H365))),NOT(ISFORMULA(INDEX('Game Records'!$Q:$Q,$H365))),NOT(ISFORMULA(INDEX('Game Records'!$R:$R,$H365))),NOT(ISFORMULA(INDEX('Game Records'!$S:$S,$H365))),NOT(ISFORMULA(INDEX('Game Records'!$T:$T,$H365))),NOT(ISFORMULA(INDEX('Game Records'!$U:$U,$H365))),NOT(ISFORMULA(INDEX('Game Records'!$V:$V,$H365))),NOT(ISFORMULA(INDEX('Game Records'!$W:$W,$H365))),NOT(ISFORMULA(INDEX('Game Records'!$X:$X,$H365))),NOT(ISFORMULA(INDEX('Game Records'!$Y:$Y,$H365))),NOT(ISFORMULA(INDEX('Game Records'!$Z:$Z,$H365)))),"Formula columns missing; ","")&amp;IF(INDEX('Game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Earned; ","")&amp;IF(AND(LOWER(INDEX('Game Records'!$D:$D,$H365)&amp;"")="finalized",INDEX('Game Records'!$U:$U,$H365)&lt;&gt;"Subscription",INDEX('Game Records'!$U:$U,$H365)&lt;&gt;"Free Game",INDEX('Game Records'!$U:$U,$H365)&lt;&gt;"Disqualified — Free Game",OR(INDEX('Game Records'!$L:$L,$H365)="",LOWER(INDEX('Game Records'!$L:$L,$H365)&amp;"")="n/a")),"Disqualified Status; ","")&amp;IF(AND(OR(INDEX('Game Records'!$U:$U,$H365)="Free Game",INDEX('Game Records'!$U:$U,$H365)="Disqualified — Free Game"),N(INDEX('Game Records'!$H:$H,$H365))&lt;&gt;0),"Free Game has a non-zero Entry Fee; ",""))</f>
        <v/>
      </c>
      <c r="G365" s="331" t="str">
        <f>IF($H365="","",IFERROR(INDEX('Game Records'!$M:$M,$H365),""))</f>
        <v/>
      </c>
      <c r="H365" s="104" t="str">
        <f>IF($H364="","",IFERROR(MATCH(1,INDEX((ROW('Game Records'!$U$5:$U$504)&gt;$H364)*(('Game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6" ht="24" customHeight="1">
      <c r="A366" s="332" t="str">
        <f>IF($H366="","",ROWS($A$5:A366))</f>
        <v/>
      </c>
      <c r="B366" s="332" t="str">
        <f>IF($H366="","","G-"&amp;TEXT($A366,"0000"))</f>
        <v/>
      </c>
      <c r="C366" s="331" t="str">
        <f>IF($H366="","",IFERROR(INDEX('Game Records'!$A:$A,$H366),""))</f>
        <v/>
      </c>
      <c r="D366" s="331" t="str">
        <f>IF($H366="","",IFERROR(INDEX('Game Records'!$U:$U,$H366),""))</f>
        <v/>
      </c>
      <c r="E366" s="331" t="str">
        <f>IF($H366="","",IF($F366="","No Highlighted Fields","Highlighted Fields Present"))</f>
        <v/>
      </c>
      <c r="F366" s="331" t="str">
        <f>IF($H366="","",IF(OR(NOT(ISFORMULA(INDEX('Game Records'!$N:$N,$H366))),NOT(ISFORMULA(INDEX('Game Records'!$O:$O,$H366))),NOT(ISFORMULA(INDEX('Game Records'!$P:$P,$H366))),NOT(ISFORMULA(INDEX('Game Records'!$Q:$Q,$H366))),NOT(ISFORMULA(INDEX('Game Records'!$R:$R,$H366))),NOT(ISFORMULA(INDEX('Game Records'!$S:$S,$H366))),NOT(ISFORMULA(INDEX('Game Records'!$T:$T,$H366))),NOT(ISFORMULA(INDEX('Game Records'!$U:$U,$H366))),NOT(ISFORMULA(INDEX('Game Records'!$V:$V,$H366))),NOT(ISFORMULA(INDEX('Game Records'!$W:$W,$H366))),NOT(ISFORMULA(INDEX('Game Records'!$X:$X,$H366))),NOT(ISFORMULA(INDEX('Game Records'!$Y:$Y,$H366))),NOT(ISFORMULA(INDEX('Game Records'!$Z:$Z,$H366)))),"Formula columns missing; ","")&amp;IF(INDEX('Game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Earned; ","")&amp;IF(AND(LOWER(INDEX('Game Records'!$D:$D,$H366)&amp;"")="finalized",INDEX('Game Records'!$U:$U,$H366)&lt;&gt;"Subscription",INDEX('Game Records'!$U:$U,$H366)&lt;&gt;"Free Game",INDEX('Game Records'!$U:$U,$H366)&lt;&gt;"Disqualified — Free Game",OR(INDEX('Game Records'!$L:$L,$H366)="",LOWER(INDEX('Game Records'!$L:$L,$H366)&amp;"")="n/a")),"Disqualified Status; ","")&amp;IF(AND(OR(INDEX('Game Records'!$U:$U,$H366)="Free Game",INDEX('Game Records'!$U:$U,$H366)="Disqualified — Free Game"),N(INDEX('Game Records'!$H:$H,$H366))&lt;&gt;0),"Free Game has a non-zero Entry Fee; ",""))</f>
        <v/>
      </c>
      <c r="G366" s="331" t="str">
        <f>IF($H366="","",IFERROR(INDEX('Game Records'!$M:$M,$H366),""))</f>
        <v/>
      </c>
      <c r="H366" s="104" t="str">
        <f>IF($H365="","",IFERROR(MATCH(1,INDEX((ROW('Game Records'!$U$5:$U$504)&gt;$H365)*(('Game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7" ht="24" customHeight="1">
      <c r="A367" s="332" t="str">
        <f>IF($H367="","",ROWS($A$5:A367))</f>
        <v/>
      </c>
      <c r="B367" s="332" t="str">
        <f>IF($H367="","","G-"&amp;TEXT($A367,"0000"))</f>
        <v/>
      </c>
      <c r="C367" s="331" t="str">
        <f>IF($H367="","",IFERROR(INDEX('Game Records'!$A:$A,$H367),""))</f>
        <v/>
      </c>
      <c r="D367" s="331" t="str">
        <f>IF($H367="","",IFERROR(INDEX('Game Records'!$U:$U,$H367),""))</f>
        <v/>
      </c>
      <c r="E367" s="331" t="str">
        <f>IF($H367="","",IF($F367="","No Highlighted Fields","Highlighted Fields Present"))</f>
        <v/>
      </c>
      <c r="F367" s="331" t="str">
        <f>IF($H367="","",IF(OR(NOT(ISFORMULA(INDEX('Game Records'!$N:$N,$H367))),NOT(ISFORMULA(INDEX('Game Records'!$O:$O,$H367))),NOT(ISFORMULA(INDEX('Game Records'!$P:$P,$H367))),NOT(ISFORMULA(INDEX('Game Records'!$Q:$Q,$H367))),NOT(ISFORMULA(INDEX('Game Records'!$R:$R,$H367))),NOT(ISFORMULA(INDEX('Game Records'!$S:$S,$H367))),NOT(ISFORMULA(INDEX('Game Records'!$T:$T,$H367))),NOT(ISFORMULA(INDEX('Game Records'!$U:$U,$H367))),NOT(ISFORMULA(INDEX('Game Records'!$V:$V,$H367))),NOT(ISFORMULA(INDEX('Game Records'!$W:$W,$H367))),NOT(ISFORMULA(INDEX('Game Records'!$X:$X,$H367))),NOT(ISFORMULA(INDEX('Game Records'!$Y:$Y,$H367))),NOT(ISFORMULA(INDEX('Game Records'!$Z:$Z,$H367)))),"Formula columns missing; ","")&amp;IF(INDEX('Game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Earned; ","")&amp;IF(AND(LOWER(INDEX('Game Records'!$D:$D,$H367)&amp;"")="finalized",INDEX('Game Records'!$U:$U,$H367)&lt;&gt;"Subscription",INDEX('Game Records'!$U:$U,$H367)&lt;&gt;"Free Game",INDEX('Game Records'!$U:$U,$H367)&lt;&gt;"Disqualified — Free Game",OR(INDEX('Game Records'!$L:$L,$H367)="",LOWER(INDEX('Game Records'!$L:$L,$H367)&amp;"")="n/a")),"Disqualified Status; ","")&amp;IF(AND(OR(INDEX('Game Records'!$U:$U,$H367)="Free Game",INDEX('Game Records'!$U:$U,$H367)="Disqualified — Free Game"),N(INDEX('Game Records'!$H:$H,$H367))&lt;&gt;0),"Free Game has a non-zero Entry Fee; ",""))</f>
        <v/>
      </c>
      <c r="G367" s="331" t="str">
        <f>IF($H367="","",IFERROR(INDEX('Game Records'!$M:$M,$H367),""))</f>
        <v/>
      </c>
      <c r="H367" s="104" t="str">
        <f>IF($H366="","",IFERROR(MATCH(1,INDEX((ROW('Game Records'!$U$5:$U$504)&gt;$H366)*(('Game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8" ht="24" customHeight="1">
      <c r="A368" s="332" t="str">
        <f>IF($H368="","",ROWS($A$5:A368))</f>
        <v/>
      </c>
      <c r="B368" s="332" t="str">
        <f>IF($H368="","","G-"&amp;TEXT($A368,"0000"))</f>
        <v/>
      </c>
      <c r="C368" s="331" t="str">
        <f>IF($H368="","",IFERROR(INDEX('Game Records'!$A:$A,$H368),""))</f>
        <v/>
      </c>
      <c r="D368" s="331" t="str">
        <f>IF($H368="","",IFERROR(INDEX('Game Records'!$U:$U,$H368),""))</f>
        <v/>
      </c>
      <c r="E368" s="331" t="str">
        <f>IF($H368="","",IF($F368="","No Highlighted Fields","Highlighted Fields Present"))</f>
        <v/>
      </c>
      <c r="F368" s="331" t="str">
        <f>IF($H368="","",IF(OR(NOT(ISFORMULA(INDEX('Game Records'!$N:$N,$H368))),NOT(ISFORMULA(INDEX('Game Records'!$O:$O,$H368))),NOT(ISFORMULA(INDEX('Game Records'!$P:$P,$H368))),NOT(ISFORMULA(INDEX('Game Records'!$Q:$Q,$H368))),NOT(ISFORMULA(INDEX('Game Records'!$R:$R,$H368))),NOT(ISFORMULA(INDEX('Game Records'!$S:$S,$H368))),NOT(ISFORMULA(INDEX('Game Records'!$T:$T,$H368))),NOT(ISFORMULA(INDEX('Game Records'!$U:$U,$H368))),NOT(ISFORMULA(INDEX('Game Records'!$V:$V,$H368))),NOT(ISFORMULA(INDEX('Game Records'!$W:$W,$H368))),NOT(ISFORMULA(INDEX('Game Records'!$X:$X,$H368))),NOT(ISFORMULA(INDEX('Game Records'!$Y:$Y,$H368))),NOT(ISFORMULA(INDEX('Game Records'!$Z:$Z,$H368)))),"Formula columns missing; ","")&amp;IF(INDEX('Game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Earned; ","")&amp;IF(AND(LOWER(INDEX('Game Records'!$D:$D,$H368)&amp;"")="finalized",INDEX('Game Records'!$U:$U,$H368)&lt;&gt;"Subscription",INDEX('Game Records'!$U:$U,$H368)&lt;&gt;"Free Game",INDEX('Game Records'!$U:$U,$H368)&lt;&gt;"Disqualified — Free Game",OR(INDEX('Game Records'!$L:$L,$H368)="",LOWER(INDEX('Game Records'!$L:$L,$H368)&amp;"")="n/a")),"Disqualified Status; ","")&amp;IF(AND(OR(INDEX('Game Records'!$U:$U,$H368)="Free Game",INDEX('Game Records'!$U:$U,$H368)="Disqualified — Free Game"),N(INDEX('Game Records'!$H:$H,$H368))&lt;&gt;0),"Free Game has a non-zero Entry Fee; ",""))</f>
        <v/>
      </c>
      <c r="G368" s="331" t="str">
        <f>IF($H368="","",IFERROR(INDEX('Game Records'!$M:$M,$H368),""))</f>
        <v/>
      </c>
      <c r="H368" s="104" t="str">
        <f>IF($H367="","",IFERROR(MATCH(1,INDEX((ROW('Game Records'!$U$5:$U$504)&gt;$H367)*(('Game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9" ht="24" customHeight="1">
      <c r="A369" s="332" t="str">
        <f>IF($H369="","",ROWS($A$5:A369))</f>
        <v/>
      </c>
      <c r="B369" s="332" t="str">
        <f>IF($H369="","","G-"&amp;TEXT($A369,"0000"))</f>
        <v/>
      </c>
      <c r="C369" s="331" t="str">
        <f>IF($H369="","",IFERROR(INDEX('Game Records'!$A:$A,$H369),""))</f>
        <v/>
      </c>
      <c r="D369" s="331" t="str">
        <f>IF($H369="","",IFERROR(INDEX('Game Records'!$U:$U,$H369),""))</f>
        <v/>
      </c>
      <c r="E369" s="331" t="str">
        <f>IF($H369="","",IF($F369="","No Highlighted Fields","Highlighted Fields Present"))</f>
        <v/>
      </c>
      <c r="F369" s="331" t="str">
        <f>IF($H369="","",IF(OR(NOT(ISFORMULA(INDEX('Game Records'!$N:$N,$H369))),NOT(ISFORMULA(INDEX('Game Records'!$O:$O,$H369))),NOT(ISFORMULA(INDEX('Game Records'!$P:$P,$H369))),NOT(ISFORMULA(INDEX('Game Records'!$Q:$Q,$H369))),NOT(ISFORMULA(INDEX('Game Records'!$R:$R,$H369))),NOT(ISFORMULA(INDEX('Game Records'!$S:$S,$H369))),NOT(ISFORMULA(INDEX('Game Records'!$T:$T,$H369))),NOT(ISFORMULA(INDEX('Game Records'!$U:$U,$H369))),NOT(ISFORMULA(INDEX('Game Records'!$V:$V,$H369))),NOT(ISFORMULA(INDEX('Game Records'!$W:$W,$H369))),NOT(ISFORMULA(INDEX('Game Records'!$X:$X,$H369))),NOT(ISFORMULA(INDEX('Game Records'!$Y:$Y,$H369))),NOT(ISFORMULA(INDEX('Game Records'!$Z:$Z,$H369)))),"Formula columns missing; ","")&amp;IF(INDEX('Game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Earned; ","")&amp;IF(AND(LOWER(INDEX('Game Records'!$D:$D,$H369)&amp;"")="finalized",INDEX('Game Records'!$U:$U,$H369)&lt;&gt;"Subscription",INDEX('Game Records'!$U:$U,$H369)&lt;&gt;"Free Game",INDEX('Game Records'!$U:$U,$H369)&lt;&gt;"Disqualified — Free Game",OR(INDEX('Game Records'!$L:$L,$H369)="",LOWER(INDEX('Game Records'!$L:$L,$H369)&amp;"")="n/a")),"Disqualified Status; ","")&amp;IF(AND(OR(INDEX('Game Records'!$U:$U,$H369)="Free Game",INDEX('Game Records'!$U:$U,$H369)="Disqualified — Free Game"),N(INDEX('Game Records'!$H:$H,$H369))&lt;&gt;0),"Free Game has a non-zero Entry Fee; ",""))</f>
        <v/>
      </c>
      <c r="G369" s="331" t="str">
        <f>IF($H369="","",IFERROR(INDEX('Game Records'!$M:$M,$H369),""))</f>
        <v/>
      </c>
      <c r="H369" s="104" t="str">
        <f>IF($H368="","",IFERROR(MATCH(1,INDEX((ROW('Game Records'!$U$5:$U$504)&gt;$H368)*(('Game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0" ht="24" customHeight="1">
      <c r="A370" s="332" t="str">
        <f>IF($H370="","",ROWS($A$5:A370))</f>
        <v/>
      </c>
      <c r="B370" s="332" t="str">
        <f>IF($H370="","","G-"&amp;TEXT($A370,"0000"))</f>
        <v/>
      </c>
      <c r="C370" s="331" t="str">
        <f>IF($H370="","",IFERROR(INDEX('Game Records'!$A:$A,$H370),""))</f>
        <v/>
      </c>
      <c r="D370" s="331" t="str">
        <f>IF($H370="","",IFERROR(INDEX('Game Records'!$U:$U,$H370),""))</f>
        <v/>
      </c>
      <c r="E370" s="331" t="str">
        <f>IF($H370="","",IF($F370="","No Highlighted Fields","Highlighted Fields Present"))</f>
        <v/>
      </c>
      <c r="F370" s="331" t="str">
        <f>IF($H370="","",IF(OR(NOT(ISFORMULA(INDEX('Game Records'!$N:$N,$H370))),NOT(ISFORMULA(INDEX('Game Records'!$O:$O,$H370))),NOT(ISFORMULA(INDEX('Game Records'!$P:$P,$H370))),NOT(ISFORMULA(INDEX('Game Records'!$Q:$Q,$H370))),NOT(ISFORMULA(INDEX('Game Records'!$R:$R,$H370))),NOT(ISFORMULA(INDEX('Game Records'!$S:$S,$H370))),NOT(ISFORMULA(INDEX('Game Records'!$T:$T,$H370))),NOT(ISFORMULA(INDEX('Game Records'!$U:$U,$H370))),NOT(ISFORMULA(INDEX('Game Records'!$V:$V,$H370))),NOT(ISFORMULA(INDEX('Game Records'!$W:$W,$H370))),NOT(ISFORMULA(INDEX('Game Records'!$X:$X,$H370))),NOT(ISFORMULA(INDEX('Game Records'!$Y:$Y,$H370))),NOT(ISFORMULA(INDEX('Game Records'!$Z:$Z,$H370)))),"Formula columns missing; ","")&amp;IF(INDEX('Game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Earned; ","")&amp;IF(AND(LOWER(INDEX('Game Records'!$D:$D,$H370)&amp;"")="finalized",INDEX('Game Records'!$U:$U,$H370)&lt;&gt;"Subscription",INDEX('Game Records'!$U:$U,$H370)&lt;&gt;"Free Game",INDEX('Game Records'!$U:$U,$H370)&lt;&gt;"Disqualified — Free Game",OR(INDEX('Game Records'!$L:$L,$H370)="",LOWER(INDEX('Game Records'!$L:$L,$H370)&amp;"")="n/a")),"Disqualified Status; ","")&amp;IF(AND(OR(INDEX('Game Records'!$U:$U,$H370)="Free Game",INDEX('Game Records'!$U:$U,$H370)="Disqualified — Free Game"),N(INDEX('Game Records'!$H:$H,$H370))&lt;&gt;0),"Free Game has a non-zero Entry Fee; ",""))</f>
        <v/>
      </c>
      <c r="G370" s="331" t="str">
        <f>IF($H370="","",IFERROR(INDEX('Game Records'!$M:$M,$H370),""))</f>
        <v/>
      </c>
      <c r="H370" s="104" t="str">
        <f>IF($H369="","",IFERROR(MATCH(1,INDEX((ROW('Game Records'!$U$5:$U$504)&gt;$H369)*(('Game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1" ht="24" customHeight="1">
      <c r="A371" s="332" t="str">
        <f>IF($H371="","",ROWS($A$5:A371))</f>
        <v/>
      </c>
      <c r="B371" s="332" t="str">
        <f>IF($H371="","","G-"&amp;TEXT($A371,"0000"))</f>
        <v/>
      </c>
      <c r="C371" s="331" t="str">
        <f>IF($H371="","",IFERROR(INDEX('Game Records'!$A:$A,$H371),""))</f>
        <v/>
      </c>
      <c r="D371" s="331" t="str">
        <f>IF($H371="","",IFERROR(INDEX('Game Records'!$U:$U,$H371),""))</f>
        <v/>
      </c>
      <c r="E371" s="331" t="str">
        <f>IF($H371="","",IF($F371="","No Highlighted Fields","Highlighted Fields Present"))</f>
        <v/>
      </c>
      <c r="F371" s="331" t="str">
        <f>IF($H371="","",IF(OR(NOT(ISFORMULA(INDEX('Game Records'!$N:$N,$H371))),NOT(ISFORMULA(INDEX('Game Records'!$O:$O,$H371))),NOT(ISFORMULA(INDEX('Game Records'!$P:$P,$H371))),NOT(ISFORMULA(INDEX('Game Records'!$Q:$Q,$H371))),NOT(ISFORMULA(INDEX('Game Records'!$R:$R,$H371))),NOT(ISFORMULA(INDEX('Game Records'!$S:$S,$H371))),NOT(ISFORMULA(INDEX('Game Records'!$T:$T,$H371))),NOT(ISFORMULA(INDEX('Game Records'!$U:$U,$H371))),NOT(ISFORMULA(INDEX('Game Records'!$V:$V,$H371))),NOT(ISFORMULA(INDEX('Game Records'!$W:$W,$H371))),NOT(ISFORMULA(INDEX('Game Records'!$X:$X,$H371))),NOT(ISFORMULA(INDEX('Game Records'!$Y:$Y,$H371))),NOT(ISFORMULA(INDEX('Game Records'!$Z:$Z,$H371)))),"Formula columns missing; ","")&amp;IF(INDEX('Game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Earned; ","")&amp;IF(AND(LOWER(INDEX('Game Records'!$D:$D,$H371)&amp;"")="finalized",INDEX('Game Records'!$U:$U,$H371)&lt;&gt;"Subscription",INDEX('Game Records'!$U:$U,$H371)&lt;&gt;"Free Game",INDEX('Game Records'!$U:$U,$H371)&lt;&gt;"Disqualified — Free Game",OR(INDEX('Game Records'!$L:$L,$H371)="",LOWER(INDEX('Game Records'!$L:$L,$H371)&amp;"")="n/a")),"Disqualified Status; ","")&amp;IF(AND(OR(INDEX('Game Records'!$U:$U,$H371)="Free Game",INDEX('Game Records'!$U:$U,$H371)="Disqualified — Free Game"),N(INDEX('Game Records'!$H:$H,$H371))&lt;&gt;0),"Free Game has a non-zero Entry Fee; ",""))</f>
        <v/>
      </c>
      <c r="G371" s="331" t="str">
        <f>IF($H371="","",IFERROR(INDEX('Game Records'!$M:$M,$H371),""))</f>
        <v/>
      </c>
      <c r="H371" s="104" t="str">
        <f>IF($H370="","",IFERROR(MATCH(1,INDEX((ROW('Game Records'!$U$5:$U$504)&gt;$H370)*(('Game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2" ht="24" customHeight="1">
      <c r="A372" s="332" t="str">
        <f>IF($H372="","",ROWS($A$5:A372))</f>
        <v/>
      </c>
      <c r="B372" s="332" t="str">
        <f>IF($H372="","","G-"&amp;TEXT($A372,"0000"))</f>
        <v/>
      </c>
      <c r="C372" s="331" t="str">
        <f>IF($H372="","",IFERROR(INDEX('Game Records'!$A:$A,$H372),""))</f>
        <v/>
      </c>
      <c r="D372" s="331" t="str">
        <f>IF($H372="","",IFERROR(INDEX('Game Records'!$U:$U,$H372),""))</f>
        <v/>
      </c>
      <c r="E372" s="331" t="str">
        <f>IF($H372="","",IF($F372="","No Highlighted Fields","Highlighted Fields Present"))</f>
        <v/>
      </c>
      <c r="F372" s="331" t="str">
        <f>IF($H372="","",IF(OR(NOT(ISFORMULA(INDEX('Game Records'!$N:$N,$H372))),NOT(ISFORMULA(INDEX('Game Records'!$O:$O,$H372))),NOT(ISFORMULA(INDEX('Game Records'!$P:$P,$H372))),NOT(ISFORMULA(INDEX('Game Records'!$Q:$Q,$H372))),NOT(ISFORMULA(INDEX('Game Records'!$R:$R,$H372))),NOT(ISFORMULA(INDEX('Game Records'!$S:$S,$H372))),NOT(ISFORMULA(INDEX('Game Records'!$T:$T,$H372))),NOT(ISFORMULA(INDEX('Game Records'!$U:$U,$H372))),NOT(ISFORMULA(INDEX('Game Records'!$V:$V,$H372))),NOT(ISFORMULA(INDEX('Game Records'!$W:$W,$H372))),NOT(ISFORMULA(INDEX('Game Records'!$X:$X,$H372))),NOT(ISFORMULA(INDEX('Game Records'!$Y:$Y,$H372))),NOT(ISFORMULA(INDEX('Game Records'!$Z:$Z,$H372)))),"Formula columns missing; ","")&amp;IF(INDEX('Game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Earned; ","")&amp;IF(AND(LOWER(INDEX('Game Records'!$D:$D,$H372)&amp;"")="finalized",INDEX('Game Records'!$U:$U,$H372)&lt;&gt;"Subscription",INDEX('Game Records'!$U:$U,$H372)&lt;&gt;"Free Game",INDEX('Game Records'!$U:$U,$H372)&lt;&gt;"Disqualified — Free Game",OR(INDEX('Game Records'!$L:$L,$H372)="",LOWER(INDEX('Game Records'!$L:$L,$H372)&amp;"")="n/a")),"Disqualified Status; ","")&amp;IF(AND(OR(INDEX('Game Records'!$U:$U,$H372)="Free Game",INDEX('Game Records'!$U:$U,$H372)="Disqualified — Free Game"),N(INDEX('Game Records'!$H:$H,$H372))&lt;&gt;0),"Free Game has a non-zero Entry Fee; ",""))</f>
        <v/>
      </c>
      <c r="G372" s="331" t="str">
        <f>IF($H372="","",IFERROR(INDEX('Game Records'!$M:$M,$H372),""))</f>
        <v/>
      </c>
      <c r="H372" s="104" t="str">
        <f>IF($H371="","",IFERROR(MATCH(1,INDEX((ROW('Game Records'!$U$5:$U$504)&gt;$H371)*(('Game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3" ht="24" customHeight="1">
      <c r="A373" s="332" t="str">
        <f>IF($H373="","",ROWS($A$5:A373))</f>
        <v/>
      </c>
      <c r="B373" s="332" t="str">
        <f>IF($H373="","","G-"&amp;TEXT($A373,"0000"))</f>
        <v/>
      </c>
      <c r="C373" s="331" t="str">
        <f>IF($H373="","",IFERROR(INDEX('Game Records'!$A:$A,$H373),""))</f>
        <v/>
      </c>
      <c r="D373" s="331" t="str">
        <f>IF($H373="","",IFERROR(INDEX('Game Records'!$U:$U,$H373),""))</f>
        <v/>
      </c>
      <c r="E373" s="331" t="str">
        <f>IF($H373="","",IF($F373="","No Highlighted Fields","Highlighted Fields Present"))</f>
        <v/>
      </c>
      <c r="F373" s="331" t="str">
        <f>IF($H373="","",IF(OR(NOT(ISFORMULA(INDEX('Game Records'!$N:$N,$H373))),NOT(ISFORMULA(INDEX('Game Records'!$O:$O,$H373))),NOT(ISFORMULA(INDEX('Game Records'!$P:$P,$H373))),NOT(ISFORMULA(INDEX('Game Records'!$Q:$Q,$H373))),NOT(ISFORMULA(INDEX('Game Records'!$R:$R,$H373))),NOT(ISFORMULA(INDEX('Game Records'!$S:$S,$H373))),NOT(ISFORMULA(INDEX('Game Records'!$T:$T,$H373))),NOT(ISFORMULA(INDEX('Game Records'!$U:$U,$H373))),NOT(ISFORMULA(INDEX('Game Records'!$V:$V,$H373))),NOT(ISFORMULA(INDEX('Game Records'!$W:$W,$H373))),NOT(ISFORMULA(INDEX('Game Records'!$X:$X,$H373))),NOT(ISFORMULA(INDEX('Game Records'!$Y:$Y,$H373))),NOT(ISFORMULA(INDEX('Game Records'!$Z:$Z,$H373)))),"Formula columns missing; ","")&amp;IF(INDEX('Game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Earned; ","")&amp;IF(AND(LOWER(INDEX('Game Records'!$D:$D,$H373)&amp;"")="finalized",INDEX('Game Records'!$U:$U,$H373)&lt;&gt;"Subscription",INDEX('Game Records'!$U:$U,$H373)&lt;&gt;"Free Game",INDEX('Game Records'!$U:$U,$H373)&lt;&gt;"Disqualified — Free Game",OR(INDEX('Game Records'!$L:$L,$H373)="",LOWER(INDEX('Game Records'!$L:$L,$H373)&amp;"")="n/a")),"Disqualified Status; ","")&amp;IF(AND(OR(INDEX('Game Records'!$U:$U,$H373)="Free Game",INDEX('Game Records'!$U:$U,$H373)="Disqualified — Free Game"),N(INDEX('Game Records'!$H:$H,$H373))&lt;&gt;0),"Free Game has a non-zero Entry Fee; ",""))</f>
        <v/>
      </c>
      <c r="G373" s="331" t="str">
        <f>IF($H373="","",IFERROR(INDEX('Game Records'!$M:$M,$H373),""))</f>
        <v/>
      </c>
      <c r="H373" s="104" t="str">
        <f>IF($H372="","",IFERROR(MATCH(1,INDEX((ROW('Game Records'!$U$5:$U$504)&gt;$H372)*(('Game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4" ht="24" customHeight="1">
      <c r="A374" s="332" t="str">
        <f>IF($H374="","",ROWS($A$5:A374))</f>
        <v/>
      </c>
      <c r="B374" s="332" t="str">
        <f>IF($H374="","","G-"&amp;TEXT($A374,"0000"))</f>
        <v/>
      </c>
      <c r="C374" s="331" t="str">
        <f>IF($H374="","",IFERROR(INDEX('Game Records'!$A:$A,$H374),""))</f>
        <v/>
      </c>
      <c r="D374" s="331" t="str">
        <f>IF($H374="","",IFERROR(INDEX('Game Records'!$U:$U,$H374),""))</f>
        <v/>
      </c>
      <c r="E374" s="331" t="str">
        <f>IF($H374="","",IF($F374="","No Highlighted Fields","Highlighted Fields Present"))</f>
        <v/>
      </c>
      <c r="F374" s="331" t="str">
        <f>IF($H374="","",IF(OR(NOT(ISFORMULA(INDEX('Game Records'!$N:$N,$H374))),NOT(ISFORMULA(INDEX('Game Records'!$O:$O,$H374))),NOT(ISFORMULA(INDEX('Game Records'!$P:$P,$H374))),NOT(ISFORMULA(INDEX('Game Records'!$Q:$Q,$H374))),NOT(ISFORMULA(INDEX('Game Records'!$R:$R,$H374))),NOT(ISFORMULA(INDEX('Game Records'!$S:$S,$H374))),NOT(ISFORMULA(INDEX('Game Records'!$T:$T,$H374))),NOT(ISFORMULA(INDEX('Game Records'!$U:$U,$H374))),NOT(ISFORMULA(INDEX('Game Records'!$V:$V,$H374))),NOT(ISFORMULA(INDEX('Game Records'!$W:$W,$H374))),NOT(ISFORMULA(INDEX('Game Records'!$X:$X,$H374))),NOT(ISFORMULA(INDEX('Game Records'!$Y:$Y,$H374))),NOT(ISFORMULA(INDEX('Game Records'!$Z:$Z,$H374)))),"Formula columns missing; ","")&amp;IF(INDEX('Game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Earned; ","")&amp;IF(AND(LOWER(INDEX('Game Records'!$D:$D,$H374)&amp;"")="finalized",INDEX('Game Records'!$U:$U,$H374)&lt;&gt;"Subscription",INDEX('Game Records'!$U:$U,$H374)&lt;&gt;"Free Game",INDEX('Game Records'!$U:$U,$H374)&lt;&gt;"Disqualified — Free Game",OR(INDEX('Game Records'!$L:$L,$H374)="",LOWER(INDEX('Game Records'!$L:$L,$H374)&amp;"")="n/a")),"Disqualified Status; ","")&amp;IF(AND(OR(INDEX('Game Records'!$U:$U,$H374)="Free Game",INDEX('Game Records'!$U:$U,$H374)="Disqualified — Free Game"),N(INDEX('Game Records'!$H:$H,$H374))&lt;&gt;0),"Free Game has a non-zero Entry Fee; ",""))</f>
        <v/>
      </c>
      <c r="G374" s="331" t="str">
        <f>IF($H374="","",IFERROR(INDEX('Game Records'!$M:$M,$H374),""))</f>
        <v/>
      </c>
      <c r="H374" s="104" t="str">
        <f>IF($H373="","",IFERROR(MATCH(1,INDEX((ROW('Game Records'!$U$5:$U$504)&gt;$H373)*(('Game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5" ht="24" customHeight="1">
      <c r="A375" s="332" t="str">
        <f>IF($H375="","",ROWS($A$5:A375))</f>
        <v/>
      </c>
      <c r="B375" s="332" t="str">
        <f>IF($H375="","","G-"&amp;TEXT($A375,"0000"))</f>
        <v/>
      </c>
      <c r="C375" s="331" t="str">
        <f>IF($H375="","",IFERROR(INDEX('Game Records'!$A:$A,$H375),""))</f>
        <v/>
      </c>
      <c r="D375" s="331" t="str">
        <f>IF($H375="","",IFERROR(INDEX('Game Records'!$U:$U,$H375),""))</f>
        <v/>
      </c>
      <c r="E375" s="331" t="str">
        <f>IF($H375="","",IF($F375="","No Highlighted Fields","Highlighted Fields Present"))</f>
        <v/>
      </c>
      <c r="F375" s="331" t="str">
        <f>IF($H375="","",IF(OR(NOT(ISFORMULA(INDEX('Game Records'!$N:$N,$H375))),NOT(ISFORMULA(INDEX('Game Records'!$O:$O,$H375))),NOT(ISFORMULA(INDEX('Game Records'!$P:$P,$H375))),NOT(ISFORMULA(INDEX('Game Records'!$Q:$Q,$H375))),NOT(ISFORMULA(INDEX('Game Records'!$R:$R,$H375))),NOT(ISFORMULA(INDEX('Game Records'!$S:$S,$H375))),NOT(ISFORMULA(INDEX('Game Records'!$T:$T,$H375))),NOT(ISFORMULA(INDEX('Game Records'!$U:$U,$H375))),NOT(ISFORMULA(INDEX('Game Records'!$V:$V,$H375))),NOT(ISFORMULA(INDEX('Game Records'!$W:$W,$H375))),NOT(ISFORMULA(INDEX('Game Records'!$X:$X,$H375))),NOT(ISFORMULA(INDEX('Game Records'!$Y:$Y,$H375))),NOT(ISFORMULA(INDEX('Game Records'!$Z:$Z,$H375)))),"Formula columns missing; ","")&amp;IF(INDEX('Game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Earned; ","")&amp;IF(AND(LOWER(INDEX('Game Records'!$D:$D,$H375)&amp;"")="finalized",INDEX('Game Records'!$U:$U,$H375)&lt;&gt;"Subscription",INDEX('Game Records'!$U:$U,$H375)&lt;&gt;"Free Game",INDEX('Game Records'!$U:$U,$H375)&lt;&gt;"Disqualified — Free Game",OR(INDEX('Game Records'!$L:$L,$H375)="",LOWER(INDEX('Game Records'!$L:$L,$H375)&amp;"")="n/a")),"Disqualified Status; ","")&amp;IF(AND(OR(INDEX('Game Records'!$U:$U,$H375)="Free Game",INDEX('Game Records'!$U:$U,$H375)="Disqualified — Free Game"),N(INDEX('Game Records'!$H:$H,$H375))&lt;&gt;0),"Free Game has a non-zero Entry Fee; ",""))</f>
        <v/>
      </c>
      <c r="G375" s="331" t="str">
        <f>IF($H375="","",IFERROR(INDEX('Game Records'!$M:$M,$H375),""))</f>
        <v/>
      </c>
      <c r="H375" s="104" t="str">
        <f>IF($H374="","",IFERROR(MATCH(1,INDEX((ROW('Game Records'!$U$5:$U$504)&gt;$H374)*(('Game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6" ht="24" customHeight="1">
      <c r="A376" s="332" t="str">
        <f>IF($H376="","",ROWS($A$5:A376))</f>
        <v/>
      </c>
      <c r="B376" s="332" t="str">
        <f>IF($H376="","","G-"&amp;TEXT($A376,"0000"))</f>
        <v/>
      </c>
      <c r="C376" s="331" t="str">
        <f>IF($H376="","",IFERROR(INDEX('Game Records'!$A:$A,$H376),""))</f>
        <v/>
      </c>
      <c r="D376" s="331" t="str">
        <f>IF($H376="","",IFERROR(INDEX('Game Records'!$U:$U,$H376),""))</f>
        <v/>
      </c>
      <c r="E376" s="331" t="str">
        <f>IF($H376="","",IF($F376="","No Highlighted Fields","Highlighted Fields Present"))</f>
        <v/>
      </c>
      <c r="F376" s="331" t="str">
        <f>IF($H376="","",IF(OR(NOT(ISFORMULA(INDEX('Game Records'!$N:$N,$H376))),NOT(ISFORMULA(INDEX('Game Records'!$O:$O,$H376))),NOT(ISFORMULA(INDEX('Game Records'!$P:$P,$H376))),NOT(ISFORMULA(INDEX('Game Records'!$Q:$Q,$H376))),NOT(ISFORMULA(INDEX('Game Records'!$R:$R,$H376))),NOT(ISFORMULA(INDEX('Game Records'!$S:$S,$H376))),NOT(ISFORMULA(INDEX('Game Records'!$T:$T,$H376))),NOT(ISFORMULA(INDEX('Game Records'!$U:$U,$H376))),NOT(ISFORMULA(INDEX('Game Records'!$V:$V,$H376))),NOT(ISFORMULA(INDEX('Game Records'!$W:$W,$H376))),NOT(ISFORMULA(INDEX('Game Records'!$X:$X,$H376))),NOT(ISFORMULA(INDEX('Game Records'!$Y:$Y,$H376))),NOT(ISFORMULA(INDEX('Game Records'!$Z:$Z,$H376)))),"Formula columns missing; ","")&amp;IF(INDEX('Game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Earned; ","")&amp;IF(AND(LOWER(INDEX('Game Records'!$D:$D,$H376)&amp;"")="finalized",INDEX('Game Records'!$U:$U,$H376)&lt;&gt;"Subscription",INDEX('Game Records'!$U:$U,$H376)&lt;&gt;"Free Game",INDEX('Game Records'!$U:$U,$H376)&lt;&gt;"Disqualified — Free Game",OR(INDEX('Game Records'!$L:$L,$H376)="",LOWER(INDEX('Game Records'!$L:$L,$H376)&amp;"")="n/a")),"Disqualified Status; ","")&amp;IF(AND(OR(INDEX('Game Records'!$U:$U,$H376)="Free Game",INDEX('Game Records'!$U:$U,$H376)="Disqualified — Free Game"),N(INDEX('Game Records'!$H:$H,$H376))&lt;&gt;0),"Free Game has a non-zero Entry Fee; ",""))</f>
        <v/>
      </c>
      <c r="G376" s="331" t="str">
        <f>IF($H376="","",IFERROR(INDEX('Game Records'!$M:$M,$H376),""))</f>
        <v/>
      </c>
      <c r="H376" s="104" t="str">
        <f>IF($H375="","",IFERROR(MATCH(1,INDEX((ROW('Game Records'!$U$5:$U$504)&gt;$H375)*(('Game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7" ht="24" customHeight="1">
      <c r="A377" s="332" t="str">
        <f>IF($H377="","",ROWS($A$5:A377))</f>
        <v/>
      </c>
      <c r="B377" s="332" t="str">
        <f>IF($H377="","","G-"&amp;TEXT($A377,"0000"))</f>
        <v/>
      </c>
      <c r="C377" s="331" t="str">
        <f>IF($H377="","",IFERROR(INDEX('Game Records'!$A:$A,$H377),""))</f>
        <v/>
      </c>
      <c r="D377" s="331" t="str">
        <f>IF($H377="","",IFERROR(INDEX('Game Records'!$U:$U,$H377),""))</f>
        <v/>
      </c>
      <c r="E377" s="331" t="str">
        <f>IF($H377="","",IF($F377="","No Highlighted Fields","Highlighted Fields Present"))</f>
        <v/>
      </c>
      <c r="F377" s="331" t="str">
        <f>IF($H377="","",IF(OR(NOT(ISFORMULA(INDEX('Game Records'!$N:$N,$H377))),NOT(ISFORMULA(INDEX('Game Records'!$O:$O,$H377))),NOT(ISFORMULA(INDEX('Game Records'!$P:$P,$H377))),NOT(ISFORMULA(INDEX('Game Records'!$Q:$Q,$H377))),NOT(ISFORMULA(INDEX('Game Records'!$R:$R,$H377))),NOT(ISFORMULA(INDEX('Game Records'!$S:$S,$H377))),NOT(ISFORMULA(INDEX('Game Records'!$T:$T,$H377))),NOT(ISFORMULA(INDEX('Game Records'!$U:$U,$H377))),NOT(ISFORMULA(INDEX('Game Records'!$V:$V,$H377))),NOT(ISFORMULA(INDEX('Game Records'!$W:$W,$H377))),NOT(ISFORMULA(INDEX('Game Records'!$X:$X,$H377))),NOT(ISFORMULA(INDEX('Game Records'!$Y:$Y,$H377))),NOT(ISFORMULA(INDEX('Game Records'!$Z:$Z,$H377)))),"Formula columns missing; ","")&amp;IF(INDEX('Game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Earned; ","")&amp;IF(AND(LOWER(INDEX('Game Records'!$D:$D,$H377)&amp;"")="finalized",INDEX('Game Records'!$U:$U,$H377)&lt;&gt;"Subscription",INDEX('Game Records'!$U:$U,$H377)&lt;&gt;"Free Game",INDEX('Game Records'!$U:$U,$H377)&lt;&gt;"Disqualified — Free Game",OR(INDEX('Game Records'!$L:$L,$H377)="",LOWER(INDEX('Game Records'!$L:$L,$H377)&amp;"")="n/a")),"Disqualified Status; ","")&amp;IF(AND(OR(INDEX('Game Records'!$U:$U,$H377)="Free Game",INDEX('Game Records'!$U:$U,$H377)="Disqualified — Free Game"),N(INDEX('Game Records'!$H:$H,$H377))&lt;&gt;0),"Free Game has a non-zero Entry Fee; ",""))</f>
        <v/>
      </c>
      <c r="G377" s="331" t="str">
        <f>IF($H377="","",IFERROR(INDEX('Game Records'!$M:$M,$H377),""))</f>
        <v/>
      </c>
      <c r="H377" s="104" t="str">
        <f>IF($H376="","",IFERROR(MATCH(1,INDEX((ROW('Game Records'!$U$5:$U$504)&gt;$H376)*(('Game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8" ht="24" customHeight="1">
      <c r="A378" s="332" t="str">
        <f>IF($H378="","",ROWS($A$5:A378))</f>
        <v/>
      </c>
      <c r="B378" s="332" t="str">
        <f>IF($H378="","","G-"&amp;TEXT($A378,"0000"))</f>
        <v/>
      </c>
      <c r="C378" s="331" t="str">
        <f>IF($H378="","",IFERROR(INDEX('Game Records'!$A:$A,$H378),""))</f>
        <v/>
      </c>
      <c r="D378" s="331" t="str">
        <f>IF($H378="","",IFERROR(INDEX('Game Records'!$U:$U,$H378),""))</f>
        <v/>
      </c>
      <c r="E378" s="331" t="str">
        <f>IF($H378="","",IF($F378="","No Highlighted Fields","Highlighted Fields Present"))</f>
        <v/>
      </c>
      <c r="F378" s="331" t="str">
        <f>IF($H378="","",IF(OR(NOT(ISFORMULA(INDEX('Game Records'!$N:$N,$H378))),NOT(ISFORMULA(INDEX('Game Records'!$O:$O,$H378))),NOT(ISFORMULA(INDEX('Game Records'!$P:$P,$H378))),NOT(ISFORMULA(INDEX('Game Records'!$Q:$Q,$H378))),NOT(ISFORMULA(INDEX('Game Records'!$R:$R,$H378))),NOT(ISFORMULA(INDEX('Game Records'!$S:$S,$H378))),NOT(ISFORMULA(INDEX('Game Records'!$T:$T,$H378))),NOT(ISFORMULA(INDEX('Game Records'!$U:$U,$H378))),NOT(ISFORMULA(INDEX('Game Records'!$V:$V,$H378))),NOT(ISFORMULA(INDEX('Game Records'!$W:$W,$H378))),NOT(ISFORMULA(INDEX('Game Records'!$X:$X,$H378))),NOT(ISFORMULA(INDEX('Game Records'!$Y:$Y,$H378))),NOT(ISFORMULA(INDEX('Game Records'!$Z:$Z,$H378)))),"Formula columns missing; ","")&amp;IF(INDEX('Game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Earned; ","")&amp;IF(AND(LOWER(INDEX('Game Records'!$D:$D,$H378)&amp;"")="finalized",INDEX('Game Records'!$U:$U,$H378)&lt;&gt;"Subscription",INDEX('Game Records'!$U:$U,$H378)&lt;&gt;"Free Game",INDEX('Game Records'!$U:$U,$H378)&lt;&gt;"Disqualified — Free Game",OR(INDEX('Game Records'!$L:$L,$H378)="",LOWER(INDEX('Game Records'!$L:$L,$H378)&amp;"")="n/a")),"Disqualified Status; ","")&amp;IF(AND(OR(INDEX('Game Records'!$U:$U,$H378)="Free Game",INDEX('Game Records'!$U:$U,$H378)="Disqualified — Free Game"),N(INDEX('Game Records'!$H:$H,$H378))&lt;&gt;0),"Free Game has a non-zero Entry Fee; ",""))</f>
        <v/>
      </c>
      <c r="G378" s="331" t="str">
        <f>IF($H378="","",IFERROR(INDEX('Game Records'!$M:$M,$H378),""))</f>
        <v/>
      </c>
      <c r="H378" s="104" t="str">
        <f>IF($H377="","",IFERROR(MATCH(1,INDEX((ROW('Game Records'!$U$5:$U$504)&gt;$H377)*(('Game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9" ht="24" customHeight="1">
      <c r="A379" s="332" t="str">
        <f>IF($H379="","",ROWS($A$5:A379))</f>
        <v/>
      </c>
      <c r="B379" s="332" t="str">
        <f>IF($H379="","","G-"&amp;TEXT($A379,"0000"))</f>
        <v/>
      </c>
      <c r="C379" s="331" t="str">
        <f>IF($H379="","",IFERROR(INDEX('Game Records'!$A:$A,$H379),""))</f>
        <v/>
      </c>
      <c r="D379" s="331" t="str">
        <f>IF($H379="","",IFERROR(INDEX('Game Records'!$U:$U,$H379),""))</f>
        <v/>
      </c>
      <c r="E379" s="331" t="str">
        <f>IF($H379="","",IF($F379="","No Highlighted Fields","Highlighted Fields Present"))</f>
        <v/>
      </c>
      <c r="F379" s="331" t="str">
        <f>IF($H379="","",IF(OR(NOT(ISFORMULA(INDEX('Game Records'!$N:$N,$H379))),NOT(ISFORMULA(INDEX('Game Records'!$O:$O,$H379))),NOT(ISFORMULA(INDEX('Game Records'!$P:$P,$H379))),NOT(ISFORMULA(INDEX('Game Records'!$Q:$Q,$H379))),NOT(ISFORMULA(INDEX('Game Records'!$R:$R,$H379))),NOT(ISFORMULA(INDEX('Game Records'!$S:$S,$H379))),NOT(ISFORMULA(INDEX('Game Records'!$T:$T,$H379))),NOT(ISFORMULA(INDEX('Game Records'!$U:$U,$H379))),NOT(ISFORMULA(INDEX('Game Records'!$V:$V,$H379))),NOT(ISFORMULA(INDEX('Game Records'!$W:$W,$H379))),NOT(ISFORMULA(INDEX('Game Records'!$X:$X,$H379))),NOT(ISFORMULA(INDEX('Game Records'!$Y:$Y,$H379))),NOT(ISFORMULA(INDEX('Game Records'!$Z:$Z,$H379)))),"Formula columns missing; ","")&amp;IF(INDEX('Game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Earned; ","")&amp;IF(AND(LOWER(INDEX('Game Records'!$D:$D,$H379)&amp;"")="finalized",INDEX('Game Records'!$U:$U,$H379)&lt;&gt;"Subscription",INDEX('Game Records'!$U:$U,$H379)&lt;&gt;"Free Game",INDEX('Game Records'!$U:$U,$H379)&lt;&gt;"Disqualified — Free Game",OR(INDEX('Game Records'!$L:$L,$H379)="",LOWER(INDEX('Game Records'!$L:$L,$H379)&amp;"")="n/a")),"Disqualified Status; ","")&amp;IF(AND(OR(INDEX('Game Records'!$U:$U,$H379)="Free Game",INDEX('Game Records'!$U:$U,$H379)="Disqualified — Free Game"),N(INDEX('Game Records'!$H:$H,$H379))&lt;&gt;0),"Free Game has a non-zero Entry Fee; ",""))</f>
        <v/>
      </c>
      <c r="G379" s="331" t="str">
        <f>IF($H379="","",IFERROR(INDEX('Game Records'!$M:$M,$H379),""))</f>
        <v/>
      </c>
      <c r="H379" s="104" t="str">
        <f>IF($H378="","",IFERROR(MATCH(1,INDEX((ROW('Game Records'!$U$5:$U$504)&gt;$H378)*(('Game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0" ht="24" customHeight="1">
      <c r="A380" s="332" t="str">
        <f>IF($H380="","",ROWS($A$5:A380))</f>
        <v/>
      </c>
      <c r="B380" s="332" t="str">
        <f>IF($H380="","","G-"&amp;TEXT($A380,"0000"))</f>
        <v/>
      </c>
      <c r="C380" s="331" t="str">
        <f>IF($H380="","",IFERROR(INDEX('Game Records'!$A:$A,$H380),""))</f>
        <v/>
      </c>
      <c r="D380" s="331" t="str">
        <f>IF($H380="","",IFERROR(INDEX('Game Records'!$U:$U,$H380),""))</f>
        <v/>
      </c>
      <c r="E380" s="331" t="str">
        <f>IF($H380="","",IF($F380="","No Highlighted Fields","Highlighted Fields Present"))</f>
        <v/>
      </c>
      <c r="F380" s="331" t="str">
        <f>IF($H380="","",IF(OR(NOT(ISFORMULA(INDEX('Game Records'!$N:$N,$H380))),NOT(ISFORMULA(INDEX('Game Records'!$O:$O,$H380))),NOT(ISFORMULA(INDEX('Game Records'!$P:$P,$H380))),NOT(ISFORMULA(INDEX('Game Records'!$Q:$Q,$H380))),NOT(ISFORMULA(INDEX('Game Records'!$R:$R,$H380))),NOT(ISFORMULA(INDEX('Game Records'!$S:$S,$H380))),NOT(ISFORMULA(INDEX('Game Records'!$T:$T,$H380))),NOT(ISFORMULA(INDEX('Game Records'!$U:$U,$H380))),NOT(ISFORMULA(INDEX('Game Records'!$V:$V,$H380))),NOT(ISFORMULA(INDEX('Game Records'!$W:$W,$H380))),NOT(ISFORMULA(INDEX('Game Records'!$X:$X,$H380))),NOT(ISFORMULA(INDEX('Game Records'!$Y:$Y,$H380))),NOT(ISFORMULA(INDEX('Game Records'!$Z:$Z,$H380)))),"Formula columns missing; ","")&amp;IF(INDEX('Game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Earned; ","")&amp;IF(AND(LOWER(INDEX('Game Records'!$D:$D,$H380)&amp;"")="finalized",INDEX('Game Records'!$U:$U,$H380)&lt;&gt;"Subscription",INDEX('Game Records'!$U:$U,$H380)&lt;&gt;"Free Game",INDEX('Game Records'!$U:$U,$H380)&lt;&gt;"Disqualified — Free Game",OR(INDEX('Game Records'!$L:$L,$H380)="",LOWER(INDEX('Game Records'!$L:$L,$H380)&amp;"")="n/a")),"Disqualified Status; ","")&amp;IF(AND(OR(INDEX('Game Records'!$U:$U,$H380)="Free Game",INDEX('Game Records'!$U:$U,$H380)="Disqualified — Free Game"),N(INDEX('Game Records'!$H:$H,$H380))&lt;&gt;0),"Free Game has a non-zero Entry Fee; ",""))</f>
        <v/>
      </c>
      <c r="G380" s="331" t="str">
        <f>IF($H380="","",IFERROR(INDEX('Game Records'!$M:$M,$H380),""))</f>
        <v/>
      </c>
      <c r="H380" s="104" t="str">
        <f>IF($H379="","",IFERROR(MATCH(1,INDEX((ROW('Game Records'!$U$5:$U$504)&gt;$H379)*(('Game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1" ht="24" customHeight="1">
      <c r="A381" s="332" t="str">
        <f>IF($H381="","",ROWS($A$5:A381))</f>
        <v/>
      </c>
      <c r="B381" s="332" t="str">
        <f>IF($H381="","","G-"&amp;TEXT($A381,"0000"))</f>
        <v/>
      </c>
      <c r="C381" s="331" t="str">
        <f>IF($H381="","",IFERROR(INDEX('Game Records'!$A:$A,$H381),""))</f>
        <v/>
      </c>
      <c r="D381" s="331" t="str">
        <f>IF($H381="","",IFERROR(INDEX('Game Records'!$U:$U,$H381),""))</f>
        <v/>
      </c>
      <c r="E381" s="331" t="str">
        <f>IF($H381="","",IF($F381="","No Highlighted Fields","Highlighted Fields Present"))</f>
        <v/>
      </c>
      <c r="F381" s="331" t="str">
        <f>IF($H381="","",IF(OR(NOT(ISFORMULA(INDEX('Game Records'!$N:$N,$H381))),NOT(ISFORMULA(INDEX('Game Records'!$O:$O,$H381))),NOT(ISFORMULA(INDEX('Game Records'!$P:$P,$H381))),NOT(ISFORMULA(INDEX('Game Records'!$Q:$Q,$H381))),NOT(ISFORMULA(INDEX('Game Records'!$R:$R,$H381))),NOT(ISFORMULA(INDEX('Game Records'!$S:$S,$H381))),NOT(ISFORMULA(INDEX('Game Records'!$T:$T,$H381))),NOT(ISFORMULA(INDEX('Game Records'!$U:$U,$H381))),NOT(ISFORMULA(INDEX('Game Records'!$V:$V,$H381))),NOT(ISFORMULA(INDEX('Game Records'!$W:$W,$H381))),NOT(ISFORMULA(INDEX('Game Records'!$X:$X,$H381))),NOT(ISFORMULA(INDEX('Game Records'!$Y:$Y,$H381))),NOT(ISFORMULA(INDEX('Game Records'!$Z:$Z,$H381)))),"Formula columns missing; ","")&amp;IF(INDEX('Game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Earned; ","")&amp;IF(AND(LOWER(INDEX('Game Records'!$D:$D,$H381)&amp;"")="finalized",INDEX('Game Records'!$U:$U,$H381)&lt;&gt;"Subscription",INDEX('Game Records'!$U:$U,$H381)&lt;&gt;"Free Game",INDEX('Game Records'!$U:$U,$H381)&lt;&gt;"Disqualified — Free Game",OR(INDEX('Game Records'!$L:$L,$H381)="",LOWER(INDEX('Game Records'!$L:$L,$H381)&amp;"")="n/a")),"Disqualified Status; ","")&amp;IF(AND(OR(INDEX('Game Records'!$U:$U,$H381)="Free Game",INDEX('Game Records'!$U:$U,$H381)="Disqualified — Free Game"),N(INDEX('Game Records'!$H:$H,$H381))&lt;&gt;0),"Free Game has a non-zero Entry Fee; ",""))</f>
        <v/>
      </c>
      <c r="G381" s="331" t="str">
        <f>IF($H381="","",IFERROR(INDEX('Game Records'!$M:$M,$H381),""))</f>
        <v/>
      </c>
      <c r="H381" s="104" t="str">
        <f>IF($H380="","",IFERROR(MATCH(1,INDEX((ROW('Game Records'!$U$5:$U$504)&gt;$H380)*(('Game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2" ht="24" customHeight="1">
      <c r="A382" s="332" t="str">
        <f>IF($H382="","",ROWS($A$5:A382))</f>
        <v/>
      </c>
      <c r="B382" s="332" t="str">
        <f>IF($H382="","","G-"&amp;TEXT($A382,"0000"))</f>
        <v/>
      </c>
      <c r="C382" s="331" t="str">
        <f>IF($H382="","",IFERROR(INDEX('Game Records'!$A:$A,$H382),""))</f>
        <v/>
      </c>
      <c r="D382" s="331" t="str">
        <f>IF($H382="","",IFERROR(INDEX('Game Records'!$U:$U,$H382),""))</f>
        <v/>
      </c>
      <c r="E382" s="331" t="str">
        <f>IF($H382="","",IF($F382="","No Highlighted Fields","Highlighted Fields Present"))</f>
        <v/>
      </c>
      <c r="F382" s="331" t="str">
        <f>IF($H382="","",IF(OR(NOT(ISFORMULA(INDEX('Game Records'!$N:$N,$H382))),NOT(ISFORMULA(INDEX('Game Records'!$O:$O,$H382))),NOT(ISFORMULA(INDEX('Game Records'!$P:$P,$H382))),NOT(ISFORMULA(INDEX('Game Records'!$Q:$Q,$H382))),NOT(ISFORMULA(INDEX('Game Records'!$R:$R,$H382))),NOT(ISFORMULA(INDEX('Game Records'!$S:$S,$H382))),NOT(ISFORMULA(INDEX('Game Records'!$T:$T,$H382))),NOT(ISFORMULA(INDEX('Game Records'!$U:$U,$H382))),NOT(ISFORMULA(INDEX('Game Records'!$V:$V,$H382))),NOT(ISFORMULA(INDEX('Game Records'!$W:$W,$H382))),NOT(ISFORMULA(INDEX('Game Records'!$X:$X,$H382))),NOT(ISFORMULA(INDEX('Game Records'!$Y:$Y,$H382))),NOT(ISFORMULA(INDEX('Game Records'!$Z:$Z,$H382)))),"Formula columns missing; ","")&amp;IF(INDEX('Game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Earned; ","")&amp;IF(AND(LOWER(INDEX('Game Records'!$D:$D,$H382)&amp;"")="finalized",INDEX('Game Records'!$U:$U,$H382)&lt;&gt;"Subscription",INDEX('Game Records'!$U:$U,$H382)&lt;&gt;"Free Game",INDEX('Game Records'!$U:$U,$H382)&lt;&gt;"Disqualified — Free Game",OR(INDEX('Game Records'!$L:$L,$H382)="",LOWER(INDEX('Game Records'!$L:$L,$H382)&amp;"")="n/a")),"Disqualified Status; ","")&amp;IF(AND(OR(INDEX('Game Records'!$U:$U,$H382)="Free Game",INDEX('Game Records'!$U:$U,$H382)="Disqualified — Free Game"),N(INDEX('Game Records'!$H:$H,$H382))&lt;&gt;0),"Free Game has a non-zero Entry Fee; ",""))</f>
        <v/>
      </c>
      <c r="G382" s="331" t="str">
        <f>IF($H382="","",IFERROR(INDEX('Game Records'!$M:$M,$H382),""))</f>
        <v/>
      </c>
      <c r="H382" s="104" t="str">
        <f>IF($H381="","",IFERROR(MATCH(1,INDEX((ROW('Game Records'!$U$5:$U$504)&gt;$H381)*(('Game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3" ht="24" customHeight="1">
      <c r="A383" s="332" t="str">
        <f>IF($H383="","",ROWS($A$5:A383))</f>
        <v/>
      </c>
      <c r="B383" s="332" t="str">
        <f>IF($H383="","","G-"&amp;TEXT($A383,"0000"))</f>
        <v/>
      </c>
      <c r="C383" s="331" t="str">
        <f>IF($H383="","",IFERROR(INDEX('Game Records'!$A:$A,$H383),""))</f>
        <v/>
      </c>
      <c r="D383" s="331" t="str">
        <f>IF($H383="","",IFERROR(INDEX('Game Records'!$U:$U,$H383),""))</f>
        <v/>
      </c>
      <c r="E383" s="331" t="str">
        <f>IF($H383="","",IF($F383="","No Highlighted Fields","Highlighted Fields Present"))</f>
        <v/>
      </c>
      <c r="F383" s="331" t="str">
        <f>IF($H383="","",IF(OR(NOT(ISFORMULA(INDEX('Game Records'!$N:$N,$H383))),NOT(ISFORMULA(INDEX('Game Records'!$O:$O,$H383))),NOT(ISFORMULA(INDEX('Game Records'!$P:$P,$H383))),NOT(ISFORMULA(INDEX('Game Records'!$Q:$Q,$H383))),NOT(ISFORMULA(INDEX('Game Records'!$R:$R,$H383))),NOT(ISFORMULA(INDEX('Game Records'!$S:$S,$H383))),NOT(ISFORMULA(INDEX('Game Records'!$T:$T,$H383))),NOT(ISFORMULA(INDEX('Game Records'!$U:$U,$H383))),NOT(ISFORMULA(INDEX('Game Records'!$V:$V,$H383))),NOT(ISFORMULA(INDEX('Game Records'!$W:$W,$H383))),NOT(ISFORMULA(INDEX('Game Records'!$X:$X,$H383))),NOT(ISFORMULA(INDEX('Game Records'!$Y:$Y,$H383))),NOT(ISFORMULA(INDEX('Game Records'!$Z:$Z,$H383)))),"Formula columns missing; ","")&amp;IF(INDEX('Game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Earned; ","")&amp;IF(AND(LOWER(INDEX('Game Records'!$D:$D,$H383)&amp;"")="finalized",INDEX('Game Records'!$U:$U,$H383)&lt;&gt;"Subscription",INDEX('Game Records'!$U:$U,$H383)&lt;&gt;"Free Game",INDEX('Game Records'!$U:$U,$H383)&lt;&gt;"Disqualified — Free Game",OR(INDEX('Game Records'!$L:$L,$H383)="",LOWER(INDEX('Game Records'!$L:$L,$H383)&amp;"")="n/a")),"Disqualified Status; ","")&amp;IF(AND(OR(INDEX('Game Records'!$U:$U,$H383)="Free Game",INDEX('Game Records'!$U:$U,$H383)="Disqualified — Free Game"),N(INDEX('Game Records'!$H:$H,$H383))&lt;&gt;0),"Free Game has a non-zero Entry Fee; ",""))</f>
        <v/>
      </c>
      <c r="G383" s="331" t="str">
        <f>IF($H383="","",IFERROR(INDEX('Game Records'!$M:$M,$H383),""))</f>
        <v/>
      </c>
      <c r="H383" s="104" t="str">
        <f>IF($H382="","",IFERROR(MATCH(1,INDEX((ROW('Game Records'!$U$5:$U$504)&gt;$H382)*(('Game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4" ht="24" customHeight="1">
      <c r="A384" s="332" t="str">
        <f>IF($H384="","",ROWS($A$5:A384))</f>
        <v/>
      </c>
      <c r="B384" s="332" t="str">
        <f>IF($H384="","","G-"&amp;TEXT($A384,"0000"))</f>
        <v/>
      </c>
      <c r="C384" s="331" t="str">
        <f>IF($H384="","",IFERROR(INDEX('Game Records'!$A:$A,$H384),""))</f>
        <v/>
      </c>
      <c r="D384" s="331" t="str">
        <f>IF($H384="","",IFERROR(INDEX('Game Records'!$U:$U,$H384),""))</f>
        <v/>
      </c>
      <c r="E384" s="331" t="str">
        <f>IF($H384="","",IF($F384="","No Highlighted Fields","Highlighted Fields Present"))</f>
        <v/>
      </c>
      <c r="F384" s="331" t="str">
        <f>IF($H384="","",IF(OR(NOT(ISFORMULA(INDEX('Game Records'!$N:$N,$H384))),NOT(ISFORMULA(INDEX('Game Records'!$O:$O,$H384))),NOT(ISFORMULA(INDEX('Game Records'!$P:$P,$H384))),NOT(ISFORMULA(INDEX('Game Records'!$Q:$Q,$H384))),NOT(ISFORMULA(INDEX('Game Records'!$R:$R,$H384))),NOT(ISFORMULA(INDEX('Game Records'!$S:$S,$H384))),NOT(ISFORMULA(INDEX('Game Records'!$T:$T,$H384))),NOT(ISFORMULA(INDEX('Game Records'!$U:$U,$H384))),NOT(ISFORMULA(INDEX('Game Records'!$V:$V,$H384))),NOT(ISFORMULA(INDEX('Game Records'!$W:$W,$H384))),NOT(ISFORMULA(INDEX('Game Records'!$X:$X,$H384))),NOT(ISFORMULA(INDEX('Game Records'!$Y:$Y,$H384))),NOT(ISFORMULA(INDEX('Game Records'!$Z:$Z,$H384)))),"Formula columns missing; ","")&amp;IF(INDEX('Game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Earned; ","")&amp;IF(AND(LOWER(INDEX('Game Records'!$D:$D,$H384)&amp;"")="finalized",INDEX('Game Records'!$U:$U,$H384)&lt;&gt;"Subscription",INDEX('Game Records'!$U:$U,$H384)&lt;&gt;"Free Game",INDEX('Game Records'!$U:$U,$H384)&lt;&gt;"Disqualified — Free Game",OR(INDEX('Game Records'!$L:$L,$H384)="",LOWER(INDEX('Game Records'!$L:$L,$H384)&amp;"")="n/a")),"Disqualified Status; ","")&amp;IF(AND(OR(INDEX('Game Records'!$U:$U,$H384)="Free Game",INDEX('Game Records'!$U:$U,$H384)="Disqualified — Free Game"),N(INDEX('Game Records'!$H:$H,$H384))&lt;&gt;0),"Free Game has a non-zero Entry Fee; ",""))</f>
        <v/>
      </c>
      <c r="G384" s="331" t="str">
        <f>IF($H384="","",IFERROR(INDEX('Game Records'!$M:$M,$H384),""))</f>
        <v/>
      </c>
      <c r="H384" s="104" t="str">
        <f>IF($H383="","",IFERROR(MATCH(1,INDEX((ROW('Game Records'!$U$5:$U$504)&gt;$H383)*(('Game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5" ht="24" customHeight="1">
      <c r="A385" s="332" t="str">
        <f>IF($H385="","",ROWS($A$5:A385))</f>
        <v/>
      </c>
      <c r="B385" s="332" t="str">
        <f>IF($H385="","","G-"&amp;TEXT($A385,"0000"))</f>
        <v/>
      </c>
      <c r="C385" s="331" t="str">
        <f>IF($H385="","",IFERROR(INDEX('Game Records'!$A:$A,$H385),""))</f>
        <v/>
      </c>
      <c r="D385" s="331" t="str">
        <f>IF($H385="","",IFERROR(INDEX('Game Records'!$U:$U,$H385),""))</f>
        <v/>
      </c>
      <c r="E385" s="331" t="str">
        <f>IF($H385="","",IF($F385="","No Highlighted Fields","Highlighted Fields Present"))</f>
        <v/>
      </c>
      <c r="F385" s="331" t="str">
        <f>IF($H385="","",IF(OR(NOT(ISFORMULA(INDEX('Game Records'!$N:$N,$H385))),NOT(ISFORMULA(INDEX('Game Records'!$O:$O,$H385))),NOT(ISFORMULA(INDEX('Game Records'!$P:$P,$H385))),NOT(ISFORMULA(INDEX('Game Records'!$Q:$Q,$H385))),NOT(ISFORMULA(INDEX('Game Records'!$R:$R,$H385))),NOT(ISFORMULA(INDEX('Game Records'!$S:$S,$H385))),NOT(ISFORMULA(INDEX('Game Records'!$T:$T,$H385))),NOT(ISFORMULA(INDEX('Game Records'!$U:$U,$H385))),NOT(ISFORMULA(INDEX('Game Records'!$V:$V,$H385))),NOT(ISFORMULA(INDEX('Game Records'!$W:$W,$H385))),NOT(ISFORMULA(INDEX('Game Records'!$X:$X,$H385))),NOT(ISFORMULA(INDEX('Game Records'!$Y:$Y,$H385))),NOT(ISFORMULA(INDEX('Game Records'!$Z:$Z,$H385)))),"Formula columns missing; ","")&amp;IF(INDEX('Game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Earned; ","")&amp;IF(AND(LOWER(INDEX('Game Records'!$D:$D,$H385)&amp;"")="finalized",INDEX('Game Records'!$U:$U,$H385)&lt;&gt;"Subscription",INDEX('Game Records'!$U:$U,$H385)&lt;&gt;"Free Game",INDEX('Game Records'!$U:$U,$H385)&lt;&gt;"Disqualified — Free Game",OR(INDEX('Game Records'!$L:$L,$H385)="",LOWER(INDEX('Game Records'!$L:$L,$H385)&amp;"")="n/a")),"Disqualified Status; ","")&amp;IF(AND(OR(INDEX('Game Records'!$U:$U,$H385)="Free Game",INDEX('Game Records'!$U:$U,$H385)="Disqualified — Free Game"),N(INDEX('Game Records'!$H:$H,$H385))&lt;&gt;0),"Free Game has a non-zero Entry Fee; ",""))</f>
        <v/>
      </c>
      <c r="G385" s="331" t="str">
        <f>IF($H385="","",IFERROR(INDEX('Game Records'!$M:$M,$H385),""))</f>
        <v/>
      </c>
      <c r="H385" s="104" t="str">
        <f>IF($H384="","",IFERROR(MATCH(1,INDEX((ROW('Game Records'!$U$5:$U$504)&gt;$H384)*(('Game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6" ht="24" customHeight="1">
      <c r="A386" s="332" t="str">
        <f>IF($H386="","",ROWS($A$5:A386))</f>
        <v/>
      </c>
      <c r="B386" s="332" t="str">
        <f>IF($H386="","","G-"&amp;TEXT($A386,"0000"))</f>
        <v/>
      </c>
      <c r="C386" s="331" t="str">
        <f>IF($H386="","",IFERROR(INDEX('Game Records'!$A:$A,$H386),""))</f>
        <v/>
      </c>
      <c r="D386" s="331" t="str">
        <f>IF($H386="","",IFERROR(INDEX('Game Records'!$U:$U,$H386),""))</f>
        <v/>
      </c>
      <c r="E386" s="331" t="str">
        <f>IF($H386="","",IF($F386="","No Highlighted Fields","Highlighted Fields Present"))</f>
        <v/>
      </c>
      <c r="F386" s="331" t="str">
        <f>IF($H386="","",IF(OR(NOT(ISFORMULA(INDEX('Game Records'!$N:$N,$H386))),NOT(ISFORMULA(INDEX('Game Records'!$O:$O,$H386))),NOT(ISFORMULA(INDEX('Game Records'!$P:$P,$H386))),NOT(ISFORMULA(INDEX('Game Records'!$Q:$Q,$H386))),NOT(ISFORMULA(INDEX('Game Records'!$R:$R,$H386))),NOT(ISFORMULA(INDEX('Game Records'!$S:$S,$H386))),NOT(ISFORMULA(INDEX('Game Records'!$T:$T,$H386))),NOT(ISFORMULA(INDEX('Game Records'!$U:$U,$H386))),NOT(ISFORMULA(INDEX('Game Records'!$V:$V,$H386))),NOT(ISFORMULA(INDEX('Game Records'!$W:$W,$H386))),NOT(ISFORMULA(INDEX('Game Records'!$X:$X,$H386))),NOT(ISFORMULA(INDEX('Game Records'!$Y:$Y,$H386))),NOT(ISFORMULA(INDEX('Game Records'!$Z:$Z,$H386)))),"Formula columns missing; ","")&amp;IF(INDEX('Game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Earned; ","")&amp;IF(AND(LOWER(INDEX('Game Records'!$D:$D,$H386)&amp;"")="finalized",INDEX('Game Records'!$U:$U,$H386)&lt;&gt;"Subscription",INDEX('Game Records'!$U:$U,$H386)&lt;&gt;"Free Game",INDEX('Game Records'!$U:$U,$H386)&lt;&gt;"Disqualified — Free Game",OR(INDEX('Game Records'!$L:$L,$H386)="",LOWER(INDEX('Game Records'!$L:$L,$H386)&amp;"")="n/a")),"Disqualified Status; ","")&amp;IF(AND(OR(INDEX('Game Records'!$U:$U,$H386)="Free Game",INDEX('Game Records'!$U:$U,$H386)="Disqualified — Free Game"),N(INDEX('Game Records'!$H:$H,$H386))&lt;&gt;0),"Free Game has a non-zero Entry Fee; ",""))</f>
        <v/>
      </c>
      <c r="G386" s="331" t="str">
        <f>IF($H386="","",IFERROR(INDEX('Game Records'!$M:$M,$H386),""))</f>
        <v/>
      </c>
      <c r="H386" s="104" t="str">
        <f>IF($H385="","",IFERROR(MATCH(1,INDEX((ROW('Game Records'!$U$5:$U$504)&gt;$H385)*(('Game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7" ht="24" customHeight="1">
      <c r="A387" s="332" t="str">
        <f>IF($H387="","",ROWS($A$5:A387))</f>
        <v/>
      </c>
      <c r="B387" s="332" t="str">
        <f>IF($H387="","","G-"&amp;TEXT($A387,"0000"))</f>
        <v/>
      </c>
      <c r="C387" s="331" t="str">
        <f>IF($H387="","",IFERROR(INDEX('Game Records'!$A:$A,$H387),""))</f>
        <v/>
      </c>
      <c r="D387" s="331" t="str">
        <f>IF($H387="","",IFERROR(INDEX('Game Records'!$U:$U,$H387),""))</f>
        <v/>
      </c>
      <c r="E387" s="331" t="str">
        <f>IF($H387="","",IF($F387="","No Highlighted Fields","Highlighted Fields Present"))</f>
        <v/>
      </c>
      <c r="F387" s="331" t="str">
        <f>IF($H387="","",IF(OR(NOT(ISFORMULA(INDEX('Game Records'!$N:$N,$H387))),NOT(ISFORMULA(INDEX('Game Records'!$O:$O,$H387))),NOT(ISFORMULA(INDEX('Game Records'!$P:$P,$H387))),NOT(ISFORMULA(INDEX('Game Records'!$Q:$Q,$H387))),NOT(ISFORMULA(INDEX('Game Records'!$R:$R,$H387))),NOT(ISFORMULA(INDEX('Game Records'!$S:$S,$H387))),NOT(ISFORMULA(INDEX('Game Records'!$T:$T,$H387))),NOT(ISFORMULA(INDEX('Game Records'!$U:$U,$H387))),NOT(ISFORMULA(INDEX('Game Records'!$V:$V,$H387))),NOT(ISFORMULA(INDEX('Game Records'!$W:$W,$H387))),NOT(ISFORMULA(INDEX('Game Records'!$X:$X,$H387))),NOT(ISFORMULA(INDEX('Game Records'!$Y:$Y,$H387))),NOT(ISFORMULA(INDEX('Game Records'!$Z:$Z,$H387)))),"Formula columns missing; ","")&amp;IF(INDEX('Game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Earned; ","")&amp;IF(AND(LOWER(INDEX('Game Records'!$D:$D,$H387)&amp;"")="finalized",INDEX('Game Records'!$U:$U,$H387)&lt;&gt;"Subscription",INDEX('Game Records'!$U:$U,$H387)&lt;&gt;"Free Game",INDEX('Game Records'!$U:$U,$H387)&lt;&gt;"Disqualified — Free Game",OR(INDEX('Game Records'!$L:$L,$H387)="",LOWER(INDEX('Game Records'!$L:$L,$H387)&amp;"")="n/a")),"Disqualified Status; ","")&amp;IF(AND(OR(INDEX('Game Records'!$U:$U,$H387)="Free Game",INDEX('Game Records'!$U:$U,$H387)="Disqualified — Free Game"),N(INDEX('Game Records'!$H:$H,$H387))&lt;&gt;0),"Free Game has a non-zero Entry Fee; ",""))</f>
        <v/>
      </c>
      <c r="G387" s="331" t="str">
        <f>IF($H387="","",IFERROR(INDEX('Game Records'!$M:$M,$H387),""))</f>
        <v/>
      </c>
      <c r="H387" s="104" t="str">
        <f>IF($H386="","",IFERROR(MATCH(1,INDEX((ROW('Game Records'!$U$5:$U$504)&gt;$H386)*(('Game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8" ht="24" customHeight="1">
      <c r="A388" s="332" t="str">
        <f>IF($H388="","",ROWS($A$5:A388))</f>
        <v/>
      </c>
      <c r="B388" s="332" t="str">
        <f>IF($H388="","","G-"&amp;TEXT($A388,"0000"))</f>
        <v/>
      </c>
      <c r="C388" s="331" t="str">
        <f>IF($H388="","",IFERROR(INDEX('Game Records'!$A:$A,$H388),""))</f>
        <v/>
      </c>
      <c r="D388" s="331" t="str">
        <f>IF($H388="","",IFERROR(INDEX('Game Records'!$U:$U,$H388),""))</f>
        <v/>
      </c>
      <c r="E388" s="331" t="str">
        <f>IF($H388="","",IF($F388="","No Highlighted Fields","Highlighted Fields Present"))</f>
        <v/>
      </c>
      <c r="F388" s="331" t="str">
        <f>IF($H388="","",IF(OR(NOT(ISFORMULA(INDEX('Game Records'!$N:$N,$H388))),NOT(ISFORMULA(INDEX('Game Records'!$O:$O,$H388))),NOT(ISFORMULA(INDEX('Game Records'!$P:$P,$H388))),NOT(ISFORMULA(INDEX('Game Records'!$Q:$Q,$H388))),NOT(ISFORMULA(INDEX('Game Records'!$R:$R,$H388))),NOT(ISFORMULA(INDEX('Game Records'!$S:$S,$H388))),NOT(ISFORMULA(INDEX('Game Records'!$T:$T,$H388))),NOT(ISFORMULA(INDEX('Game Records'!$U:$U,$H388))),NOT(ISFORMULA(INDEX('Game Records'!$V:$V,$H388))),NOT(ISFORMULA(INDEX('Game Records'!$W:$W,$H388))),NOT(ISFORMULA(INDEX('Game Records'!$X:$X,$H388))),NOT(ISFORMULA(INDEX('Game Records'!$Y:$Y,$H388))),NOT(ISFORMULA(INDEX('Game Records'!$Z:$Z,$H388)))),"Formula columns missing; ","")&amp;IF(INDEX('Game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Earned; ","")&amp;IF(AND(LOWER(INDEX('Game Records'!$D:$D,$H388)&amp;"")="finalized",INDEX('Game Records'!$U:$U,$H388)&lt;&gt;"Subscription",INDEX('Game Records'!$U:$U,$H388)&lt;&gt;"Free Game",INDEX('Game Records'!$U:$U,$H388)&lt;&gt;"Disqualified — Free Game",OR(INDEX('Game Records'!$L:$L,$H388)="",LOWER(INDEX('Game Records'!$L:$L,$H388)&amp;"")="n/a")),"Disqualified Status; ","")&amp;IF(AND(OR(INDEX('Game Records'!$U:$U,$H388)="Free Game",INDEX('Game Records'!$U:$U,$H388)="Disqualified — Free Game"),N(INDEX('Game Records'!$H:$H,$H388))&lt;&gt;0),"Free Game has a non-zero Entry Fee; ",""))</f>
        <v/>
      </c>
      <c r="G388" s="331" t="str">
        <f>IF($H388="","",IFERROR(INDEX('Game Records'!$M:$M,$H388),""))</f>
        <v/>
      </c>
      <c r="H388" s="104" t="str">
        <f>IF($H387="","",IFERROR(MATCH(1,INDEX((ROW('Game Records'!$U$5:$U$504)&gt;$H387)*(('Game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9" ht="24" customHeight="1">
      <c r="A389" s="332" t="str">
        <f>IF($H389="","",ROWS($A$5:A389))</f>
        <v/>
      </c>
      <c r="B389" s="332" t="str">
        <f>IF($H389="","","G-"&amp;TEXT($A389,"0000"))</f>
        <v/>
      </c>
      <c r="C389" s="331" t="str">
        <f>IF($H389="","",IFERROR(INDEX('Game Records'!$A:$A,$H389),""))</f>
        <v/>
      </c>
      <c r="D389" s="331" t="str">
        <f>IF($H389="","",IFERROR(INDEX('Game Records'!$U:$U,$H389),""))</f>
        <v/>
      </c>
      <c r="E389" s="331" t="str">
        <f>IF($H389="","",IF($F389="","No Highlighted Fields","Highlighted Fields Present"))</f>
        <v/>
      </c>
      <c r="F389" s="331" t="str">
        <f>IF($H389="","",IF(OR(NOT(ISFORMULA(INDEX('Game Records'!$N:$N,$H389))),NOT(ISFORMULA(INDEX('Game Records'!$O:$O,$H389))),NOT(ISFORMULA(INDEX('Game Records'!$P:$P,$H389))),NOT(ISFORMULA(INDEX('Game Records'!$Q:$Q,$H389))),NOT(ISFORMULA(INDEX('Game Records'!$R:$R,$H389))),NOT(ISFORMULA(INDEX('Game Records'!$S:$S,$H389))),NOT(ISFORMULA(INDEX('Game Records'!$T:$T,$H389))),NOT(ISFORMULA(INDEX('Game Records'!$U:$U,$H389))),NOT(ISFORMULA(INDEX('Game Records'!$V:$V,$H389))),NOT(ISFORMULA(INDEX('Game Records'!$W:$W,$H389))),NOT(ISFORMULA(INDEX('Game Records'!$X:$X,$H389))),NOT(ISFORMULA(INDEX('Game Records'!$Y:$Y,$H389))),NOT(ISFORMULA(INDEX('Game Records'!$Z:$Z,$H389)))),"Formula columns missing; ","")&amp;IF(INDEX('Game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Earned; ","")&amp;IF(AND(LOWER(INDEX('Game Records'!$D:$D,$H389)&amp;"")="finalized",INDEX('Game Records'!$U:$U,$H389)&lt;&gt;"Subscription",INDEX('Game Records'!$U:$U,$H389)&lt;&gt;"Free Game",INDEX('Game Records'!$U:$U,$H389)&lt;&gt;"Disqualified — Free Game",OR(INDEX('Game Records'!$L:$L,$H389)="",LOWER(INDEX('Game Records'!$L:$L,$H389)&amp;"")="n/a")),"Disqualified Status; ","")&amp;IF(AND(OR(INDEX('Game Records'!$U:$U,$H389)="Free Game",INDEX('Game Records'!$U:$U,$H389)="Disqualified — Free Game"),N(INDEX('Game Records'!$H:$H,$H389))&lt;&gt;0),"Free Game has a non-zero Entry Fee; ",""))</f>
        <v/>
      </c>
      <c r="G389" s="331" t="str">
        <f>IF($H389="","",IFERROR(INDEX('Game Records'!$M:$M,$H389),""))</f>
        <v/>
      </c>
      <c r="H389" s="104" t="str">
        <f>IF($H388="","",IFERROR(MATCH(1,INDEX((ROW('Game Records'!$U$5:$U$504)&gt;$H388)*(('Game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0" ht="24" customHeight="1">
      <c r="A390" s="332" t="str">
        <f>IF($H390="","",ROWS($A$5:A390))</f>
        <v/>
      </c>
      <c r="B390" s="332" t="str">
        <f>IF($H390="","","G-"&amp;TEXT($A390,"0000"))</f>
        <v/>
      </c>
      <c r="C390" s="331" t="str">
        <f>IF($H390="","",IFERROR(INDEX('Game Records'!$A:$A,$H390),""))</f>
        <v/>
      </c>
      <c r="D390" s="331" t="str">
        <f>IF($H390="","",IFERROR(INDEX('Game Records'!$U:$U,$H390),""))</f>
        <v/>
      </c>
      <c r="E390" s="331" t="str">
        <f>IF($H390="","",IF($F390="","No Highlighted Fields","Highlighted Fields Present"))</f>
        <v/>
      </c>
      <c r="F390" s="331" t="str">
        <f>IF($H390="","",IF(OR(NOT(ISFORMULA(INDEX('Game Records'!$N:$N,$H390))),NOT(ISFORMULA(INDEX('Game Records'!$O:$O,$H390))),NOT(ISFORMULA(INDEX('Game Records'!$P:$P,$H390))),NOT(ISFORMULA(INDEX('Game Records'!$Q:$Q,$H390))),NOT(ISFORMULA(INDEX('Game Records'!$R:$R,$H390))),NOT(ISFORMULA(INDEX('Game Records'!$S:$S,$H390))),NOT(ISFORMULA(INDEX('Game Records'!$T:$T,$H390))),NOT(ISFORMULA(INDEX('Game Records'!$U:$U,$H390))),NOT(ISFORMULA(INDEX('Game Records'!$V:$V,$H390))),NOT(ISFORMULA(INDEX('Game Records'!$W:$W,$H390))),NOT(ISFORMULA(INDEX('Game Records'!$X:$X,$H390))),NOT(ISFORMULA(INDEX('Game Records'!$Y:$Y,$H390))),NOT(ISFORMULA(INDEX('Game Records'!$Z:$Z,$H390)))),"Formula columns missing; ","")&amp;IF(INDEX('Game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Earned; ","")&amp;IF(AND(LOWER(INDEX('Game Records'!$D:$D,$H390)&amp;"")="finalized",INDEX('Game Records'!$U:$U,$H390)&lt;&gt;"Subscription",INDEX('Game Records'!$U:$U,$H390)&lt;&gt;"Free Game",INDEX('Game Records'!$U:$U,$H390)&lt;&gt;"Disqualified — Free Game",OR(INDEX('Game Records'!$L:$L,$H390)="",LOWER(INDEX('Game Records'!$L:$L,$H390)&amp;"")="n/a")),"Disqualified Status; ","")&amp;IF(AND(OR(INDEX('Game Records'!$U:$U,$H390)="Free Game",INDEX('Game Records'!$U:$U,$H390)="Disqualified — Free Game"),N(INDEX('Game Records'!$H:$H,$H390))&lt;&gt;0),"Free Game has a non-zero Entry Fee; ",""))</f>
        <v/>
      </c>
      <c r="G390" s="331" t="str">
        <f>IF($H390="","",IFERROR(INDEX('Game Records'!$M:$M,$H390),""))</f>
        <v/>
      </c>
      <c r="H390" s="104" t="str">
        <f>IF($H389="","",IFERROR(MATCH(1,INDEX((ROW('Game Records'!$U$5:$U$504)&gt;$H389)*(('Game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1" ht="24" customHeight="1">
      <c r="A391" s="332" t="str">
        <f>IF($H391="","",ROWS($A$5:A391))</f>
        <v/>
      </c>
      <c r="B391" s="332" t="str">
        <f>IF($H391="","","G-"&amp;TEXT($A391,"0000"))</f>
        <v/>
      </c>
      <c r="C391" s="331" t="str">
        <f>IF($H391="","",IFERROR(INDEX('Game Records'!$A:$A,$H391),""))</f>
        <v/>
      </c>
      <c r="D391" s="331" t="str">
        <f>IF($H391="","",IFERROR(INDEX('Game Records'!$U:$U,$H391),""))</f>
        <v/>
      </c>
      <c r="E391" s="331" t="str">
        <f>IF($H391="","",IF($F391="","No Highlighted Fields","Highlighted Fields Present"))</f>
        <v/>
      </c>
      <c r="F391" s="331" t="str">
        <f>IF($H391="","",IF(OR(NOT(ISFORMULA(INDEX('Game Records'!$N:$N,$H391))),NOT(ISFORMULA(INDEX('Game Records'!$O:$O,$H391))),NOT(ISFORMULA(INDEX('Game Records'!$P:$P,$H391))),NOT(ISFORMULA(INDEX('Game Records'!$Q:$Q,$H391))),NOT(ISFORMULA(INDEX('Game Records'!$R:$R,$H391))),NOT(ISFORMULA(INDEX('Game Records'!$S:$S,$H391))),NOT(ISFORMULA(INDEX('Game Records'!$T:$T,$H391))),NOT(ISFORMULA(INDEX('Game Records'!$U:$U,$H391))),NOT(ISFORMULA(INDEX('Game Records'!$V:$V,$H391))),NOT(ISFORMULA(INDEX('Game Records'!$W:$W,$H391))),NOT(ISFORMULA(INDEX('Game Records'!$X:$X,$H391))),NOT(ISFORMULA(INDEX('Game Records'!$Y:$Y,$H391))),NOT(ISFORMULA(INDEX('Game Records'!$Z:$Z,$H391)))),"Formula columns missing; ","")&amp;IF(INDEX('Game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Earned; ","")&amp;IF(AND(LOWER(INDEX('Game Records'!$D:$D,$H391)&amp;"")="finalized",INDEX('Game Records'!$U:$U,$H391)&lt;&gt;"Subscription",INDEX('Game Records'!$U:$U,$H391)&lt;&gt;"Free Game",INDEX('Game Records'!$U:$U,$H391)&lt;&gt;"Disqualified — Free Game",OR(INDEX('Game Records'!$L:$L,$H391)="",LOWER(INDEX('Game Records'!$L:$L,$H391)&amp;"")="n/a")),"Disqualified Status; ","")&amp;IF(AND(OR(INDEX('Game Records'!$U:$U,$H391)="Free Game",INDEX('Game Records'!$U:$U,$H391)="Disqualified — Free Game"),N(INDEX('Game Records'!$H:$H,$H391))&lt;&gt;0),"Free Game has a non-zero Entry Fee; ",""))</f>
        <v/>
      </c>
      <c r="G391" s="331" t="str">
        <f>IF($H391="","",IFERROR(INDEX('Game Records'!$M:$M,$H391),""))</f>
        <v/>
      </c>
      <c r="H391" s="104" t="str">
        <f>IF($H390="","",IFERROR(MATCH(1,INDEX((ROW('Game Records'!$U$5:$U$504)&gt;$H390)*(('Game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2" ht="24" customHeight="1">
      <c r="A392" s="332" t="str">
        <f>IF($H392="","",ROWS($A$5:A392))</f>
        <v/>
      </c>
      <c r="B392" s="332" t="str">
        <f>IF($H392="","","G-"&amp;TEXT($A392,"0000"))</f>
        <v/>
      </c>
      <c r="C392" s="331" t="str">
        <f>IF($H392="","",IFERROR(INDEX('Game Records'!$A:$A,$H392),""))</f>
        <v/>
      </c>
      <c r="D392" s="331" t="str">
        <f>IF($H392="","",IFERROR(INDEX('Game Records'!$U:$U,$H392),""))</f>
        <v/>
      </c>
      <c r="E392" s="331" t="str">
        <f>IF($H392="","",IF($F392="","No Highlighted Fields","Highlighted Fields Present"))</f>
        <v/>
      </c>
      <c r="F392" s="331" t="str">
        <f>IF($H392="","",IF(OR(NOT(ISFORMULA(INDEX('Game Records'!$N:$N,$H392))),NOT(ISFORMULA(INDEX('Game Records'!$O:$O,$H392))),NOT(ISFORMULA(INDEX('Game Records'!$P:$P,$H392))),NOT(ISFORMULA(INDEX('Game Records'!$Q:$Q,$H392))),NOT(ISFORMULA(INDEX('Game Records'!$R:$R,$H392))),NOT(ISFORMULA(INDEX('Game Records'!$S:$S,$H392))),NOT(ISFORMULA(INDEX('Game Records'!$T:$T,$H392))),NOT(ISFORMULA(INDEX('Game Records'!$U:$U,$H392))),NOT(ISFORMULA(INDEX('Game Records'!$V:$V,$H392))),NOT(ISFORMULA(INDEX('Game Records'!$W:$W,$H392))),NOT(ISFORMULA(INDEX('Game Records'!$X:$X,$H392))),NOT(ISFORMULA(INDEX('Game Records'!$Y:$Y,$H392))),NOT(ISFORMULA(INDEX('Game Records'!$Z:$Z,$H392)))),"Formula columns missing; ","")&amp;IF(INDEX('Game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Earned; ","")&amp;IF(AND(LOWER(INDEX('Game Records'!$D:$D,$H392)&amp;"")="finalized",INDEX('Game Records'!$U:$U,$H392)&lt;&gt;"Subscription",INDEX('Game Records'!$U:$U,$H392)&lt;&gt;"Free Game",INDEX('Game Records'!$U:$U,$H392)&lt;&gt;"Disqualified — Free Game",OR(INDEX('Game Records'!$L:$L,$H392)="",LOWER(INDEX('Game Records'!$L:$L,$H392)&amp;"")="n/a")),"Disqualified Status; ","")&amp;IF(AND(OR(INDEX('Game Records'!$U:$U,$H392)="Free Game",INDEX('Game Records'!$U:$U,$H392)="Disqualified — Free Game"),N(INDEX('Game Records'!$H:$H,$H392))&lt;&gt;0),"Free Game has a non-zero Entry Fee; ",""))</f>
        <v/>
      </c>
      <c r="G392" s="331" t="str">
        <f>IF($H392="","",IFERROR(INDEX('Game Records'!$M:$M,$H392),""))</f>
        <v/>
      </c>
      <c r="H392" s="104" t="str">
        <f>IF($H391="","",IFERROR(MATCH(1,INDEX((ROW('Game Records'!$U$5:$U$504)&gt;$H391)*(('Game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3" ht="24" customHeight="1">
      <c r="A393" s="332" t="str">
        <f>IF($H393="","",ROWS($A$5:A393))</f>
        <v/>
      </c>
      <c r="B393" s="332" t="str">
        <f>IF($H393="","","G-"&amp;TEXT($A393,"0000"))</f>
        <v/>
      </c>
      <c r="C393" s="331" t="str">
        <f>IF($H393="","",IFERROR(INDEX('Game Records'!$A:$A,$H393),""))</f>
        <v/>
      </c>
      <c r="D393" s="331" t="str">
        <f>IF($H393="","",IFERROR(INDEX('Game Records'!$U:$U,$H393),""))</f>
        <v/>
      </c>
      <c r="E393" s="331" t="str">
        <f>IF($H393="","",IF($F393="","No Highlighted Fields","Highlighted Fields Present"))</f>
        <v/>
      </c>
      <c r="F393" s="331" t="str">
        <f>IF($H393="","",IF(OR(NOT(ISFORMULA(INDEX('Game Records'!$N:$N,$H393))),NOT(ISFORMULA(INDEX('Game Records'!$O:$O,$H393))),NOT(ISFORMULA(INDEX('Game Records'!$P:$P,$H393))),NOT(ISFORMULA(INDEX('Game Records'!$Q:$Q,$H393))),NOT(ISFORMULA(INDEX('Game Records'!$R:$R,$H393))),NOT(ISFORMULA(INDEX('Game Records'!$S:$S,$H393))),NOT(ISFORMULA(INDEX('Game Records'!$T:$T,$H393))),NOT(ISFORMULA(INDEX('Game Records'!$U:$U,$H393))),NOT(ISFORMULA(INDEX('Game Records'!$V:$V,$H393))),NOT(ISFORMULA(INDEX('Game Records'!$W:$W,$H393))),NOT(ISFORMULA(INDEX('Game Records'!$X:$X,$H393))),NOT(ISFORMULA(INDEX('Game Records'!$Y:$Y,$H393))),NOT(ISFORMULA(INDEX('Game Records'!$Z:$Z,$H393)))),"Formula columns missing; ","")&amp;IF(INDEX('Game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Earned; ","")&amp;IF(AND(LOWER(INDEX('Game Records'!$D:$D,$H393)&amp;"")="finalized",INDEX('Game Records'!$U:$U,$H393)&lt;&gt;"Subscription",INDEX('Game Records'!$U:$U,$H393)&lt;&gt;"Free Game",INDEX('Game Records'!$U:$U,$H393)&lt;&gt;"Disqualified — Free Game",OR(INDEX('Game Records'!$L:$L,$H393)="",LOWER(INDEX('Game Records'!$L:$L,$H393)&amp;"")="n/a")),"Disqualified Status; ","")&amp;IF(AND(OR(INDEX('Game Records'!$U:$U,$H393)="Free Game",INDEX('Game Records'!$U:$U,$H393)="Disqualified — Free Game"),N(INDEX('Game Records'!$H:$H,$H393))&lt;&gt;0),"Free Game has a non-zero Entry Fee; ",""))</f>
        <v/>
      </c>
      <c r="G393" s="331" t="str">
        <f>IF($H393="","",IFERROR(INDEX('Game Records'!$M:$M,$H393),""))</f>
        <v/>
      </c>
      <c r="H393" s="104" t="str">
        <f>IF($H392="","",IFERROR(MATCH(1,INDEX((ROW('Game Records'!$U$5:$U$504)&gt;$H392)*(('Game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4" ht="24" customHeight="1">
      <c r="A394" s="332" t="str">
        <f>IF($H394="","",ROWS($A$5:A394))</f>
        <v/>
      </c>
      <c r="B394" s="332" t="str">
        <f>IF($H394="","","G-"&amp;TEXT($A394,"0000"))</f>
        <v/>
      </c>
      <c r="C394" s="331" t="str">
        <f>IF($H394="","",IFERROR(INDEX('Game Records'!$A:$A,$H394),""))</f>
        <v/>
      </c>
      <c r="D394" s="331" t="str">
        <f>IF($H394="","",IFERROR(INDEX('Game Records'!$U:$U,$H394),""))</f>
        <v/>
      </c>
      <c r="E394" s="331" t="str">
        <f>IF($H394="","",IF($F394="","No Highlighted Fields","Highlighted Fields Present"))</f>
        <v/>
      </c>
      <c r="F394" s="331" t="str">
        <f>IF($H394="","",IF(OR(NOT(ISFORMULA(INDEX('Game Records'!$N:$N,$H394))),NOT(ISFORMULA(INDEX('Game Records'!$O:$O,$H394))),NOT(ISFORMULA(INDEX('Game Records'!$P:$P,$H394))),NOT(ISFORMULA(INDEX('Game Records'!$Q:$Q,$H394))),NOT(ISFORMULA(INDEX('Game Records'!$R:$R,$H394))),NOT(ISFORMULA(INDEX('Game Records'!$S:$S,$H394))),NOT(ISFORMULA(INDEX('Game Records'!$T:$T,$H394))),NOT(ISFORMULA(INDEX('Game Records'!$U:$U,$H394))),NOT(ISFORMULA(INDEX('Game Records'!$V:$V,$H394))),NOT(ISFORMULA(INDEX('Game Records'!$W:$W,$H394))),NOT(ISFORMULA(INDEX('Game Records'!$X:$X,$H394))),NOT(ISFORMULA(INDEX('Game Records'!$Y:$Y,$H394))),NOT(ISFORMULA(INDEX('Game Records'!$Z:$Z,$H394)))),"Formula columns missing; ","")&amp;IF(INDEX('Game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Earned; ","")&amp;IF(AND(LOWER(INDEX('Game Records'!$D:$D,$H394)&amp;"")="finalized",INDEX('Game Records'!$U:$U,$H394)&lt;&gt;"Subscription",INDEX('Game Records'!$U:$U,$H394)&lt;&gt;"Free Game",INDEX('Game Records'!$U:$U,$H394)&lt;&gt;"Disqualified — Free Game",OR(INDEX('Game Records'!$L:$L,$H394)="",LOWER(INDEX('Game Records'!$L:$L,$H394)&amp;"")="n/a")),"Disqualified Status; ","")&amp;IF(AND(OR(INDEX('Game Records'!$U:$U,$H394)="Free Game",INDEX('Game Records'!$U:$U,$H394)="Disqualified — Free Game"),N(INDEX('Game Records'!$H:$H,$H394))&lt;&gt;0),"Free Game has a non-zero Entry Fee; ",""))</f>
        <v/>
      </c>
      <c r="G394" s="331" t="str">
        <f>IF($H394="","",IFERROR(INDEX('Game Records'!$M:$M,$H394),""))</f>
        <v/>
      </c>
      <c r="H394" s="104" t="str">
        <f>IF($H393="","",IFERROR(MATCH(1,INDEX((ROW('Game Records'!$U$5:$U$504)&gt;$H393)*(('Game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5" ht="24" customHeight="1">
      <c r="A395" s="332" t="str">
        <f>IF($H395="","",ROWS($A$5:A395))</f>
        <v/>
      </c>
      <c r="B395" s="332" t="str">
        <f>IF($H395="","","G-"&amp;TEXT($A395,"0000"))</f>
        <v/>
      </c>
      <c r="C395" s="331" t="str">
        <f>IF($H395="","",IFERROR(INDEX('Game Records'!$A:$A,$H395),""))</f>
        <v/>
      </c>
      <c r="D395" s="331" t="str">
        <f>IF($H395="","",IFERROR(INDEX('Game Records'!$U:$U,$H395),""))</f>
        <v/>
      </c>
      <c r="E395" s="331" t="str">
        <f>IF($H395="","",IF($F395="","No Highlighted Fields","Highlighted Fields Present"))</f>
        <v/>
      </c>
      <c r="F395" s="331" t="str">
        <f>IF($H395="","",IF(OR(NOT(ISFORMULA(INDEX('Game Records'!$N:$N,$H395))),NOT(ISFORMULA(INDEX('Game Records'!$O:$O,$H395))),NOT(ISFORMULA(INDEX('Game Records'!$P:$P,$H395))),NOT(ISFORMULA(INDEX('Game Records'!$Q:$Q,$H395))),NOT(ISFORMULA(INDEX('Game Records'!$R:$R,$H395))),NOT(ISFORMULA(INDEX('Game Records'!$S:$S,$H395))),NOT(ISFORMULA(INDEX('Game Records'!$T:$T,$H395))),NOT(ISFORMULA(INDEX('Game Records'!$U:$U,$H395))),NOT(ISFORMULA(INDEX('Game Records'!$V:$V,$H395))),NOT(ISFORMULA(INDEX('Game Records'!$W:$W,$H395))),NOT(ISFORMULA(INDEX('Game Records'!$X:$X,$H395))),NOT(ISFORMULA(INDEX('Game Records'!$Y:$Y,$H395))),NOT(ISFORMULA(INDEX('Game Records'!$Z:$Z,$H395)))),"Formula columns missing; ","")&amp;IF(INDEX('Game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Earned; ","")&amp;IF(AND(LOWER(INDEX('Game Records'!$D:$D,$H395)&amp;"")="finalized",INDEX('Game Records'!$U:$U,$H395)&lt;&gt;"Subscription",INDEX('Game Records'!$U:$U,$H395)&lt;&gt;"Free Game",INDEX('Game Records'!$U:$U,$H395)&lt;&gt;"Disqualified — Free Game",OR(INDEX('Game Records'!$L:$L,$H395)="",LOWER(INDEX('Game Records'!$L:$L,$H395)&amp;"")="n/a")),"Disqualified Status; ","")&amp;IF(AND(OR(INDEX('Game Records'!$U:$U,$H395)="Free Game",INDEX('Game Records'!$U:$U,$H395)="Disqualified — Free Game"),N(INDEX('Game Records'!$H:$H,$H395))&lt;&gt;0),"Free Game has a non-zero Entry Fee; ",""))</f>
        <v/>
      </c>
      <c r="G395" s="331" t="str">
        <f>IF($H395="","",IFERROR(INDEX('Game Records'!$M:$M,$H395),""))</f>
        <v/>
      </c>
      <c r="H395" s="104" t="str">
        <f>IF($H394="","",IFERROR(MATCH(1,INDEX((ROW('Game Records'!$U$5:$U$504)&gt;$H394)*(('Game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6" ht="24" customHeight="1">
      <c r="A396" s="332" t="str">
        <f>IF($H396="","",ROWS($A$5:A396))</f>
        <v/>
      </c>
      <c r="B396" s="332" t="str">
        <f>IF($H396="","","G-"&amp;TEXT($A396,"0000"))</f>
        <v/>
      </c>
      <c r="C396" s="331" t="str">
        <f>IF($H396="","",IFERROR(INDEX('Game Records'!$A:$A,$H396),""))</f>
        <v/>
      </c>
      <c r="D396" s="331" t="str">
        <f>IF($H396="","",IFERROR(INDEX('Game Records'!$U:$U,$H396),""))</f>
        <v/>
      </c>
      <c r="E396" s="331" t="str">
        <f>IF($H396="","",IF($F396="","No Highlighted Fields","Highlighted Fields Present"))</f>
        <v/>
      </c>
      <c r="F396" s="331" t="str">
        <f>IF($H396="","",IF(OR(NOT(ISFORMULA(INDEX('Game Records'!$N:$N,$H396))),NOT(ISFORMULA(INDEX('Game Records'!$O:$O,$H396))),NOT(ISFORMULA(INDEX('Game Records'!$P:$P,$H396))),NOT(ISFORMULA(INDEX('Game Records'!$Q:$Q,$H396))),NOT(ISFORMULA(INDEX('Game Records'!$R:$R,$H396))),NOT(ISFORMULA(INDEX('Game Records'!$S:$S,$H396))),NOT(ISFORMULA(INDEX('Game Records'!$T:$T,$H396))),NOT(ISFORMULA(INDEX('Game Records'!$U:$U,$H396))),NOT(ISFORMULA(INDEX('Game Records'!$V:$V,$H396))),NOT(ISFORMULA(INDEX('Game Records'!$W:$W,$H396))),NOT(ISFORMULA(INDEX('Game Records'!$X:$X,$H396))),NOT(ISFORMULA(INDEX('Game Records'!$Y:$Y,$H396))),NOT(ISFORMULA(INDEX('Game Records'!$Z:$Z,$H396)))),"Formula columns missing; ","")&amp;IF(INDEX('Game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Earned; ","")&amp;IF(AND(LOWER(INDEX('Game Records'!$D:$D,$H396)&amp;"")="finalized",INDEX('Game Records'!$U:$U,$H396)&lt;&gt;"Subscription",INDEX('Game Records'!$U:$U,$H396)&lt;&gt;"Free Game",INDEX('Game Records'!$U:$U,$H396)&lt;&gt;"Disqualified — Free Game",OR(INDEX('Game Records'!$L:$L,$H396)="",LOWER(INDEX('Game Records'!$L:$L,$H396)&amp;"")="n/a")),"Disqualified Status; ","")&amp;IF(AND(OR(INDEX('Game Records'!$U:$U,$H396)="Free Game",INDEX('Game Records'!$U:$U,$H396)="Disqualified — Free Game"),N(INDEX('Game Records'!$H:$H,$H396))&lt;&gt;0),"Free Game has a non-zero Entry Fee; ",""))</f>
        <v/>
      </c>
      <c r="G396" s="331" t="str">
        <f>IF($H396="","",IFERROR(INDEX('Game Records'!$M:$M,$H396),""))</f>
        <v/>
      </c>
      <c r="H396" s="104" t="str">
        <f>IF($H395="","",IFERROR(MATCH(1,INDEX((ROW('Game Records'!$U$5:$U$504)&gt;$H395)*(('Game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7" ht="24" customHeight="1">
      <c r="A397" s="332" t="str">
        <f>IF($H397="","",ROWS($A$5:A397))</f>
        <v/>
      </c>
      <c r="B397" s="332" t="str">
        <f>IF($H397="","","G-"&amp;TEXT($A397,"0000"))</f>
        <v/>
      </c>
      <c r="C397" s="331" t="str">
        <f>IF($H397="","",IFERROR(INDEX('Game Records'!$A:$A,$H397),""))</f>
        <v/>
      </c>
      <c r="D397" s="331" t="str">
        <f>IF($H397="","",IFERROR(INDEX('Game Records'!$U:$U,$H397),""))</f>
        <v/>
      </c>
      <c r="E397" s="331" t="str">
        <f>IF($H397="","",IF($F397="","No Highlighted Fields","Highlighted Fields Present"))</f>
        <v/>
      </c>
      <c r="F397" s="331" t="str">
        <f>IF($H397="","",IF(OR(NOT(ISFORMULA(INDEX('Game Records'!$N:$N,$H397))),NOT(ISFORMULA(INDEX('Game Records'!$O:$O,$H397))),NOT(ISFORMULA(INDEX('Game Records'!$P:$P,$H397))),NOT(ISFORMULA(INDEX('Game Records'!$Q:$Q,$H397))),NOT(ISFORMULA(INDEX('Game Records'!$R:$R,$H397))),NOT(ISFORMULA(INDEX('Game Records'!$S:$S,$H397))),NOT(ISFORMULA(INDEX('Game Records'!$T:$T,$H397))),NOT(ISFORMULA(INDEX('Game Records'!$U:$U,$H397))),NOT(ISFORMULA(INDEX('Game Records'!$V:$V,$H397))),NOT(ISFORMULA(INDEX('Game Records'!$W:$W,$H397))),NOT(ISFORMULA(INDEX('Game Records'!$X:$X,$H397))),NOT(ISFORMULA(INDEX('Game Records'!$Y:$Y,$H397))),NOT(ISFORMULA(INDEX('Game Records'!$Z:$Z,$H397)))),"Formula columns missing; ","")&amp;IF(INDEX('Game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Earned; ","")&amp;IF(AND(LOWER(INDEX('Game Records'!$D:$D,$H397)&amp;"")="finalized",INDEX('Game Records'!$U:$U,$H397)&lt;&gt;"Subscription",INDEX('Game Records'!$U:$U,$H397)&lt;&gt;"Free Game",INDEX('Game Records'!$U:$U,$H397)&lt;&gt;"Disqualified — Free Game",OR(INDEX('Game Records'!$L:$L,$H397)="",LOWER(INDEX('Game Records'!$L:$L,$H397)&amp;"")="n/a")),"Disqualified Status; ","")&amp;IF(AND(OR(INDEX('Game Records'!$U:$U,$H397)="Free Game",INDEX('Game Records'!$U:$U,$H397)="Disqualified — Free Game"),N(INDEX('Game Records'!$H:$H,$H397))&lt;&gt;0),"Free Game has a non-zero Entry Fee; ",""))</f>
        <v/>
      </c>
      <c r="G397" s="331" t="str">
        <f>IF($H397="","",IFERROR(INDEX('Game Records'!$M:$M,$H397),""))</f>
        <v/>
      </c>
      <c r="H397" s="104" t="str">
        <f>IF($H396="","",IFERROR(MATCH(1,INDEX((ROW('Game Records'!$U$5:$U$504)&gt;$H396)*(('Game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8" ht="24" customHeight="1">
      <c r="A398" s="332" t="str">
        <f>IF($H398="","",ROWS($A$5:A398))</f>
        <v/>
      </c>
      <c r="B398" s="332" t="str">
        <f>IF($H398="","","G-"&amp;TEXT($A398,"0000"))</f>
        <v/>
      </c>
      <c r="C398" s="331" t="str">
        <f>IF($H398="","",IFERROR(INDEX('Game Records'!$A:$A,$H398),""))</f>
        <v/>
      </c>
      <c r="D398" s="331" t="str">
        <f>IF($H398="","",IFERROR(INDEX('Game Records'!$U:$U,$H398),""))</f>
        <v/>
      </c>
      <c r="E398" s="331" t="str">
        <f>IF($H398="","",IF($F398="","No Highlighted Fields","Highlighted Fields Present"))</f>
        <v/>
      </c>
      <c r="F398" s="331" t="str">
        <f>IF($H398="","",IF(OR(NOT(ISFORMULA(INDEX('Game Records'!$N:$N,$H398))),NOT(ISFORMULA(INDEX('Game Records'!$O:$O,$H398))),NOT(ISFORMULA(INDEX('Game Records'!$P:$P,$H398))),NOT(ISFORMULA(INDEX('Game Records'!$Q:$Q,$H398))),NOT(ISFORMULA(INDEX('Game Records'!$R:$R,$H398))),NOT(ISFORMULA(INDEX('Game Records'!$S:$S,$H398))),NOT(ISFORMULA(INDEX('Game Records'!$T:$T,$H398))),NOT(ISFORMULA(INDEX('Game Records'!$U:$U,$H398))),NOT(ISFORMULA(INDEX('Game Records'!$V:$V,$H398))),NOT(ISFORMULA(INDEX('Game Records'!$W:$W,$H398))),NOT(ISFORMULA(INDEX('Game Records'!$X:$X,$H398))),NOT(ISFORMULA(INDEX('Game Records'!$Y:$Y,$H398))),NOT(ISFORMULA(INDEX('Game Records'!$Z:$Z,$H398)))),"Formula columns missing; ","")&amp;IF(INDEX('Game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Earned; ","")&amp;IF(AND(LOWER(INDEX('Game Records'!$D:$D,$H398)&amp;"")="finalized",INDEX('Game Records'!$U:$U,$H398)&lt;&gt;"Subscription",INDEX('Game Records'!$U:$U,$H398)&lt;&gt;"Free Game",INDEX('Game Records'!$U:$U,$H398)&lt;&gt;"Disqualified — Free Game",OR(INDEX('Game Records'!$L:$L,$H398)="",LOWER(INDEX('Game Records'!$L:$L,$H398)&amp;"")="n/a")),"Disqualified Status; ","")&amp;IF(AND(OR(INDEX('Game Records'!$U:$U,$H398)="Free Game",INDEX('Game Records'!$U:$U,$H398)="Disqualified — Free Game"),N(INDEX('Game Records'!$H:$H,$H398))&lt;&gt;0),"Free Game has a non-zero Entry Fee; ",""))</f>
        <v/>
      </c>
      <c r="G398" s="331" t="str">
        <f>IF($H398="","",IFERROR(INDEX('Game Records'!$M:$M,$H398),""))</f>
        <v/>
      </c>
      <c r="H398" s="104" t="str">
        <f>IF($H397="","",IFERROR(MATCH(1,INDEX((ROW('Game Records'!$U$5:$U$504)&gt;$H397)*(('Game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9" ht="24" customHeight="1">
      <c r="A399" s="332" t="str">
        <f>IF($H399="","",ROWS($A$5:A399))</f>
        <v/>
      </c>
      <c r="B399" s="332" t="str">
        <f>IF($H399="","","G-"&amp;TEXT($A399,"0000"))</f>
        <v/>
      </c>
      <c r="C399" s="331" t="str">
        <f>IF($H399="","",IFERROR(INDEX('Game Records'!$A:$A,$H399),""))</f>
        <v/>
      </c>
      <c r="D399" s="331" t="str">
        <f>IF($H399="","",IFERROR(INDEX('Game Records'!$U:$U,$H399),""))</f>
        <v/>
      </c>
      <c r="E399" s="331" t="str">
        <f>IF($H399="","",IF($F399="","No Highlighted Fields","Highlighted Fields Present"))</f>
        <v/>
      </c>
      <c r="F399" s="331" t="str">
        <f>IF($H399="","",IF(OR(NOT(ISFORMULA(INDEX('Game Records'!$N:$N,$H399))),NOT(ISFORMULA(INDEX('Game Records'!$O:$O,$H399))),NOT(ISFORMULA(INDEX('Game Records'!$P:$P,$H399))),NOT(ISFORMULA(INDEX('Game Records'!$Q:$Q,$H399))),NOT(ISFORMULA(INDEX('Game Records'!$R:$R,$H399))),NOT(ISFORMULA(INDEX('Game Records'!$S:$S,$H399))),NOT(ISFORMULA(INDEX('Game Records'!$T:$T,$H399))),NOT(ISFORMULA(INDEX('Game Records'!$U:$U,$H399))),NOT(ISFORMULA(INDEX('Game Records'!$V:$V,$H399))),NOT(ISFORMULA(INDEX('Game Records'!$W:$W,$H399))),NOT(ISFORMULA(INDEX('Game Records'!$X:$X,$H399))),NOT(ISFORMULA(INDEX('Game Records'!$Y:$Y,$H399))),NOT(ISFORMULA(INDEX('Game Records'!$Z:$Z,$H399)))),"Formula columns missing; ","")&amp;IF(INDEX('Game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Earned; ","")&amp;IF(AND(LOWER(INDEX('Game Records'!$D:$D,$H399)&amp;"")="finalized",INDEX('Game Records'!$U:$U,$H399)&lt;&gt;"Subscription",INDEX('Game Records'!$U:$U,$H399)&lt;&gt;"Free Game",INDEX('Game Records'!$U:$U,$H399)&lt;&gt;"Disqualified — Free Game",OR(INDEX('Game Records'!$L:$L,$H399)="",LOWER(INDEX('Game Records'!$L:$L,$H399)&amp;"")="n/a")),"Disqualified Status; ","")&amp;IF(AND(OR(INDEX('Game Records'!$U:$U,$H399)="Free Game",INDEX('Game Records'!$U:$U,$H399)="Disqualified — Free Game"),N(INDEX('Game Records'!$H:$H,$H399))&lt;&gt;0),"Free Game has a non-zero Entry Fee; ",""))</f>
        <v/>
      </c>
      <c r="G399" s="331" t="str">
        <f>IF($H399="","",IFERROR(INDEX('Game Records'!$M:$M,$H399),""))</f>
        <v/>
      </c>
      <c r="H399" s="104" t="str">
        <f>IF($H398="","",IFERROR(MATCH(1,INDEX((ROW('Game Records'!$U$5:$U$504)&gt;$H398)*(('Game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0" ht="24" customHeight="1">
      <c r="A400" s="332" t="str">
        <f>IF($H400="","",ROWS($A$5:A400))</f>
        <v/>
      </c>
      <c r="B400" s="332" t="str">
        <f>IF($H400="","","G-"&amp;TEXT($A400,"0000"))</f>
        <v/>
      </c>
      <c r="C400" s="331" t="str">
        <f>IF($H400="","",IFERROR(INDEX('Game Records'!$A:$A,$H400),""))</f>
        <v/>
      </c>
      <c r="D400" s="331" t="str">
        <f>IF($H400="","",IFERROR(INDEX('Game Records'!$U:$U,$H400),""))</f>
        <v/>
      </c>
      <c r="E400" s="331" t="str">
        <f>IF($H400="","",IF($F400="","No Highlighted Fields","Highlighted Fields Present"))</f>
        <v/>
      </c>
      <c r="F400" s="331" t="str">
        <f>IF($H400="","",IF(OR(NOT(ISFORMULA(INDEX('Game Records'!$N:$N,$H400))),NOT(ISFORMULA(INDEX('Game Records'!$O:$O,$H400))),NOT(ISFORMULA(INDEX('Game Records'!$P:$P,$H400))),NOT(ISFORMULA(INDEX('Game Records'!$Q:$Q,$H400))),NOT(ISFORMULA(INDEX('Game Records'!$R:$R,$H400))),NOT(ISFORMULA(INDEX('Game Records'!$S:$S,$H400))),NOT(ISFORMULA(INDEX('Game Records'!$T:$T,$H400))),NOT(ISFORMULA(INDEX('Game Records'!$U:$U,$H400))),NOT(ISFORMULA(INDEX('Game Records'!$V:$V,$H400))),NOT(ISFORMULA(INDEX('Game Records'!$W:$W,$H400))),NOT(ISFORMULA(INDEX('Game Records'!$X:$X,$H400))),NOT(ISFORMULA(INDEX('Game Records'!$Y:$Y,$H400))),NOT(ISFORMULA(INDEX('Game Records'!$Z:$Z,$H400)))),"Formula columns missing; ","")&amp;IF(INDEX('Game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Earned; ","")&amp;IF(AND(LOWER(INDEX('Game Records'!$D:$D,$H400)&amp;"")="finalized",INDEX('Game Records'!$U:$U,$H400)&lt;&gt;"Subscription",INDEX('Game Records'!$U:$U,$H400)&lt;&gt;"Free Game",INDEX('Game Records'!$U:$U,$H400)&lt;&gt;"Disqualified — Free Game",OR(INDEX('Game Records'!$L:$L,$H400)="",LOWER(INDEX('Game Records'!$L:$L,$H400)&amp;"")="n/a")),"Disqualified Status; ","")&amp;IF(AND(OR(INDEX('Game Records'!$U:$U,$H400)="Free Game",INDEX('Game Records'!$U:$U,$H400)="Disqualified — Free Game"),N(INDEX('Game Records'!$H:$H,$H400))&lt;&gt;0),"Free Game has a non-zero Entry Fee; ",""))</f>
        <v/>
      </c>
      <c r="G400" s="331" t="str">
        <f>IF($H400="","",IFERROR(INDEX('Game Records'!$M:$M,$H400),""))</f>
        <v/>
      </c>
      <c r="H400" s="104" t="str">
        <f>IF($H399="","",IFERROR(MATCH(1,INDEX((ROW('Game Records'!$U$5:$U$504)&gt;$H399)*(('Game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1" ht="24" customHeight="1">
      <c r="A401" s="332" t="str">
        <f>IF($H401="","",ROWS($A$5:A401))</f>
        <v/>
      </c>
      <c r="B401" s="332" t="str">
        <f>IF($H401="","","G-"&amp;TEXT($A401,"0000"))</f>
        <v/>
      </c>
      <c r="C401" s="331" t="str">
        <f>IF($H401="","",IFERROR(INDEX('Game Records'!$A:$A,$H401),""))</f>
        <v/>
      </c>
      <c r="D401" s="331" t="str">
        <f>IF($H401="","",IFERROR(INDEX('Game Records'!$U:$U,$H401),""))</f>
        <v/>
      </c>
      <c r="E401" s="331" t="str">
        <f>IF($H401="","",IF($F401="","No Highlighted Fields","Highlighted Fields Present"))</f>
        <v/>
      </c>
      <c r="F401" s="331" t="str">
        <f>IF($H401="","",IF(OR(NOT(ISFORMULA(INDEX('Game Records'!$N:$N,$H401))),NOT(ISFORMULA(INDEX('Game Records'!$O:$O,$H401))),NOT(ISFORMULA(INDEX('Game Records'!$P:$P,$H401))),NOT(ISFORMULA(INDEX('Game Records'!$Q:$Q,$H401))),NOT(ISFORMULA(INDEX('Game Records'!$R:$R,$H401))),NOT(ISFORMULA(INDEX('Game Records'!$S:$S,$H401))),NOT(ISFORMULA(INDEX('Game Records'!$T:$T,$H401))),NOT(ISFORMULA(INDEX('Game Records'!$U:$U,$H401))),NOT(ISFORMULA(INDEX('Game Records'!$V:$V,$H401))),NOT(ISFORMULA(INDEX('Game Records'!$W:$W,$H401))),NOT(ISFORMULA(INDEX('Game Records'!$X:$X,$H401))),NOT(ISFORMULA(INDEX('Game Records'!$Y:$Y,$H401))),NOT(ISFORMULA(INDEX('Game Records'!$Z:$Z,$H401)))),"Formula columns missing; ","")&amp;IF(INDEX('Game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Earned; ","")&amp;IF(AND(LOWER(INDEX('Game Records'!$D:$D,$H401)&amp;"")="finalized",INDEX('Game Records'!$U:$U,$H401)&lt;&gt;"Subscription",INDEX('Game Records'!$U:$U,$H401)&lt;&gt;"Free Game",INDEX('Game Records'!$U:$U,$H401)&lt;&gt;"Disqualified — Free Game",OR(INDEX('Game Records'!$L:$L,$H401)="",LOWER(INDEX('Game Records'!$L:$L,$H401)&amp;"")="n/a")),"Disqualified Status; ","")&amp;IF(AND(OR(INDEX('Game Records'!$U:$U,$H401)="Free Game",INDEX('Game Records'!$U:$U,$H401)="Disqualified — Free Game"),N(INDEX('Game Records'!$H:$H,$H401))&lt;&gt;0),"Free Game has a non-zero Entry Fee; ",""))</f>
        <v/>
      </c>
      <c r="G401" s="331" t="str">
        <f>IF($H401="","",IFERROR(INDEX('Game Records'!$M:$M,$H401),""))</f>
        <v/>
      </c>
      <c r="H401" s="104" t="str">
        <f>IF($H400="","",IFERROR(MATCH(1,INDEX((ROW('Game Records'!$U$5:$U$504)&gt;$H400)*(('Game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2" ht="24" customHeight="1">
      <c r="A402" s="332" t="str">
        <f>IF($H402="","",ROWS($A$5:A402))</f>
        <v/>
      </c>
      <c r="B402" s="332" t="str">
        <f>IF($H402="","","G-"&amp;TEXT($A402,"0000"))</f>
        <v/>
      </c>
      <c r="C402" s="331" t="str">
        <f>IF($H402="","",IFERROR(INDEX('Game Records'!$A:$A,$H402),""))</f>
        <v/>
      </c>
      <c r="D402" s="331" t="str">
        <f>IF($H402="","",IFERROR(INDEX('Game Records'!$U:$U,$H402),""))</f>
        <v/>
      </c>
      <c r="E402" s="331" t="str">
        <f>IF($H402="","",IF($F402="","No Highlighted Fields","Highlighted Fields Present"))</f>
        <v/>
      </c>
      <c r="F402" s="331" t="str">
        <f>IF($H402="","",IF(OR(NOT(ISFORMULA(INDEX('Game Records'!$N:$N,$H402))),NOT(ISFORMULA(INDEX('Game Records'!$O:$O,$H402))),NOT(ISFORMULA(INDEX('Game Records'!$P:$P,$H402))),NOT(ISFORMULA(INDEX('Game Records'!$Q:$Q,$H402))),NOT(ISFORMULA(INDEX('Game Records'!$R:$R,$H402))),NOT(ISFORMULA(INDEX('Game Records'!$S:$S,$H402))),NOT(ISFORMULA(INDEX('Game Records'!$T:$T,$H402))),NOT(ISFORMULA(INDEX('Game Records'!$U:$U,$H402))),NOT(ISFORMULA(INDEX('Game Records'!$V:$V,$H402))),NOT(ISFORMULA(INDEX('Game Records'!$W:$W,$H402))),NOT(ISFORMULA(INDEX('Game Records'!$X:$X,$H402))),NOT(ISFORMULA(INDEX('Game Records'!$Y:$Y,$H402))),NOT(ISFORMULA(INDEX('Game Records'!$Z:$Z,$H402)))),"Formula columns missing; ","")&amp;IF(INDEX('Game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Earned; ","")&amp;IF(AND(LOWER(INDEX('Game Records'!$D:$D,$H402)&amp;"")="finalized",INDEX('Game Records'!$U:$U,$H402)&lt;&gt;"Subscription",INDEX('Game Records'!$U:$U,$H402)&lt;&gt;"Free Game",INDEX('Game Records'!$U:$U,$H402)&lt;&gt;"Disqualified — Free Game",OR(INDEX('Game Records'!$L:$L,$H402)="",LOWER(INDEX('Game Records'!$L:$L,$H402)&amp;"")="n/a")),"Disqualified Status; ","")&amp;IF(AND(OR(INDEX('Game Records'!$U:$U,$H402)="Free Game",INDEX('Game Records'!$U:$U,$H402)="Disqualified — Free Game"),N(INDEX('Game Records'!$H:$H,$H402))&lt;&gt;0),"Free Game has a non-zero Entry Fee; ",""))</f>
        <v/>
      </c>
      <c r="G402" s="331" t="str">
        <f>IF($H402="","",IFERROR(INDEX('Game Records'!$M:$M,$H402),""))</f>
        <v/>
      </c>
      <c r="H402" s="104" t="str">
        <f>IF($H401="","",IFERROR(MATCH(1,INDEX((ROW('Game Records'!$U$5:$U$504)&gt;$H401)*(('Game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3" ht="24" customHeight="1">
      <c r="A403" s="332" t="str">
        <f>IF($H403="","",ROWS($A$5:A403))</f>
        <v/>
      </c>
      <c r="B403" s="332" t="str">
        <f>IF($H403="","","G-"&amp;TEXT($A403,"0000"))</f>
        <v/>
      </c>
      <c r="C403" s="331" t="str">
        <f>IF($H403="","",IFERROR(INDEX('Game Records'!$A:$A,$H403),""))</f>
        <v/>
      </c>
      <c r="D403" s="331" t="str">
        <f>IF($H403="","",IFERROR(INDEX('Game Records'!$U:$U,$H403),""))</f>
        <v/>
      </c>
      <c r="E403" s="331" t="str">
        <f>IF($H403="","",IF($F403="","No Highlighted Fields","Highlighted Fields Present"))</f>
        <v/>
      </c>
      <c r="F403" s="331" t="str">
        <f>IF($H403="","",IF(OR(NOT(ISFORMULA(INDEX('Game Records'!$N:$N,$H403))),NOT(ISFORMULA(INDEX('Game Records'!$O:$O,$H403))),NOT(ISFORMULA(INDEX('Game Records'!$P:$P,$H403))),NOT(ISFORMULA(INDEX('Game Records'!$Q:$Q,$H403))),NOT(ISFORMULA(INDEX('Game Records'!$R:$R,$H403))),NOT(ISFORMULA(INDEX('Game Records'!$S:$S,$H403))),NOT(ISFORMULA(INDEX('Game Records'!$T:$T,$H403))),NOT(ISFORMULA(INDEX('Game Records'!$U:$U,$H403))),NOT(ISFORMULA(INDEX('Game Records'!$V:$V,$H403))),NOT(ISFORMULA(INDEX('Game Records'!$W:$W,$H403))),NOT(ISFORMULA(INDEX('Game Records'!$X:$X,$H403))),NOT(ISFORMULA(INDEX('Game Records'!$Y:$Y,$H403))),NOT(ISFORMULA(INDEX('Game Records'!$Z:$Z,$H403)))),"Formula columns missing; ","")&amp;IF(INDEX('Game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Earned; ","")&amp;IF(AND(LOWER(INDEX('Game Records'!$D:$D,$H403)&amp;"")="finalized",INDEX('Game Records'!$U:$U,$H403)&lt;&gt;"Subscription",INDEX('Game Records'!$U:$U,$H403)&lt;&gt;"Free Game",INDEX('Game Records'!$U:$U,$H403)&lt;&gt;"Disqualified — Free Game",OR(INDEX('Game Records'!$L:$L,$H403)="",LOWER(INDEX('Game Records'!$L:$L,$H403)&amp;"")="n/a")),"Disqualified Status; ","")&amp;IF(AND(OR(INDEX('Game Records'!$U:$U,$H403)="Free Game",INDEX('Game Records'!$U:$U,$H403)="Disqualified — Free Game"),N(INDEX('Game Records'!$H:$H,$H403))&lt;&gt;0),"Free Game has a non-zero Entry Fee; ",""))</f>
        <v/>
      </c>
      <c r="G403" s="331" t="str">
        <f>IF($H403="","",IFERROR(INDEX('Game Records'!$M:$M,$H403),""))</f>
        <v/>
      </c>
      <c r="H403" s="104" t="str">
        <f>IF($H402="","",IFERROR(MATCH(1,INDEX((ROW('Game Records'!$U$5:$U$504)&gt;$H402)*(('Game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4" ht="24" customHeight="1">
      <c r="A404" s="332" t="str">
        <f>IF($H404="","",ROWS($A$5:A404))</f>
        <v/>
      </c>
      <c r="B404" s="332" t="str">
        <f>IF($H404="","","G-"&amp;TEXT($A404,"0000"))</f>
        <v/>
      </c>
      <c r="C404" s="331" t="str">
        <f>IF($H404="","",IFERROR(INDEX('Game Records'!$A:$A,$H404),""))</f>
        <v/>
      </c>
      <c r="D404" s="331" t="str">
        <f>IF($H404="","",IFERROR(INDEX('Game Records'!$U:$U,$H404),""))</f>
        <v/>
      </c>
      <c r="E404" s="331" t="str">
        <f>IF($H404="","",IF($F404="","No Highlighted Fields","Highlighted Fields Present"))</f>
        <v/>
      </c>
      <c r="F404" s="331" t="str">
        <f>IF($H404="","",IF(OR(NOT(ISFORMULA(INDEX('Game Records'!$N:$N,$H404))),NOT(ISFORMULA(INDEX('Game Records'!$O:$O,$H404))),NOT(ISFORMULA(INDEX('Game Records'!$P:$P,$H404))),NOT(ISFORMULA(INDEX('Game Records'!$Q:$Q,$H404))),NOT(ISFORMULA(INDEX('Game Records'!$R:$R,$H404))),NOT(ISFORMULA(INDEX('Game Records'!$S:$S,$H404))),NOT(ISFORMULA(INDEX('Game Records'!$T:$T,$H404))),NOT(ISFORMULA(INDEX('Game Records'!$U:$U,$H404))),NOT(ISFORMULA(INDEX('Game Records'!$V:$V,$H404))),NOT(ISFORMULA(INDEX('Game Records'!$W:$W,$H404))),NOT(ISFORMULA(INDEX('Game Records'!$X:$X,$H404))),NOT(ISFORMULA(INDEX('Game Records'!$Y:$Y,$H404))),NOT(ISFORMULA(INDEX('Game Records'!$Z:$Z,$H404)))),"Formula columns missing; ","")&amp;IF(INDEX('Game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Earned; ","")&amp;IF(AND(LOWER(INDEX('Game Records'!$D:$D,$H404)&amp;"")="finalized",INDEX('Game Records'!$U:$U,$H404)&lt;&gt;"Subscription",INDEX('Game Records'!$U:$U,$H404)&lt;&gt;"Free Game",INDEX('Game Records'!$U:$U,$H404)&lt;&gt;"Disqualified — Free Game",OR(INDEX('Game Records'!$L:$L,$H404)="",LOWER(INDEX('Game Records'!$L:$L,$H404)&amp;"")="n/a")),"Disqualified Status; ","")&amp;IF(AND(OR(INDEX('Game Records'!$U:$U,$H404)="Free Game",INDEX('Game Records'!$U:$U,$H404)="Disqualified — Free Game"),N(INDEX('Game Records'!$H:$H,$H404))&lt;&gt;0),"Free Game has a non-zero Entry Fee; ",""))</f>
        <v/>
      </c>
      <c r="G404" s="331" t="str">
        <f>IF($H404="","",IFERROR(INDEX('Game Records'!$M:$M,$H404),""))</f>
        <v/>
      </c>
      <c r="H404" s="104" t="str">
        <f>IF($H403="","",IFERROR(MATCH(1,INDEX((ROW('Game Records'!$U$5:$U$504)&gt;$H403)*(('Game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5" ht="24" customHeight="1">
      <c r="A405" s="332" t="str">
        <f>IF($H405="","",ROWS($A$5:A405))</f>
        <v/>
      </c>
      <c r="B405" s="332" t="str">
        <f>IF($H405="","","G-"&amp;TEXT($A405,"0000"))</f>
        <v/>
      </c>
      <c r="C405" s="331" t="str">
        <f>IF($H405="","",IFERROR(INDEX('Game Records'!$A:$A,$H405),""))</f>
        <v/>
      </c>
      <c r="D405" s="331" t="str">
        <f>IF($H405="","",IFERROR(INDEX('Game Records'!$U:$U,$H405),""))</f>
        <v/>
      </c>
      <c r="E405" s="331" t="str">
        <f>IF($H405="","",IF($F405="","No Highlighted Fields","Highlighted Fields Present"))</f>
        <v/>
      </c>
      <c r="F405" s="331" t="str">
        <f>IF($H405="","",IF(OR(NOT(ISFORMULA(INDEX('Game Records'!$N:$N,$H405))),NOT(ISFORMULA(INDEX('Game Records'!$O:$O,$H405))),NOT(ISFORMULA(INDEX('Game Records'!$P:$P,$H405))),NOT(ISFORMULA(INDEX('Game Records'!$Q:$Q,$H405))),NOT(ISFORMULA(INDEX('Game Records'!$R:$R,$H405))),NOT(ISFORMULA(INDEX('Game Records'!$S:$S,$H405))),NOT(ISFORMULA(INDEX('Game Records'!$T:$T,$H405))),NOT(ISFORMULA(INDEX('Game Records'!$U:$U,$H405))),NOT(ISFORMULA(INDEX('Game Records'!$V:$V,$H405))),NOT(ISFORMULA(INDEX('Game Records'!$W:$W,$H405))),NOT(ISFORMULA(INDEX('Game Records'!$X:$X,$H405))),NOT(ISFORMULA(INDEX('Game Records'!$Y:$Y,$H405))),NOT(ISFORMULA(INDEX('Game Records'!$Z:$Z,$H405)))),"Formula columns missing; ","")&amp;IF(INDEX('Game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Earned; ","")&amp;IF(AND(LOWER(INDEX('Game Records'!$D:$D,$H405)&amp;"")="finalized",INDEX('Game Records'!$U:$U,$H405)&lt;&gt;"Subscription",INDEX('Game Records'!$U:$U,$H405)&lt;&gt;"Free Game",INDEX('Game Records'!$U:$U,$H405)&lt;&gt;"Disqualified — Free Game",OR(INDEX('Game Records'!$L:$L,$H405)="",LOWER(INDEX('Game Records'!$L:$L,$H405)&amp;"")="n/a")),"Disqualified Status; ","")&amp;IF(AND(OR(INDEX('Game Records'!$U:$U,$H405)="Free Game",INDEX('Game Records'!$U:$U,$H405)="Disqualified — Free Game"),N(INDEX('Game Records'!$H:$H,$H405))&lt;&gt;0),"Free Game has a non-zero Entry Fee; ",""))</f>
        <v/>
      </c>
      <c r="G405" s="331" t="str">
        <f>IF($H405="","",IFERROR(INDEX('Game Records'!$M:$M,$H405),""))</f>
        <v/>
      </c>
      <c r="H405" s="104" t="str">
        <f>IF($H404="","",IFERROR(MATCH(1,INDEX((ROW('Game Records'!$U$5:$U$504)&gt;$H404)*(('Game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6" ht="24" customHeight="1">
      <c r="A406" s="332" t="str">
        <f>IF($H406="","",ROWS($A$5:A406))</f>
        <v/>
      </c>
      <c r="B406" s="332" t="str">
        <f>IF($H406="","","G-"&amp;TEXT($A406,"0000"))</f>
        <v/>
      </c>
      <c r="C406" s="331" t="str">
        <f>IF($H406="","",IFERROR(INDEX('Game Records'!$A:$A,$H406),""))</f>
        <v/>
      </c>
      <c r="D406" s="331" t="str">
        <f>IF($H406="","",IFERROR(INDEX('Game Records'!$U:$U,$H406),""))</f>
        <v/>
      </c>
      <c r="E406" s="331" t="str">
        <f>IF($H406="","",IF($F406="","No Highlighted Fields","Highlighted Fields Present"))</f>
        <v/>
      </c>
      <c r="F406" s="331" t="str">
        <f>IF($H406="","",IF(OR(NOT(ISFORMULA(INDEX('Game Records'!$N:$N,$H406))),NOT(ISFORMULA(INDEX('Game Records'!$O:$O,$H406))),NOT(ISFORMULA(INDEX('Game Records'!$P:$P,$H406))),NOT(ISFORMULA(INDEX('Game Records'!$Q:$Q,$H406))),NOT(ISFORMULA(INDEX('Game Records'!$R:$R,$H406))),NOT(ISFORMULA(INDEX('Game Records'!$S:$S,$H406))),NOT(ISFORMULA(INDEX('Game Records'!$T:$T,$H406))),NOT(ISFORMULA(INDEX('Game Records'!$U:$U,$H406))),NOT(ISFORMULA(INDEX('Game Records'!$V:$V,$H406))),NOT(ISFORMULA(INDEX('Game Records'!$W:$W,$H406))),NOT(ISFORMULA(INDEX('Game Records'!$X:$X,$H406))),NOT(ISFORMULA(INDEX('Game Records'!$Y:$Y,$H406))),NOT(ISFORMULA(INDEX('Game Records'!$Z:$Z,$H406)))),"Formula columns missing; ","")&amp;IF(INDEX('Game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Earned; ","")&amp;IF(AND(LOWER(INDEX('Game Records'!$D:$D,$H406)&amp;"")="finalized",INDEX('Game Records'!$U:$U,$H406)&lt;&gt;"Subscription",INDEX('Game Records'!$U:$U,$H406)&lt;&gt;"Free Game",INDEX('Game Records'!$U:$U,$H406)&lt;&gt;"Disqualified — Free Game",OR(INDEX('Game Records'!$L:$L,$H406)="",LOWER(INDEX('Game Records'!$L:$L,$H406)&amp;"")="n/a")),"Disqualified Status; ","")&amp;IF(AND(OR(INDEX('Game Records'!$U:$U,$H406)="Free Game",INDEX('Game Records'!$U:$U,$H406)="Disqualified — Free Game"),N(INDEX('Game Records'!$H:$H,$H406))&lt;&gt;0),"Free Game has a non-zero Entry Fee; ",""))</f>
        <v/>
      </c>
      <c r="G406" s="331" t="str">
        <f>IF($H406="","",IFERROR(INDEX('Game Records'!$M:$M,$H406),""))</f>
        <v/>
      </c>
      <c r="H406" s="104" t="str">
        <f>IF($H405="","",IFERROR(MATCH(1,INDEX((ROW('Game Records'!$U$5:$U$504)&gt;$H405)*(('Game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7" ht="24" customHeight="1">
      <c r="A407" s="332" t="str">
        <f>IF($H407="","",ROWS($A$5:A407))</f>
        <v/>
      </c>
      <c r="B407" s="332" t="str">
        <f>IF($H407="","","G-"&amp;TEXT($A407,"0000"))</f>
        <v/>
      </c>
      <c r="C407" s="331" t="str">
        <f>IF($H407="","",IFERROR(INDEX('Game Records'!$A:$A,$H407),""))</f>
        <v/>
      </c>
      <c r="D407" s="331" t="str">
        <f>IF($H407="","",IFERROR(INDEX('Game Records'!$U:$U,$H407),""))</f>
        <v/>
      </c>
      <c r="E407" s="331" t="str">
        <f>IF($H407="","",IF($F407="","No Highlighted Fields","Highlighted Fields Present"))</f>
        <v/>
      </c>
      <c r="F407" s="331" t="str">
        <f>IF($H407="","",IF(OR(NOT(ISFORMULA(INDEX('Game Records'!$N:$N,$H407))),NOT(ISFORMULA(INDEX('Game Records'!$O:$O,$H407))),NOT(ISFORMULA(INDEX('Game Records'!$P:$P,$H407))),NOT(ISFORMULA(INDEX('Game Records'!$Q:$Q,$H407))),NOT(ISFORMULA(INDEX('Game Records'!$R:$R,$H407))),NOT(ISFORMULA(INDEX('Game Records'!$S:$S,$H407))),NOT(ISFORMULA(INDEX('Game Records'!$T:$T,$H407))),NOT(ISFORMULA(INDEX('Game Records'!$U:$U,$H407))),NOT(ISFORMULA(INDEX('Game Records'!$V:$V,$H407))),NOT(ISFORMULA(INDEX('Game Records'!$W:$W,$H407))),NOT(ISFORMULA(INDEX('Game Records'!$X:$X,$H407))),NOT(ISFORMULA(INDEX('Game Records'!$Y:$Y,$H407))),NOT(ISFORMULA(INDEX('Game Records'!$Z:$Z,$H407)))),"Formula columns missing; ","")&amp;IF(INDEX('Game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Earned; ","")&amp;IF(AND(LOWER(INDEX('Game Records'!$D:$D,$H407)&amp;"")="finalized",INDEX('Game Records'!$U:$U,$H407)&lt;&gt;"Subscription",INDEX('Game Records'!$U:$U,$H407)&lt;&gt;"Free Game",INDEX('Game Records'!$U:$U,$H407)&lt;&gt;"Disqualified — Free Game",OR(INDEX('Game Records'!$L:$L,$H407)="",LOWER(INDEX('Game Records'!$L:$L,$H407)&amp;"")="n/a")),"Disqualified Status; ","")&amp;IF(AND(OR(INDEX('Game Records'!$U:$U,$H407)="Free Game",INDEX('Game Records'!$U:$U,$H407)="Disqualified — Free Game"),N(INDEX('Game Records'!$H:$H,$H407))&lt;&gt;0),"Free Game has a non-zero Entry Fee; ",""))</f>
        <v/>
      </c>
      <c r="G407" s="331" t="str">
        <f>IF($H407="","",IFERROR(INDEX('Game Records'!$M:$M,$H407),""))</f>
        <v/>
      </c>
      <c r="H407" s="104" t="str">
        <f>IF($H406="","",IFERROR(MATCH(1,INDEX((ROW('Game Records'!$U$5:$U$504)&gt;$H406)*(('Game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8" ht="24" customHeight="1">
      <c r="A408" s="332" t="str">
        <f>IF($H408="","",ROWS($A$5:A408))</f>
        <v/>
      </c>
      <c r="B408" s="332" t="str">
        <f>IF($H408="","","G-"&amp;TEXT($A408,"0000"))</f>
        <v/>
      </c>
      <c r="C408" s="331" t="str">
        <f>IF($H408="","",IFERROR(INDEX('Game Records'!$A:$A,$H408),""))</f>
        <v/>
      </c>
      <c r="D408" s="331" t="str">
        <f>IF($H408="","",IFERROR(INDEX('Game Records'!$U:$U,$H408),""))</f>
        <v/>
      </c>
      <c r="E408" s="331" t="str">
        <f>IF($H408="","",IF($F408="","No Highlighted Fields","Highlighted Fields Present"))</f>
        <v/>
      </c>
      <c r="F408" s="331" t="str">
        <f>IF($H408="","",IF(OR(NOT(ISFORMULA(INDEX('Game Records'!$N:$N,$H408))),NOT(ISFORMULA(INDEX('Game Records'!$O:$O,$H408))),NOT(ISFORMULA(INDEX('Game Records'!$P:$P,$H408))),NOT(ISFORMULA(INDEX('Game Records'!$Q:$Q,$H408))),NOT(ISFORMULA(INDEX('Game Records'!$R:$R,$H408))),NOT(ISFORMULA(INDEX('Game Records'!$S:$S,$H408))),NOT(ISFORMULA(INDEX('Game Records'!$T:$T,$H408))),NOT(ISFORMULA(INDEX('Game Records'!$U:$U,$H408))),NOT(ISFORMULA(INDEX('Game Records'!$V:$V,$H408))),NOT(ISFORMULA(INDEX('Game Records'!$W:$W,$H408))),NOT(ISFORMULA(INDEX('Game Records'!$X:$X,$H408))),NOT(ISFORMULA(INDEX('Game Records'!$Y:$Y,$H408))),NOT(ISFORMULA(INDEX('Game Records'!$Z:$Z,$H408)))),"Formula columns missing; ","")&amp;IF(INDEX('Game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Earned; ","")&amp;IF(AND(LOWER(INDEX('Game Records'!$D:$D,$H408)&amp;"")="finalized",INDEX('Game Records'!$U:$U,$H408)&lt;&gt;"Subscription",INDEX('Game Records'!$U:$U,$H408)&lt;&gt;"Free Game",INDEX('Game Records'!$U:$U,$H408)&lt;&gt;"Disqualified — Free Game",OR(INDEX('Game Records'!$L:$L,$H408)="",LOWER(INDEX('Game Records'!$L:$L,$H408)&amp;"")="n/a")),"Disqualified Status; ","")&amp;IF(AND(OR(INDEX('Game Records'!$U:$U,$H408)="Free Game",INDEX('Game Records'!$U:$U,$H408)="Disqualified — Free Game"),N(INDEX('Game Records'!$H:$H,$H408))&lt;&gt;0),"Free Game has a non-zero Entry Fee; ",""))</f>
        <v/>
      </c>
      <c r="G408" s="331" t="str">
        <f>IF($H408="","",IFERROR(INDEX('Game Records'!$M:$M,$H408),""))</f>
        <v/>
      </c>
      <c r="H408" s="104" t="str">
        <f>IF($H407="","",IFERROR(MATCH(1,INDEX((ROW('Game Records'!$U$5:$U$504)&gt;$H407)*(('Game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9" ht="24" customHeight="1">
      <c r="A409" s="332" t="str">
        <f>IF($H409="","",ROWS($A$5:A409))</f>
        <v/>
      </c>
      <c r="B409" s="332" t="str">
        <f>IF($H409="","","G-"&amp;TEXT($A409,"0000"))</f>
        <v/>
      </c>
      <c r="C409" s="331" t="str">
        <f>IF($H409="","",IFERROR(INDEX('Game Records'!$A:$A,$H409),""))</f>
        <v/>
      </c>
      <c r="D409" s="331" t="str">
        <f>IF($H409="","",IFERROR(INDEX('Game Records'!$U:$U,$H409),""))</f>
        <v/>
      </c>
      <c r="E409" s="331" t="str">
        <f>IF($H409="","",IF($F409="","No Highlighted Fields","Highlighted Fields Present"))</f>
        <v/>
      </c>
      <c r="F409" s="331" t="str">
        <f>IF($H409="","",IF(OR(NOT(ISFORMULA(INDEX('Game Records'!$N:$N,$H409))),NOT(ISFORMULA(INDEX('Game Records'!$O:$O,$H409))),NOT(ISFORMULA(INDEX('Game Records'!$P:$P,$H409))),NOT(ISFORMULA(INDEX('Game Records'!$Q:$Q,$H409))),NOT(ISFORMULA(INDEX('Game Records'!$R:$R,$H409))),NOT(ISFORMULA(INDEX('Game Records'!$S:$S,$H409))),NOT(ISFORMULA(INDEX('Game Records'!$T:$T,$H409))),NOT(ISFORMULA(INDEX('Game Records'!$U:$U,$H409))),NOT(ISFORMULA(INDEX('Game Records'!$V:$V,$H409))),NOT(ISFORMULA(INDEX('Game Records'!$W:$W,$H409))),NOT(ISFORMULA(INDEX('Game Records'!$X:$X,$H409))),NOT(ISFORMULA(INDEX('Game Records'!$Y:$Y,$H409))),NOT(ISFORMULA(INDEX('Game Records'!$Z:$Z,$H409)))),"Formula columns missing; ","")&amp;IF(INDEX('Game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Earned; ","")&amp;IF(AND(LOWER(INDEX('Game Records'!$D:$D,$H409)&amp;"")="finalized",INDEX('Game Records'!$U:$U,$H409)&lt;&gt;"Subscription",INDEX('Game Records'!$U:$U,$H409)&lt;&gt;"Free Game",INDEX('Game Records'!$U:$U,$H409)&lt;&gt;"Disqualified — Free Game",OR(INDEX('Game Records'!$L:$L,$H409)="",LOWER(INDEX('Game Records'!$L:$L,$H409)&amp;"")="n/a")),"Disqualified Status; ","")&amp;IF(AND(OR(INDEX('Game Records'!$U:$U,$H409)="Free Game",INDEX('Game Records'!$U:$U,$H409)="Disqualified — Free Game"),N(INDEX('Game Records'!$H:$H,$H409))&lt;&gt;0),"Free Game has a non-zero Entry Fee; ",""))</f>
        <v/>
      </c>
      <c r="G409" s="331" t="str">
        <f>IF($H409="","",IFERROR(INDEX('Game Records'!$M:$M,$H409),""))</f>
        <v/>
      </c>
      <c r="H409" s="104" t="str">
        <f>IF($H408="","",IFERROR(MATCH(1,INDEX((ROW('Game Records'!$U$5:$U$504)&gt;$H408)*(('Game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0" ht="24" customHeight="1">
      <c r="A410" s="332" t="str">
        <f>IF($H410="","",ROWS($A$5:A410))</f>
        <v/>
      </c>
      <c r="B410" s="332" t="str">
        <f>IF($H410="","","G-"&amp;TEXT($A410,"0000"))</f>
        <v/>
      </c>
      <c r="C410" s="331" t="str">
        <f>IF($H410="","",IFERROR(INDEX('Game Records'!$A:$A,$H410),""))</f>
        <v/>
      </c>
      <c r="D410" s="331" t="str">
        <f>IF($H410="","",IFERROR(INDEX('Game Records'!$U:$U,$H410),""))</f>
        <v/>
      </c>
      <c r="E410" s="331" t="str">
        <f>IF($H410="","",IF($F410="","No Highlighted Fields","Highlighted Fields Present"))</f>
        <v/>
      </c>
      <c r="F410" s="331" t="str">
        <f>IF($H410="","",IF(OR(NOT(ISFORMULA(INDEX('Game Records'!$N:$N,$H410))),NOT(ISFORMULA(INDEX('Game Records'!$O:$O,$H410))),NOT(ISFORMULA(INDEX('Game Records'!$P:$P,$H410))),NOT(ISFORMULA(INDEX('Game Records'!$Q:$Q,$H410))),NOT(ISFORMULA(INDEX('Game Records'!$R:$R,$H410))),NOT(ISFORMULA(INDEX('Game Records'!$S:$S,$H410))),NOT(ISFORMULA(INDEX('Game Records'!$T:$T,$H410))),NOT(ISFORMULA(INDEX('Game Records'!$U:$U,$H410))),NOT(ISFORMULA(INDEX('Game Records'!$V:$V,$H410))),NOT(ISFORMULA(INDEX('Game Records'!$W:$W,$H410))),NOT(ISFORMULA(INDEX('Game Records'!$X:$X,$H410))),NOT(ISFORMULA(INDEX('Game Records'!$Y:$Y,$H410))),NOT(ISFORMULA(INDEX('Game Records'!$Z:$Z,$H410)))),"Formula columns missing; ","")&amp;IF(INDEX('Game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Earned; ","")&amp;IF(AND(LOWER(INDEX('Game Records'!$D:$D,$H410)&amp;"")="finalized",INDEX('Game Records'!$U:$U,$H410)&lt;&gt;"Subscription",INDEX('Game Records'!$U:$U,$H410)&lt;&gt;"Free Game",INDEX('Game Records'!$U:$U,$H410)&lt;&gt;"Disqualified — Free Game",OR(INDEX('Game Records'!$L:$L,$H410)="",LOWER(INDEX('Game Records'!$L:$L,$H410)&amp;"")="n/a")),"Disqualified Status; ","")&amp;IF(AND(OR(INDEX('Game Records'!$U:$U,$H410)="Free Game",INDEX('Game Records'!$U:$U,$H410)="Disqualified — Free Game"),N(INDEX('Game Records'!$H:$H,$H410))&lt;&gt;0),"Free Game has a non-zero Entry Fee; ",""))</f>
        <v/>
      </c>
      <c r="G410" s="331" t="str">
        <f>IF($H410="","",IFERROR(INDEX('Game Records'!$M:$M,$H410),""))</f>
        <v/>
      </c>
      <c r="H410" s="104" t="str">
        <f>IF($H409="","",IFERROR(MATCH(1,INDEX((ROW('Game Records'!$U$5:$U$504)&gt;$H409)*(('Game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1" ht="24" customHeight="1">
      <c r="A411" s="332" t="str">
        <f>IF($H411="","",ROWS($A$5:A411))</f>
        <v/>
      </c>
      <c r="B411" s="332" t="str">
        <f>IF($H411="","","G-"&amp;TEXT($A411,"0000"))</f>
        <v/>
      </c>
      <c r="C411" s="331" t="str">
        <f>IF($H411="","",IFERROR(INDEX('Game Records'!$A:$A,$H411),""))</f>
        <v/>
      </c>
      <c r="D411" s="331" t="str">
        <f>IF($H411="","",IFERROR(INDEX('Game Records'!$U:$U,$H411),""))</f>
        <v/>
      </c>
      <c r="E411" s="331" t="str">
        <f>IF($H411="","",IF($F411="","No Highlighted Fields","Highlighted Fields Present"))</f>
        <v/>
      </c>
      <c r="F411" s="331" t="str">
        <f>IF($H411="","",IF(OR(NOT(ISFORMULA(INDEX('Game Records'!$N:$N,$H411))),NOT(ISFORMULA(INDEX('Game Records'!$O:$O,$H411))),NOT(ISFORMULA(INDEX('Game Records'!$P:$P,$H411))),NOT(ISFORMULA(INDEX('Game Records'!$Q:$Q,$H411))),NOT(ISFORMULA(INDEX('Game Records'!$R:$R,$H411))),NOT(ISFORMULA(INDEX('Game Records'!$S:$S,$H411))),NOT(ISFORMULA(INDEX('Game Records'!$T:$T,$H411))),NOT(ISFORMULA(INDEX('Game Records'!$U:$U,$H411))),NOT(ISFORMULA(INDEX('Game Records'!$V:$V,$H411))),NOT(ISFORMULA(INDEX('Game Records'!$W:$W,$H411))),NOT(ISFORMULA(INDEX('Game Records'!$X:$X,$H411))),NOT(ISFORMULA(INDEX('Game Records'!$Y:$Y,$H411))),NOT(ISFORMULA(INDEX('Game Records'!$Z:$Z,$H411)))),"Formula columns missing; ","")&amp;IF(INDEX('Game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Earned; ","")&amp;IF(AND(LOWER(INDEX('Game Records'!$D:$D,$H411)&amp;"")="finalized",INDEX('Game Records'!$U:$U,$H411)&lt;&gt;"Subscription",INDEX('Game Records'!$U:$U,$H411)&lt;&gt;"Free Game",INDEX('Game Records'!$U:$U,$H411)&lt;&gt;"Disqualified — Free Game",OR(INDEX('Game Records'!$L:$L,$H411)="",LOWER(INDEX('Game Records'!$L:$L,$H411)&amp;"")="n/a")),"Disqualified Status; ","")&amp;IF(AND(OR(INDEX('Game Records'!$U:$U,$H411)="Free Game",INDEX('Game Records'!$U:$U,$H411)="Disqualified — Free Game"),N(INDEX('Game Records'!$H:$H,$H411))&lt;&gt;0),"Free Game has a non-zero Entry Fee; ",""))</f>
        <v/>
      </c>
      <c r="G411" s="331" t="str">
        <f>IF($H411="","",IFERROR(INDEX('Game Records'!$M:$M,$H411),""))</f>
        <v/>
      </c>
      <c r="H411" s="104" t="str">
        <f>IF($H410="","",IFERROR(MATCH(1,INDEX((ROW('Game Records'!$U$5:$U$504)&gt;$H410)*(('Game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2" ht="24" customHeight="1">
      <c r="A412" s="332" t="str">
        <f>IF($H412="","",ROWS($A$5:A412))</f>
        <v/>
      </c>
      <c r="B412" s="332" t="str">
        <f>IF($H412="","","G-"&amp;TEXT($A412,"0000"))</f>
        <v/>
      </c>
      <c r="C412" s="331" t="str">
        <f>IF($H412="","",IFERROR(INDEX('Game Records'!$A:$A,$H412),""))</f>
        <v/>
      </c>
      <c r="D412" s="331" t="str">
        <f>IF($H412="","",IFERROR(INDEX('Game Records'!$U:$U,$H412),""))</f>
        <v/>
      </c>
      <c r="E412" s="331" t="str">
        <f>IF($H412="","",IF($F412="","No Highlighted Fields","Highlighted Fields Present"))</f>
        <v/>
      </c>
      <c r="F412" s="331" t="str">
        <f>IF($H412="","",IF(OR(NOT(ISFORMULA(INDEX('Game Records'!$N:$N,$H412))),NOT(ISFORMULA(INDEX('Game Records'!$O:$O,$H412))),NOT(ISFORMULA(INDEX('Game Records'!$P:$P,$H412))),NOT(ISFORMULA(INDEX('Game Records'!$Q:$Q,$H412))),NOT(ISFORMULA(INDEX('Game Records'!$R:$R,$H412))),NOT(ISFORMULA(INDEX('Game Records'!$S:$S,$H412))),NOT(ISFORMULA(INDEX('Game Records'!$T:$T,$H412))),NOT(ISFORMULA(INDEX('Game Records'!$U:$U,$H412))),NOT(ISFORMULA(INDEX('Game Records'!$V:$V,$H412))),NOT(ISFORMULA(INDEX('Game Records'!$W:$W,$H412))),NOT(ISFORMULA(INDEX('Game Records'!$X:$X,$H412))),NOT(ISFORMULA(INDEX('Game Records'!$Y:$Y,$H412))),NOT(ISFORMULA(INDEX('Game Records'!$Z:$Z,$H412)))),"Formula columns missing; ","")&amp;IF(INDEX('Game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Earned; ","")&amp;IF(AND(LOWER(INDEX('Game Records'!$D:$D,$H412)&amp;"")="finalized",INDEX('Game Records'!$U:$U,$H412)&lt;&gt;"Subscription",INDEX('Game Records'!$U:$U,$H412)&lt;&gt;"Free Game",INDEX('Game Records'!$U:$U,$H412)&lt;&gt;"Disqualified — Free Game",OR(INDEX('Game Records'!$L:$L,$H412)="",LOWER(INDEX('Game Records'!$L:$L,$H412)&amp;"")="n/a")),"Disqualified Status; ","")&amp;IF(AND(OR(INDEX('Game Records'!$U:$U,$H412)="Free Game",INDEX('Game Records'!$U:$U,$H412)="Disqualified — Free Game"),N(INDEX('Game Records'!$H:$H,$H412))&lt;&gt;0),"Free Game has a non-zero Entry Fee; ",""))</f>
        <v/>
      </c>
      <c r="G412" s="331" t="str">
        <f>IF($H412="","",IFERROR(INDEX('Game Records'!$M:$M,$H412),""))</f>
        <v/>
      </c>
      <c r="H412" s="104" t="str">
        <f>IF($H411="","",IFERROR(MATCH(1,INDEX((ROW('Game Records'!$U$5:$U$504)&gt;$H411)*(('Game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3" ht="24" customHeight="1">
      <c r="A413" s="332" t="str">
        <f>IF($H413="","",ROWS($A$5:A413))</f>
        <v/>
      </c>
      <c r="B413" s="332" t="str">
        <f>IF($H413="","","G-"&amp;TEXT($A413,"0000"))</f>
        <v/>
      </c>
      <c r="C413" s="331" t="str">
        <f>IF($H413="","",IFERROR(INDEX('Game Records'!$A:$A,$H413),""))</f>
        <v/>
      </c>
      <c r="D413" s="331" t="str">
        <f>IF($H413="","",IFERROR(INDEX('Game Records'!$U:$U,$H413),""))</f>
        <v/>
      </c>
      <c r="E413" s="331" t="str">
        <f>IF($H413="","",IF($F413="","No Highlighted Fields","Highlighted Fields Present"))</f>
        <v/>
      </c>
      <c r="F413" s="331" t="str">
        <f>IF($H413="","",IF(OR(NOT(ISFORMULA(INDEX('Game Records'!$N:$N,$H413))),NOT(ISFORMULA(INDEX('Game Records'!$O:$O,$H413))),NOT(ISFORMULA(INDEX('Game Records'!$P:$P,$H413))),NOT(ISFORMULA(INDEX('Game Records'!$Q:$Q,$H413))),NOT(ISFORMULA(INDEX('Game Records'!$R:$R,$H413))),NOT(ISFORMULA(INDEX('Game Records'!$S:$S,$H413))),NOT(ISFORMULA(INDEX('Game Records'!$T:$T,$H413))),NOT(ISFORMULA(INDEX('Game Records'!$U:$U,$H413))),NOT(ISFORMULA(INDEX('Game Records'!$V:$V,$H413))),NOT(ISFORMULA(INDEX('Game Records'!$W:$W,$H413))),NOT(ISFORMULA(INDEX('Game Records'!$X:$X,$H413))),NOT(ISFORMULA(INDEX('Game Records'!$Y:$Y,$H413))),NOT(ISFORMULA(INDEX('Game Records'!$Z:$Z,$H413)))),"Formula columns missing; ","")&amp;IF(INDEX('Game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Earned; ","")&amp;IF(AND(LOWER(INDEX('Game Records'!$D:$D,$H413)&amp;"")="finalized",INDEX('Game Records'!$U:$U,$H413)&lt;&gt;"Subscription",INDEX('Game Records'!$U:$U,$H413)&lt;&gt;"Free Game",INDEX('Game Records'!$U:$U,$H413)&lt;&gt;"Disqualified — Free Game",OR(INDEX('Game Records'!$L:$L,$H413)="",LOWER(INDEX('Game Records'!$L:$L,$H413)&amp;"")="n/a")),"Disqualified Status; ","")&amp;IF(AND(OR(INDEX('Game Records'!$U:$U,$H413)="Free Game",INDEX('Game Records'!$U:$U,$H413)="Disqualified — Free Game"),N(INDEX('Game Records'!$H:$H,$H413))&lt;&gt;0),"Free Game has a non-zero Entry Fee; ",""))</f>
        <v/>
      </c>
      <c r="G413" s="331" t="str">
        <f>IF($H413="","",IFERROR(INDEX('Game Records'!$M:$M,$H413),""))</f>
        <v/>
      </c>
      <c r="H413" s="104" t="str">
        <f>IF($H412="","",IFERROR(MATCH(1,INDEX((ROW('Game Records'!$U$5:$U$504)&gt;$H412)*(('Game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4" ht="24" customHeight="1">
      <c r="A414" s="332" t="str">
        <f>IF($H414="","",ROWS($A$5:A414))</f>
        <v/>
      </c>
      <c r="B414" s="332" t="str">
        <f>IF($H414="","","G-"&amp;TEXT($A414,"0000"))</f>
        <v/>
      </c>
      <c r="C414" s="331" t="str">
        <f>IF($H414="","",IFERROR(INDEX('Game Records'!$A:$A,$H414),""))</f>
        <v/>
      </c>
      <c r="D414" s="331" t="str">
        <f>IF($H414="","",IFERROR(INDEX('Game Records'!$U:$U,$H414),""))</f>
        <v/>
      </c>
      <c r="E414" s="331" t="str">
        <f>IF($H414="","",IF($F414="","No Highlighted Fields","Highlighted Fields Present"))</f>
        <v/>
      </c>
      <c r="F414" s="331" t="str">
        <f>IF($H414="","",IF(OR(NOT(ISFORMULA(INDEX('Game Records'!$N:$N,$H414))),NOT(ISFORMULA(INDEX('Game Records'!$O:$O,$H414))),NOT(ISFORMULA(INDEX('Game Records'!$P:$P,$H414))),NOT(ISFORMULA(INDEX('Game Records'!$Q:$Q,$H414))),NOT(ISFORMULA(INDEX('Game Records'!$R:$R,$H414))),NOT(ISFORMULA(INDEX('Game Records'!$S:$S,$H414))),NOT(ISFORMULA(INDEX('Game Records'!$T:$T,$H414))),NOT(ISFORMULA(INDEX('Game Records'!$U:$U,$H414))),NOT(ISFORMULA(INDEX('Game Records'!$V:$V,$H414))),NOT(ISFORMULA(INDEX('Game Records'!$W:$W,$H414))),NOT(ISFORMULA(INDEX('Game Records'!$X:$X,$H414))),NOT(ISFORMULA(INDEX('Game Records'!$Y:$Y,$H414))),NOT(ISFORMULA(INDEX('Game Records'!$Z:$Z,$H414)))),"Formula columns missing; ","")&amp;IF(INDEX('Game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Earned; ","")&amp;IF(AND(LOWER(INDEX('Game Records'!$D:$D,$H414)&amp;"")="finalized",INDEX('Game Records'!$U:$U,$H414)&lt;&gt;"Subscription",INDEX('Game Records'!$U:$U,$H414)&lt;&gt;"Free Game",INDEX('Game Records'!$U:$U,$H414)&lt;&gt;"Disqualified — Free Game",OR(INDEX('Game Records'!$L:$L,$H414)="",LOWER(INDEX('Game Records'!$L:$L,$H414)&amp;"")="n/a")),"Disqualified Status; ","")&amp;IF(AND(OR(INDEX('Game Records'!$U:$U,$H414)="Free Game",INDEX('Game Records'!$U:$U,$H414)="Disqualified — Free Game"),N(INDEX('Game Records'!$H:$H,$H414))&lt;&gt;0),"Free Game has a non-zero Entry Fee; ",""))</f>
        <v/>
      </c>
      <c r="G414" s="331" t="str">
        <f>IF($H414="","",IFERROR(INDEX('Game Records'!$M:$M,$H414),""))</f>
        <v/>
      </c>
      <c r="H414" s="104" t="str">
        <f>IF($H413="","",IFERROR(MATCH(1,INDEX((ROW('Game Records'!$U$5:$U$504)&gt;$H413)*(('Game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5" ht="24" customHeight="1">
      <c r="A415" s="332" t="str">
        <f>IF($H415="","",ROWS($A$5:A415))</f>
        <v/>
      </c>
      <c r="B415" s="332" t="str">
        <f>IF($H415="","","G-"&amp;TEXT($A415,"0000"))</f>
        <v/>
      </c>
      <c r="C415" s="331" t="str">
        <f>IF($H415="","",IFERROR(INDEX('Game Records'!$A:$A,$H415),""))</f>
        <v/>
      </c>
      <c r="D415" s="331" t="str">
        <f>IF($H415="","",IFERROR(INDEX('Game Records'!$U:$U,$H415),""))</f>
        <v/>
      </c>
      <c r="E415" s="331" t="str">
        <f>IF($H415="","",IF($F415="","No Highlighted Fields","Highlighted Fields Present"))</f>
        <v/>
      </c>
      <c r="F415" s="331" t="str">
        <f>IF($H415="","",IF(OR(NOT(ISFORMULA(INDEX('Game Records'!$N:$N,$H415))),NOT(ISFORMULA(INDEX('Game Records'!$O:$O,$H415))),NOT(ISFORMULA(INDEX('Game Records'!$P:$P,$H415))),NOT(ISFORMULA(INDEX('Game Records'!$Q:$Q,$H415))),NOT(ISFORMULA(INDEX('Game Records'!$R:$R,$H415))),NOT(ISFORMULA(INDEX('Game Records'!$S:$S,$H415))),NOT(ISFORMULA(INDEX('Game Records'!$T:$T,$H415))),NOT(ISFORMULA(INDEX('Game Records'!$U:$U,$H415))),NOT(ISFORMULA(INDEX('Game Records'!$V:$V,$H415))),NOT(ISFORMULA(INDEX('Game Records'!$W:$W,$H415))),NOT(ISFORMULA(INDEX('Game Records'!$X:$X,$H415))),NOT(ISFORMULA(INDEX('Game Records'!$Y:$Y,$H415))),NOT(ISFORMULA(INDEX('Game Records'!$Z:$Z,$H415)))),"Formula columns missing; ","")&amp;IF(INDEX('Game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Earned; ","")&amp;IF(AND(LOWER(INDEX('Game Records'!$D:$D,$H415)&amp;"")="finalized",INDEX('Game Records'!$U:$U,$H415)&lt;&gt;"Subscription",INDEX('Game Records'!$U:$U,$H415)&lt;&gt;"Free Game",INDEX('Game Records'!$U:$U,$H415)&lt;&gt;"Disqualified — Free Game",OR(INDEX('Game Records'!$L:$L,$H415)="",LOWER(INDEX('Game Records'!$L:$L,$H415)&amp;"")="n/a")),"Disqualified Status; ","")&amp;IF(AND(OR(INDEX('Game Records'!$U:$U,$H415)="Free Game",INDEX('Game Records'!$U:$U,$H415)="Disqualified — Free Game"),N(INDEX('Game Records'!$H:$H,$H415))&lt;&gt;0),"Free Game has a non-zero Entry Fee; ",""))</f>
        <v/>
      </c>
      <c r="G415" s="331" t="str">
        <f>IF($H415="","",IFERROR(INDEX('Game Records'!$M:$M,$H415),""))</f>
        <v/>
      </c>
      <c r="H415" s="104" t="str">
        <f>IF($H414="","",IFERROR(MATCH(1,INDEX((ROW('Game Records'!$U$5:$U$504)&gt;$H414)*(('Game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6" ht="24" customHeight="1">
      <c r="A416" s="332" t="str">
        <f>IF($H416="","",ROWS($A$5:A416))</f>
        <v/>
      </c>
      <c r="B416" s="332" t="str">
        <f>IF($H416="","","G-"&amp;TEXT($A416,"0000"))</f>
        <v/>
      </c>
      <c r="C416" s="331" t="str">
        <f>IF($H416="","",IFERROR(INDEX('Game Records'!$A:$A,$H416),""))</f>
        <v/>
      </c>
      <c r="D416" s="331" t="str">
        <f>IF($H416="","",IFERROR(INDEX('Game Records'!$U:$U,$H416),""))</f>
        <v/>
      </c>
      <c r="E416" s="331" t="str">
        <f>IF($H416="","",IF($F416="","No Highlighted Fields","Highlighted Fields Present"))</f>
        <v/>
      </c>
      <c r="F416" s="331" t="str">
        <f>IF($H416="","",IF(OR(NOT(ISFORMULA(INDEX('Game Records'!$N:$N,$H416))),NOT(ISFORMULA(INDEX('Game Records'!$O:$O,$H416))),NOT(ISFORMULA(INDEX('Game Records'!$P:$P,$H416))),NOT(ISFORMULA(INDEX('Game Records'!$Q:$Q,$H416))),NOT(ISFORMULA(INDEX('Game Records'!$R:$R,$H416))),NOT(ISFORMULA(INDEX('Game Records'!$S:$S,$H416))),NOT(ISFORMULA(INDEX('Game Records'!$T:$T,$H416))),NOT(ISFORMULA(INDEX('Game Records'!$U:$U,$H416))),NOT(ISFORMULA(INDEX('Game Records'!$V:$V,$H416))),NOT(ISFORMULA(INDEX('Game Records'!$W:$W,$H416))),NOT(ISFORMULA(INDEX('Game Records'!$X:$X,$H416))),NOT(ISFORMULA(INDEX('Game Records'!$Y:$Y,$H416))),NOT(ISFORMULA(INDEX('Game Records'!$Z:$Z,$H416)))),"Formula columns missing; ","")&amp;IF(INDEX('Game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Earned; ","")&amp;IF(AND(LOWER(INDEX('Game Records'!$D:$D,$H416)&amp;"")="finalized",INDEX('Game Records'!$U:$U,$H416)&lt;&gt;"Subscription",INDEX('Game Records'!$U:$U,$H416)&lt;&gt;"Free Game",INDEX('Game Records'!$U:$U,$H416)&lt;&gt;"Disqualified — Free Game",OR(INDEX('Game Records'!$L:$L,$H416)="",LOWER(INDEX('Game Records'!$L:$L,$H416)&amp;"")="n/a")),"Disqualified Status; ","")&amp;IF(AND(OR(INDEX('Game Records'!$U:$U,$H416)="Free Game",INDEX('Game Records'!$U:$U,$H416)="Disqualified — Free Game"),N(INDEX('Game Records'!$H:$H,$H416))&lt;&gt;0),"Free Game has a non-zero Entry Fee; ",""))</f>
        <v/>
      </c>
      <c r="G416" s="331" t="str">
        <f>IF($H416="","",IFERROR(INDEX('Game Records'!$M:$M,$H416),""))</f>
        <v/>
      </c>
      <c r="H416" s="104" t="str">
        <f>IF($H415="","",IFERROR(MATCH(1,INDEX((ROW('Game Records'!$U$5:$U$504)&gt;$H415)*(('Game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7" ht="24" customHeight="1">
      <c r="A417" s="332" t="str">
        <f>IF($H417="","",ROWS($A$5:A417))</f>
        <v/>
      </c>
      <c r="B417" s="332" t="str">
        <f>IF($H417="","","G-"&amp;TEXT($A417,"0000"))</f>
        <v/>
      </c>
      <c r="C417" s="331" t="str">
        <f>IF($H417="","",IFERROR(INDEX('Game Records'!$A:$A,$H417),""))</f>
        <v/>
      </c>
      <c r="D417" s="331" t="str">
        <f>IF($H417="","",IFERROR(INDEX('Game Records'!$U:$U,$H417),""))</f>
        <v/>
      </c>
      <c r="E417" s="331" t="str">
        <f>IF($H417="","",IF($F417="","No Highlighted Fields","Highlighted Fields Present"))</f>
        <v/>
      </c>
      <c r="F417" s="331" t="str">
        <f>IF($H417="","",IF(OR(NOT(ISFORMULA(INDEX('Game Records'!$N:$N,$H417))),NOT(ISFORMULA(INDEX('Game Records'!$O:$O,$H417))),NOT(ISFORMULA(INDEX('Game Records'!$P:$P,$H417))),NOT(ISFORMULA(INDEX('Game Records'!$Q:$Q,$H417))),NOT(ISFORMULA(INDEX('Game Records'!$R:$R,$H417))),NOT(ISFORMULA(INDEX('Game Records'!$S:$S,$H417))),NOT(ISFORMULA(INDEX('Game Records'!$T:$T,$H417))),NOT(ISFORMULA(INDEX('Game Records'!$U:$U,$H417))),NOT(ISFORMULA(INDEX('Game Records'!$V:$V,$H417))),NOT(ISFORMULA(INDEX('Game Records'!$W:$W,$H417))),NOT(ISFORMULA(INDEX('Game Records'!$X:$X,$H417))),NOT(ISFORMULA(INDEX('Game Records'!$Y:$Y,$H417))),NOT(ISFORMULA(INDEX('Game Records'!$Z:$Z,$H417)))),"Formula columns missing; ","")&amp;IF(INDEX('Game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Earned; ","")&amp;IF(AND(LOWER(INDEX('Game Records'!$D:$D,$H417)&amp;"")="finalized",INDEX('Game Records'!$U:$U,$H417)&lt;&gt;"Subscription",INDEX('Game Records'!$U:$U,$H417)&lt;&gt;"Free Game",INDEX('Game Records'!$U:$U,$H417)&lt;&gt;"Disqualified — Free Game",OR(INDEX('Game Records'!$L:$L,$H417)="",LOWER(INDEX('Game Records'!$L:$L,$H417)&amp;"")="n/a")),"Disqualified Status; ","")&amp;IF(AND(OR(INDEX('Game Records'!$U:$U,$H417)="Free Game",INDEX('Game Records'!$U:$U,$H417)="Disqualified — Free Game"),N(INDEX('Game Records'!$H:$H,$H417))&lt;&gt;0),"Free Game has a non-zero Entry Fee; ",""))</f>
        <v/>
      </c>
      <c r="G417" s="331" t="str">
        <f>IF($H417="","",IFERROR(INDEX('Game Records'!$M:$M,$H417),""))</f>
        <v/>
      </c>
      <c r="H417" s="104" t="str">
        <f>IF($H416="","",IFERROR(MATCH(1,INDEX((ROW('Game Records'!$U$5:$U$504)&gt;$H416)*(('Game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8" ht="24" customHeight="1">
      <c r="A418" s="332" t="str">
        <f>IF($H418="","",ROWS($A$5:A418))</f>
        <v/>
      </c>
      <c r="B418" s="332" t="str">
        <f>IF($H418="","","G-"&amp;TEXT($A418,"0000"))</f>
        <v/>
      </c>
      <c r="C418" s="331" t="str">
        <f>IF($H418="","",IFERROR(INDEX('Game Records'!$A:$A,$H418),""))</f>
        <v/>
      </c>
      <c r="D418" s="331" t="str">
        <f>IF($H418="","",IFERROR(INDEX('Game Records'!$U:$U,$H418),""))</f>
        <v/>
      </c>
      <c r="E418" s="331" t="str">
        <f>IF($H418="","",IF($F418="","No Highlighted Fields","Highlighted Fields Present"))</f>
        <v/>
      </c>
      <c r="F418" s="331" t="str">
        <f>IF($H418="","",IF(OR(NOT(ISFORMULA(INDEX('Game Records'!$N:$N,$H418))),NOT(ISFORMULA(INDEX('Game Records'!$O:$O,$H418))),NOT(ISFORMULA(INDEX('Game Records'!$P:$P,$H418))),NOT(ISFORMULA(INDEX('Game Records'!$Q:$Q,$H418))),NOT(ISFORMULA(INDEX('Game Records'!$R:$R,$H418))),NOT(ISFORMULA(INDEX('Game Records'!$S:$S,$H418))),NOT(ISFORMULA(INDEX('Game Records'!$T:$T,$H418))),NOT(ISFORMULA(INDEX('Game Records'!$U:$U,$H418))),NOT(ISFORMULA(INDEX('Game Records'!$V:$V,$H418))),NOT(ISFORMULA(INDEX('Game Records'!$W:$W,$H418))),NOT(ISFORMULA(INDEX('Game Records'!$X:$X,$H418))),NOT(ISFORMULA(INDEX('Game Records'!$Y:$Y,$H418))),NOT(ISFORMULA(INDEX('Game Records'!$Z:$Z,$H418)))),"Formula columns missing; ","")&amp;IF(INDEX('Game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Earned; ","")&amp;IF(AND(LOWER(INDEX('Game Records'!$D:$D,$H418)&amp;"")="finalized",INDEX('Game Records'!$U:$U,$H418)&lt;&gt;"Subscription",INDEX('Game Records'!$U:$U,$H418)&lt;&gt;"Free Game",INDEX('Game Records'!$U:$U,$H418)&lt;&gt;"Disqualified — Free Game",OR(INDEX('Game Records'!$L:$L,$H418)="",LOWER(INDEX('Game Records'!$L:$L,$H418)&amp;"")="n/a")),"Disqualified Status; ","")&amp;IF(AND(OR(INDEX('Game Records'!$U:$U,$H418)="Free Game",INDEX('Game Records'!$U:$U,$H418)="Disqualified — Free Game"),N(INDEX('Game Records'!$H:$H,$H418))&lt;&gt;0),"Free Game has a non-zero Entry Fee; ",""))</f>
        <v/>
      </c>
      <c r="G418" s="331" t="str">
        <f>IF($H418="","",IFERROR(INDEX('Game Records'!$M:$M,$H418),""))</f>
        <v/>
      </c>
      <c r="H418" s="104" t="str">
        <f>IF($H417="","",IFERROR(MATCH(1,INDEX((ROW('Game Records'!$U$5:$U$504)&gt;$H417)*(('Game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9" ht="24" customHeight="1">
      <c r="A419" s="332" t="str">
        <f>IF($H419="","",ROWS($A$5:A419))</f>
        <v/>
      </c>
      <c r="B419" s="332" t="str">
        <f>IF($H419="","","G-"&amp;TEXT($A419,"0000"))</f>
        <v/>
      </c>
      <c r="C419" s="331" t="str">
        <f>IF($H419="","",IFERROR(INDEX('Game Records'!$A:$A,$H419),""))</f>
        <v/>
      </c>
      <c r="D419" s="331" t="str">
        <f>IF($H419="","",IFERROR(INDEX('Game Records'!$U:$U,$H419),""))</f>
        <v/>
      </c>
      <c r="E419" s="331" t="str">
        <f>IF($H419="","",IF($F419="","No Highlighted Fields","Highlighted Fields Present"))</f>
        <v/>
      </c>
      <c r="F419" s="331" t="str">
        <f>IF($H419="","",IF(OR(NOT(ISFORMULA(INDEX('Game Records'!$N:$N,$H419))),NOT(ISFORMULA(INDEX('Game Records'!$O:$O,$H419))),NOT(ISFORMULA(INDEX('Game Records'!$P:$P,$H419))),NOT(ISFORMULA(INDEX('Game Records'!$Q:$Q,$H419))),NOT(ISFORMULA(INDEX('Game Records'!$R:$R,$H419))),NOT(ISFORMULA(INDEX('Game Records'!$S:$S,$H419))),NOT(ISFORMULA(INDEX('Game Records'!$T:$T,$H419))),NOT(ISFORMULA(INDEX('Game Records'!$U:$U,$H419))),NOT(ISFORMULA(INDEX('Game Records'!$V:$V,$H419))),NOT(ISFORMULA(INDEX('Game Records'!$W:$W,$H419))),NOT(ISFORMULA(INDEX('Game Records'!$X:$X,$H419))),NOT(ISFORMULA(INDEX('Game Records'!$Y:$Y,$H419))),NOT(ISFORMULA(INDEX('Game Records'!$Z:$Z,$H419)))),"Formula columns missing; ","")&amp;IF(INDEX('Game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Earned; ","")&amp;IF(AND(LOWER(INDEX('Game Records'!$D:$D,$H419)&amp;"")="finalized",INDEX('Game Records'!$U:$U,$H419)&lt;&gt;"Subscription",INDEX('Game Records'!$U:$U,$H419)&lt;&gt;"Free Game",INDEX('Game Records'!$U:$U,$H419)&lt;&gt;"Disqualified — Free Game",OR(INDEX('Game Records'!$L:$L,$H419)="",LOWER(INDEX('Game Records'!$L:$L,$H419)&amp;"")="n/a")),"Disqualified Status; ","")&amp;IF(AND(OR(INDEX('Game Records'!$U:$U,$H419)="Free Game",INDEX('Game Records'!$U:$U,$H419)="Disqualified — Free Game"),N(INDEX('Game Records'!$H:$H,$H419))&lt;&gt;0),"Free Game has a non-zero Entry Fee; ",""))</f>
        <v/>
      </c>
      <c r="G419" s="331" t="str">
        <f>IF($H419="","",IFERROR(INDEX('Game Records'!$M:$M,$H419),""))</f>
        <v/>
      </c>
      <c r="H419" s="104" t="str">
        <f>IF($H418="","",IFERROR(MATCH(1,INDEX((ROW('Game Records'!$U$5:$U$504)&gt;$H418)*(('Game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0" ht="24" customHeight="1">
      <c r="A420" s="332" t="str">
        <f>IF($H420="","",ROWS($A$5:A420))</f>
        <v/>
      </c>
      <c r="B420" s="332" t="str">
        <f>IF($H420="","","G-"&amp;TEXT($A420,"0000"))</f>
        <v/>
      </c>
      <c r="C420" s="331" t="str">
        <f>IF($H420="","",IFERROR(INDEX('Game Records'!$A:$A,$H420),""))</f>
        <v/>
      </c>
      <c r="D420" s="331" t="str">
        <f>IF($H420="","",IFERROR(INDEX('Game Records'!$U:$U,$H420),""))</f>
        <v/>
      </c>
      <c r="E420" s="331" t="str">
        <f>IF($H420="","",IF($F420="","No Highlighted Fields","Highlighted Fields Present"))</f>
        <v/>
      </c>
      <c r="F420" s="331" t="str">
        <f>IF($H420="","",IF(OR(NOT(ISFORMULA(INDEX('Game Records'!$N:$N,$H420))),NOT(ISFORMULA(INDEX('Game Records'!$O:$O,$H420))),NOT(ISFORMULA(INDEX('Game Records'!$P:$P,$H420))),NOT(ISFORMULA(INDEX('Game Records'!$Q:$Q,$H420))),NOT(ISFORMULA(INDEX('Game Records'!$R:$R,$H420))),NOT(ISFORMULA(INDEX('Game Records'!$S:$S,$H420))),NOT(ISFORMULA(INDEX('Game Records'!$T:$T,$H420))),NOT(ISFORMULA(INDEX('Game Records'!$U:$U,$H420))),NOT(ISFORMULA(INDEX('Game Records'!$V:$V,$H420))),NOT(ISFORMULA(INDEX('Game Records'!$W:$W,$H420))),NOT(ISFORMULA(INDEX('Game Records'!$X:$X,$H420))),NOT(ISFORMULA(INDEX('Game Records'!$Y:$Y,$H420))),NOT(ISFORMULA(INDEX('Game Records'!$Z:$Z,$H420)))),"Formula columns missing; ","")&amp;IF(INDEX('Game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Earned; ","")&amp;IF(AND(LOWER(INDEX('Game Records'!$D:$D,$H420)&amp;"")="finalized",INDEX('Game Records'!$U:$U,$H420)&lt;&gt;"Subscription",INDEX('Game Records'!$U:$U,$H420)&lt;&gt;"Free Game",INDEX('Game Records'!$U:$U,$H420)&lt;&gt;"Disqualified — Free Game",OR(INDEX('Game Records'!$L:$L,$H420)="",LOWER(INDEX('Game Records'!$L:$L,$H420)&amp;"")="n/a")),"Disqualified Status; ","")&amp;IF(AND(OR(INDEX('Game Records'!$U:$U,$H420)="Free Game",INDEX('Game Records'!$U:$U,$H420)="Disqualified — Free Game"),N(INDEX('Game Records'!$H:$H,$H420))&lt;&gt;0),"Free Game has a non-zero Entry Fee; ",""))</f>
        <v/>
      </c>
      <c r="G420" s="331" t="str">
        <f>IF($H420="","",IFERROR(INDEX('Game Records'!$M:$M,$H420),""))</f>
        <v/>
      </c>
      <c r="H420" s="104" t="str">
        <f>IF($H419="","",IFERROR(MATCH(1,INDEX((ROW('Game Records'!$U$5:$U$504)&gt;$H419)*(('Game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1" ht="24" customHeight="1">
      <c r="A421" s="332" t="str">
        <f>IF($H421="","",ROWS($A$5:A421))</f>
        <v/>
      </c>
      <c r="B421" s="332" t="str">
        <f>IF($H421="","","G-"&amp;TEXT($A421,"0000"))</f>
        <v/>
      </c>
      <c r="C421" s="331" t="str">
        <f>IF($H421="","",IFERROR(INDEX('Game Records'!$A:$A,$H421),""))</f>
        <v/>
      </c>
      <c r="D421" s="331" t="str">
        <f>IF($H421="","",IFERROR(INDEX('Game Records'!$U:$U,$H421),""))</f>
        <v/>
      </c>
      <c r="E421" s="331" t="str">
        <f>IF($H421="","",IF($F421="","No Highlighted Fields","Highlighted Fields Present"))</f>
        <v/>
      </c>
      <c r="F421" s="331" t="str">
        <f>IF($H421="","",IF(OR(NOT(ISFORMULA(INDEX('Game Records'!$N:$N,$H421))),NOT(ISFORMULA(INDEX('Game Records'!$O:$O,$H421))),NOT(ISFORMULA(INDEX('Game Records'!$P:$P,$H421))),NOT(ISFORMULA(INDEX('Game Records'!$Q:$Q,$H421))),NOT(ISFORMULA(INDEX('Game Records'!$R:$R,$H421))),NOT(ISFORMULA(INDEX('Game Records'!$S:$S,$H421))),NOT(ISFORMULA(INDEX('Game Records'!$T:$T,$H421))),NOT(ISFORMULA(INDEX('Game Records'!$U:$U,$H421))),NOT(ISFORMULA(INDEX('Game Records'!$V:$V,$H421))),NOT(ISFORMULA(INDEX('Game Records'!$W:$W,$H421))),NOT(ISFORMULA(INDEX('Game Records'!$X:$X,$H421))),NOT(ISFORMULA(INDEX('Game Records'!$Y:$Y,$H421))),NOT(ISFORMULA(INDEX('Game Records'!$Z:$Z,$H421)))),"Formula columns missing; ","")&amp;IF(INDEX('Game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Earned; ","")&amp;IF(AND(LOWER(INDEX('Game Records'!$D:$D,$H421)&amp;"")="finalized",INDEX('Game Records'!$U:$U,$H421)&lt;&gt;"Subscription",INDEX('Game Records'!$U:$U,$H421)&lt;&gt;"Free Game",INDEX('Game Records'!$U:$U,$H421)&lt;&gt;"Disqualified — Free Game",OR(INDEX('Game Records'!$L:$L,$H421)="",LOWER(INDEX('Game Records'!$L:$L,$H421)&amp;"")="n/a")),"Disqualified Status; ","")&amp;IF(AND(OR(INDEX('Game Records'!$U:$U,$H421)="Free Game",INDEX('Game Records'!$U:$U,$H421)="Disqualified — Free Game"),N(INDEX('Game Records'!$H:$H,$H421))&lt;&gt;0),"Free Game has a non-zero Entry Fee; ",""))</f>
        <v/>
      </c>
      <c r="G421" s="331" t="str">
        <f>IF($H421="","",IFERROR(INDEX('Game Records'!$M:$M,$H421),""))</f>
        <v/>
      </c>
      <c r="H421" s="104" t="str">
        <f>IF($H420="","",IFERROR(MATCH(1,INDEX((ROW('Game Records'!$U$5:$U$504)&gt;$H420)*(('Game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2" ht="24" customHeight="1">
      <c r="A422" s="332" t="str">
        <f>IF($H422="","",ROWS($A$5:A422))</f>
        <v/>
      </c>
      <c r="B422" s="332" t="str">
        <f>IF($H422="","","G-"&amp;TEXT($A422,"0000"))</f>
        <v/>
      </c>
      <c r="C422" s="331" t="str">
        <f>IF($H422="","",IFERROR(INDEX('Game Records'!$A:$A,$H422),""))</f>
        <v/>
      </c>
      <c r="D422" s="331" t="str">
        <f>IF($H422="","",IFERROR(INDEX('Game Records'!$U:$U,$H422),""))</f>
        <v/>
      </c>
      <c r="E422" s="331" t="str">
        <f>IF($H422="","",IF($F422="","No Highlighted Fields","Highlighted Fields Present"))</f>
        <v/>
      </c>
      <c r="F422" s="331" t="str">
        <f>IF($H422="","",IF(OR(NOT(ISFORMULA(INDEX('Game Records'!$N:$N,$H422))),NOT(ISFORMULA(INDEX('Game Records'!$O:$O,$H422))),NOT(ISFORMULA(INDEX('Game Records'!$P:$P,$H422))),NOT(ISFORMULA(INDEX('Game Records'!$Q:$Q,$H422))),NOT(ISFORMULA(INDEX('Game Records'!$R:$R,$H422))),NOT(ISFORMULA(INDEX('Game Records'!$S:$S,$H422))),NOT(ISFORMULA(INDEX('Game Records'!$T:$T,$H422))),NOT(ISFORMULA(INDEX('Game Records'!$U:$U,$H422))),NOT(ISFORMULA(INDEX('Game Records'!$V:$V,$H422))),NOT(ISFORMULA(INDEX('Game Records'!$W:$W,$H422))),NOT(ISFORMULA(INDEX('Game Records'!$X:$X,$H422))),NOT(ISFORMULA(INDEX('Game Records'!$Y:$Y,$H422))),NOT(ISFORMULA(INDEX('Game Records'!$Z:$Z,$H422)))),"Formula columns missing; ","")&amp;IF(INDEX('Game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Earned; ","")&amp;IF(AND(LOWER(INDEX('Game Records'!$D:$D,$H422)&amp;"")="finalized",INDEX('Game Records'!$U:$U,$H422)&lt;&gt;"Subscription",INDEX('Game Records'!$U:$U,$H422)&lt;&gt;"Free Game",INDEX('Game Records'!$U:$U,$H422)&lt;&gt;"Disqualified — Free Game",OR(INDEX('Game Records'!$L:$L,$H422)="",LOWER(INDEX('Game Records'!$L:$L,$H422)&amp;"")="n/a")),"Disqualified Status; ","")&amp;IF(AND(OR(INDEX('Game Records'!$U:$U,$H422)="Free Game",INDEX('Game Records'!$U:$U,$H422)="Disqualified — Free Game"),N(INDEX('Game Records'!$H:$H,$H422))&lt;&gt;0),"Free Game has a non-zero Entry Fee; ",""))</f>
        <v/>
      </c>
      <c r="G422" s="331" t="str">
        <f>IF($H422="","",IFERROR(INDEX('Game Records'!$M:$M,$H422),""))</f>
        <v/>
      </c>
      <c r="H422" s="104" t="str">
        <f>IF($H421="","",IFERROR(MATCH(1,INDEX((ROW('Game Records'!$U$5:$U$504)&gt;$H421)*(('Game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3" ht="24" customHeight="1">
      <c r="A423" s="332" t="str">
        <f>IF($H423="","",ROWS($A$5:A423))</f>
        <v/>
      </c>
      <c r="B423" s="332" t="str">
        <f>IF($H423="","","G-"&amp;TEXT($A423,"0000"))</f>
        <v/>
      </c>
      <c r="C423" s="331" t="str">
        <f>IF($H423="","",IFERROR(INDEX('Game Records'!$A:$A,$H423),""))</f>
        <v/>
      </c>
      <c r="D423" s="331" t="str">
        <f>IF($H423="","",IFERROR(INDEX('Game Records'!$U:$U,$H423),""))</f>
        <v/>
      </c>
      <c r="E423" s="331" t="str">
        <f>IF($H423="","",IF($F423="","No Highlighted Fields","Highlighted Fields Present"))</f>
        <v/>
      </c>
      <c r="F423" s="331" t="str">
        <f>IF($H423="","",IF(OR(NOT(ISFORMULA(INDEX('Game Records'!$N:$N,$H423))),NOT(ISFORMULA(INDEX('Game Records'!$O:$O,$H423))),NOT(ISFORMULA(INDEX('Game Records'!$P:$P,$H423))),NOT(ISFORMULA(INDEX('Game Records'!$Q:$Q,$H423))),NOT(ISFORMULA(INDEX('Game Records'!$R:$R,$H423))),NOT(ISFORMULA(INDEX('Game Records'!$S:$S,$H423))),NOT(ISFORMULA(INDEX('Game Records'!$T:$T,$H423))),NOT(ISFORMULA(INDEX('Game Records'!$U:$U,$H423))),NOT(ISFORMULA(INDEX('Game Records'!$V:$V,$H423))),NOT(ISFORMULA(INDEX('Game Records'!$W:$W,$H423))),NOT(ISFORMULA(INDEX('Game Records'!$X:$X,$H423))),NOT(ISFORMULA(INDEX('Game Records'!$Y:$Y,$H423))),NOT(ISFORMULA(INDEX('Game Records'!$Z:$Z,$H423)))),"Formula columns missing; ","")&amp;IF(INDEX('Game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Earned; ","")&amp;IF(AND(LOWER(INDEX('Game Records'!$D:$D,$H423)&amp;"")="finalized",INDEX('Game Records'!$U:$U,$H423)&lt;&gt;"Subscription",INDEX('Game Records'!$U:$U,$H423)&lt;&gt;"Free Game",INDEX('Game Records'!$U:$U,$H423)&lt;&gt;"Disqualified — Free Game",OR(INDEX('Game Records'!$L:$L,$H423)="",LOWER(INDEX('Game Records'!$L:$L,$H423)&amp;"")="n/a")),"Disqualified Status; ","")&amp;IF(AND(OR(INDEX('Game Records'!$U:$U,$H423)="Free Game",INDEX('Game Records'!$U:$U,$H423)="Disqualified — Free Game"),N(INDEX('Game Records'!$H:$H,$H423))&lt;&gt;0),"Free Game has a non-zero Entry Fee; ",""))</f>
        <v/>
      </c>
      <c r="G423" s="331" t="str">
        <f>IF($H423="","",IFERROR(INDEX('Game Records'!$M:$M,$H423),""))</f>
        <v/>
      </c>
      <c r="H423" s="104" t="str">
        <f>IF($H422="","",IFERROR(MATCH(1,INDEX((ROW('Game Records'!$U$5:$U$504)&gt;$H422)*(('Game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4" ht="24" customHeight="1">
      <c r="A424" s="332" t="str">
        <f>IF($H424="","",ROWS($A$5:A424))</f>
        <v/>
      </c>
      <c r="B424" s="332" t="str">
        <f>IF($H424="","","G-"&amp;TEXT($A424,"0000"))</f>
        <v/>
      </c>
      <c r="C424" s="331" t="str">
        <f>IF($H424="","",IFERROR(INDEX('Game Records'!$A:$A,$H424),""))</f>
        <v/>
      </c>
      <c r="D424" s="331" t="str">
        <f>IF($H424="","",IFERROR(INDEX('Game Records'!$U:$U,$H424),""))</f>
        <v/>
      </c>
      <c r="E424" s="331" t="str">
        <f>IF($H424="","",IF($F424="","No Highlighted Fields","Highlighted Fields Present"))</f>
        <v/>
      </c>
      <c r="F424" s="331" t="str">
        <f>IF($H424="","",IF(OR(NOT(ISFORMULA(INDEX('Game Records'!$N:$N,$H424))),NOT(ISFORMULA(INDEX('Game Records'!$O:$O,$H424))),NOT(ISFORMULA(INDEX('Game Records'!$P:$P,$H424))),NOT(ISFORMULA(INDEX('Game Records'!$Q:$Q,$H424))),NOT(ISFORMULA(INDEX('Game Records'!$R:$R,$H424))),NOT(ISFORMULA(INDEX('Game Records'!$S:$S,$H424))),NOT(ISFORMULA(INDEX('Game Records'!$T:$T,$H424))),NOT(ISFORMULA(INDEX('Game Records'!$U:$U,$H424))),NOT(ISFORMULA(INDEX('Game Records'!$V:$V,$H424))),NOT(ISFORMULA(INDEX('Game Records'!$W:$W,$H424))),NOT(ISFORMULA(INDEX('Game Records'!$X:$X,$H424))),NOT(ISFORMULA(INDEX('Game Records'!$Y:$Y,$H424))),NOT(ISFORMULA(INDEX('Game Records'!$Z:$Z,$H424)))),"Formula columns missing; ","")&amp;IF(INDEX('Game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Earned; ","")&amp;IF(AND(LOWER(INDEX('Game Records'!$D:$D,$H424)&amp;"")="finalized",INDEX('Game Records'!$U:$U,$H424)&lt;&gt;"Subscription",INDEX('Game Records'!$U:$U,$H424)&lt;&gt;"Free Game",INDEX('Game Records'!$U:$U,$H424)&lt;&gt;"Disqualified — Free Game",OR(INDEX('Game Records'!$L:$L,$H424)="",LOWER(INDEX('Game Records'!$L:$L,$H424)&amp;"")="n/a")),"Disqualified Status; ","")&amp;IF(AND(OR(INDEX('Game Records'!$U:$U,$H424)="Free Game",INDEX('Game Records'!$U:$U,$H424)="Disqualified — Free Game"),N(INDEX('Game Records'!$H:$H,$H424))&lt;&gt;0),"Free Game has a non-zero Entry Fee; ",""))</f>
        <v/>
      </c>
      <c r="G424" s="331" t="str">
        <f>IF($H424="","",IFERROR(INDEX('Game Records'!$M:$M,$H424),""))</f>
        <v/>
      </c>
      <c r="H424" s="104" t="str">
        <f>IF($H423="","",IFERROR(MATCH(1,INDEX((ROW('Game Records'!$U$5:$U$504)&gt;$H423)*(('Game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5" ht="24" customHeight="1">
      <c r="A425" s="332" t="str">
        <f>IF($H425="","",ROWS($A$5:A425))</f>
        <v/>
      </c>
      <c r="B425" s="332" t="str">
        <f>IF($H425="","","G-"&amp;TEXT($A425,"0000"))</f>
        <v/>
      </c>
      <c r="C425" s="331" t="str">
        <f>IF($H425="","",IFERROR(INDEX('Game Records'!$A:$A,$H425),""))</f>
        <v/>
      </c>
      <c r="D425" s="331" t="str">
        <f>IF($H425="","",IFERROR(INDEX('Game Records'!$U:$U,$H425),""))</f>
        <v/>
      </c>
      <c r="E425" s="331" t="str">
        <f>IF($H425="","",IF($F425="","No Highlighted Fields","Highlighted Fields Present"))</f>
        <v/>
      </c>
      <c r="F425" s="331" t="str">
        <f>IF($H425="","",IF(OR(NOT(ISFORMULA(INDEX('Game Records'!$N:$N,$H425))),NOT(ISFORMULA(INDEX('Game Records'!$O:$O,$H425))),NOT(ISFORMULA(INDEX('Game Records'!$P:$P,$H425))),NOT(ISFORMULA(INDEX('Game Records'!$Q:$Q,$H425))),NOT(ISFORMULA(INDEX('Game Records'!$R:$R,$H425))),NOT(ISFORMULA(INDEX('Game Records'!$S:$S,$H425))),NOT(ISFORMULA(INDEX('Game Records'!$T:$T,$H425))),NOT(ISFORMULA(INDEX('Game Records'!$U:$U,$H425))),NOT(ISFORMULA(INDEX('Game Records'!$V:$V,$H425))),NOT(ISFORMULA(INDEX('Game Records'!$W:$W,$H425))),NOT(ISFORMULA(INDEX('Game Records'!$X:$X,$H425))),NOT(ISFORMULA(INDEX('Game Records'!$Y:$Y,$H425))),NOT(ISFORMULA(INDEX('Game Records'!$Z:$Z,$H425)))),"Formula columns missing; ","")&amp;IF(INDEX('Game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Earned; ","")&amp;IF(AND(LOWER(INDEX('Game Records'!$D:$D,$H425)&amp;"")="finalized",INDEX('Game Records'!$U:$U,$H425)&lt;&gt;"Subscription",INDEX('Game Records'!$U:$U,$H425)&lt;&gt;"Free Game",INDEX('Game Records'!$U:$U,$H425)&lt;&gt;"Disqualified — Free Game",OR(INDEX('Game Records'!$L:$L,$H425)="",LOWER(INDEX('Game Records'!$L:$L,$H425)&amp;"")="n/a")),"Disqualified Status; ","")&amp;IF(AND(OR(INDEX('Game Records'!$U:$U,$H425)="Free Game",INDEX('Game Records'!$U:$U,$H425)="Disqualified — Free Game"),N(INDEX('Game Records'!$H:$H,$H425))&lt;&gt;0),"Free Game has a non-zero Entry Fee; ",""))</f>
        <v/>
      </c>
      <c r="G425" s="331" t="str">
        <f>IF($H425="","",IFERROR(INDEX('Game Records'!$M:$M,$H425),""))</f>
        <v/>
      </c>
      <c r="H425" s="104" t="str">
        <f>IF($H424="","",IFERROR(MATCH(1,INDEX((ROW('Game Records'!$U$5:$U$504)&gt;$H424)*(('Game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6" ht="24" customHeight="1">
      <c r="A426" s="332" t="str">
        <f>IF($H426="","",ROWS($A$5:A426))</f>
        <v/>
      </c>
      <c r="B426" s="332" t="str">
        <f>IF($H426="","","G-"&amp;TEXT($A426,"0000"))</f>
        <v/>
      </c>
      <c r="C426" s="331" t="str">
        <f>IF($H426="","",IFERROR(INDEX('Game Records'!$A:$A,$H426),""))</f>
        <v/>
      </c>
      <c r="D426" s="331" t="str">
        <f>IF($H426="","",IFERROR(INDEX('Game Records'!$U:$U,$H426),""))</f>
        <v/>
      </c>
      <c r="E426" s="331" t="str">
        <f>IF($H426="","",IF($F426="","No Highlighted Fields","Highlighted Fields Present"))</f>
        <v/>
      </c>
      <c r="F426" s="331" t="str">
        <f>IF($H426="","",IF(OR(NOT(ISFORMULA(INDEX('Game Records'!$N:$N,$H426))),NOT(ISFORMULA(INDEX('Game Records'!$O:$O,$H426))),NOT(ISFORMULA(INDEX('Game Records'!$P:$P,$H426))),NOT(ISFORMULA(INDEX('Game Records'!$Q:$Q,$H426))),NOT(ISFORMULA(INDEX('Game Records'!$R:$R,$H426))),NOT(ISFORMULA(INDEX('Game Records'!$S:$S,$H426))),NOT(ISFORMULA(INDEX('Game Records'!$T:$T,$H426))),NOT(ISFORMULA(INDEX('Game Records'!$U:$U,$H426))),NOT(ISFORMULA(INDEX('Game Records'!$V:$V,$H426))),NOT(ISFORMULA(INDEX('Game Records'!$W:$W,$H426))),NOT(ISFORMULA(INDEX('Game Records'!$X:$X,$H426))),NOT(ISFORMULA(INDEX('Game Records'!$Y:$Y,$H426))),NOT(ISFORMULA(INDEX('Game Records'!$Z:$Z,$H426)))),"Formula columns missing; ","")&amp;IF(INDEX('Game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Earned; ","")&amp;IF(AND(LOWER(INDEX('Game Records'!$D:$D,$H426)&amp;"")="finalized",INDEX('Game Records'!$U:$U,$H426)&lt;&gt;"Subscription",INDEX('Game Records'!$U:$U,$H426)&lt;&gt;"Free Game",INDEX('Game Records'!$U:$U,$H426)&lt;&gt;"Disqualified — Free Game",OR(INDEX('Game Records'!$L:$L,$H426)="",LOWER(INDEX('Game Records'!$L:$L,$H426)&amp;"")="n/a")),"Disqualified Status; ","")&amp;IF(AND(OR(INDEX('Game Records'!$U:$U,$H426)="Free Game",INDEX('Game Records'!$U:$U,$H426)="Disqualified — Free Game"),N(INDEX('Game Records'!$H:$H,$H426))&lt;&gt;0),"Free Game has a non-zero Entry Fee; ",""))</f>
        <v/>
      </c>
      <c r="G426" s="331" t="str">
        <f>IF($H426="","",IFERROR(INDEX('Game Records'!$M:$M,$H426),""))</f>
        <v/>
      </c>
      <c r="H426" s="104" t="str">
        <f>IF($H425="","",IFERROR(MATCH(1,INDEX((ROW('Game Records'!$U$5:$U$504)&gt;$H425)*(('Game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7" ht="24" customHeight="1">
      <c r="A427" s="332" t="str">
        <f>IF($H427="","",ROWS($A$5:A427))</f>
        <v/>
      </c>
      <c r="B427" s="332" t="str">
        <f>IF($H427="","","G-"&amp;TEXT($A427,"0000"))</f>
        <v/>
      </c>
      <c r="C427" s="331" t="str">
        <f>IF($H427="","",IFERROR(INDEX('Game Records'!$A:$A,$H427),""))</f>
        <v/>
      </c>
      <c r="D427" s="331" t="str">
        <f>IF($H427="","",IFERROR(INDEX('Game Records'!$U:$U,$H427),""))</f>
        <v/>
      </c>
      <c r="E427" s="331" t="str">
        <f>IF($H427="","",IF($F427="","No Highlighted Fields","Highlighted Fields Present"))</f>
        <v/>
      </c>
      <c r="F427" s="331" t="str">
        <f>IF($H427="","",IF(OR(NOT(ISFORMULA(INDEX('Game Records'!$N:$N,$H427))),NOT(ISFORMULA(INDEX('Game Records'!$O:$O,$H427))),NOT(ISFORMULA(INDEX('Game Records'!$P:$P,$H427))),NOT(ISFORMULA(INDEX('Game Records'!$Q:$Q,$H427))),NOT(ISFORMULA(INDEX('Game Records'!$R:$R,$H427))),NOT(ISFORMULA(INDEX('Game Records'!$S:$S,$H427))),NOT(ISFORMULA(INDEX('Game Records'!$T:$T,$H427))),NOT(ISFORMULA(INDEX('Game Records'!$U:$U,$H427))),NOT(ISFORMULA(INDEX('Game Records'!$V:$V,$H427))),NOT(ISFORMULA(INDEX('Game Records'!$W:$W,$H427))),NOT(ISFORMULA(INDEX('Game Records'!$X:$X,$H427))),NOT(ISFORMULA(INDEX('Game Records'!$Y:$Y,$H427))),NOT(ISFORMULA(INDEX('Game Records'!$Z:$Z,$H427)))),"Formula columns missing; ","")&amp;IF(INDEX('Game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Earned; ","")&amp;IF(AND(LOWER(INDEX('Game Records'!$D:$D,$H427)&amp;"")="finalized",INDEX('Game Records'!$U:$U,$H427)&lt;&gt;"Subscription",INDEX('Game Records'!$U:$U,$H427)&lt;&gt;"Free Game",INDEX('Game Records'!$U:$U,$H427)&lt;&gt;"Disqualified — Free Game",OR(INDEX('Game Records'!$L:$L,$H427)="",LOWER(INDEX('Game Records'!$L:$L,$H427)&amp;"")="n/a")),"Disqualified Status; ","")&amp;IF(AND(OR(INDEX('Game Records'!$U:$U,$H427)="Free Game",INDEX('Game Records'!$U:$U,$H427)="Disqualified — Free Game"),N(INDEX('Game Records'!$H:$H,$H427))&lt;&gt;0),"Free Game has a non-zero Entry Fee; ",""))</f>
        <v/>
      </c>
      <c r="G427" s="331" t="str">
        <f>IF($H427="","",IFERROR(INDEX('Game Records'!$M:$M,$H427),""))</f>
        <v/>
      </c>
      <c r="H427" s="104" t="str">
        <f>IF($H426="","",IFERROR(MATCH(1,INDEX((ROW('Game Records'!$U$5:$U$504)&gt;$H426)*(('Game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8" ht="24" customHeight="1">
      <c r="A428" s="332" t="str">
        <f>IF($H428="","",ROWS($A$5:A428))</f>
        <v/>
      </c>
      <c r="B428" s="332" t="str">
        <f>IF($H428="","","G-"&amp;TEXT($A428,"0000"))</f>
        <v/>
      </c>
      <c r="C428" s="331" t="str">
        <f>IF($H428="","",IFERROR(INDEX('Game Records'!$A:$A,$H428),""))</f>
        <v/>
      </c>
      <c r="D428" s="331" t="str">
        <f>IF($H428="","",IFERROR(INDEX('Game Records'!$U:$U,$H428),""))</f>
        <v/>
      </c>
      <c r="E428" s="331" t="str">
        <f>IF($H428="","",IF($F428="","No Highlighted Fields","Highlighted Fields Present"))</f>
        <v/>
      </c>
      <c r="F428" s="331" t="str">
        <f>IF($H428="","",IF(OR(NOT(ISFORMULA(INDEX('Game Records'!$N:$N,$H428))),NOT(ISFORMULA(INDEX('Game Records'!$O:$O,$H428))),NOT(ISFORMULA(INDEX('Game Records'!$P:$P,$H428))),NOT(ISFORMULA(INDEX('Game Records'!$Q:$Q,$H428))),NOT(ISFORMULA(INDEX('Game Records'!$R:$R,$H428))),NOT(ISFORMULA(INDEX('Game Records'!$S:$S,$H428))),NOT(ISFORMULA(INDEX('Game Records'!$T:$T,$H428))),NOT(ISFORMULA(INDEX('Game Records'!$U:$U,$H428))),NOT(ISFORMULA(INDEX('Game Records'!$V:$V,$H428))),NOT(ISFORMULA(INDEX('Game Records'!$W:$W,$H428))),NOT(ISFORMULA(INDEX('Game Records'!$X:$X,$H428))),NOT(ISFORMULA(INDEX('Game Records'!$Y:$Y,$H428))),NOT(ISFORMULA(INDEX('Game Records'!$Z:$Z,$H428)))),"Formula columns missing; ","")&amp;IF(INDEX('Game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Earned; ","")&amp;IF(AND(LOWER(INDEX('Game Records'!$D:$D,$H428)&amp;"")="finalized",INDEX('Game Records'!$U:$U,$H428)&lt;&gt;"Subscription",INDEX('Game Records'!$U:$U,$H428)&lt;&gt;"Free Game",INDEX('Game Records'!$U:$U,$H428)&lt;&gt;"Disqualified — Free Game",OR(INDEX('Game Records'!$L:$L,$H428)="",LOWER(INDEX('Game Records'!$L:$L,$H428)&amp;"")="n/a")),"Disqualified Status; ","")&amp;IF(AND(OR(INDEX('Game Records'!$U:$U,$H428)="Free Game",INDEX('Game Records'!$U:$U,$H428)="Disqualified — Free Game"),N(INDEX('Game Records'!$H:$H,$H428))&lt;&gt;0),"Free Game has a non-zero Entry Fee; ",""))</f>
        <v/>
      </c>
      <c r="G428" s="331" t="str">
        <f>IF($H428="","",IFERROR(INDEX('Game Records'!$M:$M,$H428),""))</f>
        <v/>
      </c>
      <c r="H428" s="104" t="str">
        <f>IF($H427="","",IFERROR(MATCH(1,INDEX((ROW('Game Records'!$U$5:$U$504)&gt;$H427)*(('Game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9" ht="24" customHeight="1">
      <c r="A429" s="332" t="str">
        <f>IF($H429="","",ROWS($A$5:A429))</f>
        <v/>
      </c>
      <c r="B429" s="332" t="str">
        <f>IF($H429="","","G-"&amp;TEXT($A429,"0000"))</f>
        <v/>
      </c>
      <c r="C429" s="331" t="str">
        <f>IF($H429="","",IFERROR(INDEX('Game Records'!$A:$A,$H429),""))</f>
        <v/>
      </c>
      <c r="D429" s="331" t="str">
        <f>IF($H429="","",IFERROR(INDEX('Game Records'!$U:$U,$H429),""))</f>
        <v/>
      </c>
      <c r="E429" s="331" t="str">
        <f>IF($H429="","",IF($F429="","No Highlighted Fields","Highlighted Fields Present"))</f>
        <v/>
      </c>
      <c r="F429" s="331" t="str">
        <f>IF($H429="","",IF(OR(NOT(ISFORMULA(INDEX('Game Records'!$N:$N,$H429))),NOT(ISFORMULA(INDEX('Game Records'!$O:$O,$H429))),NOT(ISFORMULA(INDEX('Game Records'!$P:$P,$H429))),NOT(ISFORMULA(INDEX('Game Records'!$Q:$Q,$H429))),NOT(ISFORMULA(INDEX('Game Records'!$R:$R,$H429))),NOT(ISFORMULA(INDEX('Game Records'!$S:$S,$H429))),NOT(ISFORMULA(INDEX('Game Records'!$T:$T,$H429))),NOT(ISFORMULA(INDEX('Game Records'!$U:$U,$H429))),NOT(ISFORMULA(INDEX('Game Records'!$V:$V,$H429))),NOT(ISFORMULA(INDEX('Game Records'!$W:$W,$H429))),NOT(ISFORMULA(INDEX('Game Records'!$X:$X,$H429))),NOT(ISFORMULA(INDEX('Game Records'!$Y:$Y,$H429))),NOT(ISFORMULA(INDEX('Game Records'!$Z:$Z,$H429)))),"Formula columns missing; ","")&amp;IF(INDEX('Game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Earned; ","")&amp;IF(AND(LOWER(INDEX('Game Records'!$D:$D,$H429)&amp;"")="finalized",INDEX('Game Records'!$U:$U,$H429)&lt;&gt;"Subscription",INDEX('Game Records'!$U:$U,$H429)&lt;&gt;"Free Game",INDEX('Game Records'!$U:$U,$H429)&lt;&gt;"Disqualified — Free Game",OR(INDEX('Game Records'!$L:$L,$H429)="",LOWER(INDEX('Game Records'!$L:$L,$H429)&amp;"")="n/a")),"Disqualified Status; ","")&amp;IF(AND(OR(INDEX('Game Records'!$U:$U,$H429)="Free Game",INDEX('Game Records'!$U:$U,$H429)="Disqualified — Free Game"),N(INDEX('Game Records'!$H:$H,$H429))&lt;&gt;0),"Free Game has a non-zero Entry Fee; ",""))</f>
        <v/>
      </c>
      <c r="G429" s="331" t="str">
        <f>IF($H429="","",IFERROR(INDEX('Game Records'!$M:$M,$H429),""))</f>
        <v/>
      </c>
      <c r="H429" s="104" t="str">
        <f>IF($H428="","",IFERROR(MATCH(1,INDEX((ROW('Game Records'!$U$5:$U$504)&gt;$H428)*(('Game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0" ht="24" customHeight="1">
      <c r="A430" s="332" t="str">
        <f>IF($H430="","",ROWS($A$5:A430))</f>
        <v/>
      </c>
      <c r="B430" s="332" t="str">
        <f>IF($H430="","","G-"&amp;TEXT($A430,"0000"))</f>
        <v/>
      </c>
      <c r="C430" s="331" t="str">
        <f>IF($H430="","",IFERROR(INDEX('Game Records'!$A:$A,$H430),""))</f>
        <v/>
      </c>
      <c r="D430" s="331" t="str">
        <f>IF($H430="","",IFERROR(INDEX('Game Records'!$U:$U,$H430),""))</f>
        <v/>
      </c>
      <c r="E430" s="331" t="str">
        <f>IF($H430="","",IF($F430="","No Highlighted Fields","Highlighted Fields Present"))</f>
        <v/>
      </c>
      <c r="F430" s="331" t="str">
        <f>IF($H430="","",IF(OR(NOT(ISFORMULA(INDEX('Game Records'!$N:$N,$H430))),NOT(ISFORMULA(INDEX('Game Records'!$O:$O,$H430))),NOT(ISFORMULA(INDEX('Game Records'!$P:$P,$H430))),NOT(ISFORMULA(INDEX('Game Records'!$Q:$Q,$H430))),NOT(ISFORMULA(INDEX('Game Records'!$R:$R,$H430))),NOT(ISFORMULA(INDEX('Game Records'!$S:$S,$H430))),NOT(ISFORMULA(INDEX('Game Records'!$T:$T,$H430))),NOT(ISFORMULA(INDEX('Game Records'!$U:$U,$H430))),NOT(ISFORMULA(INDEX('Game Records'!$V:$V,$H430))),NOT(ISFORMULA(INDEX('Game Records'!$W:$W,$H430))),NOT(ISFORMULA(INDEX('Game Records'!$X:$X,$H430))),NOT(ISFORMULA(INDEX('Game Records'!$Y:$Y,$H430))),NOT(ISFORMULA(INDEX('Game Records'!$Z:$Z,$H430)))),"Formula columns missing; ","")&amp;IF(INDEX('Game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Earned; ","")&amp;IF(AND(LOWER(INDEX('Game Records'!$D:$D,$H430)&amp;"")="finalized",INDEX('Game Records'!$U:$U,$H430)&lt;&gt;"Subscription",INDEX('Game Records'!$U:$U,$H430)&lt;&gt;"Free Game",INDEX('Game Records'!$U:$U,$H430)&lt;&gt;"Disqualified — Free Game",OR(INDEX('Game Records'!$L:$L,$H430)="",LOWER(INDEX('Game Records'!$L:$L,$H430)&amp;"")="n/a")),"Disqualified Status; ","")&amp;IF(AND(OR(INDEX('Game Records'!$U:$U,$H430)="Free Game",INDEX('Game Records'!$U:$U,$H430)="Disqualified — Free Game"),N(INDEX('Game Records'!$H:$H,$H430))&lt;&gt;0),"Free Game has a non-zero Entry Fee; ",""))</f>
        <v/>
      </c>
      <c r="G430" s="331" t="str">
        <f>IF($H430="","",IFERROR(INDEX('Game Records'!$M:$M,$H430),""))</f>
        <v/>
      </c>
      <c r="H430" s="104" t="str">
        <f>IF($H429="","",IFERROR(MATCH(1,INDEX((ROW('Game Records'!$U$5:$U$504)&gt;$H429)*(('Game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1" ht="24" customHeight="1">
      <c r="A431" s="332" t="str">
        <f>IF($H431="","",ROWS($A$5:A431))</f>
        <v/>
      </c>
      <c r="B431" s="332" t="str">
        <f>IF($H431="","","G-"&amp;TEXT($A431,"0000"))</f>
        <v/>
      </c>
      <c r="C431" s="331" t="str">
        <f>IF($H431="","",IFERROR(INDEX('Game Records'!$A:$A,$H431),""))</f>
        <v/>
      </c>
      <c r="D431" s="331" t="str">
        <f>IF($H431="","",IFERROR(INDEX('Game Records'!$U:$U,$H431),""))</f>
        <v/>
      </c>
      <c r="E431" s="331" t="str">
        <f>IF($H431="","",IF($F431="","No Highlighted Fields","Highlighted Fields Present"))</f>
        <v/>
      </c>
      <c r="F431" s="331" t="str">
        <f>IF($H431="","",IF(OR(NOT(ISFORMULA(INDEX('Game Records'!$N:$N,$H431))),NOT(ISFORMULA(INDEX('Game Records'!$O:$O,$H431))),NOT(ISFORMULA(INDEX('Game Records'!$P:$P,$H431))),NOT(ISFORMULA(INDEX('Game Records'!$Q:$Q,$H431))),NOT(ISFORMULA(INDEX('Game Records'!$R:$R,$H431))),NOT(ISFORMULA(INDEX('Game Records'!$S:$S,$H431))),NOT(ISFORMULA(INDEX('Game Records'!$T:$T,$H431))),NOT(ISFORMULA(INDEX('Game Records'!$U:$U,$H431))),NOT(ISFORMULA(INDEX('Game Records'!$V:$V,$H431))),NOT(ISFORMULA(INDEX('Game Records'!$W:$W,$H431))),NOT(ISFORMULA(INDEX('Game Records'!$X:$X,$H431))),NOT(ISFORMULA(INDEX('Game Records'!$Y:$Y,$H431))),NOT(ISFORMULA(INDEX('Game Records'!$Z:$Z,$H431)))),"Formula columns missing; ","")&amp;IF(INDEX('Game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Earned; ","")&amp;IF(AND(LOWER(INDEX('Game Records'!$D:$D,$H431)&amp;"")="finalized",INDEX('Game Records'!$U:$U,$H431)&lt;&gt;"Subscription",INDEX('Game Records'!$U:$U,$H431)&lt;&gt;"Free Game",INDEX('Game Records'!$U:$U,$H431)&lt;&gt;"Disqualified — Free Game",OR(INDEX('Game Records'!$L:$L,$H431)="",LOWER(INDEX('Game Records'!$L:$L,$H431)&amp;"")="n/a")),"Disqualified Status; ","")&amp;IF(AND(OR(INDEX('Game Records'!$U:$U,$H431)="Free Game",INDEX('Game Records'!$U:$U,$H431)="Disqualified — Free Game"),N(INDEX('Game Records'!$H:$H,$H431))&lt;&gt;0),"Free Game has a non-zero Entry Fee; ",""))</f>
        <v/>
      </c>
      <c r="G431" s="331" t="str">
        <f>IF($H431="","",IFERROR(INDEX('Game Records'!$M:$M,$H431),""))</f>
        <v/>
      </c>
      <c r="H431" s="104" t="str">
        <f>IF($H430="","",IFERROR(MATCH(1,INDEX((ROW('Game Records'!$U$5:$U$504)&gt;$H430)*(('Game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2" ht="24" customHeight="1">
      <c r="A432" s="332" t="str">
        <f>IF($H432="","",ROWS($A$5:A432))</f>
        <v/>
      </c>
      <c r="B432" s="332" t="str">
        <f>IF($H432="","","G-"&amp;TEXT($A432,"0000"))</f>
        <v/>
      </c>
      <c r="C432" s="331" t="str">
        <f>IF($H432="","",IFERROR(INDEX('Game Records'!$A:$A,$H432),""))</f>
        <v/>
      </c>
      <c r="D432" s="331" t="str">
        <f>IF($H432="","",IFERROR(INDEX('Game Records'!$U:$U,$H432),""))</f>
        <v/>
      </c>
      <c r="E432" s="331" t="str">
        <f>IF($H432="","",IF($F432="","No Highlighted Fields","Highlighted Fields Present"))</f>
        <v/>
      </c>
      <c r="F432" s="331" t="str">
        <f>IF($H432="","",IF(OR(NOT(ISFORMULA(INDEX('Game Records'!$N:$N,$H432))),NOT(ISFORMULA(INDEX('Game Records'!$O:$O,$H432))),NOT(ISFORMULA(INDEX('Game Records'!$P:$P,$H432))),NOT(ISFORMULA(INDEX('Game Records'!$Q:$Q,$H432))),NOT(ISFORMULA(INDEX('Game Records'!$R:$R,$H432))),NOT(ISFORMULA(INDEX('Game Records'!$S:$S,$H432))),NOT(ISFORMULA(INDEX('Game Records'!$T:$T,$H432))),NOT(ISFORMULA(INDEX('Game Records'!$U:$U,$H432))),NOT(ISFORMULA(INDEX('Game Records'!$V:$V,$H432))),NOT(ISFORMULA(INDEX('Game Records'!$W:$W,$H432))),NOT(ISFORMULA(INDEX('Game Records'!$X:$X,$H432))),NOT(ISFORMULA(INDEX('Game Records'!$Y:$Y,$H432))),NOT(ISFORMULA(INDEX('Game Records'!$Z:$Z,$H432)))),"Formula columns missing; ","")&amp;IF(INDEX('Game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Earned; ","")&amp;IF(AND(LOWER(INDEX('Game Records'!$D:$D,$H432)&amp;"")="finalized",INDEX('Game Records'!$U:$U,$H432)&lt;&gt;"Subscription",INDEX('Game Records'!$U:$U,$H432)&lt;&gt;"Free Game",INDEX('Game Records'!$U:$U,$H432)&lt;&gt;"Disqualified — Free Game",OR(INDEX('Game Records'!$L:$L,$H432)="",LOWER(INDEX('Game Records'!$L:$L,$H432)&amp;"")="n/a")),"Disqualified Status; ","")&amp;IF(AND(OR(INDEX('Game Records'!$U:$U,$H432)="Free Game",INDEX('Game Records'!$U:$U,$H432)="Disqualified — Free Game"),N(INDEX('Game Records'!$H:$H,$H432))&lt;&gt;0),"Free Game has a non-zero Entry Fee; ",""))</f>
        <v/>
      </c>
      <c r="G432" s="331" t="str">
        <f>IF($H432="","",IFERROR(INDEX('Game Records'!$M:$M,$H432),""))</f>
        <v/>
      </c>
      <c r="H432" s="104" t="str">
        <f>IF($H431="","",IFERROR(MATCH(1,INDEX((ROW('Game Records'!$U$5:$U$504)&gt;$H431)*(('Game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3" ht="24" customHeight="1">
      <c r="A433" s="332" t="str">
        <f>IF($H433="","",ROWS($A$5:A433))</f>
        <v/>
      </c>
      <c r="B433" s="332" t="str">
        <f>IF($H433="","","G-"&amp;TEXT($A433,"0000"))</f>
        <v/>
      </c>
      <c r="C433" s="331" t="str">
        <f>IF($H433="","",IFERROR(INDEX('Game Records'!$A:$A,$H433),""))</f>
        <v/>
      </c>
      <c r="D433" s="331" t="str">
        <f>IF($H433="","",IFERROR(INDEX('Game Records'!$U:$U,$H433),""))</f>
        <v/>
      </c>
      <c r="E433" s="331" t="str">
        <f>IF($H433="","",IF($F433="","No Highlighted Fields","Highlighted Fields Present"))</f>
        <v/>
      </c>
      <c r="F433" s="331" t="str">
        <f>IF($H433="","",IF(OR(NOT(ISFORMULA(INDEX('Game Records'!$N:$N,$H433))),NOT(ISFORMULA(INDEX('Game Records'!$O:$O,$H433))),NOT(ISFORMULA(INDEX('Game Records'!$P:$P,$H433))),NOT(ISFORMULA(INDEX('Game Records'!$Q:$Q,$H433))),NOT(ISFORMULA(INDEX('Game Records'!$R:$R,$H433))),NOT(ISFORMULA(INDEX('Game Records'!$S:$S,$H433))),NOT(ISFORMULA(INDEX('Game Records'!$T:$T,$H433))),NOT(ISFORMULA(INDEX('Game Records'!$U:$U,$H433))),NOT(ISFORMULA(INDEX('Game Records'!$V:$V,$H433))),NOT(ISFORMULA(INDEX('Game Records'!$W:$W,$H433))),NOT(ISFORMULA(INDEX('Game Records'!$X:$X,$H433))),NOT(ISFORMULA(INDEX('Game Records'!$Y:$Y,$H433))),NOT(ISFORMULA(INDEX('Game Records'!$Z:$Z,$H433)))),"Formula columns missing; ","")&amp;IF(INDEX('Game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Earned; ","")&amp;IF(AND(LOWER(INDEX('Game Records'!$D:$D,$H433)&amp;"")="finalized",INDEX('Game Records'!$U:$U,$H433)&lt;&gt;"Subscription",INDEX('Game Records'!$U:$U,$H433)&lt;&gt;"Free Game",INDEX('Game Records'!$U:$U,$H433)&lt;&gt;"Disqualified — Free Game",OR(INDEX('Game Records'!$L:$L,$H433)="",LOWER(INDEX('Game Records'!$L:$L,$H433)&amp;"")="n/a")),"Disqualified Status; ","")&amp;IF(AND(OR(INDEX('Game Records'!$U:$U,$H433)="Free Game",INDEX('Game Records'!$U:$U,$H433)="Disqualified — Free Game"),N(INDEX('Game Records'!$H:$H,$H433))&lt;&gt;0),"Free Game has a non-zero Entry Fee; ",""))</f>
        <v/>
      </c>
      <c r="G433" s="331" t="str">
        <f>IF($H433="","",IFERROR(INDEX('Game Records'!$M:$M,$H433),""))</f>
        <v/>
      </c>
      <c r="H433" s="104" t="str">
        <f>IF($H432="","",IFERROR(MATCH(1,INDEX((ROW('Game Records'!$U$5:$U$504)&gt;$H432)*(('Game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4" ht="24" customHeight="1">
      <c r="A434" s="332" t="str">
        <f>IF($H434="","",ROWS($A$5:A434))</f>
        <v/>
      </c>
      <c r="B434" s="332" t="str">
        <f>IF($H434="","","G-"&amp;TEXT($A434,"0000"))</f>
        <v/>
      </c>
      <c r="C434" s="331" t="str">
        <f>IF($H434="","",IFERROR(INDEX('Game Records'!$A:$A,$H434),""))</f>
        <v/>
      </c>
      <c r="D434" s="331" t="str">
        <f>IF($H434="","",IFERROR(INDEX('Game Records'!$U:$U,$H434),""))</f>
        <v/>
      </c>
      <c r="E434" s="331" t="str">
        <f>IF($H434="","",IF($F434="","No Highlighted Fields","Highlighted Fields Present"))</f>
        <v/>
      </c>
      <c r="F434" s="331" t="str">
        <f>IF($H434="","",IF(OR(NOT(ISFORMULA(INDEX('Game Records'!$N:$N,$H434))),NOT(ISFORMULA(INDEX('Game Records'!$O:$O,$H434))),NOT(ISFORMULA(INDEX('Game Records'!$P:$P,$H434))),NOT(ISFORMULA(INDEX('Game Records'!$Q:$Q,$H434))),NOT(ISFORMULA(INDEX('Game Records'!$R:$R,$H434))),NOT(ISFORMULA(INDEX('Game Records'!$S:$S,$H434))),NOT(ISFORMULA(INDEX('Game Records'!$T:$T,$H434))),NOT(ISFORMULA(INDEX('Game Records'!$U:$U,$H434))),NOT(ISFORMULA(INDEX('Game Records'!$V:$V,$H434))),NOT(ISFORMULA(INDEX('Game Records'!$W:$W,$H434))),NOT(ISFORMULA(INDEX('Game Records'!$X:$X,$H434))),NOT(ISFORMULA(INDEX('Game Records'!$Y:$Y,$H434))),NOT(ISFORMULA(INDEX('Game Records'!$Z:$Z,$H434)))),"Formula columns missing; ","")&amp;IF(INDEX('Game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Earned; ","")&amp;IF(AND(LOWER(INDEX('Game Records'!$D:$D,$H434)&amp;"")="finalized",INDEX('Game Records'!$U:$U,$H434)&lt;&gt;"Subscription",INDEX('Game Records'!$U:$U,$H434)&lt;&gt;"Free Game",INDEX('Game Records'!$U:$U,$H434)&lt;&gt;"Disqualified — Free Game",OR(INDEX('Game Records'!$L:$L,$H434)="",LOWER(INDEX('Game Records'!$L:$L,$H434)&amp;"")="n/a")),"Disqualified Status; ","")&amp;IF(AND(OR(INDEX('Game Records'!$U:$U,$H434)="Free Game",INDEX('Game Records'!$U:$U,$H434)="Disqualified — Free Game"),N(INDEX('Game Records'!$H:$H,$H434))&lt;&gt;0),"Free Game has a non-zero Entry Fee; ",""))</f>
        <v/>
      </c>
      <c r="G434" s="331" t="str">
        <f>IF($H434="","",IFERROR(INDEX('Game Records'!$M:$M,$H434),""))</f>
        <v/>
      </c>
      <c r="H434" s="104" t="str">
        <f>IF($H433="","",IFERROR(MATCH(1,INDEX((ROW('Game Records'!$U$5:$U$504)&gt;$H433)*(('Game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5" ht="24" customHeight="1">
      <c r="A435" s="332" t="str">
        <f>IF($H435="","",ROWS($A$5:A435))</f>
        <v/>
      </c>
      <c r="B435" s="332" t="str">
        <f>IF($H435="","","G-"&amp;TEXT($A435,"0000"))</f>
        <v/>
      </c>
      <c r="C435" s="331" t="str">
        <f>IF($H435="","",IFERROR(INDEX('Game Records'!$A:$A,$H435),""))</f>
        <v/>
      </c>
      <c r="D435" s="331" t="str">
        <f>IF($H435="","",IFERROR(INDEX('Game Records'!$U:$U,$H435),""))</f>
        <v/>
      </c>
      <c r="E435" s="331" t="str">
        <f>IF($H435="","",IF($F435="","No Highlighted Fields","Highlighted Fields Present"))</f>
        <v/>
      </c>
      <c r="F435" s="331" t="str">
        <f>IF($H435="","",IF(OR(NOT(ISFORMULA(INDEX('Game Records'!$N:$N,$H435))),NOT(ISFORMULA(INDEX('Game Records'!$O:$O,$H435))),NOT(ISFORMULA(INDEX('Game Records'!$P:$P,$H435))),NOT(ISFORMULA(INDEX('Game Records'!$Q:$Q,$H435))),NOT(ISFORMULA(INDEX('Game Records'!$R:$R,$H435))),NOT(ISFORMULA(INDEX('Game Records'!$S:$S,$H435))),NOT(ISFORMULA(INDEX('Game Records'!$T:$T,$H435))),NOT(ISFORMULA(INDEX('Game Records'!$U:$U,$H435))),NOT(ISFORMULA(INDEX('Game Records'!$V:$V,$H435))),NOT(ISFORMULA(INDEX('Game Records'!$W:$W,$H435))),NOT(ISFORMULA(INDEX('Game Records'!$X:$X,$H435))),NOT(ISFORMULA(INDEX('Game Records'!$Y:$Y,$H435))),NOT(ISFORMULA(INDEX('Game Records'!$Z:$Z,$H435)))),"Formula columns missing; ","")&amp;IF(INDEX('Game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Earned; ","")&amp;IF(AND(LOWER(INDEX('Game Records'!$D:$D,$H435)&amp;"")="finalized",INDEX('Game Records'!$U:$U,$H435)&lt;&gt;"Subscription",INDEX('Game Records'!$U:$U,$H435)&lt;&gt;"Free Game",INDEX('Game Records'!$U:$U,$H435)&lt;&gt;"Disqualified — Free Game",OR(INDEX('Game Records'!$L:$L,$H435)="",LOWER(INDEX('Game Records'!$L:$L,$H435)&amp;"")="n/a")),"Disqualified Status; ","")&amp;IF(AND(OR(INDEX('Game Records'!$U:$U,$H435)="Free Game",INDEX('Game Records'!$U:$U,$H435)="Disqualified — Free Game"),N(INDEX('Game Records'!$H:$H,$H435))&lt;&gt;0),"Free Game has a non-zero Entry Fee; ",""))</f>
        <v/>
      </c>
      <c r="G435" s="331" t="str">
        <f>IF($H435="","",IFERROR(INDEX('Game Records'!$M:$M,$H435),""))</f>
        <v/>
      </c>
      <c r="H435" s="104" t="str">
        <f>IF($H434="","",IFERROR(MATCH(1,INDEX((ROW('Game Records'!$U$5:$U$504)&gt;$H434)*(('Game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6" ht="24" customHeight="1">
      <c r="A436" s="332" t="str">
        <f>IF($H436="","",ROWS($A$5:A436))</f>
        <v/>
      </c>
      <c r="B436" s="332" t="str">
        <f>IF($H436="","","G-"&amp;TEXT($A436,"0000"))</f>
        <v/>
      </c>
      <c r="C436" s="331" t="str">
        <f>IF($H436="","",IFERROR(INDEX('Game Records'!$A:$A,$H436),""))</f>
        <v/>
      </c>
      <c r="D436" s="331" t="str">
        <f>IF($H436="","",IFERROR(INDEX('Game Records'!$U:$U,$H436),""))</f>
        <v/>
      </c>
      <c r="E436" s="331" t="str">
        <f>IF($H436="","",IF($F436="","No Highlighted Fields","Highlighted Fields Present"))</f>
        <v/>
      </c>
      <c r="F436" s="331" t="str">
        <f>IF($H436="","",IF(OR(NOT(ISFORMULA(INDEX('Game Records'!$N:$N,$H436))),NOT(ISFORMULA(INDEX('Game Records'!$O:$O,$H436))),NOT(ISFORMULA(INDEX('Game Records'!$P:$P,$H436))),NOT(ISFORMULA(INDEX('Game Records'!$Q:$Q,$H436))),NOT(ISFORMULA(INDEX('Game Records'!$R:$R,$H436))),NOT(ISFORMULA(INDEX('Game Records'!$S:$S,$H436))),NOT(ISFORMULA(INDEX('Game Records'!$T:$T,$H436))),NOT(ISFORMULA(INDEX('Game Records'!$U:$U,$H436))),NOT(ISFORMULA(INDEX('Game Records'!$V:$V,$H436))),NOT(ISFORMULA(INDEX('Game Records'!$W:$W,$H436))),NOT(ISFORMULA(INDEX('Game Records'!$X:$X,$H436))),NOT(ISFORMULA(INDEX('Game Records'!$Y:$Y,$H436))),NOT(ISFORMULA(INDEX('Game Records'!$Z:$Z,$H436)))),"Formula columns missing; ","")&amp;IF(INDEX('Game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Earned; ","")&amp;IF(AND(LOWER(INDEX('Game Records'!$D:$D,$H436)&amp;"")="finalized",INDEX('Game Records'!$U:$U,$H436)&lt;&gt;"Subscription",INDEX('Game Records'!$U:$U,$H436)&lt;&gt;"Free Game",INDEX('Game Records'!$U:$U,$H436)&lt;&gt;"Disqualified — Free Game",OR(INDEX('Game Records'!$L:$L,$H436)="",LOWER(INDEX('Game Records'!$L:$L,$H436)&amp;"")="n/a")),"Disqualified Status; ","")&amp;IF(AND(OR(INDEX('Game Records'!$U:$U,$H436)="Free Game",INDEX('Game Records'!$U:$U,$H436)="Disqualified — Free Game"),N(INDEX('Game Records'!$H:$H,$H436))&lt;&gt;0),"Free Game has a non-zero Entry Fee; ",""))</f>
        <v/>
      </c>
      <c r="G436" s="331" t="str">
        <f>IF($H436="","",IFERROR(INDEX('Game Records'!$M:$M,$H436),""))</f>
        <v/>
      </c>
      <c r="H436" s="104" t="str">
        <f>IF($H435="","",IFERROR(MATCH(1,INDEX((ROW('Game Records'!$U$5:$U$504)&gt;$H435)*(('Game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7" ht="24" customHeight="1">
      <c r="A437" s="332" t="str">
        <f>IF($H437="","",ROWS($A$5:A437))</f>
        <v/>
      </c>
      <c r="B437" s="332" t="str">
        <f>IF($H437="","","G-"&amp;TEXT($A437,"0000"))</f>
        <v/>
      </c>
      <c r="C437" s="331" t="str">
        <f>IF($H437="","",IFERROR(INDEX('Game Records'!$A:$A,$H437),""))</f>
        <v/>
      </c>
      <c r="D437" s="331" t="str">
        <f>IF($H437="","",IFERROR(INDEX('Game Records'!$U:$U,$H437),""))</f>
        <v/>
      </c>
      <c r="E437" s="331" t="str">
        <f>IF($H437="","",IF($F437="","No Highlighted Fields","Highlighted Fields Present"))</f>
        <v/>
      </c>
      <c r="F437" s="331" t="str">
        <f>IF($H437="","",IF(OR(NOT(ISFORMULA(INDEX('Game Records'!$N:$N,$H437))),NOT(ISFORMULA(INDEX('Game Records'!$O:$O,$H437))),NOT(ISFORMULA(INDEX('Game Records'!$P:$P,$H437))),NOT(ISFORMULA(INDEX('Game Records'!$Q:$Q,$H437))),NOT(ISFORMULA(INDEX('Game Records'!$R:$R,$H437))),NOT(ISFORMULA(INDEX('Game Records'!$S:$S,$H437))),NOT(ISFORMULA(INDEX('Game Records'!$T:$T,$H437))),NOT(ISFORMULA(INDEX('Game Records'!$U:$U,$H437))),NOT(ISFORMULA(INDEX('Game Records'!$V:$V,$H437))),NOT(ISFORMULA(INDEX('Game Records'!$W:$W,$H437))),NOT(ISFORMULA(INDEX('Game Records'!$X:$X,$H437))),NOT(ISFORMULA(INDEX('Game Records'!$Y:$Y,$H437))),NOT(ISFORMULA(INDEX('Game Records'!$Z:$Z,$H437)))),"Formula columns missing; ","")&amp;IF(INDEX('Game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Earned; ","")&amp;IF(AND(LOWER(INDEX('Game Records'!$D:$D,$H437)&amp;"")="finalized",INDEX('Game Records'!$U:$U,$H437)&lt;&gt;"Subscription",INDEX('Game Records'!$U:$U,$H437)&lt;&gt;"Free Game",INDEX('Game Records'!$U:$U,$H437)&lt;&gt;"Disqualified — Free Game",OR(INDEX('Game Records'!$L:$L,$H437)="",LOWER(INDEX('Game Records'!$L:$L,$H437)&amp;"")="n/a")),"Disqualified Status; ","")&amp;IF(AND(OR(INDEX('Game Records'!$U:$U,$H437)="Free Game",INDEX('Game Records'!$U:$U,$H437)="Disqualified — Free Game"),N(INDEX('Game Records'!$H:$H,$H437))&lt;&gt;0),"Free Game has a non-zero Entry Fee; ",""))</f>
        <v/>
      </c>
      <c r="G437" s="331" t="str">
        <f>IF($H437="","",IFERROR(INDEX('Game Records'!$M:$M,$H437),""))</f>
        <v/>
      </c>
      <c r="H437" s="104" t="str">
        <f>IF($H436="","",IFERROR(MATCH(1,INDEX((ROW('Game Records'!$U$5:$U$504)&gt;$H436)*(('Game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8" ht="24" customHeight="1">
      <c r="A438" s="332" t="str">
        <f>IF($H438="","",ROWS($A$5:A438))</f>
        <v/>
      </c>
      <c r="B438" s="332" t="str">
        <f>IF($H438="","","G-"&amp;TEXT($A438,"0000"))</f>
        <v/>
      </c>
      <c r="C438" s="331" t="str">
        <f>IF($H438="","",IFERROR(INDEX('Game Records'!$A:$A,$H438),""))</f>
        <v/>
      </c>
      <c r="D438" s="331" t="str">
        <f>IF($H438="","",IFERROR(INDEX('Game Records'!$U:$U,$H438),""))</f>
        <v/>
      </c>
      <c r="E438" s="331" t="str">
        <f>IF($H438="","",IF($F438="","No Highlighted Fields","Highlighted Fields Present"))</f>
        <v/>
      </c>
      <c r="F438" s="331" t="str">
        <f>IF($H438="","",IF(OR(NOT(ISFORMULA(INDEX('Game Records'!$N:$N,$H438))),NOT(ISFORMULA(INDEX('Game Records'!$O:$O,$H438))),NOT(ISFORMULA(INDEX('Game Records'!$P:$P,$H438))),NOT(ISFORMULA(INDEX('Game Records'!$Q:$Q,$H438))),NOT(ISFORMULA(INDEX('Game Records'!$R:$R,$H438))),NOT(ISFORMULA(INDEX('Game Records'!$S:$S,$H438))),NOT(ISFORMULA(INDEX('Game Records'!$T:$T,$H438))),NOT(ISFORMULA(INDEX('Game Records'!$U:$U,$H438))),NOT(ISFORMULA(INDEX('Game Records'!$V:$V,$H438))),NOT(ISFORMULA(INDEX('Game Records'!$W:$W,$H438))),NOT(ISFORMULA(INDEX('Game Records'!$X:$X,$H438))),NOT(ISFORMULA(INDEX('Game Records'!$Y:$Y,$H438))),NOT(ISFORMULA(INDEX('Game Records'!$Z:$Z,$H438)))),"Formula columns missing; ","")&amp;IF(INDEX('Game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Earned; ","")&amp;IF(AND(LOWER(INDEX('Game Records'!$D:$D,$H438)&amp;"")="finalized",INDEX('Game Records'!$U:$U,$H438)&lt;&gt;"Subscription",INDEX('Game Records'!$U:$U,$H438)&lt;&gt;"Free Game",INDEX('Game Records'!$U:$U,$H438)&lt;&gt;"Disqualified — Free Game",OR(INDEX('Game Records'!$L:$L,$H438)="",LOWER(INDEX('Game Records'!$L:$L,$H438)&amp;"")="n/a")),"Disqualified Status; ","")&amp;IF(AND(OR(INDEX('Game Records'!$U:$U,$H438)="Free Game",INDEX('Game Records'!$U:$U,$H438)="Disqualified — Free Game"),N(INDEX('Game Records'!$H:$H,$H438))&lt;&gt;0),"Free Game has a non-zero Entry Fee; ",""))</f>
        <v/>
      </c>
      <c r="G438" s="331" t="str">
        <f>IF($H438="","",IFERROR(INDEX('Game Records'!$M:$M,$H438),""))</f>
        <v/>
      </c>
      <c r="H438" s="104" t="str">
        <f>IF($H437="","",IFERROR(MATCH(1,INDEX((ROW('Game Records'!$U$5:$U$504)&gt;$H437)*(('Game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9" ht="24" customHeight="1">
      <c r="A439" s="332" t="str">
        <f>IF($H439="","",ROWS($A$5:A439))</f>
        <v/>
      </c>
      <c r="B439" s="332" t="str">
        <f>IF($H439="","","G-"&amp;TEXT($A439,"0000"))</f>
        <v/>
      </c>
      <c r="C439" s="331" t="str">
        <f>IF($H439="","",IFERROR(INDEX('Game Records'!$A:$A,$H439),""))</f>
        <v/>
      </c>
      <c r="D439" s="331" t="str">
        <f>IF($H439="","",IFERROR(INDEX('Game Records'!$U:$U,$H439),""))</f>
        <v/>
      </c>
      <c r="E439" s="331" t="str">
        <f>IF($H439="","",IF($F439="","No Highlighted Fields","Highlighted Fields Present"))</f>
        <v/>
      </c>
      <c r="F439" s="331" t="str">
        <f>IF($H439="","",IF(OR(NOT(ISFORMULA(INDEX('Game Records'!$N:$N,$H439))),NOT(ISFORMULA(INDEX('Game Records'!$O:$O,$H439))),NOT(ISFORMULA(INDEX('Game Records'!$P:$P,$H439))),NOT(ISFORMULA(INDEX('Game Records'!$Q:$Q,$H439))),NOT(ISFORMULA(INDEX('Game Records'!$R:$R,$H439))),NOT(ISFORMULA(INDEX('Game Records'!$S:$S,$H439))),NOT(ISFORMULA(INDEX('Game Records'!$T:$T,$H439))),NOT(ISFORMULA(INDEX('Game Records'!$U:$U,$H439))),NOT(ISFORMULA(INDEX('Game Records'!$V:$V,$H439))),NOT(ISFORMULA(INDEX('Game Records'!$W:$W,$H439))),NOT(ISFORMULA(INDEX('Game Records'!$X:$X,$H439))),NOT(ISFORMULA(INDEX('Game Records'!$Y:$Y,$H439))),NOT(ISFORMULA(INDEX('Game Records'!$Z:$Z,$H439)))),"Formula columns missing; ","")&amp;IF(INDEX('Game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Earned; ","")&amp;IF(AND(LOWER(INDEX('Game Records'!$D:$D,$H439)&amp;"")="finalized",INDEX('Game Records'!$U:$U,$H439)&lt;&gt;"Subscription",INDEX('Game Records'!$U:$U,$H439)&lt;&gt;"Free Game",INDEX('Game Records'!$U:$U,$H439)&lt;&gt;"Disqualified — Free Game",OR(INDEX('Game Records'!$L:$L,$H439)="",LOWER(INDEX('Game Records'!$L:$L,$H439)&amp;"")="n/a")),"Disqualified Status; ","")&amp;IF(AND(OR(INDEX('Game Records'!$U:$U,$H439)="Free Game",INDEX('Game Records'!$U:$U,$H439)="Disqualified — Free Game"),N(INDEX('Game Records'!$H:$H,$H439))&lt;&gt;0),"Free Game has a non-zero Entry Fee; ",""))</f>
        <v/>
      </c>
      <c r="G439" s="331" t="str">
        <f>IF($H439="","",IFERROR(INDEX('Game Records'!$M:$M,$H439),""))</f>
        <v/>
      </c>
      <c r="H439" s="104" t="str">
        <f>IF($H438="","",IFERROR(MATCH(1,INDEX((ROW('Game Records'!$U$5:$U$504)&gt;$H438)*(('Game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0" ht="24" customHeight="1">
      <c r="A440" s="332" t="str">
        <f>IF($H440="","",ROWS($A$5:A440))</f>
        <v/>
      </c>
      <c r="B440" s="332" t="str">
        <f>IF($H440="","","G-"&amp;TEXT($A440,"0000"))</f>
        <v/>
      </c>
      <c r="C440" s="331" t="str">
        <f>IF($H440="","",IFERROR(INDEX('Game Records'!$A:$A,$H440),""))</f>
        <v/>
      </c>
      <c r="D440" s="331" t="str">
        <f>IF($H440="","",IFERROR(INDEX('Game Records'!$U:$U,$H440),""))</f>
        <v/>
      </c>
      <c r="E440" s="331" t="str">
        <f>IF($H440="","",IF($F440="","No Highlighted Fields","Highlighted Fields Present"))</f>
        <v/>
      </c>
      <c r="F440" s="331" t="str">
        <f>IF($H440="","",IF(OR(NOT(ISFORMULA(INDEX('Game Records'!$N:$N,$H440))),NOT(ISFORMULA(INDEX('Game Records'!$O:$O,$H440))),NOT(ISFORMULA(INDEX('Game Records'!$P:$P,$H440))),NOT(ISFORMULA(INDEX('Game Records'!$Q:$Q,$H440))),NOT(ISFORMULA(INDEX('Game Records'!$R:$R,$H440))),NOT(ISFORMULA(INDEX('Game Records'!$S:$S,$H440))),NOT(ISFORMULA(INDEX('Game Records'!$T:$T,$H440))),NOT(ISFORMULA(INDEX('Game Records'!$U:$U,$H440))),NOT(ISFORMULA(INDEX('Game Records'!$V:$V,$H440))),NOT(ISFORMULA(INDEX('Game Records'!$W:$W,$H440))),NOT(ISFORMULA(INDEX('Game Records'!$X:$X,$H440))),NOT(ISFORMULA(INDEX('Game Records'!$Y:$Y,$H440))),NOT(ISFORMULA(INDEX('Game Records'!$Z:$Z,$H440)))),"Formula columns missing; ","")&amp;IF(INDEX('Game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Earned; ","")&amp;IF(AND(LOWER(INDEX('Game Records'!$D:$D,$H440)&amp;"")="finalized",INDEX('Game Records'!$U:$U,$H440)&lt;&gt;"Subscription",INDEX('Game Records'!$U:$U,$H440)&lt;&gt;"Free Game",INDEX('Game Records'!$U:$U,$H440)&lt;&gt;"Disqualified — Free Game",OR(INDEX('Game Records'!$L:$L,$H440)="",LOWER(INDEX('Game Records'!$L:$L,$H440)&amp;"")="n/a")),"Disqualified Status; ","")&amp;IF(AND(OR(INDEX('Game Records'!$U:$U,$H440)="Free Game",INDEX('Game Records'!$U:$U,$H440)="Disqualified — Free Game"),N(INDEX('Game Records'!$H:$H,$H440))&lt;&gt;0),"Free Game has a non-zero Entry Fee; ",""))</f>
        <v/>
      </c>
      <c r="G440" s="331" t="str">
        <f>IF($H440="","",IFERROR(INDEX('Game Records'!$M:$M,$H440),""))</f>
        <v/>
      </c>
      <c r="H440" s="104" t="str">
        <f>IF($H439="","",IFERROR(MATCH(1,INDEX((ROW('Game Records'!$U$5:$U$504)&gt;$H439)*(('Game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1" ht="24" customHeight="1">
      <c r="A441" s="332" t="str">
        <f>IF($H441="","",ROWS($A$5:A441))</f>
        <v/>
      </c>
      <c r="B441" s="332" t="str">
        <f>IF($H441="","","G-"&amp;TEXT($A441,"0000"))</f>
        <v/>
      </c>
      <c r="C441" s="331" t="str">
        <f>IF($H441="","",IFERROR(INDEX('Game Records'!$A:$A,$H441),""))</f>
        <v/>
      </c>
      <c r="D441" s="331" t="str">
        <f>IF($H441="","",IFERROR(INDEX('Game Records'!$U:$U,$H441),""))</f>
        <v/>
      </c>
      <c r="E441" s="331" t="str">
        <f>IF($H441="","",IF($F441="","No Highlighted Fields","Highlighted Fields Present"))</f>
        <v/>
      </c>
      <c r="F441" s="331" t="str">
        <f>IF($H441="","",IF(OR(NOT(ISFORMULA(INDEX('Game Records'!$N:$N,$H441))),NOT(ISFORMULA(INDEX('Game Records'!$O:$O,$H441))),NOT(ISFORMULA(INDEX('Game Records'!$P:$P,$H441))),NOT(ISFORMULA(INDEX('Game Records'!$Q:$Q,$H441))),NOT(ISFORMULA(INDEX('Game Records'!$R:$R,$H441))),NOT(ISFORMULA(INDEX('Game Records'!$S:$S,$H441))),NOT(ISFORMULA(INDEX('Game Records'!$T:$T,$H441))),NOT(ISFORMULA(INDEX('Game Records'!$U:$U,$H441))),NOT(ISFORMULA(INDEX('Game Records'!$V:$V,$H441))),NOT(ISFORMULA(INDEX('Game Records'!$W:$W,$H441))),NOT(ISFORMULA(INDEX('Game Records'!$X:$X,$H441))),NOT(ISFORMULA(INDEX('Game Records'!$Y:$Y,$H441))),NOT(ISFORMULA(INDEX('Game Records'!$Z:$Z,$H441)))),"Formula columns missing; ","")&amp;IF(INDEX('Game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Earned; ","")&amp;IF(AND(LOWER(INDEX('Game Records'!$D:$D,$H441)&amp;"")="finalized",INDEX('Game Records'!$U:$U,$H441)&lt;&gt;"Subscription",INDEX('Game Records'!$U:$U,$H441)&lt;&gt;"Free Game",INDEX('Game Records'!$U:$U,$H441)&lt;&gt;"Disqualified — Free Game",OR(INDEX('Game Records'!$L:$L,$H441)="",LOWER(INDEX('Game Records'!$L:$L,$H441)&amp;"")="n/a")),"Disqualified Status; ","")&amp;IF(AND(OR(INDEX('Game Records'!$U:$U,$H441)="Free Game",INDEX('Game Records'!$U:$U,$H441)="Disqualified — Free Game"),N(INDEX('Game Records'!$H:$H,$H441))&lt;&gt;0),"Free Game has a non-zero Entry Fee; ",""))</f>
        <v/>
      </c>
      <c r="G441" s="331" t="str">
        <f>IF($H441="","",IFERROR(INDEX('Game Records'!$M:$M,$H441),""))</f>
        <v/>
      </c>
      <c r="H441" s="104" t="str">
        <f>IF($H440="","",IFERROR(MATCH(1,INDEX((ROW('Game Records'!$U$5:$U$504)&gt;$H440)*(('Game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2" ht="24" customHeight="1">
      <c r="A442" s="332" t="str">
        <f>IF($H442="","",ROWS($A$5:A442))</f>
        <v/>
      </c>
      <c r="B442" s="332" t="str">
        <f>IF($H442="","","G-"&amp;TEXT($A442,"0000"))</f>
        <v/>
      </c>
      <c r="C442" s="331" t="str">
        <f>IF($H442="","",IFERROR(INDEX('Game Records'!$A:$A,$H442),""))</f>
        <v/>
      </c>
      <c r="D442" s="331" t="str">
        <f>IF($H442="","",IFERROR(INDEX('Game Records'!$U:$U,$H442),""))</f>
        <v/>
      </c>
      <c r="E442" s="331" t="str">
        <f>IF($H442="","",IF($F442="","No Highlighted Fields","Highlighted Fields Present"))</f>
        <v/>
      </c>
      <c r="F442" s="331" t="str">
        <f>IF($H442="","",IF(OR(NOT(ISFORMULA(INDEX('Game Records'!$N:$N,$H442))),NOT(ISFORMULA(INDEX('Game Records'!$O:$O,$H442))),NOT(ISFORMULA(INDEX('Game Records'!$P:$P,$H442))),NOT(ISFORMULA(INDEX('Game Records'!$Q:$Q,$H442))),NOT(ISFORMULA(INDEX('Game Records'!$R:$R,$H442))),NOT(ISFORMULA(INDEX('Game Records'!$S:$S,$H442))),NOT(ISFORMULA(INDEX('Game Records'!$T:$T,$H442))),NOT(ISFORMULA(INDEX('Game Records'!$U:$U,$H442))),NOT(ISFORMULA(INDEX('Game Records'!$V:$V,$H442))),NOT(ISFORMULA(INDEX('Game Records'!$W:$W,$H442))),NOT(ISFORMULA(INDEX('Game Records'!$X:$X,$H442))),NOT(ISFORMULA(INDEX('Game Records'!$Y:$Y,$H442))),NOT(ISFORMULA(INDEX('Game Records'!$Z:$Z,$H442)))),"Formula columns missing; ","")&amp;IF(INDEX('Game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Earned; ","")&amp;IF(AND(LOWER(INDEX('Game Records'!$D:$D,$H442)&amp;"")="finalized",INDEX('Game Records'!$U:$U,$H442)&lt;&gt;"Subscription",INDEX('Game Records'!$U:$U,$H442)&lt;&gt;"Free Game",INDEX('Game Records'!$U:$U,$H442)&lt;&gt;"Disqualified — Free Game",OR(INDEX('Game Records'!$L:$L,$H442)="",LOWER(INDEX('Game Records'!$L:$L,$H442)&amp;"")="n/a")),"Disqualified Status; ","")&amp;IF(AND(OR(INDEX('Game Records'!$U:$U,$H442)="Free Game",INDEX('Game Records'!$U:$U,$H442)="Disqualified — Free Game"),N(INDEX('Game Records'!$H:$H,$H442))&lt;&gt;0),"Free Game has a non-zero Entry Fee; ",""))</f>
        <v/>
      </c>
      <c r="G442" s="331" t="str">
        <f>IF($H442="","",IFERROR(INDEX('Game Records'!$M:$M,$H442),""))</f>
        <v/>
      </c>
      <c r="H442" s="104" t="str">
        <f>IF($H441="","",IFERROR(MATCH(1,INDEX((ROW('Game Records'!$U$5:$U$504)&gt;$H441)*(('Game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3" ht="24" customHeight="1">
      <c r="A443" s="332" t="str">
        <f>IF($H443="","",ROWS($A$5:A443))</f>
        <v/>
      </c>
      <c r="B443" s="332" t="str">
        <f>IF($H443="","","G-"&amp;TEXT($A443,"0000"))</f>
        <v/>
      </c>
      <c r="C443" s="331" t="str">
        <f>IF($H443="","",IFERROR(INDEX('Game Records'!$A:$A,$H443),""))</f>
        <v/>
      </c>
      <c r="D443" s="331" t="str">
        <f>IF($H443="","",IFERROR(INDEX('Game Records'!$U:$U,$H443),""))</f>
        <v/>
      </c>
      <c r="E443" s="331" t="str">
        <f>IF($H443="","",IF($F443="","No Highlighted Fields","Highlighted Fields Present"))</f>
        <v/>
      </c>
      <c r="F443" s="331" t="str">
        <f>IF($H443="","",IF(OR(NOT(ISFORMULA(INDEX('Game Records'!$N:$N,$H443))),NOT(ISFORMULA(INDEX('Game Records'!$O:$O,$H443))),NOT(ISFORMULA(INDEX('Game Records'!$P:$P,$H443))),NOT(ISFORMULA(INDEX('Game Records'!$Q:$Q,$H443))),NOT(ISFORMULA(INDEX('Game Records'!$R:$R,$H443))),NOT(ISFORMULA(INDEX('Game Records'!$S:$S,$H443))),NOT(ISFORMULA(INDEX('Game Records'!$T:$T,$H443))),NOT(ISFORMULA(INDEX('Game Records'!$U:$U,$H443))),NOT(ISFORMULA(INDEX('Game Records'!$V:$V,$H443))),NOT(ISFORMULA(INDEX('Game Records'!$W:$W,$H443))),NOT(ISFORMULA(INDEX('Game Records'!$X:$X,$H443))),NOT(ISFORMULA(INDEX('Game Records'!$Y:$Y,$H443))),NOT(ISFORMULA(INDEX('Game Records'!$Z:$Z,$H443)))),"Formula columns missing; ","")&amp;IF(INDEX('Game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Earned; ","")&amp;IF(AND(LOWER(INDEX('Game Records'!$D:$D,$H443)&amp;"")="finalized",INDEX('Game Records'!$U:$U,$H443)&lt;&gt;"Subscription",INDEX('Game Records'!$U:$U,$H443)&lt;&gt;"Free Game",INDEX('Game Records'!$U:$U,$H443)&lt;&gt;"Disqualified — Free Game",OR(INDEX('Game Records'!$L:$L,$H443)="",LOWER(INDEX('Game Records'!$L:$L,$H443)&amp;"")="n/a")),"Disqualified Status; ","")&amp;IF(AND(OR(INDEX('Game Records'!$U:$U,$H443)="Free Game",INDEX('Game Records'!$U:$U,$H443)="Disqualified — Free Game"),N(INDEX('Game Records'!$H:$H,$H443))&lt;&gt;0),"Free Game has a non-zero Entry Fee; ",""))</f>
        <v/>
      </c>
      <c r="G443" s="331" t="str">
        <f>IF($H443="","",IFERROR(INDEX('Game Records'!$M:$M,$H443),""))</f>
        <v/>
      </c>
      <c r="H443" s="104" t="str">
        <f>IF($H442="","",IFERROR(MATCH(1,INDEX((ROW('Game Records'!$U$5:$U$504)&gt;$H442)*(('Game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4" ht="24" customHeight="1">
      <c r="A444" s="332" t="str">
        <f>IF($H444="","",ROWS($A$5:A444))</f>
        <v/>
      </c>
      <c r="B444" s="332" t="str">
        <f>IF($H444="","","G-"&amp;TEXT($A444,"0000"))</f>
        <v/>
      </c>
      <c r="C444" s="331" t="str">
        <f>IF($H444="","",IFERROR(INDEX('Game Records'!$A:$A,$H444),""))</f>
        <v/>
      </c>
      <c r="D444" s="331" t="str">
        <f>IF($H444="","",IFERROR(INDEX('Game Records'!$U:$U,$H444),""))</f>
        <v/>
      </c>
      <c r="E444" s="331" t="str">
        <f>IF($H444="","",IF($F444="","No Highlighted Fields","Highlighted Fields Present"))</f>
        <v/>
      </c>
      <c r="F444" s="331" t="str">
        <f>IF($H444="","",IF(OR(NOT(ISFORMULA(INDEX('Game Records'!$N:$N,$H444))),NOT(ISFORMULA(INDEX('Game Records'!$O:$O,$H444))),NOT(ISFORMULA(INDEX('Game Records'!$P:$P,$H444))),NOT(ISFORMULA(INDEX('Game Records'!$Q:$Q,$H444))),NOT(ISFORMULA(INDEX('Game Records'!$R:$R,$H444))),NOT(ISFORMULA(INDEX('Game Records'!$S:$S,$H444))),NOT(ISFORMULA(INDEX('Game Records'!$T:$T,$H444))),NOT(ISFORMULA(INDEX('Game Records'!$U:$U,$H444))),NOT(ISFORMULA(INDEX('Game Records'!$V:$V,$H444))),NOT(ISFORMULA(INDEX('Game Records'!$W:$W,$H444))),NOT(ISFORMULA(INDEX('Game Records'!$X:$X,$H444))),NOT(ISFORMULA(INDEX('Game Records'!$Y:$Y,$H444))),NOT(ISFORMULA(INDEX('Game Records'!$Z:$Z,$H444)))),"Formula columns missing; ","")&amp;IF(INDEX('Game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Earned; ","")&amp;IF(AND(LOWER(INDEX('Game Records'!$D:$D,$H444)&amp;"")="finalized",INDEX('Game Records'!$U:$U,$H444)&lt;&gt;"Subscription",INDEX('Game Records'!$U:$U,$H444)&lt;&gt;"Free Game",INDEX('Game Records'!$U:$U,$H444)&lt;&gt;"Disqualified — Free Game",OR(INDEX('Game Records'!$L:$L,$H444)="",LOWER(INDEX('Game Records'!$L:$L,$H444)&amp;"")="n/a")),"Disqualified Status; ","")&amp;IF(AND(OR(INDEX('Game Records'!$U:$U,$H444)="Free Game",INDEX('Game Records'!$U:$U,$H444)="Disqualified — Free Game"),N(INDEX('Game Records'!$H:$H,$H444))&lt;&gt;0),"Free Game has a non-zero Entry Fee; ",""))</f>
        <v/>
      </c>
      <c r="G444" s="331" t="str">
        <f>IF($H444="","",IFERROR(INDEX('Game Records'!$M:$M,$H444),""))</f>
        <v/>
      </c>
      <c r="H444" s="104" t="str">
        <f>IF($H443="","",IFERROR(MATCH(1,INDEX((ROW('Game Records'!$U$5:$U$504)&gt;$H443)*(('Game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5" ht="24" customHeight="1">
      <c r="A445" s="332" t="str">
        <f>IF($H445="","",ROWS($A$5:A445))</f>
        <v/>
      </c>
      <c r="B445" s="332" t="str">
        <f>IF($H445="","","G-"&amp;TEXT($A445,"0000"))</f>
        <v/>
      </c>
      <c r="C445" s="331" t="str">
        <f>IF($H445="","",IFERROR(INDEX('Game Records'!$A:$A,$H445),""))</f>
        <v/>
      </c>
      <c r="D445" s="331" t="str">
        <f>IF($H445="","",IFERROR(INDEX('Game Records'!$U:$U,$H445),""))</f>
        <v/>
      </c>
      <c r="E445" s="331" t="str">
        <f>IF($H445="","",IF($F445="","No Highlighted Fields","Highlighted Fields Present"))</f>
        <v/>
      </c>
      <c r="F445" s="331" t="str">
        <f>IF($H445="","",IF(OR(NOT(ISFORMULA(INDEX('Game Records'!$N:$N,$H445))),NOT(ISFORMULA(INDEX('Game Records'!$O:$O,$H445))),NOT(ISFORMULA(INDEX('Game Records'!$P:$P,$H445))),NOT(ISFORMULA(INDEX('Game Records'!$Q:$Q,$H445))),NOT(ISFORMULA(INDEX('Game Records'!$R:$R,$H445))),NOT(ISFORMULA(INDEX('Game Records'!$S:$S,$H445))),NOT(ISFORMULA(INDEX('Game Records'!$T:$T,$H445))),NOT(ISFORMULA(INDEX('Game Records'!$U:$U,$H445))),NOT(ISFORMULA(INDEX('Game Records'!$V:$V,$H445))),NOT(ISFORMULA(INDEX('Game Records'!$W:$W,$H445))),NOT(ISFORMULA(INDEX('Game Records'!$X:$X,$H445))),NOT(ISFORMULA(INDEX('Game Records'!$Y:$Y,$H445))),NOT(ISFORMULA(INDEX('Game Records'!$Z:$Z,$H445)))),"Formula columns missing; ","")&amp;IF(INDEX('Game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Earned; ","")&amp;IF(AND(LOWER(INDEX('Game Records'!$D:$D,$H445)&amp;"")="finalized",INDEX('Game Records'!$U:$U,$H445)&lt;&gt;"Subscription",INDEX('Game Records'!$U:$U,$H445)&lt;&gt;"Free Game",INDEX('Game Records'!$U:$U,$H445)&lt;&gt;"Disqualified — Free Game",OR(INDEX('Game Records'!$L:$L,$H445)="",LOWER(INDEX('Game Records'!$L:$L,$H445)&amp;"")="n/a")),"Disqualified Status; ","")&amp;IF(AND(OR(INDEX('Game Records'!$U:$U,$H445)="Free Game",INDEX('Game Records'!$U:$U,$H445)="Disqualified — Free Game"),N(INDEX('Game Records'!$H:$H,$H445))&lt;&gt;0),"Free Game has a non-zero Entry Fee; ",""))</f>
        <v/>
      </c>
      <c r="G445" s="331" t="str">
        <f>IF($H445="","",IFERROR(INDEX('Game Records'!$M:$M,$H445),""))</f>
        <v/>
      </c>
      <c r="H445" s="104" t="str">
        <f>IF($H444="","",IFERROR(MATCH(1,INDEX((ROW('Game Records'!$U$5:$U$504)&gt;$H444)*(('Game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6" ht="24" customHeight="1">
      <c r="A446" s="332" t="str">
        <f>IF($H446="","",ROWS($A$5:A446))</f>
        <v/>
      </c>
      <c r="B446" s="332" t="str">
        <f>IF($H446="","","G-"&amp;TEXT($A446,"0000"))</f>
        <v/>
      </c>
      <c r="C446" s="331" t="str">
        <f>IF($H446="","",IFERROR(INDEX('Game Records'!$A:$A,$H446),""))</f>
        <v/>
      </c>
      <c r="D446" s="331" t="str">
        <f>IF($H446="","",IFERROR(INDEX('Game Records'!$U:$U,$H446),""))</f>
        <v/>
      </c>
      <c r="E446" s="331" t="str">
        <f>IF($H446="","",IF($F446="","No Highlighted Fields","Highlighted Fields Present"))</f>
        <v/>
      </c>
      <c r="F446" s="331" t="str">
        <f>IF($H446="","",IF(OR(NOT(ISFORMULA(INDEX('Game Records'!$N:$N,$H446))),NOT(ISFORMULA(INDEX('Game Records'!$O:$O,$H446))),NOT(ISFORMULA(INDEX('Game Records'!$P:$P,$H446))),NOT(ISFORMULA(INDEX('Game Records'!$Q:$Q,$H446))),NOT(ISFORMULA(INDEX('Game Records'!$R:$R,$H446))),NOT(ISFORMULA(INDEX('Game Records'!$S:$S,$H446))),NOT(ISFORMULA(INDEX('Game Records'!$T:$T,$H446))),NOT(ISFORMULA(INDEX('Game Records'!$U:$U,$H446))),NOT(ISFORMULA(INDEX('Game Records'!$V:$V,$H446))),NOT(ISFORMULA(INDEX('Game Records'!$W:$W,$H446))),NOT(ISFORMULA(INDEX('Game Records'!$X:$X,$H446))),NOT(ISFORMULA(INDEX('Game Records'!$Y:$Y,$H446))),NOT(ISFORMULA(INDEX('Game Records'!$Z:$Z,$H446)))),"Formula columns missing; ","")&amp;IF(INDEX('Game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Earned; ","")&amp;IF(AND(LOWER(INDEX('Game Records'!$D:$D,$H446)&amp;"")="finalized",INDEX('Game Records'!$U:$U,$H446)&lt;&gt;"Subscription",INDEX('Game Records'!$U:$U,$H446)&lt;&gt;"Free Game",INDEX('Game Records'!$U:$U,$H446)&lt;&gt;"Disqualified — Free Game",OR(INDEX('Game Records'!$L:$L,$H446)="",LOWER(INDEX('Game Records'!$L:$L,$H446)&amp;"")="n/a")),"Disqualified Status; ","")&amp;IF(AND(OR(INDEX('Game Records'!$U:$U,$H446)="Free Game",INDEX('Game Records'!$U:$U,$H446)="Disqualified — Free Game"),N(INDEX('Game Records'!$H:$H,$H446))&lt;&gt;0),"Free Game has a non-zero Entry Fee; ",""))</f>
        <v/>
      </c>
      <c r="G446" s="331" t="str">
        <f>IF($H446="","",IFERROR(INDEX('Game Records'!$M:$M,$H446),""))</f>
        <v/>
      </c>
      <c r="H446" s="104" t="str">
        <f>IF($H445="","",IFERROR(MATCH(1,INDEX((ROW('Game Records'!$U$5:$U$504)&gt;$H445)*(('Game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7" ht="24" customHeight="1">
      <c r="A447" s="332" t="str">
        <f>IF($H447="","",ROWS($A$5:A447))</f>
        <v/>
      </c>
      <c r="B447" s="332" t="str">
        <f>IF($H447="","","G-"&amp;TEXT($A447,"0000"))</f>
        <v/>
      </c>
      <c r="C447" s="331" t="str">
        <f>IF($H447="","",IFERROR(INDEX('Game Records'!$A:$A,$H447),""))</f>
        <v/>
      </c>
      <c r="D447" s="331" t="str">
        <f>IF($H447="","",IFERROR(INDEX('Game Records'!$U:$U,$H447),""))</f>
        <v/>
      </c>
      <c r="E447" s="331" t="str">
        <f>IF($H447="","",IF($F447="","No Highlighted Fields","Highlighted Fields Present"))</f>
        <v/>
      </c>
      <c r="F447" s="331" t="str">
        <f>IF($H447="","",IF(OR(NOT(ISFORMULA(INDEX('Game Records'!$N:$N,$H447))),NOT(ISFORMULA(INDEX('Game Records'!$O:$O,$H447))),NOT(ISFORMULA(INDEX('Game Records'!$P:$P,$H447))),NOT(ISFORMULA(INDEX('Game Records'!$Q:$Q,$H447))),NOT(ISFORMULA(INDEX('Game Records'!$R:$R,$H447))),NOT(ISFORMULA(INDEX('Game Records'!$S:$S,$H447))),NOT(ISFORMULA(INDEX('Game Records'!$T:$T,$H447))),NOT(ISFORMULA(INDEX('Game Records'!$U:$U,$H447))),NOT(ISFORMULA(INDEX('Game Records'!$V:$V,$H447))),NOT(ISFORMULA(INDEX('Game Records'!$W:$W,$H447))),NOT(ISFORMULA(INDEX('Game Records'!$X:$X,$H447))),NOT(ISFORMULA(INDEX('Game Records'!$Y:$Y,$H447))),NOT(ISFORMULA(INDEX('Game Records'!$Z:$Z,$H447)))),"Formula columns missing; ","")&amp;IF(INDEX('Game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Earned; ","")&amp;IF(AND(LOWER(INDEX('Game Records'!$D:$D,$H447)&amp;"")="finalized",INDEX('Game Records'!$U:$U,$H447)&lt;&gt;"Subscription",INDEX('Game Records'!$U:$U,$H447)&lt;&gt;"Free Game",INDEX('Game Records'!$U:$U,$H447)&lt;&gt;"Disqualified — Free Game",OR(INDEX('Game Records'!$L:$L,$H447)="",LOWER(INDEX('Game Records'!$L:$L,$H447)&amp;"")="n/a")),"Disqualified Status; ","")&amp;IF(AND(OR(INDEX('Game Records'!$U:$U,$H447)="Free Game",INDEX('Game Records'!$U:$U,$H447)="Disqualified — Free Game"),N(INDEX('Game Records'!$H:$H,$H447))&lt;&gt;0),"Free Game has a non-zero Entry Fee; ",""))</f>
        <v/>
      </c>
      <c r="G447" s="331" t="str">
        <f>IF($H447="","",IFERROR(INDEX('Game Records'!$M:$M,$H447),""))</f>
        <v/>
      </c>
      <c r="H447" s="104" t="str">
        <f>IF($H446="","",IFERROR(MATCH(1,INDEX((ROW('Game Records'!$U$5:$U$504)&gt;$H446)*(('Game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8" ht="24" customHeight="1">
      <c r="A448" s="332" t="str">
        <f>IF($H448="","",ROWS($A$5:A448))</f>
        <v/>
      </c>
      <c r="B448" s="332" t="str">
        <f>IF($H448="","","G-"&amp;TEXT($A448,"0000"))</f>
        <v/>
      </c>
      <c r="C448" s="331" t="str">
        <f>IF($H448="","",IFERROR(INDEX('Game Records'!$A:$A,$H448),""))</f>
        <v/>
      </c>
      <c r="D448" s="331" t="str">
        <f>IF($H448="","",IFERROR(INDEX('Game Records'!$U:$U,$H448),""))</f>
        <v/>
      </c>
      <c r="E448" s="331" t="str">
        <f>IF($H448="","",IF($F448="","No Highlighted Fields","Highlighted Fields Present"))</f>
        <v/>
      </c>
      <c r="F448" s="331" t="str">
        <f>IF($H448="","",IF(OR(NOT(ISFORMULA(INDEX('Game Records'!$N:$N,$H448))),NOT(ISFORMULA(INDEX('Game Records'!$O:$O,$H448))),NOT(ISFORMULA(INDEX('Game Records'!$P:$P,$H448))),NOT(ISFORMULA(INDEX('Game Records'!$Q:$Q,$H448))),NOT(ISFORMULA(INDEX('Game Records'!$R:$R,$H448))),NOT(ISFORMULA(INDEX('Game Records'!$S:$S,$H448))),NOT(ISFORMULA(INDEX('Game Records'!$T:$T,$H448))),NOT(ISFORMULA(INDEX('Game Records'!$U:$U,$H448))),NOT(ISFORMULA(INDEX('Game Records'!$V:$V,$H448))),NOT(ISFORMULA(INDEX('Game Records'!$W:$W,$H448))),NOT(ISFORMULA(INDEX('Game Records'!$X:$X,$H448))),NOT(ISFORMULA(INDEX('Game Records'!$Y:$Y,$H448))),NOT(ISFORMULA(INDEX('Game Records'!$Z:$Z,$H448)))),"Formula columns missing; ","")&amp;IF(INDEX('Game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Earned; ","")&amp;IF(AND(LOWER(INDEX('Game Records'!$D:$D,$H448)&amp;"")="finalized",INDEX('Game Records'!$U:$U,$H448)&lt;&gt;"Subscription",INDEX('Game Records'!$U:$U,$H448)&lt;&gt;"Free Game",INDEX('Game Records'!$U:$U,$H448)&lt;&gt;"Disqualified — Free Game",OR(INDEX('Game Records'!$L:$L,$H448)="",LOWER(INDEX('Game Records'!$L:$L,$H448)&amp;"")="n/a")),"Disqualified Status; ","")&amp;IF(AND(OR(INDEX('Game Records'!$U:$U,$H448)="Free Game",INDEX('Game Records'!$U:$U,$H448)="Disqualified — Free Game"),N(INDEX('Game Records'!$H:$H,$H448))&lt;&gt;0),"Free Game has a non-zero Entry Fee; ",""))</f>
        <v/>
      </c>
      <c r="G448" s="331" t="str">
        <f>IF($H448="","",IFERROR(INDEX('Game Records'!$M:$M,$H448),""))</f>
        <v/>
      </c>
      <c r="H448" s="104" t="str">
        <f>IF($H447="","",IFERROR(MATCH(1,INDEX((ROW('Game Records'!$U$5:$U$504)&gt;$H447)*(('Game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9" ht="24" customHeight="1">
      <c r="A449" s="332" t="str">
        <f>IF($H449="","",ROWS($A$5:A449))</f>
        <v/>
      </c>
      <c r="B449" s="332" t="str">
        <f>IF($H449="","","G-"&amp;TEXT($A449,"0000"))</f>
        <v/>
      </c>
      <c r="C449" s="331" t="str">
        <f>IF($H449="","",IFERROR(INDEX('Game Records'!$A:$A,$H449),""))</f>
        <v/>
      </c>
      <c r="D449" s="331" t="str">
        <f>IF($H449="","",IFERROR(INDEX('Game Records'!$U:$U,$H449),""))</f>
        <v/>
      </c>
      <c r="E449" s="331" t="str">
        <f>IF($H449="","",IF($F449="","No Highlighted Fields","Highlighted Fields Present"))</f>
        <v/>
      </c>
      <c r="F449" s="331" t="str">
        <f>IF($H449="","",IF(OR(NOT(ISFORMULA(INDEX('Game Records'!$N:$N,$H449))),NOT(ISFORMULA(INDEX('Game Records'!$O:$O,$H449))),NOT(ISFORMULA(INDEX('Game Records'!$P:$P,$H449))),NOT(ISFORMULA(INDEX('Game Records'!$Q:$Q,$H449))),NOT(ISFORMULA(INDEX('Game Records'!$R:$R,$H449))),NOT(ISFORMULA(INDEX('Game Records'!$S:$S,$H449))),NOT(ISFORMULA(INDEX('Game Records'!$T:$T,$H449))),NOT(ISFORMULA(INDEX('Game Records'!$U:$U,$H449))),NOT(ISFORMULA(INDEX('Game Records'!$V:$V,$H449))),NOT(ISFORMULA(INDEX('Game Records'!$W:$W,$H449))),NOT(ISFORMULA(INDEX('Game Records'!$X:$X,$H449))),NOT(ISFORMULA(INDEX('Game Records'!$Y:$Y,$H449))),NOT(ISFORMULA(INDEX('Game Records'!$Z:$Z,$H449)))),"Formula columns missing; ","")&amp;IF(INDEX('Game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Earned; ","")&amp;IF(AND(LOWER(INDEX('Game Records'!$D:$D,$H449)&amp;"")="finalized",INDEX('Game Records'!$U:$U,$H449)&lt;&gt;"Subscription",INDEX('Game Records'!$U:$U,$H449)&lt;&gt;"Free Game",INDEX('Game Records'!$U:$U,$H449)&lt;&gt;"Disqualified — Free Game",OR(INDEX('Game Records'!$L:$L,$H449)="",LOWER(INDEX('Game Records'!$L:$L,$H449)&amp;"")="n/a")),"Disqualified Status; ","")&amp;IF(AND(OR(INDEX('Game Records'!$U:$U,$H449)="Free Game",INDEX('Game Records'!$U:$U,$H449)="Disqualified — Free Game"),N(INDEX('Game Records'!$H:$H,$H449))&lt;&gt;0),"Free Game has a non-zero Entry Fee; ",""))</f>
        <v/>
      </c>
      <c r="G449" s="331" t="str">
        <f>IF($H449="","",IFERROR(INDEX('Game Records'!$M:$M,$H449),""))</f>
        <v/>
      </c>
      <c r="H449" s="104" t="str">
        <f>IF($H448="","",IFERROR(MATCH(1,INDEX((ROW('Game Records'!$U$5:$U$504)&gt;$H448)*(('Game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0" ht="24" customHeight="1">
      <c r="A450" s="332" t="str">
        <f>IF($H450="","",ROWS($A$5:A450))</f>
        <v/>
      </c>
      <c r="B450" s="332" t="str">
        <f>IF($H450="","","G-"&amp;TEXT($A450,"0000"))</f>
        <v/>
      </c>
      <c r="C450" s="331" t="str">
        <f>IF($H450="","",IFERROR(INDEX('Game Records'!$A:$A,$H450),""))</f>
        <v/>
      </c>
      <c r="D450" s="331" t="str">
        <f>IF($H450="","",IFERROR(INDEX('Game Records'!$U:$U,$H450),""))</f>
        <v/>
      </c>
      <c r="E450" s="331" t="str">
        <f>IF($H450="","",IF($F450="","No Highlighted Fields","Highlighted Fields Present"))</f>
        <v/>
      </c>
      <c r="F450" s="331" t="str">
        <f>IF($H450="","",IF(OR(NOT(ISFORMULA(INDEX('Game Records'!$N:$N,$H450))),NOT(ISFORMULA(INDEX('Game Records'!$O:$O,$H450))),NOT(ISFORMULA(INDEX('Game Records'!$P:$P,$H450))),NOT(ISFORMULA(INDEX('Game Records'!$Q:$Q,$H450))),NOT(ISFORMULA(INDEX('Game Records'!$R:$R,$H450))),NOT(ISFORMULA(INDEX('Game Records'!$S:$S,$H450))),NOT(ISFORMULA(INDEX('Game Records'!$T:$T,$H450))),NOT(ISFORMULA(INDEX('Game Records'!$U:$U,$H450))),NOT(ISFORMULA(INDEX('Game Records'!$V:$V,$H450))),NOT(ISFORMULA(INDEX('Game Records'!$W:$W,$H450))),NOT(ISFORMULA(INDEX('Game Records'!$X:$X,$H450))),NOT(ISFORMULA(INDEX('Game Records'!$Y:$Y,$H450))),NOT(ISFORMULA(INDEX('Game Records'!$Z:$Z,$H450)))),"Formula columns missing; ","")&amp;IF(INDEX('Game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Earned; ","")&amp;IF(AND(LOWER(INDEX('Game Records'!$D:$D,$H450)&amp;"")="finalized",INDEX('Game Records'!$U:$U,$H450)&lt;&gt;"Subscription",INDEX('Game Records'!$U:$U,$H450)&lt;&gt;"Free Game",INDEX('Game Records'!$U:$U,$H450)&lt;&gt;"Disqualified — Free Game",OR(INDEX('Game Records'!$L:$L,$H450)="",LOWER(INDEX('Game Records'!$L:$L,$H450)&amp;"")="n/a")),"Disqualified Status; ","")&amp;IF(AND(OR(INDEX('Game Records'!$U:$U,$H450)="Free Game",INDEX('Game Records'!$U:$U,$H450)="Disqualified — Free Game"),N(INDEX('Game Records'!$H:$H,$H450))&lt;&gt;0),"Free Game has a non-zero Entry Fee; ",""))</f>
        <v/>
      </c>
      <c r="G450" s="331" t="str">
        <f>IF($H450="","",IFERROR(INDEX('Game Records'!$M:$M,$H450),""))</f>
        <v/>
      </c>
      <c r="H450" s="104" t="str">
        <f>IF($H449="","",IFERROR(MATCH(1,INDEX((ROW('Game Records'!$U$5:$U$504)&gt;$H449)*(('Game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1" ht="24" customHeight="1">
      <c r="A451" s="332" t="str">
        <f>IF($H451="","",ROWS($A$5:A451))</f>
        <v/>
      </c>
      <c r="B451" s="332" t="str">
        <f>IF($H451="","","G-"&amp;TEXT($A451,"0000"))</f>
        <v/>
      </c>
      <c r="C451" s="331" t="str">
        <f>IF($H451="","",IFERROR(INDEX('Game Records'!$A:$A,$H451),""))</f>
        <v/>
      </c>
      <c r="D451" s="331" t="str">
        <f>IF($H451="","",IFERROR(INDEX('Game Records'!$U:$U,$H451),""))</f>
        <v/>
      </c>
      <c r="E451" s="331" t="str">
        <f>IF($H451="","",IF($F451="","No Highlighted Fields","Highlighted Fields Present"))</f>
        <v/>
      </c>
      <c r="F451" s="331" t="str">
        <f>IF($H451="","",IF(OR(NOT(ISFORMULA(INDEX('Game Records'!$N:$N,$H451))),NOT(ISFORMULA(INDEX('Game Records'!$O:$O,$H451))),NOT(ISFORMULA(INDEX('Game Records'!$P:$P,$H451))),NOT(ISFORMULA(INDEX('Game Records'!$Q:$Q,$H451))),NOT(ISFORMULA(INDEX('Game Records'!$R:$R,$H451))),NOT(ISFORMULA(INDEX('Game Records'!$S:$S,$H451))),NOT(ISFORMULA(INDEX('Game Records'!$T:$T,$H451))),NOT(ISFORMULA(INDEX('Game Records'!$U:$U,$H451))),NOT(ISFORMULA(INDEX('Game Records'!$V:$V,$H451))),NOT(ISFORMULA(INDEX('Game Records'!$W:$W,$H451))),NOT(ISFORMULA(INDEX('Game Records'!$X:$X,$H451))),NOT(ISFORMULA(INDEX('Game Records'!$Y:$Y,$H451))),NOT(ISFORMULA(INDEX('Game Records'!$Z:$Z,$H451)))),"Formula columns missing; ","")&amp;IF(INDEX('Game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Earned; ","")&amp;IF(AND(LOWER(INDEX('Game Records'!$D:$D,$H451)&amp;"")="finalized",INDEX('Game Records'!$U:$U,$H451)&lt;&gt;"Subscription",INDEX('Game Records'!$U:$U,$H451)&lt;&gt;"Free Game",INDEX('Game Records'!$U:$U,$H451)&lt;&gt;"Disqualified — Free Game",OR(INDEX('Game Records'!$L:$L,$H451)="",LOWER(INDEX('Game Records'!$L:$L,$H451)&amp;"")="n/a")),"Disqualified Status; ","")&amp;IF(AND(OR(INDEX('Game Records'!$U:$U,$H451)="Free Game",INDEX('Game Records'!$U:$U,$H451)="Disqualified — Free Game"),N(INDEX('Game Records'!$H:$H,$H451))&lt;&gt;0),"Free Game has a non-zero Entry Fee; ",""))</f>
        <v/>
      </c>
      <c r="G451" s="331" t="str">
        <f>IF($H451="","",IFERROR(INDEX('Game Records'!$M:$M,$H451),""))</f>
        <v/>
      </c>
      <c r="H451" s="104" t="str">
        <f>IF($H450="","",IFERROR(MATCH(1,INDEX((ROW('Game Records'!$U$5:$U$504)&gt;$H450)*(('Game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2" ht="24" customHeight="1">
      <c r="A452" s="332" t="str">
        <f>IF($H452="","",ROWS($A$5:A452))</f>
        <v/>
      </c>
      <c r="B452" s="332" t="str">
        <f>IF($H452="","","G-"&amp;TEXT($A452,"0000"))</f>
        <v/>
      </c>
      <c r="C452" s="331" t="str">
        <f>IF($H452="","",IFERROR(INDEX('Game Records'!$A:$A,$H452),""))</f>
        <v/>
      </c>
      <c r="D452" s="331" t="str">
        <f>IF($H452="","",IFERROR(INDEX('Game Records'!$U:$U,$H452),""))</f>
        <v/>
      </c>
      <c r="E452" s="331" t="str">
        <f>IF($H452="","",IF($F452="","No Highlighted Fields","Highlighted Fields Present"))</f>
        <v/>
      </c>
      <c r="F452" s="331" t="str">
        <f>IF($H452="","",IF(OR(NOT(ISFORMULA(INDEX('Game Records'!$N:$N,$H452))),NOT(ISFORMULA(INDEX('Game Records'!$O:$O,$H452))),NOT(ISFORMULA(INDEX('Game Records'!$P:$P,$H452))),NOT(ISFORMULA(INDEX('Game Records'!$Q:$Q,$H452))),NOT(ISFORMULA(INDEX('Game Records'!$R:$R,$H452))),NOT(ISFORMULA(INDEX('Game Records'!$S:$S,$H452))),NOT(ISFORMULA(INDEX('Game Records'!$T:$T,$H452))),NOT(ISFORMULA(INDEX('Game Records'!$U:$U,$H452))),NOT(ISFORMULA(INDEX('Game Records'!$V:$V,$H452))),NOT(ISFORMULA(INDEX('Game Records'!$W:$W,$H452))),NOT(ISFORMULA(INDEX('Game Records'!$X:$X,$H452))),NOT(ISFORMULA(INDEX('Game Records'!$Y:$Y,$H452))),NOT(ISFORMULA(INDEX('Game Records'!$Z:$Z,$H452)))),"Formula columns missing; ","")&amp;IF(INDEX('Game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Earned; ","")&amp;IF(AND(LOWER(INDEX('Game Records'!$D:$D,$H452)&amp;"")="finalized",INDEX('Game Records'!$U:$U,$H452)&lt;&gt;"Subscription",INDEX('Game Records'!$U:$U,$H452)&lt;&gt;"Free Game",INDEX('Game Records'!$U:$U,$H452)&lt;&gt;"Disqualified — Free Game",OR(INDEX('Game Records'!$L:$L,$H452)="",LOWER(INDEX('Game Records'!$L:$L,$H452)&amp;"")="n/a")),"Disqualified Status; ","")&amp;IF(AND(OR(INDEX('Game Records'!$U:$U,$H452)="Free Game",INDEX('Game Records'!$U:$U,$H452)="Disqualified — Free Game"),N(INDEX('Game Records'!$H:$H,$H452))&lt;&gt;0),"Free Game has a non-zero Entry Fee; ",""))</f>
        <v/>
      </c>
      <c r="G452" s="331" t="str">
        <f>IF($H452="","",IFERROR(INDEX('Game Records'!$M:$M,$H452),""))</f>
        <v/>
      </c>
      <c r="H452" s="104" t="str">
        <f>IF($H451="","",IFERROR(MATCH(1,INDEX((ROW('Game Records'!$U$5:$U$504)&gt;$H451)*(('Game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3" ht="24" customHeight="1">
      <c r="A453" s="332" t="str">
        <f>IF($H453="","",ROWS($A$5:A453))</f>
        <v/>
      </c>
      <c r="B453" s="332" t="str">
        <f>IF($H453="","","G-"&amp;TEXT($A453,"0000"))</f>
        <v/>
      </c>
      <c r="C453" s="331" t="str">
        <f>IF($H453="","",IFERROR(INDEX('Game Records'!$A:$A,$H453),""))</f>
        <v/>
      </c>
      <c r="D453" s="331" t="str">
        <f>IF($H453="","",IFERROR(INDEX('Game Records'!$U:$U,$H453),""))</f>
        <v/>
      </c>
      <c r="E453" s="331" t="str">
        <f>IF($H453="","",IF($F453="","No Highlighted Fields","Highlighted Fields Present"))</f>
        <v/>
      </c>
      <c r="F453" s="331" t="str">
        <f>IF($H453="","",IF(OR(NOT(ISFORMULA(INDEX('Game Records'!$N:$N,$H453))),NOT(ISFORMULA(INDEX('Game Records'!$O:$O,$H453))),NOT(ISFORMULA(INDEX('Game Records'!$P:$P,$H453))),NOT(ISFORMULA(INDEX('Game Records'!$Q:$Q,$H453))),NOT(ISFORMULA(INDEX('Game Records'!$R:$R,$H453))),NOT(ISFORMULA(INDEX('Game Records'!$S:$S,$H453))),NOT(ISFORMULA(INDEX('Game Records'!$T:$T,$H453))),NOT(ISFORMULA(INDEX('Game Records'!$U:$U,$H453))),NOT(ISFORMULA(INDEX('Game Records'!$V:$V,$H453))),NOT(ISFORMULA(INDEX('Game Records'!$W:$W,$H453))),NOT(ISFORMULA(INDEX('Game Records'!$X:$X,$H453))),NOT(ISFORMULA(INDEX('Game Records'!$Y:$Y,$H453))),NOT(ISFORMULA(INDEX('Game Records'!$Z:$Z,$H453)))),"Formula columns missing; ","")&amp;IF(INDEX('Game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Earned; ","")&amp;IF(AND(LOWER(INDEX('Game Records'!$D:$D,$H453)&amp;"")="finalized",INDEX('Game Records'!$U:$U,$H453)&lt;&gt;"Subscription",INDEX('Game Records'!$U:$U,$H453)&lt;&gt;"Free Game",INDEX('Game Records'!$U:$U,$H453)&lt;&gt;"Disqualified — Free Game",OR(INDEX('Game Records'!$L:$L,$H453)="",LOWER(INDEX('Game Records'!$L:$L,$H453)&amp;"")="n/a")),"Disqualified Status; ","")&amp;IF(AND(OR(INDEX('Game Records'!$U:$U,$H453)="Free Game",INDEX('Game Records'!$U:$U,$H453)="Disqualified — Free Game"),N(INDEX('Game Records'!$H:$H,$H453))&lt;&gt;0),"Free Game has a non-zero Entry Fee; ",""))</f>
        <v/>
      </c>
      <c r="G453" s="331" t="str">
        <f>IF($H453="","",IFERROR(INDEX('Game Records'!$M:$M,$H453),""))</f>
        <v/>
      </c>
      <c r="H453" s="104" t="str">
        <f>IF($H452="","",IFERROR(MATCH(1,INDEX((ROW('Game Records'!$U$5:$U$504)&gt;$H452)*(('Game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4" ht="24" customHeight="1">
      <c r="A454" s="332" t="str">
        <f>IF($H454="","",ROWS($A$5:A454))</f>
        <v/>
      </c>
      <c r="B454" s="332" t="str">
        <f>IF($H454="","","G-"&amp;TEXT($A454,"0000"))</f>
        <v/>
      </c>
      <c r="C454" s="331" t="str">
        <f>IF($H454="","",IFERROR(INDEX('Game Records'!$A:$A,$H454),""))</f>
        <v/>
      </c>
      <c r="D454" s="331" t="str">
        <f>IF($H454="","",IFERROR(INDEX('Game Records'!$U:$U,$H454),""))</f>
        <v/>
      </c>
      <c r="E454" s="331" t="str">
        <f>IF($H454="","",IF($F454="","No Highlighted Fields","Highlighted Fields Present"))</f>
        <v/>
      </c>
      <c r="F454" s="331" t="str">
        <f>IF($H454="","",IF(OR(NOT(ISFORMULA(INDEX('Game Records'!$N:$N,$H454))),NOT(ISFORMULA(INDEX('Game Records'!$O:$O,$H454))),NOT(ISFORMULA(INDEX('Game Records'!$P:$P,$H454))),NOT(ISFORMULA(INDEX('Game Records'!$Q:$Q,$H454))),NOT(ISFORMULA(INDEX('Game Records'!$R:$R,$H454))),NOT(ISFORMULA(INDEX('Game Records'!$S:$S,$H454))),NOT(ISFORMULA(INDEX('Game Records'!$T:$T,$H454))),NOT(ISFORMULA(INDEX('Game Records'!$U:$U,$H454))),NOT(ISFORMULA(INDEX('Game Records'!$V:$V,$H454))),NOT(ISFORMULA(INDEX('Game Records'!$W:$W,$H454))),NOT(ISFORMULA(INDEX('Game Records'!$X:$X,$H454))),NOT(ISFORMULA(INDEX('Game Records'!$Y:$Y,$H454))),NOT(ISFORMULA(INDEX('Game Records'!$Z:$Z,$H454)))),"Formula columns missing; ","")&amp;IF(INDEX('Game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Earned; ","")&amp;IF(AND(LOWER(INDEX('Game Records'!$D:$D,$H454)&amp;"")="finalized",INDEX('Game Records'!$U:$U,$H454)&lt;&gt;"Subscription",INDEX('Game Records'!$U:$U,$H454)&lt;&gt;"Free Game",INDEX('Game Records'!$U:$U,$H454)&lt;&gt;"Disqualified — Free Game",OR(INDEX('Game Records'!$L:$L,$H454)="",LOWER(INDEX('Game Records'!$L:$L,$H454)&amp;"")="n/a")),"Disqualified Status; ","")&amp;IF(AND(OR(INDEX('Game Records'!$U:$U,$H454)="Free Game",INDEX('Game Records'!$U:$U,$H454)="Disqualified — Free Game"),N(INDEX('Game Records'!$H:$H,$H454))&lt;&gt;0),"Free Game has a non-zero Entry Fee; ",""))</f>
        <v/>
      </c>
      <c r="G454" s="331" t="str">
        <f>IF($H454="","",IFERROR(INDEX('Game Records'!$M:$M,$H454),""))</f>
        <v/>
      </c>
      <c r="H454" s="104" t="str">
        <f>IF($H453="","",IFERROR(MATCH(1,INDEX((ROW('Game Records'!$U$5:$U$504)&gt;$H453)*(('Game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5" ht="24" customHeight="1">
      <c r="A455" s="332" t="str">
        <f>IF($H455="","",ROWS($A$5:A455))</f>
        <v/>
      </c>
      <c r="B455" s="332" t="str">
        <f>IF($H455="","","G-"&amp;TEXT($A455,"0000"))</f>
        <v/>
      </c>
      <c r="C455" s="331" t="str">
        <f>IF($H455="","",IFERROR(INDEX('Game Records'!$A:$A,$H455),""))</f>
        <v/>
      </c>
      <c r="D455" s="331" t="str">
        <f>IF($H455="","",IFERROR(INDEX('Game Records'!$U:$U,$H455),""))</f>
        <v/>
      </c>
      <c r="E455" s="331" t="str">
        <f>IF($H455="","",IF($F455="","No Highlighted Fields","Highlighted Fields Present"))</f>
        <v/>
      </c>
      <c r="F455" s="331" t="str">
        <f>IF($H455="","",IF(OR(NOT(ISFORMULA(INDEX('Game Records'!$N:$N,$H455))),NOT(ISFORMULA(INDEX('Game Records'!$O:$O,$H455))),NOT(ISFORMULA(INDEX('Game Records'!$P:$P,$H455))),NOT(ISFORMULA(INDEX('Game Records'!$Q:$Q,$H455))),NOT(ISFORMULA(INDEX('Game Records'!$R:$R,$H455))),NOT(ISFORMULA(INDEX('Game Records'!$S:$S,$H455))),NOT(ISFORMULA(INDEX('Game Records'!$T:$T,$H455))),NOT(ISFORMULA(INDEX('Game Records'!$U:$U,$H455))),NOT(ISFORMULA(INDEX('Game Records'!$V:$V,$H455))),NOT(ISFORMULA(INDEX('Game Records'!$W:$W,$H455))),NOT(ISFORMULA(INDEX('Game Records'!$X:$X,$H455))),NOT(ISFORMULA(INDEX('Game Records'!$Y:$Y,$H455))),NOT(ISFORMULA(INDEX('Game Records'!$Z:$Z,$H455)))),"Formula columns missing; ","")&amp;IF(INDEX('Game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Earned; ","")&amp;IF(AND(LOWER(INDEX('Game Records'!$D:$D,$H455)&amp;"")="finalized",INDEX('Game Records'!$U:$U,$H455)&lt;&gt;"Subscription",INDEX('Game Records'!$U:$U,$H455)&lt;&gt;"Free Game",INDEX('Game Records'!$U:$U,$H455)&lt;&gt;"Disqualified — Free Game",OR(INDEX('Game Records'!$L:$L,$H455)="",LOWER(INDEX('Game Records'!$L:$L,$H455)&amp;"")="n/a")),"Disqualified Status; ","")&amp;IF(AND(OR(INDEX('Game Records'!$U:$U,$H455)="Free Game",INDEX('Game Records'!$U:$U,$H455)="Disqualified — Free Game"),N(INDEX('Game Records'!$H:$H,$H455))&lt;&gt;0),"Free Game has a non-zero Entry Fee; ",""))</f>
        <v/>
      </c>
      <c r="G455" s="331" t="str">
        <f>IF($H455="","",IFERROR(INDEX('Game Records'!$M:$M,$H455),""))</f>
        <v/>
      </c>
      <c r="H455" s="104" t="str">
        <f>IF($H454="","",IFERROR(MATCH(1,INDEX((ROW('Game Records'!$U$5:$U$504)&gt;$H454)*(('Game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6" ht="24" customHeight="1">
      <c r="A456" s="332" t="str">
        <f>IF($H456="","",ROWS($A$5:A456))</f>
        <v/>
      </c>
      <c r="B456" s="332" t="str">
        <f>IF($H456="","","G-"&amp;TEXT($A456,"0000"))</f>
        <v/>
      </c>
      <c r="C456" s="331" t="str">
        <f>IF($H456="","",IFERROR(INDEX('Game Records'!$A:$A,$H456),""))</f>
        <v/>
      </c>
      <c r="D456" s="331" t="str">
        <f>IF($H456="","",IFERROR(INDEX('Game Records'!$U:$U,$H456),""))</f>
        <v/>
      </c>
      <c r="E456" s="331" t="str">
        <f>IF($H456="","",IF($F456="","No Highlighted Fields","Highlighted Fields Present"))</f>
        <v/>
      </c>
      <c r="F456" s="331" t="str">
        <f>IF($H456="","",IF(OR(NOT(ISFORMULA(INDEX('Game Records'!$N:$N,$H456))),NOT(ISFORMULA(INDEX('Game Records'!$O:$O,$H456))),NOT(ISFORMULA(INDEX('Game Records'!$P:$P,$H456))),NOT(ISFORMULA(INDEX('Game Records'!$Q:$Q,$H456))),NOT(ISFORMULA(INDEX('Game Records'!$R:$R,$H456))),NOT(ISFORMULA(INDEX('Game Records'!$S:$S,$H456))),NOT(ISFORMULA(INDEX('Game Records'!$T:$T,$H456))),NOT(ISFORMULA(INDEX('Game Records'!$U:$U,$H456))),NOT(ISFORMULA(INDEX('Game Records'!$V:$V,$H456))),NOT(ISFORMULA(INDEX('Game Records'!$W:$W,$H456))),NOT(ISFORMULA(INDEX('Game Records'!$X:$X,$H456))),NOT(ISFORMULA(INDEX('Game Records'!$Y:$Y,$H456))),NOT(ISFORMULA(INDEX('Game Records'!$Z:$Z,$H456)))),"Formula columns missing; ","")&amp;IF(INDEX('Game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Earned; ","")&amp;IF(AND(LOWER(INDEX('Game Records'!$D:$D,$H456)&amp;"")="finalized",INDEX('Game Records'!$U:$U,$H456)&lt;&gt;"Subscription",INDEX('Game Records'!$U:$U,$H456)&lt;&gt;"Free Game",INDEX('Game Records'!$U:$U,$H456)&lt;&gt;"Disqualified — Free Game",OR(INDEX('Game Records'!$L:$L,$H456)="",LOWER(INDEX('Game Records'!$L:$L,$H456)&amp;"")="n/a")),"Disqualified Status; ","")&amp;IF(AND(OR(INDEX('Game Records'!$U:$U,$H456)="Free Game",INDEX('Game Records'!$U:$U,$H456)="Disqualified — Free Game"),N(INDEX('Game Records'!$H:$H,$H456))&lt;&gt;0),"Free Game has a non-zero Entry Fee; ",""))</f>
        <v/>
      </c>
      <c r="G456" s="331" t="str">
        <f>IF($H456="","",IFERROR(INDEX('Game Records'!$M:$M,$H456),""))</f>
        <v/>
      </c>
      <c r="H456" s="104" t="str">
        <f>IF($H455="","",IFERROR(MATCH(1,INDEX((ROW('Game Records'!$U$5:$U$504)&gt;$H455)*(('Game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7" ht="24" customHeight="1">
      <c r="A457" s="332" t="str">
        <f>IF($H457="","",ROWS($A$5:A457))</f>
        <v/>
      </c>
      <c r="B457" s="332" t="str">
        <f>IF($H457="","","G-"&amp;TEXT($A457,"0000"))</f>
        <v/>
      </c>
      <c r="C457" s="331" t="str">
        <f>IF($H457="","",IFERROR(INDEX('Game Records'!$A:$A,$H457),""))</f>
        <v/>
      </c>
      <c r="D457" s="331" t="str">
        <f>IF($H457="","",IFERROR(INDEX('Game Records'!$U:$U,$H457),""))</f>
        <v/>
      </c>
      <c r="E457" s="331" t="str">
        <f>IF($H457="","",IF($F457="","No Highlighted Fields","Highlighted Fields Present"))</f>
        <v/>
      </c>
      <c r="F457" s="331" t="str">
        <f>IF($H457="","",IF(OR(NOT(ISFORMULA(INDEX('Game Records'!$N:$N,$H457))),NOT(ISFORMULA(INDEX('Game Records'!$O:$O,$H457))),NOT(ISFORMULA(INDEX('Game Records'!$P:$P,$H457))),NOT(ISFORMULA(INDEX('Game Records'!$Q:$Q,$H457))),NOT(ISFORMULA(INDEX('Game Records'!$R:$R,$H457))),NOT(ISFORMULA(INDEX('Game Records'!$S:$S,$H457))),NOT(ISFORMULA(INDEX('Game Records'!$T:$T,$H457))),NOT(ISFORMULA(INDEX('Game Records'!$U:$U,$H457))),NOT(ISFORMULA(INDEX('Game Records'!$V:$V,$H457))),NOT(ISFORMULA(INDEX('Game Records'!$W:$W,$H457))),NOT(ISFORMULA(INDEX('Game Records'!$X:$X,$H457))),NOT(ISFORMULA(INDEX('Game Records'!$Y:$Y,$H457))),NOT(ISFORMULA(INDEX('Game Records'!$Z:$Z,$H457)))),"Formula columns missing; ","")&amp;IF(INDEX('Game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Earned; ","")&amp;IF(AND(LOWER(INDEX('Game Records'!$D:$D,$H457)&amp;"")="finalized",INDEX('Game Records'!$U:$U,$H457)&lt;&gt;"Subscription",INDEX('Game Records'!$U:$U,$H457)&lt;&gt;"Free Game",INDEX('Game Records'!$U:$U,$H457)&lt;&gt;"Disqualified — Free Game",OR(INDEX('Game Records'!$L:$L,$H457)="",LOWER(INDEX('Game Records'!$L:$L,$H457)&amp;"")="n/a")),"Disqualified Status; ","")&amp;IF(AND(OR(INDEX('Game Records'!$U:$U,$H457)="Free Game",INDEX('Game Records'!$U:$U,$H457)="Disqualified — Free Game"),N(INDEX('Game Records'!$H:$H,$H457))&lt;&gt;0),"Free Game has a non-zero Entry Fee; ",""))</f>
        <v/>
      </c>
      <c r="G457" s="331" t="str">
        <f>IF($H457="","",IFERROR(INDEX('Game Records'!$M:$M,$H457),""))</f>
        <v/>
      </c>
      <c r="H457" s="104" t="str">
        <f>IF($H456="","",IFERROR(MATCH(1,INDEX((ROW('Game Records'!$U$5:$U$504)&gt;$H456)*(('Game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8" ht="24" customHeight="1">
      <c r="A458" s="332" t="str">
        <f>IF($H458="","",ROWS($A$5:A458))</f>
        <v/>
      </c>
      <c r="B458" s="332" t="str">
        <f>IF($H458="","","G-"&amp;TEXT($A458,"0000"))</f>
        <v/>
      </c>
      <c r="C458" s="331" t="str">
        <f>IF($H458="","",IFERROR(INDEX('Game Records'!$A:$A,$H458),""))</f>
        <v/>
      </c>
      <c r="D458" s="331" t="str">
        <f>IF($H458="","",IFERROR(INDEX('Game Records'!$U:$U,$H458),""))</f>
        <v/>
      </c>
      <c r="E458" s="331" t="str">
        <f>IF($H458="","",IF($F458="","No Highlighted Fields","Highlighted Fields Present"))</f>
        <v/>
      </c>
      <c r="F458" s="331" t="str">
        <f>IF($H458="","",IF(OR(NOT(ISFORMULA(INDEX('Game Records'!$N:$N,$H458))),NOT(ISFORMULA(INDEX('Game Records'!$O:$O,$H458))),NOT(ISFORMULA(INDEX('Game Records'!$P:$P,$H458))),NOT(ISFORMULA(INDEX('Game Records'!$Q:$Q,$H458))),NOT(ISFORMULA(INDEX('Game Records'!$R:$R,$H458))),NOT(ISFORMULA(INDEX('Game Records'!$S:$S,$H458))),NOT(ISFORMULA(INDEX('Game Records'!$T:$T,$H458))),NOT(ISFORMULA(INDEX('Game Records'!$U:$U,$H458))),NOT(ISFORMULA(INDEX('Game Records'!$V:$V,$H458))),NOT(ISFORMULA(INDEX('Game Records'!$W:$W,$H458))),NOT(ISFORMULA(INDEX('Game Records'!$X:$X,$H458))),NOT(ISFORMULA(INDEX('Game Records'!$Y:$Y,$H458))),NOT(ISFORMULA(INDEX('Game Records'!$Z:$Z,$H458)))),"Formula columns missing; ","")&amp;IF(INDEX('Game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Earned; ","")&amp;IF(AND(LOWER(INDEX('Game Records'!$D:$D,$H458)&amp;"")="finalized",INDEX('Game Records'!$U:$U,$H458)&lt;&gt;"Subscription",INDEX('Game Records'!$U:$U,$H458)&lt;&gt;"Free Game",INDEX('Game Records'!$U:$U,$H458)&lt;&gt;"Disqualified — Free Game",OR(INDEX('Game Records'!$L:$L,$H458)="",LOWER(INDEX('Game Records'!$L:$L,$H458)&amp;"")="n/a")),"Disqualified Status; ","")&amp;IF(AND(OR(INDEX('Game Records'!$U:$U,$H458)="Free Game",INDEX('Game Records'!$U:$U,$H458)="Disqualified — Free Game"),N(INDEX('Game Records'!$H:$H,$H458))&lt;&gt;0),"Free Game has a non-zero Entry Fee; ",""))</f>
        <v/>
      </c>
      <c r="G458" s="331" t="str">
        <f>IF($H458="","",IFERROR(INDEX('Game Records'!$M:$M,$H458),""))</f>
        <v/>
      </c>
      <c r="H458" s="104" t="str">
        <f>IF($H457="","",IFERROR(MATCH(1,INDEX((ROW('Game Records'!$U$5:$U$504)&gt;$H457)*(('Game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9" ht="24" customHeight="1">
      <c r="A459" s="332" t="str">
        <f>IF($H459="","",ROWS($A$5:A459))</f>
        <v/>
      </c>
      <c r="B459" s="332" t="str">
        <f>IF($H459="","","G-"&amp;TEXT($A459,"0000"))</f>
        <v/>
      </c>
      <c r="C459" s="331" t="str">
        <f>IF($H459="","",IFERROR(INDEX('Game Records'!$A:$A,$H459),""))</f>
        <v/>
      </c>
      <c r="D459" s="331" t="str">
        <f>IF($H459="","",IFERROR(INDEX('Game Records'!$U:$U,$H459),""))</f>
        <v/>
      </c>
      <c r="E459" s="331" t="str">
        <f>IF($H459="","",IF($F459="","No Highlighted Fields","Highlighted Fields Present"))</f>
        <v/>
      </c>
      <c r="F459" s="331" t="str">
        <f>IF($H459="","",IF(OR(NOT(ISFORMULA(INDEX('Game Records'!$N:$N,$H459))),NOT(ISFORMULA(INDEX('Game Records'!$O:$O,$H459))),NOT(ISFORMULA(INDEX('Game Records'!$P:$P,$H459))),NOT(ISFORMULA(INDEX('Game Records'!$Q:$Q,$H459))),NOT(ISFORMULA(INDEX('Game Records'!$R:$R,$H459))),NOT(ISFORMULA(INDEX('Game Records'!$S:$S,$H459))),NOT(ISFORMULA(INDEX('Game Records'!$T:$T,$H459))),NOT(ISFORMULA(INDEX('Game Records'!$U:$U,$H459))),NOT(ISFORMULA(INDEX('Game Records'!$V:$V,$H459))),NOT(ISFORMULA(INDEX('Game Records'!$W:$W,$H459))),NOT(ISFORMULA(INDEX('Game Records'!$X:$X,$H459))),NOT(ISFORMULA(INDEX('Game Records'!$Y:$Y,$H459))),NOT(ISFORMULA(INDEX('Game Records'!$Z:$Z,$H459)))),"Formula columns missing; ","")&amp;IF(INDEX('Game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Earned; ","")&amp;IF(AND(LOWER(INDEX('Game Records'!$D:$D,$H459)&amp;"")="finalized",INDEX('Game Records'!$U:$U,$H459)&lt;&gt;"Subscription",INDEX('Game Records'!$U:$U,$H459)&lt;&gt;"Free Game",INDEX('Game Records'!$U:$U,$H459)&lt;&gt;"Disqualified — Free Game",OR(INDEX('Game Records'!$L:$L,$H459)="",LOWER(INDEX('Game Records'!$L:$L,$H459)&amp;"")="n/a")),"Disqualified Status; ","")&amp;IF(AND(OR(INDEX('Game Records'!$U:$U,$H459)="Free Game",INDEX('Game Records'!$U:$U,$H459)="Disqualified — Free Game"),N(INDEX('Game Records'!$H:$H,$H459))&lt;&gt;0),"Free Game has a non-zero Entry Fee; ",""))</f>
        <v/>
      </c>
      <c r="G459" s="331" t="str">
        <f>IF($H459="","",IFERROR(INDEX('Game Records'!$M:$M,$H459),""))</f>
        <v/>
      </c>
      <c r="H459" s="104" t="str">
        <f>IF($H458="","",IFERROR(MATCH(1,INDEX((ROW('Game Records'!$U$5:$U$504)&gt;$H458)*(('Game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0" ht="24" customHeight="1">
      <c r="A460" s="332" t="str">
        <f>IF($H460="","",ROWS($A$5:A460))</f>
        <v/>
      </c>
      <c r="B460" s="332" t="str">
        <f>IF($H460="","","G-"&amp;TEXT($A460,"0000"))</f>
        <v/>
      </c>
      <c r="C460" s="331" t="str">
        <f>IF($H460="","",IFERROR(INDEX('Game Records'!$A:$A,$H460),""))</f>
        <v/>
      </c>
      <c r="D460" s="331" t="str">
        <f>IF($H460="","",IFERROR(INDEX('Game Records'!$U:$U,$H460),""))</f>
        <v/>
      </c>
      <c r="E460" s="331" t="str">
        <f>IF($H460="","",IF($F460="","No Highlighted Fields","Highlighted Fields Present"))</f>
        <v/>
      </c>
      <c r="F460" s="331" t="str">
        <f>IF($H460="","",IF(OR(NOT(ISFORMULA(INDEX('Game Records'!$N:$N,$H460))),NOT(ISFORMULA(INDEX('Game Records'!$O:$O,$H460))),NOT(ISFORMULA(INDEX('Game Records'!$P:$P,$H460))),NOT(ISFORMULA(INDEX('Game Records'!$Q:$Q,$H460))),NOT(ISFORMULA(INDEX('Game Records'!$R:$R,$H460))),NOT(ISFORMULA(INDEX('Game Records'!$S:$S,$H460))),NOT(ISFORMULA(INDEX('Game Records'!$T:$T,$H460))),NOT(ISFORMULA(INDEX('Game Records'!$U:$U,$H460))),NOT(ISFORMULA(INDEX('Game Records'!$V:$V,$H460))),NOT(ISFORMULA(INDEX('Game Records'!$W:$W,$H460))),NOT(ISFORMULA(INDEX('Game Records'!$X:$X,$H460))),NOT(ISFORMULA(INDEX('Game Records'!$Y:$Y,$H460))),NOT(ISFORMULA(INDEX('Game Records'!$Z:$Z,$H460)))),"Formula columns missing; ","")&amp;IF(INDEX('Game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Earned; ","")&amp;IF(AND(LOWER(INDEX('Game Records'!$D:$D,$H460)&amp;"")="finalized",INDEX('Game Records'!$U:$U,$H460)&lt;&gt;"Subscription",INDEX('Game Records'!$U:$U,$H460)&lt;&gt;"Free Game",INDEX('Game Records'!$U:$U,$H460)&lt;&gt;"Disqualified — Free Game",OR(INDEX('Game Records'!$L:$L,$H460)="",LOWER(INDEX('Game Records'!$L:$L,$H460)&amp;"")="n/a")),"Disqualified Status; ","")&amp;IF(AND(OR(INDEX('Game Records'!$U:$U,$H460)="Free Game",INDEX('Game Records'!$U:$U,$H460)="Disqualified — Free Game"),N(INDEX('Game Records'!$H:$H,$H460))&lt;&gt;0),"Free Game has a non-zero Entry Fee; ",""))</f>
        <v/>
      </c>
      <c r="G460" s="331" t="str">
        <f>IF($H460="","",IFERROR(INDEX('Game Records'!$M:$M,$H460),""))</f>
        <v/>
      </c>
      <c r="H460" s="104" t="str">
        <f>IF($H459="","",IFERROR(MATCH(1,INDEX((ROW('Game Records'!$U$5:$U$504)&gt;$H459)*(('Game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1" ht="24" customHeight="1">
      <c r="A461" s="332" t="str">
        <f>IF($H461="","",ROWS($A$5:A461))</f>
        <v/>
      </c>
      <c r="B461" s="332" t="str">
        <f>IF($H461="","","G-"&amp;TEXT($A461,"0000"))</f>
        <v/>
      </c>
      <c r="C461" s="331" t="str">
        <f>IF($H461="","",IFERROR(INDEX('Game Records'!$A:$A,$H461),""))</f>
        <v/>
      </c>
      <c r="D461" s="331" t="str">
        <f>IF($H461="","",IFERROR(INDEX('Game Records'!$U:$U,$H461),""))</f>
        <v/>
      </c>
      <c r="E461" s="331" t="str">
        <f>IF($H461="","",IF($F461="","No Highlighted Fields","Highlighted Fields Present"))</f>
        <v/>
      </c>
      <c r="F461" s="331" t="str">
        <f>IF($H461="","",IF(OR(NOT(ISFORMULA(INDEX('Game Records'!$N:$N,$H461))),NOT(ISFORMULA(INDEX('Game Records'!$O:$O,$H461))),NOT(ISFORMULA(INDEX('Game Records'!$P:$P,$H461))),NOT(ISFORMULA(INDEX('Game Records'!$Q:$Q,$H461))),NOT(ISFORMULA(INDEX('Game Records'!$R:$R,$H461))),NOT(ISFORMULA(INDEX('Game Records'!$S:$S,$H461))),NOT(ISFORMULA(INDEX('Game Records'!$T:$T,$H461))),NOT(ISFORMULA(INDEX('Game Records'!$U:$U,$H461))),NOT(ISFORMULA(INDEX('Game Records'!$V:$V,$H461))),NOT(ISFORMULA(INDEX('Game Records'!$W:$W,$H461))),NOT(ISFORMULA(INDEX('Game Records'!$X:$X,$H461))),NOT(ISFORMULA(INDEX('Game Records'!$Y:$Y,$H461))),NOT(ISFORMULA(INDEX('Game Records'!$Z:$Z,$H461)))),"Formula columns missing; ","")&amp;IF(INDEX('Game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Earned; ","")&amp;IF(AND(LOWER(INDEX('Game Records'!$D:$D,$H461)&amp;"")="finalized",INDEX('Game Records'!$U:$U,$H461)&lt;&gt;"Subscription",INDEX('Game Records'!$U:$U,$H461)&lt;&gt;"Free Game",INDEX('Game Records'!$U:$U,$H461)&lt;&gt;"Disqualified — Free Game",OR(INDEX('Game Records'!$L:$L,$H461)="",LOWER(INDEX('Game Records'!$L:$L,$H461)&amp;"")="n/a")),"Disqualified Status; ","")&amp;IF(AND(OR(INDEX('Game Records'!$U:$U,$H461)="Free Game",INDEX('Game Records'!$U:$U,$H461)="Disqualified — Free Game"),N(INDEX('Game Records'!$H:$H,$H461))&lt;&gt;0),"Free Game has a non-zero Entry Fee; ",""))</f>
        <v/>
      </c>
      <c r="G461" s="331" t="str">
        <f>IF($H461="","",IFERROR(INDEX('Game Records'!$M:$M,$H461),""))</f>
        <v/>
      </c>
      <c r="H461" s="104" t="str">
        <f>IF($H460="","",IFERROR(MATCH(1,INDEX((ROW('Game Records'!$U$5:$U$504)&gt;$H460)*(('Game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2" ht="24" customHeight="1">
      <c r="A462" s="332" t="str">
        <f>IF($H462="","",ROWS($A$5:A462))</f>
        <v/>
      </c>
      <c r="B462" s="332" t="str">
        <f>IF($H462="","","G-"&amp;TEXT($A462,"0000"))</f>
        <v/>
      </c>
      <c r="C462" s="331" t="str">
        <f>IF($H462="","",IFERROR(INDEX('Game Records'!$A:$A,$H462),""))</f>
        <v/>
      </c>
      <c r="D462" s="331" t="str">
        <f>IF($H462="","",IFERROR(INDEX('Game Records'!$U:$U,$H462),""))</f>
        <v/>
      </c>
      <c r="E462" s="331" t="str">
        <f>IF($H462="","",IF($F462="","No Highlighted Fields","Highlighted Fields Present"))</f>
        <v/>
      </c>
      <c r="F462" s="331" t="str">
        <f>IF($H462="","",IF(OR(NOT(ISFORMULA(INDEX('Game Records'!$N:$N,$H462))),NOT(ISFORMULA(INDEX('Game Records'!$O:$O,$H462))),NOT(ISFORMULA(INDEX('Game Records'!$P:$P,$H462))),NOT(ISFORMULA(INDEX('Game Records'!$Q:$Q,$H462))),NOT(ISFORMULA(INDEX('Game Records'!$R:$R,$H462))),NOT(ISFORMULA(INDEX('Game Records'!$S:$S,$H462))),NOT(ISFORMULA(INDEX('Game Records'!$T:$T,$H462))),NOT(ISFORMULA(INDEX('Game Records'!$U:$U,$H462))),NOT(ISFORMULA(INDEX('Game Records'!$V:$V,$H462))),NOT(ISFORMULA(INDEX('Game Records'!$W:$W,$H462))),NOT(ISFORMULA(INDEX('Game Records'!$X:$X,$H462))),NOT(ISFORMULA(INDEX('Game Records'!$Y:$Y,$H462))),NOT(ISFORMULA(INDEX('Game Records'!$Z:$Z,$H462)))),"Formula columns missing; ","")&amp;IF(INDEX('Game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Earned; ","")&amp;IF(AND(LOWER(INDEX('Game Records'!$D:$D,$H462)&amp;"")="finalized",INDEX('Game Records'!$U:$U,$H462)&lt;&gt;"Subscription",INDEX('Game Records'!$U:$U,$H462)&lt;&gt;"Free Game",INDEX('Game Records'!$U:$U,$H462)&lt;&gt;"Disqualified — Free Game",OR(INDEX('Game Records'!$L:$L,$H462)="",LOWER(INDEX('Game Records'!$L:$L,$H462)&amp;"")="n/a")),"Disqualified Status; ","")&amp;IF(AND(OR(INDEX('Game Records'!$U:$U,$H462)="Free Game",INDEX('Game Records'!$U:$U,$H462)="Disqualified — Free Game"),N(INDEX('Game Records'!$H:$H,$H462))&lt;&gt;0),"Free Game has a non-zero Entry Fee; ",""))</f>
        <v/>
      </c>
      <c r="G462" s="331" t="str">
        <f>IF($H462="","",IFERROR(INDEX('Game Records'!$M:$M,$H462),""))</f>
        <v/>
      </c>
      <c r="H462" s="104" t="str">
        <f>IF($H461="","",IFERROR(MATCH(1,INDEX((ROW('Game Records'!$U$5:$U$504)&gt;$H461)*(('Game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3" ht="24" customHeight="1">
      <c r="A463" s="332" t="str">
        <f>IF($H463="","",ROWS($A$5:A463))</f>
        <v/>
      </c>
      <c r="B463" s="332" t="str">
        <f>IF($H463="","","G-"&amp;TEXT($A463,"0000"))</f>
        <v/>
      </c>
      <c r="C463" s="331" t="str">
        <f>IF($H463="","",IFERROR(INDEX('Game Records'!$A:$A,$H463),""))</f>
        <v/>
      </c>
      <c r="D463" s="331" t="str">
        <f>IF($H463="","",IFERROR(INDEX('Game Records'!$U:$U,$H463),""))</f>
        <v/>
      </c>
      <c r="E463" s="331" t="str">
        <f>IF($H463="","",IF($F463="","No Highlighted Fields","Highlighted Fields Present"))</f>
        <v/>
      </c>
      <c r="F463" s="331" t="str">
        <f>IF($H463="","",IF(OR(NOT(ISFORMULA(INDEX('Game Records'!$N:$N,$H463))),NOT(ISFORMULA(INDEX('Game Records'!$O:$O,$H463))),NOT(ISFORMULA(INDEX('Game Records'!$P:$P,$H463))),NOT(ISFORMULA(INDEX('Game Records'!$Q:$Q,$H463))),NOT(ISFORMULA(INDEX('Game Records'!$R:$R,$H463))),NOT(ISFORMULA(INDEX('Game Records'!$S:$S,$H463))),NOT(ISFORMULA(INDEX('Game Records'!$T:$T,$H463))),NOT(ISFORMULA(INDEX('Game Records'!$U:$U,$H463))),NOT(ISFORMULA(INDEX('Game Records'!$V:$V,$H463))),NOT(ISFORMULA(INDEX('Game Records'!$W:$W,$H463))),NOT(ISFORMULA(INDEX('Game Records'!$X:$X,$H463))),NOT(ISFORMULA(INDEX('Game Records'!$Y:$Y,$H463))),NOT(ISFORMULA(INDEX('Game Records'!$Z:$Z,$H463)))),"Formula columns missing; ","")&amp;IF(INDEX('Game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Earned; ","")&amp;IF(AND(LOWER(INDEX('Game Records'!$D:$D,$H463)&amp;"")="finalized",INDEX('Game Records'!$U:$U,$H463)&lt;&gt;"Subscription",INDEX('Game Records'!$U:$U,$H463)&lt;&gt;"Free Game",INDEX('Game Records'!$U:$U,$H463)&lt;&gt;"Disqualified — Free Game",OR(INDEX('Game Records'!$L:$L,$H463)="",LOWER(INDEX('Game Records'!$L:$L,$H463)&amp;"")="n/a")),"Disqualified Status; ","")&amp;IF(AND(OR(INDEX('Game Records'!$U:$U,$H463)="Free Game",INDEX('Game Records'!$U:$U,$H463)="Disqualified — Free Game"),N(INDEX('Game Records'!$H:$H,$H463))&lt;&gt;0),"Free Game has a non-zero Entry Fee; ",""))</f>
        <v/>
      </c>
      <c r="G463" s="331" t="str">
        <f>IF($H463="","",IFERROR(INDEX('Game Records'!$M:$M,$H463),""))</f>
        <v/>
      </c>
      <c r="H463" s="104" t="str">
        <f>IF($H462="","",IFERROR(MATCH(1,INDEX((ROW('Game Records'!$U$5:$U$504)&gt;$H462)*(('Game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4" ht="24" customHeight="1">
      <c r="A464" s="332" t="str">
        <f>IF($H464="","",ROWS($A$5:A464))</f>
        <v/>
      </c>
      <c r="B464" s="332" t="str">
        <f>IF($H464="","","G-"&amp;TEXT($A464,"0000"))</f>
        <v/>
      </c>
      <c r="C464" s="331" t="str">
        <f>IF($H464="","",IFERROR(INDEX('Game Records'!$A:$A,$H464),""))</f>
        <v/>
      </c>
      <c r="D464" s="331" t="str">
        <f>IF($H464="","",IFERROR(INDEX('Game Records'!$U:$U,$H464),""))</f>
        <v/>
      </c>
      <c r="E464" s="331" t="str">
        <f>IF($H464="","",IF($F464="","No Highlighted Fields","Highlighted Fields Present"))</f>
        <v/>
      </c>
      <c r="F464" s="331" t="str">
        <f>IF($H464="","",IF(OR(NOT(ISFORMULA(INDEX('Game Records'!$N:$N,$H464))),NOT(ISFORMULA(INDEX('Game Records'!$O:$O,$H464))),NOT(ISFORMULA(INDEX('Game Records'!$P:$P,$H464))),NOT(ISFORMULA(INDEX('Game Records'!$Q:$Q,$H464))),NOT(ISFORMULA(INDEX('Game Records'!$R:$R,$H464))),NOT(ISFORMULA(INDEX('Game Records'!$S:$S,$H464))),NOT(ISFORMULA(INDEX('Game Records'!$T:$T,$H464))),NOT(ISFORMULA(INDEX('Game Records'!$U:$U,$H464))),NOT(ISFORMULA(INDEX('Game Records'!$V:$V,$H464))),NOT(ISFORMULA(INDEX('Game Records'!$W:$W,$H464))),NOT(ISFORMULA(INDEX('Game Records'!$X:$X,$H464))),NOT(ISFORMULA(INDEX('Game Records'!$Y:$Y,$H464))),NOT(ISFORMULA(INDEX('Game Records'!$Z:$Z,$H464)))),"Formula columns missing; ","")&amp;IF(INDEX('Game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Earned; ","")&amp;IF(AND(LOWER(INDEX('Game Records'!$D:$D,$H464)&amp;"")="finalized",INDEX('Game Records'!$U:$U,$H464)&lt;&gt;"Subscription",INDEX('Game Records'!$U:$U,$H464)&lt;&gt;"Free Game",INDEX('Game Records'!$U:$U,$H464)&lt;&gt;"Disqualified — Free Game",OR(INDEX('Game Records'!$L:$L,$H464)="",LOWER(INDEX('Game Records'!$L:$L,$H464)&amp;"")="n/a")),"Disqualified Status; ","")&amp;IF(AND(OR(INDEX('Game Records'!$U:$U,$H464)="Free Game",INDEX('Game Records'!$U:$U,$H464)="Disqualified — Free Game"),N(INDEX('Game Records'!$H:$H,$H464))&lt;&gt;0),"Free Game has a non-zero Entry Fee; ",""))</f>
        <v/>
      </c>
      <c r="G464" s="331" t="str">
        <f>IF($H464="","",IFERROR(INDEX('Game Records'!$M:$M,$H464),""))</f>
        <v/>
      </c>
      <c r="H464" s="104" t="str">
        <f>IF($H463="","",IFERROR(MATCH(1,INDEX((ROW('Game Records'!$U$5:$U$504)&gt;$H463)*(('Game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5" ht="24" customHeight="1">
      <c r="A465" s="332" t="str">
        <f>IF($H465="","",ROWS($A$5:A465))</f>
        <v/>
      </c>
      <c r="B465" s="332" t="str">
        <f>IF($H465="","","G-"&amp;TEXT($A465,"0000"))</f>
        <v/>
      </c>
      <c r="C465" s="331" t="str">
        <f>IF($H465="","",IFERROR(INDEX('Game Records'!$A:$A,$H465),""))</f>
        <v/>
      </c>
      <c r="D465" s="331" t="str">
        <f>IF($H465="","",IFERROR(INDEX('Game Records'!$U:$U,$H465),""))</f>
        <v/>
      </c>
      <c r="E465" s="331" t="str">
        <f>IF($H465="","",IF($F465="","No Highlighted Fields","Highlighted Fields Present"))</f>
        <v/>
      </c>
      <c r="F465" s="331" t="str">
        <f>IF($H465="","",IF(OR(NOT(ISFORMULA(INDEX('Game Records'!$N:$N,$H465))),NOT(ISFORMULA(INDEX('Game Records'!$O:$O,$H465))),NOT(ISFORMULA(INDEX('Game Records'!$P:$P,$H465))),NOT(ISFORMULA(INDEX('Game Records'!$Q:$Q,$H465))),NOT(ISFORMULA(INDEX('Game Records'!$R:$R,$H465))),NOT(ISFORMULA(INDEX('Game Records'!$S:$S,$H465))),NOT(ISFORMULA(INDEX('Game Records'!$T:$T,$H465))),NOT(ISFORMULA(INDEX('Game Records'!$U:$U,$H465))),NOT(ISFORMULA(INDEX('Game Records'!$V:$V,$H465))),NOT(ISFORMULA(INDEX('Game Records'!$W:$W,$H465))),NOT(ISFORMULA(INDEX('Game Records'!$X:$X,$H465))),NOT(ISFORMULA(INDEX('Game Records'!$Y:$Y,$H465))),NOT(ISFORMULA(INDEX('Game Records'!$Z:$Z,$H465)))),"Formula columns missing; ","")&amp;IF(INDEX('Game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Earned; ","")&amp;IF(AND(LOWER(INDEX('Game Records'!$D:$D,$H465)&amp;"")="finalized",INDEX('Game Records'!$U:$U,$H465)&lt;&gt;"Subscription",INDEX('Game Records'!$U:$U,$H465)&lt;&gt;"Free Game",INDEX('Game Records'!$U:$U,$H465)&lt;&gt;"Disqualified — Free Game",OR(INDEX('Game Records'!$L:$L,$H465)="",LOWER(INDEX('Game Records'!$L:$L,$H465)&amp;"")="n/a")),"Disqualified Status; ","")&amp;IF(AND(OR(INDEX('Game Records'!$U:$U,$H465)="Free Game",INDEX('Game Records'!$U:$U,$H465)="Disqualified — Free Game"),N(INDEX('Game Records'!$H:$H,$H465))&lt;&gt;0),"Free Game has a non-zero Entry Fee; ",""))</f>
        <v/>
      </c>
      <c r="G465" s="331" t="str">
        <f>IF($H465="","",IFERROR(INDEX('Game Records'!$M:$M,$H465),""))</f>
        <v/>
      </c>
      <c r="H465" s="104" t="str">
        <f>IF($H464="","",IFERROR(MATCH(1,INDEX((ROW('Game Records'!$U$5:$U$504)&gt;$H464)*(('Game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6" ht="24" customHeight="1">
      <c r="A466" s="332" t="str">
        <f>IF($H466="","",ROWS($A$5:A466))</f>
        <v/>
      </c>
      <c r="B466" s="332" t="str">
        <f>IF($H466="","","G-"&amp;TEXT($A466,"0000"))</f>
        <v/>
      </c>
      <c r="C466" s="331" t="str">
        <f>IF($H466="","",IFERROR(INDEX('Game Records'!$A:$A,$H466),""))</f>
        <v/>
      </c>
      <c r="D466" s="331" t="str">
        <f>IF($H466="","",IFERROR(INDEX('Game Records'!$U:$U,$H466),""))</f>
        <v/>
      </c>
      <c r="E466" s="331" t="str">
        <f>IF($H466="","",IF($F466="","No Highlighted Fields","Highlighted Fields Present"))</f>
        <v/>
      </c>
      <c r="F466" s="331" t="str">
        <f>IF($H466="","",IF(OR(NOT(ISFORMULA(INDEX('Game Records'!$N:$N,$H466))),NOT(ISFORMULA(INDEX('Game Records'!$O:$O,$H466))),NOT(ISFORMULA(INDEX('Game Records'!$P:$P,$H466))),NOT(ISFORMULA(INDEX('Game Records'!$Q:$Q,$H466))),NOT(ISFORMULA(INDEX('Game Records'!$R:$R,$H466))),NOT(ISFORMULA(INDEX('Game Records'!$S:$S,$H466))),NOT(ISFORMULA(INDEX('Game Records'!$T:$T,$H466))),NOT(ISFORMULA(INDEX('Game Records'!$U:$U,$H466))),NOT(ISFORMULA(INDEX('Game Records'!$V:$V,$H466))),NOT(ISFORMULA(INDEX('Game Records'!$W:$W,$H466))),NOT(ISFORMULA(INDEX('Game Records'!$X:$X,$H466))),NOT(ISFORMULA(INDEX('Game Records'!$Y:$Y,$H466))),NOT(ISFORMULA(INDEX('Game Records'!$Z:$Z,$H466)))),"Formula columns missing; ","")&amp;IF(INDEX('Game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Earned; ","")&amp;IF(AND(LOWER(INDEX('Game Records'!$D:$D,$H466)&amp;"")="finalized",INDEX('Game Records'!$U:$U,$H466)&lt;&gt;"Subscription",INDEX('Game Records'!$U:$U,$H466)&lt;&gt;"Free Game",INDEX('Game Records'!$U:$U,$H466)&lt;&gt;"Disqualified — Free Game",OR(INDEX('Game Records'!$L:$L,$H466)="",LOWER(INDEX('Game Records'!$L:$L,$H466)&amp;"")="n/a")),"Disqualified Status; ","")&amp;IF(AND(OR(INDEX('Game Records'!$U:$U,$H466)="Free Game",INDEX('Game Records'!$U:$U,$H466)="Disqualified — Free Game"),N(INDEX('Game Records'!$H:$H,$H466))&lt;&gt;0),"Free Game has a non-zero Entry Fee; ",""))</f>
        <v/>
      </c>
      <c r="G466" s="331" t="str">
        <f>IF($H466="","",IFERROR(INDEX('Game Records'!$M:$M,$H466),""))</f>
        <v/>
      </c>
      <c r="H466" s="104" t="str">
        <f>IF($H465="","",IFERROR(MATCH(1,INDEX((ROW('Game Records'!$U$5:$U$504)&gt;$H465)*(('Game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7" ht="24" customHeight="1">
      <c r="A467" s="332" t="str">
        <f>IF($H467="","",ROWS($A$5:A467))</f>
        <v/>
      </c>
      <c r="B467" s="332" t="str">
        <f>IF($H467="","","G-"&amp;TEXT($A467,"0000"))</f>
        <v/>
      </c>
      <c r="C467" s="331" t="str">
        <f>IF($H467="","",IFERROR(INDEX('Game Records'!$A:$A,$H467),""))</f>
        <v/>
      </c>
      <c r="D467" s="331" t="str">
        <f>IF($H467="","",IFERROR(INDEX('Game Records'!$U:$U,$H467),""))</f>
        <v/>
      </c>
      <c r="E467" s="331" t="str">
        <f>IF($H467="","",IF($F467="","No Highlighted Fields","Highlighted Fields Present"))</f>
        <v/>
      </c>
      <c r="F467" s="331" t="str">
        <f>IF($H467="","",IF(OR(NOT(ISFORMULA(INDEX('Game Records'!$N:$N,$H467))),NOT(ISFORMULA(INDEX('Game Records'!$O:$O,$H467))),NOT(ISFORMULA(INDEX('Game Records'!$P:$P,$H467))),NOT(ISFORMULA(INDEX('Game Records'!$Q:$Q,$H467))),NOT(ISFORMULA(INDEX('Game Records'!$R:$R,$H467))),NOT(ISFORMULA(INDEX('Game Records'!$S:$S,$H467))),NOT(ISFORMULA(INDEX('Game Records'!$T:$T,$H467))),NOT(ISFORMULA(INDEX('Game Records'!$U:$U,$H467))),NOT(ISFORMULA(INDEX('Game Records'!$V:$V,$H467))),NOT(ISFORMULA(INDEX('Game Records'!$W:$W,$H467))),NOT(ISFORMULA(INDEX('Game Records'!$X:$X,$H467))),NOT(ISFORMULA(INDEX('Game Records'!$Y:$Y,$H467))),NOT(ISFORMULA(INDEX('Game Records'!$Z:$Z,$H467)))),"Formula columns missing; ","")&amp;IF(INDEX('Game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Earned; ","")&amp;IF(AND(LOWER(INDEX('Game Records'!$D:$D,$H467)&amp;"")="finalized",INDEX('Game Records'!$U:$U,$H467)&lt;&gt;"Subscription",INDEX('Game Records'!$U:$U,$H467)&lt;&gt;"Free Game",INDEX('Game Records'!$U:$U,$H467)&lt;&gt;"Disqualified — Free Game",OR(INDEX('Game Records'!$L:$L,$H467)="",LOWER(INDEX('Game Records'!$L:$L,$H467)&amp;"")="n/a")),"Disqualified Status; ","")&amp;IF(AND(OR(INDEX('Game Records'!$U:$U,$H467)="Free Game",INDEX('Game Records'!$U:$U,$H467)="Disqualified — Free Game"),N(INDEX('Game Records'!$H:$H,$H467))&lt;&gt;0),"Free Game has a non-zero Entry Fee; ",""))</f>
        <v/>
      </c>
      <c r="G467" s="331" t="str">
        <f>IF($H467="","",IFERROR(INDEX('Game Records'!$M:$M,$H467),""))</f>
        <v/>
      </c>
      <c r="H467" s="104" t="str">
        <f>IF($H466="","",IFERROR(MATCH(1,INDEX((ROW('Game Records'!$U$5:$U$504)&gt;$H466)*(('Game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8" ht="24" customHeight="1">
      <c r="A468" s="332" t="str">
        <f>IF($H468="","",ROWS($A$5:A468))</f>
        <v/>
      </c>
      <c r="B468" s="332" t="str">
        <f>IF($H468="","","G-"&amp;TEXT($A468,"0000"))</f>
        <v/>
      </c>
      <c r="C468" s="331" t="str">
        <f>IF($H468="","",IFERROR(INDEX('Game Records'!$A:$A,$H468),""))</f>
        <v/>
      </c>
      <c r="D468" s="331" t="str">
        <f>IF($H468="","",IFERROR(INDEX('Game Records'!$U:$U,$H468),""))</f>
        <v/>
      </c>
      <c r="E468" s="331" t="str">
        <f>IF($H468="","",IF($F468="","No Highlighted Fields","Highlighted Fields Present"))</f>
        <v/>
      </c>
      <c r="F468" s="331" t="str">
        <f>IF($H468="","",IF(OR(NOT(ISFORMULA(INDEX('Game Records'!$N:$N,$H468))),NOT(ISFORMULA(INDEX('Game Records'!$O:$O,$H468))),NOT(ISFORMULA(INDEX('Game Records'!$P:$P,$H468))),NOT(ISFORMULA(INDEX('Game Records'!$Q:$Q,$H468))),NOT(ISFORMULA(INDEX('Game Records'!$R:$R,$H468))),NOT(ISFORMULA(INDEX('Game Records'!$S:$S,$H468))),NOT(ISFORMULA(INDEX('Game Records'!$T:$T,$H468))),NOT(ISFORMULA(INDEX('Game Records'!$U:$U,$H468))),NOT(ISFORMULA(INDEX('Game Records'!$V:$V,$H468))),NOT(ISFORMULA(INDEX('Game Records'!$W:$W,$H468))),NOT(ISFORMULA(INDEX('Game Records'!$X:$X,$H468))),NOT(ISFORMULA(INDEX('Game Records'!$Y:$Y,$H468))),NOT(ISFORMULA(INDEX('Game Records'!$Z:$Z,$H468)))),"Formula columns missing; ","")&amp;IF(INDEX('Game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Earned; ","")&amp;IF(AND(LOWER(INDEX('Game Records'!$D:$D,$H468)&amp;"")="finalized",INDEX('Game Records'!$U:$U,$H468)&lt;&gt;"Subscription",INDEX('Game Records'!$U:$U,$H468)&lt;&gt;"Free Game",INDEX('Game Records'!$U:$U,$H468)&lt;&gt;"Disqualified — Free Game",OR(INDEX('Game Records'!$L:$L,$H468)="",LOWER(INDEX('Game Records'!$L:$L,$H468)&amp;"")="n/a")),"Disqualified Status; ","")&amp;IF(AND(OR(INDEX('Game Records'!$U:$U,$H468)="Free Game",INDEX('Game Records'!$U:$U,$H468)="Disqualified — Free Game"),N(INDEX('Game Records'!$H:$H,$H468))&lt;&gt;0),"Free Game has a non-zero Entry Fee; ",""))</f>
        <v/>
      </c>
      <c r="G468" s="331" t="str">
        <f>IF($H468="","",IFERROR(INDEX('Game Records'!$M:$M,$H468),""))</f>
        <v/>
      </c>
      <c r="H468" s="104" t="str">
        <f>IF($H467="","",IFERROR(MATCH(1,INDEX((ROW('Game Records'!$U$5:$U$504)&gt;$H467)*(('Game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9" ht="24" customHeight="1">
      <c r="A469" s="332" t="str">
        <f>IF($H469="","",ROWS($A$5:A469))</f>
        <v/>
      </c>
      <c r="B469" s="332" t="str">
        <f>IF($H469="","","G-"&amp;TEXT($A469,"0000"))</f>
        <v/>
      </c>
      <c r="C469" s="331" t="str">
        <f>IF($H469="","",IFERROR(INDEX('Game Records'!$A:$A,$H469),""))</f>
        <v/>
      </c>
      <c r="D469" s="331" t="str">
        <f>IF($H469="","",IFERROR(INDEX('Game Records'!$U:$U,$H469),""))</f>
        <v/>
      </c>
      <c r="E469" s="331" t="str">
        <f>IF($H469="","",IF($F469="","No Highlighted Fields","Highlighted Fields Present"))</f>
        <v/>
      </c>
      <c r="F469" s="331" t="str">
        <f>IF($H469="","",IF(OR(NOT(ISFORMULA(INDEX('Game Records'!$N:$N,$H469))),NOT(ISFORMULA(INDEX('Game Records'!$O:$O,$H469))),NOT(ISFORMULA(INDEX('Game Records'!$P:$P,$H469))),NOT(ISFORMULA(INDEX('Game Records'!$Q:$Q,$H469))),NOT(ISFORMULA(INDEX('Game Records'!$R:$R,$H469))),NOT(ISFORMULA(INDEX('Game Records'!$S:$S,$H469))),NOT(ISFORMULA(INDEX('Game Records'!$T:$T,$H469))),NOT(ISFORMULA(INDEX('Game Records'!$U:$U,$H469))),NOT(ISFORMULA(INDEX('Game Records'!$V:$V,$H469))),NOT(ISFORMULA(INDEX('Game Records'!$W:$W,$H469))),NOT(ISFORMULA(INDEX('Game Records'!$X:$X,$H469))),NOT(ISFORMULA(INDEX('Game Records'!$Y:$Y,$H469))),NOT(ISFORMULA(INDEX('Game Records'!$Z:$Z,$H469)))),"Formula columns missing; ","")&amp;IF(INDEX('Game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Earned; ","")&amp;IF(AND(LOWER(INDEX('Game Records'!$D:$D,$H469)&amp;"")="finalized",INDEX('Game Records'!$U:$U,$H469)&lt;&gt;"Subscription",INDEX('Game Records'!$U:$U,$H469)&lt;&gt;"Free Game",INDEX('Game Records'!$U:$U,$H469)&lt;&gt;"Disqualified — Free Game",OR(INDEX('Game Records'!$L:$L,$H469)="",LOWER(INDEX('Game Records'!$L:$L,$H469)&amp;"")="n/a")),"Disqualified Status; ","")&amp;IF(AND(OR(INDEX('Game Records'!$U:$U,$H469)="Free Game",INDEX('Game Records'!$U:$U,$H469)="Disqualified — Free Game"),N(INDEX('Game Records'!$H:$H,$H469))&lt;&gt;0),"Free Game has a non-zero Entry Fee; ",""))</f>
        <v/>
      </c>
      <c r="G469" s="331" t="str">
        <f>IF($H469="","",IFERROR(INDEX('Game Records'!$M:$M,$H469),""))</f>
        <v/>
      </c>
      <c r="H469" s="104" t="str">
        <f>IF($H468="","",IFERROR(MATCH(1,INDEX((ROW('Game Records'!$U$5:$U$504)&gt;$H468)*(('Game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0" ht="24" customHeight="1">
      <c r="A470" s="332" t="str">
        <f>IF($H470="","",ROWS($A$5:A470))</f>
        <v/>
      </c>
      <c r="B470" s="332" t="str">
        <f>IF($H470="","","G-"&amp;TEXT($A470,"0000"))</f>
        <v/>
      </c>
      <c r="C470" s="331" t="str">
        <f>IF($H470="","",IFERROR(INDEX('Game Records'!$A:$A,$H470),""))</f>
        <v/>
      </c>
      <c r="D470" s="331" t="str">
        <f>IF($H470="","",IFERROR(INDEX('Game Records'!$U:$U,$H470),""))</f>
        <v/>
      </c>
      <c r="E470" s="331" t="str">
        <f>IF($H470="","",IF($F470="","No Highlighted Fields","Highlighted Fields Present"))</f>
        <v/>
      </c>
      <c r="F470" s="331" t="str">
        <f>IF($H470="","",IF(OR(NOT(ISFORMULA(INDEX('Game Records'!$N:$N,$H470))),NOT(ISFORMULA(INDEX('Game Records'!$O:$O,$H470))),NOT(ISFORMULA(INDEX('Game Records'!$P:$P,$H470))),NOT(ISFORMULA(INDEX('Game Records'!$Q:$Q,$H470))),NOT(ISFORMULA(INDEX('Game Records'!$R:$R,$H470))),NOT(ISFORMULA(INDEX('Game Records'!$S:$S,$H470))),NOT(ISFORMULA(INDEX('Game Records'!$T:$T,$H470))),NOT(ISFORMULA(INDEX('Game Records'!$U:$U,$H470))),NOT(ISFORMULA(INDEX('Game Records'!$V:$V,$H470))),NOT(ISFORMULA(INDEX('Game Records'!$W:$W,$H470))),NOT(ISFORMULA(INDEX('Game Records'!$X:$X,$H470))),NOT(ISFORMULA(INDEX('Game Records'!$Y:$Y,$H470))),NOT(ISFORMULA(INDEX('Game Records'!$Z:$Z,$H470)))),"Formula columns missing; ","")&amp;IF(INDEX('Game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Earned; ","")&amp;IF(AND(LOWER(INDEX('Game Records'!$D:$D,$H470)&amp;"")="finalized",INDEX('Game Records'!$U:$U,$H470)&lt;&gt;"Subscription",INDEX('Game Records'!$U:$U,$H470)&lt;&gt;"Free Game",INDEX('Game Records'!$U:$U,$H470)&lt;&gt;"Disqualified — Free Game",OR(INDEX('Game Records'!$L:$L,$H470)="",LOWER(INDEX('Game Records'!$L:$L,$H470)&amp;"")="n/a")),"Disqualified Status; ","")&amp;IF(AND(OR(INDEX('Game Records'!$U:$U,$H470)="Free Game",INDEX('Game Records'!$U:$U,$H470)="Disqualified — Free Game"),N(INDEX('Game Records'!$H:$H,$H470))&lt;&gt;0),"Free Game has a non-zero Entry Fee; ",""))</f>
        <v/>
      </c>
      <c r="G470" s="331" t="str">
        <f>IF($H470="","",IFERROR(INDEX('Game Records'!$M:$M,$H470),""))</f>
        <v/>
      </c>
      <c r="H470" s="104" t="str">
        <f>IF($H469="","",IFERROR(MATCH(1,INDEX((ROW('Game Records'!$U$5:$U$504)&gt;$H469)*(('Game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1" ht="24" customHeight="1">
      <c r="A471" s="332" t="str">
        <f>IF($H471="","",ROWS($A$5:A471))</f>
        <v/>
      </c>
      <c r="B471" s="332" t="str">
        <f>IF($H471="","","G-"&amp;TEXT($A471,"0000"))</f>
        <v/>
      </c>
      <c r="C471" s="331" t="str">
        <f>IF($H471="","",IFERROR(INDEX('Game Records'!$A:$A,$H471),""))</f>
        <v/>
      </c>
      <c r="D471" s="331" t="str">
        <f>IF($H471="","",IFERROR(INDEX('Game Records'!$U:$U,$H471),""))</f>
        <v/>
      </c>
      <c r="E471" s="331" t="str">
        <f>IF($H471="","",IF($F471="","No Highlighted Fields","Highlighted Fields Present"))</f>
        <v/>
      </c>
      <c r="F471" s="331" t="str">
        <f>IF($H471="","",IF(OR(NOT(ISFORMULA(INDEX('Game Records'!$N:$N,$H471))),NOT(ISFORMULA(INDEX('Game Records'!$O:$O,$H471))),NOT(ISFORMULA(INDEX('Game Records'!$P:$P,$H471))),NOT(ISFORMULA(INDEX('Game Records'!$Q:$Q,$H471))),NOT(ISFORMULA(INDEX('Game Records'!$R:$R,$H471))),NOT(ISFORMULA(INDEX('Game Records'!$S:$S,$H471))),NOT(ISFORMULA(INDEX('Game Records'!$T:$T,$H471))),NOT(ISFORMULA(INDEX('Game Records'!$U:$U,$H471))),NOT(ISFORMULA(INDEX('Game Records'!$V:$V,$H471))),NOT(ISFORMULA(INDEX('Game Records'!$W:$W,$H471))),NOT(ISFORMULA(INDEX('Game Records'!$X:$X,$H471))),NOT(ISFORMULA(INDEX('Game Records'!$Y:$Y,$H471))),NOT(ISFORMULA(INDEX('Game Records'!$Z:$Z,$H471)))),"Formula columns missing; ","")&amp;IF(INDEX('Game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Earned; ","")&amp;IF(AND(LOWER(INDEX('Game Records'!$D:$D,$H471)&amp;"")="finalized",INDEX('Game Records'!$U:$U,$H471)&lt;&gt;"Subscription",INDEX('Game Records'!$U:$U,$H471)&lt;&gt;"Free Game",INDEX('Game Records'!$U:$U,$H471)&lt;&gt;"Disqualified — Free Game",OR(INDEX('Game Records'!$L:$L,$H471)="",LOWER(INDEX('Game Records'!$L:$L,$H471)&amp;"")="n/a")),"Disqualified Status; ","")&amp;IF(AND(OR(INDEX('Game Records'!$U:$U,$H471)="Free Game",INDEX('Game Records'!$U:$U,$H471)="Disqualified — Free Game"),N(INDEX('Game Records'!$H:$H,$H471))&lt;&gt;0),"Free Game has a non-zero Entry Fee; ",""))</f>
        <v/>
      </c>
      <c r="G471" s="331" t="str">
        <f>IF($H471="","",IFERROR(INDEX('Game Records'!$M:$M,$H471),""))</f>
        <v/>
      </c>
      <c r="H471" s="104" t="str">
        <f>IF($H470="","",IFERROR(MATCH(1,INDEX((ROW('Game Records'!$U$5:$U$504)&gt;$H470)*(('Game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2" ht="24" customHeight="1">
      <c r="A472" s="332" t="str">
        <f>IF($H472="","",ROWS($A$5:A472))</f>
        <v/>
      </c>
      <c r="B472" s="332" t="str">
        <f>IF($H472="","","G-"&amp;TEXT($A472,"0000"))</f>
        <v/>
      </c>
      <c r="C472" s="331" t="str">
        <f>IF($H472="","",IFERROR(INDEX('Game Records'!$A:$A,$H472),""))</f>
        <v/>
      </c>
      <c r="D472" s="331" t="str">
        <f>IF($H472="","",IFERROR(INDEX('Game Records'!$U:$U,$H472),""))</f>
        <v/>
      </c>
      <c r="E472" s="331" t="str">
        <f>IF($H472="","",IF($F472="","No Highlighted Fields","Highlighted Fields Present"))</f>
        <v/>
      </c>
      <c r="F472" s="331" t="str">
        <f>IF($H472="","",IF(OR(NOT(ISFORMULA(INDEX('Game Records'!$N:$N,$H472))),NOT(ISFORMULA(INDEX('Game Records'!$O:$O,$H472))),NOT(ISFORMULA(INDEX('Game Records'!$P:$P,$H472))),NOT(ISFORMULA(INDEX('Game Records'!$Q:$Q,$H472))),NOT(ISFORMULA(INDEX('Game Records'!$R:$R,$H472))),NOT(ISFORMULA(INDEX('Game Records'!$S:$S,$H472))),NOT(ISFORMULA(INDEX('Game Records'!$T:$T,$H472))),NOT(ISFORMULA(INDEX('Game Records'!$U:$U,$H472))),NOT(ISFORMULA(INDEX('Game Records'!$V:$V,$H472))),NOT(ISFORMULA(INDEX('Game Records'!$W:$W,$H472))),NOT(ISFORMULA(INDEX('Game Records'!$X:$X,$H472))),NOT(ISFORMULA(INDEX('Game Records'!$Y:$Y,$H472))),NOT(ISFORMULA(INDEX('Game Records'!$Z:$Z,$H472)))),"Formula columns missing; ","")&amp;IF(INDEX('Game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Earned; ","")&amp;IF(AND(LOWER(INDEX('Game Records'!$D:$D,$H472)&amp;"")="finalized",INDEX('Game Records'!$U:$U,$H472)&lt;&gt;"Subscription",INDEX('Game Records'!$U:$U,$H472)&lt;&gt;"Free Game",INDEX('Game Records'!$U:$U,$H472)&lt;&gt;"Disqualified — Free Game",OR(INDEX('Game Records'!$L:$L,$H472)="",LOWER(INDEX('Game Records'!$L:$L,$H472)&amp;"")="n/a")),"Disqualified Status; ","")&amp;IF(AND(OR(INDEX('Game Records'!$U:$U,$H472)="Free Game",INDEX('Game Records'!$U:$U,$H472)="Disqualified — Free Game"),N(INDEX('Game Records'!$H:$H,$H472))&lt;&gt;0),"Free Game has a non-zero Entry Fee; ",""))</f>
        <v/>
      </c>
      <c r="G472" s="331" t="str">
        <f>IF($H472="","",IFERROR(INDEX('Game Records'!$M:$M,$H472),""))</f>
        <v/>
      </c>
      <c r="H472" s="104" t="str">
        <f>IF($H471="","",IFERROR(MATCH(1,INDEX((ROW('Game Records'!$U$5:$U$504)&gt;$H471)*(('Game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3" ht="24" customHeight="1">
      <c r="A473" s="332" t="str">
        <f>IF($H473="","",ROWS($A$5:A473))</f>
        <v/>
      </c>
      <c r="B473" s="332" t="str">
        <f>IF($H473="","","G-"&amp;TEXT($A473,"0000"))</f>
        <v/>
      </c>
      <c r="C473" s="331" t="str">
        <f>IF($H473="","",IFERROR(INDEX('Game Records'!$A:$A,$H473),""))</f>
        <v/>
      </c>
      <c r="D473" s="331" t="str">
        <f>IF($H473="","",IFERROR(INDEX('Game Records'!$U:$U,$H473),""))</f>
        <v/>
      </c>
      <c r="E473" s="331" t="str">
        <f>IF($H473="","",IF($F473="","No Highlighted Fields","Highlighted Fields Present"))</f>
        <v/>
      </c>
      <c r="F473" s="331" t="str">
        <f>IF($H473="","",IF(OR(NOT(ISFORMULA(INDEX('Game Records'!$N:$N,$H473))),NOT(ISFORMULA(INDEX('Game Records'!$O:$O,$H473))),NOT(ISFORMULA(INDEX('Game Records'!$P:$P,$H473))),NOT(ISFORMULA(INDEX('Game Records'!$Q:$Q,$H473))),NOT(ISFORMULA(INDEX('Game Records'!$R:$R,$H473))),NOT(ISFORMULA(INDEX('Game Records'!$S:$S,$H473))),NOT(ISFORMULA(INDEX('Game Records'!$T:$T,$H473))),NOT(ISFORMULA(INDEX('Game Records'!$U:$U,$H473))),NOT(ISFORMULA(INDEX('Game Records'!$V:$V,$H473))),NOT(ISFORMULA(INDEX('Game Records'!$W:$W,$H473))),NOT(ISFORMULA(INDEX('Game Records'!$X:$X,$H473))),NOT(ISFORMULA(INDEX('Game Records'!$Y:$Y,$H473))),NOT(ISFORMULA(INDEX('Game Records'!$Z:$Z,$H473)))),"Formula columns missing; ","")&amp;IF(INDEX('Game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Earned; ","")&amp;IF(AND(LOWER(INDEX('Game Records'!$D:$D,$H473)&amp;"")="finalized",INDEX('Game Records'!$U:$U,$H473)&lt;&gt;"Subscription",INDEX('Game Records'!$U:$U,$H473)&lt;&gt;"Free Game",INDEX('Game Records'!$U:$U,$H473)&lt;&gt;"Disqualified — Free Game",OR(INDEX('Game Records'!$L:$L,$H473)="",LOWER(INDEX('Game Records'!$L:$L,$H473)&amp;"")="n/a")),"Disqualified Status; ","")&amp;IF(AND(OR(INDEX('Game Records'!$U:$U,$H473)="Free Game",INDEX('Game Records'!$U:$U,$H473)="Disqualified — Free Game"),N(INDEX('Game Records'!$H:$H,$H473))&lt;&gt;0),"Free Game has a non-zero Entry Fee; ",""))</f>
        <v/>
      </c>
      <c r="G473" s="331" t="str">
        <f>IF($H473="","",IFERROR(INDEX('Game Records'!$M:$M,$H473),""))</f>
        <v/>
      </c>
      <c r="H473" s="104" t="str">
        <f>IF($H472="","",IFERROR(MATCH(1,INDEX((ROW('Game Records'!$U$5:$U$504)&gt;$H472)*(('Game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4" ht="24" customHeight="1">
      <c r="A474" s="332" t="str">
        <f>IF($H474="","",ROWS($A$5:A474))</f>
        <v/>
      </c>
      <c r="B474" s="332" t="str">
        <f>IF($H474="","","G-"&amp;TEXT($A474,"0000"))</f>
        <v/>
      </c>
      <c r="C474" s="331" t="str">
        <f>IF($H474="","",IFERROR(INDEX('Game Records'!$A:$A,$H474),""))</f>
        <v/>
      </c>
      <c r="D474" s="331" t="str">
        <f>IF($H474="","",IFERROR(INDEX('Game Records'!$U:$U,$H474),""))</f>
        <v/>
      </c>
      <c r="E474" s="331" t="str">
        <f>IF($H474="","",IF($F474="","No Highlighted Fields","Highlighted Fields Present"))</f>
        <v/>
      </c>
      <c r="F474" s="331" t="str">
        <f>IF($H474="","",IF(OR(NOT(ISFORMULA(INDEX('Game Records'!$N:$N,$H474))),NOT(ISFORMULA(INDEX('Game Records'!$O:$O,$H474))),NOT(ISFORMULA(INDEX('Game Records'!$P:$P,$H474))),NOT(ISFORMULA(INDEX('Game Records'!$Q:$Q,$H474))),NOT(ISFORMULA(INDEX('Game Records'!$R:$R,$H474))),NOT(ISFORMULA(INDEX('Game Records'!$S:$S,$H474))),NOT(ISFORMULA(INDEX('Game Records'!$T:$T,$H474))),NOT(ISFORMULA(INDEX('Game Records'!$U:$U,$H474))),NOT(ISFORMULA(INDEX('Game Records'!$V:$V,$H474))),NOT(ISFORMULA(INDEX('Game Records'!$W:$W,$H474))),NOT(ISFORMULA(INDEX('Game Records'!$X:$X,$H474))),NOT(ISFORMULA(INDEX('Game Records'!$Y:$Y,$H474))),NOT(ISFORMULA(INDEX('Game Records'!$Z:$Z,$H474)))),"Formula columns missing; ","")&amp;IF(INDEX('Game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Earned; ","")&amp;IF(AND(LOWER(INDEX('Game Records'!$D:$D,$H474)&amp;"")="finalized",INDEX('Game Records'!$U:$U,$H474)&lt;&gt;"Subscription",INDEX('Game Records'!$U:$U,$H474)&lt;&gt;"Free Game",INDEX('Game Records'!$U:$U,$H474)&lt;&gt;"Disqualified — Free Game",OR(INDEX('Game Records'!$L:$L,$H474)="",LOWER(INDEX('Game Records'!$L:$L,$H474)&amp;"")="n/a")),"Disqualified Status; ","")&amp;IF(AND(OR(INDEX('Game Records'!$U:$U,$H474)="Free Game",INDEX('Game Records'!$U:$U,$H474)="Disqualified — Free Game"),N(INDEX('Game Records'!$H:$H,$H474))&lt;&gt;0),"Free Game has a non-zero Entry Fee; ",""))</f>
        <v/>
      </c>
      <c r="G474" s="331" t="str">
        <f>IF($H474="","",IFERROR(INDEX('Game Records'!$M:$M,$H474),""))</f>
        <v/>
      </c>
      <c r="H474" s="104" t="str">
        <f>IF($H473="","",IFERROR(MATCH(1,INDEX((ROW('Game Records'!$U$5:$U$504)&gt;$H473)*(('Game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5" ht="24" customHeight="1">
      <c r="A475" s="332" t="str">
        <f>IF($H475="","",ROWS($A$5:A475))</f>
        <v/>
      </c>
      <c r="B475" s="332" t="str">
        <f>IF($H475="","","G-"&amp;TEXT($A475,"0000"))</f>
        <v/>
      </c>
      <c r="C475" s="331" t="str">
        <f>IF($H475="","",IFERROR(INDEX('Game Records'!$A:$A,$H475),""))</f>
        <v/>
      </c>
      <c r="D475" s="331" t="str">
        <f>IF($H475="","",IFERROR(INDEX('Game Records'!$U:$U,$H475),""))</f>
        <v/>
      </c>
      <c r="E475" s="331" t="str">
        <f>IF($H475="","",IF($F475="","No Highlighted Fields","Highlighted Fields Present"))</f>
        <v/>
      </c>
      <c r="F475" s="331" t="str">
        <f>IF($H475="","",IF(OR(NOT(ISFORMULA(INDEX('Game Records'!$N:$N,$H475))),NOT(ISFORMULA(INDEX('Game Records'!$O:$O,$H475))),NOT(ISFORMULA(INDEX('Game Records'!$P:$P,$H475))),NOT(ISFORMULA(INDEX('Game Records'!$Q:$Q,$H475))),NOT(ISFORMULA(INDEX('Game Records'!$R:$R,$H475))),NOT(ISFORMULA(INDEX('Game Records'!$S:$S,$H475))),NOT(ISFORMULA(INDEX('Game Records'!$T:$T,$H475))),NOT(ISFORMULA(INDEX('Game Records'!$U:$U,$H475))),NOT(ISFORMULA(INDEX('Game Records'!$V:$V,$H475))),NOT(ISFORMULA(INDEX('Game Records'!$W:$W,$H475))),NOT(ISFORMULA(INDEX('Game Records'!$X:$X,$H475))),NOT(ISFORMULA(INDEX('Game Records'!$Y:$Y,$H475))),NOT(ISFORMULA(INDEX('Game Records'!$Z:$Z,$H475)))),"Formula columns missing; ","")&amp;IF(INDEX('Game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Earned; ","")&amp;IF(AND(LOWER(INDEX('Game Records'!$D:$D,$H475)&amp;"")="finalized",INDEX('Game Records'!$U:$U,$H475)&lt;&gt;"Subscription",INDEX('Game Records'!$U:$U,$H475)&lt;&gt;"Free Game",INDEX('Game Records'!$U:$U,$H475)&lt;&gt;"Disqualified — Free Game",OR(INDEX('Game Records'!$L:$L,$H475)="",LOWER(INDEX('Game Records'!$L:$L,$H475)&amp;"")="n/a")),"Disqualified Status; ","")&amp;IF(AND(OR(INDEX('Game Records'!$U:$U,$H475)="Free Game",INDEX('Game Records'!$U:$U,$H475)="Disqualified — Free Game"),N(INDEX('Game Records'!$H:$H,$H475))&lt;&gt;0),"Free Game has a non-zero Entry Fee; ",""))</f>
        <v/>
      </c>
      <c r="G475" s="331" t="str">
        <f>IF($H475="","",IFERROR(INDEX('Game Records'!$M:$M,$H475),""))</f>
        <v/>
      </c>
      <c r="H475" s="104" t="str">
        <f>IF($H474="","",IFERROR(MATCH(1,INDEX((ROW('Game Records'!$U$5:$U$504)&gt;$H474)*(('Game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6" ht="24" customHeight="1">
      <c r="A476" s="332" t="str">
        <f>IF($H476="","",ROWS($A$5:A476))</f>
        <v/>
      </c>
      <c r="B476" s="332" t="str">
        <f>IF($H476="","","G-"&amp;TEXT($A476,"0000"))</f>
        <v/>
      </c>
      <c r="C476" s="331" t="str">
        <f>IF($H476="","",IFERROR(INDEX('Game Records'!$A:$A,$H476),""))</f>
        <v/>
      </c>
      <c r="D476" s="331" t="str">
        <f>IF($H476="","",IFERROR(INDEX('Game Records'!$U:$U,$H476),""))</f>
        <v/>
      </c>
      <c r="E476" s="331" t="str">
        <f>IF($H476="","",IF($F476="","No Highlighted Fields","Highlighted Fields Present"))</f>
        <v/>
      </c>
      <c r="F476" s="331" t="str">
        <f>IF($H476="","",IF(OR(NOT(ISFORMULA(INDEX('Game Records'!$N:$N,$H476))),NOT(ISFORMULA(INDEX('Game Records'!$O:$O,$H476))),NOT(ISFORMULA(INDEX('Game Records'!$P:$P,$H476))),NOT(ISFORMULA(INDEX('Game Records'!$Q:$Q,$H476))),NOT(ISFORMULA(INDEX('Game Records'!$R:$R,$H476))),NOT(ISFORMULA(INDEX('Game Records'!$S:$S,$H476))),NOT(ISFORMULA(INDEX('Game Records'!$T:$T,$H476))),NOT(ISFORMULA(INDEX('Game Records'!$U:$U,$H476))),NOT(ISFORMULA(INDEX('Game Records'!$V:$V,$H476))),NOT(ISFORMULA(INDEX('Game Records'!$W:$W,$H476))),NOT(ISFORMULA(INDEX('Game Records'!$X:$X,$H476))),NOT(ISFORMULA(INDEX('Game Records'!$Y:$Y,$H476))),NOT(ISFORMULA(INDEX('Game Records'!$Z:$Z,$H476)))),"Formula columns missing; ","")&amp;IF(INDEX('Game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Earned; ","")&amp;IF(AND(LOWER(INDEX('Game Records'!$D:$D,$H476)&amp;"")="finalized",INDEX('Game Records'!$U:$U,$H476)&lt;&gt;"Subscription",INDEX('Game Records'!$U:$U,$H476)&lt;&gt;"Free Game",INDEX('Game Records'!$U:$U,$H476)&lt;&gt;"Disqualified — Free Game",OR(INDEX('Game Records'!$L:$L,$H476)="",LOWER(INDEX('Game Records'!$L:$L,$H476)&amp;"")="n/a")),"Disqualified Status; ","")&amp;IF(AND(OR(INDEX('Game Records'!$U:$U,$H476)="Free Game",INDEX('Game Records'!$U:$U,$H476)="Disqualified — Free Game"),N(INDEX('Game Records'!$H:$H,$H476))&lt;&gt;0),"Free Game has a non-zero Entry Fee; ",""))</f>
        <v/>
      </c>
      <c r="G476" s="331" t="str">
        <f>IF($H476="","",IFERROR(INDEX('Game Records'!$M:$M,$H476),""))</f>
        <v/>
      </c>
      <c r="H476" s="104" t="str">
        <f>IF($H475="","",IFERROR(MATCH(1,INDEX((ROW('Game Records'!$U$5:$U$504)&gt;$H475)*(('Game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7" ht="24" customHeight="1">
      <c r="A477" s="332" t="str">
        <f>IF($H477="","",ROWS($A$5:A477))</f>
        <v/>
      </c>
      <c r="B477" s="332" t="str">
        <f>IF($H477="","","G-"&amp;TEXT($A477,"0000"))</f>
        <v/>
      </c>
      <c r="C477" s="331" t="str">
        <f>IF($H477="","",IFERROR(INDEX('Game Records'!$A:$A,$H477),""))</f>
        <v/>
      </c>
      <c r="D477" s="331" t="str">
        <f>IF($H477="","",IFERROR(INDEX('Game Records'!$U:$U,$H477),""))</f>
        <v/>
      </c>
      <c r="E477" s="331" t="str">
        <f>IF($H477="","",IF($F477="","No Highlighted Fields","Highlighted Fields Present"))</f>
        <v/>
      </c>
      <c r="F477" s="331" t="str">
        <f>IF($H477="","",IF(OR(NOT(ISFORMULA(INDEX('Game Records'!$N:$N,$H477))),NOT(ISFORMULA(INDEX('Game Records'!$O:$O,$H477))),NOT(ISFORMULA(INDEX('Game Records'!$P:$P,$H477))),NOT(ISFORMULA(INDEX('Game Records'!$Q:$Q,$H477))),NOT(ISFORMULA(INDEX('Game Records'!$R:$R,$H477))),NOT(ISFORMULA(INDEX('Game Records'!$S:$S,$H477))),NOT(ISFORMULA(INDEX('Game Records'!$T:$T,$H477))),NOT(ISFORMULA(INDEX('Game Records'!$U:$U,$H477))),NOT(ISFORMULA(INDEX('Game Records'!$V:$V,$H477))),NOT(ISFORMULA(INDEX('Game Records'!$W:$W,$H477))),NOT(ISFORMULA(INDEX('Game Records'!$X:$X,$H477))),NOT(ISFORMULA(INDEX('Game Records'!$Y:$Y,$H477))),NOT(ISFORMULA(INDEX('Game Records'!$Z:$Z,$H477)))),"Formula columns missing; ","")&amp;IF(INDEX('Game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Earned; ","")&amp;IF(AND(LOWER(INDEX('Game Records'!$D:$D,$H477)&amp;"")="finalized",INDEX('Game Records'!$U:$U,$H477)&lt;&gt;"Subscription",INDEX('Game Records'!$U:$U,$H477)&lt;&gt;"Free Game",INDEX('Game Records'!$U:$U,$H477)&lt;&gt;"Disqualified — Free Game",OR(INDEX('Game Records'!$L:$L,$H477)="",LOWER(INDEX('Game Records'!$L:$L,$H477)&amp;"")="n/a")),"Disqualified Status; ","")&amp;IF(AND(OR(INDEX('Game Records'!$U:$U,$H477)="Free Game",INDEX('Game Records'!$U:$U,$H477)="Disqualified — Free Game"),N(INDEX('Game Records'!$H:$H,$H477))&lt;&gt;0),"Free Game has a non-zero Entry Fee; ",""))</f>
        <v/>
      </c>
      <c r="G477" s="331" t="str">
        <f>IF($H477="","",IFERROR(INDEX('Game Records'!$M:$M,$H477),""))</f>
        <v/>
      </c>
      <c r="H477" s="104" t="str">
        <f>IF($H476="","",IFERROR(MATCH(1,INDEX((ROW('Game Records'!$U$5:$U$504)&gt;$H476)*(('Game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8" ht="24" customHeight="1">
      <c r="A478" s="332" t="str">
        <f>IF($H478="","",ROWS($A$5:A478))</f>
        <v/>
      </c>
      <c r="B478" s="332" t="str">
        <f>IF($H478="","","G-"&amp;TEXT($A478,"0000"))</f>
        <v/>
      </c>
      <c r="C478" s="331" t="str">
        <f>IF($H478="","",IFERROR(INDEX('Game Records'!$A:$A,$H478),""))</f>
        <v/>
      </c>
      <c r="D478" s="331" t="str">
        <f>IF($H478="","",IFERROR(INDEX('Game Records'!$U:$U,$H478),""))</f>
        <v/>
      </c>
      <c r="E478" s="331" t="str">
        <f>IF($H478="","",IF($F478="","No Highlighted Fields","Highlighted Fields Present"))</f>
        <v/>
      </c>
      <c r="F478" s="331" t="str">
        <f>IF($H478="","",IF(OR(NOT(ISFORMULA(INDEX('Game Records'!$N:$N,$H478))),NOT(ISFORMULA(INDEX('Game Records'!$O:$O,$H478))),NOT(ISFORMULA(INDEX('Game Records'!$P:$P,$H478))),NOT(ISFORMULA(INDEX('Game Records'!$Q:$Q,$H478))),NOT(ISFORMULA(INDEX('Game Records'!$R:$R,$H478))),NOT(ISFORMULA(INDEX('Game Records'!$S:$S,$H478))),NOT(ISFORMULA(INDEX('Game Records'!$T:$T,$H478))),NOT(ISFORMULA(INDEX('Game Records'!$U:$U,$H478))),NOT(ISFORMULA(INDEX('Game Records'!$V:$V,$H478))),NOT(ISFORMULA(INDEX('Game Records'!$W:$W,$H478))),NOT(ISFORMULA(INDEX('Game Records'!$X:$X,$H478))),NOT(ISFORMULA(INDEX('Game Records'!$Y:$Y,$H478))),NOT(ISFORMULA(INDEX('Game Records'!$Z:$Z,$H478)))),"Formula columns missing; ","")&amp;IF(INDEX('Game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Earned; ","")&amp;IF(AND(LOWER(INDEX('Game Records'!$D:$D,$H478)&amp;"")="finalized",INDEX('Game Records'!$U:$U,$H478)&lt;&gt;"Subscription",INDEX('Game Records'!$U:$U,$H478)&lt;&gt;"Free Game",INDEX('Game Records'!$U:$U,$H478)&lt;&gt;"Disqualified — Free Game",OR(INDEX('Game Records'!$L:$L,$H478)="",LOWER(INDEX('Game Records'!$L:$L,$H478)&amp;"")="n/a")),"Disqualified Status; ","")&amp;IF(AND(OR(INDEX('Game Records'!$U:$U,$H478)="Free Game",INDEX('Game Records'!$U:$U,$H478)="Disqualified — Free Game"),N(INDEX('Game Records'!$H:$H,$H478))&lt;&gt;0),"Free Game has a non-zero Entry Fee; ",""))</f>
        <v/>
      </c>
      <c r="G478" s="331" t="str">
        <f>IF($H478="","",IFERROR(INDEX('Game Records'!$M:$M,$H478),""))</f>
        <v/>
      </c>
      <c r="H478" s="104" t="str">
        <f>IF($H477="","",IFERROR(MATCH(1,INDEX((ROW('Game Records'!$U$5:$U$504)&gt;$H477)*(('Game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9" ht="24" customHeight="1">
      <c r="A479" s="332" t="str">
        <f>IF($H479="","",ROWS($A$5:A479))</f>
        <v/>
      </c>
      <c r="B479" s="332" t="str">
        <f>IF($H479="","","G-"&amp;TEXT($A479,"0000"))</f>
        <v/>
      </c>
      <c r="C479" s="331" t="str">
        <f>IF($H479="","",IFERROR(INDEX('Game Records'!$A:$A,$H479),""))</f>
        <v/>
      </c>
      <c r="D479" s="331" t="str">
        <f>IF($H479="","",IFERROR(INDEX('Game Records'!$U:$U,$H479),""))</f>
        <v/>
      </c>
      <c r="E479" s="331" t="str">
        <f>IF($H479="","",IF($F479="","No Highlighted Fields","Highlighted Fields Present"))</f>
        <v/>
      </c>
      <c r="F479" s="331" t="str">
        <f>IF($H479="","",IF(OR(NOT(ISFORMULA(INDEX('Game Records'!$N:$N,$H479))),NOT(ISFORMULA(INDEX('Game Records'!$O:$O,$H479))),NOT(ISFORMULA(INDEX('Game Records'!$P:$P,$H479))),NOT(ISFORMULA(INDEX('Game Records'!$Q:$Q,$H479))),NOT(ISFORMULA(INDEX('Game Records'!$R:$R,$H479))),NOT(ISFORMULA(INDEX('Game Records'!$S:$S,$H479))),NOT(ISFORMULA(INDEX('Game Records'!$T:$T,$H479))),NOT(ISFORMULA(INDEX('Game Records'!$U:$U,$H479))),NOT(ISFORMULA(INDEX('Game Records'!$V:$V,$H479))),NOT(ISFORMULA(INDEX('Game Records'!$W:$W,$H479))),NOT(ISFORMULA(INDEX('Game Records'!$X:$X,$H479))),NOT(ISFORMULA(INDEX('Game Records'!$Y:$Y,$H479))),NOT(ISFORMULA(INDEX('Game Records'!$Z:$Z,$H479)))),"Formula columns missing; ","")&amp;IF(INDEX('Game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Earned; ","")&amp;IF(AND(LOWER(INDEX('Game Records'!$D:$D,$H479)&amp;"")="finalized",INDEX('Game Records'!$U:$U,$H479)&lt;&gt;"Subscription",INDEX('Game Records'!$U:$U,$H479)&lt;&gt;"Free Game",INDEX('Game Records'!$U:$U,$H479)&lt;&gt;"Disqualified — Free Game",OR(INDEX('Game Records'!$L:$L,$H479)="",LOWER(INDEX('Game Records'!$L:$L,$H479)&amp;"")="n/a")),"Disqualified Status; ","")&amp;IF(AND(OR(INDEX('Game Records'!$U:$U,$H479)="Free Game",INDEX('Game Records'!$U:$U,$H479)="Disqualified — Free Game"),N(INDEX('Game Records'!$H:$H,$H479))&lt;&gt;0),"Free Game has a non-zero Entry Fee; ",""))</f>
        <v/>
      </c>
      <c r="G479" s="331" t="str">
        <f>IF($H479="","",IFERROR(INDEX('Game Records'!$M:$M,$H479),""))</f>
        <v/>
      </c>
      <c r="H479" s="104" t="str">
        <f>IF($H478="","",IFERROR(MATCH(1,INDEX((ROW('Game Records'!$U$5:$U$504)&gt;$H478)*(('Game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0" ht="24" customHeight="1">
      <c r="A480" s="332" t="str">
        <f>IF($H480="","",ROWS($A$5:A480))</f>
        <v/>
      </c>
      <c r="B480" s="332" t="str">
        <f>IF($H480="","","G-"&amp;TEXT($A480,"0000"))</f>
        <v/>
      </c>
      <c r="C480" s="331" t="str">
        <f>IF($H480="","",IFERROR(INDEX('Game Records'!$A:$A,$H480),""))</f>
        <v/>
      </c>
      <c r="D480" s="331" t="str">
        <f>IF($H480="","",IFERROR(INDEX('Game Records'!$U:$U,$H480),""))</f>
        <v/>
      </c>
      <c r="E480" s="331" t="str">
        <f>IF($H480="","",IF($F480="","No Highlighted Fields","Highlighted Fields Present"))</f>
        <v/>
      </c>
      <c r="F480" s="331" t="str">
        <f>IF($H480="","",IF(OR(NOT(ISFORMULA(INDEX('Game Records'!$N:$N,$H480))),NOT(ISFORMULA(INDEX('Game Records'!$O:$O,$H480))),NOT(ISFORMULA(INDEX('Game Records'!$P:$P,$H480))),NOT(ISFORMULA(INDEX('Game Records'!$Q:$Q,$H480))),NOT(ISFORMULA(INDEX('Game Records'!$R:$R,$H480))),NOT(ISFORMULA(INDEX('Game Records'!$S:$S,$H480))),NOT(ISFORMULA(INDEX('Game Records'!$T:$T,$H480))),NOT(ISFORMULA(INDEX('Game Records'!$U:$U,$H480))),NOT(ISFORMULA(INDEX('Game Records'!$V:$V,$H480))),NOT(ISFORMULA(INDEX('Game Records'!$W:$W,$H480))),NOT(ISFORMULA(INDEX('Game Records'!$X:$X,$H480))),NOT(ISFORMULA(INDEX('Game Records'!$Y:$Y,$H480))),NOT(ISFORMULA(INDEX('Game Records'!$Z:$Z,$H480)))),"Formula columns missing; ","")&amp;IF(INDEX('Game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Earned; ","")&amp;IF(AND(LOWER(INDEX('Game Records'!$D:$D,$H480)&amp;"")="finalized",INDEX('Game Records'!$U:$U,$H480)&lt;&gt;"Subscription",INDEX('Game Records'!$U:$U,$H480)&lt;&gt;"Free Game",INDEX('Game Records'!$U:$U,$H480)&lt;&gt;"Disqualified — Free Game",OR(INDEX('Game Records'!$L:$L,$H480)="",LOWER(INDEX('Game Records'!$L:$L,$H480)&amp;"")="n/a")),"Disqualified Status; ","")&amp;IF(AND(OR(INDEX('Game Records'!$U:$U,$H480)="Free Game",INDEX('Game Records'!$U:$U,$H480)="Disqualified — Free Game"),N(INDEX('Game Records'!$H:$H,$H480))&lt;&gt;0),"Free Game has a non-zero Entry Fee; ",""))</f>
        <v/>
      </c>
      <c r="G480" s="331" t="str">
        <f>IF($H480="","",IFERROR(INDEX('Game Records'!$M:$M,$H480),""))</f>
        <v/>
      </c>
      <c r="H480" s="104" t="str">
        <f>IF($H479="","",IFERROR(MATCH(1,INDEX((ROW('Game Records'!$U$5:$U$504)&gt;$H479)*(('Game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1" ht="24" customHeight="1">
      <c r="A481" s="332" t="str">
        <f>IF($H481="","",ROWS($A$5:A481))</f>
        <v/>
      </c>
      <c r="B481" s="332" t="str">
        <f>IF($H481="","","G-"&amp;TEXT($A481,"0000"))</f>
        <v/>
      </c>
      <c r="C481" s="331" t="str">
        <f>IF($H481="","",IFERROR(INDEX('Game Records'!$A:$A,$H481),""))</f>
        <v/>
      </c>
      <c r="D481" s="331" t="str">
        <f>IF($H481="","",IFERROR(INDEX('Game Records'!$U:$U,$H481),""))</f>
        <v/>
      </c>
      <c r="E481" s="331" t="str">
        <f>IF($H481="","",IF($F481="","No Highlighted Fields","Highlighted Fields Present"))</f>
        <v/>
      </c>
      <c r="F481" s="331" t="str">
        <f>IF($H481="","",IF(OR(NOT(ISFORMULA(INDEX('Game Records'!$N:$N,$H481))),NOT(ISFORMULA(INDEX('Game Records'!$O:$O,$H481))),NOT(ISFORMULA(INDEX('Game Records'!$P:$P,$H481))),NOT(ISFORMULA(INDEX('Game Records'!$Q:$Q,$H481))),NOT(ISFORMULA(INDEX('Game Records'!$R:$R,$H481))),NOT(ISFORMULA(INDEX('Game Records'!$S:$S,$H481))),NOT(ISFORMULA(INDEX('Game Records'!$T:$T,$H481))),NOT(ISFORMULA(INDEX('Game Records'!$U:$U,$H481))),NOT(ISFORMULA(INDEX('Game Records'!$V:$V,$H481))),NOT(ISFORMULA(INDEX('Game Records'!$W:$W,$H481))),NOT(ISFORMULA(INDEX('Game Records'!$X:$X,$H481))),NOT(ISFORMULA(INDEX('Game Records'!$Y:$Y,$H481))),NOT(ISFORMULA(INDEX('Game Records'!$Z:$Z,$H481)))),"Formula columns missing; ","")&amp;IF(INDEX('Game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Earned; ","")&amp;IF(AND(LOWER(INDEX('Game Records'!$D:$D,$H481)&amp;"")="finalized",INDEX('Game Records'!$U:$U,$H481)&lt;&gt;"Subscription",INDEX('Game Records'!$U:$U,$H481)&lt;&gt;"Free Game",INDEX('Game Records'!$U:$U,$H481)&lt;&gt;"Disqualified — Free Game",OR(INDEX('Game Records'!$L:$L,$H481)="",LOWER(INDEX('Game Records'!$L:$L,$H481)&amp;"")="n/a")),"Disqualified Status; ","")&amp;IF(AND(OR(INDEX('Game Records'!$U:$U,$H481)="Free Game",INDEX('Game Records'!$U:$U,$H481)="Disqualified — Free Game"),N(INDEX('Game Records'!$H:$H,$H481))&lt;&gt;0),"Free Game has a non-zero Entry Fee; ",""))</f>
        <v/>
      </c>
      <c r="G481" s="331" t="str">
        <f>IF($H481="","",IFERROR(INDEX('Game Records'!$M:$M,$H481),""))</f>
        <v/>
      </c>
      <c r="H481" s="104" t="str">
        <f>IF($H480="","",IFERROR(MATCH(1,INDEX((ROW('Game Records'!$U$5:$U$504)&gt;$H480)*(('Game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2" ht="24" customHeight="1">
      <c r="A482" s="332" t="str">
        <f>IF($H482="","",ROWS($A$5:A482))</f>
        <v/>
      </c>
      <c r="B482" s="332" t="str">
        <f>IF($H482="","","G-"&amp;TEXT($A482,"0000"))</f>
        <v/>
      </c>
      <c r="C482" s="331" t="str">
        <f>IF($H482="","",IFERROR(INDEX('Game Records'!$A:$A,$H482),""))</f>
        <v/>
      </c>
      <c r="D482" s="331" t="str">
        <f>IF($H482="","",IFERROR(INDEX('Game Records'!$U:$U,$H482),""))</f>
        <v/>
      </c>
      <c r="E482" s="331" t="str">
        <f>IF($H482="","",IF($F482="","No Highlighted Fields","Highlighted Fields Present"))</f>
        <v/>
      </c>
      <c r="F482" s="331" t="str">
        <f>IF($H482="","",IF(OR(NOT(ISFORMULA(INDEX('Game Records'!$N:$N,$H482))),NOT(ISFORMULA(INDEX('Game Records'!$O:$O,$H482))),NOT(ISFORMULA(INDEX('Game Records'!$P:$P,$H482))),NOT(ISFORMULA(INDEX('Game Records'!$Q:$Q,$H482))),NOT(ISFORMULA(INDEX('Game Records'!$R:$R,$H482))),NOT(ISFORMULA(INDEX('Game Records'!$S:$S,$H482))),NOT(ISFORMULA(INDEX('Game Records'!$T:$T,$H482))),NOT(ISFORMULA(INDEX('Game Records'!$U:$U,$H482))),NOT(ISFORMULA(INDEX('Game Records'!$V:$V,$H482))),NOT(ISFORMULA(INDEX('Game Records'!$W:$W,$H482))),NOT(ISFORMULA(INDEX('Game Records'!$X:$X,$H482))),NOT(ISFORMULA(INDEX('Game Records'!$Y:$Y,$H482))),NOT(ISFORMULA(INDEX('Game Records'!$Z:$Z,$H482)))),"Formula columns missing; ","")&amp;IF(INDEX('Game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Earned; ","")&amp;IF(AND(LOWER(INDEX('Game Records'!$D:$D,$H482)&amp;"")="finalized",INDEX('Game Records'!$U:$U,$H482)&lt;&gt;"Subscription",INDEX('Game Records'!$U:$U,$H482)&lt;&gt;"Free Game",INDEX('Game Records'!$U:$U,$H482)&lt;&gt;"Disqualified — Free Game",OR(INDEX('Game Records'!$L:$L,$H482)="",LOWER(INDEX('Game Records'!$L:$L,$H482)&amp;"")="n/a")),"Disqualified Status; ","")&amp;IF(AND(OR(INDEX('Game Records'!$U:$U,$H482)="Free Game",INDEX('Game Records'!$U:$U,$H482)="Disqualified — Free Game"),N(INDEX('Game Records'!$H:$H,$H482))&lt;&gt;0),"Free Game has a non-zero Entry Fee; ",""))</f>
        <v/>
      </c>
      <c r="G482" s="331" t="str">
        <f>IF($H482="","",IFERROR(INDEX('Game Records'!$M:$M,$H482),""))</f>
        <v/>
      </c>
      <c r="H482" s="104" t="str">
        <f>IF($H481="","",IFERROR(MATCH(1,INDEX((ROW('Game Records'!$U$5:$U$504)&gt;$H481)*(('Game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3" ht="24" customHeight="1">
      <c r="A483" s="332" t="str">
        <f>IF($H483="","",ROWS($A$5:A483))</f>
        <v/>
      </c>
      <c r="B483" s="332" t="str">
        <f>IF($H483="","","G-"&amp;TEXT($A483,"0000"))</f>
        <v/>
      </c>
      <c r="C483" s="331" t="str">
        <f>IF($H483="","",IFERROR(INDEX('Game Records'!$A:$A,$H483),""))</f>
        <v/>
      </c>
      <c r="D483" s="331" t="str">
        <f>IF($H483="","",IFERROR(INDEX('Game Records'!$U:$U,$H483),""))</f>
        <v/>
      </c>
      <c r="E483" s="331" t="str">
        <f>IF($H483="","",IF($F483="","No Highlighted Fields","Highlighted Fields Present"))</f>
        <v/>
      </c>
      <c r="F483" s="331" t="str">
        <f>IF($H483="","",IF(OR(NOT(ISFORMULA(INDEX('Game Records'!$N:$N,$H483))),NOT(ISFORMULA(INDEX('Game Records'!$O:$O,$H483))),NOT(ISFORMULA(INDEX('Game Records'!$P:$P,$H483))),NOT(ISFORMULA(INDEX('Game Records'!$Q:$Q,$H483))),NOT(ISFORMULA(INDEX('Game Records'!$R:$R,$H483))),NOT(ISFORMULA(INDEX('Game Records'!$S:$S,$H483))),NOT(ISFORMULA(INDEX('Game Records'!$T:$T,$H483))),NOT(ISFORMULA(INDEX('Game Records'!$U:$U,$H483))),NOT(ISFORMULA(INDEX('Game Records'!$V:$V,$H483))),NOT(ISFORMULA(INDEX('Game Records'!$W:$W,$H483))),NOT(ISFORMULA(INDEX('Game Records'!$X:$X,$H483))),NOT(ISFORMULA(INDEX('Game Records'!$Y:$Y,$H483))),NOT(ISFORMULA(INDEX('Game Records'!$Z:$Z,$H483)))),"Formula columns missing; ","")&amp;IF(INDEX('Game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Earned; ","")&amp;IF(AND(LOWER(INDEX('Game Records'!$D:$D,$H483)&amp;"")="finalized",INDEX('Game Records'!$U:$U,$H483)&lt;&gt;"Subscription",INDEX('Game Records'!$U:$U,$H483)&lt;&gt;"Free Game",INDEX('Game Records'!$U:$U,$H483)&lt;&gt;"Disqualified — Free Game",OR(INDEX('Game Records'!$L:$L,$H483)="",LOWER(INDEX('Game Records'!$L:$L,$H483)&amp;"")="n/a")),"Disqualified Status; ","")&amp;IF(AND(OR(INDEX('Game Records'!$U:$U,$H483)="Free Game",INDEX('Game Records'!$U:$U,$H483)="Disqualified — Free Game"),N(INDEX('Game Records'!$H:$H,$H483))&lt;&gt;0),"Free Game has a non-zero Entry Fee; ",""))</f>
        <v/>
      </c>
      <c r="G483" s="331" t="str">
        <f>IF($H483="","",IFERROR(INDEX('Game Records'!$M:$M,$H483),""))</f>
        <v/>
      </c>
      <c r="H483" s="104" t="str">
        <f>IF($H482="","",IFERROR(MATCH(1,INDEX((ROW('Game Records'!$U$5:$U$504)&gt;$H482)*(('Game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4" ht="24" customHeight="1">
      <c r="A484" s="332" t="str">
        <f>IF($H484="","",ROWS($A$5:A484))</f>
        <v/>
      </c>
      <c r="B484" s="332" t="str">
        <f>IF($H484="","","G-"&amp;TEXT($A484,"0000"))</f>
        <v/>
      </c>
      <c r="C484" s="331" t="str">
        <f>IF($H484="","",IFERROR(INDEX('Game Records'!$A:$A,$H484),""))</f>
        <v/>
      </c>
      <c r="D484" s="331" t="str">
        <f>IF($H484="","",IFERROR(INDEX('Game Records'!$U:$U,$H484),""))</f>
        <v/>
      </c>
      <c r="E484" s="331" t="str">
        <f>IF($H484="","",IF($F484="","No Highlighted Fields","Highlighted Fields Present"))</f>
        <v/>
      </c>
      <c r="F484" s="331" t="str">
        <f>IF($H484="","",IF(OR(NOT(ISFORMULA(INDEX('Game Records'!$N:$N,$H484))),NOT(ISFORMULA(INDEX('Game Records'!$O:$O,$H484))),NOT(ISFORMULA(INDEX('Game Records'!$P:$P,$H484))),NOT(ISFORMULA(INDEX('Game Records'!$Q:$Q,$H484))),NOT(ISFORMULA(INDEX('Game Records'!$R:$R,$H484))),NOT(ISFORMULA(INDEX('Game Records'!$S:$S,$H484))),NOT(ISFORMULA(INDEX('Game Records'!$T:$T,$H484))),NOT(ISFORMULA(INDEX('Game Records'!$U:$U,$H484))),NOT(ISFORMULA(INDEX('Game Records'!$V:$V,$H484))),NOT(ISFORMULA(INDEX('Game Records'!$W:$W,$H484))),NOT(ISFORMULA(INDEX('Game Records'!$X:$X,$H484))),NOT(ISFORMULA(INDEX('Game Records'!$Y:$Y,$H484))),NOT(ISFORMULA(INDEX('Game Records'!$Z:$Z,$H484)))),"Formula columns missing; ","")&amp;IF(INDEX('Game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Earned; ","")&amp;IF(AND(LOWER(INDEX('Game Records'!$D:$D,$H484)&amp;"")="finalized",INDEX('Game Records'!$U:$U,$H484)&lt;&gt;"Subscription",INDEX('Game Records'!$U:$U,$H484)&lt;&gt;"Free Game",INDEX('Game Records'!$U:$U,$H484)&lt;&gt;"Disqualified — Free Game",OR(INDEX('Game Records'!$L:$L,$H484)="",LOWER(INDEX('Game Records'!$L:$L,$H484)&amp;"")="n/a")),"Disqualified Status; ","")&amp;IF(AND(OR(INDEX('Game Records'!$U:$U,$H484)="Free Game",INDEX('Game Records'!$U:$U,$H484)="Disqualified — Free Game"),N(INDEX('Game Records'!$H:$H,$H484))&lt;&gt;0),"Free Game has a non-zero Entry Fee; ",""))</f>
        <v/>
      </c>
      <c r="G484" s="331" t="str">
        <f>IF($H484="","",IFERROR(INDEX('Game Records'!$M:$M,$H484),""))</f>
        <v/>
      </c>
      <c r="H484" s="104" t="str">
        <f>IF($H483="","",IFERROR(MATCH(1,INDEX((ROW('Game Records'!$U$5:$U$504)&gt;$H483)*(('Game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5" ht="24" customHeight="1">
      <c r="A485" s="332" t="str">
        <f>IF($H485="","",ROWS($A$5:A485))</f>
        <v/>
      </c>
      <c r="B485" s="332" t="str">
        <f>IF($H485="","","G-"&amp;TEXT($A485,"0000"))</f>
        <v/>
      </c>
      <c r="C485" s="331" t="str">
        <f>IF($H485="","",IFERROR(INDEX('Game Records'!$A:$A,$H485),""))</f>
        <v/>
      </c>
      <c r="D485" s="331" t="str">
        <f>IF($H485="","",IFERROR(INDEX('Game Records'!$U:$U,$H485),""))</f>
        <v/>
      </c>
      <c r="E485" s="331" t="str">
        <f>IF($H485="","",IF($F485="","No Highlighted Fields","Highlighted Fields Present"))</f>
        <v/>
      </c>
      <c r="F485" s="331" t="str">
        <f>IF($H485="","",IF(OR(NOT(ISFORMULA(INDEX('Game Records'!$N:$N,$H485))),NOT(ISFORMULA(INDEX('Game Records'!$O:$O,$H485))),NOT(ISFORMULA(INDEX('Game Records'!$P:$P,$H485))),NOT(ISFORMULA(INDEX('Game Records'!$Q:$Q,$H485))),NOT(ISFORMULA(INDEX('Game Records'!$R:$R,$H485))),NOT(ISFORMULA(INDEX('Game Records'!$S:$S,$H485))),NOT(ISFORMULA(INDEX('Game Records'!$T:$T,$H485))),NOT(ISFORMULA(INDEX('Game Records'!$U:$U,$H485))),NOT(ISFORMULA(INDEX('Game Records'!$V:$V,$H485))),NOT(ISFORMULA(INDEX('Game Records'!$W:$W,$H485))),NOT(ISFORMULA(INDEX('Game Records'!$X:$X,$H485))),NOT(ISFORMULA(INDEX('Game Records'!$Y:$Y,$H485))),NOT(ISFORMULA(INDEX('Game Records'!$Z:$Z,$H485)))),"Formula columns missing; ","")&amp;IF(INDEX('Game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Earned; ","")&amp;IF(AND(LOWER(INDEX('Game Records'!$D:$D,$H485)&amp;"")="finalized",INDEX('Game Records'!$U:$U,$H485)&lt;&gt;"Subscription",INDEX('Game Records'!$U:$U,$H485)&lt;&gt;"Free Game",INDEX('Game Records'!$U:$U,$H485)&lt;&gt;"Disqualified — Free Game",OR(INDEX('Game Records'!$L:$L,$H485)="",LOWER(INDEX('Game Records'!$L:$L,$H485)&amp;"")="n/a")),"Disqualified Status; ","")&amp;IF(AND(OR(INDEX('Game Records'!$U:$U,$H485)="Free Game",INDEX('Game Records'!$U:$U,$H485)="Disqualified — Free Game"),N(INDEX('Game Records'!$H:$H,$H485))&lt;&gt;0),"Free Game has a non-zero Entry Fee; ",""))</f>
        <v/>
      </c>
      <c r="G485" s="331" t="str">
        <f>IF($H485="","",IFERROR(INDEX('Game Records'!$M:$M,$H485),""))</f>
        <v/>
      </c>
      <c r="H485" s="104" t="str">
        <f>IF($H484="","",IFERROR(MATCH(1,INDEX((ROW('Game Records'!$U$5:$U$504)&gt;$H484)*(('Game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6" ht="24" customHeight="1">
      <c r="A486" s="332" t="str">
        <f>IF($H486="","",ROWS($A$5:A486))</f>
        <v/>
      </c>
      <c r="B486" s="332" t="str">
        <f>IF($H486="","","G-"&amp;TEXT($A486,"0000"))</f>
        <v/>
      </c>
      <c r="C486" s="331" t="str">
        <f>IF($H486="","",IFERROR(INDEX('Game Records'!$A:$A,$H486),""))</f>
        <v/>
      </c>
      <c r="D486" s="331" t="str">
        <f>IF($H486="","",IFERROR(INDEX('Game Records'!$U:$U,$H486),""))</f>
        <v/>
      </c>
      <c r="E486" s="331" t="str">
        <f>IF($H486="","",IF($F486="","No Highlighted Fields","Highlighted Fields Present"))</f>
        <v/>
      </c>
      <c r="F486" s="331" t="str">
        <f>IF($H486="","",IF(OR(NOT(ISFORMULA(INDEX('Game Records'!$N:$N,$H486))),NOT(ISFORMULA(INDEX('Game Records'!$O:$O,$H486))),NOT(ISFORMULA(INDEX('Game Records'!$P:$P,$H486))),NOT(ISFORMULA(INDEX('Game Records'!$Q:$Q,$H486))),NOT(ISFORMULA(INDEX('Game Records'!$R:$R,$H486))),NOT(ISFORMULA(INDEX('Game Records'!$S:$S,$H486))),NOT(ISFORMULA(INDEX('Game Records'!$T:$T,$H486))),NOT(ISFORMULA(INDEX('Game Records'!$U:$U,$H486))),NOT(ISFORMULA(INDEX('Game Records'!$V:$V,$H486))),NOT(ISFORMULA(INDEX('Game Records'!$W:$W,$H486))),NOT(ISFORMULA(INDEX('Game Records'!$X:$X,$H486))),NOT(ISFORMULA(INDEX('Game Records'!$Y:$Y,$H486))),NOT(ISFORMULA(INDEX('Game Records'!$Z:$Z,$H486)))),"Formula columns missing; ","")&amp;IF(INDEX('Game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Earned; ","")&amp;IF(AND(LOWER(INDEX('Game Records'!$D:$D,$H486)&amp;"")="finalized",INDEX('Game Records'!$U:$U,$H486)&lt;&gt;"Subscription",INDEX('Game Records'!$U:$U,$H486)&lt;&gt;"Free Game",INDEX('Game Records'!$U:$U,$H486)&lt;&gt;"Disqualified — Free Game",OR(INDEX('Game Records'!$L:$L,$H486)="",LOWER(INDEX('Game Records'!$L:$L,$H486)&amp;"")="n/a")),"Disqualified Status; ","")&amp;IF(AND(OR(INDEX('Game Records'!$U:$U,$H486)="Free Game",INDEX('Game Records'!$U:$U,$H486)="Disqualified — Free Game"),N(INDEX('Game Records'!$H:$H,$H486))&lt;&gt;0),"Free Game has a non-zero Entry Fee; ",""))</f>
        <v/>
      </c>
      <c r="G486" s="331" t="str">
        <f>IF($H486="","",IFERROR(INDEX('Game Records'!$M:$M,$H486),""))</f>
        <v/>
      </c>
      <c r="H486" s="104" t="str">
        <f>IF($H485="","",IFERROR(MATCH(1,INDEX((ROW('Game Records'!$U$5:$U$504)&gt;$H485)*(('Game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7" ht="24" customHeight="1">
      <c r="A487" s="332" t="str">
        <f>IF($H487="","",ROWS($A$5:A487))</f>
        <v/>
      </c>
      <c r="B487" s="332" t="str">
        <f>IF($H487="","","G-"&amp;TEXT($A487,"0000"))</f>
        <v/>
      </c>
      <c r="C487" s="331" t="str">
        <f>IF($H487="","",IFERROR(INDEX('Game Records'!$A:$A,$H487),""))</f>
        <v/>
      </c>
      <c r="D487" s="331" t="str">
        <f>IF($H487="","",IFERROR(INDEX('Game Records'!$U:$U,$H487),""))</f>
        <v/>
      </c>
      <c r="E487" s="331" t="str">
        <f>IF($H487="","",IF($F487="","No Highlighted Fields","Highlighted Fields Present"))</f>
        <v/>
      </c>
      <c r="F487" s="331" t="str">
        <f>IF($H487="","",IF(OR(NOT(ISFORMULA(INDEX('Game Records'!$N:$N,$H487))),NOT(ISFORMULA(INDEX('Game Records'!$O:$O,$H487))),NOT(ISFORMULA(INDEX('Game Records'!$P:$P,$H487))),NOT(ISFORMULA(INDEX('Game Records'!$Q:$Q,$H487))),NOT(ISFORMULA(INDEX('Game Records'!$R:$R,$H487))),NOT(ISFORMULA(INDEX('Game Records'!$S:$S,$H487))),NOT(ISFORMULA(INDEX('Game Records'!$T:$T,$H487))),NOT(ISFORMULA(INDEX('Game Records'!$U:$U,$H487))),NOT(ISFORMULA(INDEX('Game Records'!$V:$V,$H487))),NOT(ISFORMULA(INDEX('Game Records'!$W:$W,$H487))),NOT(ISFORMULA(INDEX('Game Records'!$X:$X,$H487))),NOT(ISFORMULA(INDEX('Game Records'!$Y:$Y,$H487))),NOT(ISFORMULA(INDEX('Game Records'!$Z:$Z,$H487)))),"Formula columns missing; ","")&amp;IF(INDEX('Game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Earned; ","")&amp;IF(AND(LOWER(INDEX('Game Records'!$D:$D,$H487)&amp;"")="finalized",INDEX('Game Records'!$U:$U,$H487)&lt;&gt;"Subscription",INDEX('Game Records'!$U:$U,$H487)&lt;&gt;"Free Game",INDEX('Game Records'!$U:$U,$H487)&lt;&gt;"Disqualified — Free Game",OR(INDEX('Game Records'!$L:$L,$H487)="",LOWER(INDEX('Game Records'!$L:$L,$H487)&amp;"")="n/a")),"Disqualified Status; ","")&amp;IF(AND(OR(INDEX('Game Records'!$U:$U,$H487)="Free Game",INDEX('Game Records'!$U:$U,$H487)="Disqualified — Free Game"),N(INDEX('Game Records'!$H:$H,$H487))&lt;&gt;0),"Free Game has a non-zero Entry Fee; ",""))</f>
        <v/>
      </c>
      <c r="G487" s="331" t="str">
        <f>IF($H487="","",IFERROR(INDEX('Game Records'!$M:$M,$H487),""))</f>
        <v/>
      </c>
      <c r="H487" s="104" t="str">
        <f>IF($H486="","",IFERROR(MATCH(1,INDEX((ROW('Game Records'!$U$5:$U$504)&gt;$H486)*(('Game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8" ht="24" customHeight="1">
      <c r="A488" s="332" t="str">
        <f>IF($H488="","",ROWS($A$5:A488))</f>
        <v/>
      </c>
      <c r="B488" s="332" t="str">
        <f>IF($H488="","","G-"&amp;TEXT($A488,"0000"))</f>
        <v/>
      </c>
      <c r="C488" s="331" t="str">
        <f>IF($H488="","",IFERROR(INDEX('Game Records'!$A:$A,$H488),""))</f>
        <v/>
      </c>
      <c r="D488" s="331" t="str">
        <f>IF($H488="","",IFERROR(INDEX('Game Records'!$U:$U,$H488),""))</f>
        <v/>
      </c>
      <c r="E488" s="331" t="str">
        <f>IF($H488="","",IF($F488="","No Highlighted Fields","Highlighted Fields Present"))</f>
        <v/>
      </c>
      <c r="F488" s="331" t="str">
        <f>IF($H488="","",IF(OR(NOT(ISFORMULA(INDEX('Game Records'!$N:$N,$H488))),NOT(ISFORMULA(INDEX('Game Records'!$O:$O,$H488))),NOT(ISFORMULA(INDEX('Game Records'!$P:$P,$H488))),NOT(ISFORMULA(INDEX('Game Records'!$Q:$Q,$H488))),NOT(ISFORMULA(INDEX('Game Records'!$R:$R,$H488))),NOT(ISFORMULA(INDEX('Game Records'!$S:$S,$H488))),NOT(ISFORMULA(INDEX('Game Records'!$T:$T,$H488))),NOT(ISFORMULA(INDEX('Game Records'!$U:$U,$H488))),NOT(ISFORMULA(INDEX('Game Records'!$V:$V,$H488))),NOT(ISFORMULA(INDEX('Game Records'!$W:$W,$H488))),NOT(ISFORMULA(INDEX('Game Records'!$X:$X,$H488))),NOT(ISFORMULA(INDEX('Game Records'!$Y:$Y,$H488))),NOT(ISFORMULA(INDEX('Game Records'!$Z:$Z,$H488)))),"Formula columns missing; ","")&amp;IF(INDEX('Game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Earned; ","")&amp;IF(AND(LOWER(INDEX('Game Records'!$D:$D,$H488)&amp;"")="finalized",INDEX('Game Records'!$U:$U,$H488)&lt;&gt;"Subscription",INDEX('Game Records'!$U:$U,$H488)&lt;&gt;"Free Game",INDEX('Game Records'!$U:$U,$H488)&lt;&gt;"Disqualified — Free Game",OR(INDEX('Game Records'!$L:$L,$H488)="",LOWER(INDEX('Game Records'!$L:$L,$H488)&amp;"")="n/a")),"Disqualified Status; ","")&amp;IF(AND(OR(INDEX('Game Records'!$U:$U,$H488)="Free Game",INDEX('Game Records'!$U:$U,$H488)="Disqualified — Free Game"),N(INDEX('Game Records'!$H:$H,$H488))&lt;&gt;0),"Free Game has a non-zero Entry Fee; ",""))</f>
        <v/>
      </c>
      <c r="G488" s="331" t="str">
        <f>IF($H488="","",IFERROR(INDEX('Game Records'!$M:$M,$H488),""))</f>
        <v/>
      </c>
      <c r="H488" s="104" t="str">
        <f>IF($H487="","",IFERROR(MATCH(1,INDEX((ROW('Game Records'!$U$5:$U$504)&gt;$H487)*(('Game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9" ht="24" customHeight="1">
      <c r="A489" s="332" t="str">
        <f>IF($H489="","",ROWS($A$5:A489))</f>
        <v/>
      </c>
      <c r="B489" s="332" t="str">
        <f>IF($H489="","","G-"&amp;TEXT($A489,"0000"))</f>
        <v/>
      </c>
      <c r="C489" s="331" t="str">
        <f>IF($H489="","",IFERROR(INDEX('Game Records'!$A:$A,$H489),""))</f>
        <v/>
      </c>
      <c r="D489" s="331" t="str">
        <f>IF($H489="","",IFERROR(INDEX('Game Records'!$U:$U,$H489),""))</f>
        <v/>
      </c>
      <c r="E489" s="331" t="str">
        <f>IF($H489="","",IF($F489="","No Highlighted Fields","Highlighted Fields Present"))</f>
        <v/>
      </c>
      <c r="F489" s="331" t="str">
        <f>IF($H489="","",IF(OR(NOT(ISFORMULA(INDEX('Game Records'!$N:$N,$H489))),NOT(ISFORMULA(INDEX('Game Records'!$O:$O,$H489))),NOT(ISFORMULA(INDEX('Game Records'!$P:$P,$H489))),NOT(ISFORMULA(INDEX('Game Records'!$Q:$Q,$H489))),NOT(ISFORMULA(INDEX('Game Records'!$R:$R,$H489))),NOT(ISFORMULA(INDEX('Game Records'!$S:$S,$H489))),NOT(ISFORMULA(INDEX('Game Records'!$T:$T,$H489))),NOT(ISFORMULA(INDEX('Game Records'!$U:$U,$H489))),NOT(ISFORMULA(INDEX('Game Records'!$V:$V,$H489))),NOT(ISFORMULA(INDEX('Game Records'!$W:$W,$H489))),NOT(ISFORMULA(INDEX('Game Records'!$X:$X,$H489))),NOT(ISFORMULA(INDEX('Game Records'!$Y:$Y,$H489))),NOT(ISFORMULA(INDEX('Game Records'!$Z:$Z,$H489)))),"Formula columns missing; ","")&amp;IF(INDEX('Game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Earned; ","")&amp;IF(AND(LOWER(INDEX('Game Records'!$D:$D,$H489)&amp;"")="finalized",INDEX('Game Records'!$U:$U,$H489)&lt;&gt;"Subscription",INDEX('Game Records'!$U:$U,$H489)&lt;&gt;"Free Game",INDEX('Game Records'!$U:$U,$H489)&lt;&gt;"Disqualified — Free Game",OR(INDEX('Game Records'!$L:$L,$H489)="",LOWER(INDEX('Game Records'!$L:$L,$H489)&amp;"")="n/a")),"Disqualified Status; ","")&amp;IF(AND(OR(INDEX('Game Records'!$U:$U,$H489)="Free Game",INDEX('Game Records'!$U:$U,$H489)="Disqualified — Free Game"),N(INDEX('Game Records'!$H:$H,$H489))&lt;&gt;0),"Free Game has a non-zero Entry Fee; ",""))</f>
        <v/>
      </c>
      <c r="G489" s="331" t="str">
        <f>IF($H489="","",IFERROR(INDEX('Game Records'!$M:$M,$H489),""))</f>
        <v/>
      </c>
      <c r="H489" s="104" t="str">
        <f>IF($H488="","",IFERROR(MATCH(1,INDEX((ROW('Game Records'!$U$5:$U$504)&gt;$H488)*(('Game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0" ht="24" customHeight="1">
      <c r="A490" s="332" t="str">
        <f>IF($H490="","",ROWS($A$5:A490))</f>
        <v/>
      </c>
      <c r="B490" s="332" t="str">
        <f>IF($H490="","","G-"&amp;TEXT($A490,"0000"))</f>
        <v/>
      </c>
      <c r="C490" s="331" t="str">
        <f>IF($H490="","",IFERROR(INDEX('Game Records'!$A:$A,$H490),""))</f>
        <v/>
      </c>
      <c r="D490" s="331" t="str">
        <f>IF($H490="","",IFERROR(INDEX('Game Records'!$U:$U,$H490),""))</f>
        <v/>
      </c>
      <c r="E490" s="331" t="str">
        <f>IF($H490="","",IF($F490="","No Highlighted Fields","Highlighted Fields Present"))</f>
        <v/>
      </c>
      <c r="F490" s="331" t="str">
        <f>IF($H490="","",IF(OR(NOT(ISFORMULA(INDEX('Game Records'!$N:$N,$H490))),NOT(ISFORMULA(INDEX('Game Records'!$O:$O,$H490))),NOT(ISFORMULA(INDEX('Game Records'!$P:$P,$H490))),NOT(ISFORMULA(INDEX('Game Records'!$Q:$Q,$H490))),NOT(ISFORMULA(INDEX('Game Records'!$R:$R,$H490))),NOT(ISFORMULA(INDEX('Game Records'!$S:$S,$H490))),NOT(ISFORMULA(INDEX('Game Records'!$T:$T,$H490))),NOT(ISFORMULA(INDEX('Game Records'!$U:$U,$H490))),NOT(ISFORMULA(INDEX('Game Records'!$V:$V,$H490))),NOT(ISFORMULA(INDEX('Game Records'!$W:$W,$H490))),NOT(ISFORMULA(INDEX('Game Records'!$X:$X,$H490))),NOT(ISFORMULA(INDEX('Game Records'!$Y:$Y,$H490))),NOT(ISFORMULA(INDEX('Game Records'!$Z:$Z,$H490)))),"Formula columns missing; ","")&amp;IF(INDEX('Game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Earned; ","")&amp;IF(AND(LOWER(INDEX('Game Records'!$D:$D,$H490)&amp;"")="finalized",INDEX('Game Records'!$U:$U,$H490)&lt;&gt;"Subscription",INDEX('Game Records'!$U:$U,$H490)&lt;&gt;"Free Game",INDEX('Game Records'!$U:$U,$H490)&lt;&gt;"Disqualified — Free Game",OR(INDEX('Game Records'!$L:$L,$H490)="",LOWER(INDEX('Game Records'!$L:$L,$H490)&amp;"")="n/a")),"Disqualified Status; ","")&amp;IF(AND(OR(INDEX('Game Records'!$U:$U,$H490)="Free Game",INDEX('Game Records'!$U:$U,$H490)="Disqualified — Free Game"),N(INDEX('Game Records'!$H:$H,$H490))&lt;&gt;0),"Free Game has a non-zero Entry Fee; ",""))</f>
        <v/>
      </c>
      <c r="G490" s="331" t="str">
        <f>IF($H490="","",IFERROR(INDEX('Game Records'!$M:$M,$H490),""))</f>
        <v/>
      </c>
      <c r="H490" s="104" t="str">
        <f>IF($H489="","",IFERROR(MATCH(1,INDEX((ROW('Game Records'!$U$5:$U$504)&gt;$H489)*(('Game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1" ht="24" customHeight="1">
      <c r="A491" s="332" t="str">
        <f>IF($H491="","",ROWS($A$5:A491))</f>
        <v/>
      </c>
      <c r="B491" s="332" t="str">
        <f>IF($H491="","","G-"&amp;TEXT($A491,"0000"))</f>
        <v/>
      </c>
      <c r="C491" s="331" t="str">
        <f>IF($H491="","",IFERROR(INDEX('Game Records'!$A:$A,$H491),""))</f>
        <v/>
      </c>
      <c r="D491" s="331" t="str">
        <f>IF($H491="","",IFERROR(INDEX('Game Records'!$U:$U,$H491),""))</f>
        <v/>
      </c>
      <c r="E491" s="331" t="str">
        <f>IF($H491="","",IF($F491="","No Highlighted Fields","Highlighted Fields Present"))</f>
        <v/>
      </c>
      <c r="F491" s="331" t="str">
        <f>IF($H491="","",IF(OR(NOT(ISFORMULA(INDEX('Game Records'!$N:$N,$H491))),NOT(ISFORMULA(INDEX('Game Records'!$O:$O,$H491))),NOT(ISFORMULA(INDEX('Game Records'!$P:$P,$H491))),NOT(ISFORMULA(INDEX('Game Records'!$Q:$Q,$H491))),NOT(ISFORMULA(INDEX('Game Records'!$R:$R,$H491))),NOT(ISFORMULA(INDEX('Game Records'!$S:$S,$H491))),NOT(ISFORMULA(INDEX('Game Records'!$T:$T,$H491))),NOT(ISFORMULA(INDEX('Game Records'!$U:$U,$H491))),NOT(ISFORMULA(INDEX('Game Records'!$V:$V,$H491))),NOT(ISFORMULA(INDEX('Game Records'!$W:$W,$H491))),NOT(ISFORMULA(INDEX('Game Records'!$X:$X,$H491))),NOT(ISFORMULA(INDEX('Game Records'!$Y:$Y,$H491))),NOT(ISFORMULA(INDEX('Game Records'!$Z:$Z,$H491)))),"Formula columns missing; ","")&amp;IF(INDEX('Game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Earned; ","")&amp;IF(AND(LOWER(INDEX('Game Records'!$D:$D,$H491)&amp;"")="finalized",INDEX('Game Records'!$U:$U,$H491)&lt;&gt;"Subscription",INDEX('Game Records'!$U:$U,$H491)&lt;&gt;"Free Game",INDEX('Game Records'!$U:$U,$H491)&lt;&gt;"Disqualified — Free Game",OR(INDEX('Game Records'!$L:$L,$H491)="",LOWER(INDEX('Game Records'!$L:$L,$H491)&amp;"")="n/a")),"Disqualified Status; ","")&amp;IF(AND(OR(INDEX('Game Records'!$U:$U,$H491)="Free Game",INDEX('Game Records'!$U:$U,$H491)="Disqualified — Free Game"),N(INDEX('Game Records'!$H:$H,$H491))&lt;&gt;0),"Free Game has a non-zero Entry Fee; ",""))</f>
        <v/>
      </c>
      <c r="G491" s="331" t="str">
        <f>IF($H491="","",IFERROR(INDEX('Game Records'!$M:$M,$H491),""))</f>
        <v/>
      </c>
      <c r="H491" s="104" t="str">
        <f>IF($H490="","",IFERROR(MATCH(1,INDEX((ROW('Game Records'!$U$5:$U$504)&gt;$H490)*(('Game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2" ht="24" customHeight="1">
      <c r="A492" s="332" t="str">
        <f>IF($H492="","",ROWS($A$5:A492))</f>
        <v/>
      </c>
      <c r="B492" s="332" t="str">
        <f>IF($H492="","","G-"&amp;TEXT($A492,"0000"))</f>
        <v/>
      </c>
      <c r="C492" s="331" t="str">
        <f>IF($H492="","",IFERROR(INDEX('Game Records'!$A:$A,$H492),""))</f>
        <v/>
      </c>
      <c r="D492" s="331" t="str">
        <f>IF($H492="","",IFERROR(INDEX('Game Records'!$U:$U,$H492),""))</f>
        <v/>
      </c>
      <c r="E492" s="331" t="str">
        <f>IF($H492="","",IF($F492="","No Highlighted Fields","Highlighted Fields Present"))</f>
        <v/>
      </c>
      <c r="F492" s="331" t="str">
        <f>IF($H492="","",IF(OR(NOT(ISFORMULA(INDEX('Game Records'!$N:$N,$H492))),NOT(ISFORMULA(INDEX('Game Records'!$O:$O,$H492))),NOT(ISFORMULA(INDEX('Game Records'!$P:$P,$H492))),NOT(ISFORMULA(INDEX('Game Records'!$Q:$Q,$H492))),NOT(ISFORMULA(INDEX('Game Records'!$R:$R,$H492))),NOT(ISFORMULA(INDEX('Game Records'!$S:$S,$H492))),NOT(ISFORMULA(INDEX('Game Records'!$T:$T,$H492))),NOT(ISFORMULA(INDEX('Game Records'!$U:$U,$H492))),NOT(ISFORMULA(INDEX('Game Records'!$V:$V,$H492))),NOT(ISFORMULA(INDEX('Game Records'!$W:$W,$H492))),NOT(ISFORMULA(INDEX('Game Records'!$X:$X,$H492))),NOT(ISFORMULA(INDEX('Game Records'!$Y:$Y,$H492))),NOT(ISFORMULA(INDEX('Game Records'!$Z:$Z,$H492)))),"Formula columns missing; ","")&amp;IF(INDEX('Game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Earned; ","")&amp;IF(AND(LOWER(INDEX('Game Records'!$D:$D,$H492)&amp;"")="finalized",INDEX('Game Records'!$U:$U,$H492)&lt;&gt;"Subscription",INDEX('Game Records'!$U:$U,$H492)&lt;&gt;"Free Game",INDEX('Game Records'!$U:$U,$H492)&lt;&gt;"Disqualified — Free Game",OR(INDEX('Game Records'!$L:$L,$H492)="",LOWER(INDEX('Game Records'!$L:$L,$H492)&amp;"")="n/a")),"Disqualified Status; ","")&amp;IF(AND(OR(INDEX('Game Records'!$U:$U,$H492)="Free Game",INDEX('Game Records'!$U:$U,$H492)="Disqualified — Free Game"),N(INDEX('Game Records'!$H:$H,$H492))&lt;&gt;0),"Free Game has a non-zero Entry Fee; ",""))</f>
        <v/>
      </c>
      <c r="G492" s="331" t="str">
        <f>IF($H492="","",IFERROR(INDEX('Game Records'!$M:$M,$H492),""))</f>
        <v/>
      </c>
      <c r="H492" s="104" t="str">
        <f>IF($H491="","",IFERROR(MATCH(1,INDEX((ROW('Game Records'!$U$5:$U$504)&gt;$H491)*(('Game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3" ht="24" customHeight="1">
      <c r="A493" s="332" t="str">
        <f>IF($H493="","",ROWS($A$5:A493))</f>
        <v/>
      </c>
      <c r="B493" s="332" t="str">
        <f>IF($H493="","","G-"&amp;TEXT($A493,"0000"))</f>
        <v/>
      </c>
      <c r="C493" s="331" t="str">
        <f>IF($H493="","",IFERROR(INDEX('Game Records'!$A:$A,$H493),""))</f>
        <v/>
      </c>
      <c r="D493" s="331" t="str">
        <f>IF($H493="","",IFERROR(INDEX('Game Records'!$U:$U,$H493),""))</f>
        <v/>
      </c>
      <c r="E493" s="331" t="str">
        <f>IF($H493="","",IF($F493="","No Highlighted Fields","Highlighted Fields Present"))</f>
        <v/>
      </c>
      <c r="F493" s="331" t="str">
        <f>IF($H493="","",IF(OR(NOT(ISFORMULA(INDEX('Game Records'!$N:$N,$H493))),NOT(ISFORMULA(INDEX('Game Records'!$O:$O,$H493))),NOT(ISFORMULA(INDEX('Game Records'!$P:$P,$H493))),NOT(ISFORMULA(INDEX('Game Records'!$Q:$Q,$H493))),NOT(ISFORMULA(INDEX('Game Records'!$R:$R,$H493))),NOT(ISFORMULA(INDEX('Game Records'!$S:$S,$H493))),NOT(ISFORMULA(INDEX('Game Records'!$T:$T,$H493))),NOT(ISFORMULA(INDEX('Game Records'!$U:$U,$H493))),NOT(ISFORMULA(INDEX('Game Records'!$V:$V,$H493))),NOT(ISFORMULA(INDEX('Game Records'!$W:$W,$H493))),NOT(ISFORMULA(INDEX('Game Records'!$X:$X,$H493))),NOT(ISFORMULA(INDEX('Game Records'!$Y:$Y,$H493))),NOT(ISFORMULA(INDEX('Game Records'!$Z:$Z,$H493)))),"Formula columns missing; ","")&amp;IF(INDEX('Game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Earned; ","")&amp;IF(AND(LOWER(INDEX('Game Records'!$D:$D,$H493)&amp;"")="finalized",INDEX('Game Records'!$U:$U,$H493)&lt;&gt;"Subscription",INDEX('Game Records'!$U:$U,$H493)&lt;&gt;"Free Game",INDEX('Game Records'!$U:$U,$H493)&lt;&gt;"Disqualified — Free Game",OR(INDEX('Game Records'!$L:$L,$H493)="",LOWER(INDEX('Game Records'!$L:$L,$H493)&amp;"")="n/a")),"Disqualified Status; ","")&amp;IF(AND(OR(INDEX('Game Records'!$U:$U,$H493)="Free Game",INDEX('Game Records'!$U:$U,$H493)="Disqualified — Free Game"),N(INDEX('Game Records'!$H:$H,$H493))&lt;&gt;0),"Free Game has a non-zero Entry Fee; ",""))</f>
        <v/>
      </c>
      <c r="G493" s="331" t="str">
        <f>IF($H493="","",IFERROR(INDEX('Game Records'!$M:$M,$H493),""))</f>
        <v/>
      </c>
      <c r="H493" s="104" t="str">
        <f>IF($H492="","",IFERROR(MATCH(1,INDEX((ROW('Game Records'!$U$5:$U$504)&gt;$H492)*(('Game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4" ht="24" customHeight="1">
      <c r="A494" s="332" t="str">
        <f>IF($H494="","",ROWS($A$5:A494))</f>
        <v/>
      </c>
      <c r="B494" s="332" t="str">
        <f>IF($H494="","","G-"&amp;TEXT($A494,"0000"))</f>
        <v/>
      </c>
      <c r="C494" s="331" t="str">
        <f>IF($H494="","",IFERROR(INDEX('Game Records'!$A:$A,$H494),""))</f>
        <v/>
      </c>
      <c r="D494" s="331" t="str">
        <f>IF($H494="","",IFERROR(INDEX('Game Records'!$U:$U,$H494),""))</f>
        <v/>
      </c>
      <c r="E494" s="331" t="str">
        <f>IF($H494="","",IF($F494="","No Highlighted Fields","Highlighted Fields Present"))</f>
        <v/>
      </c>
      <c r="F494" s="331" t="str">
        <f>IF($H494="","",IF(OR(NOT(ISFORMULA(INDEX('Game Records'!$N:$N,$H494))),NOT(ISFORMULA(INDEX('Game Records'!$O:$O,$H494))),NOT(ISFORMULA(INDEX('Game Records'!$P:$P,$H494))),NOT(ISFORMULA(INDEX('Game Records'!$Q:$Q,$H494))),NOT(ISFORMULA(INDEX('Game Records'!$R:$R,$H494))),NOT(ISFORMULA(INDEX('Game Records'!$S:$S,$H494))),NOT(ISFORMULA(INDEX('Game Records'!$T:$T,$H494))),NOT(ISFORMULA(INDEX('Game Records'!$U:$U,$H494))),NOT(ISFORMULA(INDEX('Game Records'!$V:$V,$H494))),NOT(ISFORMULA(INDEX('Game Records'!$W:$W,$H494))),NOT(ISFORMULA(INDEX('Game Records'!$X:$X,$H494))),NOT(ISFORMULA(INDEX('Game Records'!$Y:$Y,$H494))),NOT(ISFORMULA(INDEX('Game Records'!$Z:$Z,$H494)))),"Formula columns missing; ","")&amp;IF(INDEX('Game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Earned; ","")&amp;IF(AND(LOWER(INDEX('Game Records'!$D:$D,$H494)&amp;"")="finalized",INDEX('Game Records'!$U:$U,$H494)&lt;&gt;"Subscription",INDEX('Game Records'!$U:$U,$H494)&lt;&gt;"Free Game",INDEX('Game Records'!$U:$U,$H494)&lt;&gt;"Disqualified — Free Game",OR(INDEX('Game Records'!$L:$L,$H494)="",LOWER(INDEX('Game Records'!$L:$L,$H494)&amp;"")="n/a")),"Disqualified Status; ","")&amp;IF(AND(OR(INDEX('Game Records'!$U:$U,$H494)="Free Game",INDEX('Game Records'!$U:$U,$H494)="Disqualified — Free Game"),N(INDEX('Game Records'!$H:$H,$H494))&lt;&gt;0),"Free Game has a non-zero Entry Fee; ",""))</f>
        <v/>
      </c>
      <c r="G494" s="331" t="str">
        <f>IF($H494="","",IFERROR(INDEX('Game Records'!$M:$M,$H494),""))</f>
        <v/>
      </c>
      <c r="H494" s="104" t="str">
        <f>IF($H493="","",IFERROR(MATCH(1,INDEX((ROW('Game Records'!$U$5:$U$504)&gt;$H493)*(('Game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5" ht="24" customHeight="1">
      <c r="A495" s="332" t="str">
        <f>IF($H495="","",ROWS($A$5:A495))</f>
        <v/>
      </c>
      <c r="B495" s="332" t="str">
        <f>IF($H495="","","G-"&amp;TEXT($A495,"0000"))</f>
        <v/>
      </c>
      <c r="C495" s="331" t="str">
        <f>IF($H495="","",IFERROR(INDEX('Game Records'!$A:$A,$H495),""))</f>
        <v/>
      </c>
      <c r="D495" s="331" t="str">
        <f>IF($H495="","",IFERROR(INDEX('Game Records'!$U:$U,$H495),""))</f>
        <v/>
      </c>
      <c r="E495" s="331" t="str">
        <f>IF($H495="","",IF($F495="","No Highlighted Fields","Highlighted Fields Present"))</f>
        <v/>
      </c>
      <c r="F495" s="331" t="str">
        <f>IF($H495="","",IF(OR(NOT(ISFORMULA(INDEX('Game Records'!$N:$N,$H495))),NOT(ISFORMULA(INDEX('Game Records'!$O:$O,$H495))),NOT(ISFORMULA(INDEX('Game Records'!$P:$P,$H495))),NOT(ISFORMULA(INDEX('Game Records'!$Q:$Q,$H495))),NOT(ISFORMULA(INDEX('Game Records'!$R:$R,$H495))),NOT(ISFORMULA(INDEX('Game Records'!$S:$S,$H495))),NOT(ISFORMULA(INDEX('Game Records'!$T:$T,$H495))),NOT(ISFORMULA(INDEX('Game Records'!$U:$U,$H495))),NOT(ISFORMULA(INDEX('Game Records'!$V:$V,$H495))),NOT(ISFORMULA(INDEX('Game Records'!$W:$W,$H495))),NOT(ISFORMULA(INDEX('Game Records'!$X:$X,$H495))),NOT(ISFORMULA(INDEX('Game Records'!$Y:$Y,$H495))),NOT(ISFORMULA(INDEX('Game Records'!$Z:$Z,$H495)))),"Formula columns missing; ","")&amp;IF(INDEX('Game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Earned; ","")&amp;IF(AND(LOWER(INDEX('Game Records'!$D:$D,$H495)&amp;"")="finalized",INDEX('Game Records'!$U:$U,$H495)&lt;&gt;"Subscription",INDEX('Game Records'!$U:$U,$H495)&lt;&gt;"Free Game",INDEX('Game Records'!$U:$U,$H495)&lt;&gt;"Disqualified — Free Game",OR(INDEX('Game Records'!$L:$L,$H495)="",LOWER(INDEX('Game Records'!$L:$L,$H495)&amp;"")="n/a")),"Disqualified Status; ","")&amp;IF(AND(OR(INDEX('Game Records'!$U:$U,$H495)="Free Game",INDEX('Game Records'!$U:$U,$H495)="Disqualified — Free Game"),N(INDEX('Game Records'!$H:$H,$H495))&lt;&gt;0),"Free Game has a non-zero Entry Fee; ",""))</f>
        <v/>
      </c>
      <c r="G495" s="331" t="str">
        <f>IF($H495="","",IFERROR(INDEX('Game Records'!$M:$M,$H495),""))</f>
        <v/>
      </c>
      <c r="H495" s="104" t="str">
        <f>IF($H494="","",IFERROR(MATCH(1,INDEX((ROW('Game Records'!$U$5:$U$504)&gt;$H494)*(('Game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6" ht="24" customHeight="1">
      <c r="A496" s="332" t="str">
        <f>IF($H496="","",ROWS($A$5:A496))</f>
        <v/>
      </c>
      <c r="B496" s="332" t="str">
        <f>IF($H496="","","G-"&amp;TEXT($A496,"0000"))</f>
        <v/>
      </c>
      <c r="C496" s="331" t="str">
        <f>IF($H496="","",IFERROR(INDEX('Game Records'!$A:$A,$H496),""))</f>
        <v/>
      </c>
      <c r="D496" s="331" t="str">
        <f>IF($H496="","",IFERROR(INDEX('Game Records'!$U:$U,$H496),""))</f>
        <v/>
      </c>
      <c r="E496" s="331" t="str">
        <f>IF($H496="","",IF($F496="","No Highlighted Fields","Highlighted Fields Present"))</f>
        <v/>
      </c>
      <c r="F496" s="331" t="str">
        <f>IF($H496="","",IF(OR(NOT(ISFORMULA(INDEX('Game Records'!$N:$N,$H496))),NOT(ISFORMULA(INDEX('Game Records'!$O:$O,$H496))),NOT(ISFORMULA(INDEX('Game Records'!$P:$P,$H496))),NOT(ISFORMULA(INDEX('Game Records'!$Q:$Q,$H496))),NOT(ISFORMULA(INDEX('Game Records'!$R:$R,$H496))),NOT(ISFORMULA(INDEX('Game Records'!$S:$S,$H496))),NOT(ISFORMULA(INDEX('Game Records'!$T:$T,$H496))),NOT(ISFORMULA(INDEX('Game Records'!$U:$U,$H496))),NOT(ISFORMULA(INDEX('Game Records'!$V:$V,$H496))),NOT(ISFORMULA(INDEX('Game Records'!$W:$W,$H496))),NOT(ISFORMULA(INDEX('Game Records'!$X:$X,$H496))),NOT(ISFORMULA(INDEX('Game Records'!$Y:$Y,$H496))),NOT(ISFORMULA(INDEX('Game Records'!$Z:$Z,$H496)))),"Formula columns missing; ","")&amp;IF(INDEX('Game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Earned; ","")&amp;IF(AND(LOWER(INDEX('Game Records'!$D:$D,$H496)&amp;"")="finalized",INDEX('Game Records'!$U:$U,$H496)&lt;&gt;"Subscription",INDEX('Game Records'!$U:$U,$H496)&lt;&gt;"Free Game",INDEX('Game Records'!$U:$U,$H496)&lt;&gt;"Disqualified — Free Game",OR(INDEX('Game Records'!$L:$L,$H496)="",LOWER(INDEX('Game Records'!$L:$L,$H496)&amp;"")="n/a")),"Disqualified Status; ","")&amp;IF(AND(OR(INDEX('Game Records'!$U:$U,$H496)="Free Game",INDEX('Game Records'!$U:$U,$H496)="Disqualified — Free Game"),N(INDEX('Game Records'!$H:$H,$H496))&lt;&gt;0),"Free Game has a non-zero Entry Fee; ",""))</f>
        <v/>
      </c>
      <c r="G496" s="331" t="str">
        <f>IF($H496="","",IFERROR(INDEX('Game Records'!$M:$M,$H496),""))</f>
        <v/>
      </c>
      <c r="H496" s="104" t="str">
        <f>IF($H495="","",IFERROR(MATCH(1,INDEX((ROW('Game Records'!$U$5:$U$504)&gt;$H495)*(('Game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7" ht="24" customHeight="1">
      <c r="A497" s="332" t="str">
        <f>IF($H497="","",ROWS($A$5:A497))</f>
        <v/>
      </c>
      <c r="B497" s="332" t="str">
        <f>IF($H497="","","G-"&amp;TEXT($A497,"0000"))</f>
        <v/>
      </c>
      <c r="C497" s="331" t="str">
        <f>IF($H497="","",IFERROR(INDEX('Game Records'!$A:$A,$H497),""))</f>
        <v/>
      </c>
      <c r="D497" s="331" t="str">
        <f>IF($H497="","",IFERROR(INDEX('Game Records'!$U:$U,$H497),""))</f>
        <v/>
      </c>
      <c r="E497" s="331" t="str">
        <f>IF($H497="","",IF($F497="","No Highlighted Fields","Highlighted Fields Present"))</f>
        <v/>
      </c>
      <c r="F497" s="331" t="str">
        <f>IF($H497="","",IF(OR(NOT(ISFORMULA(INDEX('Game Records'!$N:$N,$H497))),NOT(ISFORMULA(INDEX('Game Records'!$O:$O,$H497))),NOT(ISFORMULA(INDEX('Game Records'!$P:$P,$H497))),NOT(ISFORMULA(INDEX('Game Records'!$Q:$Q,$H497))),NOT(ISFORMULA(INDEX('Game Records'!$R:$R,$H497))),NOT(ISFORMULA(INDEX('Game Records'!$S:$S,$H497))),NOT(ISFORMULA(INDEX('Game Records'!$T:$T,$H497))),NOT(ISFORMULA(INDEX('Game Records'!$U:$U,$H497))),NOT(ISFORMULA(INDEX('Game Records'!$V:$V,$H497))),NOT(ISFORMULA(INDEX('Game Records'!$W:$W,$H497))),NOT(ISFORMULA(INDEX('Game Records'!$X:$X,$H497))),NOT(ISFORMULA(INDEX('Game Records'!$Y:$Y,$H497))),NOT(ISFORMULA(INDEX('Game Records'!$Z:$Z,$H497)))),"Formula columns missing; ","")&amp;IF(INDEX('Game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Earned; ","")&amp;IF(AND(LOWER(INDEX('Game Records'!$D:$D,$H497)&amp;"")="finalized",INDEX('Game Records'!$U:$U,$H497)&lt;&gt;"Subscription",INDEX('Game Records'!$U:$U,$H497)&lt;&gt;"Free Game",INDEX('Game Records'!$U:$U,$H497)&lt;&gt;"Disqualified — Free Game",OR(INDEX('Game Records'!$L:$L,$H497)="",LOWER(INDEX('Game Records'!$L:$L,$H497)&amp;"")="n/a")),"Disqualified Status; ","")&amp;IF(AND(OR(INDEX('Game Records'!$U:$U,$H497)="Free Game",INDEX('Game Records'!$U:$U,$H497)="Disqualified — Free Game"),N(INDEX('Game Records'!$H:$H,$H497))&lt;&gt;0),"Free Game has a non-zero Entry Fee; ",""))</f>
        <v/>
      </c>
      <c r="G497" s="331" t="str">
        <f>IF($H497="","",IFERROR(INDEX('Game Records'!$M:$M,$H497),""))</f>
        <v/>
      </c>
      <c r="H497" s="104" t="str">
        <f>IF($H496="","",IFERROR(MATCH(1,INDEX((ROW('Game Records'!$U$5:$U$504)&gt;$H496)*(('Game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8" ht="24" customHeight="1">
      <c r="A498" s="332" t="str">
        <f>IF($H498="","",ROWS($A$5:A498))</f>
        <v/>
      </c>
      <c r="B498" s="332" t="str">
        <f>IF($H498="","","G-"&amp;TEXT($A498,"0000"))</f>
        <v/>
      </c>
      <c r="C498" s="331" t="str">
        <f>IF($H498="","",IFERROR(INDEX('Game Records'!$A:$A,$H498),""))</f>
        <v/>
      </c>
      <c r="D498" s="331" t="str">
        <f>IF($H498="","",IFERROR(INDEX('Game Records'!$U:$U,$H498),""))</f>
        <v/>
      </c>
      <c r="E498" s="331" t="str">
        <f>IF($H498="","",IF($F498="","No Highlighted Fields","Highlighted Fields Present"))</f>
        <v/>
      </c>
      <c r="F498" s="331" t="str">
        <f>IF($H498="","",IF(OR(NOT(ISFORMULA(INDEX('Game Records'!$N:$N,$H498))),NOT(ISFORMULA(INDEX('Game Records'!$O:$O,$H498))),NOT(ISFORMULA(INDEX('Game Records'!$P:$P,$H498))),NOT(ISFORMULA(INDEX('Game Records'!$Q:$Q,$H498))),NOT(ISFORMULA(INDEX('Game Records'!$R:$R,$H498))),NOT(ISFORMULA(INDEX('Game Records'!$S:$S,$H498))),NOT(ISFORMULA(INDEX('Game Records'!$T:$T,$H498))),NOT(ISFORMULA(INDEX('Game Records'!$U:$U,$H498))),NOT(ISFORMULA(INDEX('Game Records'!$V:$V,$H498))),NOT(ISFORMULA(INDEX('Game Records'!$W:$W,$H498))),NOT(ISFORMULA(INDEX('Game Records'!$X:$X,$H498))),NOT(ISFORMULA(INDEX('Game Records'!$Y:$Y,$H498))),NOT(ISFORMULA(INDEX('Game Records'!$Z:$Z,$H498)))),"Formula columns missing; ","")&amp;IF(INDEX('Game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Earned; ","")&amp;IF(AND(LOWER(INDEX('Game Records'!$D:$D,$H498)&amp;"")="finalized",INDEX('Game Records'!$U:$U,$H498)&lt;&gt;"Subscription",INDEX('Game Records'!$U:$U,$H498)&lt;&gt;"Free Game",INDEX('Game Records'!$U:$U,$H498)&lt;&gt;"Disqualified — Free Game",OR(INDEX('Game Records'!$L:$L,$H498)="",LOWER(INDEX('Game Records'!$L:$L,$H498)&amp;"")="n/a")),"Disqualified Status; ","")&amp;IF(AND(OR(INDEX('Game Records'!$U:$U,$H498)="Free Game",INDEX('Game Records'!$U:$U,$H498)="Disqualified — Free Game"),N(INDEX('Game Records'!$H:$H,$H498))&lt;&gt;0),"Free Game has a non-zero Entry Fee; ",""))</f>
        <v/>
      </c>
      <c r="G498" s="331" t="str">
        <f>IF($H498="","",IFERROR(INDEX('Game Records'!$M:$M,$H498),""))</f>
        <v/>
      </c>
      <c r="H498" s="104" t="str">
        <f>IF($H497="","",IFERROR(MATCH(1,INDEX((ROW('Game Records'!$U$5:$U$504)&gt;$H497)*(('Game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9" ht="24" customHeight="1">
      <c r="A499" s="332" t="str">
        <f>IF($H499="","",ROWS($A$5:A499))</f>
        <v/>
      </c>
      <c r="B499" s="332" t="str">
        <f>IF($H499="","","G-"&amp;TEXT($A499,"0000"))</f>
        <v/>
      </c>
      <c r="C499" s="331" t="str">
        <f>IF($H499="","",IFERROR(INDEX('Game Records'!$A:$A,$H499),""))</f>
        <v/>
      </c>
      <c r="D499" s="331" t="str">
        <f>IF($H499="","",IFERROR(INDEX('Game Records'!$U:$U,$H499),""))</f>
        <v/>
      </c>
      <c r="E499" s="331" t="str">
        <f>IF($H499="","",IF($F499="","No Highlighted Fields","Highlighted Fields Present"))</f>
        <v/>
      </c>
      <c r="F499" s="331" t="str">
        <f>IF($H499="","",IF(OR(NOT(ISFORMULA(INDEX('Game Records'!$N:$N,$H499))),NOT(ISFORMULA(INDEX('Game Records'!$O:$O,$H499))),NOT(ISFORMULA(INDEX('Game Records'!$P:$P,$H499))),NOT(ISFORMULA(INDEX('Game Records'!$Q:$Q,$H499))),NOT(ISFORMULA(INDEX('Game Records'!$R:$R,$H499))),NOT(ISFORMULA(INDEX('Game Records'!$S:$S,$H499))),NOT(ISFORMULA(INDEX('Game Records'!$T:$T,$H499))),NOT(ISFORMULA(INDEX('Game Records'!$U:$U,$H499))),NOT(ISFORMULA(INDEX('Game Records'!$V:$V,$H499))),NOT(ISFORMULA(INDEX('Game Records'!$W:$W,$H499))),NOT(ISFORMULA(INDEX('Game Records'!$X:$X,$H499))),NOT(ISFORMULA(INDEX('Game Records'!$Y:$Y,$H499))),NOT(ISFORMULA(INDEX('Game Records'!$Z:$Z,$H499)))),"Formula columns missing; ","")&amp;IF(INDEX('Game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Earned; ","")&amp;IF(AND(LOWER(INDEX('Game Records'!$D:$D,$H499)&amp;"")="finalized",INDEX('Game Records'!$U:$U,$H499)&lt;&gt;"Subscription",INDEX('Game Records'!$U:$U,$H499)&lt;&gt;"Free Game",INDEX('Game Records'!$U:$U,$H499)&lt;&gt;"Disqualified — Free Game",OR(INDEX('Game Records'!$L:$L,$H499)="",LOWER(INDEX('Game Records'!$L:$L,$H499)&amp;"")="n/a")),"Disqualified Status; ","")&amp;IF(AND(OR(INDEX('Game Records'!$U:$U,$H499)="Free Game",INDEX('Game Records'!$U:$U,$H499)="Disqualified — Free Game"),N(INDEX('Game Records'!$H:$H,$H499))&lt;&gt;0),"Free Game has a non-zero Entry Fee; ",""))</f>
        <v/>
      </c>
      <c r="G499" s="331" t="str">
        <f>IF($H499="","",IFERROR(INDEX('Game Records'!$M:$M,$H499),""))</f>
        <v/>
      </c>
      <c r="H499" s="104" t="str">
        <f>IF($H498="","",IFERROR(MATCH(1,INDEX((ROW('Game Records'!$U$5:$U$504)&gt;$H498)*(('Game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0" ht="24" customHeight="1">
      <c r="A500" s="332" t="str">
        <f>IF($H500="","",ROWS($A$5:A500))</f>
        <v/>
      </c>
      <c r="B500" s="332" t="str">
        <f>IF($H500="","","G-"&amp;TEXT($A500,"0000"))</f>
        <v/>
      </c>
      <c r="C500" s="331" t="str">
        <f>IF($H500="","",IFERROR(INDEX('Game Records'!$A:$A,$H500),""))</f>
        <v/>
      </c>
      <c r="D500" s="331" t="str">
        <f>IF($H500="","",IFERROR(INDEX('Game Records'!$U:$U,$H500),""))</f>
        <v/>
      </c>
      <c r="E500" s="331" t="str">
        <f>IF($H500="","",IF($F500="","No Highlighted Fields","Highlighted Fields Present"))</f>
        <v/>
      </c>
      <c r="F500" s="331" t="str">
        <f>IF($H500="","",IF(OR(NOT(ISFORMULA(INDEX('Game Records'!$N:$N,$H500))),NOT(ISFORMULA(INDEX('Game Records'!$O:$O,$H500))),NOT(ISFORMULA(INDEX('Game Records'!$P:$P,$H500))),NOT(ISFORMULA(INDEX('Game Records'!$Q:$Q,$H500))),NOT(ISFORMULA(INDEX('Game Records'!$R:$R,$H500))),NOT(ISFORMULA(INDEX('Game Records'!$S:$S,$H500))),NOT(ISFORMULA(INDEX('Game Records'!$T:$T,$H500))),NOT(ISFORMULA(INDEX('Game Records'!$U:$U,$H500))),NOT(ISFORMULA(INDEX('Game Records'!$V:$V,$H500))),NOT(ISFORMULA(INDEX('Game Records'!$W:$W,$H500))),NOT(ISFORMULA(INDEX('Game Records'!$X:$X,$H500))),NOT(ISFORMULA(INDEX('Game Records'!$Y:$Y,$H500))),NOT(ISFORMULA(INDEX('Game Records'!$Z:$Z,$H500)))),"Formula columns missing; ","")&amp;IF(INDEX('Game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Earned; ","")&amp;IF(AND(LOWER(INDEX('Game Records'!$D:$D,$H500)&amp;"")="finalized",INDEX('Game Records'!$U:$U,$H500)&lt;&gt;"Subscription",INDEX('Game Records'!$U:$U,$H500)&lt;&gt;"Free Game",INDEX('Game Records'!$U:$U,$H500)&lt;&gt;"Disqualified — Free Game",OR(INDEX('Game Records'!$L:$L,$H500)="",LOWER(INDEX('Game Records'!$L:$L,$H500)&amp;"")="n/a")),"Disqualified Status; ","")&amp;IF(AND(OR(INDEX('Game Records'!$U:$U,$H500)="Free Game",INDEX('Game Records'!$U:$U,$H500)="Disqualified — Free Game"),N(INDEX('Game Records'!$H:$H,$H500))&lt;&gt;0),"Free Game has a non-zero Entry Fee; ",""))</f>
        <v/>
      </c>
      <c r="G500" s="331" t="str">
        <f>IF($H500="","",IFERROR(INDEX('Game Records'!$M:$M,$H500),""))</f>
        <v/>
      </c>
      <c r="H500" s="104" t="str">
        <f>IF($H499="","",IFERROR(MATCH(1,INDEX((ROW('Game Records'!$U$5:$U$504)&gt;$H499)*(('Game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1" ht="24" customHeight="1">
      <c r="A501" s="332" t="str">
        <f>IF($H501="","",ROWS($A$5:A501))</f>
        <v/>
      </c>
      <c r="B501" s="332" t="str">
        <f>IF($H501="","","G-"&amp;TEXT($A501,"0000"))</f>
        <v/>
      </c>
      <c r="C501" s="331" t="str">
        <f>IF($H501="","",IFERROR(INDEX('Game Records'!$A:$A,$H501),""))</f>
        <v/>
      </c>
      <c r="D501" s="331" t="str">
        <f>IF($H501="","",IFERROR(INDEX('Game Records'!$U:$U,$H501),""))</f>
        <v/>
      </c>
      <c r="E501" s="331" t="str">
        <f>IF($H501="","",IF($F501="","No Highlighted Fields","Highlighted Fields Present"))</f>
        <v/>
      </c>
      <c r="F501" s="331" t="str">
        <f>IF($H501="","",IF(OR(NOT(ISFORMULA(INDEX('Game Records'!$N:$N,$H501))),NOT(ISFORMULA(INDEX('Game Records'!$O:$O,$H501))),NOT(ISFORMULA(INDEX('Game Records'!$P:$P,$H501))),NOT(ISFORMULA(INDEX('Game Records'!$Q:$Q,$H501))),NOT(ISFORMULA(INDEX('Game Records'!$R:$R,$H501))),NOT(ISFORMULA(INDEX('Game Records'!$S:$S,$H501))),NOT(ISFORMULA(INDEX('Game Records'!$T:$T,$H501))),NOT(ISFORMULA(INDEX('Game Records'!$U:$U,$H501))),NOT(ISFORMULA(INDEX('Game Records'!$V:$V,$H501))),NOT(ISFORMULA(INDEX('Game Records'!$W:$W,$H501))),NOT(ISFORMULA(INDEX('Game Records'!$X:$X,$H501))),NOT(ISFORMULA(INDEX('Game Records'!$Y:$Y,$H501))),NOT(ISFORMULA(INDEX('Game Records'!$Z:$Z,$H501)))),"Formula columns missing; ","")&amp;IF(INDEX('Game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Earned; ","")&amp;IF(AND(LOWER(INDEX('Game Records'!$D:$D,$H501)&amp;"")="finalized",INDEX('Game Records'!$U:$U,$H501)&lt;&gt;"Subscription",INDEX('Game Records'!$U:$U,$H501)&lt;&gt;"Free Game",INDEX('Game Records'!$U:$U,$H501)&lt;&gt;"Disqualified — Free Game",OR(INDEX('Game Records'!$L:$L,$H501)="",LOWER(INDEX('Game Records'!$L:$L,$H501)&amp;"")="n/a")),"Disqualified Status; ","")&amp;IF(AND(OR(INDEX('Game Records'!$U:$U,$H501)="Free Game",INDEX('Game Records'!$U:$U,$H501)="Disqualified — Free Game"),N(INDEX('Game Records'!$H:$H,$H501))&lt;&gt;0),"Free Game has a non-zero Entry Fee; ",""))</f>
        <v/>
      </c>
      <c r="G501" s="331" t="str">
        <f>IF($H501="","",IFERROR(INDEX('Game Records'!$M:$M,$H501),""))</f>
        <v/>
      </c>
      <c r="H501" s="104" t="str">
        <f>IF($H500="","",IFERROR(MATCH(1,INDEX((ROW('Game Records'!$U$5:$U$504)&gt;$H500)*(('Game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2" ht="24" customHeight="1">
      <c r="A502" s="332" t="str">
        <f>IF($H502="","",ROWS($A$5:A502))</f>
        <v/>
      </c>
      <c r="B502" s="332" t="str">
        <f>IF($H502="","","G-"&amp;TEXT($A502,"0000"))</f>
        <v/>
      </c>
      <c r="C502" s="331" t="str">
        <f>IF($H502="","",IFERROR(INDEX('Game Records'!$A:$A,$H502),""))</f>
        <v/>
      </c>
      <c r="D502" s="331" t="str">
        <f>IF($H502="","",IFERROR(INDEX('Game Records'!$U:$U,$H502),""))</f>
        <v/>
      </c>
      <c r="E502" s="331" t="str">
        <f>IF($H502="","",IF($F502="","No Highlighted Fields","Highlighted Fields Present"))</f>
        <v/>
      </c>
      <c r="F502" s="331" t="str">
        <f>IF($H502="","",IF(OR(NOT(ISFORMULA(INDEX('Game Records'!$N:$N,$H502))),NOT(ISFORMULA(INDEX('Game Records'!$O:$O,$H502))),NOT(ISFORMULA(INDEX('Game Records'!$P:$P,$H502))),NOT(ISFORMULA(INDEX('Game Records'!$Q:$Q,$H502))),NOT(ISFORMULA(INDEX('Game Records'!$R:$R,$H502))),NOT(ISFORMULA(INDEX('Game Records'!$S:$S,$H502))),NOT(ISFORMULA(INDEX('Game Records'!$T:$T,$H502))),NOT(ISFORMULA(INDEX('Game Records'!$U:$U,$H502))),NOT(ISFORMULA(INDEX('Game Records'!$V:$V,$H502))),NOT(ISFORMULA(INDEX('Game Records'!$W:$W,$H502))),NOT(ISFORMULA(INDEX('Game Records'!$X:$X,$H502))),NOT(ISFORMULA(INDEX('Game Records'!$Y:$Y,$H502))),NOT(ISFORMULA(INDEX('Game Records'!$Z:$Z,$H502)))),"Formula columns missing; ","")&amp;IF(INDEX('Game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Earned; ","")&amp;IF(AND(LOWER(INDEX('Game Records'!$D:$D,$H502)&amp;"")="finalized",INDEX('Game Records'!$U:$U,$H502)&lt;&gt;"Subscription",INDEX('Game Records'!$U:$U,$H502)&lt;&gt;"Free Game",INDEX('Game Records'!$U:$U,$H502)&lt;&gt;"Disqualified — Free Game",OR(INDEX('Game Records'!$L:$L,$H502)="",LOWER(INDEX('Game Records'!$L:$L,$H502)&amp;"")="n/a")),"Disqualified Status; ","")&amp;IF(AND(OR(INDEX('Game Records'!$U:$U,$H502)="Free Game",INDEX('Game Records'!$U:$U,$H502)="Disqualified — Free Game"),N(INDEX('Game Records'!$H:$H,$H502))&lt;&gt;0),"Free Game has a non-zero Entry Fee; ",""))</f>
        <v/>
      </c>
      <c r="G502" s="331" t="str">
        <f>IF($H502="","",IFERROR(INDEX('Game Records'!$M:$M,$H502),""))</f>
        <v/>
      </c>
      <c r="H502" s="104" t="str">
        <f>IF($H501="","",IFERROR(MATCH(1,INDEX((ROW('Game Records'!$U$5:$U$504)&gt;$H501)*(('Game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3" ht="24" customHeight="1">
      <c r="A503" s="332" t="str">
        <f>IF($H503="","",ROWS($A$5:A503))</f>
        <v/>
      </c>
      <c r="B503" s="332" t="str">
        <f>IF($H503="","","G-"&amp;TEXT($A503,"0000"))</f>
        <v/>
      </c>
      <c r="C503" s="331" t="str">
        <f>IF($H503="","",IFERROR(INDEX('Game Records'!$A:$A,$H503),""))</f>
        <v/>
      </c>
      <c r="D503" s="331" t="str">
        <f>IF($H503="","",IFERROR(INDEX('Game Records'!$U:$U,$H503),""))</f>
        <v/>
      </c>
      <c r="E503" s="331" t="str">
        <f>IF($H503="","",IF($F503="","No Highlighted Fields","Highlighted Fields Present"))</f>
        <v/>
      </c>
      <c r="F503" s="331" t="str">
        <f>IF($H503="","",IF(OR(NOT(ISFORMULA(INDEX('Game Records'!$N:$N,$H503))),NOT(ISFORMULA(INDEX('Game Records'!$O:$O,$H503))),NOT(ISFORMULA(INDEX('Game Records'!$P:$P,$H503))),NOT(ISFORMULA(INDEX('Game Records'!$Q:$Q,$H503))),NOT(ISFORMULA(INDEX('Game Records'!$R:$R,$H503))),NOT(ISFORMULA(INDEX('Game Records'!$S:$S,$H503))),NOT(ISFORMULA(INDEX('Game Records'!$T:$T,$H503))),NOT(ISFORMULA(INDEX('Game Records'!$U:$U,$H503))),NOT(ISFORMULA(INDEX('Game Records'!$V:$V,$H503))),NOT(ISFORMULA(INDEX('Game Records'!$W:$W,$H503))),NOT(ISFORMULA(INDEX('Game Records'!$X:$X,$H503))),NOT(ISFORMULA(INDEX('Game Records'!$Y:$Y,$H503))),NOT(ISFORMULA(INDEX('Game Records'!$Z:$Z,$H503)))),"Formula columns missing; ","")&amp;IF(INDEX('Game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Earned; ","")&amp;IF(AND(LOWER(INDEX('Game Records'!$D:$D,$H503)&amp;"")="finalized",INDEX('Game Records'!$U:$U,$H503)&lt;&gt;"Subscription",INDEX('Game Records'!$U:$U,$H503)&lt;&gt;"Free Game",INDEX('Game Records'!$U:$U,$H503)&lt;&gt;"Disqualified — Free Game",OR(INDEX('Game Records'!$L:$L,$H503)="",LOWER(INDEX('Game Records'!$L:$L,$H503)&amp;"")="n/a")),"Disqualified Status; ","")&amp;IF(AND(OR(INDEX('Game Records'!$U:$U,$H503)="Free Game",INDEX('Game Records'!$U:$U,$H503)="Disqualified — Free Game"),N(INDEX('Game Records'!$H:$H,$H503))&lt;&gt;0),"Free Game has a non-zero Entry Fee; ",""))</f>
        <v/>
      </c>
      <c r="G503" s="331" t="str">
        <f>IF($H503="","",IFERROR(INDEX('Game Records'!$M:$M,$H503),""))</f>
        <v/>
      </c>
      <c r="H503" s="104" t="str">
        <f>IF($H502="","",IFERROR(MATCH(1,INDEX((ROW('Game Records'!$U$5:$U$504)&gt;$H502)*(('Game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4" ht="24" customHeight="1">
      <c r="A504" s="332" t="str">
        <f>IF($H504="","",ROWS($A$5:A504))</f>
        <v/>
      </c>
      <c r="B504" s="332" t="str">
        <f>IF($H504="","","G-"&amp;TEXT($A504,"0000"))</f>
        <v/>
      </c>
      <c r="C504" s="331" t="str">
        <f>IF($H504="","",IFERROR(INDEX('Game Records'!$A:$A,$H504),""))</f>
        <v/>
      </c>
      <c r="D504" s="331" t="str">
        <f>IF($H504="","",IFERROR(INDEX('Game Records'!$U:$U,$H504),""))</f>
        <v/>
      </c>
      <c r="E504" s="331" t="str">
        <f>IF($H504="","",IF($F504="","No Highlighted Fields","Highlighted Fields Present"))</f>
        <v/>
      </c>
      <c r="F504" s="331" t="str">
        <f>IF($H504="","",IF(OR(NOT(ISFORMULA(INDEX('Game Records'!$N:$N,$H504))),NOT(ISFORMULA(INDEX('Game Records'!$O:$O,$H504))),NOT(ISFORMULA(INDEX('Game Records'!$P:$P,$H504))),NOT(ISFORMULA(INDEX('Game Records'!$Q:$Q,$H504))),NOT(ISFORMULA(INDEX('Game Records'!$R:$R,$H504))),NOT(ISFORMULA(INDEX('Game Records'!$S:$S,$H504))),NOT(ISFORMULA(INDEX('Game Records'!$T:$T,$H504))),NOT(ISFORMULA(INDEX('Game Records'!$U:$U,$H504))),NOT(ISFORMULA(INDEX('Game Records'!$V:$V,$H504))),NOT(ISFORMULA(INDEX('Game Records'!$W:$W,$H504))),NOT(ISFORMULA(INDEX('Game Records'!$X:$X,$H504))),NOT(ISFORMULA(INDEX('Game Records'!$Y:$Y,$H504))),NOT(ISFORMULA(INDEX('Game Records'!$Z:$Z,$H504)))),"Formula columns missing; ","")&amp;IF(INDEX('Game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Earned; ","")&amp;IF(AND(LOWER(INDEX('Game Records'!$D:$D,$H504)&amp;"")="finalized",INDEX('Game Records'!$U:$U,$H504)&lt;&gt;"Subscription",INDEX('Game Records'!$U:$U,$H504)&lt;&gt;"Free Game",INDEX('Game Records'!$U:$U,$H504)&lt;&gt;"Disqualified — Free Game",OR(INDEX('Game Records'!$L:$L,$H504)="",LOWER(INDEX('Game Records'!$L:$L,$H504)&amp;"")="n/a")),"Disqualified Status; ","")&amp;IF(AND(OR(INDEX('Game Records'!$U:$U,$H504)="Free Game",INDEX('Game Records'!$U:$U,$H504)="Disqualified — Free Game"),N(INDEX('Game Records'!$H:$H,$H504))&lt;&gt;0),"Free Game has a non-zero Entry Fee; ",""))</f>
        <v/>
      </c>
      <c r="G504" s="331" t="str">
        <f>IF($H504="","",IFERROR(INDEX('Game Records'!$M:$M,$H504),""))</f>
        <v/>
      </c>
      <c r="H504" s="104" t="str">
        <f>IF($H503="","",IFERROR(MATCH(1,INDEX((ROW('Game Records'!$U$5:$U$504)&gt;$H503)*(('Game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sheetData>
  <mergeCells>
    <mergeCell ref="A1:G1"/>
    <mergeCell ref="A2:G2"/>
  </mergeCells>
  <conditionalFormatting sqref="D5:D500">
    <cfRule type="expression" dxfId="16" priority="1">
      <formula>$D5="Highlighted Fields Present"</formula>
    </cfRule>
    <cfRule type="expression" dxfId="17" priority="2">
      <formula>$D5="No Highlighted Fields"</formula>
    </cfRule>
  </conditionalFormatting>
  <conditionalFormatting sqref="A5:G504">
    <cfRule type="expression" dxfId="20" priority="3">
      <formula>AND($A5&lt;&gt;"",MOD($A5,2)=1)</formula>
    </cfRule>
    <cfRule type="expression" dxfId="21" priority="4">
      <formula>AND($A5&lt;&gt;"",MOD($A5,2)=0)</formula>
    </cfRule>
  </conditionalFormatting>
  <pageMargins left="0.7" right="0.7" top="0.75" bottom="0.75" header="0.3" footer="0.3"/>
</worksheet>
</file>

<file path=xl/worksheets/sheet4.xml><?xml version="1.0" encoding="utf-8"?>
<ns0:worksheet xmlns:ns0="http://schemas.openxmlformats.org/spreadsheetml/2006/main" xmlns:r="http://schemas.openxmlformats.org/officeDocument/2006/relationships">
  <ns0:sheetFormatPr defaultRowHeight="15"/>
  <ns0:cols>
    <ns0:col min="1" max="1" width="27" hidden="0" customWidth="1"/>
    <ns0:col min="2" max="2" width="13" hidden="0" customWidth="1"/>
    <ns0:col min="3" max="3" width="24" hidden="0" customWidth="1"/>
    <ns0:col min="4" max="4" width="27" hidden="0" customWidth="1"/>
    <ns0:col min="5" max="5" width="15" hidden="0" customWidth="1"/>
    <ns0:col min="6" max="6" width="42" hidden="0" customWidth="1"/>
  </ns0:cols>
  <ns0:sheetData>
    <ns0:row r="1" ht="30" hidden="0" customHeight="1">
      <ns0:c r="A1" s="200" t="str">
        <ns0:v>StepCat Live Summary Dashboard — v251.1</ns0:v>
      </ns0:c>
      <ns0:c r="B1" s="200"/>
      <ns0:c r="C1" s="200"/>
      <ns0:c r="D1" s="200"/>
      <ns0:c r="E1" s="200"/>
      <ns0:c r="F1" s="200"/>
    </ns0:row>
    <ns0:row r="2" ht="15" hidden="0" customHeight="1">
      <ns0:c r="A2" s="104"/>
      <ns0:c r="B2" s="104"/>
      <ns0:c r="C2" s="104"/>
      <ns0:c r="D2" s="104"/>
      <ns0:c r="E2" s="104"/>
      <ns0:c r="F2" s="104"/>
    </ns0:row>
    <ns0:row r="3" ht="15" hidden="0" customHeight="1">
      <ns0:c r="A3" s="310" t="str">
        <ns0:v>Game Result</ns0:v>
      </ns0:c>
      <ns0:c r="B3" s="310" t="str">
        <ns0:v>Game Count</ns0:v>
      </ns0:c>
      <ns0:c r="C3" s="310" t="str">
        <ns0:v>Share of Paid Games</ns0:v>
      </ns0:c>
      <ns0:c r="D3" s="310" t="str">
        <ns0:v>Cash / Credit Total</ns0:v>
      </ns0:c>
      <ns0:c r="E3" s="310" t="str">
        <ns0:v>Amount</ns0:v>
      </ns0:c>
      <ns0:c r="F3" s="310" t="str">
        <ns0:v>What It Represents</ns0:v>
      </ns0:c>
    </ns0:row>
    <ns0:row r="4" ht="15" hidden="0" customHeight="1">
      <ns0:c r="A4" s="126" t="str">
        <ns0:v>Profit Games</ns0:v>
      </ns0:c>
      <ns0:c r="B4" s="126" t="n">
        <ns0:f>COUNTIF('Game Records'!$U$5:$U$504,"Profit")</ns0:f>
        <ns0:v>0</ns0:v>
      </ns0:c>
      <ns0:c r="C4" s="128" t="n">
        <ns0:f>IF($B$7=0,0,B4/$B$7)</ns0:f>
        <ns0:v>0</ns0:v>
      </ns0:c>
      <ns0:c r="D4" s="126" t="str">
        <ns0:v>Running Net Game Profit</ns0:v>
      </ns0:c>
      <ns0:c r="E4" s="130" t="n">
        <ns0:f>Instructions!$B$29+SUM('Game Records'!$W$5:$W$504)</ns0:f>
        <ns0:v>0</ns0:v>
      </ns0:c>
      <ns0:c r="F4" s="126" t="str">
        <ns0:v>Gross profit minus lost entry fees</ns0:v>
      </ns0:c>
    </ns0:row>
    <ns0:row r="5" ht="26.399999618530273" hidden="0" customHeight="1">
      <ns0:c r="A5" s="126" t="str">
        <ns0:v>Draw Games</ns0:v>
      </ns0:c>
      <ns0:c r="B5" s="126" t="n">
        <ns0:f>COUNTIF('Game Records'!$U$5:$U$504,"Draw")</ns0:f>
        <ns0:v>0</ns0:v>
      </ns0:c>
      <ns0:c r="C5" s="128" t="n">
        <ns0:f>IF($B$7=0,0,B5/$B$7)</ns0:f>
        <ns0:v>0</ns0:v>
      </ns0:c>
      <ns0:c r="D5" s="126" t="str">
        <ns0:v>Gross Profit Earned</ns0:v>
      </ns0:c>
      <ns0:c r="E5" s="130" t="n">
        <ns0:f>SUM('Game Records'!$Q$5:$Q$504)</ns0:f>
        <ns0:v>0</ns0:v>
      </ns0:c>
      <ns0:c r="F5" s="126" t="str">
        <ns0:v>Positive paid-game cash profit only, before lost fees or membership costs</ns0:v>
      </ns0:c>
    </ns0:row>
    <ns0:row r="6" ht="15" hidden="0" customHeight="1">
      <ns0:c r="A6" s="126" t="str">
        <ns0:v>Disqualified Games</ns0:v>
      </ns0:c>
      <ns0:c r="B6" s="126" t="n">
        <ns0:f>COUNTIF('Game Records'!$U$5:$U$504,"Disqualified")</ns0:f>
        <ns0:v>0</ns0:v>
      </ns0:c>
      <ns0:c r="C6" s="128" t="n">
        <ns0:f>IF($B$7=0,0,B6/$B$7)</ns0:f>
        <ns0:v>0</ns0:v>
      </ns0:c>
      <ns0:c r="D6" s="126" t="str">
        <ns0:v>Total Lost Entry Fees</ns0:v>
      </ns0:c>
      <ns0:c r="E6" s="130" t="n">
        <ns0:f>SUM('Game Records'!$S$5:$S$504)</ns0:f>
        <ns0:v>0</ns0:v>
      </ns0:c>
      <ns0:c r="F6" s="126" t="str">
        <ns0:v>Full entry fees lost from disqualification</ns0:v>
      </ns0:c>
    </ns0:row>
    <ns0:row r="7" ht="26.399999618530273" hidden="0" customHeight="1">
      <ns0:c r="A7" s="126" t="str">
        <ns0:v>Current Workbook Paid Games</ns0:v>
      </ns0:c>
      <ns0:c r="B7" s="126" t="n">
        <ns0:f>SUM(B4:B6)</ns0:f>
        <ns0:v>0</ns0:v>
      </ns0:c>
      <ns0:c r="C7" s="128" t="n">
        <ns0:f>IF(B7=0,0,1)</ns0:f>
        <ns0:v>0</ns0:v>
      </ns0:c>
      <ns0:c r="D7" s="126" t="str">
        <ns0:v>Membership Fees</ns0:v>
      </ns0:c>
      <ns0:c r="E7" s="130" t="n">
        <ns0:f>Instructions!$B$30+SUMIFS('Game Records'!$H$5:$H$504,'Game Records'!$U$5:$U$504,"Subscription")</ns0:f>
        <ns0:v>0</ns0:v>
      </ns0:c>
      <ns0:c r="F7" s="126" t="str">
        <ns0:v>Annual membership cost, tracked as a separate non-game expense</ns0:v>
      </ns0:c>
    </ns0:row>
    <ns0:row r="8" ht="26.399999618530273" hidden="0" customHeight="1">
      <ns0:c r="A8" s="126" t="str">
        <ns0:v>Prior Completed Games (reference)</ns0:v>
      </ns0:c>
      <ns0:c r="B8" s="132" t="n">
        <ns0:f>Instructions!$B$31</ns0:f>
        <ns0:v>0</ns0:v>
      </ns0:c>
      <ns0:c r="C8" s="126"/>
      <ns0:c r="D8" s="126" t="str">
        <ns0:v>Actual Running Net Profit</ns0:v>
      </ns0:c>
      <ns0:c r="E8" s="130" t="n">
        <ns0:f>E4-E7</ns0:f>
        <ns0:v>0</ns0:v>
      </ns0:c>
      <ns0:c r="F8" s="126" t="str">
        <ns0:v>Running cash net game profit minus current and carried-over membership costs</ns0:v>
      </ns0:c>
    </ns0:row>
    <ns0:row r="9" ht="26.399999618530273" hidden="0" customHeight="1">
      <ns0:c r="A9" s="126" t="str">
        <ns0:v>Completed Free Games (separate credit)</ns0:v>
      </ns0:c>
      <ns0:c r="B9" s="914" t="n">
        <ns0:f>COUNTIFS('Game Records'!$D$5:$D$504,"Finalized",'Game Records'!$U$5:$U$504,"Free Game")+COUNTIFS('Game Records'!$D$5:$D$504,"Finalized",'Game Records'!$U$5:$U$504,"Disqualified — Free Game")</ns0:f>
        <ns0:v>0</ns0:v>
      </ns0:c>
      <ns0:c r="C9" s="913" t="str">
        <ns0:v>Separate</ns0:v>
      </ns0:c>
      <ns0:c r="D9" s="126" t="str">
        <ns0:v>Free Game Chips Earned</ns0:v>
      </ns0:c>
      <ns0:c r="E9" s="983" t="n">
        <ns0:f>SUMIFS('Game Records'!$K$5:$K$504,'Game Records'!$D$5:$D$504,"Finalized",'Game Records'!$U$5:$U$504,"Free Game",'Game Records'!$K$5:$K$504,"&lt;&gt;",'Game Records'!$K$5:$K$504,"&gt;=0")</ns0:f>
        <ns0:v>0</ns0:v>
      </ns0:c>
      <ns0:c r="F9" s="126" t="str">
        <ns0:v>Non-cash chips/game credit earned from Free Games; excluded from every cash profit total</ns0:v>
      </ns0:c>
    </ns0:row>
    <ns0:row r="10" ht="15" hidden="0" customHeight="1">
      <ns0:c r="A10" s="104"/>
      <ns0:c r="B10" s="104"/>
      <ns0:c r="C10" s="104"/>
      <ns0:c r="D10" s="104"/>
      <ns0:c r="E10" s="104"/>
      <ns0:c r="F10" s="104"/>
    </ns0:row>
    <ns0:row r="11" ht="15" hidden="0" customHeight="1">
      <ns0:c r="A11" s="104"/>
      <ns0:c r="B11" s="104"/>
      <ns0:c r="C11" s="104"/>
      <ns0:c r="D11" s="104"/>
      <ns0:c r="E11" s="104"/>
      <ns0:c r="F11" s="104"/>
    </ns0:row>
    <ns0:row r="12" ht="15" hidden="0" customHeight="1">
      <ns0:c r="A12" s="104"/>
      <ns0:c r="B12" s="104"/>
      <ns0:c r="C12" s="104"/>
      <ns0:c r="D12" s="104"/>
      <ns0:c r="E12" s="104"/>
      <ns0:c r="F12" s="104"/>
    </ns0:row>
    <ns0:row r="13" ht="15" hidden="0" customHeight="1">
      <ns0:c r="A13" s="104"/>
      <ns0:c r="B13" s="104"/>
      <ns0:c r="C13" s="104"/>
      <ns0:c r="D13" s="104"/>
      <ns0:c r="E13" s="104"/>
      <ns0:c r="F13" s="104"/>
    </ns0:row>
    <ns0:row r="14" ht="15" hidden="0" customHeight="1">
      <ns0:c r="A14" s="104"/>
      <ns0:c r="B14" s="104"/>
      <ns0:c r="C14" s="104"/>
      <ns0:c r="D14" s="104"/>
      <ns0:c r="E14" s="104"/>
      <ns0:c r="F14" s="104"/>
    </ns0:row>
    <ns0:row r="15" ht="15" hidden="0" customHeight="1">
      <ns0:c r="A15" s="104"/>
      <ns0:c r="B15" s="104"/>
      <ns0:c r="C15" s="104"/>
      <ns0:c r="D15" s="104"/>
      <ns0:c r="E15" s="104"/>
      <ns0:c r="F15" s="104"/>
    </ns0:row>
    <ns0:row r="16" ht="15" hidden="0" customHeight="1">
      <ns0:c r="A16" s="104"/>
      <ns0:c r="B16" s="104"/>
      <ns0:c r="C16" s="104"/>
      <ns0:c r="D16" s="104"/>
      <ns0:c r="E16" s="104"/>
      <ns0:c r="F16" s="104"/>
    </ns0:row>
    <ns0:row r="17" ht="15" hidden="0" customHeight="1">
      <ns0:c r="A17" s="104"/>
      <ns0:c r="B17" s="104"/>
      <ns0:c r="C17" s="104"/>
      <ns0:c r="D17" s="104"/>
      <ns0:c r="E17" s="104"/>
      <ns0:c r="F17" s="104"/>
    </ns0:row>
    <ns0:row r="18" ht="15" hidden="0" customHeight="1">
      <ns0:c r="A18" s="104"/>
      <ns0:c r="B18" s="104"/>
      <ns0:c r="C18" s="104"/>
      <ns0:c r="D18" s="104"/>
      <ns0:c r="E18" s="104"/>
      <ns0:c r="F18" s="104"/>
    </ns0:row>
    <ns0:row r="19" ht="15" hidden="0" customHeight="1">
      <ns0:c r="A19" s="104"/>
      <ns0:c r="B19" s="104"/>
      <ns0:c r="C19" s="104"/>
      <ns0:c r="D19" s="104"/>
      <ns0:c r="E19" s="104"/>
      <ns0:c r="F19" s="104"/>
    </ns0:row>
    <ns0:row r="20" ht="15" hidden="0" customHeight="1">
      <ns0:c r="A20" s="104"/>
      <ns0:c r="B20" s="104"/>
      <ns0:c r="C20" s="104"/>
      <ns0:c r="D20" s="104"/>
      <ns0:c r="E20" s="104"/>
      <ns0:c r="F20" s="104"/>
    </ns0:row>
    <ns0:row r="21" ht="15" hidden="0" customHeight="1">
      <ns0:c r="A21" s="104"/>
      <ns0:c r="B21" s="104"/>
      <ns0:c r="C21" s="104"/>
      <ns0:c r="D21" s="104"/>
      <ns0:c r="E21" s="104"/>
      <ns0:c r="F21" s="104"/>
    </ns0:row>
    <ns0:row r="22" ht="15" hidden="0" customHeight="1">
      <ns0:c r="A22" s="104"/>
      <ns0:c r="B22" s="104"/>
      <ns0:c r="C22" s="104"/>
      <ns0:c r="D22" s="104"/>
      <ns0:c r="E22" s="104"/>
      <ns0:c r="F22" s="104"/>
    </ns0:row>
    <ns0:row r="23" ht="15" hidden="0" customHeight="1">
      <ns0:c r="A23" s="104"/>
      <ns0:c r="B23" s="104"/>
      <ns0:c r="C23" s="104"/>
      <ns0:c r="D23" s="104"/>
      <ns0:c r="E23" s="104"/>
      <ns0:c r="F23" s="104"/>
    </ns0:row>
    <ns0:row r="24" ht="15" hidden="0" customHeight="1">
      <ns0:c r="A24" s="104"/>
      <ns0:c r="B24" s="104"/>
      <ns0:c r="C24" s="104"/>
      <ns0:c r="D24" s="104"/>
      <ns0:c r="E24" s="104"/>
      <ns0:c r="F24" s="104"/>
    </ns0:row>
    <ns0:row r="25" ht="15" hidden="0" customHeight="1">
      <ns0:c r="A25" s="104"/>
      <ns0:c r="B25" s="104"/>
      <ns0:c r="C25" s="104"/>
      <ns0:c r="D25" s="104"/>
      <ns0:c r="E25" s="104"/>
      <ns0:c r="F25" s="104"/>
    </ns0:row>
    <ns0:row r="26" ht="15" hidden="0" customHeight="1">
      <ns0:c r="A26" s="104"/>
      <ns0:c r="B26" s="104"/>
      <ns0:c r="C26" s="104"/>
      <ns0:c r="D26" s="104"/>
      <ns0:c r="E26" s="104"/>
      <ns0:c r="F26" s="104"/>
    </ns0:row>
    <ns0:row r="27" ht="15" hidden="0" customHeight="1">
      <ns0:c r="A27" s="104"/>
      <ns0:c r="B27" s="104"/>
      <ns0:c r="C27" s="104"/>
      <ns0:c r="D27" s="104"/>
      <ns0:c r="E27" s="104"/>
      <ns0:c r="F27" s="104"/>
    </ns0:row>
    <ns0:row r="28" ht="15" hidden="0" customHeight="1">
      <ns0:c r="A28" s="104"/>
      <ns0:c r="B28" s="104"/>
      <ns0:c r="C28" s="104"/>
      <ns0:c r="D28" s="104"/>
      <ns0:c r="E28" s="104"/>
      <ns0:c r="F28" s="104"/>
    </ns0:row>
    <ns0:row r="29" ht="15" hidden="0" customHeight="1">
      <ns0:c r="A29" s="104"/>
      <ns0:c r="B29" s="104"/>
      <ns0:c r="C29" s="104"/>
      <ns0:c r="D29" s="104"/>
      <ns0:c r="E29" s="104"/>
      <ns0:c r="F29" s="104"/>
    </ns0:row>
    <ns0:row r="30" ht="15" hidden="0" customHeight="1">
      <ns0:c r="A30" s="104"/>
      <ns0:c r="B30" s="104"/>
      <ns0:c r="C30" s="104"/>
      <ns0:c r="D30" s="104"/>
      <ns0:c r="E30" s="104"/>
      <ns0:c r="F30" s="104"/>
    </ns0:row>
    <ns0:row r="31" ht="15" hidden="0" customHeight="1">
      <ns0:c r="A31" s="310" t="str">
        <ns0:v>Running Tally</ns0:v>
      </ns0:c>
      <ns0:c r="B31" s="310" t="str">
        <ns0:v>Exact Count</ns0:v>
      </ns0:c>
      <ns0:c r="C31" s="310" t="str">
        <ns0:v>Share</ns0:v>
      </ns0:c>
      <ns0:c r="D31" s="104"/>
      <ns0:c r="E31" s="104"/>
      <ns0:c r="F31" s="104"/>
    </ns0:row>
    <ns0:row r="32" ht="15" hidden="0" customHeight="1">
      <ns0:c r="A32" s="126" t="str">
        <ns0:v>Profit</ns0:v>
      </ns0:c>
      <ns0:c r="B32" s="126" t="n">
        <ns0:f>B4</ns0:f>
        <ns0:v>0</ns0:v>
      </ns0:c>
      <ns0:c r="C32" s="128" t="n">
        <ns0:f>C4</ns0:f>
        <ns0:v>0</ns0:v>
      </ns0:c>
      <ns0:c r="D32" s="104"/>
      <ns0:c r="E32" s="104"/>
      <ns0:c r="F32" s="104"/>
    </ns0:row>
    <ns0:row r="33" ht="15" hidden="0" customHeight="1">
      <ns0:c r="A33" s="126" t="str">
        <ns0:v>Draw</ns0:v>
      </ns0:c>
      <ns0:c r="B33" s="126" t="n">
        <ns0:f>B5</ns0:f>
        <ns0:v>0</ns0:v>
      </ns0:c>
      <ns0:c r="C33" s="128" t="n">
        <ns0:f>C5</ns0:f>
        <ns0:v>0</ns0:v>
      </ns0:c>
      <ns0:c r="D33" s="104"/>
      <ns0:c r="E33" s="104"/>
      <ns0:c r="F33" s="104"/>
    </ns0:row>
    <ns0:row r="34" ht="15" hidden="0" customHeight="1">
      <ns0:c r="A34" s="126" t="str">
        <ns0:v>Disqualified / Lost Entry Fee</ns0:v>
      </ns0:c>
      <ns0:c r="B34" s="126" t="n">
        <ns0:f>B6</ns0:f>
        <ns0:v>0</ns0:v>
      </ns0:c>
      <ns0:c r="C34" s="128" t="n">
        <ns0:f>C6</ns0:f>
        <ns0:v>0</ns0:v>
      </ns0:c>
      <ns0:c r="D34" s="104"/>
      <ns0:c r="E34" s="104"/>
      <ns0:c r="F34" s="104"/>
    </ns0:row>
    <ns0:row r="35" ht="15" hidden="0" customHeight="1">
      <ns0:c r="A35" s="126" t="str">
        <ns0:v>Free Game (separate credit)</ns0:v>
      </ns0:c>
      <ns0:c r="B35" s="914" t="n">
        <ns0:f>B9</ns0:f>
        <ns0:v>0</ns0:v>
      </ns0:c>
      <ns0:c r="C35" s="915" t="str">
        <ns0:v>Separate</ns0:v>
      </ns0:c>
      <ns0:c r="D35" s="104"/>
      <ns0:c r="E35" s="104"/>
      <ns0:c r="F35" s="104"/>
    </ns0:row>
    <ns0:row r="36" ht="15" hidden="0" customHeight="1">
      <ns0:c r="A36" s="126" t="str">
        <ns0:v>Total Paid Games</ns0:v>
      </ns0:c>
      <ns0:c r="B36" s="914" t="n">
        <ns0:f>B7</ns0:f>
        <ns0:v>0</ns0:v>
      </ns0:c>
      <ns0:c r="C36" s="915" t="n">
        <ns0:f>C7</ns0:f>
        <ns0:v>0</ns0:v>
      </ns0:c>
      <ns0:c r="D36" s="104"/>
      <ns0:c r="E36" s="104"/>
      <ns0:c r="F36" s="104"/>
    </ns0:row>
  </ns0:sheetData>
  <ns0:mergeCells>
    <ns0:mergeCell ref="A1:F1"/>
  </ns0:mergeCells>
  <ns0:conditionalFormatting sqref="A4:C4">
    <ns0:cfRule type="expression" dxfId="22" priority="1">
      <ns0:formula>$B4&gt;0</ns0:formula>
    </ns0:cfRule>
  </ns0:conditionalFormatting>
  <ns0:conditionalFormatting sqref="A5:C5">
    <ns0:cfRule type="expression" dxfId="23" priority="2">
      <ns0:formula>$B5&gt;0</ns0:formula>
    </ns0:cfRule>
  </ns0:conditionalFormatting>
  <ns0:conditionalFormatting sqref="A6:C6">
    <ns0:cfRule type="expression" dxfId="24" priority="3">
      <ns0:formula>$B6&gt;0</ns0:formula>
    </ns0:cfRule>
  </ns0:conditionalFormatting>
  <ns0:conditionalFormatting sqref="A9:C9">
    <ns0:cfRule type="expression" dxfId="25" priority="4">
      <ns0:formula>$B9&gt;0</ns0:formula>
    </ns0:cfRule>
  </ns0:conditionalFormatting>
  <ns0:conditionalFormatting sqref="A32:C32">
    <ns0:cfRule type="expression" dxfId="26" priority="5">
      <ns0:formula>$B32&gt;0</ns0:formula>
    </ns0:cfRule>
  </ns0:conditionalFormatting>
  <ns0:conditionalFormatting sqref="A33:C33">
    <ns0:cfRule type="expression" dxfId="27" priority="6">
      <ns0:formula>$B33&gt;0</ns0:formula>
    </ns0:cfRule>
  </ns0:conditionalFormatting>
  <ns0:conditionalFormatting sqref="A34:C34">
    <ns0:cfRule type="expression" dxfId="28" priority="7">
      <ns0:formula>$B34&gt;0</ns0:formula>
    </ns0:cfRule>
  </ns0:conditionalFormatting>
  <ns0:conditionalFormatting sqref="A35:C35">
    <ns0:cfRule type="expression" dxfId="29" priority="8">
      <ns0:formula>$B35&gt;0</ns0:formula>
    </ns0:cfRule>
  </ns0:conditionalFormatting>
  <ns0:pageMargins left="0.7" right="0.7" top="0.75" bottom="0.75" header="0.3" footer="0.3"/>
  <ns0:drawing r:id="rIdStepCatChart"/>
</ns0:worksheet>
</file>

<file path=xl/worksheets/sheet5.xml><?xml version="1.0" encoding="utf-8"?>
<x:worksheet xmlns:x="http://schemas.openxmlformats.org/spreadsheetml/2006/main">
  <x:sheetFormatPr defaultRowHeight="15"/>
  <x:cols>
    <x:col min="1" max="1" width="29" hidden="0" customWidth="1"/>
    <x:col min="2" max="2" width="18" hidden="0" customWidth="1"/>
    <x:col min="3" max="3" width="24" hidden="0" customWidth="1"/>
    <x:col min="4" max="4" width="15" hidden="0" customWidth="1"/>
    <x:col min="5" max="5" width="15" hidden="0" customWidth="1"/>
  </x:cols>
  <x:sheetData>
    <x:row r="1" ht="38.400001525878906" hidden="0" customHeight="1">
      <x:c r="A1" s="486" t="str">
        <x:v>Paid Game Performance — v251.1</x:v>
      </x:c>
      <x:c r="B1" s="486"/>
      <x:c r="C1" s="486"/>
      <x:c r="D1" s="486"/>
      <x:c r="E1" s="486"/>
    </x:row>
    <x:row r="2" ht="48" hidden="0" customHeight="1">
      <x:c r="A2" s="591" t="inlineStr">
        <x:is>
          <x:t>Compares finalized paid Member, Non-Member, and Unclassified games. Estimate rows, subscriptions, and Free Games are excluded; Free Games appear in the separate section below.</x:t>
        </x:is>
      </x:c>
      <x:c r="B2" s="591"/>
      <x:c r="C2" s="591"/>
      <x:c r="D2" s="591"/>
      <x:c r="E2" s="591"/>
    </x:row>
    <x:row r="3" ht="15" hidden="0" customHeight="1">
      <x:c r="A3" s="310" t="str">
        <x:v>Metric</x:v>
      </x:c>
      <x:c r="B3" s="310" t="str">
        <x:v>Member</x:v>
      </x:c>
      <x:c r="C3" s="310" t="str">
        <x:v>Non-Member</x:v>
      </x:c>
      <x:c r="D3" s="310" t="str">
        <x:v>Unclassified</x:v>
      </x:c>
      <x:c r="E3" s="310" t="str">
        <x:v>All Paid Games</x:v>
      </x:c>
    </x:row>
    <x:row r="4" ht="15" hidden="0" customHeight="1">
      <x:c r="A4" s="126" t="str">
        <x:v>Completed Games</x:v>
      </x:c>
      <x:c r="B4" s="126">
        <x:f>COUNTIFS('Game Records'!$E$5:$E$504,"Member",'Game Records'!$U$5:$U$504,"&lt;&gt;Estimate",'Game Records'!$U$5:$U$504,"&lt;&gt;Subscription",'Game Records'!$U$5:$U$504,"&lt;&gt;Free Game",'Game Records'!$U$5:$U$504,"&lt;&gt;Disqualified — Free Game",'Game Records'!$U$5:$U$504,"&lt;&gt;")</x:f>
      </x:c>
      <x:c r="C4" s="126">
        <x:f>COUNTIFS('Game Records'!$E$5:$E$504,"Non-Member",'Game Records'!$U$5:$U$504,"&lt;&gt;Estimate",'Game Records'!$U$5:$U$504,"&lt;&gt;Subscription",'Game Records'!$U$5:$U$504,"&lt;&gt;Free Game",'Game Records'!$U$5:$U$504,"&lt;&gt;Disqualified — Free Game",'Game Records'!$U$5:$U$504,"&lt;&gt;")</x:f>
      </x:c>
      <x:c r="D4" s="126">
        <x:f>SUMPRODUCT(('Game Records'!$U$5:$U$504&lt;&gt;"")*('Game Records'!$U$5:$U$504&lt;&gt;"Estimate")*('Game Records'!$U$5:$U$504&lt;&gt;"Subscription")*('Game Records'!$U$5:$U$504&lt;&gt;"Free Game")*('Game Records'!$U$5:$U$504&lt;&gt;"Disqualified — Free Game")*('Game Records'!$E$5:$E$504&lt;&gt;"Member")*('Game Records'!$E$5:$E$504&lt;&gt;"Non-Member"))</x:f>
      </x:c>
      <x:c r="E4" s="126" t="n">
        <x:f>SUM(B4:D4)</x:f>
        <x:v>0</x:v>
      </x:c>
    </x:row>
    <x:row r="5" ht="15" hidden="0" customHeight="1">
      <x:c r="A5" s="126" t="str">
        <x:v>Profit Games</x:v>
      </x:c>
      <x:c r="B5" s="126" t="n">
        <x:f>COUNTIFS('Game Records'!$E$5:$E$504,"Member",'Game Records'!$U$5:$U$504,"Profit")</x:f>
        <x:v>0</x:v>
      </x:c>
      <x:c r="C5" s="126" t="n">
        <x:f>COUNTIFS('Game Records'!$E$5:$E$504,"Non-Member",'Game Records'!$U$5:$U$504,"Profit")</x:f>
        <x:v>0</x:v>
      </x:c>
      <x:c r="D5" s="126" t="n">
        <x:f>SUMPRODUCT(('Game Records'!$U$5:$U$504="Profit")*('Game Records'!$E$5:$E$504&lt;&gt;"Member")*('Game Records'!$E$5:$E$504&lt;&gt;"Non-Member"))</x:f>
        <x:v>0</x:v>
      </x:c>
      <x:c r="E5" s="126" t="n">
        <x:f>SUM(B5:D5)</x:f>
        <x:v>0</x:v>
      </x:c>
    </x:row>
    <x:row r="6" ht="15" hidden="0" customHeight="1">
      <x:c r="A6" s="126" t="str">
        <x:v>Profit Rate</x:v>
      </x:c>
      <x:c r="B6" s="128" t="n">
        <x:f>IF(B4=0,0,B5/B4)</x:f>
        <x:v>0</x:v>
      </x:c>
      <x:c r="C6" s="128" t="n">
        <x:f>IF(C4=0,0,C5/C4)</x:f>
        <x:v>0</x:v>
      </x:c>
      <x:c r="D6" s="128" t="n">
        <x:f>IF(D4=0,0,D5/D4)</x:f>
        <x:v>0</x:v>
      </x:c>
      <x:c r="E6" s="128" t="n">
        <x:f>IF(E4=0,0,E5/E4)</x:f>
        <x:v>0</x:v>
      </x:c>
    </x:row>
    <x:row r="7" ht="15" hidden="0" customHeight="1">
      <x:c r="A7" s="126" t="str">
        <x:v>Draw Rate</x:v>
      </x:c>
      <x:c r="B7" s="128" t="n">
        <x:f>IF(B4=0,0,COUNTIFS('Game Records'!$E$5:$E$504,"Member",'Game Records'!$U$5:$U$504,"Draw")/B4)</x:f>
        <x:v>0</x:v>
      </x:c>
      <x:c r="C7" s="128" t="n">
        <x:f>IF(C4=0,0,COUNTIFS('Game Records'!$E$5:$E$504,"Non-Member",'Game Records'!$U$5:$U$504,"Draw")/C4)</x:f>
        <x:v>0</x:v>
      </x:c>
      <x:c r="D7" s="128" t="n">
        <x:f>IF(D4=0,0,SUMPRODUCT(('Game Records'!$U$5:$U$504="Draw")*('Game Records'!$E$5:$E$504&lt;&gt;"Member")*('Game Records'!$E$5:$E$504&lt;&gt;"Non-Member"))/D4)</x:f>
        <x:v>0</x:v>
      </x:c>
      <x:c r="E7" s="128" t="n">
        <x:f>IF(E4=0,0,COUNTIF('Game Records'!$U$5:$U$504,"Draw")/E4)</x:f>
        <x:v>0</x:v>
      </x:c>
    </x:row>
    <x:row r="8" ht="15" hidden="0" customHeight="1">
      <x:c r="A8" s="126" t="str">
        <x:v>Disqualification Rate</x:v>
      </x:c>
      <x:c r="B8" s="128" t="n">
        <x:f>IF(B4=0,0,COUNTIFS('Game Records'!$E$5:$E$504,"Member",'Game Records'!$U$5:$U$504,"Disqualified")/B4)</x:f>
        <x:v>0</x:v>
      </x:c>
      <x:c r="C8" s="128" t="n">
        <x:f>IF(C4=0,0,COUNTIFS('Game Records'!$E$5:$E$504,"Non-Member",'Game Records'!$U$5:$U$504,"Disqualified")/C4)</x:f>
        <x:v>0</x:v>
      </x:c>
      <x:c r="D8" s="128" t="n">
        <x:f>IF(D4=0,0,SUMPRODUCT(('Game Records'!$U$5:$U$504="Disqualified")*('Game Records'!$E$5:$E$504&lt;&gt;"Member")*('Game Records'!$E$5:$E$504&lt;&gt;"Non-Member"))/D4)</x:f>
        <x:v>0</x:v>
      </x:c>
      <x:c r="E8" s="128" t="n">
        <x:f>IF(E4=0,0,COUNTIF('Game Records'!$U$5:$U$504,"Disqualified")/E4)</x:f>
        <x:v>0</x:v>
      </x:c>
    </x:row>
    <x:row r="9" ht="15" hidden="0" customHeight="1">
      <x:c r="A9" s="126" t="str">
        <x:v>Average Net Profit</x:v>
      </x:c>
      <x:c r="B9" s="130" t="n">
        <x:f>IF(B4=0,0,B11/B4)</x:f>
        <x:v>0</x:v>
      </x:c>
      <x:c r="C9" s="130" t="n">
        <x:f>IF(C4=0,0,C11/C4)</x:f>
        <x:v>0</x:v>
      </x:c>
      <x:c r="D9" s="130" t="n">
        <x:f>IF(D4=0,0,D11/D4)</x:f>
        <x:v>0</x:v>
      </x:c>
      <x:c r="E9" s="130" t="n">
        <x:f>IF(E4=0,0,E11/E4)</x:f>
        <x:v>0</x:v>
      </x:c>
    </x:row>
    <x:row r="10" ht="15" hidden="0" customHeight="1">
      <x:c r="A10" s="126" t="str">
        <x:v>Average ROI</x:v>
      </x:c>
      <x:c r="B10" s="128">
        <x:f>IF(B4=0,0,SUMIFS('Game Records'!$T$5:$T$504,'Game Records'!$E$5:$E$504,"Member",'Game Records'!$U$5:$U$504,"&lt;&gt;Estimate",'Game Records'!$U$5:$U$504,"&lt;&gt;Subscription",'Game Records'!$U$5:$U$504,"&lt;&gt;Free Game",'Game Records'!$U$5:$U$504,"&lt;&gt;Disqualified — Free Game")/B4)</x:f>
      </x:c>
      <x:c r="C10" s="128">
        <x:f>IF(C4=0,0,SUMIFS('Game Records'!$T$5:$T$504,'Game Records'!$E$5:$E$504,"Non-Member",'Game Records'!$U$5:$U$504,"&lt;&gt;Estimate",'Game Records'!$U$5:$U$504,"&lt;&gt;Subscription",'Game Records'!$U$5:$U$504,"&lt;&gt;Free Game",'Game Records'!$U$5:$U$504,"&lt;&gt;Disqualified — Free Game")/C4)</x:f>
      </x:c>
      <x:c r="D10" s="128">
        <x:f>IF(D4=0,0,SUMIFS('Game Records'!$T$5:$T$504,'Game Records'!$U$5:$U$504,"&lt;&gt;Estimate",'Game Records'!$U$5:$U$504,"&lt;&gt;Subscription",'Game Records'!$U$5:$U$504,"&lt;&gt;Free Game",'Game Records'!$U$5:$U$504,"&lt;&gt;Disqualified — Free Game",'Game Records'!$E$5:$E$504,"&lt;&gt;Member",'Game Records'!$E$5:$E$504,"&lt;&gt;Non-Member")/D4)</x:f>
      </x:c>
      <x:c r="E10" s="128">
        <x:f>IF(E4=0,0,SUMIFS('Game Records'!$T$5:$T$504,'Game Records'!$U$5:$U$504,"&lt;&gt;Estimate",'Game Records'!$U$5:$U$504,"&lt;&gt;Subscription",'Game Records'!$U$5:$U$504,"&lt;&gt;Free Game",'Game Records'!$U$5:$U$504,"&lt;&gt;Disqualified — Free Game")/E4)</x:f>
      </x:c>
    </x:row>
    <x:row r="11" ht="15" hidden="0" customHeight="1">
      <x:c r="A11" s="126" t="str">
        <x:v>Total Net Profit</x:v>
      </x:c>
      <x:c r="B11" s="130">
        <x:f>SUMIFS('Game Records'!$W$5:$W$504,'Game Records'!$E$5:$E$504,"Member",'Game Records'!$U$5:$U$504,"&lt;&gt;Estimate",'Game Records'!$U$5:$U$504,"&lt;&gt;Subscription",'Game Records'!$U$5:$U$504,"&lt;&gt;Free Game",'Game Records'!$U$5:$U$504,"&lt;&gt;Disqualified — Free Game")</x:f>
      </x:c>
      <x:c r="C11" s="130">
        <x:f>SUMIFS('Game Records'!$W$5:$W$504,'Game Records'!$E$5:$E$504,"Non-Member",'Game Records'!$U$5:$U$504,"&lt;&gt;Estimate",'Game Records'!$U$5:$U$504,"&lt;&gt;Subscription",'Game Records'!$U$5:$U$504,"&lt;&gt;Free Game",'Game Records'!$U$5:$U$504,"&lt;&gt;Disqualified — Free Game")</x:f>
      </x:c>
      <x:c r="D11" s="130">
        <x:f>SUMIFS('Game Records'!$W$5:$W$504,'Game Records'!$U$5:$U$504,"&lt;&gt;Estimate",'Game Records'!$U$5:$U$504,"&lt;&gt;Subscription",'Game Records'!$U$5:$U$504,"&lt;&gt;Free Game",'Game Records'!$U$5:$U$504,"&lt;&gt;Disqualified — Free Game",'Game Records'!$E$5:$E$504,"&lt;&gt;Member",'Game Records'!$E$5:$E$504,"&lt;&gt;Non-Member")</x:f>
      </x:c>
      <x:c r="E11" s="130">
        <x:f>SUMIFS('Game Records'!$W$5:$W$504,'Game Records'!$U$5:$U$504,"&lt;&gt;Estimate",'Game Records'!$U$5:$U$504,"&lt;&gt;Subscription",'Game Records'!$U$5:$U$504,"&lt;&gt;Free Game",'Game Records'!$U$5:$U$504,"&lt;&gt;Disqualified — Free Game")</x:f>
      </x:c>
    </x:row>
    <x:row r="12" ht="15" hidden="0" customHeight="1">
      <x:c r="A12" s="126" t="str">
        <x:v>Unclassified Games</x:v>
      </x:c>
      <x:c r="B12" s="126" t="n">
        <x:v>0</x:v>
      </x:c>
      <x:c r="C12" s="126" t="n">
        <x:v>0</x:v>
      </x:c>
      <x:c r="D12" s="126" t="n">
        <x:f>D4</x:f>
        <x:v>0</x:v>
      </x:c>
      <x:c r="E12" s="126" t="n">
        <x:f>D4</x:f>
        <x:v>0</x:v>
      </x:c>
    </x:row>
    <x:row r="13" ht="15" hidden="0" customHeight="1">
      <x:c r="A13" s="104"/>
      <x:c r="B13" s="104"/>
      <x:c r="C13" s="104"/>
      <x:c r="D13" s="104"/>
      <x:c r="E13" s="104"/>
    </x:row>
    <x:row r="14" ht="15" hidden="0" customHeight="1">
      <x:c r="A14" s="104"/>
      <x:c r="B14" s="104"/>
      <x:c r="C14" s="104"/>
      <x:c r="D14" s="104"/>
      <x:c r="E14" s="104"/>
    </x:row>
    <x:row r="15" ht="19.200000762939453" hidden="0" customHeight="1">
      <x:c r="A15" s="486" t="str">
        <x:v>Free Game Chip Performance</x:v>
      </x:c>
      <x:c r="B15" s="486"/>
      <x:c r="C15" s="486"/>
      <x:c r="D15" s="486"/>
      <x:c r="E15" s="486"/>
    </x:row>
    <x:row r="16" ht="36" hidden="0" customHeight="1">
      <x:c r="A16" s="591" t="str">
        <x:v>Free Games are completed step challenges that award non-cash chips/game credit. They remain separate from paid-game ROI, paid-result averages, and all cash profit totals.</x:v>
      </x:c>
      <x:c r="B16" s="591"/>
      <x:c r="C16" s="591"/>
      <x:c r="D16" s="591"/>
      <x:c r="E16" s="591"/>
    </x:row>
    <x:row r="17" ht="15" hidden="0" customHeight="1">
      <x:c r="A17" s="310" t="str">
        <x:v>Metric</x:v>
      </x:c>
      <x:c r="B17" s="310" t="str">
        <x:v>Free Game Chips</x:v>
      </x:c>
      <x:c r="C17" s="310" t="str">
        <x:v>What It Represents</x:v>
      </x:c>
      <x:c r="D17" s="310"/>
      <x:c r="E17" s="310"/>
    </x:row>
    <x:row r="18" ht="39.599998474121094" hidden="0" customHeight="1">
      <x:c r="A18" s="509" t="str">
        <x:v>Completed Free Games</x:v>
      </x:c>
      <x:c r="B18" s="914" t="n">
        <x:f>COUNTIFS('Game Records'!$D$5:$D$504,"Finalized",'Game Records'!$U$5:$U$504,"Free Game")+COUNTIFS('Game Records'!$D$5:$D$504,"Finalized",'Game Records'!$U$5:$U$504,"Disqualified — Free Game")</x:f>
        <x:v>0</x:v>
      </x:c>
      <x:c r="C18" s="509" t="str">
        <x:v>All finalized Free Game and Disqualified — Free Game records.</x:v>
      </x:c>
      <x:c r="D18" s="509"/>
      <x:c r="E18" s="509"/>
    </x:row>
    <x:row r="19" ht="26.399999618530273" hidden="0" customHeight="1">
      <x:c r="A19" s="509" t="str">
        <x:v>Non-disqualified Free Games</x:v>
      </x:c>
      <x:c r="B19" s="914" t="n">
        <x:f>COUNTIFS('Game Records'!$D$5:$D$504,"Finalized",'Game Records'!$U$5:$U$504,"Free Game")</x:f>
        <x:v>0</x:v>
      </x:c>
      <x:c r="C19" s="509" t="str">
        <x:v>Free Games completed without disqualification.</x:v>
      </x:c>
      <x:c r="D19" s="509"/>
      <x:c r="E19" s="509"/>
    </x:row>
    <x:row r="20" ht="39.599998474121094" hidden="0" customHeight="1">
      <x:c r="A20" s="509" t="str">
        <x:v>Disqualified Free Games</x:v>
      </x:c>
      <x:c r="B20" s="914" t="n">
        <x:f>COUNTIFS('Game Records'!$D$5:$D$504,"Finalized",'Game Records'!$U$5:$U$504,"Disqualified — Free Game")</x:f>
        <x:v>0</x:v>
      </x:c>
      <x:c r="C20" s="509" t="str">
        <x:v>Free Games whose disqualification status was recorded.</x:v>
      </x:c>
      <x:c r="D20" s="509"/>
      <x:c r="E20" s="509"/>
    </x:row>
    <x:row r="21" ht="39.599998474121094" hidden="0" customHeight="1">
      <x:c r="A21" s="509" t="str">
        <x:v>Disqualification Rate</x:v>
      </x:c>
      <x:c r="B21" s="915" t="n">
        <x:f>IF(B18=0,0,B20/B18)</x:f>
        <x:v>0</x:v>
      </x:c>
      <x:c r="C21" s="509" t="str">
        <x:v>Disqualified Free Games divided by all completed Free Games.</x:v>
      </x:c>
      <x:c r="D21" s="509"/>
      <x:c r="E21" s="509"/>
    </x:row>
    <x:row r="22" ht="39.599998474121094" hidden="0" customHeight="1">
      <x:c r="A22" s="509" t="str">
        <x:v>Average Chips Earned</x:v>
      </x:c>
      <x:c r="B22" s="984" t="n">
        <x:f>IF((COUNTIFS('Game Records'!$D$5:$D$504,"Finalized",'Game Records'!$U$5:$U$504,"Free Game",'Game Records'!$K$5:$K$504,"&lt;&gt;",'Game Records'!$K$5:$K$504,"&gt;=0")+COUNTIFS('Game Records'!$D$5:$D$504,"Finalized",'Game Records'!$U$5:$U$504,"Disqualified — Free Game"))=0,0,(SUMIFS('Game Records'!$K$5:$K$504,'Game Records'!$D$5:$D$504,"Finalized",'Game Records'!$U$5:$U$504,"Free Game",'Game Records'!$K$5:$K$504,"&lt;&gt;",'Game Records'!$K$5:$K$504,"&gt;=0"))/(COUNTIFS('Game Records'!$D$5:$D$504,"Finalized",'Game Records'!$U$5:$U$504,"Free Game",'Game Records'!$K$5:$K$504,"&lt;&gt;",'Game Records'!$K$5:$K$504,"&gt;=0")+COUNTIFS('Game Records'!$D$5:$D$504,"Finalized",'Game Records'!$U$5:$U$504,"Disqualified — Free Game")))</x:f>
        <x:v>0</x:v>
      </x:c>
      <x:c r="C22" s="509" t="str">
        <x:v>Average of recorded chip amounts only; unknown blanks are excluded, while recorded 0.00-chip results remain included.</x:v>
      </x:c>
      <x:c r="D22" s="509"/>
      <x:c r="E22" s="509"/>
    </x:row>
    <x:row r="23" ht="39.599998474121094" hidden="0" customHeight="1">
      <x:c r="A23" s="509" t="str">
        <x:v>Total Chips Earned</x:v>
      </x:c>
      <x:c r="B23" s="984" t="n">
        <x:f>SUMIFS('Game Records'!$K$5:$K$504,'Game Records'!$D$5:$D$504,"Finalized",'Game Records'!$U$5:$U$504,"Free Game",'Game Records'!$K$5:$K$504,"&lt;&gt;",'Game Records'!$K$5:$K$504,"&gt;=0")</x:f>
        <x:v>0</x:v>
      </x:c>
      <x:c r="C23" s="509" t="str">
        <x:v>Combined non-cash chips/game credit; excluded from overall cash running net profit.</x:v>
      </x:c>
      <x:c r="D23" s="509"/>
      <x:c r="E23" s="509"/>
    </x:row>
    <x:row r="24" ht="39.599998474121094" hidden="0" customHeight="1">
      <x:c r="A24" s="509" t="str">
        <x:v>Average Eliminated Players</x:v>
      </x:c>
      <x:c r="B24" s="948"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Records'!$X$5:$X$504,'Game Records'!$D$5:$D$504,"Finalized",'Game Records'!$U$5:$U$504,"Free Game")+SUMIFS('Game Records'!$X$5:$X$504,'Game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4" s="509" t="str">
        <x:v>Average eliminated-player count when player totals are available.</x:v>
      </x:c>
      <x:c r="D24" s="509"/>
      <x:c r="E24" s="509"/>
    </x:row>
    <x:row r="25" ht="26.399999618530273" hidden="0" customHeight="1">
      <x:c r="A25" s="509" t="str">
        <x:v>Average Elimination Rate</x:v>
      </x:c>
      <x:c r="B25" s="915"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Records'!$Y$5:$Y$504,'Game Records'!$D$5:$D$504,"Finalized",'Game Records'!$U$5:$U$504,"Free Game")+SUMIFS('Game Records'!$Y$5:$Y$504,'Game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5" s="509" t="str">
        <x:v>Average elimination rate when player totals are available.</x:v>
      </x:c>
      <x:c r="D25" s="509"/>
      <x:c r="E25" s="509"/>
    </x:row>
    <x:row r="26" ht="26.399999618530273" hidden="0" customHeight="1">
      <x:c r="A26" s="509" t="str">
        <x:v>Average ROI</x:v>
      </x:c>
      <x:c r="B26" s="913" t="str">
        <x:v>N/A</x:v>
      </x:c>
      <x:c r="C26" s="509" t="str">
        <x:v>N/A because Free Games have a $0.00 Entry Fee.</x:v>
      </x:c>
      <x:c r="D26" s="509"/>
      <x:c r="E26" s="509"/>
    </x:row>
    <x:row r="27" ht="39.599998474121094" hidden="0" customHeight="1">
      <x:c r="A27" s="509" t="str">
        <x:v>All Completed Games</x:v>
      </x:c>
      <x:c r="B27" s="914" t="n">
        <x:f>E4+B18</x:f>
        <x:v>0</x:v>
      </x:c>
      <x:c r="C27" s="509" t="str">
        <x:v>All Paid Games plus completed Free Games; Subscription rows are excluded.</x:v>
      </x:c>
      <x:c r="D27" s="509"/>
      <x:c r="E27" s="509"/>
    </x:row>
  </x:sheetData>
  <x:mergeCells>
    <x:mergeCell ref="A2:E2"/>
    <x:mergeCell ref="A1:E1"/>
    <x:mergeCell ref="A15:E15"/>
    <x:mergeCell ref="A16:E16"/>
    <x:mergeCell ref="C17:E17"/>
    <x:mergeCell ref="C18:E18"/>
    <x:mergeCell ref="C19:E19"/>
    <x:mergeCell ref="C20:E20"/>
    <x:mergeCell ref="C21:E21"/>
    <x:mergeCell ref="C22:E22"/>
    <x:mergeCell ref="C23:E23"/>
    <x:mergeCell ref="C24:E24"/>
    <x:mergeCell ref="C25:E25"/>
    <x:mergeCell ref="C26:E26"/>
    <x:mergeCell ref="C27:E27"/>
  </x:mergeCells>
  <x:pageMargins left="0.7" right="0.7" top="0.75" bottom="0.75" header="0.3" footer="0.3"/>
</x:worksheet>
</file>

<file path=xl/worksheets/sheet6.xml><?xml version="1.0" encoding="utf-8"?>
<ns0:worksheet xmlns:ns0="http://schemas.openxmlformats.org/spreadsheetml/2006/main">
  <ns0:sheetFormatPr defaultRowHeight="15"/>
  <ns0:cols>
    <ns0:col min="1" max="1" width="27" hidden="0" customWidth="1"/>
    <ns0:col min="2" max="2" width="33" hidden="0" customWidth="1"/>
    <ns0:col min="3" max="3" width="17" hidden="0" customWidth="1"/>
    <ns0:col min="4" max="4" width="33" hidden="0" customWidth="1"/>
  </ns0:cols>
  <ns0:sheetData>
    <ns0:row r="1" ht="38.400001525878906" hidden="0" customHeight="1">
      <ns0:c r="A1" s="486" t="str">
        <ns0:v>Best Results — Live Reference Table — v251.1</ns0:v>
      </ns0:c>
      <ns0:c r="B1" s="486"/>
      <ns0:c r="C1" s="486"/>
      <ns0:c r="D1" s="486"/>
    </ns0:row>
    <ns0:row r="2" ht="48" hidden="0" customHeight="1">
      <ns0:c r="A2" s="591" t="inlineStr">
        <ns0:is>
          <ns0:t>Finalized game results only. Clear no-data messages appear until qualifying records exist.</ns0:t>
        </ns0:is>
      </ns0:c>
      <ns0:c r="B2" s="591"/>
      <ns0:c r="C2" s="591"/>
      <ns0:c r="D2" s="591"/>
    </ns0:row>
    <ns0:row r="3" ht="15" hidden="0" customHeight="1">
      <ns0:c r="A3" s="310" t="str">
        <ns0:v>Metric</ns0:v>
      </ns0:c>
      <ns0:c r="B3" s="310" t="str">
        <ns0:v>Game</ns0:v>
      </ns0:c>
      <ns0:c r="C3" s="310" t="str">
        <ns0:v>Value</ns0:v>
      </ns0:c>
      <ns0:c r="D3" s="310" t="str">
        <ns0:v>Meaning</ns0:v>
      </ns0:c>
    </ns0:row>
    <ns0:row r="4" ht="15" hidden="0" customHeight="1">
      <ns0:c r="A4" s="126" t="str">
        <ns0:v>Highest Net Profit</ns0:v>
      </ns0:c>
      <ns0:c r="B4" s="126">
        <ns0:f>IF(COUNTIF('Game Records'!$U$5:$U$504,"Profit")=0,"No finalized paid games yet",IFERROR(INDEX('Game Records'!$A$5:$A$504,MATCH(MAX('Game Records'!$W$5:$W$504),'Game Records'!$W$5:$W$504,0)),"No finalized paid games yet"))</ns0:f>
        <ns0:v/>
      </ns0:c>
      <ns0:c r="C4" s="130">
        <ns0:f>IF(COUNTIF('Game Records'!$U$5:$U$504,"Profit")=0,"N/A",MAX('Game Records'!$W$5:$W$504))</ns0:f>
        <ns0:v/>
      </ns0:c>
      <ns0:c r="D4" s="126" t="str">
        <ns0:v>Largest positive game result</ns0:v>
      </ns0:c>
    </ns0:row>
    <ns0:row r="5" ht="15" hidden="0" customHeight="1">
      <ns0:c r="A5" s="126" t="str">
        <ns0:v>Highest ROI</ns0:v>
      </ns0:c>
      <ns0:c r="B5" s="126">
        <ns0:f>IF(COUNTIF('Game Records'!$U$5:$U$504,"Profit")=0,"No finalized paid games yet",IFERROR(INDEX('Game Records'!$A$5:$A$504,MATCH(MAX('Game Records'!$T$5:$T$504),'Game Records'!$T$5:$T$504,0)),"No finalized paid games yet"))</ns0:f>
        <ns0:v/>
      </ns0:c>
      <ns0:c r="C5" s="128">
        <ns0:f>IF(COUNTIF('Game Records'!$U$5:$U$504,"Profit")=0,"N/A",MAX('Game Records'!$T$5:$T$504))</ns0:f>
        <ns0:v/>
      </ns0:c>
      <ns0:c r="D5" s="126" t="str">
        <ns0:v>Best return on Entry Fee</ns0:v>
      </ns0:c>
    </ns0:row>
    <ns0:row r="6" ht="15" hidden="0" customHeight="1">
      <ns0:c r="A6" s="126" t="str">
        <ns0:v>Largest Lost Entry Fee</ns0:v>
      </ns0:c>
      <ns0:c r="B6" s="126">
        <ns0:f>IF(COUNTIF('Game Records'!$U$5:$U$504,"Disqualified")=0,"No paid disqualifications yet",IFERROR(INDEX('Game Records'!$A$5:$A$504,MATCH(MAX('Game Records'!$S$5:$S$504),'Game Records'!$S$5:$S$504,0)),"No paid disqualifications yet"))</ns0:f>
        <ns0:v/>
      </ns0:c>
      <ns0:c r="C6" s="130">
        <ns0:f>IF(COUNTIF('Game Records'!$U$5:$U$504,"Disqualified")=0,"N/A",MAX('Game Records'!$S$5:$S$504))</ns0:f>
        <ns0:v/>
      </ns0:c>
      <ns0:c r="D6" s="126" t="str">
        <ns0:v>Largest full-entry loss</ns0:v>
      </ns0:c>
    </ns0:row>
    <ns0:row r="7" ht="15" hidden="0" customHeight="1">
      <ns0:c r="A7" s="126" t="str">
        <ns0:v>Lowest Elimination Rate</ns0:v>
      </ns0:c>
      <ns0:c r="B7" s="126">
        <ns0:f>IF(COUNT('Game Records'!$Y$5:$Y$504)=0,"No elimination data yet",IFERROR(INDEX('Game Records'!$A$5:$A$504,MATCH(MINIFS('Game Records'!$Y$5:$Y$504,'Game Records'!$Y$5:$Y$504,"&gt;0"),'Game Records'!$Y$5:$Y$504,0)),"No elimination data yet"))</ns0:f>
        <ns0:v/>
      </ns0:c>
      <ns0:c r="C7" s="128">
        <ns0:f>IF(COUNT('Game Records'!$Y$5:$Y$504)=0,"N/A",MINIFS('Game Records'!$Y$5:$Y$504,'Game Records'!$Y$5:$Y$504,"&gt;0"))</ns0:f>
        <ns0:v/>
      </ns0:c>
      <ns0:c r="D7" s="126" t="str">
        <ns0:v>Best recorded elimination rate</ns0:v>
      </ns0:c>
    </ns0:row>
    <ns0:row r="8" ht="15" hidden="0" customHeight="1">
      <ns0:c r="A8" s="126" t="str">
        <ns0:v>Longest Challenge</ns0:v>
      </ns0:c>
      <ns0:c r="B8" s="126">
        <ns0:f>IF(COUNT('Game Records'!$V$5:$V$504)=0,"No dated games yet",IFERROR(INDEX('Game Records'!$A$5:$A$504,MATCH(MAX('Game Records'!$V$5:$V$504),'Game Records'!$V$5:$V$504,0)),"No dated games yet"))</ns0:f>
        <ns0:v/>
      </ns0:c>
      <ns0:c r="C8" s="132">
        <ns0:f>IF(COUNT('Game Records'!$V$5:$V$504)=0,"N/A",MAX('Game Records'!$V$5:$V$504))</ns0:f>
        <ns0:v/>
      </ns0:c>
      <ns0:c r="D8" s="126" t="str">
        <ns0:v>Most weeks completed</ns0:v>
      </ns0:c>
    </ns0:row>
  </ns0:sheetData>
  <ns0:mergeCells>
    <ns0:mergeCell ref="A2:D2"/>
    <ns0:mergeCell ref="A1:D1"/>
  </ns0:mergeCells>
  <ns0:pageMargins left="0.7" right="0.7" top="0.75" bottom="0.75" header="0.3" footer="0.3"/>
</ns0:worksheet>
</file>