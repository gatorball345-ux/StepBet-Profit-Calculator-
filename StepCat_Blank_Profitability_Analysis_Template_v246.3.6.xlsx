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b3d477db8d4a73" /></Relationships>
</file>

<file path=xl/workbook.xml><?xml version="1.0" encoding="utf-8"?>
<x:workbook xmlns:x="http://schemas.openxmlformats.org/spreadsheetml/2006/main">
  <x:sheets>
    <x:sheet xmlns:r="http://schemas.openxmlformats.org/officeDocument/2006/relationships" name="Instructions" sheetId="1" r:id="R3182b9b9652a4b0f"/>
    <x:sheet xmlns:r="http://schemas.openxmlformats.org/officeDocument/2006/relationships" name="Game Records" sheetId="2" r:id="R7c1fb6ae00154350"/>
    <x:sheet xmlns:r="http://schemas.openxmlformats.org/officeDocument/2006/relationships" name="Record Review" sheetId="3" r:id="Rcd45e256a16a420a"/>
    <x:sheet xmlns:r="http://schemas.openxmlformats.org/officeDocument/2006/relationships" name="Summary" sheetId="4" r:id="R9fec62ff31d641db"/>
    <x:sheet xmlns:r="http://schemas.openxmlformats.org/officeDocument/2006/relationships" name="Game Comparisons" sheetId="5" r:id="Ra37a1ea70d9c49db"/>
    <x:sheet xmlns:r="http://schemas.openxmlformats.org/officeDocument/2006/relationships" name="Best Results" sheetId="6" r:id="R27adad88702f4b35"/>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mm-dd-yyyy"/>
    <x:numFmt numFmtId="201" formatCode="$#,##0.00"/>
    <x:numFmt numFmtId="202" formatCode="0.0%"/>
    <x:numFmt numFmtId="203" formatCode="0"/>
    <x:numFmt numFmtId="204" formatCode="m/d/yyyy"/>
    <x:numFmt numFmtId="205" formatCode="@"/>
    <x:numFmt numFmtId="206" formatCode="mm/dd/yyyy"/>
    <x:numFmt numFmtId="207" formatCode="$0.00;[Red]-$0.00"/>
    <x:numFmt numFmtId="208" formatCode="#,##0"/>
    <x:numFmt numFmtId="209" formatCode="#,##0.00 &quot;chips&quot;"/>
    <x:numFmt numFmtId="210" formatCode="#,##0.00"/>
  </x:numFmts>
  <x:fonts count="28">
    <x:font>
      <x:sz val="11"/>
      <x:name val="Carlito"/>
    </x:font>
    <x:font>
      <x:b/>
      <x:sz val="16"/>
      <x:color rgb="FFFFFFFF"/>
      <x:name val="Carlito"/>
    </x:font>
    <x:font>
      <x:b/>
      <x:sz val="11"/>
      <x:color rgb="FF020C1B"/>
      <x:name val="Carlito"/>
    </x:font>
    <x:font>
      <x:sz val="11"/>
      <x:color rgb="FF020C1B"/>
      <x:name val="Carlito"/>
    </x:font>
    <x:font>
      <x:b/>
      <x:sz val="11"/>
      <x:color rgb="FF000000"/>
      <x:name val="Carlito"/>
    </x:font>
    <x:font>
      <x:sz val="11"/>
      <x:color rgb="FF000000"/>
      <x:name val="Carlito"/>
    </x:font>
    <x:font>
      <x:b/>
      <x:sz val="12"/>
      <x:color rgb="FFFFFFFF"/>
      <x:name val="Carlito"/>
    </x:font>
    <x:font>
      <x:sz val="11"/>
      <x:color rgb="FFFFFFFF"/>
      <x:name val="Carlito"/>
    </x:font>
    <x:font>
      <x:b/>
      <x:sz val="15"/>
      <x:color rgb="FFFFFFFF"/>
      <x:name val="Carlito"/>
    </x:font>
    <x:font>
      <x:b/>
      <x:sz val="11"/>
      <x:color rgb="FFFFFFFF"/>
      <x:name val="Carlito"/>
    </x:font>
    <x:font>
      <x:b/>
      <x:sz val="14"/>
      <x:color rgb="FFFFFFFF"/>
      <x:name val="Carlito"/>
    </x:font>
    <x:font>
      <x:b/>
      <x:sz val="11"/>
      <x:name val="Carlito"/>
    </x:font>
    <x:font>
      <x:sz val="11"/>
      <x:color rgb="FFD7D9DC"/>
      <x:name val="Carlito"/>
    </x:font>
    <x:font>
      <x:b/>
      <x:sz val="16"/>
      <x:color rgb="FF020C1B"/>
      <x:name val="Carlito"/>
    </x:font>
    <x:font>
      <x:b/>
      <x:sz val="10"/>
      <x:color rgb="FF020C1B"/>
      <x:name val="Carlito"/>
    </x:font>
    <x:font>
      <x:sz val="10"/>
      <x:color rgb="FFFFFFFF"/>
      <x:name val="Carlito"/>
    </x:font>
    <x:font>
      <x:sz val="10"/>
      <x:color rgb="FF020C1B"/>
      <x:name val="Carlito"/>
    </x:font>
    <x:font>
      <x:b/>
      <x:sz val="18"/>
      <x:color rgb="FFFF9D3C"/>
      <x:name val="Carlito"/>
    </x:font>
    <x:font>
      <x:i/>
      <x:sz val="10"/>
      <x:color rgb="FFFFFFFF"/>
      <x:name val="Carlito"/>
    </x:font>
    <x:font>
      <x:b/>
      <x:sz val="12"/>
      <x:color rgb="FF020C1B"/>
      <x:name val="Carlito"/>
    </x:font>
    <x:font>
      <x:sz val="10"/>
      <x:color rgb="FF020C1B"/>
      <x:name val="Carlito"/>
    </x:font>
    <x:font>
      <x:i/>
      <x:sz val="10"/>
      <x:color rgb="FF020C1B"/>
      <x:name val="Carlito"/>
    </x:font>
    <x:font>
      <x:b/>
      <x:sz val="18"/>
      <x:color rgb="FF020C1B"/>
      <x:name val="Carlito"/>
    </x:font>
    <x:font>
      <x:b/>
      <x:sz val="9"/>
      <x:color rgb="FF020C1B"/>
      <x:name val="Carlito"/>
    </x:font>
    <x:font>
      <x:b/>
      <x:sz val="12"/>
      <x:color rgb="FF1C0B04"/>
      <x:name val="Carlito"/>
    </x:font>
    <x:font>
      <x:b/>
      <x:sz val="10"/>
      <x:color rgb="FF1C0B04"/>
      <x:name val="Carlito"/>
    </x:font>
    <x:font>
      <x:sz val="10"/>
      <x:color rgb="FF020C1B"/>
      <x:name val="Carlito"/>
    </x:font>
    <x:font>
      <x:b/>
      <x:sz val="10"/>
      <x:color rgb="FF5B1712"/>
      <x:name val="Carlito"/>
    </x:font>
  </x:fonts>
  <x:fills count="98">
    <x:fill>
      <x:patternFill patternType="none"/>
    </x:fill>
    <x:fill>
      <x:patternFill patternType="gray125"/>
    </x:fill>
    <x:fill>
      <x:patternFill patternType="solid">
        <x:fgColor rgb="FF020C1B"/>
      </x:patternFill>
    </x:fill>
    <x:fill>
      <x:patternFill patternType="solid">
        <x:fgColor rgb="FFE8D8B8"/>
      </x:patternFill>
    </x:fill>
    <x:fill>
      <x:patternFill patternType="solid">
        <x:fgColor rgb="FFF5F7FA"/>
      </x:patternFill>
    </x:fill>
    <x:fill>
      <x:patternFill patternType="solid">
        <x:fgColor rgb="FFD9EAD3"/>
      </x:patternFill>
    </x:fill>
    <x:fill>
      <x:patternFill patternType="solid">
        <x:fgColor rgb="FFE7E6E6"/>
      </x:patternFill>
    </x:fill>
    <x:fill>
      <x:patternFill patternType="solid">
        <x:fgColor rgb="FFFFF2CC"/>
      </x:patternFill>
    </x:fill>
    <x:fill>
      <x:patternFill patternType="solid">
        <x:fgColor rgb="FFD9EAF7"/>
      </x:patternFill>
    </x:fill>
    <x:fill>
      <x:patternFill patternType="solid">
        <x:fgColor rgb="FFF4CCCC"/>
      </x:patternFill>
    </x:fill>
    <x:fill>
      <x:patternFill patternType="solid">
        <x:fgColor rgb="FF0C1F3A"/>
      </x:patternFill>
    </x:fill>
    <x:fill>
      <x:patternFill patternType="solid">
        <x:fgColor rgb="FFFFAA00"/>
      </x:patternFill>
    </x:fill>
    <x:fill>
      <x:patternFill patternType="solid">
        <x:fgColor rgb="FFE8D8B8"/>
      </x:patternFill>
    </x:fill>
    <x:fill>
      <x:patternFill patternType="solid">
        <x:fgColor rgb="FFFFAA00"/>
      </x:patternFill>
    </x:fill>
    <x:fill>
      <x:patternFill patternType="solid">
        <x:fgColor rgb="FF020C1B"/>
      </x:patternFill>
    </x:fill>
    <x:fill>
      <x:patternFill patternType="solid">
        <x:fgColor rgb="FF0C1F3A"/>
      </x:patternFill>
    </x:fill>
    <x:fill>
      <x:patternFill patternType="solid">
        <x:fgColor rgb="FFE8D8B8"/>
      </x:patternFill>
    </x:fill>
    <x:fill>
      <x:patternFill patternType="solid">
        <x:fgColor rgb="FFFFAA00"/>
      </x:patternFill>
    </x:fill>
    <x:fill>
      <x:patternFill patternType="solid">
        <x:fgColor rgb="FFFF9D3C"/>
      </x:patternFill>
    </x:fill>
    <x:fill>
      <x:patternFill patternType="solid">
        <x:fgColor rgb="FFE8D8B8"/>
      </x:patternFill>
    </x:fill>
    <x:fill>
      <x:patternFill patternType="solid">
        <x:fgColor rgb="FFFFF2A8"/>
      </x:patternFill>
    </x:fill>
    <x:fill>
      <x:patternFill patternType="solid">
        <x:fgColor rgb="FFFFF8E1"/>
      </x:patternFill>
    </x:fill>
    <x:fill>
      <x:patternFill patternType="solid">
        <x:fgColor rgb="FF7A1A1A"/>
      </x:patternFill>
    </x:fill>
    <x:fill>
      <x:patternFill patternType="solid">
        <x:fgColor rgb="FF0C1F3A"/>
      </x:patternFill>
    </x:fill>
    <x:fill>
      <x:patternFill patternType="solid">
        <x:fgColor rgb="FFFF9D3C"/>
      </x:patternFill>
    </x:fill>
    <x:fill>
      <x:patternFill patternType="solid">
        <x:fgColor rgb="FFFFF2A8"/>
      </x:patternFill>
    </x:fill>
    <x:fill>
      <x:patternFill patternType="solid">
        <x:fgColor rgb="FF5A5F66"/>
      </x:patternFill>
    </x:fill>
    <x:fill>
      <x:patternFill patternType="solid">
        <x:fgColor rgb="FFFF9D3C"/>
      </x:patternFill>
    </x:fill>
    <x:fill>
      <x:patternFill patternType="solid">
        <x:fgColor rgb="FFE8D8B8"/>
      </x:patternFill>
    </x:fill>
    <x:fill>
      <x:patternFill patternType="solid">
        <x:fgColor rgb="FFFFF2A8"/>
      </x:patternFill>
    </x:fill>
    <x:fill>
      <x:patternFill patternType="solid">
        <x:fgColor rgb="FFFF9D3C"/>
      </x:patternFill>
    </x:fill>
    <x:fill>
      <x:patternFill patternType="solid">
        <x:fgColor rgb="FFE8D8B8"/>
      </x:patternFill>
    </x:fill>
    <x:fill>
      <x:patternFill patternType="solid">
        <x:fgColor rgb="FFFFF2A8"/>
      </x:patternFill>
    </x:fill>
    <x:fill>
      <x:patternFill patternType="solid">
        <x:fgColor rgb="FFD9E5F5"/>
      </x:patternFill>
    </x:fill>
    <x:fill>
      <x:patternFill patternType="solid">
        <x:fgColor rgb="FFFFF2A8"/>
      </x:patternFill>
    </x:fill>
    <x:fill>
      <x:patternFill patternType="solid">
        <x:fgColor rgb="FFFF9D3C"/>
      </x:patternFill>
    </x:fill>
    <x:fill>
      <x:patternFill patternType="solid">
        <x:fgColor rgb="FFFFF2A8"/>
      </x:patternFill>
    </x:fill>
    <x:fill>
      <x:patternFill patternType="solid">
        <x:fgColor rgb="FFFFE699"/>
      </x:patternFill>
    </x:fill>
    <x:fill>
      <x:patternFill patternType="solid">
        <x:fgColor rgb="FFFF9D3C"/>
      </x:patternFill>
    </x:fill>
    <x:fill>
      <x:patternFill patternType="solid">
        <x:fgColor rgb="FF0C1F3A"/>
      </x:patternFill>
    </x:fill>
    <x:fill>
      <x:patternFill patternType="solid">
        <x:fgColor rgb="FFFFF2A8"/>
      </x:patternFill>
    </x:fill>
    <x:fill>
      <x:patternFill patternType="solid">
        <x:fgColor rgb="FFFFF2A8"/>
      </x:patternFill>
    </x:fill>
    <x:fill>
      <x:patternFill patternType="solid">
        <x:fgColor rgb="FFFFF2A8"/>
      </x:patternFill>
    </x:fill>
    <x:fill>
      <x:patternFill patternType="solid">
        <x:fgColor rgb="FFFFF2A8"/>
      </x:patternFill>
    </x:fill>
    <x:fill>
      <x:patternFill patternType="solid">
        <x:fgColor rgb="FF020C1B"/>
      </x:patternFill>
    </x:fill>
    <x:fill>
      <x:patternFill patternType="solid">
        <x:fgColor rgb="FF0C1F3A"/>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FFF2A8"/>
      </x:patternFill>
    </x:fill>
    <x:fill>
      <x:patternFill patternType="solid">
        <x:fgColor rgb="FFD9EAD3"/>
      </x:patternFill>
    </x:fill>
    <x:fill>
      <x:patternFill patternType="solid">
        <x:fgColor rgb="FFE7E6E6"/>
      </x:patternFill>
    </x:fill>
    <x:fill>
      <x:patternFill patternType="solid">
        <x:fgColor rgb="FFFFF2CC"/>
      </x:patternFill>
    </x:fill>
    <x:fill>
      <x:patternFill patternType="solid">
        <x:fgColor rgb="FFCFE2F3"/>
      </x:patternFill>
    </x:fill>
    <x:fill>
      <x:patternFill patternType="solid">
        <x:fgColor rgb="FFF4CCCC"/>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E7D7B2"/>
      </x:patternFill>
    </x:fill>
    <x:fill>
      <x:patternFill patternType="solid">
        <x:fgColor rgb="FFFFF2A8"/>
      </x:patternFill>
    </x:fill>
    <x:fill>
      <x:patternFill patternType="solid">
        <x:fgColor rgb="FFFFFDF7"/>
      </x:patternFill>
    </x:fill>
    <x:fill>
      <x:patternFill patternType="solid">
        <x:fgColor rgb="FFFF9D3C"/>
      </x:patternFill>
    </x:fill>
    <x:fill>
      <x:patternFill patternType="solid">
        <x:fgColor rgb="FFE7D7B2"/>
      </x:patternFill>
    </x:fill>
    <x:fill>
      <x:patternFill patternType="solid">
        <x:fgColor rgb="FFFFFDF7"/>
      </x:patternFill>
    </x:fill>
    <x:fill>
      <x:patternFill patternType="solid">
        <x:fgColor rgb="FFFFF2A8"/>
      </x:patternFill>
    </x:fill>
    <x:fill>
      <x:patternFill patternType="solid">
        <x:fgColor rgb="FFFFFFFF"/>
      </x:patternFill>
    </x:fill>
    <x:fill>
      <x:patternFill patternType="solid">
        <x:fgColor rgb="FFFF9D3C"/>
      </x:patternFill>
    </x:fill>
    <x:fill>
      <x:patternFill patternType="solid">
        <x:fgColor rgb="FF0C1F3A"/>
      </x:patternFill>
    </x:fill>
    <x:fill>
      <x:patternFill patternType="solid">
        <x:fgColor rgb="FFE7D7B2"/>
      </x:patternFill>
    </x:fill>
    <x:fill>
      <x:patternFill patternType="solid">
        <x:fgColor rgb="FFFFFDF7"/>
      </x:patternFill>
    </x:fill>
    <x:fill>
      <x:patternFill patternType="solid">
        <x:fgColor rgb="FFD9EAD3"/>
      </x:patternFill>
    </x:fill>
    <x:fill>
      <x:patternFill patternType="solid">
        <x:fgColor rgb="FFE7E6E6"/>
      </x:patternFill>
    </x:fill>
    <x:fill>
      <x:patternFill patternType="solid">
        <x:fgColor rgb="FFFFF2CC"/>
      </x:patternFill>
    </x:fill>
    <x:fill>
      <x:patternFill patternType="solid">
        <x:fgColor rgb="FFCFE2F3"/>
      </x:patternFill>
    </x:fill>
    <x:fill>
      <x:patternFill patternType="solid">
        <x:fgColor rgb="FFF4CCCC"/>
      </x:patternFill>
    </x:fill>
    <x:fill>
      <x:patternFill patternType="solid">
        <x:fgColor rgb="FFFFF2A8"/>
      </x:patternFill>
    </x:fill>
    <x:fill>
      <x:patternFill patternType="solid">
        <x:fgColor rgb="FFFFAA00"/>
      </x:patternFill>
    </x:fill>
    <x:fill>
      <x:patternFill patternType="solid">
        <x:fgColor rgb="FFE7D7B2"/>
      </x:patternFill>
    </x:fill>
    <x:fill>
      <x:patternFill patternType="solid">
        <x:fgColor rgb="FFFF9D3C"/>
      </x:patternFill>
    </x:fill>
    <x:fill>
      <x:patternFill patternType="solid">
        <x:fgColor rgb="FF0C1F3A"/>
      </x:patternFill>
    </x:fill>
    <x:fill>
      <x:patternFill patternType="solid">
        <x:fgColor rgb="FFFF9D3C"/>
      </x:patternFill>
    </x:fill>
    <x:fill>
      <x:patternFill patternType="solid">
        <x:fgColor rgb="FFFFF4D6"/>
      </x:patternFill>
    </x:fill>
    <x:fill>
      <x:patternFill patternType="solid">
        <x:fgColor rgb="FFF5F7FA"/>
      </x:patternFill>
    </x:fill>
    <x:fill>
      <x:patternFill patternType="solid">
        <x:fgColor rgb="FFFF9D3C"/>
      </x:patternFill>
    </x:fill>
    <x:fill>
      <x:patternFill patternType="solid">
        <x:fgColor rgb="FF0C1F3A"/>
      </x:patternFill>
    </x:fill>
    <x:fill>
      <x:patternFill patternType="solid">
        <x:fgColor rgb="FFF5F7FA"/>
      </x:patternFill>
    </x:fill>
    <x:fill>
      <x:patternFill patternType="solid">
        <x:fgColor rgb="FFF5F7FA"/>
      </x:patternFill>
    </x:fill>
    <x:fill>
      <x:patternFill patternType="solid">
        <x:fgColor rgb="FFF8E7DE"/>
      </x:patternFill>
    </x:fill>
    <x:fill>
      <x:patternFill patternType="solid">
        <x:fgColor rgb="FFF3A13C"/>
      </x:patternFill>
    </x:fill>
    <x:fill>
      <x:patternFill patternType="solid">
        <x:fgColor rgb="FFE7D7B2"/>
      </x:patternFill>
    </x:fill>
    <x:fill>
      <x:patternFill patternType="solid">
        <x:fgColor rgb="FFFFFDF7"/>
      </x:patternFill>
    </x:fill>
    <x:fill>
      <x:patternFill patternType="solid">
        <x:fgColor rgb="FFFF9D3C"/>
      </x:patternFill>
    </x:fill>
    <x:fill>
      <x:patternFill patternType="solid">
        <x:fgColor rgb="FFFFF4DE"/>
      </x:patternFill>
    </x:fill>
    <x:fill>
      <x:patternFill patternType="solid">
        <x:fgColor rgb="FFF3C4BE"/>
      </x:patternFill>
    </x:fill>
    <x:fill>
      <x:patternFill patternType="solid">
        <x:fgColor rgb="FFFBE9E6"/>
      </x:patternFill>
    </x:fill>
  </x:fills>
  <x:borders count="54">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98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2"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2"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5" fillId="9" borderId="1"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horizontal="center"/>
    </x:xf>
    <x:xf numFmtId="0" fontId="6" fillId="2" borderId="0" xfId="0" applyNumberFormat="1" applyFont="1" applyFill="1" applyBorder="1" applyAlignment="1">
      <x:alignment horizontal="center" vertical="center"/>
    </x:xf>
    <x:xf numFmtId="0" fontId="6" fillId="2" borderId="1" xfId="0" applyNumberFormat="1" applyFont="1" applyFill="1" applyBorder="1"/>
    <x:xf numFmtId="0" fontId="6" fillId="2" borderId="1" xfId="0" applyNumberFormat="1" applyFont="1" applyFill="1" applyBorder="1" applyAlignment="1">
      <x:alignment horizontal="center"/>
    </x:xf>
    <x:xf numFmtId="0" fontId="6" fillId="2" borderId="1"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0" fontId="7" fillId="10" borderId="0" xfId="0" applyNumberFormat="1" applyFont="1" applyFill="1" applyBorder="1" applyAlignment="1">
      <x:alignment horizontal="center" vertical="center" wrapText="1"/>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wrapText="1"/>
    </x:xf>
    <x:xf numFmtId="0" fontId="7" fillId="10" borderId="1" xfId="0" applyNumberFormat="1" applyFont="1" applyFill="1" applyBorder="1" applyAlignment="1">
      <x:alignment horizontal="center" wrapText="1"/>
    </x:xf>
    <x:xf numFmtId="0" fontId="7" fillId="10"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horizontal="center"/>
    </x:xf>
    <x:xf numFmtId="0" fontId="2" fillId="11" borderId="0" xfId="0" applyNumberFormat="1" applyFont="1" applyFill="1" applyBorder="1" applyAlignment="1">
      <x:alignment horizontal="center" vertical="center"/>
    </x:xf>
    <x:xf numFmtId="0" fontId="0" fillId="11" borderId="1" xfId="0" applyNumberFormat="1" applyFont="1" applyFill="1" applyBorder="1"/>
    <x:xf numFmtId="0" fontId="2" fillId="11" borderId="1" xfId="0" applyNumberFormat="1" applyFont="1" applyFill="1" applyBorder="1"/>
    <x:xf numFmtId="0" fontId="2" fillId="11" borderId="1" xfId="0" applyNumberFormat="1" applyFont="1" applyFill="1" applyBorder="1" applyAlignment="1">
      <x:alignment horizontal="center"/>
    </x:xf>
    <x:xf numFmtId="0" fontId="2" fillId="11" borderId="1" xfId="0" applyNumberFormat="1" applyFont="1" applyFill="1" applyBorder="1" applyAlignment="1">
      <x:alignment horizontal="center" vertical="center"/>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0" fontId="2" fillId="11" borderId="1" xfId="0" applyNumberFormat="1" applyFont="1" applyFill="1" applyBorder="1" applyAlignment="1">
      <x:alignment wrapText="1"/>
    </x:xf>
    <x:xf numFmtId="0" fontId="2" fillId="11" borderId="1" xfId="0" applyNumberFormat="1" applyFont="1" applyFill="1" applyBorder="1" applyAlignment="1">
      <x:alignment horizontal="center" wrapText="1"/>
    </x:xf>
    <x:xf numFmtId="0" fontId="2" fillId="11"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1" fontId="5" fillId="0" borderId="0" xfId="0" applyNumberFormat="1" applyFont="1" applyFill="1" applyBorder="1" applyAlignment="1">
      <x:alignment vertical="top"/>
    </x:xf>
    <x:xf numFmtId="201" fontId="5" fillId="0" borderId="1" xfId="0" applyNumberFormat="1" applyFont="1" applyFill="1" applyBorder="1" applyAlignment="1">
      <x:alignment vertical="top"/>
    </x:xf>
    <x:xf numFmtId="0" fontId="8" fillId="2" borderId="0" xfId="0" applyNumberFormat="1" applyFont="1" applyFill="1" applyBorder="1"/>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8" fillId="2" borderId="1" xfId="0" applyNumberFormat="1" applyFont="1" applyFill="1" applyBorder="1"/>
    <x:xf numFmtId="0" fontId="8" fillId="2" borderId="1" xfId="0" applyNumberFormat="1" applyFont="1" applyFill="1" applyBorder="1" applyAlignment="1">
      <x:alignment horizontal="center"/>
    </x:xf>
    <x:xf numFmtId="0" fontId="8" fillId="2" borderId="1" xfId="0" applyNumberFormat="1" applyFont="1" applyFill="1" applyBorder="1" applyAlignment="1">
      <x:alignment horizontal="center" vertical="center"/>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202" fontId="3" fillId="4" borderId="0" xfId="0" applyNumberFormat="1" applyFont="1" applyFill="1" applyBorder="1" applyAlignment="1">
      <x:alignment vertical="center" wrapText="1"/>
    </x:xf>
    <x:xf numFmtId="202" fontId="3" fillId="4" borderId="1" xfId="0" applyNumberFormat="1" applyFont="1" applyFill="1" applyBorder="1" applyAlignment="1">
      <x:alignment vertical="center" wrapText="1"/>
    </x:xf>
    <x:xf numFmtId="201" fontId="3" fillId="4" borderId="0" xfId="0" applyNumberFormat="1" applyFont="1" applyFill="1" applyBorder="1" applyAlignment="1">
      <x:alignment vertical="center" wrapText="1"/>
    </x:xf>
    <x:xf numFmtId="201" fontId="3" fillId="4" borderId="1" xfId="0" applyNumberFormat="1" applyFont="1" applyFill="1" applyBorder="1" applyAlignment="1">
      <x:alignment vertical="center" wrapText="1"/>
    </x:xf>
    <x:xf numFmtId="203" fontId="3" fillId="4" borderId="0" xfId="0" applyNumberFormat="1" applyFont="1" applyFill="1" applyBorder="1" applyAlignment="1">
      <x:alignment vertical="center" wrapText="1"/>
    </x:xf>
    <x:xf numFmtId="0" fontId="0" fillId="0" borderId="0" xfId="0" applyNumberFormat="1" applyFont="1" applyFill="1" applyBorder="1"/>
    <x:xf numFmtId="0" fontId="2" fillId="12" borderId="0" xfId="0" applyNumberFormat="1" applyFont="1" applyFill="1" applyBorder="1" applyAlignment="1">
      <x:alignment horizontal="center" vertical="center"/>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x:xf>
    <x:xf numFmtId="0" fontId="2" fillId="13" borderId="0" xfId="0" applyNumberFormat="1" applyFont="1" applyFill="1" applyBorder="1" applyAlignment="1">
      <x:alignment horizontal="center" vertical="center" wrapText="1"/>
    </x:xf>
    <x:xf numFmtId="0" fontId="6" fillId="14" borderId="0" xfId="0" applyNumberFormat="1" applyFont="1" applyFill="1" applyBorder="1" applyAlignment="1">
      <x:alignment horizontal="center" vertical="center"/>
    </x:xf>
    <x:xf numFmtId="0" fontId="6" fillId="14" borderId="0" xfId="0" applyNumberFormat="1" applyFont="1" applyFill="1" applyBorder="1" applyAlignment="1">
      <x:alignment horizontal="center" vertical="center" wrapText="1"/>
    </x:xf>
    <x:xf numFmtId="0" fontId="7" fillId="15" borderId="0" xfId="0" applyNumberFormat="1" applyFont="1" applyFill="1" applyBorder="1" applyAlignment="1">
      <x:alignment horizontal="center" vertical="center" wrapText="1"/>
    </x:xf>
    <x:xf numFmtId="0" fontId="2" fillId="16" borderId="0" xfId="0" applyNumberFormat="1" applyFont="1" applyFill="1" applyBorder="1" applyAlignment="1">
      <x:alignment horizontal="center" vertical="center" wrapText="1"/>
    </x:xf>
    <x:xf numFmtId="0" fontId="2" fillId="17" borderId="0"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center" wrapText="1"/>
    </x:xf>
    <x:xf numFmtId="203" fontId="0" fillId="0" borderId="0" xfId="0" applyNumberFormat="1" applyFont="1" applyFill="1" applyBorder="1" applyAlignment="1">
      <x:alignment vertical="top"/>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horizontal="center"/>
    </x:xf>
    <x:xf numFmtId="0" fontId="2" fillId="18" borderId="0" xfId="0" applyNumberFormat="1" applyFont="1" applyFill="1" applyBorder="1" applyAlignment="1">
      <x:alignment horizontal="center" vertical="center"/>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xfId="0" applyNumberFormat="1" applyFont="1" applyFill="1" applyBorder="0"/>
    <x:xf numFmtId="0" fontId="3" fillId="20" xfId="0" applyNumberFormat="1" applyFont="1" applyFill="1" applyBorder="0" applyAlignment="1">
      <x:alignment horizontal="center"/>
    </x:xf>
    <x:xf numFmtId="0" fontId="3" fillId="20" xfId="0" applyNumberFormat="1" applyFont="1" applyFill="1" applyBorder="0" applyAlignment="1">
      <x:alignment horizontal="center" vertical="center"/>
    </x:xf>
    <x:xf numFmtId="201" fontId="3" fillId="20" xfId="0" applyNumberFormat="1" applyFont="1" applyFill="1" applyBorder="0" applyAlignment="1">
      <x:alignment horizontal="center" vertical="center"/>
    </x:xf>
    <x:xf numFmtId="203" fontId="3" fillId="20" xfId="0" applyNumberFormat="1" applyFont="1" applyFill="1" applyBorder="0" applyAlignment="1">
      <x:alignment horizontal="center" vertical="center"/>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wrapText="1"/>
    </x:xf>
    <x:xf numFmtId="0" fontId="3" fillId="21" borderId="0" xfId="0" applyNumberFormat="1" applyFont="1" applyFill="1" applyBorder="1" applyAlignment="1">
      <x:alignment vertical="center" wrapText="1"/>
    </x:xf>
    <x:xf numFmtId="0" fontId="0" fillId="20" borderId="0" xfId="0" applyNumberFormat="1" applyFont="1" applyFill="1" applyBorder="1" applyAlignment="1">
      <x:alignment vertical="top" wrapText="1"/>
    </x:xf>
    <x:xf numFmtId="200" fontId="0" fillId="20" borderId="0" xfId="0" applyNumberFormat="1" applyFont="1" applyFill="1" applyBorder="1" applyAlignment="1">
      <x:alignment vertical="top"/>
    </x:xf>
    <x:xf numFmtId="0" fontId="0" fillId="20" borderId="0" xfId="0" applyNumberFormat="1" applyFont="1" applyFill="1" applyBorder="1" applyAlignment="1">
      <x:alignment vertical="top"/>
    </x:xf>
    <x:xf numFmtId="201" fontId="0" fillId="20" borderId="0" xfId="0" applyNumberFormat="1" applyFont="1" applyFill="1" applyBorder="1" applyAlignment="1">
      <x:alignment vertical="top"/>
    </x:xf>
    <x:xf numFmtId="203" fontId="0" fillId="20" borderId="0" xfId="0" applyNumberFormat="1" applyFont="1" applyFill="1" applyBorder="1" applyAlignment="1">
      <x:alignment vertical="top"/>
    </x:xf>
    <x:xf numFmtId="201" fontId="0" fillId="20" borderId="0" xfId="0" applyNumberFormat="1" applyFont="1" applyFill="1" applyBorder="1" applyAlignment="1">
      <x:alignment vertical="top" wrapText="1"/>
    </x:xf>
    <x:xf numFmtId="0" fontId="0" fillId="20" xfId="0" applyNumberFormat="1" applyFont="1" applyFill="1" applyBorder="0" applyAlignment="1">
      <x:alignment vertical="top" wrapText="1"/>
    </x:xf>
    <x:xf numFmtId="200" fontId="0" fillId="20" xfId="0" applyNumberFormat="1" applyFont="1" applyFill="1" applyBorder="0" applyAlignment="1">
      <x:alignment vertical="top"/>
    </x:xf>
    <x:xf numFmtId="0" fontId="0" fillId="20" xfId="0" applyNumberFormat="1" applyFont="1" applyFill="1" applyBorder="0" applyAlignment="1">
      <x:alignment vertical="top"/>
    </x:xf>
    <x:xf numFmtId="201" fontId="0" fillId="20" xfId="0" applyNumberFormat="1" applyFont="1" applyFill="1" applyBorder="0" applyAlignment="1">
      <x:alignment vertical="top"/>
    </x:xf>
    <x:xf numFmtId="203" fontId="0" fillId="20" xfId="0" applyNumberFormat="1" applyFont="1" applyFill="1" applyBorder="0" applyAlignment="1">
      <x:alignment vertical="top"/>
    </x:xf>
    <x:xf numFmtId="201" fontId="0" fillId="20" xfId="0" applyNumberFormat="1" applyFont="1" applyFill="1" applyBorder="0" applyAlignment="1">
      <x:alignment vertical="top" wrapText="1"/>
    </x:xf>
    <x:xf numFmtId="0" fontId="0" fillId="20" xfId="0" applyNumberFormat="1" applyFont="1" applyFill="1" applyBorder="0"/>
    <x:xf numFmtId="0" fontId="3" fillId="20" xfId="0" applyNumberFormat="1" applyFont="1" applyFill="1" applyBorder="0" applyAlignment="1">
      <x:alignment vertical="top" wrapText="1"/>
    </x:xf>
    <x:xf numFmtId="200" fontId="3" fillId="20" xfId="0" applyNumberFormat="1" applyFont="1" applyFill="1" applyBorder="0" applyAlignment="1">
      <x:alignment vertical="top"/>
    </x:xf>
    <x:xf numFmtId="0" fontId="3" fillId="20" xfId="0" applyNumberFormat="1" applyFont="1" applyFill="1" applyBorder="0" applyAlignment="1">
      <x:alignment vertical="top"/>
    </x:xf>
    <x:xf numFmtId="201" fontId="3" fillId="20" xfId="0" applyNumberFormat="1" applyFont="1" applyFill="1" applyBorder="0" applyAlignment="1">
      <x:alignment vertical="top"/>
    </x:xf>
    <x:xf numFmtId="203" fontId="3" fillId="20" xfId="0" applyNumberFormat="1" applyFont="1" applyFill="1" applyBorder="0" applyAlignment="1">
      <x:alignment vertical="top"/>
    </x:xf>
    <x:xf numFmtId="201" fontId="3" fillId="20" xfId="0" applyNumberFormat="1" applyFont="1" applyFill="1" applyBorder="0" applyAlignment="1">
      <x:alignment vertical="top" wrapText="1"/>
    </x:xf>
    <x:xf numFmtId="0" fontId="3" fillId="20" xfId="0" applyNumberFormat="1" applyFont="1" applyFill="1" applyBorder="0" applyAlignment="1">
      <x:alignment vertical="center" wrapText="1"/>
    </x:xf>
    <x:xf numFmtId="200" fontId="3" fillId="20" xfId="0" applyNumberFormat="1" applyFont="1" applyFill="1" applyBorder="0" applyAlignment="1">
      <x:alignment vertical="center"/>
    </x:xf>
    <x:xf numFmtId="0" fontId="3" fillId="20" xfId="0" applyNumberFormat="1" applyFont="1" applyFill="1" applyBorder="0" applyAlignment="1">
      <x:alignment vertical="center"/>
    </x:xf>
    <x:xf numFmtId="201" fontId="3" fillId="20" xfId="0" applyNumberFormat="1" applyFont="1" applyFill="1" applyBorder="0" applyAlignment="1">
      <x:alignment vertical="center"/>
    </x:xf>
    <x:xf numFmtId="203" fontId="3" fillId="20" xfId="0" applyNumberFormat="1" applyFont="1" applyFill="1" applyBorder="0" applyAlignment="1">
      <x:alignment vertical="center"/>
    </x:xf>
    <x:xf numFmtId="201" fontId="3" fillId="20" xfId="0" applyNumberFormat="1" applyFont="1" applyFill="1" applyBorder="0" applyAlignment="1">
      <x:alignment vertical="center" wrapText="1"/>
    </x:xf>
    <x:xf numFmtId="200" fontId="3" fillId="20" xfId="0" applyNumberFormat="1" applyFont="1" applyFill="1" applyBorder="0" applyAlignment="1">
      <x:alignment vertical="center" wrapText="1"/>
    </x:xf>
    <x:xf numFmtId="203" fontId="3" fillId="20" xfId="0" applyNumberFormat="1" applyFont="1" applyFill="1" applyBorder="0" applyAlignment="1">
      <x:alignment vertical="center" wrapText="1"/>
    </x:xf>
    <x:xf numFmtId="204" fontId="3" fillId="20" xfId="0" applyNumberFormat="1" applyFont="1" applyFill="1" applyBorder="0" applyAlignment="1">
      <x:alignment vertical="center" wrapText="1"/>
    </x:xf>
    <x:xf numFmtId="205" fontId="3" fillId="20" xfId="0" applyNumberFormat="1" applyFont="1" applyFill="1" applyBorder="0" applyAlignment="1">
      <x:alignment vertical="center" wrapText="1"/>
    </x:xf>
    <x:xf numFmtId="0" fontId="0" fillId="22" borderId="0" xfId="0" applyNumberFormat="1" applyFont="1" applyFill="1" applyBorder="1"/>
    <x:xf numFmtId="0" fontId="9" fillId="22" borderId="0" xfId="0" applyNumberFormat="1" applyFont="1" applyFill="1" applyBorder="1"/>
    <x:xf numFmtId="0" fontId="9" fillId="22" xfId="0" applyNumberFormat="1" applyFont="1" applyFill="1" applyBorder="0"/>
    <x:xf numFmtId="0" fontId="9" fillId="22" xfId="0" applyNumberFormat="1" applyFont="1" applyFill="1" applyBorder="0" applyAlignment="1">
      <x:alignment wrapText="1"/>
    </x:xf>
    <x:xf numFmtId="0" fontId="9" fillId="22" xfId="0" applyNumberFormat="1" applyFont="1" applyFill="1" applyBorder="0" applyAlignment="1">
      <x:alignment horizontal="center" wrapText="1"/>
    </x:xf>
    <x:xf numFmtId="0" fontId="9" fillId="22" xfId="0" applyNumberFormat="1" applyFont="1" applyFill="1" applyBorder="0" applyAlignment="1">
      <x:alignment horizontal="center" vertical="center" wrapText="1"/>
    </x:xf>
    <x:xf numFmtId="0" fontId="2" fillId="3" borderId="0"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0" fontId="2" fillId="3" borderId="0" xfId="0" applyNumberFormat="1" applyFont="1" applyFill="1" applyBorder="1" applyAlignment="1">
      <x:alignment vertical="top" wrapText="0"/>
    </x:xf>
    <x:xf numFmtId="0" fontId="3" fillId="4" borderId="0" xfId="0" applyNumberFormat="1" applyFont="1" applyFill="1" applyBorder="1" applyAlignment="1">
      <x:alignment vertical="top" wrapText="0"/>
    </x:xf>
    <x:xf numFmtId="0" fontId="4" fillId="5" borderId="0" xfId="0" applyNumberFormat="1" applyFont="1" applyFill="1" applyBorder="1" applyAlignment="1">
      <x:alignment vertical="top" wrapText="0"/>
    </x:xf>
    <x:xf numFmtId="0" fontId="5" fillId="5" borderId="0" xfId="0" applyNumberFormat="1" applyFont="1" applyFill="1" applyBorder="1" applyAlignment="1">
      <x:alignment vertical="top" wrapText="0"/>
    </x:xf>
    <x:xf numFmtId="0" fontId="4" fillId="6" borderId="0" xfId="0" applyNumberFormat="1" applyFont="1" applyFill="1" applyBorder="1" applyAlignment="1">
      <x:alignment vertical="top" wrapText="0"/>
    </x:xf>
    <x:xf numFmtId="0" fontId="5" fillId="6" borderId="0" xfId="0" applyNumberFormat="1" applyFont="1" applyFill="1" applyBorder="1" applyAlignment="1">
      <x:alignment vertical="top" wrapText="0"/>
    </x:xf>
    <x:xf numFmtId="0" fontId="4" fillId="7" borderId="0" xfId="0" applyNumberFormat="1" applyFont="1" applyFill="1" applyBorder="1" applyAlignment="1">
      <x:alignment vertical="top" wrapText="0"/>
    </x:xf>
    <x:xf numFmtId="0" fontId="5" fillId="7" borderId="0" xfId="0" applyNumberFormat="1" applyFont="1" applyFill="1" applyBorder="1" applyAlignment="1">
      <x:alignment vertical="top" wrapText="0"/>
    </x:xf>
    <x:xf numFmtId="0" fontId="4" fillId="8" borderId="0" xfId="0" applyNumberFormat="1" applyFont="1" applyFill="1" applyBorder="1" applyAlignment="1">
      <x:alignment vertical="top" wrapText="0"/>
    </x:xf>
    <x:xf numFmtId="0" fontId="5" fillId="8" borderId="0" xfId="0" applyNumberFormat="1" applyFont="1" applyFill="1" applyBorder="1" applyAlignment="1">
      <x:alignment vertical="top" wrapText="0"/>
    </x:xf>
    <x:xf numFmtId="0" fontId="4" fillId="9" borderId="0" xfId="0" applyNumberFormat="1" applyFont="1" applyFill="1" applyBorder="1" applyAlignment="1">
      <x:alignment vertical="top" wrapText="0"/>
    </x:xf>
    <x:xf numFmtId="0" fontId="5" fillId="9" borderId="0" xfId="0" applyNumberFormat="1" applyFont="1" applyFill="1" applyBorder="1" applyAlignment="1">
      <x:alignment vertical="top" wrapText="0"/>
    </x:xf>
    <x:xf numFmtId="0" fontId="2" fillId="18" borderId="0" xfId="0" applyNumberFormat="1" applyFont="1" applyFill="1" applyBorder="1" applyAlignment="1">
      <x:alignment horizontal="center" vertical="center" wrapText="0"/>
    </x:xf>
    <x:xf numFmtId="0" fontId="2" fillId="3" borderId="0" xfId="0" applyNumberFormat="1" applyFont="1" applyFill="1" applyBorder="1" applyAlignment="1">
      <x:alignment vertical="center" wrapText="0"/>
    </x:xf>
    <x:xf numFmtId="201" fontId="3" fillId="20" xfId="0" applyNumberFormat="1" applyFont="1" applyFill="1" applyBorder="0" applyAlignment="1">
      <x:alignment horizontal="center" vertical="center" wrapText="0"/>
    </x:xf>
    <x:xf numFmtId="203" fontId="3" fillId="20" xfId="0" applyNumberFormat="1" applyFont="1" applyFill="1" applyBorder="0" applyAlignment="1">
      <x:alignment horizontal="center" vertical="center" wrapText="0"/>
    </x:xf>
    <x:xf numFmtId="0" fontId="3" fillId="21" borderId="0" xfId="0" applyNumberFormat="1" applyFont="1" applyFill="1" applyBorder="1" applyAlignment="1">
      <x:alignment vertical="center" wrapText="0"/>
    </x:xf>
    <x:xf numFmtId="0" fontId="0" fillId="0" borderId="0" xfId="0" applyNumberFormat="1" applyFont="1" applyFill="1" applyBorder="1" applyAlignment="1">
      <x:alignment vertical="center" wrapText="0"/>
    </x:xf>
    <x:xf numFmtId="0" fontId="3" fillId="4" borderId="0" xfId="0" applyNumberFormat="1" applyFont="1" applyFill="1" applyBorder="1" applyAlignment="1">
      <x:alignment vertical="center" wrapText="0"/>
    </x:xf>
    <x:xf numFmtId="0" fontId="4" fillId="5" borderId="0" xfId="0" applyNumberFormat="1" applyFont="1" applyFill="1" applyBorder="1" applyAlignment="1">
      <x:alignment vertical="center" wrapText="0"/>
    </x:xf>
    <x:xf numFmtId="0" fontId="5" fillId="5" borderId="0" xfId="0" applyNumberFormat="1" applyFont="1" applyFill="1" applyBorder="1" applyAlignment="1">
      <x:alignment vertical="center" wrapText="0"/>
    </x:xf>
    <x:xf numFmtId="0" fontId="4" fillId="6" borderId="0" xfId="0" applyNumberFormat="1" applyFont="1" applyFill="1" applyBorder="1" applyAlignment="1">
      <x:alignment vertical="center" wrapText="0"/>
    </x:xf>
    <x:xf numFmtId="0" fontId="5" fillId="6" borderId="0" xfId="0" applyNumberFormat="1" applyFont="1" applyFill="1" applyBorder="1" applyAlignment="1">
      <x:alignment vertical="center" wrapText="0"/>
    </x:xf>
    <x:xf numFmtId="0" fontId="4" fillId="7" borderId="0" xfId="0" applyNumberFormat="1" applyFont="1" applyFill="1" applyBorder="1" applyAlignment="1">
      <x:alignment vertical="center" wrapText="0"/>
    </x:xf>
    <x:xf numFmtId="0" fontId="5" fillId="7" borderId="0" xfId="0" applyNumberFormat="1" applyFont="1" applyFill="1" applyBorder="1" applyAlignment="1">
      <x:alignment vertical="center" wrapText="0"/>
    </x:xf>
    <x:xf numFmtId="0" fontId="4" fillId="8" borderId="0" xfId="0" applyNumberFormat="1" applyFont="1" applyFill="1" applyBorder="1" applyAlignment="1">
      <x:alignment vertical="center" wrapText="0"/>
    </x:xf>
    <x:xf numFmtId="0" fontId="5" fillId="8" borderId="0" xfId="0" applyNumberFormat="1" applyFont="1" applyFill="1" applyBorder="1" applyAlignment="1">
      <x:alignment vertical="center" wrapText="0"/>
    </x:xf>
    <x:xf numFmtId="0" fontId="4" fillId="9" borderId="0" xfId="0" applyNumberFormat="1" applyFont="1" applyFill="1" applyBorder="1" applyAlignment="1">
      <x:alignment vertical="center" wrapText="0"/>
    </x:xf>
    <x:xf numFmtId="0" fontId="5" fillId="9" borderId="0" xfId="0" applyNumberFormat="1" applyFont="1" applyFill="1" applyBorder="1" applyAlignment="1">
      <x:alignment vertical="center" wrapText="0"/>
    </x:xf>
    <x:xf numFmtId="0" fontId="1" fillId="23" borderId="0" xfId="0" applyNumberFormat="1" applyFont="1" applyFill="1" applyBorder="1" applyAlignment="1">
      <x:alignment horizontal="center" vertical="center" wrapText="0"/>
    </x:xf>
    <x:xf numFmtId="0" fontId="0" fillId="23" borderId="0" xfId="0" applyNumberFormat="1" applyFont="1" applyFill="1" applyBorder="1" applyAlignment="1">
      <x:alignment vertical="center" wrapText="0"/>
    </x:xf>
    <x:xf numFmtId="0" fontId="10" fillId="23" borderId="0" xfId="0" applyNumberFormat="1" applyFont="1" applyFill="1" applyBorder="1" applyAlignment="1">
      <x:alignment horizontal="center" vertical="center" wrapText="0"/>
    </x:xf>
    <x:xf numFmtId="0" fontId="10" fillId="23" borderId="0" xfId="0" applyNumberFormat="1" applyFont="1" applyFill="1" applyBorder="1" applyAlignment="1">
      <x:alignment vertical="center" wrapText="0"/>
    </x:xf>
    <x:xf numFmtId="0" fontId="0" fillId="24" borderId="0" xfId="0" applyNumberFormat="1" applyFont="1" applyFill="1" applyBorder="1" applyAlignment="1">
      <x:alignment vertical="center" wrapText="0"/>
    </x:xf>
    <x:xf numFmtId="0" fontId="2" fillId="24" borderId="0" xfId="0" applyNumberFormat="1" applyFont="1" applyFill="1" applyBorder="1" applyAlignment="1">
      <x:alignment vertical="center" wrapText="0"/>
    </x:xf>
    <x:xf numFmtId="0" fontId="2" fillId="24" borderId="0" xfId="0" applyNumberFormat="1" applyFont="1" applyFill="1" applyBorder="1" applyAlignment="1">
      <x:alignment horizontal="center" vertical="center" wrapText="0"/>
    </x:xf>
    <x:xf numFmtId="0" fontId="11" fillId="0" borderId="0" xfId="0" applyNumberFormat="1" applyFont="1" applyFill="1" applyBorder="1" applyAlignment="1">
      <x:alignment vertical="center" wrapText="0"/>
    </x:xf>
    <x:xf numFmtId="205" fontId="3" fillId="25" xfId="0" applyNumberFormat="1" applyFont="1" applyFill="1" applyBorder="0" applyAlignment="1">
      <x:alignment vertical="center" wrapText="1"/>
    </x:xf>
    <x:xf numFmtId="204" fontId="3" fillId="25" xfId="0" applyNumberFormat="1" applyFont="1" applyFill="1" applyBorder="0" applyAlignment="1">
      <x:alignment vertical="center" wrapText="1"/>
    </x:xf>
    <x:xf numFmtId="201" fontId="3" fillId="25" xfId="0" applyNumberFormat="1" applyFont="1" applyFill="1" applyBorder="0" applyAlignment="1">
      <x:alignment vertical="center" wrapText="1"/>
    </x:xf>
    <x:xf numFmtId="203" fontId="3" fillId="25" xfId="0" applyNumberFormat="1" applyFont="1" applyFill="1" applyBorder="0" applyAlignment="1">
      <x:alignment vertical="center" wrapText="1"/>
    </x:xf>
    <x:xf numFmtId="0" fontId="0" fillId="26" borderId="0" xfId="0" applyNumberFormat="1" applyFont="1" applyFill="1" applyBorder="1"/>
    <x:xf numFmtId="0" fontId="12" fillId="26" borderId="0" xfId="0" applyNumberFormat="1" applyFont="1" applyFill="1" applyBorder="1"/>
    <x:xf numFmtId="0" fontId="12" fillId="26" xfId="0" applyNumberFormat="1" applyFont="1" applyFill="1" applyBorder="0"/>
    <x:xf numFmtId="0" fontId="1" fillId="10" borderId="0" xfId="0" applyNumberFormat="1" applyFont="1" applyFill="1" applyBorder="1" applyAlignment="1">
      <x:alignment horizontal="center" vertical="center" wrapText="0"/>
    </x:xf>
    <x:xf numFmtId="0" fontId="0" fillId="10" borderId="0" xfId="0" applyNumberFormat="1" applyFont="1" applyFill="1" applyBorder="1" applyAlignment="1">
      <x:alignment vertical="center" wrapText="0"/>
    </x:xf>
    <x:xf numFmtId="0" fontId="10" fillId="10" borderId="0" xfId="0" applyNumberFormat="1" applyFont="1" applyFill="1" applyBorder="1" applyAlignment="1">
      <x:alignment horizontal="center" vertical="center" wrapText="0"/>
    </x:xf>
    <x:xf numFmtId="0" fontId="10" fillId="10" borderId="0" xfId="0" applyNumberFormat="1" applyFont="1" applyFill="1" applyBorder="1" applyAlignment="1">
      <x:alignment vertical="center" wrapText="0"/>
    </x:xf>
    <x:xf numFmtId="0" fontId="0" fillId="18" borderId="0" xfId="0" applyNumberFormat="1" applyFont="1" applyFill="1" applyBorder="1" applyAlignment="1">
      <x:alignment vertical="center" wrapText="0"/>
    </x:xf>
    <x:xf numFmtId="0" fontId="2" fillId="18" borderId="0" xfId="0" applyNumberFormat="1" applyFont="1" applyFill="1" applyBorder="1" applyAlignment="1">
      <x:alignment vertical="center" wrapText="0"/>
    </x:xf>
    <x:xf numFmtId="0" fontId="2" fillId="27" borderId="0" xfId="0" applyNumberFormat="1" applyFont="1" applyFill="1" applyBorder="1" applyAlignment="1">
      <x:alignment horizontal="center" vertical="center" wrapText="0"/>
    </x:xf>
    <x:xf numFmtId="0" fontId="0" fillId="27" borderId="0" xfId="0" applyNumberFormat="1" applyFont="1" applyFill="1" applyBorder="1" applyAlignment="1">
      <x:alignment vertical="center" wrapText="0"/>
    </x:xf>
    <x:xf numFmtId="0" fontId="2" fillId="27" borderId="0" xfId="0" applyNumberFormat="1" applyFont="1" applyFill="1" applyBorder="1" applyAlignment="1">
      <x:alignment vertical="center" wrapText="0"/>
    </x:xf>
    <x:xf numFmtId="0" fontId="2" fillId="28" borderId="0" xfId="0" applyNumberFormat="1" applyFont="1" applyFill="1" applyBorder="1" applyAlignment="1">
      <x:alignment vertical="center" wrapText="0"/>
    </x:xf>
    <x:xf numFmtId="0" fontId="3" fillId="28" borderId="0" xfId="0" applyNumberFormat="1" applyFont="1" applyFill="1" applyBorder="1" applyAlignment="1">
      <x:alignment vertical="center" wrapText="0"/>
    </x:xf>
    <x:xf numFmtId="201" fontId="3" fillId="29" xfId="0" applyNumberFormat="1" applyFont="1" applyFill="1" applyBorder="0" applyAlignment="1">
      <x:alignment horizontal="center" vertical="center" wrapText="0"/>
    </x:xf>
    <x:xf numFmtId="203" fontId="3" fillId="29" xfId="0" applyNumberFormat="1" applyFont="1" applyFill="1" applyBorder="0" applyAlignment="1">
      <x:alignment horizontal="center" vertical="center" wrapText="0"/>
    </x:xf>
    <x:xf numFmtId="205" fontId="3" fillId="20" xfId="0" applyNumberFormat="1" applyFont="1" applyFill="1" applyBorder="0" applyAlignment="1">
      <x:alignment vertical="center" wrapText="0"/>
    </x:xf>
    <x:xf numFmtId="205" fontId="3" fillId="29" xfId="0" applyNumberFormat="1" applyFont="1" applyFill="1" applyBorder="0" applyAlignment="1">
      <x:alignment vertical="center" wrapText="1"/>
    </x:xf>
    <x:xf numFmtId="204" fontId="3" fillId="29" xfId="0" applyNumberFormat="1" applyFont="1" applyFill="1" applyBorder="0" applyAlignment="1">
      <x:alignment vertical="center" wrapText="1"/>
    </x:xf>
    <x:xf numFmtId="205" fontId="3" fillId="29" xfId="0" applyNumberFormat="1" applyFont="1" applyFill="1" applyBorder="0" applyAlignment="1">
      <x:alignment vertical="center" wrapText="0"/>
    </x:xf>
    <x:xf numFmtId="201" fontId="3" fillId="29" xfId="0" applyNumberFormat="1" applyFont="1" applyFill="1" applyBorder="0" applyAlignment="1">
      <x:alignment vertical="center" wrapText="1"/>
    </x:xf>
    <x:xf numFmtId="203" fontId="3" fillId="29" xfId="0" applyNumberFormat="1" applyFont="1" applyFill="1" applyBorder="0" applyAlignment="1">
      <x:alignment vertical="center" wrapText="1"/>
    </x:xf>
    <x:xf numFmtId="0" fontId="3" fillId="3" borderId="0" xfId="0" applyNumberFormat="1" applyFont="1" applyFill="1" applyBorder="1" applyAlignment="1">
      <x:alignment vertical="center" wrapText="0"/>
    </x:xf>
    <x:xf numFmtId="0" fontId="10" fillId="30" borderId="0" xfId="0" applyNumberFormat="1" applyFont="1" applyFill="1" applyBorder="1" applyAlignment="1">
      <x:alignment horizontal="center" vertical="center" wrapText="0"/>
    </x:xf>
    <x:xf numFmtId="0" fontId="0" fillId="30" borderId="0" xfId="0" applyNumberFormat="1" applyFont="1" applyFill="1" applyBorder="1"/>
    <x:xf numFmtId="0" fontId="13" fillId="30" borderId="0" xfId="0" applyNumberFormat="1" applyFont="1" applyFill="1" applyBorder="1" applyAlignment="1">
      <x:alignment horizontal="center" vertical="center" wrapText="0"/>
    </x:xf>
    <x:xf numFmtId="0" fontId="13" fillId="30" borderId="0" xfId="0" applyNumberFormat="1" applyFont="1" applyFill="1" applyBorder="1"/>
    <x:xf numFmtId="0" fontId="13" fillId="30" borderId="0" xfId="0" applyNumberFormat="1" applyFont="1" applyFill="1" applyBorder="1" applyAlignment="1">
      <x:alignment wrapText="0"/>
    </x:xf>
    <x:xf numFmtId="0" fontId="13" fillId="30" borderId="0" xfId="0" applyNumberFormat="1" applyFont="1" applyFill="1" applyBorder="1" applyAlignment="1">
      <x:alignment horizontal="center" wrapText="0"/>
    </x:xf>
    <x:xf numFmtId="0" fontId="2" fillId="30" borderId="0" xfId="0" applyNumberFormat="1" applyFont="1" applyFill="1" applyBorder="1" applyAlignment="1">
      <x:alignment horizontal="center" vertical="center" wrapText="0"/>
    </x:xf>
    <x:xf numFmtId="0" fontId="2" fillId="30" borderId="0" xfId="0" applyNumberFormat="1" applyFont="1" applyFill="1" applyBorder="1"/>
    <x:xf numFmtId="0" fontId="2" fillId="30" borderId="0" xfId="0" applyNumberFormat="1" applyFont="1" applyFill="1" applyBorder="1" applyAlignment="1">
      <x:alignment wrapText="0"/>
    </x:xf>
    <x:xf numFmtId="0" fontId="2" fillId="30" borderId="0" xfId="0" applyNumberFormat="1" applyFont="1" applyFill="1" applyBorder="1" applyAlignment="1">
      <x:alignment horizontal="center" wrapText="0"/>
    </x:xf>
    <x:xf numFmtId="0" fontId="2" fillId="31" borderId="0" xfId="0" applyNumberFormat="1" applyFont="1" applyFill="1" applyBorder="1" applyAlignment="1">
      <x:alignment vertical="center" wrapText="0"/>
    </x:xf>
    <x:xf numFmtId="201" fontId="3" fillId="32" xfId="0" applyNumberFormat="1" applyFont="1" applyFill="1" applyBorder="0" applyAlignment="1">
      <x:alignment horizontal="center" vertical="center" wrapText="0"/>
    </x:xf>
    <x:xf numFmtId="203" fontId="3" fillId="32" xfId="0" applyNumberFormat="1" applyFont="1" applyFill="1" applyBorder="0" applyAlignment="1">
      <x:alignment horizontal="center" vertical="center" wrapText="0"/>
    </x:xf>
    <x:xf numFmtId="0" fontId="3" fillId="21" borderId="0" xfId="0" applyNumberFormat="1" applyFont="1" applyFill="1" applyBorder="1" applyAlignment="1">
      <x:alignment vertical="top" wrapText="1"/>
    </x:xf>
    <x:xf numFmtId="205" fontId="3" fillId="32" xfId="0" applyNumberFormat="1" applyFont="1" applyFill="1" applyBorder="0" applyAlignment="1">
      <x:alignment vertical="center" wrapText="1"/>
    </x:xf>
    <x:xf numFmtId="204" fontId="3" fillId="32" xfId="0" applyNumberFormat="1" applyFont="1" applyFill="1" applyBorder="0" applyAlignment="1">
      <x:alignment vertical="center" wrapText="1"/>
    </x:xf>
    <x:xf numFmtId="205" fontId="3" fillId="32" xfId="0" applyNumberFormat="1" applyFont="1" applyFill="1" applyBorder="0" applyAlignment="1">
      <x:alignment vertical="center" wrapText="0"/>
    </x:xf>
    <x:xf numFmtId="201" fontId="3" fillId="32" xfId="0" applyNumberFormat="1" applyFont="1" applyFill="1" applyBorder="0" applyAlignment="1">
      <x:alignment vertical="center" wrapText="1"/>
    </x:xf>
    <x:xf numFmtId="203" fontId="3" fillId="32" xfId="0" applyNumberFormat="1" applyFont="1" applyFill="1" applyBorder="0" applyAlignment="1">
      <x:alignment vertical="center" wrapText="1"/>
    </x:xf>
    <x:xf numFmtId="204" fontId="3" fillId="32" xfId="0" applyNumberFormat="1" applyFont="1" applyFill="1" applyBorder="0" applyAlignment="1">
      <x:alignment vertical="center" wrapText="0"/>
    </x:xf>
    <x:xf numFmtId="201" fontId="3" fillId="32" xfId="0" applyNumberFormat="1" applyFont="1" applyFill="1" applyBorder="0" applyAlignment="1">
      <x:alignment vertical="center" wrapText="0"/>
    </x:xf>
    <x:xf numFmtId="203" fontId="3" fillId="32" xfId="0" applyNumberFormat="1" applyFont="1" applyFill="1" applyBorder="0" applyAlignment="1">
      <x:alignment vertical="center" wrapText="0"/>
    </x:xf>
    <x:xf numFmtId="201" fontId="0" fillId="0" borderId="0" xfId="0" applyNumberFormat="1" applyFont="1" applyFill="1" applyBorder="1"/>
    <x:xf numFmtId="202" fontId="0" fillId="0" borderId="0" xfId="0" applyNumberFormat="1" applyFont="1" applyFill="1" applyBorder="1"/>
    <x:xf numFmtId="205" fontId="0" fillId="0" borderId="0" xfId="0" applyNumberFormat="1" applyFont="1" applyFill="1" applyBorder="1" applyAlignment="1">
      <x:alignment vertical="top"/>
    </x:xf>
    <x:xf numFmtId="205" fontId="0" fillId="0" borderId="0" xfId="0" applyNumberFormat="1" applyFont="1" applyFill="1" applyBorder="1"/>
    <x:xf numFmtId="203" fontId="0" fillId="0" borderId="0" xfId="0" applyNumberFormat="1" applyFont="1" applyFill="1" applyBorder="1"/>
    <x:xf numFmtId="0" fontId="2" fillId="33" borderId="0" xfId="0" applyNumberFormat="1" applyFont="1" applyFill="1" applyBorder="1" applyAlignment="1">
      <x:alignment horizontal="center" vertical="center" wrapText="1"/>
    </x:xf>
    <x:xf numFmtId="0" fontId="14" fillId="33" borderId="0" xfId="0" applyNumberFormat="1" applyFont="1" applyFill="1" applyBorder="1" applyAlignment="1">
      <x:alignment horizontal="center" vertical="center" wrapText="1"/>
    </x:xf>
    <x:xf numFmtId="0" fontId="10" fillId="18" borderId="0" xfId="0" applyNumberFormat="1" applyFont="1" applyFill="1" applyBorder="1" applyAlignment="1">
      <x:alignment horizontal="center" vertical="center" wrapText="0"/>
    </x:xf>
    <x:xf numFmtId="0" fontId="13" fillId="18" borderId="0" xfId="0" applyNumberFormat="1" applyFont="1" applyFill="1" applyBorder="1" applyAlignment="1">
      <x:alignment horizontal="center" vertical="center" wrapText="0"/>
    </x:xf>
    <x:xf numFmtId="0" fontId="13" fillId="18" borderId="0" xfId="0" applyNumberFormat="1" applyFont="1" applyFill="1" applyBorder="1"/>
    <x:xf numFmtId="0" fontId="13" fillId="18" borderId="0" xfId="0" applyNumberFormat="1" applyFont="1" applyFill="1" applyBorder="1" applyAlignment="1">
      <x:alignment wrapText="0"/>
    </x:xf>
    <x:xf numFmtId="0" fontId="13" fillId="18" borderId="0" xfId="0" applyNumberFormat="1" applyFont="1" applyFill="1" applyBorder="1" applyAlignment="1">
      <x:alignment horizontal="center" wrapText="0"/>
    </x:xf>
    <x:xf numFmtId="0" fontId="2" fillId="18" borderId="0" xfId="0" applyNumberFormat="1" applyFont="1" applyFill="1" applyBorder="1" applyAlignment="1">
      <x:alignment wrapText="0"/>
    </x:xf>
    <x:xf numFmtId="0" fontId="2" fillId="18" borderId="0" xfId="0" applyNumberFormat="1" applyFont="1" applyFill="1" applyBorder="1" applyAlignment="1">
      <x:alignment horizontal="center" wrapText="0"/>
    </x:xf>
    <x:xf numFmtId="204" fontId="3" fillId="20" xfId="0" applyNumberFormat="1" applyFont="1" applyFill="1" applyBorder="0" applyAlignment="1">
      <x:alignment vertical="center" wrapText="0"/>
    </x:xf>
    <x:xf numFmtId="201" fontId="3" fillId="20" xfId="0" applyNumberFormat="1" applyFont="1" applyFill="1" applyBorder="0" applyAlignment="1">
      <x:alignment vertical="center" wrapText="0"/>
    </x:xf>
    <x:xf numFmtId="203" fontId="3" fillId="20" xfId="0" applyNumberFormat="1" applyFont="1" applyFill="1" applyBorder="0" applyAlignment="1">
      <x:alignment vertical="center" wrapText="0"/>
    </x:xf>
    <x:xf numFmtId="205" fontId="3" fillId="34" xfId="0" applyNumberFormat="1" applyFont="1" applyFill="1" applyBorder="0" applyAlignment="1">
      <x:alignment vertical="center" wrapText="0"/>
    </x:xf>
    <x:xf numFmtId="204" fontId="3" fillId="34" xfId="0" applyNumberFormat="1" applyFont="1" applyFill="1" applyBorder="0" applyAlignment="1">
      <x:alignment vertical="center" wrapText="0"/>
    </x:xf>
    <x:xf numFmtId="201" fontId="3" fillId="34" xfId="0" applyNumberFormat="1" applyFont="1" applyFill="1" applyBorder="0" applyAlignment="1">
      <x:alignment vertical="center" wrapText="0"/>
    </x:xf>
    <x:xf numFmtId="203" fontId="3" fillId="34" xfId="0" applyNumberFormat="1" applyFont="1" applyFill="1" applyBorder="0" applyAlignment="1">
      <x:alignment vertical="center" wrapText="0"/>
    </x:xf>
    <x:xf numFmtId="0" fontId="2" fillId="35"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205" fontId="3" fillId="36" xfId="0" applyNumberFormat="1" applyFont="1" applyFill="1" applyBorder="0" applyAlignment="1">
      <x:alignment vertical="center" wrapText="0"/>
    </x:xf>
    <x:xf numFmtId="204" fontId="3" fillId="36" xfId="0" applyNumberFormat="1" applyFont="1" applyFill="1" applyBorder="0" applyAlignment="1">
      <x:alignment vertical="center" wrapText="0"/>
    </x:xf>
    <x:xf numFmtId="201" fontId="3" fillId="36" xfId="0" applyNumberFormat="1" applyFont="1" applyFill="1" applyBorder="0" applyAlignment="1">
      <x:alignment vertical="center" wrapText="0"/>
    </x:xf>
    <x:xf numFmtId="203" fontId="3" fillId="36" xfId="0" applyNumberFormat="1" applyFont="1" applyFill="1" applyBorder="0" applyAlignment="1">
      <x:alignment vertical="center" wrapText="0"/>
    </x:xf>
    <x:xf numFmtId="205" fontId="3" fillId="37" xfId="0" applyNumberFormat="1" applyFont="1" applyFill="1" applyBorder="0" applyAlignment="1">
      <x:alignment vertical="center" wrapText="0"/>
    </x:xf>
    <x:xf numFmtId="204" fontId="3" fillId="37" xfId="0" applyNumberFormat="1" applyFont="1" applyFill="1" applyBorder="0" applyAlignment="1">
      <x:alignment vertical="center" wrapText="0"/>
    </x:xf>
    <x:xf numFmtId="201" fontId="3" fillId="37" xfId="0" applyNumberFormat="1" applyFont="1" applyFill="1" applyBorder="0" applyAlignment="1">
      <x:alignment vertical="center" wrapText="0"/>
    </x:xf>
    <x:xf numFmtId="203" fontId="3" fillId="37" xfId="0" applyNumberFormat="1" applyFont="1" applyFill="1" applyBorder="0" applyAlignment="1">
      <x:alignment vertical="center" wrapText="0"/>
    </x:xf>
    <x:xf numFmtId="205" fontId="3" fillId="37" xfId="0" applyNumberFormat="1" applyFont="1" applyFill="1" applyBorder="0" applyAlignment="1">
      <x:alignment horizontal="general" vertical="center" wrapText="0"/>
    </x:xf>
    <x:xf numFmtId="204" fontId="3" fillId="37" xfId="0" applyNumberFormat="1" applyFont="1" applyFill="1" applyBorder="0" applyAlignment="1">
      <x:alignment horizontal="general" vertical="center" wrapText="0"/>
    </x:xf>
    <x:xf numFmtId="201" fontId="3" fillId="37" xfId="0" applyNumberFormat="1" applyFont="1" applyFill="1" applyBorder="0" applyAlignment="1">
      <x:alignment horizontal="general" vertical="center" wrapText="0"/>
    </x:xf>
    <x:xf numFmtId="203" fontId="3" fillId="37" xfId="0" applyNumberFormat="1" applyFont="1" applyFill="1" applyBorder="0" applyAlignment="1">
      <x:alignment horizontal="general" vertical="center" wrapText="0"/>
    </x:xf>
    <x:xf numFmtId="0" fontId="2" fillId="38" borderId="0" xfId="0" applyNumberFormat="1" applyFont="1" applyFill="1" applyBorder="1" applyAlignment="1">
      <x:alignment horizontal="center" vertical="center" wrapText="1"/>
    </x:xf>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wrapText="1"/>
    </x:xf>
    <x:xf numFmtId="0" fontId="2" fillId="38" borderId="0" xfId="0" applyNumberFormat="1" applyFont="1" applyFill="1" applyBorder="1" applyAlignment="1">
      <x:alignment horizontal="center" wrapText="1"/>
    </x:xf>
    <x:xf numFmtId="0" fontId="15" fillId="0" borderId="0" xfId="0" applyNumberFormat="1" applyFont="1" applyFill="1" applyBorder="1" applyAlignment="1">
      <x:alignment vertical="top" wrapText="1"/>
    </x:xf>
    <x:xf numFmtId="0" fontId="15" fillId="0" borderId="0" xfId="0" applyNumberFormat="1" applyFont="1" applyFill="1" applyBorder="1"/>
    <x:xf numFmtId="0" fontId="15" fillId="0" borderId="0" xfId="0" applyNumberFormat="1" applyFont="1" applyFill="1" applyBorder="1" applyAlignment="1">
      <x:alignment wrapText="1"/>
    </x:xf>
    <x:xf numFmtId="0" fontId="15" fillId="0" borderId="0" xfId="0" applyNumberFormat="1" applyFont="1" applyFill="1" applyBorder="1" applyAlignment="1">
      <x:alignment vertical="center" wrapText="1"/>
    </x:xf>
    <x:xf numFmtId="0" fontId="15" fillId="0" borderId="0" xfId="0" applyNumberFormat="1" applyFont="1" applyFill="1" applyBorder="1" applyAlignment="1">
      <x:alignment horizontal="center" vertical="center" wrapText="1"/>
    </x:xf>
    <x:xf numFmtId="0" fontId="2" fillId="38" borderId="0" xfId="0" applyNumberFormat="1" applyFont="1" applyFill="1" applyBorder="1" applyAlignment="1">
      <x:alignment horizontal="center"/>
    </x:xf>
    <x:xf numFmtId="0" fontId="0" fillId="39" borderId="0" xfId="0" applyNumberFormat="1" applyFont="1" applyFill="1" applyBorder="1"/>
    <x:xf numFmtId="0" fontId="9" fillId="39" borderId="0" xfId="0" applyNumberFormat="1" applyFont="1" applyFill="1" applyBorder="1"/>
    <x:xf numFmtId="0" fontId="0" fillId="40" borderId="0" xfId="0" applyNumberFormat="1" applyFont="1" applyFill="1" applyBorder="1"/>
    <x:xf numFmtId="0" fontId="2" fillId="40" borderId="0" xfId="0" applyNumberFormat="1" applyFont="1" applyFill="1" applyBorder="1"/>
    <x:xf numFmtId="203" fontId="2" fillId="40" borderId="0" xfId="0" applyNumberFormat="1" applyFont="1" applyFill="1" applyBorder="1"/>
    <x:xf numFmtId="203" fontId="2" fillId="40" borderId="0" xfId="0" applyNumberFormat="1" applyFont="1" applyFill="1" applyBorder="1" applyAlignment="1">
      <x:alignment horizontal="center"/>
    </x:xf>
    <x:xf numFmtId="0" fontId="2" fillId="18" borderId="0" xfId="0" applyNumberFormat="1" applyFont="1" applyFill="1" applyBorder="1" applyAlignment="1">
      <x:alignment wrapText="1"/>
    </x:xf>
    <x:xf numFmtId="0" fontId="2" fillId="18" borderId="0" xfId="0" applyNumberFormat="1" applyFont="1" applyFill="1" applyBorder="1" applyAlignment="1">
      <x:alignment horizontal="center" wrapText="1"/>
    </x:xf>
    <x:xf numFmtId="0" fontId="9" fillId="10" borderId="0" xfId="0" applyNumberFormat="1" applyFont="1" applyFill="1" applyBorder="1"/>
    <x:xf numFmtId="0" fontId="2" fillId="20" borderId="0" xfId="0" applyNumberFormat="1" applyFont="1" applyFill="1" applyBorder="1"/>
    <x:xf numFmtId="203" fontId="2" fillId="20" borderId="0" xfId="0" applyNumberFormat="1" applyFont="1" applyFill="1" applyBorder="1"/>
    <x:xf numFmtId="203" fontId="2" fillId="20" borderId="0" xfId="0" applyNumberFormat="1" applyFont="1" applyFill="1" applyBorder="1" applyAlignment="1">
      <x:alignment horizontal="center"/>
    </x:xf>
    <x:xf numFmtId="205" fontId="3" fillId="41" xfId="0" applyNumberFormat="1" applyFont="1" applyFill="1" applyBorder="0" applyAlignment="1">
      <x:alignment horizontal="general" vertical="center" wrapText="0"/>
    </x:xf>
    <x:xf numFmtId="204" fontId="3" fillId="41" xfId="0" applyNumberFormat="1" applyFont="1" applyFill="1" applyBorder="0" applyAlignment="1">
      <x:alignment horizontal="general" vertical="center" wrapText="0"/>
    </x:xf>
    <x:xf numFmtId="201" fontId="3" fillId="41" xfId="0" applyNumberFormat="1" applyFont="1" applyFill="1" applyBorder="0" applyAlignment="1">
      <x:alignment horizontal="general" vertical="center" wrapText="0"/>
    </x:xf>
    <x:xf numFmtId="203" fontId="3" fillId="41" xfId="0" applyNumberFormat="1" applyFont="1" applyFill="1" applyBorder="0" applyAlignment="1">
      <x:alignment horizontal="general" vertical="center" wrapText="0"/>
    </x:xf>
    <x:xf numFmtId="205" fontId="16" fillId="41" xfId="0" applyNumberFormat="1" applyFont="1" applyFill="1" applyBorder="0" applyAlignment="1">
      <x:alignment horizontal="general" vertical="center" wrapText="0"/>
    </x:xf>
    <x:xf numFmtId="204" fontId="16" fillId="41" xfId="0" applyNumberFormat="1" applyFont="1" applyFill="1" applyBorder="0" applyAlignment="1">
      <x:alignment horizontal="general" vertical="center" wrapText="0"/>
    </x:xf>
    <x:xf numFmtId="201" fontId="16" fillId="41" xfId="0" applyNumberFormat="1" applyFont="1" applyFill="1" applyBorder="0" applyAlignment="1">
      <x:alignment horizontal="general" vertical="center" wrapText="0"/>
    </x:xf>
    <x:xf numFmtId="203" fontId="16" fillId="41" xfId="0" applyNumberFormat="1" applyFont="1" applyFill="1" applyBorder="0" applyAlignment="1">
      <x:alignment horizontal="general" vertical="center" wrapText="0"/>
    </x:xf>
    <x:xf numFmtId="205" fontId="16" fillId="41" borderId="2" xfId="0" applyNumberFormat="1" applyFont="1" applyFill="1" applyBorder="1" applyAlignment="1">
      <x:alignment horizontal="general" vertical="center" wrapText="0"/>
    </x:xf>
    <x:xf numFmtId="204" fontId="16" fillId="41" borderId="3" xfId="0" applyNumberFormat="1" applyFont="1" applyFill="1" applyBorder="1" applyAlignment="1">
      <x:alignment horizontal="general" vertical="center" wrapText="0"/>
    </x:xf>
    <x:xf numFmtId="205" fontId="16" fillId="41" borderId="3" xfId="0" applyNumberFormat="1" applyFont="1" applyFill="1" applyBorder="1" applyAlignment="1">
      <x:alignment horizontal="general" vertical="center" wrapText="0"/>
    </x:xf>
    <x:xf numFmtId="201" fontId="16" fillId="41" borderId="3" xfId="0" applyNumberFormat="1" applyFont="1" applyFill="1" applyBorder="1" applyAlignment="1">
      <x:alignment horizontal="general" vertical="center" wrapText="0"/>
    </x:xf>
    <x:xf numFmtId="203" fontId="16" fillId="41" borderId="3" xfId="0" applyNumberFormat="1" applyFont="1" applyFill="1" applyBorder="1" applyAlignment="1">
      <x:alignment horizontal="general" vertical="center" wrapText="0"/>
    </x:xf>
    <x:xf numFmtId="205" fontId="16" fillId="41" borderId="4" xfId="0" applyNumberFormat="1" applyFont="1" applyFill="1" applyBorder="1" applyAlignment="1">
      <x:alignment horizontal="general" vertical="center" wrapText="0"/>
    </x:xf>
    <x:xf numFmtId="205" fontId="16" fillId="41" borderId="5" xfId="0" applyNumberFormat="1" applyFont="1" applyFill="1" applyBorder="1" applyAlignment="1">
      <x:alignment horizontal="general" vertical="center" wrapText="0"/>
    </x:xf>
    <x:xf numFmtId="205" fontId="16" fillId="41" borderId="6" xfId="0" applyNumberFormat="1" applyFont="1" applyFill="1" applyBorder="1" applyAlignment="1">
      <x:alignment horizontal="general" vertical="center" wrapText="0"/>
    </x:xf>
    <x:xf numFmtId="205" fontId="16" fillId="41" borderId="7" xfId="0" applyNumberFormat="1" applyFont="1" applyFill="1" applyBorder="1" applyAlignment="1">
      <x:alignment horizontal="general" vertical="center" wrapText="0"/>
    </x:xf>
    <x:xf numFmtId="204" fontId="16" fillId="41" borderId="8" xfId="0" applyNumberFormat="1" applyFont="1" applyFill="1" applyBorder="1" applyAlignment="1">
      <x:alignment horizontal="general" vertical="center" wrapText="0"/>
    </x:xf>
    <x:xf numFmtId="205" fontId="16" fillId="41" borderId="8" xfId="0" applyNumberFormat="1" applyFont="1" applyFill="1" applyBorder="1" applyAlignment="1">
      <x:alignment horizontal="general" vertical="center" wrapText="0"/>
    </x:xf>
    <x:xf numFmtId="201" fontId="16" fillId="41" borderId="8" xfId="0" applyNumberFormat="1" applyFont="1" applyFill="1" applyBorder="1" applyAlignment="1">
      <x:alignment horizontal="general" vertical="center" wrapText="0"/>
    </x:xf>
    <x:xf numFmtId="203" fontId="16" fillId="41" borderId="8" xfId="0" applyNumberFormat="1" applyFont="1" applyFill="1" applyBorder="1" applyAlignment="1">
      <x:alignment horizontal="general" vertical="center" wrapText="0"/>
    </x:xf>
    <x:xf numFmtId="205" fontId="16" fillId="41" borderId="9" xfId="0" applyNumberFormat="1" applyFont="1" applyFill="1" applyBorder="1" applyAlignment="1">
      <x:alignment horizontal="general" vertical="center" wrapText="0"/>
    </x:xf>
    <x:xf numFmtId="205" fontId="16" fillId="41" borderId="2" xfId="0" applyNumberFormat="1" applyFont="1" applyFill="1" applyBorder="1" applyAlignment="1">
      <x:alignment horizontal="general" vertical="center" wrapText="1"/>
    </x:xf>
    <x:xf numFmtId="204" fontId="16" fillId="41" borderId="3" xfId="0" applyNumberFormat="1" applyFont="1" applyFill="1" applyBorder="1" applyAlignment="1">
      <x:alignment horizontal="general" vertical="center" wrapText="1"/>
    </x:xf>
    <x:xf numFmtId="205" fontId="16" fillId="41" borderId="3" xfId="0" applyNumberFormat="1" applyFont="1" applyFill="1" applyBorder="1" applyAlignment="1">
      <x:alignment horizontal="general" vertical="center" wrapText="1"/>
    </x:xf>
    <x:xf numFmtId="201" fontId="16" fillId="41" borderId="3" xfId="0" applyNumberFormat="1" applyFont="1" applyFill="1" applyBorder="1" applyAlignment="1">
      <x:alignment horizontal="general" vertical="center" wrapText="1"/>
    </x:xf>
    <x:xf numFmtId="203" fontId="16" fillId="41" borderId="3" xfId="0" applyNumberFormat="1" applyFont="1" applyFill="1" applyBorder="1" applyAlignment="1">
      <x:alignment horizontal="general" vertical="center" wrapText="1"/>
    </x:xf>
    <x:xf numFmtId="205" fontId="16" fillId="41" borderId="4" xfId="0" applyNumberFormat="1" applyFont="1" applyFill="1" applyBorder="1" applyAlignment="1">
      <x:alignment horizontal="general" vertical="center" wrapText="1"/>
    </x:xf>
    <x:xf numFmtId="205" fontId="16" fillId="41" borderId="5" xfId="0" applyNumberFormat="1" applyFont="1" applyFill="1" applyBorder="1" applyAlignment="1">
      <x:alignment horizontal="general" vertical="center" wrapText="1"/>
    </x:xf>
    <x:xf numFmtId="204" fontId="16" fillId="41" xfId="0" applyNumberFormat="1" applyFont="1" applyFill="1" applyBorder="0" applyAlignment="1">
      <x:alignment horizontal="general" vertical="center" wrapText="1"/>
    </x:xf>
    <x:xf numFmtId="205" fontId="16" fillId="41" xfId="0" applyNumberFormat="1" applyFont="1" applyFill="1" applyBorder="0" applyAlignment="1">
      <x:alignment horizontal="general" vertical="center" wrapText="1"/>
    </x:xf>
    <x:xf numFmtId="201" fontId="16" fillId="41" xfId="0" applyNumberFormat="1" applyFont="1" applyFill="1" applyBorder="0" applyAlignment="1">
      <x:alignment horizontal="general" vertical="center" wrapText="1"/>
    </x:xf>
    <x:xf numFmtId="203" fontId="16" fillId="41" xfId="0" applyNumberFormat="1" applyFont="1" applyFill="1" applyBorder="0" applyAlignment="1">
      <x:alignment horizontal="general" vertical="center" wrapText="1"/>
    </x:xf>
    <x:xf numFmtId="205" fontId="16" fillId="41" borderId="6" xfId="0" applyNumberFormat="1" applyFont="1" applyFill="1" applyBorder="1" applyAlignment="1">
      <x:alignment horizontal="general" vertical="center" wrapText="1"/>
    </x:xf>
    <x:xf numFmtId="205" fontId="16" fillId="41" borderId="7" xfId="0" applyNumberFormat="1" applyFont="1" applyFill="1" applyBorder="1" applyAlignment="1">
      <x:alignment horizontal="general" vertical="center" wrapText="1"/>
    </x:xf>
    <x:xf numFmtId="204" fontId="16" fillId="41" borderId="8" xfId="0" applyNumberFormat="1" applyFont="1" applyFill="1" applyBorder="1" applyAlignment="1">
      <x:alignment horizontal="general" vertical="center" wrapText="1"/>
    </x:xf>
    <x:xf numFmtId="205" fontId="16" fillId="41" borderId="8" xfId="0" applyNumberFormat="1" applyFont="1" applyFill="1" applyBorder="1" applyAlignment="1">
      <x:alignment horizontal="general" vertical="center" wrapText="1"/>
    </x:xf>
    <x:xf numFmtId="201" fontId="16" fillId="41" borderId="8" xfId="0" applyNumberFormat="1" applyFont="1" applyFill="1" applyBorder="1" applyAlignment="1">
      <x:alignment horizontal="general" vertical="center" wrapText="1"/>
    </x:xf>
    <x:xf numFmtId="203" fontId="16" fillId="41" borderId="8" xfId="0" applyNumberFormat="1" applyFont="1" applyFill="1" applyBorder="1" applyAlignment="1">
      <x:alignment horizontal="general" vertical="center" wrapText="1"/>
    </x:xf>
    <x:xf numFmtId="205" fontId="16" fillId="41" borderId="9" xfId="0" applyNumberFormat="1" applyFont="1" applyFill="1" applyBorder="1" applyAlignment="1">
      <x:alignment horizontal="general" vertical="center" wrapText="1"/>
    </x:xf>
    <x:xf numFmtId="205" fontId="16" fillId="41" borderId="2" xfId="0" applyNumberFormat="1" applyFont="1" applyFill="1" applyBorder="1" applyAlignment="1">
      <x:alignment horizontal="left" vertical="center" wrapText="1"/>
    </x:xf>
    <x:xf numFmtId="204" fontId="16" fillId="41" borderId="3" xfId="0" applyNumberFormat="1" applyFont="1" applyFill="1" applyBorder="1" applyAlignment="1">
      <x:alignment horizontal="left" vertical="center" wrapText="1"/>
    </x:xf>
    <x:xf numFmtId="205" fontId="16" fillId="41" borderId="3" xfId="0" applyNumberFormat="1" applyFont="1" applyFill="1" applyBorder="1" applyAlignment="1">
      <x:alignment horizontal="left" vertical="center" wrapText="1"/>
    </x:xf>
    <x:xf numFmtId="201" fontId="16" fillId="41" borderId="3" xfId="0" applyNumberFormat="1" applyFont="1" applyFill="1" applyBorder="1" applyAlignment="1">
      <x:alignment horizontal="left" vertical="center" wrapText="1"/>
    </x:xf>
    <x:xf numFmtId="203" fontId="16" fillId="41" borderId="3" xfId="0" applyNumberFormat="1" applyFont="1" applyFill="1" applyBorder="1" applyAlignment="1">
      <x:alignment horizontal="left" vertical="center" wrapText="1"/>
    </x:xf>
    <x:xf numFmtId="205" fontId="16" fillId="41" borderId="4" xfId="0" applyNumberFormat="1" applyFont="1" applyFill="1" applyBorder="1" applyAlignment="1">
      <x:alignment horizontal="left" vertical="center" wrapText="1"/>
    </x:xf>
    <x:xf numFmtId="205" fontId="16" fillId="41" borderId="5" xfId="0" applyNumberFormat="1" applyFont="1" applyFill="1" applyBorder="1" applyAlignment="1">
      <x:alignment horizontal="left" vertical="center" wrapText="1"/>
    </x:xf>
    <x:xf numFmtId="204" fontId="16" fillId="41" xfId="0" applyNumberFormat="1" applyFont="1" applyFill="1" applyBorder="0" applyAlignment="1">
      <x:alignment horizontal="left" vertical="center" wrapText="1"/>
    </x:xf>
    <x:xf numFmtId="205" fontId="16" fillId="41" xfId="0" applyNumberFormat="1" applyFont="1" applyFill="1" applyBorder="0" applyAlignment="1">
      <x:alignment horizontal="left" vertical="center" wrapText="1"/>
    </x:xf>
    <x:xf numFmtId="201" fontId="16" fillId="41" xfId="0" applyNumberFormat="1" applyFont="1" applyFill="1" applyBorder="0" applyAlignment="1">
      <x:alignment horizontal="left" vertical="center" wrapText="1"/>
    </x:xf>
    <x:xf numFmtId="203" fontId="16" fillId="41" xfId="0" applyNumberFormat="1" applyFont="1" applyFill="1" applyBorder="0" applyAlignment="1">
      <x:alignment horizontal="left" vertical="center" wrapText="1"/>
    </x:xf>
    <x:xf numFmtId="205" fontId="16" fillId="41" borderId="6" xfId="0" applyNumberFormat="1" applyFont="1" applyFill="1" applyBorder="1" applyAlignment="1">
      <x:alignment horizontal="left" vertical="center" wrapText="1"/>
    </x:xf>
    <x:xf numFmtId="205" fontId="16" fillId="41" borderId="7" xfId="0" applyNumberFormat="1" applyFont="1" applyFill="1" applyBorder="1" applyAlignment="1">
      <x:alignment horizontal="left" vertical="center" wrapText="1"/>
    </x:xf>
    <x:xf numFmtId="204" fontId="16" fillId="41" borderId="8" xfId="0" applyNumberFormat="1" applyFont="1" applyFill="1" applyBorder="1" applyAlignment="1">
      <x:alignment horizontal="left" vertical="center" wrapText="1"/>
    </x:xf>
    <x:xf numFmtId="205" fontId="16" fillId="41" borderId="8" xfId="0" applyNumberFormat="1" applyFont="1" applyFill="1" applyBorder="1" applyAlignment="1">
      <x:alignment horizontal="left" vertical="center" wrapText="1"/>
    </x:xf>
    <x:xf numFmtId="201" fontId="16" fillId="41" borderId="8" xfId="0" applyNumberFormat="1" applyFont="1" applyFill="1" applyBorder="1" applyAlignment="1">
      <x:alignment horizontal="left" vertical="center" wrapText="1"/>
    </x:xf>
    <x:xf numFmtId="203" fontId="16" fillId="41" borderId="8" xfId="0" applyNumberFormat="1" applyFont="1" applyFill="1" applyBorder="1" applyAlignment="1">
      <x:alignment horizontal="left" vertical="center" wrapText="1"/>
    </x:xf>
    <x:xf numFmtId="205" fontId="16" fillId="41" borderId="9" xfId="0" applyNumberFormat="1" applyFont="1" applyFill="1" applyBorder="1" applyAlignment="1">
      <x:alignment horizontal="left" vertical="center" wrapText="1"/>
    </x:xf>
    <x:xf numFmtId="206" fontId="16" fillId="41" borderId="3" xfId="0" applyNumberFormat="1" applyFont="1" applyFill="1" applyBorder="1" applyAlignment="1">
      <x:alignment horizontal="left" vertical="center" wrapText="1"/>
    </x:xf>
    <x:xf numFmtId="206" fontId="16" fillId="41" xfId="0" applyNumberFormat="1" applyFont="1" applyFill="1" applyBorder="0" applyAlignment="1">
      <x:alignment horizontal="left" vertical="center" wrapText="1"/>
    </x:xf>
    <x:xf numFmtId="206" fontId="16" fillId="41" borderId="8" xfId="0" applyNumberFormat="1" applyFont="1" applyFill="1" applyBorder="1" applyAlignment="1">
      <x:alignment horizontal="left" vertical="center" wrapText="1"/>
    </x:xf>
    <x:xf numFmtId="206" fontId="16" fillId="41" borderId="3" xfId="0" applyNumberFormat="1" applyFont="1" applyFill="1" applyBorder="1" applyAlignment="1">
      <x:alignment horizontal="center" vertical="center" wrapText="1"/>
    </x:xf>
    <x:xf numFmtId="205" fontId="16" fillId="41" borderId="3" xfId="0" applyNumberFormat="1" applyFont="1" applyFill="1" applyBorder="1" applyAlignment="1">
      <x:alignment horizontal="center" vertical="center" wrapText="1"/>
    </x:xf>
    <x:xf numFmtId="201" fontId="16" fillId="41" borderId="3" xfId="0" applyNumberFormat="1" applyFont="1" applyFill="1" applyBorder="1" applyAlignment="1">
      <x:alignment horizontal="center" vertical="center" wrapText="1"/>
    </x:xf>
    <x:xf numFmtId="203" fontId="16" fillId="41" borderId="3" xfId="0" applyNumberFormat="1" applyFont="1" applyFill="1" applyBorder="1" applyAlignment="1">
      <x:alignment horizontal="center" vertical="center" wrapText="1"/>
    </x:xf>
    <x:xf numFmtId="206" fontId="16" fillId="41" xfId="0" applyNumberFormat="1" applyFont="1" applyFill="1" applyBorder="0" applyAlignment="1">
      <x:alignment horizontal="center" vertical="center" wrapText="1"/>
    </x:xf>
    <x:xf numFmtId="205" fontId="16" fillId="41" xfId="0" applyNumberFormat="1" applyFont="1" applyFill="1" applyBorder="0" applyAlignment="1">
      <x:alignment horizontal="center" vertical="center" wrapText="1"/>
    </x:xf>
    <x:xf numFmtId="201" fontId="16" fillId="41" xfId="0" applyNumberFormat="1" applyFont="1" applyFill="1" applyBorder="0" applyAlignment="1">
      <x:alignment horizontal="center" vertical="center" wrapText="1"/>
    </x:xf>
    <x:xf numFmtId="203" fontId="16" fillId="41" xfId="0" applyNumberFormat="1" applyFont="1" applyFill="1" applyBorder="0" applyAlignment="1">
      <x:alignment horizontal="center" vertical="center" wrapText="1"/>
    </x:xf>
    <x:xf numFmtId="206" fontId="16" fillId="41" borderId="8" xfId="0" applyNumberFormat="1" applyFont="1" applyFill="1" applyBorder="1" applyAlignment="1">
      <x:alignment horizontal="center" vertical="center" wrapText="1"/>
    </x:xf>
    <x:xf numFmtId="205" fontId="16" fillId="41" borderId="8" xfId="0" applyNumberFormat="1" applyFont="1" applyFill="1" applyBorder="1" applyAlignment="1">
      <x:alignment horizontal="center" vertical="center" wrapText="1"/>
    </x:xf>
    <x:xf numFmtId="201" fontId="16" fillId="41" borderId="8" xfId="0" applyNumberFormat="1" applyFont="1" applyFill="1" applyBorder="1" applyAlignment="1">
      <x:alignment horizontal="center" vertical="center" wrapText="1"/>
    </x:xf>
    <x:xf numFmtId="203" fontId="16" fillId="41" borderId="8" xfId="0" applyNumberFormat="1" applyFont="1" applyFill="1" applyBorder="1" applyAlignment="1">
      <x:alignment horizontal="center" vertical="center" wrapText="1"/>
    </x:xf>
    <x:xf numFmtId="205" fontId="3" fillId="20" xfId="0" applyNumberFormat="1" applyFont="1" applyFill="1" applyBorder="0" applyAlignment="1">
      <x:alignment horizontal="general" vertical="center" wrapText="0"/>
    </x:xf>
    <x:xf numFmtId="204" fontId="3" fillId="20" xfId="0" applyNumberFormat="1" applyFont="1" applyFill="1" applyBorder="0" applyAlignment="1">
      <x:alignment horizontal="general" vertical="center" wrapText="0"/>
    </x:xf>
    <x:xf numFmtId="201" fontId="3" fillId="20" xfId="0" applyNumberFormat="1" applyFont="1" applyFill="1" applyBorder="0" applyAlignment="1">
      <x:alignment horizontal="general" vertical="center" wrapText="0"/>
    </x:xf>
    <x:xf numFmtId="203" fontId="3" fillId="20" xfId="0" applyNumberFormat="1" applyFont="1" applyFill="1" applyBorder="0" applyAlignment="1">
      <x:alignment horizontal="general" vertical="center" wrapText="0"/>
    </x:xf>
    <x:xf numFmtId="205" fontId="16" fillId="20" xfId="0" applyNumberFormat="1" applyFont="1" applyFill="1" applyBorder="0" applyAlignment="1">
      <x:alignment horizontal="general" vertical="center" wrapText="0"/>
    </x:xf>
    <x:xf numFmtId="204" fontId="16" fillId="20" xfId="0" applyNumberFormat="1" applyFont="1" applyFill="1" applyBorder="0" applyAlignment="1">
      <x:alignment horizontal="general" vertical="center" wrapText="0"/>
    </x:xf>
    <x:xf numFmtId="201" fontId="16" fillId="20" xfId="0" applyNumberFormat="1" applyFont="1" applyFill="1" applyBorder="0" applyAlignment="1">
      <x:alignment horizontal="general" vertical="center" wrapText="0"/>
    </x:xf>
    <x:xf numFmtId="203" fontId="16" fillId="20" xfId="0" applyNumberFormat="1" applyFont="1" applyFill="1" applyBorder="0" applyAlignment="1">
      <x:alignment horizontal="general" vertical="center" wrapText="0"/>
    </x:xf>
    <x:xf numFmtId="205" fontId="16" fillId="20" borderId="0" xfId="0" applyNumberFormat="1" applyFont="1" applyFill="1" applyBorder="1" applyAlignment="1">
      <x:alignment horizontal="general" vertical="center" wrapText="0"/>
    </x:xf>
    <x:xf numFmtId="204" fontId="16" fillId="20" borderId="0" xfId="0" applyNumberFormat="1" applyFont="1" applyFill="1" applyBorder="1" applyAlignment="1">
      <x:alignment horizontal="general" vertical="center" wrapText="0"/>
    </x:xf>
    <x:xf numFmtId="201" fontId="16" fillId="20" borderId="0" xfId="0" applyNumberFormat="1" applyFont="1" applyFill="1" applyBorder="1" applyAlignment="1">
      <x:alignment horizontal="general" vertical="center" wrapText="0"/>
    </x:xf>
    <x:xf numFmtId="203" fontId="16" fillId="20" borderId="0" xfId="0" applyNumberFormat="1" applyFont="1" applyFill="1" applyBorder="1" applyAlignment="1">
      <x:alignment horizontal="general" vertical="center" wrapText="0"/>
    </x:xf>
    <x:xf numFmtId="205" fontId="16" fillId="20" borderId="0" xfId="0" applyNumberFormat="1" applyFont="1" applyFill="1" applyBorder="1" applyAlignment="1">
      <x:alignment horizontal="general" vertical="center" wrapText="1"/>
    </x:xf>
    <x:xf numFmtId="204" fontId="16" fillId="20" borderId="0" xfId="0" applyNumberFormat="1" applyFont="1" applyFill="1" applyBorder="1" applyAlignment="1">
      <x:alignment horizontal="general" vertical="center" wrapText="1"/>
    </x:xf>
    <x:xf numFmtId="201" fontId="16" fillId="20" borderId="0" xfId="0" applyNumberFormat="1" applyFont="1" applyFill="1" applyBorder="1" applyAlignment="1">
      <x:alignment horizontal="general" vertical="center" wrapText="1"/>
    </x:xf>
    <x:xf numFmtId="203" fontId="16" fillId="20" borderId="0" xfId="0" applyNumberFormat="1" applyFont="1" applyFill="1" applyBorder="1" applyAlignment="1">
      <x:alignment horizontal="general" vertical="center" wrapText="1"/>
    </x:xf>
    <x:xf numFmtId="204" fontId="16" fillId="20" xfId="0" applyNumberFormat="1" applyFont="1" applyFill="1" applyBorder="0" applyAlignment="1">
      <x:alignment horizontal="general" vertical="center" wrapText="1"/>
    </x:xf>
    <x:xf numFmtId="205" fontId="16" fillId="20" xfId="0" applyNumberFormat="1" applyFont="1" applyFill="1" applyBorder="0" applyAlignment="1">
      <x:alignment horizontal="general" vertical="center" wrapText="1"/>
    </x:xf>
    <x:xf numFmtId="201" fontId="16" fillId="20" xfId="0" applyNumberFormat="1" applyFont="1" applyFill="1" applyBorder="0" applyAlignment="1">
      <x:alignment horizontal="general" vertical="center" wrapText="1"/>
    </x:xf>
    <x:xf numFmtId="203" fontId="16" fillId="20" xfId="0" applyNumberFormat="1" applyFont="1" applyFill="1" applyBorder="0" applyAlignment="1">
      <x:alignment horizontal="general" vertical="center" wrapText="1"/>
    </x:xf>
    <x:xf numFmtId="205" fontId="16" fillId="20" borderId="0" xfId="0" applyNumberFormat="1" applyFont="1" applyFill="1" applyBorder="1" applyAlignment="1">
      <x:alignment horizontal="left" vertical="center" wrapText="1"/>
    </x:xf>
    <x:xf numFmtId="204" fontId="16" fillId="20" borderId="0" xfId="0" applyNumberFormat="1" applyFont="1" applyFill="1" applyBorder="1" applyAlignment="1">
      <x:alignment horizontal="left" vertical="center" wrapText="1"/>
    </x:xf>
    <x:xf numFmtId="201" fontId="16" fillId="20" borderId="0" xfId="0" applyNumberFormat="1" applyFont="1" applyFill="1" applyBorder="1" applyAlignment="1">
      <x:alignment horizontal="left" vertical="center" wrapText="1"/>
    </x:xf>
    <x:xf numFmtId="203" fontId="16" fillId="20" borderId="0" xfId="0" applyNumberFormat="1" applyFont="1" applyFill="1" applyBorder="1" applyAlignment="1">
      <x:alignment horizontal="left" vertical="center" wrapText="1"/>
    </x:xf>
    <x:xf numFmtId="204" fontId="16" fillId="20" xfId="0" applyNumberFormat="1" applyFont="1" applyFill="1" applyBorder="0" applyAlignment="1">
      <x:alignment horizontal="left" vertical="center" wrapText="1"/>
    </x:xf>
    <x:xf numFmtId="205" fontId="16" fillId="20" xfId="0" applyNumberFormat="1" applyFont="1" applyFill="1" applyBorder="0" applyAlignment="1">
      <x:alignment horizontal="left" vertical="center" wrapText="1"/>
    </x:xf>
    <x:xf numFmtId="201" fontId="16" fillId="20" xfId="0" applyNumberFormat="1" applyFont="1" applyFill="1" applyBorder="0" applyAlignment="1">
      <x:alignment horizontal="left" vertical="center" wrapText="1"/>
    </x:xf>
    <x:xf numFmtId="203" fontId="16" fillId="20" xfId="0" applyNumberFormat="1" applyFont="1" applyFill="1" applyBorder="0" applyAlignment="1">
      <x:alignment horizontal="left" vertical="center" wrapText="1"/>
    </x:xf>
    <x:xf numFmtId="206" fontId="16" fillId="20" borderId="0" xfId="0" applyNumberFormat="1" applyFont="1" applyFill="1" applyBorder="1" applyAlignment="1">
      <x:alignment horizontal="left" vertical="center" wrapText="1"/>
    </x:xf>
    <x:xf numFmtId="206" fontId="16" fillId="20" xfId="0" applyNumberFormat="1" applyFont="1" applyFill="1" applyBorder="0" applyAlignment="1">
      <x:alignment horizontal="left" vertical="center" wrapText="1"/>
    </x:xf>
    <x:xf numFmtId="206" fontId="16" fillId="20" borderId="0" xfId="0" applyNumberFormat="1" applyFont="1" applyFill="1" applyBorder="1" applyAlignment="1">
      <x:alignment horizontal="center" vertical="center" wrapText="1"/>
    </x:xf>
    <x:xf numFmtId="205" fontId="16" fillId="20" borderId="0" xfId="0" applyNumberFormat="1" applyFont="1" applyFill="1" applyBorder="1" applyAlignment="1">
      <x:alignment horizontal="center" vertical="center" wrapText="1"/>
    </x:xf>
    <x:xf numFmtId="201" fontId="16" fillId="20" borderId="0" xfId="0" applyNumberFormat="1" applyFont="1" applyFill="1" applyBorder="1" applyAlignment="1">
      <x:alignment horizontal="center" vertical="center" wrapText="1"/>
    </x:xf>
    <x:xf numFmtId="203" fontId="16" fillId="20" borderId="0" xfId="0" applyNumberFormat="1" applyFont="1" applyFill="1" applyBorder="1" applyAlignment="1">
      <x:alignment horizontal="center" vertical="center" wrapText="1"/>
    </x:xf>
    <x:xf numFmtId="206" fontId="16" fillId="20" xfId="0" applyNumberFormat="1" applyFont="1" applyFill="1" applyBorder="0" applyAlignment="1">
      <x:alignment horizontal="center" vertical="center" wrapText="1"/>
    </x:xf>
    <x:xf numFmtId="205" fontId="16" fillId="20" xfId="0" applyNumberFormat="1" applyFont="1" applyFill="1" applyBorder="0" applyAlignment="1">
      <x:alignment horizontal="center" vertical="center" wrapText="1"/>
    </x:xf>
    <x:xf numFmtId="201" fontId="16" fillId="20" xfId="0" applyNumberFormat="1" applyFont="1" applyFill="1" applyBorder="0" applyAlignment="1">
      <x:alignment horizontal="center" vertical="center" wrapText="1"/>
    </x:xf>
    <x:xf numFmtId="203" fontId="16" fillId="20" xfId="0" applyNumberFormat="1" applyFont="1" applyFill="1" applyBorder="0" applyAlignment="1">
      <x:alignment horizontal="center" vertical="center" wrapText="1"/>
    </x:xf>
    <x:xf numFmtId="205" fontId="16" fillId="42" borderId="2" xfId="0" applyNumberFormat="1" applyFont="1" applyFill="1" applyBorder="1" applyAlignment="1">
      <x:alignment horizontal="left" vertical="center" wrapText="1"/>
    </x:xf>
    <x:xf numFmtId="206" fontId="16" fillId="42" borderId="3" xfId="0" applyNumberFormat="1" applyFont="1" applyFill="1" applyBorder="1" applyAlignment="1">
      <x:alignment horizontal="center" vertical="center" wrapText="1"/>
    </x:xf>
    <x:xf numFmtId="205" fontId="16" fillId="42" borderId="3" xfId="0" applyNumberFormat="1" applyFont="1" applyFill="1" applyBorder="1" applyAlignment="1">
      <x:alignment horizontal="center" vertical="center" wrapText="1"/>
    </x:xf>
    <x:xf numFmtId="201" fontId="16" fillId="42" borderId="3" xfId="0" applyNumberFormat="1" applyFont="1" applyFill="1" applyBorder="1" applyAlignment="1">
      <x:alignment horizontal="center" vertical="center" wrapText="1"/>
    </x:xf>
    <x:xf numFmtId="203" fontId="16" fillId="42" borderId="3" xfId="0" applyNumberFormat="1" applyFont="1" applyFill="1" applyBorder="1" applyAlignment="1">
      <x:alignment horizontal="center" vertical="center" wrapText="1"/>
    </x:xf>
    <x:xf numFmtId="205" fontId="16" fillId="42" borderId="4" xfId="0" applyNumberFormat="1" applyFont="1" applyFill="1" applyBorder="1" applyAlignment="1">
      <x:alignment horizontal="left" vertical="center" wrapText="1"/>
    </x:xf>
    <x:xf numFmtId="205" fontId="16" fillId="42" borderId="5" xfId="0" applyNumberFormat="1" applyFont="1" applyFill="1" applyBorder="1" applyAlignment="1">
      <x:alignment horizontal="left" vertical="center" wrapText="1"/>
    </x:xf>
    <x:xf numFmtId="206" fontId="16" fillId="42" xfId="0" applyNumberFormat="1" applyFont="1" applyFill="1" applyBorder="0" applyAlignment="1">
      <x:alignment horizontal="center" vertical="center" wrapText="1"/>
    </x:xf>
    <x:xf numFmtId="205" fontId="16" fillId="42" xfId="0" applyNumberFormat="1" applyFont="1" applyFill="1" applyBorder="0" applyAlignment="1">
      <x:alignment horizontal="center" vertical="center" wrapText="1"/>
    </x:xf>
    <x:xf numFmtId="201" fontId="16" fillId="42" xfId="0" applyNumberFormat="1" applyFont="1" applyFill="1" applyBorder="0" applyAlignment="1">
      <x:alignment horizontal="center" vertical="center" wrapText="1"/>
    </x:xf>
    <x:xf numFmtId="203" fontId="16" fillId="42" xfId="0" applyNumberFormat="1" applyFont="1" applyFill="1" applyBorder="0" applyAlignment="1">
      <x:alignment horizontal="center" vertical="center" wrapText="1"/>
    </x:xf>
    <x:xf numFmtId="205" fontId="16" fillId="42" borderId="6" xfId="0" applyNumberFormat="1" applyFont="1" applyFill="1" applyBorder="1" applyAlignment="1">
      <x:alignment horizontal="left" vertical="center" wrapText="1"/>
    </x:xf>
    <x:xf numFmtId="205" fontId="16" fillId="42" borderId="7" xfId="0" applyNumberFormat="1" applyFont="1" applyFill="1" applyBorder="1" applyAlignment="1">
      <x:alignment horizontal="left" vertical="center" wrapText="1"/>
    </x:xf>
    <x:xf numFmtId="206" fontId="16" fillId="42" borderId="8" xfId="0" applyNumberFormat="1" applyFont="1" applyFill="1" applyBorder="1" applyAlignment="1">
      <x:alignment horizontal="center" vertical="center" wrapText="1"/>
    </x:xf>
    <x:xf numFmtId="205" fontId="16" fillId="42" borderId="8" xfId="0" applyNumberFormat="1" applyFont="1" applyFill="1" applyBorder="1" applyAlignment="1">
      <x:alignment horizontal="center" vertical="center" wrapText="1"/>
    </x:xf>
    <x:xf numFmtId="201" fontId="16" fillId="42" borderId="8" xfId="0" applyNumberFormat="1" applyFont="1" applyFill="1" applyBorder="1" applyAlignment="1">
      <x:alignment horizontal="center" vertical="center" wrapText="1"/>
    </x:xf>
    <x:xf numFmtId="203" fontId="16" fillId="42" borderId="8" xfId="0" applyNumberFormat="1" applyFont="1" applyFill="1" applyBorder="1" applyAlignment="1">
      <x:alignment horizontal="center" vertical="center" wrapText="1"/>
    </x:xf>
    <x:xf numFmtId="205" fontId="16" fillId="42" borderId="9" xfId="0" applyNumberFormat="1" applyFont="1" applyFill="1" applyBorder="1" applyAlignment="1">
      <x:alignment horizontal="left" vertical="center" wrapText="1"/>
    </x:xf>
    <x:xf numFmtId="0" fontId="11"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5" fontId="16" fillId="43" borderId="0" xfId="0" applyNumberFormat="1" applyFont="1" applyFill="1" applyBorder="1" applyAlignment="1">
      <x:alignment horizontal="left" vertical="center" wrapText="1"/>
    </x:xf>
    <x:xf numFmtId="206" fontId="16" fillId="43" borderId="0" xfId="0" applyNumberFormat="1" applyFont="1" applyFill="1" applyBorder="1" applyAlignment="1">
      <x:alignment horizontal="center" vertical="center" wrapText="1"/>
    </x:xf>
    <x:xf numFmtId="205" fontId="16" fillId="43" borderId="0" xfId="0" applyNumberFormat="1" applyFont="1" applyFill="1" applyBorder="1" applyAlignment="1">
      <x:alignment horizontal="center" vertical="center" wrapText="1"/>
    </x:xf>
    <x:xf numFmtId="201" fontId="16" fillId="43" borderId="0" xfId="0" applyNumberFormat="1" applyFont="1" applyFill="1" applyBorder="1" applyAlignment="1">
      <x:alignment horizontal="center" vertical="center" wrapText="1"/>
    </x:xf>
    <x:xf numFmtId="203" fontId="16" fillId="43" borderId="0" xfId="0" applyNumberFormat="1" applyFont="1" applyFill="1" applyBorder="1" applyAlignment="1">
      <x:alignment horizontal="center" vertical="center" wrapText="1"/>
    </x:xf>
    <x:xf numFmtId="206" fontId="16" fillId="43" xfId="0" applyNumberFormat="1" applyFont="1" applyFill="1" applyBorder="0" applyAlignment="1">
      <x:alignment horizontal="center" vertical="center" wrapText="1"/>
    </x:xf>
    <x:xf numFmtId="205" fontId="16" fillId="43" xfId="0" applyNumberFormat="1" applyFont="1" applyFill="1" applyBorder="0" applyAlignment="1">
      <x:alignment horizontal="center" vertical="center" wrapText="1"/>
    </x:xf>
    <x:xf numFmtId="201" fontId="16" fillId="43" xfId="0" applyNumberFormat="1" applyFont="1" applyFill="1" applyBorder="0" applyAlignment="1">
      <x:alignment horizontal="center" vertical="center" wrapText="1"/>
    </x:xf>
    <x:xf numFmtId="203" fontId="16" fillId="43" xfId="0" applyNumberFormat="1" applyFont="1" applyFill="1" applyBorder="0" applyAlignment="1">
      <x:alignment horizontal="center" vertical="center" wrapText="1"/>
    </x:xf>
    <x:xf numFmtId="0" fontId="13" fillId="18" borderId="0" xfId="0" applyNumberFormat="1" applyFont="1" applyFill="1" applyBorder="1" applyAlignment="1">
      <x:alignment horizontal="center" vertical="center" wrapText="1"/>
    </x:xf>
    <x:xf numFmtId="0" fontId="4"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4" fillId="8"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201" fontId="3" fillId="20" xfId="0" applyNumberFormat="1" applyFont="1" applyFill="1" applyBorder="0" applyAlignment="1">
      <x:alignment horizontal="center" vertical="center" wrapText="1"/>
    </x:xf>
    <x:xf numFmtId="203" fontId="3" fillId="20" xfId="0" applyNumberFormat="1" applyFont="1" applyFill="1" applyBorder="0" applyAlignment="1">
      <x:alignment horizontal="center" vertical="center" wrapText="1"/>
    </x:xf>
    <x:xf numFmtId="0" fontId="13" fillId="18"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center" wrapText="1"/>
    </x:xf>
    <x:xf numFmtId="0" fontId="2" fillId="3" borderId="0" xfId="0" applyNumberFormat="1" applyFont="1" applyFill="1" applyBorder="1" applyAlignment="1">
      <x:alignment horizontal="left" vertical="center" wrapText="1"/>
    </x:xf>
    <x:xf numFmtId="0" fontId="4" fillId="5" borderId="0" xfId="0" applyNumberFormat="1" applyFont="1" applyFill="1" applyBorder="1" applyAlignment="1">
      <x:alignment horizontal="left" vertical="center" wrapText="1"/>
    </x:xf>
    <x:xf numFmtId="0" fontId="4" fillId="6" borderId="0" xfId="0" applyNumberFormat="1" applyFont="1" applyFill="1" applyBorder="1" applyAlignment="1">
      <x:alignment horizontal="left" vertical="center" wrapText="1"/>
    </x:xf>
    <x:xf numFmtId="0" fontId="4" fillId="7" borderId="0" xfId="0" applyNumberFormat="1" applyFont="1" applyFill="1" applyBorder="1" applyAlignment="1">
      <x:alignment horizontal="left" vertical="center" wrapText="1"/>
    </x:xf>
    <x:xf numFmtId="0" fontId="4" fillId="8" borderId="0" xfId="0" applyNumberFormat="1" applyFont="1" applyFill="1" applyBorder="1" applyAlignment="1">
      <x:alignment horizontal="left" vertical="center" wrapText="1"/>
    </x:xf>
    <x:xf numFmtId="0" fontId="4" fillId="9" borderId="0" xfId="0" applyNumberFormat="1" applyFont="1" applyFill="1" applyBorder="1" applyAlignment="1">
      <x:alignment horizontal="left" vertical="center" wrapText="1"/>
    </x:xf>
    <x:xf numFmtId="0" fontId="2" fillId="18" borderId="0" xfId="0" applyNumberFormat="1" applyFont="1" applyFill="1" applyBorder="1" applyAlignment="1">
      <x:alignment horizontal="left" vertical="center" wrapText="1"/>
    </x:xf>
    <x:xf numFmtId="0" fontId="11" fillId="0"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5"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center" wrapText="1"/>
    </x:xf>
    <x:xf numFmtId="0" fontId="5" fillId="7" borderId="0" xfId="0" applyNumberFormat="1" applyFont="1" applyFill="1" applyBorder="1" applyAlignment="1">
      <x:alignment horizontal="left" vertical="center" wrapText="1"/>
    </x:xf>
    <x:xf numFmtId="0" fontId="5" fillId="8" borderId="0" xfId="0" applyNumberFormat="1" applyFont="1" applyFill="1" applyBorder="1" applyAlignment="1">
      <x:alignment horizontal="left" vertical="center" wrapText="1"/>
    </x:xf>
    <x:xf numFmtId="0" fontId="5" fillId="9" borderId="0" xfId="0" applyNumberFormat="1" applyFont="1" applyFill="1" applyBorder="1" applyAlignment="1">
      <x:alignment horizontal="left" vertical="center" wrapText="1"/>
    </x:xf>
    <x:xf numFmtId="201" fontId="3" fillId="20" xfId="0" applyNumberFormat="1" applyFont="1" applyFill="1" applyBorder="0" applyAlignment="1">
      <x:alignment horizontal="left" vertical="center" wrapText="1"/>
    </x:xf>
    <x:xf numFmtId="203" fontId="3" fillId="20" xfId="0" applyNumberFormat="1" applyFont="1" applyFill="1" applyBorder="0" applyAlignment="1">
      <x:alignment horizontal="left" vertical="center" wrapText="1"/>
    </x:xf>
    <x:xf numFmtId="0" fontId="3" fillId="21" borderId="0" xfId="0" applyNumberFormat="1" applyFont="1" applyFill="1" applyBorder="1" applyAlignment="1">
      <x:alignment horizontal="left" vertical="center" wrapText="1"/>
    </x:xf>
    <x:xf numFmtId="0" fontId="13" fillId="44" borderId="0" xfId="0" applyNumberFormat="1" applyFont="1" applyFill="1" applyBorder="1" applyAlignment="1">
      <x:alignment horizontal="left" vertical="center" wrapText="1"/>
    </x:xf>
    <x:xf numFmtId="0" fontId="13" fillId="44" borderId="0" xfId="0" applyNumberFormat="1" applyFont="1" applyFill="1" applyBorder="1" applyAlignment="1">
      <x:alignment horizontal="center" vertical="center" wrapText="1"/>
    </x:xf>
    <x:xf numFmtId="0" fontId="17" fillId="44" borderId="0" xfId="0" applyNumberFormat="1" applyFont="1" applyFill="1" applyBorder="1" applyAlignment="1">
      <x:alignment horizontal="left" vertical="center" wrapText="1"/>
    </x:xf>
    <x:xf numFmtId="0" fontId="17" fillId="44" borderId="0" xfId="0" applyNumberFormat="1" applyFont="1" applyFill="1" applyBorder="1" applyAlignment="1">
      <x:alignment horizontal="center" vertical="center" wrapText="1"/>
    </x:xf>
    <x:xf numFmtId="0" fontId="0" fillId="45" borderId="0" xfId="0" applyNumberFormat="1" applyFont="1" applyFill="1" applyBorder="1" applyAlignment="1">
      <x:alignment horizontal="left" vertical="center" wrapText="1"/>
    </x:xf>
    <x:xf numFmtId="0" fontId="0" fillId="45" borderId="0" xfId="0" applyNumberFormat="1" applyFont="1" applyFill="1" applyBorder="1" applyAlignment="1">
      <x:alignment vertical="center" wrapText="1"/>
    </x:xf>
    <x:xf numFmtId="0" fontId="18" fillId="45" borderId="0" xfId="0" applyNumberFormat="1" applyFont="1" applyFill="1" applyBorder="1" applyAlignment="1">
      <x:alignment horizontal="left" vertical="center" wrapText="1"/>
    </x:xf>
    <x:xf numFmtId="0" fontId="18" fillId="45" borderId="0" xfId="0" applyNumberFormat="1" applyFont="1" applyFill="1" applyBorder="1" applyAlignment="1">
      <x:alignment vertical="center" wrapText="1"/>
    </x:xf>
    <x:xf numFmtId="0" fontId="18" fillId="45" borderId="0" xfId="0" applyNumberFormat="1" applyFont="1" applyFill="1" applyBorder="1" applyAlignment="1">
      <x:alignment horizontal="center" vertical="center" wrapText="1"/>
    </x:xf>
    <x:xf numFmtId="0" fontId="2" fillId="46" borderId="0" xfId="0" applyNumberFormat="1" applyFont="1" applyFill="1" applyBorder="1" applyAlignment="1">
      <x:alignment horizontal="left" vertical="center" wrapText="1"/>
    </x:xf>
    <x:xf numFmtId="0" fontId="14" fillId="46" borderId="0" xfId="0" applyNumberFormat="1" applyFont="1" applyFill="1" applyBorder="1" applyAlignment="1">
      <x:alignment horizontal="left" vertical="center" wrapText="1"/>
    </x:xf>
    <x:xf numFmtId="0" fontId="0" fillId="46" borderId="0" xfId="0" applyNumberFormat="1" applyFont="1" applyFill="1" applyBorder="1" applyAlignment="1">
      <x:alignment horizontal="left" vertical="center" wrapText="1"/>
    </x:xf>
    <x:xf numFmtId="0" fontId="11" fillId="46" borderId="0" xfId="0" applyNumberFormat="1" applyFont="1" applyFill="1" applyBorder="1" applyAlignment="1">
      <x:alignment horizontal="left" vertical="center" wrapText="1"/>
    </x:xf>
    <x:xf numFmtId="0" fontId="3" fillId="47" borderId="0" xfId="0" applyNumberFormat="1" applyFont="1" applyFill="1" applyBorder="1" applyAlignment="1">
      <x:alignment horizontal="left" vertical="center" wrapText="1"/>
    </x:xf>
    <x:xf numFmtId="0" fontId="16" fillId="47" borderId="0" xfId="0" applyNumberFormat="1" applyFont="1" applyFill="1" applyBorder="1" applyAlignment="1">
      <x:alignment horizontal="left" vertical="center" wrapText="1"/>
    </x:xf>
    <x:xf numFmtId="0" fontId="0" fillId="47" borderId="0" xfId="0" applyNumberFormat="1" applyFont="1" applyFill="1" applyBorder="1" applyAlignment="1">
      <x:alignment horizontal="left" vertical="center" wrapText="1"/>
    </x:xf>
    <x:xf numFmtId="0" fontId="2" fillId="48" borderId="0" xfId="0" applyNumberFormat="1" applyFont="1" applyFill="1" applyBorder="1" applyAlignment="1">
      <x:alignment horizontal="left" vertical="center" wrapText="1"/>
    </x:xf>
    <x:xf numFmtId="0" fontId="19" fillId="48" borderId="0" xfId="0" applyNumberFormat="1" applyFont="1" applyFill="1" applyBorder="1" applyAlignment="1">
      <x:alignment horizontal="left" vertical="center" wrapText="1"/>
    </x:xf>
    <x:xf numFmtId="0" fontId="19" fillId="48" borderId="0" xfId="0" applyNumberFormat="1" applyFont="1" applyFill="1" applyBorder="1" applyAlignment="1">
      <x:alignment horizontal="center" vertical="center" wrapText="1"/>
    </x:xf>
    <x:xf numFmtId="201" fontId="3" fillId="49" xfId="0" applyNumberFormat="1" applyFont="1" applyFill="1" applyBorder="0" applyAlignment="1">
      <x:alignment horizontal="left" vertical="center" wrapText="1"/>
    </x:xf>
    <x:xf numFmtId="203" fontId="3" fillId="49" xfId="0" applyNumberFormat="1" applyFont="1" applyFill="1" applyBorder="0" applyAlignment="1">
      <x:alignment horizontal="left" vertical="center" wrapText="1"/>
    </x:xf>
    <x:xf numFmtId="201" fontId="14" fillId="49" xfId="0" applyNumberFormat="1" applyFont="1" applyFill="1" applyBorder="0" applyAlignment="1">
      <x:alignment horizontal="left" vertical="center" wrapText="1"/>
    </x:xf>
    <x:xf numFmtId="203" fontId="14" fillId="49" xfId="0" applyNumberFormat="1" applyFont="1" applyFill="1" applyBorder="0" applyAlignment="1">
      <x:alignment horizontal="left" vertical="center" wrapText="1"/>
    </x:xf>
    <x:xf numFmtId="201" fontId="14" fillId="49" xfId="0" applyNumberFormat="1" applyFont="1" applyFill="1" applyBorder="0" applyAlignment="1">
      <x:alignment horizontal="center" vertical="center" wrapText="1"/>
    </x:xf>
    <x:xf numFmtId="203" fontId="14" fillId="49" xfId="0" applyNumberFormat="1" applyFont="1" applyFill="1" applyBorder="0" applyAlignment="1">
      <x:alignment horizontal="center" vertical="center" wrapText="1"/>
    </x:xf>
    <x:xf numFmtId="0" fontId="4" fillId="50" borderId="0" xfId="0" applyNumberFormat="1" applyFont="1" applyFill="1" applyBorder="1" applyAlignment="1">
      <x:alignment horizontal="left" vertical="center" wrapText="1"/>
    </x:xf>
    <x:xf numFmtId="0" fontId="5" fillId="50" borderId="0" xfId="0" applyNumberFormat="1" applyFont="1" applyFill="1" applyBorder="1" applyAlignment="1">
      <x:alignment horizontal="left" vertical="center" wrapText="1"/>
    </x:xf>
    <x:xf numFmtId="0" fontId="14" fillId="50" borderId="0" xfId="0" applyNumberFormat="1" applyFont="1" applyFill="1" applyBorder="1" applyAlignment="1">
      <x:alignment horizontal="left" vertical="center" wrapText="1"/>
    </x:xf>
    <x:xf numFmtId="0" fontId="4" fillId="51" borderId="0" xfId="0" applyNumberFormat="1" applyFont="1" applyFill="1" applyBorder="1" applyAlignment="1">
      <x:alignment horizontal="left" vertical="center" wrapText="1"/>
    </x:xf>
    <x:xf numFmtId="0" fontId="5" fillId="51" borderId="0" xfId="0" applyNumberFormat="1" applyFont="1" applyFill="1" applyBorder="1" applyAlignment="1">
      <x:alignment horizontal="left" vertical="center" wrapText="1"/>
    </x:xf>
    <x:xf numFmtId="0" fontId="14" fillId="51" borderId="0" xfId="0" applyNumberFormat="1" applyFont="1" applyFill="1" applyBorder="1" applyAlignment="1">
      <x:alignment horizontal="left" vertical="center" wrapText="1"/>
    </x:xf>
    <x:xf numFmtId="0" fontId="4" fillId="52" borderId="0" xfId="0" applyNumberFormat="1" applyFont="1" applyFill="1" applyBorder="1" applyAlignment="1">
      <x:alignment horizontal="left" vertical="center" wrapText="1"/>
    </x:xf>
    <x:xf numFmtId="0" fontId="5" fillId="52" borderId="0" xfId="0" applyNumberFormat="1" applyFont="1" applyFill="1" applyBorder="1" applyAlignment="1">
      <x:alignment horizontal="left" vertical="center" wrapText="1"/>
    </x:xf>
    <x:xf numFmtId="0" fontId="14" fillId="52" borderId="0" xfId="0" applyNumberFormat="1" applyFont="1" applyFill="1" applyBorder="1" applyAlignment="1">
      <x:alignment horizontal="left" vertical="center" wrapText="1"/>
    </x:xf>
    <x:xf numFmtId="0" fontId="4" fillId="53" borderId="0" xfId="0" applyNumberFormat="1" applyFont="1" applyFill="1" applyBorder="1" applyAlignment="1">
      <x:alignment horizontal="left" vertical="center" wrapText="1"/>
    </x:xf>
    <x:xf numFmtId="0" fontId="5" fillId="53" borderId="0" xfId="0" applyNumberFormat="1" applyFont="1" applyFill="1" applyBorder="1" applyAlignment="1">
      <x:alignment horizontal="left" vertical="center" wrapText="1"/>
    </x:xf>
    <x:xf numFmtId="0" fontId="14" fillId="53" borderId="0" xfId="0" applyNumberFormat="1" applyFont="1" applyFill="1" applyBorder="1" applyAlignment="1">
      <x:alignment horizontal="left" vertical="center" wrapText="1"/>
    </x:xf>
    <x:xf numFmtId="0" fontId="4" fillId="54" borderId="0" xfId="0" applyNumberFormat="1" applyFont="1" applyFill="1" applyBorder="1" applyAlignment="1">
      <x:alignment horizontal="left" vertical="center" wrapText="1"/>
    </x:xf>
    <x:xf numFmtId="0" fontId="5" fillId="54" borderId="0" xfId="0" applyNumberFormat="1" applyFont="1" applyFill="1" applyBorder="1" applyAlignment="1">
      <x:alignment horizontal="left" vertical="center" wrapText="1"/>
    </x:xf>
    <x:xf numFmtId="0" fontId="14" fillId="54" borderId="0" xfId="0" applyNumberFormat="1" applyFont="1" applyFill="1" applyBorder="1" applyAlignment="1">
      <x:alignment horizontal="left" vertical="center" wrapText="1"/>
    </x:xf>
    <x:xf numFmtId="0" fontId="14" fillId="46" borderId="10" xfId="0" applyNumberFormat="1" applyFont="1" applyFill="1" applyBorder="1" applyAlignment="1">
      <x:alignment horizontal="left" vertical="center" wrapText="1"/>
    </x:xf>
    <x:xf numFmtId="0" fontId="16" fillId="47" borderId="11" xfId="0" applyNumberFormat="1" applyFont="1" applyFill="1" applyBorder="1" applyAlignment="1">
      <x:alignment horizontal="left" vertical="center" wrapText="1"/>
    </x:xf>
    <x:xf numFmtId="0" fontId="14" fillId="46" borderId="12" xfId="0" applyNumberFormat="1" applyFont="1" applyFill="1" applyBorder="1" applyAlignment="1">
      <x:alignment horizontal="left" vertical="center" wrapText="1"/>
    </x:xf>
    <x:xf numFmtId="0" fontId="16" fillId="47" borderId="13" xfId="0" applyNumberFormat="1" applyFont="1" applyFill="1" applyBorder="1" applyAlignment="1">
      <x:alignment horizontal="left" vertical="center" wrapText="1"/>
    </x:xf>
    <x:xf numFmtId="0" fontId="14" fillId="50" borderId="12" xfId="0" applyNumberFormat="1" applyFont="1" applyFill="1" applyBorder="1" applyAlignment="1">
      <x:alignment horizontal="left" vertical="center" wrapText="1"/>
    </x:xf>
    <x:xf numFmtId="0" fontId="14" fillId="50" borderId="13" xfId="0" applyNumberFormat="1" applyFont="1" applyFill="1" applyBorder="1" applyAlignment="1">
      <x:alignment horizontal="left" vertical="center" wrapText="1"/>
    </x:xf>
    <x:xf numFmtId="0" fontId="14" fillId="51" borderId="12" xfId="0" applyNumberFormat="1" applyFont="1" applyFill="1" applyBorder="1" applyAlignment="1">
      <x:alignment horizontal="left" vertical="center" wrapText="1"/>
    </x:xf>
    <x:xf numFmtId="0" fontId="14" fillId="51" borderId="13" xfId="0" applyNumberFormat="1" applyFont="1" applyFill="1" applyBorder="1" applyAlignment="1">
      <x:alignment horizontal="left" vertical="center" wrapText="1"/>
    </x:xf>
    <x:xf numFmtId="0" fontId="14" fillId="52" borderId="12" xfId="0" applyNumberFormat="1" applyFont="1" applyFill="1" applyBorder="1" applyAlignment="1">
      <x:alignment horizontal="left" vertical="center" wrapText="1"/>
    </x:xf>
    <x:xf numFmtId="0" fontId="14" fillId="52" borderId="13" xfId="0" applyNumberFormat="1" applyFont="1" applyFill="1" applyBorder="1" applyAlignment="1">
      <x:alignment horizontal="left" vertical="center" wrapText="1"/>
    </x:xf>
    <x:xf numFmtId="0" fontId="14" fillId="53" borderId="12" xfId="0" applyNumberFormat="1" applyFont="1" applyFill="1" applyBorder="1" applyAlignment="1">
      <x:alignment horizontal="left" vertical="center" wrapText="1"/>
    </x:xf>
    <x:xf numFmtId="0" fontId="14" fillId="53" borderId="13" xfId="0" applyNumberFormat="1" applyFont="1" applyFill="1" applyBorder="1" applyAlignment="1">
      <x:alignment horizontal="left" vertical="center" wrapText="1"/>
    </x:xf>
    <x:xf numFmtId="0" fontId="14" fillId="54" borderId="12" xfId="0" applyNumberFormat="1" applyFont="1" applyFill="1" applyBorder="1" applyAlignment="1">
      <x:alignment horizontal="left" vertical="center" wrapText="1"/>
    </x:xf>
    <x:xf numFmtId="0" fontId="14" fillId="54" borderId="13" xfId="0" applyNumberFormat="1" applyFont="1" applyFill="1" applyBorder="1" applyAlignment="1">
      <x:alignment horizontal="left" vertical="center" wrapText="1"/>
    </x:xf>
    <x:xf numFmtId="0" fontId="14" fillId="46" borderId="14" xfId="0" applyNumberFormat="1" applyFont="1" applyFill="1" applyBorder="1" applyAlignment="1">
      <x:alignment horizontal="left" vertical="center" wrapText="1"/>
    </x:xf>
    <x:xf numFmtId="0" fontId="16" fillId="47" borderId="15" xfId="0" applyNumberFormat="1" applyFont="1" applyFill="1" applyBorder="1" applyAlignment="1">
      <x:alignment horizontal="left" vertical="center" wrapText="1"/>
    </x:xf>
    <x:xf numFmtId="201" fontId="14" fillId="49" borderId="11" xfId="0" applyNumberFormat="1" applyFont="1" applyFill="1" applyBorder="1" applyAlignment="1">
      <x:alignment horizontal="center" vertical="center" wrapText="1"/>
    </x:xf>
    <x:xf numFmtId="201" fontId="14" fillId="49" borderId="13" xfId="0" applyNumberFormat="1" applyFont="1" applyFill="1" applyBorder="1" applyAlignment="1">
      <x:alignment horizontal="center" vertical="center" wrapText="1"/>
    </x:xf>
    <x:xf numFmtId="203" fontId="14" fillId="49" borderId="13" xfId="0" applyNumberFormat="1" applyFont="1" applyFill="1" applyBorder="1" applyAlignment="1">
      <x:alignment horizontal="center" vertical="center" wrapText="1"/>
    </x:xf>
    <x:xf numFmtId="0" fontId="14" fillId="46" borderId="16" xfId="0" applyNumberFormat="1" applyFont="1" applyFill="1" applyBorder="1" applyAlignment="1">
      <x:alignment horizontal="left" vertical="center" wrapText="1"/>
    </x:xf>
    <x:xf numFmtId="0" fontId="16" fillId="47" borderId="17" xfId="0" applyNumberFormat="1" applyFont="1" applyFill="1" applyBorder="1" applyAlignment="1">
      <x:alignment horizontal="left" vertical="center" wrapText="1"/>
    </x:xf>
    <x:xf numFmtId="0" fontId="14" fillId="46" borderId="18" xfId="0" applyNumberFormat="1" applyFont="1" applyFill="1" applyBorder="1" applyAlignment="1">
      <x:alignment horizontal="left" vertical="center" wrapText="1"/>
    </x:xf>
    <x:xf numFmtId="0" fontId="16" fillId="47" borderId="19" xfId="0" applyNumberFormat="1" applyFont="1" applyFill="1" applyBorder="1" applyAlignment="1">
      <x:alignment horizontal="left" vertical="center" wrapText="1"/>
    </x:xf>
    <x:xf numFmtId="0" fontId="14" fillId="46" borderId="20" xfId="0" applyNumberFormat="1" applyFont="1" applyFill="1" applyBorder="1" applyAlignment="1">
      <x:alignment horizontal="left" vertical="center" wrapText="1"/>
    </x:xf>
    <x:xf numFmtId="0" fontId="16" fillId="47" borderId="21" xfId="0" applyNumberFormat="1" applyFont="1" applyFill="1" applyBorder="1" applyAlignment="1">
      <x:alignment horizontal="left" vertical="center" wrapText="1"/>
    </x:xf>
    <x:xf numFmtId="0" fontId="13" fillId="2" borderId="0" xfId="0" applyNumberFormat="1" applyFont="1" applyFill="1" applyBorder="1" applyAlignment="1">
      <x:alignment horizontal="left" vertical="center" wrapText="1"/>
    </x:xf>
    <x:xf numFmtId="0" fontId="13" fillId="2" borderId="0" xfId="0" applyNumberFormat="1" applyFont="1" applyFill="1" applyBorder="1" applyAlignment="1">
      <x:alignment horizontal="center" vertical="center" wrapText="1"/>
    </x:xf>
    <x:xf numFmtId="0" fontId="17" fillId="2" borderId="0" xfId="0" applyNumberFormat="1" applyFont="1" applyFill="1" applyBorder="1" applyAlignment="1">
      <x:alignment horizontal="left" vertical="center" wrapText="1"/>
    </x:xf>
    <x:xf numFmtId="0" fontId="17" fillId="2" borderId="0" xfId="0" applyNumberFormat="1" applyFont="1" applyFill="1" applyBorder="1" applyAlignment="1">
      <x:alignment horizontal="center" vertical="center" wrapText="1"/>
    </x:xf>
    <x:xf numFmtId="0" fontId="0" fillId="10" borderId="0" xfId="0" applyNumberFormat="1" applyFont="1" applyFill="1" applyBorder="1" applyAlignment="1">
      <x:alignment horizontal="left" vertical="center" wrapText="1"/>
    </x:xf>
    <x:xf numFmtId="0" fontId="0" fillId="10" borderId="0" xfId="0" applyNumberFormat="1" applyFont="1" applyFill="1" applyBorder="1" applyAlignment="1">
      <x:alignment vertical="center" wrapText="1"/>
    </x:xf>
    <x:xf numFmtId="0" fontId="18" fillId="10" borderId="0" xfId="0" applyNumberFormat="1" applyFont="1" applyFill="1" applyBorder="1" applyAlignment="1">
      <x:alignment horizontal="left" vertical="center" wrapText="1"/>
    </x:xf>
    <x:xf numFmtId="0" fontId="18" fillId="10" borderId="0" xfId="0" applyNumberFormat="1" applyFont="1" applyFill="1" applyBorder="1" applyAlignment="1">
      <x:alignment vertical="center" wrapText="1"/>
    </x:xf>
    <x:xf numFmtId="0" fontId="18" fillId="10" borderId="0" xfId="0" applyNumberFormat="1" applyFont="1" applyFill="1" applyBorder="1" applyAlignment="1">
      <x:alignment horizontal="center" vertical="center" wrapText="1"/>
    </x:xf>
    <x:xf numFmtId="0" fontId="19" fillId="18" borderId="0" xfId="0" applyNumberFormat="1" applyFont="1" applyFill="1" applyBorder="1" applyAlignment="1">
      <x:alignment horizontal="left" vertical="center" wrapText="1"/>
    </x:xf>
    <x:xf numFmtId="0" fontId="19" fillId="18" borderId="0" xfId="0" applyNumberFormat="1" applyFont="1" applyFill="1" applyBorder="1" applyAlignment="1">
      <x:alignment horizontal="center" vertical="center" wrapText="1"/>
    </x:xf>
    <x:xf numFmtId="201" fontId="14" fillId="20" xfId="0" applyNumberFormat="1" applyFont="1" applyFill="1" applyBorder="0" applyAlignment="1">
      <x:alignment horizontal="left" vertical="center" wrapText="1"/>
    </x:xf>
    <x:xf numFmtId="203" fontId="14" fillId="20" xfId="0" applyNumberFormat="1" applyFont="1" applyFill="1" applyBorder="0" applyAlignment="1">
      <x:alignment horizontal="left" vertical="center" wrapText="1"/>
    </x:xf>
    <x:xf numFmtId="201" fontId="14" fillId="20" xfId="0" applyNumberFormat="1" applyFont="1" applyFill="1" applyBorder="0" applyAlignment="1">
      <x:alignment horizontal="center" vertical="center" wrapText="1"/>
    </x:xf>
    <x:xf numFmtId="203" fontId="14" fillId="20" xfId="0" applyNumberFormat="1" applyFont="1" applyFill="1" applyBorder="0" applyAlignment="1">
      <x:alignment horizontal="center" vertical="center" wrapText="1"/>
    </x:xf>
    <x:xf numFmtId="0" fontId="14" fillId="5" borderId="0" xfId="0" applyNumberFormat="1" applyFont="1" applyFill="1" applyBorder="1" applyAlignment="1">
      <x:alignment horizontal="left" vertical="center" wrapText="1"/>
    </x:xf>
    <x:xf numFmtId="0" fontId="14" fillId="6" borderId="0" xfId="0" applyNumberFormat="1" applyFont="1" applyFill="1" applyBorder="1" applyAlignment="1">
      <x:alignment horizontal="left" vertical="center" wrapText="1"/>
    </x:xf>
    <x:xf numFmtId="0" fontId="14" fillId="7" borderId="0" xfId="0" applyNumberFormat="1" applyFont="1" applyFill="1" applyBorder="1" applyAlignment="1">
      <x:alignment horizontal="left" vertical="center" wrapText="1"/>
    </x:xf>
    <x:xf numFmtId="0" fontId="14" fillId="9" borderId="0" xfId="0" applyNumberFormat="1" applyFont="1" applyFill="1" applyBorder="1" applyAlignment="1">
      <x:alignment horizontal="left" vertical="center" wrapText="1"/>
    </x:xf>
    <x:xf numFmtId="201" fontId="14" fillId="20" borderId="0" xfId="0" applyNumberFormat="1" applyFont="1" applyFill="1" applyBorder="1" applyAlignment="1">
      <x:alignment horizontal="center" vertical="center" wrapText="1"/>
    </x:xf>
    <x:xf numFmtId="203" fontId="14" fillId="20" borderId="0" xfId="0" applyNumberFormat="1" applyFont="1" applyFill="1" applyBorder="1" applyAlignment="1">
      <x:alignment horizontal="center" vertical="center" wrapText="1"/>
    </x:xf>
    <x:xf numFmtId="0" fontId="11" fillId="55" borderId="0" xfId="0" applyNumberFormat="1" applyFont="1" applyFill="1" applyBorder="1" applyAlignment="1">
      <x:alignment vertical="center" wrapText="0"/>
    </x:xf>
    <x:xf numFmtId="0" fontId="0" fillId="55" borderId="0" xfId="0" applyNumberFormat="1" applyFont="1" applyFill="1" applyBorder="1"/>
    <x:xf numFmtId="0" fontId="14" fillId="55" borderId="0" xfId="0" applyNumberFormat="1" applyFont="1" applyFill="1" applyBorder="1" applyAlignment="1">
      <x:alignment vertical="center" wrapText="0"/>
    </x:xf>
    <x:xf numFmtId="0" fontId="14" fillId="55" borderId="0" xfId="0" applyNumberFormat="1" applyFont="1" applyFill="1" applyBorder="1"/>
    <x:xf numFmtId="0" fontId="14" fillId="55" borderId="22" xfId="0" applyNumberFormat="1" applyFont="1" applyFill="1" applyBorder="1" applyAlignment="1">
      <x:alignment vertical="center" wrapText="0"/>
    </x:xf>
    <x:xf numFmtId="0" fontId="14" fillId="55" borderId="23" xfId="0" applyNumberFormat="1" applyFont="1" applyFill="1" applyBorder="1"/>
    <x:xf numFmtId="0" fontId="14" fillId="55" borderId="24" xfId="0" applyNumberFormat="1" applyFont="1" applyFill="1" applyBorder="1"/>
    <x:xf numFmtId="0" fontId="14" fillId="55" borderId="22" xfId="0" applyNumberFormat="1" applyFont="1" applyFill="1" applyBorder="1" applyAlignment="1">
      <x:alignment vertical="center" wrapText="1"/>
    </x:xf>
    <x:xf numFmtId="0" fontId="14" fillId="55" borderId="23" xfId="0" applyNumberFormat="1" applyFont="1" applyFill="1" applyBorder="1" applyAlignment="1">
      <x:alignment wrapText="1"/>
    </x:xf>
    <x:xf numFmtId="0" fontId="14" fillId="55" borderId="24" xfId="0" applyNumberFormat="1" applyFont="1" applyFill="1" applyBorder="1" applyAlignment="1">
      <x:alignment wrapText="1"/>
    </x:xf>
    <x:xf numFmtId="0" fontId="14" fillId="55" borderId="22" xfId="0" applyNumberFormat="1" applyFont="1" applyFill="1" applyBorder="1" applyAlignment="1">
      <x:alignment horizontal="left" vertical="center" wrapText="1"/>
    </x:xf>
    <x:xf numFmtId="0" fontId="14" fillId="55" borderId="23" xfId="0" applyNumberFormat="1" applyFont="1" applyFill="1" applyBorder="1" applyAlignment="1">
      <x:alignment horizontal="left" wrapText="1"/>
    </x:xf>
    <x:xf numFmtId="0" fontId="14" fillId="55" borderId="24" xfId="0" applyNumberFormat="1" applyFont="1" applyFill="1" applyBorder="1" applyAlignment="1">
      <x:alignment horizontal="left" wrapText="1"/>
    </x:xf>
    <x:xf numFmtId="0" fontId="14" fillId="55" borderId="23" xfId="0" applyNumberFormat="1" applyFont="1" applyFill="1" applyBorder="1" applyAlignment="1">
      <x:alignment horizontal="left" vertical="center" wrapText="1"/>
    </x:xf>
    <x:xf numFmtId="0" fontId="14" fillId="55" borderId="24" xfId="0" applyNumberFormat="1" applyFont="1" applyFill="1" applyBorder="1" applyAlignment="1">
      <x:alignment horizontal="left" vertical="center" wrapText="1"/>
    </x:xf>
    <x:xf numFmtId="0" fontId="0" fillId="56" borderId="0" xfId="0" applyNumberFormat="1" applyFont="1" applyFill="1" applyBorder="1" applyAlignment="1">
      <x:alignment vertical="center" wrapText="0"/>
    </x:xf>
    <x:xf numFmtId="0" fontId="0" fillId="56" borderId="0" xfId="0" applyNumberFormat="1" applyFont="1" applyFill="1" applyBorder="1"/>
    <x:xf numFmtId="0" fontId="16" fillId="56" borderId="0" xfId="0" applyNumberFormat="1" applyFont="1" applyFill="1" applyBorder="1" applyAlignment="1">
      <x:alignment vertical="center" wrapText="0"/>
    </x:xf>
    <x:xf numFmtId="0" fontId="16" fillId="56" borderId="0" xfId="0" applyNumberFormat="1" applyFont="1" applyFill="1" applyBorder="1"/>
    <x:xf numFmtId="0" fontId="16" fillId="56" borderId="22" xfId="0" applyNumberFormat="1" applyFont="1" applyFill="1" applyBorder="1" applyAlignment="1">
      <x:alignment vertical="center" wrapText="0"/>
    </x:xf>
    <x:xf numFmtId="0" fontId="16" fillId="56" borderId="23" xfId="0" applyNumberFormat="1" applyFont="1" applyFill="1" applyBorder="1"/>
    <x:xf numFmtId="0" fontId="16" fillId="56" borderId="24" xfId="0" applyNumberFormat="1" applyFont="1" applyFill="1" applyBorder="1"/>
    <x:xf numFmtId="0" fontId="16" fillId="56" borderId="22" xfId="0" applyNumberFormat="1" applyFont="1" applyFill="1" applyBorder="1" applyAlignment="1">
      <x:alignment vertical="center" wrapText="1"/>
    </x:xf>
    <x:xf numFmtId="0" fontId="16" fillId="56" borderId="23" xfId="0" applyNumberFormat="1" applyFont="1" applyFill="1" applyBorder="1" applyAlignment="1">
      <x:alignment wrapText="1"/>
    </x:xf>
    <x:xf numFmtId="0" fontId="16" fillId="56" borderId="24" xfId="0" applyNumberFormat="1" applyFont="1" applyFill="1" applyBorder="1" applyAlignment="1">
      <x:alignment wrapText="1"/>
    </x:xf>
    <x:xf numFmtId="0" fontId="16" fillId="56" borderId="22" xfId="0" applyNumberFormat="1" applyFont="1" applyFill="1" applyBorder="1" applyAlignment="1">
      <x:alignment horizontal="left" vertical="center" wrapText="1"/>
    </x:xf>
    <x:xf numFmtId="0" fontId="16" fillId="56" borderId="23" xfId="0" applyNumberFormat="1" applyFont="1" applyFill="1" applyBorder="1" applyAlignment="1">
      <x:alignment horizontal="left" wrapText="1"/>
    </x:xf>
    <x:xf numFmtId="0" fontId="16" fillId="56" borderId="24" xfId="0" applyNumberFormat="1" applyFont="1" applyFill="1" applyBorder="1" applyAlignment="1">
      <x:alignment horizontal="left" wrapText="1"/>
    </x:xf>
    <x:xf numFmtId="0" fontId="16" fillId="56" borderId="23" xfId="0" applyNumberFormat="1" applyFont="1" applyFill="1" applyBorder="1" applyAlignment="1">
      <x:alignment horizontal="left" vertical="center" wrapText="1"/>
    </x:xf>
    <x:xf numFmtId="0" fontId="16" fillId="56" borderId="24" xfId="0" applyNumberFormat="1" applyFont="1" applyFill="1" applyBorder="1" applyAlignment="1">
      <x:alignment horizontal="left" vertical="center" wrapText="1"/>
    </x:xf>
    <x:xf numFmtId="0" fontId="11" fillId="46" borderId="0" xfId="0" applyNumberFormat="1" applyFont="1" applyFill="1" applyBorder="1" applyAlignment="1">
      <x:alignment vertical="center" wrapText="0"/>
    </x:xf>
    <x:xf numFmtId="0" fontId="0" fillId="46" borderId="0" xfId="0" applyNumberFormat="1" applyFont="1" applyFill="1" applyBorder="1"/>
    <x:xf numFmtId="0" fontId="14" fillId="46" borderId="0" xfId="0" applyNumberFormat="1" applyFont="1" applyFill="1" applyBorder="1" applyAlignment="1">
      <x:alignment vertical="center" wrapText="0"/>
    </x:xf>
    <x:xf numFmtId="0" fontId="14" fillId="46" borderId="0" xfId="0" applyNumberFormat="1" applyFont="1" applyFill="1" applyBorder="1"/>
    <x:xf numFmtId="0" fontId="14" fillId="46" borderId="0" xfId="0" applyNumberFormat="1" applyFont="1" applyFill="1" applyBorder="1" applyAlignment="1">
      <x:alignment vertical="center" wrapText="1"/>
    </x:xf>
    <x:xf numFmtId="0" fontId="14" fillId="46" borderId="0" xfId="0" applyNumberFormat="1" applyFont="1" applyFill="1" applyBorder="1" applyAlignment="1">
      <x:alignment wrapText="1"/>
    </x:xf>
    <x:xf numFmtId="0" fontId="14" fillId="46" borderId="0" xfId="0" applyNumberFormat="1" applyFont="1" applyFill="1" applyBorder="1" applyAlignment="1">
      <x:alignment horizontal="left" wrapText="1"/>
    </x:xf>
    <x:xf numFmtId="0" fontId="0" fillId="47" borderId="0" xfId="0" applyNumberFormat="1" applyFont="1" applyFill="1" applyBorder="1" applyAlignment="1">
      <x:alignment vertical="center" wrapText="0"/>
    </x:xf>
    <x:xf numFmtId="0" fontId="0" fillId="47" borderId="0" xfId="0" applyNumberFormat="1" applyFont="1" applyFill="1" applyBorder="1"/>
    <x:xf numFmtId="0" fontId="16" fillId="47" borderId="0" xfId="0" applyNumberFormat="1" applyFont="1" applyFill="1" applyBorder="1" applyAlignment="1">
      <x:alignment vertical="center" wrapText="0"/>
    </x:xf>
    <x:xf numFmtId="0" fontId="16" fillId="47" borderId="0" xfId="0" applyNumberFormat="1" applyFont="1" applyFill="1" applyBorder="1"/>
    <x:xf numFmtId="0" fontId="16" fillId="47" borderId="0" xfId="0" applyNumberFormat="1" applyFont="1" applyFill="1" applyBorder="1" applyAlignment="1">
      <x:alignment vertical="center" wrapText="1"/>
    </x:xf>
    <x:xf numFmtId="0" fontId="16" fillId="47" borderId="0" xfId="0" applyNumberFormat="1" applyFont="1" applyFill="1" applyBorder="1" applyAlignment="1">
      <x:alignment wrapText="1"/>
    </x:xf>
    <x:xf numFmtId="0" fontId="16" fillId="47" borderId="0" xfId="0" applyNumberFormat="1" applyFont="1" applyFill="1" applyBorder="1" applyAlignment="1">
      <x:alignment horizontal="left" wrapText="1"/>
    </x:xf>
    <x:xf numFmtId="0" fontId="14" fillId="57" borderId="22" xfId="0" applyNumberFormat="1" applyFont="1" applyFill="1" applyBorder="1" applyAlignment="1">
      <x:alignment horizontal="left" vertical="center" wrapText="1"/>
    </x:xf>
    <x:xf numFmtId="0" fontId="16" fillId="57" borderId="22" xfId="0" applyNumberFormat="1" applyFont="1" applyFill="1" applyBorder="1" applyAlignment="1">
      <x:alignment horizontal="left" vertical="center" wrapText="1"/>
    </x:xf>
    <x:xf numFmtId="0" fontId="19" fillId="57" borderId="22" xfId="0" applyNumberFormat="1" applyFont="1" applyFill="1" applyBorder="1" applyAlignment="1">
      <x:alignment horizontal="left" vertical="center" wrapText="1"/>
    </x:xf>
    <x:xf numFmtId="0" fontId="19" fillId="57" borderId="25" xfId="0" applyNumberFormat="1" applyFont="1" applyFill="1" applyBorder="1" applyAlignment="1">
      <x:alignment horizontal="left" vertical="center" wrapText="1"/>
    </x:xf>
    <x:xf numFmtId="0" fontId="19" fillId="57" borderId="26" xfId="0" applyNumberFormat="1" applyFont="1" applyFill="1" applyBorder="1" applyAlignment="1">
      <x:alignment horizontal="left" vertical="center" wrapText="1"/>
    </x:xf>
    <x:xf numFmtId="0" fontId="19" fillId="57" borderId="25" xfId="0" applyNumberFormat="1" applyFont="1" applyFill="1" applyBorder="1" applyAlignment="1">
      <x:alignment horizontal="center" vertical="center" wrapText="1"/>
    </x:xf>
    <x:xf numFmtId="0" fontId="19" fillId="57" borderId="26" xfId="0" applyNumberFormat="1" applyFont="1" applyFill="1" applyBorder="1" applyAlignment="1">
      <x:alignment horizontal="center" vertical="center" wrapText="1"/>
    </x:xf>
    <x:xf numFmtId="0" fontId="14" fillId="57" borderId="0" xfId="0" applyNumberFormat="1" applyFont="1" applyFill="1" applyBorder="1" applyAlignment="1">
      <x:alignment horizontal="left" vertical="center" wrapText="1"/>
    </x:xf>
    <x:xf numFmtId="0" fontId="16" fillId="57" borderId="0" xfId="0" applyNumberFormat="1" applyFont="1" applyFill="1" applyBorder="1" applyAlignment="1">
      <x:alignment horizontal="left" vertical="center" wrapText="1"/>
    </x:xf>
    <x:xf numFmtId="0" fontId="19" fillId="57" borderId="0" xfId="0" applyNumberFormat="1" applyFont="1" applyFill="1" applyBorder="1" applyAlignment="1">
      <x:alignment horizontal="left" vertical="center" wrapText="1"/>
    </x:xf>
    <x:xf numFmtId="0" fontId="19" fillId="57" borderId="27" xfId="0" applyNumberFormat="1" applyFont="1" applyFill="1" applyBorder="1" applyAlignment="1">
      <x:alignment horizontal="left" vertical="center" wrapText="1"/>
    </x:xf>
    <x:xf numFmtId="0" fontId="19" fillId="57" borderId="28" xfId="0" applyNumberFormat="1" applyFont="1" applyFill="1" applyBorder="1" applyAlignment="1">
      <x:alignment horizontal="left" vertical="center" wrapText="1"/>
    </x:xf>
    <x:xf numFmtId="0" fontId="19" fillId="57" borderId="27" xfId="0" applyNumberFormat="1" applyFont="1" applyFill="1" applyBorder="1" applyAlignment="1">
      <x:alignment horizontal="center" vertical="center" wrapText="1"/>
    </x:xf>
    <x:xf numFmtId="0" fontId="19" fillId="57" borderId="28" xfId="0" applyNumberFormat="1" applyFont="1" applyFill="1" applyBorder="1" applyAlignment="1">
      <x:alignment horizontal="center" vertical="center" wrapText="1"/>
    </x:xf>
    <x:xf numFmtId="0" fontId="14" fillId="58" borderId="23" xfId="0" applyNumberFormat="1" applyFont="1" applyFill="1" applyBorder="1" applyAlignment="1">
      <x:alignment horizontal="left" vertical="center" wrapText="1"/>
    </x:xf>
    <x:xf numFmtId="0" fontId="14" fillId="58" borderId="24" xfId="0" applyNumberFormat="1" applyFont="1" applyFill="1" applyBorder="1" applyAlignment="1">
      <x:alignment horizontal="left" vertical="center" wrapText="1"/>
    </x:xf>
    <x:xf numFmtId="0" fontId="0" fillId="58" borderId="0" xfId="0" applyNumberFormat="1" applyFont="1" applyFill="1" applyBorder="1"/>
    <x:xf numFmtId="0" fontId="14" fillId="58" borderId="0" xfId="0" applyNumberFormat="1" applyFont="1" applyFill="1" applyBorder="1"/>
    <x:xf numFmtId="0" fontId="14" fillId="58" borderId="29" xfId="0" applyNumberFormat="1" applyFont="1" applyFill="1" applyBorder="1" applyAlignment="1">
      <x:alignment horizontal="left" vertical="center" wrapText="1"/>
    </x:xf>
    <x:xf numFmtId="0" fontId="14" fillId="58" borderId="30" xfId="0" applyNumberFormat="1" applyFont="1" applyFill="1" applyBorder="1" applyAlignment="1">
      <x:alignment horizontal="left" vertical="center" wrapText="1"/>
    </x:xf>
    <x:xf numFmtId="0" fontId="14" fillId="58" borderId="31" xfId="0" applyNumberFormat="1" applyFont="1" applyFill="1" applyBorder="1" applyAlignment="1">
      <x:alignment horizontal="left" vertical="center" wrapText="1"/>
    </x:xf>
    <x:xf numFmtId="0" fontId="14" fillId="58" borderId="32" xfId="0" applyNumberFormat="1" applyFont="1" applyFill="1" applyBorder="1"/>
    <x:xf numFmtId="0" fontId="14" fillId="58" borderId="32" xfId="0" applyNumberFormat="1" applyFont="1" applyFill="1" applyBorder="1" applyAlignment="1">
      <x:alignment wrapText="1"/>
    </x:xf>
    <x:xf numFmtId="0" fontId="14" fillId="58" borderId="32" xfId="0" applyNumberFormat="1" applyFont="1" applyFill="1" applyBorder="1" applyAlignment="1">
      <x:alignment horizontal="left" wrapText="1"/>
    </x:xf>
    <x:xf numFmtId="0" fontId="14" fillId="58" borderId="32" xfId="0" applyNumberFormat="1" applyFont="1" applyFill="1" applyBorder="1" applyAlignment="1">
      <x:alignment horizontal="left" vertical="center" wrapText="1"/>
    </x:xf>
    <x:xf numFmtId="0" fontId="14" fillId="58" borderId="0" xfId="0" applyNumberFormat="1" applyFont="1" applyFill="1" applyBorder="1" applyAlignment="1">
      <x:alignment horizontal="left" vertical="center" wrapText="1"/>
    </x:xf>
    <x:xf numFmtId="0" fontId="16" fillId="59" borderId="23" xfId="0" applyNumberFormat="1" applyFont="1" applyFill="1" applyBorder="1" applyAlignment="1">
      <x:alignment horizontal="left" vertical="center" wrapText="1"/>
    </x:xf>
    <x:xf numFmtId="0" fontId="16" fillId="59" borderId="24" xfId="0" applyNumberFormat="1" applyFont="1" applyFill="1" applyBorder="1" applyAlignment="1">
      <x:alignment horizontal="left" vertical="center" wrapText="1"/>
    </x:xf>
    <x:xf numFmtId="0" fontId="0" fillId="59" borderId="0" xfId="0" applyNumberFormat="1" applyFont="1" applyFill="1" applyBorder="1"/>
    <x:xf numFmtId="0" fontId="16" fillId="59" borderId="0" xfId="0" applyNumberFormat="1" applyFont="1" applyFill="1" applyBorder="1"/>
    <x:xf numFmtId="0" fontId="16" fillId="59" borderId="29" xfId="0" applyNumberFormat="1" applyFont="1" applyFill="1" applyBorder="1" applyAlignment="1">
      <x:alignment horizontal="left" vertical="center" wrapText="1"/>
    </x:xf>
    <x:xf numFmtId="0" fontId="16" fillId="59" borderId="30" xfId="0" applyNumberFormat="1" applyFont="1" applyFill="1" applyBorder="1" applyAlignment="1">
      <x:alignment horizontal="left" vertical="center" wrapText="1"/>
    </x:xf>
    <x:xf numFmtId="0" fontId="16" fillId="59" borderId="31" xfId="0" applyNumberFormat="1" applyFont="1" applyFill="1" applyBorder="1" applyAlignment="1">
      <x:alignment horizontal="left" vertical="center" wrapText="1"/>
    </x:xf>
    <x:xf numFmtId="0" fontId="16" fillId="59" borderId="32" xfId="0" applyNumberFormat="1" applyFont="1" applyFill="1" applyBorder="1"/>
    <x:xf numFmtId="0" fontId="16" fillId="59" borderId="32" xfId="0" applyNumberFormat="1" applyFont="1" applyFill="1" applyBorder="1" applyAlignment="1">
      <x:alignment wrapText="1"/>
    </x:xf>
    <x:xf numFmtId="0" fontId="16" fillId="59" borderId="32" xfId="0" applyNumberFormat="1" applyFont="1" applyFill="1" applyBorder="1" applyAlignment="1">
      <x:alignment horizontal="left" wrapText="1"/>
    </x:xf>
    <x:xf numFmtId="0" fontId="16" fillId="59" borderId="32" xfId="0" applyNumberFormat="1" applyFont="1" applyFill="1" applyBorder="1" applyAlignment="1">
      <x:alignment horizontal="left" vertical="center" wrapText="1"/>
    </x:xf>
    <x:xf numFmtId="0" fontId="14" fillId="18" borderId="0" xfId="0" applyNumberFormat="1" applyFont="1" applyFill="1" applyBorder="1" applyAlignment="1">
      <x:alignment horizontal="left" vertical="center" wrapText="1"/>
    </x:xf>
    <x:xf numFmtId="0" fontId="16" fillId="18" borderId="0" xfId="0" applyNumberFormat="1" applyFont="1" applyFill="1" applyBorder="1" applyAlignment="1">
      <x:alignment horizontal="left" vertical="center" wrapText="1"/>
    </x:xf>
    <x:xf numFmtId="0" fontId="19" fillId="18" borderId="25" xfId="0" applyNumberFormat="1" applyFont="1" applyFill="1" applyBorder="1" applyAlignment="1">
      <x:alignment horizontal="center" vertical="center" wrapText="1"/>
    </x:xf>
    <x:xf numFmtId="0" fontId="19" fillId="18" borderId="26" xfId="0" applyNumberFormat="1" applyFont="1" applyFill="1" applyBorder="1" applyAlignment="1">
      <x:alignment horizontal="center" vertical="center" wrapText="1"/>
    </x:xf>
    <x:xf numFmtId="0" fontId="14" fillId="46" borderId="29" xfId="0" applyNumberFormat="1" applyFont="1" applyFill="1" applyBorder="1" applyAlignment="1">
      <x:alignment horizontal="left" vertical="center" wrapText="1"/>
    </x:xf>
    <x:xf numFmtId="0" fontId="16" fillId="47" borderId="29" xfId="0" applyNumberFormat="1" applyFont="1" applyFill="1" applyBorder="1" applyAlignment="1">
      <x:alignment horizontal="left" vertical="center" wrapText="1"/>
    </x:xf>
    <x:xf numFmtId="0" fontId="19" fillId="18" borderId="25" xfId="0" applyNumberFormat="1" applyFont="1" applyFill="1" applyBorder="1" applyAlignment="1">
      <x:alignment horizontal="left" vertical="center" wrapText="1"/>
    </x:xf>
    <x:xf numFmtId="201" fontId="14" fillId="20" borderId="0" xfId="0" applyNumberFormat="1" applyFont="1" applyFill="1" applyBorder="1" applyAlignment="1">
      <x:alignment horizontal="left" vertical="center" wrapText="1"/>
    </x:xf>
    <x:xf numFmtId="203" fontId="14" fillId="20" borderId="0" xfId="0" applyNumberFormat="1" applyFont="1" applyFill="1" applyBorder="1" applyAlignment="1">
      <x:alignment horizontal="left" vertical="center" wrapText="1"/>
    </x:xf>
    <x:xf numFmtId="0" fontId="19" fillId="18" borderId="26" xfId="0" applyNumberFormat="1" applyFont="1" applyFill="1" applyBorder="1" applyAlignment="1">
      <x:alignment horizontal="left" vertical="center" wrapText="1"/>
    </x:xf>
    <x:xf numFmtId="0" fontId="19" fillId="60" borderId="0" xfId="0" applyNumberFormat="1" applyFont="1" applyFill="1" applyBorder="1" applyAlignment="1">
      <x:alignment horizontal="left" vertical="center" wrapText="1"/>
    </x:xf>
    <x:xf numFmtId="0" fontId="19" fillId="60" borderId="33" xfId="0" applyNumberFormat="1" applyFont="1" applyFill="1" applyBorder="1" applyAlignment="1">
      <x:alignment horizontal="left" vertical="center" wrapText="1"/>
    </x:xf>
    <x:xf numFmtId="0" fontId="19" fillId="60" borderId="34" xfId="0" applyNumberFormat="1" applyFont="1" applyFill="1" applyBorder="1" applyAlignment="1">
      <x:alignment horizontal="left" vertical="center" wrapText="1"/>
    </x:xf>
    <x:xf numFmtId="0" fontId="19" fillId="60" borderId="33" xfId="0" applyNumberFormat="1" applyFont="1" applyFill="1" applyBorder="1" applyAlignment="1">
      <x:alignment horizontal="center" vertical="center" wrapText="1"/>
    </x:xf>
    <x:xf numFmtId="0" fontId="19" fillId="60" borderId="34" xfId="0" applyNumberFormat="1" applyFont="1" applyFill="1" applyBorder="1" applyAlignment="1">
      <x:alignment horizontal="center" vertical="center" wrapText="1"/>
    </x:xf>
    <x:xf numFmtId="0" fontId="14" fillId="60" borderId="0" xfId="0" applyNumberFormat="1" applyFont="1" applyFill="1" applyBorder="1" applyAlignment="1">
      <x:alignment horizontal="left" vertical="center" wrapText="1"/>
    </x:xf>
    <x:xf numFmtId="0" fontId="16" fillId="60" borderId="0" xfId="0" applyNumberFormat="1" applyFont="1" applyFill="1" applyBorder="1" applyAlignment="1">
      <x:alignment horizontal="left" vertical="center" wrapText="1"/>
    </x:xf>
    <x:xf numFmtId="0" fontId="14" fillId="61" borderId="0" xfId="0" applyNumberFormat="1" applyFont="1" applyFill="1" applyBorder="1" applyAlignment="1">
      <x:alignment horizontal="left" vertical="center" wrapText="1"/>
    </x:xf>
    <x:xf numFmtId="0" fontId="14" fillId="61" borderId="35" xfId="0" applyNumberFormat="1" applyFont="1" applyFill="1" applyBorder="1" applyAlignment="1">
      <x:alignment horizontal="left" vertical="center" wrapText="1"/>
    </x:xf>
    <x:xf numFmtId="0" fontId="14" fillId="61" borderId="36" xfId="0" applyNumberFormat="1" applyFont="1" applyFill="1" applyBorder="1" applyAlignment="1">
      <x:alignment horizontal="left" vertical="center" wrapText="1"/>
    </x:xf>
    <x:xf numFmtId="0" fontId="14" fillId="61" borderId="37" xfId="0" applyNumberFormat="1" applyFont="1" applyFill="1" applyBorder="1" applyAlignment="1">
      <x:alignment horizontal="left" vertical="center" wrapText="1"/>
    </x:xf>
    <x:xf numFmtId="201" fontId="14" fillId="62" borderId="0" xfId="0" applyNumberFormat="1" applyFont="1" applyFill="1" applyBorder="1" applyAlignment="1">
      <x:alignment horizontal="left" vertical="center" wrapText="1"/>
    </x:xf>
    <x:xf numFmtId="203" fontId="14" fillId="62" borderId="0" xfId="0" applyNumberFormat="1" applyFont="1" applyFill="1" applyBorder="1" applyAlignment="1">
      <x:alignment horizontal="left" vertical="center" wrapText="1"/>
    </x:xf>
    <x:xf numFmtId="201" fontId="14" fillId="62" borderId="35" xfId="0" applyNumberFormat="1" applyFont="1" applyFill="1" applyBorder="1" applyAlignment="1">
      <x:alignment horizontal="left" vertical="center" wrapText="1"/>
    </x:xf>
    <x:xf numFmtId="201" fontId="14" fillId="62" borderId="36" xfId="0" applyNumberFormat="1" applyFont="1" applyFill="1" applyBorder="1" applyAlignment="1">
      <x:alignment horizontal="left" vertical="center" wrapText="1"/>
    </x:xf>
    <x:xf numFmtId="203" fontId="14" fillId="62" borderId="37" xfId="0" applyNumberFormat="1" applyFont="1" applyFill="1" applyBorder="1" applyAlignment="1">
      <x:alignment horizontal="left" vertical="center" wrapText="1"/>
    </x:xf>
    <x:xf numFmtId="201" fontId="14" fillId="62" borderId="35" xfId="0" applyNumberFormat="1" applyFont="1" applyFill="1" applyBorder="1" applyAlignment="1">
      <x:alignment horizontal="center" vertical="center" wrapText="1"/>
    </x:xf>
    <x:xf numFmtId="201" fontId="14" fillId="62" borderId="36" xfId="0" applyNumberFormat="1" applyFont="1" applyFill="1" applyBorder="1" applyAlignment="1">
      <x:alignment horizontal="center" vertical="center" wrapText="1"/>
    </x:xf>
    <x:xf numFmtId="203" fontId="14" fillId="62" borderId="37" xfId="0" applyNumberFormat="1" applyFont="1" applyFill="1" applyBorder="1" applyAlignment="1">
      <x:alignment horizontal="center" vertical="center" wrapText="1"/>
    </x:xf>
    <x:xf numFmtId="0" fontId="19" fillId="61" borderId="0" xfId="0" applyNumberFormat="1" applyFont="1" applyFill="1" applyBorder="1" applyAlignment="1">
      <x:alignment horizontal="left" vertical="center" wrapText="1"/>
    </x:xf>
    <x:xf numFmtId="0" fontId="16" fillId="63" borderId="0" xfId="0" applyNumberFormat="1" applyFont="1" applyFill="1" applyBorder="1" applyAlignment="1">
      <x:alignment horizontal="left" vertical="center" wrapText="1"/>
    </x:xf>
    <x:xf numFmtId="0" fontId="19" fillId="63" borderId="0" xfId="0" applyNumberFormat="1" applyFont="1" applyFill="1" applyBorder="1" applyAlignment="1">
      <x:alignment horizontal="left" vertical="center" wrapText="1"/>
    </x:xf>
    <x:xf numFmtId="0" fontId="14" fillId="63" borderId="0" xfId="0" applyNumberFormat="1" applyFont="1" applyFill="1" applyBorder="1" applyAlignment="1">
      <x:alignment horizontal="left" vertical="center" wrapText="1"/>
    </x:xf>
    <x:xf numFmtId="0" fontId="16" fillId="63" borderId="38" xfId="0" applyNumberFormat="1" applyFont="1" applyFill="1" applyBorder="1" applyAlignment="1">
      <x:alignment horizontal="left" vertical="center" wrapText="1"/>
    </x:xf>
    <x:xf numFmtId="0" fontId="16" fillId="63" borderId="39" xfId="0" applyNumberFormat="1" applyFont="1" applyFill="1" applyBorder="1" applyAlignment="1">
      <x:alignment horizontal="left" vertical="center" wrapText="1"/>
    </x:xf>
    <x:xf numFmtId="0" fontId="14" fillId="63" borderId="39" xfId="0" applyNumberFormat="1" applyFont="1" applyFill="1" applyBorder="1" applyAlignment="1">
      <x:alignment horizontal="left" vertical="center" wrapText="1"/>
    </x:xf>
    <x:xf numFmtId="0" fontId="16" fillId="63" borderId="40" xfId="0" applyNumberFormat="1" applyFont="1" applyFill="1" applyBorder="1" applyAlignment="1">
      <x:alignment horizontal="left" vertical="center" wrapText="1"/>
    </x:xf>
    <x:xf numFmtId="0" fontId="19" fillId="61" borderId="25" xfId="0" applyNumberFormat="1" applyFont="1" applyFill="1" applyBorder="1" applyAlignment="1">
      <x:alignment horizontal="left" vertical="center" wrapText="1"/>
    </x:xf>
    <x:xf numFmtId="0" fontId="14" fillId="61" borderId="29" xfId="0" applyNumberFormat="1" applyFont="1" applyFill="1" applyBorder="1" applyAlignment="1">
      <x:alignment horizontal="left" vertical="center" wrapText="1"/>
    </x:xf>
    <x:xf numFmtId="0" fontId="14" fillId="61" borderId="25" xfId="0" applyNumberFormat="1" applyFont="1" applyFill="1" applyBorder="1" applyAlignment="1">
      <x:alignment horizontal="left" vertical="center" wrapText="1"/>
    </x:xf>
    <x:xf numFmtId="0" fontId="14" fillId="61" borderId="41" xfId="0" applyNumberFormat="1" applyFont="1" applyFill="1" applyBorder="1" applyAlignment="1">
      <x:alignment horizontal="left" vertical="center" wrapText="1"/>
    </x:xf>
    <x:xf numFmtId="0" fontId="14" fillId="61" borderId="42" xfId="0" applyNumberFormat="1" applyFont="1" applyFill="1" applyBorder="1" applyAlignment="1">
      <x:alignment horizontal="left" vertical="center" wrapText="1"/>
    </x:xf>
    <x:xf numFmtId="0" fontId="19" fillId="63" borderId="26" xfId="0" applyNumberFormat="1" applyFont="1" applyFill="1" applyBorder="1" applyAlignment="1">
      <x:alignment horizontal="left" vertical="center" wrapText="1"/>
    </x:xf>
    <x:xf numFmtId="0" fontId="16" fillId="63" borderId="29" xfId="0" applyNumberFormat="1" applyFont="1" applyFill="1" applyBorder="1" applyAlignment="1">
      <x:alignment horizontal="left" vertical="center" wrapText="1"/>
    </x:xf>
    <x:xf numFmtId="0" fontId="14" fillId="63" borderId="26" xfId="0" applyNumberFormat="1" applyFont="1" applyFill="1" applyBorder="1" applyAlignment="1">
      <x:alignment horizontal="left" vertical="center" wrapText="1"/>
    </x:xf>
    <x:xf numFmtId="0" fontId="14" fillId="63" borderId="43" xfId="0" applyNumberFormat="1" applyFont="1" applyFill="1" applyBorder="1" applyAlignment="1">
      <x:alignment horizontal="left" vertical="center" wrapText="1"/>
    </x:xf>
    <x:xf numFmtId="0" fontId="16" fillId="63" borderId="44" xfId="0" applyNumberFormat="1" applyFont="1" applyFill="1" applyBorder="1" applyAlignment="1">
      <x:alignment horizontal="left" vertical="center" wrapText="1"/>
    </x:xf>
    <x:xf numFmtId="0" fontId="19" fillId="46" borderId="0" xfId="0" applyNumberFormat="1" applyFont="1" applyFill="1" applyBorder="1" applyAlignment="1">
      <x:alignment horizontal="left" vertical="center" wrapText="1"/>
    </x:xf>
    <x:xf numFmtId="0" fontId="19" fillId="47" borderId="0" xfId="0" applyNumberFormat="1" applyFont="1" applyFill="1" applyBorder="1" applyAlignment="1">
      <x:alignment horizontal="left" vertical="center" wrapText="1"/>
    </x:xf>
    <x:xf numFmtId="0" fontId="14" fillId="47" borderId="0" xfId="0" applyNumberFormat="1" applyFont="1" applyFill="1" applyBorder="1" applyAlignment="1">
      <x:alignment horizontal="left" vertical="center" wrapText="1"/>
    </x:xf>
    <x:xf numFmtId="0" fontId="19" fillId="18" borderId="33" xfId="0" applyNumberFormat="1" applyFont="1" applyFill="1" applyBorder="1" applyAlignment="1">
      <x:alignment horizontal="center" vertical="center" wrapText="1"/>
    </x:xf>
    <x:xf numFmtId="0" fontId="19" fillId="18" borderId="34" xfId="0" applyNumberFormat="1" applyFont="1" applyFill="1" applyBorder="1" applyAlignment="1">
      <x:alignment horizontal="center" vertical="center" wrapText="1"/>
    </x:xf>
    <x:xf numFmtId="0" fontId="14" fillId="46" borderId="35" xfId="0" applyNumberFormat="1" applyFont="1" applyFill="1" applyBorder="1" applyAlignment="1">
      <x:alignment horizontal="left" vertical="center" wrapText="1"/>
    </x:xf>
    <x:xf numFmtId="201" fontId="14" fillId="20" borderId="35" xfId="0" applyNumberFormat="1" applyFont="1" applyFill="1" applyBorder="1" applyAlignment="1">
      <x:alignment horizontal="center" vertical="center" wrapText="1"/>
    </x:xf>
    <x:xf numFmtId="0" fontId="14" fillId="46" borderId="36" xfId="0" applyNumberFormat="1" applyFont="1" applyFill="1" applyBorder="1" applyAlignment="1">
      <x:alignment horizontal="left" vertical="center" wrapText="1"/>
    </x:xf>
    <x:xf numFmtId="201" fontId="14" fillId="20" borderId="36" xfId="0" applyNumberFormat="1" applyFont="1" applyFill="1" applyBorder="1" applyAlignment="1">
      <x:alignment horizontal="center" vertical="center" wrapText="1"/>
    </x:xf>
    <x:xf numFmtId="0" fontId="14" fillId="46" borderId="37" xfId="0" applyNumberFormat="1" applyFont="1" applyFill="1" applyBorder="1" applyAlignment="1">
      <x:alignment horizontal="left" vertical="center" wrapText="1"/>
    </x:xf>
    <x:xf numFmtId="203" fontId="14" fillId="20" borderId="37" xfId="0" applyNumberFormat="1" applyFont="1" applyFill="1" applyBorder="1" applyAlignment="1">
      <x:alignment horizontal="center" vertical="center" wrapText="1"/>
    </x:xf>
    <x:xf numFmtId="0" fontId="16" fillId="47" borderId="35" xfId="0" applyNumberFormat="1" applyFont="1" applyFill="1" applyBorder="1" applyAlignment="1">
      <x:alignment horizontal="left" vertical="center" wrapText="1"/>
    </x:xf>
    <x:xf numFmtId="0" fontId="16" fillId="47" borderId="36" xfId="0" applyNumberFormat="1" applyFont="1" applyFill="1" applyBorder="1" applyAlignment="1">
      <x:alignment horizontal="left" vertical="center" wrapText="1"/>
    </x:xf>
    <x:xf numFmtId="0" fontId="14" fillId="47" borderId="36" xfId="0" applyNumberFormat="1" applyFont="1" applyFill="1" applyBorder="1" applyAlignment="1">
      <x:alignment horizontal="left" vertical="center" wrapText="1"/>
    </x:xf>
    <x:xf numFmtId="0" fontId="16" fillId="47" borderId="37" xfId="0" applyNumberFormat="1" applyFont="1" applyFill="1" applyBorder="1" applyAlignment="1">
      <x:alignment horizontal="left" vertical="center" wrapText="1"/>
    </x:xf>
    <x:xf numFmtId="0" fontId="19" fillId="18" borderId="33" xfId="0" applyNumberFormat="1" applyFont="1" applyFill="1" applyBorder="1" applyAlignment="1">
      <x:alignment horizontal="left" vertical="center" wrapText="1"/>
    </x:xf>
    <x:xf numFmtId="0" fontId="19" fillId="18" borderId="34" xfId="0" applyNumberFormat="1" applyFont="1" applyFill="1" applyBorder="1" applyAlignment="1">
      <x:alignment horizontal="left" vertical="center" wrapText="1"/>
    </x:xf>
    <x:xf numFmtId="201" fontId="14" fillId="20" borderId="35" xfId="0" applyNumberFormat="1" applyFont="1" applyFill="1" applyBorder="1" applyAlignment="1">
      <x:alignment horizontal="left" vertical="center" wrapText="1"/>
    </x:xf>
    <x:xf numFmtId="201" fontId="14" fillId="20" borderId="36" xfId="0" applyNumberFormat="1" applyFont="1" applyFill="1" applyBorder="1" applyAlignment="1">
      <x:alignment horizontal="left" vertical="center" wrapText="1"/>
    </x:xf>
    <x:xf numFmtId="203" fontId="14" fillId="20" borderId="37" xfId="0" applyNumberFormat="1" applyFont="1" applyFill="1" applyBorder="1" applyAlignment="1">
      <x:alignment horizontal="left" vertical="center" wrapText="1"/>
    </x:xf>
    <x:xf numFmtId="0" fontId="19" fillId="64" borderId="33" xfId="0" applyNumberFormat="1" applyFont="1" applyFill="1" applyBorder="1" applyAlignment="1">
      <x:alignment horizontal="left" vertical="center" wrapText="1"/>
    </x:xf>
    <x:xf numFmtId="0" fontId="19" fillId="64" borderId="45" xfId="0" applyNumberFormat="1" applyFont="1" applyFill="1" applyBorder="1" applyAlignment="1">
      <x:alignment horizontal="left" vertical="center" wrapText="1"/>
    </x:xf>
    <x:xf numFmtId="0" fontId="19" fillId="64" borderId="45" xfId="0" applyNumberFormat="1" applyFont="1" applyFill="1" applyBorder="1" applyAlignment="1">
      <x:alignment horizontal="center" vertical="center" wrapText="1"/>
    </x:xf>
    <x:xf numFmtId="0" fontId="19" fillId="64" borderId="0" xfId="0" applyNumberFormat="1" applyFont="1" applyFill="1" applyBorder="1" applyAlignment="1">
      <x:alignment horizontal="left" vertical="center" wrapText="1"/>
    </x:xf>
    <x:xf numFmtId="0" fontId="19" fillId="65" borderId="34" xfId="0" applyNumberFormat="1" applyFont="1" applyFill="1" applyBorder="1" applyAlignment="1">
      <x:alignment horizontal="left" vertical="center" wrapText="1"/>
    </x:xf>
    <x:xf numFmtId="0" fontId="14" fillId="65" borderId="34" xfId="0" applyNumberFormat="1" applyFont="1" applyFill="1" applyBorder="1" applyAlignment="1">
      <x:alignment horizontal="left" vertical="center" wrapText="1"/>
    </x:xf>
    <x:xf numFmtId="0" fontId="14" fillId="65" borderId="46" xfId="0" applyNumberFormat="1" applyFont="1" applyFill="1" applyBorder="1" applyAlignment="1">
      <x:alignment horizontal="left" vertical="center" wrapText="1"/>
    </x:xf>
    <x:xf numFmtId="0" fontId="19" fillId="65" borderId="0" xfId="0" applyNumberFormat="1" applyFont="1" applyFill="1" applyBorder="1" applyAlignment="1">
      <x:alignment horizontal="left" vertical="center" wrapText="1"/>
    </x:xf>
    <x:xf numFmtId="0" fontId="14" fillId="65" borderId="0" xfId="0" applyNumberFormat="1" applyFont="1" applyFill="1" applyBorder="1" applyAlignment="1">
      <x:alignment horizontal="left" vertical="center" wrapText="1"/>
    </x:xf>
    <x:xf numFmtId="0" fontId="14" fillId="65" borderId="35" xfId="0" applyNumberFormat="1" applyFont="1" applyFill="1" applyBorder="1" applyAlignment="1">
      <x:alignment horizontal="left" vertical="center" wrapText="1"/>
    </x:xf>
    <x:xf numFmtId="0" fontId="14" fillId="65" borderId="36" xfId="0" applyNumberFormat="1" applyFont="1" applyFill="1" applyBorder="1" applyAlignment="1">
      <x:alignment horizontal="left" vertical="center" wrapText="1"/>
    </x:xf>
    <x:xf numFmtId="0" fontId="14" fillId="65" borderId="37" xfId="0" applyNumberFormat="1" applyFont="1" applyFill="1" applyBorder="1" applyAlignment="1">
      <x:alignment horizontal="left" vertical="center" wrapText="1"/>
    </x:xf>
    <x:xf numFmtId="0" fontId="19" fillId="65" borderId="33" xfId="0" applyNumberFormat="1" applyFont="1" applyFill="1" applyBorder="1" applyAlignment="1">
      <x:alignment horizontal="left" vertical="center" wrapText="1"/>
    </x:xf>
    <x:xf numFmtId="0" fontId="14" fillId="65" borderId="33" xfId="0" applyNumberFormat="1" applyFont="1" applyFill="1" applyBorder="1" applyAlignment="1">
      <x:alignment horizontal="left" vertical="center" wrapText="1"/>
    </x:xf>
    <x:xf numFmtId="0" fontId="14" fillId="65" borderId="47" xfId="0" applyNumberFormat="1" applyFont="1" applyFill="1" applyBorder="1" applyAlignment="1">
      <x:alignment horizontal="left" vertical="center" wrapText="1"/>
    </x:xf>
    <x:xf numFmtId="0" fontId="14" fillId="65" borderId="48" xfId="0" applyNumberFormat="1" applyFont="1" applyFill="1" applyBorder="1" applyAlignment="1">
      <x:alignment horizontal="left" vertical="center" wrapText="1"/>
    </x:xf>
    <x:xf numFmtId="0" fontId="14" fillId="65" borderId="49" xfId="0" applyNumberFormat="1" applyFont="1" applyFill="1" applyBorder="1" applyAlignment="1">
      <x:alignment horizontal="left" vertical="center" wrapText="1"/>
    </x:xf>
    <x:xf numFmtId="0" fontId="14" fillId="65" borderId="50" xfId="0" applyNumberFormat="1" applyFont="1" applyFill="1" applyBorder="1" applyAlignment="1">
      <x:alignment horizontal="left" vertical="center" wrapText="1"/>
    </x:xf>
    <x:xf numFmtId="0" fontId="14" fillId="65" borderId="51" xfId="0" applyNumberFormat="1" applyFont="1" applyFill="1" applyBorder="1" applyAlignment="1">
      <x:alignment horizontal="left" vertical="center" wrapText="1"/>
    </x:xf>
    <x:xf numFmtId="0" fontId="14" fillId="65" borderId="52" xfId="0" applyNumberFormat="1" applyFont="1" applyFill="1" applyBorder="1" applyAlignment="1">
      <x:alignment horizontal="left" vertical="center" wrapText="1"/>
    </x:xf>
    <x:xf numFmtId="0" fontId="19" fillId="66" borderId="34" xfId="0" applyNumberFormat="1" applyFont="1" applyFill="1" applyBorder="1" applyAlignment="1">
      <x:alignment horizontal="left" vertical="center" wrapText="1"/>
    </x:xf>
    <x:xf numFmtId="0" fontId="16" fillId="66" borderId="35" xfId="0" applyNumberFormat="1" applyFont="1" applyFill="1" applyBorder="1" applyAlignment="1">
      <x:alignment horizontal="left" vertical="center" wrapText="1"/>
    </x:xf>
    <x:xf numFmtId="0" fontId="16" fillId="66" borderId="36" xfId="0" applyNumberFormat="1" applyFont="1" applyFill="1" applyBorder="1" applyAlignment="1">
      <x:alignment horizontal="left" vertical="center" wrapText="1"/>
    </x:xf>
    <x:xf numFmtId="0" fontId="14" fillId="66" borderId="36" xfId="0" applyNumberFormat="1" applyFont="1" applyFill="1" applyBorder="1" applyAlignment="1">
      <x:alignment horizontal="left" vertical="center" wrapText="1"/>
    </x:xf>
    <x:xf numFmtId="0" fontId="20" fillId="66" borderId="34" xfId="0" applyNumberFormat="1" applyFont="1" applyFill="1" applyBorder="1" applyAlignment="1">
      <x:alignment horizontal="left" vertical="center" wrapText="1"/>
    </x:xf>
    <x:xf numFmtId="0" fontId="20" fillId="66" borderId="35" xfId="0" applyNumberFormat="1" applyFont="1" applyFill="1" applyBorder="1" applyAlignment="1">
      <x:alignment horizontal="left" vertical="center" wrapText="1"/>
    </x:xf>
    <x:xf numFmtId="0" fontId="20" fillId="66" borderId="36" xfId="0" applyNumberFormat="1" applyFont="1" applyFill="1" applyBorder="1" applyAlignment="1">
      <x:alignment horizontal="left" vertical="center" wrapText="1"/>
    </x:xf>
    <x:xf numFmtId="0" fontId="20" fillId="66" borderId="53" xfId="0" applyNumberFormat="1" applyFont="1" applyFill="1" applyBorder="1" applyAlignment="1">
      <x:alignment horizontal="left" vertical="center" wrapText="1"/>
    </x:xf>
    <x:xf numFmtId="0" fontId="20" fillId="66" borderId="51" xfId="0" applyNumberFormat="1" applyFont="1" applyFill="1" applyBorder="1" applyAlignment="1">
      <x:alignment horizontal="left" vertical="center" wrapText="1"/>
    </x:xf>
    <x:xf numFmtId="0" fontId="20" fillId="66" borderId="48" xfId="0" applyNumberFormat="1" applyFont="1" applyFill="1" applyBorder="1" applyAlignment="1">
      <x:alignment horizontal="left" vertical="center" wrapText="1"/>
    </x:xf>
    <x:xf numFmtId="0" fontId="20" fillId="66" borderId="52" xfId="0" applyNumberFormat="1" applyFont="1" applyFill="1" applyBorder="1" applyAlignment="1">
      <x:alignment horizontal="left" vertical="center" wrapText="1"/>
    </x:xf>
    <x:xf numFmtId="0" fontId="19" fillId="66" borderId="0" xfId="0" applyNumberFormat="1" applyFont="1" applyFill="1" applyBorder="1" applyAlignment="1">
      <x:alignment horizontal="left" vertical="center" wrapText="1"/>
    </x:xf>
    <x:xf numFmtId="0" fontId="16" fillId="66" borderId="0" xfId="0" applyNumberFormat="1" applyFont="1" applyFill="1" applyBorder="1" applyAlignment="1">
      <x:alignment horizontal="left" vertical="center" wrapText="1"/>
    </x:xf>
    <x:xf numFmtId="0" fontId="14" fillId="66" borderId="0" xfId="0" applyNumberFormat="1" applyFont="1" applyFill="1" applyBorder="1" applyAlignment="1">
      <x:alignment horizontal="left" vertical="center" wrapText="1"/>
    </x:xf>
    <x:xf numFmtId="0" fontId="20" fillId="66" borderId="0" xfId="0" applyNumberFormat="1" applyFont="1" applyFill="1" applyBorder="1" applyAlignment="1">
      <x:alignment horizontal="left" vertical="center" wrapText="1"/>
    </x:xf>
    <x:xf numFmtId="0" fontId="20" fillId="66" borderId="47" xfId="0" applyNumberFormat="1" applyFont="1" applyFill="1" applyBorder="1" applyAlignment="1">
      <x:alignment horizontal="left" vertical="center" wrapText="1"/>
    </x:xf>
    <x:xf numFmtId="0" fontId="16" fillId="66" borderId="37" xfId="0" applyNumberFormat="1" applyFont="1" applyFill="1" applyBorder="1" applyAlignment="1">
      <x:alignment horizontal="left" vertical="center" wrapText="1"/>
    </x:xf>
    <x:xf numFmtId="0" fontId="20" fillId="66" borderId="37" xfId="0" applyNumberFormat="1" applyFont="1" applyFill="1" applyBorder="1" applyAlignment="1">
      <x:alignment horizontal="left" vertical="center" wrapText="1"/>
    </x:xf>
    <x:xf numFmtId="201" fontId="14" fillId="67" borderId="35" xfId="0" applyNumberFormat="1" applyFont="1" applyFill="1" applyBorder="1" applyAlignment="1">
      <x:alignment horizontal="left" vertical="center" wrapText="1"/>
    </x:xf>
    <x:xf numFmtId="201" fontId="14" fillId="67" borderId="36" xfId="0" applyNumberFormat="1" applyFont="1" applyFill="1" applyBorder="1" applyAlignment="1">
      <x:alignment horizontal="left" vertical="center" wrapText="1"/>
    </x:xf>
    <x:xf numFmtId="203" fontId="14" fillId="67" borderId="37" xfId="0" applyNumberFormat="1" applyFont="1" applyFill="1" applyBorder="1" applyAlignment="1">
      <x:alignment horizontal="left" vertical="center" wrapText="1"/>
    </x:xf>
    <x:xf numFmtId="201" fontId="14" fillId="67" borderId="47" xfId="0" applyNumberFormat="1" applyFont="1" applyFill="1" applyBorder="1" applyAlignment="1">
      <x:alignment horizontal="left" vertical="center" wrapText="1"/>
    </x:xf>
    <x:xf numFmtId="201" fontId="14" fillId="67" borderId="48" xfId="0" applyNumberFormat="1" applyFont="1" applyFill="1" applyBorder="1" applyAlignment="1">
      <x:alignment horizontal="left" vertical="center" wrapText="1"/>
    </x:xf>
    <x:xf numFmtId="203" fontId="14" fillId="67" borderId="52" xfId="0" applyNumberFormat="1" applyFont="1" applyFill="1" applyBorder="1" applyAlignment="1">
      <x:alignment horizontal="left" vertical="center" wrapText="1"/>
    </x:xf>
    <x:xf numFmtId="201" fontId="14" fillId="67" borderId="47" xfId="0" applyNumberFormat="1" applyFont="1" applyFill="1" applyBorder="1" applyAlignment="1">
      <x:alignment horizontal="center" vertical="center" wrapText="1"/>
    </x:xf>
    <x:xf numFmtId="201" fontId="14" fillId="67" borderId="48" xfId="0" applyNumberFormat="1" applyFont="1" applyFill="1" applyBorder="1" applyAlignment="1">
      <x:alignment horizontal="center" vertical="center" wrapText="1"/>
    </x:xf>
    <x:xf numFmtId="203" fontId="14" fillId="67" borderId="52" xfId="0" applyNumberFormat="1" applyFont="1" applyFill="1" applyBorder="1" applyAlignment="1">
      <x:alignment horizontal="center" vertical="center" wrapText="1"/>
    </x:xf>
    <x:xf numFmtId="201" fontId="14" fillId="67" borderId="0" xfId="0" applyNumberFormat="1" applyFont="1" applyFill="1" applyBorder="1" applyAlignment="1">
      <x:alignment horizontal="left" vertical="center" wrapText="1"/>
    </x:xf>
    <x:xf numFmtId="203" fontId="14" fillId="67" borderId="0" xfId="0" applyNumberFormat="1" applyFont="1" applyFill="1" applyBorder="1" applyAlignment="1">
      <x:alignment horizontal="left" vertical="center" wrapText="1"/>
    </x:xf>
    <x:xf numFmtId="0" fontId="17" fillId="68" borderId="0" xfId="0" applyNumberFormat="1" applyFont="1" applyFill="1" applyBorder="1" applyAlignment="1">
      <x:alignment horizontal="left" vertical="center" wrapText="1"/>
    </x:xf>
    <x:xf numFmtId="0" fontId="17" fillId="68" borderId="0" xfId="0" applyNumberFormat="1" applyFont="1" applyFill="1" applyBorder="1" applyAlignment="1">
      <x:alignment horizontal="center" vertical="center" wrapText="1"/>
    </x:xf>
    <x:xf numFmtId="0" fontId="13" fillId="68" borderId="0" xfId="0" applyNumberFormat="1" applyFont="1" applyFill="1" applyBorder="1" applyAlignment="1">
      <x:alignment horizontal="center" vertical="center" wrapText="0"/>
    </x:xf>
    <x:xf numFmtId="0" fontId="18" fillId="68" borderId="0" xfId="0" applyNumberFormat="1" applyFont="1" applyFill="1" applyBorder="1" applyAlignment="1">
      <x:alignment horizontal="left" vertical="center" wrapText="1"/>
    </x:xf>
    <x:xf numFmtId="0" fontId="18" fillId="68" borderId="0" xfId="0" applyNumberFormat="1" applyFont="1" applyFill="1" applyBorder="1" applyAlignment="1">
      <x:alignment horizontal="center" vertical="center" wrapText="1"/>
    </x:xf>
    <x:xf numFmtId="0" fontId="0" fillId="68" borderId="0" xfId="0" applyNumberFormat="1" applyFont="1" applyFill="1" applyBorder="1" applyAlignment="1">
      <x:alignment vertical="center" wrapText="0"/>
    </x:xf>
    <x:xf numFmtId="0" fontId="0" fillId="68" borderId="0" xfId="0" applyNumberFormat="1" applyFont="1" applyFill="1" applyBorder="1"/>
    <x:xf numFmtId="0" fontId="14" fillId="68" borderId="0" xfId="0" applyNumberFormat="1" applyFont="1" applyFill="1" applyBorder="1" applyAlignment="1">
      <x:alignment horizontal="left" vertical="center" wrapText="1"/>
    </x:xf>
    <x:xf numFmtId="0" fontId="16" fillId="68" borderId="0" xfId="0" applyNumberFormat="1" applyFont="1" applyFill="1" applyBorder="1" applyAlignment="1">
      <x:alignment horizontal="left" vertical="center" wrapText="1"/>
    </x:xf>
    <x:xf numFmtId="0" fontId="0" fillId="68" borderId="0" xfId="0" applyNumberFormat="1" applyFont="1" applyFill="1" applyBorder="1" applyAlignment="1">
      <x:alignment horizontal="left" vertical="center" wrapText="1"/>
    </x:xf>
    <x:xf numFmtId="0" fontId="19" fillId="68" borderId="45" xfId="0" applyNumberFormat="1" applyFont="1" applyFill="1" applyBorder="1" applyAlignment="1">
      <x:alignment horizontal="center" vertical="center" wrapText="1"/>
    </x:xf>
    <x:xf numFmtId="0" fontId="14" fillId="68" borderId="45" xfId="0" applyNumberFormat="1" applyFont="1" applyFill="1" applyBorder="1" applyAlignment="1">
      <x:alignment horizontal="left" vertical="center" wrapText="1"/>
    </x:xf>
    <x:xf numFmtId="0" fontId="2" fillId="68" borderId="0" xfId="0" applyNumberFormat="1" applyFont="1" applyFill="1" applyBorder="1" applyAlignment="1">
      <x:alignment horizontal="center" vertical="center" wrapText="0"/>
    </x:xf>
    <x:xf numFmtId="0" fontId="14" fillId="68" borderId="47" xfId="0" applyNumberFormat="1" applyFont="1" applyFill="1" applyBorder="1" applyAlignment="1">
      <x:alignment horizontal="left" vertical="center" wrapText="1"/>
    </x:xf>
    <x:xf numFmtId="201" fontId="14" fillId="68" borderId="47" xfId="0" applyNumberFormat="1" applyFont="1" applyFill="1" applyBorder="1" applyAlignment="1">
      <x:alignment horizontal="center" vertical="center" wrapText="1"/>
    </x:xf>
    <x:xf numFmtId="0" fontId="14" fillId="68" borderId="48" xfId="0" applyNumberFormat="1" applyFont="1" applyFill="1" applyBorder="1" applyAlignment="1">
      <x:alignment horizontal="left" vertical="center" wrapText="1"/>
    </x:xf>
    <x:xf numFmtId="201" fontId="14" fillId="68" borderId="48" xfId="0" applyNumberFormat="1" applyFont="1" applyFill="1" applyBorder="1" applyAlignment="1">
      <x:alignment horizontal="center" vertical="center" wrapText="1"/>
    </x:xf>
    <x:xf numFmtId="203" fontId="14" fillId="68" borderId="52" xfId="0" applyNumberFormat="1" applyFont="1" applyFill="1" applyBorder="1" applyAlignment="1">
      <x:alignment horizontal="center" vertical="center" wrapText="1"/>
    </x:xf>
    <x:xf numFmtId="0" fontId="16" fillId="68" borderId="47" xfId="0" applyNumberFormat="1" applyFont="1" applyFill="1" applyBorder="1" applyAlignment="1">
      <x:alignment horizontal="left" vertical="center" wrapText="1"/>
    </x:xf>
    <x:xf numFmtId="0" fontId="16" fillId="68" borderId="48" xfId="0" applyNumberFormat="1" applyFont="1" applyFill="1" applyBorder="1" applyAlignment="1">
      <x:alignment horizontal="left" vertical="center" wrapText="1"/>
    </x:xf>
    <x:xf numFmtId="0" fontId="14" fillId="68" borderId="52" xfId="0" applyNumberFormat="1" applyFont="1" applyFill="1" applyBorder="1" applyAlignment="1">
      <x:alignment horizontal="left" vertical="center" wrapText="1"/>
    </x:xf>
    <x:xf numFmtId="0" fontId="16" fillId="68" borderId="52" xfId="0" applyNumberFormat="1" applyFont="1" applyFill="1" applyBorder="1" applyAlignment="1">
      <x:alignment horizontal="left" vertical="center" wrapText="1"/>
    </x:xf>
    <x:xf numFmtId="0" fontId="19" fillId="68" borderId="0" xfId="0" applyNumberFormat="1" applyFont="1" applyFill="1" applyBorder="1" applyAlignment="1">
      <x:alignment horizontal="center" vertical="center" wrapText="1"/>
    </x:xf>
    <x:xf numFmtId="201" fontId="14" fillId="68" borderId="0" xfId="0" applyNumberFormat="1" applyFont="1" applyFill="1" applyBorder="1" applyAlignment="1">
      <x:alignment horizontal="center" vertical="center" wrapText="1"/>
    </x:xf>
    <x:xf numFmtId="203" fontId="14" fillId="68" borderId="0" xfId="0" applyNumberFormat="1" applyFont="1" applyFill="1" applyBorder="1" applyAlignment="1">
      <x:alignment horizontal="center" vertical="center" wrapText="1"/>
    </x:xf>
    <x:xf numFmtId="0" fontId="14" fillId="68" borderId="0" xfId="0" applyNumberFormat="1" applyFont="1" applyFill="1" applyBorder="1" applyAlignment="1">
      <x:alignment horizontal="center" vertical="center" wrapText="1"/>
    </x:xf>
    <x:xf numFmtId="0" fontId="14" fillId="68" borderId="0" xfId="0" applyNumberFormat="1" applyFont="1" applyFill="1" applyBorder="1" applyAlignment="1">
      <x:alignment horizontal="center" vertical="center" wrapText="0"/>
    </x:xf>
    <x:xf numFmtId="0" fontId="21" fillId="68" borderId="0" xfId="0" applyNumberFormat="1" applyFont="1" applyFill="1" applyBorder="1" applyAlignment="1">
      <x:alignment horizontal="left" vertical="center" wrapText="1"/>
    </x:xf>
    <x:xf numFmtId="0" fontId="21" fillId="68" borderId="0" xfId="0" applyNumberFormat="1" applyFont="1" applyFill="1" applyBorder="1" applyAlignment="1">
      <x:alignment horizontal="center" vertical="center" wrapText="1"/>
    </x:xf>
    <x:xf numFmtId="0" fontId="16" fillId="68" borderId="0" xfId="0" applyNumberFormat="1" applyFont="1" applyFill="1" applyBorder="1" applyAlignment="1">
      <x:alignment vertical="center" wrapText="0"/>
    </x:xf>
    <x:xf numFmtId="0" fontId="16" fillId="68" borderId="0" xfId="0" applyNumberFormat="1" applyFont="1" applyFill="1" applyBorder="1"/>
    <x:xf numFmtId="0" fontId="14" fillId="68" borderId="45" xfId="0" applyNumberFormat="1" applyFont="1" applyFill="1" applyBorder="1" applyAlignment="1">
      <x:alignment horizontal="center" vertical="center" wrapText="1"/>
    </x:xf>
    <x:xf numFmtId="0" fontId="16" fillId="68" borderId="0" xfId="0" applyNumberFormat="1" applyFont="1" applyFill="1" applyBorder="1" applyAlignment="1">
      <x:alignment vertical="center" wrapText="1"/>
    </x:xf>
    <x:xf numFmtId="0" fontId="16" fillId="68" borderId="0" xfId="0" applyNumberFormat="1" applyFont="1" applyFill="1" applyBorder="1" applyAlignment="1">
      <x:alignment wrapText="1"/>
    </x:xf>
    <x:xf numFmtId="0" fontId="14" fillId="69" borderId="0" xfId="0" applyNumberFormat="1" applyFont="1" applyFill="1" applyBorder="1" applyAlignment="1">
      <x:alignment horizontal="left" vertical="center" wrapText="1"/>
    </x:xf>
    <x:xf numFmtId="0" fontId="14" fillId="69" borderId="0" xfId="0" applyNumberFormat="1" applyFont="1" applyFill="1" applyBorder="1" applyAlignment="1">
      <x:alignment horizontal="center" vertical="center" wrapText="1"/>
    </x:xf>
    <x:xf numFmtId="0" fontId="22" fillId="69" borderId="0" xfId="0" applyNumberFormat="1" applyFont="1" applyFill="1" applyBorder="1" applyAlignment="1">
      <x:alignment horizontal="left" vertical="center" wrapText="1"/>
    </x:xf>
    <x:xf numFmtId="0" fontId="22" fillId="69" borderId="0" xfId="0" applyNumberFormat="1" applyFont="1" applyFill="1" applyBorder="1" applyAlignment="1">
      <x:alignment horizontal="center" vertical="center" wrapText="1"/>
    </x:xf>
    <x:xf numFmtId="0" fontId="21" fillId="70" borderId="0" xfId="0" applyNumberFormat="1" applyFont="1" applyFill="1" applyBorder="1" applyAlignment="1">
      <x:alignment horizontal="left" vertical="center" wrapText="1"/>
    </x:xf>
    <x:xf numFmtId="0" fontId="21" fillId="70" borderId="0" xfId="0" applyNumberFormat="1" applyFont="1" applyFill="1" applyBorder="1" applyAlignment="1">
      <x:alignment horizontal="center" vertical="center" wrapText="1"/>
    </x:xf>
    <x:xf numFmtId="0" fontId="18" fillId="70" borderId="0" xfId="0" applyNumberFormat="1" applyFont="1" applyFill="1" applyBorder="1" applyAlignment="1">
      <x:alignment horizontal="left" vertical="center" wrapText="1"/>
    </x:xf>
    <x:xf numFmtId="0" fontId="18" fillId="70" borderId="0" xfId="0" applyNumberFormat="1" applyFont="1" applyFill="1" applyBorder="1" applyAlignment="1">
      <x:alignment horizontal="center" vertical="center" wrapText="1"/>
    </x:xf>
    <x:xf numFmtId="0" fontId="14" fillId="71" borderId="0" xfId="0" applyNumberFormat="1" applyFont="1" applyFill="1" applyBorder="1" applyAlignment="1">
      <x:alignment horizontal="left" vertical="center" wrapText="1"/>
    </x:xf>
    <x:xf numFmtId="0" fontId="14" fillId="71" borderId="47" xfId="0" applyNumberFormat="1" applyFont="1" applyFill="1" applyBorder="1" applyAlignment="1">
      <x:alignment horizontal="left" vertical="center" wrapText="1"/>
    </x:xf>
    <x:xf numFmtId="0" fontId="14" fillId="71" borderId="48" xfId="0" applyNumberFormat="1" applyFont="1" applyFill="1" applyBorder="1" applyAlignment="1">
      <x:alignment horizontal="left" vertical="center" wrapText="1"/>
    </x:xf>
    <x:xf numFmtId="0" fontId="14" fillId="71" borderId="52" xfId="0" applyNumberFormat="1" applyFont="1" applyFill="1" applyBorder="1" applyAlignment="1">
      <x:alignment horizontal="left" vertical="center" wrapText="1"/>
    </x:xf>
    <x:xf numFmtId="0" fontId="16" fillId="72" borderId="0" xfId="0" applyNumberFormat="1" applyFont="1" applyFill="1" applyBorder="1" applyAlignment="1">
      <x:alignment horizontal="left" vertical="center" wrapText="1"/>
    </x:xf>
    <x:xf numFmtId="0" fontId="16" fillId="72" borderId="47" xfId="0" applyNumberFormat="1" applyFont="1" applyFill="1" applyBorder="1" applyAlignment="1">
      <x:alignment horizontal="left" vertical="center" wrapText="1"/>
    </x:xf>
    <x:xf numFmtId="0" fontId="16" fillId="72" borderId="48" xfId="0" applyNumberFormat="1" applyFont="1" applyFill="1" applyBorder="1" applyAlignment="1">
      <x:alignment horizontal="left" vertical="center" wrapText="1"/>
    </x:xf>
    <x:xf numFmtId="0" fontId="16" fillId="72" borderId="52" xfId="0" applyNumberFormat="1" applyFont="1" applyFill="1" applyBorder="1" applyAlignment="1">
      <x:alignment horizontal="left" vertical="center" wrapText="1"/>
    </x:xf>
    <x:xf numFmtId="0" fontId="14" fillId="73" borderId="0" xfId="0" applyNumberFormat="1" applyFont="1" applyFill="1" applyBorder="1" applyAlignment="1">
      <x:alignment horizontal="left" vertical="center" wrapText="1"/>
    </x:xf>
    <x:xf numFmtId="0" fontId="14" fillId="74" borderId="0" xfId="0" applyNumberFormat="1" applyFont="1" applyFill="1" applyBorder="1" applyAlignment="1">
      <x:alignment horizontal="left" vertical="center" wrapText="1"/>
    </x:xf>
    <x:xf numFmtId="0" fontId="14" fillId="75" borderId="0" xfId="0" applyNumberFormat="1" applyFont="1" applyFill="1" applyBorder="1" applyAlignment="1">
      <x:alignment horizontal="left" vertical="center" wrapText="1"/>
    </x:xf>
    <x:xf numFmtId="0" fontId="14" fillId="76" borderId="0" xfId="0" applyNumberFormat="1" applyFont="1" applyFill="1" applyBorder="1" applyAlignment="1">
      <x:alignment horizontal="left" vertical="center" wrapText="1"/>
    </x:xf>
    <x:xf numFmtId="0" fontId="14" fillId="77" borderId="0" xfId="0" applyNumberFormat="1" applyFont="1" applyFill="1" applyBorder="1" applyAlignment="1">
      <x:alignment horizontal="left" vertical="center" wrapText="1"/>
    </x:xf>
    <x:xf numFmtId="0" fontId="14" fillId="69" borderId="45" xfId="0" applyNumberFormat="1" applyFont="1" applyFill="1" applyBorder="1" applyAlignment="1">
      <x:alignment horizontal="center" vertical="center" wrapText="1"/>
    </x:xf>
    <x:xf numFmtId="0" fontId="14" fillId="69" borderId="45" xfId="0" applyNumberFormat="1" applyFont="1" applyFill="1" applyBorder="1" applyAlignment="1">
      <x:alignment horizontal="left" vertical="center" wrapText="1"/>
    </x:xf>
    <x:xf numFmtId="0" fontId="19" fillId="69" borderId="45" xfId="0" applyNumberFormat="1" applyFont="1" applyFill="1" applyBorder="1" applyAlignment="1">
      <x:alignment horizontal="left" vertical="center" wrapText="1"/>
    </x:xf>
    <x:xf numFmtId="0" fontId="19" fillId="69" borderId="0" xfId="0" applyNumberFormat="1" applyFont="1" applyFill="1" applyBorder="1" applyAlignment="1">
      <x:alignment horizontal="left" vertical="center" wrapText="1"/>
    </x:xf>
    <x:xf numFmtId="0" fontId="19" fillId="69" borderId="45" xfId="0" applyNumberFormat="1" applyFont="1" applyFill="1" applyBorder="1" applyAlignment="1">
      <x:alignment horizontal="center" vertical="center" wrapText="1"/>
    </x:xf>
    <x:xf numFmtId="0" fontId="19" fillId="69" borderId="0" xfId="0" applyNumberFormat="1" applyFont="1" applyFill="1" applyBorder="1" applyAlignment="1">
      <x:alignment horizontal="center" vertical="center" wrapText="1"/>
    </x:xf>
    <x:xf numFmtId="0" fontId="16" fillId="69" borderId="0" xfId="0" applyNumberFormat="1" applyFont="1" applyFill="1" applyBorder="1" applyAlignment="1">
      <x:alignment vertical="center" wrapText="1"/>
    </x:xf>
    <x:xf numFmtId="0" fontId="14" fillId="69" borderId="0" xfId="0" applyNumberFormat="1" applyFont="1" applyFill="1" applyBorder="1" applyAlignment="1">
      <x:alignment vertical="center" wrapText="1"/>
    </x:xf>
    <x:xf numFmtId="201" fontId="14" fillId="78" borderId="47" xfId="0" applyNumberFormat="1" applyFont="1" applyFill="1" applyBorder="1" applyAlignment="1">
      <x:alignment horizontal="center" vertical="center" wrapText="1"/>
    </x:xf>
    <x:xf numFmtId="201" fontId="14" fillId="78" borderId="48" xfId="0" applyNumberFormat="1" applyFont="1" applyFill="1" applyBorder="1" applyAlignment="1">
      <x:alignment horizontal="center" vertical="center" wrapText="1"/>
    </x:xf>
    <x:xf numFmtId="203" fontId="14" fillId="78" borderId="52" xfId="0" applyNumberFormat="1" applyFont="1" applyFill="1" applyBorder="1" applyAlignment="1">
      <x:alignment horizontal="center" vertical="center" wrapText="1"/>
    </x:xf>
    <x:xf numFmtId="201" fontId="14" fillId="78" borderId="0" xfId="0" applyNumberFormat="1" applyFont="1" applyFill="1" applyBorder="1" applyAlignment="1">
      <x:alignment horizontal="center" vertical="center" wrapText="1"/>
    </x:xf>
    <x:xf numFmtId="203" fontId="14" fillId="78" borderId="0" xfId="0" applyNumberFormat="1" applyFont="1" applyFill="1" applyBorder="1" applyAlignment="1">
      <x:alignment horizontal="center" vertical="center" wrapText="1"/>
    </x:xf>
    <x:xf numFmtId="0" fontId="14" fillId="18" borderId="0" xfId="0" applyNumberFormat="1" applyFont="1" applyFill="1" applyBorder="1" applyAlignment="1">
      <x:alignment horizontal="center" vertical="center" wrapText="1"/>
    </x:xf>
    <x:xf numFmtId="0" fontId="22" fillId="18" borderId="0" xfId="0" applyNumberFormat="1" applyFont="1" applyFill="1" applyBorder="1" applyAlignment="1">
      <x:alignment horizontal="left" vertical="center" wrapText="1"/>
    </x:xf>
    <x:xf numFmtId="0" fontId="22" fillId="18" borderId="0" xfId="0" applyNumberFormat="1" applyFont="1" applyFill="1" applyBorder="1" applyAlignment="1">
      <x:alignment horizontal="center" vertical="center" wrapText="1"/>
    </x:xf>
    <x:xf numFmtId="0" fontId="21" fillId="10" borderId="0" xfId="0" applyNumberFormat="1" applyFont="1" applyFill="1" applyBorder="1" applyAlignment="1">
      <x:alignment horizontal="left" vertical="center" wrapText="1"/>
    </x:xf>
    <x:xf numFmtId="0" fontId="21" fillId="10" borderId="0" xfId="0" applyNumberFormat="1" applyFont="1" applyFill="1" applyBorder="1" applyAlignment="1">
      <x:alignment horizontal="center" vertical="center" wrapText="1"/>
    </x:xf>
    <x:xf numFmtId="0" fontId="16" fillId="18" borderId="0" xfId="0" applyNumberFormat="1" applyFont="1" applyFill="1" applyBorder="1" applyAlignment="1">
      <x:alignment vertical="center" wrapText="1"/>
    </x:xf>
    <x:xf numFmtId="0" fontId="14" fillId="18" borderId="0" xfId="0" applyNumberFormat="1" applyFont="1" applyFill="1" applyBorder="1" applyAlignment="1">
      <x:alignment vertical="center" wrapText="1"/>
    </x:xf>
    <x:xf numFmtId="0" fontId="2" fillId="79" borderId="0" xfId="0" applyNumberFormat="1" applyFont="1" applyFill="1" applyBorder="1" applyAlignment="1">
      <x:alignment horizontal="center" vertical="center" wrapText="1"/>
    </x:xf>
    <x:xf numFmtId="0" fontId="14" fillId="80" borderId="0" xfId="0" applyNumberFormat="1" applyFont="1" applyFill="1" applyBorder="1" applyAlignment="1">
      <x:alignment horizontal="left" vertical="center" wrapText="1"/>
    </x:xf>
    <x:xf numFmtId="0" fontId="14" fillId="33" borderId="0" xfId="0" applyNumberFormat="1" applyFont="1" applyFill="1" applyBorder="1" applyAlignment="1">
      <x:alignment horizontal="center" vertical="center" wrapText="0"/>
    </x:xf>
    <x:xf numFmtId="0" fontId="23" fillId="33" borderId="0" xfId="0" applyNumberFormat="1" applyFont="1" applyFill="1" applyBorder="1" applyAlignment="1">
      <x:alignment horizontal="center" vertical="center" wrapText="0"/>
    </x:xf>
    <x:xf numFmtId="0" fontId="1" fillId="81" borderId="0" xfId="0" applyNumberFormat="1" applyFont="1" applyFill="1" applyBorder="1" applyAlignment="1">
      <x:alignment horizontal="center" vertical="center"/>
    </x:xf>
    <x:xf numFmtId="0" fontId="13" fillId="81" borderId="0" xfId="0" applyNumberFormat="1" applyFont="1" applyFill="1" applyBorder="1" applyAlignment="1">
      <x:alignment horizontal="center" vertical="center"/>
    </x:xf>
    <x:xf numFmtId="0" fontId="13" fillId="81" borderId="0" xfId="0" applyNumberFormat="1" applyFont="1" applyFill="1" applyBorder="1" applyAlignment="1">
      <x:alignment horizontal="center" vertical="center" wrapText="1"/>
    </x:xf>
    <x:xf numFmtId="0" fontId="0" fillId="82" borderId="0" xfId="0" applyNumberFormat="1" applyFont="1" applyFill="1" applyBorder="1"/>
    <x:xf numFmtId="0" fontId="18" fillId="82" borderId="0" xfId="0" applyNumberFormat="1" applyFont="1" applyFill="1" applyBorder="1"/>
    <x:xf numFmtId="0" fontId="18" fillId="82" borderId="0" xfId="0" applyNumberFormat="1" applyFont="1" applyFill="1" applyBorder="1" applyAlignment="1">
      <x:alignment wrapText="1"/>
    </x:xf>
    <x:xf numFmtId="0" fontId="18" fillId="82" borderId="0" xfId="0" applyNumberFormat="1" applyFont="1" applyFill="1" applyBorder="1" applyAlignment="1">
      <x:alignment horizontal="center" wrapText="1"/>
    </x:xf>
    <x:xf numFmtId="0" fontId="18" fillId="82" borderId="0" xfId="0" applyNumberFormat="1" applyFont="1" applyFill="1" applyBorder="1" applyAlignment="1">
      <x:alignment horizontal="center" vertical="center" wrapText="1"/>
    </x:xf>
    <x:xf numFmtId="0" fontId="2" fillId="81" borderId="0" xfId="0" applyNumberFormat="1" applyFont="1" applyFill="1" applyBorder="1" applyAlignment="1">
      <x:alignment horizontal="center" vertical="center" wrapText="1"/>
    </x:xf>
    <x:xf numFmtId="0" fontId="13" fillId="81" borderId="0" xfId="0" applyNumberFormat="1" applyFont="1" applyFill="1" applyBorder="1" applyAlignment="1">
      <x:alignment horizontal="center" vertical="center" wrapText="0"/>
    </x:xf>
    <x:xf numFmtId="0" fontId="1" fillId="18" borderId="0" xfId="0" applyNumberFormat="1" applyFont="1" applyFill="1" applyBorder="1" applyAlignment="1">
      <x:alignment horizontal="center" vertical="center"/>
    </x:xf>
    <x:xf numFmtId="0" fontId="13" fillId="18" borderId="0" xfId="0" applyNumberFormat="1" applyFont="1" applyFill="1" applyBorder="1" applyAlignment="1">
      <x:alignment horizontal="center" vertical="center"/>
    </x:xf>
    <x:xf numFmtId="0" fontId="18" fillId="10" borderId="0" xfId="0" applyNumberFormat="1" applyFont="1" applyFill="1" applyBorder="1"/>
    <x:xf numFmtId="0" fontId="18" fillId="10" borderId="0" xfId="0" applyNumberFormat="1" applyFont="1" applyFill="1" applyBorder="1" applyAlignment="1">
      <x:alignment wrapText="1"/>
    </x:xf>
    <x:xf numFmtId="0" fontId="18" fillId="10" borderId="0" xfId="0" applyNumberFormat="1" applyFont="1" applyFill="1" applyBorder="1" applyAlignment="1">
      <x:alignment horizontal="center" wrapText="1"/>
    </x:xf>
    <x:xf numFmtId="0" fontId="2" fillId="8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0" fillId="84" borderId="0" xfId="0" applyNumberFormat="1" applyFont="1" applyFill="1" applyBorder="1" applyAlignment="1">
      <x:alignment wrapText="1"/>
    </x:xf>
    <x:xf numFmtId="0" fontId="3" fillId="84" borderId="0" xfId="0" applyNumberFormat="1" applyFont="1" applyFill="1" applyBorder="1" applyAlignment="1">
      <x:alignment wrapText="1"/>
    </x:xf>
    <x:xf numFmtId="0" fontId="3" fillId="84" borderId="0" xfId="0" applyNumberFormat="1" applyFont="1" applyFill="1" applyBorder="1" applyAlignment="1">
      <x:alignment vertical="center" wrapText="1"/>
    </x:xf>
    <x:xf numFmtId="203" fontId="3" fillId="84" borderId="0" xfId="0" applyNumberFormat="1" applyFont="1" applyFill="1" applyBorder="1" applyAlignment="1">
      <x:alignment vertical="center" wrapText="1"/>
    </x:xf>
    <x:xf numFmtId="201" fontId="3" fillId="84" borderId="0" xfId="0" applyNumberFormat="1" applyFont="1" applyFill="1" applyBorder="1" applyAlignment="1">
      <x:alignment vertical="center" wrapText="1"/>
    </x:xf>
    <x:xf numFmtId="203" fontId="3" fillId="84" borderId="0" xfId="0" applyNumberFormat="1" applyFont="1" applyFill="1" applyBorder="1" applyAlignment="1">
      <x:alignment horizontal="center" vertical="center" wrapText="1"/>
    </x:xf>
    <x:xf numFmtId="0" fontId="3" fillId="84" borderId="0" xfId="0" applyNumberFormat="1" applyFont="1" applyFill="1" applyBorder="1" applyAlignment="1">
      <x:alignment horizontal="center" vertical="center" wrapText="1"/>
    </x:xf>
    <x:xf numFmtId="202" fontId="3" fillId="84" borderId="0" xfId="0" applyNumberFormat="1" applyFont="1" applyFill="1" applyBorder="1" applyAlignment="1">
      <x:alignment vertical="center" wrapText="1"/>
    </x:xf>
    <x:xf numFmtId="202" fontId="3" fillId="84" borderId="0" xfId="0" applyNumberFormat="1" applyFont="1" applyFill="1" applyBorder="1" applyAlignment="1">
      <x:alignment horizontal="center" vertical="center" wrapText="1"/>
    </x:xf>
    <x:xf numFmtId="0" fontId="0" fillId="85" borderId="0" xfId="0" applyNumberFormat="1" applyFont="1" applyFill="1" applyBorder="1"/>
    <x:xf numFmtId="0" fontId="3" fillId="85" borderId="0" xfId="0" applyNumberFormat="1" applyFont="1" applyFill="1" applyBorder="1"/>
    <x:xf numFmtId="0" fontId="3" fillId="85" borderId="0" xfId="0" applyNumberFormat="1" applyFont="1" applyFill="1" applyBorder="1" applyAlignment="1">
      <x:alignment wrapText="1"/>
    </x:xf>
    <x:xf numFmtId="0" fontId="3" fillId="85" borderId="0" xfId="0" applyNumberFormat="1" applyFont="1" applyFill="1" applyBorder="1" applyAlignment="1">
      <x:alignment vertical="center" wrapText="1"/>
    </x:xf>
    <x:xf numFmtId="0" fontId="3" fillId="85" borderId="0" xfId="0" applyNumberFormat="1" applyFont="1" applyFill="1" applyBorder="1" applyAlignment="1">
      <x:alignment horizontal="center" vertical="center" wrapText="1"/>
    </x:xf>
    <x:xf numFmtId="203" fontId="3" fillId="85" borderId="0" xfId="0" applyNumberFormat="1" applyFont="1" applyFill="1" applyBorder="1" applyAlignment="1">
      <x:alignment horizontal="center" vertical="center" wrapText="1"/>
    </x:xf>
    <x:xf numFmtId="202" fontId="3" fillId="85"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203" fontId="3" fillId="4" borderId="0" xfId="0" applyNumberFormat="1" applyFont="1" applyFill="1" applyBorder="1" applyAlignment="1">
      <x:alignment horizontal="center" vertical="center" wrapText="1"/>
    </x:xf>
    <x:xf numFmtId="202" fontId="3" fillId="4" borderId="0" xfId="0" applyNumberFormat="1" applyFont="1" applyFill="1" applyBorder="1" applyAlignment="1">
      <x:alignment horizontal="center" vertical="center" wrapText="1"/>
    </x:xf>
    <x:xf numFmtId="205" fontId="0" fillId="0" borderId="0" xfId="0" applyNumberFormat="1" applyFont="1" applyFill="1" applyBorder="1" applyAlignment="1">
      <x:alignment vertical="top" wrapText="1"/>
    </x:xf>
    <x:xf numFmtId="205" fontId="0" fillId="0" borderId="0" xfId="0" applyNumberFormat="1" applyFont="1" applyFill="1" applyBorder="1" applyAlignment="1">
      <x:alignment wrapText="1"/>
    </x:xf>
    <x:xf numFmtId="205" fontId="0" fillId="0" borderId="0" xfId="0" applyNumberFormat="1" applyFont="1" applyFill="1" applyBorder="1" applyAlignment="1">
      <x:alignment horizontal="center" vertical="top" wrapText="1"/>
    </x:xf>
    <x:xf numFmtId="205" fontId="0" fillId="0" borderId="0" xfId="0" applyNumberFormat="1" applyFont="1" applyFill="1" applyBorder="1" applyAlignment="1">
      <x:alignment horizontal="center" wrapText="1"/>
    </x:xf>
    <x:xf numFmtId="205" fontId="0" fillId="0" borderId="0" xfId="0" applyNumberFormat="1" applyFont="1" applyFill="1" applyBorder="1" applyAlignment="1">
      <x:alignment horizontal="center" vertical="center" wrapText="1"/>
    </x:xf>
    <x:xf numFmtId="0" fontId="0" fillId="86" borderId="0" xfId="0" applyNumberFormat="1" applyFont="1" applyFill="1" applyBorder="1"/>
    <x:xf numFmtId="0" fontId="13" fillId="86" borderId="0" xfId="0" applyNumberFormat="1" applyFont="1" applyFill="1" applyBorder="1"/>
    <x:xf numFmtId="0" fontId="13" fillId="86" borderId="0" xfId="0" applyNumberFormat="1" applyFont="1" applyFill="1" applyBorder="1" applyAlignment="1">
      <x:alignment wrapText="1"/>
    </x:xf>
    <x:xf numFmtId="0" fontId="13" fillId="86" borderId="0" xfId="0" applyNumberFormat="1" applyFont="1" applyFill="1" applyBorder="1" applyAlignment="1">
      <x:alignment horizontal="center" wrapText="1"/>
    </x:xf>
    <x:xf numFmtId="0" fontId="13" fillId="86" borderId="0" xfId="0" applyNumberFormat="1" applyFont="1" applyFill="1" applyBorder="1" applyAlignment="1">
      <x:alignment horizontal="center" vertical="center" wrapText="1"/>
    </x:xf>
    <x:xf numFmtId="0" fontId="0" fillId="87" borderId="0" xfId="0" applyNumberFormat="1" applyFont="1" applyFill="1" applyBorder="1"/>
    <x:xf numFmtId="0" fontId="18" fillId="87" borderId="0" xfId="0" applyNumberFormat="1" applyFont="1" applyFill="1" applyBorder="1"/>
    <x:xf numFmtId="0" fontId="18" fillId="87" borderId="0" xfId="0" applyNumberFormat="1" applyFont="1" applyFill="1" applyBorder="1" applyAlignment="1">
      <x:alignment wrapText="1"/>
    </x:xf>
    <x:xf numFmtId="0" fontId="18" fillId="87" borderId="0" xfId="0" applyNumberFormat="1" applyFont="1" applyFill="1" applyBorder="1" applyAlignment="1">
      <x:alignment horizontal="center" wrapText="1"/>
    </x:xf>
    <x:xf numFmtId="0" fontId="18" fillId="87" borderId="0" xfId="0" applyNumberFormat="1" applyFont="1" applyFill="1" applyBorder="1" applyAlignment="1">
      <x:alignment horizontal="center" vertical="center" wrapText="1"/>
    </x:xf>
    <x:xf numFmtId="0" fontId="2" fillId="86" borderId="0" xfId="0" applyNumberFormat="1" applyFont="1" applyFill="1" applyBorder="1"/>
    <x:xf numFmtId="0" fontId="2" fillId="86" borderId="0" xfId="0" applyNumberFormat="1" applyFont="1" applyFill="1" applyBorder="1" applyAlignment="1">
      <x:alignment wrapText="1"/>
    </x:xf>
    <x:xf numFmtId="0" fontId="2" fillId="86" borderId="0" xfId="0" applyNumberFormat="1" applyFont="1" applyFill="1" applyBorder="1" applyAlignment="1">
      <x:alignment horizontal="center" wrapText="1"/>
    </x:xf>
    <x:xf numFmtId="0" fontId="2" fillId="86" borderId="0" xfId="0" applyNumberFormat="1" applyFont="1" applyFill="1" applyBorder="1" applyAlignment="1">
      <x:alignment horizontal="center" vertical="center" wrapText="1"/>
    </x:xf>
    <x:xf numFmtId="0" fontId="0" fillId="88" borderId="0" xfId="0" applyNumberFormat="1" applyFont="1" applyFill="1" applyBorder="1"/>
    <x:xf numFmtId="0" fontId="3" fillId="88" borderId="0" xfId="0" applyNumberFormat="1" applyFont="1" applyFill="1" applyBorder="1"/>
    <x:xf numFmtId="0" fontId="3" fillId="88" borderId="0" xfId="0" applyNumberFormat="1" applyFont="1" applyFill="1" applyBorder="1" applyAlignment="1">
      <x:alignment wrapText="1"/>
    </x:xf>
    <x:xf numFmtId="0" fontId="3" fillId="88" borderId="0" xfId="0" applyNumberFormat="1" applyFont="1" applyFill="1" applyBorder="1" applyAlignment="1">
      <x:alignment vertical="center" wrapText="1"/>
    </x:xf>
    <x:xf numFmtId="0" fontId="3" fillId="88" borderId="0" xfId="0" applyNumberFormat="1" applyFont="1" applyFill="1" applyBorder="1" applyAlignment="1">
      <x:alignment horizontal="left" vertical="center" wrapText="1"/>
    </x:xf>
    <x:xf numFmtId="0" fontId="3" fillId="88" borderId="0" xfId="0" applyNumberFormat="1" applyFont="1" applyFill="1" applyBorder="1" applyAlignment="1">
      <x:alignment horizontal="center" vertical="center" wrapText="1"/>
    </x:xf>
    <x:xf numFmtId="202" fontId="3" fillId="88" borderId="0" xfId="0" applyNumberFormat="1" applyFont="1" applyFill="1" applyBorder="1" applyAlignment="1">
      <x:alignment horizontal="center" vertical="center" wrapText="1"/>
    </x:xf>
    <x:xf numFmtId="207" fontId="3" fillId="88" borderId="0" xfId="0" applyNumberFormat="1" applyFont="1" applyFill="1" applyBorder="1" applyAlignment="1">
      <x:alignment horizontal="center" vertical="center" wrapText="1"/>
    </x:xf>
    <x:xf numFmtId="208" fontId="3" fillId="88" borderId="0" xfId="0" applyNumberFormat="1" applyFont="1" applyFill="1" applyBorder="1" applyAlignment="1">
      <x:alignment horizontal="center" vertical="center" wrapText="1"/>
    </x:xf>
    <x:xf numFmtId="203" fontId="3" fillId="88" borderId="0" xfId="0" applyNumberFormat="1" applyFont="1" applyFill="1" applyBorder="1" applyAlignment="1">
      <x:alignment horizontal="center" vertical="center" wrapText="1"/>
    </x:xf>
    <x:xf numFmtId="0" fontId="13" fillId="18" borderId="0" xfId="0" applyNumberFormat="1" applyFont="1" applyFill="1" applyBorder="1" applyAlignment="1">
      <x:alignment wrapText="1"/>
    </x:xf>
    <x:xf numFmtId="0" fontId="13" fillId="18" borderId="0" xfId="0" applyNumberFormat="1" applyFont="1" applyFill="1" applyBorder="1" applyAlignment="1">
      <x:alignment horizontal="center" wrapText="1"/>
    </x:xf>
    <x:xf numFmtId="207" fontId="3" fillId="4" borderId="0" xfId="0" applyNumberFormat="1" applyFont="1" applyFill="1" applyBorder="1" applyAlignment="1">
      <x:alignment horizontal="center" vertical="center" wrapText="1"/>
    </x:xf>
    <x:xf numFmtId="208" fontId="3" fillId="4" borderId="0" xfId="0" applyNumberFormat="1" applyFont="1" applyFill="1" applyBorder="1" applyAlignment="1">
      <x:alignment horizontal="center" vertical="center" wrapText="1"/>
    </x:xf>
    <x:xf numFmtId="0" fontId="3" fillId="89" borderId="0" xfId="0" applyNumberFormat="1" applyFont="1" applyFill="1" applyBorder="1" applyAlignment="1">
      <x:alignment vertical="center" wrapText="1"/>
    </x:xf>
    <x:xf numFmtId="203" fontId="3" fillId="89" borderId="0" xfId="0" applyNumberFormat="1" applyFont="1" applyFill="1" applyBorder="1" applyAlignment="1">
      <x:alignment horizontal="center" vertical="center" wrapText="1"/>
    </x:xf>
    <x:xf numFmtId="0" fontId="3" fillId="89" borderId="0" xfId="0" applyNumberFormat="1" applyFont="1" applyFill="1" applyBorder="1" applyAlignment="1">
      <x:alignment horizontal="center" vertical="center" wrapText="1"/>
    </x:xf>
    <x:xf numFmtId="201" fontId="3" fillId="89" borderId="0" xfId="0" applyNumberFormat="1" applyFont="1" applyFill="1" applyBorder="1" applyAlignment="1">
      <x:alignment vertical="center" wrapText="1"/>
    </x:xf>
    <x:xf numFmtId="202" fontId="3" fillId="89" borderId="0" xfId="0" applyNumberFormat="1" applyFont="1" applyFill="1" applyBorder="1" applyAlignment="1">
      <x:alignment horizontal="center" vertical="center" wrapText="1"/>
    </x:xf>
    <x:xf numFmtId="0" fontId="23" fillId="33" borderId="0" xfId="0" applyNumberFormat="1" applyFont="1" applyFill="1" applyBorder="1" applyAlignment="1">
      <x:alignment horizontal="center" vertical="center"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8" fillId="2"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203" fontId="2" fillId="20" borderId="0" xfId="0" applyNumberFormat="1" applyFont="1" applyFill="1" applyBorder="1" applyAlignment="1">
      <x:alignment horizontal="center" wrapText="1"/>
    </x:xf>
    <x:xf numFmtId="0" fontId="14" fillId="90" borderId="0" xfId="0" applyNumberFormat="1" applyFont="1" applyFill="1" applyBorder="1" applyAlignment="1">
      <x:alignment horizontal="left" vertical="center" wrapText="1"/>
    </x:xf>
    <x:xf numFmtId="0" fontId="16" fillId="90" borderId="0" xfId="0" applyNumberFormat="1" applyFont="1" applyFill="1" applyBorder="1" applyAlignment="1">
      <x:alignment horizontal="left" vertical="center" wrapText="1"/>
    </x:xf>
    <x:xf numFmtId="0" fontId="19" fillId="91" borderId="0" xfId="0" applyNumberFormat="1" applyFont="1" applyFill="1" applyBorder="1" applyAlignment="1">
      <x:alignment horizontal="center" vertical="center" wrapText="1"/>
    </x:xf>
    <x:xf numFmtId="0" fontId="14" fillId="91" borderId="0" xfId="0" applyNumberFormat="1" applyFont="1" applyFill="1" applyBorder="1" applyAlignment="1">
      <x:alignment horizontal="left" vertical="center" wrapText="1"/>
    </x:xf>
    <x:xf numFmtId="0" fontId="24" fillId="91" borderId="0" xfId="0" applyNumberFormat="1" applyFont="1" applyFill="1" applyBorder="1" applyAlignment="1">
      <x:alignment horizontal="center" vertical="center" wrapText="1"/>
    </x:xf>
    <x:xf numFmtId="0" fontId="25" fillId="91" borderId="0" xfId="0" applyNumberFormat="1" applyFont="1" applyFill="1" applyBorder="1" applyAlignment="1">
      <x:alignment horizontal="left" vertical="center" wrapText="1"/>
    </x:xf>
    <x:xf numFmtId="0" fontId="14" fillId="92" borderId="0" xfId="0" applyNumberFormat="1" applyFont="1" applyFill="1" applyBorder="1" applyAlignment="1">
      <x:alignment horizontal="left" vertical="center" wrapText="1"/>
    </x:xf>
    <x:xf numFmtId="0" fontId="16" fillId="93" borderId="0" xfId="0" applyNumberFormat="1" applyFont="1" applyFill="1" applyBorder="1" applyAlignment="1">
      <x:alignment horizontal="left" vertical="center" wrapText="1"/>
    </x:xf>
    <x:xf numFmtId="0" fontId="26" fillId="93" borderId="0" xfId="0" applyNumberFormat="1" applyFont="1" applyFill="1" applyBorder="1" applyAlignment="1">
      <x:alignment horizontal="left" vertical="center" wrapText="1"/>
    </x:xf>
    <x:xf numFmtId="0" fontId="14" fillId="94" borderId="0" xfId="0" applyNumberFormat="1" applyFont="1" applyFill="1" applyBorder="1" applyAlignment="1">
      <x:alignment horizontal="left" vertical="center" wrapText="1"/>
    </x:xf>
    <x:xf numFmtId="0" fontId="16" fillId="95" borderId="0" xfId="0" applyNumberFormat="1" applyFont="1" applyFill="1" applyBorder="1" applyAlignment="1">
      <x:alignment horizontal="left" vertical="center" wrapText="1"/>
    </x:xf>
    <x:xf numFmtId="0" fontId="14" fillId="95" borderId="0" xfId="0" applyNumberFormat="1" applyFont="1" applyFill="1" applyBorder="1" applyAlignment="1">
      <x:alignment horizontal="left" vertical="center" wrapText="1"/>
    </x:xf>
    <x:xf numFmtId="0" fontId="14" fillId="96" borderId="0" xfId="0" applyNumberFormat="1" applyFont="1" applyFill="1" applyBorder="1" applyAlignment="1">
      <x:alignment horizontal="left" vertical="center" wrapText="1"/>
    </x:xf>
    <x:xf numFmtId="0" fontId="27" fillId="96" borderId="0" xfId="0" applyNumberFormat="1" applyFont="1" applyFill="1" applyBorder="1" applyAlignment="1">
      <x:alignment horizontal="left" vertical="center" wrapText="1"/>
    </x:xf>
    <x:xf numFmtId="0" fontId="16" fillId="97" borderId="0" xfId="0" applyNumberFormat="1" applyFont="1" applyFill="1" applyBorder="1" applyAlignment="1">
      <x:alignment horizontal="left" vertical="center" wrapText="1"/>
    </x:xf>
    <x:xf numFmtId="0" fontId="27" fillId="97" borderId="0" xfId="0" applyNumberFormat="1" applyFont="1" applyFill="1" applyBorder="1" applyAlignment="1">
      <x:alignment horizontal="left" vertical="center" wrapText="1"/>
    </x:xf>
    <x:xf numFmtId="0" fontId="9" fillId="10" borderId="0" xfId="0" applyNumberFormat="1" applyFont="1" applyFill="1" applyBorder="1" applyAlignment="1">
      <x:alignment vertical="center" wrapText="1"/>
    </x:xf>
    <x:xf numFmtId="203" fontId="2" fillId="20"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center" wrapText="1"/>
    </x:xf>
    <x:xf numFmtId="209" fontId="3" fillId="4" borderId="0" xfId="0" applyNumberFormat="1" applyFont="1" applyFill="1" applyBorder="1" applyAlignment="1">
      <x:alignment vertical="center" wrapText="1"/>
    </x:xf>
    <x:xf numFmtId="209" fontId="3" fillId="4" borderId="0" xfId="0" applyNumberFormat="1" applyFont="1" applyFill="1" applyBorder="1" applyAlignment="1">
      <x:alignment horizontal="center" vertical="center" wrapText="1"/>
    </x:xf>
    <x:xf numFmtId="210" fontId="16" fillId="20" borderId="0" xfId="0" applyNumberFormat="1" applyFont="1" applyFill="1" applyBorder="1" applyAlignment="1">
      <x:alignment horizontal="center" vertical="center" wrapText="1"/>
    </x:xf>
    <x:xf numFmtId="210" fontId="16" fillId="20" xfId="0" applyNumberFormat="1" applyFont="1" applyFill="1" applyBorder="0" applyAlignment="1">
      <x:alignment horizontal="center" vertical="center" wrapText="1"/>
    </x:xf>
    <x:xf numFmtId="210" fontId="0" fillId="0" borderId="0" xfId="0" applyNumberFormat="1" applyFont="1" applyFill="1" applyBorder="1" applyAlignment="1">
      <x:alignment vertical="top" wrapText="1"/>
    </x:xf>
    <x:xf numFmtId="210" fontId="0" fillId="0" borderId="0" xfId="0" applyNumberFormat="1" applyFont="1" applyFill="1" applyBorder="1" applyAlignment="1">
      <x:alignment wrapText="1"/>
    </x:xf>
  </x:cellXfs>
  <x:cellStyles count="1">
    <x:cellStyle name="Normal" xfId="0"/>
  </x:cellStyles>
  <x:dxfs count="40">
    <x:dxf>
      <x:font>
        <x:color rgb="FF000000"/>
      </x:font>
      <x:fill>
        <x:patternFill>
          <x:bgColor rgb="FFD9EAD3"/>
        </x:patternFill>
      </x:fill>
    </x:dxf>
    <x:dxf>
      <x:font>
        <x:color rgb="FF000000"/>
      </x:font>
      <x:fill>
        <x:patternFill>
          <x:bgColor rgb="FFE7E6E6"/>
        </x:patternFill>
      </x:fill>
    </x:dxf>
    <x:dxf>
      <x:font>
        <x:color rgb="FF000000"/>
      </x:font>
      <x:fill>
        <x:patternFill>
          <x:bgColor rgb="FFFFF2CC"/>
        </x:patternFill>
      </x:fill>
    </x:dxf>
    <x:dxf>
      <x:font>
        <x:color rgb="FF000000"/>
      </x:font>
      <x:fill>
        <x:patternFill>
          <x:bgColor rgb="FFD9EAF7"/>
        </x:patternFill>
      </x:fill>
    </x:dxf>
    <x:dxf>
      <x:font>
        <x:color rgb="FF000000"/>
      </x:font>
      <x:fill>
        <x:patternFill>
          <x:bgColor rgb="FFF4CCCC"/>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color rgb="FF7A4E00"/>
      </x:font>
      <x:fill>
        <x:patternFill>
          <x:bgColor rgb="FFFFF8E1"/>
        </x:patternFill>
      </x:fill>
    </x:dxf>
    <x:dxf>
      <x:font>
        <x:b/>
        <x:color rgb="FF7A4E00"/>
      </x:font>
      <x:fill>
        <x:patternFill>
          <x:bgColor rgb="FFFFF8E1"/>
        </x:patternFill>
      </x:fill>
    </x:dxf>
    <x:dxf>
      <x:font>
        <x:color rgb="FF020C1B"/>
      </x:font>
      <x:fill>
        <x:patternFill>
          <x:bgColor rgb="FFF5F7FA"/>
        </x:patternFill>
      </x:fill>
    </x:dxf>
    <x:dxf>
      <x:font>
        <x:color rgb="FF020C1B"/>
      </x:font>
      <x:fill>
        <x:patternFill>
          <x:bgColor rgb="FFFFF2A8"/>
        </x:patternFill>
      </x:fill>
    </x:dxf>
    <x:dxf>
      <x:font>
        <x:color rgb="FF020C1B"/>
      </x:font>
      <x:fill>
        <x:patternFill>
          <x:bgColor rgb="FFFFE699"/>
        </x:patternFill>
      </x:fill>
    </x:dxf>
    <x:dxf>
      <x:fill>
        <x:patternFill>
          <x:bgColor rgb="FF0C1F3A"/>
        </x:patternFill>
      </x:fill>
    </x:dxf>
    <x:dxf>
      <x:fill>
        <x:patternFill>
          <x:bgColor rgb="FF132A49"/>
        </x:patternFill>
      </x:fill>
    </x:dxf>
    <x:dxf>
      <x:font>
        <x:b/>
        <x:color rgb="FF1F5D2A"/>
      </x:font>
      <x:fill>
        <x:patternFill>
          <x:bgColor rgb="FFE2F0D9"/>
        </x:patternFill>
      </x:fill>
    </x:dxf>
    <x:dxf>
      <x:font>
        <x:b/>
        <x:color rgb="FF244A66"/>
      </x:font>
      <x:fill>
        <x:patternFill>
          <x:bgColor rgb="FFDDEBF7"/>
        </x:patternFill>
      </x:fill>
    </x:dxf>
    <x:dxf>
      <x:font>
        <x:b/>
        <x:color rgb="FF8A2F2A"/>
      </x:font>
      <x:fill>
        <x:patternFill>
          <x:bgColor rgb="FFFCE4D6"/>
        </x:patternFill>
      </x:fill>
    </x:dxf>
    <x:dxf>
      <x:font>
        <x:b/>
        <x:color rgb="FF6B4A12"/>
      </x:font>
      <x:fill>
        <x:patternFill>
          <x:bgColor rgb="FFFFF4D6"/>
        </x:patternFill>
      </x:fill>
    </x:dxf>
    <x:dxf>
      <x:font>
        <x:b/>
        <x:color rgb="FF1F5D2A"/>
      </x:font>
      <x:fill>
        <x:patternFill>
          <x:bgColor rgb="FFE2F0D9"/>
        </x:patternFill>
      </x:fill>
    </x:dxf>
    <x:dxf>
      <x:font>
        <x:b/>
        <x:color rgb="FF244A66"/>
      </x:font>
      <x:fill>
        <x:patternFill>
          <x:bgColor rgb="FFDDEBF7"/>
        </x:patternFill>
      </x:fill>
    </x:dxf>
    <x:dxf>
      <x:font>
        <x:b/>
        <x:color rgb="FF8A2F2A"/>
      </x:font>
      <x:fill>
        <x:patternFill>
          <x:bgColor rgb="FFFCE4D6"/>
        </x:patternFill>
      </x:fill>
    </x:dxf>
    <x:dxf>
      <x:font>
        <x:b/>
        <x:color rgb="FF6B4A12"/>
      </x:font>
      <x:fill>
        <x:patternFill>
          <x:bgColor rgb="FFFFF4D6"/>
        </x:patternFill>
      </x:fill>
    </x:dxf>
    <x:dxf>
      <x:numFmt numFmtId="209" formatCode="#,##0.00 &quot;chips&quot;"/>
    </x:dxf>
    <x:dxf>
      <x:numFmt numFmtId="209" formatCode="#,##0.00 &quot;chips&quot;"/>
    </x:dxf>
    <x:dxf>
      <x:numFmt numFmtId="209" formatCode="#,##0.00 &quot;chips&quot;"/>
    </x:dxf>
    <x:dxf>
      <x:numFmt numFmtId="209" formatCode="#,##0.00 &quot;chips&quot;"/>
    </x:dxf>
    <x:dxf>
      <x:numFmt numFmtId="209" formatCode="#,##0.00 &quot;chips&quot;"/>
    </x:dxf>
    <x:dxf>
      <x:font>
        <x:color rgb="FF000000"/>
      </x:font>
      <x:fill>
        <x:patternFill>
          <x:bgColor rgb="FFD9EAD3"/>
        </x:patternFill>
      </x:fill>
    </x:dxf>
    <x:dxf>
      <x:font>
        <x:color rgb="FF000000"/>
      </x:font>
      <x:fill>
        <x:patternFill>
          <x:bgColor rgb="FFE7E6E6"/>
        </x:patternFill>
      </x:fill>
    </x:dxf>
    <x:dxf>
      <x:font>
        <x:color rgb="FF000000"/>
      </x:font>
      <x:fill>
        <x:patternFill>
          <x:bgColor rgb="FFFFF2CC"/>
        </x:patternFill>
      </x:fill>
    </x:dxf>
    <x:dxf>
      <x:font>
        <x:color rgb="FF000000"/>
      </x:font>
      <x:fill>
        <x:patternFill>
          <x:bgColor rgb="FFD9EAF7"/>
        </x:patternFill>
      </x:fill>
    </x:dxf>
    <x:dxf>
      <x:font>
        <x:color rgb="FF000000"/>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e320cc035d4e12" /><Relationship Type="http://schemas.openxmlformats.org/officeDocument/2006/relationships/theme" Target="/xl/theme/theme1.xml" Id="Rebb5cb105ed94b12" /><Relationship Type="http://schemas.openxmlformats.org/officeDocument/2006/relationships/sharedStrings" Target="/xl/sharedStrings.xml" Id="R87c1255f40594c70" /><Relationship Type="http://schemas.openxmlformats.org/officeDocument/2006/relationships/worksheet" Target="/xl/worksheets/sheet1.xml" Id="R3182b9b9652a4b0f" /><Relationship Type="http://schemas.openxmlformats.org/officeDocument/2006/relationships/worksheet" Target="/xl/worksheets/sheet2.xml" Id="R7c1fb6ae00154350" /><Relationship Type="http://schemas.openxmlformats.org/officeDocument/2006/relationships/worksheet" Target="/xl/worksheets/sheet3.xml" Id="Rcd45e256a16a420a" /><Relationship Type="http://schemas.openxmlformats.org/officeDocument/2006/relationships/worksheet" Target="/xl/worksheets/sheet4.xml" Id="R9fec62ff31d641db" /><Relationship Type="http://schemas.openxmlformats.org/officeDocument/2006/relationships/worksheet" Target="/xl/worksheets/sheet5.xml" Id="Ra37a1ea70d9c49db" /><Relationship Type="http://schemas.openxmlformats.org/officeDocument/2006/relationships/worksheet" Target="/xl/worksheets/sheet6.xml" Id="R27adad88702f4b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election pane="bottomLeft" activeCell="A3" sqref="A3"/>
    </x:sheetView>
  </x:sheetViews>
  <x:sheetFormatPr defaultRowHeight="15"/>
  <x:cols>
    <x:col min="1" max="1" width="25" hidden="0" customWidth="1"/>
    <x:col min="2" max="2" width="8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22" customHeight="1">
      <x:c r="A1" s="870" t="str">
        <x:v>StepCat Workbook Instructions — v246.3.6</x:v>
      </x:c>
      <x:c r="B1" s="870"/>
      <x:c r="C1" s="837"/>
      <x:c r="D1" s="837"/>
      <x:c r="E1" s="837"/>
      <x:c r="F1" s="837"/>
      <x:c r="G1" s="837"/>
      <x:c r="H1" s="837"/>
      <x:c r="I1" s="837"/>
      <x:c r="J1" s="837"/>
    </x:row>
    <x:row r="2" ht="20" customHeight="1">
      <x:c r="A2" s="589" t="str">
        <x:v>Use this sheet as the reference for entering records, carrying totals forward, and understanding calculations.</x:v>
      </x:c>
      <x:c r="B2" s="589"/>
      <x:c r="C2" s="589"/>
      <x:c r="D2" s="589"/>
      <x:c r="E2" s="589"/>
      <x:c r="F2" s="589"/>
      <x:c r="G2" s="589"/>
      <x:c r="H2" s="589"/>
      <x:c r="I2" s="589"/>
      <x:c r="J2" s="589"/>
    </x:row>
    <x:row r="3" ht="78" hidden="0" customHeight="1">
      <x:c r="A3" s="528" t="str">
        <x:v>Start here</x:v>
      </x:c>
      <x:c r="B3" s="532" t="str">
        <x:v>Enter each new record in the next blank Game Records cell in column A, beginning with A5. Selecting the row number can also work, but selecting the column-A cell is the recommended method. Paste while the cell is selected, not while a text cursor is editing inside the cell.</x:v>
      </x:c>
      <x:c r="C3" s="833"/>
      <x:c r="D3" s="833"/>
      <x:c r="E3" s="833"/>
      <x:c r="F3" s="833"/>
      <x:c r="G3" s="833"/>
      <x:c r="H3" s="833"/>
      <x:c r="I3" s="833"/>
      <x:c r="J3" s="833"/>
    </x:row>
    <x:row r="4" ht="44" hidden="0" customHeight="1">
      <x:c r="A4" s="970" t="str">
        <x:v>Editable columns</x:v>
      </x:c>
      <x:c r="B4" s="972" t="str">
        <x:v>Use columns A–M for record information. Columns N–Z contain formulas and update automatically.</x:v>
      </x:c>
      <x:c r="C4" s="833"/>
      <x:c r="D4" s="833"/>
      <x:c r="E4" s="833"/>
      <x:c r="F4" s="833"/>
      <x:c r="G4" s="833"/>
      <x:c r="H4" s="833"/>
      <x:c r="I4" s="833"/>
      <x:c r="J4" s="833"/>
    </x:row>
    <x:row r="5" ht="44" hidden="0" customHeight="1">
      <x:c r="A5" s="528" t="str">
        <x:v>Calculation fields</x:v>
      </x:c>
      <x:c r="B5" s="532" t="str">
        <x:v>Use the fields that apply to the selected Estimate or Finalized mode. Other fields may remain blank when they do not apply.</x:v>
      </x:c>
      <x:c r="C5" s="833"/>
      <x:c r="D5" s="833"/>
      <x:c r="E5" s="833"/>
      <x:c r="F5" s="833"/>
      <x:c r="G5" s="833"/>
      <x:c r="H5" s="833"/>
      <x:c r="I5" s="833"/>
      <x:c r="J5" s="833"/>
    </x:row>
    <x:row r="6" ht="44" hidden="0" customHeight="1">
      <x:c r="A6" s="528" t="str">
        <x:v>Yellow input cells</x:v>
      </x:c>
      <x:c r="B6" s="532" t="str">
        <x:v>All A:M input cells are yellow because they are editable. They remain yellow whether blank or filled.</x:v>
      </x:c>
      <x:c r="C6" s="833"/>
      <x:c r="D6" s="833"/>
      <x:c r="E6" s="833"/>
      <x:c r="F6" s="833"/>
      <x:c r="G6" s="833"/>
      <x:c r="H6" s="833"/>
      <x:c r="I6" s="833"/>
      <x:c r="J6" s="833"/>
    </x:row>
    <x:row r="7" ht="78" hidden="0" customHeight="1">
      <x:c r="A7" s="528" t="str">
        <x:v>Record Review</x:v>
      </x:c>
      <x:c r="B7" s="532" t="str">
        <x:v>Record Review gives each non-subscription game a Game # and Game Records ID, shows the Calculated Result, states whether blank fields are present, lists the fields that may need attention, and mirrors Notes from Game Records.</x:v>
      </x:c>
      <x:c r="C7" s="833"/>
      <x:c r="D7" s="833"/>
      <x:c r="E7" s="833"/>
      <x:c r="F7" s="833"/>
      <x:c r="G7" s="833"/>
      <x:c r="H7" s="833"/>
      <x:c r="I7" s="833"/>
      <x:c r="J7" s="833"/>
    </x:row>
    <x:row r="8" ht="28" hidden="0" customHeight="1">
      <x:c r="A8" s="528" t="str">
        <x:v>Profit rule</x:v>
      </x:c>
      <x:c r="B8" s="532" t="str">
        <x:v>Profit means Result Earned is above Entry Fee.</x:v>
      </x:c>
      <x:c r="C8" s="833"/>
      <x:c r="D8" s="833"/>
      <x:c r="E8" s="833"/>
      <x:c r="F8" s="833"/>
      <x:c r="G8" s="833"/>
      <x:c r="H8" s="833"/>
      <x:c r="I8" s="833"/>
      <x:c r="J8" s="833"/>
    </x:row>
    <x:row r="9" ht="61" hidden="0" customHeight="1">
      <x:c r="A9" s="528" t="str">
        <x:v>Draw rule</x:v>
      </x:c>
      <x:c r="B9" s="532" t="str">
        <x:v>A normal completed paid game earning the Entry Fee or less is treated as a Draw with $0.00 net profit. The exact raw estimate remains visible in Estimated Earned.</x:v>
      </x:c>
      <x:c r="C9" s="833"/>
      <x:c r="D9" s="833"/>
      <x:c r="E9" s="833"/>
      <x:c r="F9" s="833"/>
      <x:c r="G9" s="833"/>
      <x:c r="H9" s="833"/>
      <x:c r="I9" s="833"/>
      <x:c r="J9" s="833"/>
    </x:row>
    <x:row r="10" ht="44" hidden="0" customHeight="1">
      <x:c r="A10" s="528" t="str">
        <x:v>Loss rule</x:v>
      </x:c>
      <x:c r="B10" s="532" t="str">
        <x:v>A monetary loss occurs only when Disqualified / Lost Entry Fee is Yes on a paid entry; the full Entry Fee is counted as lost.</x:v>
      </x:c>
      <x:c r="C10" s="833"/>
      <x:c r="D10" s="833"/>
      <x:c r="E10" s="833"/>
      <x:c r="F10" s="833"/>
      <x:c r="G10" s="833"/>
      <x:c r="H10" s="833"/>
      <x:c r="I10" s="833"/>
      <x:c r="J10" s="833"/>
    </x:row>
    <x:row r="11" ht="61" hidden="0" customHeight="1">
      <x:c r="A11" s="528" t="str">
        <x:v>Subscriptions</x:v>
      </x:c>
      <x:c r="B11" s="532" t="str">
        <x:v>For the annual platform membership, select “Subscription — membership charge only” and enter the annual cost in Entry Fee. This is a non-game expense and must not be used for a free-entry challenge.</x:v>
      </x:c>
      <x:c r="C11" s="833"/>
      <x:c r="D11" s="833"/>
      <x:c r="E11" s="833"/>
      <x:c r="F11" s="833"/>
      <x:c r="G11" s="833"/>
      <x:c r="H11" s="833"/>
      <x:c r="I11" s="833"/>
      <x:c r="J11" s="833"/>
    </x:row>
    <x:row r="12" ht="105" hidden="0" customHeight="1">
      <x:c r="A12" s="528" t="str">
        <x:v>Free games</x:v>
      </x:c>
      <x:c r="B12" s="532" t="str">
        <x:v>Select “Free Game — completed challenge/chips” for a completed free-entry challenge or a record that awards chips/game credit. Enter chips in Final Earned / Chips when known.</x:v>
      </x:c>
      <x:c r="C12" s="833"/>
      <x:c r="D12" s="833"/>
      <x:c r="E12" s="833"/>
      <x:c r="F12" s="833"/>
      <x:c r="G12" s="833"/>
      <x:c r="H12" s="833"/>
      <x:c r="I12" s="833"/>
      <x:c r="J12" s="833"/>
    </x:row>
    <x:row r="13" ht="61" hidden="0" customHeight="1">
      <x:c r="A13" s="528" t="str">
        <x:v>Summary</x:v>
      </x:c>
      <x:c r="B13" s="532" t="str">
        <x:v>Summary uses exact counts and cash totals. Free Games are shown separately from paid-game Profit, Draw, and Disqualified counts, and their chips are reported in a separate non-cash total.</x:v>
      </x:c>
      <x:c r="C13" s="833"/>
      <x:c r="D13" s="833"/>
      <x:c r="E13" s="833"/>
      <x:c r="F13" s="833"/>
      <x:c r="G13" s="833"/>
      <x:c r="H13" s="833"/>
      <x:c r="I13" s="833"/>
      <x:c r="J13" s="833"/>
    </x:row>
    <x:row r="14" ht="78" hidden="0" customHeight="1">
      <x:c r="A14" s="528" t="str">
        <x:v>Game Comparisons</x:v>
      </x:c>
      <x:c r="B14" s="532" t="str">
        <x:v>The paid table compares Member, Non-Member, Unclassified, and All Paid Games. A separate Free Game Chip Performance section shows completed, disqualified, chips-earned, eliminated-player, and elimination-rate statistics. Subscription rows are excluded.</x:v>
      </x:c>
      <x:c r="C14" s="833"/>
      <x:c r="D14" s="833"/>
      <x:c r="E14" s="833"/>
      <x:c r="F14" s="833"/>
      <x:c r="G14" s="833"/>
      <x:c r="H14" s="833"/>
      <x:c r="I14" s="833"/>
      <x:c r="J14" s="833"/>
    </x:row>
    <x:row r="15" ht="44" hidden="0" customHeight="1">
      <x:c r="A15" s="528" t="str">
        <x:v>Gross Profit Earned</x:v>
      </x:c>
      <x:c r="B15" s="532" t="str">
        <x:v>The sum of positive paid-game cash profit before subtracting lost entry fees or membership fees. Free Game chips are excluded.</x:v>
      </x:c>
      <x:c r="C15" s="833"/>
      <x:c r="D15" s="833"/>
      <x:c r="E15" s="833"/>
      <x:c r="F15" s="833"/>
      <x:c r="G15" s="833"/>
      <x:c r="H15" s="833"/>
      <x:c r="I15" s="833"/>
      <x:c r="J15" s="833"/>
    </x:row>
    <x:row r="16" ht="44" hidden="0" customHeight="1">
      <x:c r="A16" s="528" t="str">
        <x:v>Net Game Profit</x:v>
      </x:c>
      <x:c r="B16" s="532" t="str">
        <x:v>Gross paid-game cash profit minus total lost entry fees. Free Game chips are excluded from cash net profit.</x:v>
      </x:c>
      <x:c r="C16" s="833"/>
      <x:c r="D16" s="833"/>
      <x:c r="E16" s="833"/>
      <x:c r="F16" s="833"/>
      <x:c r="G16" s="833"/>
      <x:c r="H16" s="833"/>
      <x:c r="I16" s="833"/>
      <x:c r="J16" s="833"/>
    </x:row>
    <x:row r="17" ht="44" hidden="0" customHeight="1">
      <x:c r="A17" s="528" t="str">
        <x:v>Actual Running Net Profit</x:v>
      </x:c>
      <x:c r="B17" s="532" t="str">
        <x:v>Running Net Game Profit minus current and carryover annual subscription or membership costs. Free Game chips remain separate.</x:v>
      </x:c>
      <x:c r="C17" s="833"/>
      <x:c r="D17" s="833"/>
      <x:c r="E17" s="833"/>
      <x:c r="F17" s="833"/>
      <x:c r="G17" s="833"/>
      <x:c r="H17" s="833"/>
      <x:c r="I17" s="833"/>
      <x:c r="J17" s="833"/>
    </x:row>
    <x:row r="18" ht="78" hidden="0" customHeight="1">
      <x:c r="A18" s="528" t="str">
        <x:v>Column Z colors</x:v>
      </x:c>
      <x:c r="B18" s="532" t="str">
        <x:v>Column Z shows cumulative net game profit. Its color describes the current row's result or record type, not whether the cumulative total is positive or negative. Draw and Subscription rows may repeat the preceding total.</x:v>
      </x:c>
      <x:c r="C18" s="833"/>
      <x:c r="D18" s="833"/>
      <x:c r="E18" s="833"/>
      <x:c r="F18" s="833"/>
      <x:c r="G18" s="833"/>
      <x:c r="H18" s="833"/>
      <x:c r="I18" s="833"/>
      <x:c r="J18" s="833"/>
    </x:row>
    <x:row r="19" ht="28" hidden="0" customHeight="1">
      <x:c r="A19" s="528" t="str">
        <x:v>Light green</x:v>
      </x:c>
      <x:c r="B19" s="598" t="str">
        <x:v>Profit</x:v>
      </x:c>
      <x:c r="C19" s="833"/>
      <x:c r="D19" s="833"/>
      <x:c r="E19" s="833"/>
      <x:c r="F19" s="833"/>
      <x:c r="G19" s="833"/>
      <x:c r="H19" s="833"/>
      <x:c r="I19" s="833"/>
      <x:c r="J19" s="833"/>
    </x:row>
    <x:row r="20" ht="28" hidden="0" customHeight="1">
      <x:c r="A20" s="528" t="str">
        <x:v>Light gray</x:v>
      </x:c>
      <x:c r="B20" s="599" t="str">
        <x:v>Draw</x:v>
      </x:c>
      <x:c r="C20" s="833"/>
      <x:c r="D20" s="833"/>
      <x:c r="E20" s="833"/>
      <x:c r="F20" s="833"/>
      <x:c r="G20" s="833"/>
      <x:c r="H20" s="833"/>
      <x:c r="I20" s="833"/>
      <x:c r="J20" s="833"/>
    </x:row>
    <x:row r="21" ht="28" hidden="0" customHeight="1">
      <x:c r="A21" s="528" t="str">
        <x:v>Pale yellow / cream</x:v>
      </x:c>
      <x:c r="B21" s="600" t="str">
        <x:v>Free Game / chips</x:v>
      </x:c>
      <x:c r="C21" s="833"/>
      <x:c r="D21" s="833"/>
      <x:c r="E21" s="833"/>
      <x:c r="F21" s="833"/>
      <x:c r="G21" s="833"/>
      <x:c r="H21" s="833"/>
      <x:c r="I21" s="833"/>
      <x:c r="J21" s="833"/>
    </x:row>
    <x:row r="22" ht="28" hidden="0" customHeight="1">
      <x:c r="A22" s="528" t="str">
        <x:v>Light blue</x:v>
      </x:c>
      <x:c r="B22" s="554" t="str">
        <x:v>Subscription</x:v>
      </x:c>
      <x:c r="C22" s="833"/>
      <x:c r="D22" s="833"/>
      <x:c r="E22" s="833"/>
      <x:c r="F22" s="833"/>
      <x:c r="G22" s="833"/>
      <x:c r="H22" s="833"/>
      <x:c r="I22" s="833"/>
      <x:c r="J22" s="833"/>
    </x:row>
    <x:row r="23" ht="28" hidden="0" customHeight="1">
      <x:c r="A23" s="528" t="str">
        <x:v>Light red</x:v>
      </x:c>
      <x:c r="B23" s="601" t="str">
        <x:v>Disqualified / Lost Entry Fee</x:v>
      </x:c>
      <x:c r="C23" s="833"/>
      <x:c r="D23" s="833"/>
      <x:c r="E23" s="833"/>
      <x:c r="F23" s="833"/>
      <x:c r="G23" s="833"/>
      <x:c r="H23" s="833"/>
      <x:c r="I23" s="833"/>
      <x:c r="J23" s="833"/>
    </x:row>
    <x:row r="24" ht="44" hidden="0" customHeight="1">
      <x:c r="A24" s="528" t="str">
        <x:v>Workbook Capacity</x:v>
      </x:c>
      <x:c r="B24" s="532" t="str">
        <x:v>Rows 5–504 provide exactly 500 record rows. Row 505 marks the archive boundary; rows beneath it are inactive.</x:v>
      </x:c>
      <x:c r="C24" s="833"/>
      <x:c r="D24" s="833"/>
      <x:c r="E24" s="833"/>
      <x:c r="F24" s="833"/>
      <x:c r="G24" s="833"/>
      <x:c r="H24" s="833"/>
      <x:c r="I24" s="833"/>
      <x:c r="J24" s="833"/>
    </x:row>
    <x:row r="25" ht="44" hidden="0" customHeight="1">
      <x:c r="A25" s="528" t="str">
        <x:v>Starting Midyear</x:v>
      </x:c>
      <x:c r="B25" s="532" t="str">
        <x:v>Enter prior net game profit, prior subscription costs, and prior completed-game count in Carryover Setup.</x:v>
      </x:c>
      <x:c r="C25" s="833"/>
      <x:c r="D25" s="833"/>
      <x:c r="E25" s="833"/>
      <x:c r="F25" s="833"/>
      <x:c r="G25" s="833"/>
      <x:c r="H25" s="833"/>
      <x:c r="I25" s="833"/>
      <x:c r="J25" s="833"/>
    </x:row>
    <x:row r="26" ht="61" hidden="0" customHeight="1">
      <x:c r="A26" s="528" t="str">
        <x:v>Manual Entry</x:v>
      </x:c>
      <x:c r="B26" s="532" t="str">
        <x:v>All A:M input cells remain yellow to identify editable cells. Categorical fields provide dropdown choices, and Notes may be entered manually or copied from StepCat.</x:v>
      </x:c>
      <x:c r="C26" s="833"/>
      <x:c r="D26" s="833"/>
      <x:c r="E26" s="833"/>
      <x:c r="F26" s="833"/>
      <x:c r="G26" s="833"/>
      <x:c r="H26" s="833"/>
      <x:c r="I26" s="833"/>
      <x:c r="J26" s="833"/>
    </x:row>
    <x:row r="27" ht="12" hidden="0" customHeight="1">
      <x:c r="A27" s="809"/>
      <x:c r="B27" s="809"/>
      <x:c r="C27" s="833"/>
      <x:c r="D27" s="833"/>
      <x:c r="E27" s="833"/>
      <x:c r="F27" s="833"/>
      <x:c r="G27" s="833"/>
      <x:c r="H27" s="833"/>
      <x:c r="I27" s="833"/>
      <x:c r="J27" s="833"/>
    </x:row>
    <x:row r="28" ht="30" hidden="0" customHeight="1">
      <x:c r="A28" s="968" t="str">
        <x:v>Carryover</x:v>
      </x:c>
      <x:c r="B28" s="969" t="str">
        <x:v>Enter prior totals once, then continue with only new records.</x:v>
      </x:c>
      <x:c r="C28" s="835"/>
      <x:c r="D28" s="835"/>
      <x:c r="E28" s="835"/>
      <x:c r="F28" s="835"/>
      <x:c r="G28" s="835"/>
      <x:c r="H28" s="835"/>
      <x:c r="I28" s="835"/>
      <x:c r="J28" s="835"/>
    </x:row>
    <x:row r="29" ht="26" hidden="0" customHeight="1">
      <x:c r="A29" s="528" t="str">
        <x:v>Prior Net Game Profit</x:v>
      </x:c>
      <x:c r="B29" s="602" t="n">
        <x:v>0</x:v>
      </x:c>
      <x:c r="C29" s="833"/>
      <x:c r="D29" s="833"/>
      <x:c r="E29" s="833"/>
      <x:c r="F29" s="833"/>
      <x:c r="G29" s="833"/>
      <x:c r="H29" s="833"/>
      <x:c r="I29" s="833"/>
      <x:c r="J29" s="833"/>
    </x:row>
    <x:row r="30" ht="26" hidden="0" customHeight="1">
      <x:c r="A30" s="528" t="str">
        <x:v>Prior Subscription Costs</x:v>
      </x:c>
      <x:c r="B30" s="602" t="n">
        <x:v>0</x:v>
      </x:c>
      <x:c r="C30" s="833"/>
      <x:c r="D30" s="833"/>
      <x:c r="E30" s="833"/>
      <x:c r="F30" s="833"/>
      <x:c r="G30" s="833"/>
      <x:c r="H30" s="833"/>
      <x:c r="I30" s="833"/>
      <x:c r="J30" s="833"/>
    </x:row>
    <x:row r="31" ht="26" hidden="0" customHeight="1">
      <x:c r="A31" s="528" t="str">
        <x:v>Prior Game Count</x:v>
      </x:c>
      <x:c r="B31" s="603" t="n">
        <x:v>0</x:v>
      </x:c>
      <x:c r="C31" s="833"/>
      <x:c r="D31" s="833"/>
      <x:c r="E31" s="833"/>
      <x:c r="F31" s="833"/>
      <x:c r="G31" s="833"/>
      <x:c r="H31" s="833"/>
      <x:c r="I31" s="833"/>
      <x:c r="J31" s="833"/>
    </x:row>
    <x:row r="32" ht="44" hidden="0" customHeight="1">
      <x:c r="A32" s="528" t="str">
        <x:v>Step 1 — Note prior totals</x:v>
      </x:c>
      <x:c r="B32" s="532" t="str">
        <x:v>Open the completed or archived workbook and note its ending Net Game Profit, subscription costs already paid, and completed-game count.</x:v>
      </x:c>
      <x:c r="C32" s="833"/>
      <x:c r="D32" s="833"/>
      <x:c r="E32" s="833"/>
      <x:c r="F32" s="833"/>
      <x:c r="G32" s="833"/>
      <x:c r="H32" s="833"/>
      <x:c r="I32" s="833"/>
      <x:c r="J32" s="833"/>
    </x:row>
    <x:row r="33" ht="44" hidden="0" customHeight="1">
      <x:c r="A33" s="528" t="str">
        <x:v>Step 2 — Enter once</x:v>
      </x:c>
      <x:c r="B33" s="532" t="str">
        <x:v>Enter those three figures once in B29:B31. Do not create Game Records rows for the carryover values.</x:v>
      </x:c>
      <x:c r="C33" s="833"/>
      <x:c r="D33" s="833"/>
      <x:c r="E33" s="833"/>
      <x:c r="F33" s="833"/>
      <x:c r="G33" s="833"/>
      <x:c r="H33" s="833"/>
      <x:c r="I33" s="833"/>
      <x:c r="J33" s="833"/>
    </x:row>
    <x:row r="34" ht="44" hidden="0" customHeight="1">
      <x:c r="A34" s="528" t="str">
        <x:v>Step 3 — Continue records</x:v>
      </x:c>
      <x:c r="B34" s="532" t="str">
        <x:v>Begin new records on Game Records row 5. Enter only activity that occurred after the previous workbook ended.</x:v>
      </x:c>
      <x:c r="C34" s="833"/>
      <x:c r="D34" s="833"/>
      <x:c r="E34" s="833"/>
      <x:c r="F34" s="833"/>
      <x:c r="G34" s="833"/>
      <x:c r="H34" s="833"/>
      <x:c r="I34" s="833"/>
      <x:c r="J34" s="833"/>
    </x:row>
    <x:row r="35" ht="44" hidden="0" customHeight="1">
      <x:c r="A35" s="528" t="str">
        <x:v>Step 4 — Check totals</x:v>
      </x:c>
      <x:c r="B35" s="532" t="str">
        <x:v>Running totals and Summary should begin with the carryover figures and then add the new workbook's records.</x:v>
      </x:c>
      <x:c r="C35" s="826"/>
      <x:c r="D35" s="826"/>
      <x:c r="E35" s="826"/>
      <x:c r="F35" s="826"/>
      <x:c r="G35" s="826"/>
      <x:c r="H35" s="826"/>
      <x:c r="I35" s="833"/>
      <x:c r="J35" s="833"/>
    </x:row>
    <x:row r="36" ht="78" hidden="0" customHeight="1">
      <x:c r="A36" s="964" t="str">
        <x:v>Important</x:v>
      </x:c>
      <x:c r="B36" s="965" t="str">
        <x:v>Use Carryover only when continuing from another workbook or starting partway through a year. Prior Game Count includes completed games only; exclude Subscription rows and unfinished Estimate rows. Do not re-enter prior games or prior subscription payments.</x:v>
      </x:c>
      <x:c r="C36" s="833"/>
      <x:c r="D36" s="833"/>
      <x:c r="E36" s="833"/>
      <x:c r="F36" s="833"/>
      <x:c r="G36" s="833"/>
      <x:c r="H36" s="833"/>
      <x:c r="I36" s="833"/>
      <x:c r="J36" s="833"/>
    </x:row>
    <x:row r="37" ht="12" hidden="0" customHeight="1">
      <x:c r="A37" s="808"/>
      <x:c r="B37" s="809"/>
      <x:c r="C37" s="833"/>
      <x:c r="D37" s="833"/>
      <x:c r="E37" s="833"/>
      <x:c r="F37" s="833"/>
      <x:c r="G37" s="833"/>
      <x:c r="H37" s="833"/>
      <x:c r="I37" s="833"/>
      <x:c r="J37" s="833"/>
    </x:row>
    <x:row r="38" ht="30" hidden="0" customHeight="1">
      <x:c r="A38" s="968" t="str">
        <x:v>Calculations</x:v>
      </x:c>
      <x:c r="B38" s="969" t="str">
        <x:v>Reference for how the workbook determines results and totals.</x:v>
      </x:c>
      <x:c r="C38" s="835"/>
      <x:c r="D38" s="835"/>
      <x:c r="E38" s="835"/>
      <x:c r="F38" s="835"/>
      <x:c r="G38" s="835"/>
      <x:c r="H38" s="835"/>
      <x:c r="I38" s="835"/>
      <x:c r="J38" s="835"/>
    </x:row>
    <x:row r="39" ht="28" hidden="0" customHeight="1">
      <x:c r="A39" s="528" t="str">
        <x:v>Member games</x:v>
      </x:c>
      <x:c r="B39" s="532" t="str">
        <x:v>Adjusted Pot uses 100% of Gross Pot.</x:v>
      </x:c>
      <x:c r="C39" s="833"/>
      <x:c r="D39" s="833"/>
      <x:c r="E39" s="833"/>
      <x:c r="F39" s="833"/>
      <x:c r="G39" s="833"/>
      <x:c r="H39" s="833"/>
      <x:c r="I39" s="833"/>
      <x:c r="J39" s="833"/>
    </x:row>
    <x:row r="40" ht="28" hidden="0" customHeight="1">
      <x:c r="A40" s="528" t="str">
        <x:v>Non-Member games</x:v>
      </x:c>
      <x:c r="B40" s="532" t="str">
        <x:v>Adjusted Pot uses 85% of Gross Pot.</x:v>
      </x:c>
      <x:c r="C40" s="833"/>
      <x:c r="D40" s="833"/>
      <x:c r="E40" s="833"/>
      <x:c r="F40" s="833"/>
      <x:c r="G40" s="833"/>
      <x:c r="H40" s="833"/>
      <x:c r="I40" s="833"/>
      <x:c r="J40" s="833"/>
    </x:row>
    <x:row r="41" ht="61" hidden="0" customHeight="1">
      <x:c r="A41" s="528" t="str">
        <x:v>Estimated Earned</x:v>
      </x:c>
      <x:c r="B41" s="532" t="str">
        <x:v>Adjusted Pot divided by Eligible Players. The exact amount remains visible even when it is at or below Entry Fee and the accounting result is Draw.</x:v>
      </x:c>
      <x:c r="C41" s="833"/>
      <x:c r="D41" s="833"/>
      <x:c r="E41" s="833"/>
      <x:c r="F41" s="833"/>
      <x:c r="G41" s="833"/>
      <x:c r="H41" s="833"/>
      <x:c r="I41" s="833"/>
      <x:c r="J41" s="833"/>
    </x:row>
    <x:row r="42" ht="44" hidden="0" customHeight="1">
      <x:c r="A42" s="528" t="str">
        <x:v>Profit</x:v>
      </x:c>
      <x:c r="B42" s="532" t="str">
        <x:v>Result Earned above Entry Fee; Net Profit is Result Earned minus Entry Fee.</x:v>
      </x:c>
      <x:c r="C42" s="833"/>
      <x:c r="D42" s="833"/>
      <x:c r="E42" s="833"/>
      <x:c r="F42" s="833"/>
      <x:c r="G42" s="833"/>
      <x:c r="H42" s="833"/>
      <x:c r="I42" s="833"/>
      <x:c r="J42" s="833"/>
    </x:row>
    <x:row r="43" ht="61" hidden="0" customHeight="1">
      <x:c r="A43" s="528" t="str">
        <x:v>Draw</x:v>
      </x:c>
      <x:c r="B43" s="532" t="str">
        <x:v>A normal completed paid game earning the Entry Fee or less records $0.00 Net Profit while preserving the exact Estimated Earned or Final Earned amount.</x:v>
      </x:c>
      <x:c r="C43" s="833"/>
      <x:c r="D43" s="833"/>
      <x:c r="E43" s="833"/>
      <x:c r="F43" s="833"/>
      <x:c r="G43" s="833"/>
      <x:c r="H43" s="833"/>
      <x:c r="I43" s="833"/>
      <x:c r="J43" s="833"/>
    </x:row>
    <x:row r="44" ht="61" hidden="0" customHeight="1">
      <x:c r="A44" s="528" t="str">
        <x:v>Disqualified</x:v>
      </x:c>
      <x:c r="B44" s="532" t="str">
        <x:v>Paid entry: Result Earned becomes $0.00 and the full Entry Fee is recorded as lost. Free Game: the disqualification status is preserved, 0.00 chips are earned, and no monetary Entry Fee loss is recorded.</x:v>
      </x:c>
      <x:c r="C44" s="833"/>
      <x:c r="D44" s="833"/>
      <x:c r="E44" s="833"/>
      <x:c r="F44" s="833"/>
      <x:c r="G44" s="833"/>
      <x:c r="H44" s="833"/>
      <x:c r="I44" s="833"/>
      <x:c r="J44" s="833"/>
    </x:row>
    <x:row r="45" ht="44" hidden="0" customHeight="1">
      <x:c r="A45" s="528" t="str">
        <x:v>ROI</x:v>
      </x:c>
      <x:c r="B45" s="532" t="str">
        <x:v>Net Profit divided by Entry Fee. When Entry Fee is $0, ROI displays N/A because division by zero is undefined.</x:v>
      </x:c>
      <x:c r="C45" s="833"/>
      <x:c r="D45" s="833"/>
      <x:c r="E45" s="833"/>
      <x:c r="F45" s="833"/>
      <x:c r="G45" s="833"/>
      <x:c r="H45" s="833"/>
      <x:c r="I45" s="833"/>
      <x:c r="J45" s="833"/>
    </x:row>
    <x:row r="46" ht="61" hidden="0" customHeight="1">
      <x:c r="A46" s="528" t="str">
        <x:v>Running Net Profit</x:v>
      </x:c>
      <x:c r="B46" s="532" t="str">
        <x:v>Prior Net Game Profit plus current-workbook cash Net Profit, accumulated row by row. Free Game chips do not change the total; Draw and Subscription rows may repeat the preceding total.</x:v>
      </x:c>
      <x:c r="C46" s="833"/>
      <x:c r="D46" s="833"/>
      <x:c r="E46" s="833"/>
      <x:c r="F46" s="833"/>
      <x:c r="G46" s="833"/>
      <x:c r="H46" s="833"/>
      <x:c r="I46" s="833"/>
      <x:c r="J46" s="833"/>
    </x:row>
    <x:row r="47" ht="44" hidden="0" customHeight="1">
      <x:c r="A47" s="528" t="str">
        <x:v>Subscription effect</x:v>
      </x:c>
      <x:c r="B47" s="532" t="str">
        <x:v>A Subscription row is excluded from game counts and game results. Its cost is subtracted only in Actual Net Profit.</x:v>
      </x:c>
      <x:c r="C47" s="833"/>
      <x:c r="D47" s="833"/>
      <x:c r="E47" s="833"/>
      <x:c r="F47" s="833"/>
      <x:c r="G47" s="833"/>
      <x:c r="H47" s="833"/>
      <x:c r="I47" s="833"/>
      <x:c r="J47" s="833"/>
    </x:row>
    <x:row r="48" ht="84" customHeight="1">
      <x:c r="A48" s="685" t="str">
        <x:v>What changed in v246.3.6</x:v>
      </x:c>
      <x:c r="B48" s="975" t="str">
        <x:v>Record Review rows 5–504 now use a consistent 24-point height to prevent wrapped Game Name, Blank Fields to Review, and Notes text from being clipped. This is a layout-only workbook correction; calculation formulas, classifications, and totals are unchanged from v246.3.3.</x:v>
      </x:c>
      <x:c r="C48" s="833"/>
      <x:c r="D48" s="833"/>
      <x:c r="E48" s="833"/>
      <x:c r="F48" s="833"/>
      <x:c r="G48" s="833"/>
      <x:c r="H48" s="833"/>
      <x:c r="I48" s="833"/>
      <x:c r="J48" s="833"/>
    </x:row>
    <x:row r="49" ht="84" customHeight="1">
      <x:c r="A49" s="528" t="str">
        <x:v>Calculation baseline</x:v>
      </x:c>
      <x:c r="B49" s="532" t="str">
        <x:v>v246.2 was the last substantive workbook release that established the correct core payout, Profit/Draw, loss, ROI, membership-cost, and Free Game cash-separation calculations. Later versions retain that calculation base while adding clarity, reporting safeguards, and layout corrections.</x:v>
      </x:c>
      <x:c r="C49" s="833"/>
      <x:c r="D49" s="833"/>
      <x:c r="E49" s="833"/>
      <x:c r="F49" s="833"/>
      <x:c r="G49" s="833"/>
      <x:c r="H49" s="833"/>
      <x:c r="I49" s="833"/>
      <x:c r="J49" s="833"/>
    </x:row>
    <x:row r="50" ht="60" customHeight="1">
      <x:c r="A50" s="977" t="str">
        <x:v>How to migrate records</x:v>
      </x:c>
      <x:c r="B50" s="979" t="str">
        <x:v>To adopt v246.3.6, copy only populated Game Records cells A5:M from the older workbook. In v246.3.6, select A5 and paste—preferably as values only. Do not copy entire sheets, header rows, or formula columns N–Z.</x:v>
      </x:c>
      <x:c r="C50" s="833"/>
      <x:c r="D50" s="833"/>
      <x:c r="E50" s="833"/>
      <x:c r="F50" s="833"/>
      <x:c r="G50" s="833"/>
      <x:c r="H50" s="833"/>
      <x:c r="I50" s="833"/>
      <x:c r="J50" s="833"/>
    </x:row>
    <x:row r="51" ht="72" customHeight="1">
      <x:c r="A51" s="833" t="str">
        <x:v>Who should download v246.3.6?</x:v>
      </x:c>
      <x:c r="B51" s="833" t="str">
        <x:v>New users should begin with v246.3.6. Existing users should migrate when they want the clearer Free Game/Subscription choices, updated Free Game reporting safeguards, and corrected Record Review row height. Keep the older workbook as a backup until transferred records and totals have been verified.</x:v>
      </x:c>
      <x:c r="C51" s="833"/>
      <x:c r="D51" s="833"/>
      <x:c r="E51" s="833"/>
      <x:c r="F51" s="833"/>
      <x:c r="G51" s="833"/>
      <x:c r="H51" s="833"/>
      <x:c r="I51" s="833"/>
      <x:c r="J51" s="833"/>
    </x:row>
    <x:row r="52" customHeight="1">
      <x:c r="A52" s="833"/>
      <x:c r="B52" s="833"/>
      <x:c r="C52" s="833"/>
      <x:c r="D52" s="833"/>
      <x:c r="E52" s="833"/>
      <x:c r="F52" s="833"/>
      <x:c r="G52" s="833"/>
      <x:c r="H52" s="833"/>
      <x:c r="I52" s="833"/>
      <x:c r="J52" s="833"/>
    </x:row>
    <x:row r="53" customHeight="1">
      <x:c r="A53" s="833"/>
      <x:c r="B53" s="833"/>
      <x:c r="C53" s="833"/>
      <x:c r="D53" s="833"/>
      <x:c r="E53" s="833"/>
      <x:c r="F53" s="833"/>
      <x:c r="G53" s="833"/>
      <x:c r="H53" s="833"/>
      <x:c r="I53" s="833"/>
      <x:c r="J53" s="833"/>
    </x:row>
    <x:row r="54" customHeight="1">
      <x:c r="A54" s="833"/>
      <x:c r="B54" s="833"/>
      <x:c r="C54" s="833"/>
      <x:c r="D54" s="833"/>
      <x:c r="E54" s="833"/>
      <x:c r="F54" s="833"/>
      <x:c r="G54" s="833"/>
      <x:c r="H54" s="833"/>
      <x:c r="I54" s="833"/>
      <x:c r="J54" s="833"/>
    </x:row>
    <x:row r="55" customHeight="1">
      <x:c r="A55" s="833"/>
      <x:c r="B55" s="833"/>
      <x:c r="C55" s="833"/>
      <x:c r="D55" s="833"/>
      <x:c r="E55" s="833"/>
      <x:c r="F55" s="833"/>
      <x:c r="G55" s="833"/>
      <x:c r="H55" s="833"/>
      <x:c r="I55" s="833"/>
      <x:c r="J55" s="833"/>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election pane="bottomLeft" activeCell="A5" sqref="A5"/>
    </x:sheetView>
  </x:sheetViews>
  <x:sheetFormatPr defaultRowHeight="15"/>
  <x:cols>
    <x:col min="1" max="1" width="27" hidden="0" customWidth="1"/>
    <x:col min="2" max="2" width="12" hidden="0" customWidth="1"/>
    <x:col min="3" max="3" width="12" hidden="0" customWidth="1"/>
    <x:col min="4" max="4" width="15" hidden="0" customWidth="1"/>
    <x:col min="5" max="5" width="15" hidden="0" customWidth="1"/>
    <x:col min="6" max="6" width="18" hidden="0" customWidth="1"/>
    <x:col min="7" max="7" width="13" hidden="0" customWidth="1"/>
    <x:col min="8" max="8" width="13" hidden="0" customWidth="1"/>
    <x:col min="9" max="9" width="14" hidden="0" customWidth="1"/>
    <x:col min="10" max="10" width="14" hidden="0" customWidth="1"/>
    <x:col min="11" max="11" width="17" hidden="0" customWidth="1"/>
    <x:col min="12" max="12" width="18" hidden="0" customWidth="1"/>
    <x:col min="13" max="13" width="34" hidden="0" customWidth="1"/>
    <x:col min="14" max="14" width="14" hidden="0" customWidth="1"/>
    <x:col min="15" max="15" width="14" hidden="0" customWidth="1"/>
    <x:col min="16" max="16" width="14" hidden="0" customWidth="1"/>
    <x:col min="17" max="17" width="12" hidden="0" customWidth="1"/>
    <x:col min="18" max="18" width="12" hidden="0" customWidth="1"/>
    <x:col min="19" max="19" width="14" hidden="0" customWidth="1"/>
    <x:col min="20" max="20" width="10" hidden="0" customWidth="1"/>
    <x:col min="21" max="21" width="28" hidden="0" customWidth="1"/>
    <x:col min="22" max="22" width="21" hidden="0" customWidth="1"/>
    <x:col min="23" max="23" width="12" hidden="0" customWidth="1"/>
    <x:col min="24" max="24" width="12" hidden="0" customWidth="1"/>
    <x:col min="25" max="25" width="12" hidden="0" customWidth="1"/>
    <x:col min="26" max="26" width="16" hidden="0" customWidth="1"/>
  </x:cols>
  <x:sheetData>
    <x:row r="1" ht="18" customHeight="1">
      <x:c r="A1" s="143" t="str">
        <x:f>"Running Net Game Profit: "&amp;TEXT(Instructions!$B$29+SUM($W$5:$W$504),"$#,##0.00")&amp;"  |  Gross Profit Earned: "&amp;TEXT(SUM($Q$5:$Q$504),"$#,##0.00")&amp;"  |  Total Lost Entry Fees: "&amp;TEXT(SUM($S$5:$S$504),"$#,##0.00")&amp;"  |  StepCat v246.3.6"</x:f>
        <x:v>Running Net Game Profit: $0.00  |  Gross Profit Earned: $0.00  |  Total Lost Entry Fees: $0.00  |  StepCat v246.3.6</x:v>
      </x:c>
      <x:c r="B1" s="143"/>
      <x:c r="C1" s="143"/>
      <x:c r="D1" s="143"/>
      <x:c r="E1" s="143"/>
      <x:c r="F1" s="143"/>
      <x:c r="G1" s="143"/>
      <x:c r="H1" s="143"/>
      <x:c r="I1" s="143"/>
      <x:c r="J1" s="143"/>
      <x:c r="K1" s="143"/>
      <x:c r="L1" s="143"/>
      <x:c r="M1" s="143"/>
      <x:c r="N1" s="143"/>
      <x:c r="O1" s="143"/>
      <x:c r="P1" s="143"/>
      <x:c r="Q1" s="143"/>
      <x:c r="R1" s="143"/>
      <x:c r="S1" s="143"/>
      <x:c r="T1" s="143"/>
      <x:c r="U1" s="143"/>
      <x:c r="V1" s="143"/>
      <x:c r="W1" s="143"/>
      <x:c r="X1" s="143"/>
      <x:c r="Y1" s="143"/>
      <x:c r="Z1" s="143"/>
    </x:row>
    <x:row r="2" ht="20" customHeight="1">
      <x:c r="A2" s="76" t="str">
        <x:v>Rows 5–504 provide exactly 500 record rows. Enter or paste in A:M only; N:Z calculate automatically. v246.3.6 is a readability-only workbook patch: Record Review data rows now use a consistent 24-point height so wrapped review text and Notes are not clipped. Core calculations remain unchanged; v246.2 remains the substantive calculation baseline. Archive the workbook at row 505.</x:v>
      </x:c>
      <x:c r="B2" s="76"/>
      <x:c r="C2" s="76"/>
      <x:c r="D2" s="76"/>
      <x:c r="E2" s="76"/>
      <x:c r="F2" s="76"/>
      <x:c r="G2" s="76"/>
      <x:c r="H2" s="76"/>
      <x:c r="I2" s="76"/>
      <x:c r="J2" s="76"/>
      <x:c r="K2" s="76"/>
      <x:c r="L2" s="76"/>
      <x:c r="M2" s="76"/>
      <x:c r="N2" s="76"/>
      <x:c r="O2" s="76"/>
      <x:c r="P2" s="76"/>
      <x:c r="Q2" s="76"/>
      <x:c r="R2" s="76"/>
      <x:c r="S2" s="76"/>
      <x:c r="T2" s="76"/>
      <x:c r="U2" s="76"/>
      <x:c r="V2" s="76"/>
      <x:c r="W2" s="76"/>
      <x:c r="X2" s="76"/>
      <x:c r="Y2" s="76"/>
      <x:c r="Z2" s="76"/>
    </x:row>
    <x:row r="3" ht="12" customHeight="1">
      <x:c r="A3" s="100" t="str">
        <x:v>A:M — Inputs only</x:v>
      </x:c>
      <x:c r="B3" s="100"/>
      <x:c r="C3" s="100"/>
      <x:c r="D3" s="100"/>
      <x:c r="E3" s="100"/>
      <x:c r="F3" s="100"/>
      <x:c r="G3" s="100"/>
      <x:c r="H3" s="100"/>
      <x:c r="I3" s="100"/>
      <x:c r="J3" s="100"/>
      <x:c r="K3" s="100"/>
      <x:c r="L3" s="100"/>
      <x:c r="M3" s="100"/>
      <x:c r="N3" s="100" t="str">
        <x:v>N:Z — Formula columns — do not edit</x:v>
      </x:c>
      <x:c r="O3" s="100"/>
      <x:c r="P3" s="100"/>
      <x:c r="Q3" s="100"/>
      <x:c r="R3" s="100"/>
      <x:c r="S3" s="100"/>
      <x:c r="T3" s="100"/>
      <x:c r="U3" s="100"/>
      <x:c r="V3" s="100"/>
      <x:c r="W3" s="100"/>
      <x:c r="X3" s="100"/>
      <x:c r="Y3" s="100"/>
      <x:c r="Z3" s="100"/>
    </x:row>
    <x:row r="4" ht="32" customHeight="1">
      <x:c r="A4" s="95" t="str">
        <x:v>Game Name</x:v>
      </x:c>
      <x:c r="B4" s="95" t="str">
        <x:v>Start Date</x:v>
      </x:c>
      <x:c r="C4" s="95" t="str">
        <x:v>End Date</x:v>
      </x:c>
      <x:c r="D4" s="95" t="str">
        <x:v>Entry Mode</x:v>
      </x:c>
      <x:c r="E4" s="95" t="str">
        <x:v>Game Type</x:v>
      </x:c>
      <x:c r="F4" s="95" t="str">
        <x:v>Payment / Record Type</x:v>
      </x:c>
      <x:c r="G4" s="95" t="str">
        <x:v>Gross Pot / Chips</x:v>
      </x:c>
      <x:c r="H4" s="95" t="str">
        <x:v>Entry Fee</x:v>
      </x:c>
      <x:c r="I4" s="95" t="str">
        <x:v>Eligible Players</x:v>
      </x:c>
      <x:c r="J4" s="95" t="str">
        <x:v>Total Players</x:v>
      </x:c>
      <x:c r="K4" s="95" t="str">
        <x:v>Final Earned / Chips</x:v>
      </x:c>
      <x:c r="L4" s="95" t="str">
        <x:v>Disqualified / Lost Entry Fee</x:v>
      </x:c>
      <x:c r="M4" s="95" t="str">
        <x:v>Notes</x:v>
      </x:c>
      <x:c r="N4" s="294" t="str">
        <x:v>Adjusted Pot / Chips</x:v>
      </x:c>
      <x:c r="O4" s="294" t="str">
        <x:v>Estimated Earned / Chips</x:v>
      </x:c>
      <x:c r="P4" s="294" t="str">
        <x:v>Result Earned / Chips</x:v>
      </x:c>
      <x:c r="Q4" s="294" t="str">
        <x:v>Profit</x:v>
      </x:c>
      <x:c r="R4" s="294" t="str">
        <x:v>Draw</x:v>
      </x:c>
      <x:c r="S4" s="294" t="str">
        <x:v>Lost</x:v>
      </x:c>
      <x:c r="T4" s="294" t="str">
        <x:v>ROI</x:v>
      </x:c>
      <x:c r="U4" s="294" t="str">
        <x:v>Result</x:v>
      </x:c>
      <x:c r="V4" s="954" t="str">
        <x:v>Challenge Length (Weeks)</x:v>
      </x:c>
      <x:c r="W4" s="294" t="str">
        <x:v>Net Profit</x:v>
      </x:c>
      <x:c r="X4" s="294" t="str">
        <x:v>Eliminated Players</x:v>
      </x:c>
      <x:c r="Y4" s="294" t="str">
        <x:v>Elimination Rate</x:v>
      </x:c>
      <x:c r="Z4" s="294" t="str">
        <x:v>Running Net Profit</x:v>
      </x:c>
    </x:row>
    <x:row r="5" ht="36" customHeight="1">
      <x:c r="A5" s="439"/>
      <x:c r="B5" s="449"/>
      <x:c r="C5" s="449"/>
      <x:c r="D5" s="450"/>
      <x:c r="E5" s="450"/>
      <x:c r="F5" s="450"/>
      <x:c r="G5" s="985"/>
      <x:c r="H5" s="451"/>
      <x:c r="I5" s="452"/>
      <x:c r="J5" s="452"/>
      <x:c r="K5" s="985"/>
      <x:c r="L5" s="450"/>
      <x:c r="M5" s="439"/>
      <x:c r="N5" s="987" t="str">
        <x:f>IF(COUNTA($A5:$M5)=0,"",IF(OR(LEFT(LOWER(TRIM($F5&amp;"")),12)="subscription",LOWER(TRIM($F5&amp;""))="membership"),"",IF($G5="","",IF(ISNUMBER(SEARCH("non",LOWER($E5&amp;""))),$G5*0.85,$G5))))</x:f>
      </x:c>
      <x:c r="O5" s="987" t="str">
        <x:f>IF(COUNTA($A5:$M5)=0,"",IF(OR(LEFT(LOWER(TRIM($F5&amp;"")),12)="subscription",LOWER(TRIM($F5&amp;""))="membership"),"",IF(OR($N5="",$I5="",$I5=0),"",IFERROR($N5/$I5,""))))</x:f>
      </x:c>
      <x:c r="P5" s="987" t="str">
        <x:f>IF(COUNTA($A5:$M5)=0,"",IF(OR(LEFT(LOWER(TRIM($F5&amp;"")),12)="subscription",LOWER(TRIM($F5&amp;""))="membership"),"",IF(LOWER($L5&amp;"")="yes",0,IF(OR(AND($H5&lt;&gt;"",$H5=0),LEFT(LOWER(TRIM($F5&amp;"")),9)="free game",LOWER(TRIM($F5&amp;""))="free",LOWER(TRIM($F5&amp;""))="free entry"),IF(LOWER($D5&amp;"")="finalized",IF(ISNUMBER($K5),$K5,""),IF($O5&lt;&gt;"",$O5,"")),IF($K5&lt;&gt;"",$K5,IF($O5&lt;&gt;"",$O5,""))))))</x:f>
      </x:c>
      <x:c r="Q5" s="114" t="str">
        <x:f>IF(COUNTA($A5:$M5)=0,"",IF(OR($U5="Subscription",$U5=""),"",IF($U5="Profit",ROUND(IFERROR($P5,0)-IFERROR($H5,0),2),0)))</x:f>
      </x:c>
      <x:c r="R5" s="114" t="str">
        <x:f>IF(COUNTA($A5:$M5)=0,"",IF(OR($U5="Subscription",$U5=""),"",IF($U5="Draw",$H5,0)))</x:f>
      </x:c>
      <x:c r="S5" s="114" t="str">
        <x:f>IF(COUNTA($A5:$M5)=0,"",IF(OR($U5="Subscription",$U5=""),"",IF($U5="Disqualified",$H5,0)))</x:f>
      </x:c>
      <x:c r="T5" s="955" t="str">
        <x:f>IF(COUNTA($A5:$M5)=0,"",IF(OR($U5="Subscription",$U5=""),"",IF(OR($U5="Free Game",$U5="Disqualified — Free Game",$H5=0),"N/A",IF($U5="Profit",$Q5/$H5,IF($U5="Disqualified",-$S5/$H5,0)))))</x:f>
      </x:c>
      <x:c r="U5" s="920" t="str">
        <x:f>IF(COUNTA($A5:$M5)=0,"",IF(OR(LEFT(LOWER(TRIM($F5&amp;"")),12)="subscription",LOWER(TRIM($F5&amp;""))="membership"),"Subscription",IF(OR(AND($H5&lt;&gt;"",$H5=0),LEFT(LOWER(TRIM($F5&amp;"")),9)="free game",LOWER(TRIM($F5&amp;""))="free",LOWER(TRIM($F5&amp;""))="free entry"),IF(LOWER($L5&amp;"")="yes","Disqualified — Free Game","Free Game"),IF(LOWER($L5&amp;"")="yes","Disqualified",IF($P5="","",IF(ROUND(IFERROR(VALUE($P5),0)-IFERROR(VALUE($H5),0),2)&gt;0,"Profit","Draw"))))))</x:f>
      </x:c>
      <x:c r="V5" s="956" t="str">
        <x:f>IF(COUNTA($A5:$M5)=0,"",IF(OR($B5="",$C5="",$U5="Subscription"),"",IFERROR(ROUNDUP(($C5-$B5)/7,0),"")))</x:f>
      </x:c>
      <x:c r="W5" s="114" t="str">
        <x:f>IF(COUNTA($A5:$M5)=0,"",IF(OR($U5="Subscription",$U5=""),"",IF(OR($U5="Free Game",$U5="Disqualified — Free Game"),0,ROUND(IFERROR($Q5,0)-IFERROR($S5,0),2))))</x:f>
      </x:c>
      <x:c r="X5" s="956" t="str">
        <x:f>IF(COUNTA($A5:$M5)=0,"",IF(OR($U5="Subscription",NOT(ISNUMBER($J5)),NOT(ISNUMBER($I5)),$J5=0,$I5=0,$I5&gt;$J5),"",$J5-$I5))</x:f>
      </x:c>
      <x:c r="Y5" s="955" t="str">
        <x:f>IF(COUNTA($A5:$M5)=0,"",IF(OR($U5="Subscription",NOT(ISNUMBER($J5)),$J5=0,$X5=""),"",$X5/$J5))</x:f>
      </x:c>
      <x:c r="Z5" s="957" t="str">
        <x:f>IF(COUNTA($A5:$M5)=0,"",Instructions!$B$29+SUM($W$5:W5))</x:f>
      </x:c>
    </x:row>
    <x:row r="6" ht="36" customHeight="1">
      <x:c r="A6" s="439"/>
      <x:c r="B6" s="453"/>
      <x:c r="C6" s="453"/>
      <x:c r="D6" s="454"/>
      <x:c r="E6" s="454"/>
      <x:c r="F6" s="454"/>
      <x:c r="G6" s="986"/>
      <x:c r="H6" s="455"/>
      <x:c r="I6" s="456"/>
      <x:c r="J6" s="456"/>
      <x:c r="K6" s="986"/>
      <x:c r="L6" s="454"/>
      <x:c r="M6" s="439"/>
      <x:c r="N6" s="987" t="str">
        <x:f>IF(COUNTA($A6:$M6)=0,"",IF(OR(LEFT(LOWER(TRIM($F6&amp;"")),12)="subscription",LOWER(TRIM($F6&amp;""))="membership"),"",IF($G6="","",IF(ISNUMBER(SEARCH("non",LOWER($E6&amp;""))),$G6*0.85,$G6))))</x:f>
      </x:c>
      <x:c r="O6" s="987" t="str">
        <x:f>IF(COUNTA($A6:$M6)=0,"",IF(OR(LEFT(LOWER(TRIM($F6&amp;"")),12)="subscription",LOWER(TRIM($F6&amp;""))="membership"),"",IF(OR($N6="",$I6="",$I6=0),"",IFERROR($N6/$I6,""))))</x:f>
      </x:c>
      <x:c r="P6" s="987" t="str">
        <x:f>IF(COUNTA($A6:$M6)=0,"",IF(OR(LEFT(LOWER(TRIM($F6&amp;"")),12)="subscription",LOWER(TRIM($F6&amp;""))="membership"),"",IF(LOWER($L6&amp;"")="yes",0,IF(OR(AND($H6&lt;&gt;"",$H6=0),LEFT(LOWER(TRIM($F6&amp;"")),9)="free game",LOWER(TRIM($F6&amp;""))="free",LOWER(TRIM($F6&amp;""))="free entry"),IF(LOWER($D6&amp;"")="finalized",IF(ISNUMBER($K6),$K6,""),IF($O6&lt;&gt;"",$O6,"")),IF($K6&lt;&gt;"",$K6,IF($O6&lt;&gt;"",$O6,""))))))</x:f>
      </x:c>
      <x:c r="Q6" s="114" t="str">
        <x:f>IF(COUNTA($A6:$M6)=0,"",IF(OR($U6="Subscription",$U6=""),"",IF($U6="Profit",ROUND(IFERROR($P6,0)-IFERROR($H6,0),2),0)))</x:f>
      </x:c>
      <x:c r="R6" s="114" t="str">
        <x:f>IF(COUNTA($A6:$M6)=0,"",IF(OR($U6="Subscription",$U6=""),"",IF($U6="Draw",$H6,0)))</x:f>
      </x:c>
      <x:c r="S6" s="114" t="str">
        <x:f>IF(COUNTA($A6:$M6)=0,"",IF(OR($U6="Subscription",$U6=""),"",IF($U6="Disqualified",$H6,0)))</x:f>
      </x:c>
      <x:c r="T6" s="955" t="str">
        <x:f>IF(COUNTA($A6:$M6)=0,"",IF(OR($U6="Subscription",$U6=""),"",IF(OR($U6="Free Game",$U6="Disqualified — Free Game",$H6=0),"N/A",IF($U6="Profit",$Q6/$H6,IF($U6="Disqualified",-$S6/$H6,0)))))</x:f>
      </x:c>
      <x:c r="U6" s="920" t="str">
        <x:f>IF(COUNTA($A6:$M6)=0,"",IF(OR(LEFT(LOWER(TRIM($F6&amp;"")),12)="subscription",LOWER(TRIM($F6&amp;""))="membership"),"Subscription",IF(OR(AND($H6&lt;&gt;"",$H6=0),LEFT(LOWER(TRIM($F6&amp;"")),9)="free game",LOWER(TRIM($F6&amp;""))="free",LOWER(TRIM($F6&amp;""))="free entry"),IF(LOWER($L6&amp;"")="yes","Disqualified — Free Game","Free Game"),IF(LOWER($L6&amp;"")="yes","Disqualified",IF($P6="","",IF(ROUND(IFERROR(VALUE($P6),0)-IFERROR(VALUE($H6),0),2)&gt;0,"Profit","Draw"))))))</x:f>
      </x:c>
      <x:c r="V6" s="956" t="str">
        <x:f>IF(COUNTA($A6:$M6)=0,"",IF(OR($B6="",$C6="",$U6="Subscription"),"",IFERROR(ROUNDUP(($C6-$B6)/7,0),"")))</x:f>
      </x:c>
      <x:c r="W6" s="114" t="str">
        <x:f>IF(COUNTA($A6:$M6)=0,"",IF(OR($U6="Subscription",$U6=""),"",IF(OR($U6="Free Game",$U6="Disqualified — Free Game"),0,ROUND(IFERROR($Q6,0)-IFERROR($S6,0),2))))</x:f>
      </x:c>
      <x:c r="X6" s="956" t="str">
        <x:f>IF(COUNTA($A6:$M6)=0,"",IF(OR($U6="Subscription",NOT(ISNUMBER($J6)),NOT(ISNUMBER($I6)),$J6=0,$I6=0,$I6&gt;$J6),"",$J6-$I6))</x:f>
      </x:c>
      <x:c r="Y6" s="955" t="str">
        <x:f>IF(COUNTA($A6:$M6)=0,"",IF(OR($U6="Subscription",NOT(ISNUMBER($J6)),$J6=0,$X6=""),"",$X6/$J6))</x:f>
      </x:c>
      <x:c r="Z6" s="957" t="str">
        <x:f>IF(COUNTA($A6:$M6)=0,"",Instructions!$B$29+SUM($W$5:W6))</x:f>
      </x:c>
    </x:row>
    <x:row r="7" ht="36" customHeight="1">
      <x:c r="A7" s="439"/>
      <x:c r="B7" s="453"/>
      <x:c r="C7" s="453"/>
      <x:c r="D7" s="454"/>
      <x:c r="E7" s="454"/>
      <x:c r="F7" s="454"/>
      <x:c r="G7" s="986"/>
      <x:c r="H7" s="455"/>
      <x:c r="I7" s="456"/>
      <x:c r="J7" s="456"/>
      <x:c r="K7" s="986"/>
      <x:c r="L7" s="454"/>
      <x:c r="M7" s="439"/>
      <x:c r="N7" s="987" t="str">
        <x:f>IF(COUNTA($A7:$M7)=0,"",IF(OR(LEFT(LOWER(TRIM($F7&amp;"")),12)="subscription",LOWER(TRIM($F7&amp;""))="membership"),"",IF($G7="","",IF(ISNUMBER(SEARCH("non",LOWER($E7&amp;""))),$G7*0.85,$G7))))</x:f>
      </x:c>
      <x:c r="O7" s="987" t="str">
        <x:f>IF(COUNTA($A7:$M7)=0,"",IF(OR(LEFT(LOWER(TRIM($F7&amp;"")),12)="subscription",LOWER(TRIM($F7&amp;""))="membership"),"",IF(OR($N7="",$I7="",$I7=0),"",IFERROR($N7/$I7,""))))</x:f>
      </x:c>
      <x:c r="P7" s="987" t="str">
        <x:f>IF(COUNTA($A7:$M7)=0,"",IF(OR(LEFT(LOWER(TRIM($F7&amp;"")),12)="subscription",LOWER(TRIM($F7&amp;""))="membership"),"",IF(LOWER($L7&amp;"")="yes",0,IF(OR(AND($H7&lt;&gt;"",$H7=0),LEFT(LOWER(TRIM($F7&amp;"")),9)="free game",LOWER(TRIM($F7&amp;""))="free",LOWER(TRIM($F7&amp;""))="free entry"),IF(LOWER($D7&amp;"")="finalized",IF(ISNUMBER($K7),$K7,""),IF($O7&lt;&gt;"",$O7,"")),IF($K7&lt;&gt;"",$K7,IF($O7&lt;&gt;"",$O7,""))))))</x:f>
      </x:c>
      <x:c r="Q7" s="114" t="str">
        <x:f>IF(COUNTA($A7:$M7)=0,"",IF(OR($U7="Subscription",$U7=""),"",IF($U7="Profit",ROUND(IFERROR($P7,0)-IFERROR($H7,0),2),0)))</x:f>
      </x:c>
      <x:c r="R7" s="114" t="str">
        <x:f>IF(COUNTA($A7:$M7)=0,"",IF(OR($U7="Subscription",$U7=""),"",IF($U7="Draw",$H7,0)))</x:f>
      </x:c>
      <x:c r="S7" s="114" t="str">
        <x:f>IF(COUNTA($A7:$M7)=0,"",IF(OR($U7="Subscription",$U7=""),"",IF($U7="Disqualified",$H7,0)))</x:f>
      </x:c>
      <x:c r="T7" s="955" t="str">
        <x:f>IF(COUNTA($A7:$M7)=0,"",IF(OR($U7="Subscription",$U7=""),"",IF(OR($U7="Free Game",$U7="Disqualified — Free Game",$H7=0),"N/A",IF($U7="Profit",$Q7/$H7,IF($U7="Disqualified",-$S7/$H7,0)))))</x:f>
      </x:c>
      <x:c r="U7" s="920" t="str">
        <x:f>IF(COUNTA($A7:$M7)=0,"",IF(OR(LEFT(LOWER(TRIM($F7&amp;"")),12)="subscription",LOWER(TRIM($F7&amp;""))="membership"),"Subscription",IF(OR(AND($H7&lt;&gt;"",$H7=0),LEFT(LOWER(TRIM($F7&amp;"")),9)="free game",LOWER(TRIM($F7&amp;""))="free",LOWER(TRIM($F7&amp;""))="free entry"),IF(LOWER($L7&amp;"")="yes","Disqualified — Free Game","Free Game"),IF(LOWER($L7&amp;"")="yes","Disqualified",IF($P7="","",IF(ROUND(IFERROR(VALUE($P7),0)-IFERROR(VALUE($H7),0),2)&gt;0,"Profit","Draw"))))))</x:f>
      </x:c>
      <x:c r="V7" s="956" t="str">
        <x:f>IF(COUNTA($A7:$M7)=0,"",IF(OR($B7="",$C7="",$U7="Subscription"),"",IFERROR(ROUNDUP(($C7-$B7)/7,0),"")))</x:f>
      </x:c>
      <x:c r="W7" s="114" t="str">
        <x:f>IF(COUNTA($A7:$M7)=0,"",IF(OR($U7="Subscription",$U7=""),"",IF(OR($U7="Free Game",$U7="Disqualified — Free Game"),0,ROUND(IFERROR($Q7,0)-IFERROR($S7,0),2))))</x:f>
      </x:c>
      <x:c r="X7" s="956" t="str">
        <x:f>IF(COUNTA($A7:$M7)=0,"",IF(OR($U7="Subscription",NOT(ISNUMBER($J7)),NOT(ISNUMBER($I7)),$J7=0,$I7=0,$I7&gt;$J7),"",$J7-$I7))</x:f>
      </x:c>
      <x:c r="Y7" s="955" t="str">
        <x:f>IF(COUNTA($A7:$M7)=0,"",IF(OR($U7="Subscription",NOT(ISNUMBER($J7)),$J7=0,$X7=""),"",$X7/$J7))</x:f>
      </x:c>
      <x:c r="Z7" s="957" t="str">
        <x:f>IF(COUNTA($A7:$M7)=0,"",Instructions!$B$29+SUM($W$5:W7))</x:f>
      </x:c>
    </x:row>
    <x:row r="8" ht="36" customHeight="1">
      <x:c r="A8" s="439"/>
      <x:c r="B8" s="453"/>
      <x:c r="C8" s="453"/>
      <x:c r="D8" s="454"/>
      <x:c r="E8" s="454"/>
      <x:c r="F8" s="454"/>
      <x:c r="G8" s="986"/>
      <x:c r="H8" s="455"/>
      <x:c r="I8" s="456"/>
      <x:c r="J8" s="456"/>
      <x:c r="K8" s="986"/>
      <x:c r="L8" s="454"/>
      <x:c r="M8" s="439"/>
      <x:c r="N8" s="987" t="str">
        <x:f>IF(COUNTA($A8:$M8)=0,"",IF(OR(LEFT(LOWER(TRIM($F8&amp;"")),12)="subscription",LOWER(TRIM($F8&amp;""))="membership"),"",IF($G8="","",IF(ISNUMBER(SEARCH("non",LOWER($E8&amp;""))),$G8*0.85,$G8))))</x:f>
      </x:c>
      <x:c r="O8" s="987" t="str">
        <x:f>IF(COUNTA($A8:$M8)=0,"",IF(OR(LEFT(LOWER(TRIM($F8&amp;"")),12)="subscription",LOWER(TRIM($F8&amp;""))="membership"),"",IF(OR($N8="",$I8="",$I8=0),"",IFERROR($N8/$I8,""))))</x:f>
      </x:c>
      <x:c r="P8" s="987" t="str">
        <x:f>IF(COUNTA($A8:$M8)=0,"",IF(OR(LEFT(LOWER(TRIM($F8&amp;"")),12)="subscription",LOWER(TRIM($F8&amp;""))="membership"),"",IF(LOWER($L8&amp;"")="yes",0,IF(OR(AND($H8&lt;&gt;"",$H8=0),LEFT(LOWER(TRIM($F8&amp;"")),9)="free game",LOWER(TRIM($F8&amp;""))="free",LOWER(TRIM($F8&amp;""))="free entry"),IF(LOWER($D8&amp;"")="finalized",IF(ISNUMBER($K8),$K8,""),IF($O8&lt;&gt;"",$O8,"")),IF($K8&lt;&gt;"",$K8,IF($O8&lt;&gt;"",$O8,""))))))</x:f>
      </x:c>
      <x:c r="Q8" s="114" t="str">
        <x:f>IF(COUNTA($A8:$M8)=0,"",IF(OR($U8="Subscription",$U8=""),"",IF($U8="Profit",ROUND(IFERROR($P8,0)-IFERROR($H8,0),2),0)))</x:f>
      </x:c>
      <x:c r="R8" s="114" t="str">
        <x:f>IF(COUNTA($A8:$M8)=0,"",IF(OR($U8="Subscription",$U8=""),"",IF($U8="Draw",$H8,0)))</x:f>
      </x:c>
      <x:c r="S8" s="114" t="str">
        <x:f>IF(COUNTA($A8:$M8)=0,"",IF(OR($U8="Subscription",$U8=""),"",IF($U8="Disqualified",$H8,0)))</x:f>
      </x:c>
      <x:c r="T8" s="955" t="str">
        <x:f>IF(COUNTA($A8:$M8)=0,"",IF(OR($U8="Subscription",$U8=""),"",IF(OR($U8="Free Game",$U8="Disqualified — Free Game",$H8=0),"N/A",IF($U8="Profit",$Q8/$H8,IF($U8="Disqualified",-$S8/$H8,0)))))</x:f>
      </x:c>
      <x:c r="U8" s="920" t="str">
        <x:f>IF(COUNTA($A8:$M8)=0,"",IF(OR(LEFT(LOWER(TRIM($F8&amp;"")),12)="subscription",LOWER(TRIM($F8&amp;""))="membership"),"Subscription",IF(OR(AND($H8&lt;&gt;"",$H8=0),LEFT(LOWER(TRIM($F8&amp;"")),9)="free game",LOWER(TRIM($F8&amp;""))="free",LOWER(TRIM($F8&amp;""))="free entry"),IF(LOWER($L8&amp;"")="yes","Disqualified — Free Game","Free Game"),IF(LOWER($L8&amp;"")="yes","Disqualified",IF($P8="","",IF(ROUND(IFERROR(VALUE($P8),0)-IFERROR(VALUE($H8),0),2)&gt;0,"Profit","Draw"))))))</x:f>
      </x:c>
      <x:c r="V8" s="956" t="str">
        <x:f>IF(COUNTA($A8:$M8)=0,"",IF(OR($B8="",$C8="",$U8="Subscription"),"",IFERROR(ROUNDUP(($C8-$B8)/7,0),"")))</x:f>
      </x:c>
      <x:c r="W8" s="114" t="str">
        <x:f>IF(COUNTA($A8:$M8)=0,"",IF(OR($U8="Subscription",$U8=""),"",IF(OR($U8="Free Game",$U8="Disqualified — Free Game"),0,ROUND(IFERROR($Q8,0)-IFERROR($S8,0),2))))</x:f>
      </x:c>
      <x:c r="X8" s="956" t="str">
        <x:f>IF(COUNTA($A8:$M8)=0,"",IF(OR($U8="Subscription",NOT(ISNUMBER($J8)),NOT(ISNUMBER($I8)),$J8=0,$I8=0,$I8&gt;$J8),"",$J8-$I8))</x:f>
      </x:c>
      <x:c r="Y8" s="955" t="str">
        <x:f>IF(COUNTA($A8:$M8)=0,"",IF(OR($U8="Subscription",NOT(ISNUMBER($J8)),$J8=0,$X8=""),"",$X8/$J8))</x:f>
      </x:c>
      <x:c r="Z8" s="957" t="str">
        <x:f>IF(COUNTA($A8:$M8)=0,"",Instructions!$B$29+SUM($W$5:W8))</x:f>
      </x:c>
    </x:row>
    <x:row r="9" ht="36" customHeight="1">
      <x:c r="A9" s="439"/>
      <x:c r="B9" s="453"/>
      <x:c r="C9" s="453"/>
      <x:c r="D9" s="454"/>
      <x:c r="E9" s="454"/>
      <x:c r="F9" s="454"/>
      <x:c r="G9" s="986"/>
      <x:c r="H9" s="455"/>
      <x:c r="I9" s="456"/>
      <x:c r="J9" s="456"/>
      <x:c r="K9" s="986"/>
      <x:c r="L9" s="454"/>
      <x:c r="M9" s="439"/>
      <x:c r="N9" s="987" t="str">
        <x:f>IF(COUNTA($A9:$M9)=0,"",IF(OR(LEFT(LOWER(TRIM($F9&amp;"")),12)="subscription",LOWER(TRIM($F9&amp;""))="membership"),"",IF($G9="","",IF(ISNUMBER(SEARCH("non",LOWER($E9&amp;""))),$G9*0.85,$G9))))</x:f>
      </x:c>
      <x:c r="O9" s="987" t="str">
        <x:f>IF(COUNTA($A9:$M9)=0,"",IF(OR(LEFT(LOWER(TRIM($F9&amp;"")),12)="subscription",LOWER(TRIM($F9&amp;""))="membership"),"",IF(OR($N9="",$I9="",$I9=0),"",IFERROR($N9/$I9,""))))</x:f>
      </x:c>
      <x:c r="P9" s="987" t="str">
        <x:f>IF(COUNTA($A9:$M9)=0,"",IF(OR(LEFT(LOWER(TRIM($F9&amp;"")),12)="subscription",LOWER(TRIM($F9&amp;""))="membership"),"",IF(LOWER($L9&amp;"")="yes",0,IF(OR(AND($H9&lt;&gt;"",$H9=0),LEFT(LOWER(TRIM($F9&amp;"")),9)="free game",LOWER(TRIM($F9&amp;""))="free",LOWER(TRIM($F9&amp;""))="free entry"),IF(LOWER($D9&amp;"")="finalized",IF(ISNUMBER($K9),$K9,""),IF($O9&lt;&gt;"",$O9,"")),IF($K9&lt;&gt;"",$K9,IF($O9&lt;&gt;"",$O9,""))))))</x:f>
      </x:c>
      <x:c r="Q9" s="114" t="str">
        <x:f>IF(COUNTA($A9:$M9)=0,"",IF(OR($U9="Subscription",$U9=""),"",IF($U9="Profit",ROUND(IFERROR($P9,0)-IFERROR($H9,0),2),0)))</x:f>
      </x:c>
      <x:c r="R9" s="114" t="str">
        <x:f>IF(COUNTA($A9:$M9)=0,"",IF(OR($U9="Subscription",$U9=""),"",IF($U9="Draw",$H9,0)))</x:f>
      </x:c>
      <x:c r="S9" s="114" t="str">
        <x:f>IF(COUNTA($A9:$M9)=0,"",IF(OR($U9="Subscription",$U9=""),"",IF($U9="Disqualified",$H9,0)))</x:f>
      </x:c>
      <x:c r="T9" s="955" t="str">
        <x:f>IF(COUNTA($A9:$M9)=0,"",IF(OR($U9="Subscription",$U9=""),"",IF(OR($U9="Free Game",$U9="Disqualified — Free Game",$H9=0),"N/A",IF($U9="Profit",$Q9/$H9,IF($U9="Disqualified",-$S9/$H9,0)))))</x:f>
      </x:c>
      <x:c r="U9" s="920" t="str">
        <x:f>IF(COUNTA($A9:$M9)=0,"",IF(OR(LEFT(LOWER(TRIM($F9&amp;"")),12)="subscription",LOWER(TRIM($F9&amp;""))="membership"),"Subscription",IF(OR(AND($H9&lt;&gt;"",$H9=0),LEFT(LOWER(TRIM($F9&amp;"")),9)="free game",LOWER(TRIM($F9&amp;""))="free",LOWER(TRIM($F9&amp;""))="free entry"),IF(LOWER($L9&amp;"")="yes","Disqualified — Free Game","Free Game"),IF(LOWER($L9&amp;"")="yes","Disqualified",IF($P9="","",IF(ROUND(IFERROR(VALUE($P9),0)-IFERROR(VALUE($H9),0),2)&gt;0,"Profit","Draw"))))))</x:f>
      </x:c>
      <x:c r="V9" s="956" t="str">
        <x:f>IF(COUNTA($A9:$M9)=0,"",IF(OR($B9="",$C9="",$U9="Subscription"),"",IFERROR(ROUNDUP(($C9-$B9)/7,0),"")))</x:f>
      </x:c>
      <x:c r="W9" s="114" t="str">
        <x:f>IF(COUNTA($A9:$M9)=0,"",IF(OR($U9="Subscription",$U9=""),"",IF(OR($U9="Free Game",$U9="Disqualified — Free Game"),0,ROUND(IFERROR($Q9,0)-IFERROR($S9,0),2))))</x:f>
      </x:c>
      <x:c r="X9" s="956" t="str">
        <x:f>IF(COUNTA($A9:$M9)=0,"",IF(OR($U9="Subscription",NOT(ISNUMBER($J9)),NOT(ISNUMBER($I9)),$J9=0,$I9=0,$I9&gt;$J9),"",$J9-$I9))</x:f>
      </x:c>
      <x:c r="Y9" s="955" t="str">
        <x:f>IF(COUNTA($A9:$M9)=0,"",IF(OR($U9="Subscription",NOT(ISNUMBER($J9)),$J9=0,$X9=""),"",$X9/$J9))</x:f>
      </x:c>
      <x:c r="Z9" s="957" t="str">
        <x:f>IF(COUNTA($A9:$M9)=0,"",Instructions!$B$29+SUM($W$5:W9))</x:f>
      </x:c>
    </x:row>
    <x:row r="10" ht="36" customHeight="1">
      <x:c r="A10" s="439"/>
      <x:c r="B10" s="453"/>
      <x:c r="C10" s="453"/>
      <x:c r="D10" s="454"/>
      <x:c r="E10" s="454"/>
      <x:c r="F10" s="454"/>
      <x:c r="G10" s="986"/>
      <x:c r="H10" s="455"/>
      <x:c r="I10" s="456"/>
      <x:c r="J10" s="456"/>
      <x:c r="K10" s="986"/>
      <x:c r="L10" s="454"/>
      <x:c r="M10" s="439"/>
      <x:c r="N10" s="987" t="str">
        <x:f>IF(COUNTA($A10:$M10)=0,"",IF(OR(LEFT(LOWER(TRIM($F10&amp;"")),12)="subscription",LOWER(TRIM($F10&amp;""))="membership"),"",IF($G10="","",IF(ISNUMBER(SEARCH("non",LOWER($E10&amp;""))),$G10*0.85,$G10))))</x:f>
      </x:c>
      <x:c r="O10" s="987" t="str">
        <x:f>IF(COUNTA($A10:$M10)=0,"",IF(OR(LEFT(LOWER(TRIM($F10&amp;"")),12)="subscription",LOWER(TRIM($F10&amp;""))="membership"),"",IF(OR($N10="",$I10="",$I10=0),"",IFERROR($N10/$I10,""))))</x:f>
      </x:c>
      <x:c r="P10" s="987" t="str">
        <x:f>IF(COUNTA($A10:$M10)=0,"",IF(OR(LEFT(LOWER(TRIM($F10&amp;"")),12)="subscription",LOWER(TRIM($F10&amp;""))="membership"),"",IF(LOWER($L10&amp;"")="yes",0,IF(OR(AND($H10&lt;&gt;"",$H10=0),LEFT(LOWER(TRIM($F10&amp;"")),9)="free game",LOWER(TRIM($F10&amp;""))="free",LOWER(TRIM($F10&amp;""))="free entry"),IF(LOWER($D10&amp;"")="finalized",IF(ISNUMBER($K10),$K10,""),IF($O10&lt;&gt;"",$O10,"")),IF($K10&lt;&gt;"",$K10,IF($O10&lt;&gt;"",$O10,""))))))</x:f>
      </x:c>
      <x:c r="Q10" s="114" t="str">
        <x:f>IF(COUNTA($A10:$M10)=0,"",IF(OR($U10="Subscription",$U10=""),"",IF($U10="Profit",ROUND(IFERROR($P10,0)-IFERROR($H10,0),2),0)))</x:f>
      </x:c>
      <x:c r="R10" s="114" t="str">
        <x:f>IF(COUNTA($A10:$M10)=0,"",IF(OR($U10="Subscription",$U10=""),"",IF($U10="Draw",$H10,0)))</x:f>
      </x:c>
      <x:c r="S10" s="114" t="str">
        <x:f>IF(COUNTA($A10:$M10)=0,"",IF(OR($U10="Subscription",$U10=""),"",IF($U10="Disqualified",$H10,0)))</x:f>
      </x:c>
      <x:c r="T10" s="955" t="str">
        <x:f>IF(COUNTA($A10:$M10)=0,"",IF(OR($U10="Subscription",$U10=""),"",IF(OR($U10="Free Game",$U10="Disqualified — Free Game",$H10=0),"N/A",IF($U10="Profit",$Q10/$H10,IF($U10="Disqualified",-$S10/$H10,0)))))</x:f>
      </x:c>
      <x:c r="U10" s="920" t="str">
        <x:f>IF(COUNTA($A10:$M10)=0,"",IF(OR(LEFT(LOWER(TRIM($F10&amp;"")),12)="subscription",LOWER(TRIM($F10&amp;""))="membership"),"Subscription",IF(OR(AND($H10&lt;&gt;"",$H10=0),LEFT(LOWER(TRIM($F10&amp;"")),9)="free game",LOWER(TRIM($F10&amp;""))="free",LOWER(TRIM($F10&amp;""))="free entry"),IF(LOWER($L10&amp;"")="yes","Disqualified — Free Game","Free Game"),IF(LOWER($L10&amp;"")="yes","Disqualified",IF($P10="","",IF(ROUND(IFERROR(VALUE($P10),0)-IFERROR(VALUE($H10),0),2)&gt;0,"Profit","Draw"))))))</x:f>
      </x:c>
      <x:c r="V10" s="956" t="str">
        <x:f>IF(COUNTA($A10:$M10)=0,"",IF(OR($B10="",$C10="",$U10="Subscription"),"",IFERROR(ROUNDUP(($C10-$B10)/7,0),"")))</x:f>
      </x:c>
      <x:c r="W10" s="114" t="str">
        <x:f>IF(COUNTA($A10:$M10)=0,"",IF(OR($U10="Subscription",$U10=""),"",IF(OR($U10="Free Game",$U10="Disqualified — Free Game"),0,ROUND(IFERROR($Q10,0)-IFERROR($S10,0),2))))</x:f>
      </x:c>
      <x:c r="X10" s="956" t="str">
        <x:f>IF(COUNTA($A10:$M10)=0,"",IF(OR($U10="Subscription",NOT(ISNUMBER($J10)),NOT(ISNUMBER($I10)),$J10=0,$I10=0,$I10&gt;$J10),"",$J10-$I10))</x:f>
      </x:c>
      <x:c r="Y10" s="955" t="str">
        <x:f>IF(COUNTA($A10:$M10)=0,"",IF(OR($U10="Subscription",NOT(ISNUMBER($J10)),$J10=0,$X10=""),"",$X10/$J10))</x:f>
      </x:c>
      <x:c r="Z10" s="957" t="str">
        <x:f>IF(COUNTA($A10:$M10)=0,"",Instructions!$B$29+SUM($W$5:W10))</x:f>
      </x:c>
    </x:row>
    <x:row r="11" ht="36" customHeight="1">
      <x:c r="A11" s="439"/>
      <x:c r="B11" s="453"/>
      <x:c r="C11" s="453"/>
      <x:c r="D11" s="454"/>
      <x:c r="E11" s="454"/>
      <x:c r="F11" s="454"/>
      <x:c r="G11" s="986"/>
      <x:c r="H11" s="455"/>
      <x:c r="I11" s="456"/>
      <x:c r="J11" s="456"/>
      <x:c r="K11" s="986"/>
      <x:c r="L11" s="454"/>
      <x:c r="M11" s="439"/>
      <x:c r="N11" s="987" t="str">
        <x:f>IF(COUNTA($A11:$M11)=0,"",IF(OR(LEFT(LOWER(TRIM($F11&amp;"")),12)="subscription",LOWER(TRIM($F11&amp;""))="membership"),"",IF($G11="","",IF(ISNUMBER(SEARCH("non",LOWER($E11&amp;""))),$G11*0.85,$G11))))</x:f>
      </x:c>
      <x:c r="O11" s="987" t="str">
        <x:f>IF(COUNTA($A11:$M11)=0,"",IF(OR(LEFT(LOWER(TRIM($F11&amp;"")),12)="subscription",LOWER(TRIM($F11&amp;""))="membership"),"",IF(OR($N11="",$I11="",$I11=0),"",IFERROR($N11/$I11,""))))</x:f>
      </x:c>
      <x:c r="P11" s="987" t="str">
        <x:f>IF(COUNTA($A11:$M11)=0,"",IF(OR(LEFT(LOWER(TRIM($F11&amp;"")),12)="subscription",LOWER(TRIM($F11&amp;""))="membership"),"",IF(LOWER($L11&amp;"")="yes",0,IF(OR(AND($H11&lt;&gt;"",$H11=0),LEFT(LOWER(TRIM($F11&amp;"")),9)="free game",LOWER(TRIM($F11&amp;""))="free",LOWER(TRIM($F11&amp;""))="free entry"),IF(LOWER($D11&amp;"")="finalized",IF(ISNUMBER($K11),$K11,""),IF($O11&lt;&gt;"",$O11,"")),IF($K11&lt;&gt;"",$K11,IF($O11&lt;&gt;"",$O11,""))))))</x:f>
      </x:c>
      <x:c r="Q11" s="114" t="str">
        <x:f>IF(COUNTA($A11:$M11)=0,"",IF(OR($U11="Subscription",$U11=""),"",IF($U11="Profit",ROUND(IFERROR($P11,0)-IFERROR($H11,0),2),0)))</x:f>
      </x:c>
      <x:c r="R11" s="114" t="str">
        <x:f>IF(COUNTA($A11:$M11)=0,"",IF(OR($U11="Subscription",$U11=""),"",IF($U11="Draw",$H11,0)))</x:f>
      </x:c>
      <x:c r="S11" s="114" t="str">
        <x:f>IF(COUNTA($A11:$M11)=0,"",IF(OR($U11="Subscription",$U11=""),"",IF($U11="Disqualified",$H11,0)))</x:f>
      </x:c>
      <x:c r="T11" s="955" t="str">
        <x:f>IF(COUNTA($A11:$M11)=0,"",IF(OR($U11="Subscription",$U11=""),"",IF(OR($U11="Free Game",$U11="Disqualified — Free Game",$H11=0),"N/A",IF($U11="Profit",$Q11/$H11,IF($U11="Disqualified",-$S11/$H11,0)))))</x:f>
      </x:c>
      <x:c r="U11" s="920" t="str">
        <x:f>IF(COUNTA($A11:$M11)=0,"",IF(OR(LEFT(LOWER(TRIM($F11&amp;"")),12)="subscription",LOWER(TRIM($F11&amp;""))="membership"),"Subscription",IF(OR(AND($H11&lt;&gt;"",$H11=0),LEFT(LOWER(TRIM($F11&amp;"")),9)="free game",LOWER(TRIM($F11&amp;""))="free",LOWER(TRIM($F11&amp;""))="free entry"),IF(LOWER($L11&amp;"")="yes","Disqualified — Free Game","Free Game"),IF(LOWER($L11&amp;"")="yes","Disqualified",IF($P11="","",IF(ROUND(IFERROR(VALUE($P11),0)-IFERROR(VALUE($H11),0),2)&gt;0,"Profit","Draw"))))))</x:f>
      </x:c>
      <x:c r="V11" s="956" t="str">
        <x:f>IF(COUNTA($A11:$M11)=0,"",IF(OR($B11="",$C11="",$U11="Subscription"),"",IFERROR(ROUNDUP(($C11-$B11)/7,0),"")))</x:f>
      </x:c>
      <x:c r="W11" s="114" t="str">
        <x:f>IF(COUNTA($A11:$M11)=0,"",IF(OR($U11="Subscription",$U11=""),"",IF(OR($U11="Free Game",$U11="Disqualified — Free Game"),0,ROUND(IFERROR($Q11,0)-IFERROR($S11,0),2))))</x:f>
      </x:c>
      <x:c r="X11" s="956" t="str">
        <x:f>IF(COUNTA($A11:$M11)=0,"",IF(OR($U11="Subscription",NOT(ISNUMBER($J11)),NOT(ISNUMBER($I11)),$J11=0,$I11=0,$I11&gt;$J11),"",$J11-$I11))</x:f>
      </x:c>
      <x:c r="Y11" s="955" t="str">
        <x:f>IF(COUNTA($A11:$M11)=0,"",IF(OR($U11="Subscription",NOT(ISNUMBER($J11)),$J11=0,$X11=""),"",$X11/$J11))</x:f>
      </x:c>
      <x:c r="Z11" s="957" t="str">
        <x:f>IF(COUNTA($A11:$M11)=0,"",Instructions!$B$29+SUM($W$5:W11))</x:f>
      </x:c>
    </x:row>
    <x:row r="12" ht="36" customHeight="1">
      <x:c r="A12" s="439"/>
      <x:c r="B12" s="453"/>
      <x:c r="C12" s="453"/>
      <x:c r="D12" s="454"/>
      <x:c r="E12" s="454"/>
      <x:c r="F12" s="454"/>
      <x:c r="G12" s="986"/>
      <x:c r="H12" s="455"/>
      <x:c r="I12" s="456"/>
      <x:c r="J12" s="456"/>
      <x:c r="K12" s="986"/>
      <x:c r="L12" s="454"/>
      <x:c r="M12" s="439"/>
      <x:c r="N12" s="987" t="str">
        <x:f>IF(COUNTA($A12:$M12)=0,"",IF(OR(LEFT(LOWER(TRIM($F12&amp;"")),12)="subscription",LOWER(TRIM($F12&amp;""))="membership"),"",IF($G12="","",IF(ISNUMBER(SEARCH("non",LOWER($E12&amp;""))),$G12*0.85,$G12))))</x:f>
      </x:c>
      <x:c r="O12" s="987" t="str">
        <x:f>IF(COUNTA($A12:$M12)=0,"",IF(OR(LEFT(LOWER(TRIM($F12&amp;"")),12)="subscription",LOWER(TRIM($F12&amp;""))="membership"),"",IF(OR($N12="",$I12="",$I12=0),"",IFERROR($N12/$I12,""))))</x:f>
      </x:c>
      <x:c r="P12" s="987" t="str">
        <x:f>IF(COUNTA($A12:$M12)=0,"",IF(OR(LEFT(LOWER(TRIM($F12&amp;"")),12)="subscription",LOWER(TRIM($F12&amp;""))="membership"),"",IF(LOWER($L12&amp;"")="yes",0,IF(OR(AND($H12&lt;&gt;"",$H12=0),LEFT(LOWER(TRIM($F12&amp;"")),9)="free game",LOWER(TRIM($F12&amp;""))="free",LOWER(TRIM($F12&amp;""))="free entry"),IF(LOWER($D12&amp;"")="finalized",IF(ISNUMBER($K12),$K12,""),IF($O12&lt;&gt;"",$O12,"")),IF($K12&lt;&gt;"",$K12,IF($O12&lt;&gt;"",$O12,""))))))</x:f>
      </x:c>
      <x:c r="Q12" s="114" t="str">
        <x:f>IF(COUNTA($A12:$M12)=0,"",IF(OR($U12="Subscription",$U12=""),"",IF($U12="Profit",ROUND(IFERROR($P12,0)-IFERROR($H12,0),2),0)))</x:f>
      </x:c>
      <x:c r="R12" s="114" t="str">
        <x:f>IF(COUNTA($A12:$M12)=0,"",IF(OR($U12="Subscription",$U12=""),"",IF($U12="Draw",$H12,0)))</x:f>
      </x:c>
      <x:c r="S12" s="114" t="str">
        <x:f>IF(COUNTA($A12:$M12)=0,"",IF(OR($U12="Subscription",$U12=""),"",IF($U12="Disqualified",$H12,0)))</x:f>
      </x:c>
      <x:c r="T12" s="955" t="str">
        <x:f>IF(COUNTA($A12:$M12)=0,"",IF(OR($U12="Subscription",$U12=""),"",IF(OR($U12="Free Game",$U12="Disqualified — Free Game",$H12=0),"N/A",IF($U12="Profit",$Q12/$H12,IF($U12="Disqualified",-$S12/$H12,0)))))</x:f>
      </x:c>
      <x:c r="U12" s="920" t="str">
        <x:f>IF(COUNTA($A12:$M12)=0,"",IF(OR(LEFT(LOWER(TRIM($F12&amp;"")),12)="subscription",LOWER(TRIM($F12&amp;""))="membership"),"Subscription",IF(OR(AND($H12&lt;&gt;"",$H12=0),LEFT(LOWER(TRIM($F12&amp;"")),9)="free game",LOWER(TRIM($F12&amp;""))="free",LOWER(TRIM($F12&amp;""))="free entry"),IF(LOWER($L12&amp;"")="yes","Disqualified — Free Game","Free Game"),IF(LOWER($L12&amp;"")="yes","Disqualified",IF($P12="","",IF(ROUND(IFERROR(VALUE($P12),0)-IFERROR(VALUE($H12),0),2)&gt;0,"Profit","Draw"))))))</x:f>
      </x:c>
      <x:c r="V12" s="956" t="str">
        <x:f>IF(COUNTA($A12:$M12)=0,"",IF(OR($B12="",$C12="",$U12="Subscription"),"",IFERROR(ROUNDUP(($C12-$B12)/7,0),"")))</x:f>
      </x:c>
      <x:c r="W12" s="114" t="str">
        <x:f>IF(COUNTA($A12:$M12)=0,"",IF(OR($U12="Subscription",$U12=""),"",IF(OR($U12="Free Game",$U12="Disqualified — Free Game"),0,ROUND(IFERROR($Q12,0)-IFERROR($S12,0),2))))</x:f>
      </x:c>
      <x:c r="X12" s="956" t="str">
        <x:f>IF(COUNTA($A12:$M12)=0,"",IF(OR($U12="Subscription",NOT(ISNUMBER($J12)),NOT(ISNUMBER($I12)),$J12=0,$I12=0,$I12&gt;$J12),"",$J12-$I12))</x:f>
      </x:c>
      <x:c r="Y12" s="955" t="str">
        <x:f>IF(COUNTA($A12:$M12)=0,"",IF(OR($U12="Subscription",NOT(ISNUMBER($J12)),$J12=0,$X12=""),"",$X12/$J12))</x:f>
      </x:c>
      <x:c r="Z12" s="957" t="str">
        <x:f>IF(COUNTA($A12:$M12)=0,"",Instructions!$B$29+SUM($W$5:W12))</x:f>
      </x:c>
    </x:row>
    <x:row r="13" ht="36" customHeight="1">
      <x:c r="A13" s="439"/>
      <x:c r="B13" s="453"/>
      <x:c r="C13" s="453"/>
      <x:c r="D13" s="454"/>
      <x:c r="E13" s="454"/>
      <x:c r="F13" s="454"/>
      <x:c r="G13" s="986"/>
      <x:c r="H13" s="455"/>
      <x:c r="I13" s="456"/>
      <x:c r="J13" s="456"/>
      <x:c r="K13" s="986"/>
      <x:c r="L13" s="454"/>
      <x:c r="M13" s="439"/>
      <x:c r="N13" s="987" t="str">
        <x:f>IF(COUNTA($A13:$M13)=0,"",IF(OR(LEFT(LOWER(TRIM($F13&amp;"")),12)="subscription",LOWER(TRIM($F13&amp;""))="membership"),"",IF($G13="","",IF(ISNUMBER(SEARCH("non",LOWER($E13&amp;""))),$G13*0.85,$G13))))</x:f>
      </x:c>
      <x:c r="O13" s="987" t="str">
        <x:f>IF(COUNTA($A13:$M13)=0,"",IF(OR(LEFT(LOWER(TRIM($F13&amp;"")),12)="subscription",LOWER(TRIM($F13&amp;""))="membership"),"",IF(OR($N13="",$I13="",$I13=0),"",IFERROR($N13/$I13,""))))</x:f>
      </x:c>
      <x:c r="P13" s="987" t="str">
        <x:f>IF(COUNTA($A13:$M13)=0,"",IF(OR(LEFT(LOWER(TRIM($F13&amp;"")),12)="subscription",LOWER(TRIM($F13&amp;""))="membership"),"",IF(LOWER($L13&amp;"")="yes",0,IF(OR(AND($H13&lt;&gt;"",$H13=0),LEFT(LOWER(TRIM($F13&amp;"")),9)="free game",LOWER(TRIM($F13&amp;""))="free",LOWER(TRIM($F13&amp;""))="free entry"),IF(LOWER($D13&amp;"")="finalized",IF(ISNUMBER($K13),$K13,""),IF($O13&lt;&gt;"",$O13,"")),IF($K13&lt;&gt;"",$K13,IF($O13&lt;&gt;"",$O13,""))))))</x:f>
      </x:c>
      <x:c r="Q13" s="114" t="str">
        <x:f>IF(COUNTA($A13:$M13)=0,"",IF(OR($U13="Subscription",$U13=""),"",IF($U13="Profit",ROUND(IFERROR($P13,0)-IFERROR($H13,0),2),0)))</x:f>
      </x:c>
      <x:c r="R13" s="114" t="str">
        <x:f>IF(COUNTA($A13:$M13)=0,"",IF(OR($U13="Subscription",$U13=""),"",IF($U13="Draw",$H13,0)))</x:f>
      </x:c>
      <x:c r="S13" s="114" t="str">
        <x:f>IF(COUNTA($A13:$M13)=0,"",IF(OR($U13="Subscription",$U13=""),"",IF($U13="Disqualified",$H13,0)))</x:f>
      </x:c>
      <x:c r="T13" s="955" t="str">
        <x:f>IF(COUNTA($A13:$M13)=0,"",IF(OR($U13="Subscription",$U13=""),"",IF(OR($U13="Free Game",$U13="Disqualified — Free Game",$H13=0),"N/A",IF($U13="Profit",$Q13/$H13,IF($U13="Disqualified",-$S13/$H13,0)))))</x:f>
      </x:c>
      <x:c r="U13" s="920" t="str">
        <x:f>IF(COUNTA($A13:$M13)=0,"",IF(OR(LEFT(LOWER(TRIM($F13&amp;"")),12)="subscription",LOWER(TRIM($F13&amp;""))="membership"),"Subscription",IF(OR(AND($H13&lt;&gt;"",$H13=0),LEFT(LOWER(TRIM($F13&amp;"")),9)="free game",LOWER(TRIM($F13&amp;""))="free",LOWER(TRIM($F13&amp;""))="free entry"),IF(LOWER($L13&amp;"")="yes","Disqualified — Free Game","Free Game"),IF(LOWER($L13&amp;"")="yes","Disqualified",IF($P13="","",IF(ROUND(IFERROR(VALUE($P13),0)-IFERROR(VALUE($H13),0),2)&gt;0,"Profit","Draw"))))))</x:f>
      </x:c>
      <x:c r="V13" s="956" t="str">
        <x:f>IF(COUNTA($A13:$M13)=0,"",IF(OR($B13="",$C13="",$U13="Subscription"),"",IFERROR(ROUNDUP(($C13-$B13)/7,0),"")))</x:f>
      </x:c>
      <x:c r="W13" s="114" t="str">
        <x:f>IF(COUNTA($A13:$M13)=0,"",IF(OR($U13="Subscription",$U13=""),"",IF(OR($U13="Free Game",$U13="Disqualified — Free Game"),0,ROUND(IFERROR($Q13,0)-IFERROR($S13,0),2))))</x:f>
      </x:c>
      <x:c r="X13" s="956" t="str">
        <x:f>IF(COUNTA($A13:$M13)=0,"",IF(OR($U13="Subscription",NOT(ISNUMBER($J13)),NOT(ISNUMBER($I13)),$J13=0,$I13=0,$I13&gt;$J13),"",$J13-$I13))</x:f>
      </x:c>
      <x:c r="Y13" s="955" t="str">
        <x:f>IF(COUNTA($A13:$M13)=0,"",IF(OR($U13="Subscription",NOT(ISNUMBER($J13)),$J13=0,$X13=""),"",$X13/$J13))</x:f>
      </x:c>
      <x:c r="Z13" s="957" t="str">
        <x:f>IF(COUNTA($A13:$M13)=0,"",Instructions!$B$29+SUM($W$5:W13))</x:f>
      </x:c>
    </x:row>
    <x:row r="14" ht="36" customHeight="1">
      <x:c r="A14" s="439"/>
      <x:c r="B14" s="453"/>
      <x:c r="C14" s="453"/>
      <x:c r="D14" s="454"/>
      <x:c r="E14" s="454"/>
      <x:c r="F14" s="454"/>
      <x:c r="G14" s="986"/>
      <x:c r="H14" s="455"/>
      <x:c r="I14" s="456"/>
      <x:c r="J14" s="456"/>
      <x:c r="K14" s="986"/>
      <x:c r="L14" s="454"/>
      <x:c r="M14" s="439"/>
      <x:c r="N14" s="987" t="str">
        <x:f>IF(COUNTA($A14:$M14)=0,"",IF(OR(LEFT(LOWER(TRIM($F14&amp;"")),12)="subscription",LOWER(TRIM($F14&amp;""))="membership"),"",IF($G14="","",IF(ISNUMBER(SEARCH("non",LOWER($E14&amp;""))),$G14*0.85,$G14))))</x:f>
      </x:c>
      <x:c r="O14" s="987" t="str">
        <x:f>IF(COUNTA($A14:$M14)=0,"",IF(OR(LEFT(LOWER(TRIM($F14&amp;"")),12)="subscription",LOWER(TRIM($F14&amp;""))="membership"),"",IF(OR($N14="",$I14="",$I14=0),"",IFERROR($N14/$I14,""))))</x:f>
      </x:c>
      <x:c r="P14" s="987" t="str">
        <x:f>IF(COUNTA($A14:$M14)=0,"",IF(OR(LEFT(LOWER(TRIM($F14&amp;"")),12)="subscription",LOWER(TRIM($F14&amp;""))="membership"),"",IF(LOWER($L14&amp;"")="yes",0,IF(OR(AND($H14&lt;&gt;"",$H14=0),LEFT(LOWER(TRIM($F14&amp;"")),9)="free game",LOWER(TRIM($F14&amp;""))="free",LOWER(TRIM($F14&amp;""))="free entry"),IF(LOWER($D14&amp;"")="finalized",IF(ISNUMBER($K14),$K14,""),IF($O14&lt;&gt;"",$O14,"")),IF($K14&lt;&gt;"",$K14,IF($O14&lt;&gt;"",$O14,""))))))</x:f>
      </x:c>
      <x:c r="Q14" s="114" t="str">
        <x:f>IF(COUNTA($A14:$M14)=0,"",IF(OR($U14="Subscription",$U14=""),"",IF($U14="Profit",ROUND(IFERROR($P14,0)-IFERROR($H14,0),2),0)))</x:f>
      </x:c>
      <x:c r="R14" s="114" t="str">
        <x:f>IF(COUNTA($A14:$M14)=0,"",IF(OR($U14="Subscription",$U14=""),"",IF($U14="Draw",$H14,0)))</x:f>
      </x:c>
      <x:c r="S14" s="114" t="str">
        <x:f>IF(COUNTA($A14:$M14)=0,"",IF(OR($U14="Subscription",$U14=""),"",IF($U14="Disqualified",$H14,0)))</x:f>
      </x:c>
      <x:c r="T14" s="955" t="str">
        <x:f>IF(COUNTA($A14:$M14)=0,"",IF(OR($U14="Subscription",$U14=""),"",IF(OR($U14="Free Game",$U14="Disqualified — Free Game",$H14=0),"N/A",IF($U14="Profit",$Q14/$H14,IF($U14="Disqualified",-$S14/$H14,0)))))</x:f>
      </x:c>
      <x:c r="U14" s="920" t="str">
        <x:f>IF(COUNTA($A14:$M14)=0,"",IF(OR(LEFT(LOWER(TRIM($F14&amp;"")),12)="subscription",LOWER(TRIM($F14&amp;""))="membership"),"Subscription",IF(OR(AND($H14&lt;&gt;"",$H14=0),LEFT(LOWER(TRIM($F14&amp;"")),9)="free game",LOWER(TRIM($F14&amp;""))="free",LOWER(TRIM($F14&amp;""))="free entry"),IF(LOWER($L14&amp;"")="yes","Disqualified — Free Game","Free Game"),IF(LOWER($L14&amp;"")="yes","Disqualified",IF($P14="","",IF(ROUND(IFERROR(VALUE($P14),0)-IFERROR(VALUE($H14),0),2)&gt;0,"Profit","Draw"))))))</x:f>
      </x:c>
      <x:c r="V14" s="956" t="str">
        <x:f>IF(COUNTA($A14:$M14)=0,"",IF(OR($B14="",$C14="",$U14="Subscription"),"",IFERROR(ROUNDUP(($C14-$B14)/7,0),"")))</x:f>
      </x:c>
      <x:c r="W14" s="114" t="str">
        <x:f>IF(COUNTA($A14:$M14)=0,"",IF(OR($U14="Subscription",$U14=""),"",IF(OR($U14="Free Game",$U14="Disqualified — Free Game"),0,ROUND(IFERROR($Q14,0)-IFERROR($S14,0),2))))</x:f>
      </x:c>
      <x:c r="X14" s="956" t="str">
        <x:f>IF(COUNTA($A14:$M14)=0,"",IF(OR($U14="Subscription",NOT(ISNUMBER($J14)),NOT(ISNUMBER($I14)),$J14=0,$I14=0,$I14&gt;$J14),"",$J14-$I14))</x:f>
      </x:c>
      <x:c r="Y14" s="955" t="str">
        <x:f>IF(COUNTA($A14:$M14)=0,"",IF(OR($U14="Subscription",NOT(ISNUMBER($J14)),$J14=0,$X14=""),"",$X14/$J14))</x:f>
      </x:c>
      <x:c r="Z14" s="957" t="str">
        <x:f>IF(COUNTA($A14:$M14)=0,"",Instructions!$B$29+SUM($W$5:W14))</x:f>
      </x:c>
    </x:row>
    <x:row r="15" ht="36" customHeight="1">
      <x:c r="A15" s="439"/>
      <x:c r="B15" s="453"/>
      <x:c r="C15" s="453"/>
      <x:c r="D15" s="454"/>
      <x:c r="E15" s="454"/>
      <x:c r="F15" s="454"/>
      <x:c r="G15" s="986"/>
      <x:c r="H15" s="455"/>
      <x:c r="I15" s="456"/>
      <x:c r="J15" s="456"/>
      <x:c r="K15" s="986"/>
      <x:c r="L15" s="454"/>
      <x:c r="M15" s="439"/>
      <x:c r="N15" s="987" t="str">
        <x:f>IF(COUNTA($A15:$M15)=0,"",IF(OR(LEFT(LOWER(TRIM($F15&amp;"")),12)="subscription",LOWER(TRIM($F15&amp;""))="membership"),"",IF($G15="","",IF(ISNUMBER(SEARCH("non",LOWER($E15&amp;""))),$G15*0.85,$G15))))</x:f>
      </x:c>
      <x:c r="O15" s="987" t="str">
        <x:f>IF(COUNTA($A15:$M15)=0,"",IF(OR(LEFT(LOWER(TRIM($F15&amp;"")),12)="subscription",LOWER(TRIM($F15&amp;""))="membership"),"",IF(OR($N15="",$I15="",$I15=0),"",IFERROR($N15/$I15,""))))</x:f>
      </x:c>
      <x:c r="P15" s="987" t="str">
        <x:f>IF(COUNTA($A15:$M15)=0,"",IF(OR(LEFT(LOWER(TRIM($F15&amp;"")),12)="subscription",LOWER(TRIM($F15&amp;""))="membership"),"",IF(LOWER($L15&amp;"")="yes",0,IF(OR(AND($H15&lt;&gt;"",$H15=0),LEFT(LOWER(TRIM($F15&amp;"")),9)="free game",LOWER(TRIM($F15&amp;""))="free",LOWER(TRIM($F15&amp;""))="free entry"),IF(LOWER($D15&amp;"")="finalized",IF(ISNUMBER($K15),$K15,""),IF($O15&lt;&gt;"",$O15,"")),IF($K15&lt;&gt;"",$K15,IF($O15&lt;&gt;"",$O15,""))))))</x:f>
      </x:c>
      <x:c r="Q15" s="114" t="str">
        <x:f>IF(COUNTA($A15:$M15)=0,"",IF(OR($U15="Subscription",$U15=""),"",IF($U15="Profit",ROUND(IFERROR($P15,0)-IFERROR($H15,0),2),0)))</x:f>
      </x:c>
      <x:c r="R15" s="114" t="str">
        <x:f>IF(COUNTA($A15:$M15)=0,"",IF(OR($U15="Subscription",$U15=""),"",IF($U15="Draw",$H15,0)))</x:f>
      </x:c>
      <x:c r="S15" s="114" t="str">
        <x:f>IF(COUNTA($A15:$M15)=0,"",IF(OR($U15="Subscription",$U15=""),"",IF($U15="Disqualified",$H15,0)))</x:f>
      </x:c>
      <x:c r="T15" s="955" t="str">
        <x:f>IF(COUNTA($A15:$M15)=0,"",IF(OR($U15="Subscription",$U15=""),"",IF(OR($U15="Free Game",$U15="Disqualified — Free Game",$H15=0),"N/A",IF($U15="Profit",$Q15/$H15,IF($U15="Disqualified",-$S15/$H15,0)))))</x:f>
      </x:c>
      <x:c r="U15" s="920" t="str">
        <x:f>IF(COUNTA($A15:$M15)=0,"",IF(OR(LEFT(LOWER(TRIM($F15&amp;"")),12)="subscription",LOWER(TRIM($F15&amp;""))="membership"),"Subscription",IF(OR(AND($H15&lt;&gt;"",$H15=0),LEFT(LOWER(TRIM($F15&amp;"")),9)="free game",LOWER(TRIM($F15&amp;""))="free",LOWER(TRIM($F15&amp;""))="free entry"),IF(LOWER($L15&amp;"")="yes","Disqualified — Free Game","Free Game"),IF(LOWER($L15&amp;"")="yes","Disqualified",IF($P15="","",IF(ROUND(IFERROR(VALUE($P15),0)-IFERROR(VALUE($H15),0),2)&gt;0,"Profit","Draw"))))))</x:f>
      </x:c>
      <x:c r="V15" s="956" t="str">
        <x:f>IF(COUNTA($A15:$M15)=0,"",IF(OR($B15="",$C15="",$U15="Subscription"),"",IFERROR(ROUNDUP(($C15-$B15)/7,0),"")))</x:f>
      </x:c>
      <x:c r="W15" s="114" t="str">
        <x:f>IF(COUNTA($A15:$M15)=0,"",IF(OR($U15="Subscription",$U15=""),"",IF(OR($U15="Free Game",$U15="Disqualified — Free Game"),0,ROUND(IFERROR($Q15,0)-IFERROR($S15,0),2))))</x:f>
      </x:c>
      <x:c r="X15" s="956" t="str">
        <x:f>IF(COUNTA($A15:$M15)=0,"",IF(OR($U15="Subscription",NOT(ISNUMBER($J15)),NOT(ISNUMBER($I15)),$J15=0,$I15=0,$I15&gt;$J15),"",$J15-$I15))</x:f>
      </x:c>
      <x:c r="Y15" s="955" t="str">
        <x:f>IF(COUNTA($A15:$M15)=0,"",IF(OR($U15="Subscription",NOT(ISNUMBER($J15)),$J15=0,$X15=""),"",$X15/$J15))</x:f>
      </x:c>
      <x:c r="Z15" s="957" t="str">
        <x:f>IF(COUNTA($A15:$M15)=0,"",Instructions!$B$29+SUM($W$5:W15))</x:f>
      </x:c>
    </x:row>
    <x:row r="16" ht="36" customHeight="1">
      <x:c r="A16" s="439"/>
      <x:c r="B16" s="453"/>
      <x:c r="C16" s="453"/>
      <x:c r="D16" s="454"/>
      <x:c r="E16" s="454"/>
      <x:c r="F16" s="454"/>
      <x:c r="G16" s="986"/>
      <x:c r="H16" s="455"/>
      <x:c r="I16" s="456"/>
      <x:c r="J16" s="456"/>
      <x:c r="K16" s="986"/>
      <x:c r="L16" s="454"/>
      <x:c r="M16" s="439"/>
      <x:c r="N16" s="987" t="str">
        <x:f>IF(COUNTA($A16:$M16)=0,"",IF(OR(LEFT(LOWER(TRIM($F16&amp;"")),12)="subscription",LOWER(TRIM($F16&amp;""))="membership"),"",IF($G16="","",IF(ISNUMBER(SEARCH("non",LOWER($E16&amp;""))),$G16*0.85,$G16))))</x:f>
      </x:c>
      <x:c r="O16" s="987" t="str">
        <x:f>IF(COUNTA($A16:$M16)=0,"",IF(OR(LEFT(LOWER(TRIM($F16&amp;"")),12)="subscription",LOWER(TRIM($F16&amp;""))="membership"),"",IF(OR($N16="",$I16="",$I16=0),"",IFERROR($N16/$I16,""))))</x:f>
      </x:c>
      <x:c r="P16" s="987" t="str">
        <x:f>IF(COUNTA($A16:$M16)=0,"",IF(OR(LEFT(LOWER(TRIM($F16&amp;"")),12)="subscription",LOWER(TRIM($F16&amp;""))="membership"),"",IF(LOWER($L16&amp;"")="yes",0,IF(OR(AND($H16&lt;&gt;"",$H16=0),LEFT(LOWER(TRIM($F16&amp;"")),9)="free game",LOWER(TRIM($F16&amp;""))="free",LOWER(TRIM($F16&amp;""))="free entry"),IF(LOWER($D16&amp;"")="finalized",IF(ISNUMBER($K16),$K16,""),IF($O16&lt;&gt;"",$O16,"")),IF($K16&lt;&gt;"",$K16,IF($O16&lt;&gt;"",$O16,""))))))</x:f>
      </x:c>
      <x:c r="Q16" s="114" t="str">
        <x:f>IF(COUNTA($A16:$M16)=0,"",IF(OR($U16="Subscription",$U16=""),"",IF($U16="Profit",ROUND(IFERROR($P16,0)-IFERROR($H16,0),2),0)))</x:f>
      </x:c>
      <x:c r="R16" s="114" t="str">
        <x:f>IF(COUNTA($A16:$M16)=0,"",IF(OR($U16="Subscription",$U16=""),"",IF($U16="Draw",$H16,0)))</x:f>
      </x:c>
      <x:c r="S16" s="114" t="str">
        <x:f>IF(COUNTA($A16:$M16)=0,"",IF(OR($U16="Subscription",$U16=""),"",IF($U16="Disqualified",$H16,0)))</x:f>
      </x:c>
      <x:c r="T16" s="955" t="str">
        <x:f>IF(COUNTA($A16:$M16)=0,"",IF(OR($U16="Subscription",$U16=""),"",IF(OR($U16="Free Game",$U16="Disqualified — Free Game",$H16=0),"N/A",IF($U16="Profit",$Q16/$H16,IF($U16="Disqualified",-$S16/$H16,0)))))</x:f>
      </x:c>
      <x:c r="U16" s="920" t="str">
        <x:f>IF(COUNTA($A16:$M16)=0,"",IF(OR(LEFT(LOWER(TRIM($F16&amp;"")),12)="subscription",LOWER(TRIM($F16&amp;""))="membership"),"Subscription",IF(OR(AND($H16&lt;&gt;"",$H16=0),LEFT(LOWER(TRIM($F16&amp;"")),9)="free game",LOWER(TRIM($F16&amp;""))="free",LOWER(TRIM($F16&amp;""))="free entry"),IF(LOWER($L16&amp;"")="yes","Disqualified — Free Game","Free Game"),IF(LOWER($L16&amp;"")="yes","Disqualified",IF($P16="","",IF(ROUND(IFERROR(VALUE($P16),0)-IFERROR(VALUE($H16),0),2)&gt;0,"Profit","Draw"))))))</x:f>
      </x:c>
      <x:c r="V16" s="956" t="str">
        <x:f>IF(COUNTA($A16:$M16)=0,"",IF(OR($B16="",$C16="",$U16="Subscription"),"",IFERROR(ROUNDUP(($C16-$B16)/7,0),"")))</x:f>
      </x:c>
      <x:c r="W16" s="114" t="str">
        <x:f>IF(COUNTA($A16:$M16)=0,"",IF(OR($U16="Subscription",$U16=""),"",IF(OR($U16="Free Game",$U16="Disqualified — Free Game"),0,ROUND(IFERROR($Q16,0)-IFERROR($S16,0),2))))</x:f>
      </x:c>
      <x:c r="X16" s="956" t="str">
        <x:f>IF(COUNTA($A16:$M16)=0,"",IF(OR($U16="Subscription",NOT(ISNUMBER($J16)),NOT(ISNUMBER($I16)),$J16=0,$I16=0,$I16&gt;$J16),"",$J16-$I16))</x:f>
      </x:c>
      <x:c r="Y16" s="955" t="str">
        <x:f>IF(COUNTA($A16:$M16)=0,"",IF(OR($U16="Subscription",NOT(ISNUMBER($J16)),$J16=0,$X16=""),"",$X16/$J16))</x:f>
      </x:c>
      <x:c r="Z16" s="957" t="str">
        <x:f>IF(COUNTA($A16:$M16)=0,"",Instructions!$B$29+SUM($W$5:W16))</x:f>
      </x:c>
    </x:row>
    <x:row r="17" ht="45" customHeight="1">
      <x:c r="A17" s="439"/>
      <x:c r="B17" s="453"/>
      <x:c r="C17" s="453"/>
      <x:c r="D17" s="454"/>
      <x:c r="E17" s="454"/>
      <x:c r="F17" s="454"/>
      <x:c r="G17" s="986"/>
      <x:c r="H17" s="455"/>
      <x:c r="I17" s="456"/>
      <x:c r="J17" s="456"/>
      <x:c r="K17" s="986"/>
      <x:c r="L17" s="454"/>
      <x:c r="M17" s="439"/>
      <x:c r="N17" s="987" t="str">
        <x:f>IF(COUNTA($A17:$M17)=0,"",IF(OR(LEFT(LOWER(TRIM($F17&amp;"")),12)="subscription",LOWER(TRIM($F17&amp;""))="membership"),"",IF($G17="","",IF(ISNUMBER(SEARCH("non",LOWER($E17&amp;""))),$G17*0.85,$G17))))</x:f>
      </x:c>
      <x:c r="O17" s="987" t="str">
        <x:f>IF(COUNTA($A17:$M17)=0,"",IF(OR(LEFT(LOWER(TRIM($F17&amp;"")),12)="subscription",LOWER(TRIM($F17&amp;""))="membership"),"",IF(OR($N17="",$I17="",$I17=0),"",IFERROR($N17/$I17,""))))</x:f>
      </x:c>
      <x:c r="P17" s="987" t="str">
        <x:f>IF(COUNTA($A17:$M17)=0,"",IF(OR(LEFT(LOWER(TRIM($F17&amp;"")),12)="subscription",LOWER(TRIM($F17&amp;""))="membership"),"",IF(LOWER($L17&amp;"")="yes",0,IF(OR(AND($H17&lt;&gt;"",$H17=0),LEFT(LOWER(TRIM($F17&amp;"")),9)="free game",LOWER(TRIM($F17&amp;""))="free",LOWER(TRIM($F17&amp;""))="free entry"),IF(LOWER($D17&amp;"")="finalized",IF(ISNUMBER($K17),$K17,""),IF($O17&lt;&gt;"",$O17,"")),IF($K17&lt;&gt;"",$K17,IF($O17&lt;&gt;"",$O17,""))))))</x:f>
      </x:c>
      <x:c r="Q17" s="114" t="str">
        <x:f>IF(COUNTA($A17:$M17)=0,"",IF(OR($U17="Subscription",$U17=""),"",IF($U17="Profit",ROUND(IFERROR($P17,0)-IFERROR($H17,0),2),0)))</x:f>
      </x:c>
      <x:c r="R17" s="114" t="str">
        <x:f>IF(COUNTA($A17:$M17)=0,"",IF(OR($U17="Subscription",$U17=""),"",IF($U17="Draw",$H17,0)))</x:f>
      </x:c>
      <x:c r="S17" s="114" t="str">
        <x:f>IF(COUNTA($A17:$M17)=0,"",IF(OR($U17="Subscription",$U17=""),"",IF($U17="Disqualified",$H17,0)))</x:f>
      </x:c>
      <x:c r="T17" s="955" t="str">
        <x:f>IF(COUNTA($A17:$M17)=0,"",IF(OR($U17="Subscription",$U17=""),"",IF(OR($U17="Free Game",$U17="Disqualified — Free Game",$H17=0),"N/A",IF($U17="Profit",$Q17/$H17,IF($U17="Disqualified",-$S17/$H17,0)))))</x:f>
      </x:c>
      <x:c r="U17" s="920" t="str">
        <x:f>IF(COUNTA($A17:$M17)=0,"",IF(OR(LEFT(LOWER(TRIM($F17&amp;"")),12)="subscription",LOWER(TRIM($F17&amp;""))="membership"),"Subscription",IF(OR(AND($H17&lt;&gt;"",$H17=0),LEFT(LOWER(TRIM($F17&amp;"")),9)="free game",LOWER(TRIM($F17&amp;""))="free",LOWER(TRIM($F17&amp;""))="free entry"),IF(LOWER($L17&amp;"")="yes","Disqualified — Free Game","Free Game"),IF(LOWER($L17&amp;"")="yes","Disqualified",IF($P17="","",IF(ROUND(IFERROR(VALUE($P17),0)-IFERROR(VALUE($H17),0),2)&gt;0,"Profit","Draw"))))))</x:f>
      </x:c>
      <x:c r="V17" s="956" t="str">
        <x:f>IF(COUNTA($A17:$M17)=0,"",IF(OR($B17="",$C17="",$U17="Subscription"),"",IFERROR(ROUNDUP(($C17-$B17)/7,0),"")))</x:f>
      </x:c>
      <x:c r="W17" s="114" t="str">
        <x:f>IF(COUNTA($A17:$M17)=0,"",IF(OR($U17="Subscription",$U17=""),"",IF(OR($U17="Free Game",$U17="Disqualified — Free Game"),0,ROUND(IFERROR($Q17,0)-IFERROR($S17,0),2))))</x:f>
      </x:c>
      <x:c r="X17" s="956" t="str">
        <x:f>IF(COUNTA($A17:$M17)=0,"",IF(OR($U17="Subscription",NOT(ISNUMBER($J17)),NOT(ISNUMBER($I17)),$J17=0,$I17=0,$I17&gt;$J17),"",$J17-$I17))</x:f>
      </x:c>
      <x:c r="Y17" s="955" t="str">
        <x:f>IF(COUNTA($A17:$M17)=0,"",IF(OR($U17="Subscription",NOT(ISNUMBER($J17)),$J17=0,$X17=""),"",$X17/$J17))</x:f>
      </x:c>
      <x:c r="Z17" s="957" t="str">
        <x:f>IF(COUNTA($A17:$M17)=0,"",Instructions!$B$29+SUM($W$5:W17))</x:f>
      </x:c>
    </x:row>
    <x:row r="18" ht="36" customHeight="1">
      <x:c r="A18" s="439"/>
      <x:c r="B18" s="453"/>
      <x:c r="C18" s="453"/>
      <x:c r="D18" s="454"/>
      <x:c r="E18" s="454"/>
      <x:c r="F18" s="454"/>
      <x:c r="G18" s="986"/>
      <x:c r="H18" s="455"/>
      <x:c r="I18" s="456"/>
      <x:c r="J18" s="456"/>
      <x:c r="K18" s="986"/>
      <x:c r="L18" s="454"/>
      <x:c r="M18" s="439"/>
      <x:c r="N18" s="987" t="str">
        <x:f>IF(COUNTA($A18:$M18)=0,"",IF(OR(LEFT(LOWER(TRIM($F18&amp;"")),12)="subscription",LOWER(TRIM($F18&amp;""))="membership"),"",IF($G18="","",IF(ISNUMBER(SEARCH("non",LOWER($E18&amp;""))),$G18*0.85,$G18))))</x:f>
      </x:c>
      <x:c r="O18" s="987" t="str">
        <x:f>IF(COUNTA($A18:$M18)=0,"",IF(OR(LEFT(LOWER(TRIM($F18&amp;"")),12)="subscription",LOWER(TRIM($F18&amp;""))="membership"),"",IF(OR($N18="",$I18="",$I18=0),"",IFERROR($N18/$I18,""))))</x:f>
      </x:c>
      <x:c r="P18" s="987" t="str">
        <x:f>IF(COUNTA($A18:$M18)=0,"",IF(OR(LEFT(LOWER(TRIM($F18&amp;"")),12)="subscription",LOWER(TRIM($F18&amp;""))="membership"),"",IF(LOWER($L18&amp;"")="yes",0,IF(OR(AND($H18&lt;&gt;"",$H18=0),LEFT(LOWER(TRIM($F18&amp;"")),9)="free game",LOWER(TRIM($F18&amp;""))="free",LOWER(TRIM($F18&amp;""))="free entry"),IF(LOWER($D18&amp;"")="finalized",IF(ISNUMBER($K18),$K18,""),IF($O18&lt;&gt;"",$O18,"")),IF($K18&lt;&gt;"",$K18,IF($O18&lt;&gt;"",$O18,""))))))</x:f>
      </x:c>
      <x:c r="Q18" s="114" t="str">
        <x:f>IF(COUNTA($A18:$M18)=0,"",IF(OR($U18="Subscription",$U18=""),"",IF($U18="Profit",ROUND(IFERROR($P18,0)-IFERROR($H18,0),2),0)))</x:f>
      </x:c>
      <x:c r="R18" s="114" t="str">
        <x:f>IF(COUNTA($A18:$M18)=0,"",IF(OR($U18="Subscription",$U18=""),"",IF($U18="Draw",$H18,0)))</x:f>
      </x:c>
      <x:c r="S18" s="114" t="str">
        <x:f>IF(COUNTA($A18:$M18)=0,"",IF(OR($U18="Subscription",$U18=""),"",IF($U18="Disqualified",$H18,0)))</x:f>
      </x:c>
      <x:c r="T18" s="955" t="str">
        <x:f>IF(COUNTA($A18:$M18)=0,"",IF(OR($U18="Subscription",$U18=""),"",IF(OR($U18="Free Game",$U18="Disqualified — Free Game",$H18=0),"N/A",IF($U18="Profit",$Q18/$H18,IF($U18="Disqualified",-$S18/$H18,0)))))</x:f>
      </x:c>
      <x:c r="U18" s="920" t="str">
        <x:f>IF(COUNTA($A18:$M18)=0,"",IF(OR(LEFT(LOWER(TRIM($F18&amp;"")),12)="subscription",LOWER(TRIM($F18&amp;""))="membership"),"Subscription",IF(OR(AND($H18&lt;&gt;"",$H18=0),LEFT(LOWER(TRIM($F18&amp;"")),9)="free game",LOWER(TRIM($F18&amp;""))="free",LOWER(TRIM($F18&amp;""))="free entry"),IF(LOWER($L18&amp;"")="yes","Disqualified — Free Game","Free Game"),IF(LOWER($L18&amp;"")="yes","Disqualified",IF($P18="","",IF(ROUND(IFERROR(VALUE($P18),0)-IFERROR(VALUE($H18),0),2)&gt;0,"Profit","Draw"))))))</x:f>
      </x:c>
      <x:c r="V18" s="956" t="str">
        <x:f>IF(COUNTA($A18:$M18)=0,"",IF(OR($B18="",$C18="",$U18="Subscription"),"",IFERROR(ROUNDUP(($C18-$B18)/7,0),"")))</x:f>
      </x:c>
      <x:c r="W18" s="114" t="str">
        <x:f>IF(COUNTA($A18:$M18)=0,"",IF(OR($U18="Subscription",$U18=""),"",IF(OR($U18="Free Game",$U18="Disqualified — Free Game"),0,ROUND(IFERROR($Q18,0)-IFERROR($S18,0),2))))</x:f>
      </x:c>
      <x:c r="X18" s="956" t="str">
        <x:f>IF(COUNTA($A18:$M18)=0,"",IF(OR($U18="Subscription",NOT(ISNUMBER($J18)),NOT(ISNUMBER($I18)),$J18=0,$I18=0,$I18&gt;$J18),"",$J18-$I18))</x:f>
      </x:c>
      <x:c r="Y18" s="955" t="str">
        <x:f>IF(COUNTA($A18:$M18)=0,"",IF(OR($U18="Subscription",NOT(ISNUMBER($J18)),$J18=0,$X18=""),"",$X18/$J18))</x:f>
      </x:c>
      <x:c r="Z18" s="957" t="str">
        <x:f>IF(COUNTA($A18:$M18)=0,"",Instructions!$B$29+SUM($W$5:W18))</x:f>
      </x:c>
    </x:row>
    <x:row r="19" ht="36" customHeight="1">
      <x:c r="A19" s="439"/>
      <x:c r="B19" s="453"/>
      <x:c r="C19" s="453"/>
      <x:c r="D19" s="454"/>
      <x:c r="E19" s="454"/>
      <x:c r="F19" s="454"/>
      <x:c r="G19" s="986"/>
      <x:c r="H19" s="455"/>
      <x:c r="I19" s="456"/>
      <x:c r="J19" s="456"/>
      <x:c r="K19" s="986"/>
      <x:c r="L19" s="454"/>
      <x:c r="M19" s="439"/>
      <x:c r="N19" s="987" t="str">
        <x:f>IF(COUNTA($A19:$M19)=0,"",IF(OR(LEFT(LOWER(TRIM($F19&amp;"")),12)="subscription",LOWER(TRIM($F19&amp;""))="membership"),"",IF($G19="","",IF(ISNUMBER(SEARCH("non",LOWER($E19&amp;""))),$G19*0.85,$G19))))</x:f>
      </x:c>
      <x:c r="O19" s="987" t="str">
        <x:f>IF(COUNTA($A19:$M19)=0,"",IF(OR(LEFT(LOWER(TRIM($F19&amp;"")),12)="subscription",LOWER(TRIM($F19&amp;""))="membership"),"",IF(OR($N19="",$I19="",$I19=0),"",IFERROR($N19/$I19,""))))</x:f>
      </x:c>
      <x:c r="P19" s="987" t="str">
        <x:f>IF(COUNTA($A19:$M19)=0,"",IF(OR(LEFT(LOWER(TRIM($F19&amp;"")),12)="subscription",LOWER(TRIM($F19&amp;""))="membership"),"",IF(LOWER($L19&amp;"")="yes",0,IF(OR(AND($H19&lt;&gt;"",$H19=0),LEFT(LOWER(TRIM($F19&amp;"")),9)="free game",LOWER(TRIM($F19&amp;""))="free",LOWER(TRIM($F19&amp;""))="free entry"),IF(LOWER($D19&amp;"")="finalized",IF(ISNUMBER($K19),$K19,""),IF($O19&lt;&gt;"",$O19,"")),IF($K19&lt;&gt;"",$K19,IF($O19&lt;&gt;"",$O19,""))))))</x:f>
      </x:c>
      <x:c r="Q19" s="114" t="str">
        <x:f>IF(COUNTA($A19:$M19)=0,"",IF(OR($U19="Subscription",$U19=""),"",IF($U19="Profit",ROUND(IFERROR($P19,0)-IFERROR($H19,0),2),0)))</x:f>
      </x:c>
      <x:c r="R19" s="114" t="str">
        <x:f>IF(COUNTA($A19:$M19)=0,"",IF(OR($U19="Subscription",$U19=""),"",IF($U19="Draw",$H19,0)))</x:f>
      </x:c>
      <x:c r="S19" s="114" t="str">
        <x:f>IF(COUNTA($A19:$M19)=0,"",IF(OR($U19="Subscription",$U19=""),"",IF($U19="Disqualified",$H19,0)))</x:f>
      </x:c>
      <x:c r="T19" s="955" t="str">
        <x:f>IF(COUNTA($A19:$M19)=0,"",IF(OR($U19="Subscription",$U19=""),"",IF(OR($U19="Free Game",$U19="Disqualified — Free Game",$H19=0),"N/A",IF($U19="Profit",$Q19/$H19,IF($U19="Disqualified",-$S19/$H19,0)))))</x:f>
      </x:c>
      <x:c r="U19" s="920" t="str">
        <x:f>IF(COUNTA($A19:$M19)=0,"",IF(OR(LEFT(LOWER(TRIM($F19&amp;"")),12)="subscription",LOWER(TRIM($F19&amp;""))="membership"),"Subscription",IF(OR(AND($H19&lt;&gt;"",$H19=0),LEFT(LOWER(TRIM($F19&amp;"")),9)="free game",LOWER(TRIM($F19&amp;""))="free",LOWER(TRIM($F19&amp;""))="free entry"),IF(LOWER($L19&amp;"")="yes","Disqualified — Free Game","Free Game"),IF(LOWER($L19&amp;"")="yes","Disqualified",IF($P19="","",IF(ROUND(IFERROR(VALUE($P19),0)-IFERROR(VALUE($H19),0),2)&gt;0,"Profit","Draw"))))))</x:f>
      </x:c>
      <x:c r="V19" s="956" t="str">
        <x:f>IF(COUNTA($A19:$M19)=0,"",IF(OR($B19="",$C19="",$U19="Subscription"),"",IFERROR(ROUNDUP(($C19-$B19)/7,0),"")))</x:f>
      </x:c>
      <x:c r="W19" s="114" t="str">
        <x:f>IF(COUNTA($A19:$M19)=0,"",IF(OR($U19="Subscription",$U19=""),"",IF(OR($U19="Free Game",$U19="Disqualified — Free Game"),0,ROUND(IFERROR($Q19,0)-IFERROR($S19,0),2))))</x:f>
      </x:c>
      <x:c r="X19" s="956" t="str">
        <x:f>IF(COUNTA($A19:$M19)=0,"",IF(OR($U19="Subscription",NOT(ISNUMBER($J19)),NOT(ISNUMBER($I19)),$J19=0,$I19=0,$I19&gt;$J19),"",$J19-$I19))</x:f>
      </x:c>
      <x:c r="Y19" s="955" t="str">
        <x:f>IF(COUNTA($A19:$M19)=0,"",IF(OR($U19="Subscription",NOT(ISNUMBER($J19)),$J19=0,$X19=""),"",$X19/$J19))</x:f>
      </x:c>
      <x:c r="Z19" s="957" t="str">
        <x:f>IF(COUNTA($A19:$M19)=0,"",Instructions!$B$29+SUM($W$5:W19))</x:f>
      </x:c>
    </x:row>
    <x:row r="20" ht="36" customHeight="1">
      <x:c r="A20" s="439"/>
      <x:c r="B20" s="453"/>
      <x:c r="C20" s="453"/>
      <x:c r="D20" s="454"/>
      <x:c r="E20" s="454"/>
      <x:c r="F20" s="454"/>
      <x:c r="G20" s="986"/>
      <x:c r="H20" s="455"/>
      <x:c r="I20" s="456"/>
      <x:c r="J20" s="456"/>
      <x:c r="K20" s="986"/>
      <x:c r="L20" s="454"/>
      <x:c r="M20" s="439"/>
      <x:c r="N20" s="987" t="str">
        <x:f>IF(COUNTA($A20:$M20)=0,"",IF(OR(LEFT(LOWER(TRIM($F20&amp;"")),12)="subscription",LOWER(TRIM($F20&amp;""))="membership"),"",IF($G20="","",IF(ISNUMBER(SEARCH("non",LOWER($E20&amp;""))),$G20*0.85,$G20))))</x:f>
      </x:c>
      <x:c r="O20" s="987" t="str">
        <x:f>IF(COUNTA($A20:$M20)=0,"",IF(OR(LEFT(LOWER(TRIM($F20&amp;"")),12)="subscription",LOWER(TRIM($F20&amp;""))="membership"),"",IF(OR($N20="",$I20="",$I20=0),"",IFERROR($N20/$I20,""))))</x:f>
      </x:c>
      <x:c r="P20" s="987" t="str">
        <x:f>IF(COUNTA($A20:$M20)=0,"",IF(OR(LEFT(LOWER(TRIM($F20&amp;"")),12)="subscription",LOWER(TRIM($F20&amp;""))="membership"),"",IF(LOWER($L20&amp;"")="yes",0,IF(OR(AND($H20&lt;&gt;"",$H20=0),LEFT(LOWER(TRIM($F20&amp;"")),9)="free game",LOWER(TRIM($F20&amp;""))="free",LOWER(TRIM($F20&amp;""))="free entry"),IF(LOWER($D20&amp;"")="finalized",IF(ISNUMBER($K20),$K20,""),IF($O20&lt;&gt;"",$O20,"")),IF($K20&lt;&gt;"",$K20,IF($O20&lt;&gt;"",$O20,""))))))</x:f>
      </x:c>
      <x:c r="Q20" s="114" t="str">
        <x:f>IF(COUNTA($A20:$M20)=0,"",IF(OR($U20="Subscription",$U20=""),"",IF($U20="Profit",ROUND(IFERROR($P20,0)-IFERROR($H20,0),2),0)))</x:f>
      </x:c>
      <x:c r="R20" s="114" t="str">
        <x:f>IF(COUNTA($A20:$M20)=0,"",IF(OR($U20="Subscription",$U20=""),"",IF($U20="Draw",$H20,0)))</x:f>
      </x:c>
      <x:c r="S20" s="114" t="str">
        <x:f>IF(COUNTA($A20:$M20)=0,"",IF(OR($U20="Subscription",$U20=""),"",IF($U20="Disqualified",$H20,0)))</x:f>
      </x:c>
      <x:c r="T20" s="955" t="str">
        <x:f>IF(COUNTA($A20:$M20)=0,"",IF(OR($U20="Subscription",$U20=""),"",IF(OR($U20="Free Game",$U20="Disqualified — Free Game",$H20=0),"N/A",IF($U20="Profit",$Q20/$H20,IF($U20="Disqualified",-$S20/$H20,0)))))</x:f>
      </x:c>
      <x:c r="U20" s="920" t="str">
        <x:f>IF(COUNTA($A20:$M20)=0,"",IF(OR(LEFT(LOWER(TRIM($F20&amp;"")),12)="subscription",LOWER(TRIM($F20&amp;""))="membership"),"Subscription",IF(OR(AND($H20&lt;&gt;"",$H20=0),LEFT(LOWER(TRIM($F20&amp;"")),9)="free game",LOWER(TRIM($F20&amp;""))="free",LOWER(TRIM($F20&amp;""))="free entry"),IF(LOWER($L20&amp;"")="yes","Disqualified — Free Game","Free Game"),IF(LOWER($L20&amp;"")="yes","Disqualified",IF($P20="","",IF(ROUND(IFERROR(VALUE($P20),0)-IFERROR(VALUE($H20),0),2)&gt;0,"Profit","Draw"))))))</x:f>
      </x:c>
      <x:c r="V20" s="956" t="str">
        <x:f>IF(COUNTA($A20:$M20)=0,"",IF(OR($B20="",$C20="",$U20="Subscription"),"",IFERROR(ROUNDUP(($C20-$B20)/7,0),"")))</x:f>
      </x:c>
      <x:c r="W20" s="114" t="str">
        <x:f>IF(COUNTA($A20:$M20)=0,"",IF(OR($U20="Subscription",$U20=""),"",IF(OR($U20="Free Game",$U20="Disqualified — Free Game"),0,ROUND(IFERROR($Q20,0)-IFERROR($S20,0),2))))</x:f>
      </x:c>
      <x:c r="X20" s="956" t="str">
        <x:f>IF(COUNTA($A20:$M20)=0,"",IF(OR($U20="Subscription",NOT(ISNUMBER($J20)),NOT(ISNUMBER($I20)),$J20=0,$I20=0,$I20&gt;$J20),"",$J20-$I20))</x:f>
      </x:c>
      <x:c r="Y20" s="955" t="str">
        <x:f>IF(COUNTA($A20:$M20)=0,"",IF(OR($U20="Subscription",NOT(ISNUMBER($J20)),$J20=0,$X20=""),"",$X20/$J20))</x:f>
      </x:c>
      <x:c r="Z20" s="957" t="str">
        <x:f>IF(COUNTA($A20:$M20)=0,"",Instructions!$B$29+SUM($W$5:W20))</x:f>
      </x:c>
    </x:row>
    <x:row r="21" ht="36" customHeight="1">
      <x:c r="A21" s="439"/>
      <x:c r="B21" s="453"/>
      <x:c r="C21" s="453"/>
      <x:c r="D21" s="454"/>
      <x:c r="E21" s="454"/>
      <x:c r="F21" s="454"/>
      <x:c r="G21" s="986"/>
      <x:c r="H21" s="455"/>
      <x:c r="I21" s="456"/>
      <x:c r="J21" s="456"/>
      <x:c r="K21" s="986"/>
      <x:c r="L21" s="454"/>
      <x:c r="M21" s="439"/>
      <x:c r="N21" s="987" t="str">
        <x:f>IF(COUNTA($A21:$M21)=0,"",IF(OR(LEFT(LOWER(TRIM($F21&amp;"")),12)="subscription",LOWER(TRIM($F21&amp;""))="membership"),"",IF($G21="","",IF(ISNUMBER(SEARCH("non",LOWER($E21&amp;""))),$G21*0.85,$G21))))</x:f>
      </x:c>
      <x:c r="O21" s="987" t="str">
        <x:f>IF(COUNTA($A21:$M21)=0,"",IF(OR(LEFT(LOWER(TRIM($F21&amp;"")),12)="subscription",LOWER(TRIM($F21&amp;""))="membership"),"",IF(OR($N21="",$I21="",$I21=0),"",IFERROR($N21/$I21,""))))</x:f>
      </x:c>
      <x:c r="P21" s="987" t="str">
        <x:f>IF(COUNTA($A21:$M21)=0,"",IF(OR(LEFT(LOWER(TRIM($F21&amp;"")),12)="subscription",LOWER(TRIM($F21&amp;""))="membership"),"",IF(LOWER($L21&amp;"")="yes",0,IF(OR(AND($H21&lt;&gt;"",$H21=0),LEFT(LOWER(TRIM($F21&amp;"")),9)="free game",LOWER(TRIM($F21&amp;""))="free",LOWER(TRIM($F21&amp;""))="free entry"),IF(LOWER($D21&amp;"")="finalized",IF(ISNUMBER($K21),$K21,""),IF($O21&lt;&gt;"",$O21,"")),IF($K21&lt;&gt;"",$K21,IF($O21&lt;&gt;"",$O21,""))))))</x:f>
      </x:c>
      <x:c r="Q21" s="114" t="str">
        <x:f>IF(COUNTA($A21:$M21)=0,"",IF(OR($U21="Subscription",$U21=""),"",IF($U21="Profit",ROUND(IFERROR($P21,0)-IFERROR($H21,0),2),0)))</x:f>
      </x:c>
      <x:c r="R21" s="114" t="str">
        <x:f>IF(COUNTA($A21:$M21)=0,"",IF(OR($U21="Subscription",$U21=""),"",IF($U21="Draw",$H21,0)))</x:f>
      </x:c>
      <x:c r="S21" s="114" t="str">
        <x:f>IF(COUNTA($A21:$M21)=0,"",IF(OR($U21="Subscription",$U21=""),"",IF($U21="Disqualified",$H21,0)))</x:f>
      </x:c>
      <x:c r="T21" s="955" t="str">
        <x:f>IF(COUNTA($A21:$M21)=0,"",IF(OR($U21="Subscription",$U21=""),"",IF(OR($U21="Free Game",$U21="Disqualified — Free Game",$H21=0),"N/A",IF($U21="Profit",$Q21/$H21,IF($U21="Disqualified",-$S21/$H21,0)))))</x:f>
      </x:c>
      <x:c r="U21" s="920" t="str">
        <x:f>IF(COUNTA($A21:$M21)=0,"",IF(OR(LEFT(LOWER(TRIM($F21&amp;"")),12)="subscription",LOWER(TRIM($F21&amp;""))="membership"),"Subscription",IF(OR(AND($H21&lt;&gt;"",$H21=0),LEFT(LOWER(TRIM($F21&amp;"")),9)="free game",LOWER(TRIM($F21&amp;""))="free",LOWER(TRIM($F21&amp;""))="free entry"),IF(LOWER($L21&amp;"")="yes","Disqualified — Free Game","Free Game"),IF(LOWER($L21&amp;"")="yes","Disqualified",IF($P21="","",IF(ROUND(IFERROR(VALUE($P21),0)-IFERROR(VALUE($H21),0),2)&gt;0,"Profit","Draw"))))))</x:f>
      </x:c>
      <x:c r="V21" s="956" t="str">
        <x:f>IF(COUNTA($A21:$M21)=0,"",IF(OR($B21="",$C21="",$U21="Subscription"),"",IFERROR(ROUNDUP(($C21-$B21)/7,0),"")))</x:f>
      </x:c>
      <x:c r="W21" s="114" t="str">
        <x:f>IF(COUNTA($A21:$M21)=0,"",IF(OR($U21="Subscription",$U21=""),"",IF(OR($U21="Free Game",$U21="Disqualified — Free Game"),0,ROUND(IFERROR($Q21,0)-IFERROR($S21,0),2))))</x:f>
      </x:c>
      <x:c r="X21" s="956" t="str">
        <x:f>IF(COUNTA($A21:$M21)=0,"",IF(OR($U21="Subscription",NOT(ISNUMBER($J21)),NOT(ISNUMBER($I21)),$J21=0,$I21=0,$I21&gt;$J21),"",$J21-$I21))</x:f>
      </x:c>
      <x:c r="Y21" s="955" t="str">
        <x:f>IF(COUNTA($A21:$M21)=0,"",IF(OR($U21="Subscription",NOT(ISNUMBER($J21)),$J21=0,$X21=""),"",$X21/$J21))</x:f>
      </x:c>
      <x:c r="Z21" s="957" t="str">
        <x:f>IF(COUNTA($A21:$M21)=0,"",Instructions!$B$29+SUM($W$5:W21))</x:f>
      </x:c>
    </x:row>
    <x:row r="22" ht="36" customHeight="1">
      <x:c r="A22" s="439"/>
      <x:c r="B22" s="453"/>
      <x:c r="C22" s="453"/>
      <x:c r="D22" s="454"/>
      <x:c r="E22" s="454"/>
      <x:c r="F22" s="454"/>
      <x:c r="G22" s="986"/>
      <x:c r="H22" s="455"/>
      <x:c r="I22" s="456"/>
      <x:c r="J22" s="456"/>
      <x:c r="K22" s="986"/>
      <x:c r="L22" s="454"/>
      <x:c r="M22" s="439"/>
      <x:c r="N22" s="987" t="str">
        <x:f>IF(COUNTA($A22:$M22)=0,"",IF(OR(LEFT(LOWER(TRIM($F22&amp;"")),12)="subscription",LOWER(TRIM($F22&amp;""))="membership"),"",IF($G22="","",IF(ISNUMBER(SEARCH("non",LOWER($E22&amp;""))),$G22*0.85,$G22))))</x:f>
      </x:c>
      <x:c r="O22" s="987" t="str">
        <x:f>IF(COUNTA($A22:$M22)=0,"",IF(OR(LEFT(LOWER(TRIM($F22&amp;"")),12)="subscription",LOWER(TRIM($F22&amp;""))="membership"),"",IF(OR($N22="",$I22="",$I22=0),"",IFERROR($N22/$I22,""))))</x:f>
      </x:c>
      <x:c r="P22" s="987" t="str">
        <x:f>IF(COUNTA($A22:$M22)=0,"",IF(OR(LEFT(LOWER(TRIM($F22&amp;"")),12)="subscription",LOWER(TRIM($F22&amp;""))="membership"),"",IF(LOWER($L22&amp;"")="yes",0,IF(OR(AND($H22&lt;&gt;"",$H22=0),LEFT(LOWER(TRIM($F22&amp;"")),9)="free game",LOWER(TRIM($F22&amp;""))="free",LOWER(TRIM($F22&amp;""))="free entry"),IF(LOWER($D22&amp;"")="finalized",IF(ISNUMBER($K22),$K22,""),IF($O22&lt;&gt;"",$O22,"")),IF($K22&lt;&gt;"",$K22,IF($O22&lt;&gt;"",$O22,""))))))</x:f>
      </x:c>
      <x:c r="Q22" s="114" t="str">
        <x:f>IF(COUNTA($A22:$M22)=0,"",IF(OR($U22="Subscription",$U22=""),"",IF($U22="Profit",ROUND(IFERROR($P22,0)-IFERROR($H22,0),2),0)))</x:f>
      </x:c>
      <x:c r="R22" s="114" t="str">
        <x:f>IF(COUNTA($A22:$M22)=0,"",IF(OR($U22="Subscription",$U22=""),"",IF($U22="Draw",$H22,0)))</x:f>
      </x:c>
      <x:c r="S22" s="114" t="str">
        <x:f>IF(COUNTA($A22:$M22)=0,"",IF(OR($U22="Subscription",$U22=""),"",IF($U22="Disqualified",$H22,0)))</x:f>
      </x:c>
      <x:c r="T22" s="955" t="str">
        <x:f>IF(COUNTA($A22:$M22)=0,"",IF(OR($U22="Subscription",$U22=""),"",IF(OR($U22="Free Game",$U22="Disqualified — Free Game",$H22=0),"N/A",IF($U22="Profit",$Q22/$H22,IF($U22="Disqualified",-$S22/$H22,0)))))</x:f>
      </x:c>
      <x:c r="U22" s="920" t="str">
        <x:f>IF(COUNTA($A22:$M22)=0,"",IF(OR(LEFT(LOWER(TRIM($F22&amp;"")),12)="subscription",LOWER(TRIM($F22&amp;""))="membership"),"Subscription",IF(OR(AND($H22&lt;&gt;"",$H22=0),LEFT(LOWER(TRIM($F22&amp;"")),9)="free game",LOWER(TRIM($F22&amp;""))="free",LOWER(TRIM($F22&amp;""))="free entry"),IF(LOWER($L22&amp;"")="yes","Disqualified — Free Game","Free Game"),IF(LOWER($L22&amp;"")="yes","Disqualified",IF($P22="","",IF(ROUND(IFERROR(VALUE($P22),0)-IFERROR(VALUE($H22),0),2)&gt;0,"Profit","Draw"))))))</x:f>
      </x:c>
      <x:c r="V22" s="956" t="str">
        <x:f>IF(COUNTA($A22:$M22)=0,"",IF(OR($B22="",$C22="",$U22="Subscription"),"",IFERROR(ROUNDUP(($C22-$B22)/7,0),"")))</x:f>
      </x:c>
      <x:c r="W22" s="114" t="str">
        <x:f>IF(COUNTA($A22:$M22)=0,"",IF(OR($U22="Subscription",$U22=""),"",IF(OR($U22="Free Game",$U22="Disqualified — Free Game"),0,ROUND(IFERROR($Q22,0)-IFERROR($S22,0),2))))</x:f>
      </x:c>
      <x:c r="X22" s="956" t="str">
        <x:f>IF(COUNTA($A22:$M22)=0,"",IF(OR($U22="Subscription",NOT(ISNUMBER($J22)),NOT(ISNUMBER($I22)),$J22=0,$I22=0,$I22&gt;$J22),"",$J22-$I22))</x:f>
      </x:c>
      <x:c r="Y22" s="955" t="str">
        <x:f>IF(COUNTA($A22:$M22)=0,"",IF(OR($U22="Subscription",NOT(ISNUMBER($J22)),$J22=0,$X22=""),"",$X22/$J22))</x:f>
      </x:c>
      <x:c r="Z22" s="957" t="str">
        <x:f>IF(COUNTA($A22:$M22)=0,"",Instructions!$B$29+SUM($W$5:W22))</x:f>
      </x:c>
    </x:row>
    <x:row r="23" ht="36" customHeight="1">
      <x:c r="A23" s="439"/>
      <x:c r="B23" s="453"/>
      <x:c r="C23" s="453"/>
      <x:c r="D23" s="454"/>
      <x:c r="E23" s="454"/>
      <x:c r="F23" s="454"/>
      <x:c r="G23" s="986"/>
      <x:c r="H23" s="455"/>
      <x:c r="I23" s="456"/>
      <x:c r="J23" s="456"/>
      <x:c r="K23" s="986"/>
      <x:c r="L23" s="454"/>
      <x:c r="M23" s="439"/>
      <x:c r="N23" s="987" t="str">
        <x:f>IF(COUNTA($A23:$M23)=0,"",IF(OR(LEFT(LOWER(TRIM($F23&amp;"")),12)="subscription",LOWER(TRIM($F23&amp;""))="membership"),"",IF($G23="","",IF(ISNUMBER(SEARCH("non",LOWER($E23&amp;""))),$G23*0.85,$G23))))</x:f>
      </x:c>
      <x:c r="O23" s="987" t="str">
        <x:f>IF(COUNTA($A23:$M23)=0,"",IF(OR(LEFT(LOWER(TRIM($F23&amp;"")),12)="subscription",LOWER(TRIM($F23&amp;""))="membership"),"",IF(OR($N23="",$I23="",$I23=0),"",IFERROR($N23/$I23,""))))</x:f>
      </x:c>
      <x:c r="P23" s="987" t="str">
        <x:f>IF(COUNTA($A23:$M23)=0,"",IF(OR(LEFT(LOWER(TRIM($F23&amp;"")),12)="subscription",LOWER(TRIM($F23&amp;""))="membership"),"",IF(LOWER($L23&amp;"")="yes",0,IF(OR(AND($H23&lt;&gt;"",$H23=0),LEFT(LOWER(TRIM($F23&amp;"")),9)="free game",LOWER(TRIM($F23&amp;""))="free",LOWER(TRIM($F23&amp;""))="free entry"),IF(LOWER($D23&amp;"")="finalized",IF(ISNUMBER($K23),$K23,""),IF($O23&lt;&gt;"",$O23,"")),IF($K23&lt;&gt;"",$K23,IF($O23&lt;&gt;"",$O23,""))))))</x:f>
      </x:c>
      <x:c r="Q23" s="114" t="str">
        <x:f>IF(COUNTA($A23:$M23)=0,"",IF(OR($U23="Subscription",$U23=""),"",IF($U23="Profit",ROUND(IFERROR($P23,0)-IFERROR($H23,0),2),0)))</x:f>
      </x:c>
      <x:c r="R23" s="114" t="str">
        <x:f>IF(COUNTA($A23:$M23)=0,"",IF(OR($U23="Subscription",$U23=""),"",IF($U23="Draw",$H23,0)))</x:f>
      </x:c>
      <x:c r="S23" s="114" t="str">
        <x:f>IF(COUNTA($A23:$M23)=0,"",IF(OR($U23="Subscription",$U23=""),"",IF($U23="Disqualified",$H23,0)))</x:f>
      </x:c>
      <x:c r="T23" s="955" t="str">
        <x:f>IF(COUNTA($A23:$M23)=0,"",IF(OR($U23="Subscription",$U23=""),"",IF(OR($U23="Free Game",$U23="Disqualified — Free Game",$H23=0),"N/A",IF($U23="Profit",$Q23/$H23,IF($U23="Disqualified",-$S23/$H23,0)))))</x:f>
      </x:c>
      <x:c r="U23" s="920" t="str">
        <x:f>IF(COUNTA($A23:$M23)=0,"",IF(OR(LEFT(LOWER(TRIM($F23&amp;"")),12)="subscription",LOWER(TRIM($F23&amp;""))="membership"),"Subscription",IF(OR(AND($H23&lt;&gt;"",$H23=0),LEFT(LOWER(TRIM($F23&amp;"")),9)="free game",LOWER(TRIM($F23&amp;""))="free",LOWER(TRIM($F23&amp;""))="free entry"),IF(LOWER($L23&amp;"")="yes","Disqualified — Free Game","Free Game"),IF(LOWER($L23&amp;"")="yes","Disqualified",IF($P23="","",IF(ROUND(IFERROR(VALUE($P23),0)-IFERROR(VALUE($H23),0),2)&gt;0,"Profit","Draw"))))))</x:f>
      </x:c>
      <x:c r="V23" s="956" t="str">
        <x:f>IF(COUNTA($A23:$M23)=0,"",IF(OR($B23="",$C23="",$U23="Subscription"),"",IFERROR(ROUNDUP(($C23-$B23)/7,0),"")))</x:f>
      </x:c>
      <x:c r="W23" s="114" t="str">
        <x:f>IF(COUNTA($A23:$M23)=0,"",IF(OR($U23="Subscription",$U23=""),"",IF(OR($U23="Free Game",$U23="Disqualified — Free Game"),0,ROUND(IFERROR($Q23,0)-IFERROR($S23,0),2))))</x:f>
      </x:c>
      <x:c r="X23" s="956" t="str">
        <x:f>IF(COUNTA($A23:$M23)=0,"",IF(OR($U23="Subscription",NOT(ISNUMBER($J23)),NOT(ISNUMBER($I23)),$J23=0,$I23=0,$I23&gt;$J23),"",$J23-$I23))</x:f>
      </x:c>
      <x:c r="Y23" s="955" t="str">
        <x:f>IF(COUNTA($A23:$M23)=0,"",IF(OR($U23="Subscription",NOT(ISNUMBER($J23)),$J23=0,$X23=""),"",$X23/$J23))</x:f>
      </x:c>
      <x:c r="Z23" s="957" t="str">
        <x:f>IF(COUNTA($A23:$M23)=0,"",Instructions!$B$29+SUM($W$5:W23))</x:f>
      </x:c>
    </x:row>
    <x:row r="24" ht="36" customHeight="1">
      <x:c r="A24" s="439"/>
      <x:c r="B24" s="453"/>
      <x:c r="C24" s="453"/>
      <x:c r="D24" s="454"/>
      <x:c r="E24" s="454"/>
      <x:c r="F24" s="454"/>
      <x:c r="G24" s="986"/>
      <x:c r="H24" s="455"/>
      <x:c r="I24" s="456"/>
      <x:c r="J24" s="456"/>
      <x:c r="K24" s="986"/>
      <x:c r="L24" s="454"/>
      <x:c r="M24" s="439"/>
      <x:c r="N24" s="987" t="str">
        <x:f>IF(COUNTA($A24:$M24)=0,"",IF(OR(LEFT(LOWER(TRIM($F24&amp;"")),12)="subscription",LOWER(TRIM($F24&amp;""))="membership"),"",IF($G24="","",IF(ISNUMBER(SEARCH("non",LOWER($E24&amp;""))),$G24*0.85,$G24))))</x:f>
      </x:c>
      <x:c r="O24" s="987" t="str">
        <x:f>IF(COUNTA($A24:$M24)=0,"",IF(OR(LEFT(LOWER(TRIM($F24&amp;"")),12)="subscription",LOWER(TRIM($F24&amp;""))="membership"),"",IF(OR($N24="",$I24="",$I24=0),"",IFERROR($N24/$I24,""))))</x:f>
      </x:c>
      <x:c r="P24" s="987" t="str">
        <x:f>IF(COUNTA($A24:$M24)=0,"",IF(OR(LEFT(LOWER(TRIM($F24&amp;"")),12)="subscription",LOWER(TRIM($F24&amp;""))="membership"),"",IF(LOWER($L24&amp;"")="yes",0,IF(OR(AND($H24&lt;&gt;"",$H24=0),LEFT(LOWER(TRIM($F24&amp;"")),9)="free game",LOWER(TRIM($F24&amp;""))="free",LOWER(TRIM($F24&amp;""))="free entry"),IF(LOWER($D24&amp;"")="finalized",IF(ISNUMBER($K24),$K24,""),IF($O24&lt;&gt;"",$O24,"")),IF($K24&lt;&gt;"",$K24,IF($O24&lt;&gt;"",$O24,""))))))</x:f>
      </x:c>
      <x:c r="Q24" s="114" t="str">
        <x:f>IF(COUNTA($A24:$M24)=0,"",IF(OR($U24="Subscription",$U24=""),"",IF($U24="Profit",ROUND(IFERROR($P24,0)-IFERROR($H24,0),2),0)))</x:f>
      </x:c>
      <x:c r="R24" s="114" t="str">
        <x:f>IF(COUNTA($A24:$M24)=0,"",IF(OR($U24="Subscription",$U24=""),"",IF($U24="Draw",$H24,0)))</x:f>
      </x:c>
      <x:c r="S24" s="114" t="str">
        <x:f>IF(COUNTA($A24:$M24)=0,"",IF(OR($U24="Subscription",$U24=""),"",IF($U24="Disqualified",$H24,0)))</x:f>
      </x:c>
      <x:c r="T24" s="955" t="str">
        <x:f>IF(COUNTA($A24:$M24)=0,"",IF(OR($U24="Subscription",$U24=""),"",IF(OR($U24="Free Game",$U24="Disqualified — Free Game",$H24=0),"N/A",IF($U24="Profit",$Q24/$H24,IF($U24="Disqualified",-$S24/$H24,0)))))</x:f>
      </x:c>
      <x:c r="U24" s="920" t="str">
        <x:f>IF(COUNTA($A24:$M24)=0,"",IF(OR(LEFT(LOWER(TRIM($F24&amp;"")),12)="subscription",LOWER(TRIM($F24&amp;""))="membership"),"Subscription",IF(OR(AND($H24&lt;&gt;"",$H24=0),LEFT(LOWER(TRIM($F24&amp;"")),9)="free game",LOWER(TRIM($F24&amp;""))="free",LOWER(TRIM($F24&amp;""))="free entry"),IF(LOWER($L24&amp;"")="yes","Disqualified — Free Game","Free Game"),IF(LOWER($L24&amp;"")="yes","Disqualified",IF($P24="","",IF(ROUND(IFERROR(VALUE($P24),0)-IFERROR(VALUE($H24),0),2)&gt;0,"Profit","Draw"))))))</x:f>
      </x:c>
      <x:c r="V24" s="956" t="str">
        <x:f>IF(COUNTA($A24:$M24)=0,"",IF(OR($B24="",$C24="",$U24="Subscription"),"",IFERROR(ROUNDUP(($C24-$B24)/7,0),"")))</x:f>
      </x:c>
      <x:c r="W24" s="114" t="str">
        <x:f>IF(COUNTA($A24:$M24)=0,"",IF(OR($U24="Subscription",$U24=""),"",IF(OR($U24="Free Game",$U24="Disqualified — Free Game"),0,ROUND(IFERROR($Q24,0)-IFERROR($S24,0),2))))</x:f>
      </x:c>
      <x:c r="X24" s="956" t="str">
        <x:f>IF(COUNTA($A24:$M24)=0,"",IF(OR($U24="Subscription",NOT(ISNUMBER($J24)),NOT(ISNUMBER($I24)),$J24=0,$I24=0,$I24&gt;$J24),"",$J24-$I24))</x:f>
      </x:c>
      <x:c r="Y24" s="955" t="str">
        <x:f>IF(COUNTA($A24:$M24)=0,"",IF(OR($U24="Subscription",NOT(ISNUMBER($J24)),$J24=0,$X24=""),"",$X24/$J24))</x:f>
      </x:c>
      <x:c r="Z24" s="957" t="str">
        <x:f>IF(COUNTA($A24:$M24)=0,"",Instructions!$B$29+SUM($W$5:W24))</x:f>
      </x:c>
    </x:row>
    <x:row r="25" ht="36" customHeight="1">
      <x:c r="A25" s="439"/>
      <x:c r="B25" s="453"/>
      <x:c r="C25" s="453"/>
      <x:c r="D25" s="454"/>
      <x:c r="E25" s="454"/>
      <x:c r="F25" s="454"/>
      <x:c r="G25" s="986"/>
      <x:c r="H25" s="455"/>
      <x:c r="I25" s="456"/>
      <x:c r="J25" s="456"/>
      <x:c r="K25" s="986"/>
      <x:c r="L25" s="454"/>
      <x:c r="M25" s="439"/>
      <x:c r="N25" s="987" t="str">
        <x:f>IF(COUNTA($A25:$M25)=0,"",IF(OR(LEFT(LOWER(TRIM($F25&amp;"")),12)="subscription",LOWER(TRIM($F25&amp;""))="membership"),"",IF($G25="","",IF(ISNUMBER(SEARCH("non",LOWER($E25&amp;""))),$G25*0.85,$G25))))</x:f>
      </x:c>
      <x:c r="O25" s="987" t="str">
        <x:f>IF(COUNTA($A25:$M25)=0,"",IF(OR(LEFT(LOWER(TRIM($F25&amp;"")),12)="subscription",LOWER(TRIM($F25&amp;""))="membership"),"",IF(OR($N25="",$I25="",$I25=0),"",IFERROR($N25/$I25,""))))</x:f>
      </x:c>
      <x:c r="P25" s="987" t="str">
        <x:f>IF(COUNTA($A25:$M25)=0,"",IF(OR(LEFT(LOWER(TRIM($F25&amp;"")),12)="subscription",LOWER(TRIM($F25&amp;""))="membership"),"",IF(LOWER($L25&amp;"")="yes",0,IF(OR(AND($H25&lt;&gt;"",$H25=0),LEFT(LOWER(TRIM($F25&amp;"")),9)="free game",LOWER(TRIM($F25&amp;""))="free",LOWER(TRIM($F25&amp;""))="free entry"),IF(LOWER($D25&amp;"")="finalized",IF(ISNUMBER($K25),$K25,""),IF($O25&lt;&gt;"",$O25,"")),IF($K25&lt;&gt;"",$K25,IF($O25&lt;&gt;"",$O25,""))))))</x:f>
      </x:c>
      <x:c r="Q25" s="114" t="str">
        <x:f>IF(COUNTA($A25:$M25)=0,"",IF(OR($U25="Subscription",$U25=""),"",IF($U25="Profit",ROUND(IFERROR($P25,0)-IFERROR($H25,0),2),0)))</x:f>
      </x:c>
      <x:c r="R25" s="114" t="str">
        <x:f>IF(COUNTA($A25:$M25)=0,"",IF(OR($U25="Subscription",$U25=""),"",IF($U25="Draw",$H25,0)))</x:f>
      </x:c>
      <x:c r="S25" s="114" t="str">
        <x:f>IF(COUNTA($A25:$M25)=0,"",IF(OR($U25="Subscription",$U25=""),"",IF($U25="Disqualified",$H25,0)))</x:f>
      </x:c>
      <x:c r="T25" s="955" t="str">
        <x:f>IF(COUNTA($A25:$M25)=0,"",IF(OR($U25="Subscription",$U25=""),"",IF(OR($U25="Free Game",$U25="Disqualified — Free Game",$H25=0),"N/A",IF($U25="Profit",$Q25/$H25,IF($U25="Disqualified",-$S25/$H25,0)))))</x:f>
      </x:c>
      <x:c r="U25" s="920" t="str">
        <x:f>IF(COUNTA($A25:$M25)=0,"",IF(OR(LEFT(LOWER(TRIM($F25&amp;"")),12)="subscription",LOWER(TRIM($F25&amp;""))="membership"),"Subscription",IF(OR(AND($H25&lt;&gt;"",$H25=0),LEFT(LOWER(TRIM($F25&amp;"")),9)="free game",LOWER(TRIM($F25&amp;""))="free",LOWER(TRIM($F25&amp;""))="free entry"),IF(LOWER($L25&amp;"")="yes","Disqualified — Free Game","Free Game"),IF(LOWER($L25&amp;"")="yes","Disqualified",IF($P25="","",IF(ROUND(IFERROR(VALUE($P25),0)-IFERROR(VALUE($H25),0),2)&gt;0,"Profit","Draw"))))))</x:f>
      </x:c>
      <x:c r="V25" s="956" t="str">
        <x:f>IF(COUNTA($A25:$M25)=0,"",IF(OR($B25="",$C25="",$U25="Subscription"),"",IFERROR(ROUNDUP(($C25-$B25)/7,0),"")))</x:f>
      </x:c>
      <x:c r="W25" s="114" t="str">
        <x:f>IF(COUNTA($A25:$M25)=0,"",IF(OR($U25="Subscription",$U25=""),"",IF(OR($U25="Free Game",$U25="Disqualified — Free Game"),0,ROUND(IFERROR($Q25,0)-IFERROR($S25,0),2))))</x:f>
      </x:c>
      <x:c r="X25" s="956" t="str">
        <x:f>IF(COUNTA($A25:$M25)=0,"",IF(OR($U25="Subscription",NOT(ISNUMBER($J25)),NOT(ISNUMBER($I25)),$J25=0,$I25=0,$I25&gt;$J25),"",$J25-$I25))</x:f>
      </x:c>
      <x:c r="Y25" s="955" t="str">
        <x:f>IF(COUNTA($A25:$M25)=0,"",IF(OR($U25="Subscription",NOT(ISNUMBER($J25)),$J25=0,$X25=""),"",$X25/$J25))</x:f>
      </x:c>
      <x:c r="Z25" s="957" t="str">
        <x:f>IF(COUNTA($A25:$M25)=0,"",Instructions!$B$29+SUM($W$5:W25))</x:f>
      </x:c>
    </x:row>
    <x:row r="26" ht="36" customHeight="1">
      <x:c r="A26" s="439"/>
      <x:c r="B26" s="453"/>
      <x:c r="C26" s="453"/>
      <x:c r="D26" s="454"/>
      <x:c r="E26" s="454"/>
      <x:c r="F26" s="454"/>
      <x:c r="G26" s="986"/>
      <x:c r="H26" s="455"/>
      <x:c r="I26" s="456"/>
      <x:c r="J26" s="456"/>
      <x:c r="K26" s="986"/>
      <x:c r="L26" s="454"/>
      <x:c r="M26" s="439"/>
      <x:c r="N26" s="987" t="str">
        <x:f>IF(COUNTA($A26:$M26)=0,"",IF(OR(LEFT(LOWER(TRIM($F26&amp;"")),12)="subscription",LOWER(TRIM($F26&amp;""))="membership"),"",IF($G26="","",IF(ISNUMBER(SEARCH("non",LOWER($E26&amp;""))),$G26*0.85,$G26))))</x:f>
      </x:c>
      <x:c r="O26" s="987" t="str">
        <x:f>IF(COUNTA($A26:$M26)=0,"",IF(OR(LEFT(LOWER(TRIM($F26&amp;"")),12)="subscription",LOWER(TRIM($F26&amp;""))="membership"),"",IF(OR($N26="",$I26="",$I26=0),"",IFERROR($N26/$I26,""))))</x:f>
      </x:c>
      <x:c r="P26" s="987" t="str">
        <x:f>IF(COUNTA($A26:$M26)=0,"",IF(OR(LEFT(LOWER(TRIM($F26&amp;"")),12)="subscription",LOWER(TRIM($F26&amp;""))="membership"),"",IF(LOWER($L26&amp;"")="yes",0,IF(OR(AND($H26&lt;&gt;"",$H26=0),LEFT(LOWER(TRIM($F26&amp;"")),9)="free game",LOWER(TRIM($F26&amp;""))="free",LOWER(TRIM($F26&amp;""))="free entry"),IF(LOWER($D26&amp;"")="finalized",IF(ISNUMBER($K26),$K26,""),IF($O26&lt;&gt;"",$O26,"")),IF($K26&lt;&gt;"",$K26,IF($O26&lt;&gt;"",$O26,""))))))</x:f>
      </x:c>
      <x:c r="Q26" s="114" t="str">
        <x:f>IF(COUNTA($A26:$M26)=0,"",IF(OR($U26="Subscription",$U26=""),"",IF($U26="Profit",ROUND(IFERROR($P26,0)-IFERROR($H26,0),2),0)))</x:f>
      </x:c>
      <x:c r="R26" s="114" t="str">
        <x:f>IF(COUNTA($A26:$M26)=0,"",IF(OR($U26="Subscription",$U26=""),"",IF($U26="Draw",$H26,0)))</x:f>
      </x:c>
      <x:c r="S26" s="114" t="str">
        <x:f>IF(COUNTA($A26:$M26)=0,"",IF(OR($U26="Subscription",$U26=""),"",IF($U26="Disqualified",$H26,0)))</x:f>
      </x:c>
      <x:c r="T26" s="955" t="str">
        <x:f>IF(COUNTA($A26:$M26)=0,"",IF(OR($U26="Subscription",$U26=""),"",IF(OR($U26="Free Game",$U26="Disqualified — Free Game",$H26=0),"N/A",IF($U26="Profit",$Q26/$H26,IF($U26="Disqualified",-$S26/$H26,0)))))</x:f>
      </x:c>
      <x:c r="U26" s="920" t="str">
        <x:f>IF(COUNTA($A26:$M26)=0,"",IF(OR(LEFT(LOWER(TRIM($F26&amp;"")),12)="subscription",LOWER(TRIM($F26&amp;""))="membership"),"Subscription",IF(OR(AND($H26&lt;&gt;"",$H26=0),LEFT(LOWER(TRIM($F26&amp;"")),9)="free game",LOWER(TRIM($F26&amp;""))="free",LOWER(TRIM($F26&amp;""))="free entry"),IF(LOWER($L26&amp;"")="yes","Disqualified — Free Game","Free Game"),IF(LOWER($L26&amp;"")="yes","Disqualified",IF($P26="","",IF(ROUND(IFERROR(VALUE($P26),0)-IFERROR(VALUE($H26),0),2)&gt;0,"Profit","Draw"))))))</x:f>
      </x:c>
      <x:c r="V26" s="956" t="str">
        <x:f>IF(COUNTA($A26:$M26)=0,"",IF(OR($B26="",$C26="",$U26="Subscription"),"",IFERROR(ROUNDUP(($C26-$B26)/7,0),"")))</x:f>
      </x:c>
      <x:c r="W26" s="114" t="str">
        <x:f>IF(COUNTA($A26:$M26)=0,"",IF(OR($U26="Subscription",$U26=""),"",IF(OR($U26="Free Game",$U26="Disqualified — Free Game"),0,ROUND(IFERROR($Q26,0)-IFERROR($S26,0),2))))</x:f>
      </x:c>
      <x:c r="X26" s="956" t="str">
        <x:f>IF(COUNTA($A26:$M26)=0,"",IF(OR($U26="Subscription",NOT(ISNUMBER($J26)),NOT(ISNUMBER($I26)),$J26=0,$I26=0,$I26&gt;$J26),"",$J26-$I26))</x:f>
      </x:c>
      <x:c r="Y26" s="955" t="str">
        <x:f>IF(COUNTA($A26:$M26)=0,"",IF(OR($U26="Subscription",NOT(ISNUMBER($J26)),$J26=0,$X26=""),"",$X26/$J26))</x:f>
      </x:c>
      <x:c r="Z26" s="957" t="str">
        <x:f>IF(COUNTA($A26:$M26)=0,"",Instructions!$B$29+SUM($W$5:W26))</x:f>
      </x:c>
    </x:row>
    <x:row r="27" ht="36" customHeight="1">
      <x:c r="A27" s="439"/>
      <x:c r="B27" s="453"/>
      <x:c r="C27" s="453"/>
      <x:c r="D27" s="454"/>
      <x:c r="E27" s="454"/>
      <x:c r="F27" s="454"/>
      <x:c r="G27" s="986"/>
      <x:c r="H27" s="455"/>
      <x:c r="I27" s="456"/>
      <x:c r="J27" s="456"/>
      <x:c r="K27" s="986"/>
      <x:c r="L27" s="454"/>
      <x:c r="M27" s="439"/>
      <x:c r="N27" s="987" t="str">
        <x:f>IF(COUNTA($A27:$M27)=0,"",IF(OR(LEFT(LOWER(TRIM($F27&amp;"")),12)="subscription",LOWER(TRIM($F27&amp;""))="membership"),"",IF($G27="","",IF(ISNUMBER(SEARCH("non",LOWER($E27&amp;""))),$G27*0.85,$G27))))</x:f>
      </x:c>
      <x:c r="O27" s="987" t="str">
        <x:f>IF(COUNTA($A27:$M27)=0,"",IF(OR(LEFT(LOWER(TRIM($F27&amp;"")),12)="subscription",LOWER(TRIM($F27&amp;""))="membership"),"",IF(OR($N27="",$I27="",$I27=0),"",IFERROR($N27/$I27,""))))</x:f>
      </x:c>
      <x:c r="P27" s="987" t="str">
        <x:f>IF(COUNTA($A27:$M27)=0,"",IF(OR(LEFT(LOWER(TRIM($F27&amp;"")),12)="subscription",LOWER(TRIM($F27&amp;""))="membership"),"",IF(LOWER($L27&amp;"")="yes",0,IF(OR(AND($H27&lt;&gt;"",$H27=0),LEFT(LOWER(TRIM($F27&amp;"")),9)="free game",LOWER(TRIM($F27&amp;""))="free",LOWER(TRIM($F27&amp;""))="free entry"),IF(LOWER($D27&amp;"")="finalized",IF(ISNUMBER($K27),$K27,""),IF($O27&lt;&gt;"",$O27,"")),IF($K27&lt;&gt;"",$K27,IF($O27&lt;&gt;"",$O27,""))))))</x:f>
      </x:c>
      <x:c r="Q27" s="114" t="str">
        <x:f>IF(COUNTA($A27:$M27)=0,"",IF(OR($U27="Subscription",$U27=""),"",IF($U27="Profit",ROUND(IFERROR($P27,0)-IFERROR($H27,0),2),0)))</x:f>
      </x:c>
      <x:c r="R27" s="114" t="str">
        <x:f>IF(COUNTA($A27:$M27)=0,"",IF(OR($U27="Subscription",$U27=""),"",IF($U27="Draw",$H27,0)))</x:f>
      </x:c>
      <x:c r="S27" s="114" t="str">
        <x:f>IF(COUNTA($A27:$M27)=0,"",IF(OR($U27="Subscription",$U27=""),"",IF($U27="Disqualified",$H27,0)))</x:f>
      </x:c>
      <x:c r="T27" s="955" t="str">
        <x:f>IF(COUNTA($A27:$M27)=0,"",IF(OR($U27="Subscription",$U27=""),"",IF(OR($U27="Free Game",$U27="Disqualified — Free Game",$H27=0),"N/A",IF($U27="Profit",$Q27/$H27,IF($U27="Disqualified",-$S27/$H27,0)))))</x:f>
      </x:c>
      <x:c r="U27" s="920" t="str">
        <x:f>IF(COUNTA($A27:$M27)=0,"",IF(OR(LEFT(LOWER(TRIM($F27&amp;"")),12)="subscription",LOWER(TRIM($F27&amp;""))="membership"),"Subscription",IF(OR(AND($H27&lt;&gt;"",$H27=0),LEFT(LOWER(TRIM($F27&amp;"")),9)="free game",LOWER(TRIM($F27&amp;""))="free",LOWER(TRIM($F27&amp;""))="free entry"),IF(LOWER($L27&amp;"")="yes","Disqualified — Free Game","Free Game"),IF(LOWER($L27&amp;"")="yes","Disqualified",IF($P27="","",IF(ROUND(IFERROR(VALUE($P27),0)-IFERROR(VALUE($H27),0),2)&gt;0,"Profit","Draw"))))))</x:f>
      </x:c>
      <x:c r="V27" s="956" t="str">
        <x:f>IF(COUNTA($A27:$M27)=0,"",IF(OR($B27="",$C27="",$U27="Subscription"),"",IFERROR(ROUNDUP(($C27-$B27)/7,0),"")))</x:f>
      </x:c>
      <x:c r="W27" s="114" t="str">
        <x:f>IF(COUNTA($A27:$M27)=0,"",IF(OR($U27="Subscription",$U27=""),"",IF(OR($U27="Free Game",$U27="Disqualified — Free Game"),0,ROUND(IFERROR($Q27,0)-IFERROR($S27,0),2))))</x:f>
      </x:c>
      <x:c r="X27" s="956" t="str">
        <x:f>IF(COUNTA($A27:$M27)=0,"",IF(OR($U27="Subscription",NOT(ISNUMBER($J27)),NOT(ISNUMBER($I27)),$J27=0,$I27=0,$I27&gt;$J27),"",$J27-$I27))</x:f>
      </x:c>
      <x:c r="Y27" s="955" t="str">
        <x:f>IF(COUNTA($A27:$M27)=0,"",IF(OR($U27="Subscription",NOT(ISNUMBER($J27)),$J27=0,$X27=""),"",$X27/$J27))</x:f>
      </x:c>
      <x:c r="Z27" s="957" t="str">
        <x:f>IF(COUNTA($A27:$M27)=0,"",Instructions!$B$29+SUM($W$5:W27))</x:f>
      </x:c>
    </x:row>
    <x:row r="28" ht="36" customHeight="1">
      <x:c r="A28" s="439"/>
      <x:c r="B28" s="453"/>
      <x:c r="C28" s="453"/>
      <x:c r="D28" s="454"/>
      <x:c r="E28" s="454"/>
      <x:c r="F28" s="454"/>
      <x:c r="G28" s="986"/>
      <x:c r="H28" s="455"/>
      <x:c r="I28" s="456"/>
      <x:c r="J28" s="456"/>
      <x:c r="K28" s="986"/>
      <x:c r="L28" s="454"/>
      <x:c r="M28" s="439"/>
      <x:c r="N28" s="987" t="str">
        <x:f>IF(COUNTA($A28:$M28)=0,"",IF(OR(LEFT(LOWER(TRIM($F28&amp;"")),12)="subscription",LOWER(TRIM($F28&amp;""))="membership"),"",IF($G28="","",IF(ISNUMBER(SEARCH("non",LOWER($E28&amp;""))),$G28*0.85,$G28))))</x:f>
      </x:c>
      <x:c r="O28" s="987" t="str">
        <x:f>IF(COUNTA($A28:$M28)=0,"",IF(OR(LEFT(LOWER(TRIM($F28&amp;"")),12)="subscription",LOWER(TRIM($F28&amp;""))="membership"),"",IF(OR($N28="",$I28="",$I28=0),"",IFERROR($N28/$I28,""))))</x:f>
      </x:c>
      <x:c r="P28" s="987" t="str">
        <x:f>IF(COUNTA($A28:$M28)=0,"",IF(OR(LEFT(LOWER(TRIM($F28&amp;"")),12)="subscription",LOWER(TRIM($F28&amp;""))="membership"),"",IF(LOWER($L28&amp;"")="yes",0,IF(OR(AND($H28&lt;&gt;"",$H28=0),LEFT(LOWER(TRIM($F28&amp;"")),9)="free game",LOWER(TRIM($F28&amp;""))="free",LOWER(TRIM($F28&amp;""))="free entry"),IF(LOWER($D28&amp;"")="finalized",IF(ISNUMBER($K28),$K28,""),IF($O28&lt;&gt;"",$O28,"")),IF($K28&lt;&gt;"",$K28,IF($O28&lt;&gt;"",$O28,""))))))</x:f>
      </x:c>
      <x:c r="Q28" s="114" t="str">
        <x:f>IF(COUNTA($A28:$M28)=0,"",IF(OR($U28="Subscription",$U28=""),"",IF($U28="Profit",ROUND(IFERROR($P28,0)-IFERROR($H28,0),2),0)))</x:f>
      </x:c>
      <x:c r="R28" s="114" t="str">
        <x:f>IF(COUNTA($A28:$M28)=0,"",IF(OR($U28="Subscription",$U28=""),"",IF($U28="Draw",$H28,0)))</x:f>
      </x:c>
      <x:c r="S28" s="114" t="str">
        <x:f>IF(COUNTA($A28:$M28)=0,"",IF(OR($U28="Subscription",$U28=""),"",IF($U28="Disqualified",$H28,0)))</x:f>
      </x:c>
      <x:c r="T28" s="955" t="str">
        <x:f>IF(COUNTA($A28:$M28)=0,"",IF(OR($U28="Subscription",$U28=""),"",IF(OR($U28="Free Game",$U28="Disqualified — Free Game",$H28=0),"N/A",IF($U28="Profit",$Q28/$H28,IF($U28="Disqualified",-$S28/$H28,0)))))</x:f>
      </x:c>
      <x:c r="U28" s="920" t="str">
        <x:f>IF(COUNTA($A28:$M28)=0,"",IF(OR(LEFT(LOWER(TRIM($F28&amp;"")),12)="subscription",LOWER(TRIM($F28&amp;""))="membership"),"Subscription",IF(OR(AND($H28&lt;&gt;"",$H28=0),LEFT(LOWER(TRIM($F28&amp;"")),9)="free game",LOWER(TRIM($F28&amp;""))="free",LOWER(TRIM($F28&amp;""))="free entry"),IF(LOWER($L28&amp;"")="yes","Disqualified — Free Game","Free Game"),IF(LOWER($L28&amp;"")="yes","Disqualified",IF($P28="","",IF(ROUND(IFERROR(VALUE($P28),0)-IFERROR(VALUE($H28),0),2)&gt;0,"Profit","Draw"))))))</x:f>
      </x:c>
      <x:c r="V28" s="956" t="str">
        <x:f>IF(COUNTA($A28:$M28)=0,"",IF(OR($B28="",$C28="",$U28="Subscription"),"",IFERROR(ROUNDUP(($C28-$B28)/7,0),"")))</x:f>
      </x:c>
      <x:c r="W28" s="114" t="str">
        <x:f>IF(COUNTA($A28:$M28)=0,"",IF(OR($U28="Subscription",$U28=""),"",IF(OR($U28="Free Game",$U28="Disqualified — Free Game"),0,ROUND(IFERROR($Q28,0)-IFERROR($S28,0),2))))</x:f>
      </x:c>
      <x:c r="X28" s="956" t="str">
        <x:f>IF(COUNTA($A28:$M28)=0,"",IF(OR($U28="Subscription",NOT(ISNUMBER($J28)),NOT(ISNUMBER($I28)),$J28=0,$I28=0,$I28&gt;$J28),"",$J28-$I28))</x:f>
      </x:c>
      <x:c r="Y28" s="955" t="str">
        <x:f>IF(COUNTA($A28:$M28)=0,"",IF(OR($U28="Subscription",NOT(ISNUMBER($J28)),$J28=0,$X28=""),"",$X28/$J28))</x:f>
      </x:c>
      <x:c r="Z28" s="957" t="str">
        <x:f>IF(COUNTA($A28:$M28)=0,"",Instructions!$B$29+SUM($W$5:W28))</x:f>
      </x:c>
    </x:row>
    <x:row r="29" ht="36" customHeight="1">
      <x:c r="A29" s="439"/>
      <x:c r="B29" s="453"/>
      <x:c r="C29" s="453"/>
      <x:c r="D29" s="454"/>
      <x:c r="E29" s="454"/>
      <x:c r="F29" s="454"/>
      <x:c r="G29" s="986"/>
      <x:c r="H29" s="455"/>
      <x:c r="I29" s="456"/>
      <x:c r="J29" s="456"/>
      <x:c r="K29" s="986"/>
      <x:c r="L29" s="454"/>
      <x:c r="M29" s="439"/>
      <x:c r="N29" s="987" t="str">
        <x:f>IF(COUNTA($A29:$M29)=0,"",IF(OR(LEFT(LOWER(TRIM($F29&amp;"")),12)="subscription",LOWER(TRIM($F29&amp;""))="membership"),"",IF($G29="","",IF(ISNUMBER(SEARCH("non",LOWER($E29&amp;""))),$G29*0.85,$G29))))</x:f>
      </x:c>
      <x:c r="O29" s="987" t="str">
        <x:f>IF(COUNTA($A29:$M29)=0,"",IF(OR(LEFT(LOWER(TRIM($F29&amp;"")),12)="subscription",LOWER(TRIM($F29&amp;""))="membership"),"",IF(OR($N29="",$I29="",$I29=0),"",IFERROR($N29/$I29,""))))</x:f>
      </x:c>
      <x:c r="P29" s="987" t="str">
        <x:f>IF(COUNTA($A29:$M29)=0,"",IF(OR(LEFT(LOWER(TRIM($F29&amp;"")),12)="subscription",LOWER(TRIM($F29&amp;""))="membership"),"",IF(LOWER($L29&amp;"")="yes",0,IF(OR(AND($H29&lt;&gt;"",$H29=0),LEFT(LOWER(TRIM($F29&amp;"")),9)="free game",LOWER(TRIM($F29&amp;""))="free",LOWER(TRIM($F29&amp;""))="free entry"),IF(LOWER($D29&amp;"")="finalized",IF(ISNUMBER($K29),$K29,""),IF($O29&lt;&gt;"",$O29,"")),IF($K29&lt;&gt;"",$K29,IF($O29&lt;&gt;"",$O29,""))))))</x:f>
      </x:c>
      <x:c r="Q29" s="114" t="str">
        <x:f>IF(COUNTA($A29:$M29)=0,"",IF(OR($U29="Subscription",$U29=""),"",IF($U29="Profit",ROUND(IFERROR($P29,0)-IFERROR($H29,0),2),0)))</x:f>
      </x:c>
      <x:c r="R29" s="114" t="str">
        <x:f>IF(COUNTA($A29:$M29)=0,"",IF(OR($U29="Subscription",$U29=""),"",IF($U29="Draw",$H29,0)))</x:f>
      </x:c>
      <x:c r="S29" s="114" t="str">
        <x:f>IF(COUNTA($A29:$M29)=0,"",IF(OR($U29="Subscription",$U29=""),"",IF($U29="Disqualified",$H29,0)))</x:f>
      </x:c>
      <x:c r="T29" s="955" t="str">
        <x:f>IF(COUNTA($A29:$M29)=0,"",IF(OR($U29="Subscription",$U29=""),"",IF(OR($U29="Free Game",$U29="Disqualified — Free Game",$H29=0),"N/A",IF($U29="Profit",$Q29/$H29,IF($U29="Disqualified",-$S29/$H29,0)))))</x:f>
      </x:c>
      <x:c r="U29" s="920" t="str">
        <x:f>IF(COUNTA($A29:$M29)=0,"",IF(OR(LEFT(LOWER(TRIM($F29&amp;"")),12)="subscription",LOWER(TRIM($F29&amp;""))="membership"),"Subscription",IF(OR(AND($H29&lt;&gt;"",$H29=0),LEFT(LOWER(TRIM($F29&amp;"")),9)="free game",LOWER(TRIM($F29&amp;""))="free",LOWER(TRIM($F29&amp;""))="free entry"),IF(LOWER($L29&amp;"")="yes","Disqualified — Free Game","Free Game"),IF(LOWER($L29&amp;"")="yes","Disqualified",IF($P29="","",IF(ROUND(IFERROR(VALUE($P29),0)-IFERROR(VALUE($H29),0),2)&gt;0,"Profit","Draw"))))))</x:f>
      </x:c>
      <x:c r="V29" s="956" t="str">
        <x:f>IF(COUNTA($A29:$M29)=0,"",IF(OR($B29="",$C29="",$U29="Subscription"),"",IFERROR(ROUNDUP(($C29-$B29)/7,0),"")))</x:f>
      </x:c>
      <x:c r="W29" s="114" t="str">
        <x:f>IF(COUNTA($A29:$M29)=0,"",IF(OR($U29="Subscription",$U29=""),"",IF(OR($U29="Free Game",$U29="Disqualified — Free Game"),0,ROUND(IFERROR($Q29,0)-IFERROR($S29,0),2))))</x:f>
      </x:c>
      <x:c r="X29" s="956" t="str">
        <x:f>IF(COUNTA($A29:$M29)=0,"",IF(OR($U29="Subscription",NOT(ISNUMBER($J29)),NOT(ISNUMBER($I29)),$J29=0,$I29=0,$I29&gt;$J29),"",$J29-$I29))</x:f>
      </x:c>
      <x:c r="Y29" s="955" t="str">
        <x:f>IF(COUNTA($A29:$M29)=0,"",IF(OR($U29="Subscription",NOT(ISNUMBER($J29)),$J29=0,$X29=""),"",$X29/$J29))</x:f>
      </x:c>
      <x:c r="Z29" s="957" t="str">
        <x:f>IF(COUNTA($A29:$M29)=0,"",Instructions!$B$29+SUM($W$5:W29))</x:f>
      </x:c>
    </x:row>
    <x:row r="30" ht="36" customHeight="1">
      <x:c r="A30" s="439"/>
      <x:c r="B30" s="453"/>
      <x:c r="C30" s="453"/>
      <x:c r="D30" s="454"/>
      <x:c r="E30" s="454"/>
      <x:c r="F30" s="454"/>
      <x:c r="G30" s="986"/>
      <x:c r="H30" s="455"/>
      <x:c r="I30" s="456"/>
      <x:c r="J30" s="456"/>
      <x:c r="K30" s="986"/>
      <x:c r="L30" s="454"/>
      <x:c r="M30" s="439"/>
      <x:c r="N30" s="987" t="str">
        <x:f>IF(COUNTA($A30:$M30)=0,"",IF(OR(LEFT(LOWER(TRIM($F30&amp;"")),12)="subscription",LOWER(TRIM($F30&amp;""))="membership"),"",IF($G30="","",IF(ISNUMBER(SEARCH("non",LOWER($E30&amp;""))),$G30*0.85,$G30))))</x:f>
      </x:c>
      <x:c r="O30" s="987" t="str">
        <x:f>IF(COUNTA($A30:$M30)=0,"",IF(OR(LEFT(LOWER(TRIM($F30&amp;"")),12)="subscription",LOWER(TRIM($F30&amp;""))="membership"),"",IF(OR($N30="",$I30="",$I30=0),"",IFERROR($N30/$I30,""))))</x:f>
      </x:c>
      <x:c r="P30" s="987" t="str">
        <x:f>IF(COUNTA($A30:$M30)=0,"",IF(OR(LEFT(LOWER(TRIM($F30&amp;"")),12)="subscription",LOWER(TRIM($F30&amp;""))="membership"),"",IF(LOWER($L30&amp;"")="yes",0,IF(OR(AND($H30&lt;&gt;"",$H30=0),LEFT(LOWER(TRIM($F30&amp;"")),9)="free game",LOWER(TRIM($F30&amp;""))="free",LOWER(TRIM($F30&amp;""))="free entry"),IF(LOWER($D30&amp;"")="finalized",IF(ISNUMBER($K30),$K30,""),IF($O30&lt;&gt;"",$O30,"")),IF($K30&lt;&gt;"",$K30,IF($O30&lt;&gt;"",$O30,""))))))</x:f>
      </x:c>
      <x:c r="Q30" s="114" t="str">
        <x:f>IF(COUNTA($A30:$M30)=0,"",IF(OR($U30="Subscription",$U30=""),"",IF($U30="Profit",ROUND(IFERROR($P30,0)-IFERROR($H30,0),2),0)))</x:f>
      </x:c>
      <x:c r="R30" s="114" t="str">
        <x:f>IF(COUNTA($A30:$M30)=0,"",IF(OR($U30="Subscription",$U30=""),"",IF($U30="Draw",$H30,0)))</x:f>
      </x:c>
      <x:c r="S30" s="114" t="str">
        <x:f>IF(COUNTA($A30:$M30)=0,"",IF(OR($U30="Subscription",$U30=""),"",IF($U30="Disqualified",$H30,0)))</x:f>
      </x:c>
      <x:c r="T30" s="955" t="str">
        <x:f>IF(COUNTA($A30:$M30)=0,"",IF(OR($U30="Subscription",$U30=""),"",IF(OR($U30="Free Game",$U30="Disqualified — Free Game",$H30=0),"N/A",IF($U30="Profit",$Q30/$H30,IF($U30="Disqualified",-$S30/$H30,0)))))</x:f>
      </x:c>
      <x:c r="U30" s="920" t="str">
        <x:f>IF(COUNTA($A30:$M30)=0,"",IF(OR(LEFT(LOWER(TRIM($F30&amp;"")),12)="subscription",LOWER(TRIM($F30&amp;""))="membership"),"Subscription",IF(OR(AND($H30&lt;&gt;"",$H30=0),LEFT(LOWER(TRIM($F30&amp;"")),9)="free game",LOWER(TRIM($F30&amp;""))="free",LOWER(TRIM($F30&amp;""))="free entry"),IF(LOWER($L30&amp;"")="yes","Disqualified — Free Game","Free Game"),IF(LOWER($L30&amp;"")="yes","Disqualified",IF($P30="","",IF(ROUND(IFERROR(VALUE($P30),0)-IFERROR(VALUE($H30),0),2)&gt;0,"Profit","Draw"))))))</x:f>
      </x:c>
      <x:c r="V30" s="956" t="str">
        <x:f>IF(COUNTA($A30:$M30)=0,"",IF(OR($B30="",$C30="",$U30="Subscription"),"",IFERROR(ROUNDUP(($C30-$B30)/7,0),"")))</x:f>
      </x:c>
      <x:c r="W30" s="114" t="str">
        <x:f>IF(COUNTA($A30:$M30)=0,"",IF(OR($U30="Subscription",$U30=""),"",IF(OR($U30="Free Game",$U30="Disqualified — Free Game"),0,ROUND(IFERROR($Q30,0)-IFERROR($S30,0),2))))</x:f>
      </x:c>
      <x:c r="X30" s="956" t="str">
        <x:f>IF(COUNTA($A30:$M30)=0,"",IF(OR($U30="Subscription",NOT(ISNUMBER($J30)),NOT(ISNUMBER($I30)),$J30=0,$I30=0,$I30&gt;$J30),"",$J30-$I30))</x:f>
      </x:c>
      <x:c r="Y30" s="955" t="str">
        <x:f>IF(COUNTA($A30:$M30)=0,"",IF(OR($U30="Subscription",NOT(ISNUMBER($J30)),$J30=0,$X30=""),"",$X30/$J30))</x:f>
      </x:c>
      <x:c r="Z30" s="957" t="str">
        <x:f>IF(COUNTA($A30:$M30)=0,"",Instructions!$B$29+SUM($W$5:W30))</x:f>
      </x:c>
    </x:row>
    <x:row r="31" ht="36" customHeight="1">
      <x:c r="A31" s="439"/>
      <x:c r="B31" s="453"/>
      <x:c r="C31" s="453"/>
      <x:c r="D31" s="454"/>
      <x:c r="E31" s="454"/>
      <x:c r="F31" s="454"/>
      <x:c r="G31" s="986"/>
      <x:c r="H31" s="455"/>
      <x:c r="I31" s="456"/>
      <x:c r="J31" s="456"/>
      <x:c r="K31" s="986"/>
      <x:c r="L31" s="454"/>
      <x:c r="M31" s="439"/>
      <x:c r="N31" s="987" t="str">
        <x:f>IF(COUNTA($A31:$M31)=0,"",IF(OR(LEFT(LOWER(TRIM($F31&amp;"")),12)="subscription",LOWER(TRIM($F31&amp;""))="membership"),"",IF($G31="","",IF(ISNUMBER(SEARCH("non",LOWER($E31&amp;""))),$G31*0.85,$G31))))</x:f>
      </x:c>
      <x:c r="O31" s="987" t="str">
        <x:f>IF(COUNTA($A31:$M31)=0,"",IF(OR(LEFT(LOWER(TRIM($F31&amp;"")),12)="subscription",LOWER(TRIM($F31&amp;""))="membership"),"",IF(OR($N31="",$I31="",$I31=0),"",IFERROR($N31/$I31,""))))</x:f>
      </x:c>
      <x:c r="P31" s="987" t="str">
        <x:f>IF(COUNTA($A31:$M31)=0,"",IF(OR(LEFT(LOWER(TRIM($F31&amp;"")),12)="subscription",LOWER(TRIM($F31&amp;""))="membership"),"",IF(LOWER($L31&amp;"")="yes",0,IF(OR(AND($H31&lt;&gt;"",$H31=0),LEFT(LOWER(TRIM($F31&amp;"")),9)="free game",LOWER(TRIM($F31&amp;""))="free",LOWER(TRIM($F31&amp;""))="free entry"),IF(LOWER($D31&amp;"")="finalized",IF(ISNUMBER($K31),$K31,""),IF($O31&lt;&gt;"",$O31,"")),IF($K31&lt;&gt;"",$K31,IF($O31&lt;&gt;"",$O31,""))))))</x:f>
      </x:c>
      <x:c r="Q31" s="114" t="str">
        <x:f>IF(COUNTA($A31:$M31)=0,"",IF(OR($U31="Subscription",$U31=""),"",IF($U31="Profit",ROUND(IFERROR($P31,0)-IFERROR($H31,0),2),0)))</x:f>
      </x:c>
      <x:c r="R31" s="114" t="str">
        <x:f>IF(COUNTA($A31:$M31)=0,"",IF(OR($U31="Subscription",$U31=""),"",IF($U31="Draw",$H31,0)))</x:f>
      </x:c>
      <x:c r="S31" s="114" t="str">
        <x:f>IF(COUNTA($A31:$M31)=0,"",IF(OR($U31="Subscription",$U31=""),"",IF($U31="Disqualified",$H31,0)))</x:f>
      </x:c>
      <x:c r="T31" s="955" t="str">
        <x:f>IF(COUNTA($A31:$M31)=0,"",IF(OR($U31="Subscription",$U31=""),"",IF(OR($U31="Free Game",$U31="Disqualified — Free Game",$H31=0),"N/A",IF($U31="Profit",$Q31/$H31,IF($U31="Disqualified",-$S31/$H31,0)))))</x:f>
      </x:c>
      <x:c r="U31" s="920" t="str">
        <x:f>IF(COUNTA($A31:$M31)=0,"",IF(OR(LEFT(LOWER(TRIM($F31&amp;"")),12)="subscription",LOWER(TRIM($F31&amp;""))="membership"),"Subscription",IF(OR(AND($H31&lt;&gt;"",$H31=0),LEFT(LOWER(TRIM($F31&amp;"")),9)="free game",LOWER(TRIM($F31&amp;""))="free",LOWER(TRIM($F31&amp;""))="free entry"),IF(LOWER($L31&amp;"")="yes","Disqualified — Free Game","Free Game"),IF(LOWER($L31&amp;"")="yes","Disqualified",IF($P31="","",IF(ROUND(IFERROR(VALUE($P31),0)-IFERROR(VALUE($H31),0),2)&gt;0,"Profit","Draw"))))))</x:f>
      </x:c>
      <x:c r="V31" s="956" t="str">
        <x:f>IF(COUNTA($A31:$M31)=0,"",IF(OR($B31="",$C31="",$U31="Subscription"),"",IFERROR(ROUNDUP(($C31-$B31)/7,0),"")))</x:f>
      </x:c>
      <x:c r="W31" s="114" t="str">
        <x:f>IF(COUNTA($A31:$M31)=0,"",IF(OR($U31="Subscription",$U31=""),"",IF(OR($U31="Free Game",$U31="Disqualified — Free Game"),0,ROUND(IFERROR($Q31,0)-IFERROR($S31,0),2))))</x:f>
      </x:c>
      <x:c r="X31" s="956" t="str">
        <x:f>IF(COUNTA($A31:$M31)=0,"",IF(OR($U31="Subscription",NOT(ISNUMBER($J31)),NOT(ISNUMBER($I31)),$J31=0,$I31=0,$I31&gt;$J31),"",$J31-$I31))</x:f>
      </x:c>
      <x:c r="Y31" s="955" t="str">
        <x:f>IF(COUNTA($A31:$M31)=0,"",IF(OR($U31="Subscription",NOT(ISNUMBER($J31)),$J31=0,$X31=""),"",$X31/$J31))</x:f>
      </x:c>
      <x:c r="Z31" s="957" t="str">
        <x:f>IF(COUNTA($A31:$M31)=0,"",Instructions!$B$29+SUM($W$5:W31))</x:f>
      </x:c>
    </x:row>
    <x:row r="32" ht="36" customHeight="1">
      <x:c r="A32" s="439"/>
      <x:c r="B32" s="453"/>
      <x:c r="C32" s="453"/>
      <x:c r="D32" s="454"/>
      <x:c r="E32" s="454"/>
      <x:c r="F32" s="454"/>
      <x:c r="G32" s="986"/>
      <x:c r="H32" s="455"/>
      <x:c r="I32" s="456"/>
      <x:c r="J32" s="456"/>
      <x:c r="K32" s="986"/>
      <x:c r="L32" s="454"/>
      <x:c r="M32" s="439"/>
      <x:c r="N32" s="987" t="str">
        <x:f>IF(COUNTA($A32:$M32)=0,"",IF(OR(LEFT(LOWER(TRIM($F32&amp;"")),12)="subscription",LOWER(TRIM($F32&amp;""))="membership"),"",IF($G32="","",IF(ISNUMBER(SEARCH("non",LOWER($E32&amp;""))),$G32*0.85,$G32))))</x:f>
      </x:c>
      <x:c r="O32" s="987" t="str">
        <x:f>IF(COUNTA($A32:$M32)=0,"",IF(OR(LEFT(LOWER(TRIM($F32&amp;"")),12)="subscription",LOWER(TRIM($F32&amp;""))="membership"),"",IF(OR($N32="",$I32="",$I32=0),"",IFERROR($N32/$I32,""))))</x:f>
      </x:c>
      <x:c r="P32" s="987" t="str">
        <x:f>IF(COUNTA($A32:$M32)=0,"",IF(OR(LEFT(LOWER(TRIM($F32&amp;"")),12)="subscription",LOWER(TRIM($F32&amp;""))="membership"),"",IF(LOWER($L32&amp;"")="yes",0,IF(OR(AND($H32&lt;&gt;"",$H32=0),LEFT(LOWER(TRIM($F32&amp;"")),9)="free game",LOWER(TRIM($F32&amp;""))="free",LOWER(TRIM($F32&amp;""))="free entry"),IF(LOWER($D32&amp;"")="finalized",IF(ISNUMBER($K32),$K32,""),IF($O32&lt;&gt;"",$O32,"")),IF($K32&lt;&gt;"",$K32,IF($O32&lt;&gt;"",$O32,""))))))</x:f>
      </x:c>
      <x:c r="Q32" s="114" t="str">
        <x:f>IF(COUNTA($A32:$M32)=0,"",IF(OR($U32="Subscription",$U32=""),"",IF($U32="Profit",ROUND(IFERROR($P32,0)-IFERROR($H32,0),2),0)))</x:f>
      </x:c>
      <x:c r="R32" s="114" t="str">
        <x:f>IF(COUNTA($A32:$M32)=0,"",IF(OR($U32="Subscription",$U32=""),"",IF($U32="Draw",$H32,0)))</x:f>
      </x:c>
      <x:c r="S32" s="114" t="str">
        <x:f>IF(COUNTA($A32:$M32)=0,"",IF(OR($U32="Subscription",$U32=""),"",IF($U32="Disqualified",$H32,0)))</x:f>
      </x:c>
      <x:c r="T32" s="955" t="str">
        <x:f>IF(COUNTA($A32:$M32)=0,"",IF(OR($U32="Subscription",$U32=""),"",IF(OR($U32="Free Game",$U32="Disqualified — Free Game",$H32=0),"N/A",IF($U32="Profit",$Q32/$H32,IF($U32="Disqualified",-$S32/$H32,0)))))</x:f>
      </x:c>
      <x:c r="U32" s="920" t="str">
        <x:f>IF(COUNTA($A32:$M32)=0,"",IF(OR(LEFT(LOWER(TRIM($F32&amp;"")),12)="subscription",LOWER(TRIM($F32&amp;""))="membership"),"Subscription",IF(OR(AND($H32&lt;&gt;"",$H32=0),LEFT(LOWER(TRIM($F32&amp;"")),9)="free game",LOWER(TRIM($F32&amp;""))="free",LOWER(TRIM($F32&amp;""))="free entry"),IF(LOWER($L32&amp;"")="yes","Disqualified — Free Game","Free Game"),IF(LOWER($L32&amp;"")="yes","Disqualified",IF($P32="","",IF(ROUND(IFERROR(VALUE($P32),0)-IFERROR(VALUE($H32),0),2)&gt;0,"Profit","Draw"))))))</x:f>
      </x:c>
      <x:c r="V32" s="956" t="str">
        <x:f>IF(COUNTA($A32:$M32)=0,"",IF(OR($B32="",$C32="",$U32="Subscription"),"",IFERROR(ROUNDUP(($C32-$B32)/7,0),"")))</x:f>
      </x:c>
      <x:c r="W32" s="114" t="str">
        <x:f>IF(COUNTA($A32:$M32)=0,"",IF(OR($U32="Subscription",$U32=""),"",IF(OR($U32="Free Game",$U32="Disqualified — Free Game"),0,ROUND(IFERROR($Q32,0)-IFERROR($S32,0),2))))</x:f>
      </x:c>
      <x:c r="X32" s="956" t="str">
        <x:f>IF(COUNTA($A32:$M32)=0,"",IF(OR($U32="Subscription",NOT(ISNUMBER($J32)),NOT(ISNUMBER($I32)),$J32=0,$I32=0,$I32&gt;$J32),"",$J32-$I32))</x:f>
      </x:c>
      <x:c r="Y32" s="955" t="str">
        <x:f>IF(COUNTA($A32:$M32)=0,"",IF(OR($U32="Subscription",NOT(ISNUMBER($J32)),$J32=0,$X32=""),"",$X32/$J32))</x:f>
      </x:c>
      <x:c r="Z32" s="957" t="str">
        <x:f>IF(COUNTA($A32:$M32)=0,"",Instructions!$B$29+SUM($W$5:W32))</x:f>
      </x:c>
    </x:row>
    <x:row r="33" ht="36" customHeight="1">
      <x:c r="A33" s="439"/>
      <x:c r="B33" s="453"/>
      <x:c r="C33" s="453"/>
      <x:c r="D33" s="454"/>
      <x:c r="E33" s="454"/>
      <x:c r="F33" s="454"/>
      <x:c r="G33" s="986"/>
      <x:c r="H33" s="455"/>
      <x:c r="I33" s="456"/>
      <x:c r="J33" s="456"/>
      <x:c r="K33" s="986"/>
      <x:c r="L33" s="454"/>
      <x:c r="M33" s="439"/>
      <x:c r="N33" s="987" t="str">
        <x:f>IF(COUNTA($A33:$M33)=0,"",IF(OR(LEFT(LOWER(TRIM($F33&amp;"")),12)="subscription",LOWER(TRIM($F33&amp;""))="membership"),"",IF($G33="","",IF(ISNUMBER(SEARCH("non",LOWER($E33&amp;""))),$G33*0.85,$G33))))</x:f>
      </x:c>
      <x:c r="O33" s="987" t="str">
        <x:f>IF(COUNTA($A33:$M33)=0,"",IF(OR(LEFT(LOWER(TRIM($F33&amp;"")),12)="subscription",LOWER(TRIM($F33&amp;""))="membership"),"",IF(OR($N33="",$I33="",$I33=0),"",IFERROR($N33/$I33,""))))</x:f>
      </x:c>
      <x:c r="P33" s="987" t="str">
        <x:f>IF(COUNTA($A33:$M33)=0,"",IF(OR(LEFT(LOWER(TRIM($F33&amp;"")),12)="subscription",LOWER(TRIM($F33&amp;""))="membership"),"",IF(LOWER($L33&amp;"")="yes",0,IF(OR(AND($H33&lt;&gt;"",$H33=0),LEFT(LOWER(TRIM($F33&amp;"")),9)="free game",LOWER(TRIM($F33&amp;""))="free",LOWER(TRIM($F33&amp;""))="free entry"),IF(LOWER($D33&amp;"")="finalized",IF(ISNUMBER($K33),$K33,""),IF($O33&lt;&gt;"",$O33,"")),IF($K33&lt;&gt;"",$K33,IF($O33&lt;&gt;"",$O33,""))))))</x:f>
      </x:c>
      <x:c r="Q33" s="114" t="str">
        <x:f>IF(COUNTA($A33:$M33)=0,"",IF(OR($U33="Subscription",$U33=""),"",IF($U33="Profit",ROUND(IFERROR($P33,0)-IFERROR($H33,0),2),0)))</x:f>
      </x:c>
      <x:c r="R33" s="114" t="str">
        <x:f>IF(COUNTA($A33:$M33)=0,"",IF(OR($U33="Subscription",$U33=""),"",IF($U33="Draw",$H33,0)))</x:f>
      </x:c>
      <x:c r="S33" s="114" t="str">
        <x:f>IF(COUNTA($A33:$M33)=0,"",IF(OR($U33="Subscription",$U33=""),"",IF($U33="Disqualified",$H33,0)))</x:f>
      </x:c>
      <x:c r="T33" s="955" t="str">
        <x:f>IF(COUNTA($A33:$M33)=0,"",IF(OR($U33="Subscription",$U33=""),"",IF(OR($U33="Free Game",$U33="Disqualified — Free Game",$H33=0),"N/A",IF($U33="Profit",$Q33/$H33,IF($U33="Disqualified",-$S33/$H33,0)))))</x:f>
      </x:c>
      <x:c r="U33" s="920" t="str">
        <x:f>IF(COUNTA($A33:$M33)=0,"",IF(OR(LEFT(LOWER(TRIM($F33&amp;"")),12)="subscription",LOWER(TRIM($F33&amp;""))="membership"),"Subscription",IF(OR(AND($H33&lt;&gt;"",$H33=0),LEFT(LOWER(TRIM($F33&amp;"")),9)="free game",LOWER(TRIM($F33&amp;""))="free",LOWER(TRIM($F33&amp;""))="free entry"),IF(LOWER($L33&amp;"")="yes","Disqualified — Free Game","Free Game"),IF(LOWER($L33&amp;"")="yes","Disqualified",IF($P33="","",IF(ROUND(IFERROR(VALUE($P33),0)-IFERROR(VALUE($H33),0),2)&gt;0,"Profit","Draw"))))))</x:f>
      </x:c>
      <x:c r="V33" s="956" t="str">
        <x:f>IF(COUNTA($A33:$M33)=0,"",IF(OR($B33="",$C33="",$U33="Subscription"),"",IFERROR(ROUNDUP(($C33-$B33)/7,0),"")))</x:f>
      </x:c>
      <x:c r="W33" s="114" t="str">
        <x:f>IF(COUNTA($A33:$M33)=0,"",IF(OR($U33="Subscription",$U33=""),"",IF(OR($U33="Free Game",$U33="Disqualified — Free Game"),0,ROUND(IFERROR($Q33,0)-IFERROR($S33,0),2))))</x:f>
      </x:c>
      <x:c r="X33" s="956" t="str">
        <x:f>IF(COUNTA($A33:$M33)=0,"",IF(OR($U33="Subscription",NOT(ISNUMBER($J33)),NOT(ISNUMBER($I33)),$J33=0,$I33=0,$I33&gt;$J33),"",$J33-$I33))</x:f>
      </x:c>
      <x:c r="Y33" s="955" t="str">
        <x:f>IF(COUNTA($A33:$M33)=0,"",IF(OR($U33="Subscription",NOT(ISNUMBER($J33)),$J33=0,$X33=""),"",$X33/$J33))</x:f>
      </x:c>
      <x:c r="Z33" s="957" t="str">
        <x:f>IF(COUNTA($A33:$M33)=0,"",Instructions!$B$29+SUM($W$5:W33))</x:f>
      </x:c>
    </x:row>
    <x:row r="34" ht="36" customHeight="1">
      <x:c r="A34" s="439"/>
      <x:c r="B34" s="453"/>
      <x:c r="C34" s="453"/>
      <x:c r="D34" s="454"/>
      <x:c r="E34" s="454"/>
      <x:c r="F34" s="454"/>
      <x:c r="G34" s="986"/>
      <x:c r="H34" s="455"/>
      <x:c r="I34" s="456"/>
      <x:c r="J34" s="456"/>
      <x:c r="K34" s="986"/>
      <x:c r="L34" s="454"/>
      <x:c r="M34" s="439"/>
      <x:c r="N34" s="987" t="str">
        <x:f>IF(COUNTA($A34:$M34)=0,"",IF(OR(LEFT(LOWER(TRIM($F34&amp;"")),12)="subscription",LOWER(TRIM($F34&amp;""))="membership"),"",IF($G34="","",IF(ISNUMBER(SEARCH("non",LOWER($E34&amp;""))),$G34*0.85,$G34))))</x:f>
      </x:c>
      <x:c r="O34" s="987" t="str">
        <x:f>IF(COUNTA($A34:$M34)=0,"",IF(OR(LEFT(LOWER(TRIM($F34&amp;"")),12)="subscription",LOWER(TRIM($F34&amp;""))="membership"),"",IF(OR($N34="",$I34="",$I34=0),"",IFERROR($N34/$I34,""))))</x:f>
      </x:c>
      <x:c r="P34" s="987" t="str">
        <x:f>IF(COUNTA($A34:$M34)=0,"",IF(OR(LEFT(LOWER(TRIM($F34&amp;"")),12)="subscription",LOWER(TRIM($F34&amp;""))="membership"),"",IF(LOWER($L34&amp;"")="yes",0,IF(OR(AND($H34&lt;&gt;"",$H34=0),LEFT(LOWER(TRIM($F34&amp;"")),9)="free game",LOWER(TRIM($F34&amp;""))="free",LOWER(TRIM($F34&amp;""))="free entry"),IF(LOWER($D34&amp;"")="finalized",IF(ISNUMBER($K34),$K34,""),IF($O34&lt;&gt;"",$O34,"")),IF($K34&lt;&gt;"",$K34,IF($O34&lt;&gt;"",$O34,""))))))</x:f>
      </x:c>
      <x:c r="Q34" s="114" t="str">
        <x:f>IF(COUNTA($A34:$M34)=0,"",IF(OR($U34="Subscription",$U34=""),"",IF($U34="Profit",ROUND(IFERROR($P34,0)-IFERROR($H34,0),2),0)))</x:f>
      </x:c>
      <x:c r="R34" s="114" t="str">
        <x:f>IF(COUNTA($A34:$M34)=0,"",IF(OR($U34="Subscription",$U34=""),"",IF($U34="Draw",$H34,0)))</x:f>
      </x:c>
      <x:c r="S34" s="114" t="str">
        <x:f>IF(COUNTA($A34:$M34)=0,"",IF(OR($U34="Subscription",$U34=""),"",IF($U34="Disqualified",$H34,0)))</x:f>
      </x:c>
      <x:c r="T34" s="955" t="str">
        <x:f>IF(COUNTA($A34:$M34)=0,"",IF(OR($U34="Subscription",$U34=""),"",IF(OR($U34="Free Game",$U34="Disqualified — Free Game",$H34=0),"N/A",IF($U34="Profit",$Q34/$H34,IF($U34="Disqualified",-$S34/$H34,0)))))</x:f>
      </x:c>
      <x:c r="U34" s="920" t="str">
        <x:f>IF(COUNTA($A34:$M34)=0,"",IF(OR(LEFT(LOWER(TRIM($F34&amp;"")),12)="subscription",LOWER(TRIM($F34&amp;""))="membership"),"Subscription",IF(OR(AND($H34&lt;&gt;"",$H34=0),LEFT(LOWER(TRIM($F34&amp;"")),9)="free game",LOWER(TRIM($F34&amp;""))="free",LOWER(TRIM($F34&amp;""))="free entry"),IF(LOWER($L34&amp;"")="yes","Disqualified — Free Game","Free Game"),IF(LOWER($L34&amp;"")="yes","Disqualified",IF($P34="","",IF(ROUND(IFERROR(VALUE($P34),0)-IFERROR(VALUE($H34),0),2)&gt;0,"Profit","Draw"))))))</x:f>
      </x:c>
      <x:c r="V34" s="956" t="str">
        <x:f>IF(COUNTA($A34:$M34)=0,"",IF(OR($B34="",$C34="",$U34="Subscription"),"",IFERROR(ROUNDUP(($C34-$B34)/7,0),"")))</x:f>
      </x:c>
      <x:c r="W34" s="114" t="str">
        <x:f>IF(COUNTA($A34:$M34)=0,"",IF(OR($U34="Subscription",$U34=""),"",IF(OR($U34="Free Game",$U34="Disqualified — Free Game"),0,ROUND(IFERROR($Q34,0)-IFERROR($S34,0),2))))</x:f>
      </x:c>
      <x:c r="X34" s="956" t="str">
        <x:f>IF(COUNTA($A34:$M34)=0,"",IF(OR($U34="Subscription",NOT(ISNUMBER($J34)),NOT(ISNUMBER($I34)),$J34=0,$I34=0,$I34&gt;$J34),"",$J34-$I34))</x:f>
      </x:c>
      <x:c r="Y34" s="955" t="str">
        <x:f>IF(COUNTA($A34:$M34)=0,"",IF(OR($U34="Subscription",NOT(ISNUMBER($J34)),$J34=0,$X34=""),"",$X34/$J34))</x:f>
      </x:c>
      <x:c r="Z34" s="957" t="str">
        <x:f>IF(COUNTA($A34:$M34)=0,"",Instructions!$B$29+SUM($W$5:W34))</x:f>
      </x:c>
    </x:row>
    <x:row r="35" ht="36" customHeight="1">
      <x:c r="A35" s="439"/>
      <x:c r="B35" s="453"/>
      <x:c r="C35" s="453"/>
      <x:c r="D35" s="454"/>
      <x:c r="E35" s="454"/>
      <x:c r="F35" s="454"/>
      <x:c r="G35" s="986"/>
      <x:c r="H35" s="455"/>
      <x:c r="I35" s="456"/>
      <x:c r="J35" s="456"/>
      <x:c r="K35" s="986"/>
      <x:c r="L35" s="454"/>
      <x:c r="M35" s="439"/>
      <x:c r="N35" s="987" t="str">
        <x:f>IF(COUNTA($A35:$M35)=0,"",IF(OR(LEFT(LOWER(TRIM($F35&amp;"")),12)="subscription",LOWER(TRIM($F35&amp;""))="membership"),"",IF($G35="","",IF(ISNUMBER(SEARCH("non",LOWER($E35&amp;""))),$G35*0.85,$G35))))</x:f>
      </x:c>
      <x:c r="O35" s="987" t="str">
        <x:f>IF(COUNTA($A35:$M35)=0,"",IF(OR(LEFT(LOWER(TRIM($F35&amp;"")),12)="subscription",LOWER(TRIM($F35&amp;""))="membership"),"",IF(OR($N35="",$I35="",$I35=0),"",IFERROR($N35/$I35,""))))</x:f>
      </x:c>
      <x:c r="P35" s="987" t="str">
        <x:f>IF(COUNTA($A35:$M35)=0,"",IF(OR(LEFT(LOWER(TRIM($F35&amp;"")),12)="subscription",LOWER(TRIM($F35&amp;""))="membership"),"",IF(LOWER($L35&amp;"")="yes",0,IF(OR(AND($H35&lt;&gt;"",$H35=0),LEFT(LOWER(TRIM($F35&amp;"")),9)="free game",LOWER(TRIM($F35&amp;""))="free",LOWER(TRIM($F35&amp;""))="free entry"),IF(LOWER($D35&amp;"")="finalized",IF(ISNUMBER($K35),$K35,""),IF($O35&lt;&gt;"",$O35,"")),IF($K35&lt;&gt;"",$K35,IF($O35&lt;&gt;"",$O35,""))))))</x:f>
      </x:c>
      <x:c r="Q35" s="114" t="str">
        <x:f>IF(COUNTA($A35:$M35)=0,"",IF(OR($U35="Subscription",$U35=""),"",IF($U35="Profit",ROUND(IFERROR($P35,0)-IFERROR($H35,0),2),0)))</x:f>
      </x:c>
      <x:c r="R35" s="114" t="str">
        <x:f>IF(COUNTA($A35:$M35)=0,"",IF(OR($U35="Subscription",$U35=""),"",IF($U35="Draw",$H35,0)))</x:f>
      </x:c>
      <x:c r="S35" s="114" t="str">
        <x:f>IF(COUNTA($A35:$M35)=0,"",IF(OR($U35="Subscription",$U35=""),"",IF($U35="Disqualified",$H35,0)))</x:f>
      </x:c>
      <x:c r="T35" s="955" t="str">
        <x:f>IF(COUNTA($A35:$M35)=0,"",IF(OR($U35="Subscription",$U35=""),"",IF(OR($U35="Free Game",$U35="Disqualified — Free Game",$H35=0),"N/A",IF($U35="Profit",$Q35/$H35,IF($U35="Disqualified",-$S35/$H35,0)))))</x:f>
      </x:c>
      <x:c r="U35" s="920" t="str">
        <x:f>IF(COUNTA($A35:$M35)=0,"",IF(OR(LEFT(LOWER(TRIM($F35&amp;"")),12)="subscription",LOWER(TRIM($F35&amp;""))="membership"),"Subscription",IF(OR(AND($H35&lt;&gt;"",$H35=0),LEFT(LOWER(TRIM($F35&amp;"")),9)="free game",LOWER(TRIM($F35&amp;""))="free",LOWER(TRIM($F35&amp;""))="free entry"),IF(LOWER($L35&amp;"")="yes","Disqualified — Free Game","Free Game"),IF(LOWER($L35&amp;"")="yes","Disqualified",IF($P35="","",IF(ROUND(IFERROR(VALUE($P35),0)-IFERROR(VALUE($H35),0),2)&gt;0,"Profit","Draw"))))))</x:f>
      </x:c>
      <x:c r="V35" s="956" t="str">
        <x:f>IF(COUNTA($A35:$M35)=0,"",IF(OR($B35="",$C35="",$U35="Subscription"),"",IFERROR(ROUNDUP(($C35-$B35)/7,0),"")))</x:f>
      </x:c>
      <x:c r="W35" s="114" t="str">
        <x:f>IF(COUNTA($A35:$M35)=0,"",IF(OR($U35="Subscription",$U35=""),"",IF(OR($U35="Free Game",$U35="Disqualified — Free Game"),0,ROUND(IFERROR($Q35,0)-IFERROR($S35,0),2))))</x:f>
      </x:c>
      <x:c r="X35" s="956" t="str">
        <x:f>IF(COUNTA($A35:$M35)=0,"",IF(OR($U35="Subscription",NOT(ISNUMBER($J35)),NOT(ISNUMBER($I35)),$J35=0,$I35=0,$I35&gt;$J35),"",$J35-$I35))</x:f>
      </x:c>
      <x:c r="Y35" s="955" t="str">
        <x:f>IF(COUNTA($A35:$M35)=0,"",IF(OR($U35="Subscription",NOT(ISNUMBER($J35)),$J35=0,$X35=""),"",$X35/$J35))</x:f>
      </x:c>
      <x:c r="Z35" s="957" t="str">
        <x:f>IF(COUNTA($A35:$M35)=0,"",Instructions!$B$29+SUM($W$5:W35))</x:f>
      </x:c>
    </x:row>
    <x:row r="36" ht="36" customHeight="1">
      <x:c r="A36" s="439"/>
      <x:c r="B36" s="453"/>
      <x:c r="C36" s="453"/>
      <x:c r="D36" s="454"/>
      <x:c r="E36" s="454"/>
      <x:c r="F36" s="454"/>
      <x:c r="G36" s="986"/>
      <x:c r="H36" s="455"/>
      <x:c r="I36" s="456"/>
      <x:c r="J36" s="456"/>
      <x:c r="K36" s="986"/>
      <x:c r="L36" s="454"/>
      <x:c r="M36" s="439"/>
      <x:c r="N36" s="987" t="str">
        <x:f>IF(COUNTA($A36:$M36)=0,"",IF(OR(LEFT(LOWER(TRIM($F36&amp;"")),12)="subscription",LOWER(TRIM($F36&amp;""))="membership"),"",IF($G36="","",IF(ISNUMBER(SEARCH("non",LOWER($E36&amp;""))),$G36*0.85,$G36))))</x:f>
      </x:c>
      <x:c r="O36" s="987" t="str">
        <x:f>IF(COUNTA($A36:$M36)=0,"",IF(OR(LEFT(LOWER(TRIM($F36&amp;"")),12)="subscription",LOWER(TRIM($F36&amp;""))="membership"),"",IF(OR($N36="",$I36="",$I36=0),"",IFERROR($N36/$I36,""))))</x:f>
      </x:c>
      <x:c r="P36" s="987" t="str">
        <x:f>IF(COUNTA($A36:$M36)=0,"",IF(OR(LEFT(LOWER(TRIM($F36&amp;"")),12)="subscription",LOWER(TRIM($F36&amp;""))="membership"),"",IF(LOWER($L36&amp;"")="yes",0,IF(OR(AND($H36&lt;&gt;"",$H36=0),LEFT(LOWER(TRIM($F36&amp;"")),9)="free game",LOWER(TRIM($F36&amp;""))="free",LOWER(TRIM($F36&amp;""))="free entry"),IF(LOWER($D36&amp;"")="finalized",IF(ISNUMBER($K36),$K36,""),IF($O36&lt;&gt;"",$O36,"")),IF($K36&lt;&gt;"",$K36,IF($O36&lt;&gt;"",$O36,""))))))</x:f>
      </x:c>
      <x:c r="Q36" s="114" t="str">
        <x:f>IF(COUNTA($A36:$M36)=0,"",IF(OR($U36="Subscription",$U36=""),"",IF($U36="Profit",ROUND(IFERROR($P36,0)-IFERROR($H36,0),2),0)))</x:f>
      </x:c>
      <x:c r="R36" s="114" t="str">
        <x:f>IF(COUNTA($A36:$M36)=0,"",IF(OR($U36="Subscription",$U36=""),"",IF($U36="Draw",$H36,0)))</x:f>
      </x:c>
      <x:c r="S36" s="114" t="str">
        <x:f>IF(COUNTA($A36:$M36)=0,"",IF(OR($U36="Subscription",$U36=""),"",IF($U36="Disqualified",$H36,0)))</x:f>
      </x:c>
      <x:c r="T36" s="955" t="str">
        <x:f>IF(COUNTA($A36:$M36)=0,"",IF(OR($U36="Subscription",$U36=""),"",IF(OR($U36="Free Game",$U36="Disqualified — Free Game",$H36=0),"N/A",IF($U36="Profit",$Q36/$H36,IF($U36="Disqualified",-$S36/$H36,0)))))</x:f>
      </x:c>
      <x:c r="U36" s="920" t="str">
        <x:f>IF(COUNTA($A36:$M36)=0,"",IF(OR(LEFT(LOWER(TRIM($F36&amp;"")),12)="subscription",LOWER(TRIM($F36&amp;""))="membership"),"Subscription",IF(OR(AND($H36&lt;&gt;"",$H36=0),LEFT(LOWER(TRIM($F36&amp;"")),9)="free game",LOWER(TRIM($F36&amp;""))="free",LOWER(TRIM($F36&amp;""))="free entry"),IF(LOWER($L36&amp;"")="yes","Disqualified — Free Game","Free Game"),IF(LOWER($L36&amp;"")="yes","Disqualified",IF($P36="","",IF(ROUND(IFERROR(VALUE($P36),0)-IFERROR(VALUE($H36),0),2)&gt;0,"Profit","Draw"))))))</x:f>
      </x:c>
      <x:c r="V36" s="956" t="str">
        <x:f>IF(COUNTA($A36:$M36)=0,"",IF(OR($B36="",$C36="",$U36="Subscription"),"",IFERROR(ROUNDUP(($C36-$B36)/7,0),"")))</x:f>
      </x:c>
      <x:c r="W36" s="114" t="str">
        <x:f>IF(COUNTA($A36:$M36)=0,"",IF(OR($U36="Subscription",$U36=""),"",IF(OR($U36="Free Game",$U36="Disqualified — Free Game"),0,ROUND(IFERROR($Q36,0)-IFERROR($S36,0),2))))</x:f>
      </x:c>
      <x:c r="X36" s="956" t="str">
        <x:f>IF(COUNTA($A36:$M36)=0,"",IF(OR($U36="Subscription",NOT(ISNUMBER($J36)),NOT(ISNUMBER($I36)),$J36=0,$I36=0,$I36&gt;$J36),"",$J36-$I36))</x:f>
      </x:c>
      <x:c r="Y36" s="955" t="str">
        <x:f>IF(COUNTA($A36:$M36)=0,"",IF(OR($U36="Subscription",NOT(ISNUMBER($J36)),$J36=0,$X36=""),"",$X36/$J36))</x:f>
      </x:c>
      <x:c r="Z36" s="957" t="str">
        <x:f>IF(COUNTA($A36:$M36)=0,"",Instructions!$B$29+SUM($W$5:W36))</x:f>
      </x:c>
    </x:row>
    <x:row r="37" ht="36" customHeight="1">
      <x:c r="A37" s="439"/>
      <x:c r="B37" s="453"/>
      <x:c r="C37" s="453"/>
      <x:c r="D37" s="454"/>
      <x:c r="E37" s="454"/>
      <x:c r="F37" s="454"/>
      <x:c r="G37" s="986"/>
      <x:c r="H37" s="455"/>
      <x:c r="I37" s="456"/>
      <x:c r="J37" s="456"/>
      <x:c r="K37" s="986"/>
      <x:c r="L37" s="454"/>
      <x:c r="M37" s="439"/>
      <x:c r="N37" s="987" t="str">
        <x:f>IF(COUNTA($A37:$M37)=0,"",IF(OR(LEFT(LOWER(TRIM($F37&amp;"")),12)="subscription",LOWER(TRIM($F37&amp;""))="membership"),"",IF($G37="","",IF(ISNUMBER(SEARCH("non",LOWER($E37&amp;""))),$G37*0.85,$G37))))</x:f>
      </x:c>
      <x:c r="O37" s="987" t="str">
        <x:f>IF(COUNTA($A37:$M37)=0,"",IF(OR(LEFT(LOWER(TRIM($F37&amp;"")),12)="subscription",LOWER(TRIM($F37&amp;""))="membership"),"",IF(OR($N37="",$I37="",$I37=0),"",IFERROR($N37/$I37,""))))</x:f>
      </x:c>
      <x:c r="P37" s="987" t="str">
        <x:f>IF(COUNTA($A37:$M37)=0,"",IF(OR(LEFT(LOWER(TRIM($F37&amp;"")),12)="subscription",LOWER(TRIM($F37&amp;""))="membership"),"",IF(LOWER($L37&amp;"")="yes",0,IF(OR(AND($H37&lt;&gt;"",$H37=0),LEFT(LOWER(TRIM($F37&amp;"")),9)="free game",LOWER(TRIM($F37&amp;""))="free",LOWER(TRIM($F37&amp;""))="free entry"),IF(LOWER($D37&amp;"")="finalized",IF(ISNUMBER($K37),$K37,""),IF($O37&lt;&gt;"",$O37,"")),IF($K37&lt;&gt;"",$K37,IF($O37&lt;&gt;"",$O37,""))))))</x:f>
      </x:c>
      <x:c r="Q37" s="114" t="str">
        <x:f>IF(COUNTA($A37:$M37)=0,"",IF(OR($U37="Subscription",$U37=""),"",IF($U37="Profit",ROUND(IFERROR($P37,0)-IFERROR($H37,0),2),0)))</x:f>
      </x:c>
      <x:c r="R37" s="114" t="str">
        <x:f>IF(COUNTA($A37:$M37)=0,"",IF(OR($U37="Subscription",$U37=""),"",IF($U37="Draw",$H37,0)))</x:f>
      </x:c>
      <x:c r="S37" s="114" t="str">
        <x:f>IF(COUNTA($A37:$M37)=0,"",IF(OR($U37="Subscription",$U37=""),"",IF($U37="Disqualified",$H37,0)))</x:f>
      </x:c>
      <x:c r="T37" s="955" t="str">
        <x:f>IF(COUNTA($A37:$M37)=0,"",IF(OR($U37="Subscription",$U37=""),"",IF(OR($U37="Free Game",$U37="Disqualified — Free Game",$H37=0),"N/A",IF($U37="Profit",$Q37/$H37,IF($U37="Disqualified",-$S37/$H37,0)))))</x:f>
      </x:c>
      <x:c r="U37" s="920" t="str">
        <x:f>IF(COUNTA($A37:$M37)=0,"",IF(OR(LEFT(LOWER(TRIM($F37&amp;"")),12)="subscription",LOWER(TRIM($F37&amp;""))="membership"),"Subscription",IF(OR(AND($H37&lt;&gt;"",$H37=0),LEFT(LOWER(TRIM($F37&amp;"")),9)="free game",LOWER(TRIM($F37&amp;""))="free",LOWER(TRIM($F37&amp;""))="free entry"),IF(LOWER($L37&amp;"")="yes","Disqualified — Free Game","Free Game"),IF(LOWER($L37&amp;"")="yes","Disqualified",IF($P37="","",IF(ROUND(IFERROR(VALUE($P37),0)-IFERROR(VALUE($H37),0),2)&gt;0,"Profit","Draw"))))))</x:f>
      </x:c>
      <x:c r="V37" s="956" t="str">
        <x:f>IF(COUNTA($A37:$M37)=0,"",IF(OR($B37="",$C37="",$U37="Subscription"),"",IFERROR(ROUNDUP(($C37-$B37)/7,0),"")))</x:f>
      </x:c>
      <x:c r="W37" s="114" t="str">
        <x:f>IF(COUNTA($A37:$M37)=0,"",IF(OR($U37="Subscription",$U37=""),"",IF(OR($U37="Free Game",$U37="Disqualified — Free Game"),0,ROUND(IFERROR($Q37,0)-IFERROR($S37,0),2))))</x:f>
      </x:c>
      <x:c r="X37" s="956" t="str">
        <x:f>IF(COUNTA($A37:$M37)=0,"",IF(OR($U37="Subscription",NOT(ISNUMBER($J37)),NOT(ISNUMBER($I37)),$J37=0,$I37=0,$I37&gt;$J37),"",$J37-$I37))</x:f>
      </x:c>
      <x:c r="Y37" s="955" t="str">
        <x:f>IF(COUNTA($A37:$M37)=0,"",IF(OR($U37="Subscription",NOT(ISNUMBER($J37)),$J37=0,$X37=""),"",$X37/$J37))</x:f>
      </x:c>
      <x:c r="Z37" s="957" t="str">
        <x:f>IF(COUNTA($A37:$M37)=0,"",Instructions!$B$29+SUM($W$5:W37))</x:f>
      </x:c>
    </x:row>
    <x:row r="38" ht="36" customHeight="1">
      <x:c r="A38" s="439"/>
      <x:c r="B38" s="453"/>
      <x:c r="C38" s="453"/>
      <x:c r="D38" s="454"/>
      <x:c r="E38" s="454"/>
      <x:c r="F38" s="454"/>
      <x:c r="G38" s="986"/>
      <x:c r="H38" s="455"/>
      <x:c r="I38" s="456"/>
      <x:c r="J38" s="456"/>
      <x:c r="K38" s="986"/>
      <x:c r="L38" s="454"/>
      <x:c r="M38" s="439"/>
      <x:c r="N38" s="987" t="str">
        <x:f>IF(COUNTA($A38:$M38)=0,"",IF(OR(LEFT(LOWER(TRIM($F38&amp;"")),12)="subscription",LOWER(TRIM($F38&amp;""))="membership"),"",IF($G38="","",IF(ISNUMBER(SEARCH("non",LOWER($E38&amp;""))),$G38*0.85,$G38))))</x:f>
      </x:c>
      <x:c r="O38" s="987" t="str">
        <x:f>IF(COUNTA($A38:$M38)=0,"",IF(OR(LEFT(LOWER(TRIM($F38&amp;"")),12)="subscription",LOWER(TRIM($F38&amp;""))="membership"),"",IF(OR($N38="",$I38="",$I38=0),"",IFERROR($N38/$I38,""))))</x:f>
      </x:c>
      <x:c r="P38" s="987" t="str">
        <x:f>IF(COUNTA($A38:$M38)=0,"",IF(OR(LEFT(LOWER(TRIM($F38&amp;"")),12)="subscription",LOWER(TRIM($F38&amp;""))="membership"),"",IF(LOWER($L38&amp;"")="yes",0,IF(OR(AND($H38&lt;&gt;"",$H38=0),LEFT(LOWER(TRIM($F38&amp;"")),9)="free game",LOWER(TRIM($F38&amp;""))="free",LOWER(TRIM($F38&amp;""))="free entry"),IF(LOWER($D38&amp;"")="finalized",IF(ISNUMBER($K38),$K38,""),IF($O38&lt;&gt;"",$O38,"")),IF($K38&lt;&gt;"",$K38,IF($O38&lt;&gt;"",$O38,""))))))</x:f>
      </x:c>
      <x:c r="Q38" s="114" t="str">
        <x:f>IF(COUNTA($A38:$M38)=0,"",IF(OR($U38="Subscription",$U38=""),"",IF($U38="Profit",ROUND(IFERROR($P38,0)-IFERROR($H38,0),2),0)))</x:f>
      </x:c>
      <x:c r="R38" s="114" t="str">
        <x:f>IF(COUNTA($A38:$M38)=0,"",IF(OR($U38="Subscription",$U38=""),"",IF($U38="Draw",$H38,0)))</x:f>
      </x:c>
      <x:c r="S38" s="114" t="str">
        <x:f>IF(COUNTA($A38:$M38)=0,"",IF(OR($U38="Subscription",$U38=""),"",IF($U38="Disqualified",$H38,0)))</x:f>
      </x:c>
      <x:c r="T38" s="955" t="str">
        <x:f>IF(COUNTA($A38:$M38)=0,"",IF(OR($U38="Subscription",$U38=""),"",IF(OR($U38="Free Game",$U38="Disqualified — Free Game",$H38=0),"N/A",IF($U38="Profit",$Q38/$H38,IF($U38="Disqualified",-$S38/$H38,0)))))</x:f>
      </x:c>
      <x:c r="U38" s="920" t="str">
        <x:f>IF(COUNTA($A38:$M38)=0,"",IF(OR(LEFT(LOWER(TRIM($F38&amp;"")),12)="subscription",LOWER(TRIM($F38&amp;""))="membership"),"Subscription",IF(OR(AND($H38&lt;&gt;"",$H38=0),LEFT(LOWER(TRIM($F38&amp;"")),9)="free game",LOWER(TRIM($F38&amp;""))="free",LOWER(TRIM($F38&amp;""))="free entry"),IF(LOWER($L38&amp;"")="yes","Disqualified — Free Game","Free Game"),IF(LOWER($L38&amp;"")="yes","Disqualified",IF($P38="","",IF(ROUND(IFERROR(VALUE($P38),0)-IFERROR(VALUE($H38),0),2)&gt;0,"Profit","Draw"))))))</x:f>
      </x:c>
      <x:c r="V38" s="956" t="str">
        <x:f>IF(COUNTA($A38:$M38)=0,"",IF(OR($B38="",$C38="",$U38="Subscription"),"",IFERROR(ROUNDUP(($C38-$B38)/7,0),"")))</x:f>
      </x:c>
      <x:c r="W38" s="114" t="str">
        <x:f>IF(COUNTA($A38:$M38)=0,"",IF(OR($U38="Subscription",$U38=""),"",IF(OR($U38="Free Game",$U38="Disqualified — Free Game"),0,ROUND(IFERROR($Q38,0)-IFERROR($S38,0),2))))</x:f>
      </x:c>
      <x:c r="X38" s="956" t="str">
        <x:f>IF(COUNTA($A38:$M38)=0,"",IF(OR($U38="Subscription",NOT(ISNUMBER($J38)),NOT(ISNUMBER($I38)),$J38=0,$I38=0,$I38&gt;$J38),"",$J38-$I38))</x:f>
      </x:c>
      <x:c r="Y38" s="955" t="str">
        <x:f>IF(COUNTA($A38:$M38)=0,"",IF(OR($U38="Subscription",NOT(ISNUMBER($J38)),$J38=0,$X38=""),"",$X38/$J38))</x:f>
      </x:c>
      <x:c r="Z38" s="957" t="str">
        <x:f>IF(COUNTA($A38:$M38)=0,"",Instructions!$B$29+SUM($W$5:W38))</x:f>
      </x:c>
    </x:row>
    <x:row r="39" ht="36" customHeight="1">
      <x:c r="A39" s="439"/>
      <x:c r="B39" s="453"/>
      <x:c r="C39" s="453"/>
      <x:c r="D39" s="454"/>
      <x:c r="E39" s="454"/>
      <x:c r="F39" s="454"/>
      <x:c r="G39" s="986"/>
      <x:c r="H39" s="455"/>
      <x:c r="I39" s="456"/>
      <x:c r="J39" s="456"/>
      <x:c r="K39" s="986"/>
      <x:c r="L39" s="454"/>
      <x:c r="M39" s="439"/>
      <x:c r="N39" s="987" t="str">
        <x:f>IF(COUNTA($A39:$M39)=0,"",IF(OR(LEFT(LOWER(TRIM($F39&amp;"")),12)="subscription",LOWER(TRIM($F39&amp;""))="membership"),"",IF($G39="","",IF(ISNUMBER(SEARCH("non",LOWER($E39&amp;""))),$G39*0.85,$G39))))</x:f>
      </x:c>
      <x:c r="O39" s="987" t="str">
        <x:f>IF(COUNTA($A39:$M39)=0,"",IF(OR(LEFT(LOWER(TRIM($F39&amp;"")),12)="subscription",LOWER(TRIM($F39&amp;""))="membership"),"",IF(OR($N39="",$I39="",$I39=0),"",IFERROR($N39/$I39,""))))</x:f>
      </x:c>
      <x:c r="P39" s="987" t="str">
        <x:f>IF(COUNTA($A39:$M39)=0,"",IF(OR(LEFT(LOWER(TRIM($F39&amp;"")),12)="subscription",LOWER(TRIM($F39&amp;""))="membership"),"",IF(LOWER($L39&amp;"")="yes",0,IF(OR(AND($H39&lt;&gt;"",$H39=0),LEFT(LOWER(TRIM($F39&amp;"")),9)="free game",LOWER(TRIM($F39&amp;""))="free",LOWER(TRIM($F39&amp;""))="free entry"),IF(LOWER($D39&amp;"")="finalized",IF(ISNUMBER($K39),$K39,""),IF($O39&lt;&gt;"",$O39,"")),IF($K39&lt;&gt;"",$K39,IF($O39&lt;&gt;"",$O39,""))))))</x:f>
      </x:c>
      <x:c r="Q39" s="114" t="str">
        <x:f>IF(COUNTA($A39:$M39)=0,"",IF(OR($U39="Subscription",$U39=""),"",IF($U39="Profit",ROUND(IFERROR($P39,0)-IFERROR($H39,0),2),0)))</x:f>
      </x:c>
      <x:c r="R39" s="114" t="str">
        <x:f>IF(COUNTA($A39:$M39)=0,"",IF(OR($U39="Subscription",$U39=""),"",IF($U39="Draw",$H39,0)))</x:f>
      </x:c>
      <x:c r="S39" s="114" t="str">
        <x:f>IF(COUNTA($A39:$M39)=0,"",IF(OR($U39="Subscription",$U39=""),"",IF($U39="Disqualified",$H39,0)))</x:f>
      </x:c>
      <x:c r="T39" s="955" t="str">
        <x:f>IF(COUNTA($A39:$M39)=0,"",IF(OR($U39="Subscription",$U39=""),"",IF(OR($U39="Free Game",$U39="Disqualified — Free Game",$H39=0),"N/A",IF($U39="Profit",$Q39/$H39,IF($U39="Disqualified",-$S39/$H39,0)))))</x:f>
      </x:c>
      <x:c r="U39" s="920" t="str">
        <x:f>IF(COUNTA($A39:$M39)=0,"",IF(OR(LEFT(LOWER(TRIM($F39&amp;"")),12)="subscription",LOWER(TRIM($F39&amp;""))="membership"),"Subscription",IF(OR(AND($H39&lt;&gt;"",$H39=0),LEFT(LOWER(TRIM($F39&amp;"")),9)="free game",LOWER(TRIM($F39&amp;""))="free",LOWER(TRIM($F39&amp;""))="free entry"),IF(LOWER($L39&amp;"")="yes","Disqualified — Free Game","Free Game"),IF(LOWER($L39&amp;"")="yes","Disqualified",IF($P39="","",IF(ROUND(IFERROR(VALUE($P39),0)-IFERROR(VALUE($H39),0),2)&gt;0,"Profit","Draw"))))))</x:f>
      </x:c>
      <x:c r="V39" s="956" t="str">
        <x:f>IF(COUNTA($A39:$M39)=0,"",IF(OR($B39="",$C39="",$U39="Subscription"),"",IFERROR(ROUNDUP(($C39-$B39)/7,0),"")))</x:f>
      </x:c>
      <x:c r="W39" s="114" t="str">
        <x:f>IF(COUNTA($A39:$M39)=0,"",IF(OR($U39="Subscription",$U39=""),"",IF(OR($U39="Free Game",$U39="Disqualified — Free Game"),0,ROUND(IFERROR($Q39,0)-IFERROR($S39,0),2))))</x:f>
      </x:c>
      <x:c r="X39" s="956" t="str">
        <x:f>IF(COUNTA($A39:$M39)=0,"",IF(OR($U39="Subscription",NOT(ISNUMBER($J39)),NOT(ISNUMBER($I39)),$J39=0,$I39=0,$I39&gt;$J39),"",$J39-$I39))</x:f>
      </x:c>
      <x:c r="Y39" s="955" t="str">
        <x:f>IF(COUNTA($A39:$M39)=0,"",IF(OR($U39="Subscription",NOT(ISNUMBER($J39)),$J39=0,$X39=""),"",$X39/$J39))</x:f>
      </x:c>
      <x:c r="Z39" s="957" t="str">
        <x:f>IF(COUNTA($A39:$M39)=0,"",Instructions!$B$29+SUM($W$5:W39))</x:f>
      </x:c>
    </x:row>
    <x:row r="40" ht="36" customHeight="1">
      <x:c r="A40" s="439"/>
      <x:c r="B40" s="453"/>
      <x:c r="C40" s="453"/>
      <x:c r="D40" s="454"/>
      <x:c r="E40" s="454"/>
      <x:c r="F40" s="454"/>
      <x:c r="G40" s="986"/>
      <x:c r="H40" s="455"/>
      <x:c r="I40" s="456"/>
      <x:c r="J40" s="456"/>
      <x:c r="K40" s="986"/>
      <x:c r="L40" s="454"/>
      <x:c r="M40" s="439"/>
      <x:c r="N40" s="987" t="str">
        <x:f>IF(COUNTA($A40:$M40)=0,"",IF(OR(LEFT(LOWER(TRIM($F40&amp;"")),12)="subscription",LOWER(TRIM($F40&amp;""))="membership"),"",IF($G40="","",IF(ISNUMBER(SEARCH("non",LOWER($E40&amp;""))),$G40*0.85,$G40))))</x:f>
      </x:c>
      <x:c r="O40" s="987" t="str">
        <x:f>IF(COUNTA($A40:$M40)=0,"",IF(OR(LEFT(LOWER(TRIM($F40&amp;"")),12)="subscription",LOWER(TRIM($F40&amp;""))="membership"),"",IF(OR($N40="",$I40="",$I40=0),"",IFERROR($N40/$I40,""))))</x:f>
      </x:c>
      <x:c r="P40" s="987" t="str">
        <x:f>IF(COUNTA($A40:$M40)=0,"",IF(OR(LEFT(LOWER(TRIM($F40&amp;"")),12)="subscription",LOWER(TRIM($F40&amp;""))="membership"),"",IF(LOWER($L40&amp;"")="yes",0,IF(OR(AND($H40&lt;&gt;"",$H40=0),LEFT(LOWER(TRIM($F40&amp;"")),9)="free game",LOWER(TRIM($F40&amp;""))="free",LOWER(TRIM($F40&amp;""))="free entry"),IF(LOWER($D40&amp;"")="finalized",IF(ISNUMBER($K40),$K40,""),IF($O40&lt;&gt;"",$O40,"")),IF($K40&lt;&gt;"",$K40,IF($O40&lt;&gt;"",$O40,""))))))</x:f>
      </x:c>
      <x:c r="Q40" s="114" t="str">
        <x:f>IF(COUNTA($A40:$M40)=0,"",IF(OR($U40="Subscription",$U40=""),"",IF($U40="Profit",ROUND(IFERROR($P40,0)-IFERROR($H40,0),2),0)))</x:f>
      </x:c>
      <x:c r="R40" s="114" t="str">
        <x:f>IF(COUNTA($A40:$M40)=0,"",IF(OR($U40="Subscription",$U40=""),"",IF($U40="Draw",$H40,0)))</x:f>
      </x:c>
      <x:c r="S40" s="114" t="str">
        <x:f>IF(COUNTA($A40:$M40)=0,"",IF(OR($U40="Subscription",$U40=""),"",IF($U40="Disqualified",$H40,0)))</x:f>
      </x:c>
      <x:c r="T40" s="955" t="str">
        <x:f>IF(COUNTA($A40:$M40)=0,"",IF(OR($U40="Subscription",$U40=""),"",IF(OR($U40="Free Game",$U40="Disqualified — Free Game",$H40=0),"N/A",IF($U40="Profit",$Q40/$H40,IF($U40="Disqualified",-$S40/$H40,0)))))</x:f>
      </x:c>
      <x:c r="U40" s="920" t="str">
        <x:f>IF(COUNTA($A40:$M40)=0,"",IF(OR(LEFT(LOWER(TRIM($F40&amp;"")),12)="subscription",LOWER(TRIM($F40&amp;""))="membership"),"Subscription",IF(OR(AND($H40&lt;&gt;"",$H40=0),LEFT(LOWER(TRIM($F40&amp;"")),9)="free game",LOWER(TRIM($F40&amp;""))="free",LOWER(TRIM($F40&amp;""))="free entry"),IF(LOWER($L40&amp;"")="yes","Disqualified — Free Game","Free Game"),IF(LOWER($L40&amp;"")="yes","Disqualified",IF($P40="","",IF(ROUND(IFERROR(VALUE($P40),0)-IFERROR(VALUE($H40),0),2)&gt;0,"Profit","Draw"))))))</x:f>
      </x:c>
      <x:c r="V40" s="956" t="str">
        <x:f>IF(COUNTA($A40:$M40)=0,"",IF(OR($B40="",$C40="",$U40="Subscription"),"",IFERROR(ROUNDUP(($C40-$B40)/7,0),"")))</x:f>
      </x:c>
      <x:c r="W40" s="114" t="str">
        <x:f>IF(COUNTA($A40:$M40)=0,"",IF(OR($U40="Subscription",$U40=""),"",IF(OR($U40="Free Game",$U40="Disqualified — Free Game"),0,ROUND(IFERROR($Q40,0)-IFERROR($S40,0),2))))</x:f>
      </x:c>
      <x:c r="X40" s="956" t="str">
        <x:f>IF(COUNTA($A40:$M40)=0,"",IF(OR($U40="Subscription",NOT(ISNUMBER($J40)),NOT(ISNUMBER($I40)),$J40=0,$I40=0,$I40&gt;$J40),"",$J40-$I40))</x:f>
      </x:c>
      <x:c r="Y40" s="955" t="str">
        <x:f>IF(COUNTA($A40:$M40)=0,"",IF(OR($U40="Subscription",NOT(ISNUMBER($J40)),$J40=0,$X40=""),"",$X40/$J40))</x:f>
      </x:c>
      <x:c r="Z40" s="957" t="str">
        <x:f>IF(COUNTA($A40:$M40)=0,"",Instructions!$B$29+SUM($W$5:W40))</x:f>
      </x:c>
    </x:row>
    <x:row r="41" ht="36" customHeight="1">
      <x:c r="A41" s="439"/>
      <x:c r="B41" s="453"/>
      <x:c r="C41" s="453"/>
      <x:c r="D41" s="454"/>
      <x:c r="E41" s="454"/>
      <x:c r="F41" s="454"/>
      <x:c r="G41" s="986"/>
      <x:c r="H41" s="455"/>
      <x:c r="I41" s="456"/>
      <x:c r="J41" s="456"/>
      <x:c r="K41" s="986"/>
      <x:c r="L41" s="454"/>
      <x:c r="M41" s="439"/>
      <x:c r="N41" s="987" t="str">
        <x:f>IF(COUNTA($A41:$M41)=0,"",IF(OR(LEFT(LOWER(TRIM($F41&amp;"")),12)="subscription",LOWER(TRIM($F41&amp;""))="membership"),"",IF($G41="","",IF(ISNUMBER(SEARCH("non",LOWER($E41&amp;""))),$G41*0.85,$G41))))</x:f>
      </x:c>
      <x:c r="O41" s="987" t="str">
        <x:f>IF(COUNTA($A41:$M41)=0,"",IF(OR(LEFT(LOWER(TRIM($F41&amp;"")),12)="subscription",LOWER(TRIM($F41&amp;""))="membership"),"",IF(OR($N41="",$I41="",$I41=0),"",IFERROR($N41/$I41,""))))</x:f>
      </x:c>
      <x:c r="P41" s="987" t="str">
        <x:f>IF(COUNTA($A41:$M41)=0,"",IF(OR(LEFT(LOWER(TRIM($F41&amp;"")),12)="subscription",LOWER(TRIM($F41&amp;""))="membership"),"",IF(LOWER($L41&amp;"")="yes",0,IF(OR(AND($H41&lt;&gt;"",$H41=0),LEFT(LOWER(TRIM($F41&amp;"")),9)="free game",LOWER(TRIM($F41&amp;""))="free",LOWER(TRIM($F41&amp;""))="free entry"),IF(LOWER($D41&amp;"")="finalized",IF(ISNUMBER($K41),$K41,""),IF($O41&lt;&gt;"",$O41,"")),IF($K41&lt;&gt;"",$K41,IF($O41&lt;&gt;"",$O41,""))))))</x:f>
      </x:c>
      <x:c r="Q41" s="114" t="str">
        <x:f>IF(COUNTA($A41:$M41)=0,"",IF(OR($U41="Subscription",$U41=""),"",IF($U41="Profit",ROUND(IFERROR($P41,0)-IFERROR($H41,0),2),0)))</x:f>
      </x:c>
      <x:c r="R41" s="114" t="str">
        <x:f>IF(COUNTA($A41:$M41)=0,"",IF(OR($U41="Subscription",$U41=""),"",IF($U41="Draw",$H41,0)))</x:f>
      </x:c>
      <x:c r="S41" s="114" t="str">
        <x:f>IF(COUNTA($A41:$M41)=0,"",IF(OR($U41="Subscription",$U41=""),"",IF($U41="Disqualified",$H41,0)))</x:f>
      </x:c>
      <x:c r="T41" s="955" t="str">
        <x:f>IF(COUNTA($A41:$M41)=0,"",IF(OR($U41="Subscription",$U41=""),"",IF(OR($U41="Free Game",$U41="Disqualified — Free Game",$H41=0),"N/A",IF($U41="Profit",$Q41/$H41,IF($U41="Disqualified",-$S41/$H41,0)))))</x:f>
      </x:c>
      <x:c r="U41" s="920" t="str">
        <x:f>IF(COUNTA($A41:$M41)=0,"",IF(OR(LEFT(LOWER(TRIM($F41&amp;"")),12)="subscription",LOWER(TRIM($F41&amp;""))="membership"),"Subscription",IF(OR(AND($H41&lt;&gt;"",$H41=0),LEFT(LOWER(TRIM($F41&amp;"")),9)="free game",LOWER(TRIM($F41&amp;""))="free",LOWER(TRIM($F41&amp;""))="free entry"),IF(LOWER($L41&amp;"")="yes","Disqualified — Free Game","Free Game"),IF(LOWER($L41&amp;"")="yes","Disqualified",IF($P41="","",IF(ROUND(IFERROR(VALUE($P41),0)-IFERROR(VALUE($H41),0),2)&gt;0,"Profit","Draw"))))))</x:f>
      </x:c>
      <x:c r="V41" s="956" t="str">
        <x:f>IF(COUNTA($A41:$M41)=0,"",IF(OR($B41="",$C41="",$U41="Subscription"),"",IFERROR(ROUNDUP(($C41-$B41)/7,0),"")))</x:f>
      </x:c>
      <x:c r="W41" s="114" t="str">
        <x:f>IF(COUNTA($A41:$M41)=0,"",IF(OR($U41="Subscription",$U41=""),"",IF(OR($U41="Free Game",$U41="Disqualified — Free Game"),0,ROUND(IFERROR($Q41,0)-IFERROR($S41,0),2))))</x:f>
      </x:c>
      <x:c r="X41" s="956" t="str">
        <x:f>IF(COUNTA($A41:$M41)=0,"",IF(OR($U41="Subscription",NOT(ISNUMBER($J41)),NOT(ISNUMBER($I41)),$J41=0,$I41=0,$I41&gt;$J41),"",$J41-$I41))</x:f>
      </x:c>
      <x:c r="Y41" s="955" t="str">
        <x:f>IF(COUNTA($A41:$M41)=0,"",IF(OR($U41="Subscription",NOT(ISNUMBER($J41)),$J41=0,$X41=""),"",$X41/$J41))</x:f>
      </x:c>
      <x:c r="Z41" s="957" t="str">
        <x:f>IF(COUNTA($A41:$M41)=0,"",Instructions!$B$29+SUM($W$5:W41))</x:f>
      </x:c>
    </x:row>
    <x:row r="42" ht="36" customHeight="1">
      <x:c r="A42" s="439"/>
      <x:c r="B42" s="453"/>
      <x:c r="C42" s="453"/>
      <x:c r="D42" s="454"/>
      <x:c r="E42" s="454"/>
      <x:c r="F42" s="454"/>
      <x:c r="G42" s="986"/>
      <x:c r="H42" s="455"/>
      <x:c r="I42" s="456"/>
      <x:c r="J42" s="456"/>
      <x:c r="K42" s="986"/>
      <x:c r="L42" s="454"/>
      <x:c r="M42" s="439"/>
      <x:c r="N42" s="987" t="str">
        <x:f>IF(COUNTA($A42:$M42)=0,"",IF(OR(LEFT(LOWER(TRIM($F42&amp;"")),12)="subscription",LOWER(TRIM($F42&amp;""))="membership"),"",IF($G42="","",IF(ISNUMBER(SEARCH("non",LOWER($E42&amp;""))),$G42*0.85,$G42))))</x:f>
      </x:c>
      <x:c r="O42" s="987" t="str">
        <x:f>IF(COUNTA($A42:$M42)=0,"",IF(OR(LEFT(LOWER(TRIM($F42&amp;"")),12)="subscription",LOWER(TRIM($F42&amp;""))="membership"),"",IF(OR($N42="",$I42="",$I42=0),"",IFERROR($N42/$I42,""))))</x:f>
      </x:c>
      <x:c r="P42" s="987" t="str">
        <x:f>IF(COUNTA($A42:$M42)=0,"",IF(OR(LEFT(LOWER(TRIM($F42&amp;"")),12)="subscription",LOWER(TRIM($F42&amp;""))="membership"),"",IF(LOWER($L42&amp;"")="yes",0,IF(OR(AND($H42&lt;&gt;"",$H42=0),LEFT(LOWER(TRIM($F42&amp;"")),9)="free game",LOWER(TRIM($F42&amp;""))="free",LOWER(TRIM($F42&amp;""))="free entry"),IF(LOWER($D42&amp;"")="finalized",IF(ISNUMBER($K42),$K42,""),IF($O42&lt;&gt;"",$O42,"")),IF($K42&lt;&gt;"",$K42,IF($O42&lt;&gt;"",$O42,""))))))</x:f>
      </x:c>
      <x:c r="Q42" s="114" t="str">
        <x:f>IF(COUNTA($A42:$M42)=0,"",IF(OR($U42="Subscription",$U42=""),"",IF($U42="Profit",ROUND(IFERROR($P42,0)-IFERROR($H42,0),2),0)))</x:f>
      </x:c>
      <x:c r="R42" s="114" t="str">
        <x:f>IF(COUNTA($A42:$M42)=0,"",IF(OR($U42="Subscription",$U42=""),"",IF($U42="Draw",$H42,0)))</x:f>
      </x:c>
      <x:c r="S42" s="114" t="str">
        <x:f>IF(COUNTA($A42:$M42)=0,"",IF(OR($U42="Subscription",$U42=""),"",IF($U42="Disqualified",$H42,0)))</x:f>
      </x:c>
      <x:c r="T42" s="955" t="str">
        <x:f>IF(COUNTA($A42:$M42)=0,"",IF(OR($U42="Subscription",$U42=""),"",IF(OR($U42="Free Game",$U42="Disqualified — Free Game",$H42=0),"N/A",IF($U42="Profit",$Q42/$H42,IF($U42="Disqualified",-$S42/$H42,0)))))</x:f>
      </x:c>
      <x:c r="U42" s="920" t="str">
        <x:f>IF(COUNTA($A42:$M42)=0,"",IF(OR(LEFT(LOWER(TRIM($F42&amp;"")),12)="subscription",LOWER(TRIM($F42&amp;""))="membership"),"Subscription",IF(OR(AND($H42&lt;&gt;"",$H42=0),LEFT(LOWER(TRIM($F42&amp;"")),9)="free game",LOWER(TRIM($F42&amp;""))="free",LOWER(TRIM($F42&amp;""))="free entry"),IF(LOWER($L42&amp;"")="yes","Disqualified — Free Game","Free Game"),IF(LOWER($L42&amp;"")="yes","Disqualified",IF($P42="","",IF(ROUND(IFERROR(VALUE($P42),0)-IFERROR(VALUE($H42),0),2)&gt;0,"Profit","Draw"))))))</x:f>
      </x:c>
      <x:c r="V42" s="956" t="str">
        <x:f>IF(COUNTA($A42:$M42)=0,"",IF(OR($B42="",$C42="",$U42="Subscription"),"",IFERROR(ROUNDUP(($C42-$B42)/7,0),"")))</x:f>
      </x:c>
      <x:c r="W42" s="114" t="str">
        <x:f>IF(COUNTA($A42:$M42)=0,"",IF(OR($U42="Subscription",$U42=""),"",IF(OR($U42="Free Game",$U42="Disqualified — Free Game"),0,ROUND(IFERROR($Q42,0)-IFERROR($S42,0),2))))</x:f>
      </x:c>
      <x:c r="X42" s="956" t="str">
        <x:f>IF(COUNTA($A42:$M42)=0,"",IF(OR($U42="Subscription",NOT(ISNUMBER($J42)),NOT(ISNUMBER($I42)),$J42=0,$I42=0,$I42&gt;$J42),"",$J42-$I42))</x:f>
      </x:c>
      <x:c r="Y42" s="955" t="str">
        <x:f>IF(COUNTA($A42:$M42)=0,"",IF(OR($U42="Subscription",NOT(ISNUMBER($J42)),$J42=0,$X42=""),"",$X42/$J42))</x:f>
      </x:c>
      <x:c r="Z42" s="957" t="str">
        <x:f>IF(COUNTA($A42:$M42)=0,"",Instructions!$B$29+SUM($W$5:W42))</x:f>
      </x:c>
    </x:row>
    <x:row r="43" ht="36" customHeight="1">
      <x:c r="A43" s="439"/>
      <x:c r="B43" s="453"/>
      <x:c r="C43" s="453"/>
      <x:c r="D43" s="454"/>
      <x:c r="E43" s="454"/>
      <x:c r="F43" s="454"/>
      <x:c r="G43" s="986"/>
      <x:c r="H43" s="455"/>
      <x:c r="I43" s="456"/>
      <x:c r="J43" s="456"/>
      <x:c r="K43" s="986"/>
      <x:c r="L43" s="454"/>
      <x:c r="M43" s="439"/>
      <x:c r="N43" s="987" t="str">
        <x:f>IF(COUNTA($A43:$M43)=0,"",IF(OR(LEFT(LOWER(TRIM($F43&amp;"")),12)="subscription",LOWER(TRIM($F43&amp;""))="membership"),"",IF($G43="","",IF(ISNUMBER(SEARCH("non",LOWER($E43&amp;""))),$G43*0.85,$G43))))</x:f>
      </x:c>
      <x:c r="O43" s="987" t="str">
        <x:f>IF(COUNTA($A43:$M43)=0,"",IF(OR(LEFT(LOWER(TRIM($F43&amp;"")),12)="subscription",LOWER(TRIM($F43&amp;""))="membership"),"",IF(OR($N43="",$I43="",$I43=0),"",IFERROR($N43/$I43,""))))</x:f>
      </x:c>
      <x:c r="P43" s="987" t="str">
        <x:f>IF(COUNTA($A43:$M43)=0,"",IF(OR(LEFT(LOWER(TRIM($F43&amp;"")),12)="subscription",LOWER(TRIM($F43&amp;""))="membership"),"",IF(LOWER($L43&amp;"")="yes",0,IF(OR(AND($H43&lt;&gt;"",$H43=0),LEFT(LOWER(TRIM($F43&amp;"")),9)="free game",LOWER(TRIM($F43&amp;""))="free",LOWER(TRIM($F43&amp;""))="free entry"),IF(LOWER($D43&amp;"")="finalized",IF(ISNUMBER($K43),$K43,""),IF($O43&lt;&gt;"",$O43,"")),IF($K43&lt;&gt;"",$K43,IF($O43&lt;&gt;"",$O43,""))))))</x:f>
      </x:c>
      <x:c r="Q43" s="114" t="str">
        <x:f>IF(COUNTA($A43:$M43)=0,"",IF(OR($U43="Subscription",$U43=""),"",IF($U43="Profit",ROUND(IFERROR($P43,0)-IFERROR($H43,0),2),0)))</x:f>
      </x:c>
      <x:c r="R43" s="114" t="str">
        <x:f>IF(COUNTA($A43:$M43)=0,"",IF(OR($U43="Subscription",$U43=""),"",IF($U43="Draw",$H43,0)))</x:f>
      </x:c>
      <x:c r="S43" s="114" t="str">
        <x:f>IF(COUNTA($A43:$M43)=0,"",IF(OR($U43="Subscription",$U43=""),"",IF($U43="Disqualified",$H43,0)))</x:f>
      </x:c>
      <x:c r="T43" s="955" t="str">
        <x:f>IF(COUNTA($A43:$M43)=0,"",IF(OR($U43="Subscription",$U43=""),"",IF(OR($U43="Free Game",$U43="Disqualified — Free Game",$H43=0),"N/A",IF($U43="Profit",$Q43/$H43,IF($U43="Disqualified",-$S43/$H43,0)))))</x:f>
      </x:c>
      <x:c r="U43" s="920" t="str">
        <x:f>IF(COUNTA($A43:$M43)=0,"",IF(OR(LEFT(LOWER(TRIM($F43&amp;"")),12)="subscription",LOWER(TRIM($F43&amp;""))="membership"),"Subscription",IF(OR(AND($H43&lt;&gt;"",$H43=0),LEFT(LOWER(TRIM($F43&amp;"")),9)="free game",LOWER(TRIM($F43&amp;""))="free",LOWER(TRIM($F43&amp;""))="free entry"),IF(LOWER($L43&amp;"")="yes","Disqualified — Free Game","Free Game"),IF(LOWER($L43&amp;"")="yes","Disqualified",IF($P43="","",IF(ROUND(IFERROR(VALUE($P43),0)-IFERROR(VALUE($H43),0),2)&gt;0,"Profit","Draw"))))))</x:f>
      </x:c>
      <x:c r="V43" s="956" t="str">
        <x:f>IF(COUNTA($A43:$M43)=0,"",IF(OR($B43="",$C43="",$U43="Subscription"),"",IFERROR(ROUNDUP(($C43-$B43)/7,0),"")))</x:f>
      </x:c>
      <x:c r="W43" s="114" t="str">
        <x:f>IF(COUNTA($A43:$M43)=0,"",IF(OR($U43="Subscription",$U43=""),"",IF(OR($U43="Free Game",$U43="Disqualified — Free Game"),0,ROUND(IFERROR($Q43,0)-IFERROR($S43,0),2))))</x:f>
      </x:c>
      <x:c r="X43" s="956" t="str">
        <x:f>IF(COUNTA($A43:$M43)=0,"",IF(OR($U43="Subscription",NOT(ISNUMBER($J43)),NOT(ISNUMBER($I43)),$J43=0,$I43=0,$I43&gt;$J43),"",$J43-$I43))</x:f>
      </x:c>
      <x:c r="Y43" s="955" t="str">
        <x:f>IF(COUNTA($A43:$M43)=0,"",IF(OR($U43="Subscription",NOT(ISNUMBER($J43)),$J43=0,$X43=""),"",$X43/$J43))</x:f>
      </x:c>
      <x:c r="Z43" s="957" t="str">
        <x:f>IF(COUNTA($A43:$M43)=0,"",Instructions!$B$29+SUM($W$5:W43))</x:f>
      </x:c>
    </x:row>
    <x:row r="44" ht="36" customHeight="1">
      <x:c r="A44" s="439"/>
      <x:c r="B44" s="453"/>
      <x:c r="C44" s="453"/>
      <x:c r="D44" s="454"/>
      <x:c r="E44" s="454"/>
      <x:c r="F44" s="454"/>
      <x:c r="G44" s="986"/>
      <x:c r="H44" s="455"/>
      <x:c r="I44" s="456"/>
      <x:c r="J44" s="456"/>
      <x:c r="K44" s="986"/>
      <x:c r="L44" s="454"/>
      <x:c r="M44" s="439"/>
      <x:c r="N44" s="987" t="str">
        <x:f>IF(COUNTA($A44:$M44)=0,"",IF(OR(LEFT(LOWER(TRIM($F44&amp;"")),12)="subscription",LOWER(TRIM($F44&amp;""))="membership"),"",IF($G44="","",IF(ISNUMBER(SEARCH("non",LOWER($E44&amp;""))),$G44*0.85,$G44))))</x:f>
      </x:c>
      <x:c r="O44" s="987" t="str">
        <x:f>IF(COUNTA($A44:$M44)=0,"",IF(OR(LEFT(LOWER(TRIM($F44&amp;"")),12)="subscription",LOWER(TRIM($F44&amp;""))="membership"),"",IF(OR($N44="",$I44="",$I44=0),"",IFERROR($N44/$I44,""))))</x:f>
      </x:c>
      <x:c r="P44" s="987" t="str">
        <x:f>IF(COUNTA($A44:$M44)=0,"",IF(OR(LEFT(LOWER(TRIM($F44&amp;"")),12)="subscription",LOWER(TRIM($F44&amp;""))="membership"),"",IF(LOWER($L44&amp;"")="yes",0,IF(OR(AND($H44&lt;&gt;"",$H44=0),LEFT(LOWER(TRIM($F44&amp;"")),9)="free game",LOWER(TRIM($F44&amp;""))="free",LOWER(TRIM($F44&amp;""))="free entry"),IF(LOWER($D44&amp;"")="finalized",IF(ISNUMBER($K44),$K44,""),IF($O44&lt;&gt;"",$O44,"")),IF($K44&lt;&gt;"",$K44,IF($O44&lt;&gt;"",$O44,""))))))</x:f>
      </x:c>
      <x:c r="Q44" s="114" t="str">
        <x:f>IF(COUNTA($A44:$M44)=0,"",IF(OR($U44="Subscription",$U44=""),"",IF($U44="Profit",ROUND(IFERROR($P44,0)-IFERROR($H44,0),2),0)))</x:f>
      </x:c>
      <x:c r="R44" s="114" t="str">
        <x:f>IF(COUNTA($A44:$M44)=0,"",IF(OR($U44="Subscription",$U44=""),"",IF($U44="Draw",$H44,0)))</x:f>
      </x:c>
      <x:c r="S44" s="114" t="str">
        <x:f>IF(COUNTA($A44:$M44)=0,"",IF(OR($U44="Subscription",$U44=""),"",IF($U44="Disqualified",$H44,0)))</x:f>
      </x:c>
      <x:c r="T44" s="955" t="str">
        <x:f>IF(COUNTA($A44:$M44)=0,"",IF(OR($U44="Subscription",$U44=""),"",IF(OR($U44="Free Game",$U44="Disqualified — Free Game",$H44=0),"N/A",IF($U44="Profit",$Q44/$H44,IF($U44="Disqualified",-$S44/$H44,0)))))</x:f>
      </x:c>
      <x:c r="U44" s="920" t="str">
        <x:f>IF(COUNTA($A44:$M44)=0,"",IF(OR(LEFT(LOWER(TRIM($F44&amp;"")),12)="subscription",LOWER(TRIM($F44&amp;""))="membership"),"Subscription",IF(OR(AND($H44&lt;&gt;"",$H44=0),LEFT(LOWER(TRIM($F44&amp;"")),9)="free game",LOWER(TRIM($F44&amp;""))="free",LOWER(TRIM($F44&amp;""))="free entry"),IF(LOWER($L44&amp;"")="yes","Disqualified — Free Game","Free Game"),IF(LOWER($L44&amp;"")="yes","Disqualified",IF($P44="","",IF(ROUND(IFERROR(VALUE($P44),0)-IFERROR(VALUE($H44),0),2)&gt;0,"Profit","Draw"))))))</x:f>
      </x:c>
      <x:c r="V44" s="956" t="str">
        <x:f>IF(COUNTA($A44:$M44)=0,"",IF(OR($B44="",$C44="",$U44="Subscription"),"",IFERROR(ROUNDUP(($C44-$B44)/7,0),"")))</x:f>
      </x:c>
      <x:c r="W44" s="114" t="str">
        <x:f>IF(COUNTA($A44:$M44)=0,"",IF(OR($U44="Subscription",$U44=""),"",IF(OR($U44="Free Game",$U44="Disqualified — Free Game"),0,ROUND(IFERROR($Q44,0)-IFERROR($S44,0),2))))</x:f>
      </x:c>
      <x:c r="X44" s="956" t="str">
        <x:f>IF(COUNTA($A44:$M44)=0,"",IF(OR($U44="Subscription",NOT(ISNUMBER($J44)),NOT(ISNUMBER($I44)),$J44=0,$I44=0,$I44&gt;$J44),"",$J44-$I44))</x:f>
      </x:c>
      <x:c r="Y44" s="955" t="str">
        <x:f>IF(COUNTA($A44:$M44)=0,"",IF(OR($U44="Subscription",NOT(ISNUMBER($J44)),$J44=0,$X44=""),"",$X44/$J44))</x:f>
      </x:c>
      <x:c r="Z44" s="957" t="str">
        <x:f>IF(COUNTA($A44:$M44)=0,"",Instructions!$B$29+SUM($W$5:W44))</x:f>
      </x:c>
    </x:row>
    <x:row r="45" ht="36" customHeight="1">
      <x:c r="A45" s="439"/>
      <x:c r="B45" s="453"/>
      <x:c r="C45" s="453"/>
      <x:c r="D45" s="454"/>
      <x:c r="E45" s="454"/>
      <x:c r="F45" s="454"/>
      <x:c r="G45" s="986"/>
      <x:c r="H45" s="455"/>
      <x:c r="I45" s="456"/>
      <x:c r="J45" s="456"/>
      <x:c r="K45" s="986"/>
      <x:c r="L45" s="454"/>
      <x:c r="M45" s="439"/>
      <x:c r="N45" s="987" t="str">
        <x:f>IF(COUNTA($A45:$M45)=0,"",IF(OR(LEFT(LOWER(TRIM($F45&amp;"")),12)="subscription",LOWER(TRIM($F45&amp;""))="membership"),"",IF($G45="","",IF(ISNUMBER(SEARCH("non",LOWER($E45&amp;""))),$G45*0.85,$G45))))</x:f>
      </x:c>
      <x:c r="O45" s="987" t="str">
        <x:f>IF(COUNTA($A45:$M45)=0,"",IF(OR(LEFT(LOWER(TRIM($F45&amp;"")),12)="subscription",LOWER(TRIM($F45&amp;""))="membership"),"",IF(OR($N45="",$I45="",$I45=0),"",IFERROR($N45/$I45,""))))</x:f>
      </x:c>
      <x:c r="P45" s="987" t="str">
        <x:f>IF(COUNTA($A45:$M45)=0,"",IF(OR(LEFT(LOWER(TRIM($F45&amp;"")),12)="subscription",LOWER(TRIM($F45&amp;""))="membership"),"",IF(LOWER($L45&amp;"")="yes",0,IF(OR(AND($H45&lt;&gt;"",$H45=0),LEFT(LOWER(TRIM($F45&amp;"")),9)="free game",LOWER(TRIM($F45&amp;""))="free",LOWER(TRIM($F45&amp;""))="free entry"),IF(LOWER($D45&amp;"")="finalized",IF(ISNUMBER($K45),$K45,""),IF($O45&lt;&gt;"",$O45,"")),IF($K45&lt;&gt;"",$K45,IF($O45&lt;&gt;"",$O45,""))))))</x:f>
      </x:c>
      <x:c r="Q45" s="114" t="str">
        <x:f>IF(COUNTA($A45:$M45)=0,"",IF(OR($U45="Subscription",$U45=""),"",IF($U45="Profit",ROUND(IFERROR($P45,0)-IFERROR($H45,0),2),0)))</x:f>
      </x:c>
      <x:c r="R45" s="114" t="str">
        <x:f>IF(COUNTA($A45:$M45)=0,"",IF(OR($U45="Subscription",$U45=""),"",IF($U45="Draw",$H45,0)))</x:f>
      </x:c>
      <x:c r="S45" s="114" t="str">
        <x:f>IF(COUNTA($A45:$M45)=0,"",IF(OR($U45="Subscription",$U45=""),"",IF($U45="Disqualified",$H45,0)))</x:f>
      </x:c>
      <x:c r="T45" s="955" t="str">
        <x:f>IF(COUNTA($A45:$M45)=0,"",IF(OR($U45="Subscription",$U45=""),"",IF(OR($U45="Free Game",$U45="Disqualified — Free Game",$H45=0),"N/A",IF($U45="Profit",$Q45/$H45,IF($U45="Disqualified",-$S45/$H45,0)))))</x:f>
      </x:c>
      <x:c r="U45" s="920" t="str">
        <x:f>IF(COUNTA($A45:$M45)=0,"",IF(OR(LEFT(LOWER(TRIM($F45&amp;"")),12)="subscription",LOWER(TRIM($F45&amp;""))="membership"),"Subscription",IF(OR(AND($H45&lt;&gt;"",$H45=0),LEFT(LOWER(TRIM($F45&amp;"")),9)="free game",LOWER(TRIM($F45&amp;""))="free",LOWER(TRIM($F45&amp;""))="free entry"),IF(LOWER($L45&amp;"")="yes","Disqualified — Free Game","Free Game"),IF(LOWER($L45&amp;"")="yes","Disqualified",IF($P45="","",IF(ROUND(IFERROR(VALUE($P45),0)-IFERROR(VALUE($H45),0),2)&gt;0,"Profit","Draw"))))))</x:f>
      </x:c>
      <x:c r="V45" s="956" t="str">
        <x:f>IF(COUNTA($A45:$M45)=0,"",IF(OR($B45="",$C45="",$U45="Subscription"),"",IFERROR(ROUNDUP(($C45-$B45)/7,0),"")))</x:f>
      </x:c>
      <x:c r="W45" s="114" t="str">
        <x:f>IF(COUNTA($A45:$M45)=0,"",IF(OR($U45="Subscription",$U45=""),"",IF(OR($U45="Free Game",$U45="Disqualified — Free Game"),0,ROUND(IFERROR($Q45,0)-IFERROR($S45,0),2))))</x:f>
      </x:c>
      <x:c r="X45" s="956" t="str">
        <x:f>IF(COUNTA($A45:$M45)=0,"",IF(OR($U45="Subscription",NOT(ISNUMBER($J45)),NOT(ISNUMBER($I45)),$J45=0,$I45=0,$I45&gt;$J45),"",$J45-$I45))</x:f>
      </x:c>
      <x:c r="Y45" s="955" t="str">
        <x:f>IF(COUNTA($A45:$M45)=0,"",IF(OR($U45="Subscription",NOT(ISNUMBER($J45)),$J45=0,$X45=""),"",$X45/$J45))</x:f>
      </x:c>
      <x:c r="Z45" s="957" t="str">
        <x:f>IF(COUNTA($A45:$M45)=0,"",Instructions!$B$29+SUM($W$5:W45))</x:f>
      </x:c>
    </x:row>
    <x:row r="46" ht="36" customHeight="1">
      <x:c r="A46" s="439"/>
      <x:c r="B46" s="453"/>
      <x:c r="C46" s="453"/>
      <x:c r="D46" s="454"/>
      <x:c r="E46" s="454"/>
      <x:c r="F46" s="454"/>
      <x:c r="G46" s="986"/>
      <x:c r="H46" s="455"/>
      <x:c r="I46" s="456"/>
      <x:c r="J46" s="456"/>
      <x:c r="K46" s="986"/>
      <x:c r="L46" s="454"/>
      <x:c r="M46" s="439"/>
      <x:c r="N46" s="987" t="str">
        <x:f>IF(COUNTA($A46:$M46)=0,"",IF(OR(LEFT(LOWER(TRIM($F46&amp;"")),12)="subscription",LOWER(TRIM($F46&amp;""))="membership"),"",IF($G46="","",IF(ISNUMBER(SEARCH("non",LOWER($E46&amp;""))),$G46*0.85,$G46))))</x:f>
      </x:c>
      <x:c r="O46" s="987" t="str">
        <x:f>IF(COUNTA($A46:$M46)=0,"",IF(OR(LEFT(LOWER(TRIM($F46&amp;"")),12)="subscription",LOWER(TRIM($F46&amp;""))="membership"),"",IF(OR($N46="",$I46="",$I46=0),"",IFERROR($N46/$I46,""))))</x:f>
      </x:c>
      <x:c r="P46" s="987" t="str">
        <x:f>IF(COUNTA($A46:$M46)=0,"",IF(OR(LEFT(LOWER(TRIM($F46&amp;"")),12)="subscription",LOWER(TRIM($F46&amp;""))="membership"),"",IF(LOWER($L46&amp;"")="yes",0,IF(OR(AND($H46&lt;&gt;"",$H46=0),LEFT(LOWER(TRIM($F46&amp;"")),9)="free game",LOWER(TRIM($F46&amp;""))="free",LOWER(TRIM($F46&amp;""))="free entry"),IF(LOWER($D46&amp;"")="finalized",IF(ISNUMBER($K46),$K46,""),IF($O46&lt;&gt;"",$O46,"")),IF($K46&lt;&gt;"",$K46,IF($O46&lt;&gt;"",$O46,""))))))</x:f>
      </x:c>
      <x:c r="Q46" s="114" t="str">
        <x:f>IF(COUNTA($A46:$M46)=0,"",IF(OR($U46="Subscription",$U46=""),"",IF($U46="Profit",ROUND(IFERROR($P46,0)-IFERROR($H46,0),2),0)))</x:f>
      </x:c>
      <x:c r="R46" s="114" t="str">
        <x:f>IF(COUNTA($A46:$M46)=0,"",IF(OR($U46="Subscription",$U46=""),"",IF($U46="Draw",$H46,0)))</x:f>
      </x:c>
      <x:c r="S46" s="114" t="str">
        <x:f>IF(COUNTA($A46:$M46)=0,"",IF(OR($U46="Subscription",$U46=""),"",IF($U46="Disqualified",$H46,0)))</x:f>
      </x:c>
      <x:c r="T46" s="955" t="str">
        <x:f>IF(COUNTA($A46:$M46)=0,"",IF(OR($U46="Subscription",$U46=""),"",IF(OR($U46="Free Game",$U46="Disqualified — Free Game",$H46=0),"N/A",IF($U46="Profit",$Q46/$H46,IF($U46="Disqualified",-$S46/$H46,0)))))</x:f>
      </x:c>
      <x:c r="U46" s="920" t="str">
        <x:f>IF(COUNTA($A46:$M46)=0,"",IF(OR(LEFT(LOWER(TRIM($F46&amp;"")),12)="subscription",LOWER(TRIM($F46&amp;""))="membership"),"Subscription",IF(OR(AND($H46&lt;&gt;"",$H46=0),LEFT(LOWER(TRIM($F46&amp;"")),9)="free game",LOWER(TRIM($F46&amp;""))="free",LOWER(TRIM($F46&amp;""))="free entry"),IF(LOWER($L46&amp;"")="yes","Disqualified — Free Game","Free Game"),IF(LOWER($L46&amp;"")="yes","Disqualified",IF($P46="","",IF(ROUND(IFERROR(VALUE($P46),0)-IFERROR(VALUE($H46),0),2)&gt;0,"Profit","Draw"))))))</x:f>
      </x:c>
      <x:c r="V46" s="956" t="str">
        <x:f>IF(COUNTA($A46:$M46)=0,"",IF(OR($B46="",$C46="",$U46="Subscription"),"",IFERROR(ROUNDUP(($C46-$B46)/7,0),"")))</x:f>
      </x:c>
      <x:c r="W46" s="114" t="str">
        <x:f>IF(COUNTA($A46:$M46)=0,"",IF(OR($U46="Subscription",$U46=""),"",IF(OR($U46="Free Game",$U46="Disqualified — Free Game"),0,ROUND(IFERROR($Q46,0)-IFERROR($S46,0),2))))</x:f>
      </x:c>
      <x:c r="X46" s="956" t="str">
        <x:f>IF(COUNTA($A46:$M46)=0,"",IF(OR($U46="Subscription",NOT(ISNUMBER($J46)),NOT(ISNUMBER($I46)),$J46=0,$I46=0,$I46&gt;$J46),"",$J46-$I46))</x:f>
      </x:c>
      <x:c r="Y46" s="955" t="str">
        <x:f>IF(COUNTA($A46:$M46)=0,"",IF(OR($U46="Subscription",NOT(ISNUMBER($J46)),$J46=0,$X46=""),"",$X46/$J46))</x:f>
      </x:c>
      <x:c r="Z46" s="957" t="str">
        <x:f>IF(COUNTA($A46:$M46)=0,"",Instructions!$B$29+SUM($W$5:W46))</x:f>
      </x:c>
    </x:row>
    <x:row r="47" ht="36" customHeight="1">
      <x:c r="A47" s="439"/>
      <x:c r="B47" s="453"/>
      <x:c r="C47" s="453"/>
      <x:c r="D47" s="454"/>
      <x:c r="E47" s="454"/>
      <x:c r="F47" s="454"/>
      <x:c r="G47" s="986"/>
      <x:c r="H47" s="455"/>
      <x:c r="I47" s="456"/>
      <x:c r="J47" s="456"/>
      <x:c r="K47" s="986"/>
      <x:c r="L47" s="454"/>
      <x:c r="M47" s="439"/>
      <x:c r="N47" s="987" t="str">
        <x:f>IF(COUNTA($A47:$M47)=0,"",IF(OR(LEFT(LOWER(TRIM($F47&amp;"")),12)="subscription",LOWER(TRIM($F47&amp;""))="membership"),"",IF($G47="","",IF(ISNUMBER(SEARCH("non",LOWER($E47&amp;""))),$G47*0.85,$G47))))</x:f>
      </x:c>
      <x:c r="O47" s="987" t="str">
        <x:f>IF(COUNTA($A47:$M47)=0,"",IF(OR(LEFT(LOWER(TRIM($F47&amp;"")),12)="subscription",LOWER(TRIM($F47&amp;""))="membership"),"",IF(OR($N47="",$I47="",$I47=0),"",IFERROR($N47/$I47,""))))</x:f>
      </x:c>
      <x:c r="P47" s="987" t="str">
        <x:f>IF(COUNTA($A47:$M47)=0,"",IF(OR(LEFT(LOWER(TRIM($F47&amp;"")),12)="subscription",LOWER(TRIM($F47&amp;""))="membership"),"",IF(LOWER($L47&amp;"")="yes",0,IF(OR(AND($H47&lt;&gt;"",$H47=0),LEFT(LOWER(TRIM($F47&amp;"")),9)="free game",LOWER(TRIM($F47&amp;""))="free",LOWER(TRIM($F47&amp;""))="free entry"),IF(LOWER($D47&amp;"")="finalized",IF(ISNUMBER($K47),$K47,""),IF($O47&lt;&gt;"",$O47,"")),IF($K47&lt;&gt;"",$K47,IF($O47&lt;&gt;"",$O47,""))))))</x:f>
      </x:c>
      <x:c r="Q47" s="114" t="str">
        <x:f>IF(COUNTA($A47:$M47)=0,"",IF(OR($U47="Subscription",$U47=""),"",IF($U47="Profit",ROUND(IFERROR($P47,0)-IFERROR($H47,0),2),0)))</x:f>
      </x:c>
      <x:c r="R47" s="114" t="str">
        <x:f>IF(COUNTA($A47:$M47)=0,"",IF(OR($U47="Subscription",$U47=""),"",IF($U47="Draw",$H47,0)))</x:f>
      </x:c>
      <x:c r="S47" s="114" t="str">
        <x:f>IF(COUNTA($A47:$M47)=0,"",IF(OR($U47="Subscription",$U47=""),"",IF($U47="Disqualified",$H47,0)))</x:f>
      </x:c>
      <x:c r="T47" s="955" t="str">
        <x:f>IF(COUNTA($A47:$M47)=0,"",IF(OR($U47="Subscription",$U47=""),"",IF(OR($U47="Free Game",$U47="Disqualified — Free Game",$H47=0),"N/A",IF($U47="Profit",$Q47/$H47,IF($U47="Disqualified",-$S47/$H47,0)))))</x:f>
      </x:c>
      <x:c r="U47" s="920" t="str">
        <x:f>IF(COUNTA($A47:$M47)=0,"",IF(OR(LEFT(LOWER(TRIM($F47&amp;"")),12)="subscription",LOWER(TRIM($F47&amp;""))="membership"),"Subscription",IF(OR(AND($H47&lt;&gt;"",$H47=0),LEFT(LOWER(TRIM($F47&amp;"")),9)="free game",LOWER(TRIM($F47&amp;""))="free",LOWER(TRIM($F47&amp;""))="free entry"),IF(LOWER($L47&amp;"")="yes","Disqualified — Free Game","Free Game"),IF(LOWER($L47&amp;"")="yes","Disqualified",IF($P47="","",IF(ROUND(IFERROR(VALUE($P47),0)-IFERROR(VALUE($H47),0),2)&gt;0,"Profit","Draw"))))))</x:f>
      </x:c>
      <x:c r="V47" s="956" t="str">
        <x:f>IF(COUNTA($A47:$M47)=0,"",IF(OR($B47="",$C47="",$U47="Subscription"),"",IFERROR(ROUNDUP(($C47-$B47)/7,0),"")))</x:f>
      </x:c>
      <x:c r="W47" s="114" t="str">
        <x:f>IF(COUNTA($A47:$M47)=0,"",IF(OR($U47="Subscription",$U47=""),"",IF(OR($U47="Free Game",$U47="Disqualified — Free Game"),0,ROUND(IFERROR($Q47,0)-IFERROR($S47,0),2))))</x:f>
      </x:c>
      <x:c r="X47" s="956" t="str">
        <x:f>IF(COUNTA($A47:$M47)=0,"",IF(OR($U47="Subscription",NOT(ISNUMBER($J47)),NOT(ISNUMBER($I47)),$J47=0,$I47=0,$I47&gt;$J47),"",$J47-$I47))</x:f>
      </x:c>
      <x:c r="Y47" s="955" t="str">
        <x:f>IF(COUNTA($A47:$M47)=0,"",IF(OR($U47="Subscription",NOT(ISNUMBER($J47)),$J47=0,$X47=""),"",$X47/$J47))</x:f>
      </x:c>
      <x:c r="Z47" s="957" t="str">
        <x:f>IF(COUNTA($A47:$M47)=0,"",Instructions!$B$29+SUM($W$5:W47))</x:f>
      </x:c>
    </x:row>
    <x:row r="48" ht="36" customHeight="1">
      <x:c r="A48" s="439"/>
      <x:c r="B48" s="453"/>
      <x:c r="C48" s="453"/>
      <x:c r="D48" s="454"/>
      <x:c r="E48" s="454"/>
      <x:c r="F48" s="454"/>
      <x:c r="G48" s="986"/>
      <x:c r="H48" s="455"/>
      <x:c r="I48" s="456"/>
      <x:c r="J48" s="456"/>
      <x:c r="K48" s="986"/>
      <x:c r="L48" s="454"/>
      <x:c r="M48" s="439"/>
      <x:c r="N48" s="987" t="str">
        <x:f>IF(COUNTA($A48:$M48)=0,"",IF(OR(LEFT(LOWER(TRIM($F48&amp;"")),12)="subscription",LOWER(TRIM($F48&amp;""))="membership"),"",IF($G48="","",IF(ISNUMBER(SEARCH("non",LOWER($E48&amp;""))),$G48*0.85,$G48))))</x:f>
      </x:c>
      <x:c r="O48" s="987" t="str">
        <x:f>IF(COUNTA($A48:$M48)=0,"",IF(OR(LEFT(LOWER(TRIM($F48&amp;"")),12)="subscription",LOWER(TRIM($F48&amp;""))="membership"),"",IF(OR($N48="",$I48="",$I48=0),"",IFERROR($N48/$I48,""))))</x:f>
      </x:c>
      <x:c r="P48" s="987" t="str">
        <x:f>IF(COUNTA($A48:$M48)=0,"",IF(OR(LEFT(LOWER(TRIM($F48&amp;"")),12)="subscription",LOWER(TRIM($F48&amp;""))="membership"),"",IF(LOWER($L48&amp;"")="yes",0,IF(OR(AND($H48&lt;&gt;"",$H48=0),LEFT(LOWER(TRIM($F48&amp;"")),9)="free game",LOWER(TRIM($F48&amp;""))="free",LOWER(TRIM($F48&amp;""))="free entry"),IF(LOWER($D48&amp;"")="finalized",IF(ISNUMBER($K48),$K48,""),IF($O48&lt;&gt;"",$O48,"")),IF($K48&lt;&gt;"",$K48,IF($O48&lt;&gt;"",$O48,""))))))</x:f>
      </x:c>
      <x:c r="Q48" s="114" t="str">
        <x:f>IF(COUNTA($A48:$M48)=0,"",IF(OR($U48="Subscription",$U48=""),"",IF($U48="Profit",ROUND(IFERROR($P48,0)-IFERROR($H48,0),2),0)))</x:f>
      </x:c>
      <x:c r="R48" s="114" t="str">
        <x:f>IF(COUNTA($A48:$M48)=0,"",IF(OR($U48="Subscription",$U48=""),"",IF($U48="Draw",$H48,0)))</x:f>
      </x:c>
      <x:c r="S48" s="114" t="str">
        <x:f>IF(COUNTA($A48:$M48)=0,"",IF(OR($U48="Subscription",$U48=""),"",IF($U48="Disqualified",$H48,0)))</x:f>
      </x:c>
      <x:c r="T48" s="955" t="str">
        <x:f>IF(COUNTA($A48:$M48)=0,"",IF(OR($U48="Subscription",$U48=""),"",IF(OR($U48="Free Game",$U48="Disqualified — Free Game",$H48=0),"N/A",IF($U48="Profit",$Q48/$H48,IF($U48="Disqualified",-$S48/$H48,0)))))</x:f>
      </x:c>
      <x:c r="U48" s="920" t="str">
        <x:f>IF(COUNTA($A48:$M48)=0,"",IF(OR(LEFT(LOWER(TRIM($F48&amp;"")),12)="subscription",LOWER(TRIM($F48&amp;""))="membership"),"Subscription",IF(OR(AND($H48&lt;&gt;"",$H48=0),LEFT(LOWER(TRIM($F48&amp;"")),9)="free game",LOWER(TRIM($F48&amp;""))="free",LOWER(TRIM($F48&amp;""))="free entry"),IF(LOWER($L48&amp;"")="yes","Disqualified — Free Game","Free Game"),IF(LOWER($L48&amp;"")="yes","Disqualified",IF($P48="","",IF(ROUND(IFERROR(VALUE($P48),0)-IFERROR(VALUE($H48),0),2)&gt;0,"Profit","Draw"))))))</x:f>
      </x:c>
      <x:c r="V48" s="956" t="str">
        <x:f>IF(COUNTA($A48:$M48)=0,"",IF(OR($B48="",$C48="",$U48="Subscription"),"",IFERROR(ROUNDUP(($C48-$B48)/7,0),"")))</x:f>
      </x:c>
      <x:c r="W48" s="114" t="str">
        <x:f>IF(COUNTA($A48:$M48)=0,"",IF(OR($U48="Subscription",$U48=""),"",IF(OR($U48="Free Game",$U48="Disqualified — Free Game"),0,ROUND(IFERROR($Q48,0)-IFERROR($S48,0),2))))</x:f>
      </x:c>
      <x:c r="X48" s="956" t="str">
        <x:f>IF(COUNTA($A48:$M48)=0,"",IF(OR($U48="Subscription",NOT(ISNUMBER($J48)),NOT(ISNUMBER($I48)),$J48=0,$I48=0,$I48&gt;$J48),"",$J48-$I48))</x:f>
      </x:c>
      <x:c r="Y48" s="955" t="str">
        <x:f>IF(COUNTA($A48:$M48)=0,"",IF(OR($U48="Subscription",NOT(ISNUMBER($J48)),$J48=0,$X48=""),"",$X48/$J48))</x:f>
      </x:c>
      <x:c r="Z48" s="957" t="str">
        <x:f>IF(COUNTA($A48:$M48)=0,"",Instructions!$B$29+SUM($W$5:W48))</x:f>
      </x:c>
    </x:row>
    <x:row r="49" ht="36" customHeight="1">
      <x:c r="A49" s="439"/>
      <x:c r="B49" s="453"/>
      <x:c r="C49" s="453"/>
      <x:c r="D49" s="454"/>
      <x:c r="E49" s="454"/>
      <x:c r="F49" s="454"/>
      <x:c r="G49" s="986"/>
      <x:c r="H49" s="455"/>
      <x:c r="I49" s="456"/>
      <x:c r="J49" s="456"/>
      <x:c r="K49" s="986"/>
      <x:c r="L49" s="454"/>
      <x:c r="M49" s="439"/>
      <x:c r="N49" s="987" t="str">
        <x:f>IF(COUNTA($A49:$M49)=0,"",IF(OR(LEFT(LOWER(TRIM($F49&amp;"")),12)="subscription",LOWER(TRIM($F49&amp;""))="membership"),"",IF($G49="","",IF(ISNUMBER(SEARCH("non",LOWER($E49&amp;""))),$G49*0.85,$G49))))</x:f>
      </x:c>
      <x:c r="O49" s="987" t="str">
        <x:f>IF(COUNTA($A49:$M49)=0,"",IF(OR(LEFT(LOWER(TRIM($F49&amp;"")),12)="subscription",LOWER(TRIM($F49&amp;""))="membership"),"",IF(OR($N49="",$I49="",$I49=0),"",IFERROR($N49/$I49,""))))</x:f>
      </x:c>
      <x:c r="P49" s="987" t="str">
        <x:f>IF(COUNTA($A49:$M49)=0,"",IF(OR(LEFT(LOWER(TRIM($F49&amp;"")),12)="subscription",LOWER(TRIM($F49&amp;""))="membership"),"",IF(LOWER($L49&amp;"")="yes",0,IF(OR(AND($H49&lt;&gt;"",$H49=0),LEFT(LOWER(TRIM($F49&amp;"")),9)="free game",LOWER(TRIM($F49&amp;""))="free",LOWER(TRIM($F49&amp;""))="free entry"),IF(LOWER($D49&amp;"")="finalized",IF(ISNUMBER($K49),$K49,""),IF($O49&lt;&gt;"",$O49,"")),IF($K49&lt;&gt;"",$K49,IF($O49&lt;&gt;"",$O49,""))))))</x:f>
      </x:c>
      <x:c r="Q49" s="114" t="str">
        <x:f>IF(COUNTA($A49:$M49)=0,"",IF(OR($U49="Subscription",$U49=""),"",IF($U49="Profit",ROUND(IFERROR($P49,0)-IFERROR($H49,0),2),0)))</x:f>
      </x:c>
      <x:c r="R49" s="114" t="str">
        <x:f>IF(COUNTA($A49:$M49)=0,"",IF(OR($U49="Subscription",$U49=""),"",IF($U49="Draw",$H49,0)))</x:f>
      </x:c>
      <x:c r="S49" s="114" t="str">
        <x:f>IF(COUNTA($A49:$M49)=0,"",IF(OR($U49="Subscription",$U49=""),"",IF($U49="Disqualified",$H49,0)))</x:f>
      </x:c>
      <x:c r="T49" s="955" t="str">
        <x:f>IF(COUNTA($A49:$M49)=0,"",IF(OR($U49="Subscription",$U49=""),"",IF(OR($U49="Free Game",$U49="Disqualified — Free Game",$H49=0),"N/A",IF($U49="Profit",$Q49/$H49,IF($U49="Disqualified",-$S49/$H49,0)))))</x:f>
      </x:c>
      <x:c r="U49" s="920" t="str">
        <x:f>IF(COUNTA($A49:$M49)=0,"",IF(OR(LEFT(LOWER(TRIM($F49&amp;"")),12)="subscription",LOWER(TRIM($F49&amp;""))="membership"),"Subscription",IF(OR(AND($H49&lt;&gt;"",$H49=0),LEFT(LOWER(TRIM($F49&amp;"")),9)="free game",LOWER(TRIM($F49&amp;""))="free",LOWER(TRIM($F49&amp;""))="free entry"),IF(LOWER($L49&amp;"")="yes","Disqualified — Free Game","Free Game"),IF(LOWER($L49&amp;"")="yes","Disqualified",IF($P49="","",IF(ROUND(IFERROR(VALUE($P49),0)-IFERROR(VALUE($H49),0),2)&gt;0,"Profit","Draw"))))))</x:f>
      </x:c>
      <x:c r="V49" s="956" t="str">
        <x:f>IF(COUNTA($A49:$M49)=0,"",IF(OR($B49="",$C49="",$U49="Subscription"),"",IFERROR(ROUNDUP(($C49-$B49)/7,0),"")))</x:f>
      </x:c>
      <x:c r="W49" s="114" t="str">
        <x:f>IF(COUNTA($A49:$M49)=0,"",IF(OR($U49="Subscription",$U49=""),"",IF(OR($U49="Free Game",$U49="Disqualified — Free Game"),0,ROUND(IFERROR($Q49,0)-IFERROR($S49,0),2))))</x:f>
      </x:c>
      <x:c r="X49" s="956" t="str">
        <x:f>IF(COUNTA($A49:$M49)=0,"",IF(OR($U49="Subscription",NOT(ISNUMBER($J49)),NOT(ISNUMBER($I49)),$J49=0,$I49=0,$I49&gt;$J49),"",$J49-$I49))</x:f>
      </x:c>
      <x:c r="Y49" s="955" t="str">
        <x:f>IF(COUNTA($A49:$M49)=0,"",IF(OR($U49="Subscription",NOT(ISNUMBER($J49)),$J49=0,$X49=""),"",$X49/$J49))</x:f>
      </x:c>
      <x:c r="Z49" s="957" t="str">
        <x:f>IF(COUNTA($A49:$M49)=0,"",Instructions!$B$29+SUM($W$5:W49))</x:f>
      </x:c>
    </x:row>
    <x:row r="50" ht="36" customHeight="1">
      <x:c r="A50" s="439"/>
      <x:c r="B50" s="453"/>
      <x:c r="C50" s="453"/>
      <x:c r="D50" s="454"/>
      <x:c r="E50" s="454"/>
      <x:c r="F50" s="454"/>
      <x:c r="G50" s="986"/>
      <x:c r="H50" s="455"/>
      <x:c r="I50" s="456"/>
      <x:c r="J50" s="456"/>
      <x:c r="K50" s="986"/>
      <x:c r="L50" s="454"/>
      <x:c r="M50" s="439"/>
      <x:c r="N50" s="987" t="str">
        <x:f>IF(COUNTA($A50:$M50)=0,"",IF(OR(LEFT(LOWER(TRIM($F50&amp;"")),12)="subscription",LOWER(TRIM($F50&amp;""))="membership"),"",IF($G50="","",IF(ISNUMBER(SEARCH("non",LOWER($E50&amp;""))),$G50*0.85,$G50))))</x:f>
      </x:c>
      <x:c r="O50" s="987" t="str">
        <x:f>IF(COUNTA($A50:$M50)=0,"",IF(OR(LEFT(LOWER(TRIM($F50&amp;"")),12)="subscription",LOWER(TRIM($F50&amp;""))="membership"),"",IF(OR($N50="",$I50="",$I50=0),"",IFERROR($N50/$I50,""))))</x:f>
      </x:c>
      <x:c r="P50" s="987" t="str">
        <x:f>IF(COUNTA($A50:$M50)=0,"",IF(OR(LEFT(LOWER(TRIM($F50&amp;"")),12)="subscription",LOWER(TRIM($F50&amp;""))="membership"),"",IF(LOWER($L50&amp;"")="yes",0,IF(OR(AND($H50&lt;&gt;"",$H50=0),LEFT(LOWER(TRIM($F50&amp;"")),9)="free game",LOWER(TRIM($F50&amp;""))="free",LOWER(TRIM($F50&amp;""))="free entry"),IF(LOWER($D50&amp;"")="finalized",IF(ISNUMBER($K50),$K50,""),IF($O50&lt;&gt;"",$O50,"")),IF($K50&lt;&gt;"",$K50,IF($O50&lt;&gt;"",$O50,""))))))</x:f>
      </x:c>
      <x:c r="Q50" s="114" t="str">
        <x:f>IF(COUNTA($A50:$M50)=0,"",IF(OR($U50="Subscription",$U50=""),"",IF($U50="Profit",ROUND(IFERROR($P50,0)-IFERROR($H50,0),2),0)))</x:f>
      </x:c>
      <x:c r="R50" s="114" t="str">
        <x:f>IF(COUNTA($A50:$M50)=0,"",IF(OR($U50="Subscription",$U50=""),"",IF($U50="Draw",$H50,0)))</x:f>
      </x:c>
      <x:c r="S50" s="114" t="str">
        <x:f>IF(COUNTA($A50:$M50)=0,"",IF(OR($U50="Subscription",$U50=""),"",IF($U50="Disqualified",$H50,0)))</x:f>
      </x:c>
      <x:c r="T50" s="955" t="str">
        <x:f>IF(COUNTA($A50:$M50)=0,"",IF(OR($U50="Subscription",$U50=""),"",IF(OR($U50="Free Game",$U50="Disqualified — Free Game",$H50=0),"N/A",IF($U50="Profit",$Q50/$H50,IF($U50="Disqualified",-$S50/$H50,0)))))</x:f>
      </x:c>
      <x:c r="U50" s="920" t="str">
        <x:f>IF(COUNTA($A50:$M50)=0,"",IF(OR(LEFT(LOWER(TRIM($F50&amp;"")),12)="subscription",LOWER(TRIM($F50&amp;""))="membership"),"Subscription",IF(OR(AND($H50&lt;&gt;"",$H50=0),LEFT(LOWER(TRIM($F50&amp;"")),9)="free game",LOWER(TRIM($F50&amp;""))="free",LOWER(TRIM($F50&amp;""))="free entry"),IF(LOWER($L50&amp;"")="yes","Disqualified — Free Game","Free Game"),IF(LOWER($L50&amp;"")="yes","Disqualified",IF($P50="","",IF(ROUND(IFERROR(VALUE($P50),0)-IFERROR(VALUE($H50),0),2)&gt;0,"Profit","Draw"))))))</x:f>
      </x:c>
      <x:c r="V50" s="956" t="str">
        <x:f>IF(COUNTA($A50:$M50)=0,"",IF(OR($B50="",$C50="",$U50="Subscription"),"",IFERROR(ROUNDUP(($C50-$B50)/7,0),"")))</x:f>
      </x:c>
      <x:c r="W50" s="114" t="str">
        <x:f>IF(COUNTA($A50:$M50)=0,"",IF(OR($U50="Subscription",$U50=""),"",IF(OR($U50="Free Game",$U50="Disqualified — Free Game"),0,ROUND(IFERROR($Q50,0)-IFERROR($S50,0),2))))</x:f>
      </x:c>
      <x:c r="X50" s="956" t="str">
        <x:f>IF(COUNTA($A50:$M50)=0,"",IF(OR($U50="Subscription",NOT(ISNUMBER($J50)),NOT(ISNUMBER($I50)),$J50=0,$I50=0,$I50&gt;$J50),"",$J50-$I50))</x:f>
      </x:c>
      <x:c r="Y50" s="955" t="str">
        <x:f>IF(COUNTA($A50:$M50)=0,"",IF(OR($U50="Subscription",NOT(ISNUMBER($J50)),$J50=0,$X50=""),"",$X50/$J50))</x:f>
      </x:c>
      <x:c r="Z50" s="957" t="str">
        <x:f>IF(COUNTA($A50:$M50)=0,"",Instructions!$B$29+SUM($W$5:W50))</x:f>
      </x:c>
    </x:row>
    <x:row r="51" ht="36" customHeight="1">
      <x:c r="A51" s="439"/>
      <x:c r="B51" s="453"/>
      <x:c r="C51" s="453"/>
      <x:c r="D51" s="454"/>
      <x:c r="E51" s="454"/>
      <x:c r="F51" s="454"/>
      <x:c r="G51" s="986"/>
      <x:c r="H51" s="455"/>
      <x:c r="I51" s="456"/>
      <x:c r="J51" s="456"/>
      <x:c r="K51" s="986"/>
      <x:c r="L51" s="454"/>
      <x:c r="M51" s="439"/>
      <x:c r="N51" s="987" t="str">
        <x:f>IF(COUNTA($A51:$M51)=0,"",IF(OR(LEFT(LOWER(TRIM($F51&amp;"")),12)="subscription",LOWER(TRIM($F51&amp;""))="membership"),"",IF($G51="","",IF(ISNUMBER(SEARCH("non",LOWER($E51&amp;""))),$G51*0.85,$G51))))</x:f>
      </x:c>
      <x:c r="O51" s="987" t="str">
        <x:f>IF(COUNTA($A51:$M51)=0,"",IF(OR(LEFT(LOWER(TRIM($F51&amp;"")),12)="subscription",LOWER(TRIM($F51&amp;""))="membership"),"",IF(OR($N51="",$I51="",$I51=0),"",IFERROR($N51/$I51,""))))</x:f>
      </x:c>
      <x:c r="P51" s="987" t="str">
        <x:f>IF(COUNTA($A51:$M51)=0,"",IF(OR(LEFT(LOWER(TRIM($F51&amp;"")),12)="subscription",LOWER(TRIM($F51&amp;""))="membership"),"",IF(LOWER($L51&amp;"")="yes",0,IF(OR(AND($H51&lt;&gt;"",$H51=0),LEFT(LOWER(TRIM($F51&amp;"")),9)="free game",LOWER(TRIM($F51&amp;""))="free",LOWER(TRIM($F51&amp;""))="free entry"),IF(LOWER($D51&amp;"")="finalized",IF(ISNUMBER($K51),$K51,""),IF($O51&lt;&gt;"",$O51,"")),IF($K51&lt;&gt;"",$K51,IF($O51&lt;&gt;"",$O51,""))))))</x:f>
      </x:c>
      <x:c r="Q51" s="114" t="str">
        <x:f>IF(COUNTA($A51:$M51)=0,"",IF(OR($U51="Subscription",$U51=""),"",IF($U51="Profit",ROUND(IFERROR($P51,0)-IFERROR($H51,0),2),0)))</x:f>
      </x:c>
      <x:c r="R51" s="114" t="str">
        <x:f>IF(COUNTA($A51:$M51)=0,"",IF(OR($U51="Subscription",$U51=""),"",IF($U51="Draw",$H51,0)))</x:f>
      </x:c>
      <x:c r="S51" s="114" t="str">
        <x:f>IF(COUNTA($A51:$M51)=0,"",IF(OR($U51="Subscription",$U51=""),"",IF($U51="Disqualified",$H51,0)))</x:f>
      </x:c>
      <x:c r="T51" s="955" t="str">
        <x:f>IF(COUNTA($A51:$M51)=0,"",IF(OR($U51="Subscription",$U51=""),"",IF(OR($U51="Free Game",$U51="Disqualified — Free Game",$H51=0),"N/A",IF($U51="Profit",$Q51/$H51,IF($U51="Disqualified",-$S51/$H51,0)))))</x:f>
      </x:c>
      <x:c r="U51" s="920" t="str">
        <x:f>IF(COUNTA($A51:$M51)=0,"",IF(OR(LEFT(LOWER(TRIM($F51&amp;"")),12)="subscription",LOWER(TRIM($F51&amp;""))="membership"),"Subscription",IF(OR(AND($H51&lt;&gt;"",$H51=0),LEFT(LOWER(TRIM($F51&amp;"")),9)="free game",LOWER(TRIM($F51&amp;""))="free",LOWER(TRIM($F51&amp;""))="free entry"),IF(LOWER($L51&amp;"")="yes","Disqualified — Free Game","Free Game"),IF(LOWER($L51&amp;"")="yes","Disqualified",IF($P51="","",IF(ROUND(IFERROR(VALUE($P51),0)-IFERROR(VALUE($H51),0),2)&gt;0,"Profit","Draw"))))))</x:f>
      </x:c>
      <x:c r="V51" s="956" t="str">
        <x:f>IF(COUNTA($A51:$M51)=0,"",IF(OR($B51="",$C51="",$U51="Subscription"),"",IFERROR(ROUNDUP(($C51-$B51)/7,0),"")))</x:f>
      </x:c>
      <x:c r="W51" s="114" t="str">
        <x:f>IF(COUNTA($A51:$M51)=0,"",IF(OR($U51="Subscription",$U51=""),"",IF(OR($U51="Free Game",$U51="Disqualified — Free Game"),0,ROUND(IFERROR($Q51,0)-IFERROR($S51,0),2))))</x:f>
      </x:c>
      <x:c r="X51" s="956" t="str">
        <x:f>IF(COUNTA($A51:$M51)=0,"",IF(OR($U51="Subscription",NOT(ISNUMBER($J51)),NOT(ISNUMBER($I51)),$J51=0,$I51=0,$I51&gt;$J51),"",$J51-$I51))</x:f>
      </x:c>
      <x:c r="Y51" s="955" t="str">
        <x:f>IF(COUNTA($A51:$M51)=0,"",IF(OR($U51="Subscription",NOT(ISNUMBER($J51)),$J51=0,$X51=""),"",$X51/$J51))</x:f>
      </x:c>
      <x:c r="Z51" s="957" t="str">
        <x:f>IF(COUNTA($A51:$M51)=0,"",Instructions!$B$29+SUM($W$5:W51))</x:f>
      </x:c>
    </x:row>
    <x:row r="52" ht="36" customHeight="1">
      <x:c r="A52" s="439"/>
      <x:c r="B52" s="453"/>
      <x:c r="C52" s="453"/>
      <x:c r="D52" s="454"/>
      <x:c r="E52" s="454"/>
      <x:c r="F52" s="454"/>
      <x:c r="G52" s="986"/>
      <x:c r="H52" s="455"/>
      <x:c r="I52" s="456"/>
      <x:c r="J52" s="456"/>
      <x:c r="K52" s="986"/>
      <x:c r="L52" s="454"/>
      <x:c r="M52" s="439"/>
      <x:c r="N52" s="987" t="str">
        <x:f>IF(COUNTA($A52:$M52)=0,"",IF(OR(LEFT(LOWER(TRIM($F52&amp;"")),12)="subscription",LOWER(TRIM($F52&amp;""))="membership"),"",IF($G52="","",IF(ISNUMBER(SEARCH("non",LOWER($E52&amp;""))),$G52*0.85,$G52))))</x:f>
      </x:c>
      <x:c r="O52" s="987" t="str">
        <x:f>IF(COUNTA($A52:$M52)=0,"",IF(OR(LEFT(LOWER(TRIM($F52&amp;"")),12)="subscription",LOWER(TRIM($F52&amp;""))="membership"),"",IF(OR($N52="",$I52="",$I52=0),"",IFERROR($N52/$I52,""))))</x:f>
      </x:c>
      <x:c r="P52" s="987" t="str">
        <x:f>IF(COUNTA($A52:$M52)=0,"",IF(OR(LEFT(LOWER(TRIM($F52&amp;"")),12)="subscription",LOWER(TRIM($F52&amp;""))="membership"),"",IF(LOWER($L52&amp;"")="yes",0,IF(OR(AND($H52&lt;&gt;"",$H52=0),LEFT(LOWER(TRIM($F52&amp;"")),9)="free game",LOWER(TRIM($F52&amp;""))="free",LOWER(TRIM($F52&amp;""))="free entry"),IF(LOWER($D52&amp;"")="finalized",IF(ISNUMBER($K52),$K52,""),IF($O52&lt;&gt;"",$O52,"")),IF($K52&lt;&gt;"",$K52,IF($O52&lt;&gt;"",$O52,""))))))</x:f>
      </x:c>
      <x:c r="Q52" s="114" t="str">
        <x:f>IF(COUNTA($A52:$M52)=0,"",IF(OR($U52="Subscription",$U52=""),"",IF($U52="Profit",ROUND(IFERROR($P52,0)-IFERROR($H52,0),2),0)))</x:f>
      </x:c>
      <x:c r="R52" s="114" t="str">
        <x:f>IF(COUNTA($A52:$M52)=0,"",IF(OR($U52="Subscription",$U52=""),"",IF($U52="Draw",$H52,0)))</x:f>
      </x:c>
      <x:c r="S52" s="114" t="str">
        <x:f>IF(COUNTA($A52:$M52)=0,"",IF(OR($U52="Subscription",$U52=""),"",IF($U52="Disqualified",$H52,0)))</x:f>
      </x:c>
      <x:c r="T52" s="955" t="str">
        <x:f>IF(COUNTA($A52:$M52)=0,"",IF(OR($U52="Subscription",$U52=""),"",IF(OR($U52="Free Game",$U52="Disqualified — Free Game",$H52=0),"N/A",IF($U52="Profit",$Q52/$H52,IF($U52="Disqualified",-$S52/$H52,0)))))</x:f>
      </x:c>
      <x:c r="U52" s="920" t="str">
        <x:f>IF(COUNTA($A52:$M52)=0,"",IF(OR(LEFT(LOWER(TRIM($F52&amp;"")),12)="subscription",LOWER(TRIM($F52&amp;""))="membership"),"Subscription",IF(OR(AND($H52&lt;&gt;"",$H52=0),LEFT(LOWER(TRIM($F52&amp;"")),9)="free game",LOWER(TRIM($F52&amp;""))="free",LOWER(TRIM($F52&amp;""))="free entry"),IF(LOWER($L52&amp;"")="yes","Disqualified — Free Game","Free Game"),IF(LOWER($L52&amp;"")="yes","Disqualified",IF($P52="","",IF(ROUND(IFERROR(VALUE($P52),0)-IFERROR(VALUE($H52),0),2)&gt;0,"Profit","Draw"))))))</x:f>
      </x:c>
      <x:c r="V52" s="956" t="str">
        <x:f>IF(COUNTA($A52:$M52)=0,"",IF(OR($B52="",$C52="",$U52="Subscription"),"",IFERROR(ROUNDUP(($C52-$B52)/7,0),"")))</x:f>
      </x:c>
      <x:c r="W52" s="114" t="str">
        <x:f>IF(COUNTA($A52:$M52)=0,"",IF(OR($U52="Subscription",$U52=""),"",IF(OR($U52="Free Game",$U52="Disqualified — Free Game"),0,ROUND(IFERROR($Q52,0)-IFERROR($S52,0),2))))</x:f>
      </x:c>
      <x:c r="X52" s="956" t="str">
        <x:f>IF(COUNTA($A52:$M52)=0,"",IF(OR($U52="Subscription",NOT(ISNUMBER($J52)),NOT(ISNUMBER($I52)),$J52=0,$I52=0,$I52&gt;$J52),"",$J52-$I52))</x:f>
      </x:c>
      <x:c r="Y52" s="955" t="str">
        <x:f>IF(COUNTA($A52:$M52)=0,"",IF(OR($U52="Subscription",NOT(ISNUMBER($J52)),$J52=0,$X52=""),"",$X52/$J52))</x:f>
      </x:c>
      <x:c r="Z52" s="957" t="str">
        <x:f>IF(COUNTA($A52:$M52)=0,"",Instructions!$B$29+SUM($W$5:W52))</x:f>
      </x:c>
    </x:row>
    <x:row r="53" ht="36" customHeight="1">
      <x:c r="A53" s="439"/>
      <x:c r="B53" s="453"/>
      <x:c r="C53" s="453"/>
      <x:c r="D53" s="454"/>
      <x:c r="E53" s="454"/>
      <x:c r="F53" s="454"/>
      <x:c r="G53" s="986"/>
      <x:c r="H53" s="455"/>
      <x:c r="I53" s="456"/>
      <x:c r="J53" s="456"/>
      <x:c r="K53" s="986"/>
      <x:c r="L53" s="454"/>
      <x:c r="M53" s="439"/>
      <x:c r="N53" s="987" t="str">
        <x:f>IF(COUNTA($A53:$M53)=0,"",IF(OR(LEFT(LOWER(TRIM($F53&amp;"")),12)="subscription",LOWER(TRIM($F53&amp;""))="membership"),"",IF($G53="","",IF(ISNUMBER(SEARCH("non",LOWER($E53&amp;""))),$G53*0.85,$G53))))</x:f>
      </x:c>
      <x:c r="O53" s="987" t="str">
        <x:f>IF(COUNTA($A53:$M53)=0,"",IF(OR(LEFT(LOWER(TRIM($F53&amp;"")),12)="subscription",LOWER(TRIM($F53&amp;""))="membership"),"",IF(OR($N53="",$I53="",$I53=0),"",IFERROR($N53/$I53,""))))</x:f>
      </x:c>
      <x:c r="P53" s="987" t="str">
        <x:f>IF(COUNTA($A53:$M53)=0,"",IF(OR(LEFT(LOWER(TRIM($F53&amp;"")),12)="subscription",LOWER(TRIM($F53&amp;""))="membership"),"",IF(LOWER($L53&amp;"")="yes",0,IF(OR(AND($H53&lt;&gt;"",$H53=0),LEFT(LOWER(TRIM($F53&amp;"")),9)="free game",LOWER(TRIM($F53&amp;""))="free",LOWER(TRIM($F53&amp;""))="free entry"),IF(LOWER($D53&amp;"")="finalized",IF(ISNUMBER($K53),$K53,""),IF($O53&lt;&gt;"",$O53,"")),IF($K53&lt;&gt;"",$K53,IF($O53&lt;&gt;"",$O53,""))))))</x:f>
      </x:c>
      <x:c r="Q53" s="114" t="str">
        <x:f>IF(COUNTA($A53:$M53)=0,"",IF(OR($U53="Subscription",$U53=""),"",IF($U53="Profit",ROUND(IFERROR($P53,0)-IFERROR($H53,0),2),0)))</x:f>
      </x:c>
      <x:c r="R53" s="114" t="str">
        <x:f>IF(COUNTA($A53:$M53)=0,"",IF(OR($U53="Subscription",$U53=""),"",IF($U53="Draw",$H53,0)))</x:f>
      </x:c>
      <x:c r="S53" s="114" t="str">
        <x:f>IF(COUNTA($A53:$M53)=0,"",IF(OR($U53="Subscription",$U53=""),"",IF($U53="Disqualified",$H53,0)))</x:f>
      </x:c>
      <x:c r="T53" s="955" t="str">
        <x:f>IF(COUNTA($A53:$M53)=0,"",IF(OR($U53="Subscription",$U53=""),"",IF(OR($U53="Free Game",$U53="Disqualified — Free Game",$H53=0),"N/A",IF($U53="Profit",$Q53/$H53,IF($U53="Disqualified",-$S53/$H53,0)))))</x:f>
      </x:c>
      <x:c r="U53" s="920" t="str">
        <x:f>IF(COUNTA($A53:$M53)=0,"",IF(OR(LEFT(LOWER(TRIM($F53&amp;"")),12)="subscription",LOWER(TRIM($F53&amp;""))="membership"),"Subscription",IF(OR(AND($H53&lt;&gt;"",$H53=0),LEFT(LOWER(TRIM($F53&amp;"")),9)="free game",LOWER(TRIM($F53&amp;""))="free",LOWER(TRIM($F53&amp;""))="free entry"),IF(LOWER($L53&amp;"")="yes","Disqualified — Free Game","Free Game"),IF(LOWER($L53&amp;"")="yes","Disqualified",IF($P53="","",IF(ROUND(IFERROR(VALUE($P53),0)-IFERROR(VALUE($H53),0),2)&gt;0,"Profit","Draw"))))))</x:f>
      </x:c>
      <x:c r="V53" s="956" t="str">
        <x:f>IF(COUNTA($A53:$M53)=0,"",IF(OR($B53="",$C53="",$U53="Subscription"),"",IFERROR(ROUNDUP(($C53-$B53)/7,0),"")))</x:f>
      </x:c>
      <x:c r="W53" s="114" t="str">
        <x:f>IF(COUNTA($A53:$M53)=0,"",IF(OR($U53="Subscription",$U53=""),"",IF(OR($U53="Free Game",$U53="Disqualified — Free Game"),0,ROUND(IFERROR($Q53,0)-IFERROR($S53,0),2))))</x:f>
      </x:c>
      <x:c r="X53" s="956" t="str">
        <x:f>IF(COUNTA($A53:$M53)=0,"",IF(OR($U53="Subscription",NOT(ISNUMBER($J53)),NOT(ISNUMBER($I53)),$J53=0,$I53=0,$I53&gt;$J53),"",$J53-$I53))</x:f>
      </x:c>
      <x:c r="Y53" s="955" t="str">
        <x:f>IF(COUNTA($A53:$M53)=0,"",IF(OR($U53="Subscription",NOT(ISNUMBER($J53)),$J53=0,$X53=""),"",$X53/$J53))</x:f>
      </x:c>
      <x:c r="Z53" s="957" t="str">
        <x:f>IF(COUNTA($A53:$M53)=0,"",Instructions!$B$29+SUM($W$5:W53))</x:f>
      </x:c>
    </x:row>
    <x:row r="54" ht="36" customHeight="1">
      <x:c r="A54" s="439"/>
      <x:c r="B54" s="453"/>
      <x:c r="C54" s="453"/>
      <x:c r="D54" s="454"/>
      <x:c r="E54" s="454"/>
      <x:c r="F54" s="454"/>
      <x:c r="G54" s="986"/>
      <x:c r="H54" s="455"/>
      <x:c r="I54" s="456"/>
      <x:c r="J54" s="456"/>
      <x:c r="K54" s="986"/>
      <x:c r="L54" s="454"/>
      <x:c r="M54" s="439"/>
      <x:c r="N54" s="987" t="str">
        <x:f>IF(COUNTA($A54:$M54)=0,"",IF(OR(LEFT(LOWER(TRIM($F54&amp;"")),12)="subscription",LOWER(TRIM($F54&amp;""))="membership"),"",IF($G54="","",IF(ISNUMBER(SEARCH("non",LOWER($E54&amp;""))),$G54*0.85,$G54))))</x:f>
      </x:c>
      <x:c r="O54" s="987" t="str">
        <x:f>IF(COUNTA($A54:$M54)=0,"",IF(OR(LEFT(LOWER(TRIM($F54&amp;"")),12)="subscription",LOWER(TRIM($F54&amp;""))="membership"),"",IF(OR($N54="",$I54="",$I54=0),"",IFERROR($N54/$I54,""))))</x:f>
      </x:c>
      <x:c r="P54" s="987" t="str">
        <x:f>IF(COUNTA($A54:$M54)=0,"",IF(OR(LEFT(LOWER(TRIM($F54&amp;"")),12)="subscription",LOWER(TRIM($F54&amp;""))="membership"),"",IF(LOWER($L54&amp;"")="yes",0,IF(OR(AND($H54&lt;&gt;"",$H54=0),LEFT(LOWER(TRIM($F54&amp;"")),9)="free game",LOWER(TRIM($F54&amp;""))="free",LOWER(TRIM($F54&amp;""))="free entry"),IF(LOWER($D54&amp;"")="finalized",IF(ISNUMBER($K54),$K54,""),IF($O54&lt;&gt;"",$O54,"")),IF($K54&lt;&gt;"",$K54,IF($O54&lt;&gt;"",$O54,""))))))</x:f>
      </x:c>
      <x:c r="Q54" s="114" t="str">
        <x:f>IF(COUNTA($A54:$M54)=0,"",IF(OR($U54="Subscription",$U54=""),"",IF($U54="Profit",ROUND(IFERROR($P54,0)-IFERROR($H54,0),2),0)))</x:f>
      </x:c>
      <x:c r="R54" s="114" t="str">
        <x:f>IF(COUNTA($A54:$M54)=0,"",IF(OR($U54="Subscription",$U54=""),"",IF($U54="Draw",$H54,0)))</x:f>
      </x:c>
      <x:c r="S54" s="114" t="str">
        <x:f>IF(COUNTA($A54:$M54)=0,"",IF(OR($U54="Subscription",$U54=""),"",IF($U54="Disqualified",$H54,0)))</x:f>
      </x:c>
      <x:c r="T54" s="955" t="str">
        <x:f>IF(COUNTA($A54:$M54)=0,"",IF(OR($U54="Subscription",$U54=""),"",IF(OR($U54="Free Game",$U54="Disqualified — Free Game",$H54=0),"N/A",IF($U54="Profit",$Q54/$H54,IF($U54="Disqualified",-$S54/$H54,0)))))</x:f>
      </x:c>
      <x:c r="U54" s="920" t="str">
        <x:f>IF(COUNTA($A54:$M54)=0,"",IF(OR(LEFT(LOWER(TRIM($F54&amp;"")),12)="subscription",LOWER(TRIM($F54&amp;""))="membership"),"Subscription",IF(OR(AND($H54&lt;&gt;"",$H54=0),LEFT(LOWER(TRIM($F54&amp;"")),9)="free game",LOWER(TRIM($F54&amp;""))="free",LOWER(TRIM($F54&amp;""))="free entry"),IF(LOWER($L54&amp;"")="yes","Disqualified — Free Game","Free Game"),IF(LOWER($L54&amp;"")="yes","Disqualified",IF($P54="","",IF(ROUND(IFERROR(VALUE($P54),0)-IFERROR(VALUE($H54),0),2)&gt;0,"Profit","Draw"))))))</x:f>
      </x:c>
      <x:c r="V54" s="956" t="str">
        <x:f>IF(COUNTA($A54:$M54)=0,"",IF(OR($B54="",$C54="",$U54="Subscription"),"",IFERROR(ROUNDUP(($C54-$B54)/7,0),"")))</x:f>
      </x:c>
      <x:c r="W54" s="114" t="str">
        <x:f>IF(COUNTA($A54:$M54)=0,"",IF(OR($U54="Subscription",$U54=""),"",IF(OR($U54="Free Game",$U54="Disqualified — Free Game"),0,ROUND(IFERROR($Q54,0)-IFERROR($S54,0),2))))</x:f>
      </x:c>
      <x:c r="X54" s="956" t="str">
        <x:f>IF(COUNTA($A54:$M54)=0,"",IF(OR($U54="Subscription",NOT(ISNUMBER($J54)),NOT(ISNUMBER($I54)),$J54=0,$I54=0,$I54&gt;$J54),"",$J54-$I54))</x:f>
      </x:c>
      <x:c r="Y54" s="955" t="str">
        <x:f>IF(COUNTA($A54:$M54)=0,"",IF(OR($U54="Subscription",NOT(ISNUMBER($J54)),$J54=0,$X54=""),"",$X54/$J54))</x:f>
      </x:c>
      <x:c r="Z54" s="957" t="str">
        <x:f>IF(COUNTA($A54:$M54)=0,"",Instructions!$B$29+SUM($W$5:W54))</x:f>
      </x:c>
    </x:row>
    <x:row r="55" ht="36" customHeight="1">
      <x:c r="A55" s="439"/>
      <x:c r="B55" s="453"/>
      <x:c r="C55" s="453"/>
      <x:c r="D55" s="454"/>
      <x:c r="E55" s="454"/>
      <x:c r="F55" s="454"/>
      <x:c r="G55" s="986"/>
      <x:c r="H55" s="455"/>
      <x:c r="I55" s="456"/>
      <x:c r="J55" s="456"/>
      <x:c r="K55" s="986"/>
      <x:c r="L55" s="454"/>
      <x:c r="M55" s="439"/>
      <x:c r="N55" s="987" t="str">
        <x:f>IF(COUNTA($A55:$M55)=0,"",IF(OR(LEFT(LOWER(TRIM($F55&amp;"")),12)="subscription",LOWER(TRIM($F55&amp;""))="membership"),"",IF($G55="","",IF(ISNUMBER(SEARCH("non",LOWER($E55&amp;""))),$G55*0.85,$G55))))</x:f>
      </x:c>
      <x:c r="O55" s="987" t="str">
        <x:f>IF(COUNTA($A55:$M55)=0,"",IF(OR(LEFT(LOWER(TRIM($F55&amp;"")),12)="subscription",LOWER(TRIM($F55&amp;""))="membership"),"",IF(OR($N55="",$I55="",$I55=0),"",IFERROR($N55/$I55,""))))</x:f>
      </x:c>
      <x:c r="P55" s="987" t="str">
        <x:f>IF(COUNTA($A55:$M55)=0,"",IF(OR(LEFT(LOWER(TRIM($F55&amp;"")),12)="subscription",LOWER(TRIM($F55&amp;""))="membership"),"",IF(LOWER($L55&amp;"")="yes",0,IF(OR(AND($H55&lt;&gt;"",$H55=0),LEFT(LOWER(TRIM($F55&amp;"")),9)="free game",LOWER(TRIM($F55&amp;""))="free",LOWER(TRIM($F55&amp;""))="free entry"),IF(LOWER($D55&amp;"")="finalized",IF(ISNUMBER($K55),$K55,""),IF($O55&lt;&gt;"",$O55,"")),IF($K55&lt;&gt;"",$K55,IF($O55&lt;&gt;"",$O55,""))))))</x:f>
      </x:c>
      <x:c r="Q55" s="114" t="str">
        <x:f>IF(COUNTA($A55:$M55)=0,"",IF(OR($U55="Subscription",$U55=""),"",IF($U55="Profit",ROUND(IFERROR($P55,0)-IFERROR($H55,0),2),0)))</x:f>
      </x:c>
      <x:c r="R55" s="114" t="str">
        <x:f>IF(COUNTA($A55:$M55)=0,"",IF(OR($U55="Subscription",$U55=""),"",IF($U55="Draw",$H55,0)))</x:f>
      </x:c>
      <x:c r="S55" s="114" t="str">
        <x:f>IF(COUNTA($A55:$M55)=0,"",IF(OR($U55="Subscription",$U55=""),"",IF($U55="Disqualified",$H55,0)))</x:f>
      </x:c>
      <x:c r="T55" s="955" t="str">
        <x:f>IF(COUNTA($A55:$M55)=0,"",IF(OR($U55="Subscription",$U55=""),"",IF(OR($U55="Free Game",$U55="Disqualified — Free Game",$H55=0),"N/A",IF($U55="Profit",$Q55/$H55,IF($U55="Disqualified",-$S55/$H55,0)))))</x:f>
      </x:c>
      <x:c r="U55" s="920" t="str">
        <x:f>IF(COUNTA($A55:$M55)=0,"",IF(OR(LEFT(LOWER(TRIM($F55&amp;"")),12)="subscription",LOWER(TRIM($F55&amp;""))="membership"),"Subscription",IF(OR(AND($H55&lt;&gt;"",$H55=0),LEFT(LOWER(TRIM($F55&amp;"")),9)="free game",LOWER(TRIM($F55&amp;""))="free",LOWER(TRIM($F55&amp;""))="free entry"),IF(LOWER($L55&amp;"")="yes","Disqualified — Free Game","Free Game"),IF(LOWER($L55&amp;"")="yes","Disqualified",IF($P55="","",IF(ROUND(IFERROR(VALUE($P55),0)-IFERROR(VALUE($H55),0),2)&gt;0,"Profit","Draw"))))))</x:f>
      </x:c>
      <x:c r="V55" s="956" t="str">
        <x:f>IF(COUNTA($A55:$M55)=0,"",IF(OR($B55="",$C55="",$U55="Subscription"),"",IFERROR(ROUNDUP(($C55-$B55)/7,0),"")))</x:f>
      </x:c>
      <x:c r="W55" s="114" t="str">
        <x:f>IF(COUNTA($A55:$M55)=0,"",IF(OR($U55="Subscription",$U55=""),"",IF(OR($U55="Free Game",$U55="Disqualified — Free Game"),0,ROUND(IFERROR($Q55,0)-IFERROR($S55,0),2))))</x:f>
      </x:c>
      <x:c r="X55" s="956" t="str">
        <x:f>IF(COUNTA($A55:$M55)=0,"",IF(OR($U55="Subscription",NOT(ISNUMBER($J55)),NOT(ISNUMBER($I55)),$J55=0,$I55=0,$I55&gt;$J55),"",$J55-$I55))</x:f>
      </x:c>
      <x:c r="Y55" s="955" t="str">
        <x:f>IF(COUNTA($A55:$M55)=0,"",IF(OR($U55="Subscription",NOT(ISNUMBER($J55)),$J55=0,$X55=""),"",$X55/$J55))</x:f>
      </x:c>
      <x:c r="Z55" s="957" t="str">
        <x:f>IF(COUNTA($A55:$M55)=0,"",Instructions!$B$29+SUM($W$5:W55))</x:f>
      </x:c>
    </x:row>
    <x:row r="56" ht="36" customHeight="1">
      <x:c r="A56" s="439"/>
      <x:c r="B56" s="453"/>
      <x:c r="C56" s="453"/>
      <x:c r="D56" s="454"/>
      <x:c r="E56" s="454"/>
      <x:c r="F56" s="454"/>
      <x:c r="G56" s="986"/>
      <x:c r="H56" s="455"/>
      <x:c r="I56" s="456"/>
      <x:c r="J56" s="456"/>
      <x:c r="K56" s="986"/>
      <x:c r="L56" s="454"/>
      <x:c r="M56" s="439"/>
      <x:c r="N56" s="987" t="str">
        <x:f>IF(COUNTA($A56:$M56)=0,"",IF(OR(LEFT(LOWER(TRIM($F56&amp;"")),12)="subscription",LOWER(TRIM($F56&amp;""))="membership"),"",IF($G56="","",IF(ISNUMBER(SEARCH("non",LOWER($E56&amp;""))),$G56*0.85,$G56))))</x:f>
      </x:c>
      <x:c r="O56" s="987" t="str">
        <x:f>IF(COUNTA($A56:$M56)=0,"",IF(OR(LEFT(LOWER(TRIM($F56&amp;"")),12)="subscription",LOWER(TRIM($F56&amp;""))="membership"),"",IF(OR($N56="",$I56="",$I56=0),"",IFERROR($N56/$I56,""))))</x:f>
      </x:c>
      <x:c r="P56" s="987" t="str">
        <x:f>IF(COUNTA($A56:$M56)=0,"",IF(OR(LEFT(LOWER(TRIM($F56&amp;"")),12)="subscription",LOWER(TRIM($F56&amp;""))="membership"),"",IF(LOWER($L56&amp;"")="yes",0,IF(OR(AND($H56&lt;&gt;"",$H56=0),LEFT(LOWER(TRIM($F56&amp;"")),9)="free game",LOWER(TRIM($F56&amp;""))="free",LOWER(TRIM($F56&amp;""))="free entry"),IF(LOWER($D56&amp;"")="finalized",IF(ISNUMBER($K56),$K56,""),IF($O56&lt;&gt;"",$O56,"")),IF($K56&lt;&gt;"",$K56,IF($O56&lt;&gt;"",$O56,""))))))</x:f>
      </x:c>
      <x:c r="Q56" s="114" t="str">
        <x:f>IF(COUNTA($A56:$M56)=0,"",IF(OR($U56="Subscription",$U56=""),"",IF($U56="Profit",ROUND(IFERROR($P56,0)-IFERROR($H56,0),2),0)))</x:f>
      </x:c>
      <x:c r="R56" s="114" t="str">
        <x:f>IF(COUNTA($A56:$M56)=0,"",IF(OR($U56="Subscription",$U56=""),"",IF($U56="Draw",$H56,0)))</x:f>
      </x:c>
      <x:c r="S56" s="114" t="str">
        <x:f>IF(COUNTA($A56:$M56)=0,"",IF(OR($U56="Subscription",$U56=""),"",IF($U56="Disqualified",$H56,0)))</x:f>
      </x:c>
      <x:c r="T56" s="955" t="str">
        <x:f>IF(COUNTA($A56:$M56)=0,"",IF(OR($U56="Subscription",$U56=""),"",IF(OR($U56="Free Game",$U56="Disqualified — Free Game",$H56=0),"N/A",IF($U56="Profit",$Q56/$H56,IF($U56="Disqualified",-$S56/$H56,0)))))</x:f>
      </x:c>
      <x:c r="U56" s="920" t="str">
        <x:f>IF(COUNTA($A56:$M56)=0,"",IF(OR(LEFT(LOWER(TRIM($F56&amp;"")),12)="subscription",LOWER(TRIM($F56&amp;""))="membership"),"Subscription",IF(OR(AND($H56&lt;&gt;"",$H56=0),LEFT(LOWER(TRIM($F56&amp;"")),9)="free game",LOWER(TRIM($F56&amp;""))="free",LOWER(TRIM($F56&amp;""))="free entry"),IF(LOWER($L56&amp;"")="yes","Disqualified — Free Game","Free Game"),IF(LOWER($L56&amp;"")="yes","Disqualified",IF($P56="","",IF(ROUND(IFERROR(VALUE($P56),0)-IFERROR(VALUE($H56),0),2)&gt;0,"Profit","Draw"))))))</x:f>
      </x:c>
      <x:c r="V56" s="956" t="str">
        <x:f>IF(COUNTA($A56:$M56)=0,"",IF(OR($B56="",$C56="",$U56="Subscription"),"",IFERROR(ROUNDUP(($C56-$B56)/7,0),"")))</x:f>
      </x:c>
      <x:c r="W56" s="114" t="str">
        <x:f>IF(COUNTA($A56:$M56)=0,"",IF(OR($U56="Subscription",$U56=""),"",IF(OR($U56="Free Game",$U56="Disqualified — Free Game"),0,ROUND(IFERROR($Q56,0)-IFERROR($S56,0),2))))</x:f>
      </x:c>
      <x:c r="X56" s="956" t="str">
        <x:f>IF(COUNTA($A56:$M56)=0,"",IF(OR($U56="Subscription",NOT(ISNUMBER($J56)),NOT(ISNUMBER($I56)),$J56=0,$I56=0,$I56&gt;$J56),"",$J56-$I56))</x:f>
      </x:c>
      <x:c r="Y56" s="955" t="str">
        <x:f>IF(COUNTA($A56:$M56)=0,"",IF(OR($U56="Subscription",NOT(ISNUMBER($J56)),$J56=0,$X56=""),"",$X56/$J56))</x:f>
      </x:c>
      <x:c r="Z56" s="957" t="str">
        <x:f>IF(COUNTA($A56:$M56)=0,"",Instructions!$B$29+SUM($W$5:W56))</x:f>
      </x:c>
    </x:row>
    <x:row r="57" ht="36" customHeight="1">
      <x:c r="A57" s="439"/>
      <x:c r="B57" s="453"/>
      <x:c r="C57" s="453"/>
      <x:c r="D57" s="454"/>
      <x:c r="E57" s="454"/>
      <x:c r="F57" s="454"/>
      <x:c r="G57" s="986"/>
      <x:c r="H57" s="455"/>
      <x:c r="I57" s="456"/>
      <x:c r="J57" s="456"/>
      <x:c r="K57" s="986"/>
      <x:c r="L57" s="454"/>
      <x:c r="M57" s="439"/>
      <x:c r="N57" s="987" t="str">
        <x:f>IF(COUNTA($A57:$M57)=0,"",IF(OR(LEFT(LOWER(TRIM($F57&amp;"")),12)="subscription",LOWER(TRIM($F57&amp;""))="membership"),"",IF($G57="","",IF(ISNUMBER(SEARCH("non",LOWER($E57&amp;""))),$G57*0.85,$G57))))</x:f>
      </x:c>
      <x:c r="O57" s="987" t="str">
        <x:f>IF(COUNTA($A57:$M57)=0,"",IF(OR(LEFT(LOWER(TRIM($F57&amp;"")),12)="subscription",LOWER(TRIM($F57&amp;""))="membership"),"",IF(OR($N57="",$I57="",$I57=0),"",IFERROR($N57/$I57,""))))</x:f>
      </x:c>
      <x:c r="P57" s="987" t="str">
        <x:f>IF(COUNTA($A57:$M57)=0,"",IF(OR(LEFT(LOWER(TRIM($F57&amp;"")),12)="subscription",LOWER(TRIM($F57&amp;""))="membership"),"",IF(LOWER($L57&amp;"")="yes",0,IF(OR(AND($H57&lt;&gt;"",$H57=0),LEFT(LOWER(TRIM($F57&amp;"")),9)="free game",LOWER(TRIM($F57&amp;""))="free",LOWER(TRIM($F57&amp;""))="free entry"),IF(LOWER($D57&amp;"")="finalized",IF(ISNUMBER($K57),$K57,""),IF($O57&lt;&gt;"",$O57,"")),IF($K57&lt;&gt;"",$K57,IF($O57&lt;&gt;"",$O57,""))))))</x:f>
      </x:c>
      <x:c r="Q57" s="114" t="str">
        <x:f>IF(COUNTA($A57:$M57)=0,"",IF(OR($U57="Subscription",$U57=""),"",IF($U57="Profit",ROUND(IFERROR($P57,0)-IFERROR($H57,0),2),0)))</x:f>
      </x:c>
      <x:c r="R57" s="114" t="str">
        <x:f>IF(COUNTA($A57:$M57)=0,"",IF(OR($U57="Subscription",$U57=""),"",IF($U57="Draw",$H57,0)))</x:f>
      </x:c>
      <x:c r="S57" s="114" t="str">
        <x:f>IF(COUNTA($A57:$M57)=0,"",IF(OR($U57="Subscription",$U57=""),"",IF($U57="Disqualified",$H57,0)))</x:f>
      </x:c>
      <x:c r="T57" s="955" t="str">
        <x:f>IF(COUNTA($A57:$M57)=0,"",IF(OR($U57="Subscription",$U57=""),"",IF(OR($U57="Free Game",$U57="Disqualified — Free Game",$H57=0),"N/A",IF($U57="Profit",$Q57/$H57,IF($U57="Disqualified",-$S57/$H57,0)))))</x:f>
      </x:c>
      <x:c r="U57" s="920" t="str">
        <x:f>IF(COUNTA($A57:$M57)=0,"",IF(OR(LEFT(LOWER(TRIM($F57&amp;"")),12)="subscription",LOWER(TRIM($F57&amp;""))="membership"),"Subscription",IF(OR(AND($H57&lt;&gt;"",$H57=0),LEFT(LOWER(TRIM($F57&amp;"")),9)="free game",LOWER(TRIM($F57&amp;""))="free",LOWER(TRIM($F57&amp;""))="free entry"),IF(LOWER($L57&amp;"")="yes","Disqualified — Free Game","Free Game"),IF(LOWER($L57&amp;"")="yes","Disqualified",IF($P57="","",IF(ROUND(IFERROR(VALUE($P57),0)-IFERROR(VALUE($H57),0),2)&gt;0,"Profit","Draw"))))))</x:f>
      </x:c>
      <x:c r="V57" s="956" t="str">
        <x:f>IF(COUNTA($A57:$M57)=0,"",IF(OR($B57="",$C57="",$U57="Subscription"),"",IFERROR(ROUNDUP(($C57-$B57)/7,0),"")))</x:f>
      </x:c>
      <x:c r="W57" s="114" t="str">
        <x:f>IF(COUNTA($A57:$M57)=0,"",IF(OR($U57="Subscription",$U57=""),"",IF(OR($U57="Free Game",$U57="Disqualified — Free Game"),0,ROUND(IFERROR($Q57,0)-IFERROR($S57,0),2))))</x:f>
      </x:c>
      <x:c r="X57" s="956" t="str">
        <x:f>IF(COUNTA($A57:$M57)=0,"",IF(OR($U57="Subscription",NOT(ISNUMBER($J57)),NOT(ISNUMBER($I57)),$J57=0,$I57=0,$I57&gt;$J57),"",$J57-$I57))</x:f>
      </x:c>
      <x:c r="Y57" s="955" t="str">
        <x:f>IF(COUNTA($A57:$M57)=0,"",IF(OR($U57="Subscription",NOT(ISNUMBER($J57)),$J57=0,$X57=""),"",$X57/$J57))</x:f>
      </x:c>
      <x:c r="Z57" s="957" t="str">
        <x:f>IF(COUNTA($A57:$M57)=0,"",Instructions!$B$29+SUM($W$5:W57))</x:f>
      </x:c>
    </x:row>
    <x:row r="58" ht="36" customHeight="1">
      <x:c r="A58" s="439"/>
      <x:c r="B58" s="453"/>
      <x:c r="C58" s="453"/>
      <x:c r="D58" s="454"/>
      <x:c r="E58" s="454"/>
      <x:c r="F58" s="454"/>
      <x:c r="G58" s="986"/>
      <x:c r="H58" s="455"/>
      <x:c r="I58" s="456"/>
      <x:c r="J58" s="456"/>
      <x:c r="K58" s="986"/>
      <x:c r="L58" s="454"/>
      <x:c r="M58" s="439"/>
      <x:c r="N58" s="987" t="str">
        <x:f>IF(COUNTA($A58:$M58)=0,"",IF(OR(LEFT(LOWER(TRIM($F58&amp;"")),12)="subscription",LOWER(TRIM($F58&amp;""))="membership"),"",IF($G58="","",IF(ISNUMBER(SEARCH("non",LOWER($E58&amp;""))),$G58*0.85,$G58))))</x:f>
      </x:c>
      <x:c r="O58" s="987" t="str">
        <x:f>IF(COUNTA($A58:$M58)=0,"",IF(OR(LEFT(LOWER(TRIM($F58&amp;"")),12)="subscription",LOWER(TRIM($F58&amp;""))="membership"),"",IF(OR($N58="",$I58="",$I58=0),"",IFERROR($N58/$I58,""))))</x:f>
      </x:c>
      <x:c r="P58" s="987" t="str">
        <x:f>IF(COUNTA($A58:$M58)=0,"",IF(OR(LEFT(LOWER(TRIM($F58&amp;"")),12)="subscription",LOWER(TRIM($F58&amp;""))="membership"),"",IF(LOWER($L58&amp;"")="yes",0,IF(OR(AND($H58&lt;&gt;"",$H58=0),LEFT(LOWER(TRIM($F58&amp;"")),9)="free game",LOWER(TRIM($F58&amp;""))="free",LOWER(TRIM($F58&amp;""))="free entry"),IF(LOWER($D58&amp;"")="finalized",IF(ISNUMBER($K58),$K58,""),IF($O58&lt;&gt;"",$O58,"")),IF($K58&lt;&gt;"",$K58,IF($O58&lt;&gt;"",$O58,""))))))</x:f>
      </x:c>
      <x:c r="Q58" s="114" t="str">
        <x:f>IF(COUNTA($A58:$M58)=0,"",IF(OR($U58="Subscription",$U58=""),"",IF($U58="Profit",ROUND(IFERROR($P58,0)-IFERROR($H58,0),2),0)))</x:f>
      </x:c>
      <x:c r="R58" s="114" t="str">
        <x:f>IF(COUNTA($A58:$M58)=0,"",IF(OR($U58="Subscription",$U58=""),"",IF($U58="Draw",$H58,0)))</x:f>
      </x:c>
      <x:c r="S58" s="114" t="str">
        <x:f>IF(COUNTA($A58:$M58)=0,"",IF(OR($U58="Subscription",$U58=""),"",IF($U58="Disqualified",$H58,0)))</x:f>
      </x:c>
      <x:c r="T58" s="955" t="str">
        <x:f>IF(COUNTA($A58:$M58)=0,"",IF(OR($U58="Subscription",$U58=""),"",IF(OR($U58="Free Game",$U58="Disqualified — Free Game",$H58=0),"N/A",IF($U58="Profit",$Q58/$H58,IF($U58="Disqualified",-$S58/$H58,0)))))</x:f>
      </x:c>
      <x:c r="U58" s="920" t="str">
        <x:f>IF(COUNTA($A58:$M58)=0,"",IF(OR(LEFT(LOWER(TRIM($F58&amp;"")),12)="subscription",LOWER(TRIM($F58&amp;""))="membership"),"Subscription",IF(OR(AND($H58&lt;&gt;"",$H58=0),LEFT(LOWER(TRIM($F58&amp;"")),9)="free game",LOWER(TRIM($F58&amp;""))="free",LOWER(TRIM($F58&amp;""))="free entry"),IF(LOWER($L58&amp;"")="yes","Disqualified — Free Game","Free Game"),IF(LOWER($L58&amp;"")="yes","Disqualified",IF($P58="","",IF(ROUND(IFERROR(VALUE($P58),0)-IFERROR(VALUE($H58),0),2)&gt;0,"Profit","Draw"))))))</x:f>
      </x:c>
      <x:c r="V58" s="956" t="str">
        <x:f>IF(COUNTA($A58:$M58)=0,"",IF(OR($B58="",$C58="",$U58="Subscription"),"",IFERROR(ROUNDUP(($C58-$B58)/7,0),"")))</x:f>
      </x:c>
      <x:c r="W58" s="114" t="str">
        <x:f>IF(COUNTA($A58:$M58)=0,"",IF(OR($U58="Subscription",$U58=""),"",IF(OR($U58="Free Game",$U58="Disqualified — Free Game"),0,ROUND(IFERROR($Q58,0)-IFERROR($S58,0),2))))</x:f>
      </x:c>
      <x:c r="X58" s="956" t="str">
        <x:f>IF(COUNTA($A58:$M58)=0,"",IF(OR($U58="Subscription",NOT(ISNUMBER($J58)),NOT(ISNUMBER($I58)),$J58=0,$I58=0,$I58&gt;$J58),"",$J58-$I58))</x:f>
      </x:c>
      <x:c r="Y58" s="955" t="str">
        <x:f>IF(COUNTA($A58:$M58)=0,"",IF(OR($U58="Subscription",NOT(ISNUMBER($J58)),$J58=0,$X58=""),"",$X58/$J58))</x:f>
      </x:c>
      <x:c r="Z58" s="957" t="str">
        <x:f>IF(COUNTA($A58:$M58)=0,"",Instructions!$B$29+SUM($W$5:W58))</x:f>
      </x:c>
    </x:row>
    <x:row r="59" ht="36" customHeight="1">
      <x:c r="A59" s="439"/>
      <x:c r="B59" s="453"/>
      <x:c r="C59" s="453"/>
      <x:c r="D59" s="454"/>
      <x:c r="E59" s="454"/>
      <x:c r="F59" s="454"/>
      <x:c r="G59" s="986"/>
      <x:c r="H59" s="455"/>
      <x:c r="I59" s="456"/>
      <x:c r="J59" s="456"/>
      <x:c r="K59" s="986"/>
      <x:c r="L59" s="454"/>
      <x:c r="M59" s="439"/>
      <x:c r="N59" s="987" t="str">
        <x:f>IF(COUNTA($A59:$M59)=0,"",IF(OR(LEFT(LOWER(TRIM($F59&amp;"")),12)="subscription",LOWER(TRIM($F59&amp;""))="membership"),"",IF($G59="","",IF(ISNUMBER(SEARCH("non",LOWER($E59&amp;""))),$G59*0.85,$G59))))</x:f>
      </x:c>
      <x:c r="O59" s="987" t="str">
        <x:f>IF(COUNTA($A59:$M59)=0,"",IF(OR(LEFT(LOWER(TRIM($F59&amp;"")),12)="subscription",LOWER(TRIM($F59&amp;""))="membership"),"",IF(OR($N59="",$I59="",$I59=0),"",IFERROR($N59/$I59,""))))</x:f>
      </x:c>
      <x:c r="P59" s="987" t="str">
        <x:f>IF(COUNTA($A59:$M59)=0,"",IF(OR(LEFT(LOWER(TRIM($F59&amp;"")),12)="subscription",LOWER(TRIM($F59&amp;""))="membership"),"",IF(LOWER($L59&amp;"")="yes",0,IF(OR(AND($H59&lt;&gt;"",$H59=0),LEFT(LOWER(TRIM($F59&amp;"")),9)="free game",LOWER(TRIM($F59&amp;""))="free",LOWER(TRIM($F59&amp;""))="free entry"),IF(LOWER($D59&amp;"")="finalized",IF(ISNUMBER($K59),$K59,""),IF($O59&lt;&gt;"",$O59,"")),IF($K59&lt;&gt;"",$K59,IF($O59&lt;&gt;"",$O59,""))))))</x:f>
      </x:c>
      <x:c r="Q59" s="114" t="str">
        <x:f>IF(COUNTA($A59:$M59)=0,"",IF(OR($U59="Subscription",$U59=""),"",IF($U59="Profit",ROUND(IFERROR($P59,0)-IFERROR($H59,0),2),0)))</x:f>
      </x:c>
      <x:c r="R59" s="114" t="str">
        <x:f>IF(COUNTA($A59:$M59)=0,"",IF(OR($U59="Subscription",$U59=""),"",IF($U59="Draw",$H59,0)))</x:f>
      </x:c>
      <x:c r="S59" s="114" t="str">
        <x:f>IF(COUNTA($A59:$M59)=0,"",IF(OR($U59="Subscription",$U59=""),"",IF($U59="Disqualified",$H59,0)))</x:f>
      </x:c>
      <x:c r="T59" s="955" t="str">
        <x:f>IF(COUNTA($A59:$M59)=0,"",IF(OR($U59="Subscription",$U59=""),"",IF(OR($U59="Free Game",$U59="Disqualified — Free Game",$H59=0),"N/A",IF($U59="Profit",$Q59/$H59,IF($U59="Disqualified",-$S59/$H59,0)))))</x:f>
      </x:c>
      <x:c r="U59" s="920" t="str">
        <x:f>IF(COUNTA($A59:$M59)=0,"",IF(OR(LEFT(LOWER(TRIM($F59&amp;"")),12)="subscription",LOWER(TRIM($F59&amp;""))="membership"),"Subscription",IF(OR(AND($H59&lt;&gt;"",$H59=0),LEFT(LOWER(TRIM($F59&amp;"")),9)="free game",LOWER(TRIM($F59&amp;""))="free",LOWER(TRIM($F59&amp;""))="free entry"),IF(LOWER($L59&amp;"")="yes","Disqualified — Free Game","Free Game"),IF(LOWER($L59&amp;"")="yes","Disqualified",IF($P59="","",IF(ROUND(IFERROR(VALUE($P59),0)-IFERROR(VALUE($H59),0),2)&gt;0,"Profit","Draw"))))))</x:f>
      </x:c>
      <x:c r="V59" s="956" t="str">
        <x:f>IF(COUNTA($A59:$M59)=0,"",IF(OR($B59="",$C59="",$U59="Subscription"),"",IFERROR(ROUNDUP(($C59-$B59)/7,0),"")))</x:f>
      </x:c>
      <x:c r="W59" s="114" t="str">
        <x:f>IF(COUNTA($A59:$M59)=0,"",IF(OR($U59="Subscription",$U59=""),"",IF(OR($U59="Free Game",$U59="Disqualified — Free Game"),0,ROUND(IFERROR($Q59,0)-IFERROR($S59,0),2))))</x:f>
      </x:c>
      <x:c r="X59" s="956" t="str">
        <x:f>IF(COUNTA($A59:$M59)=0,"",IF(OR($U59="Subscription",NOT(ISNUMBER($J59)),NOT(ISNUMBER($I59)),$J59=0,$I59=0,$I59&gt;$J59),"",$J59-$I59))</x:f>
      </x:c>
      <x:c r="Y59" s="955" t="str">
        <x:f>IF(COUNTA($A59:$M59)=0,"",IF(OR($U59="Subscription",NOT(ISNUMBER($J59)),$J59=0,$X59=""),"",$X59/$J59))</x:f>
      </x:c>
      <x:c r="Z59" s="957" t="str">
        <x:f>IF(COUNTA($A59:$M59)=0,"",Instructions!$B$29+SUM($W$5:W59))</x:f>
      </x:c>
    </x:row>
    <x:row r="60" ht="36" customHeight="1">
      <x:c r="A60" s="439"/>
      <x:c r="B60" s="453"/>
      <x:c r="C60" s="453"/>
      <x:c r="D60" s="454"/>
      <x:c r="E60" s="454"/>
      <x:c r="F60" s="454"/>
      <x:c r="G60" s="986"/>
      <x:c r="H60" s="455"/>
      <x:c r="I60" s="456"/>
      <x:c r="J60" s="456"/>
      <x:c r="K60" s="986"/>
      <x:c r="L60" s="454"/>
      <x:c r="M60" s="439"/>
      <x:c r="N60" s="987" t="str">
        <x:f>IF(COUNTA($A60:$M60)=0,"",IF(OR(LEFT(LOWER(TRIM($F60&amp;"")),12)="subscription",LOWER(TRIM($F60&amp;""))="membership"),"",IF($G60="","",IF(ISNUMBER(SEARCH("non",LOWER($E60&amp;""))),$G60*0.85,$G60))))</x:f>
      </x:c>
      <x:c r="O60" s="987" t="str">
        <x:f>IF(COUNTA($A60:$M60)=0,"",IF(OR(LEFT(LOWER(TRIM($F60&amp;"")),12)="subscription",LOWER(TRIM($F60&amp;""))="membership"),"",IF(OR($N60="",$I60="",$I60=0),"",IFERROR($N60/$I60,""))))</x:f>
      </x:c>
      <x:c r="P60" s="987" t="str">
        <x:f>IF(COUNTA($A60:$M60)=0,"",IF(OR(LEFT(LOWER(TRIM($F60&amp;"")),12)="subscription",LOWER(TRIM($F60&amp;""))="membership"),"",IF(LOWER($L60&amp;"")="yes",0,IF(OR(AND($H60&lt;&gt;"",$H60=0),LEFT(LOWER(TRIM($F60&amp;"")),9)="free game",LOWER(TRIM($F60&amp;""))="free",LOWER(TRIM($F60&amp;""))="free entry"),IF(LOWER($D60&amp;"")="finalized",IF(ISNUMBER($K60),$K60,""),IF($O60&lt;&gt;"",$O60,"")),IF($K60&lt;&gt;"",$K60,IF($O60&lt;&gt;"",$O60,""))))))</x:f>
      </x:c>
      <x:c r="Q60" s="114" t="str">
        <x:f>IF(COUNTA($A60:$M60)=0,"",IF(OR($U60="Subscription",$U60=""),"",IF($U60="Profit",ROUND(IFERROR($P60,0)-IFERROR($H60,0),2),0)))</x:f>
      </x:c>
      <x:c r="R60" s="114" t="str">
        <x:f>IF(COUNTA($A60:$M60)=0,"",IF(OR($U60="Subscription",$U60=""),"",IF($U60="Draw",$H60,0)))</x:f>
      </x:c>
      <x:c r="S60" s="114" t="str">
        <x:f>IF(COUNTA($A60:$M60)=0,"",IF(OR($U60="Subscription",$U60=""),"",IF($U60="Disqualified",$H60,0)))</x:f>
      </x:c>
      <x:c r="T60" s="955" t="str">
        <x:f>IF(COUNTA($A60:$M60)=0,"",IF(OR($U60="Subscription",$U60=""),"",IF(OR($U60="Free Game",$U60="Disqualified — Free Game",$H60=0),"N/A",IF($U60="Profit",$Q60/$H60,IF($U60="Disqualified",-$S60/$H60,0)))))</x:f>
      </x:c>
      <x:c r="U60" s="920" t="str">
        <x:f>IF(COUNTA($A60:$M60)=0,"",IF(OR(LEFT(LOWER(TRIM($F60&amp;"")),12)="subscription",LOWER(TRIM($F60&amp;""))="membership"),"Subscription",IF(OR(AND($H60&lt;&gt;"",$H60=0),LEFT(LOWER(TRIM($F60&amp;"")),9)="free game",LOWER(TRIM($F60&amp;""))="free",LOWER(TRIM($F60&amp;""))="free entry"),IF(LOWER($L60&amp;"")="yes","Disqualified — Free Game","Free Game"),IF(LOWER($L60&amp;"")="yes","Disqualified",IF($P60="","",IF(ROUND(IFERROR(VALUE($P60),0)-IFERROR(VALUE($H60),0),2)&gt;0,"Profit","Draw"))))))</x:f>
      </x:c>
      <x:c r="V60" s="956" t="str">
        <x:f>IF(COUNTA($A60:$M60)=0,"",IF(OR($B60="",$C60="",$U60="Subscription"),"",IFERROR(ROUNDUP(($C60-$B60)/7,0),"")))</x:f>
      </x:c>
      <x:c r="W60" s="114" t="str">
        <x:f>IF(COUNTA($A60:$M60)=0,"",IF(OR($U60="Subscription",$U60=""),"",IF(OR($U60="Free Game",$U60="Disqualified — Free Game"),0,ROUND(IFERROR($Q60,0)-IFERROR($S60,0),2))))</x:f>
      </x:c>
      <x:c r="X60" s="956" t="str">
        <x:f>IF(COUNTA($A60:$M60)=0,"",IF(OR($U60="Subscription",NOT(ISNUMBER($J60)),NOT(ISNUMBER($I60)),$J60=0,$I60=0,$I60&gt;$J60),"",$J60-$I60))</x:f>
      </x:c>
      <x:c r="Y60" s="955" t="str">
        <x:f>IF(COUNTA($A60:$M60)=0,"",IF(OR($U60="Subscription",NOT(ISNUMBER($J60)),$J60=0,$X60=""),"",$X60/$J60))</x:f>
      </x:c>
      <x:c r="Z60" s="957" t="str">
        <x:f>IF(COUNTA($A60:$M60)=0,"",Instructions!$B$29+SUM($W$5:W60))</x:f>
      </x:c>
    </x:row>
    <x:row r="61" ht="36" customHeight="1">
      <x:c r="A61" s="439"/>
      <x:c r="B61" s="453"/>
      <x:c r="C61" s="453"/>
      <x:c r="D61" s="454"/>
      <x:c r="E61" s="454"/>
      <x:c r="F61" s="454"/>
      <x:c r="G61" s="986"/>
      <x:c r="H61" s="455"/>
      <x:c r="I61" s="456"/>
      <x:c r="J61" s="456"/>
      <x:c r="K61" s="986"/>
      <x:c r="L61" s="454"/>
      <x:c r="M61" s="439"/>
      <x:c r="N61" s="987" t="str">
        <x:f>IF(COUNTA($A61:$M61)=0,"",IF(OR(LEFT(LOWER(TRIM($F61&amp;"")),12)="subscription",LOWER(TRIM($F61&amp;""))="membership"),"",IF($G61="","",IF(ISNUMBER(SEARCH("non",LOWER($E61&amp;""))),$G61*0.85,$G61))))</x:f>
      </x:c>
      <x:c r="O61" s="987" t="str">
        <x:f>IF(COUNTA($A61:$M61)=0,"",IF(OR(LEFT(LOWER(TRIM($F61&amp;"")),12)="subscription",LOWER(TRIM($F61&amp;""))="membership"),"",IF(OR($N61="",$I61="",$I61=0),"",IFERROR($N61/$I61,""))))</x:f>
      </x:c>
      <x:c r="P61" s="987" t="str">
        <x:f>IF(COUNTA($A61:$M61)=0,"",IF(OR(LEFT(LOWER(TRIM($F61&amp;"")),12)="subscription",LOWER(TRIM($F61&amp;""))="membership"),"",IF(LOWER($L61&amp;"")="yes",0,IF(OR(AND($H61&lt;&gt;"",$H61=0),LEFT(LOWER(TRIM($F61&amp;"")),9)="free game",LOWER(TRIM($F61&amp;""))="free",LOWER(TRIM($F61&amp;""))="free entry"),IF(LOWER($D61&amp;"")="finalized",IF(ISNUMBER($K61),$K61,""),IF($O61&lt;&gt;"",$O61,"")),IF($K61&lt;&gt;"",$K61,IF($O61&lt;&gt;"",$O61,""))))))</x:f>
      </x:c>
      <x:c r="Q61" s="114" t="str">
        <x:f>IF(COUNTA($A61:$M61)=0,"",IF(OR($U61="Subscription",$U61=""),"",IF($U61="Profit",ROUND(IFERROR($P61,0)-IFERROR($H61,0),2),0)))</x:f>
      </x:c>
      <x:c r="R61" s="114" t="str">
        <x:f>IF(COUNTA($A61:$M61)=0,"",IF(OR($U61="Subscription",$U61=""),"",IF($U61="Draw",$H61,0)))</x:f>
      </x:c>
      <x:c r="S61" s="114" t="str">
        <x:f>IF(COUNTA($A61:$M61)=0,"",IF(OR($U61="Subscription",$U61=""),"",IF($U61="Disqualified",$H61,0)))</x:f>
      </x:c>
      <x:c r="T61" s="955" t="str">
        <x:f>IF(COUNTA($A61:$M61)=0,"",IF(OR($U61="Subscription",$U61=""),"",IF(OR($U61="Free Game",$U61="Disqualified — Free Game",$H61=0),"N/A",IF($U61="Profit",$Q61/$H61,IF($U61="Disqualified",-$S61/$H61,0)))))</x:f>
      </x:c>
      <x:c r="U61" s="920" t="str">
        <x:f>IF(COUNTA($A61:$M61)=0,"",IF(OR(LEFT(LOWER(TRIM($F61&amp;"")),12)="subscription",LOWER(TRIM($F61&amp;""))="membership"),"Subscription",IF(OR(AND($H61&lt;&gt;"",$H61=0),LEFT(LOWER(TRIM($F61&amp;"")),9)="free game",LOWER(TRIM($F61&amp;""))="free",LOWER(TRIM($F61&amp;""))="free entry"),IF(LOWER($L61&amp;"")="yes","Disqualified — Free Game","Free Game"),IF(LOWER($L61&amp;"")="yes","Disqualified",IF($P61="","",IF(ROUND(IFERROR(VALUE($P61),0)-IFERROR(VALUE($H61),0),2)&gt;0,"Profit","Draw"))))))</x:f>
      </x:c>
      <x:c r="V61" s="956" t="str">
        <x:f>IF(COUNTA($A61:$M61)=0,"",IF(OR($B61="",$C61="",$U61="Subscription"),"",IFERROR(ROUNDUP(($C61-$B61)/7,0),"")))</x:f>
      </x:c>
      <x:c r="W61" s="114" t="str">
        <x:f>IF(COUNTA($A61:$M61)=0,"",IF(OR($U61="Subscription",$U61=""),"",IF(OR($U61="Free Game",$U61="Disqualified — Free Game"),0,ROUND(IFERROR($Q61,0)-IFERROR($S61,0),2))))</x:f>
      </x:c>
      <x:c r="X61" s="956" t="str">
        <x:f>IF(COUNTA($A61:$M61)=0,"",IF(OR($U61="Subscription",NOT(ISNUMBER($J61)),NOT(ISNUMBER($I61)),$J61=0,$I61=0,$I61&gt;$J61),"",$J61-$I61))</x:f>
      </x:c>
      <x:c r="Y61" s="955" t="str">
        <x:f>IF(COUNTA($A61:$M61)=0,"",IF(OR($U61="Subscription",NOT(ISNUMBER($J61)),$J61=0,$X61=""),"",$X61/$J61))</x:f>
      </x:c>
      <x:c r="Z61" s="957" t="str">
        <x:f>IF(COUNTA($A61:$M61)=0,"",Instructions!$B$29+SUM($W$5:W61))</x:f>
      </x:c>
    </x:row>
    <x:row r="62" ht="36" customHeight="1">
      <x:c r="A62" s="439"/>
      <x:c r="B62" s="453"/>
      <x:c r="C62" s="453"/>
      <x:c r="D62" s="454"/>
      <x:c r="E62" s="454"/>
      <x:c r="F62" s="454"/>
      <x:c r="G62" s="986"/>
      <x:c r="H62" s="455"/>
      <x:c r="I62" s="456"/>
      <x:c r="J62" s="456"/>
      <x:c r="K62" s="986"/>
      <x:c r="L62" s="454"/>
      <x:c r="M62" s="439"/>
      <x:c r="N62" s="987" t="str">
        <x:f>IF(COUNTA($A62:$M62)=0,"",IF(OR(LEFT(LOWER(TRIM($F62&amp;"")),12)="subscription",LOWER(TRIM($F62&amp;""))="membership"),"",IF($G62="","",IF(ISNUMBER(SEARCH("non",LOWER($E62&amp;""))),$G62*0.85,$G62))))</x:f>
      </x:c>
      <x:c r="O62" s="987" t="str">
        <x:f>IF(COUNTA($A62:$M62)=0,"",IF(OR(LEFT(LOWER(TRIM($F62&amp;"")),12)="subscription",LOWER(TRIM($F62&amp;""))="membership"),"",IF(OR($N62="",$I62="",$I62=0),"",IFERROR($N62/$I62,""))))</x:f>
      </x:c>
      <x:c r="P62" s="987" t="str">
        <x:f>IF(COUNTA($A62:$M62)=0,"",IF(OR(LEFT(LOWER(TRIM($F62&amp;"")),12)="subscription",LOWER(TRIM($F62&amp;""))="membership"),"",IF(LOWER($L62&amp;"")="yes",0,IF(OR(AND($H62&lt;&gt;"",$H62=0),LEFT(LOWER(TRIM($F62&amp;"")),9)="free game",LOWER(TRIM($F62&amp;""))="free",LOWER(TRIM($F62&amp;""))="free entry"),IF(LOWER($D62&amp;"")="finalized",IF(ISNUMBER($K62),$K62,""),IF($O62&lt;&gt;"",$O62,"")),IF($K62&lt;&gt;"",$K62,IF($O62&lt;&gt;"",$O62,""))))))</x:f>
      </x:c>
      <x:c r="Q62" s="114" t="str">
        <x:f>IF(COUNTA($A62:$M62)=0,"",IF(OR($U62="Subscription",$U62=""),"",IF($U62="Profit",ROUND(IFERROR($P62,0)-IFERROR($H62,0),2),0)))</x:f>
      </x:c>
      <x:c r="R62" s="114" t="str">
        <x:f>IF(COUNTA($A62:$M62)=0,"",IF(OR($U62="Subscription",$U62=""),"",IF($U62="Draw",$H62,0)))</x:f>
      </x:c>
      <x:c r="S62" s="114" t="str">
        <x:f>IF(COUNTA($A62:$M62)=0,"",IF(OR($U62="Subscription",$U62=""),"",IF($U62="Disqualified",$H62,0)))</x:f>
      </x:c>
      <x:c r="T62" s="955" t="str">
        <x:f>IF(COUNTA($A62:$M62)=0,"",IF(OR($U62="Subscription",$U62=""),"",IF(OR($U62="Free Game",$U62="Disqualified — Free Game",$H62=0),"N/A",IF($U62="Profit",$Q62/$H62,IF($U62="Disqualified",-$S62/$H62,0)))))</x:f>
      </x:c>
      <x:c r="U62" s="920" t="str">
        <x:f>IF(COUNTA($A62:$M62)=0,"",IF(OR(LEFT(LOWER(TRIM($F62&amp;"")),12)="subscription",LOWER(TRIM($F62&amp;""))="membership"),"Subscription",IF(OR(AND($H62&lt;&gt;"",$H62=0),LEFT(LOWER(TRIM($F62&amp;"")),9)="free game",LOWER(TRIM($F62&amp;""))="free",LOWER(TRIM($F62&amp;""))="free entry"),IF(LOWER($L62&amp;"")="yes","Disqualified — Free Game","Free Game"),IF(LOWER($L62&amp;"")="yes","Disqualified",IF($P62="","",IF(ROUND(IFERROR(VALUE($P62),0)-IFERROR(VALUE($H62),0),2)&gt;0,"Profit","Draw"))))))</x:f>
      </x:c>
      <x:c r="V62" s="956" t="str">
        <x:f>IF(COUNTA($A62:$M62)=0,"",IF(OR($B62="",$C62="",$U62="Subscription"),"",IFERROR(ROUNDUP(($C62-$B62)/7,0),"")))</x:f>
      </x:c>
      <x:c r="W62" s="114" t="str">
        <x:f>IF(COUNTA($A62:$M62)=0,"",IF(OR($U62="Subscription",$U62=""),"",IF(OR($U62="Free Game",$U62="Disqualified — Free Game"),0,ROUND(IFERROR($Q62,0)-IFERROR($S62,0),2))))</x:f>
      </x:c>
      <x:c r="X62" s="956" t="str">
        <x:f>IF(COUNTA($A62:$M62)=0,"",IF(OR($U62="Subscription",NOT(ISNUMBER($J62)),NOT(ISNUMBER($I62)),$J62=0,$I62=0,$I62&gt;$J62),"",$J62-$I62))</x:f>
      </x:c>
      <x:c r="Y62" s="955" t="str">
        <x:f>IF(COUNTA($A62:$M62)=0,"",IF(OR($U62="Subscription",NOT(ISNUMBER($J62)),$J62=0,$X62=""),"",$X62/$J62))</x:f>
      </x:c>
      <x:c r="Z62" s="957" t="str">
        <x:f>IF(COUNTA($A62:$M62)=0,"",Instructions!$B$29+SUM($W$5:W62))</x:f>
      </x:c>
    </x:row>
    <x:row r="63" ht="36" customHeight="1">
      <x:c r="A63" s="439"/>
      <x:c r="B63" s="453"/>
      <x:c r="C63" s="453"/>
      <x:c r="D63" s="454"/>
      <x:c r="E63" s="454"/>
      <x:c r="F63" s="454"/>
      <x:c r="G63" s="986"/>
      <x:c r="H63" s="455"/>
      <x:c r="I63" s="456"/>
      <x:c r="J63" s="456"/>
      <x:c r="K63" s="986"/>
      <x:c r="L63" s="454"/>
      <x:c r="M63" s="439"/>
      <x:c r="N63" s="987" t="str">
        <x:f>IF(COUNTA($A63:$M63)=0,"",IF(OR(LEFT(LOWER(TRIM($F63&amp;"")),12)="subscription",LOWER(TRIM($F63&amp;""))="membership"),"",IF($G63="","",IF(ISNUMBER(SEARCH("non",LOWER($E63&amp;""))),$G63*0.85,$G63))))</x:f>
      </x:c>
      <x:c r="O63" s="987" t="str">
        <x:f>IF(COUNTA($A63:$M63)=0,"",IF(OR(LEFT(LOWER(TRIM($F63&amp;"")),12)="subscription",LOWER(TRIM($F63&amp;""))="membership"),"",IF(OR($N63="",$I63="",$I63=0),"",IFERROR($N63/$I63,""))))</x:f>
      </x:c>
      <x:c r="P63" s="987" t="str">
        <x:f>IF(COUNTA($A63:$M63)=0,"",IF(OR(LEFT(LOWER(TRIM($F63&amp;"")),12)="subscription",LOWER(TRIM($F63&amp;""))="membership"),"",IF(LOWER($L63&amp;"")="yes",0,IF(OR(AND($H63&lt;&gt;"",$H63=0),LEFT(LOWER(TRIM($F63&amp;"")),9)="free game",LOWER(TRIM($F63&amp;""))="free",LOWER(TRIM($F63&amp;""))="free entry"),IF(LOWER($D63&amp;"")="finalized",IF(ISNUMBER($K63),$K63,""),IF($O63&lt;&gt;"",$O63,"")),IF($K63&lt;&gt;"",$K63,IF($O63&lt;&gt;"",$O63,""))))))</x:f>
      </x:c>
      <x:c r="Q63" s="114" t="str">
        <x:f>IF(COUNTA($A63:$M63)=0,"",IF(OR($U63="Subscription",$U63=""),"",IF($U63="Profit",ROUND(IFERROR($P63,0)-IFERROR($H63,0),2),0)))</x:f>
      </x:c>
      <x:c r="R63" s="114" t="str">
        <x:f>IF(COUNTA($A63:$M63)=0,"",IF(OR($U63="Subscription",$U63=""),"",IF($U63="Draw",$H63,0)))</x:f>
      </x:c>
      <x:c r="S63" s="114" t="str">
        <x:f>IF(COUNTA($A63:$M63)=0,"",IF(OR($U63="Subscription",$U63=""),"",IF($U63="Disqualified",$H63,0)))</x:f>
      </x:c>
      <x:c r="T63" s="955" t="str">
        <x:f>IF(COUNTA($A63:$M63)=0,"",IF(OR($U63="Subscription",$U63=""),"",IF(OR($U63="Free Game",$U63="Disqualified — Free Game",$H63=0),"N/A",IF($U63="Profit",$Q63/$H63,IF($U63="Disqualified",-$S63/$H63,0)))))</x:f>
      </x:c>
      <x:c r="U63" s="920" t="str">
        <x:f>IF(COUNTA($A63:$M63)=0,"",IF(OR(LEFT(LOWER(TRIM($F63&amp;"")),12)="subscription",LOWER(TRIM($F63&amp;""))="membership"),"Subscription",IF(OR(AND($H63&lt;&gt;"",$H63=0),LEFT(LOWER(TRIM($F63&amp;"")),9)="free game",LOWER(TRIM($F63&amp;""))="free",LOWER(TRIM($F63&amp;""))="free entry"),IF(LOWER($L63&amp;"")="yes","Disqualified — Free Game","Free Game"),IF(LOWER($L63&amp;"")="yes","Disqualified",IF($P63="","",IF(ROUND(IFERROR(VALUE($P63),0)-IFERROR(VALUE($H63),0),2)&gt;0,"Profit","Draw"))))))</x:f>
      </x:c>
      <x:c r="V63" s="956" t="str">
        <x:f>IF(COUNTA($A63:$M63)=0,"",IF(OR($B63="",$C63="",$U63="Subscription"),"",IFERROR(ROUNDUP(($C63-$B63)/7,0),"")))</x:f>
      </x:c>
      <x:c r="W63" s="114" t="str">
        <x:f>IF(COUNTA($A63:$M63)=0,"",IF(OR($U63="Subscription",$U63=""),"",IF(OR($U63="Free Game",$U63="Disqualified — Free Game"),0,ROUND(IFERROR($Q63,0)-IFERROR($S63,0),2))))</x:f>
      </x:c>
      <x:c r="X63" s="956" t="str">
        <x:f>IF(COUNTA($A63:$M63)=0,"",IF(OR($U63="Subscription",NOT(ISNUMBER($J63)),NOT(ISNUMBER($I63)),$J63=0,$I63=0,$I63&gt;$J63),"",$J63-$I63))</x:f>
      </x:c>
      <x:c r="Y63" s="955" t="str">
        <x:f>IF(COUNTA($A63:$M63)=0,"",IF(OR($U63="Subscription",NOT(ISNUMBER($J63)),$J63=0,$X63=""),"",$X63/$J63))</x:f>
      </x:c>
      <x:c r="Z63" s="957" t="str">
        <x:f>IF(COUNTA($A63:$M63)=0,"",Instructions!$B$29+SUM($W$5:W63))</x:f>
      </x:c>
    </x:row>
    <x:row r="64" ht="36" customHeight="1">
      <x:c r="A64" s="439"/>
      <x:c r="B64" s="453"/>
      <x:c r="C64" s="453"/>
      <x:c r="D64" s="454"/>
      <x:c r="E64" s="454"/>
      <x:c r="F64" s="454"/>
      <x:c r="G64" s="986"/>
      <x:c r="H64" s="455"/>
      <x:c r="I64" s="456"/>
      <x:c r="J64" s="456"/>
      <x:c r="K64" s="986"/>
      <x:c r="L64" s="454"/>
      <x:c r="M64" s="439"/>
      <x:c r="N64" s="987" t="str">
        <x:f>IF(COUNTA($A64:$M64)=0,"",IF(OR(LEFT(LOWER(TRIM($F64&amp;"")),12)="subscription",LOWER(TRIM($F64&amp;""))="membership"),"",IF($G64="","",IF(ISNUMBER(SEARCH("non",LOWER($E64&amp;""))),$G64*0.85,$G64))))</x:f>
      </x:c>
      <x:c r="O64" s="987" t="str">
        <x:f>IF(COUNTA($A64:$M64)=0,"",IF(OR(LEFT(LOWER(TRIM($F64&amp;"")),12)="subscription",LOWER(TRIM($F64&amp;""))="membership"),"",IF(OR($N64="",$I64="",$I64=0),"",IFERROR($N64/$I64,""))))</x:f>
      </x:c>
      <x:c r="P64" s="987" t="str">
        <x:f>IF(COUNTA($A64:$M64)=0,"",IF(OR(LEFT(LOWER(TRIM($F64&amp;"")),12)="subscription",LOWER(TRIM($F64&amp;""))="membership"),"",IF(LOWER($L64&amp;"")="yes",0,IF(OR(AND($H64&lt;&gt;"",$H64=0),LEFT(LOWER(TRIM($F64&amp;"")),9)="free game",LOWER(TRIM($F64&amp;""))="free",LOWER(TRIM($F64&amp;""))="free entry"),IF(LOWER($D64&amp;"")="finalized",IF(ISNUMBER($K64),$K64,""),IF($O64&lt;&gt;"",$O64,"")),IF($K64&lt;&gt;"",$K64,IF($O64&lt;&gt;"",$O64,""))))))</x:f>
      </x:c>
      <x:c r="Q64" s="114" t="str">
        <x:f>IF(COUNTA($A64:$M64)=0,"",IF(OR($U64="Subscription",$U64=""),"",IF($U64="Profit",ROUND(IFERROR($P64,0)-IFERROR($H64,0),2),0)))</x:f>
      </x:c>
      <x:c r="R64" s="114" t="str">
        <x:f>IF(COUNTA($A64:$M64)=0,"",IF(OR($U64="Subscription",$U64=""),"",IF($U64="Draw",$H64,0)))</x:f>
      </x:c>
      <x:c r="S64" s="114" t="str">
        <x:f>IF(COUNTA($A64:$M64)=0,"",IF(OR($U64="Subscription",$U64=""),"",IF($U64="Disqualified",$H64,0)))</x:f>
      </x:c>
      <x:c r="T64" s="955" t="str">
        <x:f>IF(COUNTA($A64:$M64)=0,"",IF(OR($U64="Subscription",$U64=""),"",IF(OR($U64="Free Game",$U64="Disqualified — Free Game",$H64=0),"N/A",IF($U64="Profit",$Q64/$H64,IF($U64="Disqualified",-$S64/$H64,0)))))</x:f>
      </x:c>
      <x:c r="U64" s="920" t="str">
        <x:f>IF(COUNTA($A64:$M64)=0,"",IF(OR(LEFT(LOWER(TRIM($F64&amp;"")),12)="subscription",LOWER(TRIM($F64&amp;""))="membership"),"Subscription",IF(OR(AND($H64&lt;&gt;"",$H64=0),LEFT(LOWER(TRIM($F64&amp;"")),9)="free game",LOWER(TRIM($F64&amp;""))="free",LOWER(TRIM($F64&amp;""))="free entry"),IF(LOWER($L64&amp;"")="yes","Disqualified — Free Game","Free Game"),IF(LOWER($L64&amp;"")="yes","Disqualified",IF($P64="","",IF(ROUND(IFERROR(VALUE($P64),0)-IFERROR(VALUE($H64),0),2)&gt;0,"Profit","Draw"))))))</x:f>
      </x:c>
      <x:c r="V64" s="956" t="str">
        <x:f>IF(COUNTA($A64:$M64)=0,"",IF(OR($B64="",$C64="",$U64="Subscription"),"",IFERROR(ROUNDUP(($C64-$B64)/7,0),"")))</x:f>
      </x:c>
      <x:c r="W64" s="114" t="str">
        <x:f>IF(COUNTA($A64:$M64)=0,"",IF(OR($U64="Subscription",$U64=""),"",IF(OR($U64="Free Game",$U64="Disqualified — Free Game"),0,ROUND(IFERROR($Q64,0)-IFERROR($S64,0),2))))</x:f>
      </x:c>
      <x:c r="X64" s="956" t="str">
        <x:f>IF(COUNTA($A64:$M64)=0,"",IF(OR($U64="Subscription",NOT(ISNUMBER($J64)),NOT(ISNUMBER($I64)),$J64=0,$I64=0,$I64&gt;$J64),"",$J64-$I64))</x:f>
      </x:c>
      <x:c r="Y64" s="955" t="str">
        <x:f>IF(COUNTA($A64:$M64)=0,"",IF(OR($U64="Subscription",NOT(ISNUMBER($J64)),$J64=0,$X64=""),"",$X64/$J64))</x:f>
      </x:c>
      <x:c r="Z64" s="957" t="str">
        <x:f>IF(COUNTA($A64:$M64)=0,"",Instructions!$B$29+SUM($W$5:W64))</x:f>
      </x:c>
    </x:row>
    <x:row r="65" ht="36" customHeight="1">
      <x:c r="A65" s="439"/>
      <x:c r="B65" s="453"/>
      <x:c r="C65" s="453"/>
      <x:c r="D65" s="454"/>
      <x:c r="E65" s="454"/>
      <x:c r="F65" s="454"/>
      <x:c r="G65" s="986"/>
      <x:c r="H65" s="455"/>
      <x:c r="I65" s="456"/>
      <x:c r="J65" s="456"/>
      <x:c r="K65" s="986"/>
      <x:c r="L65" s="454"/>
      <x:c r="M65" s="439"/>
      <x:c r="N65" s="987" t="str">
        <x:f>IF(COUNTA($A65:$M65)=0,"",IF(OR(LEFT(LOWER(TRIM($F65&amp;"")),12)="subscription",LOWER(TRIM($F65&amp;""))="membership"),"",IF($G65="","",IF(ISNUMBER(SEARCH("non",LOWER($E65&amp;""))),$G65*0.85,$G65))))</x:f>
      </x:c>
      <x:c r="O65" s="987" t="str">
        <x:f>IF(COUNTA($A65:$M65)=0,"",IF(OR(LEFT(LOWER(TRIM($F65&amp;"")),12)="subscription",LOWER(TRIM($F65&amp;""))="membership"),"",IF(OR($N65="",$I65="",$I65=0),"",IFERROR($N65/$I65,""))))</x:f>
      </x:c>
      <x:c r="P65" s="987" t="str">
        <x:f>IF(COUNTA($A65:$M65)=0,"",IF(OR(LEFT(LOWER(TRIM($F65&amp;"")),12)="subscription",LOWER(TRIM($F65&amp;""))="membership"),"",IF(LOWER($L65&amp;"")="yes",0,IF(OR(AND($H65&lt;&gt;"",$H65=0),LEFT(LOWER(TRIM($F65&amp;"")),9)="free game",LOWER(TRIM($F65&amp;""))="free",LOWER(TRIM($F65&amp;""))="free entry"),IF(LOWER($D65&amp;"")="finalized",IF(ISNUMBER($K65),$K65,""),IF($O65&lt;&gt;"",$O65,"")),IF($K65&lt;&gt;"",$K65,IF($O65&lt;&gt;"",$O65,""))))))</x:f>
      </x:c>
      <x:c r="Q65" s="114" t="str">
        <x:f>IF(COUNTA($A65:$M65)=0,"",IF(OR($U65="Subscription",$U65=""),"",IF($U65="Profit",ROUND(IFERROR($P65,0)-IFERROR($H65,0),2),0)))</x:f>
      </x:c>
      <x:c r="R65" s="114" t="str">
        <x:f>IF(COUNTA($A65:$M65)=0,"",IF(OR($U65="Subscription",$U65=""),"",IF($U65="Draw",$H65,0)))</x:f>
      </x:c>
      <x:c r="S65" s="114" t="str">
        <x:f>IF(COUNTA($A65:$M65)=0,"",IF(OR($U65="Subscription",$U65=""),"",IF($U65="Disqualified",$H65,0)))</x:f>
      </x:c>
      <x:c r="T65" s="955" t="str">
        <x:f>IF(COUNTA($A65:$M65)=0,"",IF(OR($U65="Subscription",$U65=""),"",IF(OR($U65="Free Game",$U65="Disqualified — Free Game",$H65=0),"N/A",IF($U65="Profit",$Q65/$H65,IF($U65="Disqualified",-$S65/$H65,0)))))</x:f>
      </x:c>
      <x:c r="U65" s="920" t="str">
        <x:f>IF(COUNTA($A65:$M65)=0,"",IF(OR(LEFT(LOWER(TRIM($F65&amp;"")),12)="subscription",LOWER(TRIM($F65&amp;""))="membership"),"Subscription",IF(OR(AND($H65&lt;&gt;"",$H65=0),LEFT(LOWER(TRIM($F65&amp;"")),9)="free game",LOWER(TRIM($F65&amp;""))="free",LOWER(TRIM($F65&amp;""))="free entry"),IF(LOWER($L65&amp;"")="yes","Disqualified — Free Game","Free Game"),IF(LOWER($L65&amp;"")="yes","Disqualified",IF($P65="","",IF(ROUND(IFERROR(VALUE($P65),0)-IFERROR(VALUE($H65),0),2)&gt;0,"Profit","Draw"))))))</x:f>
      </x:c>
      <x:c r="V65" s="956" t="str">
        <x:f>IF(COUNTA($A65:$M65)=0,"",IF(OR($B65="",$C65="",$U65="Subscription"),"",IFERROR(ROUNDUP(($C65-$B65)/7,0),"")))</x:f>
      </x:c>
      <x:c r="W65" s="114" t="str">
        <x:f>IF(COUNTA($A65:$M65)=0,"",IF(OR($U65="Subscription",$U65=""),"",IF(OR($U65="Free Game",$U65="Disqualified — Free Game"),0,ROUND(IFERROR($Q65,0)-IFERROR($S65,0),2))))</x:f>
      </x:c>
      <x:c r="X65" s="956" t="str">
        <x:f>IF(COUNTA($A65:$M65)=0,"",IF(OR($U65="Subscription",NOT(ISNUMBER($J65)),NOT(ISNUMBER($I65)),$J65=0,$I65=0,$I65&gt;$J65),"",$J65-$I65))</x:f>
      </x:c>
      <x:c r="Y65" s="955" t="str">
        <x:f>IF(COUNTA($A65:$M65)=0,"",IF(OR($U65="Subscription",NOT(ISNUMBER($J65)),$J65=0,$X65=""),"",$X65/$J65))</x:f>
      </x:c>
      <x:c r="Z65" s="957" t="str">
        <x:f>IF(COUNTA($A65:$M65)=0,"",Instructions!$B$29+SUM($W$5:W65))</x:f>
      </x:c>
    </x:row>
    <x:row r="66" ht="36" customHeight="1">
      <x:c r="A66" s="439"/>
      <x:c r="B66" s="453"/>
      <x:c r="C66" s="453"/>
      <x:c r="D66" s="454"/>
      <x:c r="E66" s="454"/>
      <x:c r="F66" s="454"/>
      <x:c r="G66" s="986"/>
      <x:c r="H66" s="455"/>
      <x:c r="I66" s="456"/>
      <x:c r="J66" s="456"/>
      <x:c r="K66" s="986"/>
      <x:c r="L66" s="454"/>
      <x:c r="M66" s="439"/>
      <x:c r="N66" s="987" t="str">
        <x:f>IF(COUNTA($A66:$M66)=0,"",IF(OR(LEFT(LOWER(TRIM($F66&amp;"")),12)="subscription",LOWER(TRIM($F66&amp;""))="membership"),"",IF($G66="","",IF(ISNUMBER(SEARCH("non",LOWER($E66&amp;""))),$G66*0.85,$G66))))</x:f>
      </x:c>
      <x:c r="O66" s="987" t="str">
        <x:f>IF(COUNTA($A66:$M66)=0,"",IF(OR(LEFT(LOWER(TRIM($F66&amp;"")),12)="subscription",LOWER(TRIM($F66&amp;""))="membership"),"",IF(OR($N66="",$I66="",$I66=0),"",IFERROR($N66/$I66,""))))</x:f>
      </x:c>
      <x:c r="P66" s="987" t="str">
        <x:f>IF(COUNTA($A66:$M66)=0,"",IF(OR(LEFT(LOWER(TRIM($F66&amp;"")),12)="subscription",LOWER(TRIM($F66&amp;""))="membership"),"",IF(LOWER($L66&amp;"")="yes",0,IF(OR(AND($H66&lt;&gt;"",$H66=0),LEFT(LOWER(TRIM($F66&amp;"")),9)="free game",LOWER(TRIM($F66&amp;""))="free",LOWER(TRIM($F66&amp;""))="free entry"),IF(LOWER($D66&amp;"")="finalized",IF(ISNUMBER($K66),$K66,""),IF($O66&lt;&gt;"",$O66,"")),IF($K66&lt;&gt;"",$K66,IF($O66&lt;&gt;"",$O66,""))))))</x:f>
      </x:c>
      <x:c r="Q66" s="114" t="str">
        <x:f>IF(COUNTA($A66:$M66)=0,"",IF(OR($U66="Subscription",$U66=""),"",IF($U66="Profit",ROUND(IFERROR($P66,0)-IFERROR($H66,0),2),0)))</x:f>
      </x:c>
      <x:c r="R66" s="114" t="str">
        <x:f>IF(COUNTA($A66:$M66)=0,"",IF(OR($U66="Subscription",$U66=""),"",IF($U66="Draw",$H66,0)))</x:f>
      </x:c>
      <x:c r="S66" s="114" t="str">
        <x:f>IF(COUNTA($A66:$M66)=0,"",IF(OR($U66="Subscription",$U66=""),"",IF($U66="Disqualified",$H66,0)))</x:f>
      </x:c>
      <x:c r="T66" s="955" t="str">
        <x:f>IF(COUNTA($A66:$M66)=0,"",IF(OR($U66="Subscription",$U66=""),"",IF(OR($U66="Free Game",$U66="Disqualified — Free Game",$H66=0),"N/A",IF($U66="Profit",$Q66/$H66,IF($U66="Disqualified",-$S66/$H66,0)))))</x:f>
      </x:c>
      <x:c r="U66" s="920" t="str">
        <x:f>IF(COUNTA($A66:$M66)=0,"",IF(OR(LEFT(LOWER(TRIM($F66&amp;"")),12)="subscription",LOWER(TRIM($F66&amp;""))="membership"),"Subscription",IF(OR(AND($H66&lt;&gt;"",$H66=0),LEFT(LOWER(TRIM($F66&amp;"")),9)="free game",LOWER(TRIM($F66&amp;""))="free",LOWER(TRIM($F66&amp;""))="free entry"),IF(LOWER($L66&amp;"")="yes","Disqualified — Free Game","Free Game"),IF(LOWER($L66&amp;"")="yes","Disqualified",IF($P66="","",IF(ROUND(IFERROR(VALUE($P66),0)-IFERROR(VALUE($H66),0),2)&gt;0,"Profit","Draw"))))))</x:f>
      </x:c>
      <x:c r="V66" s="956" t="str">
        <x:f>IF(COUNTA($A66:$M66)=0,"",IF(OR($B66="",$C66="",$U66="Subscription"),"",IFERROR(ROUNDUP(($C66-$B66)/7,0),"")))</x:f>
      </x:c>
      <x:c r="W66" s="114" t="str">
        <x:f>IF(COUNTA($A66:$M66)=0,"",IF(OR($U66="Subscription",$U66=""),"",IF(OR($U66="Free Game",$U66="Disqualified — Free Game"),0,ROUND(IFERROR($Q66,0)-IFERROR($S66,0),2))))</x:f>
      </x:c>
      <x:c r="X66" s="956" t="str">
        <x:f>IF(COUNTA($A66:$M66)=0,"",IF(OR($U66="Subscription",NOT(ISNUMBER($J66)),NOT(ISNUMBER($I66)),$J66=0,$I66=0,$I66&gt;$J66),"",$J66-$I66))</x:f>
      </x:c>
      <x:c r="Y66" s="955" t="str">
        <x:f>IF(COUNTA($A66:$M66)=0,"",IF(OR($U66="Subscription",NOT(ISNUMBER($J66)),$J66=0,$X66=""),"",$X66/$J66))</x:f>
      </x:c>
      <x:c r="Z66" s="957" t="str">
        <x:f>IF(COUNTA($A66:$M66)=0,"",Instructions!$B$29+SUM($W$5:W66))</x:f>
      </x:c>
    </x:row>
    <x:row r="67" ht="36" customHeight="1">
      <x:c r="A67" s="439"/>
      <x:c r="B67" s="453"/>
      <x:c r="C67" s="453"/>
      <x:c r="D67" s="454"/>
      <x:c r="E67" s="454"/>
      <x:c r="F67" s="454"/>
      <x:c r="G67" s="986"/>
      <x:c r="H67" s="455"/>
      <x:c r="I67" s="456"/>
      <x:c r="J67" s="456"/>
      <x:c r="K67" s="986"/>
      <x:c r="L67" s="454"/>
      <x:c r="M67" s="439"/>
      <x:c r="N67" s="987" t="str">
        <x:f>IF(COUNTA($A67:$M67)=0,"",IF(OR(LEFT(LOWER(TRIM($F67&amp;"")),12)="subscription",LOWER(TRIM($F67&amp;""))="membership"),"",IF($G67="","",IF(ISNUMBER(SEARCH("non",LOWER($E67&amp;""))),$G67*0.85,$G67))))</x:f>
      </x:c>
      <x:c r="O67" s="987" t="str">
        <x:f>IF(COUNTA($A67:$M67)=0,"",IF(OR(LEFT(LOWER(TRIM($F67&amp;"")),12)="subscription",LOWER(TRIM($F67&amp;""))="membership"),"",IF(OR($N67="",$I67="",$I67=0),"",IFERROR($N67/$I67,""))))</x:f>
      </x:c>
      <x:c r="P67" s="987" t="str">
        <x:f>IF(COUNTA($A67:$M67)=0,"",IF(OR(LEFT(LOWER(TRIM($F67&amp;"")),12)="subscription",LOWER(TRIM($F67&amp;""))="membership"),"",IF(LOWER($L67&amp;"")="yes",0,IF(OR(AND($H67&lt;&gt;"",$H67=0),LEFT(LOWER(TRIM($F67&amp;"")),9)="free game",LOWER(TRIM($F67&amp;""))="free",LOWER(TRIM($F67&amp;""))="free entry"),IF(LOWER($D67&amp;"")="finalized",IF(ISNUMBER($K67),$K67,""),IF($O67&lt;&gt;"",$O67,"")),IF($K67&lt;&gt;"",$K67,IF($O67&lt;&gt;"",$O67,""))))))</x:f>
      </x:c>
      <x:c r="Q67" s="114" t="str">
        <x:f>IF(COUNTA($A67:$M67)=0,"",IF(OR($U67="Subscription",$U67=""),"",IF($U67="Profit",ROUND(IFERROR($P67,0)-IFERROR($H67,0),2),0)))</x:f>
      </x:c>
      <x:c r="R67" s="114" t="str">
        <x:f>IF(COUNTA($A67:$M67)=0,"",IF(OR($U67="Subscription",$U67=""),"",IF($U67="Draw",$H67,0)))</x:f>
      </x:c>
      <x:c r="S67" s="114" t="str">
        <x:f>IF(COUNTA($A67:$M67)=0,"",IF(OR($U67="Subscription",$U67=""),"",IF($U67="Disqualified",$H67,0)))</x:f>
      </x:c>
      <x:c r="T67" s="955" t="str">
        <x:f>IF(COUNTA($A67:$M67)=0,"",IF(OR($U67="Subscription",$U67=""),"",IF(OR($U67="Free Game",$U67="Disqualified — Free Game",$H67=0),"N/A",IF($U67="Profit",$Q67/$H67,IF($U67="Disqualified",-$S67/$H67,0)))))</x:f>
      </x:c>
      <x:c r="U67" s="920" t="str">
        <x:f>IF(COUNTA($A67:$M67)=0,"",IF(OR(LEFT(LOWER(TRIM($F67&amp;"")),12)="subscription",LOWER(TRIM($F67&amp;""))="membership"),"Subscription",IF(OR(AND($H67&lt;&gt;"",$H67=0),LEFT(LOWER(TRIM($F67&amp;"")),9)="free game",LOWER(TRIM($F67&amp;""))="free",LOWER(TRIM($F67&amp;""))="free entry"),IF(LOWER($L67&amp;"")="yes","Disqualified — Free Game","Free Game"),IF(LOWER($L67&amp;"")="yes","Disqualified",IF($P67="","",IF(ROUND(IFERROR(VALUE($P67),0)-IFERROR(VALUE($H67),0),2)&gt;0,"Profit","Draw"))))))</x:f>
      </x:c>
      <x:c r="V67" s="956" t="str">
        <x:f>IF(COUNTA($A67:$M67)=0,"",IF(OR($B67="",$C67="",$U67="Subscription"),"",IFERROR(ROUNDUP(($C67-$B67)/7,0),"")))</x:f>
      </x:c>
      <x:c r="W67" s="114" t="str">
        <x:f>IF(COUNTA($A67:$M67)=0,"",IF(OR($U67="Subscription",$U67=""),"",IF(OR($U67="Free Game",$U67="Disqualified — Free Game"),0,ROUND(IFERROR($Q67,0)-IFERROR($S67,0),2))))</x:f>
      </x:c>
      <x:c r="X67" s="956" t="str">
        <x:f>IF(COUNTA($A67:$M67)=0,"",IF(OR($U67="Subscription",NOT(ISNUMBER($J67)),NOT(ISNUMBER($I67)),$J67=0,$I67=0,$I67&gt;$J67),"",$J67-$I67))</x:f>
      </x:c>
      <x:c r="Y67" s="955" t="str">
        <x:f>IF(COUNTA($A67:$M67)=0,"",IF(OR($U67="Subscription",NOT(ISNUMBER($J67)),$J67=0,$X67=""),"",$X67/$J67))</x:f>
      </x:c>
      <x:c r="Z67" s="957" t="str">
        <x:f>IF(COUNTA($A67:$M67)=0,"",Instructions!$B$29+SUM($W$5:W67))</x:f>
      </x:c>
    </x:row>
    <x:row r="68" ht="36" customHeight="1">
      <x:c r="A68" s="439"/>
      <x:c r="B68" s="453"/>
      <x:c r="C68" s="453"/>
      <x:c r="D68" s="454"/>
      <x:c r="E68" s="454"/>
      <x:c r="F68" s="454"/>
      <x:c r="G68" s="986"/>
      <x:c r="H68" s="455"/>
      <x:c r="I68" s="456"/>
      <x:c r="J68" s="456"/>
      <x:c r="K68" s="986"/>
      <x:c r="L68" s="454"/>
      <x:c r="M68" s="439"/>
      <x:c r="N68" s="987" t="str">
        <x:f>IF(COUNTA($A68:$M68)=0,"",IF(OR(LEFT(LOWER(TRIM($F68&amp;"")),12)="subscription",LOWER(TRIM($F68&amp;""))="membership"),"",IF($G68="","",IF(ISNUMBER(SEARCH("non",LOWER($E68&amp;""))),$G68*0.85,$G68))))</x:f>
      </x:c>
      <x:c r="O68" s="987" t="str">
        <x:f>IF(COUNTA($A68:$M68)=0,"",IF(OR(LEFT(LOWER(TRIM($F68&amp;"")),12)="subscription",LOWER(TRIM($F68&amp;""))="membership"),"",IF(OR($N68="",$I68="",$I68=0),"",IFERROR($N68/$I68,""))))</x:f>
      </x:c>
      <x:c r="P68" s="987" t="str">
        <x:f>IF(COUNTA($A68:$M68)=0,"",IF(OR(LEFT(LOWER(TRIM($F68&amp;"")),12)="subscription",LOWER(TRIM($F68&amp;""))="membership"),"",IF(LOWER($L68&amp;"")="yes",0,IF(OR(AND($H68&lt;&gt;"",$H68=0),LEFT(LOWER(TRIM($F68&amp;"")),9)="free game",LOWER(TRIM($F68&amp;""))="free",LOWER(TRIM($F68&amp;""))="free entry"),IF(LOWER($D68&amp;"")="finalized",IF(ISNUMBER($K68),$K68,""),IF($O68&lt;&gt;"",$O68,"")),IF($K68&lt;&gt;"",$K68,IF($O68&lt;&gt;"",$O68,""))))))</x:f>
      </x:c>
      <x:c r="Q68" s="114" t="str">
        <x:f>IF(COUNTA($A68:$M68)=0,"",IF(OR($U68="Subscription",$U68=""),"",IF($U68="Profit",ROUND(IFERROR($P68,0)-IFERROR($H68,0),2),0)))</x:f>
      </x:c>
      <x:c r="R68" s="114" t="str">
        <x:f>IF(COUNTA($A68:$M68)=0,"",IF(OR($U68="Subscription",$U68=""),"",IF($U68="Draw",$H68,0)))</x:f>
      </x:c>
      <x:c r="S68" s="114" t="str">
        <x:f>IF(COUNTA($A68:$M68)=0,"",IF(OR($U68="Subscription",$U68=""),"",IF($U68="Disqualified",$H68,0)))</x:f>
      </x:c>
      <x:c r="T68" s="955" t="str">
        <x:f>IF(COUNTA($A68:$M68)=0,"",IF(OR($U68="Subscription",$U68=""),"",IF(OR($U68="Free Game",$U68="Disqualified — Free Game",$H68=0),"N/A",IF($U68="Profit",$Q68/$H68,IF($U68="Disqualified",-$S68/$H68,0)))))</x:f>
      </x:c>
      <x:c r="U68" s="920" t="str">
        <x:f>IF(COUNTA($A68:$M68)=0,"",IF(OR(LEFT(LOWER(TRIM($F68&amp;"")),12)="subscription",LOWER(TRIM($F68&amp;""))="membership"),"Subscription",IF(OR(AND($H68&lt;&gt;"",$H68=0),LEFT(LOWER(TRIM($F68&amp;"")),9)="free game",LOWER(TRIM($F68&amp;""))="free",LOWER(TRIM($F68&amp;""))="free entry"),IF(LOWER($L68&amp;"")="yes","Disqualified — Free Game","Free Game"),IF(LOWER($L68&amp;"")="yes","Disqualified",IF($P68="","",IF(ROUND(IFERROR(VALUE($P68),0)-IFERROR(VALUE($H68),0),2)&gt;0,"Profit","Draw"))))))</x:f>
      </x:c>
      <x:c r="V68" s="956" t="str">
        <x:f>IF(COUNTA($A68:$M68)=0,"",IF(OR($B68="",$C68="",$U68="Subscription"),"",IFERROR(ROUNDUP(($C68-$B68)/7,0),"")))</x:f>
      </x:c>
      <x:c r="W68" s="114" t="str">
        <x:f>IF(COUNTA($A68:$M68)=0,"",IF(OR($U68="Subscription",$U68=""),"",IF(OR($U68="Free Game",$U68="Disqualified — Free Game"),0,ROUND(IFERROR($Q68,0)-IFERROR($S68,0),2))))</x:f>
      </x:c>
      <x:c r="X68" s="956" t="str">
        <x:f>IF(COUNTA($A68:$M68)=0,"",IF(OR($U68="Subscription",NOT(ISNUMBER($J68)),NOT(ISNUMBER($I68)),$J68=0,$I68=0,$I68&gt;$J68),"",$J68-$I68))</x:f>
      </x:c>
      <x:c r="Y68" s="955" t="str">
        <x:f>IF(COUNTA($A68:$M68)=0,"",IF(OR($U68="Subscription",NOT(ISNUMBER($J68)),$J68=0,$X68=""),"",$X68/$J68))</x:f>
      </x:c>
      <x:c r="Z68" s="957" t="str">
        <x:f>IF(COUNTA($A68:$M68)=0,"",Instructions!$B$29+SUM($W$5:W68))</x:f>
      </x:c>
    </x:row>
    <x:row r="69" ht="36" customHeight="1">
      <x:c r="A69" s="439"/>
      <x:c r="B69" s="453"/>
      <x:c r="C69" s="453"/>
      <x:c r="D69" s="454"/>
      <x:c r="E69" s="454"/>
      <x:c r="F69" s="454"/>
      <x:c r="G69" s="986"/>
      <x:c r="H69" s="455"/>
      <x:c r="I69" s="456"/>
      <x:c r="J69" s="456"/>
      <x:c r="K69" s="986"/>
      <x:c r="L69" s="454"/>
      <x:c r="M69" s="439"/>
      <x:c r="N69" s="987" t="str">
        <x:f>IF(COUNTA($A69:$M69)=0,"",IF(OR(LEFT(LOWER(TRIM($F69&amp;"")),12)="subscription",LOWER(TRIM($F69&amp;""))="membership"),"",IF($G69="","",IF(ISNUMBER(SEARCH("non",LOWER($E69&amp;""))),$G69*0.85,$G69))))</x:f>
      </x:c>
      <x:c r="O69" s="987" t="str">
        <x:f>IF(COUNTA($A69:$M69)=0,"",IF(OR(LEFT(LOWER(TRIM($F69&amp;"")),12)="subscription",LOWER(TRIM($F69&amp;""))="membership"),"",IF(OR($N69="",$I69="",$I69=0),"",IFERROR($N69/$I69,""))))</x:f>
      </x:c>
      <x:c r="P69" s="987" t="str">
        <x:f>IF(COUNTA($A69:$M69)=0,"",IF(OR(LEFT(LOWER(TRIM($F69&amp;"")),12)="subscription",LOWER(TRIM($F69&amp;""))="membership"),"",IF(LOWER($L69&amp;"")="yes",0,IF(OR(AND($H69&lt;&gt;"",$H69=0),LEFT(LOWER(TRIM($F69&amp;"")),9)="free game",LOWER(TRIM($F69&amp;""))="free",LOWER(TRIM($F69&amp;""))="free entry"),IF(LOWER($D69&amp;"")="finalized",IF(ISNUMBER($K69),$K69,""),IF($O69&lt;&gt;"",$O69,"")),IF($K69&lt;&gt;"",$K69,IF($O69&lt;&gt;"",$O69,""))))))</x:f>
      </x:c>
      <x:c r="Q69" s="114" t="str">
        <x:f>IF(COUNTA($A69:$M69)=0,"",IF(OR($U69="Subscription",$U69=""),"",IF($U69="Profit",ROUND(IFERROR($P69,0)-IFERROR($H69,0),2),0)))</x:f>
      </x:c>
      <x:c r="R69" s="114" t="str">
        <x:f>IF(COUNTA($A69:$M69)=0,"",IF(OR($U69="Subscription",$U69=""),"",IF($U69="Draw",$H69,0)))</x:f>
      </x:c>
      <x:c r="S69" s="114" t="str">
        <x:f>IF(COUNTA($A69:$M69)=0,"",IF(OR($U69="Subscription",$U69=""),"",IF($U69="Disqualified",$H69,0)))</x:f>
      </x:c>
      <x:c r="T69" s="955" t="str">
        <x:f>IF(COUNTA($A69:$M69)=0,"",IF(OR($U69="Subscription",$U69=""),"",IF(OR($U69="Free Game",$U69="Disqualified — Free Game",$H69=0),"N/A",IF($U69="Profit",$Q69/$H69,IF($U69="Disqualified",-$S69/$H69,0)))))</x:f>
      </x:c>
      <x:c r="U69" s="920" t="str">
        <x:f>IF(COUNTA($A69:$M69)=0,"",IF(OR(LEFT(LOWER(TRIM($F69&amp;"")),12)="subscription",LOWER(TRIM($F69&amp;""))="membership"),"Subscription",IF(OR(AND($H69&lt;&gt;"",$H69=0),LEFT(LOWER(TRIM($F69&amp;"")),9)="free game",LOWER(TRIM($F69&amp;""))="free",LOWER(TRIM($F69&amp;""))="free entry"),IF(LOWER($L69&amp;"")="yes","Disqualified — Free Game","Free Game"),IF(LOWER($L69&amp;"")="yes","Disqualified",IF($P69="","",IF(ROUND(IFERROR(VALUE($P69),0)-IFERROR(VALUE($H69),0),2)&gt;0,"Profit","Draw"))))))</x:f>
      </x:c>
      <x:c r="V69" s="956" t="str">
        <x:f>IF(COUNTA($A69:$M69)=0,"",IF(OR($B69="",$C69="",$U69="Subscription"),"",IFERROR(ROUNDUP(($C69-$B69)/7,0),"")))</x:f>
      </x:c>
      <x:c r="W69" s="114" t="str">
        <x:f>IF(COUNTA($A69:$M69)=0,"",IF(OR($U69="Subscription",$U69=""),"",IF(OR($U69="Free Game",$U69="Disqualified — Free Game"),0,ROUND(IFERROR($Q69,0)-IFERROR($S69,0),2))))</x:f>
      </x:c>
      <x:c r="X69" s="956" t="str">
        <x:f>IF(COUNTA($A69:$M69)=0,"",IF(OR($U69="Subscription",NOT(ISNUMBER($J69)),NOT(ISNUMBER($I69)),$J69=0,$I69=0,$I69&gt;$J69),"",$J69-$I69))</x:f>
      </x:c>
      <x:c r="Y69" s="955" t="str">
        <x:f>IF(COUNTA($A69:$M69)=0,"",IF(OR($U69="Subscription",NOT(ISNUMBER($J69)),$J69=0,$X69=""),"",$X69/$J69))</x:f>
      </x:c>
      <x:c r="Z69" s="957" t="str">
        <x:f>IF(COUNTA($A69:$M69)=0,"",Instructions!$B$29+SUM($W$5:W69))</x:f>
      </x:c>
    </x:row>
    <x:row r="70" ht="36" customHeight="1">
      <x:c r="A70" s="439"/>
      <x:c r="B70" s="453"/>
      <x:c r="C70" s="453"/>
      <x:c r="D70" s="454"/>
      <x:c r="E70" s="454"/>
      <x:c r="F70" s="454"/>
      <x:c r="G70" s="986"/>
      <x:c r="H70" s="455"/>
      <x:c r="I70" s="456"/>
      <x:c r="J70" s="456"/>
      <x:c r="K70" s="986"/>
      <x:c r="L70" s="454"/>
      <x:c r="M70" s="439"/>
      <x:c r="N70" s="987" t="str">
        <x:f>IF(COUNTA($A70:$M70)=0,"",IF(OR(LEFT(LOWER(TRIM($F70&amp;"")),12)="subscription",LOWER(TRIM($F70&amp;""))="membership"),"",IF($G70="","",IF(ISNUMBER(SEARCH("non",LOWER($E70&amp;""))),$G70*0.85,$G70))))</x:f>
      </x:c>
      <x:c r="O70" s="987" t="str">
        <x:f>IF(COUNTA($A70:$M70)=0,"",IF(OR(LEFT(LOWER(TRIM($F70&amp;"")),12)="subscription",LOWER(TRIM($F70&amp;""))="membership"),"",IF(OR($N70="",$I70="",$I70=0),"",IFERROR($N70/$I70,""))))</x:f>
      </x:c>
      <x:c r="P70" s="987" t="str">
        <x:f>IF(COUNTA($A70:$M70)=0,"",IF(OR(LEFT(LOWER(TRIM($F70&amp;"")),12)="subscription",LOWER(TRIM($F70&amp;""))="membership"),"",IF(LOWER($L70&amp;"")="yes",0,IF(OR(AND($H70&lt;&gt;"",$H70=0),LEFT(LOWER(TRIM($F70&amp;"")),9)="free game",LOWER(TRIM($F70&amp;""))="free",LOWER(TRIM($F70&amp;""))="free entry"),IF(LOWER($D70&amp;"")="finalized",IF(ISNUMBER($K70),$K70,""),IF($O70&lt;&gt;"",$O70,"")),IF($K70&lt;&gt;"",$K70,IF($O70&lt;&gt;"",$O70,""))))))</x:f>
      </x:c>
      <x:c r="Q70" s="114" t="str">
        <x:f>IF(COUNTA($A70:$M70)=0,"",IF(OR($U70="Subscription",$U70=""),"",IF($U70="Profit",ROUND(IFERROR($P70,0)-IFERROR($H70,0),2),0)))</x:f>
      </x:c>
      <x:c r="R70" s="114" t="str">
        <x:f>IF(COUNTA($A70:$M70)=0,"",IF(OR($U70="Subscription",$U70=""),"",IF($U70="Draw",$H70,0)))</x:f>
      </x:c>
      <x:c r="S70" s="114" t="str">
        <x:f>IF(COUNTA($A70:$M70)=0,"",IF(OR($U70="Subscription",$U70=""),"",IF($U70="Disqualified",$H70,0)))</x:f>
      </x:c>
      <x:c r="T70" s="955" t="str">
        <x:f>IF(COUNTA($A70:$M70)=0,"",IF(OR($U70="Subscription",$U70=""),"",IF(OR($U70="Free Game",$U70="Disqualified — Free Game",$H70=0),"N/A",IF($U70="Profit",$Q70/$H70,IF($U70="Disqualified",-$S70/$H70,0)))))</x:f>
      </x:c>
      <x:c r="U70" s="920" t="str">
        <x:f>IF(COUNTA($A70:$M70)=0,"",IF(OR(LEFT(LOWER(TRIM($F70&amp;"")),12)="subscription",LOWER(TRIM($F70&amp;""))="membership"),"Subscription",IF(OR(AND($H70&lt;&gt;"",$H70=0),LEFT(LOWER(TRIM($F70&amp;"")),9)="free game",LOWER(TRIM($F70&amp;""))="free",LOWER(TRIM($F70&amp;""))="free entry"),IF(LOWER($L70&amp;"")="yes","Disqualified — Free Game","Free Game"),IF(LOWER($L70&amp;"")="yes","Disqualified",IF($P70="","",IF(ROUND(IFERROR(VALUE($P70),0)-IFERROR(VALUE($H70),0),2)&gt;0,"Profit","Draw"))))))</x:f>
      </x:c>
      <x:c r="V70" s="956" t="str">
        <x:f>IF(COUNTA($A70:$M70)=0,"",IF(OR($B70="",$C70="",$U70="Subscription"),"",IFERROR(ROUNDUP(($C70-$B70)/7,0),"")))</x:f>
      </x:c>
      <x:c r="W70" s="114" t="str">
        <x:f>IF(COUNTA($A70:$M70)=0,"",IF(OR($U70="Subscription",$U70=""),"",IF(OR($U70="Free Game",$U70="Disqualified — Free Game"),0,ROUND(IFERROR($Q70,0)-IFERROR($S70,0),2))))</x:f>
      </x:c>
      <x:c r="X70" s="956" t="str">
        <x:f>IF(COUNTA($A70:$M70)=0,"",IF(OR($U70="Subscription",NOT(ISNUMBER($J70)),NOT(ISNUMBER($I70)),$J70=0,$I70=0,$I70&gt;$J70),"",$J70-$I70))</x:f>
      </x:c>
      <x:c r="Y70" s="955" t="str">
        <x:f>IF(COUNTA($A70:$M70)=0,"",IF(OR($U70="Subscription",NOT(ISNUMBER($J70)),$J70=0,$X70=""),"",$X70/$J70))</x:f>
      </x:c>
      <x:c r="Z70" s="957" t="str">
        <x:f>IF(COUNTA($A70:$M70)=0,"",Instructions!$B$29+SUM($W$5:W70))</x:f>
      </x:c>
    </x:row>
    <x:row r="71" ht="36" customHeight="1">
      <x:c r="A71" s="439"/>
      <x:c r="B71" s="453"/>
      <x:c r="C71" s="453"/>
      <x:c r="D71" s="454"/>
      <x:c r="E71" s="454"/>
      <x:c r="F71" s="454"/>
      <x:c r="G71" s="986"/>
      <x:c r="H71" s="455"/>
      <x:c r="I71" s="456"/>
      <x:c r="J71" s="456"/>
      <x:c r="K71" s="986"/>
      <x:c r="L71" s="454"/>
      <x:c r="M71" s="439"/>
      <x:c r="N71" s="987" t="str">
        <x:f>IF(COUNTA($A71:$M71)=0,"",IF(OR(LEFT(LOWER(TRIM($F71&amp;"")),12)="subscription",LOWER(TRIM($F71&amp;""))="membership"),"",IF($G71="","",IF(ISNUMBER(SEARCH("non",LOWER($E71&amp;""))),$G71*0.85,$G71))))</x:f>
      </x:c>
      <x:c r="O71" s="987" t="str">
        <x:f>IF(COUNTA($A71:$M71)=0,"",IF(OR(LEFT(LOWER(TRIM($F71&amp;"")),12)="subscription",LOWER(TRIM($F71&amp;""))="membership"),"",IF(OR($N71="",$I71="",$I71=0),"",IFERROR($N71/$I71,""))))</x:f>
      </x:c>
      <x:c r="P71" s="987" t="str">
        <x:f>IF(COUNTA($A71:$M71)=0,"",IF(OR(LEFT(LOWER(TRIM($F71&amp;"")),12)="subscription",LOWER(TRIM($F71&amp;""))="membership"),"",IF(LOWER($L71&amp;"")="yes",0,IF(OR(AND($H71&lt;&gt;"",$H71=0),LEFT(LOWER(TRIM($F71&amp;"")),9)="free game",LOWER(TRIM($F71&amp;""))="free",LOWER(TRIM($F71&amp;""))="free entry"),IF(LOWER($D71&amp;"")="finalized",IF(ISNUMBER($K71),$K71,""),IF($O71&lt;&gt;"",$O71,"")),IF($K71&lt;&gt;"",$K71,IF($O71&lt;&gt;"",$O71,""))))))</x:f>
      </x:c>
      <x:c r="Q71" s="114" t="str">
        <x:f>IF(COUNTA($A71:$M71)=0,"",IF(OR($U71="Subscription",$U71=""),"",IF($U71="Profit",ROUND(IFERROR($P71,0)-IFERROR($H71,0),2),0)))</x:f>
      </x:c>
      <x:c r="R71" s="114" t="str">
        <x:f>IF(COUNTA($A71:$M71)=0,"",IF(OR($U71="Subscription",$U71=""),"",IF($U71="Draw",$H71,0)))</x:f>
      </x:c>
      <x:c r="S71" s="114" t="str">
        <x:f>IF(COUNTA($A71:$M71)=0,"",IF(OR($U71="Subscription",$U71=""),"",IF($U71="Disqualified",$H71,0)))</x:f>
      </x:c>
      <x:c r="T71" s="955" t="str">
        <x:f>IF(COUNTA($A71:$M71)=0,"",IF(OR($U71="Subscription",$U71=""),"",IF(OR($U71="Free Game",$U71="Disqualified — Free Game",$H71=0),"N/A",IF($U71="Profit",$Q71/$H71,IF($U71="Disqualified",-$S71/$H71,0)))))</x:f>
      </x:c>
      <x:c r="U71" s="920" t="str">
        <x:f>IF(COUNTA($A71:$M71)=0,"",IF(OR(LEFT(LOWER(TRIM($F71&amp;"")),12)="subscription",LOWER(TRIM($F71&amp;""))="membership"),"Subscription",IF(OR(AND($H71&lt;&gt;"",$H71=0),LEFT(LOWER(TRIM($F71&amp;"")),9)="free game",LOWER(TRIM($F71&amp;""))="free",LOWER(TRIM($F71&amp;""))="free entry"),IF(LOWER($L71&amp;"")="yes","Disqualified — Free Game","Free Game"),IF(LOWER($L71&amp;"")="yes","Disqualified",IF($P71="","",IF(ROUND(IFERROR(VALUE($P71),0)-IFERROR(VALUE($H71),0),2)&gt;0,"Profit","Draw"))))))</x:f>
      </x:c>
      <x:c r="V71" s="956" t="str">
        <x:f>IF(COUNTA($A71:$M71)=0,"",IF(OR($B71="",$C71="",$U71="Subscription"),"",IFERROR(ROUNDUP(($C71-$B71)/7,0),"")))</x:f>
      </x:c>
      <x:c r="W71" s="114" t="str">
        <x:f>IF(COUNTA($A71:$M71)=0,"",IF(OR($U71="Subscription",$U71=""),"",IF(OR($U71="Free Game",$U71="Disqualified — Free Game"),0,ROUND(IFERROR($Q71,0)-IFERROR($S71,0),2))))</x:f>
      </x:c>
      <x:c r="X71" s="956" t="str">
        <x:f>IF(COUNTA($A71:$M71)=0,"",IF(OR($U71="Subscription",NOT(ISNUMBER($J71)),NOT(ISNUMBER($I71)),$J71=0,$I71=0,$I71&gt;$J71),"",$J71-$I71))</x:f>
      </x:c>
      <x:c r="Y71" s="955" t="str">
        <x:f>IF(COUNTA($A71:$M71)=0,"",IF(OR($U71="Subscription",NOT(ISNUMBER($J71)),$J71=0,$X71=""),"",$X71/$J71))</x:f>
      </x:c>
      <x:c r="Z71" s="957" t="str">
        <x:f>IF(COUNTA($A71:$M71)=0,"",Instructions!$B$29+SUM($W$5:W71))</x:f>
      </x:c>
    </x:row>
    <x:row r="72" ht="36" customHeight="1">
      <x:c r="A72" s="439"/>
      <x:c r="B72" s="453"/>
      <x:c r="C72" s="453"/>
      <x:c r="D72" s="454"/>
      <x:c r="E72" s="454"/>
      <x:c r="F72" s="454"/>
      <x:c r="G72" s="986"/>
      <x:c r="H72" s="455"/>
      <x:c r="I72" s="456"/>
      <x:c r="J72" s="456"/>
      <x:c r="K72" s="986"/>
      <x:c r="L72" s="454"/>
      <x:c r="M72" s="439"/>
      <x:c r="N72" s="987" t="str">
        <x:f>IF(COUNTA($A72:$M72)=0,"",IF(OR(LEFT(LOWER(TRIM($F72&amp;"")),12)="subscription",LOWER(TRIM($F72&amp;""))="membership"),"",IF($G72="","",IF(ISNUMBER(SEARCH("non",LOWER($E72&amp;""))),$G72*0.85,$G72))))</x:f>
      </x:c>
      <x:c r="O72" s="987" t="str">
        <x:f>IF(COUNTA($A72:$M72)=0,"",IF(OR(LEFT(LOWER(TRIM($F72&amp;"")),12)="subscription",LOWER(TRIM($F72&amp;""))="membership"),"",IF(OR($N72="",$I72="",$I72=0),"",IFERROR($N72/$I72,""))))</x:f>
      </x:c>
      <x:c r="P72" s="987" t="str">
        <x:f>IF(COUNTA($A72:$M72)=0,"",IF(OR(LEFT(LOWER(TRIM($F72&amp;"")),12)="subscription",LOWER(TRIM($F72&amp;""))="membership"),"",IF(LOWER($L72&amp;"")="yes",0,IF(OR(AND($H72&lt;&gt;"",$H72=0),LEFT(LOWER(TRIM($F72&amp;"")),9)="free game",LOWER(TRIM($F72&amp;""))="free",LOWER(TRIM($F72&amp;""))="free entry"),IF(LOWER($D72&amp;"")="finalized",IF(ISNUMBER($K72),$K72,""),IF($O72&lt;&gt;"",$O72,"")),IF($K72&lt;&gt;"",$K72,IF($O72&lt;&gt;"",$O72,""))))))</x:f>
      </x:c>
      <x:c r="Q72" s="114" t="str">
        <x:f>IF(COUNTA($A72:$M72)=0,"",IF(OR($U72="Subscription",$U72=""),"",IF($U72="Profit",ROUND(IFERROR($P72,0)-IFERROR($H72,0),2),0)))</x:f>
      </x:c>
      <x:c r="R72" s="114" t="str">
        <x:f>IF(COUNTA($A72:$M72)=0,"",IF(OR($U72="Subscription",$U72=""),"",IF($U72="Draw",$H72,0)))</x:f>
      </x:c>
      <x:c r="S72" s="114" t="str">
        <x:f>IF(COUNTA($A72:$M72)=0,"",IF(OR($U72="Subscription",$U72=""),"",IF($U72="Disqualified",$H72,0)))</x:f>
      </x:c>
      <x:c r="T72" s="955" t="str">
        <x:f>IF(COUNTA($A72:$M72)=0,"",IF(OR($U72="Subscription",$U72=""),"",IF(OR($U72="Free Game",$U72="Disqualified — Free Game",$H72=0),"N/A",IF($U72="Profit",$Q72/$H72,IF($U72="Disqualified",-$S72/$H72,0)))))</x:f>
      </x:c>
      <x:c r="U72" s="920" t="str">
        <x:f>IF(COUNTA($A72:$M72)=0,"",IF(OR(LEFT(LOWER(TRIM($F72&amp;"")),12)="subscription",LOWER(TRIM($F72&amp;""))="membership"),"Subscription",IF(OR(AND($H72&lt;&gt;"",$H72=0),LEFT(LOWER(TRIM($F72&amp;"")),9)="free game",LOWER(TRIM($F72&amp;""))="free",LOWER(TRIM($F72&amp;""))="free entry"),IF(LOWER($L72&amp;"")="yes","Disqualified — Free Game","Free Game"),IF(LOWER($L72&amp;"")="yes","Disqualified",IF($P72="","",IF(ROUND(IFERROR(VALUE($P72),0)-IFERROR(VALUE($H72),0),2)&gt;0,"Profit","Draw"))))))</x:f>
      </x:c>
      <x:c r="V72" s="956" t="str">
        <x:f>IF(COUNTA($A72:$M72)=0,"",IF(OR($B72="",$C72="",$U72="Subscription"),"",IFERROR(ROUNDUP(($C72-$B72)/7,0),"")))</x:f>
      </x:c>
      <x:c r="W72" s="114" t="str">
        <x:f>IF(COUNTA($A72:$M72)=0,"",IF(OR($U72="Subscription",$U72=""),"",IF(OR($U72="Free Game",$U72="Disqualified — Free Game"),0,ROUND(IFERROR($Q72,0)-IFERROR($S72,0),2))))</x:f>
      </x:c>
      <x:c r="X72" s="956" t="str">
        <x:f>IF(COUNTA($A72:$M72)=0,"",IF(OR($U72="Subscription",NOT(ISNUMBER($J72)),NOT(ISNUMBER($I72)),$J72=0,$I72=0,$I72&gt;$J72),"",$J72-$I72))</x:f>
      </x:c>
      <x:c r="Y72" s="955" t="str">
        <x:f>IF(COUNTA($A72:$M72)=0,"",IF(OR($U72="Subscription",NOT(ISNUMBER($J72)),$J72=0,$X72=""),"",$X72/$J72))</x:f>
      </x:c>
      <x:c r="Z72" s="957" t="str">
        <x:f>IF(COUNTA($A72:$M72)=0,"",Instructions!$B$29+SUM($W$5:W72))</x:f>
      </x:c>
    </x:row>
    <x:row r="73" ht="36" customHeight="1">
      <x:c r="A73" s="439"/>
      <x:c r="B73" s="453"/>
      <x:c r="C73" s="453"/>
      <x:c r="D73" s="454"/>
      <x:c r="E73" s="454"/>
      <x:c r="F73" s="454"/>
      <x:c r="G73" s="986"/>
      <x:c r="H73" s="455"/>
      <x:c r="I73" s="456"/>
      <x:c r="J73" s="456"/>
      <x:c r="K73" s="986"/>
      <x:c r="L73" s="454"/>
      <x:c r="M73" s="439"/>
      <x:c r="N73" s="987" t="str">
        <x:f>IF(COUNTA($A73:$M73)=0,"",IF(OR(LEFT(LOWER(TRIM($F73&amp;"")),12)="subscription",LOWER(TRIM($F73&amp;""))="membership"),"",IF($G73="","",IF(ISNUMBER(SEARCH("non",LOWER($E73&amp;""))),$G73*0.85,$G73))))</x:f>
      </x:c>
      <x:c r="O73" s="987" t="str">
        <x:f>IF(COUNTA($A73:$M73)=0,"",IF(OR(LEFT(LOWER(TRIM($F73&amp;"")),12)="subscription",LOWER(TRIM($F73&amp;""))="membership"),"",IF(OR($N73="",$I73="",$I73=0),"",IFERROR($N73/$I73,""))))</x:f>
      </x:c>
      <x:c r="P73" s="987" t="str">
        <x:f>IF(COUNTA($A73:$M73)=0,"",IF(OR(LEFT(LOWER(TRIM($F73&amp;"")),12)="subscription",LOWER(TRIM($F73&amp;""))="membership"),"",IF(LOWER($L73&amp;"")="yes",0,IF(OR(AND($H73&lt;&gt;"",$H73=0),LEFT(LOWER(TRIM($F73&amp;"")),9)="free game",LOWER(TRIM($F73&amp;""))="free",LOWER(TRIM($F73&amp;""))="free entry"),IF(LOWER($D73&amp;"")="finalized",IF(ISNUMBER($K73),$K73,""),IF($O73&lt;&gt;"",$O73,"")),IF($K73&lt;&gt;"",$K73,IF($O73&lt;&gt;"",$O73,""))))))</x:f>
      </x:c>
      <x:c r="Q73" s="114" t="str">
        <x:f>IF(COUNTA($A73:$M73)=0,"",IF(OR($U73="Subscription",$U73=""),"",IF($U73="Profit",ROUND(IFERROR($P73,0)-IFERROR($H73,0),2),0)))</x:f>
      </x:c>
      <x:c r="R73" s="114" t="str">
        <x:f>IF(COUNTA($A73:$M73)=0,"",IF(OR($U73="Subscription",$U73=""),"",IF($U73="Draw",$H73,0)))</x:f>
      </x:c>
      <x:c r="S73" s="114" t="str">
        <x:f>IF(COUNTA($A73:$M73)=0,"",IF(OR($U73="Subscription",$U73=""),"",IF($U73="Disqualified",$H73,0)))</x:f>
      </x:c>
      <x:c r="T73" s="955" t="str">
        <x:f>IF(COUNTA($A73:$M73)=0,"",IF(OR($U73="Subscription",$U73=""),"",IF(OR($U73="Free Game",$U73="Disqualified — Free Game",$H73=0),"N/A",IF($U73="Profit",$Q73/$H73,IF($U73="Disqualified",-$S73/$H73,0)))))</x:f>
      </x:c>
      <x:c r="U73" s="920" t="str">
        <x:f>IF(COUNTA($A73:$M73)=0,"",IF(OR(LEFT(LOWER(TRIM($F73&amp;"")),12)="subscription",LOWER(TRIM($F73&amp;""))="membership"),"Subscription",IF(OR(AND($H73&lt;&gt;"",$H73=0),LEFT(LOWER(TRIM($F73&amp;"")),9)="free game",LOWER(TRIM($F73&amp;""))="free",LOWER(TRIM($F73&amp;""))="free entry"),IF(LOWER($L73&amp;"")="yes","Disqualified — Free Game","Free Game"),IF(LOWER($L73&amp;"")="yes","Disqualified",IF($P73="","",IF(ROUND(IFERROR(VALUE($P73),0)-IFERROR(VALUE($H73),0),2)&gt;0,"Profit","Draw"))))))</x:f>
      </x:c>
      <x:c r="V73" s="956" t="str">
        <x:f>IF(COUNTA($A73:$M73)=0,"",IF(OR($B73="",$C73="",$U73="Subscription"),"",IFERROR(ROUNDUP(($C73-$B73)/7,0),"")))</x:f>
      </x:c>
      <x:c r="W73" s="114" t="str">
        <x:f>IF(COUNTA($A73:$M73)=0,"",IF(OR($U73="Subscription",$U73=""),"",IF(OR($U73="Free Game",$U73="Disqualified — Free Game"),0,ROUND(IFERROR($Q73,0)-IFERROR($S73,0),2))))</x:f>
      </x:c>
      <x:c r="X73" s="956" t="str">
        <x:f>IF(COUNTA($A73:$M73)=0,"",IF(OR($U73="Subscription",NOT(ISNUMBER($J73)),NOT(ISNUMBER($I73)),$J73=0,$I73=0,$I73&gt;$J73),"",$J73-$I73))</x:f>
      </x:c>
      <x:c r="Y73" s="955" t="str">
        <x:f>IF(COUNTA($A73:$M73)=0,"",IF(OR($U73="Subscription",NOT(ISNUMBER($J73)),$J73=0,$X73=""),"",$X73/$J73))</x:f>
      </x:c>
      <x:c r="Z73" s="957" t="str">
        <x:f>IF(COUNTA($A73:$M73)=0,"",Instructions!$B$29+SUM($W$5:W73))</x:f>
      </x:c>
    </x:row>
    <x:row r="74" ht="36" customHeight="1">
      <x:c r="A74" s="439"/>
      <x:c r="B74" s="453"/>
      <x:c r="C74" s="453"/>
      <x:c r="D74" s="454"/>
      <x:c r="E74" s="454"/>
      <x:c r="F74" s="454"/>
      <x:c r="G74" s="986"/>
      <x:c r="H74" s="455"/>
      <x:c r="I74" s="456"/>
      <x:c r="J74" s="456"/>
      <x:c r="K74" s="986"/>
      <x:c r="L74" s="454"/>
      <x:c r="M74" s="439"/>
      <x:c r="N74" s="987" t="str">
        <x:f>IF(COUNTA($A74:$M74)=0,"",IF(OR(LEFT(LOWER(TRIM($F74&amp;"")),12)="subscription",LOWER(TRIM($F74&amp;""))="membership"),"",IF($G74="","",IF(ISNUMBER(SEARCH("non",LOWER($E74&amp;""))),$G74*0.85,$G74))))</x:f>
      </x:c>
      <x:c r="O74" s="987" t="str">
        <x:f>IF(COUNTA($A74:$M74)=0,"",IF(OR(LEFT(LOWER(TRIM($F74&amp;"")),12)="subscription",LOWER(TRIM($F74&amp;""))="membership"),"",IF(OR($N74="",$I74="",$I74=0),"",IFERROR($N74/$I74,""))))</x:f>
      </x:c>
      <x:c r="P74" s="987" t="str">
        <x:f>IF(COUNTA($A74:$M74)=0,"",IF(OR(LEFT(LOWER(TRIM($F74&amp;"")),12)="subscription",LOWER(TRIM($F74&amp;""))="membership"),"",IF(LOWER($L74&amp;"")="yes",0,IF(OR(AND($H74&lt;&gt;"",$H74=0),LEFT(LOWER(TRIM($F74&amp;"")),9)="free game",LOWER(TRIM($F74&amp;""))="free",LOWER(TRIM($F74&amp;""))="free entry"),IF(LOWER($D74&amp;"")="finalized",IF(ISNUMBER($K74),$K74,""),IF($O74&lt;&gt;"",$O74,"")),IF($K74&lt;&gt;"",$K74,IF($O74&lt;&gt;"",$O74,""))))))</x:f>
      </x:c>
      <x:c r="Q74" s="114" t="str">
        <x:f>IF(COUNTA($A74:$M74)=0,"",IF(OR($U74="Subscription",$U74=""),"",IF($U74="Profit",ROUND(IFERROR($P74,0)-IFERROR($H74,0),2),0)))</x:f>
      </x:c>
      <x:c r="R74" s="114" t="str">
        <x:f>IF(COUNTA($A74:$M74)=0,"",IF(OR($U74="Subscription",$U74=""),"",IF($U74="Draw",$H74,0)))</x:f>
      </x:c>
      <x:c r="S74" s="114" t="str">
        <x:f>IF(COUNTA($A74:$M74)=0,"",IF(OR($U74="Subscription",$U74=""),"",IF($U74="Disqualified",$H74,0)))</x:f>
      </x:c>
      <x:c r="T74" s="955" t="str">
        <x:f>IF(COUNTA($A74:$M74)=0,"",IF(OR($U74="Subscription",$U74=""),"",IF(OR($U74="Free Game",$U74="Disqualified — Free Game",$H74=0),"N/A",IF($U74="Profit",$Q74/$H74,IF($U74="Disqualified",-$S74/$H74,0)))))</x:f>
      </x:c>
      <x:c r="U74" s="920" t="str">
        <x:f>IF(COUNTA($A74:$M74)=0,"",IF(OR(LEFT(LOWER(TRIM($F74&amp;"")),12)="subscription",LOWER(TRIM($F74&amp;""))="membership"),"Subscription",IF(OR(AND($H74&lt;&gt;"",$H74=0),LEFT(LOWER(TRIM($F74&amp;"")),9)="free game",LOWER(TRIM($F74&amp;""))="free",LOWER(TRIM($F74&amp;""))="free entry"),IF(LOWER($L74&amp;"")="yes","Disqualified — Free Game","Free Game"),IF(LOWER($L74&amp;"")="yes","Disqualified",IF($P74="","",IF(ROUND(IFERROR(VALUE($P74),0)-IFERROR(VALUE($H74),0),2)&gt;0,"Profit","Draw"))))))</x:f>
      </x:c>
      <x:c r="V74" s="956" t="str">
        <x:f>IF(COUNTA($A74:$M74)=0,"",IF(OR($B74="",$C74="",$U74="Subscription"),"",IFERROR(ROUNDUP(($C74-$B74)/7,0),"")))</x:f>
      </x:c>
      <x:c r="W74" s="114" t="str">
        <x:f>IF(COUNTA($A74:$M74)=0,"",IF(OR($U74="Subscription",$U74=""),"",IF(OR($U74="Free Game",$U74="Disqualified — Free Game"),0,ROUND(IFERROR($Q74,0)-IFERROR($S74,0),2))))</x:f>
      </x:c>
      <x:c r="X74" s="956" t="str">
        <x:f>IF(COUNTA($A74:$M74)=0,"",IF(OR($U74="Subscription",NOT(ISNUMBER($J74)),NOT(ISNUMBER($I74)),$J74=0,$I74=0,$I74&gt;$J74),"",$J74-$I74))</x:f>
      </x:c>
      <x:c r="Y74" s="955" t="str">
        <x:f>IF(COUNTA($A74:$M74)=0,"",IF(OR($U74="Subscription",NOT(ISNUMBER($J74)),$J74=0,$X74=""),"",$X74/$J74))</x:f>
      </x:c>
      <x:c r="Z74" s="957" t="str">
        <x:f>IF(COUNTA($A74:$M74)=0,"",Instructions!$B$29+SUM($W$5:W74))</x:f>
      </x:c>
    </x:row>
    <x:row r="75" ht="36" customHeight="1">
      <x:c r="A75" s="439"/>
      <x:c r="B75" s="453"/>
      <x:c r="C75" s="453"/>
      <x:c r="D75" s="454"/>
      <x:c r="E75" s="454"/>
      <x:c r="F75" s="454"/>
      <x:c r="G75" s="986"/>
      <x:c r="H75" s="455"/>
      <x:c r="I75" s="456"/>
      <x:c r="J75" s="456"/>
      <x:c r="K75" s="986"/>
      <x:c r="L75" s="454"/>
      <x:c r="M75" s="439"/>
      <x:c r="N75" s="987" t="str">
        <x:f>IF(COUNTA($A75:$M75)=0,"",IF(OR(LEFT(LOWER(TRIM($F75&amp;"")),12)="subscription",LOWER(TRIM($F75&amp;""))="membership"),"",IF($G75="","",IF(ISNUMBER(SEARCH("non",LOWER($E75&amp;""))),$G75*0.85,$G75))))</x:f>
      </x:c>
      <x:c r="O75" s="987" t="str">
        <x:f>IF(COUNTA($A75:$M75)=0,"",IF(OR(LEFT(LOWER(TRIM($F75&amp;"")),12)="subscription",LOWER(TRIM($F75&amp;""))="membership"),"",IF(OR($N75="",$I75="",$I75=0),"",IFERROR($N75/$I75,""))))</x:f>
      </x:c>
      <x:c r="P75" s="987" t="str">
        <x:f>IF(COUNTA($A75:$M75)=0,"",IF(OR(LEFT(LOWER(TRIM($F75&amp;"")),12)="subscription",LOWER(TRIM($F75&amp;""))="membership"),"",IF(LOWER($L75&amp;"")="yes",0,IF(OR(AND($H75&lt;&gt;"",$H75=0),LEFT(LOWER(TRIM($F75&amp;"")),9)="free game",LOWER(TRIM($F75&amp;""))="free",LOWER(TRIM($F75&amp;""))="free entry"),IF(LOWER($D75&amp;"")="finalized",IF(ISNUMBER($K75),$K75,""),IF($O75&lt;&gt;"",$O75,"")),IF($K75&lt;&gt;"",$K75,IF($O75&lt;&gt;"",$O75,""))))))</x:f>
      </x:c>
      <x:c r="Q75" s="114" t="str">
        <x:f>IF(COUNTA($A75:$M75)=0,"",IF(OR($U75="Subscription",$U75=""),"",IF($U75="Profit",ROUND(IFERROR($P75,0)-IFERROR($H75,0),2),0)))</x:f>
      </x:c>
      <x:c r="R75" s="114" t="str">
        <x:f>IF(COUNTA($A75:$M75)=0,"",IF(OR($U75="Subscription",$U75=""),"",IF($U75="Draw",$H75,0)))</x:f>
      </x:c>
      <x:c r="S75" s="114" t="str">
        <x:f>IF(COUNTA($A75:$M75)=0,"",IF(OR($U75="Subscription",$U75=""),"",IF($U75="Disqualified",$H75,0)))</x:f>
      </x:c>
      <x:c r="T75" s="955" t="str">
        <x:f>IF(COUNTA($A75:$M75)=0,"",IF(OR($U75="Subscription",$U75=""),"",IF(OR($U75="Free Game",$U75="Disqualified — Free Game",$H75=0),"N/A",IF($U75="Profit",$Q75/$H75,IF($U75="Disqualified",-$S75/$H75,0)))))</x:f>
      </x:c>
      <x:c r="U75" s="920" t="str">
        <x:f>IF(COUNTA($A75:$M75)=0,"",IF(OR(LEFT(LOWER(TRIM($F75&amp;"")),12)="subscription",LOWER(TRIM($F75&amp;""))="membership"),"Subscription",IF(OR(AND($H75&lt;&gt;"",$H75=0),LEFT(LOWER(TRIM($F75&amp;"")),9)="free game",LOWER(TRIM($F75&amp;""))="free",LOWER(TRIM($F75&amp;""))="free entry"),IF(LOWER($L75&amp;"")="yes","Disqualified — Free Game","Free Game"),IF(LOWER($L75&amp;"")="yes","Disqualified",IF($P75="","",IF(ROUND(IFERROR(VALUE($P75),0)-IFERROR(VALUE($H75),0),2)&gt;0,"Profit","Draw"))))))</x:f>
      </x:c>
      <x:c r="V75" s="956" t="str">
        <x:f>IF(COUNTA($A75:$M75)=0,"",IF(OR($B75="",$C75="",$U75="Subscription"),"",IFERROR(ROUNDUP(($C75-$B75)/7,0),"")))</x:f>
      </x:c>
      <x:c r="W75" s="114" t="str">
        <x:f>IF(COUNTA($A75:$M75)=0,"",IF(OR($U75="Subscription",$U75=""),"",IF(OR($U75="Free Game",$U75="Disqualified — Free Game"),0,ROUND(IFERROR($Q75,0)-IFERROR($S75,0),2))))</x:f>
      </x:c>
      <x:c r="X75" s="956" t="str">
        <x:f>IF(COUNTA($A75:$M75)=0,"",IF(OR($U75="Subscription",NOT(ISNUMBER($J75)),NOT(ISNUMBER($I75)),$J75=0,$I75=0,$I75&gt;$J75),"",$J75-$I75))</x:f>
      </x:c>
      <x:c r="Y75" s="955" t="str">
        <x:f>IF(COUNTA($A75:$M75)=0,"",IF(OR($U75="Subscription",NOT(ISNUMBER($J75)),$J75=0,$X75=""),"",$X75/$J75))</x:f>
      </x:c>
      <x:c r="Z75" s="957" t="str">
        <x:f>IF(COUNTA($A75:$M75)=0,"",Instructions!$B$29+SUM($W$5:W75))</x:f>
      </x:c>
    </x:row>
    <x:row r="76" ht="36" customHeight="1">
      <x:c r="A76" s="439"/>
      <x:c r="B76" s="453"/>
      <x:c r="C76" s="453"/>
      <x:c r="D76" s="454"/>
      <x:c r="E76" s="454"/>
      <x:c r="F76" s="454"/>
      <x:c r="G76" s="986"/>
      <x:c r="H76" s="455"/>
      <x:c r="I76" s="456"/>
      <x:c r="J76" s="456"/>
      <x:c r="K76" s="986"/>
      <x:c r="L76" s="454"/>
      <x:c r="M76" s="439"/>
      <x:c r="N76" s="987" t="str">
        <x:f>IF(COUNTA($A76:$M76)=0,"",IF(OR(LEFT(LOWER(TRIM($F76&amp;"")),12)="subscription",LOWER(TRIM($F76&amp;""))="membership"),"",IF($G76="","",IF(ISNUMBER(SEARCH("non",LOWER($E76&amp;""))),$G76*0.85,$G76))))</x:f>
      </x:c>
      <x:c r="O76" s="987" t="str">
        <x:f>IF(COUNTA($A76:$M76)=0,"",IF(OR(LEFT(LOWER(TRIM($F76&amp;"")),12)="subscription",LOWER(TRIM($F76&amp;""))="membership"),"",IF(OR($N76="",$I76="",$I76=0),"",IFERROR($N76/$I76,""))))</x:f>
      </x:c>
      <x:c r="P76" s="987" t="str">
        <x:f>IF(COUNTA($A76:$M76)=0,"",IF(OR(LEFT(LOWER(TRIM($F76&amp;"")),12)="subscription",LOWER(TRIM($F76&amp;""))="membership"),"",IF(LOWER($L76&amp;"")="yes",0,IF(OR(AND($H76&lt;&gt;"",$H76=0),LEFT(LOWER(TRIM($F76&amp;"")),9)="free game",LOWER(TRIM($F76&amp;""))="free",LOWER(TRIM($F76&amp;""))="free entry"),IF(LOWER($D76&amp;"")="finalized",IF(ISNUMBER($K76),$K76,""),IF($O76&lt;&gt;"",$O76,"")),IF($K76&lt;&gt;"",$K76,IF($O76&lt;&gt;"",$O76,""))))))</x:f>
      </x:c>
      <x:c r="Q76" s="114" t="str">
        <x:f>IF(COUNTA($A76:$M76)=0,"",IF(OR($U76="Subscription",$U76=""),"",IF($U76="Profit",ROUND(IFERROR($P76,0)-IFERROR($H76,0),2),0)))</x:f>
      </x:c>
      <x:c r="R76" s="114" t="str">
        <x:f>IF(COUNTA($A76:$M76)=0,"",IF(OR($U76="Subscription",$U76=""),"",IF($U76="Draw",$H76,0)))</x:f>
      </x:c>
      <x:c r="S76" s="114" t="str">
        <x:f>IF(COUNTA($A76:$M76)=0,"",IF(OR($U76="Subscription",$U76=""),"",IF($U76="Disqualified",$H76,0)))</x:f>
      </x:c>
      <x:c r="T76" s="955" t="str">
        <x:f>IF(COUNTA($A76:$M76)=0,"",IF(OR($U76="Subscription",$U76=""),"",IF(OR($U76="Free Game",$U76="Disqualified — Free Game",$H76=0),"N/A",IF($U76="Profit",$Q76/$H76,IF($U76="Disqualified",-$S76/$H76,0)))))</x:f>
      </x:c>
      <x:c r="U76" s="920" t="str">
        <x:f>IF(COUNTA($A76:$M76)=0,"",IF(OR(LEFT(LOWER(TRIM($F76&amp;"")),12)="subscription",LOWER(TRIM($F76&amp;""))="membership"),"Subscription",IF(OR(AND($H76&lt;&gt;"",$H76=0),LEFT(LOWER(TRIM($F76&amp;"")),9)="free game",LOWER(TRIM($F76&amp;""))="free",LOWER(TRIM($F76&amp;""))="free entry"),IF(LOWER($L76&amp;"")="yes","Disqualified — Free Game","Free Game"),IF(LOWER($L76&amp;"")="yes","Disqualified",IF($P76="","",IF(ROUND(IFERROR(VALUE($P76),0)-IFERROR(VALUE($H76),0),2)&gt;0,"Profit","Draw"))))))</x:f>
      </x:c>
      <x:c r="V76" s="956" t="str">
        <x:f>IF(COUNTA($A76:$M76)=0,"",IF(OR($B76="",$C76="",$U76="Subscription"),"",IFERROR(ROUNDUP(($C76-$B76)/7,0),"")))</x:f>
      </x:c>
      <x:c r="W76" s="114" t="str">
        <x:f>IF(COUNTA($A76:$M76)=0,"",IF(OR($U76="Subscription",$U76=""),"",IF(OR($U76="Free Game",$U76="Disqualified — Free Game"),0,ROUND(IFERROR($Q76,0)-IFERROR($S76,0),2))))</x:f>
      </x:c>
      <x:c r="X76" s="956" t="str">
        <x:f>IF(COUNTA($A76:$M76)=0,"",IF(OR($U76="Subscription",NOT(ISNUMBER($J76)),NOT(ISNUMBER($I76)),$J76=0,$I76=0,$I76&gt;$J76),"",$J76-$I76))</x:f>
      </x:c>
      <x:c r="Y76" s="955" t="str">
        <x:f>IF(COUNTA($A76:$M76)=0,"",IF(OR($U76="Subscription",NOT(ISNUMBER($J76)),$J76=0,$X76=""),"",$X76/$J76))</x:f>
      </x:c>
      <x:c r="Z76" s="957" t="str">
        <x:f>IF(COUNTA($A76:$M76)=0,"",Instructions!$B$29+SUM($W$5:W76))</x:f>
      </x:c>
    </x:row>
    <x:row r="77" ht="36" customHeight="1">
      <x:c r="A77" s="439"/>
      <x:c r="B77" s="453"/>
      <x:c r="C77" s="453"/>
      <x:c r="D77" s="454"/>
      <x:c r="E77" s="454"/>
      <x:c r="F77" s="454"/>
      <x:c r="G77" s="986"/>
      <x:c r="H77" s="455"/>
      <x:c r="I77" s="456"/>
      <x:c r="J77" s="456"/>
      <x:c r="K77" s="986"/>
      <x:c r="L77" s="454"/>
      <x:c r="M77" s="439"/>
      <x:c r="N77" s="987" t="str">
        <x:f>IF(COUNTA($A77:$M77)=0,"",IF(OR(LEFT(LOWER(TRIM($F77&amp;"")),12)="subscription",LOWER(TRIM($F77&amp;""))="membership"),"",IF($G77="","",IF(ISNUMBER(SEARCH("non",LOWER($E77&amp;""))),$G77*0.85,$G77))))</x:f>
      </x:c>
      <x:c r="O77" s="987" t="str">
        <x:f>IF(COUNTA($A77:$M77)=0,"",IF(OR(LEFT(LOWER(TRIM($F77&amp;"")),12)="subscription",LOWER(TRIM($F77&amp;""))="membership"),"",IF(OR($N77="",$I77="",$I77=0),"",IFERROR($N77/$I77,""))))</x:f>
      </x:c>
      <x:c r="P77" s="987" t="str">
        <x:f>IF(COUNTA($A77:$M77)=0,"",IF(OR(LEFT(LOWER(TRIM($F77&amp;"")),12)="subscription",LOWER(TRIM($F77&amp;""))="membership"),"",IF(LOWER($L77&amp;"")="yes",0,IF(OR(AND($H77&lt;&gt;"",$H77=0),LEFT(LOWER(TRIM($F77&amp;"")),9)="free game",LOWER(TRIM($F77&amp;""))="free",LOWER(TRIM($F77&amp;""))="free entry"),IF(LOWER($D77&amp;"")="finalized",IF(ISNUMBER($K77),$K77,""),IF($O77&lt;&gt;"",$O77,"")),IF($K77&lt;&gt;"",$K77,IF($O77&lt;&gt;"",$O77,""))))))</x:f>
      </x:c>
      <x:c r="Q77" s="114" t="str">
        <x:f>IF(COUNTA($A77:$M77)=0,"",IF(OR($U77="Subscription",$U77=""),"",IF($U77="Profit",ROUND(IFERROR($P77,0)-IFERROR($H77,0),2),0)))</x:f>
      </x:c>
      <x:c r="R77" s="114" t="str">
        <x:f>IF(COUNTA($A77:$M77)=0,"",IF(OR($U77="Subscription",$U77=""),"",IF($U77="Draw",$H77,0)))</x:f>
      </x:c>
      <x:c r="S77" s="114" t="str">
        <x:f>IF(COUNTA($A77:$M77)=0,"",IF(OR($U77="Subscription",$U77=""),"",IF($U77="Disqualified",$H77,0)))</x:f>
      </x:c>
      <x:c r="T77" s="955" t="str">
        <x:f>IF(COUNTA($A77:$M77)=0,"",IF(OR($U77="Subscription",$U77=""),"",IF(OR($U77="Free Game",$U77="Disqualified — Free Game",$H77=0),"N/A",IF($U77="Profit",$Q77/$H77,IF($U77="Disqualified",-$S77/$H77,0)))))</x:f>
      </x:c>
      <x:c r="U77" s="920" t="str">
        <x:f>IF(COUNTA($A77:$M77)=0,"",IF(OR(LEFT(LOWER(TRIM($F77&amp;"")),12)="subscription",LOWER(TRIM($F77&amp;""))="membership"),"Subscription",IF(OR(AND($H77&lt;&gt;"",$H77=0),LEFT(LOWER(TRIM($F77&amp;"")),9)="free game",LOWER(TRIM($F77&amp;""))="free",LOWER(TRIM($F77&amp;""))="free entry"),IF(LOWER($L77&amp;"")="yes","Disqualified — Free Game","Free Game"),IF(LOWER($L77&amp;"")="yes","Disqualified",IF($P77="","",IF(ROUND(IFERROR(VALUE($P77),0)-IFERROR(VALUE($H77),0),2)&gt;0,"Profit","Draw"))))))</x:f>
      </x:c>
      <x:c r="V77" s="956" t="str">
        <x:f>IF(COUNTA($A77:$M77)=0,"",IF(OR($B77="",$C77="",$U77="Subscription"),"",IFERROR(ROUNDUP(($C77-$B77)/7,0),"")))</x:f>
      </x:c>
      <x:c r="W77" s="114" t="str">
        <x:f>IF(COUNTA($A77:$M77)=0,"",IF(OR($U77="Subscription",$U77=""),"",IF(OR($U77="Free Game",$U77="Disqualified — Free Game"),0,ROUND(IFERROR($Q77,0)-IFERROR($S77,0),2))))</x:f>
      </x:c>
      <x:c r="X77" s="956" t="str">
        <x:f>IF(COUNTA($A77:$M77)=0,"",IF(OR($U77="Subscription",NOT(ISNUMBER($J77)),NOT(ISNUMBER($I77)),$J77=0,$I77=0,$I77&gt;$J77),"",$J77-$I77))</x:f>
      </x:c>
      <x:c r="Y77" s="955" t="str">
        <x:f>IF(COUNTA($A77:$M77)=0,"",IF(OR($U77="Subscription",NOT(ISNUMBER($J77)),$J77=0,$X77=""),"",$X77/$J77))</x:f>
      </x:c>
      <x:c r="Z77" s="957" t="str">
        <x:f>IF(COUNTA($A77:$M77)=0,"",Instructions!$B$29+SUM($W$5:W77))</x:f>
      </x:c>
    </x:row>
    <x:row r="78" ht="36" customHeight="1">
      <x:c r="A78" s="439"/>
      <x:c r="B78" s="453"/>
      <x:c r="C78" s="453"/>
      <x:c r="D78" s="454"/>
      <x:c r="E78" s="454"/>
      <x:c r="F78" s="454"/>
      <x:c r="G78" s="986"/>
      <x:c r="H78" s="455"/>
      <x:c r="I78" s="456"/>
      <x:c r="J78" s="456"/>
      <x:c r="K78" s="986"/>
      <x:c r="L78" s="454"/>
      <x:c r="M78" s="439"/>
      <x:c r="N78" s="987" t="str">
        <x:f>IF(COUNTA($A78:$M78)=0,"",IF(OR(LEFT(LOWER(TRIM($F78&amp;"")),12)="subscription",LOWER(TRIM($F78&amp;""))="membership"),"",IF($G78="","",IF(ISNUMBER(SEARCH("non",LOWER($E78&amp;""))),$G78*0.85,$G78))))</x:f>
      </x:c>
      <x:c r="O78" s="987" t="str">
        <x:f>IF(COUNTA($A78:$M78)=0,"",IF(OR(LEFT(LOWER(TRIM($F78&amp;"")),12)="subscription",LOWER(TRIM($F78&amp;""))="membership"),"",IF(OR($N78="",$I78="",$I78=0),"",IFERROR($N78/$I78,""))))</x:f>
      </x:c>
      <x:c r="P78" s="987" t="str">
        <x:f>IF(COUNTA($A78:$M78)=0,"",IF(OR(LEFT(LOWER(TRIM($F78&amp;"")),12)="subscription",LOWER(TRIM($F78&amp;""))="membership"),"",IF(LOWER($L78&amp;"")="yes",0,IF(OR(AND($H78&lt;&gt;"",$H78=0),LEFT(LOWER(TRIM($F78&amp;"")),9)="free game",LOWER(TRIM($F78&amp;""))="free",LOWER(TRIM($F78&amp;""))="free entry"),IF(LOWER($D78&amp;"")="finalized",IF(ISNUMBER($K78),$K78,""),IF($O78&lt;&gt;"",$O78,"")),IF($K78&lt;&gt;"",$K78,IF($O78&lt;&gt;"",$O78,""))))))</x:f>
      </x:c>
      <x:c r="Q78" s="114" t="str">
        <x:f>IF(COUNTA($A78:$M78)=0,"",IF(OR($U78="Subscription",$U78=""),"",IF($U78="Profit",ROUND(IFERROR($P78,0)-IFERROR($H78,0),2),0)))</x:f>
      </x:c>
      <x:c r="R78" s="114" t="str">
        <x:f>IF(COUNTA($A78:$M78)=0,"",IF(OR($U78="Subscription",$U78=""),"",IF($U78="Draw",$H78,0)))</x:f>
      </x:c>
      <x:c r="S78" s="114" t="str">
        <x:f>IF(COUNTA($A78:$M78)=0,"",IF(OR($U78="Subscription",$U78=""),"",IF($U78="Disqualified",$H78,0)))</x:f>
      </x:c>
      <x:c r="T78" s="955" t="str">
        <x:f>IF(COUNTA($A78:$M78)=0,"",IF(OR($U78="Subscription",$U78=""),"",IF(OR($U78="Free Game",$U78="Disqualified — Free Game",$H78=0),"N/A",IF($U78="Profit",$Q78/$H78,IF($U78="Disqualified",-$S78/$H78,0)))))</x:f>
      </x:c>
      <x:c r="U78" s="920" t="str">
        <x:f>IF(COUNTA($A78:$M78)=0,"",IF(OR(LEFT(LOWER(TRIM($F78&amp;"")),12)="subscription",LOWER(TRIM($F78&amp;""))="membership"),"Subscription",IF(OR(AND($H78&lt;&gt;"",$H78=0),LEFT(LOWER(TRIM($F78&amp;"")),9)="free game",LOWER(TRIM($F78&amp;""))="free",LOWER(TRIM($F78&amp;""))="free entry"),IF(LOWER($L78&amp;"")="yes","Disqualified — Free Game","Free Game"),IF(LOWER($L78&amp;"")="yes","Disqualified",IF($P78="","",IF(ROUND(IFERROR(VALUE($P78),0)-IFERROR(VALUE($H78),0),2)&gt;0,"Profit","Draw"))))))</x:f>
      </x:c>
      <x:c r="V78" s="956" t="str">
        <x:f>IF(COUNTA($A78:$M78)=0,"",IF(OR($B78="",$C78="",$U78="Subscription"),"",IFERROR(ROUNDUP(($C78-$B78)/7,0),"")))</x:f>
      </x:c>
      <x:c r="W78" s="114" t="str">
        <x:f>IF(COUNTA($A78:$M78)=0,"",IF(OR($U78="Subscription",$U78=""),"",IF(OR($U78="Free Game",$U78="Disqualified — Free Game"),0,ROUND(IFERROR($Q78,0)-IFERROR($S78,0),2))))</x:f>
      </x:c>
      <x:c r="X78" s="956" t="str">
        <x:f>IF(COUNTA($A78:$M78)=0,"",IF(OR($U78="Subscription",NOT(ISNUMBER($J78)),NOT(ISNUMBER($I78)),$J78=0,$I78=0,$I78&gt;$J78),"",$J78-$I78))</x:f>
      </x:c>
      <x:c r="Y78" s="955" t="str">
        <x:f>IF(COUNTA($A78:$M78)=0,"",IF(OR($U78="Subscription",NOT(ISNUMBER($J78)),$J78=0,$X78=""),"",$X78/$J78))</x:f>
      </x:c>
      <x:c r="Z78" s="957" t="str">
        <x:f>IF(COUNTA($A78:$M78)=0,"",Instructions!$B$29+SUM($W$5:W78))</x:f>
      </x:c>
    </x:row>
    <x:row r="79" ht="36" customHeight="1">
      <x:c r="A79" s="439"/>
      <x:c r="B79" s="453"/>
      <x:c r="C79" s="453"/>
      <x:c r="D79" s="454"/>
      <x:c r="E79" s="454"/>
      <x:c r="F79" s="454"/>
      <x:c r="G79" s="986"/>
      <x:c r="H79" s="455"/>
      <x:c r="I79" s="456"/>
      <x:c r="J79" s="456"/>
      <x:c r="K79" s="986"/>
      <x:c r="L79" s="454"/>
      <x:c r="M79" s="439"/>
      <x:c r="N79" s="987" t="str">
        <x:f>IF(COUNTA($A79:$M79)=0,"",IF(OR(LEFT(LOWER(TRIM($F79&amp;"")),12)="subscription",LOWER(TRIM($F79&amp;""))="membership"),"",IF($G79="","",IF(ISNUMBER(SEARCH("non",LOWER($E79&amp;""))),$G79*0.85,$G79))))</x:f>
      </x:c>
      <x:c r="O79" s="987" t="str">
        <x:f>IF(COUNTA($A79:$M79)=0,"",IF(OR(LEFT(LOWER(TRIM($F79&amp;"")),12)="subscription",LOWER(TRIM($F79&amp;""))="membership"),"",IF(OR($N79="",$I79="",$I79=0),"",IFERROR($N79/$I79,""))))</x:f>
      </x:c>
      <x:c r="P79" s="987" t="str">
        <x:f>IF(COUNTA($A79:$M79)=0,"",IF(OR(LEFT(LOWER(TRIM($F79&amp;"")),12)="subscription",LOWER(TRIM($F79&amp;""))="membership"),"",IF(LOWER($L79&amp;"")="yes",0,IF(OR(AND($H79&lt;&gt;"",$H79=0),LEFT(LOWER(TRIM($F79&amp;"")),9)="free game",LOWER(TRIM($F79&amp;""))="free",LOWER(TRIM($F79&amp;""))="free entry"),IF(LOWER($D79&amp;"")="finalized",IF(ISNUMBER($K79),$K79,""),IF($O79&lt;&gt;"",$O79,"")),IF($K79&lt;&gt;"",$K79,IF($O79&lt;&gt;"",$O79,""))))))</x:f>
      </x:c>
      <x:c r="Q79" s="114" t="str">
        <x:f>IF(COUNTA($A79:$M79)=0,"",IF(OR($U79="Subscription",$U79=""),"",IF($U79="Profit",ROUND(IFERROR($P79,0)-IFERROR($H79,0),2),0)))</x:f>
      </x:c>
      <x:c r="R79" s="114" t="str">
        <x:f>IF(COUNTA($A79:$M79)=0,"",IF(OR($U79="Subscription",$U79=""),"",IF($U79="Draw",$H79,0)))</x:f>
      </x:c>
      <x:c r="S79" s="114" t="str">
        <x:f>IF(COUNTA($A79:$M79)=0,"",IF(OR($U79="Subscription",$U79=""),"",IF($U79="Disqualified",$H79,0)))</x:f>
      </x:c>
      <x:c r="T79" s="955" t="str">
        <x:f>IF(COUNTA($A79:$M79)=0,"",IF(OR($U79="Subscription",$U79=""),"",IF(OR($U79="Free Game",$U79="Disqualified — Free Game",$H79=0),"N/A",IF($U79="Profit",$Q79/$H79,IF($U79="Disqualified",-$S79/$H79,0)))))</x:f>
      </x:c>
      <x:c r="U79" s="920" t="str">
        <x:f>IF(COUNTA($A79:$M79)=0,"",IF(OR(LEFT(LOWER(TRIM($F79&amp;"")),12)="subscription",LOWER(TRIM($F79&amp;""))="membership"),"Subscription",IF(OR(AND($H79&lt;&gt;"",$H79=0),LEFT(LOWER(TRIM($F79&amp;"")),9)="free game",LOWER(TRIM($F79&amp;""))="free",LOWER(TRIM($F79&amp;""))="free entry"),IF(LOWER($L79&amp;"")="yes","Disqualified — Free Game","Free Game"),IF(LOWER($L79&amp;"")="yes","Disqualified",IF($P79="","",IF(ROUND(IFERROR(VALUE($P79),0)-IFERROR(VALUE($H79),0),2)&gt;0,"Profit","Draw"))))))</x:f>
      </x:c>
      <x:c r="V79" s="956" t="str">
        <x:f>IF(COUNTA($A79:$M79)=0,"",IF(OR($B79="",$C79="",$U79="Subscription"),"",IFERROR(ROUNDUP(($C79-$B79)/7,0),"")))</x:f>
      </x:c>
      <x:c r="W79" s="114" t="str">
        <x:f>IF(COUNTA($A79:$M79)=0,"",IF(OR($U79="Subscription",$U79=""),"",IF(OR($U79="Free Game",$U79="Disqualified — Free Game"),0,ROUND(IFERROR($Q79,0)-IFERROR($S79,0),2))))</x:f>
      </x:c>
      <x:c r="X79" s="956" t="str">
        <x:f>IF(COUNTA($A79:$M79)=0,"",IF(OR($U79="Subscription",NOT(ISNUMBER($J79)),NOT(ISNUMBER($I79)),$J79=0,$I79=0,$I79&gt;$J79),"",$J79-$I79))</x:f>
      </x:c>
      <x:c r="Y79" s="955" t="str">
        <x:f>IF(COUNTA($A79:$M79)=0,"",IF(OR($U79="Subscription",NOT(ISNUMBER($J79)),$J79=0,$X79=""),"",$X79/$J79))</x:f>
      </x:c>
      <x:c r="Z79" s="957" t="str">
        <x:f>IF(COUNTA($A79:$M79)=0,"",Instructions!$B$29+SUM($W$5:W79))</x:f>
      </x:c>
    </x:row>
    <x:row r="80" ht="36" customHeight="1">
      <x:c r="A80" s="439"/>
      <x:c r="B80" s="453"/>
      <x:c r="C80" s="453"/>
      <x:c r="D80" s="454"/>
      <x:c r="E80" s="454"/>
      <x:c r="F80" s="454"/>
      <x:c r="G80" s="986"/>
      <x:c r="H80" s="455"/>
      <x:c r="I80" s="456"/>
      <x:c r="J80" s="456"/>
      <x:c r="K80" s="986"/>
      <x:c r="L80" s="454"/>
      <x:c r="M80" s="439"/>
      <x:c r="N80" s="987" t="str">
        <x:f>IF(COUNTA($A80:$M80)=0,"",IF(OR(LEFT(LOWER(TRIM($F80&amp;"")),12)="subscription",LOWER(TRIM($F80&amp;""))="membership"),"",IF($G80="","",IF(ISNUMBER(SEARCH("non",LOWER($E80&amp;""))),$G80*0.85,$G80))))</x:f>
      </x:c>
      <x:c r="O80" s="987" t="str">
        <x:f>IF(COUNTA($A80:$M80)=0,"",IF(OR(LEFT(LOWER(TRIM($F80&amp;"")),12)="subscription",LOWER(TRIM($F80&amp;""))="membership"),"",IF(OR($N80="",$I80="",$I80=0),"",IFERROR($N80/$I80,""))))</x:f>
      </x:c>
      <x:c r="P80" s="987" t="str">
        <x:f>IF(COUNTA($A80:$M80)=0,"",IF(OR(LEFT(LOWER(TRIM($F80&amp;"")),12)="subscription",LOWER(TRIM($F80&amp;""))="membership"),"",IF(LOWER($L80&amp;"")="yes",0,IF(OR(AND($H80&lt;&gt;"",$H80=0),LEFT(LOWER(TRIM($F80&amp;"")),9)="free game",LOWER(TRIM($F80&amp;""))="free",LOWER(TRIM($F80&amp;""))="free entry"),IF(LOWER($D80&amp;"")="finalized",IF(ISNUMBER($K80),$K80,""),IF($O80&lt;&gt;"",$O80,"")),IF($K80&lt;&gt;"",$K80,IF($O80&lt;&gt;"",$O80,""))))))</x:f>
      </x:c>
      <x:c r="Q80" s="114" t="str">
        <x:f>IF(COUNTA($A80:$M80)=0,"",IF(OR($U80="Subscription",$U80=""),"",IF($U80="Profit",ROUND(IFERROR($P80,0)-IFERROR($H80,0),2),0)))</x:f>
      </x:c>
      <x:c r="R80" s="114" t="str">
        <x:f>IF(COUNTA($A80:$M80)=0,"",IF(OR($U80="Subscription",$U80=""),"",IF($U80="Draw",$H80,0)))</x:f>
      </x:c>
      <x:c r="S80" s="114" t="str">
        <x:f>IF(COUNTA($A80:$M80)=0,"",IF(OR($U80="Subscription",$U80=""),"",IF($U80="Disqualified",$H80,0)))</x:f>
      </x:c>
      <x:c r="T80" s="955" t="str">
        <x:f>IF(COUNTA($A80:$M80)=0,"",IF(OR($U80="Subscription",$U80=""),"",IF(OR($U80="Free Game",$U80="Disqualified — Free Game",$H80=0),"N/A",IF($U80="Profit",$Q80/$H80,IF($U80="Disqualified",-$S80/$H80,0)))))</x:f>
      </x:c>
      <x:c r="U80" s="920" t="str">
        <x:f>IF(COUNTA($A80:$M80)=0,"",IF(OR(LEFT(LOWER(TRIM($F80&amp;"")),12)="subscription",LOWER(TRIM($F80&amp;""))="membership"),"Subscription",IF(OR(AND($H80&lt;&gt;"",$H80=0),LEFT(LOWER(TRIM($F80&amp;"")),9)="free game",LOWER(TRIM($F80&amp;""))="free",LOWER(TRIM($F80&amp;""))="free entry"),IF(LOWER($L80&amp;"")="yes","Disqualified — Free Game","Free Game"),IF(LOWER($L80&amp;"")="yes","Disqualified",IF($P80="","",IF(ROUND(IFERROR(VALUE($P80),0)-IFERROR(VALUE($H80),0),2)&gt;0,"Profit","Draw"))))))</x:f>
      </x:c>
      <x:c r="V80" s="956" t="str">
        <x:f>IF(COUNTA($A80:$M80)=0,"",IF(OR($B80="",$C80="",$U80="Subscription"),"",IFERROR(ROUNDUP(($C80-$B80)/7,0),"")))</x:f>
      </x:c>
      <x:c r="W80" s="114" t="str">
        <x:f>IF(COUNTA($A80:$M80)=0,"",IF(OR($U80="Subscription",$U80=""),"",IF(OR($U80="Free Game",$U80="Disqualified — Free Game"),0,ROUND(IFERROR($Q80,0)-IFERROR($S80,0),2))))</x:f>
      </x:c>
      <x:c r="X80" s="956" t="str">
        <x:f>IF(COUNTA($A80:$M80)=0,"",IF(OR($U80="Subscription",NOT(ISNUMBER($J80)),NOT(ISNUMBER($I80)),$J80=0,$I80=0,$I80&gt;$J80),"",$J80-$I80))</x:f>
      </x:c>
      <x:c r="Y80" s="955" t="str">
        <x:f>IF(COUNTA($A80:$M80)=0,"",IF(OR($U80="Subscription",NOT(ISNUMBER($J80)),$J80=0,$X80=""),"",$X80/$J80))</x:f>
      </x:c>
      <x:c r="Z80" s="957" t="str">
        <x:f>IF(COUNTA($A80:$M80)=0,"",Instructions!$B$29+SUM($W$5:W80))</x:f>
      </x:c>
    </x:row>
    <x:row r="81" ht="36" customHeight="1">
      <x:c r="A81" s="439"/>
      <x:c r="B81" s="453"/>
      <x:c r="C81" s="453"/>
      <x:c r="D81" s="454"/>
      <x:c r="E81" s="454"/>
      <x:c r="F81" s="454"/>
      <x:c r="G81" s="986"/>
      <x:c r="H81" s="455"/>
      <x:c r="I81" s="456"/>
      <x:c r="J81" s="456"/>
      <x:c r="K81" s="986"/>
      <x:c r="L81" s="454"/>
      <x:c r="M81" s="439"/>
      <x:c r="N81" s="987" t="str">
        <x:f>IF(COUNTA($A81:$M81)=0,"",IF(OR(LEFT(LOWER(TRIM($F81&amp;"")),12)="subscription",LOWER(TRIM($F81&amp;""))="membership"),"",IF($G81="","",IF(ISNUMBER(SEARCH("non",LOWER($E81&amp;""))),$G81*0.85,$G81))))</x:f>
      </x:c>
      <x:c r="O81" s="987" t="str">
        <x:f>IF(COUNTA($A81:$M81)=0,"",IF(OR(LEFT(LOWER(TRIM($F81&amp;"")),12)="subscription",LOWER(TRIM($F81&amp;""))="membership"),"",IF(OR($N81="",$I81="",$I81=0),"",IFERROR($N81/$I81,""))))</x:f>
      </x:c>
      <x:c r="P81" s="987" t="str">
        <x:f>IF(COUNTA($A81:$M81)=0,"",IF(OR(LEFT(LOWER(TRIM($F81&amp;"")),12)="subscription",LOWER(TRIM($F81&amp;""))="membership"),"",IF(LOWER($L81&amp;"")="yes",0,IF(OR(AND($H81&lt;&gt;"",$H81=0),LEFT(LOWER(TRIM($F81&amp;"")),9)="free game",LOWER(TRIM($F81&amp;""))="free",LOWER(TRIM($F81&amp;""))="free entry"),IF(LOWER($D81&amp;"")="finalized",IF(ISNUMBER($K81),$K81,""),IF($O81&lt;&gt;"",$O81,"")),IF($K81&lt;&gt;"",$K81,IF($O81&lt;&gt;"",$O81,""))))))</x:f>
      </x:c>
      <x:c r="Q81" s="114" t="str">
        <x:f>IF(COUNTA($A81:$M81)=0,"",IF(OR($U81="Subscription",$U81=""),"",IF($U81="Profit",ROUND(IFERROR($P81,0)-IFERROR($H81,0),2),0)))</x:f>
      </x:c>
      <x:c r="R81" s="114" t="str">
        <x:f>IF(COUNTA($A81:$M81)=0,"",IF(OR($U81="Subscription",$U81=""),"",IF($U81="Draw",$H81,0)))</x:f>
      </x:c>
      <x:c r="S81" s="114" t="str">
        <x:f>IF(COUNTA($A81:$M81)=0,"",IF(OR($U81="Subscription",$U81=""),"",IF($U81="Disqualified",$H81,0)))</x:f>
      </x:c>
      <x:c r="T81" s="955" t="str">
        <x:f>IF(COUNTA($A81:$M81)=0,"",IF(OR($U81="Subscription",$U81=""),"",IF(OR($U81="Free Game",$U81="Disqualified — Free Game",$H81=0),"N/A",IF($U81="Profit",$Q81/$H81,IF($U81="Disqualified",-$S81/$H81,0)))))</x:f>
      </x:c>
      <x:c r="U81" s="920" t="str">
        <x:f>IF(COUNTA($A81:$M81)=0,"",IF(OR(LEFT(LOWER(TRIM($F81&amp;"")),12)="subscription",LOWER(TRIM($F81&amp;""))="membership"),"Subscription",IF(OR(AND($H81&lt;&gt;"",$H81=0),LEFT(LOWER(TRIM($F81&amp;"")),9)="free game",LOWER(TRIM($F81&amp;""))="free",LOWER(TRIM($F81&amp;""))="free entry"),IF(LOWER($L81&amp;"")="yes","Disqualified — Free Game","Free Game"),IF(LOWER($L81&amp;"")="yes","Disqualified",IF($P81="","",IF(ROUND(IFERROR(VALUE($P81),0)-IFERROR(VALUE($H81),0),2)&gt;0,"Profit","Draw"))))))</x:f>
      </x:c>
      <x:c r="V81" s="956" t="str">
        <x:f>IF(COUNTA($A81:$M81)=0,"",IF(OR($B81="",$C81="",$U81="Subscription"),"",IFERROR(ROUNDUP(($C81-$B81)/7,0),"")))</x:f>
      </x:c>
      <x:c r="W81" s="114" t="str">
        <x:f>IF(COUNTA($A81:$M81)=0,"",IF(OR($U81="Subscription",$U81=""),"",IF(OR($U81="Free Game",$U81="Disqualified — Free Game"),0,ROUND(IFERROR($Q81,0)-IFERROR($S81,0),2))))</x:f>
      </x:c>
      <x:c r="X81" s="956" t="str">
        <x:f>IF(COUNTA($A81:$M81)=0,"",IF(OR($U81="Subscription",NOT(ISNUMBER($J81)),NOT(ISNUMBER($I81)),$J81=0,$I81=0,$I81&gt;$J81),"",$J81-$I81))</x:f>
      </x:c>
      <x:c r="Y81" s="955" t="str">
        <x:f>IF(COUNTA($A81:$M81)=0,"",IF(OR($U81="Subscription",NOT(ISNUMBER($J81)),$J81=0,$X81=""),"",$X81/$J81))</x:f>
      </x:c>
      <x:c r="Z81" s="957" t="str">
        <x:f>IF(COUNTA($A81:$M81)=0,"",Instructions!$B$29+SUM($W$5:W81))</x:f>
      </x:c>
    </x:row>
    <x:row r="82" ht="36" customHeight="1">
      <x:c r="A82" s="439"/>
      <x:c r="B82" s="453"/>
      <x:c r="C82" s="453"/>
      <x:c r="D82" s="454"/>
      <x:c r="E82" s="454"/>
      <x:c r="F82" s="454"/>
      <x:c r="G82" s="986"/>
      <x:c r="H82" s="455"/>
      <x:c r="I82" s="456"/>
      <x:c r="J82" s="456"/>
      <x:c r="K82" s="986"/>
      <x:c r="L82" s="454"/>
      <x:c r="M82" s="439"/>
      <x:c r="N82" s="987" t="str">
        <x:f>IF(COUNTA($A82:$M82)=0,"",IF(OR(LEFT(LOWER(TRIM($F82&amp;"")),12)="subscription",LOWER(TRIM($F82&amp;""))="membership"),"",IF($G82="","",IF(ISNUMBER(SEARCH("non",LOWER($E82&amp;""))),$G82*0.85,$G82))))</x:f>
      </x:c>
      <x:c r="O82" s="987" t="str">
        <x:f>IF(COUNTA($A82:$M82)=0,"",IF(OR(LEFT(LOWER(TRIM($F82&amp;"")),12)="subscription",LOWER(TRIM($F82&amp;""))="membership"),"",IF(OR($N82="",$I82="",$I82=0),"",IFERROR($N82/$I82,""))))</x:f>
      </x:c>
      <x:c r="P82" s="987" t="str">
        <x:f>IF(COUNTA($A82:$M82)=0,"",IF(OR(LEFT(LOWER(TRIM($F82&amp;"")),12)="subscription",LOWER(TRIM($F82&amp;""))="membership"),"",IF(LOWER($L82&amp;"")="yes",0,IF(OR(AND($H82&lt;&gt;"",$H82=0),LEFT(LOWER(TRIM($F82&amp;"")),9)="free game",LOWER(TRIM($F82&amp;""))="free",LOWER(TRIM($F82&amp;""))="free entry"),IF(LOWER($D82&amp;"")="finalized",IF(ISNUMBER($K82),$K82,""),IF($O82&lt;&gt;"",$O82,"")),IF($K82&lt;&gt;"",$K82,IF($O82&lt;&gt;"",$O82,""))))))</x:f>
      </x:c>
      <x:c r="Q82" s="114" t="str">
        <x:f>IF(COUNTA($A82:$M82)=0,"",IF(OR($U82="Subscription",$U82=""),"",IF($U82="Profit",ROUND(IFERROR($P82,0)-IFERROR($H82,0),2),0)))</x:f>
      </x:c>
      <x:c r="R82" s="114" t="str">
        <x:f>IF(COUNTA($A82:$M82)=0,"",IF(OR($U82="Subscription",$U82=""),"",IF($U82="Draw",$H82,0)))</x:f>
      </x:c>
      <x:c r="S82" s="114" t="str">
        <x:f>IF(COUNTA($A82:$M82)=0,"",IF(OR($U82="Subscription",$U82=""),"",IF($U82="Disqualified",$H82,0)))</x:f>
      </x:c>
      <x:c r="T82" s="955" t="str">
        <x:f>IF(COUNTA($A82:$M82)=0,"",IF(OR($U82="Subscription",$U82=""),"",IF(OR($U82="Free Game",$U82="Disqualified — Free Game",$H82=0),"N/A",IF($U82="Profit",$Q82/$H82,IF($U82="Disqualified",-$S82/$H82,0)))))</x:f>
      </x:c>
      <x:c r="U82" s="920" t="str">
        <x:f>IF(COUNTA($A82:$M82)=0,"",IF(OR(LEFT(LOWER(TRIM($F82&amp;"")),12)="subscription",LOWER(TRIM($F82&amp;""))="membership"),"Subscription",IF(OR(AND($H82&lt;&gt;"",$H82=0),LEFT(LOWER(TRIM($F82&amp;"")),9)="free game",LOWER(TRIM($F82&amp;""))="free",LOWER(TRIM($F82&amp;""))="free entry"),IF(LOWER($L82&amp;"")="yes","Disqualified — Free Game","Free Game"),IF(LOWER($L82&amp;"")="yes","Disqualified",IF($P82="","",IF(ROUND(IFERROR(VALUE($P82),0)-IFERROR(VALUE($H82),0),2)&gt;0,"Profit","Draw"))))))</x:f>
      </x:c>
      <x:c r="V82" s="956" t="str">
        <x:f>IF(COUNTA($A82:$M82)=0,"",IF(OR($B82="",$C82="",$U82="Subscription"),"",IFERROR(ROUNDUP(($C82-$B82)/7,0),"")))</x:f>
      </x:c>
      <x:c r="W82" s="114" t="str">
        <x:f>IF(COUNTA($A82:$M82)=0,"",IF(OR($U82="Subscription",$U82=""),"",IF(OR($U82="Free Game",$U82="Disqualified — Free Game"),0,ROUND(IFERROR($Q82,0)-IFERROR($S82,0),2))))</x:f>
      </x:c>
      <x:c r="X82" s="956" t="str">
        <x:f>IF(COUNTA($A82:$M82)=0,"",IF(OR($U82="Subscription",NOT(ISNUMBER($J82)),NOT(ISNUMBER($I82)),$J82=0,$I82=0,$I82&gt;$J82),"",$J82-$I82))</x:f>
      </x:c>
      <x:c r="Y82" s="955" t="str">
        <x:f>IF(COUNTA($A82:$M82)=0,"",IF(OR($U82="Subscription",NOT(ISNUMBER($J82)),$J82=0,$X82=""),"",$X82/$J82))</x:f>
      </x:c>
      <x:c r="Z82" s="957" t="str">
        <x:f>IF(COUNTA($A82:$M82)=0,"",Instructions!$B$29+SUM($W$5:W82))</x:f>
      </x:c>
    </x:row>
    <x:row r="83" ht="36" customHeight="1">
      <x:c r="A83" s="439"/>
      <x:c r="B83" s="453"/>
      <x:c r="C83" s="453"/>
      <x:c r="D83" s="454"/>
      <x:c r="E83" s="454"/>
      <x:c r="F83" s="454"/>
      <x:c r="G83" s="986"/>
      <x:c r="H83" s="455"/>
      <x:c r="I83" s="456"/>
      <x:c r="J83" s="456"/>
      <x:c r="K83" s="986"/>
      <x:c r="L83" s="454"/>
      <x:c r="M83" s="439"/>
      <x:c r="N83" s="987" t="str">
        <x:f>IF(COUNTA($A83:$M83)=0,"",IF(OR(LEFT(LOWER(TRIM($F83&amp;"")),12)="subscription",LOWER(TRIM($F83&amp;""))="membership"),"",IF($G83="","",IF(ISNUMBER(SEARCH("non",LOWER($E83&amp;""))),$G83*0.85,$G83))))</x:f>
      </x:c>
      <x:c r="O83" s="987" t="str">
        <x:f>IF(COUNTA($A83:$M83)=0,"",IF(OR(LEFT(LOWER(TRIM($F83&amp;"")),12)="subscription",LOWER(TRIM($F83&amp;""))="membership"),"",IF(OR($N83="",$I83="",$I83=0),"",IFERROR($N83/$I83,""))))</x:f>
      </x:c>
      <x:c r="P83" s="987" t="str">
        <x:f>IF(COUNTA($A83:$M83)=0,"",IF(OR(LEFT(LOWER(TRIM($F83&amp;"")),12)="subscription",LOWER(TRIM($F83&amp;""))="membership"),"",IF(LOWER($L83&amp;"")="yes",0,IF(OR(AND($H83&lt;&gt;"",$H83=0),LEFT(LOWER(TRIM($F83&amp;"")),9)="free game",LOWER(TRIM($F83&amp;""))="free",LOWER(TRIM($F83&amp;""))="free entry"),IF(LOWER($D83&amp;"")="finalized",IF(ISNUMBER($K83),$K83,""),IF($O83&lt;&gt;"",$O83,"")),IF($K83&lt;&gt;"",$K83,IF($O83&lt;&gt;"",$O83,""))))))</x:f>
      </x:c>
      <x:c r="Q83" s="114" t="str">
        <x:f>IF(COUNTA($A83:$M83)=0,"",IF(OR($U83="Subscription",$U83=""),"",IF($U83="Profit",ROUND(IFERROR($P83,0)-IFERROR($H83,0),2),0)))</x:f>
      </x:c>
      <x:c r="R83" s="114" t="str">
        <x:f>IF(COUNTA($A83:$M83)=0,"",IF(OR($U83="Subscription",$U83=""),"",IF($U83="Draw",$H83,0)))</x:f>
      </x:c>
      <x:c r="S83" s="114" t="str">
        <x:f>IF(COUNTA($A83:$M83)=0,"",IF(OR($U83="Subscription",$U83=""),"",IF($U83="Disqualified",$H83,0)))</x:f>
      </x:c>
      <x:c r="T83" s="955" t="str">
        <x:f>IF(COUNTA($A83:$M83)=0,"",IF(OR($U83="Subscription",$U83=""),"",IF(OR($U83="Free Game",$U83="Disqualified — Free Game",$H83=0),"N/A",IF($U83="Profit",$Q83/$H83,IF($U83="Disqualified",-$S83/$H83,0)))))</x:f>
      </x:c>
      <x:c r="U83" s="920" t="str">
        <x:f>IF(COUNTA($A83:$M83)=0,"",IF(OR(LEFT(LOWER(TRIM($F83&amp;"")),12)="subscription",LOWER(TRIM($F83&amp;""))="membership"),"Subscription",IF(OR(AND($H83&lt;&gt;"",$H83=0),LEFT(LOWER(TRIM($F83&amp;"")),9)="free game",LOWER(TRIM($F83&amp;""))="free",LOWER(TRIM($F83&amp;""))="free entry"),IF(LOWER($L83&amp;"")="yes","Disqualified — Free Game","Free Game"),IF(LOWER($L83&amp;"")="yes","Disqualified",IF($P83="","",IF(ROUND(IFERROR(VALUE($P83),0)-IFERROR(VALUE($H83),0),2)&gt;0,"Profit","Draw"))))))</x:f>
      </x:c>
      <x:c r="V83" s="956" t="str">
        <x:f>IF(COUNTA($A83:$M83)=0,"",IF(OR($B83="",$C83="",$U83="Subscription"),"",IFERROR(ROUNDUP(($C83-$B83)/7,0),"")))</x:f>
      </x:c>
      <x:c r="W83" s="114" t="str">
        <x:f>IF(COUNTA($A83:$M83)=0,"",IF(OR($U83="Subscription",$U83=""),"",IF(OR($U83="Free Game",$U83="Disqualified — Free Game"),0,ROUND(IFERROR($Q83,0)-IFERROR($S83,0),2))))</x:f>
      </x:c>
      <x:c r="X83" s="956" t="str">
        <x:f>IF(COUNTA($A83:$M83)=0,"",IF(OR($U83="Subscription",NOT(ISNUMBER($J83)),NOT(ISNUMBER($I83)),$J83=0,$I83=0,$I83&gt;$J83),"",$J83-$I83))</x:f>
      </x:c>
      <x:c r="Y83" s="955" t="str">
        <x:f>IF(COUNTA($A83:$M83)=0,"",IF(OR($U83="Subscription",NOT(ISNUMBER($J83)),$J83=0,$X83=""),"",$X83/$J83))</x:f>
      </x:c>
      <x:c r="Z83" s="957" t="str">
        <x:f>IF(COUNTA($A83:$M83)=0,"",Instructions!$B$29+SUM($W$5:W83))</x:f>
      </x:c>
    </x:row>
    <x:row r="84" ht="36" customHeight="1">
      <x:c r="A84" s="439"/>
      <x:c r="B84" s="453"/>
      <x:c r="C84" s="453"/>
      <x:c r="D84" s="454"/>
      <x:c r="E84" s="454"/>
      <x:c r="F84" s="454"/>
      <x:c r="G84" s="986"/>
      <x:c r="H84" s="455"/>
      <x:c r="I84" s="456"/>
      <x:c r="J84" s="456"/>
      <x:c r="K84" s="986"/>
      <x:c r="L84" s="454"/>
      <x:c r="M84" s="439"/>
      <x:c r="N84" s="987" t="str">
        <x:f>IF(COUNTA($A84:$M84)=0,"",IF(OR(LEFT(LOWER(TRIM($F84&amp;"")),12)="subscription",LOWER(TRIM($F84&amp;""))="membership"),"",IF($G84="","",IF(ISNUMBER(SEARCH("non",LOWER($E84&amp;""))),$G84*0.85,$G84))))</x:f>
      </x:c>
      <x:c r="O84" s="987" t="str">
        <x:f>IF(COUNTA($A84:$M84)=0,"",IF(OR(LEFT(LOWER(TRIM($F84&amp;"")),12)="subscription",LOWER(TRIM($F84&amp;""))="membership"),"",IF(OR($N84="",$I84="",$I84=0),"",IFERROR($N84/$I84,""))))</x:f>
      </x:c>
      <x:c r="P84" s="987" t="str">
        <x:f>IF(COUNTA($A84:$M84)=0,"",IF(OR(LEFT(LOWER(TRIM($F84&amp;"")),12)="subscription",LOWER(TRIM($F84&amp;""))="membership"),"",IF(LOWER($L84&amp;"")="yes",0,IF(OR(AND($H84&lt;&gt;"",$H84=0),LEFT(LOWER(TRIM($F84&amp;"")),9)="free game",LOWER(TRIM($F84&amp;""))="free",LOWER(TRIM($F84&amp;""))="free entry"),IF(LOWER($D84&amp;"")="finalized",IF(ISNUMBER($K84),$K84,""),IF($O84&lt;&gt;"",$O84,"")),IF($K84&lt;&gt;"",$K84,IF($O84&lt;&gt;"",$O84,""))))))</x:f>
      </x:c>
      <x:c r="Q84" s="114" t="str">
        <x:f>IF(COUNTA($A84:$M84)=0,"",IF(OR($U84="Subscription",$U84=""),"",IF($U84="Profit",ROUND(IFERROR($P84,0)-IFERROR($H84,0),2),0)))</x:f>
      </x:c>
      <x:c r="R84" s="114" t="str">
        <x:f>IF(COUNTA($A84:$M84)=0,"",IF(OR($U84="Subscription",$U84=""),"",IF($U84="Draw",$H84,0)))</x:f>
      </x:c>
      <x:c r="S84" s="114" t="str">
        <x:f>IF(COUNTA($A84:$M84)=0,"",IF(OR($U84="Subscription",$U84=""),"",IF($U84="Disqualified",$H84,0)))</x:f>
      </x:c>
      <x:c r="T84" s="955" t="str">
        <x:f>IF(COUNTA($A84:$M84)=0,"",IF(OR($U84="Subscription",$U84=""),"",IF(OR($U84="Free Game",$U84="Disqualified — Free Game",$H84=0),"N/A",IF($U84="Profit",$Q84/$H84,IF($U84="Disqualified",-$S84/$H84,0)))))</x:f>
      </x:c>
      <x:c r="U84" s="920" t="str">
        <x:f>IF(COUNTA($A84:$M84)=0,"",IF(OR(LEFT(LOWER(TRIM($F84&amp;"")),12)="subscription",LOWER(TRIM($F84&amp;""))="membership"),"Subscription",IF(OR(AND($H84&lt;&gt;"",$H84=0),LEFT(LOWER(TRIM($F84&amp;"")),9)="free game",LOWER(TRIM($F84&amp;""))="free",LOWER(TRIM($F84&amp;""))="free entry"),IF(LOWER($L84&amp;"")="yes","Disqualified — Free Game","Free Game"),IF(LOWER($L84&amp;"")="yes","Disqualified",IF($P84="","",IF(ROUND(IFERROR(VALUE($P84),0)-IFERROR(VALUE($H84),0),2)&gt;0,"Profit","Draw"))))))</x:f>
      </x:c>
      <x:c r="V84" s="956" t="str">
        <x:f>IF(COUNTA($A84:$M84)=0,"",IF(OR($B84="",$C84="",$U84="Subscription"),"",IFERROR(ROUNDUP(($C84-$B84)/7,0),"")))</x:f>
      </x:c>
      <x:c r="W84" s="114" t="str">
        <x:f>IF(COUNTA($A84:$M84)=0,"",IF(OR($U84="Subscription",$U84=""),"",IF(OR($U84="Free Game",$U84="Disqualified — Free Game"),0,ROUND(IFERROR($Q84,0)-IFERROR($S84,0),2))))</x:f>
      </x:c>
      <x:c r="X84" s="956" t="str">
        <x:f>IF(COUNTA($A84:$M84)=0,"",IF(OR($U84="Subscription",NOT(ISNUMBER($J84)),NOT(ISNUMBER($I84)),$J84=0,$I84=0,$I84&gt;$J84),"",$J84-$I84))</x:f>
      </x:c>
      <x:c r="Y84" s="955" t="str">
        <x:f>IF(COUNTA($A84:$M84)=0,"",IF(OR($U84="Subscription",NOT(ISNUMBER($J84)),$J84=0,$X84=""),"",$X84/$J84))</x:f>
      </x:c>
      <x:c r="Z84" s="957" t="str">
        <x:f>IF(COUNTA($A84:$M84)=0,"",Instructions!$B$29+SUM($W$5:W84))</x:f>
      </x:c>
    </x:row>
    <x:row r="85" ht="36" customHeight="1">
      <x:c r="A85" s="439"/>
      <x:c r="B85" s="453"/>
      <x:c r="C85" s="453"/>
      <x:c r="D85" s="454"/>
      <x:c r="E85" s="454"/>
      <x:c r="F85" s="454"/>
      <x:c r="G85" s="986"/>
      <x:c r="H85" s="455"/>
      <x:c r="I85" s="456"/>
      <x:c r="J85" s="456"/>
      <x:c r="K85" s="986"/>
      <x:c r="L85" s="454"/>
      <x:c r="M85" s="439"/>
      <x:c r="N85" s="987" t="str">
        <x:f>IF(COUNTA($A85:$M85)=0,"",IF(OR(LEFT(LOWER(TRIM($F85&amp;"")),12)="subscription",LOWER(TRIM($F85&amp;""))="membership"),"",IF($G85="","",IF(ISNUMBER(SEARCH("non",LOWER($E85&amp;""))),$G85*0.85,$G85))))</x:f>
      </x:c>
      <x:c r="O85" s="987" t="str">
        <x:f>IF(COUNTA($A85:$M85)=0,"",IF(OR(LEFT(LOWER(TRIM($F85&amp;"")),12)="subscription",LOWER(TRIM($F85&amp;""))="membership"),"",IF(OR($N85="",$I85="",$I85=0),"",IFERROR($N85/$I85,""))))</x:f>
      </x:c>
      <x:c r="P85" s="987" t="str">
        <x:f>IF(COUNTA($A85:$M85)=0,"",IF(OR(LEFT(LOWER(TRIM($F85&amp;"")),12)="subscription",LOWER(TRIM($F85&amp;""))="membership"),"",IF(LOWER($L85&amp;"")="yes",0,IF(OR(AND($H85&lt;&gt;"",$H85=0),LEFT(LOWER(TRIM($F85&amp;"")),9)="free game",LOWER(TRIM($F85&amp;""))="free",LOWER(TRIM($F85&amp;""))="free entry"),IF(LOWER($D85&amp;"")="finalized",IF(ISNUMBER($K85),$K85,""),IF($O85&lt;&gt;"",$O85,"")),IF($K85&lt;&gt;"",$K85,IF($O85&lt;&gt;"",$O85,""))))))</x:f>
      </x:c>
      <x:c r="Q85" s="114" t="str">
        <x:f>IF(COUNTA($A85:$M85)=0,"",IF(OR($U85="Subscription",$U85=""),"",IF($U85="Profit",ROUND(IFERROR($P85,0)-IFERROR($H85,0),2),0)))</x:f>
      </x:c>
      <x:c r="R85" s="114" t="str">
        <x:f>IF(COUNTA($A85:$M85)=0,"",IF(OR($U85="Subscription",$U85=""),"",IF($U85="Draw",$H85,0)))</x:f>
      </x:c>
      <x:c r="S85" s="114" t="str">
        <x:f>IF(COUNTA($A85:$M85)=0,"",IF(OR($U85="Subscription",$U85=""),"",IF($U85="Disqualified",$H85,0)))</x:f>
      </x:c>
      <x:c r="T85" s="955" t="str">
        <x:f>IF(COUNTA($A85:$M85)=0,"",IF(OR($U85="Subscription",$U85=""),"",IF(OR($U85="Free Game",$U85="Disqualified — Free Game",$H85=0),"N/A",IF($U85="Profit",$Q85/$H85,IF($U85="Disqualified",-$S85/$H85,0)))))</x:f>
      </x:c>
      <x:c r="U85" s="920" t="str">
        <x:f>IF(COUNTA($A85:$M85)=0,"",IF(OR(LEFT(LOWER(TRIM($F85&amp;"")),12)="subscription",LOWER(TRIM($F85&amp;""))="membership"),"Subscription",IF(OR(AND($H85&lt;&gt;"",$H85=0),LEFT(LOWER(TRIM($F85&amp;"")),9)="free game",LOWER(TRIM($F85&amp;""))="free",LOWER(TRIM($F85&amp;""))="free entry"),IF(LOWER($L85&amp;"")="yes","Disqualified — Free Game","Free Game"),IF(LOWER($L85&amp;"")="yes","Disqualified",IF($P85="","",IF(ROUND(IFERROR(VALUE($P85),0)-IFERROR(VALUE($H85),0),2)&gt;0,"Profit","Draw"))))))</x:f>
      </x:c>
      <x:c r="V85" s="956" t="str">
        <x:f>IF(COUNTA($A85:$M85)=0,"",IF(OR($B85="",$C85="",$U85="Subscription"),"",IFERROR(ROUNDUP(($C85-$B85)/7,0),"")))</x:f>
      </x:c>
      <x:c r="W85" s="114" t="str">
        <x:f>IF(COUNTA($A85:$M85)=0,"",IF(OR($U85="Subscription",$U85=""),"",IF(OR($U85="Free Game",$U85="Disqualified — Free Game"),0,ROUND(IFERROR($Q85,0)-IFERROR($S85,0),2))))</x:f>
      </x:c>
      <x:c r="X85" s="956" t="str">
        <x:f>IF(COUNTA($A85:$M85)=0,"",IF(OR($U85="Subscription",NOT(ISNUMBER($J85)),NOT(ISNUMBER($I85)),$J85=0,$I85=0,$I85&gt;$J85),"",$J85-$I85))</x:f>
      </x:c>
      <x:c r="Y85" s="955" t="str">
        <x:f>IF(COUNTA($A85:$M85)=0,"",IF(OR($U85="Subscription",NOT(ISNUMBER($J85)),$J85=0,$X85=""),"",$X85/$J85))</x:f>
      </x:c>
      <x:c r="Z85" s="957" t="str">
        <x:f>IF(COUNTA($A85:$M85)=0,"",Instructions!$B$29+SUM($W$5:W85))</x:f>
      </x:c>
    </x:row>
    <x:row r="86" ht="36" customHeight="1">
      <x:c r="A86" s="439"/>
      <x:c r="B86" s="453"/>
      <x:c r="C86" s="453"/>
      <x:c r="D86" s="454"/>
      <x:c r="E86" s="454"/>
      <x:c r="F86" s="454"/>
      <x:c r="G86" s="986"/>
      <x:c r="H86" s="455"/>
      <x:c r="I86" s="456"/>
      <x:c r="J86" s="456"/>
      <x:c r="K86" s="986"/>
      <x:c r="L86" s="454"/>
      <x:c r="M86" s="439"/>
      <x:c r="N86" s="987" t="str">
        <x:f>IF(COUNTA($A86:$M86)=0,"",IF(OR(LEFT(LOWER(TRIM($F86&amp;"")),12)="subscription",LOWER(TRIM($F86&amp;""))="membership"),"",IF($G86="","",IF(ISNUMBER(SEARCH("non",LOWER($E86&amp;""))),$G86*0.85,$G86))))</x:f>
      </x:c>
      <x:c r="O86" s="987" t="str">
        <x:f>IF(COUNTA($A86:$M86)=0,"",IF(OR(LEFT(LOWER(TRIM($F86&amp;"")),12)="subscription",LOWER(TRIM($F86&amp;""))="membership"),"",IF(OR($N86="",$I86="",$I86=0),"",IFERROR($N86/$I86,""))))</x:f>
      </x:c>
      <x:c r="P86" s="987" t="str">
        <x:f>IF(COUNTA($A86:$M86)=0,"",IF(OR(LEFT(LOWER(TRIM($F86&amp;"")),12)="subscription",LOWER(TRIM($F86&amp;""))="membership"),"",IF(LOWER($L86&amp;"")="yes",0,IF(OR(AND($H86&lt;&gt;"",$H86=0),LEFT(LOWER(TRIM($F86&amp;"")),9)="free game",LOWER(TRIM($F86&amp;""))="free",LOWER(TRIM($F86&amp;""))="free entry"),IF(LOWER($D86&amp;"")="finalized",IF(ISNUMBER($K86),$K86,""),IF($O86&lt;&gt;"",$O86,"")),IF($K86&lt;&gt;"",$K86,IF($O86&lt;&gt;"",$O86,""))))))</x:f>
      </x:c>
      <x:c r="Q86" s="114" t="str">
        <x:f>IF(COUNTA($A86:$M86)=0,"",IF(OR($U86="Subscription",$U86=""),"",IF($U86="Profit",ROUND(IFERROR($P86,0)-IFERROR($H86,0),2),0)))</x:f>
      </x:c>
      <x:c r="R86" s="114" t="str">
        <x:f>IF(COUNTA($A86:$M86)=0,"",IF(OR($U86="Subscription",$U86=""),"",IF($U86="Draw",$H86,0)))</x:f>
      </x:c>
      <x:c r="S86" s="114" t="str">
        <x:f>IF(COUNTA($A86:$M86)=0,"",IF(OR($U86="Subscription",$U86=""),"",IF($U86="Disqualified",$H86,0)))</x:f>
      </x:c>
      <x:c r="T86" s="955" t="str">
        <x:f>IF(COUNTA($A86:$M86)=0,"",IF(OR($U86="Subscription",$U86=""),"",IF(OR($U86="Free Game",$U86="Disqualified — Free Game",$H86=0),"N/A",IF($U86="Profit",$Q86/$H86,IF($U86="Disqualified",-$S86/$H86,0)))))</x:f>
      </x:c>
      <x:c r="U86" s="920" t="str">
        <x:f>IF(COUNTA($A86:$M86)=0,"",IF(OR(LEFT(LOWER(TRIM($F86&amp;"")),12)="subscription",LOWER(TRIM($F86&amp;""))="membership"),"Subscription",IF(OR(AND($H86&lt;&gt;"",$H86=0),LEFT(LOWER(TRIM($F86&amp;"")),9)="free game",LOWER(TRIM($F86&amp;""))="free",LOWER(TRIM($F86&amp;""))="free entry"),IF(LOWER($L86&amp;"")="yes","Disqualified — Free Game","Free Game"),IF(LOWER($L86&amp;"")="yes","Disqualified",IF($P86="","",IF(ROUND(IFERROR(VALUE($P86),0)-IFERROR(VALUE($H86),0),2)&gt;0,"Profit","Draw"))))))</x:f>
      </x:c>
      <x:c r="V86" s="956" t="str">
        <x:f>IF(COUNTA($A86:$M86)=0,"",IF(OR($B86="",$C86="",$U86="Subscription"),"",IFERROR(ROUNDUP(($C86-$B86)/7,0),"")))</x:f>
      </x:c>
      <x:c r="W86" s="114" t="str">
        <x:f>IF(COUNTA($A86:$M86)=0,"",IF(OR($U86="Subscription",$U86=""),"",IF(OR($U86="Free Game",$U86="Disqualified — Free Game"),0,ROUND(IFERROR($Q86,0)-IFERROR($S86,0),2))))</x:f>
      </x:c>
      <x:c r="X86" s="956" t="str">
        <x:f>IF(COUNTA($A86:$M86)=0,"",IF(OR($U86="Subscription",NOT(ISNUMBER($J86)),NOT(ISNUMBER($I86)),$J86=0,$I86=0,$I86&gt;$J86),"",$J86-$I86))</x:f>
      </x:c>
      <x:c r="Y86" s="955" t="str">
        <x:f>IF(COUNTA($A86:$M86)=0,"",IF(OR($U86="Subscription",NOT(ISNUMBER($J86)),$J86=0,$X86=""),"",$X86/$J86))</x:f>
      </x:c>
      <x:c r="Z86" s="957" t="str">
        <x:f>IF(COUNTA($A86:$M86)=0,"",Instructions!$B$29+SUM($W$5:W86))</x:f>
      </x:c>
    </x:row>
    <x:row r="87" ht="36" customHeight="1">
      <x:c r="A87" s="439"/>
      <x:c r="B87" s="453"/>
      <x:c r="C87" s="453"/>
      <x:c r="D87" s="454"/>
      <x:c r="E87" s="454"/>
      <x:c r="F87" s="454"/>
      <x:c r="G87" s="986"/>
      <x:c r="H87" s="455"/>
      <x:c r="I87" s="456"/>
      <x:c r="J87" s="456"/>
      <x:c r="K87" s="986"/>
      <x:c r="L87" s="454"/>
      <x:c r="M87" s="439"/>
      <x:c r="N87" s="987" t="str">
        <x:f>IF(COUNTA($A87:$M87)=0,"",IF(OR(LEFT(LOWER(TRIM($F87&amp;"")),12)="subscription",LOWER(TRIM($F87&amp;""))="membership"),"",IF($G87="","",IF(ISNUMBER(SEARCH("non",LOWER($E87&amp;""))),$G87*0.85,$G87))))</x:f>
      </x:c>
      <x:c r="O87" s="987" t="str">
        <x:f>IF(COUNTA($A87:$M87)=0,"",IF(OR(LEFT(LOWER(TRIM($F87&amp;"")),12)="subscription",LOWER(TRIM($F87&amp;""))="membership"),"",IF(OR($N87="",$I87="",$I87=0),"",IFERROR($N87/$I87,""))))</x:f>
      </x:c>
      <x:c r="P87" s="987" t="str">
        <x:f>IF(COUNTA($A87:$M87)=0,"",IF(OR(LEFT(LOWER(TRIM($F87&amp;"")),12)="subscription",LOWER(TRIM($F87&amp;""))="membership"),"",IF(LOWER($L87&amp;"")="yes",0,IF(OR(AND($H87&lt;&gt;"",$H87=0),LEFT(LOWER(TRIM($F87&amp;"")),9)="free game",LOWER(TRIM($F87&amp;""))="free",LOWER(TRIM($F87&amp;""))="free entry"),IF(LOWER($D87&amp;"")="finalized",IF(ISNUMBER($K87),$K87,""),IF($O87&lt;&gt;"",$O87,"")),IF($K87&lt;&gt;"",$K87,IF($O87&lt;&gt;"",$O87,""))))))</x:f>
      </x:c>
      <x:c r="Q87" s="114" t="str">
        <x:f>IF(COUNTA($A87:$M87)=0,"",IF(OR($U87="Subscription",$U87=""),"",IF($U87="Profit",ROUND(IFERROR($P87,0)-IFERROR($H87,0),2),0)))</x:f>
      </x:c>
      <x:c r="R87" s="114" t="str">
        <x:f>IF(COUNTA($A87:$M87)=0,"",IF(OR($U87="Subscription",$U87=""),"",IF($U87="Draw",$H87,0)))</x:f>
      </x:c>
      <x:c r="S87" s="114" t="str">
        <x:f>IF(COUNTA($A87:$M87)=0,"",IF(OR($U87="Subscription",$U87=""),"",IF($U87="Disqualified",$H87,0)))</x:f>
      </x:c>
      <x:c r="T87" s="955" t="str">
        <x:f>IF(COUNTA($A87:$M87)=0,"",IF(OR($U87="Subscription",$U87=""),"",IF(OR($U87="Free Game",$U87="Disqualified — Free Game",$H87=0),"N/A",IF($U87="Profit",$Q87/$H87,IF($U87="Disqualified",-$S87/$H87,0)))))</x:f>
      </x:c>
      <x:c r="U87" s="920" t="str">
        <x:f>IF(COUNTA($A87:$M87)=0,"",IF(OR(LEFT(LOWER(TRIM($F87&amp;"")),12)="subscription",LOWER(TRIM($F87&amp;""))="membership"),"Subscription",IF(OR(AND($H87&lt;&gt;"",$H87=0),LEFT(LOWER(TRIM($F87&amp;"")),9)="free game",LOWER(TRIM($F87&amp;""))="free",LOWER(TRIM($F87&amp;""))="free entry"),IF(LOWER($L87&amp;"")="yes","Disqualified — Free Game","Free Game"),IF(LOWER($L87&amp;"")="yes","Disqualified",IF($P87="","",IF(ROUND(IFERROR(VALUE($P87),0)-IFERROR(VALUE($H87),0),2)&gt;0,"Profit","Draw"))))))</x:f>
      </x:c>
      <x:c r="V87" s="956" t="str">
        <x:f>IF(COUNTA($A87:$M87)=0,"",IF(OR($B87="",$C87="",$U87="Subscription"),"",IFERROR(ROUNDUP(($C87-$B87)/7,0),"")))</x:f>
      </x:c>
      <x:c r="W87" s="114" t="str">
        <x:f>IF(COUNTA($A87:$M87)=0,"",IF(OR($U87="Subscription",$U87=""),"",IF(OR($U87="Free Game",$U87="Disqualified — Free Game"),0,ROUND(IFERROR($Q87,0)-IFERROR($S87,0),2))))</x:f>
      </x:c>
      <x:c r="X87" s="956" t="str">
        <x:f>IF(COUNTA($A87:$M87)=0,"",IF(OR($U87="Subscription",NOT(ISNUMBER($J87)),NOT(ISNUMBER($I87)),$J87=0,$I87=0,$I87&gt;$J87),"",$J87-$I87))</x:f>
      </x:c>
      <x:c r="Y87" s="955" t="str">
        <x:f>IF(COUNTA($A87:$M87)=0,"",IF(OR($U87="Subscription",NOT(ISNUMBER($J87)),$J87=0,$X87=""),"",$X87/$J87))</x:f>
      </x:c>
      <x:c r="Z87" s="957" t="str">
        <x:f>IF(COUNTA($A87:$M87)=0,"",Instructions!$B$29+SUM($W$5:W87))</x:f>
      </x:c>
    </x:row>
    <x:row r="88" ht="36" customHeight="1">
      <x:c r="A88" s="439"/>
      <x:c r="B88" s="453"/>
      <x:c r="C88" s="453"/>
      <x:c r="D88" s="454"/>
      <x:c r="E88" s="454"/>
      <x:c r="F88" s="454"/>
      <x:c r="G88" s="986"/>
      <x:c r="H88" s="455"/>
      <x:c r="I88" s="456"/>
      <x:c r="J88" s="456"/>
      <x:c r="K88" s="986"/>
      <x:c r="L88" s="454"/>
      <x:c r="M88" s="439"/>
      <x:c r="N88" s="987" t="str">
        <x:f>IF(COUNTA($A88:$M88)=0,"",IF(OR(LEFT(LOWER(TRIM($F88&amp;"")),12)="subscription",LOWER(TRIM($F88&amp;""))="membership"),"",IF($G88="","",IF(ISNUMBER(SEARCH("non",LOWER($E88&amp;""))),$G88*0.85,$G88))))</x:f>
      </x:c>
      <x:c r="O88" s="987" t="str">
        <x:f>IF(COUNTA($A88:$M88)=0,"",IF(OR(LEFT(LOWER(TRIM($F88&amp;"")),12)="subscription",LOWER(TRIM($F88&amp;""))="membership"),"",IF(OR($N88="",$I88="",$I88=0),"",IFERROR($N88/$I88,""))))</x:f>
      </x:c>
      <x:c r="P88" s="987" t="str">
        <x:f>IF(COUNTA($A88:$M88)=0,"",IF(OR(LEFT(LOWER(TRIM($F88&amp;"")),12)="subscription",LOWER(TRIM($F88&amp;""))="membership"),"",IF(LOWER($L88&amp;"")="yes",0,IF(OR(AND($H88&lt;&gt;"",$H88=0),LEFT(LOWER(TRIM($F88&amp;"")),9)="free game",LOWER(TRIM($F88&amp;""))="free",LOWER(TRIM($F88&amp;""))="free entry"),IF(LOWER($D88&amp;"")="finalized",IF(ISNUMBER($K88),$K88,""),IF($O88&lt;&gt;"",$O88,"")),IF($K88&lt;&gt;"",$K88,IF($O88&lt;&gt;"",$O88,""))))))</x:f>
      </x:c>
      <x:c r="Q88" s="114" t="str">
        <x:f>IF(COUNTA($A88:$M88)=0,"",IF(OR($U88="Subscription",$U88=""),"",IF($U88="Profit",ROUND(IFERROR($P88,0)-IFERROR($H88,0),2),0)))</x:f>
      </x:c>
      <x:c r="R88" s="114" t="str">
        <x:f>IF(COUNTA($A88:$M88)=0,"",IF(OR($U88="Subscription",$U88=""),"",IF($U88="Draw",$H88,0)))</x:f>
      </x:c>
      <x:c r="S88" s="114" t="str">
        <x:f>IF(COUNTA($A88:$M88)=0,"",IF(OR($U88="Subscription",$U88=""),"",IF($U88="Disqualified",$H88,0)))</x:f>
      </x:c>
      <x:c r="T88" s="955" t="str">
        <x:f>IF(COUNTA($A88:$M88)=0,"",IF(OR($U88="Subscription",$U88=""),"",IF(OR($U88="Free Game",$U88="Disqualified — Free Game",$H88=0),"N/A",IF($U88="Profit",$Q88/$H88,IF($U88="Disqualified",-$S88/$H88,0)))))</x:f>
      </x:c>
      <x:c r="U88" s="920" t="str">
        <x:f>IF(COUNTA($A88:$M88)=0,"",IF(OR(LEFT(LOWER(TRIM($F88&amp;"")),12)="subscription",LOWER(TRIM($F88&amp;""))="membership"),"Subscription",IF(OR(AND($H88&lt;&gt;"",$H88=0),LEFT(LOWER(TRIM($F88&amp;"")),9)="free game",LOWER(TRIM($F88&amp;""))="free",LOWER(TRIM($F88&amp;""))="free entry"),IF(LOWER($L88&amp;"")="yes","Disqualified — Free Game","Free Game"),IF(LOWER($L88&amp;"")="yes","Disqualified",IF($P88="","",IF(ROUND(IFERROR(VALUE($P88),0)-IFERROR(VALUE($H88),0),2)&gt;0,"Profit","Draw"))))))</x:f>
      </x:c>
      <x:c r="V88" s="956" t="str">
        <x:f>IF(COUNTA($A88:$M88)=0,"",IF(OR($B88="",$C88="",$U88="Subscription"),"",IFERROR(ROUNDUP(($C88-$B88)/7,0),"")))</x:f>
      </x:c>
      <x:c r="W88" s="114" t="str">
        <x:f>IF(COUNTA($A88:$M88)=0,"",IF(OR($U88="Subscription",$U88=""),"",IF(OR($U88="Free Game",$U88="Disqualified — Free Game"),0,ROUND(IFERROR($Q88,0)-IFERROR($S88,0),2))))</x:f>
      </x:c>
      <x:c r="X88" s="956" t="str">
        <x:f>IF(COUNTA($A88:$M88)=0,"",IF(OR($U88="Subscription",NOT(ISNUMBER($J88)),NOT(ISNUMBER($I88)),$J88=0,$I88=0,$I88&gt;$J88),"",$J88-$I88))</x:f>
      </x:c>
      <x:c r="Y88" s="955" t="str">
        <x:f>IF(COUNTA($A88:$M88)=0,"",IF(OR($U88="Subscription",NOT(ISNUMBER($J88)),$J88=0,$X88=""),"",$X88/$J88))</x:f>
      </x:c>
      <x:c r="Z88" s="957" t="str">
        <x:f>IF(COUNTA($A88:$M88)=0,"",Instructions!$B$29+SUM($W$5:W88))</x:f>
      </x:c>
    </x:row>
    <x:row r="89" ht="36" customHeight="1">
      <x:c r="A89" s="439"/>
      <x:c r="B89" s="453"/>
      <x:c r="C89" s="453"/>
      <x:c r="D89" s="454"/>
      <x:c r="E89" s="454"/>
      <x:c r="F89" s="454"/>
      <x:c r="G89" s="986"/>
      <x:c r="H89" s="455"/>
      <x:c r="I89" s="456"/>
      <x:c r="J89" s="456"/>
      <x:c r="K89" s="986"/>
      <x:c r="L89" s="454"/>
      <x:c r="M89" s="439"/>
      <x:c r="N89" s="987" t="str">
        <x:f>IF(COUNTA($A89:$M89)=0,"",IF(OR(LEFT(LOWER(TRIM($F89&amp;"")),12)="subscription",LOWER(TRIM($F89&amp;""))="membership"),"",IF($G89="","",IF(ISNUMBER(SEARCH("non",LOWER($E89&amp;""))),$G89*0.85,$G89))))</x:f>
      </x:c>
      <x:c r="O89" s="987" t="str">
        <x:f>IF(COUNTA($A89:$M89)=0,"",IF(OR(LEFT(LOWER(TRIM($F89&amp;"")),12)="subscription",LOWER(TRIM($F89&amp;""))="membership"),"",IF(OR($N89="",$I89="",$I89=0),"",IFERROR($N89/$I89,""))))</x:f>
      </x:c>
      <x:c r="P89" s="987" t="str">
        <x:f>IF(COUNTA($A89:$M89)=0,"",IF(OR(LEFT(LOWER(TRIM($F89&amp;"")),12)="subscription",LOWER(TRIM($F89&amp;""))="membership"),"",IF(LOWER($L89&amp;"")="yes",0,IF(OR(AND($H89&lt;&gt;"",$H89=0),LEFT(LOWER(TRIM($F89&amp;"")),9)="free game",LOWER(TRIM($F89&amp;""))="free",LOWER(TRIM($F89&amp;""))="free entry"),IF(LOWER($D89&amp;"")="finalized",IF(ISNUMBER($K89),$K89,""),IF($O89&lt;&gt;"",$O89,"")),IF($K89&lt;&gt;"",$K89,IF($O89&lt;&gt;"",$O89,""))))))</x:f>
      </x:c>
      <x:c r="Q89" s="114" t="str">
        <x:f>IF(COUNTA($A89:$M89)=0,"",IF(OR($U89="Subscription",$U89=""),"",IF($U89="Profit",ROUND(IFERROR($P89,0)-IFERROR($H89,0),2),0)))</x:f>
      </x:c>
      <x:c r="R89" s="114" t="str">
        <x:f>IF(COUNTA($A89:$M89)=0,"",IF(OR($U89="Subscription",$U89=""),"",IF($U89="Draw",$H89,0)))</x:f>
      </x:c>
      <x:c r="S89" s="114" t="str">
        <x:f>IF(COUNTA($A89:$M89)=0,"",IF(OR($U89="Subscription",$U89=""),"",IF($U89="Disqualified",$H89,0)))</x:f>
      </x:c>
      <x:c r="T89" s="955" t="str">
        <x:f>IF(COUNTA($A89:$M89)=0,"",IF(OR($U89="Subscription",$U89=""),"",IF(OR($U89="Free Game",$U89="Disqualified — Free Game",$H89=0),"N/A",IF($U89="Profit",$Q89/$H89,IF($U89="Disqualified",-$S89/$H89,0)))))</x:f>
      </x:c>
      <x:c r="U89" s="920" t="str">
        <x:f>IF(COUNTA($A89:$M89)=0,"",IF(OR(LEFT(LOWER(TRIM($F89&amp;"")),12)="subscription",LOWER(TRIM($F89&amp;""))="membership"),"Subscription",IF(OR(AND($H89&lt;&gt;"",$H89=0),LEFT(LOWER(TRIM($F89&amp;"")),9)="free game",LOWER(TRIM($F89&amp;""))="free",LOWER(TRIM($F89&amp;""))="free entry"),IF(LOWER($L89&amp;"")="yes","Disqualified — Free Game","Free Game"),IF(LOWER($L89&amp;"")="yes","Disqualified",IF($P89="","",IF(ROUND(IFERROR(VALUE($P89),0)-IFERROR(VALUE($H89),0),2)&gt;0,"Profit","Draw"))))))</x:f>
      </x:c>
      <x:c r="V89" s="956" t="str">
        <x:f>IF(COUNTA($A89:$M89)=0,"",IF(OR($B89="",$C89="",$U89="Subscription"),"",IFERROR(ROUNDUP(($C89-$B89)/7,0),"")))</x:f>
      </x:c>
      <x:c r="W89" s="114" t="str">
        <x:f>IF(COUNTA($A89:$M89)=0,"",IF(OR($U89="Subscription",$U89=""),"",IF(OR($U89="Free Game",$U89="Disqualified — Free Game"),0,ROUND(IFERROR($Q89,0)-IFERROR($S89,0),2))))</x:f>
      </x:c>
      <x:c r="X89" s="956" t="str">
        <x:f>IF(COUNTA($A89:$M89)=0,"",IF(OR($U89="Subscription",NOT(ISNUMBER($J89)),NOT(ISNUMBER($I89)),$J89=0,$I89=0,$I89&gt;$J89),"",$J89-$I89))</x:f>
      </x:c>
      <x:c r="Y89" s="955" t="str">
        <x:f>IF(COUNTA($A89:$M89)=0,"",IF(OR($U89="Subscription",NOT(ISNUMBER($J89)),$J89=0,$X89=""),"",$X89/$J89))</x:f>
      </x:c>
      <x:c r="Z89" s="957" t="str">
        <x:f>IF(COUNTA($A89:$M89)=0,"",Instructions!$B$29+SUM($W$5:W89))</x:f>
      </x:c>
    </x:row>
    <x:row r="90" ht="36" customHeight="1">
      <x:c r="A90" s="439"/>
      <x:c r="B90" s="453"/>
      <x:c r="C90" s="453"/>
      <x:c r="D90" s="454"/>
      <x:c r="E90" s="454"/>
      <x:c r="F90" s="454"/>
      <x:c r="G90" s="986"/>
      <x:c r="H90" s="455"/>
      <x:c r="I90" s="456"/>
      <x:c r="J90" s="456"/>
      <x:c r="K90" s="986"/>
      <x:c r="L90" s="454"/>
      <x:c r="M90" s="439"/>
      <x:c r="N90" s="987" t="str">
        <x:f>IF(COUNTA($A90:$M90)=0,"",IF(OR(LEFT(LOWER(TRIM($F90&amp;"")),12)="subscription",LOWER(TRIM($F90&amp;""))="membership"),"",IF($G90="","",IF(ISNUMBER(SEARCH("non",LOWER($E90&amp;""))),$G90*0.85,$G90))))</x:f>
      </x:c>
      <x:c r="O90" s="987" t="str">
        <x:f>IF(COUNTA($A90:$M90)=0,"",IF(OR(LEFT(LOWER(TRIM($F90&amp;"")),12)="subscription",LOWER(TRIM($F90&amp;""))="membership"),"",IF(OR($N90="",$I90="",$I90=0),"",IFERROR($N90/$I90,""))))</x:f>
      </x:c>
      <x:c r="P90" s="987" t="str">
        <x:f>IF(COUNTA($A90:$M90)=0,"",IF(OR(LEFT(LOWER(TRIM($F90&amp;"")),12)="subscription",LOWER(TRIM($F90&amp;""))="membership"),"",IF(LOWER($L90&amp;"")="yes",0,IF(OR(AND($H90&lt;&gt;"",$H90=0),LEFT(LOWER(TRIM($F90&amp;"")),9)="free game",LOWER(TRIM($F90&amp;""))="free",LOWER(TRIM($F90&amp;""))="free entry"),IF(LOWER($D90&amp;"")="finalized",IF(ISNUMBER($K90),$K90,""),IF($O90&lt;&gt;"",$O90,"")),IF($K90&lt;&gt;"",$K90,IF($O90&lt;&gt;"",$O90,""))))))</x:f>
      </x:c>
      <x:c r="Q90" s="114" t="str">
        <x:f>IF(COUNTA($A90:$M90)=0,"",IF(OR($U90="Subscription",$U90=""),"",IF($U90="Profit",ROUND(IFERROR($P90,0)-IFERROR($H90,0),2),0)))</x:f>
      </x:c>
      <x:c r="R90" s="114" t="str">
        <x:f>IF(COUNTA($A90:$M90)=0,"",IF(OR($U90="Subscription",$U90=""),"",IF($U90="Draw",$H90,0)))</x:f>
      </x:c>
      <x:c r="S90" s="114" t="str">
        <x:f>IF(COUNTA($A90:$M90)=0,"",IF(OR($U90="Subscription",$U90=""),"",IF($U90="Disqualified",$H90,0)))</x:f>
      </x:c>
      <x:c r="T90" s="955" t="str">
        <x:f>IF(COUNTA($A90:$M90)=0,"",IF(OR($U90="Subscription",$U90=""),"",IF(OR($U90="Free Game",$U90="Disqualified — Free Game",$H90=0),"N/A",IF($U90="Profit",$Q90/$H90,IF($U90="Disqualified",-$S90/$H90,0)))))</x:f>
      </x:c>
      <x:c r="U90" s="920" t="str">
        <x:f>IF(COUNTA($A90:$M90)=0,"",IF(OR(LEFT(LOWER(TRIM($F90&amp;"")),12)="subscription",LOWER(TRIM($F90&amp;""))="membership"),"Subscription",IF(OR(AND($H90&lt;&gt;"",$H90=0),LEFT(LOWER(TRIM($F90&amp;"")),9)="free game",LOWER(TRIM($F90&amp;""))="free",LOWER(TRIM($F90&amp;""))="free entry"),IF(LOWER($L90&amp;"")="yes","Disqualified — Free Game","Free Game"),IF(LOWER($L90&amp;"")="yes","Disqualified",IF($P90="","",IF(ROUND(IFERROR(VALUE($P90),0)-IFERROR(VALUE($H90),0),2)&gt;0,"Profit","Draw"))))))</x:f>
      </x:c>
      <x:c r="V90" s="956" t="str">
        <x:f>IF(COUNTA($A90:$M90)=0,"",IF(OR($B90="",$C90="",$U90="Subscription"),"",IFERROR(ROUNDUP(($C90-$B90)/7,0),"")))</x:f>
      </x:c>
      <x:c r="W90" s="114" t="str">
        <x:f>IF(COUNTA($A90:$M90)=0,"",IF(OR($U90="Subscription",$U90=""),"",IF(OR($U90="Free Game",$U90="Disqualified — Free Game"),0,ROUND(IFERROR($Q90,0)-IFERROR($S90,0),2))))</x:f>
      </x:c>
      <x:c r="X90" s="956" t="str">
        <x:f>IF(COUNTA($A90:$M90)=0,"",IF(OR($U90="Subscription",NOT(ISNUMBER($J90)),NOT(ISNUMBER($I90)),$J90=0,$I90=0,$I90&gt;$J90),"",$J90-$I90))</x:f>
      </x:c>
      <x:c r="Y90" s="955" t="str">
        <x:f>IF(COUNTA($A90:$M90)=0,"",IF(OR($U90="Subscription",NOT(ISNUMBER($J90)),$J90=0,$X90=""),"",$X90/$J90))</x:f>
      </x:c>
      <x:c r="Z90" s="957" t="str">
        <x:f>IF(COUNTA($A90:$M90)=0,"",Instructions!$B$29+SUM($W$5:W90))</x:f>
      </x:c>
    </x:row>
    <x:row r="91" ht="36" customHeight="1">
      <x:c r="A91" s="439"/>
      <x:c r="B91" s="453"/>
      <x:c r="C91" s="453"/>
      <x:c r="D91" s="454"/>
      <x:c r="E91" s="454"/>
      <x:c r="F91" s="454"/>
      <x:c r="G91" s="986"/>
      <x:c r="H91" s="455"/>
      <x:c r="I91" s="456"/>
      <x:c r="J91" s="456"/>
      <x:c r="K91" s="986"/>
      <x:c r="L91" s="454"/>
      <x:c r="M91" s="439"/>
      <x:c r="N91" s="987" t="str">
        <x:f>IF(COUNTA($A91:$M91)=0,"",IF(OR(LEFT(LOWER(TRIM($F91&amp;"")),12)="subscription",LOWER(TRIM($F91&amp;""))="membership"),"",IF($G91="","",IF(ISNUMBER(SEARCH("non",LOWER($E91&amp;""))),$G91*0.85,$G91))))</x:f>
      </x:c>
      <x:c r="O91" s="987" t="str">
        <x:f>IF(COUNTA($A91:$M91)=0,"",IF(OR(LEFT(LOWER(TRIM($F91&amp;"")),12)="subscription",LOWER(TRIM($F91&amp;""))="membership"),"",IF(OR($N91="",$I91="",$I91=0),"",IFERROR($N91/$I91,""))))</x:f>
      </x:c>
      <x:c r="P91" s="987" t="str">
        <x:f>IF(COUNTA($A91:$M91)=0,"",IF(OR(LEFT(LOWER(TRIM($F91&amp;"")),12)="subscription",LOWER(TRIM($F91&amp;""))="membership"),"",IF(LOWER($L91&amp;"")="yes",0,IF(OR(AND($H91&lt;&gt;"",$H91=0),LEFT(LOWER(TRIM($F91&amp;"")),9)="free game",LOWER(TRIM($F91&amp;""))="free",LOWER(TRIM($F91&amp;""))="free entry"),IF(LOWER($D91&amp;"")="finalized",IF(ISNUMBER($K91),$K91,""),IF($O91&lt;&gt;"",$O91,"")),IF($K91&lt;&gt;"",$K91,IF($O91&lt;&gt;"",$O91,""))))))</x:f>
      </x:c>
      <x:c r="Q91" s="114" t="str">
        <x:f>IF(COUNTA($A91:$M91)=0,"",IF(OR($U91="Subscription",$U91=""),"",IF($U91="Profit",ROUND(IFERROR($P91,0)-IFERROR($H91,0),2),0)))</x:f>
      </x:c>
      <x:c r="R91" s="114" t="str">
        <x:f>IF(COUNTA($A91:$M91)=0,"",IF(OR($U91="Subscription",$U91=""),"",IF($U91="Draw",$H91,0)))</x:f>
      </x:c>
      <x:c r="S91" s="114" t="str">
        <x:f>IF(COUNTA($A91:$M91)=0,"",IF(OR($U91="Subscription",$U91=""),"",IF($U91="Disqualified",$H91,0)))</x:f>
      </x:c>
      <x:c r="T91" s="955" t="str">
        <x:f>IF(COUNTA($A91:$M91)=0,"",IF(OR($U91="Subscription",$U91=""),"",IF(OR($U91="Free Game",$U91="Disqualified — Free Game",$H91=0),"N/A",IF($U91="Profit",$Q91/$H91,IF($U91="Disqualified",-$S91/$H91,0)))))</x:f>
      </x:c>
      <x:c r="U91" s="920" t="str">
        <x:f>IF(COUNTA($A91:$M91)=0,"",IF(OR(LEFT(LOWER(TRIM($F91&amp;"")),12)="subscription",LOWER(TRIM($F91&amp;""))="membership"),"Subscription",IF(OR(AND($H91&lt;&gt;"",$H91=0),LEFT(LOWER(TRIM($F91&amp;"")),9)="free game",LOWER(TRIM($F91&amp;""))="free",LOWER(TRIM($F91&amp;""))="free entry"),IF(LOWER($L91&amp;"")="yes","Disqualified — Free Game","Free Game"),IF(LOWER($L91&amp;"")="yes","Disqualified",IF($P91="","",IF(ROUND(IFERROR(VALUE($P91),0)-IFERROR(VALUE($H91),0),2)&gt;0,"Profit","Draw"))))))</x:f>
      </x:c>
      <x:c r="V91" s="956" t="str">
        <x:f>IF(COUNTA($A91:$M91)=0,"",IF(OR($B91="",$C91="",$U91="Subscription"),"",IFERROR(ROUNDUP(($C91-$B91)/7,0),"")))</x:f>
      </x:c>
      <x:c r="W91" s="114" t="str">
        <x:f>IF(COUNTA($A91:$M91)=0,"",IF(OR($U91="Subscription",$U91=""),"",IF(OR($U91="Free Game",$U91="Disqualified — Free Game"),0,ROUND(IFERROR($Q91,0)-IFERROR($S91,0),2))))</x:f>
      </x:c>
      <x:c r="X91" s="956" t="str">
        <x:f>IF(COUNTA($A91:$M91)=0,"",IF(OR($U91="Subscription",NOT(ISNUMBER($J91)),NOT(ISNUMBER($I91)),$J91=0,$I91=0,$I91&gt;$J91),"",$J91-$I91))</x:f>
      </x:c>
      <x:c r="Y91" s="955" t="str">
        <x:f>IF(COUNTA($A91:$M91)=0,"",IF(OR($U91="Subscription",NOT(ISNUMBER($J91)),$J91=0,$X91=""),"",$X91/$J91))</x:f>
      </x:c>
      <x:c r="Z91" s="957" t="str">
        <x:f>IF(COUNTA($A91:$M91)=0,"",Instructions!$B$29+SUM($W$5:W91))</x:f>
      </x:c>
    </x:row>
    <x:row r="92" ht="36" customHeight="1">
      <x:c r="A92" s="439"/>
      <x:c r="B92" s="453"/>
      <x:c r="C92" s="453"/>
      <x:c r="D92" s="454"/>
      <x:c r="E92" s="454"/>
      <x:c r="F92" s="454"/>
      <x:c r="G92" s="986"/>
      <x:c r="H92" s="455"/>
      <x:c r="I92" s="456"/>
      <x:c r="J92" s="456"/>
      <x:c r="K92" s="986"/>
      <x:c r="L92" s="454"/>
      <x:c r="M92" s="439"/>
      <x:c r="N92" s="987" t="str">
        <x:f>IF(COUNTA($A92:$M92)=0,"",IF(OR(LEFT(LOWER(TRIM($F92&amp;"")),12)="subscription",LOWER(TRIM($F92&amp;""))="membership"),"",IF($G92="","",IF(ISNUMBER(SEARCH("non",LOWER($E92&amp;""))),$G92*0.85,$G92))))</x:f>
      </x:c>
      <x:c r="O92" s="987" t="str">
        <x:f>IF(COUNTA($A92:$M92)=0,"",IF(OR(LEFT(LOWER(TRIM($F92&amp;"")),12)="subscription",LOWER(TRIM($F92&amp;""))="membership"),"",IF(OR($N92="",$I92="",$I92=0),"",IFERROR($N92/$I92,""))))</x:f>
      </x:c>
      <x:c r="P92" s="987" t="str">
        <x:f>IF(COUNTA($A92:$M92)=0,"",IF(OR(LEFT(LOWER(TRIM($F92&amp;"")),12)="subscription",LOWER(TRIM($F92&amp;""))="membership"),"",IF(LOWER($L92&amp;"")="yes",0,IF(OR(AND($H92&lt;&gt;"",$H92=0),LEFT(LOWER(TRIM($F92&amp;"")),9)="free game",LOWER(TRIM($F92&amp;""))="free",LOWER(TRIM($F92&amp;""))="free entry"),IF(LOWER($D92&amp;"")="finalized",IF(ISNUMBER($K92),$K92,""),IF($O92&lt;&gt;"",$O92,"")),IF($K92&lt;&gt;"",$K92,IF($O92&lt;&gt;"",$O92,""))))))</x:f>
      </x:c>
      <x:c r="Q92" s="114" t="str">
        <x:f>IF(COUNTA($A92:$M92)=0,"",IF(OR($U92="Subscription",$U92=""),"",IF($U92="Profit",ROUND(IFERROR($P92,0)-IFERROR($H92,0),2),0)))</x:f>
      </x:c>
      <x:c r="R92" s="114" t="str">
        <x:f>IF(COUNTA($A92:$M92)=0,"",IF(OR($U92="Subscription",$U92=""),"",IF($U92="Draw",$H92,0)))</x:f>
      </x:c>
      <x:c r="S92" s="114" t="str">
        <x:f>IF(COUNTA($A92:$M92)=0,"",IF(OR($U92="Subscription",$U92=""),"",IF($U92="Disqualified",$H92,0)))</x:f>
      </x:c>
      <x:c r="T92" s="955" t="str">
        <x:f>IF(COUNTA($A92:$M92)=0,"",IF(OR($U92="Subscription",$U92=""),"",IF(OR($U92="Free Game",$U92="Disqualified — Free Game",$H92=0),"N/A",IF($U92="Profit",$Q92/$H92,IF($U92="Disqualified",-$S92/$H92,0)))))</x:f>
      </x:c>
      <x:c r="U92" s="920" t="str">
        <x:f>IF(COUNTA($A92:$M92)=0,"",IF(OR(LEFT(LOWER(TRIM($F92&amp;"")),12)="subscription",LOWER(TRIM($F92&amp;""))="membership"),"Subscription",IF(OR(AND($H92&lt;&gt;"",$H92=0),LEFT(LOWER(TRIM($F92&amp;"")),9)="free game",LOWER(TRIM($F92&amp;""))="free",LOWER(TRIM($F92&amp;""))="free entry"),IF(LOWER($L92&amp;"")="yes","Disqualified — Free Game","Free Game"),IF(LOWER($L92&amp;"")="yes","Disqualified",IF($P92="","",IF(ROUND(IFERROR(VALUE($P92),0)-IFERROR(VALUE($H92),0),2)&gt;0,"Profit","Draw"))))))</x:f>
      </x:c>
      <x:c r="V92" s="956" t="str">
        <x:f>IF(COUNTA($A92:$M92)=0,"",IF(OR($B92="",$C92="",$U92="Subscription"),"",IFERROR(ROUNDUP(($C92-$B92)/7,0),"")))</x:f>
      </x:c>
      <x:c r="W92" s="114" t="str">
        <x:f>IF(COUNTA($A92:$M92)=0,"",IF(OR($U92="Subscription",$U92=""),"",IF(OR($U92="Free Game",$U92="Disqualified — Free Game"),0,ROUND(IFERROR($Q92,0)-IFERROR($S92,0),2))))</x:f>
      </x:c>
      <x:c r="X92" s="956" t="str">
        <x:f>IF(COUNTA($A92:$M92)=0,"",IF(OR($U92="Subscription",NOT(ISNUMBER($J92)),NOT(ISNUMBER($I92)),$J92=0,$I92=0,$I92&gt;$J92),"",$J92-$I92))</x:f>
      </x:c>
      <x:c r="Y92" s="955" t="str">
        <x:f>IF(COUNTA($A92:$M92)=0,"",IF(OR($U92="Subscription",NOT(ISNUMBER($J92)),$J92=0,$X92=""),"",$X92/$J92))</x:f>
      </x:c>
      <x:c r="Z92" s="957" t="str">
        <x:f>IF(COUNTA($A92:$M92)=0,"",Instructions!$B$29+SUM($W$5:W92))</x:f>
      </x:c>
    </x:row>
    <x:row r="93" ht="36" customHeight="1">
      <x:c r="A93" s="439"/>
      <x:c r="B93" s="453"/>
      <x:c r="C93" s="453"/>
      <x:c r="D93" s="454"/>
      <x:c r="E93" s="454"/>
      <x:c r="F93" s="454"/>
      <x:c r="G93" s="986"/>
      <x:c r="H93" s="455"/>
      <x:c r="I93" s="456"/>
      <x:c r="J93" s="456"/>
      <x:c r="K93" s="986"/>
      <x:c r="L93" s="454"/>
      <x:c r="M93" s="439"/>
      <x:c r="N93" s="987" t="str">
        <x:f>IF(COUNTA($A93:$M93)=0,"",IF(OR(LEFT(LOWER(TRIM($F93&amp;"")),12)="subscription",LOWER(TRIM($F93&amp;""))="membership"),"",IF($G93="","",IF(ISNUMBER(SEARCH("non",LOWER($E93&amp;""))),$G93*0.85,$G93))))</x:f>
      </x:c>
      <x:c r="O93" s="987" t="str">
        <x:f>IF(COUNTA($A93:$M93)=0,"",IF(OR(LEFT(LOWER(TRIM($F93&amp;"")),12)="subscription",LOWER(TRIM($F93&amp;""))="membership"),"",IF(OR($N93="",$I93="",$I93=0),"",IFERROR($N93/$I93,""))))</x:f>
      </x:c>
      <x:c r="P93" s="987" t="str">
        <x:f>IF(COUNTA($A93:$M93)=0,"",IF(OR(LEFT(LOWER(TRIM($F93&amp;"")),12)="subscription",LOWER(TRIM($F93&amp;""))="membership"),"",IF(LOWER($L93&amp;"")="yes",0,IF(OR(AND($H93&lt;&gt;"",$H93=0),LEFT(LOWER(TRIM($F93&amp;"")),9)="free game",LOWER(TRIM($F93&amp;""))="free",LOWER(TRIM($F93&amp;""))="free entry"),IF(LOWER($D93&amp;"")="finalized",IF(ISNUMBER($K93),$K93,""),IF($O93&lt;&gt;"",$O93,"")),IF($K93&lt;&gt;"",$K93,IF($O93&lt;&gt;"",$O93,""))))))</x:f>
      </x:c>
      <x:c r="Q93" s="114" t="str">
        <x:f>IF(COUNTA($A93:$M93)=0,"",IF(OR($U93="Subscription",$U93=""),"",IF($U93="Profit",ROUND(IFERROR($P93,0)-IFERROR($H93,0),2),0)))</x:f>
      </x:c>
      <x:c r="R93" s="114" t="str">
        <x:f>IF(COUNTA($A93:$M93)=0,"",IF(OR($U93="Subscription",$U93=""),"",IF($U93="Draw",$H93,0)))</x:f>
      </x:c>
      <x:c r="S93" s="114" t="str">
        <x:f>IF(COUNTA($A93:$M93)=0,"",IF(OR($U93="Subscription",$U93=""),"",IF($U93="Disqualified",$H93,0)))</x:f>
      </x:c>
      <x:c r="T93" s="955" t="str">
        <x:f>IF(COUNTA($A93:$M93)=0,"",IF(OR($U93="Subscription",$U93=""),"",IF(OR($U93="Free Game",$U93="Disqualified — Free Game",$H93=0),"N/A",IF($U93="Profit",$Q93/$H93,IF($U93="Disqualified",-$S93/$H93,0)))))</x:f>
      </x:c>
      <x:c r="U93" s="920" t="str">
        <x:f>IF(COUNTA($A93:$M93)=0,"",IF(OR(LEFT(LOWER(TRIM($F93&amp;"")),12)="subscription",LOWER(TRIM($F93&amp;""))="membership"),"Subscription",IF(OR(AND($H93&lt;&gt;"",$H93=0),LEFT(LOWER(TRIM($F93&amp;"")),9)="free game",LOWER(TRIM($F93&amp;""))="free",LOWER(TRIM($F93&amp;""))="free entry"),IF(LOWER($L93&amp;"")="yes","Disqualified — Free Game","Free Game"),IF(LOWER($L93&amp;"")="yes","Disqualified",IF($P93="","",IF(ROUND(IFERROR(VALUE($P93),0)-IFERROR(VALUE($H93),0),2)&gt;0,"Profit","Draw"))))))</x:f>
      </x:c>
      <x:c r="V93" s="956" t="str">
        <x:f>IF(COUNTA($A93:$M93)=0,"",IF(OR($B93="",$C93="",$U93="Subscription"),"",IFERROR(ROUNDUP(($C93-$B93)/7,0),"")))</x:f>
      </x:c>
      <x:c r="W93" s="114" t="str">
        <x:f>IF(COUNTA($A93:$M93)=0,"",IF(OR($U93="Subscription",$U93=""),"",IF(OR($U93="Free Game",$U93="Disqualified — Free Game"),0,ROUND(IFERROR($Q93,0)-IFERROR($S93,0),2))))</x:f>
      </x:c>
      <x:c r="X93" s="956" t="str">
        <x:f>IF(COUNTA($A93:$M93)=0,"",IF(OR($U93="Subscription",NOT(ISNUMBER($J93)),NOT(ISNUMBER($I93)),$J93=0,$I93=0,$I93&gt;$J93),"",$J93-$I93))</x:f>
      </x:c>
      <x:c r="Y93" s="955" t="str">
        <x:f>IF(COUNTA($A93:$M93)=0,"",IF(OR($U93="Subscription",NOT(ISNUMBER($J93)),$J93=0,$X93=""),"",$X93/$J93))</x:f>
      </x:c>
      <x:c r="Z93" s="957" t="str">
        <x:f>IF(COUNTA($A93:$M93)=0,"",Instructions!$B$29+SUM($W$5:W93))</x:f>
      </x:c>
    </x:row>
    <x:row r="94" ht="36" customHeight="1">
      <x:c r="A94" s="439"/>
      <x:c r="B94" s="453"/>
      <x:c r="C94" s="453"/>
      <x:c r="D94" s="454"/>
      <x:c r="E94" s="454"/>
      <x:c r="F94" s="454"/>
      <x:c r="G94" s="986"/>
      <x:c r="H94" s="455"/>
      <x:c r="I94" s="456"/>
      <x:c r="J94" s="456"/>
      <x:c r="K94" s="986"/>
      <x:c r="L94" s="454"/>
      <x:c r="M94" s="439"/>
      <x:c r="N94" s="987" t="str">
        <x:f>IF(COUNTA($A94:$M94)=0,"",IF(OR(LEFT(LOWER(TRIM($F94&amp;"")),12)="subscription",LOWER(TRIM($F94&amp;""))="membership"),"",IF($G94="","",IF(ISNUMBER(SEARCH("non",LOWER($E94&amp;""))),$G94*0.85,$G94))))</x:f>
      </x:c>
      <x:c r="O94" s="987" t="str">
        <x:f>IF(COUNTA($A94:$M94)=0,"",IF(OR(LEFT(LOWER(TRIM($F94&amp;"")),12)="subscription",LOWER(TRIM($F94&amp;""))="membership"),"",IF(OR($N94="",$I94="",$I94=0),"",IFERROR($N94/$I94,""))))</x:f>
      </x:c>
      <x:c r="P94" s="987" t="str">
        <x:f>IF(COUNTA($A94:$M94)=0,"",IF(OR(LEFT(LOWER(TRIM($F94&amp;"")),12)="subscription",LOWER(TRIM($F94&amp;""))="membership"),"",IF(LOWER($L94&amp;"")="yes",0,IF(OR(AND($H94&lt;&gt;"",$H94=0),LEFT(LOWER(TRIM($F94&amp;"")),9)="free game",LOWER(TRIM($F94&amp;""))="free",LOWER(TRIM($F94&amp;""))="free entry"),IF(LOWER($D94&amp;"")="finalized",IF(ISNUMBER($K94),$K94,""),IF($O94&lt;&gt;"",$O94,"")),IF($K94&lt;&gt;"",$K94,IF($O94&lt;&gt;"",$O94,""))))))</x:f>
      </x:c>
      <x:c r="Q94" s="114" t="str">
        <x:f>IF(COUNTA($A94:$M94)=0,"",IF(OR($U94="Subscription",$U94=""),"",IF($U94="Profit",ROUND(IFERROR($P94,0)-IFERROR($H94,0),2),0)))</x:f>
      </x:c>
      <x:c r="R94" s="114" t="str">
        <x:f>IF(COUNTA($A94:$M94)=0,"",IF(OR($U94="Subscription",$U94=""),"",IF($U94="Draw",$H94,0)))</x:f>
      </x:c>
      <x:c r="S94" s="114" t="str">
        <x:f>IF(COUNTA($A94:$M94)=0,"",IF(OR($U94="Subscription",$U94=""),"",IF($U94="Disqualified",$H94,0)))</x:f>
      </x:c>
      <x:c r="T94" s="955" t="str">
        <x:f>IF(COUNTA($A94:$M94)=0,"",IF(OR($U94="Subscription",$U94=""),"",IF(OR($U94="Free Game",$U94="Disqualified — Free Game",$H94=0),"N/A",IF($U94="Profit",$Q94/$H94,IF($U94="Disqualified",-$S94/$H94,0)))))</x:f>
      </x:c>
      <x:c r="U94" s="920" t="str">
        <x:f>IF(COUNTA($A94:$M94)=0,"",IF(OR(LEFT(LOWER(TRIM($F94&amp;"")),12)="subscription",LOWER(TRIM($F94&amp;""))="membership"),"Subscription",IF(OR(AND($H94&lt;&gt;"",$H94=0),LEFT(LOWER(TRIM($F94&amp;"")),9)="free game",LOWER(TRIM($F94&amp;""))="free",LOWER(TRIM($F94&amp;""))="free entry"),IF(LOWER($L94&amp;"")="yes","Disqualified — Free Game","Free Game"),IF(LOWER($L94&amp;"")="yes","Disqualified",IF($P94="","",IF(ROUND(IFERROR(VALUE($P94),0)-IFERROR(VALUE($H94),0),2)&gt;0,"Profit","Draw"))))))</x:f>
      </x:c>
      <x:c r="V94" s="956" t="str">
        <x:f>IF(COUNTA($A94:$M94)=0,"",IF(OR($B94="",$C94="",$U94="Subscription"),"",IFERROR(ROUNDUP(($C94-$B94)/7,0),"")))</x:f>
      </x:c>
      <x:c r="W94" s="114" t="str">
        <x:f>IF(COUNTA($A94:$M94)=0,"",IF(OR($U94="Subscription",$U94=""),"",IF(OR($U94="Free Game",$U94="Disqualified — Free Game"),0,ROUND(IFERROR($Q94,0)-IFERROR($S94,0),2))))</x:f>
      </x:c>
      <x:c r="X94" s="956" t="str">
        <x:f>IF(COUNTA($A94:$M94)=0,"",IF(OR($U94="Subscription",NOT(ISNUMBER($J94)),NOT(ISNUMBER($I94)),$J94=0,$I94=0,$I94&gt;$J94),"",$J94-$I94))</x:f>
      </x:c>
      <x:c r="Y94" s="955" t="str">
        <x:f>IF(COUNTA($A94:$M94)=0,"",IF(OR($U94="Subscription",NOT(ISNUMBER($J94)),$J94=0,$X94=""),"",$X94/$J94))</x:f>
      </x:c>
      <x:c r="Z94" s="957" t="str">
        <x:f>IF(COUNTA($A94:$M94)=0,"",Instructions!$B$29+SUM($W$5:W94))</x:f>
      </x:c>
    </x:row>
    <x:row r="95" ht="36" customHeight="1">
      <x:c r="A95" s="439"/>
      <x:c r="B95" s="453"/>
      <x:c r="C95" s="453"/>
      <x:c r="D95" s="454"/>
      <x:c r="E95" s="454"/>
      <x:c r="F95" s="454"/>
      <x:c r="G95" s="986"/>
      <x:c r="H95" s="455"/>
      <x:c r="I95" s="456"/>
      <x:c r="J95" s="456"/>
      <x:c r="K95" s="986"/>
      <x:c r="L95" s="454"/>
      <x:c r="M95" s="439"/>
      <x:c r="N95" s="987" t="str">
        <x:f>IF(COUNTA($A95:$M95)=0,"",IF(OR(LEFT(LOWER(TRIM($F95&amp;"")),12)="subscription",LOWER(TRIM($F95&amp;""))="membership"),"",IF($G95="","",IF(ISNUMBER(SEARCH("non",LOWER($E95&amp;""))),$G95*0.85,$G95))))</x:f>
      </x:c>
      <x:c r="O95" s="987" t="str">
        <x:f>IF(COUNTA($A95:$M95)=0,"",IF(OR(LEFT(LOWER(TRIM($F95&amp;"")),12)="subscription",LOWER(TRIM($F95&amp;""))="membership"),"",IF(OR($N95="",$I95="",$I95=0),"",IFERROR($N95/$I95,""))))</x:f>
      </x:c>
      <x:c r="P95" s="987" t="str">
        <x:f>IF(COUNTA($A95:$M95)=0,"",IF(OR(LEFT(LOWER(TRIM($F95&amp;"")),12)="subscription",LOWER(TRIM($F95&amp;""))="membership"),"",IF(LOWER($L95&amp;"")="yes",0,IF(OR(AND($H95&lt;&gt;"",$H95=0),LEFT(LOWER(TRIM($F95&amp;"")),9)="free game",LOWER(TRIM($F95&amp;""))="free",LOWER(TRIM($F95&amp;""))="free entry"),IF(LOWER($D95&amp;"")="finalized",IF(ISNUMBER($K95),$K95,""),IF($O95&lt;&gt;"",$O95,"")),IF($K95&lt;&gt;"",$K95,IF($O95&lt;&gt;"",$O95,""))))))</x:f>
      </x:c>
      <x:c r="Q95" s="114" t="str">
        <x:f>IF(COUNTA($A95:$M95)=0,"",IF(OR($U95="Subscription",$U95=""),"",IF($U95="Profit",ROUND(IFERROR($P95,0)-IFERROR($H95,0),2),0)))</x:f>
      </x:c>
      <x:c r="R95" s="114" t="str">
        <x:f>IF(COUNTA($A95:$M95)=0,"",IF(OR($U95="Subscription",$U95=""),"",IF($U95="Draw",$H95,0)))</x:f>
      </x:c>
      <x:c r="S95" s="114" t="str">
        <x:f>IF(COUNTA($A95:$M95)=0,"",IF(OR($U95="Subscription",$U95=""),"",IF($U95="Disqualified",$H95,0)))</x:f>
      </x:c>
      <x:c r="T95" s="955" t="str">
        <x:f>IF(COUNTA($A95:$M95)=0,"",IF(OR($U95="Subscription",$U95=""),"",IF(OR($U95="Free Game",$U95="Disqualified — Free Game",$H95=0),"N/A",IF($U95="Profit",$Q95/$H95,IF($U95="Disqualified",-$S95/$H95,0)))))</x:f>
      </x:c>
      <x:c r="U95" s="920" t="str">
        <x:f>IF(COUNTA($A95:$M95)=0,"",IF(OR(LEFT(LOWER(TRIM($F95&amp;"")),12)="subscription",LOWER(TRIM($F95&amp;""))="membership"),"Subscription",IF(OR(AND($H95&lt;&gt;"",$H95=0),LEFT(LOWER(TRIM($F95&amp;"")),9)="free game",LOWER(TRIM($F95&amp;""))="free",LOWER(TRIM($F95&amp;""))="free entry"),IF(LOWER($L95&amp;"")="yes","Disqualified — Free Game","Free Game"),IF(LOWER($L95&amp;"")="yes","Disqualified",IF($P95="","",IF(ROUND(IFERROR(VALUE($P95),0)-IFERROR(VALUE($H95),0),2)&gt;0,"Profit","Draw"))))))</x:f>
      </x:c>
      <x:c r="V95" s="956" t="str">
        <x:f>IF(COUNTA($A95:$M95)=0,"",IF(OR($B95="",$C95="",$U95="Subscription"),"",IFERROR(ROUNDUP(($C95-$B95)/7,0),"")))</x:f>
      </x:c>
      <x:c r="W95" s="114" t="str">
        <x:f>IF(COUNTA($A95:$M95)=0,"",IF(OR($U95="Subscription",$U95=""),"",IF(OR($U95="Free Game",$U95="Disqualified — Free Game"),0,ROUND(IFERROR($Q95,0)-IFERROR($S95,0),2))))</x:f>
      </x:c>
      <x:c r="X95" s="956" t="str">
        <x:f>IF(COUNTA($A95:$M95)=0,"",IF(OR($U95="Subscription",NOT(ISNUMBER($J95)),NOT(ISNUMBER($I95)),$J95=0,$I95=0,$I95&gt;$J95),"",$J95-$I95))</x:f>
      </x:c>
      <x:c r="Y95" s="955" t="str">
        <x:f>IF(COUNTA($A95:$M95)=0,"",IF(OR($U95="Subscription",NOT(ISNUMBER($J95)),$J95=0,$X95=""),"",$X95/$J95))</x:f>
      </x:c>
      <x:c r="Z95" s="957" t="str">
        <x:f>IF(COUNTA($A95:$M95)=0,"",Instructions!$B$29+SUM($W$5:W95))</x:f>
      </x:c>
    </x:row>
    <x:row r="96" ht="36" customHeight="1">
      <x:c r="A96" s="439"/>
      <x:c r="B96" s="453"/>
      <x:c r="C96" s="453"/>
      <x:c r="D96" s="454"/>
      <x:c r="E96" s="454"/>
      <x:c r="F96" s="454"/>
      <x:c r="G96" s="986"/>
      <x:c r="H96" s="455"/>
      <x:c r="I96" s="456"/>
      <x:c r="J96" s="456"/>
      <x:c r="K96" s="986"/>
      <x:c r="L96" s="454"/>
      <x:c r="M96" s="439"/>
      <x:c r="N96" s="987" t="str">
        <x:f>IF(COUNTA($A96:$M96)=0,"",IF(OR(LEFT(LOWER(TRIM($F96&amp;"")),12)="subscription",LOWER(TRIM($F96&amp;""))="membership"),"",IF($G96="","",IF(ISNUMBER(SEARCH("non",LOWER($E96&amp;""))),$G96*0.85,$G96))))</x:f>
      </x:c>
      <x:c r="O96" s="987" t="str">
        <x:f>IF(COUNTA($A96:$M96)=0,"",IF(OR(LEFT(LOWER(TRIM($F96&amp;"")),12)="subscription",LOWER(TRIM($F96&amp;""))="membership"),"",IF(OR($N96="",$I96="",$I96=0),"",IFERROR($N96/$I96,""))))</x:f>
      </x:c>
      <x:c r="P96" s="987" t="str">
        <x:f>IF(COUNTA($A96:$M96)=0,"",IF(OR(LEFT(LOWER(TRIM($F96&amp;"")),12)="subscription",LOWER(TRIM($F96&amp;""))="membership"),"",IF(LOWER($L96&amp;"")="yes",0,IF(OR(AND($H96&lt;&gt;"",$H96=0),LEFT(LOWER(TRIM($F96&amp;"")),9)="free game",LOWER(TRIM($F96&amp;""))="free",LOWER(TRIM($F96&amp;""))="free entry"),IF(LOWER($D96&amp;"")="finalized",IF(ISNUMBER($K96),$K96,""),IF($O96&lt;&gt;"",$O96,"")),IF($K96&lt;&gt;"",$K96,IF($O96&lt;&gt;"",$O96,""))))))</x:f>
      </x:c>
      <x:c r="Q96" s="114" t="str">
        <x:f>IF(COUNTA($A96:$M96)=0,"",IF(OR($U96="Subscription",$U96=""),"",IF($U96="Profit",ROUND(IFERROR($P96,0)-IFERROR($H96,0),2),0)))</x:f>
      </x:c>
      <x:c r="R96" s="114" t="str">
        <x:f>IF(COUNTA($A96:$M96)=0,"",IF(OR($U96="Subscription",$U96=""),"",IF($U96="Draw",$H96,0)))</x:f>
      </x:c>
      <x:c r="S96" s="114" t="str">
        <x:f>IF(COUNTA($A96:$M96)=0,"",IF(OR($U96="Subscription",$U96=""),"",IF($U96="Disqualified",$H96,0)))</x:f>
      </x:c>
      <x:c r="T96" s="955" t="str">
        <x:f>IF(COUNTA($A96:$M96)=0,"",IF(OR($U96="Subscription",$U96=""),"",IF(OR($U96="Free Game",$U96="Disqualified — Free Game",$H96=0),"N/A",IF($U96="Profit",$Q96/$H96,IF($U96="Disqualified",-$S96/$H96,0)))))</x:f>
      </x:c>
      <x:c r="U96" s="920" t="str">
        <x:f>IF(COUNTA($A96:$M96)=0,"",IF(OR(LEFT(LOWER(TRIM($F96&amp;"")),12)="subscription",LOWER(TRIM($F96&amp;""))="membership"),"Subscription",IF(OR(AND($H96&lt;&gt;"",$H96=0),LEFT(LOWER(TRIM($F96&amp;"")),9)="free game",LOWER(TRIM($F96&amp;""))="free",LOWER(TRIM($F96&amp;""))="free entry"),IF(LOWER($L96&amp;"")="yes","Disqualified — Free Game","Free Game"),IF(LOWER($L96&amp;"")="yes","Disqualified",IF($P96="","",IF(ROUND(IFERROR(VALUE($P96),0)-IFERROR(VALUE($H96),0),2)&gt;0,"Profit","Draw"))))))</x:f>
      </x:c>
      <x:c r="V96" s="956" t="str">
        <x:f>IF(COUNTA($A96:$M96)=0,"",IF(OR($B96="",$C96="",$U96="Subscription"),"",IFERROR(ROUNDUP(($C96-$B96)/7,0),"")))</x:f>
      </x:c>
      <x:c r="W96" s="114" t="str">
        <x:f>IF(COUNTA($A96:$M96)=0,"",IF(OR($U96="Subscription",$U96=""),"",IF(OR($U96="Free Game",$U96="Disqualified — Free Game"),0,ROUND(IFERROR($Q96,0)-IFERROR($S96,0),2))))</x:f>
      </x:c>
      <x:c r="X96" s="956" t="str">
        <x:f>IF(COUNTA($A96:$M96)=0,"",IF(OR($U96="Subscription",NOT(ISNUMBER($J96)),NOT(ISNUMBER($I96)),$J96=0,$I96=0,$I96&gt;$J96),"",$J96-$I96))</x:f>
      </x:c>
      <x:c r="Y96" s="955" t="str">
        <x:f>IF(COUNTA($A96:$M96)=0,"",IF(OR($U96="Subscription",NOT(ISNUMBER($J96)),$J96=0,$X96=""),"",$X96/$J96))</x:f>
      </x:c>
      <x:c r="Z96" s="957" t="str">
        <x:f>IF(COUNTA($A96:$M96)=0,"",Instructions!$B$29+SUM($W$5:W96))</x:f>
      </x:c>
    </x:row>
    <x:row r="97" ht="36" customHeight="1">
      <x:c r="A97" s="439"/>
      <x:c r="B97" s="453"/>
      <x:c r="C97" s="453"/>
      <x:c r="D97" s="454"/>
      <x:c r="E97" s="454"/>
      <x:c r="F97" s="454"/>
      <x:c r="G97" s="986"/>
      <x:c r="H97" s="455"/>
      <x:c r="I97" s="456"/>
      <x:c r="J97" s="456"/>
      <x:c r="K97" s="986"/>
      <x:c r="L97" s="454"/>
      <x:c r="M97" s="439"/>
      <x:c r="N97" s="987" t="str">
        <x:f>IF(COUNTA($A97:$M97)=0,"",IF(OR(LEFT(LOWER(TRIM($F97&amp;"")),12)="subscription",LOWER(TRIM($F97&amp;""))="membership"),"",IF($G97="","",IF(ISNUMBER(SEARCH("non",LOWER($E97&amp;""))),$G97*0.85,$G97))))</x:f>
      </x:c>
      <x:c r="O97" s="987" t="str">
        <x:f>IF(COUNTA($A97:$M97)=0,"",IF(OR(LEFT(LOWER(TRIM($F97&amp;"")),12)="subscription",LOWER(TRIM($F97&amp;""))="membership"),"",IF(OR($N97="",$I97="",$I97=0),"",IFERROR($N97/$I97,""))))</x:f>
      </x:c>
      <x:c r="P97" s="987" t="str">
        <x:f>IF(COUNTA($A97:$M97)=0,"",IF(OR(LEFT(LOWER(TRIM($F97&amp;"")),12)="subscription",LOWER(TRIM($F97&amp;""))="membership"),"",IF(LOWER($L97&amp;"")="yes",0,IF(OR(AND($H97&lt;&gt;"",$H97=0),LEFT(LOWER(TRIM($F97&amp;"")),9)="free game",LOWER(TRIM($F97&amp;""))="free",LOWER(TRIM($F97&amp;""))="free entry"),IF(LOWER($D97&amp;"")="finalized",IF(ISNUMBER($K97),$K97,""),IF($O97&lt;&gt;"",$O97,"")),IF($K97&lt;&gt;"",$K97,IF($O97&lt;&gt;"",$O97,""))))))</x:f>
      </x:c>
      <x:c r="Q97" s="114" t="str">
        <x:f>IF(COUNTA($A97:$M97)=0,"",IF(OR($U97="Subscription",$U97=""),"",IF($U97="Profit",ROUND(IFERROR($P97,0)-IFERROR($H97,0),2),0)))</x:f>
      </x:c>
      <x:c r="R97" s="114" t="str">
        <x:f>IF(COUNTA($A97:$M97)=0,"",IF(OR($U97="Subscription",$U97=""),"",IF($U97="Draw",$H97,0)))</x:f>
      </x:c>
      <x:c r="S97" s="114" t="str">
        <x:f>IF(COUNTA($A97:$M97)=0,"",IF(OR($U97="Subscription",$U97=""),"",IF($U97="Disqualified",$H97,0)))</x:f>
      </x:c>
      <x:c r="T97" s="955" t="str">
        <x:f>IF(COUNTA($A97:$M97)=0,"",IF(OR($U97="Subscription",$U97=""),"",IF(OR($U97="Free Game",$U97="Disqualified — Free Game",$H97=0),"N/A",IF($U97="Profit",$Q97/$H97,IF($U97="Disqualified",-$S97/$H97,0)))))</x:f>
      </x:c>
      <x:c r="U97" s="920" t="str">
        <x:f>IF(COUNTA($A97:$M97)=0,"",IF(OR(LEFT(LOWER(TRIM($F97&amp;"")),12)="subscription",LOWER(TRIM($F97&amp;""))="membership"),"Subscription",IF(OR(AND($H97&lt;&gt;"",$H97=0),LEFT(LOWER(TRIM($F97&amp;"")),9)="free game",LOWER(TRIM($F97&amp;""))="free",LOWER(TRIM($F97&amp;""))="free entry"),IF(LOWER($L97&amp;"")="yes","Disqualified — Free Game","Free Game"),IF(LOWER($L97&amp;"")="yes","Disqualified",IF($P97="","",IF(ROUND(IFERROR(VALUE($P97),0)-IFERROR(VALUE($H97),0),2)&gt;0,"Profit","Draw"))))))</x:f>
      </x:c>
      <x:c r="V97" s="956" t="str">
        <x:f>IF(COUNTA($A97:$M97)=0,"",IF(OR($B97="",$C97="",$U97="Subscription"),"",IFERROR(ROUNDUP(($C97-$B97)/7,0),"")))</x:f>
      </x:c>
      <x:c r="W97" s="114" t="str">
        <x:f>IF(COUNTA($A97:$M97)=0,"",IF(OR($U97="Subscription",$U97=""),"",IF(OR($U97="Free Game",$U97="Disqualified — Free Game"),0,ROUND(IFERROR($Q97,0)-IFERROR($S97,0),2))))</x:f>
      </x:c>
      <x:c r="X97" s="956" t="str">
        <x:f>IF(COUNTA($A97:$M97)=0,"",IF(OR($U97="Subscription",NOT(ISNUMBER($J97)),NOT(ISNUMBER($I97)),$J97=0,$I97=0,$I97&gt;$J97),"",$J97-$I97))</x:f>
      </x:c>
      <x:c r="Y97" s="955" t="str">
        <x:f>IF(COUNTA($A97:$M97)=0,"",IF(OR($U97="Subscription",NOT(ISNUMBER($J97)),$J97=0,$X97=""),"",$X97/$J97))</x:f>
      </x:c>
      <x:c r="Z97" s="957" t="str">
        <x:f>IF(COUNTA($A97:$M97)=0,"",Instructions!$B$29+SUM($W$5:W97))</x:f>
      </x:c>
    </x:row>
    <x:row r="98" ht="36" customHeight="1">
      <x:c r="A98" s="439"/>
      <x:c r="B98" s="453"/>
      <x:c r="C98" s="453"/>
      <x:c r="D98" s="454"/>
      <x:c r="E98" s="454"/>
      <x:c r="F98" s="454"/>
      <x:c r="G98" s="986"/>
      <x:c r="H98" s="455"/>
      <x:c r="I98" s="456"/>
      <x:c r="J98" s="456"/>
      <x:c r="K98" s="986"/>
      <x:c r="L98" s="454"/>
      <x:c r="M98" s="439"/>
      <x:c r="N98" s="987" t="str">
        <x:f>IF(COUNTA($A98:$M98)=0,"",IF(OR(LEFT(LOWER(TRIM($F98&amp;"")),12)="subscription",LOWER(TRIM($F98&amp;""))="membership"),"",IF($G98="","",IF(ISNUMBER(SEARCH("non",LOWER($E98&amp;""))),$G98*0.85,$G98))))</x:f>
      </x:c>
      <x:c r="O98" s="987" t="str">
        <x:f>IF(COUNTA($A98:$M98)=0,"",IF(OR(LEFT(LOWER(TRIM($F98&amp;"")),12)="subscription",LOWER(TRIM($F98&amp;""))="membership"),"",IF(OR($N98="",$I98="",$I98=0),"",IFERROR($N98/$I98,""))))</x:f>
      </x:c>
      <x:c r="P98" s="987" t="str">
        <x:f>IF(COUNTA($A98:$M98)=0,"",IF(OR(LEFT(LOWER(TRIM($F98&amp;"")),12)="subscription",LOWER(TRIM($F98&amp;""))="membership"),"",IF(LOWER($L98&amp;"")="yes",0,IF(OR(AND($H98&lt;&gt;"",$H98=0),LEFT(LOWER(TRIM($F98&amp;"")),9)="free game",LOWER(TRIM($F98&amp;""))="free",LOWER(TRIM($F98&amp;""))="free entry"),IF(LOWER($D98&amp;"")="finalized",IF(ISNUMBER($K98),$K98,""),IF($O98&lt;&gt;"",$O98,"")),IF($K98&lt;&gt;"",$K98,IF($O98&lt;&gt;"",$O98,""))))))</x:f>
      </x:c>
      <x:c r="Q98" s="114" t="str">
        <x:f>IF(COUNTA($A98:$M98)=0,"",IF(OR($U98="Subscription",$U98=""),"",IF($U98="Profit",ROUND(IFERROR($P98,0)-IFERROR($H98,0),2),0)))</x:f>
      </x:c>
      <x:c r="R98" s="114" t="str">
        <x:f>IF(COUNTA($A98:$M98)=0,"",IF(OR($U98="Subscription",$U98=""),"",IF($U98="Draw",$H98,0)))</x:f>
      </x:c>
      <x:c r="S98" s="114" t="str">
        <x:f>IF(COUNTA($A98:$M98)=0,"",IF(OR($U98="Subscription",$U98=""),"",IF($U98="Disqualified",$H98,0)))</x:f>
      </x:c>
      <x:c r="T98" s="955" t="str">
        <x:f>IF(COUNTA($A98:$M98)=0,"",IF(OR($U98="Subscription",$U98=""),"",IF(OR($U98="Free Game",$U98="Disqualified — Free Game",$H98=0),"N/A",IF($U98="Profit",$Q98/$H98,IF($U98="Disqualified",-$S98/$H98,0)))))</x:f>
      </x:c>
      <x:c r="U98" s="920" t="str">
        <x:f>IF(COUNTA($A98:$M98)=0,"",IF(OR(LEFT(LOWER(TRIM($F98&amp;"")),12)="subscription",LOWER(TRIM($F98&amp;""))="membership"),"Subscription",IF(OR(AND($H98&lt;&gt;"",$H98=0),LEFT(LOWER(TRIM($F98&amp;"")),9)="free game",LOWER(TRIM($F98&amp;""))="free",LOWER(TRIM($F98&amp;""))="free entry"),IF(LOWER($L98&amp;"")="yes","Disqualified — Free Game","Free Game"),IF(LOWER($L98&amp;"")="yes","Disqualified",IF($P98="","",IF(ROUND(IFERROR(VALUE($P98),0)-IFERROR(VALUE($H98),0),2)&gt;0,"Profit","Draw"))))))</x:f>
      </x:c>
      <x:c r="V98" s="956" t="str">
        <x:f>IF(COUNTA($A98:$M98)=0,"",IF(OR($B98="",$C98="",$U98="Subscription"),"",IFERROR(ROUNDUP(($C98-$B98)/7,0),"")))</x:f>
      </x:c>
      <x:c r="W98" s="114" t="str">
        <x:f>IF(COUNTA($A98:$M98)=0,"",IF(OR($U98="Subscription",$U98=""),"",IF(OR($U98="Free Game",$U98="Disqualified — Free Game"),0,ROUND(IFERROR($Q98,0)-IFERROR($S98,0),2))))</x:f>
      </x:c>
      <x:c r="X98" s="956" t="str">
        <x:f>IF(COUNTA($A98:$M98)=0,"",IF(OR($U98="Subscription",NOT(ISNUMBER($J98)),NOT(ISNUMBER($I98)),$J98=0,$I98=0,$I98&gt;$J98),"",$J98-$I98))</x:f>
      </x:c>
      <x:c r="Y98" s="955" t="str">
        <x:f>IF(COUNTA($A98:$M98)=0,"",IF(OR($U98="Subscription",NOT(ISNUMBER($J98)),$J98=0,$X98=""),"",$X98/$J98))</x:f>
      </x:c>
      <x:c r="Z98" s="957" t="str">
        <x:f>IF(COUNTA($A98:$M98)=0,"",Instructions!$B$29+SUM($W$5:W98))</x:f>
      </x:c>
    </x:row>
    <x:row r="99" ht="36" customHeight="1">
      <x:c r="A99" s="439"/>
      <x:c r="B99" s="453"/>
      <x:c r="C99" s="453"/>
      <x:c r="D99" s="454"/>
      <x:c r="E99" s="454"/>
      <x:c r="F99" s="454"/>
      <x:c r="G99" s="986"/>
      <x:c r="H99" s="455"/>
      <x:c r="I99" s="456"/>
      <x:c r="J99" s="456"/>
      <x:c r="K99" s="986"/>
      <x:c r="L99" s="454"/>
      <x:c r="M99" s="439"/>
      <x:c r="N99" s="987" t="str">
        <x:f>IF(COUNTA($A99:$M99)=0,"",IF(OR(LEFT(LOWER(TRIM($F99&amp;"")),12)="subscription",LOWER(TRIM($F99&amp;""))="membership"),"",IF($G99="","",IF(ISNUMBER(SEARCH("non",LOWER($E99&amp;""))),$G99*0.85,$G99))))</x:f>
      </x:c>
      <x:c r="O99" s="987" t="str">
        <x:f>IF(COUNTA($A99:$M99)=0,"",IF(OR(LEFT(LOWER(TRIM($F99&amp;"")),12)="subscription",LOWER(TRIM($F99&amp;""))="membership"),"",IF(OR($N99="",$I99="",$I99=0),"",IFERROR($N99/$I99,""))))</x:f>
      </x:c>
      <x:c r="P99" s="987" t="str">
        <x:f>IF(COUNTA($A99:$M99)=0,"",IF(OR(LEFT(LOWER(TRIM($F99&amp;"")),12)="subscription",LOWER(TRIM($F99&amp;""))="membership"),"",IF(LOWER($L99&amp;"")="yes",0,IF(OR(AND($H99&lt;&gt;"",$H99=0),LEFT(LOWER(TRIM($F99&amp;"")),9)="free game",LOWER(TRIM($F99&amp;""))="free",LOWER(TRIM($F99&amp;""))="free entry"),IF(LOWER($D99&amp;"")="finalized",IF(ISNUMBER($K99),$K99,""),IF($O99&lt;&gt;"",$O99,"")),IF($K99&lt;&gt;"",$K99,IF($O99&lt;&gt;"",$O99,""))))))</x:f>
      </x:c>
      <x:c r="Q99" s="114" t="str">
        <x:f>IF(COUNTA($A99:$M99)=0,"",IF(OR($U99="Subscription",$U99=""),"",IF($U99="Profit",ROUND(IFERROR($P99,0)-IFERROR($H99,0),2),0)))</x:f>
      </x:c>
      <x:c r="R99" s="114" t="str">
        <x:f>IF(COUNTA($A99:$M99)=0,"",IF(OR($U99="Subscription",$U99=""),"",IF($U99="Draw",$H99,0)))</x:f>
      </x:c>
      <x:c r="S99" s="114" t="str">
        <x:f>IF(COUNTA($A99:$M99)=0,"",IF(OR($U99="Subscription",$U99=""),"",IF($U99="Disqualified",$H99,0)))</x:f>
      </x:c>
      <x:c r="T99" s="955" t="str">
        <x:f>IF(COUNTA($A99:$M99)=0,"",IF(OR($U99="Subscription",$U99=""),"",IF(OR($U99="Free Game",$U99="Disqualified — Free Game",$H99=0),"N/A",IF($U99="Profit",$Q99/$H99,IF($U99="Disqualified",-$S99/$H99,0)))))</x:f>
      </x:c>
      <x:c r="U99" s="920" t="str">
        <x:f>IF(COUNTA($A99:$M99)=0,"",IF(OR(LEFT(LOWER(TRIM($F99&amp;"")),12)="subscription",LOWER(TRIM($F99&amp;""))="membership"),"Subscription",IF(OR(AND($H99&lt;&gt;"",$H99=0),LEFT(LOWER(TRIM($F99&amp;"")),9)="free game",LOWER(TRIM($F99&amp;""))="free",LOWER(TRIM($F99&amp;""))="free entry"),IF(LOWER($L99&amp;"")="yes","Disqualified — Free Game","Free Game"),IF(LOWER($L99&amp;"")="yes","Disqualified",IF($P99="","",IF(ROUND(IFERROR(VALUE($P99),0)-IFERROR(VALUE($H99),0),2)&gt;0,"Profit","Draw"))))))</x:f>
      </x:c>
      <x:c r="V99" s="956" t="str">
        <x:f>IF(COUNTA($A99:$M99)=0,"",IF(OR($B99="",$C99="",$U99="Subscription"),"",IFERROR(ROUNDUP(($C99-$B99)/7,0),"")))</x:f>
      </x:c>
      <x:c r="W99" s="114" t="str">
        <x:f>IF(COUNTA($A99:$M99)=0,"",IF(OR($U99="Subscription",$U99=""),"",IF(OR($U99="Free Game",$U99="Disqualified — Free Game"),0,ROUND(IFERROR($Q99,0)-IFERROR($S99,0),2))))</x:f>
      </x:c>
      <x:c r="X99" s="956" t="str">
        <x:f>IF(COUNTA($A99:$M99)=0,"",IF(OR($U99="Subscription",NOT(ISNUMBER($J99)),NOT(ISNUMBER($I99)),$J99=0,$I99=0,$I99&gt;$J99),"",$J99-$I99))</x:f>
      </x:c>
      <x:c r="Y99" s="955" t="str">
        <x:f>IF(COUNTA($A99:$M99)=0,"",IF(OR($U99="Subscription",NOT(ISNUMBER($J99)),$J99=0,$X99=""),"",$X99/$J99))</x:f>
      </x:c>
      <x:c r="Z99" s="957" t="str">
        <x:f>IF(COUNTA($A99:$M99)=0,"",Instructions!$B$29+SUM($W$5:W99))</x:f>
      </x:c>
    </x:row>
    <x:row r="100" ht="36" customHeight="1">
      <x:c r="A100" s="439"/>
      <x:c r="B100" s="453"/>
      <x:c r="C100" s="453"/>
      <x:c r="D100" s="454"/>
      <x:c r="E100" s="454"/>
      <x:c r="F100" s="454"/>
      <x:c r="G100" s="986"/>
      <x:c r="H100" s="455"/>
      <x:c r="I100" s="456"/>
      <x:c r="J100" s="456"/>
      <x:c r="K100" s="986"/>
      <x:c r="L100" s="454"/>
      <x:c r="M100" s="439"/>
      <x:c r="N100" s="987" t="str">
        <x:f>IF(COUNTA($A100:$M100)=0,"",IF(OR(LEFT(LOWER(TRIM($F100&amp;"")),12)="subscription",LOWER(TRIM($F100&amp;""))="membership"),"",IF($G100="","",IF(ISNUMBER(SEARCH("non",LOWER($E100&amp;""))),$G100*0.85,$G100))))</x:f>
      </x:c>
      <x:c r="O100" s="987" t="str">
        <x:f>IF(COUNTA($A100:$M100)=0,"",IF(OR(LEFT(LOWER(TRIM($F100&amp;"")),12)="subscription",LOWER(TRIM($F100&amp;""))="membership"),"",IF(OR($N100="",$I100="",$I100=0),"",IFERROR($N100/$I100,""))))</x:f>
      </x:c>
      <x:c r="P100" s="987" t="str">
        <x:f>IF(COUNTA($A100:$M100)=0,"",IF(OR(LEFT(LOWER(TRIM($F100&amp;"")),12)="subscription",LOWER(TRIM($F100&amp;""))="membership"),"",IF(LOWER($L100&amp;"")="yes",0,IF(OR(AND($H100&lt;&gt;"",$H100=0),LEFT(LOWER(TRIM($F100&amp;"")),9)="free game",LOWER(TRIM($F100&amp;""))="free",LOWER(TRIM($F100&amp;""))="free entry"),IF(LOWER($D100&amp;"")="finalized",IF(ISNUMBER($K100),$K100,""),IF($O100&lt;&gt;"",$O100,"")),IF($K100&lt;&gt;"",$K100,IF($O100&lt;&gt;"",$O100,""))))))</x:f>
      </x:c>
      <x:c r="Q100" s="114" t="str">
        <x:f>IF(COUNTA($A100:$M100)=0,"",IF(OR($U100="Subscription",$U100=""),"",IF($U100="Profit",ROUND(IFERROR($P100,0)-IFERROR($H100,0),2),0)))</x:f>
      </x:c>
      <x:c r="R100" s="114" t="str">
        <x:f>IF(COUNTA($A100:$M100)=0,"",IF(OR($U100="Subscription",$U100=""),"",IF($U100="Draw",$H100,0)))</x:f>
      </x:c>
      <x:c r="S100" s="114" t="str">
        <x:f>IF(COUNTA($A100:$M100)=0,"",IF(OR($U100="Subscription",$U100=""),"",IF($U100="Disqualified",$H100,0)))</x:f>
      </x:c>
      <x:c r="T100" s="955" t="str">
        <x:f>IF(COUNTA($A100:$M100)=0,"",IF(OR($U100="Subscription",$U100=""),"",IF(OR($U100="Free Game",$U100="Disqualified — Free Game",$H100=0),"N/A",IF($U100="Profit",$Q100/$H100,IF($U100="Disqualified",-$S100/$H100,0)))))</x:f>
      </x:c>
      <x:c r="U100" s="920" t="str">
        <x:f>IF(COUNTA($A100:$M100)=0,"",IF(OR(LEFT(LOWER(TRIM($F100&amp;"")),12)="subscription",LOWER(TRIM($F100&amp;""))="membership"),"Subscription",IF(OR(AND($H100&lt;&gt;"",$H100=0),LEFT(LOWER(TRIM($F100&amp;"")),9)="free game",LOWER(TRIM($F100&amp;""))="free",LOWER(TRIM($F100&amp;""))="free entry"),IF(LOWER($L100&amp;"")="yes","Disqualified — Free Game","Free Game"),IF(LOWER($L100&amp;"")="yes","Disqualified",IF($P100="","",IF(ROUND(IFERROR(VALUE($P100),0)-IFERROR(VALUE($H100),0),2)&gt;0,"Profit","Draw"))))))</x:f>
      </x:c>
      <x:c r="V100" s="956" t="str">
        <x:f>IF(COUNTA($A100:$M100)=0,"",IF(OR($B100="",$C100="",$U100="Subscription"),"",IFERROR(ROUNDUP(($C100-$B100)/7,0),"")))</x:f>
      </x:c>
      <x:c r="W100" s="114" t="str">
        <x:f>IF(COUNTA($A100:$M100)=0,"",IF(OR($U100="Subscription",$U100=""),"",IF(OR($U100="Free Game",$U100="Disqualified — Free Game"),0,ROUND(IFERROR($Q100,0)-IFERROR($S100,0),2))))</x:f>
      </x:c>
      <x:c r="X100" s="956" t="str">
        <x:f>IF(COUNTA($A100:$M100)=0,"",IF(OR($U100="Subscription",NOT(ISNUMBER($J100)),NOT(ISNUMBER($I100)),$J100=0,$I100=0,$I100&gt;$J100),"",$J100-$I100))</x:f>
      </x:c>
      <x:c r="Y100" s="955" t="str">
        <x:f>IF(COUNTA($A100:$M100)=0,"",IF(OR($U100="Subscription",NOT(ISNUMBER($J100)),$J100=0,$X100=""),"",$X100/$J100))</x:f>
      </x:c>
      <x:c r="Z100" s="957" t="str">
        <x:f>IF(COUNTA($A100:$M100)=0,"",Instructions!$B$29+SUM($W$5:W100))</x:f>
      </x:c>
    </x:row>
    <x:row r="101" ht="36" customHeight="1">
      <x:c r="A101" s="439"/>
      <x:c r="B101" s="453"/>
      <x:c r="C101" s="453"/>
      <x:c r="D101" s="454"/>
      <x:c r="E101" s="454"/>
      <x:c r="F101" s="454"/>
      <x:c r="G101" s="986"/>
      <x:c r="H101" s="455"/>
      <x:c r="I101" s="456"/>
      <x:c r="J101" s="456"/>
      <x:c r="K101" s="986"/>
      <x:c r="L101" s="454"/>
      <x:c r="M101" s="439"/>
      <x:c r="N101" s="987" t="str">
        <x:f>IF(COUNTA($A101:$M101)=0,"",IF(OR(LEFT(LOWER(TRIM($F101&amp;"")),12)="subscription",LOWER(TRIM($F101&amp;""))="membership"),"",IF($G101="","",IF(ISNUMBER(SEARCH("non",LOWER($E101&amp;""))),$G101*0.85,$G101))))</x:f>
      </x:c>
      <x:c r="O101" s="987" t="str">
        <x:f>IF(COUNTA($A101:$M101)=0,"",IF(OR(LEFT(LOWER(TRIM($F101&amp;"")),12)="subscription",LOWER(TRIM($F101&amp;""))="membership"),"",IF(OR($N101="",$I101="",$I101=0),"",IFERROR($N101/$I101,""))))</x:f>
      </x:c>
      <x:c r="P101" s="987" t="str">
        <x:f>IF(COUNTA($A101:$M101)=0,"",IF(OR(LEFT(LOWER(TRIM($F101&amp;"")),12)="subscription",LOWER(TRIM($F101&amp;""))="membership"),"",IF(LOWER($L101&amp;"")="yes",0,IF(OR(AND($H101&lt;&gt;"",$H101=0),LEFT(LOWER(TRIM($F101&amp;"")),9)="free game",LOWER(TRIM($F101&amp;""))="free",LOWER(TRIM($F101&amp;""))="free entry"),IF(LOWER($D101&amp;"")="finalized",IF(ISNUMBER($K101),$K101,""),IF($O101&lt;&gt;"",$O101,"")),IF($K101&lt;&gt;"",$K101,IF($O101&lt;&gt;"",$O101,""))))))</x:f>
      </x:c>
      <x:c r="Q101" s="114" t="str">
        <x:f>IF(COUNTA($A101:$M101)=0,"",IF(OR($U101="Subscription",$U101=""),"",IF($U101="Profit",ROUND(IFERROR($P101,0)-IFERROR($H101,0),2),0)))</x:f>
      </x:c>
      <x:c r="R101" s="114" t="str">
        <x:f>IF(COUNTA($A101:$M101)=0,"",IF(OR($U101="Subscription",$U101=""),"",IF($U101="Draw",$H101,0)))</x:f>
      </x:c>
      <x:c r="S101" s="114" t="str">
        <x:f>IF(COUNTA($A101:$M101)=0,"",IF(OR($U101="Subscription",$U101=""),"",IF($U101="Disqualified",$H101,0)))</x:f>
      </x:c>
      <x:c r="T101" s="955" t="str">
        <x:f>IF(COUNTA($A101:$M101)=0,"",IF(OR($U101="Subscription",$U101=""),"",IF(OR($U101="Free Game",$U101="Disqualified — Free Game",$H101=0),"N/A",IF($U101="Profit",$Q101/$H101,IF($U101="Disqualified",-$S101/$H101,0)))))</x:f>
      </x:c>
      <x:c r="U101" s="920" t="str">
        <x:f>IF(COUNTA($A101:$M101)=0,"",IF(OR(LEFT(LOWER(TRIM($F101&amp;"")),12)="subscription",LOWER(TRIM($F101&amp;""))="membership"),"Subscription",IF(OR(AND($H101&lt;&gt;"",$H101=0),LEFT(LOWER(TRIM($F101&amp;"")),9)="free game",LOWER(TRIM($F101&amp;""))="free",LOWER(TRIM($F101&amp;""))="free entry"),IF(LOWER($L101&amp;"")="yes","Disqualified — Free Game","Free Game"),IF(LOWER($L101&amp;"")="yes","Disqualified",IF($P101="","",IF(ROUND(IFERROR(VALUE($P101),0)-IFERROR(VALUE($H101),0),2)&gt;0,"Profit","Draw"))))))</x:f>
      </x:c>
      <x:c r="V101" s="956" t="str">
        <x:f>IF(COUNTA($A101:$M101)=0,"",IF(OR($B101="",$C101="",$U101="Subscription"),"",IFERROR(ROUNDUP(($C101-$B101)/7,0),"")))</x:f>
      </x:c>
      <x:c r="W101" s="114" t="str">
        <x:f>IF(COUNTA($A101:$M101)=0,"",IF(OR($U101="Subscription",$U101=""),"",IF(OR($U101="Free Game",$U101="Disqualified — Free Game"),0,ROUND(IFERROR($Q101,0)-IFERROR($S101,0),2))))</x:f>
      </x:c>
      <x:c r="X101" s="956" t="str">
        <x:f>IF(COUNTA($A101:$M101)=0,"",IF(OR($U101="Subscription",NOT(ISNUMBER($J101)),NOT(ISNUMBER($I101)),$J101=0,$I101=0,$I101&gt;$J101),"",$J101-$I101))</x:f>
      </x:c>
      <x:c r="Y101" s="955" t="str">
        <x:f>IF(COUNTA($A101:$M101)=0,"",IF(OR($U101="Subscription",NOT(ISNUMBER($J101)),$J101=0,$X101=""),"",$X101/$J101))</x:f>
      </x:c>
      <x:c r="Z101" s="957" t="str">
        <x:f>IF(COUNTA($A101:$M101)=0,"",Instructions!$B$29+SUM($W$5:W101))</x:f>
      </x:c>
    </x:row>
    <x:row r="102" ht="36" customHeight="1">
      <x:c r="A102" s="439"/>
      <x:c r="B102" s="453"/>
      <x:c r="C102" s="453"/>
      <x:c r="D102" s="454"/>
      <x:c r="E102" s="454"/>
      <x:c r="F102" s="454"/>
      <x:c r="G102" s="986"/>
      <x:c r="H102" s="455"/>
      <x:c r="I102" s="456"/>
      <x:c r="J102" s="456"/>
      <x:c r="K102" s="986"/>
      <x:c r="L102" s="454"/>
      <x:c r="M102" s="439"/>
      <x:c r="N102" s="987" t="str">
        <x:f>IF(COUNTA($A102:$M102)=0,"",IF(OR(LEFT(LOWER(TRIM($F102&amp;"")),12)="subscription",LOWER(TRIM($F102&amp;""))="membership"),"",IF($G102="","",IF(ISNUMBER(SEARCH("non",LOWER($E102&amp;""))),$G102*0.85,$G102))))</x:f>
      </x:c>
      <x:c r="O102" s="987" t="str">
        <x:f>IF(COUNTA($A102:$M102)=0,"",IF(OR(LEFT(LOWER(TRIM($F102&amp;"")),12)="subscription",LOWER(TRIM($F102&amp;""))="membership"),"",IF(OR($N102="",$I102="",$I102=0),"",IFERROR($N102/$I102,""))))</x:f>
      </x:c>
      <x:c r="P102" s="987" t="str">
        <x:f>IF(COUNTA($A102:$M102)=0,"",IF(OR(LEFT(LOWER(TRIM($F102&amp;"")),12)="subscription",LOWER(TRIM($F102&amp;""))="membership"),"",IF(LOWER($L102&amp;"")="yes",0,IF(OR(AND($H102&lt;&gt;"",$H102=0),LEFT(LOWER(TRIM($F102&amp;"")),9)="free game",LOWER(TRIM($F102&amp;""))="free",LOWER(TRIM($F102&amp;""))="free entry"),IF(LOWER($D102&amp;"")="finalized",IF(ISNUMBER($K102),$K102,""),IF($O102&lt;&gt;"",$O102,"")),IF($K102&lt;&gt;"",$K102,IF($O102&lt;&gt;"",$O102,""))))))</x:f>
      </x:c>
      <x:c r="Q102" s="114" t="str">
        <x:f>IF(COUNTA($A102:$M102)=0,"",IF(OR($U102="Subscription",$U102=""),"",IF($U102="Profit",ROUND(IFERROR($P102,0)-IFERROR($H102,0),2),0)))</x:f>
      </x:c>
      <x:c r="R102" s="114" t="str">
        <x:f>IF(COUNTA($A102:$M102)=0,"",IF(OR($U102="Subscription",$U102=""),"",IF($U102="Draw",$H102,0)))</x:f>
      </x:c>
      <x:c r="S102" s="114" t="str">
        <x:f>IF(COUNTA($A102:$M102)=0,"",IF(OR($U102="Subscription",$U102=""),"",IF($U102="Disqualified",$H102,0)))</x:f>
      </x:c>
      <x:c r="T102" s="955" t="str">
        <x:f>IF(COUNTA($A102:$M102)=0,"",IF(OR($U102="Subscription",$U102=""),"",IF(OR($U102="Free Game",$U102="Disqualified — Free Game",$H102=0),"N/A",IF($U102="Profit",$Q102/$H102,IF($U102="Disqualified",-$S102/$H102,0)))))</x:f>
      </x:c>
      <x:c r="U102" s="920" t="str">
        <x:f>IF(COUNTA($A102:$M102)=0,"",IF(OR(LEFT(LOWER(TRIM($F102&amp;"")),12)="subscription",LOWER(TRIM($F102&amp;""))="membership"),"Subscription",IF(OR(AND($H102&lt;&gt;"",$H102=0),LEFT(LOWER(TRIM($F102&amp;"")),9)="free game",LOWER(TRIM($F102&amp;""))="free",LOWER(TRIM($F102&amp;""))="free entry"),IF(LOWER($L102&amp;"")="yes","Disqualified — Free Game","Free Game"),IF(LOWER($L102&amp;"")="yes","Disqualified",IF($P102="","",IF(ROUND(IFERROR(VALUE($P102),0)-IFERROR(VALUE($H102),0),2)&gt;0,"Profit","Draw"))))))</x:f>
      </x:c>
      <x:c r="V102" s="956" t="str">
        <x:f>IF(COUNTA($A102:$M102)=0,"",IF(OR($B102="",$C102="",$U102="Subscription"),"",IFERROR(ROUNDUP(($C102-$B102)/7,0),"")))</x:f>
      </x:c>
      <x:c r="W102" s="114" t="str">
        <x:f>IF(COUNTA($A102:$M102)=0,"",IF(OR($U102="Subscription",$U102=""),"",IF(OR($U102="Free Game",$U102="Disqualified — Free Game"),0,ROUND(IFERROR($Q102,0)-IFERROR($S102,0),2))))</x:f>
      </x:c>
      <x:c r="X102" s="956" t="str">
        <x:f>IF(COUNTA($A102:$M102)=0,"",IF(OR($U102="Subscription",NOT(ISNUMBER($J102)),NOT(ISNUMBER($I102)),$J102=0,$I102=0,$I102&gt;$J102),"",$J102-$I102))</x:f>
      </x:c>
      <x:c r="Y102" s="955" t="str">
        <x:f>IF(COUNTA($A102:$M102)=0,"",IF(OR($U102="Subscription",NOT(ISNUMBER($J102)),$J102=0,$X102=""),"",$X102/$J102))</x:f>
      </x:c>
      <x:c r="Z102" s="957" t="str">
        <x:f>IF(COUNTA($A102:$M102)=0,"",Instructions!$B$29+SUM($W$5:W102))</x:f>
      </x:c>
    </x:row>
    <x:row r="103" ht="36" customHeight="1">
      <x:c r="A103" s="439"/>
      <x:c r="B103" s="453"/>
      <x:c r="C103" s="453"/>
      <x:c r="D103" s="454"/>
      <x:c r="E103" s="454"/>
      <x:c r="F103" s="454"/>
      <x:c r="G103" s="986"/>
      <x:c r="H103" s="455"/>
      <x:c r="I103" s="456"/>
      <x:c r="J103" s="456"/>
      <x:c r="K103" s="986"/>
      <x:c r="L103" s="454"/>
      <x:c r="M103" s="439"/>
      <x:c r="N103" s="987" t="str">
        <x:f>IF(COUNTA($A103:$M103)=0,"",IF(OR(LEFT(LOWER(TRIM($F103&amp;"")),12)="subscription",LOWER(TRIM($F103&amp;""))="membership"),"",IF($G103="","",IF(ISNUMBER(SEARCH("non",LOWER($E103&amp;""))),$G103*0.85,$G103))))</x:f>
      </x:c>
      <x:c r="O103" s="987" t="str">
        <x:f>IF(COUNTA($A103:$M103)=0,"",IF(OR(LEFT(LOWER(TRIM($F103&amp;"")),12)="subscription",LOWER(TRIM($F103&amp;""))="membership"),"",IF(OR($N103="",$I103="",$I103=0),"",IFERROR($N103/$I103,""))))</x:f>
      </x:c>
      <x:c r="P103" s="987" t="str">
        <x:f>IF(COUNTA($A103:$M103)=0,"",IF(OR(LEFT(LOWER(TRIM($F103&amp;"")),12)="subscription",LOWER(TRIM($F103&amp;""))="membership"),"",IF(LOWER($L103&amp;"")="yes",0,IF(OR(AND($H103&lt;&gt;"",$H103=0),LEFT(LOWER(TRIM($F103&amp;"")),9)="free game",LOWER(TRIM($F103&amp;""))="free",LOWER(TRIM($F103&amp;""))="free entry"),IF(LOWER($D103&amp;"")="finalized",IF(ISNUMBER($K103),$K103,""),IF($O103&lt;&gt;"",$O103,"")),IF($K103&lt;&gt;"",$K103,IF($O103&lt;&gt;"",$O103,""))))))</x:f>
      </x:c>
      <x:c r="Q103" s="114" t="str">
        <x:f>IF(COUNTA($A103:$M103)=0,"",IF(OR($U103="Subscription",$U103=""),"",IF($U103="Profit",ROUND(IFERROR($P103,0)-IFERROR($H103,0),2),0)))</x:f>
      </x:c>
      <x:c r="R103" s="114" t="str">
        <x:f>IF(COUNTA($A103:$M103)=0,"",IF(OR($U103="Subscription",$U103=""),"",IF($U103="Draw",$H103,0)))</x:f>
      </x:c>
      <x:c r="S103" s="114" t="str">
        <x:f>IF(COUNTA($A103:$M103)=0,"",IF(OR($U103="Subscription",$U103=""),"",IF($U103="Disqualified",$H103,0)))</x:f>
      </x:c>
      <x:c r="T103" s="955" t="str">
        <x:f>IF(COUNTA($A103:$M103)=0,"",IF(OR($U103="Subscription",$U103=""),"",IF(OR($U103="Free Game",$U103="Disqualified — Free Game",$H103=0),"N/A",IF($U103="Profit",$Q103/$H103,IF($U103="Disqualified",-$S103/$H103,0)))))</x:f>
      </x:c>
      <x:c r="U103" s="920" t="str">
        <x:f>IF(COUNTA($A103:$M103)=0,"",IF(OR(LEFT(LOWER(TRIM($F103&amp;"")),12)="subscription",LOWER(TRIM($F103&amp;""))="membership"),"Subscription",IF(OR(AND($H103&lt;&gt;"",$H103=0),LEFT(LOWER(TRIM($F103&amp;"")),9)="free game",LOWER(TRIM($F103&amp;""))="free",LOWER(TRIM($F103&amp;""))="free entry"),IF(LOWER($L103&amp;"")="yes","Disqualified — Free Game","Free Game"),IF(LOWER($L103&amp;"")="yes","Disqualified",IF($P103="","",IF(ROUND(IFERROR(VALUE($P103),0)-IFERROR(VALUE($H103),0),2)&gt;0,"Profit","Draw"))))))</x:f>
      </x:c>
      <x:c r="V103" s="956" t="str">
        <x:f>IF(COUNTA($A103:$M103)=0,"",IF(OR($B103="",$C103="",$U103="Subscription"),"",IFERROR(ROUNDUP(($C103-$B103)/7,0),"")))</x:f>
      </x:c>
      <x:c r="W103" s="114" t="str">
        <x:f>IF(COUNTA($A103:$M103)=0,"",IF(OR($U103="Subscription",$U103=""),"",IF(OR($U103="Free Game",$U103="Disqualified — Free Game"),0,ROUND(IFERROR($Q103,0)-IFERROR($S103,0),2))))</x:f>
      </x:c>
      <x:c r="X103" s="956" t="str">
        <x:f>IF(COUNTA($A103:$M103)=0,"",IF(OR($U103="Subscription",NOT(ISNUMBER($J103)),NOT(ISNUMBER($I103)),$J103=0,$I103=0,$I103&gt;$J103),"",$J103-$I103))</x:f>
      </x:c>
      <x:c r="Y103" s="955" t="str">
        <x:f>IF(COUNTA($A103:$M103)=0,"",IF(OR($U103="Subscription",NOT(ISNUMBER($J103)),$J103=0,$X103=""),"",$X103/$J103))</x:f>
      </x:c>
      <x:c r="Z103" s="957" t="str">
        <x:f>IF(COUNTA($A103:$M103)=0,"",Instructions!$B$29+SUM($W$5:W103))</x:f>
      </x:c>
    </x:row>
    <x:row r="104" ht="36" customHeight="1">
      <x:c r="A104" s="439"/>
      <x:c r="B104" s="453"/>
      <x:c r="C104" s="453"/>
      <x:c r="D104" s="454"/>
      <x:c r="E104" s="454"/>
      <x:c r="F104" s="454"/>
      <x:c r="G104" s="986"/>
      <x:c r="H104" s="455"/>
      <x:c r="I104" s="456"/>
      <x:c r="J104" s="456"/>
      <x:c r="K104" s="986"/>
      <x:c r="L104" s="454"/>
      <x:c r="M104" s="439"/>
      <x:c r="N104" s="987" t="str">
        <x:f>IF(COUNTA($A104:$M104)=0,"",IF(OR(LEFT(LOWER(TRIM($F104&amp;"")),12)="subscription",LOWER(TRIM($F104&amp;""))="membership"),"",IF($G104="","",IF(ISNUMBER(SEARCH("non",LOWER($E104&amp;""))),$G104*0.85,$G104))))</x:f>
      </x:c>
      <x:c r="O104" s="987" t="str">
        <x:f>IF(COUNTA($A104:$M104)=0,"",IF(OR(LEFT(LOWER(TRIM($F104&amp;"")),12)="subscription",LOWER(TRIM($F104&amp;""))="membership"),"",IF(OR($N104="",$I104="",$I104=0),"",IFERROR($N104/$I104,""))))</x:f>
      </x:c>
      <x:c r="P104" s="987" t="str">
        <x:f>IF(COUNTA($A104:$M104)=0,"",IF(OR(LEFT(LOWER(TRIM($F104&amp;"")),12)="subscription",LOWER(TRIM($F104&amp;""))="membership"),"",IF(LOWER($L104&amp;"")="yes",0,IF(OR(AND($H104&lt;&gt;"",$H104=0),LEFT(LOWER(TRIM($F104&amp;"")),9)="free game",LOWER(TRIM($F104&amp;""))="free",LOWER(TRIM($F104&amp;""))="free entry"),IF(LOWER($D104&amp;"")="finalized",IF(ISNUMBER($K104),$K104,""),IF($O104&lt;&gt;"",$O104,"")),IF($K104&lt;&gt;"",$K104,IF($O104&lt;&gt;"",$O104,""))))))</x:f>
      </x:c>
      <x:c r="Q104" s="114" t="str">
        <x:f>IF(COUNTA($A104:$M104)=0,"",IF(OR($U104="Subscription",$U104=""),"",IF($U104="Profit",ROUND(IFERROR($P104,0)-IFERROR($H104,0),2),0)))</x:f>
      </x:c>
      <x:c r="R104" s="114" t="str">
        <x:f>IF(COUNTA($A104:$M104)=0,"",IF(OR($U104="Subscription",$U104=""),"",IF($U104="Draw",$H104,0)))</x:f>
      </x:c>
      <x:c r="S104" s="114" t="str">
        <x:f>IF(COUNTA($A104:$M104)=0,"",IF(OR($U104="Subscription",$U104=""),"",IF($U104="Disqualified",$H104,0)))</x:f>
      </x:c>
      <x:c r="T104" s="955" t="str">
        <x:f>IF(COUNTA($A104:$M104)=0,"",IF(OR($U104="Subscription",$U104=""),"",IF(OR($U104="Free Game",$U104="Disqualified — Free Game",$H104=0),"N/A",IF($U104="Profit",$Q104/$H104,IF($U104="Disqualified",-$S104/$H104,0)))))</x:f>
      </x:c>
      <x:c r="U104" s="920" t="str">
        <x:f>IF(COUNTA($A104:$M104)=0,"",IF(OR(LEFT(LOWER(TRIM($F104&amp;"")),12)="subscription",LOWER(TRIM($F104&amp;""))="membership"),"Subscription",IF(OR(AND($H104&lt;&gt;"",$H104=0),LEFT(LOWER(TRIM($F104&amp;"")),9)="free game",LOWER(TRIM($F104&amp;""))="free",LOWER(TRIM($F104&amp;""))="free entry"),IF(LOWER($L104&amp;"")="yes","Disqualified — Free Game","Free Game"),IF(LOWER($L104&amp;"")="yes","Disqualified",IF($P104="","",IF(ROUND(IFERROR(VALUE($P104),0)-IFERROR(VALUE($H104),0),2)&gt;0,"Profit","Draw"))))))</x:f>
      </x:c>
      <x:c r="V104" s="956" t="str">
        <x:f>IF(COUNTA($A104:$M104)=0,"",IF(OR($B104="",$C104="",$U104="Subscription"),"",IFERROR(ROUNDUP(($C104-$B104)/7,0),"")))</x:f>
      </x:c>
      <x:c r="W104" s="114" t="str">
        <x:f>IF(COUNTA($A104:$M104)=0,"",IF(OR($U104="Subscription",$U104=""),"",IF(OR($U104="Free Game",$U104="Disqualified — Free Game"),0,ROUND(IFERROR($Q104,0)-IFERROR($S104,0),2))))</x:f>
      </x:c>
      <x:c r="X104" s="956" t="str">
        <x:f>IF(COUNTA($A104:$M104)=0,"",IF(OR($U104="Subscription",NOT(ISNUMBER($J104)),NOT(ISNUMBER($I104)),$J104=0,$I104=0,$I104&gt;$J104),"",$J104-$I104))</x:f>
      </x:c>
      <x:c r="Y104" s="955" t="str">
        <x:f>IF(COUNTA($A104:$M104)=0,"",IF(OR($U104="Subscription",NOT(ISNUMBER($J104)),$J104=0,$X104=""),"",$X104/$J104))</x:f>
      </x:c>
      <x:c r="Z104" s="957" t="str">
        <x:f>IF(COUNTA($A104:$M104)=0,"",Instructions!$B$29+SUM($W$5:W104))</x:f>
      </x:c>
    </x:row>
    <x:row r="105" ht="36" customHeight="1">
      <x:c r="A105" s="439"/>
      <x:c r="B105" s="453"/>
      <x:c r="C105" s="453"/>
      <x:c r="D105" s="454"/>
      <x:c r="E105" s="454"/>
      <x:c r="F105" s="454"/>
      <x:c r="G105" s="986"/>
      <x:c r="H105" s="455"/>
      <x:c r="I105" s="456"/>
      <x:c r="J105" s="456"/>
      <x:c r="K105" s="986"/>
      <x:c r="L105" s="454"/>
      <x:c r="M105" s="439"/>
      <x:c r="N105" s="987" t="str">
        <x:f>IF(COUNTA($A105:$M105)=0,"",IF(OR(LEFT(LOWER(TRIM($F105&amp;"")),12)="subscription",LOWER(TRIM($F105&amp;""))="membership"),"",IF($G105="","",IF(ISNUMBER(SEARCH("non",LOWER($E105&amp;""))),$G105*0.85,$G105))))</x:f>
      </x:c>
      <x:c r="O105" s="987" t="str">
        <x:f>IF(COUNTA($A105:$M105)=0,"",IF(OR(LEFT(LOWER(TRIM($F105&amp;"")),12)="subscription",LOWER(TRIM($F105&amp;""))="membership"),"",IF(OR($N105="",$I105="",$I105=0),"",IFERROR($N105/$I105,""))))</x:f>
      </x:c>
      <x:c r="P105" s="987" t="str">
        <x:f>IF(COUNTA($A105:$M105)=0,"",IF(OR(LEFT(LOWER(TRIM($F105&amp;"")),12)="subscription",LOWER(TRIM($F105&amp;""))="membership"),"",IF(LOWER($L105&amp;"")="yes",0,IF(OR(AND($H105&lt;&gt;"",$H105=0),LEFT(LOWER(TRIM($F105&amp;"")),9)="free game",LOWER(TRIM($F105&amp;""))="free",LOWER(TRIM($F105&amp;""))="free entry"),IF(LOWER($D105&amp;"")="finalized",IF(ISNUMBER($K105),$K105,""),IF($O105&lt;&gt;"",$O105,"")),IF($K105&lt;&gt;"",$K105,IF($O105&lt;&gt;"",$O105,""))))))</x:f>
      </x:c>
      <x:c r="Q105" s="114" t="str">
        <x:f>IF(COUNTA($A105:$M105)=0,"",IF(OR($U105="Subscription",$U105=""),"",IF($U105="Profit",ROUND(IFERROR($P105,0)-IFERROR($H105,0),2),0)))</x:f>
      </x:c>
      <x:c r="R105" s="114" t="str">
        <x:f>IF(COUNTA($A105:$M105)=0,"",IF(OR($U105="Subscription",$U105=""),"",IF($U105="Draw",$H105,0)))</x:f>
      </x:c>
      <x:c r="S105" s="114" t="str">
        <x:f>IF(COUNTA($A105:$M105)=0,"",IF(OR($U105="Subscription",$U105=""),"",IF($U105="Disqualified",$H105,0)))</x:f>
      </x:c>
      <x:c r="T105" s="955" t="str">
        <x:f>IF(COUNTA($A105:$M105)=0,"",IF(OR($U105="Subscription",$U105=""),"",IF(OR($U105="Free Game",$U105="Disqualified — Free Game",$H105=0),"N/A",IF($U105="Profit",$Q105/$H105,IF($U105="Disqualified",-$S105/$H105,0)))))</x:f>
      </x:c>
      <x:c r="U105" s="920" t="str">
        <x:f>IF(COUNTA($A105:$M105)=0,"",IF(OR(LEFT(LOWER(TRIM($F105&amp;"")),12)="subscription",LOWER(TRIM($F105&amp;""))="membership"),"Subscription",IF(OR(AND($H105&lt;&gt;"",$H105=0),LEFT(LOWER(TRIM($F105&amp;"")),9)="free game",LOWER(TRIM($F105&amp;""))="free",LOWER(TRIM($F105&amp;""))="free entry"),IF(LOWER($L105&amp;"")="yes","Disqualified — Free Game","Free Game"),IF(LOWER($L105&amp;"")="yes","Disqualified",IF($P105="","",IF(ROUND(IFERROR(VALUE($P105),0)-IFERROR(VALUE($H105),0),2)&gt;0,"Profit","Draw"))))))</x:f>
      </x:c>
      <x:c r="V105" s="956" t="str">
        <x:f>IF(COUNTA($A105:$M105)=0,"",IF(OR($B105="",$C105="",$U105="Subscription"),"",IFERROR(ROUNDUP(($C105-$B105)/7,0),"")))</x:f>
      </x:c>
      <x:c r="W105" s="114" t="str">
        <x:f>IF(COUNTA($A105:$M105)=0,"",IF(OR($U105="Subscription",$U105=""),"",IF(OR($U105="Free Game",$U105="Disqualified — Free Game"),0,ROUND(IFERROR($Q105,0)-IFERROR($S105,0),2))))</x:f>
      </x:c>
      <x:c r="X105" s="956" t="str">
        <x:f>IF(COUNTA($A105:$M105)=0,"",IF(OR($U105="Subscription",NOT(ISNUMBER($J105)),NOT(ISNUMBER($I105)),$J105=0,$I105=0,$I105&gt;$J105),"",$J105-$I105))</x:f>
      </x:c>
      <x:c r="Y105" s="955" t="str">
        <x:f>IF(COUNTA($A105:$M105)=0,"",IF(OR($U105="Subscription",NOT(ISNUMBER($J105)),$J105=0,$X105=""),"",$X105/$J105))</x:f>
      </x:c>
      <x:c r="Z105" s="957" t="str">
        <x:f>IF(COUNTA($A105:$M105)=0,"",Instructions!$B$29+SUM($W$5:W105))</x:f>
      </x:c>
    </x:row>
    <x:row r="106" ht="36" customHeight="1">
      <x:c r="A106" s="439"/>
      <x:c r="B106" s="453"/>
      <x:c r="C106" s="453"/>
      <x:c r="D106" s="454"/>
      <x:c r="E106" s="454"/>
      <x:c r="F106" s="454"/>
      <x:c r="G106" s="986"/>
      <x:c r="H106" s="455"/>
      <x:c r="I106" s="456"/>
      <x:c r="J106" s="456"/>
      <x:c r="K106" s="986"/>
      <x:c r="L106" s="454"/>
      <x:c r="M106" s="439"/>
      <x:c r="N106" s="987" t="str">
        <x:f>IF(COUNTA($A106:$M106)=0,"",IF(OR(LEFT(LOWER(TRIM($F106&amp;"")),12)="subscription",LOWER(TRIM($F106&amp;""))="membership"),"",IF($G106="","",IF(ISNUMBER(SEARCH("non",LOWER($E106&amp;""))),$G106*0.85,$G106))))</x:f>
      </x:c>
      <x:c r="O106" s="987" t="str">
        <x:f>IF(COUNTA($A106:$M106)=0,"",IF(OR(LEFT(LOWER(TRIM($F106&amp;"")),12)="subscription",LOWER(TRIM($F106&amp;""))="membership"),"",IF(OR($N106="",$I106="",$I106=0),"",IFERROR($N106/$I106,""))))</x:f>
      </x:c>
      <x:c r="P106" s="987" t="str">
        <x:f>IF(COUNTA($A106:$M106)=0,"",IF(OR(LEFT(LOWER(TRIM($F106&amp;"")),12)="subscription",LOWER(TRIM($F106&amp;""))="membership"),"",IF(LOWER($L106&amp;"")="yes",0,IF(OR(AND($H106&lt;&gt;"",$H106=0),LEFT(LOWER(TRIM($F106&amp;"")),9)="free game",LOWER(TRIM($F106&amp;""))="free",LOWER(TRIM($F106&amp;""))="free entry"),IF(LOWER($D106&amp;"")="finalized",IF(ISNUMBER($K106),$K106,""),IF($O106&lt;&gt;"",$O106,"")),IF($K106&lt;&gt;"",$K106,IF($O106&lt;&gt;"",$O106,""))))))</x:f>
      </x:c>
      <x:c r="Q106" s="114" t="str">
        <x:f>IF(COUNTA($A106:$M106)=0,"",IF(OR($U106="Subscription",$U106=""),"",IF($U106="Profit",ROUND(IFERROR($P106,0)-IFERROR($H106,0),2),0)))</x:f>
      </x:c>
      <x:c r="R106" s="114" t="str">
        <x:f>IF(COUNTA($A106:$M106)=0,"",IF(OR($U106="Subscription",$U106=""),"",IF($U106="Draw",$H106,0)))</x:f>
      </x:c>
      <x:c r="S106" s="114" t="str">
        <x:f>IF(COUNTA($A106:$M106)=0,"",IF(OR($U106="Subscription",$U106=""),"",IF($U106="Disqualified",$H106,0)))</x:f>
      </x:c>
      <x:c r="T106" s="955" t="str">
        <x:f>IF(COUNTA($A106:$M106)=0,"",IF(OR($U106="Subscription",$U106=""),"",IF(OR($U106="Free Game",$U106="Disqualified — Free Game",$H106=0),"N/A",IF($U106="Profit",$Q106/$H106,IF($U106="Disqualified",-$S106/$H106,0)))))</x:f>
      </x:c>
      <x:c r="U106" s="920" t="str">
        <x:f>IF(COUNTA($A106:$M106)=0,"",IF(OR(LEFT(LOWER(TRIM($F106&amp;"")),12)="subscription",LOWER(TRIM($F106&amp;""))="membership"),"Subscription",IF(OR(AND($H106&lt;&gt;"",$H106=0),LEFT(LOWER(TRIM($F106&amp;"")),9)="free game",LOWER(TRIM($F106&amp;""))="free",LOWER(TRIM($F106&amp;""))="free entry"),IF(LOWER($L106&amp;"")="yes","Disqualified — Free Game","Free Game"),IF(LOWER($L106&amp;"")="yes","Disqualified",IF($P106="","",IF(ROUND(IFERROR(VALUE($P106),0)-IFERROR(VALUE($H106),0),2)&gt;0,"Profit","Draw"))))))</x:f>
      </x:c>
      <x:c r="V106" s="956" t="str">
        <x:f>IF(COUNTA($A106:$M106)=0,"",IF(OR($B106="",$C106="",$U106="Subscription"),"",IFERROR(ROUNDUP(($C106-$B106)/7,0),"")))</x:f>
      </x:c>
      <x:c r="W106" s="114" t="str">
        <x:f>IF(COUNTA($A106:$M106)=0,"",IF(OR($U106="Subscription",$U106=""),"",IF(OR($U106="Free Game",$U106="Disqualified — Free Game"),0,ROUND(IFERROR($Q106,0)-IFERROR($S106,0),2))))</x:f>
      </x:c>
      <x:c r="X106" s="956" t="str">
        <x:f>IF(COUNTA($A106:$M106)=0,"",IF(OR($U106="Subscription",NOT(ISNUMBER($J106)),NOT(ISNUMBER($I106)),$J106=0,$I106=0,$I106&gt;$J106),"",$J106-$I106))</x:f>
      </x:c>
      <x:c r="Y106" s="955" t="str">
        <x:f>IF(COUNTA($A106:$M106)=0,"",IF(OR($U106="Subscription",NOT(ISNUMBER($J106)),$J106=0,$X106=""),"",$X106/$J106))</x:f>
      </x:c>
      <x:c r="Z106" s="957" t="str">
        <x:f>IF(COUNTA($A106:$M106)=0,"",Instructions!$B$29+SUM($W$5:W106))</x:f>
      </x:c>
    </x:row>
    <x:row r="107" ht="36" customHeight="1">
      <x:c r="A107" s="439"/>
      <x:c r="B107" s="453"/>
      <x:c r="C107" s="453"/>
      <x:c r="D107" s="454"/>
      <x:c r="E107" s="454"/>
      <x:c r="F107" s="454"/>
      <x:c r="G107" s="986"/>
      <x:c r="H107" s="455"/>
      <x:c r="I107" s="456"/>
      <x:c r="J107" s="456"/>
      <x:c r="K107" s="986"/>
      <x:c r="L107" s="454"/>
      <x:c r="M107" s="439"/>
      <x:c r="N107" s="987" t="str">
        <x:f>IF(COUNTA($A107:$M107)=0,"",IF(OR(LEFT(LOWER(TRIM($F107&amp;"")),12)="subscription",LOWER(TRIM($F107&amp;""))="membership"),"",IF($G107="","",IF(ISNUMBER(SEARCH("non",LOWER($E107&amp;""))),$G107*0.85,$G107))))</x:f>
      </x:c>
      <x:c r="O107" s="987" t="str">
        <x:f>IF(COUNTA($A107:$M107)=0,"",IF(OR(LEFT(LOWER(TRIM($F107&amp;"")),12)="subscription",LOWER(TRIM($F107&amp;""))="membership"),"",IF(OR($N107="",$I107="",$I107=0),"",IFERROR($N107/$I107,""))))</x:f>
      </x:c>
      <x:c r="P107" s="987" t="str">
        <x:f>IF(COUNTA($A107:$M107)=0,"",IF(OR(LEFT(LOWER(TRIM($F107&amp;"")),12)="subscription",LOWER(TRIM($F107&amp;""))="membership"),"",IF(LOWER($L107&amp;"")="yes",0,IF(OR(AND($H107&lt;&gt;"",$H107=0),LEFT(LOWER(TRIM($F107&amp;"")),9)="free game",LOWER(TRIM($F107&amp;""))="free",LOWER(TRIM($F107&amp;""))="free entry"),IF(LOWER($D107&amp;"")="finalized",IF(ISNUMBER($K107),$K107,""),IF($O107&lt;&gt;"",$O107,"")),IF($K107&lt;&gt;"",$K107,IF($O107&lt;&gt;"",$O107,""))))))</x:f>
      </x:c>
      <x:c r="Q107" s="114" t="str">
        <x:f>IF(COUNTA($A107:$M107)=0,"",IF(OR($U107="Subscription",$U107=""),"",IF($U107="Profit",ROUND(IFERROR($P107,0)-IFERROR($H107,0),2),0)))</x:f>
      </x:c>
      <x:c r="R107" s="114" t="str">
        <x:f>IF(COUNTA($A107:$M107)=0,"",IF(OR($U107="Subscription",$U107=""),"",IF($U107="Draw",$H107,0)))</x:f>
      </x:c>
      <x:c r="S107" s="114" t="str">
        <x:f>IF(COUNTA($A107:$M107)=0,"",IF(OR($U107="Subscription",$U107=""),"",IF($U107="Disqualified",$H107,0)))</x:f>
      </x:c>
      <x:c r="T107" s="955" t="str">
        <x:f>IF(COUNTA($A107:$M107)=0,"",IF(OR($U107="Subscription",$U107=""),"",IF(OR($U107="Free Game",$U107="Disqualified — Free Game",$H107=0),"N/A",IF($U107="Profit",$Q107/$H107,IF($U107="Disqualified",-$S107/$H107,0)))))</x:f>
      </x:c>
      <x:c r="U107" s="920" t="str">
        <x:f>IF(COUNTA($A107:$M107)=0,"",IF(OR(LEFT(LOWER(TRIM($F107&amp;"")),12)="subscription",LOWER(TRIM($F107&amp;""))="membership"),"Subscription",IF(OR(AND($H107&lt;&gt;"",$H107=0),LEFT(LOWER(TRIM($F107&amp;"")),9)="free game",LOWER(TRIM($F107&amp;""))="free",LOWER(TRIM($F107&amp;""))="free entry"),IF(LOWER($L107&amp;"")="yes","Disqualified — Free Game","Free Game"),IF(LOWER($L107&amp;"")="yes","Disqualified",IF($P107="","",IF(ROUND(IFERROR(VALUE($P107),0)-IFERROR(VALUE($H107),0),2)&gt;0,"Profit","Draw"))))))</x:f>
      </x:c>
      <x:c r="V107" s="956" t="str">
        <x:f>IF(COUNTA($A107:$M107)=0,"",IF(OR($B107="",$C107="",$U107="Subscription"),"",IFERROR(ROUNDUP(($C107-$B107)/7,0),"")))</x:f>
      </x:c>
      <x:c r="W107" s="114" t="str">
        <x:f>IF(COUNTA($A107:$M107)=0,"",IF(OR($U107="Subscription",$U107=""),"",IF(OR($U107="Free Game",$U107="Disqualified — Free Game"),0,ROUND(IFERROR($Q107,0)-IFERROR($S107,0),2))))</x:f>
      </x:c>
      <x:c r="X107" s="956" t="str">
        <x:f>IF(COUNTA($A107:$M107)=0,"",IF(OR($U107="Subscription",NOT(ISNUMBER($J107)),NOT(ISNUMBER($I107)),$J107=0,$I107=0,$I107&gt;$J107),"",$J107-$I107))</x:f>
      </x:c>
      <x:c r="Y107" s="955" t="str">
        <x:f>IF(COUNTA($A107:$M107)=0,"",IF(OR($U107="Subscription",NOT(ISNUMBER($J107)),$J107=0,$X107=""),"",$X107/$J107))</x:f>
      </x:c>
      <x:c r="Z107" s="957" t="str">
        <x:f>IF(COUNTA($A107:$M107)=0,"",Instructions!$B$29+SUM($W$5:W107))</x:f>
      </x:c>
    </x:row>
    <x:row r="108" ht="36" customHeight="1">
      <x:c r="A108" s="439"/>
      <x:c r="B108" s="453"/>
      <x:c r="C108" s="453"/>
      <x:c r="D108" s="454"/>
      <x:c r="E108" s="454"/>
      <x:c r="F108" s="454"/>
      <x:c r="G108" s="986"/>
      <x:c r="H108" s="455"/>
      <x:c r="I108" s="456"/>
      <x:c r="J108" s="456"/>
      <x:c r="K108" s="986"/>
      <x:c r="L108" s="454"/>
      <x:c r="M108" s="439"/>
      <x:c r="N108" s="987" t="str">
        <x:f>IF(COUNTA($A108:$M108)=0,"",IF(OR(LEFT(LOWER(TRIM($F108&amp;"")),12)="subscription",LOWER(TRIM($F108&amp;""))="membership"),"",IF($G108="","",IF(ISNUMBER(SEARCH("non",LOWER($E108&amp;""))),$G108*0.85,$G108))))</x:f>
      </x:c>
      <x:c r="O108" s="987" t="str">
        <x:f>IF(COUNTA($A108:$M108)=0,"",IF(OR(LEFT(LOWER(TRIM($F108&amp;"")),12)="subscription",LOWER(TRIM($F108&amp;""))="membership"),"",IF(OR($N108="",$I108="",$I108=0),"",IFERROR($N108/$I108,""))))</x:f>
      </x:c>
      <x:c r="P108" s="987" t="str">
        <x:f>IF(COUNTA($A108:$M108)=0,"",IF(OR(LEFT(LOWER(TRIM($F108&amp;"")),12)="subscription",LOWER(TRIM($F108&amp;""))="membership"),"",IF(LOWER($L108&amp;"")="yes",0,IF(OR(AND($H108&lt;&gt;"",$H108=0),LEFT(LOWER(TRIM($F108&amp;"")),9)="free game",LOWER(TRIM($F108&amp;""))="free",LOWER(TRIM($F108&amp;""))="free entry"),IF(LOWER($D108&amp;"")="finalized",IF(ISNUMBER($K108),$K108,""),IF($O108&lt;&gt;"",$O108,"")),IF($K108&lt;&gt;"",$K108,IF($O108&lt;&gt;"",$O108,""))))))</x:f>
      </x:c>
      <x:c r="Q108" s="114" t="str">
        <x:f>IF(COUNTA($A108:$M108)=0,"",IF(OR($U108="Subscription",$U108=""),"",IF($U108="Profit",ROUND(IFERROR($P108,0)-IFERROR($H108,0),2),0)))</x:f>
      </x:c>
      <x:c r="R108" s="114" t="str">
        <x:f>IF(COUNTA($A108:$M108)=0,"",IF(OR($U108="Subscription",$U108=""),"",IF($U108="Draw",$H108,0)))</x:f>
      </x:c>
      <x:c r="S108" s="114" t="str">
        <x:f>IF(COUNTA($A108:$M108)=0,"",IF(OR($U108="Subscription",$U108=""),"",IF($U108="Disqualified",$H108,0)))</x:f>
      </x:c>
      <x:c r="T108" s="955" t="str">
        <x:f>IF(COUNTA($A108:$M108)=0,"",IF(OR($U108="Subscription",$U108=""),"",IF(OR($U108="Free Game",$U108="Disqualified — Free Game",$H108=0),"N/A",IF($U108="Profit",$Q108/$H108,IF($U108="Disqualified",-$S108/$H108,0)))))</x:f>
      </x:c>
      <x:c r="U108" s="920" t="str">
        <x:f>IF(COUNTA($A108:$M108)=0,"",IF(OR(LEFT(LOWER(TRIM($F108&amp;"")),12)="subscription",LOWER(TRIM($F108&amp;""))="membership"),"Subscription",IF(OR(AND($H108&lt;&gt;"",$H108=0),LEFT(LOWER(TRIM($F108&amp;"")),9)="free game",LOWER(TRIM($F108&amp;""))="free",LOWER(TRIM($F108&amp;""))="free entry"),IF(LOWER($L108&amp;"")="yes","Disqualified — Free Game","Free Game"),IF(LOWER($L108&amp;"")="yes","Disqualified",IF($P108="","",IF(ROUND(IFERROR(VALUE($P108),0)-IFERROR(VALUE($H108),0),2)&gt;0,"Profit","Draw"))))))</x:f>
      </x:c>
      <x:c r="V108" s="956" t="str">
        <x:f>IF(COUNTA($A108:$M108)=0,"",IF(OR($B108="",$C108="",$U108="Subscription"),"",IFERROR(ROUNDUP(($C108-$B108)/7,0),"")))</x:f>
      </x:c>
      <x:c r="W108" s="114" t="str">
        <x:f>IF(COUNTA($A108:$M108)=0,"",IF(OR($U108="Subscription",$U108=""),"",IF(OR($U108="Free Game",$U108="Disqualified — Free Game"),0,ROUND(IFERROR($Q108,0)-IFERROR($S108,0),2))))</x:f>
      </x:c>
      <x:c r="X108" s="956" t="str">
        <x:f>IF(COUNTA($A108:$M108)=0,"",IF(OR($U108="Subscription",NOT(ISNUMBER($J108)),NOT(ISNUMBER($I108)),$J108=0,$I108=0,$I108&gt;$J108),"",$J108-$I108))</x:f>
      </x:c>
      <x:c r="Y108" s="955" t="str">
        <x:f>IF(COUNTA($A108:$M108)=0,"",IF(OR($U108="Subscription",NOT(ISNUMBER($J108)),$J108=0,$X108=""),"",$X108/$J108))</x:f>
      </x:c>
      <x:c r="Z108" s="957" t="str">
        <x:f>IF(COUNTA($A108:$M108)=0,"",Instructions!$B$29+SUM($W$5:W108))</x:f>
      </x:c>
    </x:row>
    <x:row r="109" ht="36" customHeight="1">
      <x:c r="A109" s="439"/>
      <x:c r="B109" s="453"/>
      <x:c r="C109" s="453"/>
      <x:c r="D109" s="454"/>
      <x:c r="E109" s="454"/>
      <x:c r="F109" s="454"/>
      <x:c r="G109" s="986"/>
      <x:c r="H109" s="455"/>
      <x:c r="I109" s="456"/>
      <x:c r="J109" s="456"/>
      <x:c r="K109" s="986"/>
      <x:c r="L109" s="454"/>
      <x:c r="M109" s="439"/>
      <x:c r="N109" s="987" t="str">
        <x:f>IF(COUNTA($A109:$M109)=0,"",IF(OR(LEFT(LOWER(TRIM($F109&amp;"")),12)="subscription",LOWER(TRIM($F109&amp;""))="membership"),"",IF($G109="","",IF(ISNUMBER(SEARCH("non",LOWER($E109&amp;""))),$G109*0.85,$G109))))</x:f>
      </x:c>
      <x:c r="O109" s="987" t="str">
        <x:f>IF(COUNTA($A109:$M109)=0,"",IF(OR(LEFT(LOWER(TRIM($F109&amp;"")),12)="subscription",LOWER(TRIM($F109&amp;""))="membership"),"",IF(OR($N109="",$I109="",$I109=0),"",IFERROR($N109/$I109,""))))</x:f>
      </x:c>
      <x:c r="P109" s="987" t="str">
        <x:f>IF(COUNTA($A109:$M109)=0,"",IF(OR(LEFT(LOWER(TRIM($F109&amp;"")),12)="subscription",LOWER(TRIM($F109&amp;""))="membership"),"",IF(LOWER($L109&amp;"")="yes",0,IF(OR(AND($H109&lt;&gt;"",$H109=0),LEFT(LOWER(TRIM($F109&amp;"")),9)="free game",LOWER(TRIM($F109&amp;""))="free",LOWER(TRIM($F109&amp;""))="free entry"),IF(LOWER($D109&amp;"")="finalized",IF(ISNUMBER($K109),$K109,""),IF($O109&lt;&gt;"",$O109,"")),IF($K109&lt;&gt;"",$K109,IF($O109&lt;&gt;"",$O109,""))))))</x:f>
      </x:c>
      <x:c r="Q109" s="114" t="str">
        <x:f>IF(COUNTA($A109:$M109)=0,"",IF(OR($U109="Subscription",$U109=""),"",IF($U109="Profit",ROUND(IFERROR($P109,0)-IFERROR($H109,0),2),0)))</x:f>
      </x:c>
      <x:c r="R109" s="114" t="str">
        <x:f>IF(COUNTA($A109:$M109)=0,"",IF(OR($U109="Subscription",$U109=""),"",IF($U109="Draw",$H109,0)))</x:f>
      </x:c>
      <x:c r="S109" s="114" t="str">
        <x:f>IF(COUNTA($A109:$M109)=0,"",IF(OR($U109="Subscription",$U109=""),"",IF($U109="Disqualified",$H109,0)))</x:f>
      </x:c>
      <x:c r="T109" s="955" t="str">
        <x:f>IF(COUNTA($A109:$M109)=0,"",IF(OR($U109="Subscription",$U109=""),"",IF(OR($U109="Free Game",$U109="Disqualified — Free Game",$H109=0),"N/A",IF($U109="Profit",$Q109/$H109,IF($U109="Disqualified",-$S109/$H109,0)))))</x:f>
      </x:c>
      <x:c r="U109" s="920" t="str">
        <x:f>IF(COUNTA($A109:$M109)=0,"",IF(OR(LEFT(LOWER(TRIM($F109&amp;"")),12)="subscription",LOWER(TRIM($F109&amp;""))="membership"),"Subscription",IF(OR(AND($H109&lt;&gt;"",$H109=0),LEFT(LOWER(TRIM($F109&amp;"")),9)="free game",LOWER(TRIM($F109&amp;""))="free",LOWER(TRIM($F109&amp;""))="free entry"),IF(LOWER($L109&amp;"")="yes","Disqualified — Free Game","Free Game"),IF(LOWER($L109&amp;"")="yes","Disqualified",IF($P109="","",IF(ROUND(IFERROR(VALUE($P109),0)-IFERROR(VALUE($H109),0),2)&gt;0,"Profit","Draw"))))))</x:f>
      </x:c>
      <x:c r="V109" s="956" t="str">
        <x:f>IF(COUNTA($A109:$M109)=0,"",IF(OR($B109="",$C109="",$U109="Subscription"),"",IFERROR(ROUNDUP(($C109-$B109)/7,0),"")))</x:f>
      </x:c>
      <x:c r="W109" s="114" t="str">
        <x:f>IF(COUNTA($A109:$M109)=0,"",IF(OR($U109="Subscription",$U109=""),"",IF(OR($U109="Free Game",$U109="Disqualified — Free Game"),0,ROUND(IFERROR($Q109,0)-IFERROR($S109,0),2))))</x:f>
      </x:c>
      <x:c r="X109" s="956" t="str">
        <x:f>IF(COUNTA($A109:$M109)=0,"",IF(OR($U109="Subscription",NOT(ISNUMBER($J109)),NOT(ISNUMBER($I109)),$J109=0,$I109=0,$I109&gt;$J109),"",$J109-$I109))</x:f>
      </x:c>
      <x:c r="Y109" s="955" t="str">
        <x:f>IF(COUNTA($A109:$M109)=0,"",IF(OR($U109="Subscription",NOT(ISNUMBER($J109)),$J109=0,$X109=""),"",$X109/$J109))</x:f>
      </x:c>
      <x:c r="Z109" s="957" t="str">
        <x:f>IF(COUNTA($A109:$M109)=0,"",Instructions!$B$29+SUM($W$5:W109))</x:f>
      </x:c>
    </x:row>
    <x:row r="110" ht="36" customHeight="1">
      <x:c r="A110" s="439"/>
      <x:c r="B110" s="453"/>
      <x:c r="C110" s="453"/>
      <x:c r="D110" s="454"/>
      <x:c r="E110" s="454"/>
      <x:c r="F110" s="454"/>
      <x:c r="G110" s="986"/>
      <x:c r="H110" s="455"/>
      <x:c r="I110" s="456"/>
      <x:c r="J110" s="456"/>
      <x:c r="K110" s="986"/>
      <x:c r="L110" s="454"/>
      <x:c r="M110" s="439"/>
      <x:c r="N110" s="987" t="str">
        <x:f>IF(COUNTA($A110:$M110)=0,"",IF(OR(LEFT(LOWER(TRIM($F110&amp;"")),12)="subscription",LOWER(TRIM($F110&amp;""))="membership"),"",IF($G110="","",IF(ISNUMBER(SEARCH("non",LOWER($E110&amp;""))),$G110*0.85,$G110))))</x:f>
      </x:c>
      <x:c r="O110" s="987" t="str">
        <x:f>IF(COUNTA($A110:$M110)=0,"",IF(OR(LEFT(LOWER(TRIM($F110&amp;"")),12)="subscription",LOWER(TRIM($F110&amp;""))="membership"),"",IF(OR($N110="",$I110="",$I110=0),"",IFERROR($N110/$I110,""))))</x:f>
      </x:c>
      <x:c r="P110" s="987" t="str">
        <x:f>IF(COUNTA($A110:$M110)=0,"",IF(OR(LEFT(LOWER(TRIM($F110&amp;"")),12)="subscription",LOWER(TRIM($F110&amp;""))="membership"),"",IF(LOWER($L110&amp;"")="yes",0,IF(OR(AND($H110&lt;&gt;"",$H110=0),LEFT(LOWER(TRIM($F110&amp;"")),9)="free game",LOWER(TRIM($F110&amp;""))="free",LOWER(TRIM($F110&amp;""))="free entry"),IF(LOWER($D110&amp;"")="finalized",IF(ISNUMBER($K110),$K110,""),IF($O110&lt;&gt;"",$O110,"")),IF($K110&lt;&gt;"",$K110,IF($O110&lt;&gt;"",$O110,""))))))</x:f>
      </x:c>
      <x:c r="Q110" s="114" t="str">
        <x:f>IF(COUNTA($A110:$M110)=0,"",IF(OR($U110="Subscription",$U110=""),"",IF($U110="Profit",ROUND(IFERROR($P110,0)-IFERROR($H110,0),2),0)))</x:f>
      </x:c>
      <x:c r="R110" s="114" t="str">
        <x:f>IF(COUNTA($A110:$M110)=0,"",IF(OR($U110="Subscription",$U110=""),"",IF($U110="Draw",$H110,0)))</x:f>
      </x:c>
      <x:c r="S110" s="114" t="str">
        <x:f>IF(COUNTA($A110:$M110)=0,"",IF(OR($U110="Subscription",$U110=""),"",IF($U110="Disqualified",$H110,0)))</x:f>
      </x:c>
      <x:c r="T110" s="955" t="str">
        <x:f>IF(COUNTA($A110:$M110)=0,"",IF(OR($U110="Subscription",$U110=""),"",IF(OR($U110="Free Game",$U110="Disqualified — Free Game",$H110=0),"N/A",IF($U110="Profit",$Q110/$H110,IF($U110="Disqualified",-$S110/$H110,0)))))</x:f>
      </x:c>
      <x:c r="U110" s="920" t="str">
        <x:f>IF(COUNTA($A110:$M110)=0,"",IF(OR(LEFT(LOWER(TRIM($F110&amp;"")),12)="subscription",LOWER(TRIM($F110&amp;""))="membership"),"Subscription",IF(OR(AND($H110&lt;&gt;"",$H110=0),LEFT(LOWER(TRIM($F110&amp;"")),9)="free game",LOWER(TRIM($F110&amp;""))="free",LOWER(TRIM($F110&amp;""))="free entry"),IF(LOWER($L110&amp;"")="yes","Disqualified — Free Game","Free Game"),IF(LOWER($L110&amp;"")="yes","Disqualified",IF($P110="","",IF(ROUND(IFERROR(VALUE($P110),0)-IFERROR(VALUE($H110),0),2)&gt;0,"Profit","Draw"))))))</x:f>
      </x:c>
      <x:c r="V110" s="956" t="str">
        <x:f>IF(COUNTA($A110:$M110)=0,"",IF(OR($B110="",$C110="",$U110="Subscription"),"",IFERROR(ROUNDUP(($C110-$B110)/7,0),"")))</x:f>
      </x:c>
      <x:c r="W110" s="114" t="str">
        <x:f>IF(COUNTA($A110:$M110)=0,"",IF(OR($U110="Subscription",$U110=""),"",IF(OR($U110="Free Game",$U110="Disqualified — Free Game"),0,ROUND(IFERROR($Q110,0)-IFERROR($S110,0),2))))</x:f>
      </x:c>
      <x:c r="X110" s="956" t="str">
        <x:f>IF(COUNTA($A110:$M110)=0,"",IF(OR($U110="Subscription",NOT(ISNUMBER($J110)),NOT(ISNUMBER($I110)),$J110=0,$I110=0,$I110&gt;$J110),"",$J110-$I110))</x:f>
      </x:c>
      <x:c r="Y110" s="955" t="str">
        <x:f>IF(COUNTA($A110:$M110)=0,"",IF(OR($U110="Subscription",NOT(ISNUMBER($J110)),$J110=0,$X110=""),"",$X110/$J110))</x:f>
      </x:c>
      <x:c r="Z110" s="957" t="str">
        <x:f>IF(COUNTA($A110:$M110)=0,"",Instructions!$B$29+SUM($W$5:W110))</x:f>
      </x:c>
    </x:row>
    <x:row r="111" ht="36" customHeight="1">
      <x:c r="A111" s="439"/>
      <x:c r="B111" s="453"/>
      <x:c r="C111" s="453"/>
      <x:c r="D111" s="454"/>
      <x:c r="E111" s="454"/>
      <x:c r="F111" s="454"/>
      <x:c r="G111" s="986"/>
      <x:c r="H111" s="455"/>
      <x:c r="I111" s="456"/>
      <x:c r="J111" s="456"/>
      <x:c r="K111" s="986"/>
      <x:c r="L111" s="454"/>
      <x:c r="M111" s="439"/>
      <x:c r="N111" s="987" t="str">
        <x:f>IF(COUNTA($A111:$M111)=0,"",IF(OR(LEFT(LOWER(TRIM($F111&amp;"")),12)="subscription",LOWER(TRIM($F111&amp;""))="membership"),"",IF($G111="","",IF(ISNUMBER(SEARCH("non",LOWER($E111&amp;""))),$G111*0.85,$G111))))</x:f>
      </x:c>
      <x:c r="O111" s="987" t="str">
        <x:f>IF(COUNTA($A111:$M111)=0,"",IF(OR(LEFT(LOWER(TRIM($F111&amp;"")),12)="subscription",LOWER(TRIM($F111&amp;""))="membership"),"",IF(OR($N111="",$I111="",$I111=0),"",IFERROR($N111/$I111,""))))</x:f>
      </x:c>
      <x:c r="P111" s="987" t="str">
        <x:f>IF(COUNTA($A111:$M111)=0,"",IF(OR(LEFT(LOWER(TRIM($F111&amp;"")),12)="subscription",LOWER(TRIM($F111&amp;""))="membership"),"",IF(LOWER($L111&amp;"")="yes",0,IF(OR(AND($H111&lt;&gt;"",$H111=0),LEFT(LOWER(TRIM($F111&amp;"")),9)="free game",LOWER(TRIM($F111&amp;""))="free",LOWER(TRIM($F111&amp;""))="free entry"),IF(LOWER($D111&amp;"")="finalized",IF(ISNUMBER($K111),$K111,""),IF($O111&lt;&gt;"",$O111,"")),IF($K111&lt;&gt;"",$K111,IF($O111&lt;&gt;"",$O111,""))))))</x:f>
      </x:c>
      <x:c r="Q111" s="114" t="str">
        <x:f>IF(COUNTA($A111:$M111)=0,"",IF(OR($U111="Subscription",$U111=""),"",IF($U111="Profit",ROUND(IFERROR($P111,0)-IFERROR($H111,0),2),0)))</x:f>
      </x:c>
      <x:c r="R111" s="114" t="str">
        <x:f>IF(COUNTA($A111:$M111)=0,"",IF(OR($U111="Subscription",$U111=""),"",IF($U111="Draw",$H111,0)))</x:f>
      </x:c>
      <x:c r="S111" s="114" t="str">
        <x:f>IF(COUNTA($A111:$M111)=0,"",IF(OR($U111="Subscription",$U111=""),"",IF($U111="Disqualified",$H111,0)))</x:f>
      </x:c>
      <x:c r="T111" s="955" t="str">
        <x:f>IF(COUNTA($A111:$M111)=0,"",IF(OR($U111="Subscription",$U111=""),"",IF(OR($U111="Free Game",$U111="Disqualified — Free Game",$H111=0),"N/A",IF($U111="Profit",$Q111/$H111,IF($U111="Disqualified",-$S111/$H111,0)))))</x:f>
      </x:c>
      <x:c r="U111" s="920" t="str">
        <x:f>IF(COUNTA($A111:$M111)=0,"",IF(OR(LEFT(LOWER(TRIM($F111&amp;"")),12)="subscription",LOWER(TRIM($F111&amp;""))="membership"),"Subscription",IF(OR(AND($H111&lt;&gt;"",$H111=0),LEFT(LOWER(TRIM($F111&amp;"")),9)="free game",LOWER(TRIM($F111&amp;""))="free",LOWER(TRIM($F111&amp;""))="free entry"),IF(LOWER($L111&amp;"")="yes","Disqualified — Free Game","Free Game"),IF(LOWER($L111&amp;"")="yes","Disqualified",IF($P111="","",IF(ROUND(IFERROR(VALUE($P111),0)-IFERROR(VALUE($H111),0),2)&gt;0,"Profit","Draw"))))))</x:f>
      </x:c>
      <x:c r="V111" s="956" t="str">
        <x:f>IF(COUNTA($A111:$M111)=0,"",IF(OR($B111="",$C111="",$U111="Subscription"),"",IFERROR(ROUNDUP(($C111-$B111)/7,0),"")))</x:f>
      </x:c>
      <x:c r="W111" s="114" t="str">
        <x:f>IF(COUNTA($A111:$M111)=0,"",IF(OR($U111="Subscription",$U111=""),"",IF(OR($U111="Free Game",$U111="Disqualified — Free Game"),0,ROUND(IFERROR($Q111,0)-IFERROR($S111,0),2))))</x:f>
      </x:c>
      <x:c r="X111" s="956" t="str">
        <x:f>IF(COUNTA($A111:$M111)=0,"",IF(OR($U111="Subscription",NOT(ISNUMBER($J111)),NOT(ISNUMBER($I111)),$J111=0,$I111=0,$I111&gt;$J111),"",$J111-$I111))</x:f>
      </x:c>
      <x:c r="Y111" s="955" t="str">
        <x:f>IF(COUNTA($A111:$M111)=0,"",IF(OR($U111="Subscription",NOT(ISNUMBER($J111)),$J111=0,$X111=""),"",$X111/$J111))</x:f>
      </x:c>
      <x:c r="Z111" s="957" t="str">
        <x:f>IF(COUNTA($A111:$M111)=0,"",Instructions!$B$29+SUM($W$5:W111))</x:f>
      </x:c>
    </x:row>
    <x:row r="112" ht="36" customHeight="1">
      <x:c r="A112" s="439"/>
      <x:c r="B112" s="453"/>
      <x:c r="C112" s="453"/>
      <x:c r="D112" s="454"/>
      <x:c r="E112" s="454"/>
      <x:c r="F112" s="454"/>
      <x:c r="G112" s="986"/>
      <x:c r="H112" s="455"/>
      <x:c r="I112" s="456"/>
      <x:c r="J112" s="456"/>
      <x:c r="K112" s="986"/>
      <x:c r="L112" s="454"/>
      <x:c r="M112" s="439"/>
      <x:c r="N112" s="987" t="str">
        <x:f>IF(COUNTA($A112:$M112)=0,"",IF(OR(LEFT(LOWER(TRIM($F112&amp;"")),12)="subscription",LOWER(TRIM($F112&amp;""))="membership"),"",IF($G112="","",IF(ISNUMBER(SEARCH("non",LOWER($E112&amp;""))),$G112*0.85,$G112))))</x:f>
      </x:c>
      <x:c r="O112" s="987" t="str">
        <x:f>IF(COUNTA($A112:$M112)=0,"",IF(OR(LEFT(LOWER(TRIM($F112&amp;"")),12)="subscription",LOWER(TRIM($F112&amp;""))="membership"),"",IF(OR($N112="",$I112="",$I112=0),"",IFERROR($N112/$I112,""))))</x:f>
      </x:c>
      <x:c r="P112" s="987" t="str">
        <x:f>IF(COUNTA($A112:$M112)=0,"",IF(OR(LEFT(LOWER(TRIM($F112&amp;"")),12)="subscription",LOWER(TRIM($F112&amp;""))="membership"),"",IF(LOWER($L112&amp;"")="yes",0,IF(OR(AND($H112&lt;&gt;"",$H112=0),LEFT(LOWER(TRIM($F112&amp;"")),9)="free game",LOWER(TRIM($F112&amp;""))="free",LOWER(TRIM($F112&amp;""))="free entry"),IF(LOWER($D112&amp;"")="finalized",IF(ISNUMBER($K112),$K112,""),IF($O112&lt;&gt;"",$O112,"")),IF($K112&lt;&gt;"",$K112,IF($O112&lt;&gt;"",$O112,""))))))</x:f>
      </x:c>
      <x:c r="Q112" s="114" t="str">
        <x:f>IF(COUNTA($A112:$M112)=0,"",IF(OR($U112="Subscription",$U112=""),"",IF($U112="Profit",ROUND(IFERROR($P112,0)-IFERROR($H112,0),2),0)))</x:f>
      </x:c>
      <x:c r="R112" s="114" t="str">
        <x:f>IF(COUNTA($A112:$M112)=0,"",IF(OR($U112="Subscription",$U112=""),"",IF($U112="Draw",$H112,0)))</x:f>
      </x:c>
      <x:c r="S112" s="114" t="str">
        <x:f>IF(COUNTA($A112:$M112)=0,"",IF(OR($U112="Subscription",$U112=""),"",IF($U112="Disqualified",$H112,0)))</x:f>
      </x:c>
      <x:c r="T112" s="955" t="str">
        <x:f>IF(COUNTA($A112:$M112)=0,"",IF(OR($U112="Subscription",$U112=""),"",IF(OR($U112="Free Game",$U112="Disqualified — Free Game",$H112=0),"N/A",IF($U112="Profit",$Q112/$H112,IF($U112="Disqualified",-$S112/$H112,0)))))</x:f>
      </x:c>
      <x:c r="U112" s="920" t="str">
        <x:f>IF(COUNTA($A112:$M112)=0,"",IF(OR(LEFT(LOWER(TRIM($F112&amp;"")),12)="subscription",LOWER(TRIM($F112&amp;""))="membership"),"Subscription",IF(OR(AND($H112&lt;&gt;"",$H112=0),LEFT(LOWER(TRIM($F112&amp;"")),9)="free game",LOWER(TRIM($F112&amp;""))="free",LOWER(TRIM($F112&amp;""))="free entry"),IF(LOWER($L112&amp;"")="yes","Disqualified — Free Game","Free Game"),IF(LOWER($L112&amp;"")="yes","Disqualified",IF($P112="","",IF(ROUND(IFERROR(VALUE($P112),0)-IFERROR(VALUE($H112),0),2)&gt;0,"Profit","Draw"))))))</x:f>
      </x:c>
      <x:c r="V112" s="956" t="str">
        <x:f>IF(COUNTA($A112:$M112)=0,"",IF(OR($B112="",$C112="",$U112="Subscription"),"",IFERROR(ROUNDUP(($C112-$B112)/7,0),"")))</x:f>
      </x:c>
      <x:c r="W112" s="114" t="str">
        <x:f>IF(COUNTA($A112:$M112)=0,"",IF(OR($U112="Subscription",$U112=""),"",IF(OR($U112="Free Game",$U112="Disqualified — Free Game"),0,ROUND(IFERROR($Q112,0)-IFERROR($S112,0),2))))</x:f>
      </x:c>
      <x:c r="X112" s="956" t="str">
        <x:f>IF(COUNTA($A112:$M112)=0,"",IF(OR($U112="Subscription",NOT(ISNUMBER($J112)),NOT(ISNUMBER($I112)),$J112=0,$I112=0,$I112&gt;$J112),"",$J112-$I112))</x:f>
      </x:c>
      <x:c r="Y112" s="955" t="str">
        <x:f>IF(COUNTA($A112:$M112)=0,"",IF(OR($U112="Subscription",NOT(ISNUMBER($J112)),$J112=0,$X112=""),"",$X112/$J112))</x:f>
      </x:c>
      <x:c r="Z112" s="957" t="str">
        <x:f>IF(COUNTA($A112:$M112)=0,"",Instructions!$B$29+SUM($W$5:W112))</x:f>
      </x:c>
    </x:row>
    <x:row r="113" ht="36" customHeight="1">
      <x:c r="A113" s="439"/>
      <x:c r="B113" s="453"/>
      <x:c r="C113" s="453"/>
      <x:c r="D113" s="454"/>
      <x:c r="E113" s="454"/>
      <x:c r="F113" s="454"/>
      <x:c r="G113" s="986"/>
      <x:c r="H113" s="455"/>
      <x:c r="I113" s="456"/>
      <x:c r="J113" s="456"/>
      <x:c r="K113" s="986"/>
      <x:c r="L113" s="454"/>
      <x:c r="M113" s="439"/>
      <x:c r="N113" s="987" t="str">
        <x:f>IF(COUNTA($A113:$M113)=0,"",IF(OR(LEFT(LOWER(TRIM($F113&amp;"")),12)="subscription",LOWER(TRIM($F113&amp;""))="membership"),"",IF($G113="","",IF(ISNUMBER(SEARCH("non",LOWER($E113&amp;""))),$G113*0.85,$G113))))</x:f>
      </x:c>
      <x:c r="O113" s="987" t="str">
        <x:f>IF(COUNTA($A113:$M113)=0,"",IF(OR(LEFT(LOWER(TRIM($F113&amp;"")),12)="subscription",LOWER(TRIM($F113&amp;""))="membership"),"",IF(OR($N113="",$I113="",$I113=0),"",IFERROR($N113/$I113,""))))</x:f>
      </x:c>
      <x:c r="P113" s="987" t="str">
        <x:f>IF(COUNTA($A113:$M113)=0,"",IF(OR(LEFT(LOWER(TRIM($F113&amp;"")),12)="subscription",LOWER(TRIM($F113&amp;""))="membership"),"",IF(LOWER($L113&amp;"")="yes",0,IF(OR(AND($H113&lt;&gt;"",$H113=0),LEFT(LOWER(TRIM($F113&amp;"")),9)="free game",LOWER(TRIM($F113&amp;""))="free",LOWER(TRIM($F113&amp;""))="free entry"),IF(LOWER($D113&amp;"")="finalized",IF(ISNUMBER($K113),$K113,""),IF($O113&lt;&gt;"",$O113,"")),IF($K113&lt;&gt;"",$K113,IF($O113&lt;&gt;"",$O113,""))))))</x:f>
      </x:c>
      <x:c r="Q113" s="114" t="str">
        <x:f>IF(COUNTA($A113:$M113)=0,"",IF(OR($U113="Subscription",$U113=""),"",IF($U113="Profit",ROUND(IFERROR($P113,0)-IFERROR($H113,0),2),0)))</x:f>
      </x:c>
      <x:c r="R113" s="114" t="str">
        <x:f>IF(COUNTA($A113:$M113)=0,"",IF(OR($U113="Subscription",$U113=""),"",IF($U113="Draw",$H113,0)))</x:f>
      </x:c>
      <x:c r="S113" s="114" t="str">
        <x:f>IF(COUNTA($A113:$M113)=0,"",IF(OR($U113="Subscription",$U113=""),"",IF($U113="Disqualified",$H113,0)))</x:f>
      </x:c>
      <x:c r="T113" s="955" t="str">
        <x:f>IF(COUNTA($A113:$M113)=0,"",IF(OR($U113="Subscription",$U113=""),"",IF(OR($U113="Free Game",$U113="Disqualified — Free Game",$H113=0),"N/A",IF($U113="Profit",$Q113/$H113,IF($U113="Disqualified",-$S113/$H113,0)))))</x:f>
      </x:c>
      <x:c r="U113" s="920" t="str">
        <x:f>IF(COUNTA($A113:$M113)=0,"",IF(OR(LEFT(LOWER(TRIM($F113&amp;"")),12)="subscription",LOWER(TRIM($F113&amp;""))="membership"),"Subscription",IF(OR(AND($H113&lt;&gt;"",$H113=0),LEFT(LOWER(TRIM($F113&amp;"")),9)="free game",LOWER(TRIM($F113&amp;""))="free",LOWER(TRIM($F113&amp;""))="free entry"),IF(LOWER($L113&amp;"")="yes","Disqualified — Free Game","Free Game"),IF(LOWER($L113&amp;"")="yes","Disqualified",IF($P113="","",IF(ROUND(IFERROR(VALUE($P113),0)-IFERROR(VALUE($H113),0),2)&gt;0,"Profit","Draw"))))))</x:f>
      </x:c>
      <x:c r="V113" s="956" t="str">
        <x:f>IF(COUNTA($A113:$M113)=0,"",IF(OR($B113="",$C113="",$U113="Subscription"),"",IFERROR(ROUNDUP(($C113-$B113)/7,0),"")))</x:f>
      </x:c>
      <x:c r="W113" s="114" t="str">
        <x:f>IF(COUNTA($A113:$M113)=0,"",IF(OR($U113="Subscription",$U113=""),"",IF(OR($U113="Free Game",$U113="Disqualified — Free Game"),0,ROUND(IFERROR($Q113,0)-IFERROR($S113,0),2))))</x:f>
      </x:c>
      <x:c r="X113" s="956" t="str">
        <x:f>IF(COUNTA($A113:$M113)=0,"",IF(OR($U113="Subscription",NOT(ISNUMBER($J113)),NOT(ISNUMBER($I113)),$J113=0,$I113=0,$I113&gt;$J113),"",$J113-$I113))</x:f>
      </x:c>
      <x:c r="Y113" s="955" t="str">
        <x:f>IF(COUNTA($A113:$M113)=0,"",IF(OR($U113="Subscription",NOT(ISNUMBER($J113)),$J113=0,$X113=""),"",$X113/$J113))</x:f>
      </x:c>
      <x:c r="Z113" s="957" t="str">
        <x:f>IF(COUNTA($A113:$M113)=0,"",Instructions!$B$29+SUM($W$5:W113))</x:f>
      </x:c>
    </x:row>
    <x:row r="114" ht="36" customHeight="1">
      <x:c r="A114" s="439"/>
      <x:c r="B114" s="453"/>
      <x:c r="C114" s="453"/>
      <x:c r="D114" s="454"/>
      <x:c r="E114" s="454"/>
      <x:c r="F114" s="454"/>
      <x:c r="G114" s="986"/>
      <x:c r="H114" s="455"/>
      <x:c r="I114" s="456"/>
      <x:c r="J114" s="456"/>
      <x:c r="K114" s="986"/>
      <x:c r="L114" s="454"/>
      <x:c r="M114" s="439"/>
      <x:c r="N114" s="987" t="str">
        <x:f>IF(COUNTA($A114:$M114)=0,"",IF(OR(LEFT(LOWER(TRIM($F114&amp;"")),12)="subscription",LOWER(TRIM($F114&amp;""))="membership"),"",IF($G114="","",IF(ISNUMBER(SEARCH("non",LOWER($E114&amp;""))),$G114*0.85,$G114))))</x:f>
      </x:c>
      <x:c r="O114" s="987" t="str">
        <x:f>IF(COUNTA($A114:$M114)=0,"",IF(OR(LEFT(LOWER(TRIM($F114&amp;"")),12)="subscription",LOWER(TRIM($F114&amp;""))="membership"),"",IF(OR($N114="",$I114="",$I114=0),"",IFERROR($N114/$I114,""))))</x:f>
      </x:c>
      <x:c r="P114" s="987" t="str">
        <x:f>IF(COUNTA($A114:$M114)=0,"",IF(OR(LEFT(LOWER(TRIM($F114&amp;"")),12)="subscription",LOWER(TRIM($F114&amp;""))="membership"),"",IF(LOWER($L114&amp;"")="yes",0,IF(OR(AND($H114&lt;&gt;"",$H114=0),LEFT(LOWER(TRIM($F114&amp;"")),9)="free game",LOWER(TRIM($F114&amp;""))="free",LOWER(TRIM($F114&amp;""))="free entry"),IF(LOWER($D114&amp;"")="finalized",IF(ISNUMBER($K114),$K114,""),IF($O114&lt;&gt;"",$O114,"")),IF($K114&lt;&gt;"",$K114,IF($O114&lt;&gt;"",$O114,""))))))</x:f>
      </x:c>
      <x:c r="Q114" s="114" t="str">
        <x:f>IF(COUNTA($A114:$M114)=0,"",IF(OR($U114="Subscription",$U114=""),"",IF($U114="Profit",ROUND(IFERROR($P114,0)-IFERROR($H114,0),2),0)))</x:f>
      </x:c>
      <x:c r="R114" s="114" t="str">
        <x:f>IF(COUNTA($A114:$M114)=0,"",IF(OR($U114="Subscription",$U114=""),"",IF($U114="Draw",$H114,0)))</x:f>
      </x:c>
      <x:c r="S114" s="114" t="str">
        <x:f>IF(COUNTA($A114:$M114)=0,"",IF(OR($U114="Subscription",$U114=""),"",IF($U114="Disqualified",$H114,0)))</x:f>
      </x:c>
      <x:c r="T114" s="955" t="str">
        <x:f>IF(COUNTA($A114:$M114)=0,"",IF(OR($U114="Subscription",$U114=""),"",IF(OR($U114="Free Game",$U114="Disqualified — Free Game",$H114=0),"N/A",IF($U114="Profit",$Q114/$H114,IF($U114="Disqualified",-$S114/$H114,0)))))</x:f>
      </x:c>
      <x:c r="U114" s="920" t="str">
        <x:f>IF(COUNTA($A114:$M114)=0,"",IF(OR(LEFT(LOWER(TRIM($F114&amp;"")),12)="subscription",LOWER(TRIM($F114&amp;""))="membership"),"Subscription",IF(OR(AND($H114&lt;&gt;"",$H114=0),LEFT(LOWER(TRIM($F114&amp;"")),9)="free game",LOWER(TRIM($F114&amp;""))="free",LOWER(TRIM($F114&amp;""))="free entry"),IF(LOWER($L114&amp;"")="yes","Disqualified — Free Game","Free Game"),IF(LOWER($L114&amp;"")="yes","Disqualified",IF($P114="","",IF(ROUND(IFERROR(VALUE($P114),0)-IFERROR(VALUE($H114),0),2)&gt;0,"Profit","Draw"))))))</x:f>
      </x:c>
      <x:c r="V114" s="956" t="str">
        <x:f>IF(COUNTA($A114:$M114)=0,"",IF(OR($B114="",$C114="",$U114="Subscription"),"",IFERROR(ROUNDUP(($C114-$B114)/7,0),"")))</x:f>
      </x:c>
      <x:c r="W114" s="114" t="str">
        <x:f>IF(COUNTA($A114:$M114)=0,"",IF(OR($U114="Subscription",$U114=""),"",IF(OR($U114="Free Game",$U114="Disqualified — Free Game"),0,ROUND(IFERROR($Q114,0)-IFERROR($S114,0),2))))</x:f>
      </x:c>
      <x:c r="X114" s="956" t="str">
        <x:f>IF(COUNTA($A114:$M114)=0,"",IF(OR($U114="Subscription",NOT(ISNUMBER($J114)),NOT(ISNUMBER($I114)),$J114=0,$I114=0,$I114&gt;$J114),"",$J114-$I114))</x:f>
      </x:c>
      <x:c r="Y114" s="955" t="str">
        <x:f>IF(COUNTA($A114:$M114)=0,"",IF(OR($U114="Subscription",NOT(ISNUMBER($J114)),$J114=0,$X114=""),"",$X114/$J114))</x:f>
      </x:c>
      <x:c r="Z114" s="957" t="str">
        <x:f>IF(COUNTA($A114:$M114)=0,"",Instructions!$B$29+SUM($W$5:W114))</x:f>
      </x:c>
    </x:row>
    <x:row r="115" ht="36" customHeight="1">
      <x:c r="A115" s="439"/>
      <x:c r="B115" s="453"/>
      <x:c r="C115" s="453"/>
      <x:c r="D115" s="454"/>
      <x:c r="E115" s="454"/>
      <x:c r="F115" s="454"/>
      <x:c r="G115" s="986"/>
      <x:c r="H115" s="455"/>
      <x:c r="I115" s="456"/>
      <x:c r="J115" s="456"/>
      <x:c r="K115" s="986"/>
      <x:c r="L115" s="454"/>
      <x:c r="M115" s="439"/>
      <x:c r="N115" s="987" t="str">
        <x:f>IF(COUNTA($A115:$M115)=0,"",IF(OR(LEFT(LOWER(TRIM($F115&amp;"")),12)="subscription",LOWER(TRIM($F115&amp;""))="membership"),"",IF($G115="","",IF(ISNUMBER(SEARCH("non",LOWER($E115&amp;""))),$G115*0.85,$G115))))</x:f>
      </x:c>
      <x:c r="O115" s="987" t="str">
        <x:f>IF(COUNTA($A115:$M115)=0,"",IF(OR(LEFT(LOWER(TRIM($F115&amp;"")),12)="subscription",LOWER(TRIM($F115&amp;""))="membership"),"",IF(OR($N115="",$I115="",$I115=0),"",IFERROR($N115/$I115,""))))</x:f>
      </x:c>
      <x:c r="P115" s="987" t="str">
        <x:f>IF(COUNTA($A115:$M115)=0,"",IF(OR(LEFT(LOWER(TRIM($F115&amp;"")),12)="subscription",LOWER(TRIM($F115&amp;""))="membership"),"",IF(LOWER($L115&amp;"")="yes",0,IF(OR(AND($H115&lt;&gt;"",$H115=0),LEFT(LOWER(TRIM($F115&amp;"")),9)="free game",LOWER(TRIM($F115&amp;""))="free",LOWER(TRIM($F115&amp;""))="free entry"),IF(LOWER($D115&amp;"")="finalized",IF(ISNUMBER($K115),$K115,""),IF($O115&lt;&gt;"",$O115,"")),IF($K115&lt;&gt;"",$K115,IF($O115&lt;&gt;"",$O115,""))))))</x:f>
      </x:c>
      <x:c r="Q115" s="114" t="str">
        <x:f>IF(COUNTA($A115:$M115)=0,"",IF(OR($U115="Subscription",$U115=""),"",IF($U115="Profit",ROUND(IFERROR($P115,0)-IFERROR($H115,0),2),0)))</x:f>
      </x:c>
      <x:c r="R115" s="114" t="str">
        <x:f>IF(COUNTA($A115:$M115)=0,"",IF(OR($U115="Subscription",$U115=""),"",IF($U115="Draw",$H115,0)))</x:f>
      </x:c>
      <x:c r="S115" s="114" t="str">
        <x:f>IF(COUNTA($A115:$M115)=0,"",IF(OR($U115="Subscription",$U115=""),"",IF($U115="Disqualified",$H115,0)))</x:f>
      </x:c>
      <x:c r="T115" s="955" t="str">
        <x:f>IF(COUNTA($A115:$M115)=0,"",IF(OR($U115="Subscription",$U115=""),"",IF(OR($U115="Free Game",$U115="Disqualified — Free Game",$H115=0),"N/A",IF($U115="Profit",$Q115/$H115,IF($U115="Disqualified",-$S115/$H115,0)))))</x:f>
      </x:c>
      <x:c r="U115" s="920" t="str">
        <x:f>IF(COUNTA($A115:$M115)=0,"",IF(OR(LEFT(LOWER(TRIM($F115&amp;"")),12)="subscription",LOWER(TRIM($F115&amp;""))="membership"),"Subscription",IF(OR(AND($H115&lt;&gt;"",$H115=0),LEFT(LOWER(TRIM($F115&amp;"")),9)="free game",LOWER(TRIM($F115&amp;""))="free",LOWER(TRIM($F115&amp;""))="free entry"),IF(LOWER($L115&amp;"")="yes","Disqualified — Free Game","Free Game"),IF(LOWER($L115&amp;"")="yes","Disqualified",IF($P115="","",IF(ROUND(IFERROR(VALUE($P115),0)-IFERROR(VALUE($H115),0),2)&gt;0,"Profit","Draw"))))))</x:f>
      </x:c>
      <x:c r="V115" s="956" t="str">
        <x:f>IF(COUNTA($A115:$M115)=0,"",IF(OR($B115="",$C115="",$U115="Subscription"),"",IFERROR(ROUNDUP(($C115-$B115)/7,0),"")))</x:f>
      </x:c>
      <x:c r="W115" s="114" t="str">
        <x:f>IF(COUNTA($A115:$M115)=0,"",IF(OR($U115="Subscription",$U115=""),"",IF(OR($U115="Free Game",$U115="Disqualified — Free Game"),0,ROUND(IFERROR($Q115,0)-IFERROR($S115,0),2))))</x:f>
      </x:c>
      <x:c r="X115" s="956" t="str">
        <x:f>IF(COUNTA($A115:$M115)=0,"",IF(OR($U115="Subscription",NOT(ISNUMBER($J115)),NOT(ISNUMBER($I115)),$J115=0,$I115=0,$I115&gt;$J115),"",$J115-$I115))</x:f>
      </x:c>
      <x:c r="Y115" s="955" t="str">
        <x:f>IF(COUNTA($A115:$M115)=0,"",IF(OR($U115="Subscription",NOT(ISNUMBER($J115)),$J115=0,$X115=""),"",$X115/$J115))</x:f>
      </x:c>
      <x:c r="Z115" s="957" t="str">
        <x:f>IF(COUNTA($A115:$M115)=0,"",Instructions!$B$29+SUM($W$5:W115))</x:f>
      </x:c>
    </x:row>
    <x:row r="116" ht="36" customHeight="1">
      <x:c r="A116" s="439"/>
      <x:c r="B116" s="453"/>
      <x:c r="C116" s="453"/>
      <x:c r="D116" s="454"/>
      <x:c r="E116" s="454"/>
      <x:c r="F116" s="454"/>
      <x:c r="G116" s="986"/>
      <x:c r="H116" s="455"/>
      <x:c r="I116" s="456"/>
      <x:c r="J116" s="456"/>
      <x:c r="K116" s="986"/>
      <x:c r="L116" s="454"/>
      <x:c r="M116" s="439"/>
      <x:c r="N116" s="987" t="str">
        <x:f>IF(COUNTA($A116:$M116)=0,"",IF(OR(LEFT(LOWER(TRIM($F116&amp;"")),12)="subscription",LOWER(TRIM($F116&amp;""))="membership"),"",IF($G116="","",IF(ISNUMBER(SEARCH("non",LOWER($E116&amp;""))),$G116*0.85,$G116))))</x:f>
      </x:c>
      <x:c r="O116" s="987" t="str">
        <x:f>IF(COUNTA($A116:$M116)=0,"",IF(OR(LEFT(LOWER(TRIM($F116&amp;"")),12)="subscription",LOWER(TRIM($F116&amp;""))="membership"),"",IF(OR($N116="",$I116="",$I116=0),"",IFERROR($N116/$I116,""))))</x:f>
      </x:c>
      <x:c r="P116" s="987" t="str">
        <x:f>IF(COUNTA($A116:$M116)=0,"",IF(OR(LEFT(LOWER(TRIM($F116&amp;"")),12)="subscription",LOWER(TRIM($F116&amp;""))="membership"),"",IF(LOWER($L116&amp;"")="yes",0,IF(OR(AND($H116&lt;&gt;"",$H116=0),LEFT(LOWER(TRIM($F116&amp;"")),9)="free game",LOWER(TRIM($F116&amp;""))="free",LOWER(TRIM($F116&amp;""))="free entry"),IF(LOWER($D116&amp;"")="finalized",IF(ISNUMBER($K116),$K116,""),IF($O116&lt;&gt;"",$O116,"")),IF($K116&lt;&gt;"",$K116,IF($O116&lt;&gt;"",$O116,""))))))</x:f>
      </x:c>
      <x:c r="Q116" s="114" t="str">
        <x:f>IF(COUNTA($A116:$M116)=0,"",IF(OR($U116="Subscription",$U116=""),"",IF($U116="Profit",ROUND(IFERROR($P116,0)-IFERROR($H116,0),2),0)))</x:f>
      </x:c>
      <x:c r="R116" s="114" t="str">
        <x:f>IF(COUNTA($A116:$M116)=0,"",IF(OR($U116="Subscription",$U116=""),"",IF($U116="Draw",$H116,0)))</x:f>
      </x:c>
      <x:c r="S116" s="114" t="str">
        <x:f>IF(COUNTA($A116:$M116)=0,"",IF(OR($U116="Subscription",$U116=""),"",IF($U116="Disqualified",$H116,0)))</x:f>
      </x:c>
      <x:c r="T116" s="955" t="str">
        <x:f>IF(COUNTA($A116:$M116)=0,"",IF(OR($U116="Subscription",$U116=""),"",IF(OR($U116="Free Game",$U116="Disqualified — Free Game",$H116=0),"N/A",IF($U116="Profit",$Q116/$H116,IF($U116="Disqualified",-$S116/$H116,0)))))</x:f>
      </x:c>
      <x:c r="U116" s="920" t="str">
        <x:f>IF(COUNTA($A116:$M116)=0,"",IF(OR(LEFT(LOWER(TRIM($F116&amp;"")),12)="subscription",LOWER(TRIM($F116&amp;""))="membership"),"Subscription",IF(OR(AND($H116&lt;&gt;"",$H116=0),LEFT(LOWER(TRIM($F116&amp;"")),9)="free game",LOWER(TRIM($F116&amp;""))="free",LOWER(TRIM($F116&amp;""))="free entry"),IF(LOWER($L116&amp;"")="yes","Disqualified — Free Game","Free Game"),IF(LOWER($L116&amp;"")="yes","Disqualified",IF($P116="","",IF(ROUND(IFERROR(VALUE($P116),0)-IFERROR(VALUE($H116),0),2)&gt;0,"Profit","Draw"))))))</x:f>
      </x:c>
      <x:c r="V116" s="956" t="str">
        <x:f>IF(COUNTA($A116:$M116)=0,"",IF(OR($B116="",$C116="",$U116="Subscription"),"",IFERROR(ROUNDUP(($C116-$B116)/7,0),"")))</x:f>
      </x:c>
      <x:c r="W116" s="114" t="str">
        <x:f>IF(COUNTA($A116:$M116)=0,"",IF(OR($U116="Subscription",$U116=""),"",IF(OR($U116="Free Game",$U116="Disqualified — Free Game"),0,ROUND(IFERROR($Q116,0)-IFERROR($S116,0),2))))</x:f>
      </x:c>
      <x:c r="X116" s="956" t="str">
        <x:f>IF(COUNTA($A116:$M116)=0,"",IF(OR($U116="Subscription",NOT(ISNUMBER($J116)),NOT(ISNUMBER($I116)),$J116=0,$I116=0,$I116&gt;$J116),"",$J116-$I116))</x:f>
      </x:c>
      <x:c r="Y116" s="955" t="str">
        <x:f>IF(COUNTA($A116:$M116)=0,"",IF(OR($U116="Subscription",NOT(ISNUMBER($J116)),$J116=0,$X116=""),"",$X116/$J116))</x:f>
      </x:c>
      <x:c r="Z116" s="957" t="str">
        <x:f>IF(COUNTA($A116:$M116)=0,"",Instructions!$B$29+SUM($W$5:W116))</x:f>
      </x:c>
    </x:row>
    <x:row r="117" ht="36" customHeight="1">
      <x:c r="A117" s="439"/>
      <x:c r="B117" s="453"/>
      <x:c r="C117" s="453"/>
      <x:c r="D117" s="454"/>
      <x:c r="E117" s="454"/>
      <x:c r="F117" s="454"/>
      <x:c r="G117" s="986"/>
      <x:c r="H117" s="455"/>
      <x:c r="I117" s="456"/>
      <x:c r="J117" s="456"/>
      <x:c r="K117" s="986"/>
      <x:c r="L117" s="454"/>
      <x:c r="M117" s="439"/>
      <x:c r="N117" s="987" t="str">
        <x:f>IF(COUNTA($A117:$M117)=0,"",IF(OR(LEFT(LOWER(TRIM($F117&amp;"")),12)="subscription",LOWER(TRIM($F117&amp;""))="membership"),"",IF($G117="","",IF(ISNUMBER(SEARCH("non",LOWER($E117&amp;""))),$G117*0.85,$G117))))</x:f>
      </x:c>
      <x:c r="O117" s="987" t="str">
        <x:f>IF(COUNTA($A117:$M117)=0,"",IF(OR(LEFT(LOWER(TRIM($F117&amp;"")),12)="subscription",LOWER(TRIM($F117&amp;""))="membership"),"",IF(OR($N117="",$I117="",$I117=0),"",IFERROR($N117/$I117,""))))</x:f>
      </x:c>
      <x:c r="P117" s="987" t="str">
        <x:f>IF(COUNTA($A117:$M117)=0,"",IF(OR(LEFT(LOWER(TRIM($F117&amp;"")),12)="subscription",LOWER(TRIM($F117&amp;""))="membership"),"",IF(LOWER($L117&amp;"")="yes",0,IF(OR(AND($H117&lt;&gt;"",$H117=0),LEFT(LOWER(TRIM($F117&amp;"")),9)="free game",LOWER(TRIM($F117&amp;""))="free",LOWER(TRIM($F117&amp;""))="free entry"),IF(LOWER($D117&amp;"")="finalized",IF(ISNUMBER($K117),$K117,""),IF($O117&lt;&gt;"",$O117,"")),IF($K117&lt;&gt;"",$K117,IF($O117&lt;&gt;"",$O117,""))))))</x:f>
      </x:c>
      <x:c r="Q117" s="114" t="str">
        <x:f>IF(COUNTA($A117:$M117)=0,"",IF(OR($U117="Subscription",$U117=""),"",IF($U117="Profit",ROUND(IFERROR($P117,0)-IFERROR($H117,0),2),0)))</x:f>
      </x:c>
      <x:c r="R117" s="114" t="str">
        <x:f>IF(COUNTA($A117:$M117)=0,"",IF(OR($U117="Subscription",$U117=""),"",IF($U117="Draw",$H117,0)))</x:f>
      </x:c>
      <x:c r="S117" s="114" t="str">
        <x:f>IF(COUNTA($A117:$M117)=0,"",IF(OR($U117="Subscription",$U117=""),"",IF($U117="Disqualified",$H117,0)))</x:f>
      </x:c>
      <x:c r="T117" s="955" t="str">
        <x:f>IF(COUNTA($A117:$M117)=0,"",IF(OR($U117="Subscription",$U117=""),"",IF(OR($U117="Free Game",$U117="Disqualified — Free Game",$H117=0),"N/A",IF($U117="Profit",$Q117/$H117,IF($U117="Disqualified",-$S117/$H117,0)))))</x:f>
      </x:c>
      <x:c r="U117" s="920" t="str">
        <x:f>IF(COUNTA($A117:$M117)=0,"",IF(OR(LEFT(LOWER(TRIM($F117&amp;"")),12)="subscription",LOWER(TRIM($F117&amp;""))="membership"),"Subscription",IF(OR(AND($H117&lt;&gt;"",$H117=0),LEFT(LOWER(TRIM($F117&amp;"")),9)="free game",LOWER(TRIM($F117&amp;""))="free",LOWER(TRIM($F117&amp;""))="free entry"),IF(LOWER($L117&amp;"")="yes","Disqualified — Free Game","Free Game"),IF(LOWER($L117&amp;"")="yes","Disqualified",IF($P117="","",IF(ROUND(IFERROR(VALUE($P117),0)-IFERROR(VALUE($H117),0),2)&gt;0,"Profit","Draw"))))))</x:f>
      </x:c>
      <x:c r="V117" s="956" t="str">
        <x:f>IF(COUNTA($A117:$M117)=0,"",IF(OR($B117="",$C117="",$U117="Subscription"),"",IFERROR(ROUNDUP(($C117-$B117)/7,0),"")))</x:f>
      </x:c>
      <x:c r="W117" s="114" t="str">
        <x:f>IF(COUNTA($A117:$M117)=0,"",IF(OR($U117="Subscription",$U117=""),"",IF(OR($U117="Free Game",$U117="Disqualified — Free Game"),0,ROUND(IFERROR($Q117,0)-IFERROR($S117,0),2))))</x:f>
      </x:c>
      <x:c r="X117" s="956" t="str">
        <x:f>IF(COUNTA($A117:$M117)=0,"",IF(OR($U117="Subscription",NOT(ISNUMBER($J117)),NOT(ISNUMBER($I117)),$J117=0,$I117=0,$I117&gt;$J117),"",$J117-$I117))</x:f>
      </x:c>
      <x:c r="Y117" s="955" t="str">
        <x:f>IF(COUNTA($A117:$M117)=0,"",IF(OR($U117="Subscription",NOT(ISNUMBER($J117)),$J117=0,$X117=""),"",$X117/$J117))</x:f>
      </x:c>
      <x:c r="Z117" s="957" t="str">
        <x:f>IF(COUNTA($A117:$M117)=0,"",Instructions!$B$29+SUM($W$5:W117))</x:f>
      </x:c>
    </x:row>
    <x:row r="118" ht="36" customHeight="1">
      <x:c r="A118" s="439"/>
      <x:c r="B118" s="453"/>
      <x:c r="C118" s="453"/>
      <x:c r="D118" s="454"/>
      <x:c r="E118" s="454"/>
      <x:c r="F118" s="454"/>
      <x:c r="G118" s="986"/>
      <x:c r="H118" s="455"/>
      <x:c r="I118" s="456"/>
      <x:c r="J118" s="456"/>
      <x:c r="K118" s="986"/>
      <x:c r="L118" s="454"/>
      <x:c r="M118" s="439"/>
      <x:c r="N118" s="987" t="str">
        <x:f>IF(COUNTA($A118:$M118)=0,"",IF(OR(LEFT(LOWER(TRIM($F118&amp;"")),12)="subscription",LOWER(TRIM($F118&amp;""))="membership"),"",IF($G118="","",IF(ISNUMBER(SEARCH("non",LOWER($E118&amp;""))),$G118*0.85,$G118))))</x:f>
      </x:c>
      <x:c r="O118" s="987" t="str">
        <x:f>IF(COUNTA($A118:$M118)=0,"",IF(OR(LEFT(LOWER(TRIM($F118&amp;"")),12)="subscription",LOWER(TRIM($F118&amp;""))="membership"),"",IF(OR($N118="",$I118="",$I118=0),"",IFERROR($N118/$I118,""))))</x:f>
      </x:c>
      <x:c r="P118" s="987" t="str">
        <x:f>IF(COUNTA($A118:$M118)=0,"",IF(OR(LEFT(LOWER(TRIM($F118&amp;"")),12)="subscription",LOWER(TRIM($F118&amp;""))="membership"),"",IF(LOWER($L118&amp;"")="yes",0,IF(OR(AND($H118&lt;&gt;"",$H118=0),LEFT(LOWER(TRIM($F118&amp;"")),9)="free game",LOWER(TRIM($F118&amp;""))="free",LOWER(TRIM($F118&amp;""))="free entry"),IF(LOWER($D118&amp;"")="finalized",IF(ISNUMBER($K118),$K118,""),IF($O118&lt;&gt;"",$O118,"")),IF($K118&lt;&gt;"",$K118,IF($O118&lt;&gt;"",$O118,""))))))</x:f>
      </x:c>
      <x:c r="Q118" s="114" t="str">
        <x:f>IF(COUNTA($A118:$M118)=0,"",IF(OR($U118="Subscription",$U118=""),"",IF($U118="Profit",ROUND(IFERROR($P118,0)-IFERROR($H118,0),2),0)))</x:f>
      </x:c>
      <x:c r="R118" s="114" t="str">
        <x:f>IF(COUNTA($A118:$M118)=0,"",IF(OR($U118="Subscription",$U118=""),"",IF($U118="Draw",$H118,0)))</x:f>
      </x:c>
      <x:c r="S118" s="114" t="str">
        <x:f>IF(COUNTA($A118:$M118)=0,"",IF(OR($U118="Subscription",$U118=""),"",IF($U118="Disqualified",$H118,0)))</x:f>
      </x:c>
      <x:c r="T118" s="955" t="str">
        <x:f>IF(COUNTA($A118:$M118)=0,"",IF(OR($U118="Subscription",$U118=""),"",IF(OR($U118="Free Game",$U118="Disqualified — Free Game",$H118=0),"N/A",IF($U118="Profit",$Q118/$H118,IF($U118="Disqualified",-$S118/$H118,0)))))</x:f>
      </x:c>
      <x:c r="U118" s="920" t="str">
        <x:f>IF(COUNTA($A118:$M118)=0,"",IF(OR(LEFT(LOWER(TRIM($F118&amp;"")),12)="subscription",LOWER(TRIM($F118&amp;""))="membership"),"Subscription",IF(OR(AND($H118&lt;&gt;"",$H118=0),LEFT(LOWER(TRIM($F118&amp;"")),9)="free game",LOWER(TRIM($F118&amp;""))="free",LOWER(TRIM($F118&amp;""))="free entry"),IF(LOWER($L118&amp;"")="yes","Disqualified — Free Game","Free Game"),IF(LOWER($L118&amp;"")="yes","Disqualified",IF($P118="","",IF(ROUND(IFERROR(VALUE($P118),0)-IFERROR(VALUE($H118),0),2)&gt;0,"Profit","Draw"))))))</x:f>
      </x:c>
      <x:c r="V118" s="956" t="str">
        <x:f>IF(COUNTA($A118:$M118)=0,"",IF(OR($B118="",$C118="",$U118="Subscription"),"",IFERROR(ROUNDUP(($C118-$B118)/7,0),"")))</x:f>
      </x:c>
      <x:c r="W118" s="114" t="str">
        <x:f>IF(COUNTA($A118:$M118)=0,"",IF(OR($U118="Subscription",$U118=""),"",IF(OR($U118="Free Game",$U118="Disqualified — Free Game"),0,ROUND(IFERROR($Q118,0)-IFERROR($S118,0),2))))</x:f>
      </x:c>
      <x:c r="X118" s="956" t="str">
        <x:f>IF(COUNTA($A118:$M118)=0,"",IF(OR($U118="Subscription",NOT(ISNUMBER($J118)),NOT(ISNUMBER($I118)),$J118=0,$I118=0,$I118&gt;$J118),"",$J118-$I118))</x:f>
      </x:c>
      <x:c r="Y118" s="955" t="str">
        <x:f>IF(COUNTA($A118:$M118)=0,"",IF(OR($U118="Subscription",NOT(ISNUMBER($J118)),$J118=0,$X118=""),"",$X118/$J118))</x:f>
      </x:c>
      <x:c r="Z118" s="957" t="str">
        <x:f>IF(COUNTA($A118:$M118)=0,"",Instructions!$B$29+SUM($W$5:W118))</x:f>
      </x:c>
    </x:row>
    <x:row r="119" ht="36" customHeight="1">
      <x:c r="A119" s="439"/>
      <x:c r="B119" s="453"/>
      <x:c r="C119" s="453"/>
      <x:c r="D119" s="454"/>
      <x:c r="E119" s="454"/>
      <x:c r="F119" s="454"/>
      <x:c r="G119" s="986"/>
      <x:c r="H119" s="455"/>
      <x:c r="I119" s="456"/>
      <x:c r="J119" s="456"/>
      <x:c r="K119" s="986"/>
      <x:c r="L119" s="454"/>
      <x:c r="M119" s="439"/>
      <x:c r="N119" s="987" t="str">
        <x:f>IF(COUNTA($A119:$M119)=0,"",IF(OR(LEFT(LOWER(TRIM($F119&amp;"")),12)="subscription",LOWER(TRIM($F119&amp;""))="membership"),"",IF($G119="","",IF(ISNUMBER(SEARCH("non",LOWER($E119&amp;""))),$G119*0.85,$G119))))</x:f>
      </x:c>
      <x:c r="O119" s="987" t="str">
        <x:f>IF(COUNTA($A119:$M119)=0,"",IF(OR(LEFT(LOWER(TRIM($F119&amp;"")),12)="subscription",LOWER(TRIM($F119&amp;""))="membership"),"",IF(OR($N119="",$I119="",$I119=0),"",IFERROR($N119/$I119,""))))</x:f>
      </x:c>
      <x:c r="P119" s="987" t="str">
        <x:f>IF(COUNTA($A119:$M119)=0,"",IF(OR(LEFT(LOWER(TRIM($F119&amp;"")),12)="subscription",LOWER(TRIM($F119&amp;""))="membership"),"",IF(LOWER($L119&amp;"")="yes",0,IF(OR(AND($H119&lt;&gt;"",$H119=0),LEFT(LOWER(TRIM($F119&amp;"")),9)="free game",LOWER(TRIM($F119&amp;""))="free",LOWER(TRIM($F119&amp;""))="free entry"),IF(LOWER($D119&amp;"")="finalized",IF(ISNUMBER($K119),$K119,""),IF($O119&lt;&gt;"",$O119,"")),IF($K119&lt;&gt;"",$K119,IF($O119&lt;&gt;"",$O119,""))))))</x:f>
      </x:c>
      <x:c r="Q119" s="114" t="str">
        <x:f>IF(COUNTA($A119:$M119)=0,"",IF(OR($U119="Subscription",$U119=""),"",IF($U119="Profit",ROUND(IFERROR($P119,0)-IFERROR($H119,0),2),0)))</x:f>
      </x:c>
      <x:c r="R119" s="114" t="str">
        <x:f>IF(COUNTA($A119:$M119)=0,"",IF(OR($U119="Subscription",$U119=""),"",IF($U119="Draw",$H119,0)))</x:f>
      </x:c>
      <x:c r="S119" s="114" t="str">
        <x:f>IF(COUNTA($A119:$M119)=0,"",IF(OR($U119="Subscription",$U119=""),"",IF($U119="Disqualified",$H119,0)))</x:f>
      </x:c>
      <x:c r="T119" s="955" t="str">
        <x:f>IF(COUNTA($A119:$M119)=0,"",IF(OR($U119="Subscription",$U119=""),"",IF(OR($U119="Free Game",$U119="Disqualified — Free Game",$H119=0),"N/A",IF($U119="Profit",$Q119/$H119,IF($U119="Disqualified",-$S119/$H119,0)))))</x:f>
      </x:c>
      <x:c r="U119" s="920" t="str">
        <x:f>IF(COUNTA($A119:$M119)=0,"",IF(OR(LEFT(LOWER(TRIM($F119&amp;"")),12)="subscription",LOWER(TRIM($F119&amp;""))="membership"),"Subscription",IF(OR(AND($H119&lt;&gt;"",$H119=0),LEFT(LOWER(TRIM($F119&amp;"")),9)="free game",LOWER(TRIM($F119&amp;""))="free",LOWER(TRIM($F119&amp;""))="free entry"),IF(LOWER($L119&amp;"")="yes","Disqualified — Free Game","Free Game"),IF(LOWER($L119&amp;"")="yes","Disqualified",IF($P119="","",IF(ROUND(IFERROR(VALUE($P119),0)-IFERROR(VALUE($H119),0),2)&gt;0,"Profit","Draw"))))))</x:f>
      </x:c>
      <x:c r="V119" s="956" t="str">
        <x:f>IF(COUNTA($A119:$M119)=0,"",IF(OR($B119="",$C119="",$U119="Subscription"),"",IFERROR(ROUNDUP(($C119-$B119)/7,0),"")))</x:f>
      </x:c>
      <x:c r="W119" s="114" t="str">
        <x:f>IF(COUNTA($A119:$M119)=0,"",IF(OR($U119="Subscription",$U119=""),"",IF(OR($U119="Free Game",$U119="Disqualified — Free Game"),0,ROUND(IFERROR($Q119,0)-IFERROR($S119,0),2))))</x:f>
      </x:c>
      <x:c r="X119" s="956" t="str">
        <x:f>IF(COUNTA($A119:$M119)=0,"",IF(OR($U119="Subscription",NOT(ISNUMBER($J119)),NOT(ISNUMBER($I119)),$J119=0,$I119=0,$I119&gt;$J119),"",$J119-$I119))</x:f>
      </x:c>
      <x:c r="Y119" s="955" t="str">
        <x:f>IF(COUNTA($A119:$M119)=0,"",IF(OR($U119="Subscription",NOT(ISNUMBER($J119)),$J119=0,$X119=""),"",$X119/$J119))</x:f>
      </x:c>
      <x:c r="Z119" s="957" t="str">
        <x:f>IF(COUNTA($A119:$M119)=0,"",Instructions!$B$29+SUM($W$5:W119))</x:f>
      </x:c>
    </x:row>
    <x:row r="120" ht="36" customHeight="1">
      <x:c r="A120" s="439"/>
      <x:c r="B120" s="453"/>
      <x:c r="C120" s="453"/>
      <x:c r="D120" s="454"/>
      <x:c r="E120" s="454"/>
      <x:c r="F120" s="454"/>
      <x:c r="G120" s="986"/>
      <x:c r="H120" s="455"/>
      <x:c r="I120" s="456"/>
      <x:c r="J120" s="456"/>
      <x:c r="K120" s="986"/>
      <x:c r="L120" s="454"/>
      <x:c r="M120" s="439"/>
      <x:c r="N120" s="987" t="str">
        <x:f>IF(COUNTA($A120:$M120)=0,"",IF(OR(LEFT(LOWER(TRIM($F120&amp;"")),12)="subscription",LOWER(TRIM($F120&amp;""))="membership"),"",IF($G120="","",IF(ISNUMBER(SEARCH("non",LOWER($E120&amp;""))),$G120*0.85,$G120))))</x:f>
      </x:c>
      <x:c r="O120" s="987" t="str">
        <x:f>IF(COUNTA($A120:$M120)=0,"",IF(OR(LEFT(LOWER(TRIM($F120&amp;"")),12)="subscription",LOWER(TRIM($F120&amp;""))="membership"),"",IF(OR($N120="",$I120="",$I120=0),"",IFERROR($N120/$I120,""))))</x:f>
      </x:c>
      <x:c r="P120" s="987" t="str">
        <x:f>IF(COUNTA($A120:$M120)=0,"",IF(OR(LEFT(LOWER(TRIM($F120&amp;"")),12)="subscription",LOWER(TRIM($F120&amp;""))="membership"),"",IF(LOWER($L120&amp;"")="yes",0,IF(OR(AND($H120&lt;&gt;"",$H120=0),LEFT(LOWER(TRIM($F120&amp;"")),9)="free game",LOWER(TRIM($F120&amp;""))="free",LOWER(TRIM($F120&amp;""))="free entry"),IF(LOWER($D120&amp;"")="finalized",IF(ISNUMBER($K120),$K120,""),IF($O120&lt;&gt;"",$O120,"")),IF($K120&lt;&gt;"",$K120,IF($O120&lt;&gt;"",$O120,""))))))</x:f>
      </x:c>
      <x:c r="Q120" s="114" t="str">
        <x:f>IF(COUNTA($A120:$M120)=0,"",IF(OR($U120="Subscription",$U120=""),"",IF($U120="Profit",ROUND(IFERROR($P120,0)-IFERROR($H120,0),2),0)))</x:f>
      </x:c>
      <x:c r="R120" s="114" t="str">
        <x:f>IF(COUNTA($A120:$M120)=0,"",IF(OR($U120="Subscription",$U120=""),"",IF($U120="Draw",$H120,0)))</x:f>
      </x:c>
      <x:c r="S120" s="114" t="str">
        <x:f>IF(COUNTA($A120:$M120)=0,"",IF(OR($U120="Subscription",$U120=""),"",IF($U120="Disqualified",$H120,0)))</x:f>
      </x:c>
      <x:c r="T120" s="955" t="str">
        <x:f>IF(COUNTA($A120:$M120)=0,"",IF(OR($U120="Subscription",$U120=""),"",IF(OR($U120="Free Game",$U120="Disqualified — Free Game",$H120=0),"N/A",IF($U120="Profit",$Q120/$H120,IF($U120="Disqualified",-$S120/$H120,0)))))</x:f>
      </x:c>
      <x:c r="U120" s="920" t="str">
        <x:f>IF(COUNTA($A120:$M120)=0,"",IF(OR(LEFT(LOWER(TRIM($F120&amp;"")),12)="subscription",LOWER(TRIM($F120&amp;""))="membership"),"Subscription",IF(OR(AND($H120&lt;&gt;"",$H120=0),LEFT(LOWER(TRIM($F120&amp;"")),9)="free game",LOWER(TRIM($F120&amp;""))="free",LOWER(TRIM($F120&amp;""))="free entry"),IF(LOWER($L120&amp;"")="yes","Disqualified — Free Game","Free Game"),IF(LOWER($L120&amp;"")="yes","Disqualified",IF($P120="","",IF(ROUND(IFERROR(VALUE($P120),0)-IFERROR(VALUE($H120),0),2)&gt;0,"Profit","Draw"))))))</x:f>
      </x:c>
      <x:c r="V120" s="956" t="str">
        <x:f>IF(COUNTA($A120:$M120)=0,"",IF(OR($B120="",$C120="",$U120="Subscription"),"",IFERROR(ROUNDUP(($C120-$B120)/7,0),"")))</x:f>
      </x:c>
      <x:c r="W120" s="114" t="str">
        <x:f>IF(COUNTA($A120:$M120)=0,"",IF(OR($U120="Subscription",$U120=""),"",IF(OR($U120="Free Game",$U120="Disqualified — Free Game"),0,ROUND(IFERROR($Q120,0)-IFERROR($S120,0),2))))</x:f>
      </x:c>
      <x:c r="X120" s="956" t="str">
        <x:f>IF(COUNTA($A120:$M120)=0,"",IF(OR($U120="Subscription",NOT(ISNUMBER($J120)),NOT(ISNUMBER($I120)),$J120=0,$I120=0,$I120&gt;$J120),"",$J120-$I120))</x:f>
      </x:c>
      <x:c r="Y120" s="955" t="str">
        <x:f>IF(COUNTA($A120:$M120)=0,"",IF(OR($U120="Subscription",NOT(ISNUMBER($J120)),$J120=0,$X120=""),"",$X120/$J120))</x:f>
      </x:c>
      <x:c r="Z120" s="957" t="str">
        <x:f>IF(COUNTA($A120:$M120)=0,"",Instructions!$B$29+SUM($W$5:W120))</x:f>
      </x:c>
    </x:row>
    <x:row r="121" ht="36" customHeight="1">
      <x:c r="A121" s="439"/>
      <x:c r="B121" s="453"/>
      <x:c r="C121" s="453"/>
      <x:c r="D121" s="454"/>
      <x:c r="E121" s="454"/>
      <x:c r="F121" s="454"/>
      <x:c r="G121" s="986"/>
      <x:c r="H121" s="455"/>
      <x:c r="I121" s="456"/>
      <x:c r="J121" s="456"/>
      <x:c r="K121" s="986"/>
      <x:c r="L121" s="454"/>
      <x:c r="M121" s="439"/>
      <x:c r="N121" s="987" t="str">
        <x:f>IF(COUNTA($A121:$M121)=0,"",IF(OR(LEFT(LOWER(TRIM($F121&amp;"")),12)="subscription",LOWER(TRIM($F121&amp;""))="membership"),"",IF($G121="","",IF(ISNUMBER(SEARCH("non",LOWER($E121&amp;""))),$G121*0.85,$G121))))</x:f>
      </x:c>
      <x:c r="O121" s="987" t="str">
        <x:f>IF(COUNTA($A121:$M121)=0,"",IF(OR(LEFT(LOWER(TRIM($F121&amp;"")),12)="subscription",LOWER(TRIM($F121&amp;""))="membership"),"",IF(OR($N121="",$I121="",$I121=0),"",IFERROR($N121/$I121,""))))</x:f>
      </x:c>
      <x:c r="P121" s="987" t="str">
        <x:f>IF(COUNTA($A121:$M121)=0,"",IF(OR(LEFT(LOWER(TRIM($F121&amp;"")),12)="subscription",LOWER(TRIM($F121&amp;""))="membership"),"",IF(LOWER($L121&amp;"")="yes",0,IF(OR(AND($H121&lt;&gt;"",$H121=0),LEFT(LOWER(TRIM($F121&amp;"")),9)="free game",LOWER(TRIM($F121&amp;""))="free",LOWER(TRIM($F121&amp;""))="free entry"),IF(LOWER($D121&amp;"")="finalized",IF(ISNUMBER($K121),$K121,""),IF($O121&lt;&gt;"",$O121,"")),IF($K121&lt;&gt;"",$K121,IF($O121&lt;&gt;"",$O121,""))))))</x:f>
      </x:c>
      <x:c r="Q121" s="114" t="str">
        <x:f>IF(COUNTA($A121:$M121)=0,"",IF(OR($U121="Subscription",$U121=""),"",IF($U121="Profit",ROUND(IFERROR($P121,0)-IFERROR($H121,0),2),0)))</x:f>
      </x:c>
      <x:c r="R121" s="114" t="str">
        <x:f>IF(COUNTA($A121:$M121)=0,"",IF(OR($U121="Subscription",$U121=""),"",IF($U121="Draw",$H121,0)))</x:f>
      </x:c>
      <x:c r="S121" s="114" t="str">
        <x:f>IF(COUNTA($A121:$M121)=0,"",IF(OR($U121="Subscription",$U121=""),"",IF($U121="Disqualified",$H121,0)))</x:f>
      </x:c>
      <x:c r="T121" s="955" t="str">
        <x:f>IF(COUNTA($A121:$M121)=0,"",IF(OR($U121="Subscription",$U121=""),"",IF(OR($U121="Free Game",$U121="Disqualified — Free Game",$H121=0),"N/A",IF($U121="Profit",$Q121/$H121,IF($U121="Disqualified",-$S121/$H121,0)))))</x:f>
      </x:c>
      <x:c r="U121" s="920" t="str">
        <x:f>IF(COUNTA($A121:$M121)=0,"",IF(OR(LEFT(LOWER(TRIM($F121&amp;"")),12)="subscription",LOWER(TRIM($F121&amp;""))="membership"),"Subscription",IF(OR(AND($H121&lt;&gt;"",$H121=0),LEFT(LOWER(TRIM($F121&amp;"")),9)="free game",LOWER(TRIM($F121&amp;""))="free",LOWER(TRIM($F121&amp;""))="free entry"),IF(LOWER($L121&amp;"")="yes","Disqualified — Free Game","Free Game"),IF(LOWER($L121&amp;"")="yes","Disqualified",IF($P121="","",IF(ROUND(IFERROR(VALUE($P121),0)-IFERROR(VALUE($H121),0),2)&gt;0,"Profit","Draw"))))))</x:f>
      </x:c>
      <x:c r="V121" s="956" t="str">
        <x:f>IF(COUNTA($A121:$M121)=0,"",IF(OR($B121="",$C121="",$U121="Subscription"),"",IFERROR(ROUNDUP(($C121-$B121)/7,0),"")))</x:f>
      </x:c>
      <x:c r="W121" s="114" t="str">
        <x:f>IF(COUNTA($A121:$M121)=0,"",IF(OR($U121="Subscription",$U121=""),"",IF(OR($U121="Free Game",$U121="Disqualified — Free Game"),0,ROUND(IFERROR($Q121,0)-IFERROR($S121,0),2))))</x:f>
      </x:c>
      <x:c r="X121" s="956" t="str">
        <x:f>IF(COUNTA($A121:$M121)=0,"",IF(OR($U121="Subscription",NOT(ISNUMBER($J121)),NOT(ISNUMBER($I121)),$J121=0,$I121=0,$I121&gt;$J121),"",$J121-$I121))</x:f>
      </x:c>
      <x:c r="Y121" s="955" t="str">
        <x:f>IF(COUNTA($A121:$M121)=0,"",IF(OR($U121="Subscription",NOT(ISNUMBER($J121)),$J121=0,$X121=""),"",$X121/$J121))</x:f>
      </x:c>
      <x:c r="Z121" s="957" t="str">
        <x:f>IF(COUNTA($A121:$M121)=0,"",Instructions!$B$29+SUM($W$5:W121))</x:f>
      </x:c>
    </x:row>
    <x:row r="122" ht="36" customHeight="1">
      <x:c r="A122" s="439"/>
      <x:c r="B122" s="453"/>
      <x:c r="C122" s="453"/>
      <x:c r="D122" s="454"/>
      <x:c r="E122" s="454"/>
      <x:c r="F122" s="454"/>
      <x:c r="G122" s="986"/>
      <x:c r="H122" s="455"/>
      <x:c r="I122" s="456"/>
      <x:c r="J122" s="456"/>
      <x:c r="K122" s="986"/>
      <x:c r="L122" s="454"/>
      <x:c r="M122" s="439"/>
      <x:c r="N122" s="987" t="str">
        <x:f>IF(COUNTA($A122:$M122)=0,"",IF(OR(LEFT(LOWER(TRIM($F122&amp;"")),12)="subscription",LOWER(TRIM($F122&amp;""))="membership"),"",IF($G122="","",IF(ISNUMBER(SEARCH("non",LOWER($E122&amp;""))),$G122*0.85,$G122))))</x:f>
      </x:c>
      <x:c r="O122" s="987" t="str">
        <x:f>IF(COUNTA($A122:$M122)=0,"",IF(OR(LEFT(LOWER(TRIM($F122&amp;"")),12)="subscription",LOWER(TRIM($F122&amp;""))="membership"),"",IF(OR($N122="",$I122="",$I122=0),"",IFERROR($N122/$I122,""))))</x:f>
      </x:c>
      <x:c r="P122" s="987" t="str">
        <x:f>IF(COUNTA($A122:$M122)=0,"",IF(OR(LEFT(LOWER(TRIM($F122&amp;"")),12)="subscription",LOWER(TRIM($F122&amp;""))="membership"),"",IF(LOWER($L122&amp;"")="yes",0,IF(OR(AND($H122&lt;&gt;"",$H122=0),LEFT(LOWER(TRIM($F122&amp;"")),9)="free game",LOWER(TRIM($F122&amp;""))="free",LOWER(TRIM($F122&amp;""))="free entry"),IF(LOWER($D122&amp;"")="finalized",IF(ISNUMBER($K122),$K122,""),IF($O122&lt;&gt;"",$O122,"")),IF($K122&lt;&gt;"",$K122,IF($O122&lt;&gt;"",$O122,""))))))</x:f>
      </x:c>
      <x:c r="Q122" s="114" t="str">
        <x:f>IF(COUNTA($A122:$M122)=0,"",IF(OR($U122="Subscription",$U122=""),"",IF($U122="Profit",ROUND(IFERROR($P122,0)-IFERROR($H122,0),2),0)))</x:f>
      </x:c>
      <x:c r="R122" s="114" t="str">
        <x:f>IF(COUNTA($A122:$M122)=0,"",IF(OR($U122="Subscription",$U122=""),"",IF($U122="Draw",$H122,0)))</x:f>
      </x:c>
      <x:c r="S122" s="114" t="str">
        <x:f>IF(COUNTA($A122:$M122)=0,"",IF(OR($U122="Subscription",$U122=""),"",IF($U122="Disqualified",$H122,0)))</x:f>
      </x:c>
      <x:c r="T122" s="955" t="str">
        <x:f>IF(COUNTA($A122:$M122)=0,"",IF(OR($U122="Subscription",$U122=""),"",IF(OR($U122="Free Game",$U122="Disqualified — Free Game",$H122=0),"N/A",IF($U122="Profit",$Q122/$H122,IF($U122="Disqualified",-$S122/$H122,0)))))</x:f>
      </x:c>
      <x:c r="U122" s="920" t="str">
        <x:f>IF(COUNTA($A122:$M122)=0,"",IF(OR(LEFT(LOWER(TRIM($F122&amp;"")),12)="subscription",LOWER(TRIM($F122&amp;""))="membership"),"Subscription",IF(OR(AND($H122&lt;&gt;"",$H122=0),LEFT(LOWER(TRIM($F122&amp;"")),9)="free game",LOWER(TRIM($F122&amp;""))="free",LOWER(TRIM($F122&amp;""))="free entry"),IF(LOWER($L122&amp;"")="yes","Disqualified — Free Game","Free Game"),IF(LOWER($L122&amp;"")="yes","Disqualified",IF($P122="","",IF(ROUND(IFERROR(VALUE($P122),0)-IFERROR(VALUE($H122),0),2)&gt;0,"Profit","Draw"))))))</x:f>
      </x:c>
      <x:c r="V122" s="956" t="str">
        <x:f>IF(COUNTA($A122:$M122)=0,"",IF(OR($B122="",$C122="",$U122="Subscription"),"",IFERROR(ROUNDUP(($C122-$B122)/7,0),"")))</x:f>
      </x:c>
      <x:c r="W122" s="114" t="str">
        <x:f>IF(COUNTA($A122:$M122)=0,"",IF(OR($U122="Subscription",$U122=""),"",IF(OR($U122="Free Game",$U122="Disqualified — Free Game"),0,ROUND(IFERROR($Q122,0)-IFERROR($S122,0),2))))</x:f>
      </x:c>
      <x:c r="X122" s="956" t="str">
        <x:f>IF(COUNTA($A122:$M122)=0,"",IF(OR($U122="Subscription",NOT(ISNUMBER($J122)),NOT(ISNUMBER($I122)),$J122=0,$I122=0,$I122&gt;$J122),"",$J122-$I122))</x:f>
      </x:c>
      <x:c r="Y122" s="955" t="str">
        <x:f>IF(COUNTA($A122:$M122)=0,"",IF(OR($U122="Subscription",NOT(ISNUMBER($J122)),$J122=0,$X122=""),"",$X122/$J122))</x:f>
      </x:c>
      <x:c r="Z122" s="957" t="str">
        <x:f>IF(COUNTA($A122:$M122)=0,"",Instructions!$B$29+SUM($W$5:W122))</x:f>
      </x:c>
    </x:row>
    <x:row r="123" ht="36" customHeight="1">
      <x:c r="A123" s="439"/>
      <x:c r="B123" s="453"/>
      <x:c r="C123" s="453"/>
      <x:c r="D123" s="454"/>
      <x:c r="E123" s="454"/>
      <x:c r="F123" s="454"/>
      <x:c r="G123" s="986"/>
      <x:c r="H123" s="455"/>
      <x:c r="I123" s="456"/>
      <x:c r="J123" s="456"/>
      <x:c r="K123" s="986"/>
      <x:c r="L123" s="454"/>
      <x:c r="M123" s="439"/>
      <x:c r="N123" s="987" t="str">
        <x:f>IF(COUNTA($A123:$M123)=0,"",IF(OR(LEFT(LOWER(TRIM($F123&amp;"")),12)="subscription",LOWER(TRIM($F123&amp;""))="membership"),"",IF($G123="","",IF(ISNUMBER(SEARCH("non",LOWER($E123&amp;""))),$G123*0.85,$G123))))</x:f>
      </x:c>
      <x:c r="O123" s="987" t="str">
        <x:f>IF(COUNTA($A123:$M123)=0,"",IF(OR(LEFT(LOWER(TRIM($F123&amp;"")),12)="subscription",LOWER(TRIM($F123&amp;""))="membership"),"",IF(OR($N123="",$I123="",$I123=0),"",IFERROR($N123/$I123,""))))</x:f>
      </x:c>
      <x:c r="P123" s="987" t="str">
        <x:f>IF(COUNTA($A123:$M123)=0,"",IF(OR(LEFT(LOWER(TRIM($F123&amp;"")),12)="subscription",LOWER(TRIM($F123&amp;""))="membership"),"",IF(LOWER($L123&amp;"")="yes",0,IF(OR(AND($H123&lt;&gt;"",$H123=0),LEFT(LOWER(TRIM($F123&amp;"")),9)="free game",LOWER(TRIM($F123&amp;""))="free",LOWER(TRIM($F123&amp;""))="free entry"),IF(LOWER($D123&amp;"")="finalized",IF(ISNUMBER($K123),$K123,""),IF($O123&lt;&gt;"",$O123,"")),IF($K123&lt;&gt;"",$K123,IF($O123&lt;&gt;"",$O123,""))))))</x:f>
      </x:c>
      <x:c r="Q123" s="114" t="str">
        <x:f>IF(COUNTA($A123:$M123)=0,"",IF(OR($U123="Subscription",$U123=""),"",IF($U123="Profit",ROUND(IFERROR($P123,0)-IFERROR($H123,0),2),0)))</x:f>
      </x:c>
      <x:c r="R123" s="114" t="str">
        <x:f>IF(COUNTA($A123:$M123)=0,"",IF(OR($U123="Subscription",$U123=""),"",IF($U123="Draw",$H123,0)))</x:f>
      </x:c>
      <x:c r="S123" s="114" t="str">
        <x:f>IF(COUNTA($A123:$M123)=0,"",IF(OR($U123="Subscription",$U123=""),"",IF($U123="Disqualified",$H123,0)))</x:f>
      </x:c>
      <x:c r="T123" s="955" t="str">
        <x:f>IF(COUNTA($A123:$M123)=0,"",IF(OR($U123="Subscription",$U123=""),"",IF(OR($U123="Free Game",$U123="Disqualified — Free Game",$H123=0),"N/A",IF($U123="Profit",$Q123/$H123,IF($U123="Disqualified",-$S123/$H123,0)))))</x:f>
      </x:c>
      <x:c r="U123" s="920" t="str">
        <x:f>IF(COUNTA($A123:$M123)=0,"",IF(OR(LEFT(LOWER(TRIM($F123&amp;"")),12)="subscription",LOWER(TRIM($F123&amp;""))="membership"),"Subscription",IF(OR(AND($H123&lt;&gt;"",$H123=0),LEFT(LOWER(TRIM($F123&amp;"")),9)="free game",LOWER(TRIM($F123&amp;""))="free",LOWER(TRIM($F123&amp;""))="free entry"),IF(LOWER($L123&amp;"")="yes","Disqualified — Free Game","Free Game"),IF(LOWER($L123&amp;"")="yes","Disqualified",IF($P123="","",IF(ROUND(IFERROR(VALUE($P123),0)-IFERROR(VALUE($H123),0),2)&gt;0,"Profit","Draw"))))))</x:f>
      </x:c>
      <x:c r="V123" s="956" t="str">
        <x:f>IF(COUNTA($A123:$M123)=0,"",IF(OR($B123="",$C123="",$U123="Subscription"),"",IFERROR(ROUNDUP(($C123-$B123)/7,0),"")))</x:f>
      </x:c>
      <x:c r="W123" s="114" t="str">
        <x:f>IF(COUNTA($A123:$M123)=0,"",IF(OR($U123="Subscription",$U123=""),"",IF(OR($U123="Free Game",$U123="Disqualified — Free Game"),0,ROUND(IFERROR($Q123,0)-IFERROR($S123,0),2))))</x:f>
      </x:c>
      <x:c r="X123" s="956" t="str">
        <x:f>IF(COUNTA($A123:$M123)=0,"",IF(OR($U123="Subscription",NOT(ISNUMBER($J123)),NOT(ISNUMBER($I123)),$J123=0,$I123=0,$I123&gt;$J123),"",$J123-$I123))</x:f>
      </x:c>
      <x:c r="Y123" s="955" t="str">
        <x:f>IF(COUNTA($A123:$M123)=0,"",IF(OR($U123="Subscription",NOT(ISNUMBER($J123)),$J123=0,$X123=""),"",$X123/$J123))</x:f>
      </x:c>
      <x:c r="Z123" s="957" t="str">
        <x:f>IF(COUNTA($A123:$M123)=0,"",Instructions!$B$29+SUM($W$5:W123))</x:f>
      </x:c>
    </x:row>
    <x:row r="124" ht="36" customHeight="1">
      <x:c r="A124" s="439"/>
      <x:c r="B124" s="453"/>
      <x:c r="C124" s="453"/>
      <x:c r="D124" s="454"/>
      <x:c r="E124" s="454"/>
      <x:c r="F124" s="454"/>
      <x:c r="G124" s="986"/>
      <x:c r="H124" s="455"/>
      <x:c r="I124" s="456"/>
      <x:c r="J124" s="456"/>
      <x:c r="K124" s="986"/>
      <x:c r="L124" s="454"/>
      <x:c r="M124" s="439"/>
      <x:c r="N124" s="987" t="str">
        <x:f>IF(COUNTA($A124:$M124)=0,"",IF(OR(LEFT(LOWER(TRIM($F124&amp;"")),12)="subscription",LOWER(TRIM($F124&amp;""))="membership"),"",IF($G124="","",IF(ISNUMBER(SEARCH("non",LOWER($E124&amp;""))),$G124*0.85,$G124))))</x:f>
      </x:c>
      <x:c r="O124" s="987" t="str">
        <x:f>IF(COUNTA($A124:$M124)=0,"",IF(OR(LEFT(LOWER(TRIM($F124&amp;"")),12)="subscription",LOWER(TRIM($F124&amp;""))="membership"),"",IF(OR($N124="",$I124="",$I124=0),"",IFERROR($N124/$I124,""))))</x:f>
      </x:c>
      <x:c r="P124" s="987" t="str">
        <x:f>IF(COUNTA($A124:$M124)=0,"",IF(OR(LEFT(LOWER(TRIM($F124&amp;"")),12)="subscription",LOWER(TRIM($F124&amp;""))="membership"),"",IF(LOWER($L124&amp;"")="yes",0,IF(OR(AND($H124&lt;&gt;"",$H124=0),LEFT(LOWER(TRIM($F124&amp;"")),9)="free game",LOWER(TRIM($F124&amp;""))="free",LOWER(TRIM($F124&amp;""))="free entry"),IF(LOWER($D124&amp;"")="finalized",IF(ISNUMBER($K124),$K124,""),IF($O124&lt;&gt;"",$O124,"")),IF($K124&lt;&gt;"",$K124,IF($O124&lt;&gt;"",$O124,""))))))</x:f>
      </x:c>
      <x:c r="Q124" s="114" t="str">
        <x:f>IF(COUNTA($A124:$M124)=0,"",IF(OR($U124="Subscription",$U124=""),"",IF($U124="Profit",ROUND(IFERROR($P124,0)-IFERROR($H124,0),2),0)))</x:f>
      </x:c>
      <x:c r="R124" s="114" t="str">
        <x:f>IF(COUNTA($A124:$M124)=0,"",IF(OR($U124="Subscription",$U124=""),"",IF($U124="Draw",$H124,0)))</x:f>
      </x:c>
      <x:c r="S124" s="114" t="str">
        <x:f>IF(COUNTA($A124:$M124)=0,"",IF(OR($U124="Subscription",$U124=""),"",IF($U124="Disqualified",$H124,0)))</x:f>
      </x:c>
      <x:c r="T124" s="955" t="str">
        <x:f>IF(COUNTA($A124:$M124)=0,"",IF(OR($U124="Subscription",$U124=""),"",IF(OR($U124="Free Game",$U124="Disqualified — Free Game",$H124=0),"N/A",IF($U124="Profit",$Q124/$H124,IF($U124="Disqualified",-$S124/$H124,0)))))</x:f>
      </x:c>
      <x:c r="U124" s="920" t="str">
        <x:f>IF(COUNTA($A124:$M124)=0,"",IF(OR(LEFT(LOWER(TRIM($F124&amp;"")),12)="subscription",LOWER(TRIM($F124&amp;""))="membership"),"Subscription",IF(OR(AND($H124&lt;&gt;"",$H124=0),LEFT(LOWER(TRIM($F124&amp;"")),9)="free game",LOWER(TRIM($F124&amp;""))="free",LOWER(TRIM($F124&amp;""))="free entry"),IF(LOWER($L124&amp;"")="yes","Disqualified — Free Game","Free Game"),IF(LOWER($L124&amp;"")="yes","Disqualified",IF($P124="","",IF(ROUND(IFERROR(VALUE($P124),0)-IFERROR(VALUE($H124),0),2)&gt;0,"Profit","Draw"))))))</x:f>
      </x:c>
      <x:c r="V124" s="956" t="str">
        <x:f>IF(COUNTA($A124:$M124)=0,"",IF(OR($B124="",$C124="",$U124="Subscription"),"",IFERROR(ROUNDUP(($C124-$B124)/7,0),"")))</x:f>
      </x:c>
      <x:c r="W124" s="114" t="str">
        <x:f>IF(COUNTA($A124:$M124)=0,"",IF(OR($U124="Subscription",$U124=""),"",IF(OR($U124="Free Game",$U124="Disqualified — Free Game"),0,ROUND(IFERROR($Q124,0)-IFERROR($S124,0),2))))</x:f>
      </x:c>
      <x:c r="X124" s="956" t="str">
        <x:f>IF(COUNTA($A124:$M124)=0,"",IF(OR($U124="Subscription",NOT(ISNUMBER($J124)),NOT(ISNUMBER($I124)),$J124=0,$I124=0,$I124&gt;$J124),"",$J124-$I124))</x:f>
      </x:c>
      <x:c r="Y124" s="955" t="str">
        <x:f>IF(COUNTA($A124:$M124)=0,"",IF(OR($U124="Subscription",NOT(ISNUMBER($J124)),$J124=0,$X124=""),"",$X124/$J124))</x:f>
      </x:c>
      <x:c r="Z124" s="957" t="str">
        <x:f>IF(COUNTA($A124:$M124)=0,"",Instructions!$B$29+SUM($W$5:W124))</x:f>
      </x:c>
    </x:row>
    <x:row r="125" ht="36" customHeight="1">
      <x:c r="A125" s="439"/>
      <x:c r="B125" s="453"/>
      <x:c r="C125" s="453"/>
      <x:c r="D125" s="454"/>
      <x:c r="E125" s="454"/>
      <x:c r="F125" s="454"/>
      <x:c r="G125" s="986"/>
      <x:c r="H125" s="455"/>
      <x:c r="I125" s="456"/>
      <x:c r="J125" s="456"/>
      <x:c r="K125" s="986"/>
      <x:c r="L125" s="454"/>
      <x:c r="M125" s="439"/>
      <x:c r="N125" s="987" t="str">
        <x:f>IF(COUNTA($A125:$M125)=0,"",IF(OR(LEFT(LOWER(TRIM($F125&amp;"")),12)="subscription",LOWER(TRIM($F125&amp;""))="membership"),"",IF($G125="","",IF(ISNUMBER(SEARCH("non",LOWER($E125&amp;""))),$G125*0.85,$G125))))</x:f>
      </x:c>
      <x:c r="O125" s="987" t="str">
        <x:f>IF(COUNTA($A125:$M125)=0,"",IF(OR(LEFT(LOWER(TRIM($F125&amp;"")),12)="subscription",LOWER(TRIM($F125&amp;""))="membership"),"",IF(OR($N125="",$I125="",$I125=0),"",IFERROR($N125/$I125,""))))</x:f>
      </x:c>
      <x:c r="P125" s="987" t="str">
        <x:f>IF(COUNTA($A125:$M125)=0,"",IF(OR(LEFT(LOWER(TRIM($F125&amp;"")),12)="subscription",LOWER(TRIM($F125&amp;""))="membership"),"",IF(LOWER($L125&amp;"")="yes",0,IF(OR(AND($H125&lt;&gt;"",$H125=0),LEFT(LOWER(TRIM($F125&amp;"")),9)="free game",LOWER(TRIM($F125&amp;""))="free",LOWER(TRIM($F125&amp;""))="free entry"),IF(LOWER($D125&amp;"")="finalized",IF(ISNUMBER($K125),$K125,""),IF($O125&lt;&gt;"",$O125,"")),IF($K125&lt;&gt;"",$K125,IF($O125&lt;&gt;"",$O125,""))))))</x:f>
      </x:c>
      <x:c r="Q125" s="114" t="str">
        <x:f>IF(COUNTA($A125:$M125)=0,"",IF(OR($U125="Subscription",$U125=""),"",IF($U125="Profit",ROUND(IFERROR($P125,0)-IFERROR($H125,0),2),0)))</x:f>
      </x:c>
      <x:c r="R125" s="114" t="str">
        <x:f>IF(COUNTA($A125:$M125)=0,"",IF(OR($U125="Subscription",$U125=""),"",IF($U125="Draw",$H125,0)))</x:f>
      </x:c>
      <x:c r="S125" s="114" t="str">
        <x:f>IF(COUNTA($A125:$M125)=0,"",IF(OR($U125="Subscription",$U125=""),"",IF($U125="Disqualified",$H125,0)))</x:f>
      </x:c>
      <x:c r="T125" s="955" t="str">
        <x:f>IF(COUNTA($A125:$M125)=0,"",IF(OR($U125="Subscription",$U125=""),"",IF(OR($U125="Free Game",$U125="Disqualified — Free Game",$H125=0),"N/A",IF($U125="Profit",$Q125/$H125,IF($U125="Disqualified",-$S125/$H125,0)))))</x:f>
      </x:c>
      <x:c r="U125" s="920" t="str">
        <x:f>IF(COUNTA($A125:$M125)=0,"",IF(OR(LEFT(LOWER(TRIM($F125&amp;"")),12)="subscription",LOWER(TRIM($F125&amp;""))="membership"),"Subscription",IF(OR(AND($H125&lt;&gt;"",$H125=0),LEFT(LOWER(TRIM($F125&amp;"")),9)="free game",LOWER(TRIM($F125&amp;""))="free",LOWER(TRIM($F125&amp;""))="free entry"),IF(LOWER($L125&amp;"")="yes","Disqualified — Free Game","Free Game"),IF(LOWER($L125&amp;"")="yes","Disqualified",IF($P125="","",IF(ROUND(IFERROR(VALUE($P125),0)-IFERROR(VALUE($H125),0),2)&gt;0,"Profit","Draw"))))))</x:f>
      </x:c>
      <x:c r="V125" s="956" t="str">
        <x:f>IF(COUNTA($A125:$M125)=0,"",IF(OR($B125="",$C125="",$U125="Subscription"),"",IFERROR(ROUNDUP(($C125-$B125)/7,0),"")))</x:f>
      </x:c>
      <x:c r="W125" s="114" t="str">
        <x:f>IF(COUNTA($A125:$M125)=0,"",IF(OR($U125="Subscription",$U125=""),"",IF(OR($U125="Free Game",$U125="Disqualified — Free Game"),0,ROUND(IFERROR($Q125,0)-IFERROR($S125,0),2))))</x:f>
      </x:c>
      <x:c r="X125" s="956" t="str">
        <x:f>IF(COUNTA($A125:$M125)=0,"",IF(OR($U125="Subscription",NOT(ISNUMBER($J125)),NOT(ISNUMBER($I125)),$J125=0,$I125=0,$I125&gt;$J125),"",$J125-$I125))</x:f>
      </x:c>
      <x:c r="Y125" s="955" t="str">
        <x:f>IF(COUNTA($A125:$M125)=0,"",IF(OR($U125="Subscription",NOT(ISNUMBER($J125)),$J125=0,$X125=""),"",$X125/$J125))</x:f>
      </x:c>
      <x:c r="Z125" s="957" t="str">
        <x:f>IF(COUNTA($A125:$M125)=0,"",Instructions!$B$29+SUM($W$5:W125))</x:f>
      </x:c>
    </x:row>
    <x:row r="126" ht="36" customHeight="1">
      <x:c r="A126" s="439"/>
      <x:c r="B126" s="453"/>
      <x:c r="C126" s="453"/>
      <x:c r="D126" s="454"/>
      <x:c r="E126" s="454"/>
      <x:c r="F126" s="454"/>
      <x:c r="G126" s="986"/>
      <x:c r="H126" s="455"/>
      <x:c r="I126" s="456"/>
      <x:c r="J126" s="456"/>
      <x:c r="K126" s="986"/>
      <x:c r="L126" s="454"/>
      <x:c r="M126" s="439"/>
      <x:c r="N126" s="987" t="str">
        <x:f>IF(COUNTA($A126:$M126)=0,"",IF(OR(LEFT(LOWER(TRIM($F126&amp;"")),12)="subscription",LOWER(TRIM($F126&amp;""))="membership"),"",IF($G126="","",IF(ISNUMBER(SEARCH("non",LOWER($E126&amp;""))),$G126*0.85,$G126))))</x:f>
      </x:c>
      <x:c r="O126" s="987" t="str">
        <x:f>IF(COUNTA($A126:$M126)=0,"",IF(OR(LEFT(LOWER(TRIM($F126&amp;"")),12)="subscription",LOWER(TRIM($F126&amp;""))="membership"),"",IF(OR($N126="",$I126="",$I126=0),"",IFERROR($N126/$I126,""))))</x:f>
      </x:c>
      <x:c r="P126" s="987" t="str">
        <x:f>IF(COUNTA($A126:$M126)=0,"",IF(OR(LEFT(LOWER(TRIM($F126&amp;"")),12)="subscription",LOWER(TRIM($F126&amp;""))="membership"),"",IF(LOWER($L126&amp;"")="yes",0,IF(OR(AND($H126&lt;&gt;"",$H126=0),LEFT(LOWER(TRIM($F126&amp;"")),9)="free game",LOWER(TRIM($F126&amp;""))="free",LOWER(TRIM($F126&amp;""))="free entry"),IF(LOWER($D126&amp;"")="finalized",IF(ISNUMBER($K126),$K126,""),IF($O126&lt;&gt;"",$O126,"")),IF($K126&lt;&gt;"",$K126,IF($O126&lt;&gt;"",$O126,""))))))</x:f>
      </x:c>
      <x:c r="Q126" s="114" t="str">
        <x:f>IF(COUNTA($A126:$M126)=0,"",IF(OR($U126="Subscription",$U126=""),"",IF($U126="Profit",ROUND(IFERROR($P126,0)-IFERROR($H126,0),2),0)))</x:f>
      </x:c>
      <x:c r="R126" s="114" t="str">
        <x:f>IF(COUNTA($A126:$M126)=0,"",IF(OR($U126="Subscription",$U126=""),"",IF($U126="Draw",$H126,0)))</x:f>
      </x:c>
      <x:c r="S126" s="114" t="str">
        <x:f>IF(COUNTA($A126:$M126)=0,"",IF(OR($U126="Subscription",$U126=""),"",IF($U126="Disqualified",$H126,0)))</x:f>
      </x:c>
      <x:c r="T126" s="955" t="str">
        <x:f>IF(COUNTA($A126:$M126)=0,"",IF(OR($U126="Subscription",$U126=""),"",IF(OR($U126="Free Game",$U126="Disqualified — Free Game",$H126=0),"N/A",IF($U126="Profit",$Q126/$H126,IF($U126="Disqualified",-$S126/$H126,0)))))</x:f>
      </x:c>
      <x:c r="U126" s="920" t="str">
        <x:f>IF(COUNTA($A126:$M126)=0,"",IF(OR(LEFT(LOWER(TRIM($F126&amp;"")),12)="subscription",LOWER(TRIM($F126&amp;""))="membership"),"Subscription",IF(OR(AND($H126&lt;&gt;"",$H126=0),LEFT(LOWER(TRIM($F126&amp;"")),9)="free game",LOWER(TRIM($F126&amp;""))="free",LOWER(TRIM($F126&amp;""))="free entry"),IF(LOWER($L126&amp;"")="yes","Disqualified — Free Game","Free Game"),IF(LOWER($L126&amp;"")="yes","Disqualified",IF($P126="","",IF(ROUND(IFERROR(VALUE($P126),0)-IFERROR(VALUE($H126),0),2)&gt;0,"Profit","Draw"))))))</x:f>
      </x:c>
      <x:c r="V126" s="956" t="str">
        <x:f>IF(COUNTA($A126:$M126)=0,"",IF(OR($B126="",$C126="",$U126="Subscription"),"",IFERROR(ROUNDUP(($C126-$B126)/7,0),"")))</x:f>
      </x:c>
      <x:c r="W126" s="114" t="str">
        <x:f>IF(COUNTA($A126:$M126)=0,"",IF(OR($U126="Subscription",$U126=""),"",IF(OR($U126="Free Game",$U126="Disqualified — Free Game"),0,ROUND(IFERROR($Q126,0)-IFERROR($S126,0),2))))</x:f>
      </x:c>
      <x:c r="X126" s="956" t="str">
        <x:f>IF(COUNTA($A126:$M126)=0,"",IF(OR($U126="Subscription",NOT(ISNUMBER($J126)),NOT(ISNUMBER($I126)),$J126=0,$I126=0,$I126&gt;$J126),"",$J126-$I126))</x:f>
      </x:c>
      <x:c r="Y126" s="955" t="str">
        <x:f>IF(COUNTA($A126:$M126)=0,"",IF(OR($U126="Subscription",NOT(ISNUMBER($J126)),$J126=0,$X126=""),"",$X126/$J126))</x:f>
      </x:c>
      <x:c r="Z126" s="957" t="str">
        <x:f>IF(COUNTA($A126:$M126)=0,"",Instructions!$B$29+SUM($W$5:W126))</x:f>
      </x:c>
    </x:row>
    <x:row r="127" ht="36" customHeight="1">
      <x:c r="A127" s="439"/>
      <x:c r="B127" s="453"/>
      <x:c r="C127" s="453"/>
      <x:c r="D127" s="454"/>
      <x:c r="E127" s="454"/>
      <x:c r="F127" s="454"/>
      <x:c r="G127" s="986"/>
      <x:c r="H127" s="455"/>
      <x:c r="I127" s="456"/>
      <x:c r="J127" s="456"/>
      <x:c r="K127" s="986"/>
      <x:c r="L127" s="454"/>
      <x:c r="M127" s="439"/>
      <x:c r="N127" s="987" t="str">
        <x:f>IF(COUNTA($A127:$M127)=0,"",IF(OR(LEFT(LOWER(TRIM($F127&amp;"")),12)="subscription",LOWER(TRIM($F127&amp;""))="membership"),"",IF($G127="","",IF(ISNUMBER(SEARCH("non",LOWER($E127&amp;""))),$G127*0.85,$G127))))</x:f>
      </x:c>
      <x:c r="O127" s="987" t="str">
        <x:f>IF(COUNTA($A127:$M127)=0,"",IF(OR(LEFT(LOWER(TRIM($F127&amp;"")),12)="subscription",LOWER(TRIM($F127&amp;""))="membership"),"",IF(OR($N127="",$I127="",$I127=0),"",IFERROR($N127/$I127,""))))</x:f>
      </x:c>
      <x:c r="P127" s="987" t="str">
        <x:f>IF(COUNTA($A127:$M127)=0,"",IF(OR(LEFT(LOWER(TRIM($F127&amp;"")),12)="subscription",LOWER(TRIM($F127&amp;""))="membership"),"",IF(LOWER($L127&amp;"")="yes",0,IF(OR(AND($H127&lt;&gt;"",$H127=0),LEFT(LOWER(TRIM($F127&amp;"")),9)="free game",LOWER(TRIM($F127&amp;""))="free",LOWER(TRIM($F127&amp;""))="free entry"),IF(LOWER($D127&amp;"")="finalized",IF(ISNUMBER($K127),$K127,""),IF($O127&lt;&gt;"",$O127,"")),IF($K127&lt;&gt;"",$K127,IF($O127&lt;&gt;"",$O127,""))))))</x:f>
      </x:c>
      <x:c r="Q127" s="114" t="str">
        <x:f>IF(COUNTA($A127:$M127)=0,"",IF(OR($U127="Subscription",$U127=""),"",IF($U127="Profit",ROUND(IFERROR($P127,0)-IFERROR($H127,0),2),0)))</x:f>
      </x:c>
      <x:c r="R127" s="114" t="str">
        <x:f>IF(COUNTA($A127:$M127)=0,"",IF(OR($U127="Subscription",$U127=""),"",IF($U127="Draw",$H127,0)))</x:f>
      </x:c>
      <x:c r="S127" s="114" t="str">
        <x:f>IF(COUNTA($A127:$M127)=0,"",IF(OR($U127="Subscription",$U127=""),"",IF($U127="Disqualified",$H127,0)))</x:f>
      </x:c>
      <x:c r="T127" s="955" t="str">
        <x:f>IF(COUNTA($A127:$M127)=0,"",IF(OR($U127="Subscription",$U127=""),"",IF(OR($U127="Free Game",$U127="Disqualified — Free Game",$H127=0),"N/A",IF($U127="Profit",$Q127/$H127,IF($U127="Disqualified",-$S127/$H127,0)))))</x:f>
      </x:c>
      <x:c r="U127" s="920" t="str">
        <x:f>IF(COUNTA($A127:$M127)=0,"",IF(OR(LEFT(LOWER(TRIM($F127&amp;"")),12)="subscription",LOWER(TRIM($F127&amp;""))="membership"),"Subscription",IF(OR(AND($H127&lt;&gt;"",$H127=0),LEFT(LOWER(TRIM($F127&amp;"")),9)="free game",LOWER(TRIM($F127&amp;""))="free",LOWER(TRIM($F127&amp;""))="free entry"),IF(LOWER($L127&amp;"")="yes","Disqualified — Free Game","Free Game"),IF(LOWER($L127&amp;"")="yes","Disqualified",IF($P127="","",IF(ROUND(IFERROR(VALUE($P127),0)-IFERROR(VALUE($H127),0),2)&gt;0,"Profit","Draw"))))))</x:f>
      </x:c>
      <x:c r="V127" s="956" t="str">
        <x:f>IF(COUNTA($A127:$M127)=0,"",IF(OR($B127="",$C127="",$U127="Subscription"),"",IFERROR(ROUNDUP(($C127-$B127)/7,0),"")))</x:f>
      </x:c>
      <x:c r="W127" s="114" t="str">
        <x:f>IF(COUNTA($A127:$M127)=0,"",IF(OR($U127="Subscription",$U127=""),"",IF(OR($U127="Free Game",$U127="Disqualified — Free Game"),0,ROUND(IFERROR($Q127,0)-IFERROR($S127,0),2))))</x:f>
      </x:c>
      <x:c r="X127" s="956" t="str">
        <x:f>IF(COUNTA($A127:$M127)=0,"",IF(OR($U127="Subscription",NOT(ISNUMBER($J127)),NOT(ISNUMBER($I127)),$J127=0,$I127=0,$I127&gt;$J127),"",$J127-$I127))</x:f>
      </x:c>
      <x:c r="Y127" s="955" t="str">
        <x:f>IF(COUNTA($A127:$M127)=0,"",IF(OR($U127="Subscription",NOT(ISNUMBER($J127)),$J127=0,$X127=""),"",$X127/$J127))</x:f>
      </x:c>
      <x:c r="Z127" s="957" t="str">
        <x:f>IF(COUNTA($A127:$M127)=0,"",Instructions!$B$29+SUM($W$5:W127))</x:f>
      </x:c>
    </x:row>
    <x:row r="128" ht="36" customHeight="1">
      <x:c r="A128" s="439"/>
      <x:c r="B128" s="453"/>
      <x:c r="C128" s="453"/>
      <x:c r="D128" s="454"/>
      <x:c r="E128" s="454"/>
      <x:c r="F128" s="454"/>
      <x:c r="G128" s="986"/>
      <x:c r="H128" s="455"/>
      <x:c r="I128" s="456"/>
      <x:c r="J128" s="456"/>
      <x:c r="K128" s="986"/>
      <x:c r="L128" s="454"/>
      <x:c r="M128" s="439"/>
      <x:c r="N128" s="987" t="str">
        <x:f>IF(COUNTA($A128:$M128)=0,"",IF(OR(LEFT(LOWER(TRIM($F128&amp;"")),12)="subscription",LOWER(TRIM($F128&amp;""))="membership"),"",IF($G128="","",IF(ISNUMBER(SEARCH("non",LOWER($E128&amp;""))),$G128*0.85,$G128))))</x:f>
      </x:c>
      <x:c r="O128" s="987" t="str">
        <x:f>IF(COUNTA($A128:$M128)=0,"",IF(OR(LEFT(LOWER(TRIM($F128&amp;"")),12)="subscription",LOWER(TRIM($F128&amp;""))="membership"),"",IF(OR($N128="",$I128="",$I128=0),"",IFERROR($N128/$I128,""))))</x:f>
      </x:c>
      <x:c r="P128" s="987" t="str">
        <x:f>IF(COUNTA($A128:$M128)=0,"",IF(OR(LEFT(LOWER(TRIM($F128&amp;"")),12)="subscription",LOWER(TRIM($F128&amp;""))="membership"),"",IF(LOWER($L128&amp;"")="yes",0,IF(OR(AND($H128&lt;&gt;"",$H128=0),LEFT(LOWER(TRIM($F128&amp;"")),9)="free game",LOWER(TRIM($F128&amp;""))="free",LOWER(TRIM($F128&amp;""))="free entry"),IF(LOWER($D128&amp;"")="finalized",IF(ISNUMBER($K128),$K128,""),IF($O128&lt;&gt;"",$O128,"")),IF($K128&lt;&gt;"",$K128,IF($O128&lt;&gt;"",$O128,""))))))</x:f>
      </x:c>
      <x:c r="Q128" s="114" t="str">
        <x:f>IF(COUNTA($A128:$M128)=0,"",IF(OR($U128="Subscription",$U128=""),"",IF($U128="Profit",ROUND(IFERROR($P128,0)-IFERROR($H128,0),2),0)))</x:f>
      </x:c>
      <x:c r="R128" s="114" t="str">
        <x:f>IF(COUNTA($A128:$M128)=0,"",IF(OR($U128="Subscription",$U128=""),"",IF($U128="Draw",$H128,0)))</x:f>
      </x:c>
      <x:c r="S128" s="114" t="str">
        <x:f>IF(COUNTA($A128:$M128)=0,"",IF(OR($U128="Subscription",$U128=""),"",IF($U128="Disqualified",$H128,0)))</x:f>
      </x:c>
      <x:c r="T128" s="955" t="str">
        <x:f>IF(COUNTA($A128:$M128)=0,"",IF(OR($U128="Subscription",$U128=""),"",IF(OR($U128="Free Game",$U128="Disqualified — Free Game",$H128=0),"N/A",IF($U128="Profit",$Q128/$H128,IF($U128="Disqualified",-$S128/$H128,0)))))</x:f>
      </x:c>
      <x:c r="U128" s="920" t="str">
        <x:f>IF(COUNTA($A128:$M128)=0,"",IF(OR(LEFT(LOWER(TRIM($F128&amp;"")),12)="subscription",LOWER(TRIM($F128&amp;""))="membership"),"Subscription",IF(OR(AND($H128&lt;&gt;"",$H128=0),LEFT(LOWER(TRIM($F128&amp;"")),9)="free game",LOWER(TRIM($F128&amp;""))="free",LOWER(TRIM($F128&amp;""))="free entry"),IF(LOWER($L128&amp;"")="yes","Disqualified — Free Game","Free Game"),IF(LOWER($L128&amp;"")="yes","Disqualified",IF($P128="","",IF(ROUND(IFERROR(VALUE($P128),0)-IFERROR(VALUE($H128),0),2)&gt;0,"Profit","Draw"))))))</x:f>
      </x:c>
      <x:c r="V128" s="956" t="str">
        <x:f>IF(COUNTA($A128:$M128)=0,"",IF(OR($B128="",$C128="",$U128="Subscription"),"",IFERROR(ROUNDUP(($C128-$B128)/7,0),"")))</x:f>
      </x:c>
      <x:c r="W128" s="114" t="str">
        <x:f>IF(COUNTA($A128:$M128)=0,"",IF(OR($U128="Subscription",$U128=""),"",IF(OR($U128="Free Game",$U128="Disqualified — Free Game"),0,ROUND(IFERROR($Q128,0)-IFERROR($S128,0),2))))</x:f>
      </x:c>
      <x:c r="X128" s="956" t="str">
        <x:f>IF(COUNTA($A128:$M128)=0,"",IF(OR($U128="Subscription",NOT(ISNUMBER($J128)),NOT(ISNUMBER($I128)),$J128=0,$I128=0,$I128&gt;$J128),"",$J128-$I128))</x:f>
      </x:c>
      <x:c r="Y128" s="955" t="str">
        <x:f>IF(COUNTA($A128:$M128)=0,"",IF(OR($U128="Subscription",NOT(ISNUMBER($J128)),$J128=0,$X128=""),"",$X128/$J128))</x:f>
      </x:c>
      <x:c r="Z128" s="957" t="str">
        <x:f>IF(COUNTA($A128:$M128)=0,"",Instructions!$B$29+SUM($W$5:W128))</x:f>
      </x:c>
    </x:row>
    <x:row r="129" ht="36" customHeight="1">
      <x:c r="A129" s="439"/>
      <x:c r="B129" s="453"/>
      <x:c r="C129" s="453"/>
      <x:c r="D129" s="454"/>
      <x:c r="E129" s="454"/>
      <x:c r="F129" s="454"/>
      <x:c r="G129" s="986"/>
      <x:c r="H129" s="455"/>
      <x:c r="I129" s="456"/>
      <x:c r="J129" s="456"/>
      <x:c r="K129" s="986"/>
      <x:c r="L129" s="454"/>
      <x:c r="M129" s="439"/>
      <x:c r="N129" s="987" t="str">
        <x:f>IF(COUNTA($A129:$M129)=0,"",IF(OR(LEFT(LOWER(TRIM($F129&amp;"")),12)="subscription",LOWER(TRIM($F129&amp;""))="membership"),"",IF($G129="","",IF(ISNUMBER(SEARCH("non",LOWER($E129&amp;""))),$G129*0.85,$G129))))</x:f>
      </x:c>
      <x:c r="O129" s="987" t="str">
        <x:f>IF(COUNTA($A129:$M129)=0,"",IF(OR(LEFT(LOWER(TRIM($F129&amp;"")),12)="subscription",LOWER(TRIM($F129&amp;""))="membership"),"",IF(OR($N129="",$I129="",$I129=0),"",IFERROR($N129/$I129,""))))</x:f>
      </x:c>
      <x:c r="P129" s="987" t="str">
        <x:f>IF(COUNTA($A129:$M129)=0,"",IF(OR(LEFT(LOWER(TRIM($F129&amp;"")),12)="subscription",LOWER(TRIM($F129&amp;""))="membership"),"",IF(LOWER($L129&amp;"")="yes",0,IF(OR(AND($H129&lt;&gt;"",$H129=0),LEFT(LOWER(TRIM($F129&amp;"")),9)="free game",LOWER(TRIM($F129&amp;""))="free",LOWER(TRIM($F129&amp;""))="free entry"),IF(LOWER($D129&amp;"")="finalized",IF(ISNUMBER($K129),$K129,""),IF($O129&lt;&gt;"",$O129,"")),IF($K129&lt;&gt;"",$K129,IF($O129&lt;&gt;"",$O129,""))))))</x:f>
      </x:c>
      <x:c r="Q129" s="114" t="str">
        <x:f>IF(COUNTA($A129:$M129)=0,"",IF(OR($U129="Subscription",$U129=""),"",IF($U129="Profit",ROUND(IFERROR($P129,0)-IFERROR($H129,0),2),0)))</x:f>
      </x:c>
      <x:c r="R129" s="114" t="str">
        <x:f>IF(COUNTA($A129:$M129)=0,"",IF(OR($U129="Subscription",$U129=""),"",IF($U129="Draw",$H129,0)))</x:f>
      </x:c>
      <x:c r="S129" s="114" t="str">
        <x:f>IF(COUNTA($A129:$M129)=0,"",IF(OR($U129="Subscription",$U129=""),"",IF($U129="Disqualified",$H129,0)))</x:f>
      </x:c>
      <x:c r="T129" s="955" t="str">
        <x:f>IF(COUNTA($A129:$M129)=0,"",IF(OR($U129="Subscription",$U129=""),"",IF(OR($U129="Free Game",$U129="Disqualified — Free Game",$H129=0),"N/A",IF($U129="Profit",$Q129/$H129,IF($U129="Disqualified",-$S129/$H129,0)))))</x:f>
      </x:c>
      <x:c r="U129" s="920" t="str">
        <x:f>IF(COUNTA($A129:$M129)=0,"",IF(OR(LEFT(LOWER(TRIM($F129&amp;"")),12)="subscription",LOWER(TRIM($F129&amp;""))="membership"),"Subscription",IF(OR(AND($H129&lt;&gt;"",$H129=0),LEFT(LOWER(TRIM($F129&amp;"")),9)="free game",LOWER(TRIM($F129&amp;""))="free",LOWER(TRIM($F129&amp;""))="free entry"),IF(LOWER($L129&amp;"")="yes","Disqualified — Free Game","Free Game"),IF(LOWER($L129&amp;"")="yes","Disqualified",IF($P129="","",IF(ROUND(IFERROR(VALUE($P129),0)-IFERROR(VALUE($H129),0),2)&gt;0,"Profit","Draw"))))))</x:f>
      </x:c>
      <x:c r="V129" s="956" t="str">
        <x:f>IF(COUNTA($A129:$M129)=0,"",IF(OR($B129="",$C129="",$U129="Subscription"),"",IFERROR(ROUNDUP(($C129-$B129)/7,0),"")))</x:f>
      </x:c>
      <x:c r="W129" s="114" t="str">
        <x:f>IF(COUNTA($A129:$M129)=0,"",IF(OR($U129="Subscription",$U129=""),"",IF(OR($U129="Free Game",$U129="Disqualified — Free Game"),0,ROUND(IFERROR($Q129,0)-IFERROR($S129,0),2))))</x:f>
      </x:c>
      <x:c r="X129" s="956" t="str">
        <x:f>IF(COUNTA($A129:$M129)=0,"",IF(OR($U129="Subscription",NOT(ISNUMBER($J129)),NOT(ISNUMBER($I129)),$J129=0,$I129=0,$I129&gt;$J129),"",$J129-$I129))</x:f>
      </x:c>
      <x:c r="Y129" s="955" t="str">
        <x:f>IF(COUNTA($A129:$M129)=0,"",IF(OR($U129="Subscription",NOT(ISNUMBER($J129)),$J129=0,$X129=""),"",$X129/$J129))</x:f>
      </x:c>
      <x:c r="Z129" s="957" t="str">
        <x:f>IF(COUNTA($A129:$M129)=0,"",Instructions!$B$29+SUM($W$5:W129))</x:f>
      </x:c>
    </x:row>
    <x:row r="130" ht="36" customHeight="1">
      <x:c r="A130" s="439"/>
      <x:c r="B130" s="453"/>
      <x:c r="C130" s="453"/>
      <x:c r="D130" s="454"/>
      <x:c r="E130" s="454"/>
      <x:c r="F130" s="454"/>
      <x:c r="G130" s="986"/>
      <x:c r="H130" s="455"/>
      <x:c r="I130" s="456"/>
      <x:c r="J130" s="456"/>
      <x:c r="K130" s="986"/>
      <x:c r="L130" s="454"/>
      <x:c r="M130" s="439"/>
      <x:c r="N130" s="987" t="str">
        <x:f>IF(COUNTA($A130:$M130)=0,"",IF(OR(LEFT(LOWER(TRIM($F130&amp;"")),12)="subscription",LOWER(TRIM($F130&amp;""))="membership"),"",IF($G130="","",IF(ISNUMBER(SEARCH("non",LOWER($E130&amp;""))),$G130*0.85,$G130))))</x:f>
      </x:c>
      <x:c r="O130" s="987" t="str">
        <x:f>IF(COUNTA($A130:$M130)=0,"",IF(OR(LEFT(LOWER(TRIM($F130&amp;"")),12)="subscription",LOWER(TRIM($F130&amp;""))="membership"),"",IF(OR($N130="",$I130="",$I130=0),"",IFERROR($N130/$I130,""))))</x:f>
      </x:c>
      <x:c r="P130" s="987" t="str">
        <x:f>IF(COUNTA($A130:$M130)=0,"",IF(OR(LEFT(LOWER(TRIM($F130&amp;"")),12)="subscription",LOWER(TRIM($F130&amp;""))="membership"),"",IF(LOWER($L130&amp;"")="yes",0,IF(OR(AND($H130&lt;&gt;"",$H130=0),LEFT(LOWER(TRIM($F130&amp;"")),9)="free game",LOWER(TRIM($F130&amp;""))="free",LOWER(TRIM($F130&amp;""))="free entry"),IF(LOWER($D130&amp;"")="finalized",IF(ISNUMBER($K130),$K130,""),IF($O130&lt;&gt;"",$O130,"")),IF($K130&lt;&gt;"",$K130,IF($O130&lt;&gt;"",$O130,""))))))</x:f>
      </x:c>
      <x:c r="Q130" s="114" t="str">
        <x:f>IF(COUNTA($A130:$M130)=0,"",IF(OR($U130="Subscription",$U130=""),"",IF($U130="Profit",ROUND(IFERROR($P130,0)-IFERROR($H130,0),2),0)))</x:f>
      </x:c>
      <x:c r="R130" s="114" t="str">
        <x:f>IF(COUNTA($A130:$M130)=0,"",IF(OR($U130="Subscription",$U130=""),"",IF($U130="Draw",$H130,0)))</x:f>
      </x:c>
      <x:c r="S130" s="114" t="str">
        <x:f>IF(COUNTA($A130:$M130)=0,"",IF(OR($U130="Subscription",$U130=""),"",IF($U130="Disqualified",$H130,0)))</x:f>
      </x:c>
      <x:c r="T130" s="955" t="str">
        <x:f>IF(COUNTA($A130:$M130)=0,"",IF(OR($U130="Subscription",$U130=""),"",IF(OR($U130="Free Game",$U130="Disqualified — Free Game",$H130=0),"N/A",IF($U130="Profit",$Q130/$H130,IF($U130="Disqualified",-$S130/$H130,0)))))</x:f>
      </x:c>
      <x:c r="U130" s="920" t="str">
        <x:f>IF(COUNTA($A130:$M130)=0,"",IF(OR(LEFT(LOWER(TRIM($F130&amp;"")),12)="subscription",LOWER(TRIM($F130&amp;""))="membership"),"Subscription",IF(OR(AND($H130&lt;&gt;"",$H130=0),LEFT(LOWER(TRIM($F130&amp;"")),9)="free game",LOWER(TRIM($F130&amp;""))="free",LOWER(TRIM($F130&amp;""))="free entry"),IF(LOWER($L130&amp;"")="yes","Disqualified — Free Game","Free Game"),IF(LOWER($L130&amp;"")="yes","Disqualified",IF($P130="","",IF(ROUND(IFERROR(VALUE($P130),0)-IFERROR(VALUE($H130),0),2)&gt;0,"Profit","Draw"))))))</x:f>
      </x:c>
      <x:c r="V130" s="956" t="str">
        <x:f>IF(COUNTA($A130:$M130)=0,"",IF(OR($B130="",$C130="",$U130="Subscription"),"",IFERROR(ROUNDUP(($C130-$B130)/7,0),"")))</x:f>
      </x:c>
      <x:c r="W130" s="114" t="str">
        <x:f>IF(COUNTA($A130:$M130)=0,"",IF(OR($U130="Subscription",$U130=""),"",IF(OR($U130="Free Game",$U130="Disqualified — Free Game"),0,ROUND(IFERROR($Q130,0)-IFERROR($S130,0),2))))</x:f>
      </x:c>
      <x:c r="X130" s="956" t="str">
        <x:f>IF(COUNTA($A130:$M130)=0,"",IF(OR($U130="Subscription",NOT(ISNUMBER($J130)),NOT(ISNUMBER($I130)),$J130=0,$I130=0,$I130&gt;$J130),"",$J130-$I130))</x:f>
      </x:c>
      <x:c r="Y130" s="955" t="str">
        <x:f>IF(COUNTA($A130:$M130)=0,"",IF(OR($U130="Subscription",NOT(ISNUMBER($J130)),$J130=0,$X130=""),"",$X130/$J130))</x:f>
      </x:c>
      <x:c r="Z130" s="957" t="str">
        <x:f>IF(COUNTA($A130:$M130)=0,"",Instructions!$B$29+SUM($W$5:W130))</x:f>
      </x:c>
    </x:row>
    <x:row r="131" ht="36" customHeight="1">
      <x:c r="A131" s="439"/>
      <x:c r="B131" s="453"/>
      <x:c r="C131" s="453"/>
      <x:c r="D131" s="454"/>
      <x:c r="E131" s="454"/>
      <x:c r="F131" s="454"/>
      <x:c r="G131" s="986"/>
      <x:c r="H131" s="455"/>
      <x:c r="I131" s="456"/>
      <x:c r="J131" s="456"/>
      <x:c r="K131" s="986"/>
      <x:c r="L131" s="454"/>
      <x:c r="M131" s="439"/>
      <x:c r="N131" s="987" t="str">
        <x:f>IF(COUNTA($A131:$M131)=0,"",IF(OR(LEFT(LOWER(TRIM($F131&amp;"")),12)="subscription",LOWER(TRIM($F131&amp;""))="membership"),"",IF($G131="","",IF(ISNUMBER(SEARCH("non",LOWER($E131&amp;""))),$G131*0.85,$G131))))</x:f>
      </x:c>
      <x:c r="O131" s="987" t="str">
        <x:f>IF(COUNTA($A131:$M131)=0,"",IF(OR(LEFT(LOWER(TRIM($F131&amp;"")),12)="subscription",LOWER(TRIM($F131&amp;""))="membership"),"",IF(OR($N131="",$I131="",$I131=0),"",IFERROR($N131/$I131,""))))</x:f>
      </x:c>
      <x:c r="P131" s="987" t="str">
        <x:f>IF(COUNTA($A131:$M131)=0,"",IF(OR(LEFT(LOWER(TRIM($F131&amp;"")),12)="subscription",LOWER(TRIM($F131&amp;""))="membership"),"",IF(LOWER($L131&amp;"")="yes",0,IF(OR(AND($H131&lt;&gt;"",$H131=0),LEFT(LOWER(TRIM($F131&amp;"")),9)="free game",LOWER(TRIM($F131&amp;""))="free",LOWER(TRIM($F131&amp;""))="free entry"),IF(LOWER($D131&amp;"")="finalized",IF(ISNUMBER($K131),$K131,""),IF($O131&lt;&gt;"",$O131,"")),IF($K131&lt;&gt;"",$K131,IF($O131&lt;&gt;"",$O131,""))))))</x:f>
      </x:c>
      <x:c r="Q131" s="114" t="str">
        <x:f>IF(COUNTA($A131:$M131)=0,"",IF(OR($U131="Subscription",$U131=""),"",IF($U131="Profit",ROUND(IFERROR($P131,0)-IFERROR($H131,0),2),0)))</x:f>
      </x:c>
      <x:c r="R131" s="114" t="str">
        <x:f>IF(COUNTA($A131:$M131)=0,"",IF(OR($U131="Subscription",$U131=""),"",IF($U131="Draw",$H131,0)))</x:f>
      </x:c>
      <x:c r="S131" s="114" t="str">
        <x:f>IF(COUNTA($A131:$M131)=0,"",IF(OR($U131="Subscription",$U131=""),"",IF($U131="Disqualified",$H131,0)))</x:f>
      </x:c>
      <x:c r="T131" s="955" t="str">
        <x:f>IF(COUNTA($A131:$M131)=0,"",IF(OR($U131="Subscription",$U131=""),"",IF(OR($U131="Free Game",$U131="Disqualified — Free Game",$H131=0),"N/A",IF($U131="Profit",$Q131/$H131,IF($U131="Disqualified",-$S131/$H131,0)))))</x:f>
      </x:c>
      <x:c r="U131" s="920" t="str">
        <x:f>IF(COUNTA($A131:$M131)=0,"",IF(OR(LEFT(LOWER(TRIM($F131&amp;"")),12)="subscription",LOWER(TRIM($F131&amp;""))="membership"),"Subscription",IF(OR(AND($H131&lt;&gt;"",$H131=0),LEFT(LOWER(TRIM($F131&amp;"")),9)="free game",LOWER(TRIM($F131&amp;""))="free",LOWER(TRIM($F131&amp;""))="free entry"),IF(LOWER($L131&amp;"")="yes","Disqualified — Free Game","Free Game"),IF(LOWER($L131&amp;"")="yes","Disqualified",IF($P131="","",IF(ROUND(IFERROR(VALUE($P131),0)-IFERROR(VALUE($H131),0),2)&gt;0,"Profit","Draw"))))))</x:f>
      </x:c>
      <x:c r="V131" s="956" t="str">
        <x:f>IF(COUNTA($A131:$M131)=0,"",IF(OR($B131="",$C131="",$U131="Subscription"),"",IFERROR(ROUNDUP(($C131-$B131)/7,0),"")))</x:f>
      </x:c>
      <x:c r="W131" s="114" t="str">
        <x:f>IF(COUNTA($A131:$M131)=0,"",IF(OR($U131="Subscription",$U131=""),"",IF(OR($U131="Free Game",$U131="Disqualified — Free Game"),0,ROUND(IFERROR($Q131,0)-IFERROR($S131,0),2))))</x:f>
      </x:c>
      <x:c r="X131" s="956" t="str">
        <x:f>IF(COUNTA($A131:$M131)=0,"",IF(OR($U131="Subscription",NOT(ISNUMBER($J131)),NOT(ISNUMBER($I131)),$J131=0,$I131=0,$I131&gt;$J131),"",$J131-$I131))</x:f>
      </x:c>
      <x:c r="Y131" s="955" t="str">
        <x:f>IF(COUNTA($A131:$M131)=0,"",IF(OR($U131="Subscription",NOT(ISNUMBER($J131)),$J131=0,$X131=""),"",$X131/$J131))</x:f>
      </x:c>
      <x:c r="Z131" s="957" t="str">
        <x:f>IF(COUNTA($A131:$M131)=0,"",Instructions!$B$29+SUM($W$5:W131))</x:f>
      </x:c>
    </x:row>
    <x:row r="132" ht="36" customHeight="1">
      <x:c r="A132" s="439"/>
      <x:c r="B132" s="453"/>
      <x:c r="C132" s="453"/>
      <x:c r="D132" s="454"/>
      <x:c r="E132" s="454"/>
      <x:c r="F132" s="454"/>
      <x:c r="G132" s="986"/>
      <x:c r="H132" s="455"/>
      <x:c r="I132" s="456"/>
      <x:c r="J132" s="456"/>
      <x:c r="K132" s="986"/>
      <x:c r="L132" s="454"/>
      <x:c r="M132" s="439"/>
      <x:c r="N132" s="987" t="str">
        <x:f>IF(COUNTA($A132:$M132)=0,"",IF(OR(LEFT(LOWER(TRIM($F132&amp;"")),12)="subscription",LOWER(TRIM($F132&amp;""))="membership"),"",IF($G132="","",IF(ISNUMBER(SEARCH("non",LOWER($E132&amp;""))),$G132*0.85,$G132))))</x:f>
      </x:c>
      <x:c r="O132" s="987" t="str">
        <x:f>IF(COUNTA($A132:$M132)=0,"",IF(OR(LEFT(LOWER(TRIM($F132&amp;"")),12)="subscription",LOWER(TRIM($F132&amp;""))="membership"),"",IF(OR($N132="",$I132="",$I132=0),"",IFERROR($N132/$I132,""))))</x:f>
      </x:c>
      <x:c r="P132" s="987" t="str">
        <x:f>IF(COUNTA($A132:$M132)=0,"",IF(OR(LEFT(LOWER(TRIM($F132&amp;"")),12)="subscription",LOWER(TRIM($F132&amp;""))="membership"),"",IF(LOWER($L132&amp;"")="yes",0,IF(OR(AND($H132&lt;&gt;"",$H132=0),LEFT(LOWER(TRIM($F132&amp;"")),9)="free game",LOWER(TRIM($F132&amp;""))="free",LOWER(TRIM($F132&amp;""))="free entry"),IF(LOWER($D132&amp;"")="finalized",IF(ISNUMBER($K132),$K132,""),IF($O132&lt;&gt;"",$O132,"")),IF($K132&lt;&gt;"",$K132,IF($O132&lt;&gt;"",$O132,""))))))</x:f>
      </x:c>
      <x:c r="Q132" s="114" t="str">
        <x:f>IF(COUNTA($A132:$M132)=0,"",IF(OR($U132="Subscription",$U132=""),"",IF($U132="Profit",ROUND(IFERROR($P132,0)-IFERROR($H132,0),2),0)))</x:f>
      </x:c>
      <x:c r="R132" s="114" t="str">
        <x:f>IF(COUNTA($A132:$M132)=0,"",IF(OR($U132="Subscription",$U132=""),"",IF($U132="Draw",$H132,0)))</x:f>
      </x:c>
      <x:c r="S132" s="114" t="str">
        <x:f>IF(COUNTA($A132:$M132)=0,"",IF(OR($U132="Subscription",$U132=""),"",IF($U132="Disqualified",$H132,0)))</x:f>
      </x:c>
      <x:c r="T132" s="955" t="str">
        <x:f>IF(COUNTA($A132:$M132)=0,"",IF(OR($U132="Subscription",$U132=""),"",IF(OR($U132="Free Game",$U132="Disqualified — Free Game",$H132=0),"N/A",IF($U132="Profit",$Q132/$H132,IF($U132="Disqualified",-$S132/$H132,0)))))</x:f>
      </x:c>
      <x:c r="U132" s="920" t="str">
        <x:f>IF(COUNTA($A132:$M132)=0,"",IF(OR(LEFT(LOWER(TRIM($F132&amp;"")),12)="subscription",LOWER(TRIM($F132&amp;""))="membership"),"Subscription",IF(OR(AND($H132&lt;&gt;"",$H132=0),LEFT(LOWER(TRIM($F132&amp;"")),9)="free game",LOWER(TRIM($F132&amp;""))="free",LOWER(TRIM($F132&amp;""))="free entry"),IF(LOWER($L132&amp;"")="yes","Disqualified — Free Game","Free Game"),IF(LOWER($L132&amp;"")="yes","Disqualified",IF($P132="","",IF(ROUND(IFERROR(VALUE($P132),0)-IFERROR(VALUE($H132),0),2)&gt;0,"Profit","Draw"))))))</x:f>
      </x:c>
      <x:c r="V132" s="956" t="str">
        <x:f>IF(COUNTA($A132:$M132)=0,"",IF(OR($B132="",$C132="",$U132="Subscription"),"",IFERROR(ROUNDUP(($C132-$B132)/7,0),"")))</x:f>
      </x:c>
      <x:c r="W132" s="114" t="str">
        <x:f>IF(COUNTA($A132:$M132)=0,"",IF(OR($U132="Subscription",$U132=""),"",IF(OR($U132="Free Game",$U132="Disqualified — Free Game"),0,ROUND(IFERROR($Q132,0)-IFERROR($S132,0),2))))</x:f>
      </x:c>
      <x:c r="X132" s="956" t="str">
        <x:f>IF(COUNTA($A132:$M132)=0,"",IF(OR($U132="Subscription",NOT(ISNUMBER($J132)),NOT(ISNUMBER($I132)),$J132=0,$I132=0,$I132&gt;$J132),"",$J132-$I132))</x:f>
      </x:c>
      <x:c r="Y132" s="955" t="str">
        <x:f>IF(COUNTA($A132:$M132)=0,"",IF(OR($U132="Subscription",NOT(ISNUMBER($J132)),$J132=0,$X132=""),"",$X132/$J132))</x:f>
      </x:c>
      <x:c r="Z132" s="957" t="str">
        <x:f>IF(COUNTA($A132:$M132)=0,"",Instructions!$B$29+SUM($W$5:W132))</x:f>
      </x:c>
    </x:row>
    <x:row r="133" ht="36" customHeight="1">
      <x:c r="A133" s="439"/>
      <x:c r="B133" s="453"/>
      <x:c r="C133" s="453"/>
      <x:c r="D133" s="454"/>
      <x:c r="E133" s="454"/>
      <x:c r="F133" s="454"/>
      <x:c r="G133" s="986"/>
      <x:c r="H133" s="455"/>
      <x:c r="I133" s="456"/>
      <x:c r="J133" s="456"/>
      <x:c r="K133" s="986"/>
      <x:c r="L133" s="454"/>
      <x:c r="M133" s="439"/>
      <x:c r="N133" s="987" t="str">
        <x:f>IF(COUNTA($A133:$M133)=0,"",IF(OR(LEFT(LOWER(TRIM($F133&amp;"")),12)="subscription",LOWER(TRIM($F133&amp;""))="membership"),"",IF($G133="","",IF(ISNUMBER(SEARCH("non",LOWER($E133&amp;""))),$G133*0.85,$G133))))</x:f>
      </x:c>
      <x:c r="O133" s="987" t="str">
        <x:f>IF(COUNTA($A133:$M133)=0,"",IF(OR(LEFT(LOWER(TRIM($F133&amp;"")),12)="subscription",LOWER(TRIM($F133&amp;""))="membership"),"",IF(OR($N133="",$I133="",$I133=0),"",IFERROR($N133/$I133,""))))</x:f>
      </x:c>
      <x:c r="P133" s="987" t="str">
        <x:f>IF(COUNTA($A133:$M133)=0,"",IF(OR(LEFT(LOWER(TRIM($F133&amp;"")),12)="subscription",LOWER(TRIM($F133&amp;""))="membership"),"",IF(LOWER($L133&amp;"")="yes",0,IF(OR(AND($H133&lt;&gt;"",$H133=0),LEFT(LOWER(TRIM($F133&amp;"")),9)="free game",LOWER(TRIM($F133&amp;""))="free",LOWER(TRIM($F133&amp;""))="free entry"),IF(LOWER($D133&amp;"")="finalized",IF(ISNUMBER($K133),$K133,""),IF($O133&lt;&gt;"",$O133,"")),IF($K133&lt;&gt;"",$K133,IF($O133&lt;&gt;"",$O133,""))))))</x:f>
      </x:c>
      <x:c r="Q133" s="114" t="str">
        <x:f>IF(COUNTA($A133:$M133)=0,"",IF(OR($U133="Subscription",$U133=""),"",IF($U133="Profit",ROUND(IFERROR($P133,0)-IFERROR($H133,0),2),0)))</x:f>
      </x:c>
      <x:c r="R133" s="114" t="str">
        <x:f>IF(COUNTA($A133:$M133)=0,"",IF(OR($U133="Subscription",$U133=""),"",IF($U133="Draw",$H133,0)))</x:f>
      </x:c>
      <x:c r="S133" s="114" t="str">
        <x:f>IF(COUNTA($A133:$M133)=0,"",IF(OR($U133="Subscription",$U133=""),"",IF($U133="Disqualified",$H133,0)))</x:f>
      </x:c>
      <x:c r="T133" s="955" t="str">
        <x:f>IF(COUNTA($A133:$M133)=0,"",IF(OR($U133="Subscription",$U133=""),"",IF(OR($U133="Free Game",$U133="Disqualified — Free Game",$H133=0),"N/A",IF($U133="Profit",$Q133/$H133,IF($U133="Disqualified",-$S133/$H133,0)))))</x:f>
      </x:c>
      <x:c r="U133" s="920" t="str">
        <x:f>IF(COUNTA($A133:$M133)=0,"",IF(OR(LEFT(LOWER(TRIM($F133&amp;"")),12)="subscription",LOWER(TRIM($F133&amp;""))="membership"),"Subscription",IF(OR(AND($H133&lt;&gt;"",$H133=0),LEFT(LOWER(TRIM($F133&amp;"")),9)="free game",LOWER(TRIM($F133&amp;""))="free",LOWER(TRIM($F133&amp;""))="free entry"),IF(LOWER($L133&amp;"")="yes","Disqualified — Free Game","Free Game"),IF(LOWER($L133&amp;"")="yes","Disqualified",IF($P133="","",IF(ROUND(IFERROR(VALUE($P133),0)-IFERROR(VALUE($H133),0),2)&gt;0,"Profit","Draw"))))))</x:f>
      </x:c>
      <x:c r="V133" s="956" t="str">
        <x:f>IF(COUNTA($A133:$M133)=0,"",IF(OR($B133="",$C133="",$U133="Subscription"),"",IFERROR(ROUNDUP(($C133-$B133)/7,0),"")))</x:f>
      </x:c>
      <x:c r="W133" s="114" t="str">
        <x:f>IF(COUNTA($A133:$M133)=0,"",IF(OR($U133="Subscription",$U133=""),"",IF(OR($U133="Free Game",$U133="Disqualified — Free Game"),0,ROUND(IFERROR($Q133,0)-IFERROR($S133,0),2))))</x:f>
      </x:c>
      <x:c r="X133" s="956" t="str">
        <x:f>IF(COUNTA($A133:$M133)=0,"",IF(OR($U133="Subscription",NOT(ISNUMBER($J133)),NOT(ISNUMBER($I133)),$J133=0,$I133=0,$I133&gt;$J133),"",$J133-$I133))</x:f>
      </x:c>
      <x:c r="Y133" s="955" t="str">
        <x:f>IF(COUNTA($A133:$M133)=0,"",IF(OR($U133="Subscription",NOT(ISNUMBER($J133)),$J133=0,$X133=""),"",$X133/$J133))</x:f>
      </x:c>
      <x:c r="Z133" s="957" t="str">
        <x:f>IF(COUNTA($A133:$M133)=0,"",Instructions!$B$29+SUM($W$5:W133))</x:f>
      </x:c>
    </x:row>
    <x:row r="134" ht="36" customHeight="1">
      <x:c r="A134" s="439"/>
      <x:c r="B134" s="453"/>
      <x:c r="C134" s="453"/>
      <x:c r="D134" s="454"/>
      <x:c r="E134" s="454"/>
      <x:c r="F134" s="454"/>
      <x:c r="G134" s="986"/>
      <x:c r="H134" s="455"/>
      <x:c r="I134" s="456"/>
      <x:c r="J134" s="456"/>
      <x:c r="K134" s="986"/>
      <x:c r="L134" s="454"/>
      <x:c r="M134" s="439"/>
      <x:c r="N134" s="987" t="str">
        <x:f>IF(COUNTA($A134:$M134)=0,"",IF(OR(LEFT(LOWER(TRIM($F134&amp;"")),12)="subscription",LOWER(TRIM($F134&amp;""))="membership"),"",IF($G134="","",IF(ISNUMBER(SEARCH("non",LOWER($E134&amp;""))),$G134*0.85,$G134))))</x:f>
      </x:c>
      <x:c r="O134" s="987" t="str">
        <x:f>IF(COUNTA($A134:$M134)=0,"",IF(OR(LEFT(LOWER(TRIM($F134&amp;"")),12)="subscription",LOWER(TRIM($F134&amp;""))="membership"),"",IF(OR($N134="",$I134="",$I134=0),"",IFERROR($N134/$I134,""))))</x:f>
      </x:c>
      <x:c r="P134" s="987" t="str">
        <x:f>IF(COUNTA($A134:$M134)=0,"",IF(OR(LEFT(LOWER(TRIM($F134&amp;"")),12)="subscription",LOWER(TRIM($F134&amp;""))="membership"),"",IF(LOWER($L134&amp;"")="yes",0,IF(OR(AND($H134&lt;&gt;"",$H134=0),LEFT(LOWER(TRIM($F134&amp;"")),9)="free game",LOWER(TRIM($F134&amp;""))="free",LOWER(TRIM($F134&amp;""))="free entry"),IF(LOWER($D134&amp;"")="finalized",IF(ISNUMBER($K134),$K134,""),IF($O134&lt;&gt;"",$O134,"")),IF($K134&lt;&gt;"",$K134,IF($O134&lt;&gt;"",$O134,""))))))</x:f>
      </x:c>
      <x:c r="Q134" s="114" t="str">
        <x:f>IF(COUNTA($A134:$M134)=0,"",IF(OR($U134="Subscription",$U134=""),"",IF($U134="Profit",ROUND(IFERROR($P134,0)-IFERROR($H134,0),2),0)))</x:f>
      </x:c>
      <x:c r="R134" s="114" t="str">
        <x:f>IF(COUNTA($A134:$M134)=0,"",IF(OR($U134="Subscription",$U134=""),"",IF($U134="Draw",$H134,0)))</x:f>
      </x:c>
      <x:c r="S134" s="114" t="str">
        <x:f>IF(COUNTA($A134:$M134)=0,"",IF(OR($U134="Subscription",$U134=""),"",IF($U134="Disqualified",$H134,0)))</x:f>
      </x:c>
      <x:c r="T134" s="955" t="str">
        <x:f>IF(COUNTA($A134:$M134)=0,"",IF(OR($U134="Subscription",$U134=""),"",IF(OR($U134="Free Game",$U134="Disqualified — Free Game",$H134=0),"N/A",IF($U134="Profit",$Q134/$H134,IF($U134="Disqualified",-$S134/$H134,0)))))</x:f>
      </x:c>
      <x:c r="U134" s="920" t="str">
        <x:f>IF(COUNTA($A134:$M134)=0,"",IF(OR(LEFT(LOWER(TRIM($F134&amp;"")),12)="subscription",LOWER(TRIM($F134&amp;""))="membership"),"Subscription",IF(OR(AND($H134&lt;&gt;"",$H134=0),LEFT(LOWER(TRIM($F134&amp;"")),9)="free game",LOWER(TRIM($F134&amp;""))="free",LOWER(TRIM($F134&amp;""))="free entry"),IF(LOWER($L134&amp;"")="yes","Disqualified — Free Game","Free Game"),IF(LOWER($L134&amp;"")="yes","Disqualified",IF($P134="","",IF(ROUND(IFERROR(VALUE($P134),0)-IFERROR(VALUE($H134),0),2)&gt;0,"Profit","Draw"))))))</x:f>
      </x:c>
      <x:c r="V134" s="956" t="str">
        <x:f>IF(COUNTA($A134:$M134)=0,"",IF(OR($B134="",$C134="",$U134="Subscription"),"",IFERROR(ROUNDUP(($C134-$B134)/7,0),"")))</x:f>
      </x:c>
      <x:c r="W134" s="114" t="str">
        <x:f>IF(COUNTA($A134:$M134)=0,"",IF(OR($U134="Subscription",$U134=""),"",IF(OR($U134="Free Game",$U134="Disqualified — Free Game"),0,ROUND(IFERROR($Q134,0)-IFERROR($S134,0),2))))</x:f>
      </x:c>
      <x:c r="X134" s="956" t="str">
        <x:f>IF(COUNTA($A134:$M134)=0,"",IF(OR($U134="Subscription",NOT(ISNUMBER($J134)),NOT(ISNUMBER($I134)),$J134=0,$I134=0,$I134&gt;$J134),"",$J134-$I134))</x:f>
      </x:c>
      <x:c r="Y134" s="955" t="str">
        <x:f>IF(COUNTA($A134:$M134)=0,"",IF(OR($U134="Subscription",NOT(ISNUMBER($J134)),$J134=0,$X134=""),"",$X134/$J134))</x:f>
      </x:c>
      <x:c r="Z134" s="957" t="str">
        <x:f>IF(COUNTA($A134:$M134)=0,"",Instructions!$B$29+SUM($W$5:W134))</x:f>
      </x:c>
    </x:row>
    <x:row r="135" ht="36" customHeight="1">
      <x:c r="A135" s="439"/>
      <x:c r="B135" s="453"/>
      <x:c r="C135" s="453"/>
      <x:c r="D135" s="454"/>
      <x:c r="E135" s="454"/>
      <x:c r="F135" s="454"/>
      <x:c r="G135" s="986"/>
      <x:c r="H135" s="455"/>
      <x:c r="I135" s="456"/>
      <x:c r="J135" s="456"/>
      <x:c r="K135" s="986"/>
      <x:c r="L135" s="454"/>
      <x:c r="M135" s="439"/>
      <x:c r="N135" s="987" t="str">
        <x:f>IF(COUNTA($A135:$M135)=0,"",IF(OR(LEFT(LOWER(TRIM($F135&amp;"")),12)="subscription",LOWER(TRIM($F135&amp;""))="membership"),"",IF($G135="","",IF(ISNUMBER(SEARCH("non",LOWER($E135&amp;""))),$G135*0.85,$G135))))</x:f>
      </x:c>
      <x:c r="O135" s="987" t="str">
        <x:f>IF(COUNTA($A135:$M135)=0,"",IF(OR(LEFT(LOWER(TRIM($F135&amp;"")),12)="subscription",LOWER(TRIM($F135&amp;""))="membership"),"",IF(OR($N135="",$I135="",$I135=0),"",IFERROR($N135/$I135,""))))</x:f>
      </x:c>
      <x:c r="P135" s="987" t="str">
        <x:f>IF(COUNTA($A135:$M135)=0,"",IF(OR(LEFT(LOWER(TRIM($F135&amp;"")),12)="subscription",LOWER(TRIM($F135&amp;""))="membership"),"",IF(LOWER($L135&amp;"")="yes",0,IF(OR(AND($H135&lt;&gt;"",$H135=0),LEFT(LOWER(TRIM($F135&amp;"")),9)="free game",LOWER(TRIM($F135&amp;""))="free",LOWER(TRIM($F135&amp;""))="free entry"),IF(LOWER($D135&amp;"")="finalized",IF(ISNUMBER($K135),$K135,""),IF($O135&lt;&gt;"",$O135,"")),IF($K135&lt;&gt;"",$K135,IF($O135&lt;&gt;"",$O135,""))))))</x:f>
      </x:c>
      <x:c r="Q135" s="114" t="str">
        <x:f>IF(COUNTA($A135:$M135)=0,"",IF(OR($U135="Subscription",$U135=""),"",IF($U135="Profit",ROUND(IFERROR($P135,0)-IFERROR($H135,0),2),0)))</x:f>
      </x:c>
      <x:c r="R135" s="114" t="str">
        <x:f>IF(COUNTA($A135:$M135)=0,"",IF(OR($U135="Subscription",$U135=""),"",IF($U135="Draw",$H135,0)))</x:f>
      </x:c>
      <x:c r="S135" s="114" t="str">
        <x:f>IF(COUNTA($A135:$M135)=0,"",IF(OR($U135="Subscription",$U135=""),"",IF($U135="Disqualified",$H135,0)))</x:f>
      </x:c>
      <x:c r="T135" s="955" t="str">
        <x:f>IF(COUNTA($A135:$M135)=0,"",IF(OR($U135="Subscription",$U135=""),"",IF(OR($U135="Free Game",$U135="Disqualified — Free Game",$H135=0),"N/A",IF($U135="Profit",$Q135/$H135,IF($U135="Disqualified",-$S135/$H135,0)))))</x:f>
      </x:c>
      <x:c r="U135" s="920" t="str">
        <x:f>IF(COUNTA($A135:$M135)=0,"",IF(OR(LEFT(LOWER(TRIM($F135&amp;"")),12)="subscription",LOWER(TRIM($F135&amp;""))="membership"),"Subscription",IF(OR(AND($H135&lt;&gt;"",$H135=0),LEFT(LOWER(TRIM($F135&amp;"")),9)="free game",LOWER(TRIM($F135&amp;""))="free",LOWER(TRIM($F135&amp;""))="free entry"),IF(LOWER($L135&amp;"")="yes","Disqualified — Free Game","Free Game"),IF(LOWER($L135&amp;"")="yes","Disqualified",IF($P135="","",IF(ROUND(IFERROR(VALUE($P135),0)-IFERROR(VALUE($H135),0),2)&gt;0,"Profit","Draw"))))))</x:f>
      </x:c>
      <x:c r="V135" s="956" t="str">
        <x:f>IF(COUNTA($A135:$M135)=0,"",IF(OR($B135="",$C135="",$U135="Subscription"),"",IFERROR(ROUNDUP(($C135-$B135)/7,0),"")))</x:f>
      </x:c>
      <x:c r="W135" s="114" t="str">
        <x:f>IF(COUNTA($A135:$M135)=0,"",IF(OR($U135="Subscription",$U135=""),"",IF(OR($U135="Free Game",$U135="Disqualified — Free Game"),0,ROUND(IFERROR($Q135,0)-IFERROR($S135,0),2))))</x:f>
      </x:c>
      <x:c r="X135" s="956" t="str">
        <x:f>IF(COUNTA($A135:$M135)=0,"",IF(OR($U135="Subscription",NOT(ISNUMBER($J135)),NOT(ISNUMBER($I135)),$J135=0,$I135=0,$I135&gt;$J135),"",$J135-$I135))</x:f>
      </x:c>
      <x:c r="Y135" s="955" t="str">
        <x:f>IF(COUNTA($A135:$M135)=0,"",IF(OR($U135="Subscription",NOT(ISNUMBER($J135)),$J135=0,$X135=""),"",$X135/$J135))</x:f>
      </x:c>
      <x:c r="Z135" s="957" t="str">
        <x:f>IF(COUNTA($A135:$M135)=0,"",Instructions!$B$29+SUM($W$5:W135))</x:f>
      </x:c>
    </x:row>
    <x:row r="136" ht="36" customHeight="1">
      <x:c r="A136" s="439"/>
      <x:c r="B136" s="453"/>
      <x:c r="C136" s="453"/>
      <x:c r="D136" s="454"/>
      <x:c r="E136" s="454"/>
      <x:c r="F136" s="454"/>
      <x:c r="G136" s="986"/>
      <x:c r="H136" s="455"/>
      <x:c r="I136" s="456"/>
      <x:c r="J136" s="456"/>
      <x:c r="K136" s="986"/>
      <x:c r="L136" s="454"/>
      <x:c r="M136" s="439"/>
      <x:c r="N136" s="987" t="str">
        <x:f>IF(COUNTA($A136:$M136)=0,"",IF(OR(LEFT(LOWER(TRIM($F136&amp;"")),12)="subscription",LOWER(TRIM($F136&amp;""))="membership"),"",IF($G136="","",IF(ISNUMBER(SEARCH("non",LOWER($E136&amp;""))),$G136*0.85,$G136))))</x:f>
      </x:c>
      <x:c r="O136" s="987" t="str">
        <x:f>IF(COUNTA($A136:$M136)=0,"",IF(OR(LEFT(LOWER(TRIM($F136&amp;"")),12)="subscription",LOWER(TRIM($F136&amp;""))="membership"),"",IF(OR($N136="",$I136="",$I136=0),"",IFERROR($N136/$I136,""))))</x:f>
      </x:c>
      <x:c r="P136" s="987" t="str">
        <x:f>IF(COUNTA($A136:$M136)=0,"",IF(OR(LEFT(LOWER(TRIM($F136&amp;"")),12)="subscription",LOWER(TRIM($F136&amp;""))="membership"),"",IF(LOWER($L136&amp;"")="yes",0,IF(OR(AND($H136&lt;&gt;"",$H136=0),LEFT(LOWER(TRIM($F136&amp;"")),9)="free game",LOWER(TRIM($F136&amp;""))="free",LOWER(TRIM($F136&amp;""))="free entry"),IF(LOWER($D136&amp;"")="finalized",IF(ISNUMBER($K136),$K136,""),IF($O136&lt;&gt;"",$O136,"")),IF($K136&lt;&gt;"",$K136,IF($O136&lt;&gt;"",$O136,""))))))</x:f>
      </x:c>
      <x:c r="Q136" s="114" t="str">
        <x:f>IF(COUNTA($A136:$M136)=0,"",IF(OR($U136="Subscription",$U136=""),"",IF($U136="Profit",ROUND(IFERROR($P136,0)-IFERROR($H136,0),2),0)))</x:f>
      </x:c>
      <x:c r="R136" s="114" t="str">
        <x:f>IF(COUNTA($A136:$M136)=0,"",IF(OR($U136="Subscription",$U136=""),"",IF($U136="Draw",$H136,0)))</x:f>
      </x:c>
      <x:c r="S136" s="114" t="str">
        <x:f>IF(COUNTA($A136:$M136)=0,"",IF(OR($U136="Subscription",$U136=""),"",IF($U136="Disqualified",$H136,0)))</x:f>
      </x:c>
      <x:c r="T136" s="955" t="str">
        <x:f>IF(COUNTA($A136:$M136)=0,"",IF(OR($U136="Subscription",$U136=""),"",IF(OR($U136="Free Game",$U136="Disqualified — Free Game",$H136=0),"N/A",IF($U136="Profit",$Q136/$H136,IF($U136="Disqualified",-$S136/$H136,0)))))</x:f>
      </x:c>
      <x:c r="U136" s="920" t="str">
        <x:f>IF(COUNTA($A136:$M136)=0,"",IF(OR(LEFT(LOWER(TRIM($F136&amp;"")),12)="subscription",LOWER(TRIM($F136&amp;""))="membership"),"Subscription",IF(OR(AND($H136&lt;&gt;"",$H136=0),LEFT(LOWER(TRIM($F136&amp;"")),9)="free game",LOWER(TRIM($F136&amp;""))="free",LOWER(TRIM($F136&amp;""))="free entry"),IF(LOWER($L136&amp;"")="yes","Disqualified — Free Game","Free Game"),IF(LOWER($L136&amp;"")="yes","Disqualified",IF($P136="","",IF(ROUND(IFERROR(VALUE($P136),0)-IFERROR(VALUE($H136),0),2)&gt;0,"Profit","Draw"))))))</x:f>
      </x:c>
      <x:c r="V136" s="956" t="str">
        <x:f>IF(COUNTA($A136:$M136)=0,"",IF(OR($B136="",$C136="",$U136="Subscription"),"",IFERROR(ROUNDUP(($C136-$B136)/7,0),"")))</x:f>
      </x:c>
      <x:c r="W136" s="114" t="str">
        <x:f>IF(COUNTA($A136:$M136)=0,"",IF(OR($U136="Subscription",$U136=""),"",IF(OR($U136="Free Game",$U136="Disqualified — Free Game"),0,ROUND(IFERROR($Q136,0)-IFERROR($S136,0),2))))</x:f>
      </x:c>
      <x:c r="X136" s="956" t="str">
        <x:f>IF(COUNTA($A136:$M136)=0,"",IF(OR($U136="Subscription",NOT(ISNUMBER($J136)),NOT(ISNUMBER($I136)),$J136=0,$I136=0,$I136&gt;$J136),"",$J136-$I136))</x:f>
      </x:c>
      <x:c r="Y136" s="955" t="str">
        <x:f>IF(COUNTA($A136:$M136)=0,"",IF(OR($U136="Subscription",NOT(ISNUMBER($J136)),$J136=0,$X136=""),"",$X136/$J136))</x:f>
      </x:c>
      <x:c r="Z136" s="957" t="str">
        <x:f>IF(COUNTA($A136:$M136)=0,"",Instructions!$B$29+SUM($W$5:W136))</x:f>
      </x:c>
    </x:row>
    <x:row r="137" ht="36" customHeight="1">
      <x:c r="A137" s="439"/>
      <x:c r="B137" s="453"/>
      <x:c r="C137" s="453"/>
      <x:c r="D137" s="454"/>
      <x:c r="E137" s="454"/>
      <x:c r="F137" s="454"/>
      <x:c r="G137" s="986"/>
      <x:c r="H137" s="455"/>
      <x:c r="I137" s="456"/>
      <x:c r="J137" s="456"/>
      <x:c r="K137" s="986"/>
      <x:c r="L137" s="454"/>
      <x:c r="M137" s="439"/>
      <x:c r="N137" s="987" t="str">
        <x:f>IF(COUNTA($A137:$M137)=0,"",IF(OR(LEFT(LOWER(TRIM($F137&amp;"")),12)="subscription",LOWER(TRIM($F137&amp;""))="membership"),"",IF($G137="","",IF(ISNUMBER(SEARCH("non",LOWER($E137&amp;""))),$G137*0.85,$G137))))</x:f>
      </x:c>
      <x:c r="O137" s="987" t="str">
        <x:f>IF(COUNTA($A137:$M137)=0,"",IF(OR(LEFT(LOWER(TRIM($F137&amp;"")),12)="subscription",LOWER(TRIM($F137&amp;""))="membership"),"",IF(OR($N137="",$I137="",$I137=0),"",IFERROR($N137/$I137,""))))</x:f>
      </x:c>
      <x:c r="P137" s="987" t="str">
        <x:f>IF(COUNTA($A137:$M137)=0,"",IF(OR(LEFT(LOWER(TRIM($F137&amp;"")),12)="subscription",LOWER(TRIM($F137&amp;""))="membership"),"",IF(LOWER($L137&amp;"")="yes",0,IF(OR(AND($H137&lt;&gt;"",$H137=0),LEFT(LOWER(TRIM($F137&amp;"")),9)="free game",LOWER(TRIM($F137&amp;""))="free",LOWER(TRIM($F137&amp;""))="free entry"),IF(LOWER($D137&amp;"")="finalized",IF(ISNUMBER($K137),$K137,""),IF($O137&lt;&gt;"",$O137,"")),IF($K137&lt;&gt;"",$K137,IF($O137&lt;&gt;"",$O137,""))))))</x:f>
      </x:c>
      <x:c r="Q137" s="114" t="str">
        <x:f>IF(COUNTA($A137:$M137)=0,"",IF(OR($U137="Subscription",$U137=""),"",IF($U137="Profit",ROUND(IFERROR($P137,0)-IFERROR($H137,0),2),0)))</x:f>
      </x:c>
      <x:c r="R137" s="114" t="str">
        <x:f>IF(COUNTA($A137:$M137)=0,"",IF(OR($U137="Subscription",$U137=""),"",IF($U137="Draw",$H137,0)))</x:f>
      </x:c>
      <x:c r="S137" s="114" t="str">
        <x:f>IF(COUNTA($A137:$M137)=0,"",IF(OR($U137="Subscription",$U137=""),"",IF($U137="Disqualified",$H137,0)))</x:f>
      </x:c>
      <x:c r="T137" s="955" t="str">
        <x:f>IF(COUNTA($A137:$M137)=0,"",IF(OR($U137="Subscription",$U137=""),"",IF(OR($U137="Free Game",$U137="Disqualified — Free Game",$H137=0),"N/A",IF($U137="Profit",$Q137/$H137,IF($U137="Disqualified",-$S137/$H137,0)))))</x:f>
      </x:c>
      <x:c r="U137" s="920" t="str">
        <x:f>IF(COUNTA($A137:$M137)=0,"",IF(OR(LEFT(LOWER(TRIM($F137&amp;"")),12)="subscription",LOWER(TRIM($F137&amp;""))="membership"),"Subscription",IF(OR(AND($H137&lt;&gt;"",$H137=0),LEFT(LOWER(TRIM($F137&amp;"")),9)="free game",LOWER(TRIM($F137&amp;""))="free",LOWER(TRIM($F137&amp;""))="free entry"),IF(LOWER($L137&amp;"")="yes","Disqualified — Free Game","Free Game"),IF(LOWER($L137&amp;"")="yes","Disqualified",IF($P137="","",IF(ROUND(IFERROR(VALUE($P137),0)-IFERROR(VALUE($H137),0),2)&gt;0,"Profit","Draw"))))))</x:f>
      </x:c>
      <x:c r="V137" s="956" t="str">
        <x:f>IF(COUNTA($A137:$M137)=0,"",IF(OR($B137="",$C137="",$U137="Subscription"),"",IFERROR(ROUNDUP(($C137-$B137)/7,0),"")))</x:f>
      </x:c>
      <x:c r="W137" s="114" t="str">
        <x:f>IF(COUNTA($A137:$M137)=0,"",IF(OR($U137="Subscription",$U137=""),"",IF(OR($U137="Free Game",$U137="Disqualified — Free Game"),0,ROUND(IFERROR($Q137,0)-IFERROR($S137,0),2))))</x:f>
      </x:c>
      <x:c r="X137" s="956" t="str">
        <x:f>IF(COUNTA($A137:$M137)=0,"",IF(OR($U137="Subscription",NOT(ISNUMBER($J137)),NOT(ISNUMBER($I137)),$J137=0,$I137=0,$I137&gt;$J137),"",$J137-$I137))</x:f>
      </x:c>
      <x:c r="Y137" s="955" t="str">
        <x:f>IF(COUNTA($A137:$M137)=0,"",IF(OR($U137="Subscription",NOT(ISNUMBER($J137)),$J137=0,$X137=""),"",$X137/$J137))</x:f>
      </x:c>
      <x:c r="Z137" s="957" t="str">
        <x:f>IF(COUNTA($A137:$M137)=0,"",Instructions!$B$29+SUM($W$5:W137))</x:f>
      </x:c>
    </x:row>
    <x:row r="138" ht="36" customHeight="1">
      <x:c r="A138" s="439"/>
      <x:c r="B138" s="453"/>
      <x:c r="C138" s="453"/>
      <x:c r="D138" s="454"/>
      <x:c r="E138" s="454"/>
      <x:c r="F138" s="454"/>
      <x:c r="G138" s="986"/>
      <x:c r="H138" s="455"/>
      <x:c r="I138" s="456"/>
      <x:c r="J138" s="456"/>
      <x:c r="K138" s="986"/>
      <x:c r="L138" s="454"/>
      <x:c r="M138" s="439"/>
      <x:c r="N138" s="987" t="str">
        <x:f>IF(COUNTA($A138:$M138)=0,"",IF(OR(LEFT(LOWER(TRIM($F138&amp;"")),12)="subscription",LOWER(TRIM($F138&amp;""))="membership"),"",IF($G138="","",IF(ISNUMBER(SEARCH("non",LOWER($E138&amp;""))),$G138*0.85,$G138))))</x:f>
      </x:c>
      <x:c r="O138" s="987" t="str">
        <x:f>IF(COUNTA($A138:$M138)=0,"",IF(OR(LEFT(LOWER(TRIM($F138&amp;"")),12)="subscription",LOWER(TRIM($F138&amp;""))="membership"),"",IF(OR($N138="",$I138="",$I138=0),"",IFERROR($N138/$I138,""))))</x:f>
      </x:c>
      <x:c r="P138" s="987" t="str">
        <x:f>IF(COUNTA($A138:$M138)=0,"",IF(OR(LEFT(LOWER(TRIM($F138&amp;"")),12)="subscription",LOWER(TRIM($F138&amp;""))="membership"),"",IF(LOWER($L138&amp;"")="yes",0,IF(OR(AND($H138&lt;&gt;"",$H138=0),LEFT(LOWER(TRIM($F138&amp;"")),9)="free game",LOWER(TRIM($F138&amp;""))="free",LOWER(TRIM($F138&amp;""))="free entry"),IF(LOWER($D138&amp;"")="finalized",IF(ISNUMBER($K138),$K138,""),IF($O138&lt;&gt;"",$O138,"")),IF($K138&lt;&gt;"",$K138,IF($O138&lt;&gt;"",$O138,""))))))</x:f>
      </x:c>
      <x:c r="Q138" s="114" t="str">
        <x:f>IF(COUNTA($A138:$M138)=0,"",IF(OR($U138="Subscription",$U138=""),"",IF($U138="Profit",ROUND(IFERROR($P138,0)-IFERROR($H138,0),2),0)))</x:f>
      </x:c>
      <x:c r="R138" s="114" t="str">
        <x:f>IF(COUNTA($A138:$M138)=0,"",IF(OR($U138="Subscription",$U138=""),"",IF($U138="Draw",$H138,0)))</x:f>
      </x:c>
      <x:c r="S138" s="114" t="str">
        <x:f>IF(COUNTA($A138:$M138)=0,"",IF(OR($U138="Subscription",$U138=""),"",IF($U138="Disqualified",$H138,0)))</x:f>
      </x:c>
      <x:c r="T138" s="955" t="str">
        <x:f>IF(COUNTA($A138:$M138)=0,"",IF(OR($U138="Subscription",$U138=""),"",IF(OR($U138="Free Game",$U138="Disqualified — Free Game",$H138=0),"N/A",IF($U138="Profit",$Q138/$H138,IF($U138="Disqualified",-$S138/$H138,0)))))</x:f>
      </x:c>
      <x:c r="U138" s="920" t="str">
        <x:f>IF(COUNTA($A138:$M138)=0,"",IF(OR(LEFT(LOWER(TRIM($F138&amp;"")),12)="subscription",LOWER(TRIM($F138&amp;""))="membership"),"Subscription",IF(OR(AND($H138&lt;&gt;"",$H138=0),LEFT(LOWER(TRIM($F138&amp;"")),9)="free game",LOWER(TRIM($F138&amp;""))="free",LOWER(TRIM($F138&amp;""))="free entry"),IF(LOWER($L138&amp;"")="yes","Disqualified — Free Game","Free Game"),IF(LOWER($L138&amp;"")="yes","Disqualified",IF($P138="","",IF(ROUND(IFERROR(VALUE($P138),0)-IFERROR(VALUE($H138),0),2)&gt;0,"Profit","Draw"))))))</x:f>
      </x:c>
      <x:c r="V138" s="956" t="str">
        <x:f>IF(COUNTA($A138:$M138)=0,"",IF(OR($B138="",$C138="",$U138="Subscription"),"",IFERROR(ROUNDUP(($C138-$B138)/7,0),"")))</x:f>
      </x:c>
      <x:c r="W138" s="114" t="str">
        <x:f>IF(COUNTA($A138:$M138)=0,"",IF(OR($U138="Subscription",$U138=""),"",IF(OR($U138="Free Game",$U138="Disqualified — Free Game"),0,ROUND(IFERROR($Q138,0)-IFERROR($S138,0),2))))</x:f>
      </x:c>
      <x:c r="X138" s="956" t="str">
        <x:f>IF(COUNTA($A138:$M138)=0,"",IF(OR($U138="Subscription",NOT(ISNUMBER($J138)),NOT(ISNUMBER($I138)),$J138=0,$I138=0,$I138&gt;$J138),"",$J138-$I138))</x:f>
      </x:c>
      <x:c r="Y138" s="955" t="str">
        <x:f>IF(COUNTA($A138:$M138)=0,"",IF(OR($U138="Subscription",NOT(ISNUMBER($J138)),$J138=0,$X138=""),"",$X138/$J138))</x:f>
      </x:c>
      <x:c r="Z138" s="957" t="str">
        <x:f>IF(COUNTA($A138:$M138)=0,"",Instructions!$B$29+SUM($W$5:W138))</x:f>
      </x:c>
    </x:row>
    <x:row r="139" ht="36" customHeight="1">
      <x:c r="A139" s="439"/>
      <x:c r="B139" s="453"/>
      <x:c r="C139" s="453"/>
      <x:c r="D139" s="454"/>
      <x:c r="E139" s="454"/>
      <x:c r="F139" s="454"/>
      <x:c r="G139" s="986"/>
      <x:c r="H139" s="455"/>
      <x:c r="I139" s="456"/>
      <x:c r="J139" s="456"/>
      <x:c r="K139" s="986"/>
      <x:c r="L139" s="454"/>
      <x:c r="M139" s="439"/>
      <x:c r="N139" s="987" t="str">
        <x:f>IF(COUNTA($A139:$M139)=0,"",IF(OR(LEFT(LOWER(TRIM($F139&amp;"")),12)="subscription",LOWER(TRIM($F139&amp;""))="membership"),"",IF($G139="","",IF(ISNUMBER(SEARCH("non",LOWER($E139&amp;""))),$G139*0.85,$G139))))</x:f>
      </x:c>
      <x:c r="O139" s="987" t="str">
        <x:f>IF(COUNTA($A139:$M139)=0,"",IF(OR(LEFT(LOWER(TRIM($F139&amp;"")),12)="subscription",LOWER(TRIM($F139&amp;""))="membership"),"",IF(OR($N139="",$I139="",$I139=0),"",IFERROR($N139/$I139,""))))</x:f>
      </x:c>
      <x:c r="P139" s="987" t="str">
        <x:f>IF(COUNTA($A139:$M139)=0,"",IF(OR(LEFT(LOWER(TRIM($F139&amp;"")),12)="subscription",LOWER(TRIM($F139&amp;""))="membership"),"",IF(LOWER($L139&amp;"")="yes",0,IF(OR(AND($H139&lt;&gt;"",$H139=0),LEFT(LOWER(TRIM($F139&amp;"")),9)="free game",LOWER(TRIM($F139&amp;""))="free",LOWER(TRIM($F139&amp;""))="free entry"),IF(LOWER($D139&amp;"")="finalized",IF(ISNUMBER($K139),$K139,""),IF($O139&lt;&gt;"",$O139,"")),IF($K139&lt;&gt;"",$K139,IF($O139&lt;&gt;"",$O139,""))))))</x:f>
      </x:c>
      <x:c r="Q139" s="114" t="str">
        <x:f>IF(COUNTA($A139:$M139)=0,"",IF(OR($U139="Subscription",$U139=""),"",IF($U139="Profit",ROUND(IFERROR($P139,0)-IFERROR($H139,0),2),0)))</x:f>
      </x:c>
      <x:c r="R139" s="114" t="str">
        <x:f>IF(COUNTA($A139:$M139)=0,"",IF(OR($U139="Subscription",$U139=""),"",IF($U139="Draw",$H139,0)))</x:f>
      </x:c>
      <x:c r="S139" s="114" t="str">
        <x:f>IF(COUNTA($A139:$M139)=0,"",IF(OR($U139="Subscription",$U139=""),"",IF($U139="Disqualified",$H139,0)))</x:f>
      </x:c>
      <x:c r="T139" s="955" t="str">
        <x:f>IF(COUNTA($A139:$M139)=0,"",IF(OR($U139="Subscription",$U139=""),"",IF(OR($U139="Free Game",$U139="Disqualified — Free Game",$H139=0),"N/A",IF($U139="Profit",$Q139/$H139,IF($U139="Disqualified",-$S139/$H139,0)))))</x:f>
      </x:c>
      <x:c r="U139" s="920" t="str">
        <x:f>IF(COUNTA($A139:$M139)=0,"",IF(OR(LEFT(LOWER(TRIM($F139&amp;"")),12)="subscription",LOWER(TRIM($F139&amp;""))="membership"),"Subscription",IF(OR(AND($H139&lt;&gt;"",$H139=0),LEFT(LOWER(TRIM($F139&amp;"")),9)="free game",LOWER(TRIM($F139&amp;""))="free",LOWER(TRIM($F139&amp;""))="free entry"),IF(LOWER($L139&amp;"")="yes","Disqualified — Free Game","Free Game"),IF(LOWER($L139&amp;"")="yes","Disqualified",IF($P139="","",IF(ROUND(IFERROR(VALUE($P139),0)-IFERROR(VALUE($H139),0),2)&gt;0,"Profit","Draw"))))))</x:f>
      </x:c>
      <x:c r="V139" s="956" t="str">
        <x:f>IF(COUNTA($A139:$M139)=0,"",IF(OR($B139="",$C139="",$U139="Subscription"),"",IFERROR(ROUNDUP(($C139-$B139)/7,0),"")))</x:f>
      </x:c>
      <x:c r="W139" s="114" t="str">
        <x:f>IF(COUNTA($A139:$M139)=0,"",IF(OR($U139="Subscription",$U139=""),"",IF(OR($U139="Free Game",$U139="Disqualified — Free Game"),0,ROUND(IFERROR($Q139,0)-IFERROR($S139,0),2))))</x:f>
      </x:c>
      <x:c r="X139" s="956" t="str">
        <x:f>IF(COUNTA($A139:$M139)=0,"",IF(OR($U139="Subscription",NOT(ISNUMBER($J139)),NOT(ISNUMBER($I139)),$J139=0,$I139=0,$I139&gt;$J139),"",$J139-$I139))</x:f>
      </x:c>
      <x:c r="Y139" s="955" t="str">
        <x:f>IF(COUNTA($A139:$M139)=0,"",IF(OR($U139="Subscription",NOT(ISNUMBER($J139)),$J139=0,$X139=""),"",$X139/$J139))</x:f>
      </x:c>
      <x:c r="Z139" s="957" t="str">
        <x:f>IF(COUNTA($A139:$M139)=0,"",Instructions!$B$29+SUM($W$5:W139))</x:f>
      </x:c>
    </x:row>
    <x:row r="140" ht="36" customHeight="1">
      <x:c r="A140" s="439"/>
      <x:c r="B140" s="453"/>
      <x:c r="C140" s="453"/>
      <x:c r="D140" s="454"/>
      <x:c r="E140" s="454"/>
      <x:c r="F140" s="454"/>
      <x:c r="G140" s="986"/>
      <x:c r="H140" s="455"/>
      <x:c r="I140" s="456"/>
      <x:c r="J140" s="456"/>
      <x:c r="K140" s="986"/>
      <x:c r="L140" s="454"/>
      <x:c r="M140" s="439"/>
      <x:c r="N140" s="987" t="str">
        <x:f>IF(COUNTA($A140:$M140)=0,"",IF(OR(LEFT(LOWER(TRIM($F140&amp;"")),12)="subscription",LOWER(TRIM($F140&amp;""))="membership"),"",IF($G140="","",IF(ISNUMBER(SEARCH("non",LOWER($E140&amp;""))),$G140*0.85,$G140))))</x:f>
      </x:c>
      <x:c r="O140" s="987" t="str">
        <x:f>IF(COUNTA($A140:$M140)=0,"",IF(OR(LEFT(LOWER(TRIM($F140&amp;"")),12)="subscription",LOWER(TRIM($F140&amp;""))="membership"),"",IF(OR($N140="",$I140="",$I140=0),"",IFERROR($N140/$I140,""))))</x:f>
      </x:c>
      <x:c r="P140" s="987" t="str">
        <x:f>IF(COUNTA($A140:$M140)=0,"",IF(OR(LEFT(LOWER(TRIM($F140&amp;"")),12)="subscription",LOWER(TRIM($F140&amp;""))="membership"),"",IF(LOWER($L140&amp;"")="yes",0,IF(OR(AND($H140&lt;&gt;"",$H140=0),LEFT(LOWER(TRIM($F140&amp;"")),9)="free game",LOWER(TRIM($F140&amp;""))="free",LOWER(TRIM($F140&amp;""))="free entry"),IF(LOWER($D140&amp;"")="finalized",IF(ISNUMBER($K140),$K140,""),IF($O140&lt;&gt;"",$O140,"")),IF($K140&lt;&gt;"",$K140,IF($O140&lt;&gt;"",$O140,""))))))</x:f>
      </x:c>
      <x:c r="Q140" s="114" t="str">
        <x:f>IF(COUNTA($A140:$M140)=0,"",IF(OR($U140="Subscription",$U140=""),"",IF($U140="Profit",ROUND(IFERROR($P140,0)-IFERROR($H140,0),2),0)))</x:f>
      </x:c>
      <x:c r="R140" s="114" t="str">
        <x:f>IF(COUNTA($A140:$M140)=0,"",IF(OR($U140="Subscription",$U140=""),"",IF($U140="Draw",$H140,0)))</x:f>
      </x:c>
      <x:c r="S140" s="114" t="str">
        <x:f>IF(COUNTA($A140:$M140)=0,"",IF(OR($U140="Subscription",$U140=""),"",IF($U140="Disqualified",$H140,0)))</x:f>
      </x:c>
      <x:c r="T140" s="955" t="str">
        <x:f>IF(COUNTA($A140:$M140)=0,"",IF(OR($U140="Subscription",$U140=""),"",IF(OR($U140="Free Game",$U140="Disqualified — Free Game",$H140=0),"N/A",IF($U140="Profit",$Q140/$H140,IF($U140="Disqualified",-$S140/$H140,0)))))</x:f>
      </x:c>
      <x:c r="U140" s="920" t="str">
        <x:f>IF(COUNTA($A140:$M140)=0,"",IF(OR(LEFT(LOWER(TRIM($F140&amp;"")),12)="subscription",LOWER(TRIM($F140&amp;""))="membership"),"Subscription",IF(OR(AND($H140&lt;&gt;"",$H140=0),LEFT(LOWER(TRIM($F140&amp;"")),9)="free game",LOWER(TRIM($F140&amp;""))="free",LOWER(TRIM($F140&amp;""))="free entry"),IF(LOWER($L140&amp;"")="yes","Disqualified — Free Game","Free Game"),IF(LOWER($L140&amp;"")="yes","Disqualified",IF($P140="","",IF(ROUND(IFERROR(VALUE($P140),0)-IFERROR(VALUE($H140),0),2)&gt;0,"Profit","Draw"))))))</x:f>
      </x:c>
      <x:c r="V140" s="956" t="str">
        <x:f>IF(COUNTA($A140:$M140)=0,"",IF(OR($B140="",$C140="",$U140="Subscription"),"",IFERROR(ROUNDUP(($C140-$B140)/7,0),"")))</x:f>
      </x:c>
      <x:c r="W140" s="114" t="str">
        <x:f>IF(COUNTA($A140:$M140)=0,"",IF(OR($U140="Subscription",$U140=""),"",IF(OR($U140="Free Game",$U140="Disqualified — Free Game"),0,ROUND(IFERROR($Q140,0)-IFERROR($S140,0),2))))</x:f>
      </x:c>
      <x:c r="X140" s="956" t="str">
        <x:f>IF(COUNTA($A140:$M140)=0,"",IF(OR($U140="Subscription",NOT(ISNUMBER($J140)),NOT(ISNUMBER($I140)),$J140=0,$I140=0,$I140&gt;$J140),"",$J140-$I140))</x:f>
      </x:c>
      <x:c r="Y140" s="955" t="str">
        <x:f>IF(COUNTA($A140:$M140)=0,"",IF(OR($U140="Subscription",NOT(ISNUMBER($J140)),$J140=0,$X140=""),"",$X140/$J140))</x:f>
      </x:c>
      <x:c r="Z140" s="957" t="str">
        <x:f>IF(COUNTA($A140:$M140)=0,"",Instructions!$B$29+SUM($W$5:W140))</x:f>
      </x:c>
    </x:row>
    <x:row r="141" ht="36" customHeight="1">
      <x:c r="A141" s="439"/>
      <x:c r="B141" s="453"/>
      <x:c r="C141" s="453"/>
      <x:c r="D141" s="454"/>
      <x:c r="E141" s="454"/>
      <x:c r="F141" s="454"/>
      <x:c r="G141" s="986"/>
      <x:c r="H141" s="455"/>
      <x:c r="I141" s="456"/>
      <x:c r="J141" s="456"/>
      <x:c r="K141" s="986"/>
      <x:c r="L141" s="454"/>
      <x:c r="M141" s="439"/>
      <x:c r="N141" s="987" t="str">
        <x:f>IF(COUNTA($A141:$M141)=0,"",IF(OR(LEFT(LOWER(TRIM($F141&amp;"")),12)="subscription",LOWER(TRIM($F141&amp;""))="membership"),"",IF($G141="","",IF(ISNUMBER(SEARCH("non",LOWER($E141&amp;""))),$G141*0.85,$G141))))</x:f>
      </x:c>
      <x:c r="O141" s="987" t="str">
        <x:f>IF(COUNTA($A141:$M141)=0,"",IF(OR(LEFT(LOWER(TRIM($F141&amp;"")),12)="subscription",LOWER(TRIM($F141&amp;""))="membership"),"",IF(OR($N141="",$I141="",$I141=0),"",IFERROR($N141/$I141,""))))</x:f>
      </x:c>
      <x:c r="P141" s="987" t="str">
        <x:f>IF(COUNTA($A141:$M141)=0,"",IF(OR(LEFT(LOWER(TRIM($F141&amp;"")),12)="subscription",LOWER(TRIM($F141&amp;""))="membership"),"",IF(LOWER($L141&amp;"")="yes",0,IF(OR(AND($H141&lt;&gt;"",$H141=0),LEFT(LOWER(TRIM($F141&amp;"")),9)="free game",LOWER(TRIM($F141&amp;""))="free",LOWER(TRIM($F141&amp;""))="free entry"),IF(LOWER($D141&amp;"")="finalized",IF(ISNUMBER($K141),$K141,""),IF($O141&lt;&gt;"",$O141,"")),IF($K141&lt;&gt;"",$K141,IF($O141&lt;&gt;"",$O141,""))))))</x:f>
      </x:c>
      <x:c r="Q141" s="114" t="str">
        <x:f>IF(COUNTA($A141:$M141)=0,"",IF(OR($U141="Subscription",$U141=""),"",IF($U141="Profit",ROUND(IFERROR($P141,0)-IFERROR($H141,0),2),0)))</x:f>
      </x:c>
      <x:c r="R141" s="114" t="str">
        <x:f>IF(COUNTA($A141:$M141)=0,"",IF(OR($U141="Subscription",$U141=""),"",IF($U141="Draw",$H141,0)))</x:f>
      </x:c>
      <x:c r="S141" s="114" t="str">
        <x:f>IF(COUNTA($A141:$M141)=0,"",IF(OR($U141="Subscription",$U141=""),"",IF($U141="Disqualified",$H141,0)))</x:f>
      </x:c>
      <x:c r="T141" s="955" t="str">
        <x:f>IF(COUNTA($A141:$M141)=0,"",IF(OR($U141="Subscription",$U141=""),"",IF(OR($U141="Free Game",$U141="Disqualified — Free Game",$H141=0),"N/A",IF($U141="Profit",$Q141/$H141,IF($U141="Disqualified",-$S141/$H141,0)))))</x:f>
      </x:c>
      <x:c r="U141" s="920" t="str">
        <x:f>IF(COUNTA($A141:$M141)=0,"",IF(OR(LEFT(LOWER(TRIM($F141&amp;"")),12)="subscription",LOWER(TRIM($F141&amp;""))="membership"),"Subscription",IF(OR(AND($H141&lt;&gt;"",$H141=0),LEFT(LOWER(TRIM($F141&amp;"")),9)="free game",LOWER(TRIM($F141&amp;""))="free",LOWER(TRIM($F141&amp;""))="free entry"),IF(LOWER($L141&amp;"")="yes","Disqualified — Free Game","Free Game"),IF(LOWER($L141&amp;"")="yes","Disqualified",IF($P141="","",IF(ROUND(IFERROR(VALUE($P141),0)-IFERROR(VALUE($H141),0),2)&gt;0,"Profit","Draw"))))))</x:f>
      </x:c>
      <x:c r="V141" s="956" t="str">
        <x:f>IF(COUNTA($A141:$M141)=0,"",IF(OR($B141="",$C141="",$U141="Subscription"),"",IFERROR(ROUNDUP(($C141-$B141)/7,0),"")))</x:f>
      </x:c>
      <x:c r="W141" s="114" t="str">
        <x:f>IF(COUNTA($A141:$M141)=0,"",IF(OR($U141="Subscription",$U141=""),"",IF(OR($U141="Free Game",$U141="Disqualified — Free Game"),0,ROUND(IFERROR($Q141,0)-IFERROR($S141,0),2))))</x:f>
      </x:c>
      <x:c r="X141" s="956" t="str">
        <x:f>IF(COUNTA($A141:$M141)=0,"",IF(OR($U141="Subscription",NOT(ISNUMBER($J141)),NOT(ISNUMBER($I141)),$J141=0,$I141=0,$I141&gt;$J141),"",$J141-$I141))</x:f>
      </x:c>
      <x:c r="Y141" s="955" t="str">
        <x:f>IF(COUNTA($A141:$M141)=0,"",IF(OR($U141="Subscription",NOT(ISNUMBER($J141)),$J141=0,$X141=""),"",$X141/$J141))</x:f>
      </x:c>
      <x:c r="Z141" s="957" t="str">
        <x:f>IF(COUNTA($A141:$M141)=0,"",Instructions!$B$29+SUM($W$5:W141))</x:f>
      </x:c>
    </x:row>
    <x:row r="142" ht="36" customHeight="1">
      <x:c r="A142" s="439"/>
      <x:c r="B142" s="453"/>
      <x:c r="C142" s="453"/>
      <x:c r="D142" s="454"/>
      <x:c r="E142" s="454"/>
      <x:c r="F142" s="454"/>
      <x:c r="G142" s="986"/>
      <x:c r="H142" s="455"/>
      <x:c r="I142" s="456"/>
      <x:c r="J142" s="456"/>
      <x:c r="K142" s="986"/>
      <x:c r="L142" s="454"/>
      <x:c r="M142" s="439"/>
      <x:c r="N142" s="987" t="str">
        <x:f>IF(COUNTA($A142:$M142)=0,"",IF(OR(LEFT(LOWER(TRIM($F142&amp;"")),12)="subscription",LOWER(TRIM($F142&amp;""))="membership"),"",IF($G142="","",IF(ISNUMBER(SEARCH("non",LOWER($E142&amp;""))),$G142*0.85,$G142))))</x:f>
      </x:c>
      <x:c r="O142" s="987" t="str">
        <x:f>IF(COUNTA($A142:$M142)=0,"",IF(OR(LEFT(LOWER(TRIM($F142&amp;"")),12)="subscription",LOWER(TRIM($F142&amp;""))="membership"),"",IF(OR($N142="",$I142="",$I142=0),"",IFERROR($N142/$I142,""))))</x:f>
      </x:c>
      <x:c r="P142" s="987" t="str">
        <x:f>IF(COUNTA($A142:$M142)=0,"",IF(OR(LEFT(LOWER(TRIM($F142&amp;"")),12)="subscription",LOWER(TRIM($F142&amp;""))="membership"),"",IF(LOWER($L142&amp;"")="yes",0,IF(OR(AND($H142&lt;&gt;"",$H142=0),LEFT(LOWER(TRIM($F142&amp;"")),9)="free game",LOWER(TRIM($F142&amp;""))="free",LOWER(TRIM($F142&amp;""))="free entry"),IF(LOWER($D142&amp;"")="finalized",IF(ISNUMBER($K142),$K142,""),IF($O142&lt;&gt;"",$O142,"")),IF($K142&lt;&gt;"",$K142,IF($O142&lt;&gt;"",$O142,""))))))</x:f>
      </x:c>
      <x:c r="Q142" s="114" t="str">
        <x:f>IF(COUNTA($A142:$M142)=0,"",IF(OR($U142="Subscription",$U142=""),"",IF($U142="Profit",ROUND(IFERROR($P142,0)-IFERROR($H142,0),2),0)))</x:f>
      </x:c>
      <x:c r="R142" s="114" t="str">
        <x:f>IF(COUNTA($A142:$M142)=0,"",IF(OR($U142="Subscription",$U142=""),"",IF($U142="Draw",$H142,0)))</x:f>
      </x:c>
      <x:c r="S142" s="114" t="str">
        <x:f>IF(COUNTA($A142:$M142)=0,"",IF(OR($U142="Subscription",$U142=""),"",IF($U142="Disqualified",$H142,0)))</x:f>
      </x:c>
      <x:c r="T142" s="955" t="str">
        <x:f>IF(COUNTA($A142:$M142)=0,"",IF(OR($U142="Subscription",$U142=""),"",IF(OR($U142="Free Game",$U142="Disqualified — Free Game",$H142=0),"N/A",IF($U142="Profit",$Q142/$H142,IF($U142="Disqualified",-$S142/$H142,0)))))</x:f>
      </x:c>
      <x:c r="U142" s="920" t="str">
        <x:f>IF(COUNTA($A142:$M142)=0,"",IF(OR(LEFT(LOWER(TRIM($F142&amp;"")),12)="subscription",LOWER(TRIM($F142&amp;""))="membership"),"Subscription",IF(OR(AND($H142&lt;&gt;"",$H142=0),LEFT(LOWER(TRIM($F142&amp;"")),9)="free game",LOWER(TRIM($F142&amp;""))="free",LOWER(TRIM($F142&amp;""))="free entry"),IF(LOWER($L142&amp;"")="yes","Disqualified — Free Game","Free Game"),IF(LOWER($L142&amp;"")="yes","Disqualified",IF($P142="","",IF(ROUND(IFERROR(VALUE($P142),0)-IFERROR(VALUE($H142),0),2)&gt;0,"Profit","Draw"))))))</x:f>
      </x:c>
      <x:c r="V142" s="956" t="str">
        <x:f>IF(COUNTA($A142:$M142)=0,"",IF(OR($B142="",$C142="",$U142="Subscription"),"",IFERROR(ROUNDUP(($C142-$B142)/7,0),"")))</x:f>
      </x:c>
      <x:c r="W142" s="114" t="str">
        <x:f>IF(COUNTA($A142:$M142)=0,"",IF(OR($U142="Subscription",$U142=""),"",IF(OR($U142="Free Game",$U142="Disqualified — Free Game"),0,ROUND(IFERROR($Q142,0)-IFERROR($S142,0),2))))</x:f>
      </x:c>
      <x:c r="X142" s="956" t="str">
        <x:f>IF(COUNTA($A142:$M142)=0,"",IF(OR($U142="Subscription",NOT(ISNUMBER($J142)),NOT(ISNUMBER($I142)),$J142=0,$I142=0,$I142&gt;$J142),"",$J142-$I142))</x:f>
      </x:c>
      <x:c r="Y142" s="955" t="str">
        <x:f>IF(COUNTA($A142:$M142)=0,"",IF(OR($U142="Subscription",NOT(ISNUMBER($J142)),$J142=0,$X142=""),"",$X142/$J142))</x:f>
      </x:c>
      <x:c r="Z142" s="957" t="str">
        <x:f>IF(COUNTA($A142:$M142)=0,"",Instructions!$B$29+SUM($W$5:W142))</x:f>
      </x:c>
    </x:row>
    <x:row r="143" ht="36" customHeight="1">
      <x:c r="A143" s="439"/>
      <x:c r="B143" s="453"/>
      <x:c r="C143" s="453"/>
      <x:c r="D143" s="454"/>
      <x:c r="E143" s="454"/>
      <x:c r="F143" s="454"/>
      <x:c r="G143" s="986"/>
      <x:c r="H143" s="455"/>
      <x:c r="I143" s="456"/>
      <x:c r="J143" s="456"/>
      <x:c r="K143" s="986"/>
      <x:c r="L143" s="454"/>
      <x:c r="M143" s="439"/>
      <x:c r="N143" s="987" t="str">
        <x:f>IF(COUNTA($A143:$M143)=0,"",IF(OR(LEFT(LOWER(TRIM($F143&amp;"")),12)="subscription",LOWER(TRIM($F143&amp;""))="membership"),"",IF($G143="","",IF(ISNUMBER(SEARCH("non",LOWER($E143&amp;""))),$G143*0.85,$G143))))</x:f>
      </x:c>
      <x:c r="O143" s="987" t="str">
        <x:f>IF(COUNTA($A143:$M143)=0,"",IF(OR(LEFT(LOWER(TRIM($F143&amp;"")),12)="subscription",LOWER(TRIM($F143&amp;""))="membership"),"",IF(OR($N143="",$I143="",$I143=0),"",IFERROR($N143/$I143,""))))</x:f>
      </x:c>
      <x:c r="P143" s="987" t="str">
        <x:f>IF(COUNTA($A143:$M143)=0,"",IF(OR(LEFT(LOWER(TRIM($F143&amp;"")),12)="subscription",LOWER(TRIM($F143&amp;""))="membership"),"",IF(LOWER($L143&amp;"")="yes",0,IF(OR(AND($H143&lt;&gt;"",$H143=0),LEFT(LOWER(TRIM($F143&amp;"")),9)="free game",LOWER(TRIM($F143&amp;""))="free",LOWER(TRIM($F143&amp;""))="free entry"),IF(LOWER($D143&amp;"")="finalized",IF(ISNUMBER($K143),$K143,""),IF($O143&lt;&gt;"",$O143,"")),IF($K143&lt;&gt;"",$K143,IF($O143&lt;&gt;"",$O143,""))))))</x:f>
      </x:c>
      <x:c r="Q143" s="114" t="str">
        <x:f>IF(COUNTA($A143:$M143)=0,"",IF(OR($U143="Subscription",$U143=""),"",IF($U143="Profit",ROUND(IFERROR($P143,0)-IFERROR($H143,0),2),0)))</x:f>
      </x:c>
      <x:c r="R143" s="114" t="str">
        <x:f>IF(COUNTA($A143:$M143)=0,"",IF(OR($U143="Subscription",$U143=""),"",IF($U143="Draw",$H143,0)))</x:f>
      </x:c>
      <x:c r="S143" s="114" t="str">
        <x:f>IF(COUNTA($A143:$M143)=0,"",IF(OR($U143="Subscription",$U143=""),"",IF($U143="Disqualified",$H143,0)))</x:f>
      </x:c>
      <x:c r="T143" s="955" t="str">
        <x:f>IF(COUNTA($A143:$M143)=0,"",IF(OR($U143="Subscription",$U143=""),"",IF(OR($U143="Free Game",$U143="Disqualified — Free Game",$H143=0),"N/A",IF($U143="Profit",$Q143/$H143,IF($U143="Disqualified",-$S143/$H143,0)))))</x:f>
      </x:c>
      <x:c r="U143" s="920" t="str">
        <x:f>IF(COUNTA($A143:$M143)=0,"",IF(OR(LEFT(LOWER(TRIM($F143&amp;"")),12)="subscription",LOWER(TRIM($F143&amp;""))="membership"),"Subscription",IF(OR(AND($H143&lt;&gt;"",$H143=0),LEFT(LOWER(TRIM($F143&amp;"")),9)="free game",LOWER(TRIM($F143&amp;""))="free",LOWER(TRIM($F143&amp;""))="free entry"),IF(LOWER($L143&amp;"")="yes","Disqualified — Free Game","Free Game"),IF(LOWER($L143&amp;"")="yes","Disqualified",IF($P143="","",IF(ROUND(IFERROR(VALUE($P143),0)-IFERROR(VALUE($H143),0),2)&gt;0,"Profit","Draw"))))))</x:f>
      </x:c>
      <x:c r="V143" s="956" t="str">
        <x:f>IF(COUNTA($A143:$M143)=0,"",IF(OR($B143="",$C143="",$U143="Subscription"),"",IFERROR(ROUNDUP(($C143-$B143)/7,0),"")))</x:f>
      </x:c>
      <x:c r="W143" s="114" t="str">
        <x:f>IF(COUNTA($A143:$M143)=0,"",IF(OR($U143="Subscription",$U143=""),"",IF(OR($U143="Free Game",$U143="Disqualified — Free Game"),0,ROUND(IFERROR($Q143,0)-IFERROR($S143,0),2))))</x:f>
      </x:c>
      <x:c r="X143" s="956" t="str">
        <x:f>IF(COUNTA($A143:$M143)=0,"",IF(OR($U143="Subscription",NOT(ISNUMBER($J143)),NOT(ISNUMBER($I143)),$J143=0,$I143=0,$I143&gt;$J143),"",$J143-$I143))</x:f>
      </x:c>
      <x:c r="Y143" s="955" t="str">
        <x:f>IF(COUNTA($A143:$M143)=0,"",IF(OR($U143="Subscription",NOT(ISNUMBER($J143)),$J143=0,$X143=""),"",$X143/$J143))</x:f>
      </x:c>
      <x:c r="Z143" s="957" t="str">
        <x:f>IF(COUNTA($A143:$M143)=0,"",Instructions!$B$29+SUM($W$5:W143))</x:f>
      </x:c>
    </x:row>
    <x:row r="144" ht="36" customHeight="1">
      <x:c r="A144" s="439"/>
      <x:c r="B144" s="453"/>
      <x:c r="C144" s="453"/>
      <x:c r="D144" s="454"/>
      <x:c r="E144" s="454"/>
      <x:c r="F144" s="454"/>
      <x:c r="G144" s="986"/>
      <x:c r="H144" s="455"/>
      <x:c r="I144" s="456"/>
      <x:c r="J144" s="456"/>
      <x:c r="K144" s="986"/>
      <x:c r="L144" s="454"/>
      <x:c r="M144" s="439"/>
      <x:c r="N144" s="987" t="str">
        <x:f>IF(COUNTA($A144:$M144)=0,"",IF(OR(LEFT(LOWER(TRIM($F144&amp;"")),12)="subscription",LOWER(TRIM($F144&amp;""))="membership"),"",IF($G144="","",IF(ISNUMBER(SEARCH("non",LOWER($E144&amp;""))),$G144*0.85,$G144))))</x:f>
      </x:c>
      <x:c r="O144" s="987" t="str">
        <x:f>IF(COUNTA($A144:$M144)=0,"",IF(OR(LEFT(LOWER(TRIM($F144&amp;"")),12)="subscription",LOWER(TRIM($F144&amp;""))="membership"),"",IF(OR($N144="",$I144="",$I144=0),"",IFERROR($N144/$I144,""))))</x:f>
      </x:c>
      <x:c r="P144" s="987" t="str">
        <x:f>IF(COUNTA($A144:$M144)=0,"",IF(OR(LEFT(LOWER(TRIM($F144&amp;"")),12)="subscription",LOWER(TRIM($F144&amp;""))="membership"),"",IF(LOWER($L144&amp;"")="yes",0,IF(OR(AND($H144&lt;&gt;"",$H144=0),LEFT(LOWER(TRIM($F144&amp;"")),9)="free game",LOWER(TRIM($F144&amp;""))="free",LOWER(TRIM($F144&amp;""))="free entry"),IF(LOWER($D144&amp;"")="finalized",IF(ISNUMBER($K144),$K144,""),IF($O144&lt;&gt;"",$O144,"")),IF($K144&lt;&gt;"",$K144,IF($O144&lt;&gt;"",$O144,""))))))</x:f>
      </x:c>
      <x:c r="Q144" s="114" t="str">
        <x:f>IF(COUNTA($A144:$M144)=0,"",IF(OR($U144="Subscription",$U144=""),"",IF($U144="Profit",ROUND(IFERROR($P144,0)-IFERROR($H144,0),2),0)))</x:f>
      </x:c>
      <x:c r="R144" s="114" t="str">
        <x:f>IF(COUNTA($A144:$M144)=0,"",IF(OR($U144="Subscription",$U144=""),"",IF($U144="Draw",$H144,0)))</x:f>
      </x:c>
      <x:c r="S144" s="114" t="str">
        <x:f>IF(COUNTA($A144:$M144)=0,"",IF(OR($U144="Subscription",$U144=""),"",IF($U144="Disqualified",$H144,0)))</x:f>
      </x:c>
      <x:c r="T144" s="955" t="str">
        <x:f>IF(COUNTA($A144:$M144)=0,"",IF(OR($U144="Subscription",$U144=""),"",IF(OR($U144="Free Game",$U144="Disqualified — Free Game",$H144=0),"N/A",IF($U144="Profit",$Q144/$H144,IF($U144="Disqualified",-$S144/$H144,0)))))</x:f>
      </x:c>
      <x:c r="U144" s="920" t="str">
        <x:f>IF(COUNTA($A144:$M144)=0,"",IF(OR(LEFT(LOWER(TRIM($F144&amp;"")),12)="subscription",LOWER(TRIM($F144&amp;""))="membership"),"Subscription",IF(OR(AND($H144&lt;&gt;"",$H144=0),LEFT(LOWER(TRIM($F144&amp;"")),9)="free game",LOWER(TRIM($F144&amp;""))="free",LOWER(TRIM($F144&amp;""))="free entry"),IF(LOWER($L144&amp;"")="yes","Disqualified — Free Game","Free Game"),IF(LOWER($L144&amp;"")="yes","Disqualified",IF($P144="","",IF(ROUND(IFERROR(VALUE($P144),0)-IFERROR(VALUE($H144),0),2)&gt;0,"Profit","Draw"))))))</x:f>
      </x:c>
      <x:c r="V144" s="956" t="str">
        <x:f>IF(COUNTA($A144:$M144)=0,"",IF(OR($B144="",$C144="",$U144="Subscription"),"",IFERROR(ROUNDUP(($C144-$B144)/7,0),"")))</x:f>
      </x:c>
      <x:c r="W144" s="114" t="str">
        <x:f>IF(COUNTA($A144:$M144)=0,"",IF(OR($U144="Subscription",$U144=""),"",IF(OR($U144="Free Game",$U144="Disqualified — Free Game"),0,ROUND(IFERROR($Q144,0)-IFERROR($S144,0),2))))</x:f>
      </x:c>
      <x:c r="X144" s="956" t="str">
        <x:f>IF(COUNTA($A144:$M144)=0,"",IF(OR($U144="Subscription",NOT(ISNUMBER($J144)),NOT(ISNUMBER($I144)),$J144=0,$I144=0,$I144&gt;$J144),"",$J144-$I144))</x:f>
      </x:c>
      <x:c r="Y144" s="955" t="str">
        <x:f>IF(COUNTA($A144:$M144)=0,"",IF(OR($U144="Subscription",NOT(ISNUMBER($J144)),$J144=0,$X144=""),"",$X144/$J144))</x:f>
      </x:c>
      <x:c r="Z144" s="957" t="str">
        <x:f>IF(COUNTA($A144:$M144)=0,"",Instructions!$B$29+SUM($W$5:W144))</x:f>
      </x:c>
    </x:row>
    <x:row r="145" ht="36" customHeight="1">
      <x:c r="A145" s="439"/>
      <x:c r="B145" s="453"/>
      <x:c r="C145" s="453"/>
      <x:c r="D145" s="454"/>
      <x:c r="E145" s="454"/>
      <x:c r="F145" s="454"/>
      <x:c r="G145" s="986"/>
      <x:c r="H145" s="455"/>
      <x:c r="I145" s="456"/>
      <x:c r="J145" s="456"/>
      <x:c r="K145" s="986"/>
      <x:c r="L145" s="454"/>
      <x:c r="M145" s="439"/>
      <x:c r="N145" s="987" t="str">
        <x:f>IF(COUNTA($A145:$M145)=0,"",IF(OR(LEFT(LOWER(TRIM($F145&amp;"")),12)="subscription",LOWER(TRIM($F145&amp;""))="membership"),"",IF($G145="","",IF(ISNUMBER(SEARCH("non",LOWER($E145&amp;""))),$G145*0.85,$G145))))</x:f>
      </x:c>
      <x:c r="O145" s="987" t="str">
        <x:f>IF(COUNTA($A145:$M145)=0,"",IF(OR(LEFT(LOWER(TRIM($F145&amp;"")),12)="subscription",LOWER(TRIM($F145&amp;""))="membership"),"",IF(OR($N145="",$I145="",$I145=0),"",IFERROR($N145/$I145,""))))</x:f>
      </x:c>
      <x:c r="P145" s="987" t="str">
        <x:f>IF(COUNTA($A145:$M145)=0,"",IF(OR(LEFT(LOWER(TRIM($F145&amp;"")),12)="subscription",LOWER(TRIM($F145&amp;""))="membership"),"",IF(LOWER($L145&amp;"")="yes",0,IF(OR(AND($H145&lt;&gt;"",$H145=0),LEFT(LOWER(TRIM($F145&amp;"")),9)="free game",LOWER(TRIM($F145&amp;""))="free",LOWER(TRIM($F145&amp;""))="free entry"),IF(LOWER($D145&amp;"")="finalized",IF(ISNUMBER($K145),$K145,""),IF($O145&lt;&gt;"",$O145,"")),IF($K145&lt;&gt;"",$K145,IF($O145&lt;&gt;"",$O145,""))))))</x:f>
      </x:c>
      <x:c r="Q145" s="114" t="str">
        <x:f>IF(COUNTA($A145:$M145)=0,"",IF(OR($U145="Subscription",$U145=""),"",IF($U145="Profit",ROUND(IFERROR($P145,0)-IFERROR($H145,0),2),0)))</x:f>
      </x:c>
      <x:c r="R145" s="114" t="str">
        <x:f>IF(COUNTA($A145:$M145)=0,"",IF(OR($U145="Subscription",$U145=""),"",IF($U145="Draw",$H145,0)))</x:f>
      </x:c>
      <x:c r="S145" s="114" t="str">
        <x:f>IF(COUNTA($A145:$M145)=0,"",IF(OR($U145="Subscription",$U145=""),"",IF($U145="Disqualified",$H145,0)))</x:f>
      </x:c>
      <x:c r="T145" s="955" t="str">
        <x:f>IF(COUNTA($A145:$M145)=0,"",IF(OR($U145="Subscription",$U145=""),"",IF(OR($U145="Free Game",$U145="Disqualified — Free Game",$H145=0),"N/A",IF($U145="Profit",$Q145/$H145,IF($U145="Disqualified",-$S145/$H145,0)))))</x:f>
      </x:c>
      <x:c r="U145" s="920" t="str">
        <x:f>IF(COUNTA($A145:$M145)=0,"",IF(OR(LEFT(LOWER(TRIM($F145&amp;"")),12)="subscription",LOWER(TRIM($F145&amp;""))="membership"),"Subscription",IF(OR(AND($H145&lt;&gt;"",$H145=0),LEFT(LOWER(TRIM($F145&amp;"")),9)="free game",LOWER(TRIM($F145&amp;""))="free",LOWER(TRIM($F145&amp;""))="free entry"),IF(LOWER($L145&amp;"")="yes","Disqualified — Free Game","Free Game"),IF(LOWER($L145&amp;"")="yes","Disqualified",IF($P145="","",IF(ROUND(IFERROR(VALUE($P145),0)-IFERROR(VALUE($H145),0),2)&gt;0,"Profit","Draw"))))))</x:f>
      </x:c>
      <x:c r="V145" s="956" t="str">
        <x:f>IF(COUNTA($A145:$M145)=0,"",IF(OR($B145="",$C145="",$U145="Subscription"),"",IFERROR(ROUNDUP(($C145-$B145)/7,0),"")))</x:f>
      </x:c>
      <x:c r="W145" s="114" t="str">
        <x:f>IF(COUNTA($A145:$M145)=0,"",IF(OR($U145="Subscription",$U145=""),"",IF(OR($U145="Free Game",$U145="Disqualified — Free Game"),0,ROUND(IFERROR($Q145,0)-IFERROR($S145,0),2))))</x:f>
      </x:c>
      <x:c r="X145" s="956" t="str">
        <x:f>IF(COUNTA($A145:$M145)=0,"",IF(OR($U145="Subscription",NOT(ISNUMBER($J145)),NOT(ISNUMBER($I145)),$J145=0,$I145=0,$I145&gt;$J145),"",$J145-$I145))</x:f>
      </x:c>
      <x:c r="Y145" s="955" t="str">
        <x:f>IF(COUNTA($A145:$M145)=0,"",IF(OR($U145="Subscription",NOT(ISNUMBER($J145)),$J145=0,$X145=""),"",$X145/$J145))</x:f>
      </x:c>
      <x:c r="Z145" s="957" t="str">
        <x:f>IF(COUNTA($A145:$M145)=0,"",Instructions!$B$29+SUM($W$5:W145))</x:f>
      </x:c>
    </x:row>
    <x:row r="146" ht="36" customHeight="1">
      <x:c r="A146" s="439"/>
      <x:c r="B146" s="453"/>
      <x:c r="C146" s="453"/>
      <x:c r="D146" s="454"/>
      <x:c r="E146" s="454"/>
      <x:c r="F146" s="454"/>
      <x:c r="G146" s="986"/>
      <x:c r="H146" s="455"/>
      <x:c r="I146" s="456"/>
      <x:c r="J146" s="456"/>
      <x:c r="K146" s="986"/>
      <x:c r="L146" s="454"/>
      <x:c r="M146" s="439"/>
      <x:c r="N146" s="987" t="str">
        <x:f>IF(COUNTA($A146:$M146)=0,"",IF(OR(LEFT(LOWER(TRIM($F146&amp;"")),12)="subscription",LOWER(TRIM($F146&amp;""))="membership"),"",IF($G146="","",IF(ISNUMBER(SEARCH("non",LOWER($E146&amp;""))),$G146*0.85,$G146))))</x:f>
      </x:c>
      <x:c r="O146" s="987" t="str">
        <x:f>IF(COUNTA($A146:$M146)=0,"",IF(OR(LEFT(LOWER(TRIM($F146&amp;"")),12)="subscription",LOWER(TRIM($F146&amp;""))="membership"),"",IF(OR($N146="",$I146="",$I146=0),"",IFERROR($N146/$I146,""))))</x:f>
      </x:c>
      <x:c r="P146" s="987" t="str">
        <x:f>IF(COUNTA($A146:$M146)=0,"",IF(OR(LEFT(LOWER(TRIM($F146&amp;"")),12)="subscription",LOWER(TRIM($F146&amp;""))="membership"),"",IF(LOWER($L146&amp;"")="yes",0,IF(OR(AND($H146&lt;&gt;"",$H146=0),LEFT(LOWER(TRIM($F146&amp;"")),9)="free game",LOWER(TRIM($F146&amp;""))="free",LOWER(TRIM($F146&amp;""))="free entry"),IF(LOWER($D146&amp;"")="finalized",IF(ISNUMBER($K146),$K146,""),IF($O146&lt;&gt;"",$O146,"")),IF($K146&lt;&gt;"",$K146,IF($O146&lt;&gt;"",$O146,""))))))</x:f>
      </x:c>
      <x:c r="Q146" s="114" t="str">
        <x:f>IF(COUNTA($A146:$M146)=0,"",IF(OR($U146="Subscription",$U146=""),"",IF($U146="Profit",ROUND(IFERROR($P146,0)-IFERROR($H146,0),2),0)))</x:f>
      </x:c>
      <x:c r="R146" s="114" t="str">
        <x:f>IF(COUNTA($A146:$M146)=0,"",IF(OR($U146="Subscription",$U146=""),"",IF($U146="Draw",$H146,0)))</x:f>
      </x:c>
      <x:c r="S146" s="114" t="str">
        <x:f>IF(COUNTA($A146:$M146)=0,"",IF(OR($U146="Subscription",$U146=""),"",IF($U146="Disqualified",$H146,0)))</x:f>
      </x:c>
      <x:c r="T146" s="955" t="str">
        <x:f>IF(COUNTA($A146:$M146)=0,"",IF(OR($U146="Subscription",$U146=""),"",IF(OR($U146="Free Game",$U146="Disqualified — Free Game",$H146=0),"N/A",IF($U146="Profit",$Q146/$H146,IF($U146="Disqualified",-$S146/$H146,0)))))</x:f>
      </x:c>
      <x:c r="U146" s="920" t="str">
        <x:f>IF(COUNTA($A146:$M146)=0,"",IF(OR(LEFT(LOWER(TRIM($F146&amp;"")),12)="subscription",LOWER(TRIM($F146&amp;""))="membership"),"Subscription",IF(OR(AND($H146&lt;&gt;"",$H146=0),LEFT(LOWER(TRIM($F146&amp;"")),9)="free game",LOWER(TRIM($F146&amp;""))="free",LOWER(TRIM($F146&amp;""))="free entry"),IF(LOWER($L146&amp;"")="yes","Disqualified — Free Game","Free Game"),IF(LOWER($L146&amp;"")="yes","Disqualified",IF($P146="","",IF(ROUND(IFERROR(VALUE($P146),0)-IFERROR(VALUE($H146),0),2)&gt;0,"Profit","Draw"))))))</x:f>
      </x:c>
      <x:c r="V146" s="956" t="str">
        <x:f>IF(COUNTA($A146:$M146)=0,"",IF(OR($B146="",$C146="",$U146="Subscription"),"",IFERROR(ROUNDUP(($C146-$B146)/7,0),"")))</x:f>
      </x:c>
      <x:c r="W146" s="114" t="str">
        <x:f>IF(COUNTA($A146:$M146)=0,"",IF(OR($U146="Subscription",$U146=""),"",IF(OR($U146="Free Game",$U146="Disqualified — Free Game"),0,ROUND(IFERROR($Q146,0)-IFERROR($S146,0),2))))</x:f>
      </x:c>
      <x:c r="X146" s="956" t="str">
        <x:f>IF(COUNTA($A146:$M146)=0,"",IF(OR($U146="Subscription",NOT(ISNUMBER($J146)),NOT(ISNUMBER($I146)),$J146=0,$I146=0,$I146&gt;$J146),"",$J146-$I146))</x:f>
      </x:c>
      <x:c r="Y146" s="955" t="str">
        <x:f>IF(COUNTA($A146:$M146)=0,"",IF(OR($U146="Subscription",NOT(ISNUMBER($J146)),$J146=0,$X146=""),"",$X146/$J146))</x:f>
      </x:c>
      <x:c r="Z146" s="957" t="str">
        <x:f>IF(COUNTA($A146:$M146)=0,"",Instructions!$B$29+SUM($W$5:W146))</x:f>
      </x:c>
    </x:row>
    <x:row r="147" ht="36" customHeight="1">
      <x:c r="A147" s="439"/>
      <x:c r="B147" s="453"/>
      <x:c r="C147" s="453"/>
      <x:c r="D147" s="454"/>
      <x:c r="E147" s="454"/>
      <x:c r="F147" s="454"/>
      <x:c r="G147" s="986"/>
      <x:c r="H147" s="455"/>
      <x:c r="I147" s="456"/>
      <x:c r="J147" s="456"/>
      <x:c r="K147" s="986"/>
      <x:c r="L147" s="454"/>
      <x:c r="M147" s="439"/>
      <x:c r="N147" s="987" t="str">
        <x:f>IF(COUNTA($A147:$M147)=0,"",IF(OR(LEFT(LOWER(TRIM($F147&amp;"")),12)="subscription",LOWER(TRIM($F147&amp;""))="membership"),"",IF($G147="","",IF(ISNUMBER(SEARCH("non",LOWER($E147&amp;""))),$G147*0.85,$G147))))</x:f>
      </x:c>
      <x:c r="O147" s="987" t="str">
        <x:f>IF(COUNTA($A147:$M147)=0,"",IF(OR(LEFT(LOWER(TRIM($F147&amp;"")),12)="subscription",LOWER(TRIM($F147&amp;""))="membership"),"",IF(OR($N147="",$I147="",$I147=0),"",IFERROR($N147/$I147,""))))</x:f>
      </x:c>
      <x:c r="P147" s="987" t="str">
        <x:f>IF(COUNTA($A147:$M147)=0,"",IF(OR(LEFT(LOWER(TRIM($F147&amp;"")),12)="subscription",LOWER(TRIM($F147&amp;""))="membership"),"",IF(LOWER($L147&amp;"")="yes",0,IF(OR(AND($H147&lt;&gt;"",$H147=0),LEFT(LOWER(TRIM($F147&amp;"")),9)="free game",LOWER(TRIM($F147&amp;""))="free",LOWER(TRIM($F147&amp;""))="free entry"),IF(LOWER($D147&amp;"")="finalized",IF(ISNUMBER($K147),$K147,""),IF($O147&lt;&gt;"",$O147,"")),IF($K147&lt;&gt;"",$K147,IF($O147&lt;&gt;"",$O147,""))))))</x:f>
      </x:c>
      <x:c r="Q147" s="114" t="str">
        <x:f>IF(COUNTA($A147:$M147)=0,"",IF(OR($U147="Subscription",$U147=""),"",IF($U147="Profit",ROUND(IFERROR($P147,0)-IFERROR($H147,0),2),0)))</x:f>
      </x:c>
      <x:c r="R147" s="114" t="str">
        <x:f>IF(COUNTA($A147:$M147)=0,"",IF(OR($U147="Subscription",$U147=""),"",IF($U147="Draw",$H147,0)))</x:f>
      </x:c>
      <x:c r="S147" s="114" t="str">
        <x:f>IF(COUNTA($A147:$M147)=0,"",IF(OR($U147="Subscription",$U147=""),"",IF($U147="Disqualified",$H147,0)))</x:f>
      </x:c>
      <x:c r="T147" s="955" t="str">
        <x:f>IF(COUNTA($A147:$M147)=0,"",IF(OR($U147="Subscription",$U147=""),"",IF(OR($U147="Free Game",$U147="Disqualified — Free Game",$H147=0),"N/A",IF($U147="Profit",$Q147/$H147,IF($U147="Disqualified",-$S147/$H147,0)))))</x:f>
      </x:c>
      <x:c r="U147" s="920" t="str">
        <x:f>IF(COUNTA($A147:$M147)=0,"",IF(OR(LEFT(LOWER(TRIM($F147&amp;"")),12)="subscription",LOWER(TRIM($F147&amp;""))="membership"),"Subscription",IF(OR(AND($H147&lt;&gt;"",$H147=0),LEFT(LOWER(TRIM($F147&amp;"")),9)="free game",LOWER(TRIM($F147&amp;""))="free",LOWER(TRIM($F147&amp;""))="free entry"),IF(LOWER($L147&amp;"")="yes","Disqualified — Free Game","Free Game"),IF(LOWER($L147&amp;"")="yes","Disqualified",IF($P147="","",IF(ROUND(IFERROR(VALUE($P147),0)-IFERROR(VALUE($H147),0),2)&gt;0,"Profit","Draw"))))))</x:f>
      </x:c>
      <x:c r="V147" s="956" t="str">
        <x:f>IF(COUNTA($A147:$M147)=0,"",IF(OR($B147="",$C147="",$U147="Subscription"),"",IFERROR(ROUNDUP(($C147-$B147)/7,0),"")))</x:f>
      </x:c>
      <x:c r="W147" s="114" t="str">
        <x:f>IF(COUNTA($A147:$M147)=0,"",IF(OR($U147="Subscription",$U147=""),"",IF(OR($U147="Free Game",$U147="Disqualified — Free Game"),0,ROUND(IFERROR($Q147,0)-IFERROR($S147,0),2))))</x:f>
      </x:c>
      <x:c r="X147" s="956" t="str">
        <x:f>IF(COUNTA($A147:$M147)=0,"",IF(OR($U147="Subscription",NOT(ISNUMBER($J147)),NOT(ISNUMBER($I147)),$J147=0,$I147=0,$I147&gt;$J147),"",$J147-$I147))</x:f>
      </x:c>
      <x:c r="Y147" s="955" t="str">
        <x:f>IF(COUNTA($A147:$M147)=0,"",IF(OR($U147="Subscription",NOT(ISNUMBER($J147)),$J147=0,$X147=""),"",$X147/$J147))</x:f>
      </x:c>
      <x:c r="Z147" s="957" t="str">
        <x:f>IF(COUNTA($A147:$M147)=0,"",Instructions!$B$29+SUM($W$5:W147))</x:f>
      </x:c>
    </x:row>
    <x:row r="148" ht="36" customHeight="1">
      <x:c r="A148" s="439"/>
      <x:c r="B148" s="453"/>
      <x:c r="C148" s="453"/>
      <x:c r="D148" s="454"/>
      <x:c r="E148" s="454"/>
      <x:c r="F148" s="454"/>
      <x:c r="G148" s="986"/>
      <x:c r="H148" s="455"/>
      <x:c r="I148" s="456"/>
      <x:c r="J148" s="456"/>
      <x:c r="K148" s="986"/>
      <x:c r="L148" s="454"/>
      <x:c r="M148" s="439"/>
      <x:c r="N148" s="987" t="str">
        <x:f>IF(COUNTA($A148:$M148)=0,"",IF(OR(LEFT(LOWER(TRIM($F148&amp;"")),12)="subscription",LOWER(TRIM($F148&amp;""))="membership"),"",IF($G148="","",IF(ISNUMBER(SEARCH("non",LOWER($E148&amp;""))),$G148*0.85,$G148))))</x:f>
      </x:c>
      <x:c r="O148" s="987" t="str">
        <x:f>IF(COUNTA($A148:$M148)=0,"",IF(OR(LEFT(LOWER(TRIM($F148&amp;"")),12)="subscription",LOWER(TRIM($F148&amp;""))="membership"),"",IF(OR($N148="",$I148="",$I148=0),"",IFERROR($N148/$I148,""))))</x:f>
      </x:c>
      <x:c r="P148" s="987" t="str">
        <x:f>IF(COUNTA($A148:$M148)=0,"",IF(OR(LEFT(LOWER(TRIM($F148&amp;"")),12)="subscription",LOWER(TRIM($F148&amp;""))="membership"),"",IF(LOWER($L148&amp;"")="yes",0,IF(OR(AND($H148&lt;&gt;"",$H148=0),LEFT(LOWER(TRIM($F148&amp;"")),9)="free game",LOWER(TRIM($F148&amp;""))="free",LOWER(TRIM($F148&amp;""))="free entry"),IF(LOWER($D148&amp;"")="finalized",IF(ISNUMBER($K148),$K148,""),IF($O148&lt;&gt;"",$O148,"")),IF($K148&lt;&gt;"",$K148,IF($O148&lt;&gt;"",$O148,""))))))</x:f>
      </x:c>
      <x:c r="Q148" s="114" t="str">
        <x:f>IF(COUNTA($A148:$M148)=0,"",IF(OR($U148="Subscription",$U148=""),"",IF($U148="Profit",ROUND(IFERROR($P148,0)-IFERROR($H148,0),2),0)))</x:f>
      </x:c>
      <x:c r="R148" s="114" t="str">
        <x:f>IF(COUNTA($A148:$M148)=0,"",IF(OR($U148="Subscription",$U148=""),"",IF($U148="Draw",$H148,0)))</x:f>
      </x:c>
      <x:c r="S148" s="114" t="str">
        <x:f>IF(COUNTA($A148:$M148)=0,"",IF(OR($U148="Subscription",$U148=""),"",IF($U148="Disqualified",$H148,0)))</x:f>
      </x:c>
      <x:c r="T148" s="955" t="str">
        <x:f>IF(COUNTA($A148:$M148)=0,"",IF(OR($U148="Subscription",$U148=""),"",IF(OR($U148="Free Game",$U148="Disqualified — Free Game",$H148=0),"N/A",IF($U148="Profit",$Q148/$H148,IF($U148="Disqualified",-$S148/$H148,0)))))</x:f>
      </x:c>
      <x:c r="U148" s="920" t="str">
        <x:f>IF(COUNTA($A148:$M148)=0,"",IF(OR(LEFT(LOWER(TRIM($F148&amp;"")),12)="subscription",LOWER(TRIM($F148&amp;""))="membership"),"Subscription",IF(OR(AND($H148&lt;&gt;"",$H148=0),LEFT(LOWER(TRIM($F148&amp;"")),9)="free game",LOWER(TRIM($F148&amp;""))="free",LOWER(TRIM($F148&amp;""))="free entry"),IF(LOWER($L148&amp;"")="yes","Disqualified — Free Game","Free Game"),IF(LOWER($L148&amp;"")="yes","Disqualified",IF($P148="","",IF(ROUND(IFERROR(VALUE($P148),0)-IFERROR(VALUE($H148),0),2)&gt;0,"Profit","Draw"))))))</x:f>
      </x:c>
      <x:c r="V148" s="956" t="str">
        <x:f>IF(COUNTA($A148:$M148)=0,"",IF(OR($B148="",$C148="",$U148="Subscription"),"",IFERROR(ROUNDUP(($C148-$B148)/7,0),"")))</x:f>
      </x:c>
      <x:c r="W148" s="114" t="str">
        <x:f>IF(COUNTA($A148:$M148)=0,"",IF(OR($U148="Subscription",$U148=""),"",IF(OR($U148="Free Game",$U148="Disqualified — Free Game"),0,ROUND(IFERROR($Q148,0)-IFERROR($S148,0),2))))</x:f>
      </x:c>
      <x:c r="X148" s="956" t="str">
        <x:f>IF(COUNTA($A148:$M148)=0,"",IF(OR($U148="Subscription",NOT(ISNUMBER($J148)),NOT(ISNUMBER($I148)),$J148=0,$I148=0,$I148&gt;$J148),"",$J148-$I148))</x:f>
      </x:c>
      <x:c r="Y148" s="955" t="str">
        <x:f>IF(COUNTA($A148:$M148)=0,"",IF(OR($U148="Subscription",NOT(ISNUMBER($J148)),$J148=0,$X148=""),"",$X148/$J148))</x:f>
      </x:c>
      <x:c r="Z148" s="957" t="str">
        <x:f>IF(COUNTA($A148:$M148)=0,"",Instructions!$B$29+SUM($W$5:W148))</x:f>
      </x:c>
    </x:row>
    <x:row r="149" ht="36" customHeight="1">
      <x:c r="A149" s="439"/>
      <x:c r="B149" s="453"/>
      <x:c r="C149" s="453"/>
      <x:c r="D149" s="454"/>
      <x:c r="E149" s="454"/>
      <x:c r="F149" s="454"/>
      <x:c r="G149" s="986"/>
      <x:c r="H149" s="455"/>
      <x:c r="I149" s="456"/>
      <x:c r="J149" s="456"/>
      <x:c r="K149" s="986"/>
      <x:c r="L149" s="454"/>
      <x:c r="M149" s="439"/>
      <x:c r="N149" s="987" t="str">
        <x:f>IF(COUNTA($A149:$M149)=0,"",IF(OR(LEFT(LOWER(TRIM($F149&amp;"")),12)="subscription",LOWER(TRIM($F149&amp;""))="membership"),"",IF($G149="","",IF(ISNUMBER(SEARCH("non",LOWER($E149&amp;""))),$G149*0.85,$G149))))</x:f>
      </x:c>
      <x:c r="O149" s="987" t="str">
        <x:f>IF(COUNTA($A149:$M149)=0,"",IF(OR(LEFT(LOWER(TRIM($F149&amp;"")),12)="subscription",LOWER(TRIM($F149&amp;""))="membership"),"",IF(OR($N149="",$I149="",$I149=0),"",IFERROR($N149/$I149,""))))</x:f>
      </x:c>
      <x:c r="P149" s="987" t="str">
        <x:f>IF(COUNTA($A149:$M149)=0,"",IF(OR(LEFT(LOWER(TRIM($F149&amp;"")),12)="subscription",LOWER(TRIM($F149&amp;""))="membership"),"",IF(LOWER($L149&amp;"")="yes",0,IF(OR(AND($H149&lt;&gt;"",$H149=0),LEFT(LOWER(TRIM($F149&amp;"")),9)="free game",LOWER(TRIM($F149&amp;""))="free",LOWER(TRIM($F149&amp;""))="free entry"),IF(LOWER($D149&amp;"")="finalized",IF(ISNUMBER($K149),$K149,""),IF($O149&lt;&gt;"",$O149,"")),IF($K149&lt;&gt;"",$K149,IF($O149&lt;&gt;"",$O149,""))))))</x:f>
      </x:c>
      <x:c r="Q149" s="114" t="str">
        <x:f>IF(COUNTA($A149:$M149)=0,"",IF(OR($U149="Subscription",$U149=""),"",IF($U149="Profit",ROUND(IFERROR($P149,0)-IFERROR($H149,0),2),0)))</x:f>
      </x:c>
      <x:c r="R149" s="114" t="str">
        <x:f>IF(COUNTA($A149:$M149)=0,"",IF(OR($U149="Subscription",$U149=""),"",IF($U149="Draw",$H149,0)))</x:f>
      </x:c>
      <x:c r="S149" s="114" t="str">
        <x:f>IF(COUNTA($A149:$M149)=0,"",IF(OR($U149="Subscription",$U149=""),"",IF($U149="Disqualified",$H149,0)))</x:f>
      </x:c>
      <x:c r="T149" s="955" t="str">
        <x:f>IF(COUNTA($A149:$M149)=0,"",IF(OR($U149="Subscription",$U149=""),"",IF(OR($U149="Free Game",$U149="Disqualified — Free Game",$H149=0),"N/A",IF($U149="Profit",$Q149/$H149,IF($U149="Disqualified",-$S149/$H149,0)))))</x:f>
      </x:c>
      <x:c r="U149" s="920" t="str">
        <x:f>IF(COUNTA($A149:$M149)=0,"",IF(OR(LEFT(LOWER(TRIM($F149&amp;"")),12)="subscription",LOWER(TRIM($F149&amp;""))="membership"),"Subscription",IF(OR(AND($H149&lt;&gt;"",$H149=0),LEFT(LOWER(TRIM($F149&amp;"")),9)="free game",LOWER(TRIM($F149&amp;""))="free",LOWER(TRIM($F149&amp;""))="free entry"),IF(LOWER($L149&amp;"")="yes","Disqualified — Free Game","Free Game"),IF(LOWER($L149&amp;"")="yes","Disqualified",IF($P149="","",IF(ROUND(IFERROR(VALUE($P149),0)-IFERROR(VALUE($H149),0),2)&gt;0,"Profit","Draw"))))))</x:f>
      </x:c>
      <x:c r="V149" s="956" t="str">
        <x:f>IF(COUNTA($A149:$M149)=0,"",IF(OR($B149="",$C149="",$U149="Subscription"),"",IFERROR(ROUNDUP(($C149-$B149)/7,0),"")))</x:f>
      </x:c>
      <x:c r="W149" s="114" t="str">
        <x:f>IF(COUNTA($A149:$M149)=0,"",IF(OR($U149="Subscription",$U149=""),"",IF(OR($U149="Free Game",$U149="Disqualified — Free Game"),0,ROUND(IFERROR($Q149,0)-IFERROR($S149,0),2))))</x:f>
      </x:c>
      <x:c r="X149" s="956" t="str">
        <x:f>IF(COUNTA($A149:$M149)=0,"",IF(OR($U149="Subscription",NOT(ISNUMBER($J149)),NOT(ISNUMBER($I149)),$J149=0,$I149=0,$I149&gt;$J149),"",$J149-$I149))</x:f>
      </x:c>
      <x:c r="Y149" s="955" t="str">
        <x:f>IF(COUNTA($A149:$M149)=0,"",IF(OR($U149="Subscription",NOT(ISNUMBER($J149)),$J149=0,$X149=""),"",$X149/$J149))</x:f>
      </x:c>
      <x:c r="Z149" s="957" t="str">
        <x:f>IF(COUNTA($A149:$M149)=0,"",Instructions!$B$29+SUM($W$5:W149))</x:f>
      </x:c>
    </x:row>
    <x:row r="150" ht="36" customHeight="1">
      <x:c r="A150" s="439"/>
      <x:c r="B150" s="453"/>
      <x:c r="C150" s="453"/>
      <x:c r="D150" s="454"/>
      <x:c r="E150" s="454"/>
      <x:c r="F150" s="454"/>
      <x:c r="G150" s="986"/>
      <x:c r="H150" s="455"/>
      <x:c r="I150" s="456"/>
      <x:c r="J150" s="456"/>
      <x:c r="K150" s="986"/>
      <x:c r="L150" s="454"/>
      <x:c r="M150" s="439"/>
      <x:c r="N150" s="987" t="str">
        <x:f>IF(COUNTA($A150:$M150)=0,"",IF(OR(LEFT(LOWER(TRIM($F150&amp;"")),12)="subscription",LOWER(TRIM($F150&amp;""))="membership"),"",IF($G150="","",IF(ISNUMBER(SEARCH("non",LOWER($E150&amp;""))),$G150*0.85,$G150))))</x:f>
      </x:c>
      <x:c r="O150" s="987" t="str">
        <x:f>IF(COUNTA($A150:$M150)=0,"",IF(OR(LEFT(LOWER(TRIM($F150&amp;"")),12)="subscription",LOWER(TRIM($F150&amp;""))="membership"),"",IF(OR($N150="",$I150="",$I150=0),"",IFERROR($N150/$I150,""))))</x:f>
      </x:c>
      <x:c r="P150" s="987" t="str">
        <x:f>IF(COUNTA($A150:$M150)=0,"",IF(OR(LEFT(LOWER(TRIM($F150&amp;"")),12)="subscription",LOWER(TRIM($F150&amp;""))="membership"),"",IF(LOWER($L150&amp;"")="yes",0,IF(OR(AND($H150&lt;&gt;"",$H150=0),LEFT(LOWER(TRIM($F150&amp;"")),9)="free game",LOWER(TRIM($F150&amp;""))="free",LOWER(TRIM($F150&amp;""))="free entry"),IF(LOWER($D150&amp;"")="finalized",IF(ISNUMBER($K150),$K150,""),IF($O150&lt;&gt;"",$O150,"")),IF($K150&lt;&gt;"",$K150,IF($O150&lt;&gt;"",$O150,""))))))</x:f>
      </x:c>
      <x:c r="Q150" s="114" t="str">
        <x:f>IF(COUNTA($A150:$M150)=0,"",IF(OR($U150="Subscription",$U150=""),"",IF($U150="Profit",ROUND(IFERROR($P150,0)-IFERROR($H150,0),2),0)))</x:f>
      </x:c>
      <x:c r="R150" s="114" t="str">
        <x:f>IF(COUNTA($A150:$M150)=0,"",IF(OR($U150="Subscription",$U150=""),"",IF($U150="Draw",$H150,0)))</x:f>
      </x:c>
      <x:c r="S150" s="114" t="str">
        <x:f>IF(COUNTA($A150:$M150)=0,"",IF(OR($U150="Subscription",$U150=""),"",IF($U150="Disqualified",$H150,0)))</x:f>
      </x:c>
      <x:c r="T150" s="955" t="str">
        <x:f>IF(COUNTA($A150:$M150)=0,"",IF(OR($U150="Subscription",$U150=""),"",IF(OR($U150="Free Game",$U150="Disqualified — Free Game",$H150=0),"N/A",IF($U150="Profit",$Q150/$H150,IF($U150="Disqualified",-$S150/$H150,0)))))</x:f>
      </x:c>
      <x:c r="U150" s="920" t="str">
        <x:f>IF(COUNTA($A150:$M150)=0,"",IF(OR(LEFT(LOWER(TRIM($F150&amp;"")),12)="subscription",LOWER(TRIM($F150&amp;""))="membership"),"Subscription",IF(OR(AND($H150&lt;&gt;"",$H150=0),LEFT(LOWER(TRIM($F150&amp;"")),9)="free game",LOWER(TRIM($F150&amp;""))="free",LOWER(TRIM($F150&amp;""))="free entry"),IF(LOWER($L150&amp;"")="yes","Disqualified — Free Game","Free Game"),IF(LOWER($L150&amp;"")="yes","Disqualified",IF($P150="","",IF(ROUND(IFERROR(VALUE($P150),0)-IFERROR(VALUE($H150),0),2)&gt;0,"Profit","Draw"))))))</x:f>
      </x:c>
      <x:c r="V150" s="956" t="str">
        <x:f>IF(COUNTA($A150:$M150)=0,"",IF(OR($B150="",$C150="",$U150="Subscription"),"",IFERROR(ROUNDUP(($C150-$B150)/7,0),"")))</x:f>
      </x:c>
      <x:c r="W150" s="114" t="str">
        <x:f>IF(COUNTA($A150:$M150)=0,"",IF(OR($U150="Subscription",$U150=""),"",IF(OR($U150="Free Game",$U150="Disqualified — Free Game"),0,ROUND(IFERROR($Q150,0)-IFERROR($S150,0),2))))</x:f>
      </x:c>
      <x:c r="X150" s="956" t="str">
        <x:f>IF(COUNTA($A150:$M150)=0,"",IF(OR($U150="Subscription",NOT(ISNUMBER($J150)),NOT(ISNUMBER($I150)),$J150=0,$I150=0,$I150&gt;$J150),"",$J150-$I150))</x:f>
      </x:c>
      <x:c r="Y150" s="955" t="str">
        <x:f>IF(COUNTA($A150:$M150)=0,"",IF(OR($U150="Subscription",NOT(ISNUMBER($J150)),$J150=0,$X150=""),"",$X150/$J150))</x:f>
      </x:c>
      <x:c r="Z150" s="957" t="str">
        <x:f>IF(COUNTA($A150:$M150)=0,"",Instructions!$B$29+SUM($W$5:W150))</x:f>
      </x:c>
    </x:row>
    <x:row r="151" ht="36" customHeight="1">
      <x:c r="A151" s="439"/>
      <x:c r="B151" s="453"/>
      <x:c r="C151" s="453"/>
      <x:c r="D151" s="454"/>
      <x:c r="E151" s="454"/>
      <x:c r="F151" s="454"/>
      <x:c r="G151" s="986"/>
      <x:c r="H151" s="455"/>
      <x:c r="I151" s="456"/>
      <x:c r="J151" s="456"/>
      <x:c r="K151" s="986"/>
      <x:c r="L151" s="454"/>
      <x:c r="M151" s="439"/>
      <x:c r="N151" s="987" t="str">
        <x:f>IF(COUNTA($A151:$M151)=0,"",IF(OR(LEFT(LOWER(TRIM($F151&amp;"")),12)="subscription",LOWER(TRIM($F151&amp;""))="membership"),"",IF($G151="","",IF(ISNUMBER(SEARCH("non",LOWER($E151&amp;""))),$G151*0.85,$G151))))</x:f>
      </x:c>
      <x:c r="O151" s="987" t="str">
        <x:f>IF(COUNTA($A151:$M151)=0,"",IF(OR(LEFT(LOWER(TRIM($F151&amp;"")),12)="subscription",LOWER(TRIM($F151&amp;""))="membership"),"",IF(OR($N151="",$I151="",$I151=0),"",IFERROR($N151/$I151,""))))</x:f>
      </x:c>
      <x:c r="P151" s="987" t="str">
        <x:f>IF(COUNTA($A151:$M151)=0,"",IF(OR(LEFT(LOWER(TRIM($F151&amp;"")),12)="subscription",LOWER(TRIM($F151&amp;""))="membership"),"",IF(LOWER($L151&amp;"")="yes",0,IF(OR(AND($H151&lt;&gt;"",$H151=0),LEFT(LOWER(TRIM($F151&amp;"")),9)="free game",LOWER(TRIM($F151&amp;""))="free",LOWER(TRIM($F151&amp;""))="free entry"),IF(LOWER($D151&amp;"")="finalized",IF(ISNUMBER($K151),$K151,""),IF($O151&lt;&gt;"",$O151,"")),IF($K151&lt;&gt;"",$K151,IF($O151&lt;&gt;"",$O151,""))))))</x:f>
      </x:c>
      <x:c r="Q151" s="114" t="str">
        <x:f>IF(COUNTA($A151:$M151)=0,"",IF(OR($U151="Subscription",$U151=""),"",IF($U151="Profit",ROUND(IFERROR($P151,0)-IFERROR($H151,0),2),0)))</x:f>
      </x:c>
      <x:c r="R151" s="114" t="str">
        <x:f>IF(COUNTA($A151:$M151)=0,"",IF(OR($U151="Subscription",$U151=""),"",IF($U151="Draw",$H151,0)))</x:f>
      </x:c>
      <x:c r="S151" s="114" t="str">
        <x:f>IF(COUNTA($A151:$M151)=0,"",IF(OR($U151="Subscription",$U151=""),"",IF($U151="Disqualified",$H151,0)))</x:f>
      </x:c>
      <x:c r="T151" s="955" t="str">
        <x:f>IF(COUNTA($A151:$M151)=0,"",IF(OR($U151="Subscription",$U151=""),"",IF(OR($U151="Free Game",$U151="Disqualified — Free Game",$H151=0),"N/A",IF($U151="Profit",$Q151/$H151,IF($U151="Disqualified",-$S151/$H151,0)))))</x:f>
      </x:c>
      <x:c r="U151" s="920" t="str">
        <x:f>IF(COUNTA($A151:$M151)=0,"",IF(OR(LEFT(LOWER(TRIM($F151&amp;"")),12)="subscription",LOWER(TRIM($F151&amp;""))="membership"),"Subscription",IF(OR(AND($H151&lt;&gt;"",$H151=0),LEFT(LOWER(TRIM($F151&amp;"")),9)="free game",LOWER(TRIM($F151&amp;""))="free",LOWER(TRIM($F151&amp;""))="free entry"),IF(LOWER($L151&amp;"")="yes","Disqualified — Free Game","Free Game"),IF(LOWER($L151&amp;"")="yes","Disqualified",IF($P151="","",IF(ROUND(IFERROR(VALUE($P151),0)-IFERROR(VALUE($H151),0),2)&gt;0,"Profit","Draw"))))))</x:f>
      </x:c>
      <x:c r="V151" s="956" t="str">
        <x:f>IF(COUNTA($A151:$M151)=0,"",IF(OR($B151="",$C151="",$U151="Subscription"),"",IFERROR(ROUNDUP(($C151-$B151)/7,0),"")))</x:f>
      </x:c>
      <x:c r="W151" s="114" t="str">
        <x:f>IF(COUNTA($A151:$M151)=0,"",IF(OR($U151="Subscription",$U151=""),"",IF(OR($U151="Free Game",$U151="Disqualified — Free Game"),0,ROUND(IFERROR($Q151,0)-IFERROR($S151,0),2))))</x:f>
      </x:c>
      <x:c r="X151" s="956" t="str">
        <x:f>IF(COUNTA($A151:$M151)=0,"",IF(OR($U151="Subscription",NOT(ISNUMBER($J151)),NOT(ISNUMBER($I151)),$J151=0,$I151=0,$I151&gt;$J151),"",$J151-$I151))</x:f>
      </x:c>
      <x:c r="Y151" s="955" t="str">
        <x:f>IF(COUNTA($A151:$M151)=0,"",IF(OR($U151="Subscription",NOT(ISNUMBER($J151)),$J151=0,$X151=""),"",$X151/$J151))</x:f>
      </x:c>
      <x:c r="Z151" s="957" t="str">
        <x:f>IF(COUNTA($A151:$M151)=0,"",Instructions!$B$29+SUM($W$5:W151))</x:f>
      </x:c>
    </x:row>
    <x:row r="152" ht="36" customHeight="1">
      <x:c r="A152" s="439"/>
      <x:c r="B152" s="453"/>
      <x:c r="C152" s="453"/>
      <x:c r="D152" s="454"/>
      <x:c r="E152" s="454"/>
      <x:c r="F152" s="454"/>
      <x:c r="G152" s="986"/>
      <x:c r="H152" s="455"/>
      <x:c r="I152" s="456"/>
      <x:c r="J152" s="456"/>
      <x:c r="K152" s="986"/>
      <x:c r="L152" s="454"/>
      <x:c r="M152" s="439"/>
      <x:c r="N152" s="987" t="str">
        <x:f>IF(COUNTA($A152:$M152)=0,"",IF(OR(LEFT(LOWER(TRIM($F152&amp;"")),12)="subscription",LOWER(TRIM($F152&amp;""))="membership"),"",IF($G152="","",IF(ISNUMBER(SEARCH("non",LOWER($E152&amp;""))),$G152*0.85,$G152))))</x:f>
      </x:c>
      <x:c r="O152" s="987" t="str">
        <x:f>IF(COUNTA($A152:$M152)=0,"",IF(OR(LEFT(LOWER(TRIM($F152&amp;"")),12)="subscription",LOWER(TRIM($F152&amp;""))="membership"),"",IF(OR($N152="",$I152="",$I152=0),"",IFERROR($N152/$I152,""))))</x:f>
      </x:c>
      <x:c r="P152" s="987" t="str">
        <x:f>IF(COUNTA($A152:$M152)=0,"",IF(OR(LEFT(LOWER(TRIM($F152&amp;"")),12)="subscription",LOWER(TRIM($F152&amp;""))="membership"),"",IF(LOWER($L152&amp;"")="yes",0,IF(OR(AND($H152&lt;&gt;"",$H152=0),LEFT(LOWER(TRIM($F152&amp;"")),9)="free game",LOWER(TRIM($F152&amp;""))="free",LOWER(TRIM($F152&amp;""))="free entry"),IF(LOWER($D152&amp;"")="finalized",IF(ISNUMBER($K152),$K152,""),IF($O152&lt;&gt;"",$O152,"")),IF($K152&lt;&gt;"",$K152,IF($O152&lt;&gt;"",$O152,""))))))</x:f>
      </x:c>
      <x:c r="Q152" s="114" t="str">
        <x:f>IF(COUNTA($A152:$M152)=0,"",IF(OR($U152="Subscription",$U152=""),"",IF($U152="Profit",ROUND(IFERROR($P152,0)-IFERROR($H152,0),2),0)))</x:f>
      </x:c>
      <x:c r="R152" s="114" t="str">
        <x:f>IF(COUNTA($A152:$M152)=0,"",IF(OR($U152="Subscription",$U152=""),"",IF($U152="Draw",$H152,0)))</x:f>
      </x:c>
      <x:c r="S152" s="114" t="str">
        <x:f>IF(COUNTA($A152:$M152)=0,"",IF(OR($U152="Subscription",$U152=""),"",IF($U152="Disqualified",$H152,0)))</x:f>
      </x:c>
      <x:c r="T152" s="955" t="str">
        <x:f>IF(COUNTA($A152:$M152)=0,"",IF(OR($U152="Subscription",$U152=""),"",IF(OR($U152="Free Game",$U152="Disqualified — Free Game",$H152=0),"N/A",IF($U152="Profit",$Q152/$H152,IF($U152="Disqualified",-$S152/$H152,0)))))</x:f>
      </x:c>
      <x:c r="U152" s="920" t="str">
        <x:f>IF(COUNTA($A152:$M152)=0,"",IF(OR(LEFT(LOWER(TRIM($F152&amp;"")),12)="subscription",LOWER(TRIM($F152&amp;""))="membership"),"Subscription",IF(OR(AND($H152&lt;&gt;"",$H152=0),LEFT(LOWER(TRIM($F152&amp;"")),9)="free game",LOWER(TRIM($F152&amp;""))="free",LOWER(TRIM($F152&amp;""))="free entry"),IF(LOWER($L152&amp;"")="yes","Disqualified — Free Game","Free Game"),IF(LOWER($L152&amp;"")="yes","Disqualified",IF($P152="","",IF(ROUND(IFERROR(VALUE($P152),0)-IFERROR(VALUE($H152),0),2)&gt;0,"Profit","Draw"))))))</x:f>
      </x:c>
      <x:c r="V152" s="956" t="str">
        <x:f>IF(COUNTA($A152:$M152)=0,"",IF(OR($B152="",$C152="",$U152="Subscription"),"",IFERROR(ROUNDUP(($C152-$B152)/7,0),"")))</x:f>
      </x:c>
      <x:c r="W152" s="114" t="str">
        <x:f>IF(COUNTA($A152:$M152)=0,"",IF(OR($U152="Subscription",$U152=""),"",IF(OR($U152="Free Game",$U152="Disqualified — Free Game"),0,ROUND(IFERROR($Q152,0)-IFERROR($S152,0),2))))</x:f>
      </x:c>
      <x:c r="X152" s="956" t="str">
        <x:f>IF(COUNTA($A152:$M152)=0,"",IF(OR($U152="Subscription",NOT(ISNUMBER($J152)),NOT(ISNUMBER($I152)),$J152=0,$I152=0,$I152&gt;$J152),"",$J152-$I152))</x:f>
      </x:c>
      <x:c r="Y152" s="955" t="str">
        <x:f>IF(COUNTA($A152:$M152)=0,"",IF(OR($U152="Subscription",NOT(ISNUMBER($J152)),$J152=0,$X152=""),"",$X152/$J152))</x:f>
      </x:c>
      <x:c r="Z152" s="957" t="str">
        <x:f>IF(COUNTA($A152:$M152)=0,"",Instructions!$B$29+SUM($W$5:W152))</x:f>
      </x:c>
    </x:row>
    <x:row r="153" ht="36" customHeight="1">
      <x:c r="A153" s="439"/>
      <x:c r="B153" s="453"/>
      <x:c r="C153" s="453"/>
      <x:c r="D153" s="454"/>
      <x:c r="E153" s="454"/>
      <x:c r="F153" s="454"/>
      <x:c r="G153" s="986"/>
      <x:c r="H153" s="455"/>
      <x:c r="I153" s="456"/>
      <x:c r="J153" s="456"/>
      <x:c r="K153" s="986"/>
      <x:c r="L153" s="454"/>
      <x:c r="M153" s="439"/>
      <x:c r="N153" s="987" t="str">
        <x:f>IF(COUNTA($A153:$M153)=0,"",IF(OR(LEFT(LOWER(TRIM($F153&amp;"")),12)="subscription",LOWER(TRIM($F153&amp;""))="membership"),"",IF($G153="","",IF(ISNUMBER(SEARCH("non",LOWER($E153&amp;""))),$G153*0.85,$G153))))</x:f>
      </x:c>
      <x:c r="O153" s="987" t="str">
        <x:f>IF(COUNTA($A153:$M153)=0,"",IF(OR(LEFT(LOWER(TRIM($F153&amp;"")),12)="subscription",LOWER(TRIM($F153&amp;""))="membership"),"",IF(OR($N153="",$I153="",$I153=0),"",IFERROR($N153/$I153,""))))</x:f>
      </x:c>
      <x:c r="P153" s="987" t="str">
        <x:f>IF(COUNTA($A153:$M153)=0,"",IF(OR(LEFT(LOWER(TRIM($F153&amp;"")),12)="subscription",LOWER(TRIM($F153&amp;""))="membership"),"",IF(LOWER($L153&amp;"")="yes",0,IF(OR(AND($H153&lt;&gt;"",$H153=0),LEFT(LOWER(TRIM($F153&amp;"")),9)="free game",LOWER(TRIM($F153&amp;""))="free",LOWER(TRIM($F153&amp;""))="free entry"),IF(LOWER($D153&amp;"")="finalized",IF(ISNUMBER($K153),$K153,""),IF($O153&lt;&gt;"",$O153,"")),IF($K153&lt;&gt;"",$K153,IF($O153&lt;&gt;"",$O153,""))))))</x:f>
      </x:c>
      <x:c r="Q153" s="114" t="str">
        <x:f>IF(COUNTA($A153:$M153)=0,"",IF(OR($U153="Subscription",$U153=""),"",IF($U153="Profit",ROUND(IFERROR($P153,0)-IFERROR($H153,0),2),0)))</x:f>
      </x:c>
      <x:c r="R153" s="114" t="str">
        <x:f>IF(COUNTA($A153:$M153)=0,"",IF(OR($U153="Subscription",$U153=""),"",IF($U153="Draw",$H153,0)))</x:f>
      </x:c>
      <x:c r="S153" s="114" t="str">
        <x:f>IF(COUNTA($A153:$M153)=0,"",IF(OR($U153="Subscription",$U153=""),"",IF($U153="Disqualified",$H153,0)))</x:f>
      </x:c>
      <x:c r="T153" s="955" t="str">
        <x:f>IF(COUNTA($A153:$M153)=0,"",IF(OR($U153="Subscription",$U153=""),"",IF(OR($U153="Free Game",$U153="Disqualified — Free Game",$H153=0),"N/A",IF($U153="Profit",$Q153/$H153,IF($U153="Disqualified",-$S153/$H153,0)))))</x:f>
      </x:c>
      <x:c r="U153" s="920" t="str">
        <x:f>IF(COUNTA($A153:$M153)=0,"",IF(OR(LEFT(LOWER(TRIM($F153&amp;"")),12)="subscription",LOWER(TRIM($F153&amp;""))="membership"),"Subscription",IF(OR(AND($H153&lt;&gt;"",$H153=0),LEFT(LOWER(TRIM($F153&amp;"")),9)="free game",LOWER(TRIM($F153&amp;""))="free",LOWER(TRIM($F153&amp;""))="free entry"),IF(LOWER($L153&amp;"")="yes","Disqualified — Free Game","Free Game"),IF(LOWER($L153&amp;"")="yes","Disqualified",IF($P153="","",IF(ROUND(IFERROR(VALUE($P153),0)-IFERROR(VALUE($H153),0),2)&gt;0,"Profit","Draw"))))))</x:f>
      </x:c>
      <x:c r="V153" s="956" t="str">
        <x:f>IF(COUNTA($A153:$M153)=0,"",IF(OR($B153="",$C153="",$U153="Subscription"),"",IFERROR(ROUNDUP(($C153-$B153)/7,0),"")))</x:f>
      </x:c>
      <x:c r="W153" s="114" t="str">
        <x:f>IF(COUNTA($A153:$M153)=0,"",IF(OR($U153="Subscription",$U153=""),"",IF(OR($U153="Free Game",$U153="Disqualified — Free Game"),0,ROUND(IFERROR($Q153,0)-IFERROR($S153,0),2))))</x:f>
      </x:c>
      <x:c r="X153" s="956" t="str">
        <x:f>IF(COUNTA($A153:$M153)=0,"",IF(OR($U153="Subscription",NOT(ISNUMBER($J153)),NOT(ISNUMBER($I153)),$J153=0,$I153=0,$I153&gt;$J153),"",$J153-$I153))</x:f>
      </x:c>
      <x:c r="Y153" s="955" t="str">
        <x:f>IF(COUNTA($A153:$M153)=0,"",IF(OR($U153="Subscription",NOT(ISNUMBER($J153)),$J153=0,$X153=""),"",$X153/$J153))</x:f>
      </x:c>
      <x:c r="Z153" s="957" t="str">
        <x:f>IF(COUNTA($A153:$M153)=0,"",Instructions!$B$29+SUM($W$5:W153))</x:f>
      </x:c>
    </x:row>
    <x:row r="154" ht="36" customHeight="1">
      <x:c r="A154" s="439"/>
      <x:c r="B154" s="453"/>
      <x:c r="C154" s="453"/>
      <x:c r="D154" s="454"/>
      <x:c r="E154" s="454"/>
      <x:c r="F154" s="454"/>
      <x:c r="G154" s="986"/>
      <x:c r="H154" s="455"/>
      <x:c r="I154" s="456"/>
      <x:c r="J154" s="456"/>
      <x:c r="K154" s="986"/>
      <x:c r="L154" s="454"/>
      <x:c r="M154" s="439"/>
      <x:c r="N154" s="987" t="str">
        <x:f>IF(COUNTA($A154:$M154)=0,"",IF(OR(LEFT(LOWER(TRIM($F154&amp;"")),12)="subscription",LOWER(TRIM($F154&amp;""))="membership"),"",IF($G154="","",IF(ISNUMBER(SEARCH("non",LOWER($E154&amp;""))),$G154*0.85,$G154))))</x:f>
      </x:c>
      <x:c r="O154" s="987" t="str">
        <x:f>IF(COUNTA($A154:$M154)=0,"",IF(OR(LEFT(LOWER(TRIM($F154&amp;"")),12)="subscription",LOWER(TRIM($F154&amp;""))="membership"),"",IF(OR($N154="",$I154="",$I154=0),"",IFERROR($N154/$I154,""))))</x:f>
      </x:c>
      <x:c r="P154" s="987" t="str">
        <x:f>IF(COUNTA($A154:$M154)=0,"",IF(OR(LEFT(LOWER(TRIM($F154&amp;"")),12)="subscription",LOWER(TRIM($F154&amp;""))="membership"),"",IF(LOWER($L154&amp;"")="yes",0,IF(OR(AND($H154&lt;&gt;"",$H154=0),LEFT(LOWER(TRIM($F154&amp;"")),9)="free game",LOWER(TRIM($F154&amp;""))="free",LOWER(TRIM($F154&amp;""))="free entry"),IF(LOWER($D154&amp;"")="finalized",IF(ISNUMBER($K154),$K154,""),IF($O154&lt;&gt;"",$O154,"")),IF($K154&lt;&gt;"",$K154,IF($O154&lt;&gt;"",$O154,""))))))</x:f>
      </x:c>
      <x:c r="Q154" s="114" t="str">
        <x:f>IF(COUNTA($A154:$M154)=0,"",IF(OR($U154="Subscription",$U154=""),"",IF($U154="Profit",ROUND(IFERROR($P154,0)-IFERROR($H154,0),2),0)))</x:f>
      </x:c>
      <x:c r="R154" s="114" t="str">
        <x:f>IF(COUNTA($A154:$M154)=0,"",IF(OR($U154="Subscription",$U154=""),"",IF($U154="Draw",$H154,0)))</x:f>
      </x:c>
      <x:c r="S154" s="114" t="str">
        <x:f>IF(COUNTA($A154:$M154)=0,"",IF(OR($U154="Subscription",$U154=""),"",IF($U154="Disqualified",$H154,0)))</x:f>
      </x:c>
      <x:c r="T154" s="955" t="str">
        <x:f>IF(COUNTA($A154:$M154)=0,"",IF(OR($U154="Subscription",$U154=""),"",IF(OR($U154="Free Game",$U154="Disqualified — Free Game",$H154=0),"N/A",IF($U154="Profit",$Q154/$H154,IF($U154="Disqualified",-$S154/$H154,0)))))</x:f>
      </x:c>
      <x:c r="U154" s="920" t="str">
        <x:f>IF(COUNTA($A154:$M154)=0,"",IF(OR(LEFT(LOWER(TRIM($F154&amp;"")),12)="subscription",LOWER(TRIM($F154&amp;""))="membership"),"Subscription",IF(OR(AND($H154&lt;&gt;"",$H154=0),LEFT(LOWER(TRIM($F154&amp;"")),9)="free game",LOWER(TRIM($F154&amp;""))="free",LOWER(TRIM($F154&amp;""))="free entry"),IF(LOWER($L154&amp;"")="yes","Disqualified — Free Game","Free Game"),IF(LOWER($L154&amp;"")="yes","Disqualified",IF($P154="","",IF(ROUND(IFERROR(VALUE($P154),0)-IFERROR(VALUE($H154),0),2)&gt;0,"Profit","Draw"))))))</x:f>
      </x:c>
      <x:c r="V154" s="956" t="str">
        <x:f>IF(COUNTA($A154:$M154)=0,"",IF(OR($B154="",$C154="",$U154="Subscription"),"",IFERROR(ROUNDUP(($C154-$B154)/7,0),"")))</x:f>
      </x:c>
      <x:c r="W154" s="114" t="str">
        <x:f>IF(COUNTA($A154:$M154)=0,"",IF(OR($U154="Subscription",$U154=""),"",IF(OR($U154="Free Game",$U154="Disqualified — Free Game"),0,ROUND(IFERROR($Q154,0)-IFERROR($S154,0),2))))</x:f>
      </x:c>
      <x:c r="X154" s="956" t="str">
        <x:f>IF(COUNTA($A154:$M154)=0,"",IF(OR($U154="Subscription",NOT(ISNUMBER($J154)),NOT(ISNUMBER($I154)),$J154=0,$I154=0,$I154&gt;$J154),"",$J154-$I154))</x:f>
      </x:c>
      <x:c r="Y154" s="955" t="str">
        <x:f>IF(COUNTA($A154:$M154)=0,"",IF(OR($U154="Subscription",NOT(ISNUMBER($J154)),$J154=0,$X154=""),"",$X154/$J154))</x:f>
      </x:c>
      <x:c r="Z154" s="957" t="str">
        <x:f>IF(COUNTA($A154:$M154)=0,"",Instructions!$B$29+SUM($W$5:W154))</x:f>
      </x:c>
    </x:row>
    <x:row r="155" ht="36" customHeight="1">
      <x:c r="A155" s="439"/>
      <x:c r="B155" s="453"/>
      <x:c r="C155" s="453"/>
      <x:c r="D155" s="454"/>
      <x:c r="E155" s="454"/>
      <x:c r="F155" s="454"/>
      <x:c r="G155" s="986"/>
      <x:c r="H155" s="455"/>
      <x:c r="I155" s="456"/>
      <x:c r="J155" s="456"/>
      <x:c r="K155" s="986"/>
      <x:c r="L155" s="454"/>
      <x:c r="M155" s="439"/>
      <x:c r="N155" s="987" t="str">
        <x:f>IF(COUNTA($A155:$M155)=0,"",IF(OR(LEFT(LOWER(TRIM($F155&amp;"")),12)="subscription",LOWER(TRIM($F155&amp;""))="membership"),"",IF($G155="","",IF(ISNUMBER(SEARCH("non",LOWER($E155&amp;""))),$G155*0.85,$G155))))</x:f>
      </x:c>
      <x:c r="O155" s="987" t="str">
        <x:f>IF(COUNTA($A155:$M155)=0,"",IF(OR(LEFT(LOWER(TRIM($F155&amp;"")),12)="subscription",LOWER(TRIM($F155&amp;""))="membership"),"",IF(OR($N155="",$I155="",$I155=0),"",IFERROR($N155/$I155,""))))</x:f>
      </x:c>
      <x:c r="P155" s="987" t="str">
        <x:f>IF(COUNTA($A155:$M155)=0,"",IF(OR(LEFT(LOWER(TRIM($F155&amp;"")),12)="subscription",LOWER(TRIM($F155&amp;""))="membership"),"",IF(LOWER($L155&amp;"")="yes",0,IF(OR(AND($H155&lt;&gt;"",$H155=0),LEFT(LOWER(TRIM($F155&amp;"")),9)="free game",LOWER(TRIM($F155&amp;""))="free",LOWER(TRIM($F155&amp;""))="free entry"),IF(LOWER($D155&amp;"")="finalized",IF(ISNUMBER($K155),$K155,""),IF($O155&lt;&gt;"",$O155,"")),IF($K155&lt;&gt;"",$K155,IF($O155&lt;&gt;"",$O155,""))))))</x:f>
      </x:c>
      <x:c r="Q155" s="114" t="str">
        <x:f>IF(COUNTA($A155:$M155)=0,"",IF(OR($U155="Subscription",$U155=""),"",IF($U155="Profit",ROUND(IFERROR($P155,0)-IFERROR($H155,0),2),0)))</x:f>
      </x:c>
      <x:c r="R155" s="114" t="str">
        <x:f>IF(COUNTA($A155:$M155)=0,"",IF(OR($U155="Subscription",$U155=""),"",IF($U155="Draw",$H155,0)))</x:f>
      </x:c>
      <x:c r="S155" s="114" t="str">
        <x:f>IF(COUNTA($A155:$M155)=0,"",IF(OR($U155="Subscription",$U155=""),"",IF($U155="Disqualified",$H155,0)))</x:f>
      </x:c>
      <x:c r="T155" s="955" t="str">
        <x:f>IF(COUNTA($A155:$M155)=0,"",IF(OR($U155="Subscription",$U155=""),"",IF(OR($U155="Free Game",$U155="Disqualified — Free Game",$H155=0),"N/A",IF($U155="Profit",$Q155/$H155,IF($U155="Disqualified",-$S155/$H155,0)))))</x:f>
      </x:c>
      <x:c r="U155" s="920" t="str">
        <x:f>IF(COUNTA($A155:$M155)=0,"",IF(OR(LEFT(LOWER(TRIM($F155&amp;"")),12)="subscription",LOWER(TRIM($F155&amp;""))="membership"),"Subscription",IF(OR(AND($H155&lt;&gt;"",$H155=0),LEFT(LOWER(TRIM($F155&amp;"")),9)="free game",LOWER(TRIM($F155&amp;""))="free",LOWER(TRIM($F155&amp;""))="free entry"),IF(LOWER($L155&amp;"")="yes","Disqualified — Free Game","Free Game"),IF(LOWER($L155&amp;"")="yes","Disqualified",IF($P155="","",IF(ROUND(IFERROR(VALUE($P155),0)-IFERROR(VALUE($H155),0),2)&gt;0,"Profit","Draw"))))))</x:f>
      </x:c>
      <x:c r="V155" s="956" t="str">
        <x:f>IF(COUNTA($A155:$M155)=0,"",IF(OR($B155="",$C155="",$U155="Subscription"),"",IFERROR(ROUNDUP(($C155-$B155)/7,0),"")))</x:f>
      </x:c>
      <x:c r="W155" s="114" t="str">
        <x:f>IF(COUNTA($A155:$M155)=0,"",IF(OR($U155="Subscription",$U155=""),"",IF(OR($U155="Free Game",$U155="Disqualified — Free Game"),0,ROUND(IFERROR($Q155,0)-IFERROR($S155,0),2))))</x:f>
      </x:c>
      <x:c r="X155" s="956" t="str">
        <x:f>IF(COUNTA($A155:$M155)=0,"",IF(OR($U155="Subscription",NOT(ISNUMBER($J155)),NOT(ISNUMBER($I155)),$J155=0,$I155=0,$I155&gt;$J155),"",$J155-$I155))</x:f>
      </x:c>
      <x:c r="Y155" s="955" t="str">
        <x:f>IF(COUNTA($A155:$M155)=0,"",IF(OR($U155="Subscription",NOT(ISNUMBER($J155)),$J155=0,$X155=""),"",$X155/$J155))</x:f>
      </x:c>
      <x:c r="Z155" s="957" t="str">
        <x:f>IF(COUNTA($A155:$M155)=0,"",Instructions!$B$29+SUM($W$5:W155))</x:f>
      </x:c>
    </x:row>
    <x:row r="156" ht="36" customHeight="1">
      <x:c r="A156" s="439"/>
      <x:c r="B156" s="453"/>
      <x:c r="C156" s="453"/>
      <x:c r="D156" s="454"/>
      <x:c r="E156" s="454"/>
      <x:c r="F156" s="454"/>
      <x:c r="G156" s="986"/>
      <x:c r="H156" s="455"/>
      <x:c r="I156" s="456"/>
      <x:c r="J156" s="456"/>
      <x:c r="K156" s="986"/>
      <x:c r="L156" s="454"/>
      <x:c r="M156" s="439"/>
      <x:c r="N156" s="987" t="str">
        <x:f>IF(COUNTA($A156:$M156)=0,"",IF(OR(LEFT(LOWER(TRIM($F156&amp;"")),12)="subscription",LOWER(TRIM($F156&amp;""))="membership"),"",IF($G156="","",IF(ISNUMBER(SEARCH("non",LOWER($E156&amp;""))),$G156*0.85,$G156))))</x:f>
      </x:c>
      <x:c r="O156" s="987" t="str">
        <x:f>IF(COUNTA($A156:$M156)=0,"",IF(OR(LEFT(LOWER(TRIM($F156&amp;"")),12)="subscription",LOWER(TRIM($F156&amp;""))="membership"),"",IF(OR($N156="",$I156="",$I156=0),"",IFERROR($N156/$I156,""))))</x:f>
      </x:c>
      <x:c r="P156" s="987" t="str">
        <x:f>IF(COUNTA($A156:$M156)=0,"",IF(OR(LEFT(LOWER(TRIM($F156&amp;"")),12)="subscription",LOWER(TRIM($F156&amp;""))="membership"),"",IF(LOWER($L156&amp;"")="yes",0,IF(OR(AND($H156&lt;&gt;"",$H156=0),LEFT(LOWER(TRIM($F156&amp;"")),9)="free game",LOWER(TRIM($F156&amp;""))="free",LOWER(TRIM($F156&amp;""))="free entry"),IF(LOWER($D156&amp;"")="finalized",IF(ISNUMBER($K156),$K156,""),IF($O156&lt;&gt;"",$O156,"")),IF($K156&lt;&gt;"",$K156,IF($O156&lt;&gt;"",$O156,""))))))</x:f>
      </x:c>
      <x:c r="Q156" s="114" t="str">
        <x:f>IF(COUNTA($A156:$M156)=0,"",IF(OR($U156="Subscription",$U156=""),"",IF($U156="Profit",ROUND(IFERROR($P156,0)-IFERROR($H156,0),2),0)))</x:f>
      </x:c>
      <x:c r="R156" s="114" t="str">
        <x:f>IF(COUNTA($A156:$M156)=0,"",IF(OR($U156="Subscription",$U156=""),"",IF($U156="Draw",$H156,0)))</x:f>
      </x:c>
      <x:c r="S156" s="114" t="str">
        <x:f>IF(COUNTA($A156:$M156)=0,"",IF(OR($U156="Subscription",$U156=""),"",IF($U156="Disqualified",$H156,0)))</x:f>
      </x:c>
      <x:c r="T156" s="955" t="str">
        <x:f>IF(COUNTA($A156:$M156)=0,"",IF(OR($U156="Subscription",$U156=""),"",IF(OR($U156="Free Game",$U156="Disqualified — Free Game",$H156=0),"N/A",IF($U156="Profit",$Q156/$H156,IF($U156="Disqualified",-$S156/$H156,0)))))</x:f>
      </x:c>
      <x:c r="U156" s="920" t="str">
        <x:f>IF(COUNTA($A156:$M156)=0,"",IF(OR(LEFT(LOWER(TRIM($F156&amp;"")),12)="subscription",LOWER(TRIM($F156&amp;""))="membership"),"Subscription",IF(OR(AND($H156&lt;&gt;"",$H156=0),LEFT(LOWER(TRIM($F156&amp;"")),9)="free game",LOWER(TRIM($F156&amp;""))="free",LOWER(TRIM($F156&amp;""))="free entry"),IF(LOWER($L156&amp;"")="yes","Disqualified — Free Game","Free Game"),IF(LOWER($L156&amp;"")="yes","Disqualified",IF($P156="","",IF(ROUND(IFERROR(VALUE($P156),0)-IFERROR(VALUE($H156),0),2)&gt;0,"Profit","Draw"))))))</x:f>
      </x:c>
      <x:c r="V156" s="956" t="str">
        <x:f>IF(COUNTA($A156:$M156)=0,"",IF(OR($B156="",$C156="",$U156="Subscription"),"",IFERROR(ROUNDUP(($C156-$B156)/7,0),"")))</x:f>
      </x:c>
      <x:c r="W156" s="114" t="str">
        <x:f>IF(COUNTA($A156:$M156)=0,"",IF(OR($U156="Subscription",$U156=""),"",IF(OR($U156="Free Game",$U156="Disqualified — Free Game"),0,ROUND(IFERROR($Q156,0)-IFERROR($S156,0),2))))</x:f>
      </x:c>
      <x:c r="X156" s="956" t="str">
        <x:f>IF(COUNTA($A156:$M156)=0,"",IF(OR($U156="Subscription",NOT(ISNUMBER($J156)),NOT(ISNUMBER($I156)),$J156=0,$I156=0,$I156&gt;$J156),"",$J156-$I156))</x:f>
      </x:c>
      <x:c r="Y156" s="955" t="str">
        <x:f>IF(COUNTA($A156:$M156)=0,"",IF(OR($U156="Subscription",NOT(ISNUMBER($J156)),$J156=0,$X156=""),"",$X156/$J156))</x:f>
      </x:c>
      <x:c r="Z156" s="957" t="str">
        <x:f>IF(COUNTA($A156:$M156)=0,"",Instructions!$B$29+SUM($W$5:W156))</x:f>
      </x:c>
    </x:row>
    <x:row r="157" ht="36" customHeight="1">
      <x:c r="A157" s="439"/>
      <x:c r="B157" s="453"/>
      <x:c r="C157" s="453"/>
      <x:c r="D157" s="454"/>
      <x:c r="E157" s="454"/>
      <x:c r="F157" s="454"/>
      <x:c r="G157" s="986"/>
      <x:c r="H157" s="455"/>
      <x:c r="I157" s="456"/>
      <x:c r="J157" s="456"/>
      <x:c r="K157" s="986"/>
      <x:c r="L157" s="454"/>
      <x:c r="M157" s="439"/>
      <x:c r="N157" s="987" t="str">
        <x:f>IF(COUNTA($A157:$M157)=0,"",IF(OR(LEFT(LOWER(TRIM($F157&amp;"")),12)="subscription",LOWER(TRIM($F157&amp;""))="membership"),"",IF($G157="","",IF(ISNUMBER(SEARCH("non",LOWER($E157&amp;""))),$G157*0.85,$G157))))</x:f>
      </x:c>
      <x:c r="O157" s="987" t="str">
        <x:f>IF(COUNTA($A157:$M157)=0,"",IF(OR(LEFT(LOWER(TRIM($F157&amp;"")),12)="subscription",LOWER(TRIM($F157&amp;""))="membership"),"",IF(OR($N157="",$I157="",$I157=0),"",IFERROR($N157/$I157,""))))</x:f>
      </x:c>
      <x:c r="P157" s="987" t="str">
        <x:f>IF(COUNTA($A157:$M157)=0,"",IF(OR(LEFT(LOWER(TRIM($F157&amp;"")),12)="subscription",LOWER(TRIM($F157&amp;""))="membership"),"",IF(LOWER($L157&amp;"")="yes",0,IF(OR(AND($H157&lt;&gt;"",$H157=0),LEFT(LOWER(TRIM($F157&amp;"")),9)="free game",LOWER(TRIM($F157&amp;""))="free",LOWER(TRIM($F157&amp;""))="free entry"),IF(LOWER($D157&amp;"")="finalized",IF(ISNUMBER($K157),$K157,""),IF($O157&lt;&gt;"",$O157,"")),IF($K157&lt;&gt;"",$K157,IF($O157&lt;&gt;"",$O157,""))))))</x:f>
      </x:c>
      <x:c r="Q157" s="114" t="str">
        <x:f>IF(COUNTA($A157:$M157)=0,"",IF(OR($U157="Subscription",$U157=""),"",IF($U157="Profit",ROUND(IFERROR($P157,0)-IFERROR($H157,0),2),0)))</x:f>
      </x:c>
      <x:c r="R157" s="114" t="str">
        <x:f>IF(COUNTA($A157:$M157)=0,"",IF(OR($U157="Subscription",$U157=""),"",IF($U157="Draw",$H157,0)))</x:f>
      </x:c>
      <x:c r="S157" s="114" t="str">
        <x:f>IF(COUNTA($A157:$M157)=0,"",IF(OR($U157="Subscription",$U157=""),"",IF($U157="Disqualified",$H157,0)))</x:f>
      </x:c>
      <x:c r="T157" s="955" t="str">
        <x:f>IF(COUNTA($A157:$M157)=0,"",IF(OR($U157="Subscription",$U157=""),"",IF(OR($U157="Free Game",$U157="Disqualified — Free Game",$H157=0),"N/A",IF($U157="Profit",$Q157/$H157,IF($U157="Disqualified",-$S157/$H157,0)))))</x:f>
      </x:c>
      <x:c r="U157" s="920" t="str">
        <x:f>IF(COUNTA($A157:$M157)=0,"",IF(OR(LEFT(LOWER(TRIM($F157&amp;"")),12)="subscription",LOWER(TRIM($F157&amp;""))="membership"),"Subscription",IF(OR(AND($H157&lt;&gt;"",$H157=0),LEFT(LOWER(TRIM($F157&amp;"")),9)="free game",LOWER(TRIM($F157&amp;""))="free",LOWER(TRIM($F157&amp;""))="free entry"),IF(LOWER($L157&amp;"")="yes","Disqualified — Free Game","Free Game"),IF(LOWER($L157&amp;"")="yes","Disqualified",IF($P157="","",IF(ROUND(IFERROR(VALUE($P157),0)-IFERROR(VALUE($H157),0),2)&gt;0,"Profit","Draw"))))))</x:f>
      </x:c>
      <x:c r="V157" s="956" t="str">
        <x:f>IF(COUNTA($A157:$M157)=0,"",IF(OR($B157="",$C157="",$U157="Subscription"),"",IFERROR(ROUNDUP(($C157-$B157)/7,0),"")))</x:f>
      </x:c>
      <x:c r="W157" s="114" t="str">
        <x:f>IF(COUNTA($A157:$M157)=0,"",IF(OR($U157="Subscription",$U157=""),"",IF(OR($U157="Free Game",$U157="Disqualified — Free Game"),0,ROUND(IFERROR($Q157,0)-IFERROR($S157,0),2))))</x:f>
      </x:c>
      <x:c r="X157" s="956" t="str">
        <x:f>IF(COUNTA($A157:$M157)=0,"",IF(OR($U157="Subscription",NOT(ISNUMBER($J157)),NOT(ISNUMBER($I157)),$J157=0,$I157=0,$I157&gt;$J157),"",$J157-$I157))</x:f>
      </x:c>
      <x:c r="Y157" s="955" t="str">
        <x:f>IF(COUNTA($A157:$M157)=0,"",IF(OR($U157="Subscription",NOT(ISNUMBER($J157)),$J157=0,$X157=""),"",$X157/$J157))</x:f>
      </x:c>
      <x:c r="Z157" s="957" t="str">
        <x:f>IF(COUNTA($A157:$M157)=0,"",Instructions!$B$29+SUM($W$5:W157))</x:f>
      </x:c>
    </x:row>
    <x:row r="158" ht="36" customHeight="1">
      <x:c r="A158" s="439"/>
      <x:c r="B158" s="453"/>
      <x:c r="C158" s="453"/>
      <x:c r="D158" s="454"/>
      <x:c r="E158" s="454"/>
      <x:c r="F158" s="454"/>
      <x:c r="G158" s="986"/>
      <x:c r="H158" s="455"/>
      <x:c r="I158" s="456"/>
      <x:c r="J158" s="456"/>
      <x:c r="K158" s="986"/>
      <x:c r="L158" s="454"/>
      <x:c r="M158" s="439"/>
      <x:c r="N158" s="987" t="str">
        <x:f>IF(COUNTA($A158:$M158)=0,"",IF(OR(LEFT(LOWER(TRIM($F158&amp;"")),12)="subscription",LOWER(TRIM($F158&amp;""))="membership"),"",IF($G158="","",IF(ISNUMBER(SEARCH("non",LOWER($E158&amp;""))),$G158*0.85,$G158))))</x:f>
      </x:c>
      <x:c r="O158" s="987" t="str">
        <x:f>IF(COUNTA($A158:$M158)=0,"",IF(OR(LEFT(LOWER(TRIM($F158&amp;"")),12)="subscription",LOWER(TRIM($F158&amp;""))="membership"),"",IF(OR($N158="",$I158="",$I158=0),"",IFERROR($N158/$I158,""))))</x:f>
      </x:c>
      <x:c r="P158" s="987" t="str">
        <x:f>IF(COUNTA($A158:$M158)=0,"",IF(OR(LEFT(LOWER(TRIM($F158&amp;"")),12)="subscription",LOWER(TRIM($F158&amp;""))="membership"),"",IF(LOWER($L158&amp;"")="yes",0,IF(OR(AND($H158&lt;&gt;"",$H158=0),LEFT(LOWER(TRIM($F158&amp;"")),9)="free game",LOWER(TRIM($F158&amp;""))="free",LOWER(TRIM($F158&amp;""))="free entry"),IF(LOWER($D158&amp;"")="finalized",IF(ISNUMBER($K158),$K158,""),IF($O158&lt;&gt;"",$O158,"")),IF($K158&lt;&gt;"",$K158,IF($O158&lt;&gt;"",$O158,""))))))</x:f>
      </x:c>
      <x:c r="Q158" s="114" t="str">
        <x:f>IF(COUNTA($A158:$M158)=0,"",IF(OR($U158="Subscription",$U158=""),"",IF($U158="Profit",ROUND(IFERROR($P158,0)-IFERROR($H158,0),2),0)))</x:f>
      </x:c>
      <x:c r="R158" s="114" t="str">
        <x:f>IF(COUNTA($A158:$M158)=0,"",IF(OR($U158="Subscription",$U158=""),"",IF($U158="Draw",$H158,0)))</x:f>
      </x:c>
      <x:c r="S158" s="114" t="str">
        <x:f>IF(COUNTA($A158:$M158)=0,"",IF(OR($U158="Subscription",$U158=""),"",IF($U158="Disqualified",$H158,0)))</x:f>
      </x:c>
      <x:c r="T158" s="955" t="str">
        <x:f>IF(COUNTA($A158:$M158)=0,"",IF(OR($U158="Subscription",$U158=""),"",IF(OR($U158="Free Game",$U158="Disqualified — Free Game",$H158=0),"N/A",IF($U158="Profit",$Q158/$H158,IF($U158="Disqualified",-$S158/$H158,0)))))</x:f>
      </x:c>
      <x:c r="U158" s="920" t="str">
        <x:f>IF(COUNTA($A158:$M158)=0,"",IF(OR(LEFT(LOWER(TRIM($F158&amp;"")),12)="subscription",LOWER(TRIM($F158&amp;""))="membership"),"Subscription",IF(OR(AND($H158&lt;&gt;"",$H158=0),LEFT(LOWER(TRIM($F158&amp;"")),9)="free game",LOWER(TRIM($F158&amp;""))="free",LOWER(TRIM($F158&amp;""))="free entry"),IF(LOWER($L158&amp;"")="yes","Disqualified — Free Game","Free Game"),IF(LOWER($L158&amp;"")="yes","Disqualified",IF($P158="","",IF(ROUND(IFERROR(VALUE($P158),0)-IFERROR(VALUE($H158),0),2)&gt;0,"Profit","Draw"))))))</x:f>
      </x:c>
      <x:c r="V158" s="956" t="str">
        <x:f>IF(COUNTA($A158:$M158)=0,"",IF(OR($B158="",$C158="",$U158="Subscription"),"",IFERROR(ROUNDUP(($C158-$B158)/7,0),"")))</x:f>
      </x:c>
      <x:c r="W158" s="114" t="str">
        <x:f>IF(COUNTA($A158:$M158)=0,"",IF(OR($U158="Subscription",$U158=""),"",IF(OR($U158="Free Game",$U158="Disqualified — Free Game"),0,ROUND(IFERROR($Q158,0)-IFERROR($S158,0),2))))</x:f>
      </x:c>
      <x:c r="X158" s="956" t="str">
        <x:f>IF(COUNTA($A158:$M158)=0,"",IF(OR($U158="Subscription",NOT(ISNUMBER($J158)),NOT(ISNUMBER($I158)),$J158=0,$I158=0,$I158&gt;$J158),"",$J158-$I158))</x:f>
      </x:c>
      <x:c r="Y158" s="955" t="str">
        <x:f>IF(COUNTA($A158:$M158)=0,"",IF(OR($U158="Subscription",NOT(ISNUMBER($J158)),$J158=0,$X158=""),"",$X158/$J158))</x:f>
      </x:c>
      <x:c r="Z158" s="957" t="str">
        <x:f>IF(COUNTA($A158:$M158)=0,"",Instructions!$B$29+SUM($W$5:W158))</x:f>
      </x:c>
    </x:row>
    <x:row r="159" ht="36" customHeight="1">
      <x:c r="A159" s="439"/>
      <x:c r="B159" s="453"/>
      <x:c r="C159" s="453"/>
      <x:c r="D159" s="454"/>
      <x:c r="E159" s="454"/>
      <x:c r="F159" s="454"/>
      <x:c r="G159" s="986"/>
      <x:c r="H159" s="455"/>
      <x:c r="I159" s="456"/>
      <x:c r="J159" s="456"/>
      <x:c r="K159" s="986"/>
      <x:c r="L159" s="454"/>
      <x:c r="M159" s="439"/>
      <x:c r="N159" s="987" t="str">
        <x:f>IF(COUNTA($A159:$M159)=0,"",IF(OR(LEFT(LOWER(TRIM($F159&amp;"")),12)="subscription",LOWER(TRIM($F159&amp;""))="membership"),"",IF($G159="","",IF(ISNUMBER(SEARCH("non",LOWER($E159&amp;""))),$G159*0.85,$G159))))</x:f>
      </x:c>
      <x:c r="O159" s="987" t="str">
        <x:f>IF(COUNTA($A159:$M159)=0,"",IF(OR(LEFT(LOWER(TRIM($F159&amp;"")),12)="subscription",LOWER(TRIM($F159&amp;""))="membership"),"",IF(OR($N159="",$I159="",$I159=0),"",IFERROR($N159/$I159,""))))</x:f>
      </x:c>
      <x:c r="P159" s="987" t="str">
        <x:f>IF(COUNTA($A159:$M159)=0,"",IF(OR(LEFT(LOWER(TRIM($F159&amp;"")),12)="subscription",LOWER(TRIM($F159&amp;""))="membership"),"",IF(LOWER($L159&amp;"")="yes",0,IF(OR(AND($H159&lt;&gt;"",$H159=0),LEFT(LOWER(TRIM($F159&amp;"")),9)="free game",LOWER(TRIM($F159&amp;""))="free",LOWER(TRIM($F159&amp;""))="free entry"),IF(LOWER($D159&amp;"")="finalized",IF(ISNUMBER($K159),$K159,""),IF($O159&lt;&gt;"",$O159,"")),IF($K159&lt;&gt;"",$K159,IF($O159&lt;&gt;"",$O159,""))))))</x:f>
      </x:c>
      <x:c r="Q159" s="114" t="str">
        <x:f>IF(COUNTA($A159:$M159)=0,"",IF(OR($U159="Subscription",$U159=""),"",IF($U159="Profit",ROUND(IFERROR($P159,0)-IFERROR($H159,0),2),0)))</x:f>
      </x:c>
      <x:c r="R159" s="114" t="str">
        <x:f>IF(COUNTA($A159:$M159)=0,"",IF(OR($U159="Subscription",$U159=""),"",IF($U159="Draw",$H159,0)))</x:f>
      </x:c>
      <x:c r="S159" s="114" t="str">
        <x:f>IF(COUNTA($A159:$M159)=0,"",IF(OR($U159="Subscription",$U159=""),"",IF($U159="Disqualified",$H159,0)))</x:f>
      </x:c>
      <x:c r="T159" s="955" t="str">
        <x:f>IF(COUNTA($A159:$M159)=0,"",IF(OR($U159="Subscription",$U159=""),"",IF(OR($U159="Free Game",$U159="Disqualified — Free Game",$H159=0),"N/A",IF($U159="Profit",$Q159/$H159,IF($U159="Disqualified",-$S159/$H159,0)))))</x:f>
      </x:c>
      <x:c r="U159" s="920" t="str">
        <x:f>IF(COUNTA($A159:$M159)=0,"",IF(OR(LEFT(LOWER(TRIM($F159&amp;"")),12)="subscription",LOWER(TRIM($F159&amp;""))="membership"),"Subscription",IF(OR(AND($H159&lt;&gt;"",$H159=0),LEFT(LOWER(TRIM($F159&amp;"")),9)="free game",LOWER(TRIM($F159&amp;""))="free",LOWER(TRIM($F159&amp;""))="free entry"),IF(LOWER($L159&amp;"")="yes","Disqualified — Free Game","Free Game"),IF(LOWER($L159&amp;"")="yes","Disqualified",IF($P159="","",IF(ROUND(IFERROR(VALUE($P159),0)-IFERROR(VALUE($H159),0),2)&gt;0,"Profit","Draw"))))))</x:f>
      </x:c>
      <x:c r="V159" s="956" t="str">
        <x:f>IF(COUNTA($A159:$M159)=0,"",IF(OR($B159="",$C159="",$U159="Subscription"),"",IFERROR(ROUNDUP(($C159-$B159)/7,0),"")))</x:f>
      </x:c>
      <x:c r="W159" s="114" t="str">
        <x:f>IF(COUNTA($A159:$M159)=0,"",IF(OR($U159="Subscription",$U159=""),"",IF(OR($U159="Free Game",$U159="Disqualified — Free Game"),0,ROUND(IFERROR($Q159,0)-IFERROR($S159,0),2))))</x:f>
      </x:c>
      <x:c r="X159" s="956" t="str">
        <x:f>IF(COUNTA($A159:$M159)=0,"",IF(OR($U159="Subscription",NOT(ISNUMBER($J159)),NOT(ISNUMBER($I159)),$J159=0,$I159=0,$I159&gt;$J159),"",$J159-$I159))</x:f>
      </x:c>
      <x:c r="Y159" s="955" t="str">
        <x:f>IF(COUNTA($A159:$M159)=0,"",IF(OR($U159="Subscription",NOT(ISNUMBER($J159)),$J159=0,$X159=""),"",$X159/$J159))</x:f>
      </x:c>
      <x:c r="Z159" s="957" t="str">
        <x:f>IF(COUNTA($A159:$M159)=0,"",Instructions!$B$29+SUM($W$5:W159))</x:f>
      </x:c>
    </x:row>
    <x:row r="160" ht="36" customHeight="1">
      <x:c r="A160" s="439"/>
      <x:c r="B160" s="453"/>
      <x:c r="C160" s="453"/>
      <x:c r="D160" s="454"/>
      <x:c r="E160" s="454"/>
      <x:c r="F160" s="454"/>
      <x:c r="G160" s="986"/>
      <x:c r="H160" s="455"/>
      <x:c r="I160" s="456"/>
      <x:c r="J160" s="456"/>
      <x:c r="K160" s="986"/>
      <x:c r="L160" s="454"/>
      <x:c r="M160" s="439"/>
      <x:c r="N160" s="987" t="str">
        <x:f>IF(COUNTA($A160:$M160)=0,"",IF(OR(LEFT(LOWER(TRIM($F160&amp;"")),12)="subscription",LOWER(TRIM($F160&amp;""))="membership"),"",IF($G160="","",IF(ISNUMBER(SEARCH("non",LOWER($E160&amp;""))),$G160*0.85,$G160))))</x:f>
      </x:c>
      <x:c r="O160" s="987" t="str">
        <x:f>IF(COUNTA($A160:$M160)=0,"",IF(OR(LEFT(LOWER(TRIM($F160&amp;"")),12)="subscription",LOWER(TRIM($F160&amp;""))="membership"),"",IF(OR($N160="",$I160="",$I160=0),"",IFERROR($N160/$I160,""))))</x:f>
      </x:c>
      <x:c r="P160" s="987" t="str">
        <x:f>IF(COUNTA($A160:$M160)=0,"",IF(OR(LEFT(LOWER(TRIM($F160&amp;"")),12)="subscription",LOWER(TRIM($F160&amp;""))="membership"),"",IF(LOWER($L160&amp;"")="yes",0,IF(OR(AND($H160&lt;&gt;"",$H160=0),LEFT(LOWER(TRIM($F160&amp;"")),9)="free game",LOWER(TRIM($F160&amp;""))="free",LOWER(TRIM($F160&amp;""))="free entry"),IF(LOWER($D160&amp;"")="finalized",IF(ISNUMBER($K160),$K160,""),IF($O160&lt;&gt;"",$O160,"")),IF($K160&lt;&gt;"",$K160,IF($O160&lt;&gt;"",$O160,""))))))</x:f>
      </x:c>
      <x:c r="Q160" s="114" t="str">
        <x:f>IF(COUNTA($A160:$M160)=0,"",IF(OR($U160="Subscription",$U160=""),"",IF($U160="Profit",ROUND(IFERROR($P160,0)-IFERROR($H160,0),2),0)))</x:f>
      </x:c>
      <x:c r="R160" s="114" t="str">
        <x:f>IF(COUNTA($A160:$M160)=0,"",IF(OR($U160="Subscription",$U160=""),"",IF($U160="Draw",$H160,0)))</x:f>
      </x:c>
      <x:c r="S160" s="114" t="str">
        <x:f>IF(COUNTA($A160:$M160)=0,"",IF(OR($U160="Subscription",$U160=""),"",IF($U160="Disqualified",$H160,0)))</x:f>
      </x:c>
      <x:c r="T160" s="955" t="str">
        <x:f>IF(COUNTA($A160:$M160)=0,"",IF(OR($U160="Subscription",$U160=""),"",IF(OR($U160="Free Game",$U160="Disqualified — Free Game",$H160=0),"N/A",IF($U160="Profit",$Q160/$H160,IF($U160="Disqualified",-$S160/$H160,0)))))</x:f>
      </x:c>
      <x:c r="U160" s="920" t="str">
        <x:f>IF(COUNTA($A160:$M160)=0,"",IF(OR(LEFT(LOWER(TRIM($F160&amp;"")),12)="subscription",LOWER(TRIM($F160&amp;""))="membership"),"Subscription",IF(OR(AND($H160&lt;&gt;"",$H160=0),LEFT(LOWER(TRIM($F160&amp;"")),9)="free game",LOWER(TRIM($F160&amp;""))="free",LOWER(TRIM($F160&amp;""))="free entry"),IF(LOWER($L160&amp;"")="yes","Disqualified — Free Game","Free Game"),IF(LOWER($L160&amp;"")="yes","Disqualified",IF($P160="","",IF(ROUND(IFERROR(VALUE($P160),0)-IFERROR(VALUE($H160),0),2)&gt;0,"Profit","Draw"))))))</x:f>
      </x:c>
      <x:c r="V160" s="956" t="str">
        <x:f>IF(COUNTA($A160:$M160)=0,"",IF(OR($B160="",$C160="",$U160="Subscription"),"",IFERROR(ROUNDUP(($C160-$B160)/7,0),"")))</x:f>
      </x:c>
      <x:c r="W160" s="114" t="str">
        <x:f>IF(COUNTA($A160:$M160)=0,"",IF(OR($U160="Subscription",$U160=""),"",IF(OR($U160="Free Game",$U160="Disqualified — Free Game"),0,ROUND(IFERROR($Q160,0)-IFERROR($S160,0),2))))</x:f>
      </x:c>
      <x:c r="X160" s="956" t="str">
        <x:f>IF(COUNTA($A160:$M160)=0,"",IF(OR($U160="Subscription",NOT(ISNUMBER($J160)),NOT(ISNUMBER($I160)),$J160=0,$I160=0,$I160&gt;$J160),"",$J160-$I160))</x:f>
      </x:c>
      <x:c r="Y160" s="955" t="str">
        <x:f>IF(COUNTA($A160:$M160)=0,"",IF(OR($U160="Subscription",NOT(ISNUMBER($J160)),$J160=0,$X160=""),"",$X160/$J160))</x:f>
      </x:c>
      <x:c r="Z160" s="957" t="str">
        <x:f>IF(COUNTA($A160:$M160)=0,"",Instructions!$B$29+SUM($W$5:W160))</x:f>
      </x:c>
    </x:row>
    <x:row r="161" ht="36" customHeight="1">
      <x:c r="A161" s="439"/>
      <x:c r="B161" s="453"/>
      <x:c r="C161" s="453"/>
      <x:c r="D161" s="454"/>
      <x:c r="E161" s="454"/>
      <x:c r="F161" s="454"/>
      <x:c r="G161" s="986"/>
      <x:c r="H161" s="455"/>
      <x:c r="I161" s="456"/>
      <x:c r="J161" s="456"/>
      <x:c r="K161" s="986"/>
      <x:c r="L161" s="454"/>
      <x:c r="M161" s="439"/>
      <x:c r="N161" s="987" t="str">
        <x:f>IF(COUNTA($A161:$M161)=0,"",IF(OR(LEFT(LOWER(TRIM($F161&amp;"")),12)="subscription",LOWER(TRIM($F161&amp;""))="membership"),"",IF($G161="","",IF(ISNUMBER(SEARCH("non",LOWER($E161&amp;""))),$G161*0.85,$G161))))</x:f>
      </x:c>
      <x:c r="O161" s="987" t="str">
        <x:f>IF(COUNTA($A161:$M161)=0,"",IF(OR(LEFT(LOWER(TRIM($F161&amp;"")),12)="subscription",LOWER(TRIM($F161&amp;""))="membership"),"",IF(OR($N161="",$I161="",$I161=0),"",IFERROR($N161/$I161,""))))</x:f>
      </x:c>
      <x:c r="P161" s="987" t="str">
        <x:f>IF(COUNTA($A161:$M161)=0,"",IF(OR(LEFT(LOWER(TRIM($F161&amp;"")),12)="subscription",LOWER(TRIM($F161&amp;""))="membership"),"",IF(LOWER($L161&amp;"")="yes",0,IF(OR(AND($H161&lt;&gt;"",$H161=0),LEFT(LOWER(TRIM($F161&amp;"")),9)="free game",LOWER(TRIM($F161&amp;""))="free",LOWER(TRIM($F161&amp;""))="free entry"),IF(LOWER($D161&amp;"")="finalized",IF(ISNUMBER($K161),$K161,""),IF($O161&lt;&gt;"",$O161,"")),IF($K161&lt;&gt;"",$K161,IF($O161&lt;&gt;"",$O161,""))))))</x:f>
      </x:c>
      <x:c r="Q161" s="114" t="str">
        <x:f>IF(COUNTA($A161:$M161)=0,"",IF(OR($U161="Subscription",$U161=""),"",IF($U161="Profit",ROUND(IFERROR($P161,0)-IFERROR($H161,0),2),0)))</x:f>
      </x:c>
      <x:c r="R161" s="114" t="str">
        <x:f>IF(COUNTA($A161:$M161)=0,"",IF(OR($U161="Subscription",$U161=""),"",IF($U161="Draw",$H161,0)))</x:f>
      </x:c>
      <x:c r="S161" s="114" t="str">
        <x:f>IF(COUNTA($A161:$M161)=0,"",IF(OR($U161="Subscription",$U161=""),"",IF($U161="Disqualified",$H161,0)))</x:f>
      </x:c>
      <x:c r="T161" s="955" t="str">
        <x:f>IF(COUNTA($A161:$M161)=0,"",IF(OR($U161="Subscription",$U161=""),"",IF(OR($U161="Free Game",$U161="Disqualified — Free Game",$H161=0),"N/A",IF($U161="Profit",$Q161/$H161,IF($U161="Disqualified",-$S161/$H161,0)))))</x:f>
      </x:c>
      <x:c r="U161" s="920" t="str">
        <x:f>IF(COUNTA($A161:$M161)=0,"",IF(OR(LEFT(LOWER(TRIM($F161&amp;"")),12)="subscription",LOWER(TRIM($F161&amp;""))="membership"),"Subscription",IF(OR(AND($H161&lt;&gt;"",$H161=0),LEFT(LOWER(TRIM($F161&amp;"")),9)="free game",LOWER(TRIM($F161&amp;""))="free",LOWER(TRIM($F161&amp;""))="free entry"),IF(LOWER($L161&amp;"")="yes","Disqualified — Free Game","Free Game"),IF(LOWER($L161&amp;"")="yes","Disqualified",IF($P161="","",IF(ROUND(IFERROR(VALUE($P161),0)-IFERROR(VALUE($H161),0),2)&gt;0,"Profit","Draw"))))))</x:f>
      </x:c>
      <x:c r="V161" s="956" t="str">
        <x:f>IF(COUNTA($A161:$M161)=0,"",IF(OR($B161="",$C161="",$U161="Subscription"),"",IFERROR(ROUNDUP(($C161-$B161)/7,0),"")))</x:f>
      </x:c>
      <x:c r="W161" s="114" t="str">
        <x:f>IF(COUNTA($A161:$M161)=0,"",IF(OR($U161="Subscription",$U161=""),"",IF(OR($U161="Free Game",$U161="Disqualified — Free Game"),0,ROUND(IFERROR($Q161,0)-IFERROR($S161,0),2))))</x:f>
      </x:c>
      <x:c r="X161" s="956" t="str">
        <x:f>IF(COUNTA($A161:$M161)=0,"",IF(OR($U161="Subscription",NOT(ISNUMBER($J161)),NOT(ISNUMBER($I161)),$J161=0,$I161=0,$I161&gt;$J161),"",$J161-$I161))</x:f>
      </x:c>
      <x:c r="Y161" s="955" t="str">
        <x:f>IF(COUNTA($A161:$M161)=0,"",IF(OR($U161="Subscription",NOT(ISNUMBER($J161)),$J161=0,$X161=""),"",$X161/$J161))</x:f>
      </x:c>
      <x:c r="Z161" s="957" t="str">
        <x:f>IF(COUNTA($A161:$M161)=0,"",Instructions!$B$29+SUM($W$5:W161))</x:f>
      </x:c>
    </x:row>
    <x:row r="162" ht="36" customHeight="1">
      <x:c r="A162" s="439"/>
      <x:c r="B162" s="453"/>
      <x:c r="C162" s="453"/>
      <x:c r="D162" s="454"/>
      <x:c r="E162" s="454"/>
      <x:c r="F162" s="454"/>
      <x:c r="G162" s="986"/>
      <x:c r="H162" s="455"/>
      <x:c r="I162" s="456"/>
      <x:c r="J162" s="456"/>
      <x:c r="K162" s="986"/>
      <x:c r="L162" s="454"/>
      <x:c r="M162" s="439"/>
      <x:c r="N162" s="987" t="str">
        <x:f>IF(COUNTA($A162:$M162)=0,"",IF(OR(LEFT(LOWER(TRIM($F162&amp;"")),12)="subscription",LOWER(TRIM($F162&amp;""))="membership"),"",IF($G162="","",IF(ISNUMBER(SEARCH("non",LOWER($E162&amp;""))),$G162*0.85,$G162))))</x:f>
      </x:c>
      <x:c r="O162" s="987" t="str">
        <x:f>IF(COUNTA($A162:$M162)=0,"",IF(OR(LEFT(LOWER(TRIM($F162&amp;"")),12)="subscription",LOWER(TRIM($F162&amp;""))="membership"),"",IF(OR($N162="",$I162="",$I162=0),"",IFERROR($N162/$I162,""))))</x:f>
      </x:c>
      <x:c r="P162" s="987" t="str">
        <x:f>IF(COUNTA($A162:$M162)=0,"",IF(OR(LEFT(LOWER(TRIM($F162&amp;"")),12)="subscription",LOWER(TRIM($F162&amp;""))="membership"),"",IF(LOWER($L162&amp;"")="yes",0,IF(OR(AND($H162&lt;&gt;"",$H162=0),LEFT(LOWER(TRIM($F162&amp;"")),9)="free game",LOWER(TRIM($F162&amp;""))="free",LOWER(TRIM($F162&amp;""))="free entry"),IF(LOWER($D162&amp;"")="finalized",IF(ISNUMBER($K162),$K162,""),IF($O162&lt;&gt;"",$O162,"")),IF($K162&lt;&gt;"",$K162,IF($O162&lt;&gt;"",$O162,""))))))</x:f>
      </x:c>
      <x:c r="Q162" s="114" t="str">
        <x:f>IF(COUNTA($A162:$M162)=0,"",IF(OR($U162="Subscription",$U162=""),"",IF($U162="Profit",ROUND(IFERROR($P162,0)-IFERROR($H162,0),2),0)))</x:f>
      </x:c>
      <x:c r="R162" s="114" t="str">
        <x:f>IF(COUNTA($A162:$M162)=0,"",IF(OR($U162="Subscription",$U162=""),"",IF($U162="Draw",$H162,0)))</x:f>
      </x:c>
      <x:c r="S162" s="114" t="str">
        <x:f>IF(COUNTA($A162:$M162)=0,"",IF(OR($U162="Subscription",$U162=""),"",IF($U162="Disqualified",$H162,0)))</x:f>
      </x:c>
      <x:c r="T162" s="955" t="str">
        <x:f>IF(COUNTA($A162:$M162)=0,"",IF(OR($U162="Subscription",$U162=""),"",IF(OR($U162="Free Game",$U162="Disqualified — Free Game",$H162=0),"N/A",IF($U162="Profit",$Q162/$H162,IF($U162="Disqualified",-$S162/$H162,0)))))</x:f>
      </x:c>
      <x:c r="U162" s="920" t="str">
        <x:f>IF(COUNTA($A162:$M162)=0,"",IF(OR(LEFT(LOWER(TRIM($F162&amp;"")),12)="subscription",LOWER(TRIM($F162&amp;""))="membership"),"Subscription",IF(OR(AND($H162&lt;&gt;"",$H162=0),LEFT(LOWER(TRIM($F162&amp;"")),9)="free game",LOWER(TRIM($F162&amp;""))="free",LOWER(TRIM($F162&amp;""))="free entry"),IF(LOWER($L162&amp;"")="yes","Disqualified — Free Game","Free Game"),IF(LOWER($L162&amp;"")="yes","Disqualified",IF($P162="","",IF(ROUND(IFERROR(VALUE($P162),0)-IFERROR(VALUE($H162),0),2)&gt;0,"Profit","Draw"))))))</x:f>
      </x:c>
      <x:c r="V162" s="956" t="str">
        <x:f>IF(COUNTA($A162:$M162)=0,"",IF(OR($B162="",$C162="",$U162="Subscription"),"",IFERROR(ROUNDUP(($C162-$B162)/7,0),"")))</x:f>
      </x:c>
      <x:c r="W162" s="114" t="str">
        <x:f>IF(COUNTA($A162:$M162)=0,"",IF(OR($U162="Subscription",$U162=""),"",IF(OR($U162="Free Game",$U162="Disqualified — Free Game"),0,ROUND(IFERROR($Q162,0)-IFERROR($S162,0),2))))</x:f>
      </x:c>
      <x:c r="X162" s="956" t="str">
        <x:f>IF(COUNTA($A162:$M162)=0,"",IF(OR($U162="Subscription",NOT(ISNUMBER($J162)),NOT(ISNUMBER($I162)),$J162=0,$I162=0,$I162&gt;$J162),"",$J162-$I162))</x:f>
      </x:c>
      <x:c r="Y162" s="955" t="str">
        <x:f>IF(COUNTA($A162:$M162)=0,"",IF(OR($U162="Subscription",NOT(ISNUMBER($J162)),$J162=0,$X162=""),"",$X162/$J162))</x:f>
      </x:c>
      <x:c r="Z162" s="957" t="str">
        <x:f>IF(COUNTA($A162:$M162)=0,"",Instructions!$B$29+SUM($W$5:W162))</x:f>
      </x:c>
    </x:row>
    <x:row r="163" ht="36" customHeight="1">
      <x:c r="A163" s="439"/>
      <x:c r="B163" s="453"/>
      <x:c r="C163" s="453"/>
      <x:c r="D163" s="454"/>
      <x:c r="E163" s="454"/>
      <x:c r="F163" s="454"/>
      <x:c r="G163" s="986"/>
      <x:c r="H163" s="455"/>
      <x:c r="I163" s="456"/>
      <x:c r="J163" s="456"/>
      <x:c r="K163" s="986"/>
      <x:c r="L163" s="454"/>
      <x:c r="M163" s="439"/>
      <x:c r="N163" s="987" t="str">
        <x:f>IF(COUNTA($A163:$M163)=0,"",IF(OR(LEFT(LOWER(TRIM($F163&amp;"")),12)="subscription",LOWER(TRIM($F163&amp;""))="membership"),"",IF($G163="","",IF(ISNUMBER(SEARCH("non",LOWER($E163&amp;""))),$G163*0.85,$G163))))</x:f>
      </x:c>
      <x:c r="O163" s="987" t="str">
        <x:f>IF(COUNTA($A163:$M163)=0,"",IF(OR(LEFT(LOWER(TRIM($F163&amp;"")),12)="subscription",LOWER(TRIM($F163&amp;""))="membership"),"",IF(OR($N163="",$I163="",$I163=0),"",IFERROR($N163/$I163,""))))</x:f>
      </x:c>
      <x:c r="P163" s="987" t="str">
        <x:f>IF(COUNTA($A163:$M163)=0,"",IF(OR(LEFT(LOWER(TRIM($F163&amp;"")),12)="subscription",LOWER(TRIM($F163&amp;""))="membership"),"",IF(LOWER($L163&amp;"")="yes",0,IF(OR(AND($H163&lt;&gt;"",$H163=0),LEFT(LOWER(TRIM($F163&amp;"")),9)="free game",LOWER(TRIM($F163&amp;""))="free",LOWER(TRIM($F163&amp;""))="free entry"),IF(LOWER($D163&amp;"")="finalized",IF(ISNUMBER($K163),$K163,""),IF($O163&lt;&gt;"",$O163,"")),IF($K163&lt;&gt;"",$K163,IF($O163&lt;&gt;"",$O163,""))))))</x:f>
      </x:c>
      <x:c r="Q163" s="114" t="str">
        <x:f>IF(COUNTA($A163:$M163)=0,"",IF(OR($U163="Subscription",$U163=""),"",IF($U163="Profit",ROUND(IFERROR($P163,0)-IFERROR($H163,0),2),0)))</x:f>
      </x:c>
      <x:c r="R163" s="114" t="str">
        <x:f>IF(COUNTA($A163:$M163)=0,"",IF(OR($U163="Subscription",$U163=""),"",IF($U163="Draw",$H163,0)))</x:f>
      </x:c>
      <x:c r="S163" s="114" t="str">
        <x:f>IF(COUNTA($A163:$M163)=0,"",IF(OR($U163="Subscription",$U163=""),"",IF($U163="Disqualified",$H163,0)))</x:f>
      </x:c>
      <x:c r="T163" s="955" t="str">
        <x:f>IF(COUNTA($A163:$M163)=0,"",IF(OR($U163="Subscription",$U163=""),"",IF(OR($U163="Free Game",$U163="Disqualified — Free Game",$H163=0),"N/A",IF($U163="Profit",$Q163/$H163,IF($U163="Disqualified",-$S163/$H163,0)))))</x:f>
      </x:c>
      <x:c r="U163" s="920" t="str">
        <x:f>IF(COUNTA($A163:$M163)=0,"",IF(OR(LEFT(LOWER(TRIM($F163&amp;"")),12)="subscription",LOWER(TRIM($F163&amp;""))="membership"),"Subscription",IF(OR(AND($H163&lt;&gt;"",$H163=0),LEFT(LOWER(TRIM($F163&amp;"")),9)="free game",LOWER(TRIM($F163&amp;""))="free",LOWER(TRIM($F163&amp;""))="free entry"),IF(LOWER($L163&amp;"")="yes","Disqualified — Free Game","Free Game"),IF(LOWER($L163&amp;"")="yes","Disqualified",IF($P163="","",IF(ROUND(IFERROR(VALUE($P163),0)-IFERROR(VALUE($H163),0),2)&gt;0,"Profit","Draw"))))))</x:f>
      </x:c>
      <x:c r="V163" s="956" t="str">
        <x:f>IF(COUNTA($A163:$M163)=0,"",IF(OR($B163="",$C163="",$U163="Subscription"),"",IFERROR(ROUNDUP(($C163-$B163)/7,0),"")))</x:f>
      </x:c>
      <x:c r="W163" s="114" t="str">
        <x:f>IF(COUNTA($A163:$M163)=0,"",IF(OR($U163="Subscription",$U163=""),"",IF(OR($U163="Free Game",$U163="Disqualified — Free Game"),0,ROUND(IFERROR($Q163,0)-IFERROR($S163,0),2))))</x:f>
      </x:c>
      <x:c r="X163" s="956" t="str">
        <x:f>IF(COUNTA($A163:$M163)=0,"",IF(OR($U163="Subscription",NOT(ISNUMBER($J163)),NOT(ISNUMBER($I163)),$J163=0,$I163=0,$I163&gt;$J163),"",$J163-$I163))</x:f>
      </x:c>
      <x:c r="Y163" s="955" t="str">
        <x:f>IF(COUNTA($A163:$M163)=0,"",IF(OR($U163="Subscription",NOT(ISNUMBER($J163)),$J163=0,$X163=""),"",$X163/$J163))</x:f>
      </x:c>
      <x:c r="Z163" s="957" t="str">
        <x:f>IF(COUNTA($A163:$M163)=0,"",Instructions!$B$29+SUM($W$5:W163))</x:f>
      </x:c>
    </x:row>
    <x:row r="164" ht="36" customHeight="1">
      <x:c r="A164" s="439"/>
      <x:c r="B164" s="453"/>
      <x:c r="C164" s="453"/>
      <x:c r="D164" s="454"/>
      <x:c r="E164" s="454"/>
      <x:c r="F164" s="454"/>
      <x:c r="G164" s="986"/>
      <x:c r="H164" s="455"/>
      <x:c r="I164" s="456"/>
      <x:c r="J164" s="456"/>
      <x:c r="K164" s="986"/>
      <x:c r="L164" s="454"/>
      <x:c r="M164" s="439"/>
      <x:c r="N164" s="987" t="str">
        <x:f>IF(COUNTA($A164:$M164)=0,"",IF(OR(LEFT(LOWER(TRIM($F164&amp;"")),12)="subscription",LOWER(TRIM($F164&amp;""))="membership"),"",IF($G164="","",IF(ISNUMBER(SEARCH("non",LOWER($E164&amp;""))),$G164*0.85,$G164))))</x:f>
      </x:c>
      <x:c r="O164" s="987" t="str">
        <x:f>IF(COUNTA($A164:$M164)=0,"",IF(OR(LEFT(LOWER(TRIM($F164&amp;"")),12)="subscription",LOWER(TRIM($F164&amp;""))="membership"),"",IF(OR($N164="",$I164="",$I164=0),"",IFERROR($N164/$I164,""))))</x:f>
      </x:c>
      <x:c r="P164" s="987" t="str">
        <x:f>IF(COUNTA($A164:$M164)=0,"",IF(OR(LEFT(LOWER(TRIM($F164&amp;"")),12)="subscription",LOWER(TRIM($F164&amp;""))="membership"),"",IF(LOWER($L164&amp;"")="yes",0,IF(OR(AND($H164&lt;&gt;"",$H164=0),LEFT(LOWER(TRIM($F164&amp;"")),9)="free game",LOWER(TRIM($F164&amp;""))="free",LOWER(TRIM($F164&amp;""))="free entry"),IF(LOWER($D164&amp;"")="finalized",IF(ISNUMBER($K164),$K164,""),IF($O164&lt;&gt;"",$O164,"")),IF($K164&lt;&gt;"",$K164,IF($O164&lt;&gt;"",$O164,""))))))</x:f>
      </x:c>
      <x:c r="Q164" s="114" t="str">
        <x:f>IF(COUNTA($A164:$M164)=0,"",IF(OR($U164="Subscription",$U164=""),"",IF($U164="Profit",ROUND(IFERROR($P164,0)-IFERROR($H164,0),2),0)))</x:f>
      </x:c>
      <x:c r="R164" s="114" t="str">
        <x:f>IF(COUNTA($A164:$M164)=0,"",IF(OR($U164="Subscription",$U164=""),"",IF($U164="Draw",$H164,0)))</x:f>
      </x:c>
      <x:c r="S164" s="114" t="str">
        <x:f>IF(COUNTA($A164:$M164)=0,"",IF(OR($U164="Subscription",$U164=""),"",IF($U164="Disqualified",$H164,0)))</x:f>
      </x:c>
      <x:c r="T164" s="955" t="str">
        <x:f>IF(COUNTA($A164:$M164)=0,"",IF(OR($U164="Subscription",$U164=""),"",IF(OR($U164="Free Game",$U164="Disqualified — Free Game",$H164=0),"N/A",IF($U164="Profit",$Q164/$H164,IF($U164="Disqualified",-$S164/$H164,0)))))</x:f>
      </x:c>
      <x:c r="U164" s="920" t="str">
        <x:f>IF(COUNTA($A164:$M164)=0,"",IF(OR(LEFT(LOWER(TRIM($F164&amp;"")),12)="subscription",LOWER(TRIM($F164&amp;""))="membership"),"Subscription",IF(OR(AND($H164&lt;&gt;"",$H164=0),LEFT(LOWER(TRIM($F164&amp;"")),9)="free game",LOWER(TRIM($F164&amp;""))="free",LOWER(TRIM($F164&amp;""))="free entry"),IF(LOWER($L164&amp;"")="yes","Disqualified — Free Game","Free Game"),IF(LOWER($L164&amp;"")="yes","Disqualified",IF($P164="","",IF(ROUND(IFERROR(VALUE($P164),0)-IFERROR(VALUE($H164),0),2)&gt;0,"Profit","Draw"))))))</x:f>
      </x:c>
      <x:c r="V164" s="956" t="str">
        <x:f>IF(COUNTA($A164:$M164)=0,"",IF(OR($B164="",$C164="",$U164="Subscription"),"",IFERROR(ROUNDUP(($C164-$B164)/7,0),"")))</x:f>
      </x:c>
      <x:c r="W164" s="114" t="str">
        <x:f>IF(COUNTA($A164:$M164)=0,"",IF(OR($U164="Subscription",$U164=""),"",IF(OR($U164="Free Game",$U164="Disqualified — Free Game"),0,ROUND(IFERROR($Q164,0)-IFERROR($S164,0),2))))</x:f>
      </x:c>
      <x:c r="X164" s="956" t="str">
        <x:f>IF(COUNTA($A164:$M164)=0,"",IF(OR($U164="Subscription",NOT(ISNUMBER($J164)),NOT(ISNUMBER($I164)),$J164=0,$I164=0,$I164&gt;$J164),"",$J164-$I164))</x:f>
      </x:c>
      <x:c r="Y164" s="955" t="str">
        <x:f>IF(COUNTA($A164:$M164)=0,"",IF(OR($U164="Subscription",NOT(ISNUMBER($J164)),$J164=0,$X164=""),"",$X164/$J164))</x:f>
      </x:c>
      <x:c r="Z164" s="957" t="str">
        <x:f>IF(COUNTA($A164:$M164)=0,"",Instructions!$B$29+SUM($W$5:W164))</x:f>
      </x:c>
    </x:row>
    <x:row r="165" ht="36" customHeight="1">
      <x:c r="A165" s="439"/>
      <x:c r="B165" s="453"/>
      <x:c r="C165" s="453"/>
      <x:c r="D165" s="454"/>
      <x:c r="E165" s="454"/>
      <x:c r="F165" s="454"/>
      <x:c r="G165" s="986"/>
      <x:c r="H165" s="455"/>
      <x:c r="I165" s="456"/>
      <x:c r="J165" s="456"/>
      <x:c r="K165" s="986"/>
      <x:c r="L165" s="454"/>
      <x:c r="M165" s="439"/>
      <x:c r="N165" s="987" t="str">
        <x:f>IF(COUNTA($A165:$M165)=0,"",IF(OR(LEFT(LOWER(TRIM($F165&amp;"")),12)="subscription",LOWER(TRIM($F165&amp;""))="membership"),"",IF($G165="","",IF(ISNUMBER(SEARCH("non",LOWER($E165&amp;""))),$G165*0.85,$G165))))</x:f>
      </x:c>
      <x:c r="O165" s="987" t="str">
        <x:f>IF(COUNTA($A165:$M165)=0,"",IF(OR(LEFT(LOWER(TRIM($F165&amp;"")),12)="subscription",LOWER(TRIM($F165&amp;""))="membership"),"",IF(OR($N165="",$I165="",$I165=0),"",IFERROR($N165/$I165,""))))</x:f>
      </x:c>
      <x:c r="P165" s="987" t="str">
        <x:f>IF(COUNTA($A165:$M165)=0,"",IF(OR(LEFT(LOWER(TRIM($F165&amp;"")),12)="subscription",LOWER(TRIM($F165&amp;""))="membership"),"",IF(LOWER($L165&amp;"")="yes",0,IF(OR(AND($H165&lt;&gt;"",$H165=0),LEFT(LOWER(TRIM($F165&amp;"")),9)="free game",LOWER(TRIM($F165&amp;""))="free",LOWER(TRIM($F165&amp;""))="free entry"),IF(LOWER($D165&amp;"")="finalized",IF(ISNUMBER($K165),$K165,""),IF($O165&lt;&gt;"",$O165,"")),IF($K165&lt;&gt;"",$K165,IF($O165&lt;&gt;"",$O165,""))))))</x:f>
      </x:c>
      <x:c r="Q165" s="114" t="str">
        <x:f>IF(COUNTA($A165:$M165)=0,"",IF(OR($U165="Subscription",$U165=""),"",IF($U165="Profit",ROUND(IFERROR($P165,0)-IFERROR($H165,0),2),0)))</x:f>
      </x:c>
      <x:c r="R165" s="114" t="str">
        <x:f>IF(COUNTA($A165:$M165)=0,"",IF(OR($U165="Subscription",$U165=""),"",IF($U165="Draw",$H165,0)))</x:f>
      </x:c>
      <x:c r="S165" s="114" t="str">
        <x:f>IF(COUNTA($A165:$M165)=0,"",IF(OR($U165="Subscription",$U165=""),"",IF($U165="Disqualified",$H165,0)))</x:f>
      </x:c>
      <x:c r="T165" s="955" t="str">
        <x:f>IF(COUNTA($A165:$M165)=0,"",IF(OR($U165="Subscription",$U165=""),"",IF(OR($U165="Free Game",$U165="Disqualified — Free Game",$H165=0),"N/A",IF($U165="Profit",$Q165/$H165,IF($U165="Disqualified",-$S165/$H165,0)))))</x:f>
      </x:c>
      <x:c r="U165" s="920" t="str">
        <x:f>IF(COUNTA($A165:$M165)=0,"",IF(OR(LEFT(LOWER(TRIM($F165&amp;"")),12)="subscription",LOWER(TRIM($F165&amp;""))="membership"),"Subscription",IF(OR(AND($H165&lt;&gt;"",$H165=0),LEFT(LOWER(TRIM($F165&amp;"")),9)="free game",LOWER(TRIM($F165&amp;""))="free",LOWER(TRIM($F165&amp;""))="free entry"),IF(LOWER($L165&amp;"")="yes","Disqualified — Free Game","Free Game"),IF(LOWER($L165&amp;"")="yes","Disqualified",IF($P165="","",IF(ROUND(IFERROR(VALUE($P165),0)-IFERROR(VALUE($H165),0),2)&gt;0,"Profit","Draw"))))))</x:f>
      </x:c>
      <x:c r="V165" s="956" t="str">
        <x:f>IF(COUNTA($A165:$M165)=0,"",IF(OR($B165="",$C165="",$U165="Subscription"),"",IFERROR(ROUNDUP(($C165-$B165)/7,0),"")))</x:f>
      </x:c>
      <x:c r="W165" s="114" t="str">
        <x:f>IF(COUNTA($A165:$M165)=0,"",IF(OR($U165="Subscription",$U165=""),"",IF(OR($U165="Free Game",$U165="Disqualified — Free Game"),0,ROUND(IFERROR($Q165,0)-IFERROR($S165,0),2))))</x:f>
      </x:c>
      <x:c r="X165" s="956" t="str">
        <x:f>IF(COUNTA($A165:$M165)=0,"",IF(OR($U165="Subscription",NOT(ISNUMBER($J165)),NOT(ISNUMBER($I165)),$J165=0,$I165=0,$I165&gt;$J165),"",$J165-$I165))</x:f>
      </x:c>
      <x:c r="Y165" s="955" t="str">
        <x:f>IF(COUNTA($A165:$M165)=0,"",IF(OR($U165="Subscription",NOT(ISNUMBER($J165)),$J165=0,$X165=""),"",$X165/$J165))</x:f>
      </x:c>
      <x:c r="Z165" s="957" t="str">
        <x:f>IF(COUNTA($A165:$M165)=0,"",Instructions!$B$29+SUM($W$5:W165))</x:f>
      </x:c>
    </x:row>
    <x:row r="166" ht="36" customHeight="1">
      <x:c r="A166" s="439"/>
      <x:c r="B166" s="453"/>
      <x:c r="C166" s="453"/>
      <x:c r="D166" s="454"/>
      <x:c r="E166" s="454"/>
      <x:c r="F166" s="454"/>
      <x:c r="G166" s="986"/>
      <x:c r="H166" s="455"/>
      <x:c r="I166" s="456"/>
      <x:c r="J166" s="456"/>
      <x:c r="K166" s="986"/>
      <x:c r="L166" s="454"/>
      <x:c r="M166" s="439"/>
      <x:c r="N166" s="987" t="str">
        <x:f>IF(COUNTA($A166:$M166)=0,"",IF(OR(LEFT(LOWER(TRIM($F166&amp;"")),12)="subscription",LOWER(TRIM($F166&amp;""))="membership"),"",IF($G166="","",IF(ISNUMBER(SEARCH("non",LOWER($E166&amp;""))),$G166*0.85,$G166))))</x:f>
      </x:c>
      <x:c r="O166" s="987" t="str">
        <x:f>IF(COUNTA($A166:$M166)=0,"",IF(OR(LEFT(LOWER(TRIM($F166&amp;"")),12)="subscription",LOWER(TRIM($F166&amp;""))="membership"),"",IF(OR($N166="",$I166="",$I166=0),"",IFERROR($N166/$I166,""))))</x:f>
      </x:c>
      <x:c r="P166" s="987" t="str">
        <x:f>IF(COUNTA($A166:$M166)=0,"",IF(OR(LEFT(LOWER(TRIM($F166&amp;"")),12)="subscription",LOWER(TRIM($F166&amp;""))="membership"),"",IF(LOWER($L166&amp;"")="yes",0,IF(OR(AND($H166&lt;&gt;"",$H166=0),LEFT(LOWER(TRIM($F166&amp;"")),9)="free game",LOWER(TRIM($F166&amp;""))="free",LOWER(TRIM($F166&amp;""))="free entry"),IF(LOWER($D166&amp;"")="finalized",IF(ISNUMBER($K166),$K166,""),IF($O166&lt;&gt;"",$O166,"")),IF($K166&lt;&gt;"",$K166,IF($O166&lt;&gt;"",$O166,""))))))</x:f>
      </x:c>
      <x:c r="Q166" s="114" t="str">
        <x:f>IF(COUNTA($A166:$M166)=0,"",IF(OR($U166="Subscription",$U166=""),"",IF($U166="Profit",ROUND(IFERROR($P166,0)-IFERROR($H166,0),2),0)))</x:f>
      </x:c>
      <x:c r="R166" s="114" t="str">
        <x:f>IF(COUNTA($A166:$M166)=0,"",IF(OR($U166="Subscription",$U166=""),"",IF($U166="Draw",$H166,0)))</x:f>
      </x:c>
      <x:c r="S166" s="114" t="str">
        <x:f>IF(COUNTA($A166:$M166)=0,"",IF(OR($U166="Subscription",$U166=""),"",IF($U166="Disqualified",$H166,0)))</x:f>
      </x:c>
      <x:c r="T166" s="955" t="str">
        <x:f>IF(COUNTA($A166:$M166)=0,"",IF(OR($U166="Subscription",$U166=""),"",IF(OR($U166="Free Game",$U166="Disqualified — Free Game",$H166=0),"N/A",IF($U166="Profit",$Q166/$H166,IF($U166="Disqualified",-$S166/$H166,0)))))</x:f>
      </x:c>
      <x:c r="U166" s="920" t="str">
        <x:f>IF(COUNTA($A166:$M166)=0,"",IF(OR(LEFT(LOWER(TRIM($F166&amp;"")),12)="subscription",LOWER(TRIM($F166&amp;""))="membership"),"Subscription",IF(OR(AND($H166&lt;&gt;"",$H166=0),LEFT(LOWER(TRIM($F166&amp;"")),9)="free game",LOWER(TRIM($F166&amp;""))="free",LOWER(TRIM($F166&amp;""))="free entry"),IF(LOWER($L166&amp;"")="yes","Disqualified — Free Game","Free Game"),IF(LOWER($L166&amp;"")="yes","Disqualified",IF($P166="","",IF(ROUND(IFERROR(VALUE($P166),0)-IFERROR(VALUE($H166),0),2)&gt;0,"Profit","Draw"))))))</x:f>
      </x:c>
      <x:c r="V166" s="956" t="str">
        <x:f>IF(COUNTA($A166:$M166)=0,"",IF(OR($B166="",$C166="",$U166="Subscription"),"",IFERROR(ROUNDUP(($C166-$B166)/7,0),"")))</x:f>
      </x:c>
      <x:c r="W166" s="114" t="str">
        <x:f>IF(COUNTA($A166:$M166)=0,"",IF(OR($U166="Subscription",$U166=""),"",IF(OR($U166="Free Game",$U166="Disqualified — Free Game"),0,ROUND(IFERROR($Q166,0)-IFERROR($S166,0),2))))</x:f>
      </x:c>
      <x:c r="X166" s="956" t="str">
        <x:f>IF(COUNTA($A166:$M166)=0,"",IF(OR($U166="Subscription",NOT(ISNUMBER($J166)),NOT(ISNUMBER($I166)),$J166=0,$I166=0,$I166&gt;$J166),"",$J166-$I166))</x:f>
      </x:c>
      <x:c r="Y166" s="955" t="str">
        <x:f>IF(COUNTA($A166:$M166)=0,"",IF(OR($U166="Subscription",NOT(ISNUMBER($J166)),$J166=0,$X166=""),"",$X166/$J166))</x:f>
      </x:c>
      <x:c r="Z166" s="957" t="str">
        <x:f>IF(COUNTA($A166:$M166)=0,"",Instructions!$B$29+SUM($W$5:W166))</x:f>
      </x:c>
    </x:row>
    <x:row r="167" ht="36" customHeight="1">
      <x:c r="A167" s="439"/>
      <x:c r="B167" s="453"/>
      <x:c r="C167" s="453"/>
      <x:c r="D167" s="454"/>
      <x:c r="E167" s="454"/>
      <x:c r="F167" s="454"/>
      <x:c r="G167" s="986"/>
      <x:c r="H167" s="455"/>
      <x:c r="I167" s="456"/>
      <x:c r="J167" s="456"/>
      <x:c r="K167" s="986"/>
      <x:c r="L167" s="454"/>
      <x:c r="M167" s="439"/>
      <x:c r="N167" s="987" t="str">
        <x:f>IF(COUNTA($A167:$M167)=0,"",IF(OR(LEFT(LOWER(TRIM($F167&amp;"")),12)="subscription",LOWER(TRIM($F167&amp;""))="membership"),"",IF($G167="","",IF(ISNUMBER(SEARCH("non",LOWER($E167&amp;""))),$G167*0.85,$G167))))</x:f>
      </x:c>
      <x:c r="O167" s="987" t="str">
        <x:f>IF(COUNTA($A167:$M167)=0,"",IF(OR(LEFT(LOWER(TRIM($F167&amp;"")),12)="subscription",LOWER(TRIM($F167&amp;""))="membership"),"",IF(OR($N167="",$I167="",$I167=0),"",IFERROR($N167/$I167,""))))</x:f>
      </x:c>
      <x:c r="P167" s="987" t="str">
        <x:f>IF(COUNTA($A167:$M167)=0,"",IF(OR(LEFT(LOWER(TRIM($F167&amp;"")),12)="subscription",LOWER(TRIM($F167&amp;""))="membership"),"",IF(LOWER($L167&amp;"")="yes",0,IF(OR(AND($H167&lt;&gt;"",$H167=0),LEFT(LOWER(TRIM($F167&amp;"")),9)="free game",LOWER(TRIM($F167&amp;""))="free",LOWER(TRIM($F167&amp;""))="free entry"),IF(LOWER($D167&amp;"")="finalized",IF(ISNUMBER($K167),$K167,""),IF($O167&lt;&gt;"",$O167,"")),IF($K167&lt;&gt;"",$K167,IF($O167&lt;&gt;"",$O167,""))))))</x:f>
      </x:c>
      <x:c r="Q167" s="114" t="str">
        <x:f>IF(COUNTA($A167:$M167)=0,"",IF(OR($U167="Subscription",$U167=""),"",IF($U167="Profit",ROUND(IFERROR($P167,0)-IFERROR($H167,0),2),0)))</x:f>
      </x:c>
      <x:c r="R167" s="114" t="str">
        <x:f>IF(COUNTA($A167:$M167)=0,"",IF(OR($U167="Subscription",$U167=""),"",IF($U167="Draw",$H167,0)))</x:f>
      </x:c>
      <x:c r="S167" s="114" t="str">
        <x:f>IF(COUNTA($A167:$M167)=0,"",IF(OR($U167="Subscription",$U167=""),"",IF($U167="Disqualified",$H167,0)))</x:f>
      </x:c>
      <x:c r="T167" s="955" t="str">
        <x:f>IF(COUNTA($A167:$M167)=0,"",IF(OR($U167="Subscription",$U167=""),"",IF(OR($U167="Free Game",$U167="Disqualified — Free Game",$H167=0),"N/A",IF($U167="Profit",$Q167/$H167,IF($U167="Disqualified",-$S167/$H167,0)))))</x:f>
      </x:c>
      <x:c r="U167" s="920" t="str">
        <x:f>IF(COUNTA($A167:$M167)=0,"",IF(OR(LEFT(LOWER(TRIM($F167&amp;"")),12)="subscription",LOWER(TRIM($F167&amp;""))="membership"),"Subscription",IF(OR(AND($H167&lt;&gt;"",$H167=0),LEFT(LOWER(TRIM($F167&amp;"")),9)="free game",LOWER(TRIM($F167&amp;""))="free",LOWER(TRIM($F167&amp;""))="free entry"),IF(LOWER($L167&amp;"")="yes","Disqualified — Free Game","Free Game"),IF(LOWER($L167&amp;"")="yes","Disqualified",IF($P167="","",IF(ROUND(IFERROR(VALUE($P167),0)-IFERROR(VALUE($H167),0),2)&gt;0,"Profit","Draw"))))))</x:f>
      </x:c>
      <x:c r="V167" s="956" t="str">
        <x:f>IF(COUNTA($A167:$M167)=0,"",IF(OR($B167="",$C167="",$U167="Subscription"),"",IFERROR(ROUNDUP(($C167-$B167)/7,0),"")))</x:f>
      </x:c>
      <x:c r="W167" s="114" t="str">
        <x:f>IF(COUNTA($A167:$M167)=0,"",IF(OR($U167="Subscription",$U167=""),"",IF(OR($U167="Free Game",$U167="Disqualified — Free Game"),0,ROUND(IFERROR($Q167,0)-IFERROR($S167,0),2))))</x:f>
      </x:c>
      <x:c r="X167" s="956" t="str">
        <x:f>IF(COUNTA($A167:$M167)=0,"",IF(OR($U167="Subscription",NOT(ISNUMBER($J167)),NOT(ISNUMBER($I167)),$J167=0,$I167=0,$I167&gt;$J167),"",$J167-$I167))</x:f>
      </x:c>
      <x:c r="Y167" s="955" t="str">
        <x:f>IF(COUNTA($A167:$M167)=0,"",IF(OR($U167="Subscription",NOT(ISNUMBER($J167)),$J167=0,$X167=""),"",$X167/$J167))</x:f>
      </x:c>
      <x:c r="Z167" s="957" t="str">
        <x:f>IF(COUNTA($A167:$M167)=0,"",Instructions!$B$29+SUM($W$5:W167))</x:f>
      </x:c>
    </x:row>
    <x:row r="168" ht="36" customHeight="1">
      <x:c r="A168" s="439"/>
      <x:c r="B168" s="453"/>
      <x:c r="C168" s="453"/>
      <x:c r="D168" s="454"/>
      <x:c r="E168" s="454"/>
      <x:c r="F168" s="454"/>
      <x:c r="G168" s="986"/>
      <x:c r="H168" s="455"/>
      <x:c r="I168" s="456"/>
      <x:c r="J168" s="456"/>
      <x:c r="K168" s="986"/>
      <x:c r="L168" s="454"/>
      <x:c r="M168" s="439"/>
      <x:c r="N168" s="987" t="str">
        <x:f>IF(COUNTA($A168:$M168)=0,"",IF(OR(LEFT(LOWER(TRIM($F168&amp;"")),12)="subscription",LOWER(TRIM($F168&amp;""))="membership"),"",IF($G168="","",IF(ISNUMBER(SEARCH("non",LOWER($E168&amp;""))),$G168*0.85,$G168))))</x:f>
      </x:c>
      <x:c r="O168" s="987" t="str">
        <x:f>IF(COUNTA($A168:$M168)=0,"",IF(OR(LEFT(LOWER(TRIM($F168&amp;"")),12)="subscription",LOWER(TRIM($F168&amp;""))="membership"),"",IF(OR($N168="",$I168="",$I168=0),"",IFERROR($N168/$I168,""))))</x:f>
      </x:c>
      <x:c r="P168" s="987" t="str">
        <x:f>IF(COUNTA($A168:$M168)=0,"",IF(OR(LEFT(LOWER(TRIM($F168&amp;"")),12)="subscription",LOWER(TRIM($F168&amp;""))="membership"),"",IF(LOWER($L168&amp;"")="yes",0,IF(OR(AND($H168&lt;&gt;"",$H168=0),LEFT(LOWER(TRIM($F168&amp;"")),9)="free game",LOWER(TRIM($F168&amp;""))="free",LOWER(TRIM($F168&amp;""))="free entry"),IF(LOWER($D168&amp;"")="finalized",IF(ISNUMBER($K168),$K168,""),IF($O168&lt;&gt;"",$O168,"")),IF($K168&lt;&gt;"",$K168,IF($O168&lt;&gt;"",$O168,""))))))</x:f>
      </x:c>
      <x:c r="Q168" s="114" t="str">
        <x:f>IF(COUNTA($A168:$M168)=0,"",IF(OR($U168="Subscription",$U168=""),"",IF($U168="Profit",ROUND(IFERROR($P168,0)-IFERROR($H168,0),2),0)))</x:f>
      </x:c>
      <x:c r="R168" s="114" t="str">
        <x:f>IF(COUNTA($A168:$M168)=0,"",IF(OR($U168="Subscription",$U168=""),"",IF($U168="Draw",$H168,0)))</x:f>
      </x:c>
      <x:c r="S168" s="114" t="str">
        <x:f>IF(COUNTA($A168:$M168)=0,"",IF(OR($U168="Subscription",$U168=""),"",IF($U168="Disqualified",$H168,0)))</x:f>
      </x:c>
      <x:c r="T168" s="955" t="str">
        <x:f>IF(COUNTA($A168:$M168)=0,"",IF(OR($U168="Subscription",$U168=""),"",IF(OR($U168="Free Game",$U168="Disqualified — Free Game",$H168=0),"N/A",IF($U168="Profit",$Q168/$H168,IF($U168="Disqualified",-$S168/$H168,0)))))</x:f>
      </x:c>
      <x:c r="U168" s="920" t="str">
        <x:f>IF(COUNTA($A168:$M168)=0,"",IF(OR(LEFT(LOWER(TRIM($F168&amp;"")),12)="subscription",LOWER(TRIM($F168&amp;""))="membership"),"Subscription",IF(OR(AND($H168&lt;&gt;"",$H168=0),LEFT(LOWER(TRIM($F168&amp;"")),9)="free game",LOWER(TRIM($F168&amp;""))="free",LOWER(TRIM($F168&amp;""))="free entry"),IF(LOWER($L168&amp;"")="yes","Disqualified — Free Game","Free Game"),IF(LOWER($L168&amp;"")="yes","Disqualified",IF($P168="","",IF(ROUND(IFERROR(VALUE($P168),0)-IFERROR(VALUE($H168),0),2)&gt;0,"Profit","Draw"))))))</x:f>
      </x:c>
      <x:c r="V168" s="956" t="str">
        <x:f>IF(COUNTA($A168:$M168)=0,"",IF(OR($B168="",$C168="",$U168="Subscription"),"",IFERROR(ROUNDUP(($C168-$B168)/7,0),"")))</x:f>
      </x:c>
      <x:c r="W168" s="114" t="str">
        <x:f>IF(COUNTA($A168:$M168)=0,"",IF(OR($U168="Subscription",$U168=""),"",IF(OR($U168="Free Game",$U168="Disqualified — Free Game"),0,ROUND(IFERROR($Q168,0)-IFERROR($S168,0),2))))</x:f>
      </x:c>
      <x:c r="X168" s="956" t="str">
        <x:f>IF(COUNTA($A168:$M168)=0,"",IF(OR($U168="Subscription",NOT(ISNUMBER($J168)),NOT(ISNUMBER($I168)),$J168=0,$I168=0,$I168&gt;$J168),"",$J168-$I168))</x:f>
      </x:c>
      <x:c r="Y168" s="955" t="str">
        <x:f>IF(COUNTA($A168:$M168)=0,"",IF(OR($U168="Subscription",NOT(ISNUMBER($J168)),$J168=0,$X168=""),"",$X168/$J168))</x:f>
      </x:c>
      <x:c r="Z168" s="957" t="str">
        <x:f>IF(COUNTA($A168:$M168)=0,"",Instructions!$B$29+SUM($W$5:W168))</x:f>
      </x:c>
    </x:row>
    <x:row r="169" ht="36" customHeight="1">
      <x:c r="A169" s="439"/>
      <x:c r="B169" s="453"/>
      <x:c r="C169" s="453"/>
      <x:c r="D169" s="454"/>
      <x:c r="E169" s="454"/>
      <x:c r="F169" s="454"/>
      <x:c r="G169" s="986"/>
      <x:c r="H169" s="455"/>
      <x:c r="I169" s="456"/>
      <x:c r="J169" s="456"/>
      <x:c r="K169" s="986"/>
      <x:c r="L169" s="454"/>
      <x:c r="M169" s="439"/>
      <x:c r="N169" s="987" t="str">
        <x:f>IF(COUNTA($A169:$M169)=0,"",IF(OR(LEFT(LOWER(TRIM($F169&amp;"")),12)="subscription",LOWER(TRIM($F169&amp;""))="membership"),"",IF($G169="","",IF(ISNUMBER(SEARCH("non",LOWER($E169&amp;""))),$G169*0.85,$G169))))</x:f>
      </x:c>
      <x:c r="O169" s="987" t="str">
        <x:f>IF(COUNTA($A169:$M169)=0,"",IF(OR(LEFT(LOWER(TRIM($F169&amp;"")),12)="subscription",LOWER(TRIM($F169&amp;""))="membership"),"",IF(OR($N169="",$I169="",$I169=0),"",IFERROR($N169/$I169,""))))</x:f>
      </x:c>
      <x:c r="P169" s="987" t="str">
        <x:f>IF(COUNTA($A169:$M169)=0,"",IF(OR(LEFT(LOWER(TRIM($F169&amp;"")),12)="subscription",LOWER(TRIM($F169&amp;""))="membership"),"",IF(LOWER($L169&amp;"")="yes",0,IF(OR(AND($H169&lt;&gt;"",$H169=0),LEFT(LOWER(TRIM($F169&amp;"")),9)="free game",LOWER(TRIM($F169&amp;""))="free",LOWER(TRIM($F169&amp;""))="free entry"),IF(LOWER($D169&amp;"")="finalized",IF(ISNUMBER($K169),$K169,""),IF($O169&lt;&gt;"",$O169,"")),IF($K169&lt;&gt;"",$K169,IF($O169&lt;&gt;"",$O169,""))))))</x:f>
      </x:c>
      <x:c r="Q169" s="114" t="str">
        <x:f>IF(COUNTA($A169:$M169)=0,"",IF(OR($U169="Subscription",$U169=""),"",IF($U169="Profit",ROUND(IFERROR($P169,0)-IFERROR($H169,0),2),0)))</x:f>
      </x:c>
      <x:c r="R169" s="114" t="str">
        <x:f>IF(COUNTA($A169:$M169)=0,"",IF(OR($U169="Subscription",$U169=""),"",IF($U169="Draw",$H169,0)))</x:f>
      </x:c>
      <x:c r="S169" s="114" t="str">
        <x:f>IF(COUNTA($A169:$M169)=0,"",IF(OR($U169="Subscription",$U169=""),"",IF($U169="Disqualified",$H169,0)))</x:f>
      </x:c>
      <x:c r="T169" s="955" t="str">
        <x:f>IF(COUNTA($A169:$M169)=0,"",IF(OR($U169="Subscription",$U169=""),"",IF(OR($U169="Free Game",$U169="Disqualified — Free Game",$H169=0),"N/A",IF($U169="Profit",$Q169/$H169,IF($U169="Disqualified",-$S169/$H169,0)))))</x:f>
      </x:c>
      <x:c r="U169" s="920" t="str">
        <x:f>IF(COUNTA($A169:$M169)=0,"",IF(OR(LEFT(LOWER(TRIM($F169&amp;"")),12)="subscription",LOWER(TRIM($F169&amp;""))="membership"),"Subscription",IF(OR(AND($H169&lt;&gt;"",$H169=0),LEFT(LOWER(TRIM($F169&amp;"")),9)="free game",LOWER(TRIM($F169&amp;""))="free",LOWER(TRIM($F169&amp;""))="free entry"),IF(LOWER($L169&amp;"")="yes","Disqualified — Free Game","Free Game"),IF(LOWER($L169&amp;"")="yes","Disqualified",IF($P169="","",IF(ROUND(IFERROR(VALUE($P169),0)-IFERROR(VALUE($H169),0),2)&gt;0,"Profit","Draw"))))))</x:f>
      </x:c>
      <x:c r="V169" s="956" t="str">
        <x:f>IF(COUNTA($A169:$M169)=0,"",IF(OR($B169="",$C169="",$U169="Subscription"),"",IFERROR(ROUNDUP(($C169-$B169)/7,0),"")))</x:f>
      </x:c>
      <x:c r="W169" s="114" t="str">
        <x:f>IF(COUNTA($A169:$M169)=0,"",IF(OR($U169="Subscription",$U169=""),"",IF(OR($U169="Free Game",$U169="Disqualified — Free Game"),0,ROUND(IFERROR($Q169,0)-IFERROR($S169,0),2))))</x:f>
      </x:c>
      <x:c r="X169" s="956" t="str">
        <x:f>IF(COUNTA($A169:$M169)=0,"",IF(OR($U169="Subscription",NOT(ISNUMBER($J169)),NOT(ISNUMBER($I169)),$J169=0,$I169=0,$I169&gt;$J169),"",$J169-$I169))</x:f>
      </x:c>
      <x:c r="Y169" s="955" t="str">
        <x:f>IF(COUNTA($A169:$M169)=0,"",IF(OR($U169="Subscription",NOT(ISNUMBER($J169)),$J169=0,$X169=""),"",$X169/$J169))</x:f>
      </x:c>
      <x:c r="Z169" s="957" t="str">
        <x:f>IF(COUNTA($A169:$M169)=0,"",Instructions!$B$29+SUM($W$5:W169))</x:f>
      </x:c>
    </x:row>
    <x:row r="170" ht="36" customHeight="1">
      <x:c r="A170" s="439"/>
      <x:c r="B170" s="453"/>
      <x:c r="C170" s="453"/>
      <x:c r="D170" s="454"/>
      <x:c r="E170" s="454"/>
      <x:c r="F170" s="454"/>
      <x:c r="G170" s="986"/>
      <x:c r="H170" s="455"/>
      <x:c r="I170" s="456"/>
      <x:c r="J170" s="456"/>
      <x:c r="K170" s="986"/>
      <x:c r="L170" s="454"/>
      <x:c r="M170" s="439"/>
      <x:c r="N170" s="987" t="str">
        <x:f>IF(COUNTA($A170:$M170)=0,"",IF(OR(LEFT(LOWER(TRIM($F170&amp;"")),12)="subscription",LOWER(TRIM($F170&amp;""))="membership"),"",IF($G170="","",IF(ISNUMBER(SEARCH("non",LOWER($E170&amp;""))),$G170*0.85,$G170))))</x:f>
      </x:c>
      <x:c r="O170" s="987" t="str">
        <x:f>IF(COUNTA($A170:$M170)=0,"",IF(OR(LEFT(LOWER(TRIM($F170&amp;"")),12)="subscription",LOWER(TRIM($F170&amp;""))="membership"),"",IF(OR($N170="",$I170="",$I170=0),"",IFERROR($N170/$I170,""))))</x:f>
      </x:c>
      <x:c r="P170" s="987" t="str">
        <x:f>IF(COUNTA($A170:$M170)=0,"",IF(OR(LEFT(LOWER(TRIM($F170&amp;"")),12)="subscription",LOWER(TRIM($F170&amp;""))="membership"),"",IF(LOWER($L170&amp;"")="yes",0,IF(OR(AND($H170&lt;&gt;"",$H170=0),LEFT(LOWER(TRIM($F170&amp;"")),9)="free game",LOWER(TRIM($F170&amp;""))="free",LOWER(TRIM($F170&amp;""))="free entry"),IF(LOWER($D170&amp;"")="finalized",IF(ISNUMBER($K170),$K170,""),IF($O170&lt;&gt;"",$O170,"")),IF($K170&lt;&gt;"",$K170,IF($O170&lt;&gt;"",$O170,""))))))</x:f>
      </x:c>
      <x:c r="Q170" s="114" t="str">
        <x:f>IF(COUNTA($A170:$M170)=0,"",IF(OR($U170="Subscription",$U170=""),"",IF($U170="Profit",ROUND(IFERROR($P170,0)-IFERROR($H170,0),2),0)))</x:f>
      </x:c>
      <x:c r="R170" s="114" t="str">
        <x:f>IF(COUNTA($A170:$M170)=0,"",IF(OR($U170="Subscription",$U170=""),"",IF($U170="Draw",$H170,0)))</x:f>
      </x:c>
      <x:c r="S170" s="114" t="str">
        <x:f>IF(COUNTA($A170:$M170)=0,"",IF(OR($U170="Subscription",$U170=""),"",IF($U170="Disqualified",$H170,0)))</x:f>
      </x:c>
      <x:c r="T170" s="955" t="str">
        <x:f>IF(COUNTA($A170:$M170)=0,"",IF(OR($U170="Subscription",$U170=""),"",IF(OR($U170="Free Game",$U170="Disqualified — Free Game",$H170=0),"N/A",IF($U170="Profit",$Q170/$H170,IF($U170="Disqualified",-$S170/$H170,0)))))</x:f>
      </x:c>
      <x:c r="U170" s="920" t="str">
        <x:f>IF(COUNTA($A170:$M170)=0,"",IF(OR(LEFT(LOWER(TRIM($F170&amp;"")),12)="subscription",LOWER(TRIM($F170&amp;""))="membership"),"Subscription",IF(OR(AND($H170&lt;&gt;"",$H170=0),LEFT(LOWER(TRIM($F170&amp;"")),9)="free game",LOWER(TRIM($F170&amp;""))="free",LOWER(TRIM($F170&amp;""))="free entry"),IF(LOWER($L170&amp;"")="yes","Disqualified — Free Game","Free Game"),IF(LOWER($L170&amp;"")="yes","Disqualified",IF($P170="","",IF(ROUND(IFERROR(VALUE($P170),0)-IFERROR(VALUE($H170),0),2)&gt;0,"Profit","Draw"))))))</x:f>
      </x:c>
      <x:c r="V170" s="956" t="str">
        <x:f>IF(COUNTA($A170:$M170)=0,"",IF(OR($B170="",$C170="",$U170="Subscription"),"",IFERROR(ROUNDUP(($C170-$B170)/7,0),"")))</x:f>
      </x:c>
      <x:c r="W170" s="114" t="str">
        <x:f>IF(COUNTA($A170:$M170)=0,"",IF(OR($U170="Subscription",$U170=""),"",IF(OR($U170="Free Game",$U170="Disqualified — Free Game"),0,ROUND(IFERROR($Q170,0)-IFERROR($S170,0),2))))</x:f>
      </x:c>
      <x:c r="X170" s="956" t="str">
        <x:f>IF(COUNTA($A170:$M170)=0,"",IF(OR($U170="Subscription",NOT(ISNUMBER($J170)),NOT(ISNUMBER($I170)),$J170=0,$I170=0,$I170&gt;$J170),"",$J170-$I170))</x:f>
      </x:c>
      <x:c r="Y170" s="955" t="str">
        <x:f>IF(COUNTA($A170:$M170)=0,"",IF(OR($U170="Subscription",NOT(ISNUMBER($J170)),$J170=0,$X170=""),"",$X170/$J170))</x:f>
      </x:c>
      <x:c r="Z170" s="957" t="str">
        <x:f>IF(COUNTA($A170:$M170)=0,"",Instructions!$B$29+SUM($W$5:W170))</x:f>
      </x:c>
    </x:row>
    <x:row r="171" ht="36" customHeight="1">
      <x:c r="A171" s="439"/>
      <x:c r="B171" s="453"/>
      <x:c r="C171" s="453"/>
      <x:c r="D171" s="454"/>
      <x:c r="E171" s="454"/>
      <x:c r="F171" s="454"/>
      <x:c r="G171" s="986"/>
      <x:c r="H171" s="455"/>
      <x:c r="I171" s="456"/>
      <x:c r="J171" s="456"/>
      <x:c r="K171" s="986"/>
      <x:c r="L171" s="454"/>
      <x:c r="M171" s="439"/>
      <x:c r="N171" s="987" t="str">
        <x:f>IF(COUNTA($A171:$M171)=0,"",IF(OR(LEFT(LOWER(TRIM($F171&amp;"")),12)="subscription",LOWER(TRIM($F171&amp;""))="membership"),"",IF($G171="","",IF(ISNUMBER(SEARCH("non",LOWER($E171&amp;""))),$G171*0.85,$G171))))</x:f>
      </x:c>
      <x:c r="O171" s="987" t="str">
        <x:f>IF(COUNTA($A171:$M171)=0,"",IF(OR(LEFT(LOWER(TRIM($F171&amp;"")),12)="subscription",LOWER(TRIM($F171&amp;""))="membership"),"",IF(OR($N171="",$I171="",$I171=0),"",IFERROR($N171/$I171,""))))</x:f>
      </x:c>
      <x:c r="P171" s="987" t="str">
        <x:f>IF(COUNTA($A171:$M171)=0,"",IF(OR(LEFT(LOWER(TRIM($F171&amp;"")),12)="subscription",LOWER(TRIM($F171&amp;""))="membership"),"",IF(LOWER($L171&amp;"")="yes",0,IF(OR(AND($H171&lt;&gt;"",$H171=0),LEFT(LOWER(TRIM($F171&amp;"")),9)="free game",LOWER(TRIM($F171&amp;""))="free",LOWER(TRIM($F171&amp;""))="free entry"),IF(LOWER($D171&amp;"")="finalized",IF(ISNUMBER($K171),$K171,""),IF($O171&lt;&gt;"",$O171,"")),IF($K171&lt;&gt;"",$K171,IF($O171&lt;&gt;"",$O171,""))))))</x:f>
      </x:c>
      <x:c r="Q171" s="114" t="str">
        <x:f>IF(COUNTA($A171:$M171)=0,"",IF(OR($U171="Subscription",$U171=""),"",IF($U171="Profit",ROUND(IFERROR($P171,0)-IFERROR($H171,0),2),0)))</x:f>
      </x:c>
      <x:c r="R171" s="114" t="str">
        <x:f>IF(COUNTA($A171:$M171)=0,"",IF(OR($U171="Subscription",$U171=""),"",IF($U171="Draw",$H171,0)))</x:f>
      </x:c>
      <x:c r="S171" s="114" t="str">
        <x:f>IF(COUNTA($A171:$M171)=0,"",IF(OR($U171="Subscription",$U171=""),"",IF($U171="Disqualified",$H171,0)))</x:f>
      </x:c>
      <x:c r="T171" s="955" t="str">
        <x:f>IF(COUNTA($A171:$M171)=0,"",IF(OR($U171="Subscription",$U171=""),"",IF(OR($U171="Free Game",$U171="Disqualified — Free Game",$H171=0),"N/A",IF($U171="Profit",$Q171/$H171,IF($U171="Disqualified",-$S171/$H171,0)))))</x:f>
      </x:c>
      <x:c r="U171" s="920" t="str">
        <x:f>IF(COUNTA($A171:$M171)=0,"",IF(OR(LEFT(LOWER(TRIM($F171&amp;"")),12)="subscription",LOWER(TRIM($F171&amp;""))="membership"),"Subscription",IF(OR(AND($H171&lt;&gt;"",$H171=0),LEFT(LOWER(TRIM($F171&amp;"")),9)="free game",LOWER(TRIM($F171&amp;""))="free",LOWER(TRIM($F171&amp;""))="free entry"),IF(LOWER($L171&amp;"")="yes","Disqualified — Free Game","Free Game"),IF(LOWER($L171&amp;"")="yes","Disqualified",IF($P171="","",IF(ROUND(IFERROR(VALUE($P171),0)-IFERROR(VALUE($H171),0),2)&gt;0,"Profit","Draw"))))))</x:f>
      </x:c>
      <x:c r="V171" s="956" t="str">
        <x:f>IF(COUNTA($A171:$M171)=0,"",IF(OR($B171="",$C171="",$U171="Subscription"),"",IFERROR(ROUNDUP(($C171-$B171)/7,0),"")))</x:f>
      </x:c>
      <x:c r="W171" s="114" t="str">
        <x:f>IF(COUNTA($A171:$M171)=0,"",IF(OR($U171="Subscription",$U171=""),"",IF(OR($U171="Free Game",$U171="Disqualified — Free Game"),0,ROUND(IFERROR($Q171,0)-IFERROR($S171,0),2))))</x:f>
      </x:c>
      <x:c r="X171" s="956" t="str">
        <x:f>IF(COUNTA($A171:$M171)=0,"",IF(OR($U171="Subscription",NOT(ISNUMBER($J171)),NOT(ISNUMBER($I171)),$J171=0,$I171=0,$I171&gt;$J171),"",$J171-$I171))</x:f>
      </x:c>
      <x:c r="Y171" s="955" t="str">
        <x:f>IF(COUNTA($A171:$M171)=0,"",IF(OR($U171="Subscription",NOT(ISNUMBER($J171)),$J171=0,$X171=""),"",$X171/$J171))</x:f>
      </x:c>
      <x:c r="Z171" s="957" t="str">
        <x:f>IF(COUNTA($A171:$M171)=0,"",Instructions!$B$29+SUM($W$5:W171))</x:f>
      </x:c>
    </x:row>
    <x:row r="172" ht="36" customHeight="1">
      <x:c r="A172" s="439"/>
      <x:c r="B172" s="453"/>
      <x:c r="C172" s="453"/>
      <x:c r="D172" s="454"/>
      <x:c r="E172" s="454"/>
      <x:c r="F172" s="454"/>
      <x:c r="G172" s="986"/>
      <x:c r="H172" s="455"/>
      <x:c r="I172" s="456"/>
      <x:c r="J172" s="456"/>
      <x:c r="K172" s="986"/>
      <x:c r="L172" s="454"/>
      <x:c r="M172" s="439"/>
      <x:c r="N172" s="987" t="str">
        <x:f>IF(COUNTA($A172:$M172)=0,"",IF(OR(LEFT(LOWER(TRIM($F172&amp;"")),12)="subscription",LOWER(TRIM($F172&amp;""))="membership"),"",IF($G172="","",IF(ISNUMBER(SEARCH("non",LOWER($E172&amp;""))),$G172*0.85,$G172))))</x:f>
      </x:c>
      <x:c r="O172" s="987" t="str">
        <x:f>IF(COUNTA($A172:$M172)=0,"",IF(OR(LEFT(LOWER(TRIM($F172&amp;"")),12)="subscription",LOWER(TRIM($F172&amp;""))="membership"),"",IF(OR($N172="",$I172="",$I172=0),"",IFERROR($N172/$I172,""))))</x:f>
      </x:c>
      <x:c r="P172" s="987" t="str">
        <x:f>IF(COUNTA($A172:$M172)=0,"",IF(OR(LEFT(LOWER(TRIM($F172&amp;"")),12)="subscription",LOWER(TRIM($F172&amp;""))="membership"),"",IF(LOWER($L172&amp;"")="yes",0,IF(OR(AND($H172&lt;&gt;"",$H172=0),LEFT(LOWER(TRIM($F172&amp;"")),9)="free game",LOWER(TRIM($F172&amp;""))="free",LOWER(TRIM($F172&amp;""))="free entry"),IF(LOWER($D172&amp;"")="finalized",IF(ISNUMBER($K172),$K172,""),IF($O172&lt;&gt;"",$O172,"")),IF($K172&lt;&gt;"",$K172,IF($O172&lt;&gt;"",$O172,""))))))</x:f>
      </x:c>
      <x:c r="Q172" s="114" t="str">
        <x:f>IF(COUNTA($A172:$M172)=0,"",IF(OR($U172="Subscription",$U172=""),"",IF($U172="Profit",ROUND(IFERROR($P172,0)-IFERROR($H172,0),2),0)))</x:f>
      </x:c>
      <x:c r="R172" s="114" t="str">
        <x:f>IF(COUNTA($A172:$M172)=0,"",IF(OR($U172="Subscription",$U172=""),"",IF($U172="Draw",$H172,0)))</x:f>
      </x:c>
      <x:c r="S172" s="114" t="str">
        <x:f>IF(COUNTA($A172:$M172)=0,"",IF(OR($U172="Subscription",$U172=""),"",IF($U172="Disqualified",$H172,0)))</x:f>
      </x:c>
      <x:c r="T172" s="955" t="str">
        <x:f>IF(COUNTA($A172:$M172)=0,"",IF(OR($U172="Subscription",$U172=""),"",IF(OR($U172="Free Game",$U172="Disqualified — Free Game",$H172=0),"N/A",IF($U172="Profit",$Q172/$H172,IF($U172="Disqualified",-$S172/$H172,0)))))</x:f>
      </x:c>
      <x:c r="U172" s="920" t="str">
        <x:f>IF(COUNTA($A172:$M172)=0,"",IF(OR(LEFT(LOWER(TRIM($F172&amp;"")),12)="subscription",LOWER(TRIM($F172&amp;""))="membership"),"Subscription",IF(OR(AND($H172&lt;&gt;"",$H172=0),LEFT(LOWER(TRIM($F172&amp;"")),9)="free game",LOWER(TRIM($F172&amp;""))="free",LOWER(TRIM($F172&amp;""))="free entry"),IF(LOWER($L172&amp;"")="yes","Disqualified — Free Game","Free Game"),IF(LOWER($L172&amp;"")="yes","Disqualified",IF($P172="","",IF(ROUND(IFERROR(VALUE($P172),0)-IFERROR(VALUE($H172),0),2)&gt;0,"Profit","Draw"))))))</x:f>
      </x:c>
      <x:c r="V172" s="956" t="str">
        <x:f>IF(COUNTA($A172:$M172)=0,"",IF(OR($B172="",$C172="",$U172="Subscription"),"",IFERROR(ROUNDUP(($C172-$B172)/7,0),"")))</x:f>
      </x:c>
      <x:c r="W172" s="114" t="str">
        <x:f>IF(COUNTA($A172:$M172)=0,"",IF(OR($U172="Subscription",$U172=""),"",IF(OR($U172="Free Game",$U172="Disqualified — Free Game"),0,ROUND(IFERROR($Q172,0)-IFERROR($S172,0),2))))</x:f>
      </x:c>
      <x:c r="X172" s="956" t="str">
        <x:f>IF(COUNTA($A172:$M172)=0,"",IF(OR($U172="Subscription",NOT(ISNUMBER($J172)),NOT(ISNUMBER($I172)),$J172=0,$I172=0,$I172&gt;$J172),"",$J172-$I172))</x:f>
      </x:c>
      <x:c r="Y172" s="955" t="str">
        <x:f>IF(COUNTA($A172:$M172)=0,"",IF(OR($U172="Subscription",NOT(ISNUMBER($J172)),$J172=0,$X172=""),"",$X172/$J172))</x:f>
      </x:c>
      <x:c r="Z172" s="957" t="str">
        <x:f>IF(COUNTA($A172:$M172)=0,"",Instructions!$B$29+SUM($W$5:W172))</x:f>
      </x:c>
    </x:row>
    <x:row r="173" ht="36" customHeight="1">
      <x:c r="A173" s="439"/>
      <x:c r="B173" s="453"/>
      <x:c r="C173" s="453"/>
      <x:c r="D173" s="454"/>
      <x:c r="E173" s="454"/>
      <x:c r="F173" s="454"/>
      <x:c r="G173" s="986"/>
      <x:c r="H173" s="455"/>
      <x:c r="I173" s="456"/>
      <x:c r="J173" s="456"/>
      <x:c r="K173" s="986"/>
      <x:c r="L173" s="454"/>
      <x:c r="M173" s="439"/>
      <x:c r="N173" s="987" t="str">
        <x:f>IF(COUNTA($A173:$M173)=0,"",IF(OR(LEFT(LOWER(TRIM($F173&amp;"")),12)="subscription",LOWER(TRIM($F173&amp;""))="membership"),"",IF($G173="","",IF(ISNUMBER(SEARCH("non",LOWER($E173&amp;""))),$G173*0.85,$G173))))</x:f>
      </x:c>
      <x:c r="O173" s="987" t="str">
        <x:f>IF(COUNTA($A173:$M173)=0,"",IF(OR(LEFT(LOWER(TRIM($F173&amp;"")),12)="subscription",LOWER(TRIM($F173&amp;""))="membership"),"",IF(OR($N173="",$I173="",$I173=0),"",IFERROR($N173/$I173,""))))</x:f>
      </x:c>
      <x:c r="P173" s="987" t="str">
        <x:f>IF(COUNTA($A173:$M173)=0,"",IF(OR(LEFT(LOWER(TRIM($F173&amp;"")),12)="subscription",LOWER(TRIM($F173&amp;""))="membership"),"",IF(LOWER($L173&amp;"")="yes",0,IF(OR(AND($H173&lt;&gt;"",$H173=0),LEFT(LOWER(TRIM($F173&amp;"")),9)="free game",LOWER(TRIM($F173&amp;""))="free",LOWER(TRIM($F173&amp;""))="free entry"),IF(LOWER($D173&amp;"")="finalized",IF(ISNUMBER($K173),$K173,""),IF($O173&lt;&gt;"",$O173,"")),IF($K173&lt;&gt;"",$K173,IF($O173&lt;&gt;"",$O173,""))))))</x:f>
      </x:c>
      <x:c r="Q173" s="114" t="str">
        <x:f>IF(COUNTA($A173:$M173)=0,"",IF(OR($U173="Subscription",$U173=""),"",IF($U173="Profit",ROUND(IFERROR($P173,0)-IFERROR($H173,0),2),0)))</x:f>
      </x:c>
      <x:c r="R173" s="114" t="str">
        <x:f>IF(COUNTA($A173:$M173)=0,"",IF(OR($U173="Subscription",$U173=""),"",IF($U173="Draw",$H173,0)))</x:f>
      </x:c>
      <x:c r="S173" s="114" t="str">
        <x:f>IF(COUNTA($A173:$M173)=0,"",IF(OR($U173="Subscription",$U173=""),"",IF($U173="Disqualified",$H173,0)))</x:f>
      </x:c>
      <x:c r="T173" s="955" t="str">
        <x:f>IF(COUNTA($A173:$M173)=0,"",IF(OR($U173="Subscription",$U173=""),"",IF(OR($U173="Free Game",$U173="Disqualified — Free Game",$H173=0),"N/A",IF($U173="Profit",$Q173/$H173,IF($U173="Disqualified",-$S173/$H173,0)))))</x:f>
      </x:c>
      <x:c r="U173" s="920" t="str">
        <x:f>IF(COUNTA($A173:$M173)=0,"",IF(OR(LEFT(LOWER(TRIM($F173&amp;"")),12)="subscription",LOWER(TRIM($F173&amp;""))="membership"),"Subscription",IF(OR(AND($H173&lt;&gt;"",$H173=0),LEFT(LOWER(TRIM($F173&amp;"")),9)="free game",LOWER(TRIM($F173&amp;""))="free",LOWER(TRIM($F173&amp;""))="free entry"),IF(LOWER($L173&amp;"")="yes","Disqualified — Free Game","Free Game"),IF(LOWER($L173&amp;"")="yes","Disqualified",IF($P173="","",IF(ROUND(IFERROR(VALUE($P173),0)-IFERROR(VALUE($H173),0),2)&gt;0,"Profit","Draw"))))))</x:f>
      </x:c>
      <x:c r="V173" s="956" t="str">
        <x:f>IF(COUNTA($A173:$M173)=0,"",IF(OR($B173="",$C173="",$U173="Subscription"),"",IFERROR(ROUNDUP(($C173-$B173)/7,0),"")))</x:f>
      </x:c>
      <x:c r="W173" s="114" t="str">
        <x:f>IF(COUNTA($A173:$M173)=0,"",IF(OR($U173="Subscription",$U173=""),"",IF(OR($U173="Free Game",$U173="Disqualified — Free Game"),0,ROUND(IFERROR($Q173,0)-IFERROR($S173,0),2))))</x:f>
      </x:c>
      <x:c r="X173" s="956" t="str">
        <x:f>IF(COUNTA($A173:$M173)=0,"",IF(OR($U173="Subscription",NOT(ISNUMBER($J173)),NOT(ISNUMBER($I173)),$J173=0,$I173=0,$I173&gt;$J173),"",$J173-$I173))</x:f>
      </x:c>
      <x:c r="Y173" s="955" t="str">
        <x:f>IF(COUNTA($A173:$M173)=0,"",IF(OR($U173="Subscription",NOT(ISNUMBER($J173)),$J173=0,$X173=""),"",$X173/$J173))</x:f>
      </x:c>
      <x:c r="Z173" s="957" t="str">
        <x:f>IF(COUNTA($A173:$M173)=0,"",Instructions!$B$29+SUM($W$5:W173))</x:f>
      </x:c>
    </x:row>
    <x:row r="174" ht="36" customHeight="1">
      <x:c r="A174" s="439"/>
      <x:c r="B174" s="453"/>
      <x:c r="C174" s="453"/>
      <x:c r="D174" s="454"/>
      <x:c r="E174" s="454"/>
      <x:c r="F174" s="454"/>
      <x:c r="G174" s="986"/>
      <x:c r="H174" s="455"/>
      <x:c r="I174" s="456"/>
      <x:c r="J174" s="456"/>
      <x:c r="K174" s="986"/>
      <x:c r="L174" s="454"/>
      <x:c r="M174" s="439"/>
      <x:c r="N174" s="987" t="str">
        <x:f>IF(COUNTA($A174:$M174)=0,"",IF(OR(LEFT(LOWER(TRIM($F174&amp;"")),12)="subscription",LOWER(TRIM($F174&amp;""))="membership"),"",IF($G174="","",IF(ISNUMBER(SEARCH("non",LOWER($E174&amp;""))),$G174*0.85,$G174))))</x:f>
      </x:c>
      <x:c r="O174" s="987" t="str">
        <x:f>IF(COUNTA($A174:$M174)=0,"",IF(OR(LEFT(LOWER(TRIM($F174&amp;"")),12)="subscription",LOWER(TRIM($F174&amp;""))="membership"),"",IF(OR($N174="",$I174="",$I174=0),"",IFERROR($N174/$I174,""))))</x:f>
      </x:c>
      <x:c r="P174" s="987" t="str">
        <x:f>IF(COUNTA($A174:$M174)=0,"",IF(OR(LEFT(LOWER(TRIM($F174&amp;"")),12)="subscription",LOWER(TRIM($F174&amp;""))="membership"),"",IF(LOWER($L174&amp;"")="yes",0,IF(OR(AND($H174&lt;&gt;"",$H174=0),LEFT(LOWER(TRIM($F174&amp;"")),9)="free game",LOWER(TRIM($F174&amp;""))="free",LOWER(TRIM($F174&amp;""))="free entry"),IF(LOWER($D174&amp;"")="finalized",IF(ISNUMBER($K174),$K174,""),IF($O174&lt;&gt;"",$O174,"")),IF($K174&lt;&gt;"",$K174,IF($O174&lt;&gt;"",$O174,""))))))</x:f>
      </x:c>
      <x:c r="Q174" s="114" t="str">
        <x:f>IF(COUNTA($A174:$M174)=0,"",IF(OR($U174="Subscription",$U174=""),"",IF($U174="Profit",ROUND(IFERROR($P174,0)-IFERROR($H174,0),2),0)))</x:f>
      </x:c>
      <x:c r="R174" s="114" t="str">
        <x:f>IF(COUNTA($A174:$M174)=0,"",IF(OR($U174="Subscription",$U174=""),"",IF($U174="Draw",$H174,0)))</x:f>
      </x:c>
      <x:c r="S174" s="114" t="str">
        <x:f>IF(COUNTA($A174:$M174)=0,"",IF(OR($U174="Subscription",$U174=""),"",IF($U174="Disqualified",$H174,0)))</x:f>
      </x:c>
      <x:c r="T174" s="955" t="str">
        <x:f>IF(COUNTA($A174:$M174)=0,"",IF(OR($U174="Subscription",$U174=""),"",IF(OR($U174="Free Game",$U174="Disqualified — Free Game",$H174=0),"N/A",IF($U174="Profit",$Q174/$H174,IF($U174="Disqualified",-$S174/$H174,0)))))</x:f>
      </x:c>
      <x:c r="U174" s="920" t="str">
        <x:f>IF(COUNTA($A174:$M174)=0,"",IF(OR(LEFT(LOWER(TRIM($F174&amp;"")),12)="subscription",LOWER(TRIM($F174&amp;""))="membership"),"Subscription",IF(OR(AND($H174&lt;&gt;"",$H174=0),LEFT(LOWER(TRIM($F174&amp;"")),9)="free game",LOWER(TRIM($F174&amp;""))="free",LOWER(TRIM($F174&amp;""))="free entry"),IF(LOWER($L174&amp;"")="yes","Disqualified — Free Game","Free Game"),IF(LOWER($L174&amp;"")="yes","Disqualified",IF($P174="","",IF(ROUND(IFERROR(VALUE($P174),0)-IFERROR(VALUE($H174),0),2)&gt;0,"Profit","Draw"))))))</x:f>
      </x:c>
      <x:c r="V174" s="956" t="str">
        <x:f>IF(COUNTA($A174:$M174)=0,"",IF(OR($B174="",$C174="",$U174="Subscription"),"",IFERROR(ROUNDUP(($C174-$B174)/7,0),"")))</x:f>
      </x:c>
      <x:c r="W174" s="114" t="str">
        <x:f>IF(COUNTA($A174:$M174)=0,"",IF(OR($U174="Subscription",$U174=""),"",IF(OR($U174="Free Game",$U174="Disqualified — Free Game"),0,ROUND(IFERROR($Q174,0)-IFERROR($S174,0),2))))</x:f>
      </x:c>
      <x:c r="X174" s="956" t="str">
        <x:f>IF(COUNTA($A174:$M174)=0,"",IF(OR($U174="Subscription",NOT(ISNUMBER($J174)),NOT(ISNUMBER($I174)),$J174=0,$I174=0,$I174&gt;$J174),"",$J174-$I174))</x:f>
      </x:c>
      <x:c r="Y174" s="955" t="str">
        <x:f>IF(COUNTA($A174:$M174)=0,"",IF(OR($U174="Subscription",NOT(ISNUMBER($J174)),$J174=0,$X174=""),"",$X174/$J174))</x:f>
      </x:c>
      <x:c r="Z174" s="957" t="str">
        <x:f>IF(COUNTA($A174:$M174)=0,"",Instructions!$B$29+SUM($W$5:W174))</x:f>
      </x:c>
    </x:row>
    <x:row r="175" ht="36" customHeight="1">
      <x:c r="A175" s="439"/>
      <x:c r="B175" s="453"/>
      <x:c r="C175" s="453"/>
      <x:c r="D175" s="454"/>
      <x:c r="E175" s="454"/>
      <x:c r="F175" s="454"/>
      <x:c r="G175" s="986"/>
      <x:c r="H175" s="455"/>
      <x:c r="I175" s="456"/>
      <x:c r="J175" s="456"/>
      <x:c r="K175" s="986"/>
      <x:c r="L175" s="454"/>
      <x:c r="M175" s="439"/>
      <x:c r="N175" s="987" t="str">
        <x:f>IF(COUNTA($A175:$M175)=0,"",IF(OR(LEFT(LOWER(TRIM($F175&amp;"")),12)="subscription",LOWER(TRIM($F175&amp;""))="membership"),"",IF($G175="","",IF(ISNUMBER(SEARCH("non",LOWER($E175&amp;""))),$G175*0.85,$G175))))</x:f>
      </x:c>
      <x:c r="O175" s="987" t="str">
        <x:f>IF(COUNTA($A175:$M175)=0,"",IF(OR(LEFT(LOWER(TRIM($F175&amp;"")),12)="subscription",LOWER(TRIM($F175&amp;""))="membership"),"",IF(OR($N175="",$I175="",$I175=0),"",IFERROR($N175/$I175,""))))</x:f>
      </x:c>
      <x:c r="P175" s="987" t="str">
        <x:f>IF(COUNTA($A175:$M175)=0,"",IF(OR(LEFT(LOWER(TRIM($F175&amp;"")),12)="subscription",LOWER(TRIM($F175&amp;""))="membership"),"",IF(LOWER($L175&amp;"")="yes",0,IF(OR(AND($H175&lt;&gt;"",$H175=0),LEFT(LOWER(TRIM($F175&amp;"")),9)="free game",LOWER(TRIM($F175&amp;""))="free",LOWER(TRIM($F175&amp;""))="free entry"),IF(LOWER($D175&amp;"")="finalized",IF(ISNUMBER($K175),$K175,""),IF($O175&lt;&gt;"",$O175,"")),IF($K175&lt;&gt;"",$K175,IF($O175&lt;&gt;"",$O175,""))))))</x:f>
      </x:c>
      <x:c r="Q175" s="114" t="str">
        <x:f>IF(COUNTA($A175:$M175)=0,"",IF(OR($U175="Subscription",$U175=""),"",IF($U175="Profit",ROUND(IFERROR($P175,0)-IFERROR($H175,0),2),0)))</x:f>
      </x:c>
      <x:c r="R175" s="114" t="str">
        <x:f>IF(COUNTA($A175:$M175)=0,"",IF(OR($U175="Subscription",$U175=""),"",IF($U175="Draw",$H175,0)))</x:f>
      </x:c>
      <x:c r="S175" s="114" t="str">
        <x:f>IF(COUNTA($A175:$M175)=0,"",IF(OR($U175="Subscription",$U175=""),"",IF($U175="Disqualified",$H175,0)))</x:f>
      </x:c>
      <x:c r="T175" s="955" t="str">
        <x:f>IF(COUNTA($A175:$M175)=0,"",IF(OR($U175="Subscription",$U175=""),"",IF(OR($U175="Free Game",$U175="Disqualified — Free Game",$H175=0),"N/A",IF($U175="Profit",$Q175/$H175,IF($U175="Disqualified",-$S175/$H175,0)))))</x:f>
      </x:c>
      <x:c r="U175" s="920" t="str">
        <x:f>IF(COUNTA($A175:$M175)=0,"",IF(OR(LEFT(LOWER(TRIM($F175&amp;"")),12)="subscription",LOWER(TRIM($F175&amp;""))="membership"),"Subscription",IF(OR(AND($H175&lt;&gt;"",$H175=0),LEFT(LOWER(TRIM($F175&amp;"")),9)="free game",LOWER(TRIM($F175&amp;""))="free",LOWER(TRIM($F175&amp;""))="free entry"),IF(LOWER($L175&amp;"")="yes","Disqualified — Free Game","Free Game"),IF(LOWER($L175&amp;"")="yes","Disqualified",IF($P175="","",IF(ROUND(IFERROR(VALUE($P175),0)-IFERROR(VALUE($H175),0),2)&gt;0,"Profit","Draw"))))))</x:f>
      </x:c>
      <x:c r="V175" s="956" t="str">
        <x:f>IF(COUNTA($A175:$M175)=0,"",IF(OR($B175="",$C175="",$U175="Subscription"),"",IFERROR(ROUNDUP(($C175-$B175)/7,0),"")))</x:f>
      </x:c>
      <x:c r="W175" s="114" t="str">
        <x:f>IF(COUNTA($A175:$M175)=0,"",IF(OR($U175="Subscription",$U175=""),"",IF(OR($U175="Free Game",$U175="Disqualified — Free Game"),0,ROUND(IFERROR($Q175,0)-IFERROR($S175,0),2))))</x:f>
      </x:c>
      <x:c r="X175" s="956" t="str">
        <x:f>IF(COUNTA($A175:$M175)=0,"",IF(OR($U175="Subscription",NOT(ISNUMBER($J175)),NOT(ISNUMBER($I175)),$J175=0,$I175=0,$I175&gt;$J175),"",$J175-$I175))</x:f>
      </x:c>
      <x:c r="Y175" s="955" t="str">
        <x:f>IF(COUNTA($A175:$M175)=0,"",IF(OR($U175="Subscription",NOT(ISNUMBER($J175)),$J175=0,$X175=""),"",$X175/$J175))</x:f>
      </x:c>
      <x:c r="Z175" s="957" t="str">
        <x:f>IF(COUNTA($A175:$M175)=0,"",Instructions!$B$29+SUM($W$5:W175))</x:f>
      </x:c>
    </x:row>
    <x:row r="176" ht="36" customHeight="1">
      <x:c r="A176" s="439"/>
      <x:c r="B176" s="453"/>
      <x:c r="C176" s="453"/>
      <x:c r="D176" s="454"/>
      <x:c r="E176" s="454"/>
      <x:c r="F176" s="454"/>
      <x:c r="G176" s="986"/>
      <x:c r="H176" s="455"/>
      <x:c r="I176" s="456"/>
      <x:c r="J176" s="456"/>
      <x:c r="K176" s="986"/>
      <x:c r="L176" s="454"/>
      <x:c r="M176" s="439"/>
      <x:c r="N176" s="987" t="str">
        <x:f>IF(COUNTA($A176:$M176)=0,"",IF(OR(LEFT(LOWER(TRIM($F176&amp;"")),12)="subscription",LOWER(TRIM($F176&amp;""))="membership"),"",IF($G176="","",IF(ISNUMBER(SEARCH("non",LOWER($E176&amp;""))),$G176*0.85,$G176))))</x:f>
      </x:c>
      <x:c r="O176" s="987" t="str">
        <x:f>IF(COUNTA($A176:$M176)=0,"",IF(OR(LEFT(LOWER(TRIM($F176&amp;"")),12)="subscription",LOWER(TRIM($F176&amp;""))="membership"),"",IF(OR($N176="",$I176="",$I176=0),"",IFERROR($N176/$I176,""))))</x:f>
      </x:c>
      <x:c r="P176" s="987" t="str">
        <x:f>IF(COUNTA($A176:$M176)=0,"",IF(OR(LEFT(LOWER(TRIM($F176&amp;"")),12)="subscription",LOWER(TRIM($F176&amp;""))="membership"),"",IF(LOWER($L176&amp;"")="yes",0,IF(OR(AND($H176&lt;&gt;"",$H176=0),LEFT(LOWER(TRIM($F176&amp;"")),9)="free game",LOWER(TRIM($F176&amp;""))="free",LOWER(TRIM($F176&amp;""))="free entry"),IF(LOWER($D176&amp;"")="finalized",IF(ISNUMBER($K176),$K176,""),IF($O176&lt;&gt;"",$O176,"")),IF($K176&lt;&gt;"",$K176,IF($O176&lt;&gt;"",$O176,""))))))</x:f>
      </x:c>
      <x:c r="Q176" s="114" t="str">
        <x:f>IF(COUNTA($A176:$M176)=0,"",IF(OR($U176="Subscription",$U176=""),"",IF($U176="Profit",ROUND(IFERROR($P176,0)-IFERROR($H176,0),2),0)))</x:f>
      </x:c>
      <x:c r="R176" s="114" t="str">
        <x:f>IF(COUNTA($A176:$M176)=0,"",IF(OR($U176="Subscription",$U176=""),"",IF($U176="Draw",$H176,0)))</x:f>
      </x:c>
      <x:c r="S176" s="114" t="str">
        <x:f>IF(COUNTA($A176:$M176)=0,"",IF(OR($U176="Subscription",$U176=""),"",IF($U176="Disqualified",$H176,0)))</x:f>
      </x:c>
      <x:c r="T176" s="955" t="str">
        <x:f>IF(COUNTA($A176:$M176)=0,"",IF(OR($U176="Subscription",$U176=""),"",IF(OR($U176="Free Game",$U176="Disqualified — Free Game",$H176=0),"N/A",IF($U176="Profit",$Q176/$H176,IF($U176="Disqualified",-$S176/$H176,0)))))</x:f>
      </x:c>
      <x:c r="U176" s="920" t="str">
        <x:f>IF(COUNTA($A176:$M176)=0,"",IF(OR(LEFT(LOWER(TRIM($F176&amp;"")),12)="subscription",LOWER(TRIM($F176&amp;""))="membership"),"Subscription",IF(OR(AND($H176&lt;&gt;"",$H176=0),LEFT(LOWER(TRIM($F176&amp;"")),9)="free game",LOWER(TRIM($F176&amp;""))="free",LOWER(TRIM($F176&amp;""))="free entry"),IF(LOWER($L176&amp;"")="yes","Disqualified — Free Game","Free Game"),IF(LOWER($L176&amp;"")="yes","Disqualified",IF($P176="","",IF(ROUND(IFERROR(VALUE($P176),0)-IFERROR(VALUE($H176),0),2)&gt;0,"Profit","Draw"))))))</x:f>
      </x:c>
      <x:c r="V176" s="956" t="str">
        <x:f>IF(COUNTA($A176:$M176)=0,"",IF(OR($B176="",$C176="",$U176="Subscription"),"",IFERROR(ROUNDUP(($C176-$B176)/7,0),"")))</x:f>
      </x:c>
      <x:c r="W176" s="114" t="str">
        <x:f>IF(COUNTA($A176:$M176)=0,"",IF(OR($U176="Subscription",$U176=""),"",IF(OR($U176="Free Game",$U176="Disqualified — Free Game"),0,ROUND(IFERROR($Q176,0)-IFERROR($S176,0),2))))</x:f>
      </x:c>
      <x:c r="X176" s="956" t="str">
        <x:f>IF(COUNTA($A176:$M176)=0,"",IF(OR($U176="Subscription",NOT(ISNUMBER($J176)),NOT(ISNUMBER($I176)),$J176=0,$I176=0,$I176&gt;$J176),"",$J176-$I176))</x:f>
      </x:c>
      <x:c r="Y176" s="955" t="str">
        <x:f>IF(COUNTA($A176:$M176)=0,"",IF(OR($U176="Subscription",NOT(ISNUMBER($J176)),$J176=0,$X176=""),"",$X176/$J176))</x:f>
      </x:c>
      <x:c r="Z176" s="957" t="str">
        <x:f>IF(COUNTA($A176:$M176)=0,"",Instructions!$B$29+SUM($W$5:W176))</x:f>
      </x:c>
    </x:row>
    <x:row r="177" ht="36" customHeight="1">
      <x:c r="A177" s="439"/>
      <x:c r="B177" s="453"/>
      <x:c r="C177" s="453"/>
      <x:c r="D177" s="454"/>
      <x:c r="E177" s="454"/>
      <x:c r="F177" s="454"/>
      <x:c r="G177" s="986"/>
      <x:c r="H177" s="455"/>
      <x:c r="I177" s="456"/>
      <x:c r="J177" s="456"/>
      <x:c r="K177" s="986"/>
      <x:c r="L177" s="454"/>
      <x:c r="M177" s="439"/>
      <x:c r="N177" s="987" t="str">
        <x:f>IF(COUNTA($A177:$M177)=0,"",IF(OR(LEFT(LOWER(TRIM($F177&amp;"")),12)="subscription",LOWER(TRIM($F177&amp;""))="membership"),"",IF($G177="","",IF(ISNUMBER(SEARCH("non",LOWER($E177&amp;""))),$G177*0.85,$G177))))</x:f>
      </x:c>
      <x:c r="O177" s="987" t="str">
        <x:f>IF(COUNTA($A177:$M177)=0,"",IF(OR(LEFT(LOWER(TRIM($F177&amp;"")),12)="subscription",LOWER(TRIM($F177&amp;""))="membership"),"",IF(OR($N177="",$I177="",$I177=0),"",IFERROR($N177/$I177,""))))</x:f>
      </x:c>
      <x:c r="P177" s="987" t="str">
        <x:f>IF(COUNTA($A177:$M177)=0,"",IF(OR(LEFT(LOWER(TRIM($F177&amp;"")),12)="subscription",LOWER(TRIM($F177&amp;""))="membership"),"",IF(LOWER($L177&amp;"")="yes",0,IF(OR(AND($H177&lt;&gt;"",$H177=0),LEFT(LOWER(TRIM($F177&amp;"")),9)="free game",LOWER(TRIM($F177&amp;""))="free",LOWER(TRIM($F177&amp;""))="free entry"),IF(LOWER($D177&amp;"")="finalized",IF(ISNUMBER($K177),$K177,""),IF($O177&lt;&gt;"",$O177,"")),IF($K177&lt;&gt;"",$K177,IF($O177&lt;&gt;"",$O177,""))))))</x:f>
      </x:c>
      <x:c r="Q177" s="114" t="str">
        <x:f>IF(COUNTA($A177:$M177)=0,"",IF(OR($U177="Subscription",$U177=""),"",IF($U177="Profit",ROUND(IFERROR($P177,0)-IFERROR($H177,0),2),0)))</x:f>
      </x:c>
      <x:c r="R177" s="114" t="str">
        <x:f>IF(COUNTA($A177:$M177)=0,"",IF(OR($U177="Subscription",$U177=""),"",IF($U177="Draw",$H177,0)))</x:f>
      </x:c>
      <x:c r="S177" s="114" t="str">
        <x:f>IF(COUNTA($A177:$M177)=0,"",IF(OR($U177="Subscription",$U177=""),"",IF($U177="Disqualified",$H177,0)))</x:f>
      </x:c>
      <x:c r="T177" s="955" t="str">
        <x:f>IF(COUNTA($A177:$M177)=0,"",IF(OR($U177="Subscription",$U177=""),"",IF(OR($U177="Free Game",$U177="Disqualified — Free Game",$H177=0),"N/A",IF($U177="Profit",$Q177/$H177,IF($U177="Disqualified",-$S177/$H177,0)))))</x:f>
      </x:c>
      <x:c r="U177" s="920" t="str">
        <x:f>IF(COUNTA($A177:$M177)=0,"",IF(OR(LEFT(LOWER(TRIM($F177&amp;"")),12)="subscription",LOWER(TRIM($F177&amp;""))="membership"),"Subscription",IF(OR(AND($H177&lt;&gt;"",$H177=0),LEFT(LOWER(TRIM($F177&amp;"")),9)="free game",LOWER(TRIM($F177&amp;""))="free",LOWER(TRIM($F177&amp;""))="free entry"),IF(LOWER($L177&amp;"")="yes","Disqualified — Free Game","Free Game"),IF(LOWER($L177&amp;"")="yes","Disqualified",IF($P177="","",IF(ROUND(IFERROR(VALUE($P177),0)-IFERROR(VALUE($H177),0),2)&gt;0,"Profit","Draw"))))))</x:f>
      </x:c>
      <x:c r="V177" s="956" t="str">
        <x:f>IF(COUNTA($A177:$M177)=0,"",IF(OR($B177="",$C177="",$U177="Subscription"),"",IFERROR(ROUNDUP(($C177-$B177)/7,0),"")))</x:f>
      </x:c>
      <x:c r="W177" s="114" t="str">
        <x:f>IF(COUNTA($A177:$M177)=0,"",IF(OR($U177="Subscription",$U177=""),"",IF(OR($U177="Free Game",$U177="Disqualified — Free Game"),0,ROUND(IFERROR($Q177,0)-IFERROR($S177,0),2))))</x:f>
      </x:c>
      <x:c r="X177" s="956" t="str">
        <x:f>IF(COUNTA($A177:$M177)=0,"",IF(OR($U177="Subscription",NOT(ISNUMBER($J177)),NOT(ISNUMBER($I177)),$J177=0,$I177=0,$I177&gt;$J177),"",$J177-$I177))</x:f>
      </x:c>
      <x:c r="Y177" s="955" t="str">
        <x:f>IF(COUNTA($A177:$M177)=0,"",IF(OR($U177="Subscription",NOT(ISNUMBER($J177)),$J177=0,$X177=""),"",$X177/$J177))</x:f>
      </x:c>
      <x:c r="Z177" s="957" t="str">
        <x:f>IF(COUNTA($A177:$M177)=0,"",Instructions!$B$29+SUM($W$5:W177))</x:f>
      </x:c>
    </x:row>
    <x:row r="178" ht="36" customHeight="1">
      <x:c r="A178" s="439"/>
      <x:c r="B178" s="453"/>
      <x:c r="C178" s="453"/>
      <x:c r="D178" s="454"/>
      <x:c r="E178" s="454"/>
      <x:c r="F178" s="454"/>
      <x:c r="G178" s="986"/>
      <x:c r="H178" s="455"/>
      <x:c r="I178" s="456"/>
      <x:c r="J178" s="456"/>
      <x:c r="K178" s="986"/>
      <x:c r="L178" s="454"/>
      <x:c r="M178" s="439"/>
      <x:c r="N178" s="987" t="str">
        <x:f>IF(COUNTA($A178:$M178)=0,"",IF(OR(LEFT(LOWER(TRIM($F178&amp;"")),12)="subscription",LOWER(TRIM($F178&amp;""))="membership"),"",IF($G178="","",IF(ISNUMBER(SEARCH("non",LOWER($E178&amp;""))),$G178*0.85,$G178))))</x:f>
      </x:c>
      <x:c r="O178" s="987" t="str">
        <x:f>IF(COUNTA($A178:$M178)=0,"",IF(OR(LEFT(LOWER(TRIM($F178&amp;"")),12)="subscription",LOWER(TRIM($F178&amp;""))="membership"),"",IF(OR($N178="",$I178="",$I178=0),"",IFERROR($N178/$I178,""))))</x:f>
      </x:c>
      <x:c r="P178" s="987" t="str">
        <x:f>IF(COUNTA($A178:$M178)=0,"",IF(OR(LEFT(LOWER(TRIM($F178&amp;"")),12)="subscription",LOWER(TRIM($F178&amp;""))="membership"),"",IF(LOWER($L178&amp;"")="yes",0,IF(OR(AND($H178&lt;&gt;"",$H178=0),LEFT(LOWER(TRIM($F178&amp;"")),9)="free game",LOWER(TRIM($F178&amp;""))="free",LOWER(TRIM($F178&amp;""))="free entry"),IF(LOWER($D178&amp;"")="finalized",IF(ISNUMBER($K178),$K178,""),IF($O178&lt;&gt;"",$O178,"")),IF($K178&lt;&gt;"",$K178,IF($O178&lt;&gt;"",$O178,""))))))</x:f>
      </x:c>
      <x:c r="Q178" s="114" t="str">
        <x:f>IF(COUNTA($A178:$M178)=0,"",IF(OR($U178="Subscription",$U178=""),"",IF($U178="Profit",ROUND(IFERROR($P178,0)-IFERROR($H178,0),2),0)))</x:f>
      </x:c>
      <x:c r="R178" s="114" t="str">
        <x:f>IF(COUNTA($A178:$M178)=0,"",IF(OR($U178="Subscription",$U178=""),"",IF($U178="Draw",$H178,0)))</x:f>
      </x:c>
      <x:c r="S178" s="114" t="str">
        <x:f>IF(COUNTA($A178:$M178)=0,"",IF(OR($U178="Subscription",$U178=""),"",IF($U178="Disqualified",$H178,0)))</x:f>
      </x:c>
      <x:c r="T178" s="955" t="str">
        <x:f>IF(COUNTA($A178:$M178)=0,"",IF(OR($U178="Subscription",$U178=""),"",IF(OR($U178="Free Game",$U178="Disqualified — Free Game",$H178=0),"N/A",IF($U178="Profit",$Q178/$H178,IF($U178="Disqualified",-$S178/$H178,0)))))</x:f>
      </x:c>
      <x:c r="U178" s="920" t="str">
        <x:f>IF(COUNTA($A178:$M178)=0,"",IF(OR(LEFT(LOWER(TRIM($F178&amp;"")),12)="subscription",LOWER(TRIM($F178&amp;""))="membership"),"Subscription",IF(OR(AND($H178&lt;&gt;"",$H178=0),LEFT(LOWER(TRIM($F178&amp;"")),9)="free game",LOWER(TRIM($F178&amp;""))="free",LOWER(TRIM($F178&amp;""))="free entry"),IF(LOWER($L178&amp;"")="yes","Disqualified — Free Game","Free Game"),IF(LOWER($L178&amp;"")="yes","Disqualified",IF($P178="","",IF(ROUND(IFERROR(VALUE($P178),0)-IFERROR(VALUE($H178),0),2)&gt;0,"Profit","Draw"))))))</x:f>
      </x:c>
      <x:c r="V178" s="956" t="str">
        <x:f>IF(COUNTA($A178:$M178)=0,"",IF(OR($B178="",$C178="",$U178="Subscription"),"",IFERROR(ROUNDUP(($C178-$B178)/7,0),"")))</x:f>
      </x:c>
      <x:c r="W178" s="114" t="str">
        <x:f>IF(COUNTA($A178:$M178)=0,"",IF(OR($U178="Subscription",$U178=""),"",IF(OR($U178="Free Game",$U178="Disqualified — Free Game"),0,ROUND(IFERROR($Q178,0)-IFERROR($S178,0),2))))</x:f>
      </x:c>
      <x:c r="X178" s="956" t="str">
        <x:f>IF(COUNTA($A178:$M178)=0,"",IF(OR($U178="Subscription",NOT(ISNUMBER($J178)),NOT(ISNUMBER($I178)),$J178=0,$I178=0,$I178&gt;$J178),"",$J178-$I178))</x:f>
      </x:c>
      <x:c r="Y178" s="955" t="str">
        <x:f>IF(COUNTA($A178:$M178)=0,"",IF(OR($U178="Subscription",NOT(ISNUMBER($J178)),$J178=0,$X178=""),"",$X178/$J178))</x:f>
      </x:c>
      <x:c r="Z178" s="957" t="str">
        <x:f>IF(COUNTA($A178:$M178)=0,"",Instructions!$B$29+SUM($W$5:W178))</x:f>
      </x:c>
    </x:row>
    <x:row r="179" ht="36" customHeight="1">
      <x:c r="A179" s="439"/>
      <x:c r="B179" s="453"/>
      <x:c r="C179" s="453"/>
      <x:c r="D179" s="454"/>
      <x:c r="E179" s="454"/>
      <x:c r="F179" s="454"/>
      <x:c r="G179" s="986"/>
      <x:c r="H179" s="455"/>
      <x:c r="I179" s="456"/>
      <x:c r="J179" s="456"/>
      <x:c r="K179" s="986"/>
      <x:c r="L179" s="454"/>
      <x:c r="M179" s="439"/>
      <x:c r="N179" s="987" t="str">
        <x:f>IF(COUNTA($A179:$M179)=0,"",IF(OR(LEFT(LOWER(TRIM($F179&amp;"")),12)="subscription",LOWER(TRIM($F179&amp;""))="membership"),"",IF($G179="","",IF(ISNUMBER(SEARCH("non",LOWER($E179&amp;""))),$G179*0.85,$G179))))</x:f>
      </x:c>
      <x:c r="O179" s="987" t="str">
        <x:f>IF(COUNTA($A179:$M179)=0,"",IF(OR(LEFT(LOWER(TRIM($F179&amp;"")),12)="subscription",LOWER(TRIM($F179&amp;""))="membership"),"",IF(OR($N179="",$I179="",$I179=0),"",IFERROR($N179/$I179,""))))</x:f>
      </x:c>
      <x:c r="P179" s="987" t="str">
        <x:f>IF(COUNTA($A179:$M179)=0,"",IF(OR(LEFT(LOWER(TRIM($F179&amp;"")),12)="subscription",LOWER(TRIM($F179&amp;""))="membership"),"",IF(LOWER($L179&amp;"")="yes",0,IF(OR(AND($H179&lt;&gt;"",$H179=0),LEFT(LOWER(TRIM($F179&amp;"")),9)="free game",LOWER(TRIM($F179&amp;""))="free",LOWER(TRIM($F179&amp;""))="free entry"),IF(LOWER($D179&amp;"")="finalized",IF(ISNUMBER($K179),$K179,""),IF($O179&lt;&gt;"",$O179,"")),IF($K179&lt;&gt;"",$K179,IF($O179&lt;&gt;"",$O179,""))))))</x:f>
      </x:c>
      <x:c r="Q179" s="114" t="str">
        <x:f>IF(COUNTA($A179:$M179)=0,"",IF(OR($U179="Subscription",$U179=""),"",IF($U179="Profit",ROUND(IFERROR($P179,0)-IFERROR($H179,0),2),0)))</x:f>
      </x:c>
      <x:c r="R179" s="114" t="str">
        <x:f>IF(COUNTA($A179:$M179)=0,"",IF(OR($U179="Subscription",$U179=""),"",IF($U179="Draw",$H179,0)))</x:f>
      </x:c>
      <x:c r="S179" s="114" t="str">
        <x:f>IF(COUNTA($A179:$M179)=0,"",IF(OR($U179="Subscription",$U179=""),"",IF($U179="Disqualified",$H179,0)))</x:f>
      </x:c>
      <x:c r="T179" s="955" t="str">
        <x:f>IF(COUNTA($A179:$M179)=0,"",IF(OR($U179="Subscription",$U179=""),"",IF(OR($U179="Free Game",$U179="Disqualified — Free Game",$H179=0),"N/A",IF($U179="Profit",$Q179/$H179,IF($U179="Disqualified",-$S179/$H179,0)))))</x:f>
      </x:c>
      <x:c r="U179" s="920" t="str">
        <x:f>IF(COUNTA($A179:$M179)=0,"",IF(OR(LEFT(LOWER(TRIM($F179&amp;"")),12)="subscription",LOWER(TRIM($F179&amp;""))="membership"),"Subscription",IF(OR(AND($H179&lt;&gt;"",$H179=0),LEFT(LOWER(TRIM($F179&amp;"")),9)="free game",LOWER(TRIM($F179&amp;""))="free",LOWER(TRIM($F179&amp;""))="free entry"),IF(LOWER($L179&amp;"")="yes","Disqualified — Free Game","Free Game"),IF(LOWER($L179&amp;"")="yes","Disqualified",IF($P179="","",IF(ROUND(IFERROR(VALUE($P179),0)-IFERROR(VALUE($H179),0),2)&gt;0,"Profit","Draw"))))))</x:f>
      </x:c>
      <x:c r="V179" s="956" t="str">
        <x:f>IF(COUNTA($A179:$M179)=0,"",IF(OR($B179="",$C179="",$U179="Subscription"),"",IFERROR(ROUNDUP(($C179-$B179)/7,0),"")))</x:f>
      </x:c>
      <x:c r="W179" s="114" t="str">
        <x:f>IF(COUNTA($A179:$M179)=0,"",IF(OR($U179="Subscription",$U179=""),"",IF(OR($U179="Free Game",$U179="Disqualified — Free Game"),0,ROUND(IFERROR($Q179,0)-IFERROR($S179,0),2))))</x:f>
      </x:c>
      <x:c r="X179" s="956" t="str">
        <x:f>IF(COUNTA($A179:$M179)=0,"",IF(OR($U179="Subscription",NOT(ISNUMBER($J179)),NOT(ISNUMBER($I179)),$J179=0,$I179=0,$I179&gt;$J179),"",$J179-$I179))</x:f>
      </x:c>
      <x:c r="Y179" s="955" t="str">
        <x:f>IF(COUNTA($A179:$M179)=0,"",IF(OR($U179="Subscription",NOT(ISNUMBER($J179)),$J179=0,$X179=""),"",$X179/$J179))</x:f>
      </x:c>
      <x:c r="Z179" s="957" t="str">
        <x:f>IF(COUNTA($A179:$M179)=0,"",Instructions!$B$29+SUM($W$5:W179))</x:f>
      </x:c>
    </x:row>
    <x:row r="180" ht="36" customHeight="1">
      <x:c r="A180" s="439"/>
      <x:c r="B180" s="453"/>
      <x:c r="C180" s="453"/>
      <x:c r="D180" s="454"/>
      <x:c r="E180" s="454"/>
      <x:c r="F180" s="454"/>
      <x:c r="G180" s="986"/>
      <x:c r="H180" s="455"/>
      <x:c r="I180" s="456"/>
      <x:c r="J180" s="456"/>
      <x:c r="K180" s="986"/>
      <x:c r="L180" s="454"/>
      <x:c r="M180" s="439"/>
      <x:c r="N180" s="987" t="str">
        <x:f>IF(COUNTA($A180:$M180)=0,"",IF(OR(LEFT(LOWER(TRIM($F180&amp;"")),12)="subscription",LOWER(TRIM($F180&amp;""))="membership"),"",IF($G180="","",IF(ISNUMBER(SEARCH("non",LOWER($E180&amp;""))),$G180*0.85,$G180))))</x:f>
      </x:c>
      <x:c r="O180" s="987" t="str">
        <x:f>IF(COUNTA($A180:$M180)=0,"",IF(OR(LEFT(LOWER(TRIM($F180&amp;"")),12)="subscription",LOWER(TRIM($F180&amp;""))="membership"),"",IF(OR($N180="",$I180="",$I180=0),"",IFERROR($N180/$I180,""))))</x:f>
      </x:c>
      <x:c r="P180" s="987" t="str">
        <x:f>IF(COUNTA($A180:$M180)=0,"",IF(OR(LEFT(LOWER(TRIM($F180&amp;"")),12)="subscription",LOWER(TRIM($F180&amp;""))="membership"),"",IF(LOWER($L180&amp;"")="yes",0,IF(OR(AND($H180&lt;&gt;"",$H180=0),LEFT(LOWER(TRIM($F180&amp;"")),9)="free game",LOWER(TRIM($F180&amp;""))="free",LOWER(TRIM($F180&amp;""))="free entry"),IF(LOWER($D180&amp;"")="finalized",IF(ISNUMBER($K180),$K180,""),IF($O180&lt;&gt;"",$O180,"")),IF($K180&lt;&gt;"",$K180,IF($O180&lt;&gt;"",$O180,""))))))</x:f>
      </x:c>
      <x:c r="Q180" s="114" t="str">
        <x:f>IF(COUNTA($A180:$M180)=0,"",IF(OR($U180="Subscription",$U180=""),"",IF($U180="Profit",ROUND(IFERROR($P180,0)-IFERROR($H180,0),2),0)))</x:f>
      </x:c>
      <x:c r="R180" s="114" t="str">
        <x:f>IF(COUNTA($A180:$M180)=0,"",IF(OR($U180="Subscription",$U180=""),"",IF($U180="Draw",$H180,0)))</x:f>
      </x:c>
      <x:c r="S180" s="114" t="str">
        <x:f>IF(COUNTA($A180:$M180)=0,"",IF(OR($U180="Subscription",$U180=""),"",IF($U180="Disqualified",$H180,0)))</x:f>
      </x:c>
      <x:c r="T180" s="955" t="str">
        <x:f>IF(COUNTA($A180:$M180)=0,"",IF(OR($U180="Subscription",$U180=""),"",IF(OR($U180="Free Game",$U180="Disqualified — Free Game",$H180=0),"N/A",IF($U180="Profit",$Q180/$H180,IF($U180="Disqualified",-$S180/$H180,0)))))</x:f>
      </x:c>
      <x:c r="U180" s="920" t="str">
        <x:f>IF(COUNTA($A180:$M180)=0,"",IF(OR(LEFT(LOWER(TRIM($F180&amp;"")),12)="subscription",LOWER(TRIM($F180&amp;""))="membership"),"Subscription",IF(OR(AND($H180&lt;&gt;"",$H180=0),LEFT(LOWER(TRIM($F180&amp;"")),9)="free game",LOWER(TRIM($F180&amp;""))="free",LOWER(TRIM($F180&amp;""))="free entry"),IF(LOWER($L180&amp;"")="yes","Disqualified — Free Game","Free Game"),IF(LOWER($L180&amp;"")="yes","Disqualified",IF($P180="","",IF(ROUND(IFERROR(VALUE($P180),0)-IFERROR(VALUE($H180),0),2)&gt;0,"Profit","Draw"))))))</x:f>
      </x:c>
      <x:c r="V180" s="956" t="str">
        <x:f>IF(COUNTA($A180:$M180)=0,"",IF(OR($B180="",$C180="",$U180="Subscription"),"",IFERROR(ROUNDUP(($C180-$B180)/7,0),"")))</x:f>
      </x:c>
      <x:c r="W180" s="114" t="str">
        <x:f>IF(COUNTA($A180:$M180)=0,"",IF(OR($U180="Subscription",$U180=""),"",IF(OR($U180="Free Game",$U180="Disqualified — Free Game"),0,ROUND(IFERROR($Q180,0)-IFERROR($S180,0),2))))</x:f>
      </x:c>
      <x:c r="X180" s="956" t="str">
        <x:f>IF(COUNTA($A180:$M180)=0,"",IF(OR($U180="Subscription",NOT(ISNUMBER($J180)),NOT(ISNUMBER($I180)),$J180=0,$I180=0,$I180&gt;$J180),"",$J180-$I180))</x:f>
      </x:c>
      <x:c r="Y180" s="955" t="str">
        <x:f>IF(COUNTA($A180:$M180)=0,"",IF(OR($U180="Subscription",NOT(ISNUMBER($J180)),$J180=0,$X180=""),"",$X180/$J180))</x:f>
      </x:c>
      <x:c r="Z180" s="957" t="str">
        <x:f>IF(COUNTA($A180:$M180)=0,"",Instructions!$B$29+SUM($W$5:W180))</x:f>
      </x:c>
    </x:row>
    <x:row r="181" ht="36" customHeight="1">
      <x:c r="A181" s="439"/>
      <x:c r="B181" s="453"/>
      <x:c r="C181" s="453"/>
      <x:c r="D181" s="454"/>
      <x:c r="E181" s="454"/>
      <x:c r="F181" s="454"/>
      <x:c r="G181" s="986"/>
      <x:c r="H181" s="455"/>
      <x:c r="I181" s="456"/>
      <x:c r="J181" s="456"/>
      <x:c r="K181" s="986"/>
      <x:c r="L181" s="454"/>
      <x:c r="M181" s="439"/>
      <x:c r="N181" s="987" t="str">
        <x:f>IF(COUNTA($A181:$M181)=0,"",IF(OR(LEFT(LOWER(TRIM($F181&amp;"")),12)="subscription",LOWER(TRIM($F181&amp;""))="membership"),"",IF($G181="","",IF(ISNUMBER(SEARCH("non",LOWER($E181&amp;""))),$G181*0.85,$G181))))</x:f>
      </x:c>
      <x:c r="O181" s="987" t="str">
        <x:f>IF(COUNTA($A181:$M181)=0,"",IF(OR(LEFT(LOWER(TRIM($F181&amp;"")),12)="subscription",LOWER(TRIM($F181&amp;""))="membership"),"",IF(OR($N181="",$I181="",$I181=0),"",IFERROR($N181/$I181,""))))</x:f>
      </x:c>
      <x:c r="P181" s="987" t="str">
        <x:f>IF(COUNTA($A181:$M181)=0,"",IF(OR(LEFT(LOWER(TRIM($F181&amp;"")),12)="subscription",LOWER(TRIM($F181&amp;""))="membership"),"",IF(LOWER($L181&amp;"")="yes",0,IF(OR(AND($H181&lt;&gt;"",$H181=0),LEFT(LOWER(TRIM($F181&amp;"")),9)="free game",LOWER(TRIM($F181&amp;""))="free",LOWER(TRIM($F181&amp;""))="free entry"),IF(LOWER($D181&amp;"")="finalized",IF(ISNUMBER($K181),$K181,""),IF($O181&lt;&gt;"",$O181,"")),IF($K181&lt;&gt;"",$K181,IF($O181&lt;&gt;"",$O181,""))))))</x:f>
      </x:c>
      <x:c r="Q181" s="114" t="str">
        <x:f>IF(COUNTA($A181:$M181)=0,"",IF(OR($U181="Subscription",$U181=""),"",IF($U181="Profit",ROUND(IFERROR($P181,0)-IFERROR($H181,0),2),0)))</x:f>
      </x:c>
      <x:c r="R181" s="114" t="str">
        <x:f>IF(COUNTA($A181:$M181)=0,"",IF(OR($U181="Subscription",$U181=""),"",IF($U181="Draw",$H181,0)))</x:f>
      </x:c>
      <x:c r="S181" s="114" t="str">
        <x:f>IF(COUNTA($A181:$M181)=0,"",IF(OR($U181="Subscription",$U181=""),"",IF($U181="Disqualified",$H181,0)))</x:f>
      </x:c>
      <x:c r="T181" s="955" t="str">
        <x:f>IF(COUNTA($A181:$M181)=0,"",IF(OR($U181="Subscription",$U181=""),"",IF(OR($U181="Free Game",$U181="Disqualified — Free Game",$H181=0),"N/A",IF($U181="Profit",$Q181/$H181,IF($U181="Disqualified",-$S181/$H181,0)))))</x:f>
      </x:c>
      <x:c r="U181" s="920" t="str">
        <x:f>IF(COUNTA($A181:$M181)=0,"",IF(OR(LEFT(LOWER(TRIM($F181&amp;"")),12)="subscription",LOWER(TRIM($F181&amp;""))="membership"),"Subscription",IF(OR(AND($H181&lt;&gt;"",$H181=0),LEFT(LOWER(TRIM($F181&amp;"")),9)="free game",LOWER(TRIM($F181&amp;""))="free",LOWER(TRIM($F181&amp;""))="free entry"),IF(LOWER($L181&amp;"")="yes","Disqualified — Free Game","Free Game"),IF(LOWER($L181&amp;"")="yes","Disqualified",IF($P181="","",IF(ROUND(IFERROR(VALUE($P181),0)-IFERROR(VALUE($H181),0),2)&gt;0,"Profit","Draw"))))))</x:f>
      </x:c>
      <x:c r="V181" s="956" t="str">
        <x:f>IF(COUNTA($A181:$M181)=0,"",IF(OR($B181="",$C181="",$U181="Subscription"),"",IFERROR(ROUNDUP(($C181-$B181)/7,0),"")))</x:f>
      </x:c>
      <x:c r="W181" s="114" t="str">
        <x:f>IF(COUNTA($A181:$M181)=0,"",IF(OR($U181="Subscription",$U181=""),"",IF(OR($U181="Free Game",$U181="Disqualified — Free Game"),0,ROUND(IFERROR($Q181,0)-IFERROR($S181,0),2))))</x:f>
      </x:c>
      <x:c r="X181" s="956" t="str">
        <x:f>IF(COUNTA($A181:$M181)=0,"",IF(OR($U181="Subscription",NOT(ISNUMBER($J181)),NOT(ISNUMBER($I181)),$J181=0,$I181=0,$I181&gt;$J181),"",$J181-$I181))</x:f>
      </x:c>
      <x:c r="Y181" s="955" t="str">
        <x:f>IF(COUNTA($A181:$M181)=0,"",IF(OR($U181="Subscription",NOT(ISNUMBER($J181)),$J181=0,$X181=""),"",$X181/$J181))</x:f>
      </x:c>
      <x:c r="Z181" s="957" t="str">
        <x:f>IF(COUNTA($A181:$M181)=0,"",Instructions!$B$29+SUM($W$5:W181))</x:f>
      </x:c>
    </x:row>
    <x:row r="182" ht="36" customHeight="1">
      <x:c r="A182" s="439"/>
      <x:c r="B182" s="453"/>
      <x:c r="C182" s="453"/>
      <x:c r="D182" s="454"/>
      <x:c r="E182" s="454"/>
      <x:c r="F182" s="454"/>
      <x:c r="G182" s="986"/>
      <x:c r="H182" s="455"/>
      <x:c r="I182" s="456"/>
      <x:c r="J182" s="456"/>
      <x:c r="K182" s="986"/>
      <x:c r="L182" s="454"/>
      <x:c r="M182" s="439"/>
      <x:c r="N182" s="987" t="str">
        <x:f>IF(COUNTA($A182:$M182)=0,"",IF(OR(LEFT(LOWER(TRIM($F182&amp;"")),12)="subscription",LOWER(TRIM($F182&amp;""))="membership"),"",IF($G182="","",IF(ISNUMBER(SEARCH("non",LOWER($E182&amp;""))),$G182*0.85,$G182))))</x:f>
      </x:c>
      <x:c r="O182" s="987" t="str">
        <x:f>IF(COUNTA($A182:$M182)=0,"",IF(OR(LEFT(LOWER(TRIM($F182&amp;"")),12)="subscription",LOWER(TRIM($F182&amp;""))="membership"),"",IF(OR($N182="",$I182="",$I182=0),"",IFERROR($N182/$I182,""))))</x:f>
      </x:c>
      <x:c r="P182" s="987" t="str">
        <x:f>IF(COUNTA($A182:$M182)=0,"",IF(OR(LEFT(LOWER(TRIM($F182&amp;"")),12)="subscription",LOWER(TRIM($F182&amp;""))="membership"),"",IF(LOWER($L182&amp;"")="yes",0,IF(OR(AND($H182&lt;&gt;"",$H182=0),LEFT(LOWER(TRIM($F182&amp;"")),9)="free game",LOWER(TRIM($F182&amp;""))="free",LOWER(TRIM($F182&amp;""))="free entry"),IF(LOWER($D182&amp;"")="finalized",IF(ISNUMBER($K182),$K182,""),IF($O182&lt;&gt;"",$O182,"")),IF($K182&lt;&gt;"",$K182,IF($O182&lt;&gt;"",$O182,""))))))</x:f>
      </x:c>
      <x:c r="Q182" s="114" t="str">
        <x:f>IF(COUNTA($A182:$M182)=0,"",IF(OR($U182="Subscription",$U182=""),"",IF($U182="Profit",ROUND(IFERROR($P182,0)-IFERROR($H182,0),2),0)))</x:f>
      </x:c>
      <x:c r="R182" s="114" t="str">
        <x:f>IF(COUNTA($A182:$M182)=0,"",IF(OR($U182="Subscription",$U182=""),"",IF($U182="Draw",$H182,0)))</x:f>
      </x:c>
      <x:c r="S182" s="114" t="str">
        <x:f>IF(COUNTA($A182:$M182)=0,"",IF(OR($U182="Subscription",$U182=""),"",IF($U182="Disqualified",$H182,0)))</x:f>
      </x:c>
      <x:c r="T182" s="955" t="str">
        <x:f>IF(COUNTA($A182:$M182)=0,"",IF(OR($U182="Subscription",$U182=""),"",IF(OR($U182="Free Game",$U182="Disqualified — Free Game",$H182=0),"N/A",IF($U182="Profit",$Q182/$H182,IF($U182="Disqualified",-$S182/$H182,0)))))</x:f>
      </x:c>
      <x:c r="U182" s="920" t="str">
        <x:f>IF(COUNTA($A182:$M182)=0,"",IF(OR(LEFT(LOWER(TRIM($F182&amp;"")),12)="subscription",LOWER(TRIM($F182&amp;""))="membership"),"Subscription",IF(OR(AND($H182&lt;&gt;"",$H182=0),LEFT(LOWER(TRIM($F182&amp;"")),9)="free game",LOWER(TRIM($F182&amp;""))="free",LOWER(TRIM($F182&amp;""))="free entry"),IF(LOWER($L182&amp;"")="yes","Disqualified — Free Game","Free Game"),IF(LOWER($L182&amp;"")="yes","Disqualified",IF($P182="","",IF(ROUND(IFERROR(VALUE($P182),0)-IFERROR(VALUE($H182),0),2)&gt;0,"Profit","Draw"))))))</x:f>
      </x:c>
      <x:c r="V182" s="956" t="str">
        <x:f>IF(COUNTA($A182:$M182)=0,"",IF(OR($B182="",$C182="",$U182="Subscription"),"",IFERROR(ROUNDUP(($C182-$B182)/7,0),"")))</x:f>
      </x:c>
      <x:c r="W182" s="114" t="str">
        <x:f>IF(COUNTA($A182:$M182)=0,"",IF(OR($U182="Subscription",$U182=""),"",IF(OR($U182="Free Game",$U182="Disqualified — Free Game"),0,ROUND(IFERROR($Q182,0)-IFERROR($S182,0),2))))</x:f>
      </x:c>
      <x:c r="X182" s="956" t="str">
        <x:f>IF(COUNTA($A182:$M182)=0,"",IF(OR($U182="Subscription",NOT(ISNUMBER($J182)),NOT(ISNUMBER($I182)),$J182=0,$I182=0,$I182&gt;$J182),"",$J182-$I182))</x:f>
      </x:c>
      <x:c r="Y182" s="955" t="str">
        <x:f>IF(COUNTA($A182:$M182)=0,"",IF(OR($U182="Subscription",NOT(ISNUMBER($J182)),$J182=0,$X182=""),"",$X182/$J182))</x:f>
      </x:c>
      <x:c r="Z182" s="957" t="str">
        <x:f>IF(COUNTA($A182:$M182)=0,"",Instructions!$B$29+SUM($W$5:W182))</x:f>
      </x:c>
    </x:row>
    <x:row r="183" ht="36" customHeight="1">
      <x:c r="A183" s="439"/>
      <x:c r="B183" s="453"/>
      <x:c r="C183" s="453"/>
      <x:c r="D183" s="454"/>
      <x:c r="E183" s="454"/>
      <x:c r="F183" s="454"/>
      <x:c r="G183" s="986"/>
      <x:c r="H183" s="455"/>
      <x:c r="I183" s="456"/>
      <x:c r="J183" s="456"/>
      <x:c r="K183" s="986"/>
      <x:c r="L183" s="454"/>
      <x:c r="M183" s="439"/>
      <x:c r="N183" s="987" t="str">
        <x:f>IF(COUNTA($A183:$M183)=0,"",IF(OR(LEFT(LOWER(TRIM($F183&amp;"")),12)="subscription",LOWER(TRIM($F183&amp;""))="membership"),"",IF($G183="","",IF(ISNUMBER(SEARCH("non",LOWER($E183&amp;""))),$G183*0.85,$G183))))</x:f>
      </x:c>
      <x:c r="O183" s="987" t="str">
        <x:f>IF(COUNTA($A183:$M183)=0,"",IF(OR(LEFT(LOWER(TRIM($F183&amp;"")),12)="subscription",LOWER(TRIM($F183&amp;""))="membership"),"",IF(OR($N183="",$I183="",$I183=0),"",IFERROR($N183/$I183,""))))</x:f>
      </x:c>
      <x:c r="P183" s="987" t="str">
        <x:f>IF(COUNTA($A183:$M183)=0,"",IF(OR(LEFT(LOWER(TRIM($F183&amp;"")),12)="subscription",LOWER(TRIM($F183&amp;""))="membership"),"",IF(LOWER($L183&amp;"")="yes",0,IF(OR(AND($H183&lt;&gt;"",$H183=0),LEFT(LOWER(TRIM($F183&amp;"")),9)="free game",LOWER(TRIM($F183&amp;""))="free",LOWER(TRIM($F183&amp;""))="free entry"),IF(LOWER($D183&amp;"")="finalized",IF(ISNUMBER($K183),$K183,""),IF($O183&lt;&gt;"",$O183,"")),IF($K183&lt;&gt;"",$K183,IF($O183&lt;&gt;"",$O183,""))))))</x:f>
      </x:c>
      <x:c r="Q183" s="114" t="str">
        <x:f>IF(COUNTA($A183:$M183)=0,"",IF(OR($U183="Subscription",$U183=""),"",IF($U183="Profit",ROUND(IFERROR($P183,0)-IFERROR($H183,0),2),0)))</x:f>
      </x:c>
      <x:c r="R183" s="114" t="str">
        <x:f>IF(COUNTA($A183:$M183)=0,"",IF(OR($U183="Subscription",$U183=""),"",IF($U183="Draw",$H183,0)))</x:f>
      </x:c>
      <x:c r="S183" s="114" t="str">
        <x:f>IF(COUNTA($A183:$M183)=0,"",IF(OR($U183="Subscription",$U183=""),"",IF($U183="Disqualified",$H183,0)))</x:f>
      </x:c>
      <x:c r="T183" s="955" t="str">
        <x:f>IF(COUNTA($A183:$M183)=0,"",IF(OR($U183="Subscription",$U183=""),"",IF(OR($U183="Free Game",$U183="Disqualified — Free Game",$H183=0),"N/A",IF($U183="Profit",$Q183/$H183,IF($U183="Disqualified",-$S183/$H183,0)))))</x:f>
      </x:c>
      <x:c r="U183" s="920" t="str">
        <x:f>IF(COUNTA($A183:$M183)=0,"",IF(OR(LEFT(LOWER(TRIM($F183&amp;"")),12)="subscription",LOWER(TRIM($F183&amp;""))="membership"),"Subscription",IF(OR(AND($H183&lt;&gt;"",$H183=0),LEFT(LOWER(TRIM($F183&amp;"")),9)="free game",LOWER(TRIM($F183&amp;""))="free",LOWER(TRIM($F183&amp;""))="free entry"),IF(LOWER($L183&amp;"")="yes","Disqualified — Free Game","Free Game"),IF(LOWER($L183&amp;"")="yes","Disqualified",IF($P183="","",IF(ROUND(IFERROR(VALUE($P183),0)-IFERROR(VALUE($H183),0),2)&gt;0,"Profit","Draw"))))))</x:f>
      </x:c>
      <x:c r="V183" s="956" t="str">
        <x:f>IF(COUNTA($A183:$M183)=0,"",IF(OR($B183="",$C183="",$U183="Subscription"),"",IFERROR(ROUNDUP(($C183-$B183)/7,0),"")))</x:f>
      </x:c>
      <x:c r="W183" s="114" t="str">
        <x:f>IF(COUNTA($A183:$M183)=0,"",IF(OR($U183="Subscription",$U183=""),"",IF(OR($U183="Free Game",$U183="Disqualified — Free Game"),0,ROUND(IFERROR($Q183,0)-IFERROR($S183,0),2))))</x:f>
      </x:c>
      <x:c r="X183" s="956" t="str">
        <x:f>IF(COUNTA($A183:$M183)=0,"",IF(OR($U183="Subscription",NOT(ISNUMBER($J183)),NOT(ISNUMBER($I183)),$J183=0,$I183=0,$I183&gt;$J183),"",$J183-$I183))</x:f>
      </x:c>
      <x:c r="Y183" s="955" t="str">
        <x:f>IF(COUNTA($A183:$M183)=0,"",IF(OR($U183="Subscription",NOT(ISNUMBER($J183)),$J183=0,$X183=""),"",$X183/$J183))</x:f>
      </x:c>
      <x:c r="Z183" s="957" t="str">
        <x:f>IF(COUNTA($A183:$M183)=0,"",Instructions!$B$29+SUM($W$5:W183))</x:f>
      </x:c>
    </x:row>
    <x:row r="184" ht="36" customHeight="1">
      <x:c r="A184" s="439"/>
      <x:c r="B184" s="453"/>
      <x:c r="C184" s="453"/>
      <x:c r="D184" s="454"/>
      <x:c r="E184" s="454"/>
      <x:c r="F184" s="454"/>
      <x:c r="G184" s="986"/>
      <x:c r="H184" s="455"/>
      <x:c r="I184" s="456"/>
      <x:c r="J184" s="456"/>
      <x:c r="K184" s="986"/>
      <x:c r="L184" s="454"/>
      <x:c r="M184" s="439"/>
      <x:c r="N184" s="987" t="str">
        <x:f>IF(COUNTA($A184:$M184)=0,"",IF(OR(LEFT(LOWER(TRIM($F184&amp;"")),12)="subscription",LOWER(TRIM($F184&amp;""))="membership"),"",IF($G184="","",IF(ISNUMBER(SEARCH("non",LOWER($E184&amp;""))),$G184*0.85,$G184))))</x:f>
      </x:c>
      <x:c r="O184" s="987" t="str">
        <x:f>IF(COUNTA($A184:$M184)=0,"",IF(OR(LEFT(LOWER(TRIM($F184&amp;"")),12)="subscription",LOWER(TRIM($F184&amp;""))="membership"),"",IF(OR($N184="",$I184="",$I184=0),"",IFERROR($N184/$I184,""))))</x:f>
      </x:c>
      <x:c r="P184" s="987" t="str">
        <x:f>IF(COUNTA($A184:$M184)=0,"",IF(OR(LEFT(LOWER(TRIM($F184&amp;"")),12)="subscription",LOWER(TRIM($F184&amp;""))="membership"),"",IF(LOWER($L184&amp;"")="yes",0,IF(OR(AND($H184&lt;&gt;"",$H184=0),LEFT(LOWER(TRIM($F184&amp;"")),9)="free game",LOWER(TRIM($F184&amp;""))="free",LOWER(TRIM($F184&amp;""))="free entry"),IF(LOWER($D184&amp;"")="finalized",IF(ISNUMBER($K184),$K184,""),IF($O184&lt;&gt;"",$O184,"")),IF($K184&lt;&gt;"",$K184,IF($O184&lt;&gt;"",$O184,""))))))</x:f>
      </x:c>
      <x:c r="Q184" s="114" t="str">
        <x:f>IF(COUNTA($A184:$M184)=0,"",IF(OR($U184="Subscription",$U184=""),"",IF($U184="Profit",ROUND(IFERROR($P184,0)-IFERROR($H184,0),2),0)))</x:f>
      </x:c>
      <x:c r="R184" s="114" t="str">
        <x:f>IF(COUNTA($A184:$M184)=0,"",IF(OR($U184="Subscription",$U184=""),"",IF($U184="Draw",$H184,0)))</x:f>
      </x:c>
      <x:c r="S184" s="114" t="str">
        <x:f>IF(COUNTA($A184:$M184)=0,"",IF(OR($U184="Subscription",$U184=""),"",IF($U184="Disqualified",$H184,0)))</x:f>
      </x:c>
      <x:c r="T184" s="955" t="str">
        <x:f>IF(COUNTA($A184:$M184)=0,"",IF(OR($U184="Subscription",$U184=""),"",IF(OR($U184="Free Game",$U184="Disqualified — Free Game",$H184=0),"N/A",IF($U184="Profit",$Q184/$H184,IF($U184="Disqualified",-$S184/$H184,0)))))</x:f>
      </x:c>
      <x:c r="U184" s="920" t="str">
        <x:f>IF(COUNTA($A184:$M184)=0,"",IF(OR(LEFT(LOWER(TRIM($F184&amp;"")),12)="subscription",LOWER(TRIM($F184&amp;""))="membership"),"Subscription",IF(OR(AND($H184&lt;&gt;"",$H184=0),LEFT(LOWER(TRIM($F184&amp;"")),9)="free game",LOWER(TRIM($F184&amp;""))="free",LOWER(TRIM($F184&amp;""))="free entry"),IF(LOWER($L184&amp;"")="yes","Disqualified — Free Game","Free Game"),IF(LOWER($L184&amp;"")="yes","Disqualified",IF($P184="","",IF(ROUND(IFERROR(VALUE($P184),0)-IFERROR(VALUE($H184),0),2)&gt;0,"Profit","Draw"))))))</x:f>
      </x:c>
      <x:c r="V184" s="956" t="str">
        <x:f>IF(COUNTA($A184:$M184)=0,"",IF(OR($B184="",$C184="",$U184="Subscription"),"",IFERROR(ROUNDUP(($C184-$B184)/7,0),"")))</x:f>
      </x:c>
      <x:c r="W184" s="114" t="str">
        <x:f>IF(COUNTA($A184:$M184)=0,"",IF(OR($U184="Subscription",$U184=""),"",IF(OR($U184="Free Game",$U184="Disqualified — Free Game"),0,ROUND(IFERROR($Q184,0)-IFERROR($S184,0),2))))</x:f>
      </x:c>
      <x:c r="X184" s="956" t="str">
        <x:f>IF(COUNTA($A184:$M184)=0,"",IF(OR($U184="Subscription",NOT(ISNUMBER($J184)),NOT(ISNUMBER($I184)),$J184=0,$I184=0,$I184&gt;$J184),"",$J184-$I184))</x:f>
      </x:c>
      <x:c r="Y184" s="955" t="str">
        <x:f>IF(COUNTA($A184:$M184)=0,"",IF(OR($U184="Subscription",NOT(ISNUMBER($J184)),$J184=0,$X184=""),"",$X184/$J184))</x:f>
      </x:c>
      <x:c r="Z184" s="957" t="str">
        <x:f>IF(COUNTA($A184:$M184)=0,"",Instructions!$B$29+SUM($W$5:W184))</x:f>
      </x:c>
    </x:row>
    <x:row r="185" ht="36" customHeight="1">
      <x:c r="A185" s="439"/>
      <x:c r="B185" s="453"/>
      <x:c r="C185" s="453"/>
      <x:c r="D185" s="454"/>
      <x:c r="E185" s="454"/>
      <x:c r="F185" s="454"/>
      <x:c r="G185" s="986"/>
      <x:c r="H185" s="455"/>
      <x:c r="I185" s="456"/>
      <x:c r="J185" s="456"/>
      <x:c r="K185" s="986"/>
      <x:c r="L185" s="454"/>
      <x:c r="M185" s="439"/>
      <x:c r="N185" s="987" t="str">
        <x:f>IF(COUNTA($A185:$M185)=0,"",IF(OR(LEFT(LOWER(TRIM($F185&amp;"")),12)="subscription",LOWER(TRIM($F185&amp;""))="membership"),"",IF($G185="","",IF(ISNUMBER(SEARCH("non",LOWER($E185&amp;""))),$G185*0.85,$G185))))</x:f>
      </x:c>
      <x:c r="O185" s="987" t="str">
        <x:f>IF(COUNTA($A185:$M185)=0,"",IF(OR(LEFT(LOWER(TRIM($F185&amp;"")),12)="subscription",LOWER(TRIM($F185&amp;""))="membership"),"",IF(OR($N185="",$I185="",$I185=0),"",IFERROR($N185/$I185,""))))</x:f>
      </x:c>
      <x:c r="P185" s="987" t="str">
        <x:f>IF(COUNTA($A185:$M185)=0,"",IF(OR(LEFT(LOWER(TRIM($F185&amp;"")),12)="subscription",LOWER(TRIM($F185&amp;""))="membership"),"",IF(LOWER($L185&amp;"")="yes",0,IF(OR(AND($H185&lt;&gt;"",$H185=0),LEFT(LOWER(TRIM($F185&amp;"")),9)="free game",LOWER(TRIM($F185&amp;""))="free",LOWER(TRIM($F185&amp;""))="free entry"),IF(LOWER($D185&amp;"")="finalized",IF(ISNUMBER($K185),$K185,""),IF($O185&lt;&gt;"",$O185,"")),IF($K185&lt;&gt;"",$K185,IF($O185&lt;&gt;"",$O185,""))))))</x:f>
      </x:c>
      <x:c r="Q185" s="114" t="str">
        <x:f>IF(COUNTA($A185:$M185)=0,"",IF(OR($U185="Subscription",$U185=""),"",IF($U185="Profit",ROUND(IFERROR($P185,0)-IFERROR($H185,0),2),0)))</x:f>
      </x:c>
      <x:c r="R185" s="114" t="str">
        <x:f>IF(COUNTA($A185:$M185)=0,"",IF(OR($U185="Subscription",$U185=""),"",IF($U185="Draw",$H185,0)))</x:f>
      </x:c>
      <x:c r="S185" s="114" t="str">
        <x:f>IF(COUNTA($A185:$M185)=0,"",IF(OR($U185="Subscription",$U185=""),"",IF($U185="Disqualified",$H185,0)))</x:f>
      </x:c>
      <x:c r="T185" s="955" t="str">
        <x:f>IF(COUNTA($A185:$M185)=0,"",IF(OR($U185="Subscription",$U185=""),"",IF(OR($U185="Free Game",$U185="Disqualified — Free Game",$H185=0),"N/A",IF($U185="Profit",$Q185/$H185,IF($U185="Disqualified",-$S185/$H185,0)))))</x:f>
      </x:c>
      <x:c r="U185" s="920" t="str">
        <x:f>IF(COUNTA($A185:$M185)=0,"",IF(OR(LEFT(LOWER(TRIM($F185&amp;"")),12)="subscription",LOWER(TRIM($F185&amp;""))="membership"),"Subscription",IF(OR(AND($H185&lt;&gt;"",$H185=0),LEFT(LOWER(TRIM($F185&amp;"")),9)="free game",LOWER(TRIM($F185&amp;""))="free",LOWER(TRIM($F185&amp;""))="free entry"),IF(LOWER($L185&amp;"")="yes","Disqualified — Free Game","Free Game"),IF(LOWER($L185&amp;"")="yes","Disqualified",IF($P185="","",IF(ROUND(IFERROR(VALUE($P185),0)-IFERROR(VALUE($H185),0),2)&gt;0,"Profit","Draw"))))))</x:f>
      </x:c>
      <x:c r="V185" s="956" t="str">
        <x:f>IF(COUNTA($A185:$M185)=0,"",IF(OR($B185="",$C185="",$U185="Subscription"),"",IFERROR(ROUNDUP(($C185-$B185)/7,0),"")))</x:f>
      </x:c>
      <x:c r="W185" s="114" t="str">
        <x:f>IF(COUNTA($A185:$M185)=0,"",IF(OR($U185="Subscription",$U185=""),"",IF(OR($U185="Free Game",$U185="Disqualified — Free Game"),0,ROUND(IFERROR($Q185,0)-IFERROR($S185,0),2))))</x:f>
      </x:c>
      <x:c r="X185" s="956" t="str">
        <x:f>IF(COUNTA($A185:$M185)=0,"",IF(OR($U185="Subscription",NOT(ISNUMBER($J185)),NOT(ISNUMBER($I185)),$J185=0,$I185=0,$I185&gt;$J185),"",$J185-$I185))</x:f>
      </x:c>
      <x:c r="Y185" s="955" t="str">
        <x:f>IF(COUNTA($A185:$M185)=0,"",IF(OR($U185="Subscription",NOT(ISNUMBER($J185)),$J185=0,$X185=""),"",$X185/$J185))</x:f>
      </x:c>
      <x:c r="Z185" s="957" t="str">
        <x:f>IF(COUNTA($A185:$M185)=0,"",Instructions!$B$29+SUM($W$5:W185))</x:f>
      </x:c>
    </x:row>
    <x:row r="186" ht="36" customHeight="1">
      <x:c r="A186" s="439"/>
      <x:c r="B186" s="453"/>
      <x:c r="C186" s="453"/>
      <x:c r="D186" s="454"/>
      <x:c r="E186" s="454"/>
      <x:c r="F186" s="454"/>
      <x:c r="G186" s="986"/>
      <x:c r="H186" s="455"/>
      <x:c r="I186" s="456"/>
      <x:c r="J186" s="456"/>
      <x:c r="K186" s="986"/>
      <x:c r="L186" s="454"/>
      <x:c r="M186" s="439"/>
      <x:c r="N186" s="987" t="str">
        <x:f>IF(COUNTA($A186:$M186)=0,"",IF(OR(LEFT(LOWER(TRIM($F186&amp;"")),12)="subscription",LOWER(TRIM($F186&amp;""))="membership"),"",IF($G186="","",IF(ISNUMBER(SEARCH("non",LOWER($E186&amp;""))),$G186*0.85,$G186))))</x:f>
      </x:c>
      <x:c r="O186" s="987" t="str">
        <x:f>IF(COUNTA($A186:$M186)=0,"",IF(OR(LEFT(LOWER(TRIM($F186&amp;"")),12)="subscription",LOWER(TRIM($F186&amp;""))="membership"),"",IF(OR($N186="",$I186="",$I186=0),"",IFERROR($N186/$I186,""))))</x:f>
      </x:c>
      <x:c r="P186" s="987" t="str">
        <x:f>IF(COUNTA($A186:$M186)=0,"",IF(OR(LEFT(LOWER(TRIM($F186&amp;"")),12)="subscription",LOWER(TRIM($F186&amp;""))="membership"),"",IF(LOWER($L186&amp;"")="yes",0,IF(OR(AND($H186&lt;&gt;"",$H186=0),LEFT(LOWER(TRIM($F186&amp;"")),9)="free game",LOWER(TRIM($F186&amp;""))="free",LOWER(TRIM($F186&amp;""))="free entry"),IF(LOWER($D186&amp;"")="finalized",IF(ISNUMBER($K186),$K186,""),IF($O186&lt;&gt;"",$O186,"")),IF($K186&lt;&gt;"",$K186,IF($O186&lt;&gt;"",$O186,""))))))</x:f>
      </x:c>
      <x:c r="Q186" s="114" t="str">
        <x:f>IF(COUNTA($A186:$M186)=0,"",IF(OR($U186="Subscription",$U186=""),"",IF($U186="Profit",ROUND(IFERROR($P186,0)-IFERROR($H186,0),2),0)))</x:f>
      </x:c>
      <x:c r="R186" s="114" t="str">
        <x:f>IF(COUNTA($A186:$M186)=0,"",IF(OR($U186="Subscription",$U186=""),"",IF($U186="Draw",$H186,0)))</x:f>
      </x:c>
      <x:c r="S186" s="114" t="str">
        <x:f>IF(COUNTA($A186:$M186)=0,"",IF(OR($U186="Subscription",$U186=""),"",IF($U186="Disqualified",$H186,0)))</x:f>
      </x:c>
      <x:c r="T186" s="955" t="str">
        <x:f>IF(COUNTA($A186:$M186)=0,"",IF(OR($U186="Subscription",$U186=""),"",IF(OR($U186="Free Game",$U186="Disqualified — Free Game",$H186=0),"N/A",IF($U186="Profit",$Q186/$H186,IF($U186="Disqualified",-$S186/$H186,0)))))</x:f>
      </x:c>
      <x:c r="U186" s="920" t="str">
        <x:f>IF(COUNTA($A186:$M186)=0,"",IF(OR(LEFT(LOWER(TRIM($F186&amp;"")),12)="subscription",LOWER(TRIM($F186&amp;""))="membership"),"Subscription",IF(OR(AND($H186&lt;&gt;"",$H186=0),LEFT(LOWER(TRIM($F186&amp;"")),9)="free game",LOWER(TRIM($F186&amp;""))="free",LOWER(TRIM($F186&amp;""))="free entry"),IF(LOWER($L186&amp;"")="yes","Disqualified — Free Game","Free Game"),IF(LOWER($L186&amp;"")="yes","Disqualified",IF($P186="","",IF(ROUND(IFERROR(VALUE($P186),0)-IFERROR(VALUE($H186),0),2)&gt;0,"Profit","Draw"))))))</x:f>
      </x:c>
      <x:c r="V186" s="956" t="str">
        <x:f>IF(COUNTA($A186:$M186)=0,"",IF(OR($B186="",$C186="",$U186="Subscription"),"",IFERROR(ROUNDUP(($C186-$B186)/7,0),"")))</x:f>
      </x:c>
      <x:c r="W186" s="114" t="str">
        <x:f>IF(COUNTA($A186:$M186)=0,"",IF(OR($U186="Subscription",$U186=""),"",IF(OR($U186="Free Game",$U186="Disqualified — Free Game"),0,ROUND(IFERROR($Q186,0)-IFERROR($S186,0),2))))</x:f>
      </x:c>
      <x:c r="X186" s="956" t="str">
        <x:f>IF(COUNTA($A186:$M186)=0,"",IF(OR($U186="Subscription",NOT(ISNUMBER($J186)),NOT(ISNUMBER($I186)),$J186=0,$I186=0,$I186&gt;$J186),"",$J186-$I186))</x:f>
      </x:c>
      <x:c r="Y186" s="955" t="str">
        <x:f>IF(COUNTA($A186:$M186)=0,"",IF(OR($U186="Subscription",NOT(ISNUMBER($J186)),$J186=0,$X186=""),"",$X186/$J186))</x:f>
      </x:c>
      <x:c r="Z186" s="957" t="str">
        <x:f>IF(COUNTA($A186:$M186)=0,"",Instructions!$B$29+SUM($W$5:W186))</x:f>
      </x:c>
    </x:row>
    <x:row r="187" ht="36" customHeight="1">
      <x:c r="A187" s="439"/>
      <x:c r="B187" s="453"/>
      <x:c r="C187" s="453"/>
      <x:c r="D187" s="454"/>
      <x:c r="E187" s="454"/>
      <x:c r="F187" s="454"/>
      <x:c r="G187" s="986"/>
      <x:c r="H187" s="455"/>
      <x:c r="I187" s="456"/>
      <x:c r="J187" s="456"/>
      <x:c r="K187" s="986"/>
      <x:c r="L187" s="454"/>
      <x:c r="M187" s="439"/>
      <x:c r="N187" s="987" t="str">
        <x:f>IF(COUNTA($A187:$M187)=0,"",IF(OR(LEFT(LOWER(TRIM($F187&amp;"")),12)="subscription",LOWER(TRIM($F187&amp;""))="membership"),"",IF($G187="","",IF(ISNUMBER(SEARCH("non",LOWER($E187&amp;""))),$G187*0.85,$G187))))</x:f>
      </x:c>
      <x:c r="O187" s="987" t="str">
        <x:f>IF(COUNTA($A187:$M187)=0,"",IF(OR(LEFT(LOWER(TRIM($F187&amp;"")),12)="subscription",LOWER(TRIM($F187&amp;""))="membership"),"",IF(OR($N187="",$I187="",$I187=0),"",IFERROR($N187/$I187,""))))</x:f>
      </x:c>
      <x:c r="P187" s="987" t="str">
        <x:f>IF(COUNTA($A187:$M187)=0,"",IF(OR(LEFT(LOWER(TRIM($F187&amp;"")),12)="subscription",LOWER(TRIM($F187&amp;""))="membership"),"",IF(LOWER($L187&amp;"")="yes",0,IF(OR(AND($H187&lt;&gt;"",$H187=0),LEFT(LOWER(TRIM($F187&amp;"")),9)="free game",LOWER(TRIM($F187&amp;""))="free",LOWER(TRIM($F187&amp;""))="free entry"),IF(LOWER($D187&amp;"")="finalized",IF(ISNUMBER($K187),$K187,""),IF($O187&lt;&gt;"",$O187,"")),IF($K187&lt;&gt;"",$K187,IF($O187&lt;&gt;"",$O187,""))))))</x:f>
      </x:c>
      <x:c r="Q187" s="114" t="str">
        <x:f>IF(COUNTA($A187:$M187)=0,"",IF(OR($U187="Subscription",$U187=""),"",IF($U187="Profit",ROUND(IFERROR($P187,0)-IFERROR($H187,0),2),0)))</x:f>
      </x:c>
      <x:c r="R187" s="114" t="str">
        <x:f>IF(COUNTA($A187:$M187)=0,"",IF(OR($U187="Subscription",$U187=""),"",IF($U187="Draw",$H187,0)))</x:f>
      </x:c>
      <x:c r="S187" s="114" t="str">
        <x:f>IF(COUNTA($A187:$M187)=0,"",IF(OR($U187="Subscription",$U187=""),"",IF($U187="Disqualified",$H187,0)))</x:f>
      </x:c>
      <x:c r="T187" s="955" t="str">
        <x:f>IF(COUNTA($A187:$M187)=0,"",IF(OR($U187="Subscription",$U187=""),"",IF(OR($U187="Free Game",$U187="Disqualified — Free Game",$H187=0),"N/A",IF($U187="Profit",$Q187/$H187,IF($U187="Disqualified",-$S187/$H187,0)))))</x:f>
      </x:c>
      <x:c r="U187" s="920" t="str">
        <x:f>IF(COUNTA($A187:$M187)=0,"",IF(OR(LEFT(LOWER(TRIM($F187&amp;"")),12)="subscription",LOWER(TRIM($F187&amp;""))="membership"),"Subscription",IF(OR(AND($H187&lt;&gt;"",$H187=0),LEFT(LOWER(TRIM($F187&amp;"")),9)="free game",LOWER(TRIM($F187&amp;""))="free",LOWER(TRIM($F187&amp;""))="free entry"),IF(LOWER($L187&amp;"")="yes","Disqualified — Free Game","Free Game"),IF(LOWER($L187&amp;"")="yes","Disqualified",IF($P187="","",IF(ROUND(IFERROR(VALUE($P187),0)-IFERROR(VALUE($H187),0),2)&gt;0,"Profit","Draw"))))))</x:f>
      </x:c>
      <x:c r="V187" s="956" t="str">
        <x:f>IF(COUNTA($A187:$M187)=0,"",IF(OR($B187="",$C187="",$U187="Subscription"),"",IFERROR(ROUNDUP(($C187-$B187)/7,0),"")))</x:f>
      </x:c>
      <x:c r="W187" s="114" t="str">
        <x:f>IF(COUNTA($A187:$M187)=0,"",IF(OR($U187="Subscription",$U187=""),"",IF(OR($U187="Free Game",$U187="Disqualified — Free Game"),0,ROUND(IFERROR($Q187,0)-IFERROR($S187,0),2))))</x:f>
      </x:c>
      <x:c r="X187" s="956" t="str">
        <x:f>IF(COUNTA($A187:$M187)=0,"",IF(OR($U187="Subscription",NOT(ISNUMBER($J187)),NOT(ISNUMBER($I187)),$J187=0,$I187=0,$I187&gt;$J187),"",$J187-$I187))</x:f>
      </x:c>
      <x:c r="Y187" s="955" t="str">
        <x:f>IF(COUNTA($A187:$M187)=0,"",IF(OR($U187="Subscription",NOT(ISNUMBER($J187)),$J187=0,$X187=""),"",$X187/$J187))</x:f>
      </x:c>
      <x:c r="Z187" s="957" t="str">
        <x:f>IF(COUNTA($A187:$M187)=0,"",Instructions!$B$29+SUM($W$5:W187))</x:f>
      </x:c>
    </x:row>
    <x:row r="188" ht="36" customHeight="1">
      <x:c r="A188" s="439"/>
      <x:c r="B188" s="453"/>
      <x:c r="C188" s="453"/>
      <x:c r="D188" s="454"/>
      <x:c r="E188" s="454"/>
      <x:c r="F188" s="454"/>
      <x:c r="G188" s="986"/>
      <x:c r="H188" s="455"/>
      <x:c r="I188" s="456"/>
      <x:c r="J188" s="456"/>
      <x:c r="K188" s="986"/>
      <x:c r="L188" s="454"/>
      <x:c r="M188" s="439"/>
      <x:c r="N188" s="987" t="str">
        <x:f>IF(COUNTA($A188:$M188)=0,"",IF(OR(LEFT(LOWER(TRIM($F188&amp;"")),12)="subscription",LOWER(TRIM($F188&amp;""))="membership"),"",IF($G188="","",IF(ISNUMBER(SEARCH("non",LOWER($E188&amp;""))),$G188*0.85,$G188))))</x:f>
      </x:c>
      <x:c r="O188" s="987" t="str">
        <x:f>IF(COUNTA($A188:$M188)=0,"",IF(OR(LEFT(LOWER(TRIM($F188&amp;"")),12)="subscription",LOWER(TRIM($F188&amp;""))="membership"),"",IF(OR($N188="",$I188="",$I188=0),"",IFERROR($N188/$I188,""))))</x:f>
      </x:c>
      <x:c r="P188" s="987" t="str">
        <x:f>IF(COUNTA($A188:$M188)=0,"",IF(OR(LEFT(LOWER(TRIM($F188&amp;"")),12)="subscription",LOWER(TRIM($F188&amp;""))="membership"),"",IF(LOWER($L188&amp;"")="yes",0,IF(OR(AND($H188&lt;&gt;"",$H188=0),LEFT(LOWER(TRIM($F188&amp;"")),9)="free game",LOWER(TRIM($F188&amp;""))="free",LOWER(TRIM($F188&amp;""))="free entry"),IF(LOWER($D188&amp;"")="finalized",IF(ISNUMBER($K188),$K188,""),IF($O188&lt;&gt;"",$O188,"")),IF($K188&lt;&gt;"",$K188,IF($O188&lt;&gt;"",$O188,""))))))</x:f>
      </x:c>
      <x:c r="Q188" s="114" t="str">
        <x:f>IF(COUNTA($A188:$M188)=0,"",IF(OR($U188="Subscription",$U188=""),"",IF($U188="Profit",ROUND(IFERROR($P188,0)-IFERROR($H188,0),2),0)))</x:f>
      </x:c>
      <x:c r="R188" s="114" t="str">
        <x:f>IF(COUNTA($A188:$M188)=0,"",IF(OR($U188="Subscription",$U188=""),"",IF($U188="Draw",$H188,0)))</x:f>
      </x:c>
      <x:c r="S188" s="114" t="str">
        <x:f>IF(COUNTA($A188:$M188)=0,"",IF(OR($U188="Subscription",$U188=""),"",IF($U188="Disqualified",$H188,0)))</x:f>
      </x:c>
      <x:c r="T188" s="955" t="str">
        <x:f>IF(COUNTA($A188:$M188)=0,"",IF(OR($U188="Subscription",$U188=""),"",IF(OR($U188="Free Game",$U188="Disqualified — Free Game",$H188=0),"N/A",IF($U188="Profit",$Q188/$H188,IF($U188="Disqualified",-$S188/$H188,0)))))</x:f>
      </x:c>
      <x:c r="U188" s="920" t="str">
        <x:f>IF(COUNTA($A188:$M188)=0,"",IF(OR(LEFT(LOWER(TRIM($F188&amp;"")),12)="subscription",LOWER(TRIM($F188&amp;""))="membership"),"Subscription",IF(OR(AND($H188&lt;&gt;"",$H188=0),LEFT(LOWER(TRIM($F188&amp;"")),9)="free game",LOWER(TRIM($F188&amp;""))="free",LOWER(TRIM($F188&amp;""))="free entry"),IF(LOWER($L188&amp;"")="yes","Disqualified — Free Game","Free Game"),IF(LOWER($L188&amp;"")="yes","Disqualified",IF($P188="","",IF(ROUND(IFERROR(VALUE($P188),0)-IFERROR(VALUE($H188),0),2)&gt;0,"Profit","Draw"))))))</x:f>
      </x:c>
      <x:c r="V188" s="956" t="str">
        <x:f>IF(COUNTA($A188:$M188)=0,"",IF(OR($B188="",$C188="",$U188="Subscription"),"",IFERROR(ROUNDUP(($C188-$B188)/7,0),"")))</x:f>
      </x:c>
      <x:c r="W188" s="114" t="str">
        <x:f>IF(COUNTA($A188:$M188)=0,"",IF(OR($U188="Subscription",$U188=""),"",IF(OR($U188="Free Game",$U188="Disqualified — Free Game"),0,ROUND(IFERROR($Q188,0)-IFERROR($S188,0),2))))</x:f>
      </x:c>
      <x:c r="X188" s="956" t="str">
        <x:f>IF(COUNTA($A188:$M188)=0,"",IF(OR($U188="Subscription",NOT(ISNUMBER($J188)),NOT(ISNUMBER($I188)),$J188=0,$I188=0,$I188&gt;$J188),"",$J188-$I188))</x:f>
      </x:c>
      <x:c r="Y188" s="955" t="str">
        <x:f>IF(COUNTA($A188:$M188)=0,"",IF(OR($U188="Subscription",NOT(ISNUMBER($J188)),$J188=0,$X188=""),"",$X188/$J188))</x:f>
      </x:c>
      <x:c r="Z188" s="957" t="str">
        <x:f>IF(COUNTA($A188:$M188)=0,"",Instructions!$B$29+SUM($W$5:W188))</x:f>
      </x:c>
    </x:row>
    <x:row r="189" ht="36" customHeight="1">
      <x:c r="A189" s="439"/>
      <x:c r="B189" s="453"/>
      <x:c r="C189" s="453"/>
      <x:c r="D189" s="454"/>
      <x:c r="E189" s="454"/>
      <x:c r="F189" s="454"/>
      <x:c r="G189" s="986"/>
      <x:c r="H189" s="455"/>
      <x:c r="I189" s="456"/>
      <x:c r="J189" s="456"/>
      <x:c r="K189" s="986"/>
      <x:c r="L189" s="454"/>
      <x:c r="M189" s="439"/>
      <x:c r="N189" s="987" t="str">
        <x:f>IF(COUNTA($A189:$M189)=0,"",IF(OR(LEFT(LOWER(TRIM($F189&amp;"")),12)="subscription",LOWER(TRIM($F189&amp;""))="membership"),"",IF($G189="","",IF(ISNUMBER(SEARCH("non",LOWER($E189&amp;""))),$G189*0.85,$G189))))</x:f>
      </x:c>
      <x:c r="O189" s="987" t="str">
        <x:f>IF(COUNTA($A189:$M189)=0,"",IF(OR(LEFT(LOWER(TRIM($F189&amp;"")),12)="subscription",LOWER(TRIM($F189&amp;""))="membership"),"",IF(OR($N189="",$I189="",$I189=0),"",IFERROR($N189/$I189,""))))</x:f>
      </x:c>
      <x:c r="P189" s="987" t="str">
        <x:f>IF(COUNTA($A189:$M189)=0,"",IF(OR(LEFT(LOWER(TRIM($F189&amp;"")),12)="subscription",LOWER(TRIM($F189&amp;""))="membership"),"",IF(LOWER($L189&amp;"")="yes",0,IF(OR(AND($H189&lt;&gt;"",$H189=0),LEFT(LOWER(TRIM($F189&amp;"")),9)="free game",LOWER(TRIM($F189&amp;""))="free",LOWER(TRIM($F189&amp;""))="free entry"),IF(LOWER($D189&amp;"")="finalized",IF(ISNUMBER($K189),$K189,""),IF($O189&lt;&gt;"",$O189,"")),IF($K189&lt;&gt;"",$K189,IF($O189&lt;&gt;"",$O189,""))))))</x:f>
      </x:c>
      <x:c r="Q189" s="114" t="str">
        <x:f>IF(COUNTA($A189:$M189)=0,"",IF(OR($U189="Subscription",$U189=""),"",IF($U189="Profit",ROUND(IFERROR($P189,0)-IFERROR($H189,0),2),0)))</x:f>
      </x:c>
      <x:c r="R189" s="114" t="str">
        <x:f>IF(COUNTA($A189:$M189)=0,"",IF(OR($U189="Subscription",$U189=""),"",IF($U189="Draw",$H189,0)))</x:f>
      </x:c>
      <x:c r="S189" s="114" t="str">
        <x:f>IF(COUNTA($A189:$M189)=0,"",IF(OR($U189="Subscription",$U189=""),"",IF($U189="Disqualified",$H189,0)))</x:f>
      </x:c>
      <x:c r="T189" s="955" t="str">
        <x:f>IF(COUNTA($A189:$M189)=0,"",IF(OR($U189="Subscription",$U189=""),"",IF(OR($U189="Free Game",$U189="Disqualified — Free Game",$H189=0),"N/A",IF($U189="Profit",$Q189/$H189,IF($U189="Disqualified",-$S189/$H189,0)))))</x:f>
      </x:c>
      <x:c r="U189" s="920" t="str">
        <x:f>IF(COUNTA($A189:$M189)=0,"",IF(OR(LEFT(LOWER(TRIM($F189&amp;"")),12)="subscription",LOWER(TRIM($F189&amp;""))="membership"),"Subscription",IF(OR(AND($H189&lt;&gt;"",$H189=0),LEFT(LOWER(TRIM($F189&amp;"")),9)="free game",LOWER(TRIM($F189&amp;""))="free",LOWER(TRIM($F189&amp;""))="free entry"),IF(LOWER($L189&amp;"")="yes","Disqualified — Free Game","Free Game"),IF(LOWER($L189&amp;"")="yes","Disqualified",IF($P189="","",IF(ROUND(IFERROR(VALUE($P189),0)-IFERROR(VALUE($H189),0),2)&gt;0,"Profit","Draw"))))))</x:f>
      </x:c>
      <x:c r="V189" s="956" t="str">
        <x:f>IF(COUNTA($A189:$M189)=0,"",IF(OR($B189="",$C189="",$U189="Subscription"),"",IFERROR(ROUNDUP(($C189-$B189)/7,0),"")))</x:f>
      </x:c>
      <x:c r="W189" s="114" t="str">
        <x:f>IF(COUNTA($A189:$M189)=0,"",IF(OR($U189="Subscription",$U189=""),"",IF(OR($U189="Free Game",$U189="Disqualified — Free Game"),0,ROUND(IFERROR($Q189,0)-IFERROR($S189,0),2))))</x:f>
      </x:c>
      <x:c r="X189" s="956" t="str">
        <x:f>IF(COUNTA($A189:$M189)=0,"",IF(OR($U189="Subscription",NOT(ISNUMBER($J189)),NOT(ISNUMBER($I189)),$J189=0,$I189=0,$I189&gt;$J189),"",$J189-$I189))</x:f>
      </x:c>
      <x:c r="Y189" s="955" t="str">
        <x:f>IF(COUNTA($A189:$M189)=0,"",IF(OR($U189="Subscription",NOT(ISNUMBER($J189)),$J189=0,$X189=""),"",$X189/$J189))</x:f>
      </x:c>
      <x:c r="Z189" s="957" t="str">
        <x:f>IF(COUNTA($A189:$M189)=0,"",Instructions!$B$29+SUM($W$5:W189))</x:f>
      </x:c>
    </x:row>
    <x:row r="190" ht="36" customHeight="1">
      <x:c r="A190" s="439"/>
      <x:c r="B190" s="453"/>
      <x:c r="C190" s="453"/>
      <x:c r="D190" s="454"/>
      <x:c r="E190" s="454"/>
      <x:c r="F190" s="454"/>
      <x:c r="G190" s="986"/>
      <x:c r="H190" s="455"/>
      <x:c r="I190" s="456"/>
      <x:c r="J190" s="456"/>
      <x:c r="K190" s="986"/>
      <x:c r="L190" s="454"/>
      <x:c r="M190" s="439"/>
      <x:c r="N190" s="987" t="str">
        <x:f>IF(COUNTA($A190:$M190)=0,"",IF(OR(LEFT(LOWER(TRIM($F190&amp;"")),12)="subscription",LOWER(TRIM($F190&amp;""))="membership"),"",IF($G190="","",IF(ISNUMBER(SEARCH("non",LOWER($E190&amp;""))),$G190*0.85,$G190))))</x:f>
      </x:c>
      <x:c r="O190" s="987" t="str">
        <x:f>IF(COUNTA($A190:$M190)=0,"",IF(OR(LEFT(LOWER(TRIM($F190&amp;"")),12)="subscription",LOWER(TRIM($F190&amp;""))="membership"),"",IF(OR($N190="",$I190="",$I190=0),"",IFERROR($N190/$I190,""))))</x:f>
      </x:c>
      <x:c r="P190" s="987" t="str">
        <x:f>IF(COUNTA($A190:$M190)=0,"",IF(OR(LEFT(LOWER(TRIM($F190&amp;"")),12)="subscription",LOWER(TRIM($F190&amp;""))="membership"),"",IF(LOWER($L190&amp;"")="yes",0,IF(OR(AND($H190&lt;&gt;"",$H190=0),LEFT(LOWER(TRIM($F190&amp;"")),9)="free game",LOWER(TRIM($F190&amp;""))="free",LOWER(TRIM($F190&amp;""))="free entry"),IF(LOWER($D190&amp;"")="finalized",IF(ISNUMBER($K190),$K190,""),IF($O190&lt;&gt;"",$O190,"")),IF($K190&lt;&gt;"",$K190,IF($O190&lt;&gt;"",$O190,""))))))</x:f>
      </x:c>
      <x:c r="Q190" s="114" t="str">
        <x:f>IF(COUNTA($A190:$M190)=0,"",IF(OR($U190="Subscription",$U190=""),"",IF($U190="Profit",ROUND(IFERROR($P190,0)-IFERROR($H190,0),2),0)))</x:f>
      </x:c>
      <x:c r="R190" s="114" t="str">
        <x:f>IF(COUNTA($A190:$M190)=0,"",IF(OR($U190="Subscription",$U190=""),"",IF($U190="Draw",$H190,0)))</x:f>
      </x:c>
      <x:c r="S190" s="114" t="str">
        <x:f>IF(COUNTA($A190:$M190)=0,"",IF(OR($U190="Subscription",$U190=""),"",IF($U190="Disqualified",$H190,0)))</x:f>
      </x:c>
      <x:c r="T190" s="955" t="str">
        <x:f>IF(COUNTA($A190:$M190)=0,"",IF(OR($U190="Subscription",$U190=""),"",IF(OR($U190="Free Game",$U190="Disqualified — Free Game",$H190=0),"N/A",IF($U190="Profit",$Q190/$H190,IF($U190="Disqualified",-$S190/$H190,0)))))</x:f>
      </x:c>
      <x:c r="U190" s="920" t="str">
        <x:f>IF(COUNTA($A190:$M190)=0,"",IF(OR(LEFT(LOWER(TRIM($F190&amp;"")),12)="subscription",LOWER(TRIM($F190&amp;""))="membership"),"Subscription",IF(OR(AND($H190&lt;&gt;"",$H190=0),LEFT(LOWER(TRIM($F190&amp;"")),9)="free game",LOWER(TRIM($F190&amp;""))="free",LOWER(TRIM($F190&amp;""))="free entry"),IF(LOWER($L190&amp;"")="yes","Disqualified — Free Game","Free Game"),IF(LOWER($L190&amp;"")="yes","Disqualified",IF($P190="","",IF(ROUND(IFERROR(VALUE($P190),0)-IFERROR(VALUE($H190),0),2)&gt;0,"Profit","Draw"))))))</x:f>
      </x:c>
      <x:c r="V190" s="956" t="str">
        <x:f>IF(COUNTA($A190:$M190)=0,"",IF(OR($B190="",$C190="",$U190="Subscription"),"",IFERROR(ROUNDUP(($C190-$B190)/7,0),"")))</x:f>
      </x:c>
      <x:c r="W190" s="114" t="str">
        <x:f>IF(COUNTA($A190:$M190)=0,"",IF(OR($U190="Subscription",$U190=""),"",IF(OR($U190="Free Game",$U190="Disqualified — Free Game"),0,ROUND(IFERROR($Q190,0)-IFERROR($S190,0),2))))</x:f>
      </x:c>
      <x:c r="X190" s="956" t="str">
        <x:f>IF(COUNTA($A190:$M190)=0,"",IF(OR($U190="Subscription",NOT(ISNUMBER($J190)),NOT(ISNUMBER($I190)),$J190=0,$I190=0,$I190&gt;$J190),"",$J190-$I190))</x:f>
      </x:c>
      <x:c r="Y190" s="955" t="str">
        <x:f>IF(COUNTA($A190:$M190)=0,"",IF(OR($U190="Subscription",NOT(ISNUMBER($J190)),$J190=0,$X190=""),"",$X190/$J190))</x:f>
      </x:c>
      <x:c r="Z190" s="957" t="str">
        <x:f>IF(COUNTA($A190:$M190)=0,"",Instructions!$B$29+SUM($W$5:W190))</x:f>
      </x:c>
    </x:row>
    <x:row r="191" ht="36" customHeight="1">
      <x:c r="A191" s="439"/>
      <x:c r="B191" s="453"/>
      <x:c r="C191" s="453"/>
      <x:c r="D191" s="454"/>
      <x:c r="E191" s="454"/>
      <x:c r="F191" s="454"/>
      <x:c r="G191" s="986"/>
      <x:c r="H191" s="455"/>
      <x:c r="I191" s="456"/>
      <x:c r="J191" s="456"/>
      <x:c r="K191" s="986"/>
      <x:c r="L191" s="454"/>
      <x:c r="M191" s="439"/>
      <x:c r="N191" s="987" t="str">
        <x:f>IF(COUNTA($A191:$M191)=0,"",IF(OR(LEFT(LOWER(TRIM($F191&amp;"")),12)="subscription",LOWER(TRIM($F191&amp;""))="membership"),"",IF($G191="","",IF(ISNUMBER(SEARCH("non",LOWER($E191&amp;""))),$G191*0.85,$G191))))</x:f>
      </x:c>
      <x:c r="O191" s="987" t="str">
        <x:f>IF(COUNTA($A191:$M191)=0,"",IF(OR(LEFT(LOWER(TRIM($F191&amp;"")),12)="subscription",LOWER(TRIM($F191&amp;""))="membership"),"",IF(OR($N191="",$I191="",$I191=0),"",IFERROR($N191/$I191,""))))</x:f>
      </x:c>
      <x:c r="P191" s="987" t="str">
        <x:f>IF(COUNTA($A191:$M191)=0,"",IF(OR(LEFT(LOWER(TRIM($F191&amp;"")),12)="subscription",LOWER(TRIM($F191&amp;""))="membership"),"",IF(LOWER($L191&amp;"")="yes",0,IF(OR(AND($H191&lt;&gt;"",$H191=0),LEFT(LOWER(TRIM($F191&amp;"")),9)="free game",LOWER(TRIM($F191&amp;""))="free",LOWER(TRIM($F191&amp;""))="free entry"),IF(LOWER($D191&amp;"")="finalized",IF(ISNUMBER($K191),$K191,""),IF($O191&lt;&gt;"",$O191,"")),IF($K191&lt;&gt;"",$K191,IF($O191&lt;&gt;"",$O191,""))))))</x:f>
      </x:c>
      <x:c r="Q191" s="114" t="str">
        <x:f>IF(COUNTA($A191:$M191)=0,"",IF(OR($U191="Subscription",$U191=""),"",IF($U191="Profit",ROUND(IFERROR($P191,0)-IFERROR($H191,0),2),0)))</x:f>
      </x:c>
      <x:c r="R191" s="114" t="str">
        <x:f>IF(COUNTA($A191:$M191)=0,"",IF(OR($U191="Subscription",$U191=""),"",IF($U191="Draw",$H191,0)))</x:f>
      </x:c>
      <x:c r="S191" s="114" t="str">
        <x:f>IF(COUNTA($A191:$M191)=0,"",IF(OR($U191="Subscription",$U191=""),"",IF($U191="Disqualified",$H191,0)))</x:f>
      </x:c>
      <x:c r="T191" s="955" t="str">
        <x:f>IF(COUNTA($A191:$M191)=0,"",IF(OR($U191="Subscription",$U191=""),"",IF(OR($U191="Free Game",$U191="Disqualified — Free Game",$H191=0),"N/A",IF($U191="Profit",$Q191/$H191,IF($U191="Disqualified",-$S191/$H191,0)))))</x:f>
      </x:c>
      <x:c r="U191" s="920" t="str">
        <x:f>IF(COUNTA($A191:$M191)=0,"",IF(OR(LEFT(LOWER(TRIM($F191&amp;"")),12)="subscription",LOWER(TRIM($F191&amp;""))="membership"),"Subscription",IF(OR(AND($H191&lt;&gt;"",$H191=0),LEFT(LOWER(TRIM($F191&amp;"")),9)="free game",LOWER(TRIM($F191&amp;""))="free",LOWER(TRIM($F191&amp;""))="free entry"),IF(LOWER($L191&amp;"")="yes","Disqualified — Free Game","Free Game"),IF(LOWER($L191&amp;"")="yes","Disqualified",IF($P191="","",IF(ROUND(IFERROR(VALUE($P191),0)-IFERROR(VALUE($H191),0),2)&gt;0,"Profit","Draw"))))))</x:f>
      </x:c>
      <x:c r="V191" s="956" t="str">
        <x:f>IF(COUNTA($A191:$M191)=0,"",IF(OR($B191="",$C191="",$U191="Subscription"),"",IFERROR(ROUNDUP(($C191-$B191)/7,0),"")))</x:f>
      </x:c>
      <x:c r="W191" s="114" t="str">
        <x:f>IF(COUNTA($A191:$M191)=0,"",IF(OR($U191="Subscription",$U191=""),"",IF(OR($U191="Free Game",$U191="Disqualified — Free Game"),0,ROUND(IFERROR($Q191,0)-IFERROR($S191,0),2))))</x:f>
      </x:c>
      <x:c r="X191" s="956" t="str">
        <x:f>IF(COUNTA($A191:$M191)=0,"",IF(OR($U191="Subscription",NOT(ISNUMBER($J191)),NOT(ISNUMBER($I191)),$J191=0,$I191=0,$I191&gt;$J191),"",$J191-$I191))</x:f>
      </x:c>
      <x:c r="Y191" s="955" t="str">
        <x:f>IF(COUNTA($A191:$M191)=0,"",IF(OR($U191="Subscription",NOT(ISNUMBER($J191)),$J191=0,$X191=""),"",$X191/$J191))</x:f>
      </x:c>
      <x:c r="Z191" s="957" t="str">
        <x:f>IF(COUNTA($A191:$M191)=0,"",Instructions!$B$29+SUM($W$5:W191))</x:f>
      </x:c>
    </x:row>
    <x:row r="192" ht="36" customHeight="1">
      <x:c r="A192" s="439"/>
      <x:c r="B192" s="453"/>
      <x:c r="C192" s="453"/>
      <x:c r="D192" s="454"/>
      <x:c r="E192" s="454"/>
      <x:c r="F192" s="454"/>
      <x:c r="G192" s="986"/>
      <x:c r="H192" s="455"/>
      <x:c r="I192" s="456"/>
      <x:c r="J192" s="456"/>
      <x:c r="K192" s="986"/>
      <x:c r="L192" s="454"/>
      <x:c r="M192" s="439"/>
      <x:c r="N192" s="987" t="str">
        <x:f>IF(COUNTA($A192:$M192)=0,"",IF(OR(LEFT(LOWER(TRIM($F192&amp;"")),12)="subscription",LOWER(TRIM($F192&amp;""))="membership"),"",IF($G192="","",IF(ISNUMBER(SEARCH("non",LOWER($E192&amp;""))),$G192*0.85,$G192))))</x:f>
      </x:c>
      <x:c r="O192" s="987" t="str">
        <x:f>IF(COUNTA($A192:$M192)=0,"",IF(OR(LEFT(LOWER(TRIM($F192&amp;"")),12)="subscription",LOWER(TRIM($F192&amp;""))="membership"),"",IF(OR($N192="",$I192="",$I192=0),"",IFERROR($N192/$I192,""))))</x:f>
      </x:c>
      <x:c r="P192" s="987" t="str">
        <x:f>IF(COUNTA($A192:$M192)=0,"",IF(OR(LEFT(LOWER(TRIM($F192&amp;"")),12)="subscription",LOWER(TRIM($F192&amp;""))="membership"),"",IF(LOWER($L192&amp;"")="yes",0,IF(OR(AND($H192&lt;&gt;"",$H192=0),LEFT(LOWER(TRIM($F192&amp;"")),9)="free game",LOWER(TRIM($F192&amp;""))="free",LOWER(TRIM($F192&amp;""))="free entry"),IF(LOWER($D192&amp;"")="finalized",IF(ISNUMBER($K192),$K192,""),IF($O192&lt;&gt;"",$O192,"")),IF($K192&lt;&gt;"",$K192,IF($O192&lt;&gt;"",$O192,""))))))</x:f>
      </x:c>
      <x:c r="Q192" s="114" t="str">
        <x:f>IF(COUNTA($A192:$M192)=0,"",IF(OR($U192="Subscription",$U192=""),"",IF($U192="Profit",ROUND(IFERROR($P192,0)-IFERROR($H192,0),2),0)))</x:f>
      </x:c>
      <x:c r="R192" s="114" t="str">
        <x:f>IF(COUNTA($A192:$M192)=0,"",IF(OR($U192="Subscription",$U192=""),"",IF($U192="Draw",$H192,0)))</x:f>
      </x:c>
      <x:c r="S192" s="114" t="str">
        <x:f>IF(COUNTA($A192:$M192)=0,"",IF(OR($U192="Subscription",$U192=""),"",IF($U192="Disqualified",$H192,0)))</x:f>
      </x:c>
      <x:c r="T192" s="955" t="str">
        <x:f>IF(COUNTA($A192:$M192)=0,"",IF(OR($U192="Subscription",$U192=""),"",IF(OR($U192="Free Game",$U192="Disqualified — Free Game",$H192=0),"N/A",IF($U192="Profit",$Q192/$H192,IF($U192="Disqualified",-$S192/$H192,0)))))</x:f>
      </x:c>
      <x:c r="U192" s="920" t="str">
        <x:f>IF(COUNTA($A192:$M192)=0,"",IF(OR(LEFT(LOWER(TRIM($F192&amp;"")),12)="subscription",LOWER(TRIM($F192&amp;""))="membership"),"Subscription",IF(OR(AND($H192&lt;&gt;"",$H192=0),LEFT(LOWER(TRIM($F192&amp;"")),9)="free game",LOWER(TRIM($F192&amp;""))="free",LOWER(TRIM($F192&amp;""))="free entry"),IF(LOWER($L192&amp;"")="yes","Disqualified — Free Game","Free Game"),IF(LOWER($L192&amp;"")="yes","Disqualified",IF($P192="","",IF(ROUND(IFERROR(VALUE($P192),0)-IFERROR(VALUE($H192),0),2)&gt;0,"Profit","Draw"))))))</x:f>
      </x:c>
      <x:c r="V192" s="956" t="str">
        <x:f>IF(COUNTA($A192:$M192)=0,"",IF(OR($B192="",$C192="",$U192="Subscription"),"",IFERROR(ROUNDUP(($C192-$B192)/7,0),"")))</x:f>
      </x:c>
      <x:c r="W192" s="114" t="str">
        <x:f>IF(COUNTA($A192:$M192)=0,"",IF(OR($U192="Subscription",$U192=""),"",IF(OR($U192="Free Game",$U192="Disqualified — Free Game"),0,ROUND(IFERROR($Q192,0)-IFERROR($S192,0),2))))</x:f>
      </x:c>
      <x:c r="X192" s="956" t="str">
        <x:f>IF(COUNTA($A192:$M192)=0,"",IF(OR($U192="Subscription",NOT(ISNUMBER($J192)),NOT(ISNUMBER($I192)),$J192=0,$I192=0,$I192&gt;$J192),"",$J192-$I192))</x:f>
      </x:c>
      <x:c r="Y192" s="955" t="str">
        <x:f>IF(COUNTA($A192:$M192)=0,"",IF(OR($U192="Subscription",NOT(ISNUMBER($J192)),$J192=0,$X192=""),"",$X192/$J192))</x:f>
      </x:c>
      <x:c r="Z192" s="957" t="str">
        <x:f>IF(COUNTA($A192:$M192)=0,"",Instructions!$B$29+SUM($W$5:W192))</x:f>
      </x:c>
    </x:row>
    <x:row r="193" ht="36" customHeight="1">
      <x:c r="A193" s="439"/>
      <x:c r="B193" s="453"/>
      <x:c r="C193" s="453"/>
      <x:c r="D193" s="454"/>
      <x:c r="E193" s="454"/>
      <x:c r="F193" s="454"/>
      <x:c r="G193" s="986"/>
      <x:c r="H193" s="455"/>
      <x:c r="I193" s="456"/>
      <x:c r="J193" s="456"/>
      <x:c r="K193" s="986"/>
      <x:c r="L193" s="454"/>
      <x:c r="M193" s="439"/>
      <x:c r="N193" s="987" t="str">
        <x:f>IF(COUNTA($A193:$M193)=0,"",IF(OR(LEFT(LOWER(TRIM($F193&amp;"")),12)="subscription",LOWER(TRIM($F193&amp;""))="membership"),"",IF($G193="","",IF(ISNUMBER(SEARCH("non",LOWER($E193&amp;""))),$G193*0.85,$G193))))</x:f>
      </x:c>
      <x:c r="O193" s="987" t="str">
        <x:f>IF(COUNTA($A193:$M193)=0,"",IF(OR(LEFT(LOWER(TRIM($F193&amp;"")),12)="subscription",LOWER(TRIM($F193&amp;""))="membership"),"",IF(OR($N193="",$I193="",$I193=0),"",IFERROR($N193/$I193,""))))</x:f>
      </x:c>
      <x:c r="P193" s="987" t="str">
        <x:f>IF(COUNTA($A193:$M193)=0,"",IF(OR(LEFT(LOWER(TRIM($F193&amp;"")),12)="subscription",LOWER(TRIM($F193&amp;""))="membership"),"",IF(LOWER($L193&amp;"")="yes",0,IF(OR(AND($H193&lt;&gt;"",$H193=0),LEFT(LOWER(TRIM($F193&amp;"")),9)="free game",LOWER(TRIM($F193&amp;""))="free",LOWER(TRIM($F193&amp;""))="free entry"),IF(LOWER($D193&amp;"")="finalized",IF(ISNUMBER($K193),$K193,""),IF($O193&lt;&gt;"",$O193,"")),IF($K193&lt;&gt;"",$K193,IF($O193&lt;&gt;"",$O193,""))))))</x:f>
      </x:c>
      <x:c r="Q193" s="114" t="str">
        <x:f>IF(COUNTA($A193:$M193)=0,"",IF(OR($U193="Subscription",$U193=""),"",IF($U193="Profit",ROUND(IFERROR($P193,0)-IFERROR($H193,0),2),0)))</x:f>
      </x:c>
      <x:c r="R193" s="114" t="str">
        <x:f>IF(COUNTA($A193:$M193)=0,"",IF(OR($U193="Subscription",$U193=""),"",IF($U193="Draw",$H193,0)))</x:f>
      </x:c>
      <x:c r="S193" s="114" t="str">
        <x:f>IF(COUNTA($A193:$M193)=0,"",IF(OR($U193="Subscription",$U193=""),"",IF($U193="Disqualified",$H193,0)))</x:f>
      </x:c>
      <x:c r="T193" s="955" t="str">
        <x:f>IF(COUNTA($A193:$M193)=0,"",IF(OR($U193="Subscription",$U193=""),"",IF(OR($U193="Free Game",$U193="Disqualified — Free Game",$H193=0),"N/A",IF($U193="Profit",$Q193/$H193,IF($U193="Disqualified",-$S193/$H193,0)))))</x:f>
      </x:c>
      <x:c r="U193" s="920" t="str">
        <x:f>IF(COUNTA($A193:$M193)=0,"",IF(OR(LEFT(LOWER(TRIM($F193&amp;"")),12)="subscription",LOWER(TRIM($F193&amp;""))="membership"),"Subscription",IF(OR(AND($H193&lt;&gt;"",$H193=0),LEFT(LOWER(TRIM($F193&amp;"")),9)="free game",LOWER(TRIM($F193&amp;""))="free",LOWER(TRIM($F193&amp;""))="free entry"),IF(LOWER($L193&amp;"")="yes","Disqualified — Free Game","Free Game"),IF(LOWER($L193&amp;"")="yes","Disqualified",IF($P193="","",IF(ROUND(IFERROR(VALUE($P193),0)-IFERROR(VALUE($H193),0),2)&gt;0,"Profit","Draw"))))))</x:f>
      </x:c>
      <x:c r="V193" s="956" t="str">
        <x:f>IF(COUNTA($A193:$M193)=0,"",IF(OR($B193="",$C193="",$U193="Subscription"),"",IFERROR(ROUNDUP(($C193-$B193)/7,0),"")))</x:f>
      </x:c>
      <x:c r="W193" s="114" t="str">
        <x:f>IF(COUNTA($A193:$M193)=0,"",IF(OR($U193="Subscription",$U193=""),"",IF(OR($U193="Free Game",$U193="Disqualified — Free Game"),0,ROUND(IFERROR($Q193,0)-IFERROR($S193,0),2))))</x:f>
      </x:c>
      <x:c r="X193" s="956" t="str">
        <x:f>IF(COUNTA($A193:$M193)=0,"",IF(OR($U193="Subscription",NOT(ISNUMBER($J193)),NOT(ISNUMBER($I193)),$J193=0,$I193=0,$I193&gt;$J193),"",$J193-$I193))</x:f>
      </x:c>
      <x:c r="Y193" s="955" t="str">
        <x:f>IF(COUNTA($A193:$M193)=0,"",IF(OR($U193="Subscription",NOT(ISNUMBER($J193)),$J193=0,$X193=""),"",$X193/$J193))</x:f>
      </x:c>
      <x:c r="Z193" s="957" t="str">
        <x:f>IF(COUNTA($A193:$M193)=0,"",Instructions!$B$29+SUM($W$5:W193))</x:f>
      </x:c>
    </x:row>
    <x:row r="194" ht="36" customHeight="1">
      <x:c r="A194" s="439"/>
      <x:c r="B194" s="453"/>
      <x:c r="C194" s="453"/>
      <x:c r="D194" s="454"/>
      <x:c r="E194" s="454"/>
      <x:c r="F194" s="454"/>
      <x:c r="G194" s="986"/>
      <x:c r="H194" s="455"/>
      <x:c r="I194" s="456"/>
      <x:c r="J194" s="456"/>
      <x:c r="K194" s="986"/>
      <x:c r="L194" s="454"/>
      <x:c r="M194" s="439"/>
      <x:c r="N194" s="987" t="str">
        <x:f>IF(COUNTA($A194:$M194)=0,"",IF(OR(LEFT(LOWER(TRIM($F194&amp;"")),12)="subscription",LOWER(TRIM($F194&amp;""))="membership"),"",IF($G194="","",IF(ISNUMBER(SEARCH("non",LOWER($E194&amp;""))),$G194*0.85,$G194))))</x:f>
      </x:c>
      <x:c r="O194" s="987" t="str">
        <x:f>IF(COUNTA($A194:$M194)=0,"",IF(OR(LEFT(LOWER(TRIM($F194&amp;"")),12)="subscription",LOWER(TRIM($F194&amp;""))="membership"),"",IF(OR($N194="",$I194="",$I194=0),"",IFERROR($N194/$I194,""))))</x:f>
      </x:c>
      <x:c r="P194" s="987" t="str">
        <x:f>IF(COUNTA($A194:$M194)=0,"",IF(OR(LEFT(LOWER(TRIM($F194&amp;"")),12)="subscription",LOWER(TRIM($F194&amp;""))="membership"),"",IF(LOWER($L194&amp;"")="yes",0,IF(OR(AND($H194&lt;&gt;"",$H194=0),LEFT(LOWER(TRIM($F194&amp;"")),9)="free game",LOWER(TRIM($F194&amp;""))="free",LOWER(TRIM($F194&amp;""))="free entry"),IF(LOWER($D194&amp;"")="finalized",IF(ISNUMBER($K194),$K194,""),IF($O194&lt;&gt;"",$O194,"")),IF($K194&lt;&gt;"",$K194,IF($O194&lt;&gt;"",$O194,""))))))</x:f>
      </x:c>
      <x:c r="Q194" s="114" t="str">
        <x:f>IF(COUNTA($A194:$M194)=0,"",IF(OR($U194="Subscription",$U194=""),"",IF($U194="Profit",ROUND(IFERROR($P194,0)-IFERROR($H194,0),2),0)))</x:f>
      </x:c>
      <x:c r="R194" s="114" t="str">
        <x:f>IF(COUNTA($A194:$M194)=0,"",IF(OR($U194="Subscription",$U194=""),"",IF($U194="Draw",$H194,0)))</x:f>
      </x:c>
      <x:c r="S194" s="114" t="str">
        <x:f>IF(COUNTA($A194:$M194)=0,"",IF(OR($U194="Subscription",$U194=""),"",IF($U194="Disqualified",$H194,0)))</x:f>
      </x:c>
      <x:c r="T194" s="955" t="str">
        <x:f>IF(COUNTA($A194:$M194)=0,"",IF(OR($U194="Subscription",$U194=""),"",IF(OR($U194="Free Game",$U194="Disqualified — Free Game",$H194=0),"N/A",IF($U194="Profit",$Q194/$H194,IF($U194="Disqualified",-$S194/$H194,0)))))</x:f>
      </x:c>
      <x:c r="U194" s="920" t="str">
        <x:f>IF(COUNTA($A194:$M194)=0,"",IF(OR(LEFT(LOWER(TRIM($F194&amp;"")),12)="subscription",LOWER(TRIM($F194&amp;""))="membership"),"Subscription",IF(OR(AND($H194&lt;&gt;"",$H194=0),LEFT(LOWER(TRIM($F194&amp;"")),9)="free game",LOWER(TRIM($F194&amp;""))="free",LOWER(TRIM($F194&amp;""))="free entry"),IF(LOWER($L194&amp;"")="yes","Disqualified — Free Game","Free Game"),IF(LOWER($L194&amp;"")="yes","Disqualified",IF($P194="","",IF(ROUND(IFERROR(VALUE($P194),0)-IFERROR(VALUE($H194),0),2)&gt;0,"Profit","Draw"))))))</x:f>
      </x:c>
      <x:c r="V194" s="956" t="str">
        <x:f>IF(COUNTA($A194:$M194)=0,"",IF(OR($B194="",$C194="",$U194="Subscription"),"",IFERROR(ROUNDUP(($C194-$B194)/7,0),"")))</x:f>
      </x:c>
      <x:c r="W194" s="114" t="str">
        <x:f>IF(COUNTA($A194:$M194)=0,"",IF(OR($U194="Subscription",$U194=""),"",IF(OR($U194="Free Game",$U194="Disqualified — Free Game"),0,ROUND(IFERROR($Q194,0)-IFERROR($S194,0),2))))</x:f>
      </x:c>
      <x:c r="X194" s="956" t="str">
        <x:f>IF(COUNTA($A194:$M194)=0,"",IF(OR($U194="Subscription",NOT(ISNUMBER($J194)),NOT(ISNUMBER($I194)),$J194=0,$I194=0,$I194&gt;$J194),"",$J194-$I194))</x:f>
      </x:c>
      <x:c r="Y194" s="955" t="str">
        <x:f>IF(COUNTA($A194:$M194)=0,"",IF(OR($U194="Subscription",NOT(ISNUMBER($J194)),$J194=0,$X194=""),"",$X194/$J194))</x:f>
      </x:c>
      <x:c r="Z194" s="957" t="str">
        <x:f>IF(COUNTA($A194:$M194)=0,"",Instructions!$B$29+SUM($W$5:W194))</x:f>
      </x:c>
    </x:row>
    <x:row r="195" ht="36" customHeight="1">
      <x:c r="A195" s="439"/>
      <x:c r="B195" s="453"/>
      <x:c r="C195" s="453"/>
      <x:c r="D195" s="454"/>
      <x:c r="E195" s="454"/>
      <x:c r="F195" s="454"/>
      <x:c r="G195" s="986"/>
      <x:c r="H195" s="455"/>
      <x:c r="I195" s="456"/>
      <x:c r="J195" s="456"/>
      <x:c r="K195" s="986"/>
      <x:c r="L195" s="454"/>
      <x:c r="M195" s="439"/>
      <x:c r="N195" s="987" t="str">
        <x:f>IF(COUNTA($A195:$M195)=0,"",IF(OR(LEFT(LOWER(TRIM($F195&amp;"")),12)="subscription",LOWER(TRIM($F195&amp;""))="membership"),"",IF($G195="","",IF(ISNUMBER(SEARCH("non",LOWER($E195&amp;""))),$G195*0.85,$G195))))</x:f>
      </x:c>
      <x:c r="O195" s="987" t="str">
        <x:f>IF(COUNTA($A195:$M195)=0,"",IF(OR(LEFT(LOWER(TRIM($F195&amp;"")),12)="subscription",LOWER(TRIM($F195&amp;""))="membership"),"",IF(OR($N195="",$I195="",$I195=0),"",IFERROR($N195/$I195,""))))</x:f>
      </x:c>
      <x:c r="P195" s="987" t="str">
        <x:f>IF(COUNTA($A195:$M195)=0,"",IF(OR(LEFT(LOWER(TRIM($F195&amp;"")),12)="subscription",LOWER(TRIM($F195&amp;""))="membership"),"",IF(LOWER($L195&amp;"")="yes",0,IF(OR(AND($H195&lt;&gt;"",$H195=0),LEFT(LOWER(TRIM($F195&amp;"")),9)="free game",LOWER(TRIM($F195&amp;""))="free",LOWER(TRIM($F195&amp;""))="free entry"),IF(LOWER($D195&amp;"")="finalized",IF(ISNUMBER($K195),$K195,""),IF($O195&lt;&gt;"",$O195,"")),IF($K195&lt;&gt;"",$K195,IF($O195&lt;&gt;"",$O195,""))))))</x:f>
      </x:c>
      <x:c r="Q195" s="114" t="str">
        <x:f>IF(COUNTA($A195:$M195)=0,"",IF(OR($U195="Subscription",$U195=""),"",IF($U195="Profit",ROUND(IFERROR($P195,0)-IFERROR($H195,0),2),0)))</x:f>
      </x:c>
      <x:c r="R195" s="114" t="str">
        <x:f>IF(COUNTA($A195:$M195)=0,"",IF(OR($U195="Subscription",$U195=""),"",IF($U195="Draw",$H195,0)))</x:f>
      </x:c>
      <x:c r="S195" s="114" t="str">
        <x:f>IF(COUNTA($A195:$M195)=0,"",IF(OR($U195="Subscription",$U195=""),"",IF($U195="Disqualified",$H195,0)))</x:f>
      </x:c>
      <x:c r="T195" s="955" t="str">
        <x:f>IF(COUNTA($A195:$M195)=0,"",IF(OR($U195="Subscription",$U195=""),"",IF(OR($U195="Free Game",$U195="Disqualified — Free Game",$H195=0),"N/A",IF($U195="Profit",$Q195/$H195,IF($U195="Disqualified",-$S195/$H195,0)))))</x:f>
      </x:c>
      <x:c r="U195" s="920" t="str">
        <x:f>IF(COUNTA($A195:$M195)=0,"",IF(OR(LEFT(LOWER(TRIM($F195&amp;"")),12)="subscription",LOWER(TRIM($F195&amp;""))="membership"),"Subscription",IF(OR(AND($H195&lt;&gt;"",$H195=0),LEFT(LOWER(TRIM($F195&amp;"")),9)="free game",LOWER(TRIM($F195&amp;""))="free",LOWER(TRIM($F195&amp;""))="free entry"),IF(LOWER($L195&amp;"")="yes","Disqualified — Free Game","Free Game"),IF(LOWER($L195&amp;"")="yes","Disqualified",IF($P195="","",IF(ROUND(IFERROR(VALUE($P195),0)-IFERROR(VALUE($H195),0),2)&gt;0,"Profit","Draw"))))))</x:f>
      </x:c>
      <x:c r="V195" s="956" t="str">
        <x:f>IF(COUNTA($A195:$M195)=0,"",IF(OR($B195="",$C195="",$U195="Subscription"),"",IFERROR(ROUNDUP(($C195-$B195)/7,0),"")))</x:f>
      </x:c>
      <x:c r="W195" s="114" t="str">
        <x:f>IF(COUNTA($A195:$M195)=0,"",IF(OR($U195="Subscription",$U195=""),"",IF(OR($U195="Free Game",$U195="Disqualified — Free Game"),0,ROUND(IFERROR($Q195,0)-IFERROR($S195,0),2))))</x:f>
      </x:c>
      <x:c r="X195" s="956" t="str">
        <x:f>IF(COUNTA($A195:$M195)=0,"",IF(OR($U195="Subscription",NOT(ISNUMBER($J195)),NOT(ISNUMBER($I195)),$J195=0,$I195=0,$I195&gt;$J195),"",$J195-$I195))</x:f>
      </x:c>
      <x:c r="Y195" s="955" t="str">
        <x:f>IF(COUNTA($A195:$M195)=0,"",IF(OR($U195="Subscription",NOT(ISNUMBER($J195)),$J195=0,$X195=""),"",$X195/$J195))</x:f>
      </x:c>
      <x:c r="Z195" s="957" t="str">
        <x:f>IF(COUNTA($A195:$M195)=0,"",Instructions!$B$29+SUM($W$5:W195))</x:f>
      </x:c>
    </x:row>
    <x:row r="196" ht="36" customHeight="1">
      <x:c r="A196" s="439"/>
      <x:c r="B196" s="453"/>
      <x:c r="C196" s="453"/>
      <x:c r="D196" s="454"/>
      <x:c r="E196" s="454"/>
      <x:c r="F196" s="454"/>
      <x:c r="G196" s="986"/>
      <x:c r="H196" s="455"/>
      <x:c r="I196" s="456"/>
      <x:c r="J196" s="456"/>
      <x:c r="K196" s="986"/>
      <x:c r="L196" s="454"/>
      <x:c r="M196" s="439"/>
      <x:c r="N196" s="987" t="str">
        <x:f>IF(COUNTA($A196:$M196)=0,"",IF(OR(LEFT(LOWER(TRIM($F196&amp;"")),12)="subscription",LOWER(TRIM($F196&amp;""))="membership"),"",IF($G196="","",IF(ISNUMBER(SEARCH("non",LOWER($E196&amp;""))),$G196*0.85,$G196))))</x:f>
      </x:c>
      <x:c r="O196" s="987" t="str">
        <x:f>IF(COUNTA($A196:$M196)=0,"",IF(OR(LEFT(LOWER(TRIM($F196&amp;"")),12)="subscription",LOWER(TRIM($F196&amp;""))="membership"),"",IF(OR($N196="",$I196="",$I196=0),"",IFERROR($N196/$I196,""))))</x:f>
      </x:c>
      <x:c r="P196" s="987" t="str">
        <x:f>IF(COUNTA($A196:$M196)=0,"",IF(OR(LEFT(LOWER(TRIM($F196&amp;"")),12)="subscription",LOWER(TRIM($F196&amp;""))="membership"),"",IF(LOWER($L196&amp;"")="yes",0,IF(OR(AND($H196&lt;&gt;"",$H196=0),LEFT(LOWER(TRIM($F196&amp;"")),9)="free game",LOWER(TRIM($F196&amp;""))="free",LOWER(TRIM($F196&amp;""))="free entry"),IF(LOWER($D196&amp;"")="finalized",IF(ISNUMBER($K196),$K196,""),IF($O196&lt;&gt;"",$O196,"")),IF($K196&lt;&gt;"",$K196,IF($O196&lt;&gt;"",$O196,""))))))</x:f>
      </x:c>
      <x:c r="Q196" s="114" t="str">
        <x:f>IF(COUNTA($A196:$M196)=0,"",IF(OR($U196="Subscription",$U196=""),"",IF($U196="Profit",ROUND(IFERROR($P196,0)-IFERROR($H196,0),2),0)))</x:f>
      </x:c>
      <x:c r="R196" s="114" t="str">
        <x:f>IF(COUNTA($A196:$M196)=0,"",IF(OR($U196="Subscription",$U196=""),"",IF($U196="Draw",$H196,0)))</x:f>
      </x:c>
      <x:c r="S196" s="114" t="str">
        <x:f>IF(COUNTA($A196:$M196)=0,"",IF(OR($U196="Subscription",$U196=""),"",IF($U196="Disqualified",$H196,0)))</x:f>
      </x:c>
      <x:c r="T196" s="955" t="str">
        <x:f>IF(COUNTA($A196:$M196)=0,"",IF(OR($U196="Subscription",$U196=""),"",IF(OR($U196="Free Game",$U196="Disqualified — Free Game",$H196=0),"N/A",IF($U196="Profit",$Q196/$H196,IF($U196="Disqualified",-$S196/$H196,0)))))</x:f>
      </x:c>
      <x:c r="U196" s="920" t="str">
        <x:f>IF(COUNTA($A196:$M196)=0,"",IF(OR(LEFT(LOWER(TRIM($F196&amp;"")),12)="subscription",LOWER(TRIM($F196&amp;""))="membership"),"Subscription",IF(OR(AND($H196&lt;&gt;"",$H196=0),LEFT(LOWER(TRIM($F196&amp;"")),9)="free game",LOWER(TRIM($F196&amp;""))="free",LOWER(TRIM($F196&amp;""))="free entry"),IF(LOWER($L196&amp;"")="yes","Disqualified — Free Game","Free Game"),IF(LOWER($L196&amp;"")="yes","Disqualified",IF($P196="","",IF(ROUND(IFERROR(VALUE($P196),0)-IFERROR(VALUE($H196),0),2)&gt;0,"Profit","Draw"))))))</x:f>
      </x:c>
      <x:c r="V196" s="956" t="str">
        <x:f>IF(COUNTA($A196:$M196)=0,"",IF(OR($B196="",$C196="",$U196="Subscription"),"",IFERROR(ROUNDUP(($C196-$B196)/7,0),"")))</x:f>
      </x:c>
      <x:c r="W196" s="114" t="str">
        <x:f>IF(COUNTA($A196:$M196)=0,"",IF(OR($U196="Subscription",$U196=""),"",IF(OR($U196="Free Game",$U196="Disqualified — Free Game"),0,ROUND(IFERROR($Q196,0)-IFERROR($S196,0),2))))</x:f>
      </x:c>
      <x:c r="X196" s="956" t="str">
        <x:f>IF(COUNTA($A196:$M196)=0,"",IF(OR($U196="Subscription",NOT(ISNUMBER($J196)),NOT(ISNUMBER($I196)),$J196=0,$I196=0,$I196&gt;$J196),"",$J196-$I196))</x:f>
      </x:c>
      <x:c r="Y196" s="955" t="str">
        <x:f>IF(COUNTA($A196:$M196)=0,"",IF(OR($U196="Subscription",NOT(ISNUMBER($J196)),$J196=0,$X196=""),"",$X196/$J196))</x:f>
      </x:c>
      <x:c r="Z196" s="957" t="str">
        <x:f>IF(COUNTA($A196:$M196)=0,"",Instructions!$B$29+SUM($W$5:W196))</x:f>
      </x:c>
    </x:row>
    <x:row r="197" ht="36" customHeight="1">
      <x:c r="A197" s="439"/>
      <x:c r="B197" s="453"/>
      <x:c r="C197" s="453"/>
      <x:c r="D197" s="454"/>
      <x:c r="E197" s="454"/>
      <x:c r="F197" s="454"/>
      <x:c r="G197" s="986"/>
      <x:c r="H197" s="455"/>
      <x:c r="I197" s="456"/>
      <x:c r="J197" s="456"/>
      <x:c r="K197" s="986"/>
      <x:c r="L197" s="454"/>
      <x:c r="M197" s="439"/>
      <x:c r="N197" s="987" t="str">
        <x:f>IF(COUNTA($A197:$M197)=0,"",IF(OR(LEFT(LOWER(TRIM($F197&amp;"")),12)="subscription",LOWER(TRIM($F197&amp;""))="membership"),"",IF($G197="","",IF(ISNUMBER(SEARCH("non",LOWER($E197&amp;""))),$G197*0.85,$G197))))</x:f>
      </x:c>
      <x:c r="O197" s="987" t="str">
        <x:f>IF(COUNTA($A197:$M197)=0,"",IF(OR(LEFT(LOWER(TRIM($F197&amp;"")),12)="subscription",LOWER(TRIM($F197&amp;""))="membership"),"",IF(OR($N197="",$I197="",$I197=0),"",IFERROR($N197/$I197,""))))</x:f>
      </x:c>
      <x:c r="P197" s="987" t="str">
        <x:f>IF(COUNTA($A197:$M197)=0,"",IF(OR(LEFT(LOWER(TRIM($F197&amp;"")),12)="subscription",LOWER(TRIM($F197&amp;""))="membership"),"",IF(LOWER($L197&amp;"")="yes",0,IF(OR(AND($H197&lt;&gt;"",$H197=0),LEFT(LOWER(TRIM($F197&amp;"")),9)="free game",LOWER(TRIM($F197&amp;""))="free",LOWER(TRIM($F197&amp;""))="free entry"),IF(LOWER($D197&amp;"")="finalized",IF(ISNUMBER($K197),$K197,""),IF($O197&lt;&gt;"",$O197,"")),IF($K197&lt;&gt;"",$K197,IF($O197&lt;&gt;"",$O197,""))))))</x:f>
      </x:c>
      <x:c r="Q197" s="114" t="str">
        <x:f>IF(COUNTA($A197:$M197)=0,"",IF(OR($U197="Subscription",$U197=""),"",IF($U197="Profit",ROUND(IFERROR($P197,0)-IFERROR($H197,0),2),0)))</x:f>
      </x:c>
      <x:c r="R197" s="114" t="str">
        <x:f>IF(COUNTA($A197:$M197)=0,"",IF(OR($U197="Subscription",$U197=""),"",IF($U197="Draw",$H197,0)))</x:f>
      </x:c>
      <x:c r="S197" s="114" t="str">
        <x:f>IF(COUNTA($A197:$M197)=0,"",IF(OR($U197="Subscription",$U197=""),"",IF($U197="Disqualified",$H197,0)))</x:f>
      </x:c>
      <x:c r="T197" s="955" t="str">
        <x:f>IF(COUNTA($A197:$M197)=0,"",IF(OR($U197="Subscription",$U197=""),"",IF(OR($U197="Free Game",$U197="Disqualified — Free Game",$H197=0),"N/A",IF($U197="Profit",$Q197/$H197,IF($U197="Disqualified",-$S197/$H197,0)))))</x:f>
      </x:c>
      <x:c r="U197" s="920" t="str">
        <x:f>IF(COUNTA($A197:$M197)=0,"",IF(OR(LEFT(LOWER(TRIM($F197&amp;"")),12)="subscription",LOWER(TRIM($F197&amp;""))="membership"),"Subscription",IF(OR(AND($H197&lt;&gt;"",$H197=0),LEFT(LOWER(TRIM($F197&amp;"")),9)="free game",LOWER(TRIM($F197&amp;""))="free",LOWER(TRIM($F197&amp;""))="free entry"),IF(LOWER($L197&amp;"")="yes","Disqualified — Free Game","Free Game"),IF(LOWER($L197&amp;"")="yes","Disqualified",IF($P197="","",IF(ROUND(IFERROR(VALUE($P197),0)-IFERROR(VALUE($H197),0),2)&gt;0,"Profit","Draw"))))))</x:f>
      </x:c>
      <x:c r="V197" s="956" t="str">
        <x:f>IF(COUNTA($A197:$M197)=0,"",IF(OR($B197="",$C197="",$U197="Subscription"),"",IFERROR(ROUNDUP(($C197-$B197)/7,0),"")))</x:f>
      </x:c>
      <x:c r="W197" s="114" t="str">
        <x:f>IF(COUNTA($A197:$M197)=0,"",IF(OR($U197="Subscription",$U197=""),"",IF(OR($U197="Free Game",$U197="Disqualified — Free Game"),0,ROUND(IFERROR($Q197,0)-IFERROR($S197,0),2))))</x:f>
      </x:c>
      <x:c r="X197" s="956" t="str">
        <x:f>IF(COUNTA($A197:$M197)=0,"",IF(OR($U197="Subscription",NOT(ISNUMBER($J197)),NOT(ISNUMBER($I197)),$J197=0,$I197=0,$I197&gt;$J197),"",$J197-$I197))</x:f>
      </x:c>
      <x:c r="Y197" s="955" t="str">
        <x:f>IF(COUNTA($A197:$M197)=0,"",IF(OR($U197="Subscription",NOT(ISNUMBER($J197)),$J197=0,$X197=""),"",$X197/$J197))</x:f>
      </x:c>
      <x:c r="Z197" s="957" t="str">
        <x:f>IF(COUNTA($A197:$M197)=0,"",Instructions!$B$29+SUM($W$5:W197))</x:f>
      </x:c>
    </x:row>
    <x:row r="198" ht="36" customHeight="1">
      <x:c r="A198" s="439"/>
      <x:c r="B198" s="453"/>
      <x:c r="C198" s="453"/>
      <x:c r="D198" s="454"/>
      <x:c r="E198" s="454"/>
      <x:c r="F198" s="454"/>
      <x:c r="G198" s="986"/>
      <x:c r="H198" s="455"/>
      <x:c r="I198" s="456"/>
      <x:c r="J198" s="456"/>
      <x:c r="K198" s="986"/>
      <x:c r="L198" s="454"/>
      <x:c r="M198" s="439"/>
      <x:c r="N198" s="987" t="str">
        <x:f>IF(COUNTA($A198:$M198)=0,"",IF(OR(LEFT(LOWER(TRIM($F198&amp;"")),12)="subscription",LOWER(TRIM($F198&amp;""))="membership"),"",IF($G198="","",IF(ISNUMBER(SEARCH("non",LOWER($E198&amp;""))),$G198*0.85,$G198))))</x:f>
      </x:c>
      <x:c r="O198" s="987" t="str">
        <x:f>IF(COUNTA($A198:$M198)=0,"",IF(OR(LEFT(LOWER(TRIM($F198&amp;"")),12)="subscription",LOWER(TRIM($F198&amp;""))="membership"),"",IF(OR($N198="",$I198="",$I198=0),"",IFERROR($N198/$I198,""))))</x:f>
      </x:c>
      <x:c r="P198" s="987" t="str">
        <x:f>IF(COUNTA($A198:$M198)=0,"",IF(OR(LEFT(LOWER(TRIM($F198&amp;"")),12)="subscription",LOWER(TRIM($F198&amp;""))="membership"),"",IF(LOWER($L198&amp;"")="yes",0,IF(OR(AND($H198&lt;&gt;"",$H198=0),LEFT(LOWER(TRIM($F198&amp;"")),9)="free game",LOWER(TRIM($F198&amp;""))="free",LOWER(TRIM($F198&amp;""))="free entry"),IF(LOWER($D198&amp;"")="finalized",IF(ISNUMBER($K198),$K198,""),IF($O198&lt;&gt;"",$O198,"")),IF($K198&lt;&gt;"",$K198,IF($O198&lt;&gt;"",$O198,""))))))</x:f>
      </x:c>
      <x:c r="Q198" s="114" t="str">
        <x:f>IF(COUNTA($A198:$M198)=0,"",IF(OR($U198="Subscription",$U198=""),"",IF($U198="Profit",ROUND(IFERROR($P198,0)-IFERROR($H198,0),2),0)))</x:f>
      </x:c>
      <x:c r="R198" s="114" t="str">
        <x:f>IF(COUNTA($A198:$M198)=0,"",IF(OR($U198="Subscription",$U198=""),"",IF($U198="Draw",$H198,0)))</x:f>
      </x:c>
      <x:c r="S198" s="114" t="str">
        <x:f>IF(COUNTA($A198:$M198)=0,"",IF(OR($U198="Subscription",$U198=""),"",IF($U198="Disqualified",$H198,0)))</x:f>
      </x:c>
      <x:c r="T198" s="955" t="str">
        <x:f>IF(COUNTA($A198:$M198)=0,"",IF(OR($U198="Subscription",$U198=""),"",IF(OR($U198="Free Game",$U198="Disqualified — Free Game",$H198=0),"N/A",IF($U198="Profit",$Q198/$H198,IF($U198="Disqualified",-$S198/$H198,0)))))</x:f>
      </x:c>
      <x:c r="U198" s="920" t="str">
        <x:f>IF(COUNTA($A198:$M198)=0,"",IF(OR(LEFT(LOWER(TRIM($F198&amp;"")),12)="subscription",LOWER(TRIM($F198&amp;""))="membership"),"Subscription",IF(OR(AND($H198&lt;&gt;"",$H198=0),LEFT(LOWER(TRIM($F198&amp;"")),9)="free game",LOWER(TRIM($F198&amp;""))="free",LOWER(TRIM($F198&amp;""))="free entry"),IF(LOWER($L198&amp;"")="yes","Disqualified — Free Game","Free Game"),IF(LOWER($L198&amp;"")="yes","Disqualified",IF($P198="","",IF(ROUND(IFERROR(VALUE($P198),0)-IFERROR(VALUE($H198),0),2)&gt;0,"Profit","Draw"))))))</x:f>
      </x:c>
      <x:c r="V198" s="956" t="str">
        <x:f>IF(COUNTA($A198:$M198)=0,"",IF(OR($B198="",$C198="",$U198="Subscription"),"",IFERROR(ROUNDUP(($C198-$B198)/7,0),"")))</x:f>
      </x:c>
      <x:c r="W198" s="114" t="str">
        <x:f>IF(COUNTA($A198:$M198)=0,"",IF(OR($U198="Subscription",$U198=""),"",IF(OR($U198="Free Game",$U198="Disqualified — Free Game"),0,ROUND(IFERROR($Q198,0)-IFERROR($S198,0),2))))</x:f>
      </x:c>
      <x:c r="X198" s="956" t="str">
        <x:f>IF(COUNTA($A198:$M198)=0,"",IF(OR($U198="Subscription",NOT(ISNUMBER($J198)),NOT(ISNUMBER($I198)),$J198=0,$I198=0,$I198&gt;$J198),"",$J198-$I198))</x:f>
      </x:c>
      <x:c r="Y198" s="955" t="str">
        <x:f>IF(COUNTA($A198:$M198)=0,"",IF(OR($U198="Subscription",NOT(ISNUMBER($J198)),$J198=0,$X198=""),"",$X198/$J198))</x:f>
      </x:c>
      <x:c r="Z198" s="957" t="str">
        <x:f>IF(COUNTA($A198:$M198)=0,"",Instructions!$B$29+SUM($W$5:W198))</x:f>
      </x:c>
    </x:row>
    <x:row r="199" ht="36" customHeight="1">
      <x:c r="A199" s="439"/>
      <x:c r="B199" s="453"/>
      <x:c r="C199" s="453"/>
      <x:c r="D199" s="454"/>
      <x:c r="E199" s="454"/>
      <x:c r="F199" s="454"/>
      <x:c r="G199" s="986"/>
      <x:c r="H199" s="455"/>
      <x:c r="I199" s="456"/>
      <x:c r="J199" s="456"/>
      <x:c r="K199" s="986"/>
      <x:c r="L199" s="454"/>
      <x:c r="M199" s="439"/>
      <x:c r="N199" s="987" t="str">
        <x:f>IF(COUNTA($A199:$M199)=0,"",IF(OR(LEFT(LOWER(TRIM($F199&amp;"")),12)="subscription",LOWER(TRIM($F199&amp;""))="membership"),"",IF($G199="","",IF(ISNUMBER(SEARCH("non",LOWER($E199&amp;""))),$G199*0.85,$G199))))</x:f>
      </x:c>
      <x:c r="O199" s="987" t="str">
        <x:f>IF(COUNTA($A199:$M199)=0,"",IF(OR(LEFT(LOWER(TRIM($F199&amp;"")),12)="subscription",LOWER(TRIM($F199&amp;""))="membership"),"",IF(OR($N199="",$I199="",$I199=0),"",IFERROR($N199/$I199,""))))</x:f>
      </x:c>
      <x:c r="P199" s="987" t="str">
        <x:f>IF(COUNTA($A199:$M199)=0,"",IF(OR(LEFT(LOWER(TRIM($F199&amp;"")),12)="subscription",LOWER(TRIM($F199&amp;""))="membership"),"",IF(LOWER($L199&amp;"")="yes",0,IF(OR(AND($H199&lt;&gt;"",$H199=0),LEFT(LOWER(TRIM($F199&amp;"")),9)="free game",LOWER(TRIM($F199&amp;""))="free",LOWER(TRIM($F199&amp;""))="free entry"),IF(LOWER($D199&amp;"")="finalized",IF(ISNUMBER($K199),$K199,""),IF($O199&lt;&gt;"",$O199,"")),IF($K199&lt;&gt;"",$K199,IF($O199&lt;&gt;"",$O199,""))))))</x:f>
      </x:c>
      <x:c r="Q199" s="114" t="str">
        <x:f>IF(COUNTA($A199:$M199)=0,"",IF(OR($U199="Subscription",$U199=""),"",IF($U199="Profit",ROUND(IFERROR($P199,0)-IFERROR($H199,0),2),0)))</x:f>
      </x:c>
      <x:c r="R199" s="114" t="str">
        <x:f>IF(COUNTA($A199:$M199)=0,"",IF(OR($U199="Subscription",$U199=""),"",IF($U199="Draw",$H199,0)))</x:f>
      </x:c>
      <x:c r="S199" s="114" t="str">
        <x:f>IF(COUNTA($A199:$M199)=0,"",IF(OR($U199="Subscription",$U199=""),"",IF($U199="Disqualified",$H199,0)))</x:f>
      </x:c>
      <x:c r="T199" s="955" t="str">
        <x:f>IF(COUNTA($A199:$M199)=0,"",IF(OR($U199="Subscription",$U199=""),"",IF(OR($U199="Free Game",$U199="Disqualified — Free Game",$H199=0),"N/A",IF($U199="Profit",$Q199/$H199,IF($U199="Disqualified",-$S199/$H199,0)))))</x:f>
      </x:c>
      <x:c r="U199" s="920" t="str">
        <x:f>IF(COUNTA($A199:$M199)=0,"",IF(OR(LEFT(LOWER(TRIM($F199&amp;"")),12)="subscription",LOWER(TRIM($F199&amp;""))="membership"),"Subscription",IF(OR(AND($H199&lt;&gt;"",$H199=0),LEFT(LOWER(TRIM($F199&amp;"")),9)="free game",LOWER(TRIM($F199&amp;""))="free",LOWER(TRIM($F199&amp;""))="free entry"),IF(LOWER($L199&amp;"")="yes","Disqualified — Free Game","Free Game"),IF(LOWER($L199&amp;"")="yes","Disqualified",IF($P199="","",IF(ROUND(IFERROR(VALUE($P199),0)-IFERROR(VALUE($H199),0),2)&gt;0,"Profit","Draw"))))))</x:f>
      </x:c>
      <x:c r="V199" s="956" t="str">
        <x:f>IF(COUNTA($A199:$M199)=0,"",IF(OR($B199="",$C199="",$U199="Subscription"),"",IFERROR(ROUNDUP(($C199-$B199)/7,0),"")))</x:f>
      </x:c>
      <x:c r="W199" s="114" t="str">
        <x:f>IF(COUNTA($A199:$M199)=0,"",IF(OR($U199="Subscription",$U199=""),"",IF(OR($U199="Free Game",$U199="Disqualified — Free Game"),0,ROUND(IFERROR($Q199,0)-IFERROR($S199,0),2))))</x:f>
      </x:c>
      <x:c r="X199" s="956" t="str">
        <x:f>IF(COUNTA($A199:$M199)=0,"",IF(OR($U199="Subscription",NOT(ISNUMBER($J199)),NOT(ISNUMBER($I199)),$J199=0,$I199=0,$I199&gt;$J199),"",$J199-$I199))</x:f>
      </x:c>
      <x:c r="Y199" s="955" t="str">
        <x:f>IF(COUNTA($A199:$M199)=0,"",IF(OR($U199="Subscription",NOT(ISNUMBER($J199)),$J199=0,$X199=""),"",$X199/$J199))</x:f>
      </x:c>
      <x:c r="Z199" s="957" t="str">
        <x:f>IF(COUNTA($A199:$M199)=0,"",Instructions!$B$29+SUM($W$5:W199))</x:f>
      </x:c>
    </x:row>
    <x:row r="200" ht="36" customHeight="1">
      <x:c r="A200" s="439"/>
      <x:c r="B200" s="453"/>
      <x:c r="C200" s="453"/>
      <x:c r="D200" s="454"/>
      <x:c r="E200" s="454"/>
      <x:c r="F200" s="454"/>
      <x:c r="G200" s="986"/>
      <x:c r="H200" s="455"/>
      <x:c r="I200" s="456"/>
      <x:c r="J200" s="456"/>
      <x:c r="K200" s="986"/>
      <x:c r="L200" s="454"/>
      <x:c r="M200" s="439"/>
      <x:c r="N200" s="987" t="str">
        <x:f>IF(COUNTA($A200:$M200)=0,"",IF(OR(LEFT(LOWER(TRIM($F200&amp;"")),12)="subscription",LOWER(TRIM($F200&amp;""))="membership"),"",IF($G200="","",IF(ISNUMBER(SEARCH("non",LOWER($E200&amp;""))),$G200*0.85,$G200))))</x:f>
      </x:c>
      <x:c r="O200" s="987" t="str">
        <x:f>IF(COUNTA($A200:$M200)=0,"",IF(OR(LEFT(LOWER(TRIM($F200&amp;"")),12)="subscription",LOWER(TRIM($F200&amp;""))="membership"),"",IF(OR($N200="",$I200="",$I200=0),"",IFERROR($N200/$I200,""))))</x:f>
      </x:c>
      <x:c r="P200" s="987" t="str">
        <x:f>IF(COUNTA($A200:$M200)=0,"",IF(OR(LEFT(LOWER(TRIM($F200&amp;"")),12)="subscription",LOWER(TRIM($F200&amp;""))="membership"),"",IF(LOWER($L200&amp;"")="yes",0,IF(OR(AND($H200&lt;&gt;"",$H200=0),LEFT(LOWER(TRIM($F200&amp;"")),9)="free game",LOWER(TRIM($F200&amp;""))="free",LOWER(TRIM($F200&amp;""))="free entry"),IF(LOWER($D200&amp;"")="finalized",IF(ISNUMBER($K200),$K200,""),IF($O200&lt;&gt;"",$O200,"")),IF($K200&lt;&gt;"",$K200,IF($O200&lt;&gt;"",$O200,""))))))</x:f>
      </x:c>
      <x:c r="Q200" s="114" t="str">
        <x:f>IF(COUNTA($A200:$M200)=0,"",IF(OR($U200="Subscription",$U200=""),"",IF($U200="Profit",ROUND(IFERROR($P200,0)-IFERROR($H200,0),2),0)))</x:f>
      </x:c>
      <x:c r="R200" s="114" t="str">
        <x:f>IF(COUNTA($A200:$M200)=0,"",IF(OR($U200="Subscription",$U200=""),"",IF($U200="Draw",$H200,0)))</x:f>
      </x:c>
      <x:c r="S200" s="114" t="str">
        <x:f>IF(COUNTA($A200:$M200)=0,"",IF(OR($U200="Subscription",$U200=""),"",IF($U200="Disqualified",$H200,0)))</x:f>
      </x:c>
      <x:c r="T200" s="955" t="str">
        <x:f>IF(COUNTA($A200:$M200)=0,"",IF(OR($U200="Subscription",$U200=""),"",IF(OR($U200="Free Game",$U200="Disqualified — Free Game",$H200=0),"N/A",IF($U200="Profit",$Q200/$H200,IF($U200="Disqualified",-$S200/$H200,0)))))</x:f>
      </x:c>
      <x:c r="U200" s="920" t="str">
        <x:f>IF(COUNTA($A200:$M200)=0,"",IF(OR(LEFT(LOWER(TRIM($F200&amp;"")),12)="subscription",LOWER(TRIM($F200&amp;""))="membership"),"Subscription",IF(OR(AND($H200&lt;&gt;"",$H200=0),LEFT(LOWER(TRIM($F200&amp;"")),9)="free game",LOWER(TRIM($F200&amp;""))="free",LOWER(TRIM($F200&amp;""))="free entry"),IF(LOWER($L200&amp;"")="yes","Disqualified — Free Game","Free Game"),IF(LOWER($L200&amp;"")="yes","Disqualified",IF($P200="","",IF(ROUND(IFERROR(VALUE($P200),0)-IFERROR(VALUE($H200),0),2)&gt;0,"Profit","Draw"))))))</x:f>
      </x:c>
      <x:c r="V200" s="956" t="str">
        <x:f>IF(COUNTA($A200:$M200)=0,"",IF(OR($B200="",$C200="",$U200="Subscription"),"",IFERROR(ROUNDUP(($C200-$B200)/7,0),"")))</x:f>
      </x:c>
      <x:c r="W200" s="114" t="str">
        <x:f>IF(COUNTA($A200:$M200)=0,"",IF(OR($U200="Subscription",$U200=""),"",IF(OR($U200="Free Game",$U200="Disqualified — Free Game"),0,ROUND(IFERROR($Q200,0)-IFERROR($S200,0),2))))</x:f>
      </x:c>
      <x:c r="X200" s="956" t="str">
        <x:f>IF(COUNTA($A200:$M200)=0,"",IF(OR($U200="Subscription",NOT(ISNUMBER($J200)),NOT(ISNUMBER($I200)),$J200=0,$I200=0,$I200&gt;$J200),"",$J200-$I200))</x:f>
      </x:c>
      <x:c r="Y200" s="955" t="str">
        <x:f>IF(COUNTA($A200:$M200)=0,"",IF(OR($U200="Subscription",NOT(ISNUMBER($J200)),$J200=0,$X200=""),"",$X200/$J200))</x:f>
      </x:c>
      <x:c r="Z200" s="957" t="str">
        <x:f>IF(COUNTA($A200:$M200)=0,"",Instructions!$B$29+SUM($W$5:W200))</x:f>
      </x:c>
    </x:row>
    <x:row r="201" ht="36" customHeight="1">
      <x:c r="A201" s="439"/>
      <x:c r="B201" s="453"/>
      <x:c r="C201" s="453"/>
      <x:c r="D201" s="454"/>
      <x:c r="E201" s="454"/>
      <x:c r="F201" s="454"/>
      <x:c r="G201" s="986"/>
      <x:c r="H201" s="455"/>
      <x:c r="I201" s="456"/>
      <x:c r="J201" s="456"/>
      <x:c r="K201" s="986"/>
      <x:c r="L201" s="454"/>
      <x:c r="M201" s="439"/>
      <x:c r="N201" s="987" t="str">
        <x:f>IF(COUNTA($A201:$M201)=0,"",IF(OR(LEFT(LOWER(TRIM($F201&amp;"")),12)="subscription",LOWER(TRIM($F201&amp;""))="membership"),"",IF($G201="","",IF(ISNUMBER(SEARCH("non",LOWER($E201&amp;""))),$G201*0.85,$G201))))</x:f>
      </x:c>
      <x:c r="O201" s="987" t="str">
        <x:f>IF(COUNTA($A201:$M201)=0,"",IF(OR(LEFT(LOWER(TRIM($F201&amp;"")),12)="subscription",LOWER(TRIM($F201&amp;""))="membership"),"",IF(OR($N201="",$I201="",$I201=0),"",IFERROR($N201/$I201,""))))</x:f>
      </x:c>
      <x:c r="P201" s="987" t="str">
        <x:f>IF(COUNTA($A201:$M201)=0,"",IF(OR(LEFT(LOWER(TRIM($F201&amp;"")),12)="subscription",LOWER(TRIM($F201&amp;""))="membership"),"",IF(LOWER($L201&amp;"")="yes",0,IF(OR(AND($H201&lt;&gt;"",$H201=0),LEFT(LOWER(TRIM($F201&amp;"")),9)="free game",LOWER(TRIM($F201&amp;""))="free",LOWER(TRIM($F201&amp;""))="free entry"),IF(LOWER($D201&amp;"")="finalized",IF(ISNUMBER($K201),$K201,""),IF($O201&lt;&gt;"",$O201,"")),IF($K201&lt;&gt;"",$K201,IF($O201&lt;&gt;"",$O201,""))))))</x:f>
      </x:c>
      <x:c r="Q201" s="114" t="str">
        <x:f>IF(COUNTA($A201:$M201)=0,"",IF(OR($U201="Subscription",$U201=""),"",IF($U201="Profit",ROUND(IFERROR($P201,0)-IFERROR($H201,0),2),0)))</x:f>
      </x:c>
      <x:c r="R201" s="114" t="str">
        <x:f>IF(COUNTA($A201:$M201)=0,"",IF(OR($U201="Subscription",$U201=""),"",IF($U201="Draw",$H201,0)))</x:f>
      </x:c>
      <x:c r="S201" s="114" t="str">
        <x:f>IF(COUNTA($A201:$M201)=0,"",IF(OR($U201="Subscription",$U201=""),"",IF($U201="Disqualified",$H201,0)))</x:f>
      </x:c>
      <x:c r="T201" s="955" t="str">
        <x:f>IF(COUNTA($A201:$M201)=0,"",IF(OR($U201="Subscription",$U201=""),"",IF(OR($U201="Free Game",$U201="Disqualified — Free Game",$H201=0),"N/A",IF($U201="Profit",$Q201/$H201,IF($U201="Disqualified",-$S201/$H201,0)))))</x:f>
      </x:c>
      <x:c r="U201" s="920" t="str">
        <x:f>IF(COUNTA($A201:$M201)=0,"",IF(OR(LEFT(LOWER(TRIM($F201&amp;"")),12)="subscription",LOWER(TRIM($F201&amp;""))="membership"),"Subscription",IF(OR(AND($H201&lt;&gt;"",$H201=0),LEFT(LOWER(TRIM($F201&amp;"")),9)="free game",LOWER(TRIM($F201&amp;""))="free",LOWER(TRIM($F201&amp;""))="free entry"),IF(LOWER($L201&amp;"")="yes","Disqualified — Free Game","Free Game"),IF(LOWER($L201&amp;"")="yes","Disqualified",IF($P201="","",IF(ROUND(IFERROR(VALUE($P201),0)-IFERROR(VALUE($H201),0),2)&gt;0,"Profit","Draw"))))))</x:f>
      </x:c>
      <x:c r="V201" s="956" t="str">
        <x:f>IF(COUNTA($A201:$M201)=0,"",IF(OR($B201="",$C201="",$U201="Subscription"),"",IFERROR(ROUNDUP(($C201-$B201)/7,0),"")))</x:f>
      </x:c>
      <x:c r="W201" s="114" t="str">
        <x:f>IF(COUNTA($A201:$M201)=0,"",IF(OR($U201="Subscription",$U201=""),"",IF(OR($U201="Free Game",$U201="Disqualified — Free Game"),0,ROUND(IFERROR($Q201,0)-IFERROR($S201,0),2))))</x:f>
      </x:c>
      <x:c r="X201" s="956" t="str">
        <x:f>IF(COUNTA($A201:$M201)=0,"",IF(OR($U201="Subscription",NOT(ISNUMBER($J201)),NOT(ISNUMBER($I201)),$J201=0,$I201=0,$I201&gt;$J201),"",$J201-$I201))</x:f>
      </x:c>
      <x:c r="Y201" s="955" t="str">
        <x:f>IF(COUNTA($A201:$M201)=0,"",IF(OR($U201="Subscription",NOT(ISNUMBER($J201)),$J201=0,$X201=""),"",$X201/$J201))</x:f>
      </x:c>
      <x:c r="Z201" s="957" t="str">
        <x:f>IF(COUNTA($A201:$M201)=0,"",Instructions!$B$29+SUM($W$5:W201))</x:f>
      </x:c>
    </x:row>
    <x:row r="202" ht="36" customHeight="1">
      <x:c r="A202" s="439"/>
      <x:c r="B202" s="453"/>
      <x:c r="C202" s="453"/>
      <x:c r="D202" s="454"/>
      <x:c r="E202" s="454"/>
      <x:c r="F202" s="454"/>
      <x:c r="G202" s="986"/>
      <x:c r="H202" s="455"/>
      <x:c r="I202" s="456"/>
      <x:c r="J202" s="456"/>
      <x:c r="K202" s="986"/>
      <x:c r="L202" s="454"/>
      <x:c r="M202" s="439"/>
      <x:c r="N202" s="987" t="str">
        <x:f>IF(COUNTA($A202:$M202)=0,"",IF(OR(LEFT(LOWER(TRIM($F202&amp;"")),12)="subscription",LOWER(TRIM($F202&amp;""))="membership"),"",IF($G202="","",IF(ISNUMBER(SEARCH("non",LOWER($E202&amp;""))),$G202*0.85,$G202))))</x:f>
      </x:c>
      <x:c r="O202" s="987" t="str">
        <x:f>IF(COUNTA($A202:$M202)=0,"",IF(OR(LEFT(LOWER(TRIM($F202&amp;"")),12)="subscription",LOWER(TRIM($F202&amp;""))="membership"),"",IF(OR($N202="",$I202="",$I202=0),"",IFERROR($N202/$I202,""))))</x:f>
      </x:c>
      <x:c r="P202" s="987" t="str">
        <x:f>IF(COUNTA($A202:$M202)=0,"",IF(OR(LEFT(LOWER(TRIM($F202&amp;"")),12)="subscription",LOWER(TRIM($F202&amp;""))="membership"),"",IF(LOWER($L202&amp;"")="yes",0,IF(OR(AND($H202&lt;&gt;"",$H202=0),LEFT(LOWER(TRIM($F202&amp;"")),9)="free game",LOWER(TRIM($F202&amp;""))="free",LOWER(TRIM($F202&amp;""))="free entry"),IF(LOWER($D202&amp;"")="finalized",IF(ISNUMBER($K202),$K202,""),IF($O202&lt;&gt;"",$O202,"")),IF($K202&lt;&gt;"",$K202,IF($O202&lt;&gt;"",$O202,""))))))</x:f>
      </x:c>
      <x:c r="Q202" s="114" t="str">
        <x:f>IF(COUNTA($A202:$M202)=0,"",IF(OR($U202="Subscription",$U202=""),"",IF($U202="Profit",ROUND(IFERROR($P202,0)-IFERROR($H202,0),2),0)))</x:f>
      </x:c>
      <x:c r="R202" s="114" t="str">
        <x:f>IF(COUNTA($A202:$M202)=0,"",IF(OR($U202="Subscription",$U202=""),"",IF($U202="Draw",$H202,0)))</x:f>
      </x:c>
      <x:c r="S202" s="114" t="str">
        <x:f>IF(COUNTA($A202:$M202)=0,"",IF(OR($U202="Subscription",$U202=""),"",IF($U202="Disqualified",$H202,0)))</x:f>
      </x:c>
      <x:c r="T202" s="955" t="str">
        <x:f>IF(COUNTA($A202:$M202)=0,"",IF(OR($U202="Subscription",$U202=""),"",IF(OR($U202="Free Game",$U202="Disqualified — Free Game",$H202=0),"N/A",IF($U202="Profit",$Q202/$H202,IF($U202="Disqualified",-$S202/$H202,0)))))</x:f>
      </x:c>
      <x:c r="U202" s="920" t="str">
        <x:f>IF(COUNTA($A202:$M202)=0,"",IF(OR(LEFT(LOWER(TRIM($F202&amp;"")),12)="subscription",LOWER(TRIM($F202&amp;""))="membership"),"Subscription",IF(OR(AND($H202&lt;&gt;"",$H202=0),LEFT(LOWER(TRIM($F202&amp;"")),9)="free game",LOWER(TRIM($F202&amp;""))="free",LOWER(TRIM($F202&amp;""))="free entry"),IF(LOWER($L202&amp;"")="yes","Disqualified — Free Game","Free Game"),IF(LOWER($L202&amp;"")="yes","Disqualified",IF($P202="","",IF(ROUND(IFERROR(VALUE($P202),0)-IFERROR(VALUE($H202),0),2)&gt;0,"Profit","Draw"))))))</x:f>
      </x:c>
      <x:c r="V202" s="956" t="str">
        <x:f>IF(COUNTA($A202:$M202)=0,"",IF(OR($B202="",$C202="",$U202="Subscription"),"",IFERROR(ROUNDUP(($C202-$B202)/7,0),"")))</x:f>
      </x:c>
      <x:c r="W202" s="114" t="str">
        <x:f>IF(COUNTA($A202:$M202)=0,"",IF(OR($U202="Subscription",$U202=""),"",IF(OR($U202="Free Game",$U202="Disqualified — Free Game"),0,ROUND(IFERROR($Q202,0)-IFERROR($S202,0),2))))</x:f>
      </x:c>
      <x:c r="X202" s="956" t="str">
        <x:f>IF(COUNTA($A202:$M202)=0,"",IF(OR($U202="Subscription",NOT(ISNUMBER($J202)),NOT(ISNUMBER($I202)),$J202=0,$I202=0,$I202&gt;$J202),"",$J202-$I202))</x:f>
      </x:c>
      <x:c r="Y202" s="955" t="str">
        <x:f>IF(COUNTA($A202:$M202)=0,"",IF(OR($U202="Subscription",NOT(ISNUMBER($J202)),$J202=0,$X202=""),"",$X202/$J202))</x:f>
      </x:c>
      <x:c r="Z202" s="957" t="str">
        <x:f>IF(COUNTA($A202:$M202)=0,"",Instructions!$B$29+SUM($W$5:W202))</x:f>
      </x:c>
    </x:row>
    <x:row r="203" ht="36" customHeight="1">
      <x:c r="A203" s="439"/>
      <x:c r="B203" s="453"/>
      <x:c r="C203" s="453"/>
      <x:c r="D203" s="454"/>
      <x:c r="E203" s="454"/>
      <x:c r="F203" s="454"/>
      <x:c r="G203" s="986"/>
      <x:c r="H203" s="455"/>
      <x:c r="I203" s="456"/>
      <x:c r="J203" s="456"/>
      <x:c r="K203" s="986"/>
      <x:c r="L203" s="454"/>
      <x:c r="M203" s="439"/>
      <x:c r="N203" s="987" t="str">
        <x:f>IF(COUNTA($A203:$M203)=0,"",IF(OR(LEFT(LOWER(TRIM($F203&amp;"")),12)="subscription",LOWER(TRIM($F203&amp;""))="membership"),"",IF($G203="","",IF(ISNUMBER(SEARCH("non",LOWER($E203&amp;""))),$G203*0.85,$G203))))</x:f>
      </x:c>
      <x:c r="O203" s="987" t="str">
        <x:f>IF(COUNTA($A203:$M203)=0,"",IF(OR(LEFT(LOWER(TRIM($F203&amp;"")),12)="subscription",LOWER(TRIM($F203&amp;""))="membership"),"",IF(OR($N203="",$I203="",$I203=0),"",IFERROR($N203/$I203,""))))</x:f>
      </x:c>
      <x:c r="P203" s="987" t="str">
        <x:f>IF(COUNTA($A203:$M203)=0,"",IF(OR(LEFT(LOWER(TRIM($F203&amp;"")),12)="subscription",LOWER(TRIM($F203&amp;""))="membership"),"",IF(LOWER($L203&amp;"")="yes",0,IF(OR(AND($H203&lt;&gt;"",$H203=0),LEFT(LOWER(TRIM($F203&amp;"")),9)="free game",LOWER(TRIM($F203&amp;""))="free",LOWER(TRIM($F203&amp;""))="free entry"),IF(LOWER($D203&amp;"")="finalized",IF(ISNUMBER($K203),$K203,""),IF($O203&lt;&gt;"",$O203,"")),IF($K203&lt;&gt;"",$K203,IF($O203&lt;&gt;"",$O203,""))))))</x:f>
      </x:c>
      <x:c r="Q203" s="114" t="str">
        <x:f>IF(COUNTA($A203:$M203)=0,"",IF(OR($U203="Subscription",$U203=""),"",IF($U203="Profit",ROUND(IFERROR($P203,0)-IFERROR($H203,0),2),0)))</x:f>
      </x:c>
      <x:c r="R203" s="114" t="str">
        <x:f>IF(COUNTA($A203:$M203)=0,"",IF(OR($U203="Subscription",$U203=""),"",IF($U203="Draw",$H203,0)))</x:f>
      </x:c>
      <x:c r="S203" s="114" t="str">
        <x:f>IF(COUNTA($A203:$M203)=0,"",IF(OR($U203="Subscription",$U203=""),"",IF($U203="Disqualified",$H203,0)))</x:f>
      </x:c>
      <x:c r="T203" s="955" t="str">
        <x:f>IF(COUNTA($A203:$M203)=0,"",IF(OR($U203="Subscription",$U203=""),"",IF(OR($U203="Free Game",$U203="Disqualified — Free Game",$H203=0),"N/A",IF($U203="Profit",$Q203/$H203,IF($U203="Disqualified",-$S203/$H203,0)))))</x:f>
      </x:c>
      <x:c r="U203" s="920" t="str">
        <x:f>IF(COUNTA($A203:$M203)=0,"",IF(OR(LEFT(LOWER(TRIM($F203&amp;"")),12)="subscription",LOWER(TRIM($F203&amp;""))="membership"),"Subscription",IF(OR(AND($H203&lt;&gt;"",$H203=0),LEFT(LOWER(TRIM($F203&amp;"")),9)="free game",LOWER(TRIM($F203&amp;""))="free",LOWER(TRIM($F203&amp;""))="free entry"),IF(LOWER($L203&amp;"")="yes","Disqualified — Free Game","Free Game"),IF(LOWER($L203&amp;"")="yes","Disqualified",IF($P203="","",IF(ROUND(IFERROR(VALUE($P203),0)-IFERROR(VALUE($H203),0),2)&gt;0,"Profit","Draw"))))))</x:f>
      </x:c>
      <x:c r="V203" s="956" t="str">
        <x:f>IF(COUNTA($A203:$M203)=0,"",IF(OR($B203="",$C203="",$U203="Subscription"),"",IFERROR(ROUNDUP(($C203-$B203)/7,0),"")))</x:f>
      </x:c>
      <x:c r="W203" s="114" t="str">
        <x:f>IF(COUNTA($A203:$M203)=0,"",IF(OR($U203="Subscription",$U203=""),"",IF(OR($U203="Free Game",$U203="Disqualified — Free Game"),0,ROUND(IFERROR($Q203,0)-IFERROR($S203,0),2))))</x:f>
      </x:c>
      <x:c r="X203" s="956" t="str">
        <x:f>IF(COUNTA($A203:$M203)=0,"",IF(OR($U203="Subscription",NOT(ISNUMBER($J203)),NOT(ISNUMBER($I203)),$J203=0,$I203=0,$I203&gt;$J203),"",$J203-$I203))</x:f>
      </x:c>
      <x:c r="Y203" s="955" t="str">
        <x:f>IF(COUNTA($A203:$M203)=0,"",IF(OR($U203="Subscription",NOT(ISNUMBER($J203)),$J203=0,$X203=""),"",$X203/$J203))</x:f>
      </x:c>
      <x:c r="Z203" s="957" t="str">
        <x:f>IF(COUNTA($A203:$M203)=0,"",Instructions!$B$29+SUM($W$5:W203))</x:f>
      </x:c>
    </x:row>
    <x:row r="204" ht="36" customHeight="1">
      <x:c r="A204" s="439"/>
      <x:c r="B204" s="453"/>
      <x:c r="C204" s="453"/>
      <x:c r="D204" s="454"/>
      <x:c r="E204" s="454"/>
      <x:c r="F204" s="454"/>
      <x:c r="G204" s="986"/>
      <x:c r="H204" s="455"/>
      <x:c r="I204" s="456"/>
      <x:c r="J204" s="456"/>
      <x:c r="K204" s="986"/>
      <x:c r="L204" s="454"/>
      <x:c r="M204" s="439"/>
      <x:c r="N204" s="987" t="str">
        <x:f>IF(COUNTA($A204:$M204)=0,"",IF(OR(LEFT(LOWER(TRIM($F204&amp;"")),12)="subscription",LOWER(TRIM($F204&amp;""))="membership"),"",IF($G204="","",IF(ISNUMBER(SEARCH("non",LOWER($E204&amp;""))),$G204*0.85,$G204))))</x:f>
      </x:c>
      <x:c r="O204" s="987" t="str">
        <x:f>IF(COUNTA($A204:$M204)=0,"",IF(OR(LEFT(LOWER(TRIM($F204&amp;"")),12)="subscription",LOWER(TRIM($F204&amp;""))="membership"),"",IF(OR($N204="",$I204="",$I204=0),"",IFERROR($N204/$I204,""))))</x:f>
      </x:c>
      <x:c r="P204" s="987" t="str">
        <x:f>IF(COUNTA($A204:$M204)=0,"",IF(OR(LEFT(LOWER(TRIM($F204&amp;"")),12)="subscription",LOWER(TRIM($F204&amp;""))="membership"),"",IF(LOWER($L204&amp;"")="yes",0,IF(OR(AND($H204&lt;&gt;"",$H204=0),LEFT(LOWER(TRIM($F204&amp;"")),9)="free game",LOWER(TRIM($F204&amp;""))="free",LOWER(TRIM($F204&amp;""))="free entry"),IF(LOWER($D204&amp;"")="finalized",IF(ISNUMBER($K204),$K204,""),IF($O204&lt;&gt;"",$O204,"")),IF($K204&lt;&gt;"",$K204,IF($O204&lt;&gt;"",$O204,""))))))</x:f>
      </x:c>
      <x:c r="Q204" s="114" t="str">
        <x:f>IF(COUNTA($A204:$M204)=0,"",IF(OR($U204="Subscription",$U204=""),"",IF($U204="Profit",ROUND(IFERROR($P204,0)-IFERROR($H204,0),2),0)))</x:f>
      </x:c>
      <x:c r="R204" s="114" t="str">
        <x:f>IF(COUNTA($A204:$M204)=0,"",IF(OR($U204="Subscription",$U204=""),"",IF($U204="Draw",$H204,0)))</x:f>
      </x:c>
      <x:c r="S204" s="114" t="str">
        <x:f>IF(COUNTA($A204:$M204)=0,"",IF(OR($U204="Subscription",$U204=""),"",IF($U204="Disqualified",$H204,0)))</x:f>
      </x:c>
      <x:c r="T204" s="955" t="str">
        <x:f>IF(COUNTA($A204:$M204)=0,"",IF(OR($U204="Subscription",$U204=""),"",IF(OR($U204="Free Game",$U204="Disqualified — Free Game",$H204=0),"N/A",IF($U204="Profit",$Q204/$H204,IF($U204="Disqualified",-$S204/$H204,0)))))</x:f>
      </x:c>
      <x:c r="U204" s="920" t="str">
        <x:f>IF(COUNTA($A204:$M204)=0,"",IF(OR(LEFT(LOWER(TRIM($F204&amp;"")),12)="subscription",LOWER(TRIM($F204&amp;""))="membership"),"Subscription",IF(OR(AND($H204&lt;&gt;"",$H204=0),LEFT(LOWER(TRIM($F204&amp;"")),9)="free game",LOWER(TRIM($F204&amp;""))="free",LOWER(TRIM($F204&amp;""))="free entry"),IF(LOWER($L204&amp;"")="yes","Disqualified — Free Game","Free Game"),IF(LOWER($L204&amp;"")="yes","Disqualified",IF($P204="","",IF(ROUND(IFERROR(VALUE($P204),0)-IFERROR(VALUE($H204),0),2)&gt;0,"Profit","Draw"))))))</x:f>
      </x:c>
      <x:c r="V204" s="956" t="str">
        <x:f>IF(COUNTA($A204:$M204)=0,"",IF(OR($B204="",$C204="",$U204="Subscription"),"",IFERROR(ROUNDUP(($C204-$B204)/7,0),"")))</x:f>
      </x:c>
      <x:c r="W204" s="114" t="str">
        <x:f>IF(COUNTA($A204:$M204)=0,"",IF(OR($U204="Subscription",$U204=""),"",IF(OR($U204="Free Game",$U204="Disqualified — Free Game"),0,ROUND(IFERROR($Q204,0)-IFERROR($S204,0),2))))</x:f>
      </x:c>
      <x:c r="X204" s="956" t="str">
        <x:f>IF(COUNTA($A204:$M204)=0,"",IF(OR($U204="Subscription",NOT(ISNUMBER($J204)),NOT(ISNUMBER($I204)),$J204=0,$I204=0,$I204&gt;$J204),"",$J204-$I204))</x:f>
      </x:c>
      <x:c r="Y204" s="955" t="str">
        <x:f>IF(COUNTA($A204:$M204)=0,"",IF(OR($U204="Subscription",NOT(ISNUMBER($J204)),$J204=0,$X204=""),"",$X204/$J204))</x:f>
      </x:c>
      <x:c r="Z204" s="957" t="str">
        <x:f>IF(COUNTA($A204:$M204)=0,"",Instructions!$B$29+SUM($W$5:W204))</x:f>
      </x:c>
    </x:row>
    <x:row r="205" ht="36" customHeight="1">
      <x:c r="A205" s="439"/>
      <x:c r="B205" s="453"/>
      <x:c r="C205" s="453"/>
      <x:c r="D205" s="454"/>
      <x:c r="E205" s="454"/>
      <x:c r="F205" s="454"/>
      <x:c r="G205" s="986"/>
      <x:c r="H205" s="455"/>
      <x:c r="I205" s="456"/>
      <x:c r="J205" s="456"/>
      <x:c r="K205" s="986"/>
      <x:c r="L205" s="454"/>
      <x:c r="M205" s="439"/>
      <x:c r="N205" s="987" t="str">
        <x:f>IF(COUNTA($A205:$M205)=0,"",IF(OR(LEFT(LOWER(TRIM($F205&amp;"")),12)="subscription",LOWER(TRIM($F205&amp;""))="membership"),"",IF($G205="","",IF(ISNUMBER(SEARCH("non",LOWER($E205&amp;""))),$G205*0.85,$G205))))</x:f>
      </x:c>
      <x:c r="O205" s="987" t="str">
        <x:f>IF(COUNTA($A205:$M205)=0,"",IF(OR(LEFT(LOWER(TRIM($F205&amp;"")),12)="subscription",LOWER(TRIM($F205&amp;""))="membership"),"",IF(OR($N205="",$I205="",$I205=0),"",IFERROR($N205/$I205,""))))</x:f>
      </x:c>
      <x:c r="P205" s="987" t="str">
        <x:f>IF(COUNTA($A205:$M205)=0,"",IF(OR(LEFT(LOWER(TRIM($F205&amp;"")),12)="subscription",LOWER(TRIM($F205&amp;""))="membership"),"",IF(LOWER($L205&amp;"")="yes",0,IF(OR(AND($H205&lt;&gt;"",$H205=0),LEFT(LOWER(TRIM($F205&amp;"")),9)="free game",LOWER(TRIM($F205&amp;""))="free",LOWER(TRIM($F205&amp;""))="free entry"),IF(LOWER($D205&amp;"")="finalized",IF(ISNUMBER($K205),$K205,""),IF($O205&lt;&gt;"",$O205,"")),IF($K205&lt;&gt;"",$K205,IF($O205&lt;&gt;"",$O205,""))))))</x:f>
      </x:c>
      <x:c r="Q205" s="114" t="str">
        <x:f>IF(COUNTA($A205:$M205)=0,"",IF(OR($U205="Subscription",$U205=""),"",IF($U205="Profit",ROUND(IFERROR($P205,0)-IFERROR($H205,0),2),0)))</x:f>
      </x:c>
      <x:c r="R205" s="114" t="str">
        <x:f>IF(COUNTA($A205:$M205)=0,"",IF(OR($U205="Subscription",$U205=""),"",IF($U205="Draw",$H205,0)))</x:f>
      </x:c>
      <x:c r="S205" s="114" t="str">
        <x:f>IF(COUNTA($A205:$M205)=0,"",IF(OR($U205="Subscription",$U205=""),"",IF($U205="Disqualified",$H205,0)))</x:f>
      </x:c>
      <x:c r="T205" s="955" t="str">
        <x:f>IF(COUNTA($A205:$M205)=0,"",IF(OR($U205="Subscription",$U205=""),"",IF(OR($U205="Free Game",$U205="Disqualified — Free Game",$H205=0),"N/A",IF($U205="Profit",$Q205/$H205,IF($U205="Disqualified",-$S205/$H205,0)))))</x:f>
      </x:c>
      <x:c r="U205" s="920" t="str">
        <x:f>IF(COUNTA($A205:$M205)=0,"",IF(OR(LEFT(LOWER(TRIM($F205&amp;"")),12)="subscription",LOWER(TRIM($F205&amp;""))="membership"),"Subscription",IF(OR(AND($H205&lt;&gt;"",$H205=0),LEFT(LOWER(TRIM($F205&amp;"")),9)="free game",LOWER(TRIM($F205&amp;""))="free",LOWER(TRIM($F205&amp;""))="free entry"),IF(LOWER($L205&amp;"")="yes","Disqualified — Free Game","Free Game"),IF(LOWER($L205&amp;"")="yes","Disqualified",IF($P205="","",IF(ROUND(IFERROR(VALUE($P205),0)-IFERROR(VALUE($H205),0),2)&gt;0,"Profit","Draw"))))))</x:f>
      </x:c>
      <x:c r="V205" s="956" t="str">
        <x:f>IF(COUNTA($A205:$M205)=0,"",IF(OR($B205="",$C205="",$U205="Subscription"),"",IFERROR(ROUNDUP(($C205-$B205)/7,0),"")))</x:f>
      </x:c>
      <x:c r="W205" s="114" t="str">
        <x:f>IF(COUNTA($A205:$M205)=0,"",IF(OR($U205="Subscription",$U205=""),"",IF(OR($U205="Free Game",$U205="Disqualified — Free Game"),0,ROUND(IFERROR($Q205,0)-IFERROR($S205,0),2))))</x:f>
      </x:c>
      <x:c r="X205" s="956" t="str">
        <x:f>IF(COUNTA($A205:$M205)=0,"",IF(OR($U205="Subscription",NOT(ISNUMBER($J205)),NOT(ISNUMBER($I205)),$J205=0,$I205=0,$I205&gt;$J205),"",$J205-$I205))</x:f>
      </x:c>
      <x:c r="Y205" s="955" t="str">
        <x:f>IF(COUNTA($A205:$M205)=0,"",IF(OR($U205="Subscription",NOT(ISNUMBER($J205)),$J205=0,$X205=""),"",$X205/$J205))</x:f>
      </x:c>
      <x:c r="Z205" s="957" t="str">
        <x:f>IF(COUNTA($A205:$M205)=0,"",Instructions!$B$29+SUM($W$5:W205))</x:f>
      </x:c>
    </x:row>
    <x:row r="206" ht="36" customHeight="1">
      <x:c r="A206" s="439"/>
      <x:c r="B206" s="453"/>
      <x:c r="C206" s="453"/>
      <x:c r="D206" s="454"/>
      <x:c r="E206" s="454"/>
      <x:c r="F206" s="454"/>
      <x:c r="G206" s="986"/>
      <x:c r="H206" s="455"/>
      <x:c r="I206" s="456"/>
      <x:c r="J206" s="456"/>
      <x:c r="K206" s="986"/>
      <x:c r="L206" s="454"/>
      <x:c r="M206" s="439"/>
      <x:c r="N206" s="987" t="str">
        <x:f>IF(COUNTA($A206:$M206)=0,"",IF(OR(LEFT(LOWER(TRIM($F206&amp;"")),12)="subscription",LOWER(TRIM($F206&amp;""))="membership"),"",IF($G206="","",IF(ISNUMBER(SEARCH("non",LOWER($E206&amp;""))),$G206*0.85,$G206))))</x:f>
      </x:c>
      <x:c r="O206" s="987" t="str">
        <x:f>IF(COUNTA($A206:$M206)=0,"",IF(OR(LEFT(LOWER(TRIM($F206&amp;"")),12)="subscription",LOWER(TRIM($F206&amp;""))="membership"),"",IF(OR($N206="",$I206="",$I206=0),"",IFERROR($N206/$I206,""))))</x:f>
      </x:c>
      <x:c r="P206" s="987" t="str">
        <x:f>IF(COUNTA($A206:$M206)=0,"",IF(OR(LEFT(LOWER(TRIM($F206&amp;"")),12)="subscription",LOWER(TRIM($F206&amp;""))="membership"),"",IF(LOWER($L206&amp;"")="yes",0,IF(OR(AND($H206&lt;&gt;"",$H206=0),LEFT(LOWER(TRIM($F206&amp;"")),9)="free game",LOWER(TRIM($F206&amp;""))="free",LOWER(TRIM($F206&amp;""))="free entry"),IF(LOWER($D206&amp;"")="finalized",IF(ISNUMBER($K206),$K206,""),IF($O206&lt;&gt;"",$O206,"")),IF($K206&lt;&gt;"",$K206,IF($O206&lt;&gt;"",$O206,""))))))</x:f>
      </x:c>
      <x:c r="Q206" s="114" t="str">
        <x:f>IF(COUNTA($A206:$M206)=0,"",IF(OR($U206="Subscription",$U206=""),"",IF($U206="Profit",ROUND(IFERROR($P206,0)-IFERROR($H206,0),2),0)))</x:f>
      </x:c>
      <x:c r="R206" s="114" t="str">
        <x:f>IF(COUNTA($A206:$M206)=0,"",IF(OR($U206="Subscription",$U206=""),"",IF($U206="Draw",$H206,0)))</x:f>
      </x:c>
      <x:c r="S206" s="114" t="str">
        <x:f>IF(COUNTA($A206:$M206)=0,"",IF(OR($U206="Subscription",$U206=""),"",IF($U206="Disqualified",$H206,0)))</x:f>
      </x:c>
      <x:c r="T206" s="955" t="str">
        <x:f>IF(COUNTA($A206:$M206)=0,"",IF(OR($U206="Subscription",$U206=""),"",IF(OR($U206="Free Game",$U206="Disqualified — Free Game",$H206=0),"N/A",IF($U206="Profit",$Q206/$H206,IF($U206="Disqualified",-$S206/$H206,0)))))</x:f>
      </x:c>
      <x:c r="U206" s="920" t="str">
        <x:f>IF(COUNTA($A206:$M206)=0,"",IF(OR(LEFT(LOWER(TRIM($F206&amp;"")),12)="subscription",LOWER(TRIM($F206&amp;""))="membership"),"Subscription",IF(OR(AND($H206&lt;&gt;"",$H206=0),LEFT(LOWER(TRIM($F206&amp;"")),9)="free game",LOWER(TRIM($F206&amp;""))="free",LOWER(TRIM($F206&amp;""))="free entry"),IF(LOWER($L206&amp;"")="yes","Disqualified — Free Game","Free Game"),IF(LOWER($L206&amp;"")="yes","Disqualified",IF($P206="","",IF(ROUND(IFERROR(VALUE($P206),0)-IFERROR(VALUE($H206),0),2)&gt;0,"Profit","Draw"))))))</x:f>
      </x:c>
      <x:c r="V206" s="956" t="str">
        <x:f>IF(COUNTA($A206:$M206)=0,"",IF(OR($B206="",$C206="",$U206="Subscription"),"",IFERROR(ROUNDUP(($C206-$B206)/7,0),"")))</x:f>
      </x:c>
      <x:c r="W206" s="114" t="str">
        <x:f>IF(COUNTA($A206:$M206)=0,"",IF(OR($U206="Subscription",$U206=""),"",IF(OR($U206="Free Game",$U206="Disqualified — Free Game"),0,ROUND(IFERROR($Q206,0)-IFERROR($S206,0),2))))</x:f>
      </x:c>
      <x:c r="X206" s="956" t="str">
        <x:f>IF(COUNTA($A206:$M206)=0,"",IF(OR($U206="Subscription",NOT(ISNUMBER($J206)),NOT(ISNUMBER($I206)),$J206=0,$I206=0,$I206&gt;$J206),"",$J206-$I206))</x:f>
      </x:c>
      <x:c r="Y206" s="955" t="str">
        <x:f>IF(COUNTA($A206:$M206)=0,"",IF(OR($U206="Subscription",NOT(ISNUMBER($J206)),$J206=0,$X206=""),"",$X206/$J206))</x:f>
      </x:c>
      <x:c r="Z206" s="957" t="str">
        <x:f>IF(COUNTA($A206:$M206)=0,"",Instructions!$B$29+SUM($W$5:W206))</x:f>
      </x:c>
    </x:row>
    <x:row r="207" ht="36" customHeight="1">
      <x:c r="A207" s="439"/>
      <x:c r="B207" s="453"/>
      <x:c r="C207" s="453"/>
      <x:c r="D207" s="454"/>
      <x:c r="E207" s="454"/>
      <x:c r="F207" s="454"/>
      <x:c r="G207" s="986"/>
      <x:c r="H207" s="455"/>
      <x:c r="I207" s="456"/>
      <x:c r="J207" s="456"/>
      <x:c r="K207" s="986"/>
      <x:c r="L207" s="454"/>
      <x:c r="M207" s="439"/>
      <x:c r="N207" s="987" t="str">
        <x:f>IF(COUNTA($A207:$M207)=0,"",IF(OR(LEFT(LOWER(TRIM($F207&amp;"")),12)="subscription",LOWER(TRIM($F207&amp;""))="membership"),"",IF($G207="","",IF(ISNUMBER(SEARCH("non",LOWER($E207&amp;""))),$G207*0.85,$G207))))</x:f>
      </x:c>
      <x:c r="O207" s="987" t="str">
        <x:f>IF(COUNTA($A207:$M207)=0,"",IF(OR(LEFT(LOWER(TRIM($F207&amp;"")),12)="subscription",LOWER(TRIM($F207&amp;""))="membership"),"",IF(OR($N207="",$I207="",$I207=0),"",IFERROR($N207/$I207,""))))</x:f>
      </x:c>
      <x:c r="P207" s="987" t="str">
        <x:f>IF(COUNTA($A207:$M207)=0,"",IF(OR(LEFT(LOWER(TRIM($F207&amp;"")),12)="subscription",LOWER(TRIM($F207&amp;""))="membership"),"",IF(LOWER($L207&amp;"")="yes",0,IF(OR(AND($H207&lt;&gt;"",$H207=0),LEFT(LOWER(TRIM($F207&amp;"")),9)="free game",LOWER(TRIM($F207&amp;""))="free",LOWER(TRIM($F207&amp;""))="free entry"),IF(LOWER($D207&amp;"")="finalized",IF(ISNUMBER($K207),$K207,""),IF($O207&lt;&gt;"",$O207,"")),IF($K207&lt;&gt;"",$K207,IF($O207&lt;&gt;"",$O207,""))))))</x:f>
      </x:c>
      <x:c r="Q207" s="114" t="str">
        <x:f>IF(COUNTA($A207:$M207)=0,"",IF(OR($U207="Subscription",$U207=""),"",IF($U207="Profit",ROUND(IFERROR($P207,0)-IFERROR($H207,0),2),0)))</x:f>
      </x:c>
      <x:c r="R207" s="114" t="str">
        <x:f>IF(COUNTA($A207:$M207)=0,"",IF(OR($U207="Subscription",$U207=""),"",IF($U207="Draw",$H207,0)))</x:f>
      </x:c>
      <x:c r="S207" s="114" t="str">
        <x:f>IF(COUNTA($A207:$M207)=0,"",IF(OR($U207="Subscription",$U207=""),"",IF($U207="Disqualified",$H207,0)))</x:f>
      </x:c>
      <x:c r="T207" s="955" t="str">
        <x:f>IF(COUNTA($A207:$M207)=0,"",IF(OR($U207="Subscription",$U207=""),"",IF(OR($U207="Free Game",$U207="Disqualified — Free Game",$H207=0),"N/A",IF($U207="Profit",$Q207/$H207,IF($U207="Disqualified",-$S207/$H207,0)))))</x:f>
      </x:c>
      <x:c r="U207" s="920" t="str">
        <x:f>IF(COUNTA($A207:$M207)=0,"",IF(OR(LEFT(LOWER(TRIM($F207&amp;"")),12)="subscription",LOWER(TRIM($F207&amp;""))="membership"),"Subscription",IF(OR(AND($H207&lt;&gt;"",$H207=0),LEFT(LOWER(TRIM($F207&amp;"")),9)="free game",LOWER(TRIM($F207&amp;""))="free",LOWER(TRIM($F207&amp;""))="free entry"),IF(LOWER($L207&amp;"")="yes","Disqualified — Free Game","Free Game"),IF(LOWER($L207&amp;"")="yes","Disqualified",IF($P207="","",IF(ROUND(IFERROR(VALUE($P207),0)-IFERROR(VALUE($H207),0),2)&gt;0,"Profit","Draw"))))))</x:f>
      </x:c>
      <x:c r="V207" s="956" t="str">
        <x:f>IF(COUNTA($A207:$M207)=0,"",IF(OR($B207="",$C207="",$U207="Subscription"),"",IFERROR(ROUNDUP(($C207-$B207)/7,0),"")))</x:f>
      </x:c>
      <x:c r="W207" s="114" t="str">
        <x:f>IF(COUNTA($A207:$M207)=0,"",IF(OR($U207="Subscription",$U207=""),"",IF(OR($U207="Free Game",$U207="Disqualified — Free Game"),0,ROUND(IFERROR($Q207,0)-IFERROR($S207,0),2))))</x:f>
      </x:c>
      <x:c r="X207" s="956" t="str">
        <x:f>IF(COUNTA($A207:$M207)=0,"",IF(OR($U207="Subscription",NOT(ISNUMBER($J207)),NOT(ISNUMBER($I207)),$J207=0,$I207=0,$I207&gt;$J207),"",$J207-$I207))</x:f>
      </x:c>
      <x:c r="Y207" s="955" t="str">
        <x:f>IF(COUNTA($A207:$M207)=0,"",IF(OR($U207="Subscription",NOT(ISNUMBER($J207)),$J207=0,$X207=""),"",$X207/$J207))</x:f>
      </x:c>
      <x:c r="Z207" s="957" t="str">
        <x:f>IF(COUNTA($A207:$M207)=0,"",Instructions!$B$29+SUM($W$5:W207))</x:f>
      </x:c>
    </x:row>
    <x:row r="208" ht="36" customHeight="1">
      <x:c r="A208" s="439"/>
      <x:c r="B208" s="453"/>
      <x:c r="C208" s="453"/>
      <x:c r="D208" s="454"/>
      <x:c r="E208" s="454"/>
      <x:c r="F208" s="454"/>
      <x:c r="G208" s="986"/>
      <x:c r="H208" s="455"/>
      <x:c r="I208" s="456"/>
      <x:c r="J208" s="456"/>
      <x:c r="K208" s="986"/>
      <x:c r="L208" s="454"/>
      <x:c r="M208" s="439"/>
      <x:c r="N208" s="987" t="str">
        <x:f>IF(COUNTA($A208:$M208)=0,"",IF(OR(LEFT(LOWER(TRIM($F208&amp;"")),12)="subscription",LOWER(TRIM($F208&amp;""))="membership"),"",IF($G208="","",IF(ISNUMBER(SEARCH("non",LOWER($E208&amp;""))),$G208*0.85,$G208))))</x:f>
      </x:c>
      <x:c r="O208" s="987" t="str">
        <x:f>IF(COUNTA($A208:$M208)=0,"",IF(OR(LEFT(LOWER(TRIM($F208&amp;"")),12)="subscription",LOWER(TRIM($F208&amp;""))="membership"),"",IF(OR($N208="",$I208="",$I208=0),"",IFERROR($N208/$I208,""))))</x:f>
      </x:c>
      <x:c r="P208" s="987" t="str">
        <x:f>IF(COUNTA($A208:$M208)=0,"",IF(OR(LEFT(LOWER(TRIM($F208&amp;"")),12)="subscription",LOWER(TRIM($F208&amp;""))="membership"),"",IF(LOWER($L208&amp;"")="yes",0,IF(OR(AND($H208&lt;&gt;"",$H208=0),LEFT(LOWER(TRIM($F208&amp;"")),9)="free game",LOWER(TRIM($F208&amp;""))="free",LOWER(TRIM($F208&amp;""))="free entry"),IF(LOWER($D208&amp;"")="finalized",IF(ISNUMBER($K208),$K208,""),IF($O208&lt;&gt;"",$O208,"")),IF($K208&lt;&gt;"",$K208,IF($O208&lt;&gt;"",$O208,""))))))</x:f>
      </x:c>
      <x:c r="Q208" s="114" t="str">
        <x:f>IF(COUNTA($A208:$M208)=0,"",IF(OR($U208="Subscription",$U208=""),"",IF($U208="Profit",ROUND(IFERROR($P208,0)-IFERROR($H208,0),2),0)))</x:f>
      </x:c>
      <x:c r="R208" s="114" t="str">
        <x:f>IF(COUNTA($A208:$M208)=0,"",IF(OR($U208="Subscription",$U208=""),"",IF($U208="Draw",$H208,0)))</x:f>
      </x:c>
      <x:c r="S208" s="114" t="str">
        <x:f>IF(COUNTA($A208:$M208)=0,"",IF(OR($U208="Subscription",$U208=""),"",IF($U208="Disqualified",$H208,0)))</x:f>
      </x:c>
      <x:c r="T208" s="955" t="str">
        <x:f>IF(COUNTA($A208:$M208)=0,"",IF(OR($U208="Subscription",$U208=""),"",IF(OR($U208="Free Game",$U208="Disqualified — Free Game",$H208=0),"N/A",IF($U208="Profit",$Q208/$H208,IF($U208="Disqualified",-$S208/$H208,0)))))</x:f>
      </x:c>
      <x:c r="U208" s="920" t="str">
        <x:f>IF(COUNTA($A208:$M208)=0,"",IF(OR(LEFT(LOWER(TRIM($F208&amp;"")),12)="subscription",LOWER(TRIM($F208&amp;""))="membership"),"Subscription",IF(OR(AND($H208&lt;&gt;"",$H208=0),LEFT(LOWER(TRIM($F208&amp;"")),9)="free game",LOWER(TRIM($F208&amp;""))="free",LOWER(TRIM($F208&amp;""))="free entry"),IF(LOWER($L208&amp;"")="yes","Disqualified — Free Game","Free Game"),IF(LOWER($L208&amp;"")="yes","Disqualified",IF($P208="","",IF(ROUND(IFERROR(VALUE($P208),0)-IFERROR(VALUE($H208),0),2)&gt;0,"Profit","Draw"))))))</x:f>
      </x:c>
      <x:c r="V208" s="956" t="str">
        <x:f>IF(COUNTA($A208:$M208)=0,"",IF(OR($B208="",$C208="",$U208="Subscription"),"",IFERROR(ROUNDUP(($C208-$B208)/7,0),"")))</x:f>
      </x:c>
      <x:c r="W208" s="114" t="str">
        <x:f>IF(COUNTA($A208:$M208)=0,"",IF(OR($U208="Subscription",$U208=""),"",IF(OR($U208="Free Game",$U208="Disqualified — Free Game"),0,ROUND(IFERROR($Q208,0)-IFERROR($S208,0),2))))</x:f>
      </x:c>
      <x:c r="X208" s="956" t="str">
        <x:f>IF(COUNTA($A208:$M208)=0,"",IF(OR($U208="Subscription",NOT(ISNUMBER($J208)),NOT(ISNUMBER($I208)),$J208=0,$I208=0,$I208&gt;$J208),"",$J208-$I208))</x:f>
      </x:c>
      <x:c r="Y208" s="955" t="str">
        <x:f>IF(COUNTA($A208:$M208)=0,"",IF(OR($U208="Subscription",NOT(ISNUMBER($J208)),$J208=0,$X208=""),"",$X208/$J208))</x:f>
      </x:c>
      <x:c r="Z208" s="957" t="str">
        <x:f>IF(COUNTA($A208:$M208)=0,"",Instructions!$B$29+SUM($W$5:W208))</x:f>
      </x:c>
    </x:row>
    <x:row r="209" ht="36" customHeight="1">
      <x:c r="A209" s="439"/>
      <x:c r="B209" s="453"/>
      <x:c r="C209" s="453"/>
      <x:c r="D209" s="454"/>
      <x:c r="E209" s="454"/>
      <x:c r="F209" s="454"/>
      <x:c r="G209" s="986"/>
      <x:c r="H209" s="455"/>
      <x:c r="I209" s="456"/>
      <x:c r="J209" s="456"/>
      <x:c r="K209" s="986"/>
      <x:c r="L209" s="454"/>
      <x:c r="M209" s="439"/>
      <x:c r="N209" s="987" t="str">
        <x:f>IF(COUNTA($A209:$M209)=0,"",IF(OR(LEFT(LOWER(TRIM($F209&amp;"")),12)="subscription",LOWER(TRIM($F209&amp;""))="membership"),"",IF($G209="","",IF(ISNUMBER(SEARCH("non",LOWER($E209&amp;""))),$G209*0.85,$G209))))</x:f>
      </x:c>
      <x:c r="O209" s="987" t="str">
        <x:f>IF(COUNTA($A209:$M209)=0,"",IF(OR(LEFT(LOWER(TRIM($F209&amp;"")),12)="subscription",LOWER(TRIM($F209&amp;""))="membership"),"",IF(OR($N209="",$I209="",$I209=0),"",IFERROR($N209/$I209,""))))</x:f>
      </x:c>
      <x:c r="P209" s="987" t="str">
        <x:f>IF(COUNTA($A209:$M209)=0,"",IF(OR(LEFT(LOWER(TRIM($F209&amp;"")),12)="subscription",LOWER(TRIM($F209&amp;""))="membership"),"",IF(LOWER($L209&amp;"")="yes",0,IF(OR(AND($H209&lt;&gt;"",$H209=0),LEFT(LOWER(TRIM($F209&amp;"")),9)="free game",LOWER(TRIM($F209&amp;""))="free",LOWER(TRIM($F209&amp;""))="free entry"),IF(LOWER($D209&amp;"")="finalized",IF(ISNUMBER($K209),$K209,""),IF($O209&lt;&gt;"",$O209,"")),IF($K209&lt;&gt;"",$K209,IF($O209&lt;&gt;"",$O209,""))))))</x:f>
      </x:c>
      <x:c r="Q209" s="114" t="str">
        <x:f>IF(COUNTA($A209:$M209)=0,"",IF(OR($U209="Subscription",$U209=""),"",IF($U209="Profit",ROUND(IFERROR($P209,0)-IFERROR($H209,0),2),0)))</x:f>
      </x:c>
      <x:c r="R209" s="114" t="str">
        <x:f>IF(COUNTA($A209:$M209)=0,"",IF(OR($U209="Subscription",$U209=""),"",IF($U209="Draw",$H209,0)))</x:f>
      </x:c>
      <x:c r="S209" s="114" t="str">
        <x:f>IF(COUNTA($A209:$M209)=0,"",IF(OR($U209="Subscription",$U209=""),"",IF($U209="Disqualified",$H209,0)))</x:f>
      </x:c>
      <x:c r="T209" s="955" t="str">
        <x:f>IF(COUNTA($A209:$M209)=0,"",IF(OR($U209="Subscription",$U209=""),"",IF(OR($U209="Free Game",$U209="Disqualified — Free Game",$H209=0),"N/A",IF($U209="Profit",$Q209/$H209,IF($U209="Disqualified",-$S209/$H209,0)))))</x:f>
      </x:c>
      <x:c r="U209" s="920" t="str">
        <x:f>IF(COUNTA($A209:$M209)=0,"",IF(OR(LEFT(LOWER(TRIM($F209&amp;"")),12)="subscription",LOWER(TRIM($F209&amp;""))="membership"),"Subscription",IF(OR(AND($H209&lt;&gt;"",$H209=0),LEFT(LOWER(TRIM($F209&amp;"")),9)="free game",LOWER(TRIM($F209&amp;""))="free",LOWER(TRIM($F209&amp;""))="free entry"),IF(LOWER($L209&amp;"")="yes","Disqualified — Free Game","Free Game"),IF(LOWER($L209&amp;"")="yes","Disqualified",IF($P209="","",IF(ROUND(IFERROR(VALUE($P209),0)-IFERROR(VALUE($H209),0),2)&gt;0,"Profit","Draw"))))))</x:f>
      </x:c>
      <x:c r="V209" s="956" t="str">
        <x:f>IF(COUNTA($A209:$M209)=0,"",IF(OR($B209="",$C209="",$U209="Subscription"),"",IFERROR(ROUNDUP(($C209-$B209)/7,0),"")))</x:f>
      </x:c>
      <x:c r="W209" s="114" t="str">
        <x:f>IF(COUNTA($A209:$M209)=0,"",IF(OR($U209="Subscription",$U209=""),"",IF(OR($U209="Free Game",$U209="Disqualified — Free Game"),0,ROUND(IFERROR($Q209,0)-IFERROR($S209,0),2))))</x:f>
      </x:c>
      <x:c r="X209" s="956" t="str">
        <x:f>IF(COUNTA($A209:$M209)=0,"",IF(OR($U209="Subscription",NOT(ISNUMBER($J209)),NOT(ISNUMBER($I209)),$J209=0,$I209=0,$I209&gt;$J209),"",$J209-$I209))</x:f>
      </x:c>
      <x:c r="Y209" s="955" t="str">
        <x:f>IF(COUNTA($A209:$M209)=0,"",IF(OR($U209="Subscription",NOT(ISNUMBER($J209)),$J209=0,$X209=""),"",$X209/$J209))</x:f>
      </x:c>
      <x:c r="Z209" s="957" t="str">
        <x:f>IF(COUNTA($A209:$M209)=0,"",Instructions!$B$29+SUM($W$5:W209))</x:f>
      </x:c>
    </x:row>
    <x:row r="210" ht="36" customHeight="1">
      <x:c r="A210" s="439"/>
      <x:c r="B210" s="453"/>
      <x:c r="C210" s="453"/>
      <x:c r="D210" s="454"/>
      <x:c r="E210" s="454"/>
      <x:c r="F210" s="454"/>
      <x:c r="G210" s="986"/>
      <x:c r="H210" s="455"/>
      <x:c r="I210" s="456"/>
      <x:c r="J210" s="456"/>
      <x:c r="K210" s="986"/>
      <x:c r="L210" s="454"/>
      <x:c r="M210" s="439"/>
      <x:c r="N210" s="987" t="str">
        <x:f>IF(COUNTA($A210:$M210)=0,"",IF(OR(LEFT(LOWER(TRIM($F210&amp;"")),12)="subscription",LOWER(TRIM($F210&amp;""))="membership"),"",IF($G210="","",IF(ISNUMBER(SEARCH("non",LOWER($E210&amp;""))),$G210*0.85,$G210))))</x:f>
      </x:c>
      <x:c r="O210" s="987" t="str">
        <x:f>IF(COUNTA($A210:$M210)=0,"",IF(OR(LEFT(LOWER(TRIM($F210&amp;"")),12)="subscription",LOWER(TRIM($F210&amp;""))="membership"),"",IF(OR($N210="",$I210="",$I210=0),"",IFERROR($N210/$I210,""))))</x:f>
      </x:c>
      <x:c r="P210" s="987" t="str">
        <x:f>IF(COUNTA($A210:$M210)=0,"",IF(OR(LEFT(LOWER(TRIM($F210&amp;"")),12)="subscription",LOWER(TRIM($F210&amp;""))="membership"),"",IF(LOWER($L210&amp;"")="yes",0,IF(OR(AND($H210&lt;&gt;"",$H210=0),LEFT(LOWER(TRIM($F210&amp;"")),9)="free game",LOWER(TRIM($F210&amp;""))="free",LOWER(TRIM($F210&amp;""))="free entry"),IF(LOWER($D210&amp;"")="finalized",IF(ISNUMBER($K210),$K210,""),IF($O210&lt;&gt;"",$O210,"")),IF($K210&lt;&gt;"",$K210,IF($O210&lt;&gt;"",$O210,""))))))</x:f>
      </x:c>
      <x:c r="Q210" s="114" t="str">
        <x:f>IF(COUNTA($A210:$M210)=0,"",IF(OR($U210="Subscription",$U210=""),"",IF($U210="Profit",ROUND(IFERROR($P210,0)-IFERROR($H210,0),2),0)))</x:f>
      </x:c>
      <x:c r="R210" s="114" t="str">
        <x:f>IF(COUNTA($A210:$M210)=0,"",IF(OR($U210="Subscription",$U210=""),"",IF($U210="Draw",$H210,0)))</x:f>
      </x:c>
      <x:c r="S210" s="114" t="str">
        <x:f>IF(COUNTA($A210:$M210)=0,"",IF(OR($U210="Subscription",$U210=""),"",IF($U210="Disqualified",$H210,0)))</x:f>
      </x:c>
      <x:c r="T210" s="955" t="str">
        <x:f>IF(COUNTA($A210:$M210)=0,"",IF(OR($U210="Subscription",$U210=""),"",IF(OR($U210="Free Game",$U210="Disqualified — Free Game",$H210=0),"N/A",IF($U210="Profit",$Q210/$H210,IF($U210="Disqualified",-$S210/$H210,0)))))</x:f>
      </x:c>
      <x:c r="U210" s="920" t="str">
        <x:f>IF(COUNTA($A210:$M210)=0,"",IF(OR(LEFT(LOWER(TRIM($F210&amp;"")),12)="subscription",LOWER(TRIM($F210&amp;""))="membership"),"Subscription",IF(OR(AND($H210&lt;&gt;"",$H210=0),LEFT(LOWER(TRIM($F210&amp;"")),9)="free game",LOWER(TRIM($F210&amp;""))="free",LOWER(TRIM($F210&amp;""))="free entry"),IF(LOWER($L210&amp;"")="yes","Disqualified — Free Game","Free Game"),IF(LOWER($L210&amp;"")="yes","Disqualified",IF($P210="","",IF(ROUND(IFERROR(VALUE($P210),0)-IFERROR(VALUE($H210),0),2)&gt;0,"Profit","Draw"))))))</x:f>
      </x:c>
      <x:c r="V210" s="956" t="str">
        <x:f>IF(COUNTA($A210:$M210)=0,"",IF(OR($B210="",$C210="",$U210="Subscription"),"",IFERROR(ROUNDUP(($C210-$B210)/7,0),"")))</x:f>
      </x:c>
      <x:c r="W210" s="114" t="str">
        <x:f>IF(COUNTA($A210:$M210)=0,"",IF(OR($U210="Subscription",$U210=""),"",IF(OR($U210="Free Game",$U210="Disqualified — Free Game"),0,ROUND(IFERROR($Q210,0)-IFERROR($S210,0),2))))</x:f>
      </x:c>
      <x:c r="X210" s="956" t="str">
        <x:f>IF(COUNTA($A210:$M210)=0,"",IF(OR($U210="Subscription",NOT(ISNUMBER($J210)),NOT(ISNUMBER($I210)),$J210=0,$I210=0,$I210&gt;$J210),"",$J210-$I210))</x:f>
      </x:c>
      <x:c r="Y210" s="955" t="str">
        <x:f>IF(COUNTA($A210:$M210)=0,"",IF(OR($U210="Subscription",NOT(ISNUMBER($J210)),$J210=0,$X210=""),"",$X210/$J210))</x:f>
      </x:c>
      <x:c r="Z210" s="957" t="str">
        <x:f>IF(COUNTA($A210:$M210)=0,"",Instructions!$B$29+SUM($W$5:W210))</x:f>
      </x:c>
    </x:row>
    <x:row r="211" ht="36" customHeight="1">
      <x:c r="A211" s="439"/>
      <x:c r="B211" s="453"/>
      <x:c r="C211" s="453"/>
      <x:c r="D211" s="454"/>
      <x:c r="E211" s="454"/>
      <x:c r="F211" s="454"/>
      <x:c r="G211" s="986"/>
      <x:c r="H211" s="455"/>
      <x:c r="I211" s="456"/>
      <x:c r="J211" s="456"/>
      <x:c r="K211" s="986"/>
      <x:c r="L211" s="454"/>
      <x:c r="M211" s="439"/>
      <x:c r="N211" s="987" t="str">
        <x:f>IF(COUNTA($A211:$M211)=0,"",IF(OR(LEFT(LOWER(TRIM($F211&amp;"")),12)="subscription",LOWER(TRIM($F211&amp;""))="membership"),"",IF($G211="","",IF(ISNUMBER(SEARCH("non",LOWER($E211&amp;""))),$G211*0.85,$G211))))</x:f>
      </x:c>
      <x:c r="O211" s="987" t="str">
        <x:f>IF(COUNTA($A211:$M211)=0,"",IF(OR(LEFT(LOWER(TRIM($F211&amp;"")),12)="subscription",LOWER(TRIM($F211&amp;""))="membership"),"",IF(OR($N211="",$I211="",$I211=0),"",IFERROR($N211/$I211,""))))</x:f>
      </x:c>
      <x:c r="P211" s="987" t="str">
        <x:f>IF(COUNTA($A211:$M211)=0,"",IF(OR(LEFT(LOWER(TRIM($F211&amp;"")),12)="subscription",LOWER(TRIM($F211&amp;""))="membership"),"",IF(LOWER($L211&amp;"")="yes",0,IF(OR(AND($H211&lt;&gt;"",$H211=0),LEFT(LOWER(TRIM($F211&amp;"")),9)="free game",LOWER(TRIM($F211&amp;""))="free",LOWER(TRIM($F211&amp;""))="free entry"),IF(LOWER($D211&amp;"")="finalized",IF(ISNUMBER($K211),$K211,""),IF($O211&lt;&gt;"",$O211,"")),IF($K211&lt;&gt;"",$K211,IF($O211&lt;&gt;"",$O211,""))))))</x:f>
      </x:c>
      <x:c r="Q211" s="114" t="str">
        <x:f>IF(COUNTA($A211:$M211)=0,"",IF(OR($U211="Subscription",$U211=""),"",IF($U211="Profit",ROUND(IFERROR($P211,0)-IFERROR($H211,0),2),0)))</x:f>
      </x:c>
      <x:c r="R211" s="114" t="str">
        <x:f>IF(COUNTA($A211:$M211)=0,"",IF(OR($U211="Subscription",$U211=""),"",IF($U211="Draw",$H211,0)))</x:f>
      </x:c>
      <x:c r="S211" s="114" t="str">
        <x:f>IF(COUNTA($A211:$M211)=0,"",IF(OR($U211="Subscription",$U211=""),"",IF($U211="Disqualified",$H211,0)))</x:f>
      </x:c>
      <x:c r="T211" s="955" t="str">
        <x:f>IF(COUNTA($A211:$M211)=0,"",IF(OR($U211="Subscription",$U211=""),"",IF(OR($U211="Free Game",$U211="Disqualified — Free Game",$H211=0),"N/A",IF($U211="Profit",$Q211/$H211,IF($U211="Disqualified",-$S211/$H211,0)))))</x:f>
      </x:c>
      <x:c r="U211" s="920" t="str">
        <x:f>IF(COUNTA($A211:$M211)=0,"",IF(OR(LEFT(LOWER(TRIM($F211&amp;"")),12)="subscription",LOWER(TRIM($F211&amp;""))="membership"),"Subscription",IF(OR(AND($H211&lt;&gt;"",$H211=0),LEFT(LOWER(TRIM($F211&amp;"")),9)="free game",LOWER(TRIM($F211&amp;""))="free",LOWER(TRIM($F211&amp;""))="free entry"),IF(LOWER($L211&amp;"")="yes","Disqualified — Free Game","Free Game"),IF(LOWER($L211&amp;"")="yes","Disqualified",IF($P211="","",IF(ROUND(IFERROR(VALUE($P211),0)-IFERROR(VALUE($H211),0),2)&gt;0,"Profit","Draw"))))))</x:f>
      </x:c>
      <x:c r="V211" s="956" t="str">
        <x:f>IF(COUNTA($A211:$M211)=0,"",IF(OR($B211="",$C211="",$U211="Subscription"),"",IFERROR(ROUNDUP(($C211-$B211)/7,0),"")))</x:f>
      </x:c>
      <x:c r="W211" s="114" t="str">
        <x:f>IF(COUNTA($A211:$M211)=0,"",IF(OR($U211="Subscription",$U211=""),"",IF(OR($U211="Free Game",$U211="Disqualified — Free Game"),0,ROUND(IFERROR($Q211,0)-IFERROR($S211,0),2))))</x:f>
      </x:c>
      <x:c r="X211" s="956" t="str">
        <x:f>IF(COUNTA($A211:$M211)=0,"",IF(OR($U211="Subscription",NOT(ISNUMBER($J211)),NOT(ISNUMBER($I211)),$J211=0,$I211=0,$I211&gt;$J211),"",$J211-$I211))</x:f>
      </x:c>
      <x:c r="Y211" s="955" t="str">
        <x:f>IF(COUNTA($A211:$M211)=0,"",IF(OR($U211="Subscription",NOT(ISNUMBER($J211)),$J211=0,$X211=""),"",$X211/$J211))</x:f>
      </x:c>
      <x:c r="Z211" s="957" t="str">
        <x:f>IF(COUNTA($A211:$M211)=0,"",Instructions!$B$29+SUM($W$5:W211))</x:f>
      </x:c>
    </x:row>
    <x:row r="212" ht="36" customHeight="1">
      <x:c r="A212" s="439"/>
      <x:c r="B212" s="453"/>
      <x:c r="C212" s="453"/>
      <x:c r="D212" s="454"/>
      <x:c r="E212" s="454"/>
      <x:c r="F212" s="454"/>
      <x:c r="G212" s="986"/>
      <x:c r="H212" s="455"/>
      <x:c r="I212" s="456"/>
      <x:c r="J212" s="456"/>
      <x:c r="K212" s="986"/>
      <x:c r="L212" s="454"/>
      <x:c r="M212" s="439"/>
      <x:c r="N212" s="987" t="str">
        <x:f>IF(COUNTA($A212:$M212)=0,"",IF(OR(LEFT(LOWER(TRIM($F212&amp;"")),12)="subscription",LOWER(TRIM($F212&amp;""))="membership"),"",IF($G212="","",IF(ISNUMBER(SEARCH("non",LOWER($E212&amp;""))),$G212*0.85,$G212))))</x:f>
      </x:c>
      <x:c r="O212" s="987" t="str">
        <x:f>IF(COUNTA($A212:$M212)=0,"",IF(OR(LEFT(LOWER(TRIM($F212&amp;"")),12)="subscription",LOWER(TRIM($F212&amp;""))="membership"),"",IF(OR($N212="",$I212="",$I212=0),"",IFERROR($N212/$I212,""))))</x:f>
      </x:c>
      <x:c r="P212" s="987" t="str">
        <x:f>IF(COUNTA($A212:$M212)=0,"",IF(OR(LEFT(LOWER(TRIM($F212&amp;"")),12)="subscription",LOWER(TRIM($F212&amp;""))="membership"),"",IF(LOWER($L212&amp;"")="yes",0,IF(OR(AND($H212&lt;&gt;"",$H212=0),LEFT(LOWER(TRIM($F212&amp;"")),9)="free game",LOWER(TRIM($F212&amp;""))="free",LOWER(TRIM($F212&amp;""))="free entry"),IF(LOWER($D212&amp;"")="finalized",IF(ISNUMBER($K212),$K212,""),IF($O212&lt;&gt;"",$O212,"")),IF($K212&lt;&gt;"",$K212,IF($O212&lt;&gt;"",$O212,""))))))</x:f>
      </x:c>
      <x:c r="Q212" s="114" t="str">
        <x:f>IF(COUNTA($A212:$M212)=0,"",IF(OR($U212="Subscription",$U212=""),"",IF($U212="Profit",ROUND(IFERROR($P212,0)-IFERROR($H212,0),2),0)))</x:f>
      </x:c>
      <x:c r="R212" s="114" t="str">
        <x:f>IF(COUNTA($A212:$M212)=0,"",IF(OR($U212="Subscription",$U212=""),"",IF($U212="Draw",$H212,0)))</x:f>
      </x:c>
      <x:c r="S212" s="114" t="str">
        <x:f>IF(COUNTA($A212:$M212)=0,"",IF(OR($U212="Subscription",$U212=""),"",IF($U212="Disqualified",$H212,0)))</x:f>
      </x:c>
      <x:c r="T212" s="955" t="str">
        <x:f>IF(COUNTA($A212:$M212)=0,"",IF(OR($U212="Subscription",$U212=""),"",IF(OR($U212="Free Game",$U212="Disqualified — Free Game",$H212=0),"N/A",IF($U212="Profit",$Q212/$H212,IF($U212="Disqualified",-$S212/$H212,0)))))</x:f>
      </x:c>
      <x:c r="U212" s="920" t="str">
        <x:f>IF(COUNTA($A212:$M212)=0,"",IF(OR(LEFT(LOWER(TRIM($F212&amp;"")),12)="subscription",LOWER(TRIM($F212&amp;""))="membership"),"Subscription",IF(OR(AND($H212&lt;&gt;"",$H212=0),LEFT(LOWER(TRIM($F212&amp;"")),9)="free game",LOWER(TRIM($F212&amp;""))="free",LOWER(TRIM($F212&amp;""))="free entry"),IF(LOWER($L212&amp;"")="yes","Disqualified — Free Game","Free Game"),IF(LOWER($L212&amp;"")="yes","Disqualified",IF($P212="","",IF(ROUND(IFERROR(VALUE($P212),0)-IFERROR(VALUE($H212),0),2)&gt;0,"Profit","Draw"))))))</x:f>
      </x:c>
      <x:c r="V212" s="956" t="str">
        <x:f>IF(COUNTA($A212:$M212)=0,"",IF(OR($B212="",$C212="",$U212="Subscription"),"",IFERROR(ROUNDUP(($C212-$B212)/7,0),"")))</x:f>
      </x:c>
      <x:c r="W212" s="114" t="str">
        <x:f>IF(COUNTA($A212:$M212)=0,"",IF(OR($U212="Subscription",$U212=""),"",IF(OR($U212="Free Game",$U212="Disqualified — Free Game"),0,ROUND(IFERROR($Q212,0)-IFERROR($S212,0),2))))</x:f>
      </x:c>
      <x:c r="X212" s="956" t="str">
        <x:f>IF(COUNTA($A212:$M212)=0,"",IF(OR($U212="Subscription",NOT(ISNUMBER($J212)),NOT(ISNUMBER($I212)),$J212=0,$I212=0,$I212&gt;$J212),"",$J212-$I212))</x:f>
      </x:c>
      <x:c r="Y212" s="955" t="str">
        <x:f>IF(COUNTA($A212:$M212)=0,"",IF(OR($U212="Subscription",NOT(ISNUMBER($J212)),$J212=0,$X212=""),"",$X212/$J212))</x:f>
      </x:c>
      <x:c r="Z212" s="957" t="str">
        <x:f>IF(COUNTA($A212:$M212)=0,"",Instructions!$B$29+SUM($W$5:W212))</x:f>
      </x:c>
    </x:row>
    <x:row r="213" ht="36" customHeight="1">
      <x:c r="A213" s="439"/>
      <x:c r="B213" s="453"/>
      <x:c r="C213" s="453"/>
      <x:c r="D213" s="454"/>
      <x:c r="E213" s="454"/>
      <x:c r="F213" s="454"/>
      <x:c r="G213" s="986"/>
      <x:c r="H213" s="455"/>
      <x:c r="I213" s="456"/>
      <x:c r="J213" s="456"/>
      <x:c r="K213" s="986"/>
      <x:c r="L213" s="454"/>
      <x:c r="M213" s="439"/>
      <x:c r="N213" s="987" t="str">
        <x:f>IF(COUNTA($A213:$M213)=0,"",IF(OR(LEFT(LOWER(TRIM($F213&amp;"")),12)="subscription",LOWER(TRIM($F213&amp;""))="membership"),"",IF($G213="","",IF(ISNUMBER(SEARCH("non",LOWER($E213&amp;""))),$G213*0.85,$G213))))</x:f>
      </x:c>
      <x:c r="O213" s="987" t="str">
        <x:f>IF(COUNTA($A213:$M213)=0,"",IF(OR(LEFT(LOWER(TRIM($F213&amp;"")),12)="subscription",LOWER(TRIM($F213&amp;""))="membership"),"",IF(OR($N213="",$I213="",$I213=0),"",IFERROR($N213/$I213,""))))</x:f>
      </x:c>
      <x:c r="P213" s="987" t="str">
        <x:f>IF(COUNTA($A213:$M213)=0,"",IF(OR(LEFT(LOWER(TRIM($F213&amp;"")),12)="subscription",LOWER(TRIM($F213&amp;""))="membership"),"",IF(LOWER($L213&amp;"")="yes",0,IF(OR(AND($H213&lt;&gt;"",$H213=0),LEFT(LOWER(TRIM($F213&amp;"")),9)="free game",LOWER(TRIM($F213&amp;""))="free",LOWER(TRIM($F213&amp;""))="free entry"),IF(LOWER($D213&amp;"")="finalized",IF(ISNUMBER($K213),$K213,""),IF($O213&lt;&gt;"",$O213,"")),IF($K213&lt;&gt;"",$K213,IF($O213&lt;&gt;"",$O213,""))))))</x:f>
      </x:c>
      <x:c r="Q213" s="114" t="str">
        <x:f>IF(COUNTA($A213:$M213)=0,"",IF(OR($U213="Subscription",$U213=""),"",IF($U213="Profit",ROUND(IFERROR($P213,0)-IFERROR($H213,0),2),0)))</x:f>
      </x:c>
      <x:c r="R213" s="114" t="str">
        <x:f>IF(COUNTA($A213:$M213)=0,"",IF(OR($U213="Subscription",$U213=""),"",IF($U213="Draw",$H213,0)))</x:f>
      </x:c>
      <x:c r="S213" s="114" t="str">
        <x:f>IF(COUNTA($A213:$M213)=0,"",IF(OR($U213="Subscription",$U213=""),"",IF($U213="Disqualified",$H213,0)))</x:f>
      </x:c>
      <x:c r="T213" s="955" t="str">
        <x:f>IF(COUNTA($A213:$M213)=0,"",IF(OR($U213="Subscription",$U213=""),"",IF(OR($U213="Free Game",$U213="Disqualified — Free Game",$H213=0),"N/A",IF($U213="Profit",$Q213/$H213,IF($U213="Disqualified",-$S213/$H213,0)))))</x:f>
      </x:c>
      <x:c r="U213" s="920" t="str">
        <x:f>IF(COUNTA($A213:$M213)=0,"",IF(OR(LEFT(LOWER(TRIM($F213&amp;"")),12)="subscription",LOWER(TRIM($F213&amp;""))="membership"),"Subscription",IF(OR(AND($H213&lt;&gt;"",$H213=0),LEFT(LOWER(TRIM($F213&amp;"")),9)="free game",LOWER(TRIM($F213&amp;""))="free",LOWER(TRIM($F213&amp;""))="free entry"),IF(LOWER($L213&amp;"")="yes","Disqualified — Free Game","Free Game"),IF(LOWER($L213&amp;"")="yes","Disqualified",IF($P213="","",IF(ROUND(IFERROR(VALUE($P213),0)-IFERROR(VALUE($H213),0),2)&gt;0,"Profit","Draw"))))))</x:f>
      </x:c>
      <x:c r="V213" s="956" t="str">
        <x:f>IF(COUNTA($A213:$M213)=0,"",IF(OR($B213="",$C213="",$U213="Subscription"),"",IFERROR(ROUNDUP(($C213-$B213)/7,0),"")))</x:f>
      </x:c>
      <x:c r="W213" s="114" t="str">
        <x:f>IF(COUNTA($A213:$M213)=0,"",IF(OR($U213="Subscription",$U213=""),"",IF(OR($U213="Free Game",$U213="Disqualified — Free Game"),0,ROUND(IFERROR($Q213,0)-IFERROR($S213,0),2))))</x:f>
      </x:c>
      <x:c r="X213" s="956" t="str">
        <x:f>IF(COUNTA($A213:$M213)=0,"",IF(OR($U213="Subscription",NOT(ISNUMBER($J213)),NOT(ISNUMBER($I213)),$J213=0,$I213=0,$I213&gt;$J213),"",$J213-$I213))</x:f>
      </x:c>
      <x:c r="Y213" s="955" t="str">
        <x:f>IF(COUNTA($A213:$M213)=0,"",IF(OR($U213="Subscription",NOT(ISNUMBER($J213)),$J213=0,$X213=""),"",$X213/$J213))</x:f>
      </x:c>
      <x:c r="Z213" s="957" t="str">
        <x:f>IF(COUNTA($A213:$M213)=0,"",Instructions!$B$29+SUM($W$5:W213))</x:f>
      </x:c>
    </x:row>
    <x:row r="214" ht="36" customHeight="1">
      <x:c r="A214" s="439"/>
      <x:c r="B214" s="453"/>
      <x:c r="C214" s="453"/>
      <x:c r="D214" s="454"/>
      <x:c r="E214" s="454"/>
      <x:c r="F214" s="454"/>
      <x:c r="G214" s="986"/>
      <x:c r="H214" s="455"/>
      <x:c r="I214" s="456"/>
      <x:c r="J214" s="456"/>
      <x:c r="K214" s="986"/>
      <x:c r="L214" s="454"/>
      <x:c r="M214" s="439"/>
      <x:c r="N214" s="987" t="str">
        <x:f>IF(COUNTA($A214:$M214)=0,"",IF(OR(LEFT(LOWER(TRIM($F214&amp;"")),12)="subscription",LOWER(TRIM($F214&amp;""))="membership"),"",IF($G214="","",IF(ISNUMBER(SEARCH("non",LOWER($E214&amp;""))),$G214*0.85,$G214))))</x:f>
      </x:c>
      <x:c r="O214" s="987" t="str">
        <x:f>IF(COUNTA($A214:$M214)=0,"",IF(OR(LEFT(LOWER(TRIM($F214&amp;"")),12)="subscription",LOWER(TRIM($F214&amp;""))="membership"),"",IF(OR($N214="",$I214="",$I214=0),"",IFERROR($N214/$I214,""))))</x:f>
      </x:c>
      <x:c r="P214" s="987" t="str">
        <x:f>IF(COUNTA($A214:$M214)=0,"",IF(OR(LEFT(LOWER(TRIM($F214&amp;"")),12)="subscription",LOWER(TRIM($F214&amp;""))="membership"),"",IF(LOWER($L214&amp;"")="yes",0,IF(OR(AND($H214&lt;&gt;"",$H214=0),LEFT(LOWER(TRIM($F214&amp;"")),9)="free game",LOWER(TRIM($F214&amp;""))="free",LOWER(TRIM($F214&amp;""))="free entry"),IF(LOWER($D214&amp;"")="finalized",IF(ISNUMBER($K214),$K214,""),IF($O214&lt;&gt;"",$O214,"")),IF($K214&lt;&gt;"",$K214,IF($O214&lt;&gt;"",$O214,""))))))</x:f>
      </x:c>
      <x:c r="Q214" s="114" t="str">
        <x:f>IF(COUNTA($A214:$M214)=0,"",IF(OR($U214="Subscription",$U214=""),"",IF($U214="Profit",ROUND(IFERROR($P214,0)-IFERROR($H214,0),2),0)))</x:f>
      </x:c>
      <x:c r="R214" s="114" t="str">
        <x:f>IF(COUNTA($A214:$M214)=0,"",IF(OR($U214="Subscription",$U214=""),"",IF($U214="Draw",$H214,0)))</x:f>
      </x:c>
      <x:c r="S214" s="114" t="str">
        <x:f>IF(COUNTA($A214:$M214)=0,"",IF(OR($U214="Subscription",$U214=""),"",IF($U214="Disqualified",$H214,0)))</x:f>
      </x:c>
      <x:c r="T214" s="955" t="str">
        <x:f>IF(COUNTA($A214:$M214)=0,"",IF(OR($U214="Subscription",$U214=""),"",IF(OR($U214="Free Game",$U214="Disqualified — Free Game",$H214=0),"N/A",IF($U214="Profit",$Q214/$H214,IF($U214="Disqualified",-$S214/$H214,0)))))</x:f>
      </x:c>
      <x:c r="U214" s="920" t="str">
        <x:f>IF(COUNTA($A214:$M214)=0,"",IF(OR(LEFT(LOWER(TRIM($F214&amp;"")),12)="subscription",LOWER(TRIM($F214&amp;""))="membership"),"Subscription",IF(OR(AND($H214&lt;&gt;"",$H214=0),LEFT(LOWER(TRIM($F214&amp;"")),9)="free game",LOWER(TRIM($F214&amp;""))="free",LOWER(TRIM($F214&amp;""))="free entry"),IF(LOWER($L214&amp;"")="yes","Disqualified — Free Game","Free Game"),IF(LOWER($L214&amp;"")="yes","Disqualified",IF($P214="","",IF(ROUND(IFERROR(VALUE($P214),0)-IFERROR(VALUE($H214),0),2)&gt;0,"Profit","Draw"))))))</x:f>
      </x:c>
      <x:c r="V214" s="956" t="str">
        <x:f>IF(COUNTA($A214:$M214)=0,"",IF(OR($B214="",$C214="",$U214="Subscription"),"",IFERROR(ROUNDUP(($C214-$B214)/7,0),"")))</x:f>
      </x:c>
      <x:c r="W214" s="114" t="str">
        <x:f>IF(COUNTA($A214:$M214)=0,"",IF(OR($U214="Subscription",$U214=""),"",IF(OR($U214="Free Game",$U214="Disqualified — Free Game"),0,ROUND(IFERROR($Q214,0)-IFERROR($S214,0),2))))</x:f>
      </x:c>
      <x:c r="X214" s="956" t="str">
        <x:f>IF(COUNTA($A214:$M214)=0,"",IF(OR($U214="Subscription",NOT(ISNUMBER($J214)),NOT(ISNUMBER($I214)),$J214=0,$I214=0,$I214&gt;$J214),"",$J214-$I214))</x:f>
      </x:c>
      <x:c r="Y214" s="955" t="str">
        <x:f>IF(COUNTA($A214:$M214)=0,"",IF(OR($U214="Subscription",NOT(ISNUMBER($J214)),$J214=0,$X214=""),"",$X214/$J214))</x:f>
      </x:c>
      <x:c r="Z214" s="957" t="str">
        <x:f>IF(COUNTA($A214:$M214)=0,"",Instructions!$B$29+SUM($W$5:W214))</x:f>
      </x:c>
    </x:row>
    <x:row r="215" ht="36" customHeight="1">
      <x:c r="A215" s="439"/>
      <x:c r="B215" s="453"/>
      <x:c r="C215" s="453"/>
      <x:c r="D215" s="454"/>
      <x:c r="E215" s="454"/>
      <x:c r="F215" s="454"/>
      <x:c r="G215" s="986"/>
      <x:c r="H215" s="455"/>
      <x:c r="I215" s="456"/>
      <x:c r="J215" s="456"/>
      <x:c r="K215" s="986"/>
      <x:c r="L215" s="454"/>
      <x:c r="M215" s="439"/>
      <x:c r="N215" s="987" t="str">
        <x:f>IF(COUNTA($A215:$M215)=0,"",IF(OR(LEFT(LOWER(TRIM($F215&amp;"")),12)="subscription",LOWER(TRIM($F215&amp;""))="membership"),"",IF($G215="","",IF(ISNUMBER(SEARCH("non",LOWER($E215&amp;""))),$G215*0.85,$G215))))</x:f>
      </x:c>
      <x:c r="O215" s="987" t="str">
        <x:f>IF(COUNTA($A215:$M215)=0,"",IF(OR(LEFT(LOWER(TRIM($F215&amp;"")),12)="subscription",LOWER(TRIM($F215&amp;""))="membership"),"",IF(OR($N215="",$I215="",$I215=0),"",IFERROR($N215/$I215,""))))</x:f>
      </x:c>
      <x:c r="P215" s="987" t="str">
        <x:f>IF(COUNTA($A215:$M215)=0,"",IF(OR(LEFT(LOWER(TRIM($F215&amp;"")),12)="subscription",LOWER(TRIM($F215&amp;""))="membership"),"",IF(LOWER($L215&amp;"")="yes",0,IF(OR(AND($H215&lt;&gt;"",$H215=0),LEFT(LOWER(TRIM($F215&amp;"")),9)="free game",LOWER(TRIM($F215&amp;""))="free",LOWER(TRIM($F215&amp;""))="free entry"),IF(LOWER($D215&amp;"")="finalized",IF(ISNUMBER($K215),$K215,""),IF($O215&lt;&gt;"",$O215,"")),IF($K215&lt;&gt;"",$K215,IF($O215&lt;&gt;"",$O215,""))))))</x:f>
      </x:c>
      <x:c r="Q215" s="114" t="str">
        <x:f>IF(COUNTA($A215:$M215)=0,"",IF(OR($U215="Subscription",$U215=""),"",IF($U215="Profit",ROUND(IFERROR($P215,0)-IFERROR($H215,0),2),0)))</x:f>
      </x:c>
      <x:c r="R215" s="114" t="str">
        <x:f>IF(COUNTA($A215:$M215)=0,"",IF(OR($U215="Subscription",$U215=""),"",IF($U215="Draw",$H215,0)))</x:f>
      </x:c>
      <x:c r="S215" s="114" t="str">
        <x:f>IF(COUNTA($A215:$M215)=0,"",IF(OR($U215="Subscription",$U215=""),"",IF($U215="Disqualified",$H215,0)))</x:f>
      </x:c>
      <x:c r="T215" s="955" t="str">
        <x:f>IF(COUNTA($A215:$M215)=0,"",IF(OR($U215="Subscription",$U215=""),"",IF(OR($U215="Free Game",$U215="Disqualified — Free Game",$H215=0),"N/A",IF($U215="Profit",$Q215/$H215,IF($U215="Disqualified",-$S215/$H215,0)))))</x:f>
      </x:c>
      <x:c r="U215" s="920" t="str">
        <x:f>IF(COUNTA($A215:$M215)=0,"",IF(OR(LEFT(LOWER(TRIM($F215&amp;"")),12)="subscription",LOWER(TRIM($F215&amp;""))="membership"),"Subscription",IF(OR(AND($H215&lt;&gt;"",$H215=0),LEFT(LOWER(TRIM($F215&amp;"")),9)="free game",LOWER(TRIM($F215&amp;""))="free",LOWER(TRIM($F215&amp;""))="free entry"),IF(LOWER($L215&amp;"")="yes","Disqualified — Free Game","Free Game"),IF(LOWER($L215&amp;"")="yes","Disqualified",IF($P215="","",IF(ROUND(IFERROR(VALUE($P215),0)-IFERROR(VALUE($H215),0),2)&gt;0,"Profit","Draw"))))))</x:f>
      </x:c>
      <x:c r="V215" s="956" t="str">
        <x:f>IF(COUNTA($A215:$M215)=0,"",IF(OR($B215="",$C215="",$U215="Subscription"),"",IFERROR(ROUNDUP(($C215-$B215)/7,0),"")))</x:f>
      </x:c>
      <x:c r="W215" s="114" t="str">
        <x:f>IF(COUNTA($A215:$M215)=0,"",IF(OR($U215="Subscription",$U215=""),"",IF(OR($U215="Free Game",$U215="Disqualified — Free Game"),0,ROUND(IFERROR($Q215,0)-IFERROR($S215,0),2))))</x:f>
      </x:c>
      <x:c r="X215" s="956" t="str">
        <x:f>IF(COUNTA($A215:$M215)=0,"",IF(OR($U215="Subscription",NOT(ISNUMBER($J215)),NOT(ISNUMBER($I215)),$J215=0,$I215=0,$I215&gt;$J215),"",$J215-$I215))</x:f>
      </x:c>
      <x:c r="Y215" s="955" t="str">
        <x:f>IF(COUNTA($A215:$M215)=0,"",IF(OR($U215="Subscription",NOT(ISNUMBER($J215)),$J215=0,$X215=""),"",$X215/$J215))</x:f>
      </x:c>
      <x:c r="Z215" s="957" t="str">
        <x:f>IF(COUNTA($A215:$M215)=0,"",Instructions!$B$29+SUM($W$5:W215))</x:f>
      </x:c>
    </x:row>
    <x:row r="216" ht="36" customHeight="1">
      <x:c r="A216" s="439"/>
      <x:c r="B216" s="453"/>
      <x:c r="C216" s="453"/>
      <x:c r="D216" s="454"/>
      <x:c r="E216" s="454"/>
      <x:c r="F216" s="454"/>
      <x:c r="G216" s="986"/>
      <x:c r="H216" s="455"/>
      <x:c r="I216" s="456"/>
      <x:c r="J216" s="456"/>
      <x:c r="K216" s="986"/>
      <x:c r="L216" s="454"/>
      <x:c r="M216" s="439"/>
      <x:c r="N216" s="987" t="str">
        <x:f>IF(COUNTA($A216:$M216)=0,"",IF(OR(LEFT(LOWER(TRIM($F216&amp;"")),12)="subscription",LOWER(TRIM($F216&amp;""))="membership"),"",IF($G216="","",IF(ISNUMBER(SEARCH("non",LOWER($E216&amp;""))),$G216*0.85,$G216))))</x:f>
      </x:c>
      <x:c r="O216" s="987" t="str">
        <x:f>IF(COUNTA($A216:$M216)=0,"",IF(OR(LEFT(LOWER(TRIM($F216&amp;"")),12)="subscription",LOWER(TRIM($F216&amp;""))="membership"),"",IF(OR($N216="",$I216="",$I216=0),"",IFERROR($N216/$I216,""))))</x:f>
      </x:c>
      <x:c r="P216" s="987" t="str">
        <x:f>IF(COUNTA($A216:$M216)=0,"",IF(OR(LEFT(LOWER(TRIM($F216&amp;"")),12)="subscription",LOWER(TRIM($F216&amp;""))="membership"),"",IF(LOWER($L216&amp;"")="yes",0,IF(OR(AND($H216&lt;&gt;"",$H216=0),LEFT(LOWER(TRIM($F216&amp;"")),9)="free game",LOWER(TRIM($F216&amp;""))="free",LOWER(TRIM($F216&amp;""))="free entry"),IF(LOWER($D216&amp;"")="finalized",IF(ISNUMBER($K216),$K216,""),IF($O216&lt;&gt;"",$O216,"")),IF($K216&lt;&gt;"",$K216,IF($O216&lt;&gt;"",$O216,""))))))</x:f>
      </x:c>
      <x:c r="Q216" s="114" t="str">
        <x:f>IF(COUNTA($A216:$M216)=0,"",IF(OR($U216="Subscription",$U216=""),"",IF($U216="Profit",ROUND(IFERROR($P216,0)-IFERROR($H216,0),2),0)))</x:f>
      </x:c>
      <x:c r="R216" s="114" t="str">
        <x:f>IF(COUNTA($A216:$M216)=0,"",IF(OR($U216="Subscription",$U216=""),"",IF($U216="Draw",$H216,0)))</x:f>
      </x:c>
      <x:c r="S216" s="114" t="str">
        <x:f>IF(COUNTA($A216:$M216)=0,"",IF(OR($U216="Subscription",$U216=""),"",IF($U216="Disqualified",$H216,0)))</x:f>
      </x:c>
      <x:c r="T216" s="955" t="str">
        <x:f>IF(COUNTA($A216:$M216)=0,"",IF(OR($U216="Subscription",$U216=""),"",IF(OR($U216="Free Game",$U216="Disqualified — Free Game",$H216=0),"N/A",IF($U216="Profit",$Q216/$H216,IF($U216="Disqualified",-$S216/$H216,0)))))</x:f>
      </x:c>
      <x:c r="U216" s="920" t="str">
        <x:f>IF(COUNTA($A216:$M216)=0,"",IF(OR(LEFT(LOWER(TRIM($F216&amp;"")),12)="subscription",LOWER(TRIM($F216&amp;""))="membership"),"Subscription",IF(OR(AND($H216&lt;&gt;"",$H216=0),LEFT(LOWER(TRIM($F216&amp;"")),9)="free game",LOWER(TRIM($F216&amp;""))="free",LOWER(TRIM($F216&amp;""))="free entry"),IF(LOWER($L216&amp;"")="yes","Disqualified — Free Game","Free Game"),IF(LOWER($L216&amp;"")="yes","Disqualified",IF($P216="","",IF(ROUND(IFERROR(VALUE($P216),0)-IFERROR(VALUE($H216),0),2)&gt;0,"Profit","Draw"))))))</x:f>
      </x:c>
      <x:c r="V216" s="956" t="str">
        <x:f>IF(COUNTA($A216:$M216)=0,"",IF(OR($B216="",$C216="",$U216="Subscription"),"",IFERROR(ROUNDUP(($C216-$B216)/7,0),"")))</x:f>
      </x:c>
      <x:c r="W216" s="114" t="str">
        <x:f>IF(COUNTA($A216:$M216)=0,"",IF(OR($U216="Subscription",$U216=""),"",IF(OR($U216="Free Game",$U216="Disqualified — Free Game"),0,ROUND(IFERROR($Q216,0)-IFERROR($S216,0),2))))</x:f>
      </x:c>
      <x:c r="X216" s="956" t="str">
        <x:f>IF(COUNTA($A216:$M216)=0,"",IF(OR($U216="Subscription",NOT(ISNUMBER($J216)),NOT(ISNUMBER($I216)),$J216=0,$I216=0,$I216&gt;$J216),"",$J216-$I216))</x:f>
      </x:c>
      <x:c r="Y216" s="955" t="str">
        <x:f>IF(COUNTA($A216:$M216)=0,"",IF(OR($U216="Subscription",NOT(ISNUMBER($J216)),$J216=0,$X216=""),"",$X216/$J216))</x:f>
      </x:c>
      <x:c r="Z216" s="957" t="str">
        <x:f>IF(COUNTA($A216:$M216)=0,"",Instructions!$B$29+SUM($W$5:W216))</x:f>
      </x:c>
    </x:row>
    <x:row r="217" ht="36" customHeight="1">
      <x:c r="A217" s="439"/>
      <x:c r="B217" s="453"/>
      <x:c r="C217" s="453"/>
      <x:c r="D217" s="454"/>
      <x:c r="E217" s="454"/>
      <x:c r="F217" s="454"/>
      <x:c r="G217" s="986"/>
      <x:c r="H217" s="455"/>
      <x:c r="I217" s="456"/>
      <x:c r="J217" s="456"/>
      <x:c r="K217" s="986"/>
      <x:c r="L217" s="454"/>
      <x:c r="M217" s="439"/>
      <x:c r="N217" s="987" t="str">
        <x:f>IF(COUNTA($A217:$M217)=0,"",IF(OR(LEFT(LOWER(TRIM($F217&amp;"")),12)="subscription",LOWER(TRIM($F217&amp;""))="membership"),"",IF($G217="","",IF(ISNUMBER(SEARCH("non",LOWER($E217&amp;""))),$G217*0.85,$G217))))</x:f>
      </x:c>
      <x:c r="O217" s="987" t="str">
        <x:f>IF(COUNTA($A217:$M217)=0,"",IF(OR(LEFT(LOWER(TRIM($F217&amp;"")),12)="subscription",LOWER(TRIM($F217&amp;""))="membership"),"",IF(OR($N217="",$I217="",$I217=0),"",IFERROR($N217/$I217,""))))</x:f>
      </x:c>
      <x:c r="P217" s="987" t="str">
        <x:f>IF(COUNTA($A217:$M217)=0,"",IF(OR(LEFT(LOWER(TRIM($F217&amp;"")),12)="subscription",LOWER(TRIM($F217&amp;""))="membership"),"",IF(LOWER($L217&amp;"")="yes",0,IF(OR(AND($H217&lt;&gt;"",$H217=0),LEFT(LOWER(TRIM($F217&amp;"")),9)="free game",LOWER(TRIM($F217&amp;""))="free",LOWER(TRIM($F217&amp;""))="free entry"),IF(LOWER($D217&amp;"")="finalized",IF(ISNUMBER($K217),$K217,""),IF($O217&lt;&gt;"",$O217,"")),IF($K217&lt;&gt;"",$K217,IF($O217&lt;&gt;"",$O217,""))))))</x:f>
      </x:c>
      <x:c r="Q217" s="114" t="str">
        <x:f>IF(COUNTA($A217:$M217)=0,"",IF(OR($U217="Subscription",$U217=""),"",IF($U217="Profit",ROUND(IFERROR($P217,0)-IFERROR($H217,0),2),0)))</x:f>
      </x:c>
      <x:c r="R217" s="114" t="str">
        <x:f>IF(COUNTA($A217:$M217)=0,"",IF(OR($U217="Subscription",$U217=""),"",IF($U217="Draw",$H217,0)))</x:f>
      </x:c>
      <x:c r="S217" s="114" t="str">
        <x:f>IF(COUNTA($A217:$M217)=0,"",IF(OR($U217="Subscription",$U217=""),"",IF($U217="Disqualified",$H217,0)))</x:f>
      </x:c>
      <x:c r="T217" s="955" t="str">
        <x:f>IF(COUNTA($A217:$M217)=0,"",IF(OR($U217="Subscription",$U217=""),"",IF(OR($U217="Free Game",$U217="Disqualified — Free Game",$H217=0),"N/A",IF($U217="Profit",$Q217/$H217,IF($U217="Disqualified",-$S217/$H217,0)))))</x:f>
      </x:c>
      <x:c r="U217" s="920" t="str">
        <x:f>IF(COUNTA($A217:$M217)=0,"",IF(OR(LEFT(LOWER(TRIM($F217&amp;"")),12)="subscription",LOWER(TRIM($F217&amp;""))="membership"),"Subscription",IF(OR(AND($H217&lt;&gt;"",$H217=0),LEFT(LOWER(TRIM($F217&amp;"")),9)="free game",LOWER(TRIM($F217&amp;""))="free",LOWER(TRIM($F217&amp;""))="free entry"),IF(LOWER($L217&amp;"")="yes","Disqualified — Free Game","Free Game"),IF(LOWER($L217&amp;"")="yes","Disqualified",IF($P217="","",IF(ROUND(IFERROR(VALUE($P217),0)-IFERROR(VALUE($H217),0),2)&gt;0,"Profit","Draw"))))))</x:f>
      </x:c>
      <x:c r="V217" s="956" t="str">
        <x:f>IF(COUNTA($A217:$M217)=0,"",IF(OR($B217="",$C217="",$U217="Subscription"),"",IFERROR(ROUNDUP(($C217-$B217)/7,0),"")))</x:f>
      </x:c>
      <x:c r="W217" s="114" t="str">
        <x:f>IF(COUNTA($A217:$M217)=0,"",IF(OR($U217="Subscription",$U217=""),"",IF(OR($U217="Free Game",$U217="Disqualified — Free Game"),0,ROUND(IFERROR($Q217,0)-IFERROR($S217,0),2))))</x:f>
      </x:c>
      <x:c r="X217" s="956" t="str">
        <x:f>IF(COUNTA($A217:$M217)=0,"",IF(OR($U217="Subscription",NOT(ISNUMBER($J217)),NOT(ISNUMBER($I217)),$J217=0,$I217=0,$I217&gt;$J217),"",$J217-$I217))</x:f>
      </x:c>
      <x:c r="Y217" s="955" t="str">
        <x:f>IF(COUNTA($A217:$M217)=0,"",IF(OR($U217="Subscription",NOT(ISNUMBER($J217)),$J217=0,$X217=""),"",$X217/$J217))</x:f>
      </x:c>
      <x:c r="Z217" s="957" t="str">
        <x:f>IF(COUNTA($A217:$M217)=0,"",Instructions!$B$29+SUM($W$5:W217))</x:f>
      </x:c>
    </x:row>
    <x:row r="218" ht="36" customHeight="1">
      <x:c r="A218" s="439"/>
      <x:c r="B218" s="453"/>
      <x:c r="C218" s="453"/>
      <x:c r="D218" s="454"/>
      <x:c r="E218" s="454"/>
      <x:c r="F218" s="454"/>
      <x:c r="G218" s="986"/>
      <x:c r="H218" s="455"/>
      <x:c r="I218" s="456"/>
      <x:c r="J218" s="456"/>
      <x:c r="K218" s="986"/>
      <x:c r="L218" s="454"/>
      <x:c r="M218" s="439"/>
      <x:c r="N218" s="987" t="str">
        <x:f>IF(COUNTA($A218:$M218)=0,"",IF(OR(LEFT(LOWER(TRIM($F218&amp;"")),12)="subscription",LOWER(TRIM($F218&amp;""))="membership"),"",IF($G218="","",IF(ISNUMBER(SEARCH("non",LOWER($E218&amp;""))),$G218*0.85,$G218))))</x:f>
      </x:c>
      <x:c r="O218" s="987" t="str">
        <x:f>IF(COUNTA($A218:$M218)=0,"",IF(OR(LEFT(LOWER(TRIM($F218&amp;"")),12)="subscription",LOWER(TRIM($F218&amp;""))="membership"),"",IF(OR($N218="",$I218="",$I218=0),"",IFERROR($N218/$I218,""))))</x:f>
      </x:c>
      <x:c r="P218" s="987" t="str">
        <x:f>IF(COUNTA($A218:$M218)=0,"",IF(OR(LEFT(LOWER(TRIM($F218&amp;"")),12)="subscription",LOWER(TRIM($F218&amp;""))="membership"),"",IF(LOWER($L218&amp;"")="yes",0,IF(OR(AND($H218&lt;&gt;"",$H218=0),LEFT(LOWER(TRIM($F218&amp;"")),9)="free game",LOWER(TRIM($F218&amp;""))="free",LOWER(TRIM($F218&amp;""))="free entry"),IF(LOWER($D218&amp;"")="finalized",IF(ISNUMBER($K218),$K218,""),IF($O218&lt;&gt;"",$O218,"")),IF($K218&lt;&gt;"",$K218,IF($O218&lt;&gt;"",$O218,""))))))</x:f>
      </x:c>
      <x:c r="Q218" s="114" t="str">
        <x:f>IF(COUNTA($A218:$M218)=0,"",IF(OR($U218="Subscription",$U218=""),"",IF($U218="Profit",ROUND(IFERROR($P218,0)-IFERROR($H218,0),2),0)))</x:f>
      </x:c>
      <x:c r="R218" s="114" t="str">
        <x:f>IF(COUNTA($A218:$M218)=0,"",IF(OR($U218="Subscription",$U218=""),"",IF($U218="Draw",$H218,0)))</x:f>
      </x:c>
      <x:c r="S218" s="114" t="str">
        <x:f>IF(COUNTA($A218:$M218)=0,"",IF(OR($U218="Subscription",$U218=""),"",IF($U218="Disqualified",$H218,0)))</x:f>
      </x:c>
      <x:c r="T218" s="955" t="str">
        <x:f>IF(COUNTA($A218:$M218)=0,"",IF(OR($U218="Subscription",$U218=""),"",IF(OR($U218="Free Game",$U218="Disqualified — Free Game",$H218=0),"N/A",IF($U218="Profit",$Q218/$H218,IF($U218="Disqualified",-$S218/$H218,0)))))</x:f>
      </x:c>
      <x:c r="U218" s="920" t="str">
        <x:f>IF(COUNTA($A218:$M218)=0,"",IF(OR(LEFT(LOWER(TRIM($F218&amp;"")),12)="subscription",LOWER(TRIM($F218&amp;""))="membership"),"Subscription",IF(OR(AND($H218&lt;&gt;"",$H218=0),LEFT(LOWER(TRIM($F218&amp;"")),9)="free game",LOWER(TRIM($F218&amp;""))="free",LOWER(TRIM($F218&amp;""))="free entry"),IF(LOWER($L218&amp;"")="yes","Disqualified — Free Game","Free Game"),IF(LOWER($L218&amp;"")="yes","Disqualified",IF($P218="","",IF(ROUND(IFERROR(VALUE($P218),0)-IFERROR(VALUE($H218),0),2)&gt;0,"Profit","Draw"))))))</x:f>
      </x:c>
      <x:c r="V218" s="956" t="str">
        <x:f>IF(COUNTA($A218:$M218)=0,"",IF(OR($B218="",$C218="",$U218="Subscription"),"",IFERROR(ROUNDUP(($C218-$B218)/7,0),"")))</x:f>
      </x:c>
      <x:c r="W218" s="114" t="str">
        <x:f>IF(COUNTA($A218:$M218)=0,"",IF(OR($U218="Subscription",$U218=""),"",IF(OR($U218="Free Game",$U218="Disqualified — Free Game"),0,ROUND(IFERROR($Q218,0)-IFERROR($S218,0),2))))</x:f>
      </x:c>
      <x:c r="X218" s="956" t="str">
        <x:f>IF(COUNTA($A218:$M218)=0,"",IF(OR($U218="Subscription",NOT(ISNUMBER($J218)),NOT(ISNUMBER($I218)),$J218=0,$I218=0,$I218&gt;$J218),"",$J218-$I218))</x:f>
      </x:c>
      <x:c r="Y218" s="955" t="str">
        <x:f>IF(COUNTA($A218:$M218)=0,"",IF(OR($U218="Subscription",NOT(ISNUMBER($J218)),$J218=0,$X218=""),"",$X218/$J218))</x:f>
      </x:c>
      <x:c r="Z218" s="957" t="str">
        <x:f>IF(COUNTA($A218:$M218)=0,"",Instructions!$B$29+SUM($W$5:W218))</x:f>
      </x:c>
    </x:row>
    <x:row r="219" ht="36" customHeight="1">
      <x:c r="A219" s="439"/>
      <x:c r="B219" s="453"/>
      <x:c r="C219" s="453"/>
      <x:c r="D219" s="454"/>
      <x:c r="E219" s="454"/>
      <x:c r="F219" s="454"/>
      <x:c r="G219" s="986"/>
      <x:c r="H219" s="455"/>
      <x:c r="I219" s="456"/>
      <x:c r="J219" s="456"/>
      <x:c r="K219" s="986"/>
      <x:c r="L219" s="454"/>
      <x:c r="M219" s="439"/>
      <x:c r="N219" s="987" t="str">
        <x:f>IF(COUNTA($A219:$M219)=0,"",IF(OR(LEFT(LOWER(TRIM($F219&amp;"")),12)="subscription",LOWER(TRIM($F219&amp;""))="membership"),"",IF($G219="","",IF(ISNUMBER(SEARCH("non",LOWER($E219&amp;""))),$G219*0.85,$G219))))</x:f>
      </x:c>
      <x:c r="O219" s="987" t="str">
        <x:f>IF(COUNTA($A219:$M219)=0,"",IF(OR(LEFT(LOWER(TRIM($F219&amp;"")),12)="subscription",LOWER(TRIM($F219&amp;""))="membership"),"",IF(OR($N219="",$I219="",$I219=0),"",IFERROR($N219/$I219,""))))</x:f>
      </x:c>
      <x:c r="P219" s="987" t="str">
        <x:f>IF(COUNTA($A219:$M219)=0,"",IF(OR(LEFT(LOWER(TRIM($F219&amp;"")),12)="subscription",LOWER(TRIM($F219&amp;""))="membership"),"",IF(LOWER($L219&amp;"")="yes",0,IF(OR(AND($H219&lt;&gt;"",$H219=0),LEFT(LOWER(TRIM($F219&amp;"")),9)="free game",LOWER(TRIM($F219&amp;""))="free",LOWER(TRIM($F219&amp;""))="free entry"),IF(LOWER($D219&amp;"")="finalized",IF(ISNUMBER($K219),$K219,""),IF($O219&lt;&gt;"",$O219,"")),IF($K219&lt;&gt;"",$K219,IF($O219&lt;&gt;"",$O219,""))))))</x:f>
      </x:c>
      <x:c r="Q219" s="114" t="str">
        <x:f>IF(COUNTA($A219:$M219)=0,"",IF(OR($U219="Subscription",$U219=""),"",IF($U219="Profit",ROUND(IFERROR($P219,0)-IFERROR($H219,0),2),0)))</x:f>
      </x:c>
      <x:c r="R219" s="114" t="str">
        <x:f>IF(COUNTA($A219:$M219)=0,"",IF(OR($U219="Subscription",$U219=""),"",IF($U219="Draw",$H219,0)))</x:f>
      </x:c>
      <x:c r="S219" s="114" t="str">
        <x:f>IF(COUNTA($A219:$M219)=0,"",IF(OR($U219="Subscription",$U219=""),"",IF($U219="Disqualified",$H219,0)))</x:f>
      </x:c>
      <x:c r="T219" s="955" t="str">
        <x:f>IF(COUNTA($A219:$M219)=0,"",IF(OR($U219="Subscription",$U219=""),"",IF(OR($U219="Free Game",$U219="Disqualified — Free Game",$H219=0),"N/A",IF($U219="Profit",$Q219/$H219,IF($U219="Disqualified",-$S219/$H219,0)))))</x:f>
      </x:c>
      <x:c r="U219" s="920" t="str">
        <x:f>IF(COUNTA($A219:$M219)=0,"",IF(OR(LEFT(LOWER(TRIM($F219&amp;"")),12)="subscription",LOWER(TRIM($F219&amp;""))="membership"),"Subscription",IF(OR(AND($H219&lt;&gt;"",$H219=0),LEFT(LOWER(TRIM($F219&amp;"")),9)="free game",LOWER(TRIM($F219&amp;""))="free",LOWER(TRIM($F219&amp;""))="free entry"),IF(LOWER($L219&amp;"")="yes","Disqualified — Free Game","Free Game"),IF(LOWER($L219&amp;"")="yes","Disqualified",IF($P219="","",IF(ROUND(IFERROR(VALUE($P219),0)-IFERROR(VALUE($H219),0),2)&gt;0,"Profit","Draw"))))))</x:f>
      </x:c>
      <x:c r="V219" s="956" t="str">
        <x:f>IF(COUNTA($A219:$M219)=0,"",IF(OR($B219="",$C219="",$U219="Subscription"),"",IFERROR(ROUNDUP(($C219-$B219)/7,0),"")))</x:f>
      </x:c>
      <x:c r="W219" s="114" t="str">
        <x:f>IF(COUNTA($A219:$M219)=0,"",IF(OR($U219="Subscription",$U219=""),"",IF(OR($U219="Free Game",$U219="Disqualified — Free Game"),0,ROUND(IFERROR($Q219,0)-IFERROR($S219,0),2))))</x:f>
      </x:c>
      <x:c r="X219" s="956" t="str">
        <x:f>IF(COUNTA($A219:$M219)=0,"",IF(OR($U219="Subscription",NOT(ISNUMBER($J219)),NOT(ISNUMBER($I219)),$J219=0,$I219=0,$I219&gt;$J219),"",$J219-$I219))</x:f>
      </x:c>
      <x:c r="Y219" s="955" t="str">
        <x:f>IF(COUNTA($A219:$M219)=0,"",IF(OR($U219="Subscription",NOT(ISNUMBER($J219)),$J219=0,$X219=""),"",$X219/$J219))</x:f>
      </x:c>
      <x:c r="Z219" s="957" t="str">
        <x:f>IF(COUNTA($A219:$M219)=0,"",Instructions!$B$29+SUM($W$5:W219))</x:f>
      </x:c>
    </x:row>
    <x:row r="220" ht="36" customHeight="1">
      <x:c r="A220" s="439"/>
      <x:c r="B220" s="453"/>
      <x:c r="C220" s="453"/>
      <x:c r="D220" s="454"/>
      <x:c r="E220" s="454"/>
      <x:c r="F220" s="454"/>
      <x:c r="G220" s="986"/>
      <x:c r="H220" s="455"/>
      <x:c r="I220" s="456"/>
      <x:c r="J220" s="456"/>
      <x:c r="K220" s="986"/>
      <x:c r="L220" s="454"/>
      <x:c r="M220" s="439"/>
      <x:c r="N220" s="987" t="str">
        <x:f>IF(COUNTA($A220:$M220)=0,"",IF(OR(LEFT(LOWER(TRIM($F220&amp;"")),12)="subscription",LOWER(TRIM($F220&amp;""))="membership"),"",IF($G220="","",IF(ISNUMBER(SEARCH("non",LOWER($E220&amp;""))),$G220*0.85,$G220))))</x:f>
      </x:c>
      <x:c r="O220" s="987" t="str">
        <x:f>IF(COUNTA($A220:$M220)=0,"",IF(OR(LEFT(LOWER(TRIM($F220&amp;"")),12)="subscription",LOWER(TRIM($F220&amp;""))="membership"),"",IF(OR($N220="",$I220="",$I220=0),"",IFERROR($N220/$I220,""))))</x:f>
      </x:c>
      <x:c r="P220" s="987" t="str">
        <x:f>IF(COUNTA($A220:$M220)=0,"",IF(OR(LEFT(LOWER(TRIM($F220&amp;"")),12)="subscription",LOWER(TRIM($F220&amp;""))="membership"),"",IF(LOWER($L220&amp;"")="yes",0,IF(OR(AND($H220&lt;&gt;"",$H220=0),LEFT(LOWER(TRIM($F220&amp;"")),9)="free game",LOWER(TRIM($F220&amp;""))="free",LOWER(TRIM($F220&amp;""))="free entry"),IF(LOWER($D220&amp;"")="finalized",IF(ISNUMBER($K220),$K220,""),IF($O220&lt;&gt;"",$O220,"")),IF($K220&lt;&gt;"",$K220,IF($O220&lt;&gt;"",$O220,""))))))</x:f>
      </x:c>
      <x:c r="Q220" s="114" t="str">
        <x:f>IF(COUNTA($A220:$M220)=0,"",IF(OR($U220="Subscription",$U220=""),"",IF($U220="Profit",ROUND(IFERROR($P220,0)-IFERROR($H220,0),2),0)))</x:f>
      </x:c>
      <x:c r="R220" s="114" t="str">
        <x:f>IF(COUNTA($A220:$M220)=0,"",IF(OR($U220="Subscription",$U220=""),"",IF($U220="Draw",$H220,0)))</x:f>
      </x:c>
      <x:c r="S220" s="114" t="str">
        <x:f>IF(COUNTA($A220:$M220)=0,"",IF(OR($U220="Subscription",$U220=""),"",IF($U220="Disqualified",$H220,0)))</x:f>
      </x:c>
      <x:c r="T220" s="955" t="str">
        <x:f>IF(COUNTA($A220:$M220)=0,"",IF(OR($U220="Subscription",$U220=""),"",IF(OR($U220="Free Game",$U220="Disqualified — Free Game",$H220=0),"N/A",IF($U220="Profit",$Q220/$H220,IF($U220="Disqualified",-$S220/$H220,0)))))</x:f>
      </x:c>
      <x:c r="U220" s="920" t="str">
        <x:f>IF(COUNTA($A220:$M220)=0,"",IF(OR(LEFT(LOWER(TRIM($F220&amp;"")),12)="subscription",LOWER(TRIM($F220&amp;""))="membership"),"Subscription",IF(OR(AND($H220&lt;&gt;"",$H220=0),LEFT(LOWER(TRIM($F220&amp;"")),9)="free game",LOWER(TRIM($F220&amp;""))="free",LOWER(TRIM($F220&amp;""))="free entry"),IF(LOWER($L220&amp;"")="yes","Disqualified — Free Game","Free Game"),IF(LOWER($L220&amp;"")="yes","Disqualified",IF($P220="","",IF(ROUND(IFERROR(VALUE($P220),0)-IFERROR(VALUE($H220),0),2)&gt;0,"Profit","Draw"))))))</x:f>
      </x:c>
      <x:c r="V220" s="956" t="str">
        <x:f>IF(COUNTA($A220:$M220)=0,"",IF(OR($B220="",$C220="",$U220="Subscription"),"",IFERROR(ROUNDUP(($C220-$B220)/7,0),"")))</x:f>
      </x:c>
      <x:c r="W220" s="114" t="str">
        <x:f>IF(COUNTA($A220:$M220)=0,"",IF(OR($U220="Subscription",$U220=""),"",IF(OR($U220="Free Game",$U220="Disqualified — Free Game"),0,ROUND(IFERROR($Q220,0)-IFERROR($S220,0),2))))</x:f>
      </x:c>
      <x:c r="X220" s="956" t="str">
        <x:f>IF(COUNTA($A220:$M220)=0,"",IF(OR($U220="Subscription",NOT(ISNUMBER($J220)),NOT(ISNUMBER($I220)),$J220=0,$I220=0,$I220&gt;$J220),"",$J220-$I220))</x:f>
      </x:c>
      <x:c r="Y220" s="955" t="str">
        <x:f>IF(COUNTA($A220:$M220)=0,"",IF(OR($U220="Subscription",NOT(ISNUMBER($J220)),$J220=0,$X220=""),"",$X220/$J220))</x:f>
      </x:c>
      <x:c r="Z220" s="957" t="str">
        <x:f>IF(COUNTA($A220:$M220)=0,"",Instructions!$B$29+SUM($W$5:W220))</x:f>
      </x:c>
    </x:row>
    <x:row r="221" ht="36" customHeight="1">
      <x:c r="A221" s="439"/>
      <x:c r="B221" s="453"/>
      <x:c r="C221" s="453"/>
      <x:c r="D221" s="454"/>
      <x:c r="E221" s="454"/>
      <x:c r="F221" s="454"/>
      <x:c r="G221" s="986"/>
      <x:c r="H221" s="455"/>
      <x:c r="I221" s="456"/>
      <x:c r="J221" s="456"/>
      <x:c r="K221" s="986"/>
      <x:c r="L221" s="454"/>
      <x:c r="M221" s="439"/>
      <x:c r="N221" s="987" t="str">
        <x:f>IF(COUNTA($A221:$M221)=0,"",IF(OR(LEFT(LOWER(TRIM($F221&amp;"")),12)="subscription",LOWER(TRIM($F221&amp;""))="membership"),"",IF($G221="","",IF(ISNUMBER(SEARCH("non",LOWER($E221&amp;""))),$G221*0.85,$G221))))</x:f>
      </x:c>
      <x:c r="O221" s="987" t="str">
        <x:f>IF(COUNTA($A221:$M221)=0,"",IF(OR(LEFT(LOWER(TRIM($F221&amp;"")),12)="subscription",LOWER(TRIM($F221&amp;""))="membership"),"",IF(OR($N221="",$I221="",$I221=0),"",IFERROR($N221/$I221,""))))</x:f>
      </x:c>
      <x:c r="P221" s="987" t="str">
        <x:f>IF(COUNTA($A221:$M221)=0,"",IF(OR(LEFT(LOWER(TRIM($F221&amp;"")),12)="subscription",LOWER(TRIM($F221&amp;""))="membership"),"",IF(LOWER($L221&amp;"")="yes",0,IF(OR(AND($H221&lt;&gt;"",$H221=0),LEFT(LOWER(TRIM($F221&amp;"")),9)="free game",LOWER(TRIM($F221&amp;""))="free",LOWER(TRIM($F221&amp;""))="free entry"),IF(LOWER($D221&amp;"")="finalized",IF(ISNUMBER($K221),$K221,""),IF($O221&lt;&gt;"",$O221,"")),IF($K221&lt;&gt;"",$K221,IF($O221&lt;&gt;"",$O221,""))))))</x:f>
      </x:c>
      <x:c r="Q221" s="114" t="str">
        <x:f>IF(COUNTA($A221:$M221)=0,"",IF(OR($U221="Subscription",$U221=""),"",IF($U221="Profit",ROUND(IFERROR($P221,0)-IFERROR($H221,0),2),0)))</x:f>
      </x:c>
      <x:c r="R221" s="114" t="str">
        <x:f>IF(COUNTA($A221:$M221)=0,"",IF(OR($U221="Subscription",$U221=""),"",IF($U221="Draw",$H221,0)))</x:f>
      </x:c>
      <x:c r="S221" s="114" t="str">
        <x:f>IF(COUNTA($A221:$M221)=0,"",IF(OR($U221="Subscription",$U221=""),"",IF($U221="Disqualified",$H221,0)))</x:f>
      </x:c>
      <x:c r="T221" s="955" t="str">
        <x:f>IF(COUNTA($A221:$M221)=0,"",IF(OR($U221="Subscription",$U221=""),"",IF(OR($U221="Free Game",$U221="Disqualified — Free Game",$H221=0),"N/A",IF($U221="Profit",$Q221/$H221,IF($U221="Disqualified",-$S221/$H221,0)))))</x:f>
      </x:c>
      <x:c r="U221" s="920" t="str">
        <x:f>IF(COUNTA($A221:$M221)=0,"",IF(OR(LEFT(LOWER(TRIM($F221&amp;"")),12)="subscription",LOWER(TRIM($F221&amp;""))="membership"),"Subscription",IF(OR(AND($H221&lt;&gt;"",$H221=0),LEFT(LOWER(TRIM($F221&amp;"")),9)="free game",LOWER(TRIM($F221&amp;""))="free",LOWER(TRIM($F221&amp;""))="free entry"),IF(LOWER($L221&amp;"")="yes","Disqualified — Free Game","Free Game"),IF(LOWER($L221&amp;"")="yes","Disqualified",IF($P221="","",IF(ROUND(IFERROR(VALUE($P221),0)-IFERROR(VALUE($H221),0),2)&gt;0,"Profit","Draw"))))))</x:f>
      </x:c>
      <x:c r="V221" s="956" t="str">
        <x:f>IF(COUNTA($A221:$M221)=0,"",IF(OR($B221="",$C221="",$U221="Subscription"),"",IFERROR(ROUNDUP(($C221-$B221)/7,0),"")))</x:f>
      </x:c>
      <x:c r="W221" s="114" t="str">
        <x:f>IF(COUNTA($A221:$M221)=0,"",IF(OR($U221="Subscription",$U221=""),"",IF(OR($U221="Free Game",$U221="Disqualified — Free Game"),0,ROUND(IFERROR($Q221,0)-IFERROR($S221,0),2))))</x:f>
      </x:c>
      <x:c r="X221" s="956" t="str">
        <x:f>IF(COUNTA($A221:$M221)=0,"",IF(OR($U221="Subscription",NOT(ISNUMBER($J221)),NOT(ISNUMBER($I221)),$J221=0,$I221=0,$I221&gt;$J221),"",$J221-$I221))</x:f>
      </x:c>
      <x:c r="Y221" s="955" t="str">
        <x:f>IF(COUNTA($A221:$M221)=0,"",IF(OR($U221="Subscription",NOT(ISNUMBER($J221)),$J221=0,$X221=""),"",$X221/$J221))</x:f>
      </x:c>
      <x:c r="Z221" s="957" t="str">
        <x:f>IF(COUNTA($A221:$M221)=0,"",Instructions!$B$29+SUM($W$5:W221))</x:f>
      </x:c>
    </x:row>
    <x:row r="222" ht="36" customHeight="1">
      <x:c r="A222" s="439"/>
      <x:c r="B222" s="453"/>
      <x:c r="C222" s="453"/>
      <x:c r="D222" s="454"/>
      <x:c r="E222" s="454"/>
      <x:c r="F222" s="454"/>
      <x:c r="G222" s="986"/>
      <x:c r="H222" s="455"/>
      <x:c r="I222" s="456"/>
      <x:c r="J222" s="456"/>
      <x:c r="K222" s="986"/>
      <x:c r="L222" s="454"/>
      <x:c r="M222" s="439"/>
      <x:c r="N222" s="987" t="str">
        <x:f>IF(COUNTA($A222:$M222)=0,"",IF(OR(LEFT(LOWER(TRIM($F222&amp;"")),12)="subscription",LOWER(TRIM($F222&amp;""))="membership"),"",IF($G222="","",IF(ISNUMBER(SEARCH("non",LOWER($E222&amp;""))),$G222*0.85,$G222))))</x:f>
      </x:c>
      <x:c r="O222" s="987" t="str">
        <x:f>IF(COUNTA($A222:$M222)=0,"",IF(OR(LEFT(LOWER(TRIM($F222&amp;"")),12)="subscription",LOWER(TRIM($F222&amp;""))="membership"),"",IF(OR($N222="",$I222="",$I222=0),"",IFERROR($N222/$I222,""))))</x:f>
      </x:c>
      <x:c r="P222" s="987" t="str">
        <x:f>IF(COUNTA($A222:$M222)=0,"",IF(OR(LEFT(LOWER(TRIM($F222&amp;"")),12)="subscription",LOWER(TRIM($F222&amp;""))="membership"),"",IF(LOWER($L222&amp;"")="yes",0,IF(OR(AND($H222&lt;&gt;"",$H222=0),LEFT(LOWER(TRIM($F222&amp;"")),9)="free game",LOWER(TRIM($F222&amp;""))="free",LOWER(TRIM($F222&amp;""))="free entry"),IF(LOWER($D222&amp;"")="finalized",IF(ISNUMBER($K222),$K222,""),IF($O222&lt;&gt;"",$O222,"")),IF($K222&lt;&gt;"",$K222,IF($O222&lt;&gt;"",$O222,""))))))</x:f>
      </x:c>
      <x:c r="Q222" s="114" t="str">
        <x:f>IF(COUNTA($A222:$M222)=0,"",IF(OR($U222="Subscription",$U222=""),"",IF($U222="Profit",ROUND(IFERROR($P222,0)-IFERROR($H222,0),2),0)))</x:f>
      </x:c>
      <x:c r="R222" s="114" t="str">
        <x:f>IF(COUNTA($A222:$M222)=0,"",IF(OR($U222="Subscription",$U222=""),"",IF($U222="Draw",$H222,0)))</x:f>
      </x:c>
      <x:c r="S222" s="114" t="str">
        <x:f>IF(COUNTA($A222:$M222)=0,"",IF(OR($U222="Subscription",$U222=""),"",IF($U222="Disqualified",$H222,0)))</x:f>
      </x:c>
      <x:c r="T222" s="955" t="str">
        <x:f>IF(COUNTA($A222:$M222)=0,"",IF(OR($U222="Subscription",$U222=""),"",IF(OR($U222="Free Game",$U222="Disqualified — Free Game",$H222=0),"N/A",IF($U222="Profit",$Q222/$H222,IF($U222="Disqualified",-$S222/$H222,0)))))</x:f>
      </x:c>
      <x:c r="U222" s="920" t="str">
        <x:f>IF(COUNTA($A222:$M222)=0,"",IF(OR(LEFT(LOWER(TRIM($F222&amp;"")),12)="subscription",LOWER(TRIM($F222&amp;""))="membership"),"Subscription",IF(OR(AND($H222&lt;&gt;"",$H222=0),LEFT(LOWER(TRIM($F222&amp;"")),9)="free game",LOWER(TRIM($F222&amp;""))="free",LOWER(TRIM($F222&amp;""))="free entry"),IF(LOWER($L222&amp;"")="yes","Disqualified — Free Game","Free Game"),IF(LOWER($L222&amp;"")="yes","Disqualified",IF($P222="","",IF(ROUND(IFERROR(VALUE($P222),0)-IFERROR(VALUE($H222),0),2)&gt;0,"Profit","Draw"))))))</x:f>
      </x:c>
      <x:c r="V222" s="956" t="str">
        <x:f>IF(COUNTA($A222:$M222)=0,"",IF(OR($B222="",$C222="",$U222="Subscription"),"",IFERROR(ROUNDUP(($C222-$B222)/7,0),"")))</x:f>
      </x:c>
      <x:c r="W222" s="114" t="str">
        <x:f>IF(COUNTA($A222:$M222)=0,"",IF(OR($U222="Subscription",$U222=""),"",IF(OR($U222="Free Game",$U222="Disqualified — Free Game"),0,ROUND(IFERROR($Q222,0)-IFERROR($S222,0),2))))</x:f>
      </x:c>
      <x:c r="X222" s="956" t="str">
        <x:f>IF(COUNTA($A222:$M222)=0,"",IF(OR($U222="Subscription",NOT(ISNUMBER($J222)),NOT(ISNUMBER($I222)),$J222=0,$I222=0,$I222&gt;$J222),"",$J222-$I222))</x:f>
      </x:c>
      <x:c r="Y222" s="955" t="str">
        <x:f>IF(COUNTA($A222:$M222)=0,"",IF(OR($U222="Subscription",NOT(ISNUMBER($J222)),$J222=0,$X222=""),"",$X222/$J222))</x:f>
      </x:c>
      <x:c r="Z222" s="957" t="str">
        <x:f>IF(COUNTA($A222:$M222)=0,"",Instructions!$B$29+SUM($W$5:W222))</x:f>
      </x:c>
    </x:row>
    <x:row r="223" ht="36" customHeight="1">
      <x:c r="A223" s="439"/>
      <x:c r="B223" s="453"/>
      <x:c r="C223" s="453"/>
      <x:c r="D223" s="454"/>
      <x:c r="E223" s="454"/>
      <x:c r="F223" s="454"/>
      <x:c r="G223" s="986"/>
      <x:c r="H223" s="455"/>
      <x:c r="I223" s="456"/>
      <x:c r="J223" s="456"/>
      <x:c r="K223" s="986"/>
      <x:c r="L223" s="454"/>
      <x:c r="M223" s="439"/>
      <x:c r="N223" s="987" t="str">
        <x:f>IF(COUNTA($A223:$M223)=0,"",IF(OR(LEFT(LOWER(TRIM($F223&amp;"")),12)="subscription",LOWER(TRIM($F223&amp;""))="membership"),"",IF($G223="","",IF(ISNUMBER(SEARCH("non",LOWER($E223&amp;""))),$G223*0.85,$G223))))</x:f>
      </x:c>
      <x:c r="O223" s="987" t="str">
        <x:f>IF(COUNTA($A223:$M223)=0,"",IF(OR(LEFT(LOWER(TRIM($F223&amp;"")),12)="subscription",LOWER(TRIM($F223&amp;""))="membership"),"",IF(OR($N223="",$I223="",$I223=0),"",IFERROR($N223/$I223,""))))</x:f>
      </x:c>
      <x:c r="P223" s="987" t="str">
        <x:f>IF(COUNTA($A223:$M223)=0,"",IF(OR(LEFT(LOWER(TRIM($F223&amp;"")),12)="subscription",LOWER(TRIM($F223&amp;""))="membership"),"",IF(LOWER($L223&amp;"")="yes",0,IF(OR(AND($H223&lt;&gt;"",$H223=0),LEFT(LOWER(TRIM($F223&amp;"")),9)="free game",LOWER(TRIM($F223&amp;""))="free",LOWER(TRIM($F223&amp;""))="free entry"),IF(LOWER($D223&amp;"")="finalized",IF(ISNUMBER($K223),$K223,""),IF($O223&lt;&gt;"",$O223,"")),IF($K223&lt;&gt;"",$K223,IF($O223&lt;&gt;"",$O223,""))))))</x:f>
      </x:c>
      <x:c r="Q223" s="114" t="str">
        <x:f>IF(COUNTA($A223:$M223)=0,"",IF(OR($U223="Subscription",$U223=""),"",IF($U223="Profit",ROUND(IFERROR($P223,0)-IFERROR($H223,0),2),0)))</x:f>
      </x:c>
      <x:c r="R223" s="114" t="str">
        <x:f>IF(COUNTA($A223:$M223)=0,"",IF(OR($U223="Subscription",$U223=""),"",IF($U223="Draw",$H223,0)))</x:f>
      </x:c>
      <x:c r="S223" s="114" t="str">
        <x:f>IF(COUNTA($A223:$M223)=0,"",IF(OR($U223="Subscription",$U223=""),"",IF($U223="Disqualified",$H223,0)))</x:f>
      </x:c>
      <x:c r="T223" s="955" t="str">
        <x:f>IF(COUNTA($A223:$M223)=0,"",IF(OR($U223="Subscription",$U223=""),"",IF(OR($U223="Free Game",$U223="Disqualified — Free Game",$H223=0),"N/A",IF($U223="Profit",$Q223/$H223,IF($U223="Disqualified",-$S223/$H223,0)))))</x:f>
      </x:c>
      <x:c r="U223" s="920" t="str">
        <x:f>IF(COUNTA($A223:$M223)=0,"",IF(OR(LEFT(LOWER(TRIM($F223&amp;"")),12)="subscription",LOWER(TRIM($F223&amp;""))="membership"),"Subscription",IF(OR(AND($H223&lt;&gt;"",$H223=0),LEFT(LOWER(TRIM($F223&amp;"")),9)="free game",LOWER(TRIM($F223&amp;""))="free",LOWER(TRIM($F223&amp;""))="free entry"),IF(LOWER($L223&amp;"")="yes","Disqualified — Free Game","Free Game"),IF(LOWER($L223&amp;"")="yes","Disqualified",IF($P223="","",IF(ROUND(IFERROR(VALUE($P223),0)-IFERROR(VALUE($H223),0),2)&gt;0,"Profit","Draw"))))))</x:f>
      </x:c>
      <x:c r="V223" s="956" t="str">
        <x:f>IF(COUNTA($A223:$M223)=0,"",IF(OR($B223="",$C223="",$U223="Subscription"),"",IFERROR(ROUNDUP(($C223-$B223)/7,0),"")))</x:f>
      </x:c>
      <x:c r="W223" s="114" t="str">
        <x:f>IF(COUNTA($A223:$M223)=0,"",IF(OR($U223="Subscription",$U223=""),"",IF(OR($U223="Free Game",$U223="Disqualified — Free Game"),0,ROUND(IFERROR($Q223,0)-IFERROR($S223,0),2))))</x:f>
      </x:c>
      <x:c r="X223" s="956" t="str">
        <x:f>IF(COUNTA($A223:$M223)=0,"",IF(OR($U223="Subscription",NOT(ISNUMBER($J223)),NOT(ISNUMBER($I223)),$J223=0,$I223=0,$I223&gt;$J223),"",$J223-$I223))</x:f>
      </x:c>
      <x:c r="Y223" s="955" t="str">
        <x:f>IF(COUNTA($A223:$M223)=0,"",IF(OR($U223="Subscription",NOT(ISNUMBER($J223)),$J223=0,$X223=""),"",$X223/$J223))</x:f>
      </x:c>
      <x:c r="Z223" s="957" t="str">
        <x:f>IF(COUNTA($A223:$M223)=0,"",Instructions!$B$29+SUM($W$5:W223))</x:f>
      </x:c>
    </x:row>
    <x:row r="224" ht="36" customHeight="1">
      <x:c r="A224" s="439"/>
      <x:c r="B224" s="453"/>
      <x:c r="C224" s="453"/>
      <x:c r="D224" s="454"/>
      <x:c r="E224" s="454"/>
      <x:c r="F224" s="454"/>
      <x:c r="G224" s="986"/>
      <x:c r="H224" s="455"/>
      <x:c r="I224" s="456"/>
      <x:c r="J224" s="456"/>
      <x:c r="K224" s="986"/>
      <x:c r="L224" s="454"/>
      <x:c r="M224" s="439"/>
      <x:c r="N224" s="987" t="str">
        <x:f>IF(COUNTA($A224:$M224)=0,"",IF(OR(LEFT(LOWER(TRIM($F224&amp;"")),12)="subscription",LOWER(TRIM($F224&amp;""))="membership"),"",IF($G224="","",IF(ISNUMBER(SEARCH("non",LOWER($E224&amp;""))),$G224*0.85,$G224))))</x:f>
      </x:c>
      <x:c r="O224" s="987" t="str">
        <x:f>IF(COUNTA($A224:$M224)=0,"",IF(OR(LEFT(LOWER(TRIM($F224&amp;"")),12)="subscription",LOWER(TRIM($F224&amp;""))="membership"),"",IF(OR($N224="",$I224="",$I224=0),"",IFERROR($N224/$I224,""))))</x:f>
      </x:c>
      <x:c r="P224" s="987" t="str">
        <x:f>IF(COUNTA($A224:$M224)=0,"",IF(OR(LEFT(LOWER(TRIM($F224&amp;"")),12)="subscription",LOWER(TRIM($F224&amp;""))="membership"),"",IF(LOWER($L224&amp;"")="yes",0,IF(OR(AND($H224&lt;&gt;"",$H224=0),LEFT(LOWER(TRIM($F224&amp;"")),9)="free game",LOWER(TRIM($F224&amp;""))="free",LOWER(TRIM($F224&amp;""))="free entry"),IF(LOWER($D224&amp;"")="finalized",IF(ISNUMBER($K224),$K224,""),IF($O224&lt;&gt;"",$O224,"")),IF($K224&lt;&gt;"",$K224,IF($O224&lt;&gt;"",$O224,""))))))</x:f>
      </x:c>
      <x:c r="Q224" s="114" t="str">
        <x:f>IF(COUNTA($A224:$M224)=0,"",IF(OR($U224="Subscription",$U224=""),"",IF($U224="Profit",ROUND(IFERROR($P224,0)-IFERROR($H224,0),2),0)))</x:f>
      </x:c>
      <x:c r="R224" s="114" t="str">
        <x:f>IF(COUNTA($A224:$M224)=0,"",IF(OR($U224="Subscription",$U224=""),"",IF($U224="Draw",$H224,0)))</x:f>
      </x:c>
      <x:c r="S224" s="114" t="str">
        <x:f>IF(COUNTA($A224:$M224)=0,"",IF(OR($U224="Subscription",$U224=""),"",IF($U224="Disqualified",$H224,0)))</x:f>
      </x:c>
      <x:c r="T224" s="955" t="str">
        <x:f>IF(COUNTA($A224:$M224)=0,"",IF(OR($U224="Subscription",$U224=""),"",IF(OR($U224="Free Game",$U224="Disqualified — Free Game",$H224=0),"N/A",IF($U224="Profit",$Q224/$H224,IF($U224="Disqualified",-$S224/$H224,0)))))</x:f>
      </x:c>
      <x:c r="U224" s="920" t="str">
        <x:f>IF(COUNTA($A224:$M224)=0,"",IF(OR(LEFT(LOWER(TRIM($F224&amp;"")),12)="subscription",LOWER(TRIM($F224&amp;""))="membership"),"Subscription",IF(OR(AND($H224&lt;&gt;"",$H224=0),LEFT(LOWER(TRIM($F224&amp;"")),9)="free game",LOWER(TRIM($F224&amp;""))="free",LOWER(TRIM($F224&amp;""))="free entry"),IF(LOWER($L224&amp;"")="yes","Disqualified — Free Game","Free Game"),IF(LOWER($L224&amp;"")="yes","Disqualified",IF($P224="","",IF(ROUND(IFERROR(VALUE($P224),0)-IFERROR(VALUE($H224),0),2)&gt;0,"Profit","Draw"))))))</x:f>
      </x:c>
      <x:c r="V224" s="956" t="str">
        <x:f>IF(COUNTA($A224:$M224)=0,"",IF(OR($B224="",$C224="",$U224="Subscription"),"",IFERROR(ROUNDUP(($C224-$B224)/7,0),"")))</x:f>
      </x:c>
      <x:c r="W224" s="114" t="str">
        <x:f>IF(COUNTA($A224:$M224)=0,"",IF(OR($U224="Subscription",$U224=""),"",IF(OR($U224="Free Game",$U224="Disqualified — Free Game"),0,ROUND(IFERROR($Q224,0)-IFERROR($S224,0),2))))</x:f>
      </x:c>
      <x:c r="X224" s="956" t="str">
        <x:f>IF(COUNTA($A224:$M224)=0,"",IF(OR($U224="Subscription",NOT(ISNUMBER($J224)),NOT(ISNUMBER($I224)),$J224=0,$I224=0,$I224&gt;$J224),"",$J224-$I224))</x:f>
      </x:c>
      <x:c r="Y224" s="955" t="str">
        <x:f>IF(COUNTA($A224:$M224)=0,"",IF(OR($U224="Subscription",NOT(ISNUMBER($J224)),$J224=0,$X224=""),"",$X224/$J224))</x:f>
      </x:c>
      <x:c r="Z224" s="957" t="str">
        <x:f>IF(COUNTA($A224:$M224)=0,"",Instructions!$B$29+SUM($W$5:W224))</x:f>
      </x:c>
    </x:row>
    <x:row r="225" ht="36" customHeight="1">
      <x:c r="A225" s="439"/>
      <x:c r="B225" s="453"/>
      <x:c r="C225" s="453"/>
      <x:c r="D225" s="454"/>
      <x:c r="E225" s="454"/>
      <x:c r="F225" s="454"/>
      <x:c r="G225" s="986"/>
      <x:c r="H225" s="455"/>
      <x:c r="I225" s="456"/>
      <x:c r="J225" s="456"/>
      <x:c r="K225" s="986"/>
      <x:c r="L225" s="454"/>
      <x:c r="M225" s="439"/>
      <x:c r="N225" s="987" t="str">
        <x:f>IF(COUNTA($A225:$M225)=0,"",IF(OR(LEFT(LOWER(TRIM($F225&amp;"")),12)="subscription",LOWER(TRIM($F225&amp;""))="membership"),"",IF($G225="","",IF(ISNUMBER(SEARCH("non",LOWER($E225&amp;""))),$G225*0.85,$G225))))</x:f>
      </x:c>
      <x:c r="O225" s="987" t="str">
        <x:f>IF(COUNTA($A225:$M225)=0,"",IF(OR(LEFT(LOWER(TRIM($F225&amp;"")),12)="subscription",LOWER(TRIM($F225&amp;""))="membership"),"",IF(OR($N225="",$I225="",$I225=0),"",IFERROR($N225/$I225,""))))</x:f>
      </x:c>
      <x:c r="P225" s="987" t="str">
        <x:f>IF(COUNTA($A225:$M225)=0,"",IF(OR(LEFT(LOWER(TRIM($F225&amp;"")),12)="subscription",LOWER(TRIM($F225&amp;""))="membership"),"",IF(LOWER($L225&amp;"")="yes",0,IF(OR(AND($H225&lt;&gt;"",$H225=0),LEFT(LOWER(TRIM($F225&amp;"")),9)="free game",LOWER(TRIM($F225&amp;""))="free",LOWER(TRIM($F225&amp;""))="free entry"),IF(LOWER($D225&amp;"")="finalized",IF(ISNUMBER($K225),$K225,""),IF($O225&lt;&gt;"",$O225,"")),IF($K225&lt;&gt;"",$K225,IF($O225&lt;&gt;"",$O225,""))))))</x:f>
      </x:c>
      <x:c r="Q225" s="114" t="str">
        <x:f>IF(COUNTA($A225:$M225)=0,"",IF(OR($U225="Subscription",$U225=""),"",IF($U225="Profit",ROUND(IFERROR($P225,0)-IFERROR($H225,0),2),0)))</x:f>
      </x:c>
      <x:c r="R225" s="114" t="str">
        <x:f>IF(COUNTA($A225:$M225)=0,"",IF(OR($U225="Subscription",$U225=""),"",IF($U225="Draw",$H225,0)))</x:f>
      </x:c>
      <x:c r="S225" s="114" t="str">
        <x:f>IF(COUNTA($A225:$M225)=0,"",IF(OR($U225="Subscription",$U225=""),"",IF($U225="Disqualified",$H225,0)))</x:f>
      </x:c>
      <x:c r="T225" s="955" t="str">
        <x:f>IF(COUNTA($A225:$M225)=0,"",IF(OR($U225="Subscription",$U225=""),"",IF(OR($U225="Free Game",$U225="Disqualified — Free Game",$H225=0),"N/A",IF($U225="Profit",$Q225/$H225,IF($U225="Disqualified",-$S225/$H225,0)))))</x:f>
      </x:c>
      <x:c r="U225" s="920" t="str">
        <x:f>IF(COUNTA($A225:$M225)=0,"",IF(OR(LEFT(LOWER(TRIM($F225&amp;"")),12)="subscription",LOWER(TRIM($F225&amp;""))="membership"),"Subscription",IF(OR(AND($H225&lt;&gt;"",$H225=0),LEFT(LOWER(TRIM($F225&amp;"")),9)="free game",LOWER(TRIM($F225&amp;""))="free",LOWER(TRIM($F225&amp;""))="free entry"),IF(LOWER($L225&amp;"")="yes","Disqualified — Free Game","Free Game"),IF(LOWER($L225&amp;"")="yes","Disqualified",IF($P225="","",IF(ROUND(IFERROR(VALUE($P225),0)-IFERROR(VALUE($H225),0),2)&gt;0,"Profit","Draw"))))))</x:f>
      </x:c>
      <x:c r="V225" s="956" t="str">
        <x:f>IF(COUNTA($A225:$M225)=0,"",IF(OR($B225="",$C225="",$U225="Subscription"),"",IFERROR(ROUNDUP(($C225-$B225)/7,0),"")))</x:f>
      </x:c>
      <x:c r="W225" s="114" t="str">
        <x:f>IF(COUNTA($A225:$M225)=0,"",IF(OR($U225="Subscription",$U225=""),"",IF(OR($U225="Free Game",$U225="Disqualified — Free Game"),0,ROUND(IFERROR($Q225,0)-IFERROR($S225,0),2))))</x:f>
      </x:c>
      <x:c r="X225" s="956" t="str">
        <x:f>IF(COUNTA($A225:$M225)=0,"",IF(OR($U225="Subscription",NOT(ISNUMBER($J225)),NOT(ISNUMBER($I225)),$J225=0,$I225=0,$I225&gt;$J225),"",$J225-$I225))</x:f>
      </x:c>
      <x:c r="Y225" s="955" t="str">
        <x:f>IF(COUNTA($A225:$M225)=0,"",IF(OR($U225="Subscription",NOT(ISNUMBER($J225)),$J225=0,$X225=""),"",$X225/$J225))</x:f>
      </x:c>
      <x:c r="Z225" s="957" t="str">
        <x:f>IF(COUNTA($A225:$M225)=0,"",Instructions!$B$29+SUM($W$5:W225))</x:f>
      </x:c>
    </x:row>
    <x:row r="226" ht="36" customHeight="1">
      <x:c r="A226" s="439"/>
      <x:c r="B226" s="453"/>
      <x:c r="C226" s="453"/>
      <x:c r="D226" s="454"/>
      <x:c r="E226" s="454"/>
      <x:c r="F226" s="454"/>
      <x:c r="G226" s="986"/>
      <x:c r="H226" s="455"/>
      <x:c r="I226" s="456"/>
      <x:c r="J226" s="456"/>
      <x:c r="K226" s="986"/>
      <x:c r="L226" s="454"/>
      <x:c r="M226" s="439"/>
      <x:c r="N226" s="987" t="str">
        <x:f>IF(COUNTA($A226:$M226)=0,"",IF(OR(LEFT(LOWER(TRIM($F226&amp;"")),12)="subscription",LOWER(TRIM($F226&amp;""))="membership"),"",IF($G226="","",IF(ISNUMBER(SEARCH("non",LOWER($E226&amp;""))),$G226*0.85,$G226))))</x:f>
      </x:c>
      <x:c r="O226" s="987" t="str">
        <x:f>IF(COUNTA($A226:$M226)=0,"",IF(OR(LEFT(LOWER(TRIM($F226&amp;"")),12)="subscription",LOWER(TRIM($F226&amp;""))="membership"),"",IF(OR($N226="",$I226="",$I226=0),"",IFERROR($N226/$I226,""))))</x:f>
      </x:c>
      <x:c r="P226" s="987" t="str">
        <x:f>IF(COUNTA($A226:$M226)=0,"",IF(OR(LEFT(LOWER(TRIM($F226&amp;"")),12)="subscription",LOWER(TRIM($F226&amp;""))="membership"),"",IF(LOWER($L226&amp;"")="yes",0,IF(OR(AND($H226&lt;&gt;"",$H226=0),LEFT(LOWER(TRIM($F226&amp;"")),9)="free game",LOWER(TRIM($F226&amp;""))="free",LOWER(TRIM($F226&amp;""))="free entry"),IF(LOWER($D226&amp;"")="finalized",IF(ISNUMBER($K226),$K226,""),IF($O226&lt;&gt;"",$O226,"")),IF($K226&lt;&gt;"",$K226,IF($O226&lt;&gt;"",$O226,""))))))</x:f>
      </x:c>
      <x:c r="Q226" s="114" t="str">
        <x:f>IF(COUNTA($A226:$M226)=0,"",IF(OR($U226="Subscription",$U226=""),"",IF($U226="Profit",ROUND(IFERROR($P226,0)-IFERROR($H226,0),2),0)))</x:f>
      </x:c>
      <x:c r="R226" s="114" t="str">
        <x:f>IF(COUNTA($A226:$M226)=0,"",IF(OR($U226="Subscription",$U226=""),"",IF($U226="Draw",$H226,0)))</x:f>
      </x:c>
      <x:c r="S226" s="114" t="str">
        <x:f>IF(COUNTA($A226:$M226)=0,"",IF(OR($U226="Subscription",$U226=""),"",IF($U226="Disqualified",$H226,0)))</x:f>
      </x:c>
      <x:c r="T226" s="955" t="str">
        <x:f>IF(COUNTA($A226:$M226)=0,"",IF(OR($U226="Subscription",$U226=""),"",IF(OR($U226="Free Game",$U226="Disqualified — Free Game",$H226=0),"N/A",IF($U226="Profit",$Q226/$H226,IF($U226="Disqualified",-$S226/$H226,0)))))</x:f>
      </x:c>
      <x:c r="U226" s="920" t="str">
        <x:f>IF(COUNTA($A226:$M226)=0,"",IF(OR(LEFT(LOWER(TRIM($F226&amp;"")),12)="subscription",LOWER(TRIM($F226&amp;""))="membership"),"Subscription",IF(OR(AND($H226&lt;&gt;"",$H226=0),LEFT(LOWER(TRIM($F226&amp;"")),9)="free game",LOWER(TRIM($F226&amp;""))="free",LOWER(TRIM($F226&amp;""))="free entry"),IF(LOWER($L226&amp;"")="yes","Disqualified — Free Game","Free Game"),IF(LOWER($L226&amp;"")="yes","Disqualified",IF($P226="","",IF(ROUND(IFERROR(VALUE($P226),0)-IFERROR(VALUE($H226),0),2)&gt;0,"Profit","Draw"))))))</x:f>
      </x:c>
      <x:c r="V226" s="956" t="str">
        <x:f>IF(COUNTA($A226:$M226)=0,"",IF(OR($B226="",$C226="",$U226="Subscription"),"",IFERROR(ROUNDUP(($C226-$B226)/7,0),"")))</x:f>
      </x:c>
      <x:c r="W226" s="114" t="str">
        <x:f>IF(COUNTA($A226:$M226)=0,"",IF(OR($U226="Subscription",$U226=""),"",IF(OR($U226="Free Game",$U226="Disqualified — Free Game"),0,ROUND(IFERROR($Q226,0)-IFERROR($S226,0),2))))</x:f>
      </x:c>
      <x:c r="X226" s="956" t="str">
        <x:f>IF(COUNTA($A226:$M226)=0,"",IF(OR($U226="Subscription",NOT(ISNUMBER($J226)),NOT(ISNUMBER($I226)),$J226=0,$I226=0,$I226&gt;$J226),"",$J226-$I226))</x:f>
      </x:c>
      <x:c r="Y226" s="955" t="str">
        <x:f>IF(COUNTA($A226:$M226)=0,"",IF(OR($U226="Subscription",NOT(ISNUMBER($J226)),$J226=0,$X226=""),"",$X226/$J226))</x:f>
      </x:c>
      <x:c r="Z226" s="957" t="str">
        <x:f>IF(COUNTA($A226:$M226)=0,"",Instructions!$B$29+SUM($W$5:W226))</x:f>
      </x:c>
    </x:row>
    <x:row r="227" ht="36" customHeight="1">
      <x:c r="A227" s="439"/>
      <x:c r="B227" s="453"/>
      <x:c r="C227" s="453"/>
      <x:c r="D227" s="454"/>
      <x:c r="E227" s="454"/>
      <x:c r="F227" s="454"/>
      <x:c r="G227" s="986"/>
      <x:c r="H227" s="455"/>
      <x:c r="I227" s="456"/>
      <x:c r="J227" s="456"/>
      <x:c r="K227" s="986"/>
      <x:c r="L227" s="454"/>
      <x:c r="M227" s="439"/>
      <x:c r="N227" s="987" t="str">
        <x:f>IF(COUNTA($A227:$M227)=0,"",IF(OR(LEFT(LOWER(TRIM($F227&amp;"")),12)="subscription",LOWER(TRIM($F227&amp;""))="membership"),"",IF($G227="","",IF(ISNUMBER(SEARCH("non",LOWER($E227&amp;""))),$G227*0.85,$G227))))</x:f>
      </x:c>
      <x:c r="O227" s="987" t="str">
        <x:f>IF(COUNTA($A227:$M227)=0,"",IF(OR(LEFT(LOWER(TRIM($F227&amp;"")),12)="subscription",LOWER(TRIM($F227&amp;""))="membership"),"",IF(OR($N227="",$I227="",$I227=0),"",IFERROR($N227/$I227,""))))</x:f>
      </x:c>
      <x:c r="P227" s="987" t="str">
        <x:f>IF(COUNTA($A227:$M227)=0,"",IF(OR(LEFT(LOWER(TRIM($F227&amp;"")),12)="subscription",LOWER(TRIM($F227&amp;""))="membership"),"",IF(LOWER($L227&amp;"")="yes",0,IF(OR(AND($H227&lt;&gt;"",$H227=0),LEFT(LOWER(TRIM($F227&amp;"")),9)="free game",LOWER(TRIM($F227&amp;""))="free",LOWER(TRIM($F227&amp;""))="free entry"),IF(LOWER($D227&amp;"")="finalized",IF(ISNUMBER($K227),$K227,""),IF($O227&lt;&gt;"",$O227,"")),IF($K227&lt;&gt;"",$K227,IF($O227&lt;&gt;"",$O227,""))))))</x:f>
      </x:c>
      <x:c r="Q227" s="114" t="str">
        <x:f>IF(COUNTA($A227:$M227)=0,"",IF(OR($U227="Subscription",$U227=""),"",IF($U227="Profit",ROUND(IFERROR($P227,0)-IFERROR($H227,0),2),0)))</x:f>
      </x:c>
      <x:c r="R227" s="114" t="str">
        <x:f>IF(COUNTA($A227:$M227)=0,"",IF(OR($U227="Subscription",$U227=""),"",IF($U227="Draw",$H227,0)))</x:f>
      </x:c>
      <x:c r="S227" s="114" t="str">
        <x:f>IF(COUNTA($A227:$M227)=0,"",IF(OR($U227="Subscription",$U227=""),"",IF($U227="Disqualified",$H227,0)))</x:f>
      </x:c>
      <x:c r="T227" s="955" t="str">
        <x:f>IF(COUNTA($A227:$M227)=0,"",IF(OR($U227="Subscription",$U227=""),"",IF(OR($U227="Free Game",$U227="Disqualified — Free Game",$H227=0),"N/A",IF($U227="Profit",$Q227/$H227,IF($U227="Disqualified",-$S227/$H227,0)))))</x:f>
      </x:c>
      <x:c r="U227" s="920" t="str">
        <x:f>IF(COUNTA($A227:$M227)=0,"",IF(OR(LEFT(LOWER(TRIM($F227&amp;"")),12)="subscription",LOWER(TRIM($F227&amp;""))="membership"),"Subscription",IF(OR(AND($H227&lt;&gt;"",$H227=0),LEFT(LOWER(TRIM($F227&amp;"")),9)="free game",LOWER(TRIM($F227&amp;""))="free",LOWER(TRIM($F227&amp;""))="free entry"),IF(LOWER($L227&amp;"")="yes","Disqualified — Free Game","Free Game"),IF(LOWER($L227&amp;"")="yes","Disqualified",IF($P227="","",IF(ROUND(IFERROR(VALUE($P227),0)-IFERROR(VALUE($H227),0),2)&gt;0,"Profit","Draw"))))))</x:f>
      </x:c>
      <x:c r="V227" s="956" t="str">
        <x:f>IF(COUNTA($A227:$M227)=0,"",IF(OR($B227="",$C227="",$U227="Subscription"),"",IFERROR(ROUNDUP(($C227-$B227)/7,0),"")))</x:f>
      </x:c>
      <x:c r="W227" s="114" t="str">
        <x:f>IF(COUNTA($A227:$M227)=0,"",IF(OR($U227="Subscription",$U227=""),"",IF(OR($U227="Free Game",$U227="Disqualified — Free Game"),0,ROUND(IFERROR($Q227,0)-IFERROR($S227,0),2))))</x:f>
      </x:c>
      <x:c r="X227" s="956" t="str">
        <x:f>IF(COUNTA($A227:$M227)=0,"",IF(OR($U227="Subscription",NOT(ISNUMBER($J227)),NOT(ISNUMBER($I227)),$J227=0,$I227=0,$I227&gt;$J227),"",$J227-$I227))</x:f>
      </x:c>
      <x:c r="Y227" s="955" t="str">
        <x:f>IF(COUNTA($A227:$M227)=0,"",IF(OR($U227="Subscription",NOT(ISNUMBER($J227)),$J227=0,$X227=""),"",$X227/$J227))</x:f>
      </x:c>
      <x:c r="Z227" s="957" t="str">
        <x:f>IF(COUNTA($A227:$M227)=0,"",Instructions!$B$29+SUM($W$5:W227))</x:f>
      </x:c>
    </x:row>
    <x:row r="228" ht="36" customHeight="1">
      <x:c r="A228" s="439"/>
      <x:c r="B228" s="453"/>
      <x:c r="C228" s="453"/>
      <x:c r="D228" s="454"/>
      <x:c r="E228" s="454"/>
      <x:c r="F228" s="454"/>
      <x:c r="G228" s="986"/>
      <x:c r="H228" s="455"/>
      <x:c r="I228" s="456"/>
      <x:c r="J228" s="456"/>
      <x:c r="K228" s="986"/>
      <x:c r="L228" s="454"/>
      <x:c r="M228" s="439"/>
      <x:c r="N228" s="987" t="str">
        <x:f>IF(COUNTA($A228:$M228)=0,"",IF(OR(LEFT(LOWER(TRIM($F228&amp;"")),12)="subscription",LOWER(TRIM($F228&amp;""))="membership"),"",IF($G228="","",IF(ISNUMBER(SEARCH("non",LOWER($E228&amp;""))),$G228*0.85,$G228))))</x:f>
      </x:c>
      <x:c r="O228" s="987" t="str">
        <x:f>IF(COUNTA($A228:$M228)=0,"",IF(OR(LEFT(LOWER(TRIM($F228&amp;"")),12)="subscription",LOWER(TRIM($F228&amp;""))="membership"),"",IF(OR($N228="",$I228="",$I228=0),"",IFERROR($N228/$I228,""))))</x:f>
      </x:c>
      <x:c r="P228" s="987" t="str">
        <x:f>IF(COUNTA($A228:$M228)=0,"",IF(OR(LEFT(LOWER(TRIM($F228&amp;"")),12)="subscription",LOWER(TRIM($F228&amp;""))="membership"),"",IF(LOWER($L228&amp;"")="yes",0,IF(OR(AND($H228&lt;&gt;"",$H228=0),LEFT(LOWER(TRIM($F228&amp;"")),9)="free game",LOWER(TRIM($F228&amp;""))="free",LOWER(TRIM($F228&amp;""))="free entry"),IF(LOWER($D228&amp;"")="finalized",IF(ISNUMBER($K228),$K228,""),IF($O228&lt;&gt;"",$O228,"")),IF($K228&lt;&gt;"",$K228,IF($O228&lt;&gt;"",$O228,""))))))</x:f>
      </x:c>
      <x:c r="Q228" s="114" t="str">
        <x:f>IF(COUNTA($A228:$M228)=0,"",IF(OR($U228="Subscription",$U228=""),"",IF($U228="Profit",ROUND(IFERROR($P228,0)-IFERROR($H228,0),2),0)))</x:f>
      </x:c>
      <x:c r="R228" s="114" t="str">
        <x:f>IF(COUNTA($A228:$M228)=0,"",IF(OR($U228="Subscription",$U228=""),"",IF($U228="Draw",$H228,0)))</x:f>
      </x:c>
      <x:c r="S228" s="114" t="str">
        <x:f>IF(COUNTA($A228:$M228)=0,"",IF(OR($U228="Subscription",$U228=""),"",IF($U228="Disqualified",$H228,0)))</x:f>
      </x:c>
      <x:c r="T228" s="955" t="str">
        <x:f>IF(COUNTA($A228:$M228)=0,"",IF(OR($U228="Subscription",$U228=""),"",IF(OR($U228="Free Game",$U228="Disqualified — Free Game",$H228=0),"N/A",IF($U228="Profit",$Q228/$H228,IF($U228="Disqualified",-$S228/$H228,0)))))</x:f>
      </x:c>
      <x:c r="U228" s="920" t="str">
        <x:f>IF(COUNTA($A228:$M228)=0,"",IF(OR(LEFT(LOWER(TRIM($F228&amp;"")),12)="subscription",LOWER(TRIM($F228&amp;""))="membership"),"Subscription",IF(OR(AND($H228&lt;&gt;"",$H228=0),LEFT(LOWER(TRIM($F228&amp;"")),9)="free game",LOWER(TRIM($F228&amp;""))="free",LOWER(TRIM($F228&amp;""))="free entry"),IF(LOWER($L228&amp;"")="yes","Disqualified — Free Game","Free Game"),IF(LOWER($L228&amp;"")="yes","Disqualified",IF($P228="","",IF(ROUND(IFERROR(VALUE($P228),0)-IFERROR(VALUE($H228),0),2)&gt;0,"Profit","Draw"))))))</x:f>
      </x:c>
      <x:c r="V228" s="956" t="str">
        <x:f>IF(COUNTA($A228:$M228)=0,"",IF(OR($B228="",$C228="",$U228="Subscription"),"",IFERROR(ROUNDUP(($C228-$B228)/7,0),"")))</x:f>
      </x:c>
      <x:c r="W228" s="114" t="str">
        <x:f>IF(COUNTA($A228:$M228)=0,"",IF(OR($U228="Subscription",$U228=""),"",IF(OR($U228="Free Game",$U228="Disqualified — Free Game"),0,ROUND(IFERROR($Q228,0)-IFERROR($S228,0),2))))</x:f>
      </x:c>
      <x:c r="X228" s="956" t="str">
        <x:f>IF(COUNTA($A228:$M228)=0,"",IF(OR($U228="Subscription",NOT(ISNUMBER($J228)),NOT(ISNUMBER($I228)),$J228=0,$I228=0,$I228&gt;$J228),"",$J228-$I228))</x:f>
      </x:c>
      <x:c r="Y228" s="955" t="str">
        <x:f>IF(COUNTA($A228:$M228)=0,"",IF(OR($U228="Subscription",NOT(ISNUMBER($J228)),$J228=0,$X228=""),"",$X228/$J228))</x:f>
      </x:c>
      <x:c r="Z228" s="957" t="str">
        <x:f>IF(COUNTA($A228:$M228)=0,"",Instructions!$B$29+SUM($W$5:W228))</x:f>
      </x:c>
    </x:row>
    <x:row r="229" ht="36" customHeight="1">
      <x:c r="A229" s="439"/>
      <x:c r="B229" s="453"/>
      <x:c r="C229" s="453"/>
      <x:c r="D229" s="454"/>
      <x:c r="E229" s="454"/>
      <x:c r="F229" s="454"/>
      <x:c r="G229" s="986"/>
      <x:c r="H229" s="455"/>
      <x:c r="I229" s="456"/>
      <x:c r="J229" s="456"/>
      <x:c r="K229" s="986"/>
      <x:c r="L229" s="454"/>
      <x:c r="M229" s="439"/>
      <x:c r="N229" s="987" t="str">
        <x:f>IF(COUNTA($A229:$M229)=0,"",IF(OR(LEFT(LOWER(TRIM($F229&amp;"")),12)="subscription",LOWER(TRIM($F229&amp;""))="membership"),"",IF($G229="","",IF(ISNUMBER(SEARCH("non",LOWER($E229&amp;""))),$G229*0.85,$G229))))</x:f>
      </x:c>
      <x:c r="O229" s="987" t="str">
        <x:f>IF(COUNTA($A229:$M229)=0,"",IF(OR(LEFT(LOWER(TRIM($F229&amp;"")),12)="subscription",LOWER(TRIM($F229&amp;""))="membership"),"",IF(OR($N229="",$I229="",$I229=0),"",IFERROR($N229/$I229,""))))</x:f>
      </x:c>
      <x:c r="P229" s="987" t="str">
        <x:f>IF(COUNTA($A229:$M229)=0,"",IF(OR(LEFT(LOWER(TRIM($F229&amp;"")),12)="subscription",LOWER(TRIM($F229&amp;""))="membership"),"",IF(LOWER($L229&amp;"")="yes",0,IF(OR(AND($H229&lt;&gt;"",$H229=0),LEFT(LOWER(TRIM($F229&amp;"")),9)="free game",LOWER(TRIM($F229&amp;""))="free",LOWER(TRIM($F229&amp;""))="free entry"),IF(LOWER($D229&amp;"")="finalized",IF(ISNUMBER($K229),$K229,""),IF($O229&lt;&gt;"",$O229,"")),IF($K229&lt;&gt;"",$K229,IF($O229&lt;&gt;"",$O229,""))))))</x:f>
      </x:c>
      <x:c r="Q229" s="114" t="str">
        <x:f>IF(COUNTA($A229:$M229)=0,"",IF(OR($U229="Subscription",$U229=""),"",IF($U229="Profit",ROUND(IFERROR($P229,0)-IFERROR($H229,0),2),0)))</x:f>
      </x:c>
      <x:c r="R229" s="114" t="str">
        <x:f>IF(COUNTA($A229:$M229)=0,"",IF(OR($U229="Subscription",$U229=""),"",IF($U229="Draw",$H229,0)))</x:f>
      </x:c>
      <x:c r="S229" s="114" t="str">
        <x:f>IF(COUNTA($A229:$M229)=0,"",IF(OR($U229="Subscription",$U229=""),"",IF($U229="Disqualified",$H229,0)))</x:f>
      </x:c>
      <x:c r="T229" s="955" t="str">
        <x:f>IF(COUNTA($A229:$M229)=0,"",IF(OR($U229="Subscription",$U229=""),"",IF(OR($U229="Free Game",$U229="Disqualified — Free Game",$H229=0),"N/A",IF($U229="Profit",$Q229/$H229,IF($U229="Disqualified",-$S229/$H229,0)))))</x:f>
      </x:c>
      <x:c r="U229" s="920" t="str">
        <x:f>IF(COUNTA($A229:$M229)=0,"",IF(OR(LEFT(LOWER(TRIM($F229&amp;"")),12)="subscription",LOWER(TRIM($F229&amp;""))="membership"),"Subscription",IF(OR(AND($H229&lt;&gt;"",$H229=0),LEFT(LOWER(TRIM($F229&amp;"")),9)="free game",LOWER(TRIM($F229&amp;""))="free",LOWER(TRIM($F229&amp;""))="free entry"),IF(LOWER($L229&amp;"")="yes","Disqualified — Free Game","Free Game"),IF(LOWER($L229&amp;"")="yes","Disqualified",IF($P229="","",IF(ROUND(IFERROR(VALUE($P229),0)-IFERROR(VALUE($H229),0),2)&gt;0,"Profit","Draw"))))))</x:f>
      </x:c>
      <x:c r="V229" s="956" t="str">
        <x:f>IF(COUNTA($A229:$M229)=0,"",IF(OR($B229="",$C229="",$U229="Subscription"),"",IFERROR(ROUNDUP(($C229-$B229)/7,0),"")))</x:f>
      </x:c>
      <x:c r="W229" s="114" t="str">
        <x:f>IF(COUNTA($A229:$M229)=0,"",IF(OR($U229="Subscription",$U229=""),"",IF(OR($U229="Free Game",$U229="Disqualified — Free Game"),0,ROUND(IFERROR($Q229,0)-IFERROR($S229,0),2))))</x:f>
      </x:c>
      <x:c r="X229" s="956" t="str">
        <x:f>IF(COUNTA($A229:$M229)=0,"",IF(OR($U229="Subscription",NOT(ISNUMBER($J229)),NOT(ISNUMBER($I229)),$J229=0,$I229=0,$I229&gt;$J229),"",$J229-$I229))</x:f>
      </x:c>
      <x:c r="Y229" s="955" t="str">
        <x:f>IF(COUNTA($A229:$M229)=0,"",IF(OR($U229="Subscription",NOT(ISNUMBER($J229)),$J229=0,$X229=""),"",$X229/$J229))</x:f>
      </x:c>
      <x:c r="Z229" s="957" t="str">
        <x:f>IF(COUNTA($A229:$M229)=0,"",Instructions!$B$29+SUM($W$5:W229))</x:f>
      </x:c>
    </x:row>
    <x:row r="230" ht="36" customHeight="1">
      <x:c r="A230" s="439"/>
      <x:c r="B230" s="453"/>
      <x:c r="C230" s="453"/>
      <x:c r="D230" s="454"/>
      <x:c r="E230" s="454"/>
      <x:c r="F230" s="454"/>
      <x:c r="G230" s="986"/>
      <x:c r="H230" s="455"/>
      <x:c r="I230" s="456"/>
      <x:c r="J230" s="456"/>
      <x:c r="K230" s="986"/>
      <x:c r="L230" s="454"/>
      <x:c r="M230" s="439"/>
      <x:c r="N230" s="987" t="str">
        <x:f>IF(COUNTA($A230:$M230)=0,"",IF(OR(LEFT(LOWER(TRIM($F230&amp;"")),12)="subscription",LOWER(TRIM($F230&amp;""))="membership"),"",IF($G230="","",IF(ISNUMBER(SEARCH("non",LOWER($E230&amp;""))),$G230*0.85,$G230))))</x:f>
      </x:c>
      <x:c r="O230" s="987" t="str">
        <x:f>IF(COUNTA($A230:$M230)=0,"",IF(OR(LEFT(LOWER(TRIM($F230&amp;"")),12)="subscription",LOWER(TRIM($F230&amp;""))="membership"),"",IF(OR($N230="",$I230="",$I230=0),"",IFERROR($N230/$I230,""))))</x:f>
      </x:c>
      <x:c r="P230" s="987" t="str">
        <x:f>IF(COUNTA($A230:$M230)=0,"",IF(OR(LEFT(LOWER(TRIM($F230&amp;"")),12)="subscription",LOWER(TRIM($F230&amp;""))="membership"),"",IF(LOWER($L230&amp;"")="yes",0,IF(OR(AND($H230&lt;&gt;"",$H230=0),LEFT(LOWER(TRIM($F230&amp;"")),9)="free game",LOWER(TRIM($F230&amp;""))="free",LOWER(TRIM($F230&amp;""))="free entry"),IF(LOWER($D230&amp;"")="finalized",IF(ISNUMBER($K230),$K230,""),IF($O230&lt;&gt;"",$O230,"")),IF($K230&lt;&gt;"",$K230,IF($O230&lt;&gt;"",$O230,""))))))</x:f>
      </x:c>
      <x:c r="Q230" s="114" t="str">
        <x:f>IF(COUNTA($A230:$M230)=0,"",IF(OR($U230="Subscription",$U230=""),"",IF($U230="Profit",ROUND(IFERROR($P230,0)-IFERROR($H230,0),2),0)))</x:f>
      </x:c>
      <x:c r="R230" s="114" t="str">
        <x:f>IF(COUNTA($A230:$M230)=0,"",IF(OR($U230="Subscription",$U230=""),"",IF($U230="Draw",$H230,0)))</x:f>
      </x:c>
      <x:c r="S230" s="114" t="str">
        <x:f>IF(COUNTA($A230:$M230)=0,"",IF(OR($U230="Subscription",$U230=""),"",IF($U230="Disqualified",$H230,0)))</x:f>
      </x:c>
      <x:c r="T230" s="955" t="str">
        <x:f>IF(COUNTA($A230:$M230)=0,"",IF(OR($U230="Subscription",$U230=""),"",IF(OR($U230="Free Game",$U230="Disqualified — Free Game",$H230=0),"N/A",IF($U230="Profit",$Q230/$H230,IF($U230="Disqualified",-$S230/$H230,0)))))</x:f>
      </x:c>
      <x:c r="U230" s="920" t="str">
        <x:f>IF(COUNTA($A230:$M230)=0,"",IF(OR(LEFT(LOWER(TRIM($F230&amp;"")),12)="subscription",LOWER(TRIM($F230&amp;""))="membership"),"Subscription",IF(OR(AND($H230&lt;&gt;"",$H230=0),LEFT(LOWER(TRIM($F230&amp;"")),9)="free game",LOWER(TRIM($F230&amp;""))="free",LOWER(TRIM($F230&amp;""))="free entry"),IF(LOWER($L230&amp;"")="yes","Disqualified — Free Game","Free Game"),IF(LOWER($L230&amp;"")="yes","Disqualified",IF($P230="","",IF(ROUND(IFERROR(VALUE($P230),0)-IFERROR(VALUE($H230),0),2)&gt;0,"Profit","Draw"))))))</x:f>
      </x:c>
      <x:c r="V230" s="956" t="str">
        <x:f>IF(COUNTA($A230:$M230)=0,"",IF(OR($B230="",$C230="",$U230="Subscription"),"",IFERROR(ROUNDUP(($C230-$B230)/7,0),"")))</x:f>
      </x:c>
      <x:c r="W230" s="114" t="str">
        <x:f>IF(COUNTA($A230:$M230)=0,"",IF(OR($U230="Subscription",$U230=""),"",IF(OR($U230="Free Game",$U230="Disqualified — Free Game"),0,ROUND(IFERROR($Q230,0)-IFERROR($S230,0),2))))</x:f>
      </x:c>
      <x:c r="X230" s="956" t="str">
        <x:f>IF(COUNTA($A230:$M230)=0,"",IF(OR($U230="Subscription",NOT(ISNUMBER($J230)),NOT(ISNUMBER($I230)),$J230=0,$I230=0,$I230&gt;$J230),"",$J230-$I230))</x:f>
      </x:c>
      <x:c r="Y230" s="955" t="str">
        <x:f>IF(COUNTA($A230:$M230)=0,"",IF(OR($U230="Subscription",NOT(ISNUMBER($J230)),$J230=0,$X230=""),"",$X230/$J230))</x:f>
      </x:c>
      <x:c r="Z230" s="957" t="str">
        <x:f>IF(COUNTA($A230:$M230)=0,"",Instructions!$B$29+SUM($W$5:W230))</x:f>
      </x:c>
    </x:row>
    <x:row r="231" ht="36" customHeight="1">
      <x:c r="A231" s="439"/>
      <x:c r="B231" s="453"/>
      <x:c r="C231" s="453"/>
      <x:c r="D231" s="454"/>
      <x:c r="E231" s="454"/>
      <x:c r="F231" s="454"/>
      <x:c r="G231" s="986"/>
      <x:c r="H231" s="455"/>
      <x:c r="I231" s="456"/>
      <x:c r="J231" s="456"/>
      <x:c r="K231" s="986"/>
      <x:c r="L231" s="454"/>
      <x:c r="M231" s="439"/>
      <x:c r="N231" s="987" t="str">
        <x:f>IF(COUNTA($A231:$M231)=0,"",IF(OR(LEFT(LOWER(TRIM($F231&amp;"")),12)="subscription",LOWER(TRIM($F231&amp;""))="membership"),"",IF($G231="","",IF(ISNUMBER(SEARCH("non",LOWER($E231&amp;""))),$G231*0.85,$G231))))</x:f>
      </x:c>
      <x:c r="O231" s="987" t="str">
        <x:f>IF(COUNTA($A231:$M231)=0,"",IF(OR(LEFT(LOWER(TRIM($F231&amp;"")),12)="subscription",LOWER(TRIM($F231&amp;""))="membership"),"",IF(OR($N231="",$I231="",$I231=0),"",IFERROR($N231/$I231,""))))</x:f>
      </x:c>
      <x:c r="P231" s="987" t="str">
        <x:f>IF(COUNTA($A231:$M231)=0,"",IF(OR(LEFT(LOWER(TRIM($F231&amp;"")),12)="subscription",LOWER(TRIM($F231&amp;""))="membership"),"",IF(LOWER($L231&amp;"")="yes",0,IF(OR(AND($H231&lt;&gt;"",$H231=0),LEFT(LOWER(TRIM($F231&amp;"")),9)="free game",LOWER(TRIM($F231&amp;""))="free",LOWER(TRIM($F231&amp;""))="free entry"),IF(LOWER($D231&amp;"")="finalized",IF(ISNUMBER($K231),$K231,""),IF($O231&lt;&gt;"",$O231,"")),IF($K231&lt;&gt;"",$K231,IF($O231&lt;&gt;"",$O231,""))))))</x:f>
      </x:c>
      <x:c r="Q231" s="114" t="str">
        <x:f>IF(COUNTA($A231:$M231)=0,"",IF(OR($U231="Subscription",$U231=""),"",IF($U231="Profit",ROUND(IFERROR($P231,0)-IFERROR($H231,0),2),0)))</x:f>
      </x:c>
      <x:c r="R231" s="114" t="str">
        <x:f>IF(COUNTA($A231:$M231)=0,"",IF(OR($U231="Subscription",$U231=""),"",IF($U231="Draw",$H231,0)))</x:f>
      </x:c>
      <x:c r="S231" s="114" t="str">
        <x:f>IF(COUNTA($A231:$M231)=0,"",IF(OR($U231="Subscription",$U231=""),"",IF($U231="Disqualified",$H231,0)))</x:f>
      </x:c>
      <x:c r="T231" s="955" t="str">
        <x:f>IF(COUNTA($A231:$M231)=0,"",IF(OR($U231="Subscription",$U231=""),"",IF(OR($U231="Free Game",$U231="Disqualified — Free Game",$H231=0),"N/A",IF($U231="Profit",$Q231/$H231,IF($U231="Disqualified",-$S231/$H231,0)))))</x:f>
      </x:c>
      <x:c r="U231" s="920" t="str">
        <x:f>IF(COUNTA($A231:$M231)=0,"",IF(OR(LEFT(LOWER(TRIM($F231&amp;"")),12)="subscription",LOWER(TRIM($F231&amp;""))="membership"),"Subscription",IF(OR(AND($H231&lt;&gt;"",$H231=0),LEFT(LOWER(TRIM($F231&amp;"")),9)="free game",LOWER(TRIM($F231&amp;""))="free",LOWER(TRIM($F231&amp;""))="free entry"),IF(LOWER($L231&amp;"")="yes","Disqualified — Free Game","Free Game"),IF(LOWER($L231&amp;"")="yes","Disqualified",IF($P231="","",IF(ROUND(IFERROR(VALUE($P231),0)-IFERROR(VALUE($H231),0),2)&gt;0,"Profit","Draw"))))))</x:f>
      </x:c>
      <x:c r="V231" s="956" t="str">
        <x:f>IF(COUNTA($A231:$M231)=0,"",IF(OR($B231="",$C231="",$U231="Subscription"),"",IFERROR(ROUNDUP(($C231-$B231)/7,0),"")))</x:f>
      </x:c>
      <x:c r="W231" s="114" t="str">
        <x:f>IF(COUNTA($A231:$M231)=0,"",IF(OR($U231="Subscription",$U231=""),"",IF(OR($U231="Free Game",$U231="Disqualified — Free Game"),0,ROUND(IFERROR($Q231,0)-IFERROR($S231,0),2))))</x:f>
      </x:c>
      <x:c r="X231" s="956" t="str">
        <x:f>IF(COUNTA($A231:$M231)=0,"",IF(OR($U231="Subscription",NOT(ISNUMBER($J231)),NOT(ISNUMBER($I231)),$J231=0,$I231=0,$I231&gt;$J231),"",$J231-$I231))</x:f>
      </x:c>
      <x:c r="Y231" s="955" t="str">
        <x:f>IF(COUNTA($A231:$M231)=0,"",IF(OR($U231="Subscription",NOT(ISNUMBER($J231)),$J231=0,$X231=""),"",$X231/$J231))</x:f>
      </x:c>
      <x:c r="Z231" s="957" t="str">
        <x:f>IF(COUNTA($A231:$M231)=0,"",Instructions!$B$29+SUM($W$5:W231))</x:f>
      </x:c>
    </x:row>
    <x:row r="232" ht="36" customHeight="1">
      <x:c r="A232" s="439"/>
      <x:c r="B232" s="453"/>
      <x:c r="C232" s="453"/>
      <x:c r="D232" s="454"/>
      <x:c r="E232" s="454"/>
      <x:c r="F232" s="454"/>
      <x:c r="G232" s="986"/>
      <x:c r="H232" s="455"/>
      <x:c r="I232" s="456"/>
      <x:c r="J232" s="456"/>
      <x:c r="K232" s="986"/>
      <x:c r="L232" s="454"/>
      <x:c r="M232" s="439"/>
      <x:c r="N232" s="987" t="str">
        <x:f>IF(COUNTA($A232:$M232)=0,"",IF(OR(LEFT(LOWER(TRIM($F232&amp;"")),12)="subscription",LOWER(TRIM($F232&amp;""))="membership"),"",IF($G232="","",IF(ISNUMBER(SEARCH("non",LOWER($E232&amp;""))),$G232*0.85,$G232))))</x:f>
      </x:c>
      <x:c r="O232" s="987" t="str">
        <x:f>IF(COUNTA($A232:$M232)=0,"",IF(OR(LEFT(LOWER(TRIM($F232&amp;"")),12)="subscription",LOWER(TRIM($F232&amp;""))="membership"),"",IF(OR($N232="",$I232="",$I232=0),"",IFERROR($N232/$I232,""))))</x:f>
      </x:c>
      <x:c r="P232" s="987" t="str">
        <x:f>IF(COUNTA($A232:$M232)=0,"",IF(OR(LEFT(LOWER(TRIM($F232&amp;"")),12)="subscription",LOWER(TRIM($F232&amp;""))="membership"),"",IF(LOWER($L232&amp;"")="yes",0,IF(OR(AND($H232&lt;&gt;"",$H232=0),LEFT(LOWER(TRIM($F232&amp;"")),9)="free game",LOWER(TRIM($F232&amp;""))="free",LOWER(TRIM($F232&amp;""))="free entry"),IF(LOWER($D232&amp;"")="finalized",IF(ISNUMBER($K232),$K232,""),IF($O232&lt;&gt;"",$O232,"")),IF($K232&lt;&gt;"",$K232,IF($O232&lt;&gt;"",$O232,""))))))</x:f>
      </x:c>
      <x:c r="Q232" s="114" t="str">
        <x:f>IF(COUNTA($A232:$M232)=0,"",IF(OR($U232="Subscription",$U232=""),"",IF($U232="Profit",ROUND(IFERROR($P232,0)-IFERROR($H232,0),2),0)))</x:f>
      </x:c>
      <x:c r="R232" s="114" t="str">
        <x:f>IF(COUNTA($A232:$M232)=0,"",IF(OR($U232="Subscription",$U232=""),"",IF($U232="Draw",$H232,0)))</x:f>
      </x:c>
      <x:c r="S232" s="114" t="str">
        <x:f>IF(COUNTA($A232:$M232)=0,"",IF(OR($U232="Subscription",$U232=""),"",IF($U232="Disqualified",$H232,0)))</x:f>
      </x:c>
      <x:c r="T232" s="955" t="str">
        <x:f>IF(COUNTA($A232:$M232)=0,"",IF(OR($U232="Subscription",$U232=""),"",IF(OR($U232="Free Game",$U232="Disqualified — Free Game",$H232=0),"N/A",IF($U232="Profit",$Q232/$H232,IF($U232="Disqualified",-$S232/$H232,0)))))</x:f>
      </x:c>
      <x:c r="U232" s="920" t="str">
        <x:f>IF(COUNTA($A232:$M232)=0,"",IF(OR(LEFT(LOWER(TRIM($F232&amp;"")),12)="subscription",LOWER(TRIM($F232&amp;""))="membership"),"Subscription",IF(OR(AND($H232&lt;&gt;"",$H232=0),LEFT(LOWER(TRIM($F232&amp;"")),9)="free game",LOWER(TRIM($F232&amp;""))="free",LOWER(TRIM($F232&amp;""))="free entry"),IF(LOWER($L232&amp;"")="yes","Disqualified — Free Game","Free Game"),IF(LOWER($L232&amp;"")="yes","Disqualified",IF($P232="","",IF(ROUND(IFERROR(VALUE($P232),0)-IFERROR(VALUE($H232),0),2)&gt;0,"Profit","Draw"))))))</x:f>
      </x:c>
      <x:c r="V232" s="956" t="str">
        <x:f>IF(COUNTA($A232:$M232)=0,"",IF(OR($B232="",$C232="",$U232="Subscription"),"",IFERROR(ROUNDUP(($C232-$B232)/7,0),"")))</x:f>
      </x:c>
      <x:c r="W232" s="114" t="str">
        <x:f>IF(COUNTA($A232:$M232)=0,"",IF(OR($U232="Subscription",$U232=""),"",IF(OR($U232="Free Game",$U232="Disqualified — Free Game"),0,ROUND(IFERROR($Q232,0)-IFERROR($S232,0),2))))</x:f>
      </x:c>
      <x:c r="X232" s="956" t="str">
        <x:f>IF(COUNTA($A232:$M232)=0,"",IF(OR($U232="Subscription",NOT(ISNUMBER($J232)),NOT(ISNUMBER($I232)),$J232=0,$I232=0,$I232&gt;$J232),"",$J232-$I232))</x:f>
      </x:c>
      <x:c r="Y232" s="955" t="str">
        <x:f>IF(COUNTA($A232:$M232)=0,"",IF(OR($U232="Subscription",NOT(ISNUMBER($J232)),$J232=0,$X232=""),"",$X232/$J232))</x:f>
      </x:c>
      <x:c r="Z232" s="957" t="str">
        <x:f>IF(COUNTA($A232:$M232)=0,"",Instructions!$B$29+SUM($W$5:W232))</x:f>
      </x:c>
    </x:row>
    <x:row r="233" ht="36" customHeight="1">
      <x:c r="A233" s="439"/>
      <x:c r="B233" s="453"/>
      <x:c r="C233" s="453"/>
      <x:c r="D233" s="454"/>
      <x:c r="E233" s="454"/>
      <x:c r="F233" s="454"/>
      <x:c r="G233" s="986"/>
      <x:c r="H233" s="455"/>
      <x:c r="I233" s="456"/>
      <x:c r="J233" s="456"/>
      <x:c r="K233" s="986"/>
      <x:c r="L233" s="454"/>
      <x:c r="M233" s="439"/>
      <x:c r="N233" s="987" t="str">
        <x:f>IF(COUNTA($A233:$M233)=0,"",IF(OR(LEFT(LOWER(TRIM($F233&amp;"")),12)="subscription",LOWER(TRIM($F233&amp;""))="membership"),"",IF($G233="","",IF(ISNUMBER(SEARCH("non",LOWER($E233&amp;""))),$G233*0.85,$G233))))</x:f>
      </x:c>
      <x:c r="O233" s="987" t="str">
        <x:f>IF(COUNTA($A233:$M233)=0,"",IF(OR(LEFT(LOWER(TRIM($F233&amp;"")),12)="subscription",LOWER(TRIM($F233&amp;""))="membership"),"",IF(OR($N233="",$I233="",$I233=0),"",IFERROR($N233/$I233,""))))</x:f>
      </x:c>
      <x:c r="P233" s="987" t="str">
        <x:f>IF(COUNTA($A233:$M233)=0,"",IF(OR(LEFT(LOWER(TRIM($F233&amp;"")),12)="subscription",LOWER(TRIM($F233&amp;""))="membership"),"",IF(LOWER($L233&amp;"")="yes",0,IF(OR(AND($H233&lt;&gt;"",$H233=0),LEFT(LOWER(TRIM($F233&amp;"")),9)="free game",LOWER(TRIM($F233&amp;""))="free",LOWER(TRIM($F233&amp;""))="free entry"),IF(LOWER($D233&amp;"")="finalized",IF(ISNUMBER($K233),$K233,""),IF($O233&lt;&gt;"",$O233,"")),IF($K233&lt;&gt;"",$K233,IF($O233&lt;&gt;"",$O233,""))))))</x:f>
      </x:c>
      <x:c r="Q233" s="114" t="str">
        <x:f>IF(COUNTA($A233:$M233)=0,"",IF(OR($U233="Subscription",$U233=""),"",IF($U233="Profit",ROUND(IFERROR($P233,0)-IFERROR($H233,0),2),0)))</x:f>
      </x:c>
      <x:c r="R233" s="114" t="str">
        <x:f>IF(COUNTA($A233:$M233)=0,"",IF(OR($U233="Subscription",$U233=""),"",IF($U233="Draw",$H233,0)))</x:f>
      </x:c>
      <x:c r="S233" s="114" t="str">
        <x:f>IF(COUNTA($A233:$M233)=0,"",IF(OR($U233="Subscription",$U233=""),"",IF($U233="Disqualified",$H233,0)))</x:f>
      </x:c>
      <x:c r="T233" s="955" t="str">
        <x:f>IF(COUNTA($A233:$M233)=0,"",IF(OR($U233="Subscription",$U233=""),"",IF(OR($U233="Free Game",$U233="Disqualified — Free Game",$H233=0),"N/A",IF($U233="Profit",$Q233/$H233,IF($U233="Disqualified",-$S233/$H233,0)))))</x:f>
      </x:c>
      <x:c r="U233" s="920" t="str">
        <x:f>IF(COUNTA($A233:$M233)=0,"",IF(OR(LEFT(LOWER(TRIM($F233&amp;"")),12)="subscription",LOWER(TRIM($F233&amp;""))="membership"),"Subscription",IF(OR(AND($H233&lt;&gt;"",$H233=0),LEFT(LOWER(TRIM($F233&amp;"")),9)="free game",LOWER(TRIM($F233&amp;""))="free",LOWER(TRIM($F233&amp;""))="free entry"),IF(LOWER($L233&amp;"")="yes","Disqualified — Free Game","Free Game"),IF(LOWER($L233&amp;"")="yes","Disqualified",IF($P233="","",IF(ROUND(IFERROR(VALUE($P233),0)-IFERROR(VALUE($H233),0),2)&gt;0,"Profit","Draw"))))))</x:f>
      </x:c>
      <x:c r="V233" s="956" t="str">
        <x:f>IF(COUNTA($A233:$M233)=0,"",IF(OR($B233="",$C233="",$U233="Subscription"),"",IFERROR(ROUNDUP(($C233-$B233)/7,0),"")))</x:f>
      </x:c>
      <x:c r="W233" s="114" t="str">
        <x:f>IF(COUNTA($A233:$M233)=0,"",IF(OR($U233="Subscription",$U233=""),"",IF(OR($U233="Free Game",$U233="Disqualified — Free Game"),0,ROUND(IFERROR($Q233,0)-IFERROR($S233,0),2))))</x:f>
      </x:c>
      <x:c r="X233" s="956" t="str">
        <x:f>IF(COUNTA($A233:$M233)=0,"",IF(OR($U233="Subscription",NOT(ISNUMBER($J233)),NOT(ISNUMBER($I233)),$J233=0,$I233=0,$I233&gt;$J233),"",$J233-$I233))</x:f>
      </x:c>
      <x:c r="Y233" s="955" t="str">
        <x:f>IF(COUNTA($A233:$M233)=0,"",IF(OR($U233="Subscription",NOT(ISNUMBER($J233)),$J233=0,$X233=""),"",$X233/$J233))</x:f>
      </x:c>
      <x:c r="Z233" s="957" t="str">
        <x:f>IF(COUNTA($A233:$M233)=0,"",Instructions!$B$29+SUM($W$5:W233))</x:f>
      </x:c>
    </x:row>
    <x:row r="234" ht="36" customHeight="1">
      <x:c r="A234" s="439"/>
      <x:c r="B234" s="453"/>
      <x:c r="C234" s="453"/>
      <x:c r="D234" s="454"/>
      <x:c r="E234" s="454"/>
      <x:c r="F234" s="454"/>
      <x:c r="G234" s="986"/>
      <x:c r="H234" s="455"/>
      <x:c r="I234" s="456"/>
      <x:c r="J234" s="456"/>
      <x:c r="K234" s="986"/>
      <x:c r="L234" s="454"/>
      <x:c r="M234" s="439"/>
      <x:c r="N234" s="987" t="str">
        <x:f>IF(COUNTA($A234:$M234)=0,"",IF(OR(LEFT(LOWER(TRIM($F234&amp;"")),12)="subscription",LOWER(TRIM($F234&amp;""))="membership"),"",IF($G234="","",IF(ISNUMBER(SEARCH("non",LOWER($E234&amp;""))),$G234*0.85,$G234))))</x:f>
      </x:c>
      <x:c r="O234" s="987" t="str">
        <x:f>IF(COUNTA($A234:$M234)=0,"",IF(OR(LEFT(LOWER(TRIM($F234&amp;"")),12)="subscription",LOWER(TRIM($F234&amp;""))="membership"),"",IF(OR($N234="",$I234="",$I234=0),"",IFERROR($N234/$I234,""))))</x:f>
      </x:c>
      <x:c r="P234" s="987" t="str">
        <x:f>IF(COUNTA($A234:$M234)=0,"",IF(OR(LEFT(LOWER(TRIM($F234&amp;"")),12)="subscription",LOWER(TRIM($F234&amp;""))="membership"),"",IF(LOWER($L234&amp;"")="yes",0,IF(OR(AND($H234&lt;&gt;"",$H234=0),LEFT(LOWER(TRIM($F234&amp;"")),9)="free game",LOWER(TRIM($F234&amp;""))="free",LOWER(TRIM($F234&amp;""))="free entry"),IF(LOWER($D234&amp;"")="finalized",IF(ISNUMBER($K234),$K234,""),IF($O234&lt;&gt;"",$O234,"")),IF($K234&lt;&gt;"",$K234,IF($O234&lt;&gt;"",$O234,""))))))</x:f>
      </x:c>
      <x:c r="Q234" s="114" t="str">
        <x:f>IF(COUNTA($A234:$M234)=0,"",IF(OR($U234="Subscription",$U234=""),"",IF($U234="Profit",ROUND(IFERROR($P234,0)-IFERROR($H234,0),2),0)))</x:f>
      </x:c>
      <x:c r="R234" s="114" t="str">
        <x:f>IF(COUNTA($A234:$M234)=0,"",IF(OR($U234="Subscription",$U234=""),"",IF($U234="Draw",$H234,0)))</x:f>
      </x:c>
      <x:c r="S234" s="114" t="str">
        <x:f>IF(COUNTA($A234:$M234)=0,"",IF(OR($U234="Subscription",$U234=""),"",IF($U234="Disqualified",$H234,0)))</x:f>
      </x:c>
      <x:c r="T234" s="955" t="str">
        <x:f>IF(COUNTA($A234:$M234)=0,"",IF(OR($U234="Subscription",$U234=""),"",IF(OR($U234="Free Game",$U234="Disqualified — Free Game",$H234=0),"N/A",IF($U234="Profit",$Q234/$H234,IF($U234="Disqualified",-$S234/$H234,0)))))</x:f>
      </x:c>
      <x:c r="U234" s="920" t="str">
        <x:f>IF(COUNTA($A234:$M234)=0,"",IF(OR(LEFT(LOWER(TRIM($F234&amp;"")),12)="subscription",LOWER(TRIM($F234&amp;""))="membership"),"Subscription",IF(OR(AND($H234&lt;&gt;"",$H234=0),LEFT(LOWER(TRIM($F234&amp;"")),9)="free game",LOWER(TRIM($F234&amp;""))="free",LOWER(TRIM($F234&amp;""))="free entry"),IF(LOWER($L234&amp;"")="yes","Disqualified — Free Game","Free Game"),IF(LOWER($L234&amp;"")="yes","Disqualified",IF($P234="","",IF(ROUND(IFERROR(VALUE($P234),0)-IFERROR(VALUE($H234),0),2)&gt;0,"Profit","Draw"))))))</x:f>
      </x:c>
      <x:c r="V234" s="956" t="str">
        <x:f>IF(COUNTA($A234:$M234)=0,"",IF(OR($B234="",$C234="",$U234="Subscription"),"",IFERROR(ROUNDUP(($C234-$B234)/7,0),"")))</x:f>
      </x:c>
      <x:c r="W234" s="114" t="str">
        <x:f>IF(COUNTA($A234:$M234)=0,"",IF(OR($U234="Subscription",$U234=""),"",IF(OR($U234="Free Game",$U234="Disqualified — Free Game"),0,ROUND(IFERROR($Q234,0)-IFERROR($S234,0),2))))</x:f>
      </x:c>
      <x:c r="X234" s="956" t="str">
        <x:f>IF(COUNTA($A234:$M234)=0,"",IF(OR($U234="Subscription",NOT(ISNUMBER($J234)),NOT(ISNUMBER($I234)),$J234=0,$I234=0,$I234&gt;$J234),"",$J234-$I234))</x:f>
      </x:c>
      <x:c r="Y234" s="955" t="str">
        <x:f>IF(COUNTA($A234:$M234)=0,"",IF(OR($U234="Subscription",NOT(ISNUMBER($J234)),$J234=0,$X234=""),"",$X234/$J234))</x:f>
      </x:c>
      <x:c r="Z234" s="957" t="str">
        <x:f>IF(COUNTA($A234:$M234)=0,"",Instructions!$B$29+SUM($W$5:W234))</x:f>
      </x:c>
    </x:row>
    <x:row r="235" ht="36" customHeight="1">
      <x:c r="A235" s="439"/>
      <x:c r="B235" s="453"/>
      <x:c r="C235" s="453"/>
      <x:c r="D235" s="454"/>
      <x:c r="E235" s="454"/>
      <x:c r="F235" s="454"/>
      <x:c r="G235" s="986"/>
      <x:c r="H235" s="455"/>
      <x:c r="I235" s="456"/>
      <x:c r="J235" s="456"/>
      <x:c r="K235" s="986"/>
      <x:c r="L235" s="454"/>
      <x:c r="M235" s="439"/>
      <x:c r="N235" s="987" t="str">
        <x:f>IF(COUNTA($A235:$M235)=0,"",IF(OR(LEFT(LOWER(TRIM($F235&amp;"")),12)="subscription",LOWER(TRIM($F235&amp;""))="membership"),"",IF($G235="","",IF(ISNUMBER(SEARCH("non",LOWER($E235&amp;""))),$G235*0.85,$G235))))</x:f>
      </x:c>
      <x:c r="O235" s="987" t="str">
        <x:f>IF(COUNTA($A235:$M235)=0,"",IF(OR(LEFT(LOWER(TRIM($F235&amp;"")),12)="subscription",LOWER(TRIM($F235&amp;""))="membership"),"",IF(OR($N235="",$I235="",$I235=0),"",IFERROR($N235/$I235,""))))</x:f>
      </x:c>
      <x:c r="P235" s="987" t="str">
        <x:f>IF(COUNTA($A235:$M235)=0,"",IF(OR(LEFT(LOWER(TRIM($F235&amp;"")),12)="subscription",LOWER(TRIM($F235&amp;""))="membership"),"",IF(LOWER($L235&amp;"")="yes",0,IF(OR(AND($H235&lt;&gt;"",$H235=0),LEFT(LOWER(TRIM($F235&amp;"")),9)="free game",LOWER(TRIM($F235&amp;""))="free",LOWER(TRIM($F235&amp;""))="free entry"),IF(LOWER($D235&amp;"")="finalized",IF(ISNUMBER($K235),$K235,""),IF($O235&lt;&gt;"",$O235,"")),IF($K235&lt;&gt;"",$K235,IF($O235&lt;&gt;"",$O235,""))))))</x:f>
      </x:c>
      <x:c r="Q235" s="114" t="str">
        <x:f>IF(COUNTA($A235:$M235)=0,"",IF(OR($U235="Subscription",$U235=""),"",IF($U235="Profit",ROUND(IFERROR($P235,0)-IFERROR($H235,0),2),0)))</x:f>
      </x:c>
      <x:c r="R235" s="114" t="str">
        <x:f>IF(COUNTA($A235:$M235)=0,"",IF(OR($U235="Subscription",$U235=""),"",IF($U235="Draw",$H235,0)))</x:f>
      </x:c>
      <x:c r="S235" s="114" t="str">
        <x:f>IF(COUNTA($A235:$M235)=0,"",IF(OR($U235="Subscription",$U235=""),"",IF($U235="Disqualified",$H235,0)))</x:f>
      </x:c>
      <x:c r="T235" s="955" t="str">
        <x:f>IF(COUNTA($A235:$M235)=0,"",IF(OR($U235="Subscription",$U235=""),"",IF(OR($U235="Free Game",$U235="Disqualified — Free Game",$H235=0),"N/A",IF($U235="Profit",$Q235/$H235,IF($U235="Disqualified",-$S235/$H235,0)))))</x:f>
      </x:c>
      <x:c r="U235" s="920" t="str">
        <x:f>IF(COUNTA($A235:$M235)=0,"",IF(OR(LEFT(LOWER(TRIM($F235&amp;"")),12)="subscription",LOWER(TRIM($F235&amp;""))="membership"),"Subscription",IF(OR(AND($H235&lt;&gt;"",$H235=0),LEFT(LOWER(TRIM($F235&amp;"")),9)="free game",LOWER(TRIM($F235&amp;""))="free",LOWER(TRIM($F235&amp;""))="free entry"),IF(LOWER($L235&amp;"")="yes","Disqualified — Free Game","Free Game"),IF(LOWER($L235&amp;"")="yes","Disqualified",IF($P235="","",IF(ROUND(IFERROR(VALUE($P235),0)-IFERROR(VALUE($H235),0),2)&gt;0,"Profit","Draw"))))))</x:f>
      </x:c>
      <x:c r="V235" s="956" t="str">
        <x:f>IF(COUNTA($A235:$M235)=0,"",IF(OR($B235="",$C235="",$U235="Subscription"),"",IFERROR(ROUNDUP(($C235-$B235)/7,0),"")))</x:f>
      </x:c>
      <x:c r="W235" s="114" t="str">
        <x:f>IF(COUNTA($A235:$M235)=0,"",IF(OR($U235="Subscription",$U235=""),"",IF(OR($U235="Free Game",$U235="Disqualified — Free Game"),0,ROUND(IFERROR($Q235,0)-IFERROR($S235,0),2))))</x:f>
      </x:c>
      <x:c r="X235" s="956" t="str">
        <x:f>IF(COUNTA($A235:$M235)=0,"",IF(OR($U235="Subscription",NOT(ISNUMBER($J235)),NOT(ISNUMBER($I235)),$J235=0,$I235=0,$I235&gt;$J235),"",$J235-$I235))</x:f>
      </x:c>
      <x:c r="Y235" s="955" t="str">
        <x:f>IF(COUNTA($A235:$M235)=0,"",IF(OR($U235="Subscription",NOT(ISNUMBER($J235)),$J235=0,$X235=""),"",$X235/$J235))</x:f>
      </x:c>
      <x:c r="Z235" s="957" t="str">
        <x:f>IF(COUNTA($A235:$M235)=0,"",Instructions!$B$29+SUM($W$5:W235))</x:f>
      </x:c>
    </x:row>
    <x:row r="236" ht="36" customHeight="1">
      <x:c r="A236" s="439"/>
      <x:c r="B236" s="453"/>
      <x:c r="C236" s="453"/>
      <x:c r="D236" s="454"/>
      <x:c r="E236" s="454"/>
      <x:c r="F236" s="454"/>
      <x:c r="G236" s="986"/>
      <x:c r="H236" s="455"/>
      <x:c r="I236" s="456"/>
      <x:c r="J236" s="456"/>
      <x:c r="K236" s="986"/>
      <x:c r="L236" s="454"/>
      <x:c r="M236" s="439"/>
      <x:c r="N236" s="987" t="str">
        <x:f>IF(COUNTA($A236:$M236)=0,"",IF(OR(LEFT(LOWER(TRIM($F236&amp;"")),12)="subscription",LOWER(TRIM($F236&amp;""))="membership"),"",IF($G236="","",IF(ISNUMBER(SEARCH("non",LOWER($E236&amp;""))),$G236*0.85,$G236))))</x:f>
      </x:c>
      <x:c r="O236" s="987" t="str">
        <x:f>IF(COUNTA($A236:$M236)=0,"",IF(OR(LEFT(LOWER(TRIM($F236&amp;"")),12)="subscription",LOWER(TRIM($F236&amp;""))="membership"),"",IF(OR($N236="",$I236="",$I236=0),"",IFERROR($N236/$I236,""))))</x:f>
      </x:c>
      <x:c r="P236" s="987" t="str">
        <x:f>IF(COUNTA($A236:$M236)=0,"",IF(OR(LEFT(LOWER(TRIM($F236&amp;"")),12)="subscription",LOWER(TRIM($F236&amp;""))="membership"),"",IF(LOWER($L236&amp;"")="yes",0,IF(OR(AND($H236&lt;&gt;"",$H236=0),LEFT(LOWER(TRIM($F236&amp;"")),9)="free game",LOWER(TRIM($F236&amp;""))="free",LOWER(TRIM($F236&amp;""))="free entry"),IF(LOWER($D236&amp;"")="finalized",IF(ISNUMBER($K236),$K236,""),IF($O236&lt;&gt;"",$O236,"")),IF($K236&lt;&gt;"",$K236,IF($O236&lt;&gt;"",$O236,""))))))</x:f>
      </x:c>
      <x:c r="Q236" s="114" t="str">
        <x:f>IF(COUNTA($A236:$M236)=0,"",IF(OR($U236="Subscription",$U236=""),"",IF($U236="Profit",ROUND(IFERROR($P236,0)-IFERROR($H236,0),2),0)))</x:f>
      </x:c>
      <x:c r="R236" s="114" t="str">
        <x:f>IF(COUNTA($A236:$M236)=0,"",IF(OR($U236="Subscription",$U236=""),"",IF($U236="Draw",$H236,0)))</x:f>
      </x:c>
      <x:c r="S236" s="114" t="str">
        <x:f>IF(COUNTA($A236:$M236)=0,"",IF(OR($U236="Subscription",$U236=""),"",IF($U236="Disqualified",$H236,0)))</x:f>
      </x:c>
      <x:c r="T236" s="955" t="str">
        <x:f>IF(COUNTA($A236:$M236)=0,"",IF(OR($U236="Subscription",$U236=""),"",IF(OR($U236="Free Game",$U236="Disqualified — Free Game",$H236=0),"N/A",IF($U236="Profit",$Q236/$H236,IF($U236="Disqualified",-$S236/$H236,0)))))</x:f>
      </x:c>
      <x:c r="U236" s="920" t="str">
        <x:f>IF(COUNTA($A236:$M236)=0,"",IF(OR(LEFT(LOWER(TRIM($F236&amp;"")),12)="subscription",LOWER(TRIM($F236&amp;""))="membership"),"Subscription",IF(OR(AND($H236&lt;&gt;"",$H236=0),LEFT(LOWER(TRIM($F236&amp;"")),9)="free game",LOWER(TRIM($F236&amp;""))="free",LOWER(TRIM($F236&amp;""))="free entry"),IF(LOWER($L236&amp;"")="yes","Disqualified — Free Game","Free Game"),IF(LOWER($L236&amp;"")="yes","Disqualified",IF($P236="","",IF(ROUND(IFERROR(VALUE($P236),0)-IFERROR(VALUE($H236),0),2)&gt;0,"Profit","Draw"))))))</x:f>
      </x:c>
      <x:c r="V236" s="956" t="str">
        <x:f>IF(COUNTA($A236:$M236)=0,"",IF(OR($B236="",$C236="",$U236="Subscription"),"",IFERROR(ROUNDUP(($C236-$B236)/7,0),"")))</x:f>
      </x:c>
      <x:c r="W236" s="114" t="str">
        <x:f>IF(COUNTA($A236:$M236)=0,"",IF(OR($U236="Subscription",$U236=""),"",IF(OR($U236="Free Game",$U236="Disqualified — Free Game"),0,ROUND(IFERROR($Q236,0)-IFERROR($S236,0),2))))</x:f>
      </x:c>
      <x:c r="X236" s="956" t="str">
        <x:f>IF(COUNTA($A236:$M236)=0,"",IF(OR($U236="Subscription",NOT(ISNUMBER($J236)),NOT(ISNUMBER($I236)),$J236=0,$I236=0,$I236&gt;$J236),"",$J236-$I236))</x:f>
      </x:c>
      <x:c r="Y236" s="955" t="str">
        <x:f>IF(COUNTA($A236:$M236)=0,"",IF(OR($U236="Subscription",NOT(ISNUMBER($J236)),$J236=0,$X236=""),"",$X236/$J236))</x:f>
      </x:c>
      <x:c r="Z236" s="957" t="str">
        <x:f>IF(COUNTA($A236:$M236)=0,"",Instructions!$B$29+SUM($W$5:W236))</x:f>
      </x:c>
    </x:row>
    <x:row r="237" ht="36" customHeight="1">
      <x:c r="A237" s="439"/>
      <x:c r="B237" s="453"/>
      <x:c r="C237" s="453"/>
      <x:c r="D237" s="454"/>
      <x:c r="E237" s="454"/>
      <x:c r="F237" s="454"/>
      <x:c r="G237" s="986"/>
      <x:c r="H237" s="455"/>
      <x:c r="I237" s="456"/>
      <x:c r="J237" s="456"/>
      <x:c r="K237" s="986"/>
      <x:c r="L237" s="454"/>
      <x:c r="M237" s="439"/>
      <x:c r="N237" s="987" t="str">
        <x:f>IF(COUNTA($A237:$M237)=0,"",IF(OR(LEFT(LOWER(TRIM($F237&amp;"")),12)="subscription",LOWER(TRIM($F237&amp;""))="membership"),"",IF($G237="","",IF(ISNUMBER(SEARCH("non",LOWER($E237&amp;""))),$G237*0.85,$G237))))</x:f>
      </x:c>
      <x:c r="O237" s="987" t="str">
        <x:f>IF(COUNTA($A237:$M237)=0,"",IF(OR(LEFT(LOWER(TRIM($F237&amp;"")),12)="subscription",LOWER(TRIM($F237&amp;""))="membership"),"",IF(OR($N237="",$I237="",$I237=0),"",IFERROR($N237/$I237,""))))</x:f>
      </x:c>
      <x:c r="P237" s="987" t="str">
        <x:f>IF(COUNTA($A237:$M237)=0,"",IF(OR(LEFT(LOWER(TRIM($F237&amp;"")),12)="subscription",LOWER(TRIM($F237&amp;""))="membership"),"",IF(LOWER($L237&amp;"")="yes",0,IF(OR(AND($H237&lt;&gt;"",$H237=0),LEFT(LOWER(TRIM($F237&amp;"")),9)="free game",LOWER(TRIM($F237&amp;""))="free",LOWER(TRIM($F237&amp;""))="free entry"),IF(LOWER($D237&amp;"")="finalized",IF(ISNUMBER($K237),$K237,""),IF($O237&lt;&gt;"",$O237,"")),IF($K237&lt;&gt;"",$K237,IF($O237&lt;&gt;"",$O237,""))))))</x:f>
      </x:c>
      <x:c r="Q237" s="114" t="str">
        <x:f>IF(COUNTA($A237:$M237)=0,"",IF(OR($U237="Subscription",$U237=""),"",IF($U237="Profit",ROUND(IFERROR($P237,0)-IFERROR($H237,0),2),0)))</x:f>
      </x:c>
      <x:c r="R237" s="114" t="str">
        <x:f>IF(COUNTA($A237:$M237)=0,"",IF(OR($U237="Subscription",$U237=""),"",IF($U237="Draw",$H237,0)))</x:f>
      </x:c>
      <x:c r="S237" s="114" t="str">
        <x:f>IF(COUNTA($A237:$M237)=0,"",IF(OR($U237="Subscription",$U237=""),"",IF($U237="Disqualified",$H237,0)))</x:f>
      </x:c>
      <x:c r="T237" s="955" t="str">
        <x:f>IF(COUNTA($A237:$M237)=0,"",IF(OR($U237="Subscription",$U237=""),"",IF(OR($U237="Free Game",$U237="Disqualified — Free Game",$H237=0),"N/A",IF($U237="Profit",$Q237/$H237,IF($U237="Disqualified",-$S237/$H237,0)))))</x:f>
      </x:c>
      <x:c r="U237" s="920" t="str">
        <x:f>IF(COUNTA($A237:$M237)=0,"",IF(OR(LEFT(LOWER(TRIM($F237&amp;"")),12)="subscription",LOWER(TRIM($F237&amp;""))="membership"),"Subscription",IF(OR(AND($H237&lt;&gt;"",$H237=0),LEFT(LOWER(TRIM($F237&amp;"")),9)="free game",LOWER(TRIM($F237&amp;""))="free",LOWER(TRIM($F237&amp;""))="free entry"),IF(LOWER($L237&amp;"")="yes","Disqualified — Free Game","Free Game"),IF(LOWER($L237&amp;"")="yes","Disqualified",IF($P237="","",IF(ROUND(IFERROR(VALUE($P237),0)-IFERROR(VALUE($H237),0),2)&gt;0,"Profit","Draw"))))))</x:f>
      </x:c>
      <x:c r="V237" s="956" t="str">
        <x:f>IF(COUNTA($A237:$M237)=0,"",IF(OR($B237="",$C237="",$U237="Subscription"),"",IFERROR(ROUNDUP(($C237-$B237)/7,0),"")))</x:f>
      </x:c>
      <x:c r="W237" s="114" t="str">
        <x:f>IF(COUNTA($A237:$M237)=0,"",IF(OR($U237="Subscription",$U237=""),"",IF(OR($U237="Free Game",$U237="Disqualified — Free Game"),0,ROUND(IFERROR($Q237,0)-IFERROR($S237,0),2))))</x:f>
      </x:c>
      <x:c r="X237" s="956" t="str">
        <x:f>IF(COUNTA($A237:$M237)=0,"",IF(OR($U237="Subscription",NOT(ISNUMBER($J237)),NOT(ISNUMBER($I237)),$J237=0,$I237=0,$I237&gt;$J237),"",$J237-$I237))</x:f>
      </x:c>
      <x:c r="Y237" s="955" t="str">
        <x:f>IF(COUNTA($A237:$M237)=0,"",IF(OR($U237="Subscription",NOT(ISNUMBER($J237)),$J237=0,$X237=""),"",$X237/$J237))</x:f>
      </x:c>
      <x:c r="Z237" s="957" t="str">
        <x:f>IF(COUNTA($A237:$M237)=0,"",Instructions!$B$29+SUM($W$5:W237))</x:f>
      </x:c>
    </x:row>
    <x:row r="238" ht="36" customHeight="1">
      <x:c r="A238" s="439"/>
      <x:c r="B238" s="453"/>
      <x:c r="C238" s="453"/>
      <x:c r="D238" s="454"/>
      <x:c r="E238" s="454"/>
      <x:c r="F238" s="454"/>
      <x:c r="G238" s="986"/>
      <x:c r="H238" s="455"/>
      <x:c r="I238" s="456"/>
      <x:c r="J238" s="456"/>
      <x:c r="K238" s="986"/>
      <x:c r="L238" s="454"/>
      <x:c r="M238" s="439"/>
      <x:c r="N238" s="987" t="str">
        <x:f>IF(COUNTA($A238:$M238)=0,"",IF(OR(LEFT(LOWER(TRIM($F238&amp;"")),12)="subscription",LOWER(TRIM($F238&amp;""))="membership"),"",IF($G238="","",IF(ISNUMBER(SEARCH("non",LOWER($E238&amp;""))),$G238*0.85,$G238))))</x:f>
      </x:c>
      <x:c r="O238" s="987" t="str">
        <x:f>IF(COUNTA($A238:$M238)=0,"",IF(OR(LEFT(LOWER(TRIM($F238&amp;"")),12)="subscription",LOWER(TRIM($F238&amp;""))="membership"),"",IF(OR($N238="",$I238="",$I238=0),"",IFERROR($N238/$I238,""))))</x:f>
      </x:c>
      <x:c r="P238" s="987" t="str">
        <x:f>IF(COUNTA($A238:$M238)=0,"",IF(OR(LEFT(LOWER(TRIM($F238&amp;"")),12)="subscription",LOWER(TRIM($F238&amp;""))="membership"),"",IF(LOWER($L238&amp;"")="yes",0,IF(OR(AND($H238&lt;&gt;"",$H238=0),LEFT(LOWER(TRIM($F238&amp;"")),9)="free game",LOWER(TRIM($F238&amp;""))="free",LOWER(TRIM($F238&amp;""))="free entry"),IF(LOWER($D238&amp;"")="finalized",IF(ISNUMBER($K238),$K238,""),IF($O238&lt;&gt;"",$O238,"")),IF($K238&lt;&gt;"",$K238,IF($O238&lt;&gt;"",$O238,""))))))</x:f>
      </x:c>
      <x:c r="Q238" s="114" t="str">
        <x:f>IF(COUNTA($A238:$M238)=0,"",IF(OR($U238="Subscription",$U238=""),"",IF($U238="Profit",ROUND(IFERROR($P238,0)-IFERROR($H238,0),2),0)))</x:f>
      </x:c>
      <x:c r="R238" s="114" t="str">
        <x:f>IF(COUNTA($A238:$M238)=0,"",IF(OR($U238="Subscription",$U238=""),"",IF($U238="Draw",$H238,0)))</x:f>
      </x:c>
      <x:c r="S238" s="114" t="str">
        <x:f>IF(COUNTA($A238:$M238)=0,"",IF(OR($U238="Subscription",$U238=""),"",IF($U238="Disqualified",$H238,0)))</x:f>
      </x:c>
      <x:c r="T238" s="955" t="str">
        <x:f>IF(COUNTA($A238:$M238)=0,"",IF(OR($U238="Subscription",$U238=""),"",IF(OR($U238="Free Game",$U238="Disqualified — Free Game",$H238=0),"N/A",IF($U238="Profit",$Q238/$H238,IF($U238="Disqualified",-$S238/$H238,0)))))</x:f>
      </x:c>
      <x:c r="U238" s="920" t="str">
        <x:f>IF(COUNTA($A238:$M238)=0,"",IF(OR(LEFT(LOWER(TRIM($F238&amp;"")),12)="subscription",LOWER(TRIM($F238&amp;""))="membership"),"Subscription",IF(OR(AND($H238&lt;&gt;"",$H238=0),LEFT(LOWER(TRIM($F238&amp;"")),9)="free game",LOWER(TRIM($F238&amp;""))="free",LOWER(TRIM($F238&amp;""))="free entry"),IF(LOWER($L238&amp;"")="yes","Disqualified — Free Game","Free Game"),IF(LOWER($L238&amp;"")="yes","Disqualified",IF($P238="","",IF(ROUND(IFERROR(VALUE($P238),0)-IFERROR(VALUE($H238),0),2)&gt;0,"Profit","Draw"))))))</x:f>
      </x:c>
      <x:c r="V238" s="956" t="str">
        <x:f>IF(COUNTA($A238:$M238)=0,"",IF(OR($B238="",$C238="",$U238="Subscription"),"",IFERROR(ROUNDUP(($C238-$B238)/7,0),"")))</x:f>
      </x:c>
      <x:c r="W238" s="114" t="str">
        <x:f>IF(COUNTA($A238:$M238)=0,"",IF(OR($U238="Subscription",$U238=""),"",IF(OR($U238="Free Game",$U238="Disqualified — Free Game"),0,ROUND(IFERROR($Q238,0)-IFERROR($S238,0),2))))</x:f>
      </x:c>
      <x:c r="X238" s="956" t="str">
        <x:f>IF(COUNTA($A238:$M238)=0,"",IF(OR($U238="Subscription",NOT(ISNUMBER($J238)),NOT(ISNUMBER($I238)),$J238=0,$I238=0,$I238&gt;$J238),"",$J238-$I238))</x:f>
      </x:c>
      <x:c r="Y238" s="955" t="str">
        <x:f>IF(COUNTA($A238:$M238)=0,"",IF(OR($U238="Subscription",NOT(ISNUMBER($J238)),$J238=0,$X238=""),"",$X238/$J238))</x:f>
      </x:c>
      <x:c r="Z238" s="957" t="str">
        <x:f>IF(COUNTA($A238:$M238)=0,"",Instructions!$B$29+SUM($W$5:W238))</x:f>
      </x:c>
    </x:row>
    <x:row r="239" ht="36" customHeight="1">
      <x:c r="A239" s="439"/>
      <x:c r="B239" s="453"/>
      <x:c r="C239" s="453"/>
      <x:c r="D239" s="454"/>
      <x:c r="E239" s="454"/>
      <x:c r="F239" s="454"/>
      <x:c r="G239" s="986"/>
      <x:c r="H239" s="455"/>
      <x:c r="I239" s="456"/>
      <x:c r="J239" s="456"/>
      <x:c r="K239" s="986"/>
      <x:c r="L239" s="454"/>
      <x:c r="M239" s="439"/>
      <x:c r="N239" s="987" t="str">
        <x:f>IF(COUNTA($A239:$M239)=0,"",IF(OR(LEFT(LOWER(TRIM($F239&amp;"")),12)="subscription",LOWER(TRIM($F239&amp;""))="membership"),"",IF($G239="","",IF(ISNUMBER(SEARCH("non",LOWER($E239&amp;""))),$G239*0.85,$G239))))</x:f>
      </x:c>
      <x:c r="O239" s="987" t="str">
        <x:f>IF(COUNTA($A239:$M239)=0,"",IF(OR(LEFT(LOWER(TRIM($F239&amp;"")),12)="subscription",LOWER(TRIM($F239&amp;""))="membership"),"",IF(OR($N239="",$I239="",$I239=0),"",IFERROR($N239/$I239,""))))</x:f>
      </x:c>
      <x:c r="P239" s="987" t="str">
        <x:f>IF(COUNTA($A239:$M239)=0,"",IF(OR(LEFT(LOWER(TRIM($F239&amp;"")),12)="subscription",LOWER(TRIM($F239&amp;""))="membership"),"",IF(LOWER($L239&amp;"")="yes",0,IF(OR(AND($H239&lt;&gt;"",$H239=0),LEFT(LOWER(TRIM($F239&amp;"")),9)="free game",LOWER(TRIM($F239&amp;""))="free",LOWER(TRIM($F239&amp;""))="free entry"),IF(LOWER($D239&amp;"")="finalized",IF(ISNUMBER($K239),$K239,""),IF($O239&lt;&gt;"",$O239,"")),IF($K239&lt;&gt;"",$K239,IF($O239&lt;&gt;"",$O239,""))))))</x:f>
      </x:c>
      <x:c r="Q239" s="114" t="str">
        <x:f>IF(COUNTA($A239:$M239)=0,"",IF(OR($U239="Subscription",$U239=""),"",IF($U239="Profit",ROUND(IFERROR($P239,0)-IFERROR($H239,0),2),0)))</x:f>
      </x:c>
      <x:c r="R239" s="114" t="str">
        <x:f>IF(COUNTA($A239:$M239)=0,"",IF(OR($U239="Subscription",$U239=""),"",IF($U239="Draw",$H239,0)))</x:f>
      </x:c>
      <x:c r="S239" s="114" t="str">
        <x:f>IF(COUNTA($A239:$M239)=0,"",IF(OR($U239="Subscription",$U239=""),"",IF($U239="Disqualified",$H239,0)))</x:f>
      </x:c>
      <x:c r="T239" s="955" t="str">
        <x:f>IF(COUNTA($A239:$M239)=0,"",IF(OR($U239="Subscription",$U239=""),"",IF(OR($U239="Free Game",$U239="Disqualified — Free Game",$H239=0),"N/A",IF($U239="Profit",$Q239/$H239,IF($U239="Disqualified",-$S239/$H239,0)))))</x:f>
      </x:c>
      <x:c r="U239" s="920" t="str">
        <x:f>IF(COUNTA($A239:$M239)=0,"",IF(OR(LEFT(LOWER(TRIM($F239&amp;"")),12)="subscription",LOWER(TRIM($F239&amp;""))="membership"),"Subscription",IF(OR(AND($H239&lt;&gt;"",$H239=0),LEFT(LOWER(TRIM($F239&amp;"")),9)="free game",LOWER(TRIM($F239&amp;""))="free",LOWER(TRIM($F239&amp;""))="free entry"),IF(LOWER($L239&amp;"")="yes","Disqualified — Free Game","Free Game"),IF(LOWER($L239&amp;"")="yes","Disqualified",IF($P239="","",IF(ROUND(IFERROR(VALUE($P239),0)-IFERROR(VALUE($H239),0),2)&gt;0,"Profit","Draw"))))))</x:f>
      </x:c>
      <x:c r="V239" s="956" t="str">
        <x:f>IF(COUNTA($A239:$M239)=0,"",IF(OR($B239="",$C239="",$U239="Subscription"),"",IFERROR(ROUNDUP(($C239-$B239)/7,0),"")))</x:f>
      </x:c>
      <x:c r="W239" s="114" t="str">
        <x:f>IF(COUNTA($A239:$M239)=0,"",IF(OR($U239="Subscription",$U239=""),"",IF(OR($U239="Free Game",$U239="Disqualified — Free Game"),0,ROUND(IFERROR($Q239,0)-IFERROR($S239,0),2))))</x:f>
      </x:c>
      <x:c r="X239" s="956" t="str">
        <x:f>IF(COUNTA($A239:$M239)=0,"",IF(OR($U239="Subscription",NOT(ISNUMBER($J239)),NOT(ISNUMBER($I239)),$J239=0,$I239=0,$I239&gt;$J239),"",$J239-$I239))</x:f>
      </x:c>
      <x:c r="Y239" s="955" t="str">
        <x:f>IF(COUNTA($A239:$M239)=0,"",IF(OR($U239="Subscription",NOT(ISNUMBER($J239)),$J239=0,$X239=""),"",$X239/$J239))</x:f>
      </x:c>
      <x:c r="Z239" s="957" t="str">
        <x:f>IF(COUNTA($A239:$M239)=0,"",Instructions!$B$29+SUM($W$5:W239))</x:f>
      </x:c>
    </x:row>
    <x:row r="240" ht="36" customHeight="1">
      <x:c r="A240" s="439"/>
      <x:c r="B240" s="453"/>
      <x:c r="C240" s="453"/>
      <x:c r="D240" s="454"/>
      <x:c r="E240" s="454"/>
      <x:c r="F240" s="454"/>
      <x:c r="G240" s="986"/>
      <x:c r="H240" s="455"/>
      <x:c r="I240" s="456"/>
      <x:c r="J240" s="456"/>
      <x:c r="K240" s="986"/>
      <x:c r="L240" s="454"/>
      <x:c r="M240" s="439"/>
      <x:c r="N240" s="987" t="str">
        <x:f>IF(COUNTA($A240:$M240)=0,"",IF(OR(LEFT(LOWER(TRIM($F240&amp;"")),12)="subscription",LOWER(TRIM($F240&amp;""))="membership"),"",IF($G240="","",IF(ISNUMBER(SEARCH("non",LOWER($E240&amp;""))),$G240*0.85,$G240))))</x:f>
      </x:c>
      <x:c r="O240" s="987" t="str">
        <x:f>IF(COUNTA($A240:$M240)=0,"",IF(OR(LEFT(LOWER(TRIM($F240&amp;"")),12)="subscription",LOWER(TRIM($F240&amp;""))="membership"),"",IF(OR($N240="",$I240="",$I240=0),"",IFERROR($N240/$I240,""))))</x:f>
      </x:c>
      <x:c r="P240" s="987" t="str">
        <x:f>IF(COUNTA($A240:$M240)=0,"",IF(OR(LEFT(LOWER(TRIM($F240&amp;"")),12)="subscription",LOWER(TRIM($F240&amp;""))="membership"),"",IF(LOWER($L240&amp;"")="yes",0,IF(OR(AND($H240&lt;&gt;"",$H240=0),LEFT(LOWER(TRIM($F240&amp;"")),9)="free game",LOWER(TRIM($F240&amp;""))="free",LOWER(TRIM($F240&amp;""))="free entry"),IF(LOWER($D240&amp;"")="finalized",IF(ISNUMBER($K240),$K240,""),IF($O240&lt;&gt;"",$O240,"")),IF($K240&lt;&gt;"",$K240,IF($O240&lt;&gt;"",$O240,""))))))</x:f>
      </x:c>
      <x:c r="Q240" s="114" t="str">
        <x:f>IF(COUNTA($A240:$M240)=0,"",IF(OR($U240="Subscription",$U240=""),"",IF($U240="Profit",ROUND(IFERROR($P240,0)-IFERROR($H240,0),2),0)))</x:f>
      </x:c>
      <x:c r="R240" s="114" t="str">
        <x:f>IF(COUNTA($A240:$M240)=0,"",IF(OR($U240="Subscription",$U240=""),"",IF($U240="Draw",$H240,0)))</x:f>
      </x:c>
      <x:c r="S240" s="114" t="str">
        <x:f>IF(COUNTA($A240:$M240)=0,"",IF(OR($U240="Subscription",$U240=""),"",IF($U240="Disqualified",$H240,0)))</x:f>
      </x:c>
      <x:c r="T240" s="955" t="str">
        <x:f>IF(COUNTA($A240:$M240)=0,"",IF(OR($U240="Subscription",$U240=""),"",IF(OR($U240="Free Game",$U240="Disqualified — Free Game",$H240=0),"N/A",IF($U240="Profit",$Q240/$H240,IF($U240="Disqualified",-$S240/$H240,0)))))</x:f>
      </x:c>
      <x:c r="U240" s="920" t="str">
        <x:f>IF(COUNTA($A240:$M240)=0,"",IF(OR(LEFT(LOWER(TRIM($F240&amp;"")),12)="subscription",LOWER(TRIM($F240&amp;""))="membership"),"Subscription",IF(OR(AND($H240&lt;&gt;"",$H240=0),LEFT(LOWER(TRIM($F240&amp;"")),9)="free game",LOWER(TRIM($F240&amp;""))="free",LOWER(TRIM($F240&amp;""))="free entry"),IF(LOWER($L240&amp;"")="yes","Disqualified — Free Game","Free Game"),IF(LOWER($L240&amp;"")="yes","Disqualified",IF($P240="","",IF(ROUND(IFERROR(VALUE($P240),0)-IFERROR(VALUE($H240),0),2)&gt;0,"Profit","Draw"))))))</x:f>
      </x:c>
      <x:c r="V240" s="956" t="str">
        <x:f>IF(COUNTA($A240:$M240)=0,"",IF(OR($B240="",$C240="",$U240="Subscription"),"",IFERROR(ROUNDUP(($C240-$B240)/7,0),"")))</x:f>
      </x:c>
      <x:c r="W240" s="114" t="str">
        <x:f>IF(COUNTA($A240:$M240)=0,"",IF(OR($U240="Subscription",$U240=""),"",IF(OR($U240="Free Game",$U240="Disqualified — Free Game"),0,ROUND(IFERROR($Q240,0)-IFERROR($S240,0),2))))</x:f>
      </x:c>
      <x:c r="X240" s="956" t="str">
        <x:f>IF(COUNTA($A240:$M240)=0,"",IF(OR($U240="Subscription",NOT(ISNUMBER($J240)),NOT(ISNUMBER($I240)),$J240=0,$I240=0,$I240&gt;$J240),"",$J240-$I240))</x:f>
      </x:c>
      <x:c r="Y240" s="955" t="str">
        <x:f>IF(COUNTA($A240:$M240)=0,"",IF(OR($U240="Subscription",NOT(ISNUMBER($J240)),$J240=0,$X240=""),"",$X240/$J240))</x:f>
      </x:c>
      <x:c r="Z240" s="957" t="str">
        <x:f>IF(COUNTA($A240:$M240)=0,"",Instructions!$B$29+SUM($W$5:W240))</x:f>
      </x:c>
    </x:row>
    <x:row r="241" ht="36" customHeight="1">
      <x:c r="A241" s="439"/>
      <x:c r="B241" s="453"/>
      <x:c r="C241" s="453"/>
      <x:c r="D241" s="454"/>
      <x:c r="E241" s="454"/>
      <x:c r="F241" s="454"/>
      <x:c r="G241" s="986"/>
      <x:c r="H241" s="455"/>
      <x:c r="I241" s="456"/>
      <x:c r="J241" s="456"/>
      <x:c r="K241" s="986"/>
      <x:c r="L241" s="454"/>
      <x:c r="M241" s="439"/>
      <x:c r="N241" s="987" t="str">
        <x:f>IF(COUNTA($A241:$M241)=0,"",IF(OR(LEFT(LOWER(TRIM($F241&amp;"")),12)="subscription",LOWER(TRIM($F241&amp;""))="membership"),"",IF($G241="","",IF(ISNUMBER(SEARCH("non",LOWER($E241&amp;""))),$G241*0.85,$G241))))</x:f>
      </x:c>
      <x:c r="O241" s="987" t="str">
        <x:f>IF(COUNTA($A241:$M241)=0,"",IF(OR(LEFT(LOWER(TRIM($F241&amp;"")),12)="subscription",LOWER(TRIM($F241&amp;""))="membership"),"",IF(OR($N241="",$I241="",$I241=0),"",IFERROR($N241/$I241,""))))</x:f>
      </x:c>
      <x:c r="P241" s="987" t="str">
        <x:f>IF(COUNTA($A241:$M241)=0,"",IF(OR(LEFT(LOWER(TRIM($F241&amp;"")),12)="subscription",LOWER(TRIM($F241&amp;""))="membership"),"",IF(LOWER($L241&amp;"")="yes",0,IF(OR(AND($H241&lt;&gt;"",$H241=0),LEFT(LOWER(TRIM($F241&amp;"")),9)="free game",LOWER(TRIM($F241&amp;""))="free",LOWER(TRIM($F241&amp;""))="free entry"),IF(LOWER($D241&amp;"")="finalized",IF(ISNUMBER($K241),$K241,""),IF($O241&lt;&gt;"",$O241,"")),IF($K241&lt;&gt;"",$K241,IF($O241&lt;&gt;"",$O241,""))))))</x:f>
      </x:c>
      <x:c r="Q241" s="114" t="str">
        <x:f>IF(COUNTA($A241:$M241)=0,"",IF(OR($U241="Subscription",$U241=""),"",IF($U241="Profit",ROUND(IFERROR($P241,0)-IFERROR($H241,0),2),0)))</x:f>
      </x:c>
      <x:c r="R241" s="114" t="str">
        <x:f>IF(COUNTA($A241:$M241)=0,"",IF(OR($U241="Subscription",$U241=""),"",IF($U241="Draw",$H241,0)))</x:f>
      </x:c>
      <x:c r="S241" s="114" t="str">
        <x:f>IF(COUNTA($A241:$M241)=0,"",IF(OR($U241="Subscription",$U241=""),"",IF($U241="Disqualified",$H241,0)))</x:f>
      </x:c>
      <x:c r="T241" s="955" t="str">
        <x:f>IF(COUNTA($A241:$M241)=0,"",IF(OR($U241="Subscription",$U241=""),"",IF(OR($U241="Free Game",$U241="Disqualified — Free Game",$H241=0),"N/A",IF($U241="Profit",$Q241/$H241,IF($U241="Disqualified",-$S241/$H241,0)))))</x:f>
      </x:c>
      <x:c r="U241" s="920" t="str">
        <x:f>IF(COUNTA($A241:$M241)=0,"",IF(OR(LEFT(LOWER(TRIM($F241&amp;"")),12)="subscription",LOWER(TRIM($F241&amp;""))="membership"),"Subscription",IF(OR(AND($H241&lt;&gt;"",$H241=0),LEFT(LOWER(TRIM($F241&amp;"")),9)="free game",LOWER(TRIM($F241&amp;""))="free",LOWER(TRIM($F241&amp;""))="free entry"),IF(LOWER($L241&amp;"")="yes","Disqualified — Free Game","Free Game"),IF(LOWER($L241&amp;"")="yes","Disqualified",IF($P241="","",IF(ROUND(IFERROR(VALUE($P241),0)-IFERROR(VALUE($H241),0),2)&gt;0,"Profit","Draw"))))))</x:f>
      </x:c>
      <x:c r="V241" s="956" t="str">
        <x:f>IF(COUNTA($A241:$M241)=0,"",IF(OR($B241="",$C241="",$U241="Subscription"),"",IFERROR(ROUNDUP(($C241-$B241)/7,0),"")))</x:f>
      </x:c>
      <x:c r="W241" s="114" t="str">
        <x:f>IF(COUNTA($A241:$M241)=0,"",IF(OR($U241="Subscription",$U241=""),"",IF(OR($U241="Free Game",$U241="Disqualified — Free Game"),0,ROUND(IFERROR($Q241,0)-IFERROR($S241,0),2))))</x:f>
      </x:c>
      <x:c r="X241" s="956" t="str">
        <x:f>IF(COUNTA($A241:$M241)=0,"",IF(OR($U241="Subscription",NOT(ISNUMBER($J241)),NOT(ISNUMBER($I241)),$J241=0,$I241=0,$I241&gt;$J241),"",$J241-$I241))</x:f>
      </x:c>
      <x:c r="Y241" s="955" t="str">
        <x:f>IF(COUNTA($A241:$M241)=0,"",IF(OR($U241="Subscription",NOT(ISNUMBER($J241)),$J241=0,$X241=""),"",$X241/$J241))</x:f>
      </x:c>
      <x:c r="Z241" s="957" t="str">
        <x:f>IF(COUNTA($A241:$M241)=0,"",Instructions!$B$29+SUM($W$5:W241))</x:f>
      </x:c>
    </x:row>
    <x:row r="242" ht="36" customHeight="1">
      <x:c r="A242" s="439"/>
      <x:c r="B242" s="453"/>
      <x:c r="C242" s="453"/>
      <x:c r="D242" s="454"/>
      <x:c r="E242" s="454"/>
      <x:c r="F242" s="454"/>
      <x:c r="G242" s="986"/>
      <x:c r="H242" s="455"/>
      <x:c r="I242" s="456"/>
      <x:c r="J242" s="456"/>
      <x:c r="K242" s="986"/>
      <x:c r="L242" s="454"/>
      <x:c r="M242" s="439"/>
      <x:c r="N242" s="987" t="str">
        <x:f>IF(COUNTA($A242:$M242)=0,"",IF(OR(LEFT(LOWER(TRIM($F242&amp;"")),12)="subscription",LOWER(TRIM($F242&amp;""))="membership"),"",IF($G242="","",IF(ISNUMBER(SEARCH("non",LOWER($E242&amp;""))),$G242*0.85,$G242))))</x:f>
      </x:c>
      <x:c r="O242" s="987" t="str">
        <x:f>IF(COUNTA($A242:$M242)=0,"",IF(OR(LEFT(LOWER(TRIM($F242&amp;"")),12)="subscription",LOWER(TRIM($F242&amp;""))="membership"),"",IF(OR($N242="",$I242="",$I242=0),"",IFERROR($N242/$I242,""))))</x:f>
      </x:c>
      <x:c r="P242" s="987" t="str">
        <x:f>IF(COUNTA($A242:$M242)=0,"",IF(OR(LEFT(LOWER(TRIM($F242&amp;"")),12)="subscription",LOWER(TRIM($F242&amp;""))="membership"),"",IF(LOWER($L242&amp;"")="yes",0,IF(OR(AND($H242&lt;&gt;"",$H242=0),LEFT(LOWER(TRIM($F242&amp;"")),9)="free game",LOWER(TRIM($F242&amp;""))="free",LOWER(TRIM($F242&amp;""))="free entry"),IF(LOWER($D242&amp;"")="finalized",IF(ISNUMBER($K242),$K242,""),IF($O242&lt;&gt;"",$O242,"")),IF($K242&lt;&gt;"",$K242,IF($O242&lt;&gt;"",$O242,""))))))</x:f>
      </x:c>
      <x:c r="Q242" s="114" t="str">
        <x:f>IF(COUNTA($A242:$M242)=0,"",IF(OR($U242="Subscription",$U242=""),"",IF($U242="Profit",ROUND(IFERROR($P242,0)-IFERROR($H242,0),2),0)))</x:f>
      </x:c>
      <x:c r="R242" s="114" t="str">
        <x:f>IF(COUNTA($A242:$M242)=0,"",IF(OR($U242="Subscription",$U242=""),"",IF($U242="Draw",$H242,0)))</x:f>
      </x:c>
      <x:c r="S242" s="114" t="str">
        <x:f>IF(COUNTA($A242:$M242)=0,"",IF(OR($U242="Subscription",$U242=""),"",IF($U242="Disqualified",$H242,0)))</x:f>
      </x:c>
      <x:c r="T242" s="955" t="str">
        <x:f>IF(COUNTA($A242:$M242)=0,"",IF(OR($U242="Subscription",$U242=""),"",IF(OR($U242="Free Game",$U242="Disqualified — Free Game",$H242=0),"N/A",IF($U242="Profit",$Q242/$H242,IF($U242="Disqualified",-$S242/$H242,0)))))</x:f>
      </x:c>
      <x:c r="U242" s="920" t="str">
        <x:f>IF(COUNTA($A242:$M242)=0,"",IF(OR(LEFT(LOWER(TRIM($F242&amp;"")),12)="subscription",LOWER(TRIM($F242&amp;""))="membership"),"Subscription",IF(OR(AND($H242&lt;&gt;"",$H242=0),LEFT(LOWER(TRIM($F242&amp;"")),9)="free game",LOWER(TRIM($F242&amp;""))="free",LOWER(TRIM($F242&amp;""))="free entry"),IF(LOWER($L242&amp;"")="yes","Disqualified — Free Game","Free Game"),IF(LOWER($L242&amp;"")="yes","Disqualified",IF($P242="","",IF(ROUND(IFERROR(VALUE($P242),0)-IFERROR(VALUE($H242),0),2)&gt;0,"Profit","Draw"))))))</x:f>
      </x:c>
      <x:c r="V242" s="956" t="str">
        <x:f>IF(COUNTA($A242:$M242)=0,"",IF(OR($B242="",$C242="",$U242="Subscription"),"",IFERROR(ROUNDUP(($C242-$B242)/7,0),"")))</x:f>
      </x:c>
      <x:c r="W242" s="114" t="str">
        <x:f>IF(COUNTA($A242:$M242)=0,"",IF(OR($U242="Subscription",$U242=""),"",IF(OR($U242="Free Game",$U242="Disqualified — Free Game"),0,ROUND(IFERROR($Q242,0)-IFERROR($S242,0),2))))</x:f>
      </x:c>
      <x:c r="X242" s="956" t="str">
        <x:f>IF(COUNTA($A242:$M242)=0,"",IF(OR($U242="Subscription",NOT(ISNUMBER($J242)),NOT(ISNUMBER($I242)),$J242=0,$I242=0,$I242&gt;$J242),"",$J242-$I242))</x:f>
      </x:c>
      <x:c r="Y242" s="955" t="str">
        <x:f>IF(COUNTA($A242:$M242)=0,"",IF(OR($U242="Subscription",NOT(ISNUMBER($J242)),$J242=0,$X242=""),"",$X242/$J242))</x:f>
      </x:c>
      <x:c r="Z242" s="957" t="str">
        <x:f>IF(COUNTA($A242:$M242)=0,"",Instructions!$B$29+SUM($W$5:W242))</x:f>
      </x:c>
    </x:row>
    <x:row r="243" ht="36" customHeight="1">
      <x:c r="A243" s="439"/>
      <x:c r="B243" s="453"/>
      <x:c r="C243" s="453"/>
      <x:c r="D243" s="454"/>
      <x:c r="E243" s="454"/>
      <x:c r="F243" s="454"/>
      <x:c r="G243" s="986"/>
      <x:c r="H243" s="455"/>
      <x:c r="I243" s="456"/>
      <x:c r="J243" s="456"/>
      <x:c r="K243" s="986"/>
      <x:c r="L243" s="454"/>
      <x:c r="M243" s="439"/>
      <x:c r="N243" s="987" t="str">
        <x:f>IF(COUNTA($A243:$M243)=0,"",IF(OR(LEFT(LOWER(TRIM($F243&amp;"")),12)="subscription",LOWER(TRIM($F243&amp;""))="membership"),"",IF($G243="","",IF(ISNUMBER(SEARCH("non",LOWER($E243&amp;""))),$G243*0.85,$G243))))</x:f>
      </x:c>
      <x:c r="O243" s="987" t="str">
        <x:f>IF(COUNTA($A243:$M243)=0,"",IF(OR(LEFT(LOWER(TRIM($F243&amp;"")),12)="subscription",LOWER(TRIM($F243&amp;""))="membership"),"",IF(OR($N243="",$I243="",$I243=0),"",IFERROR($N243/$I243,""))))</x:f>
      </x:c>
      <x:c r="P243" s="987" t="str">
        <x:f>IF(COUNTA($A243:$M243)=0,"",IF(OR(LEFT(LOWER(TRIM($F243&amp;"")),12)="subscription",LOWER(TRIM($F243&amp;""))="membership"),"",IF(LOWER($L243&amp;"")="yes",0,IF(OR(AND($H243&lt;&gt;"",$H243=0),LEFT(LOWER(TRIM($F243&amp;"")),9)="free game",LOWER(TRIM($F243&amp;""))="free",LOWER(TRIM($F243&amp;""))="free entry"),IF(LOWER($D243&amp;"")="finalized",IF(ISNUMBER($K243),$K243,""),IF($O243&lt;&gt;"",$O243,"")),IF($K243&lt;&gt;"",$K243,IF($O243&lt;&gt;"",$O243,""))))))</x:f>
      </x:c>
      <x:c r="Q243" s="114" t="str">
        <x:f>IF(COUNTA($A243:$M243)=0,"",IF(OR($U243="Subscription",$U243=""),"",IF($U243="Profit",ROUND(IFERROR($P243,0)-IFERROR($H243,0),2),0)))</x:f>
      </x:c>
      <x:c r="R243" s="114" t="str">
        <x:f>IF(COUNTA($A243:$M243)=0,"",IF(OR($U243="Subscription",$U243=""),"",IF($U243="Draw",$H243,0)))</x:f>
      </x:c>
      <x:c r="S243" s="114" t="str">
        <x:f>IF(COUNTA($A243:$M243)=0,"",IF(OR($U243="Subscription",$U243=""),"",IF($U243="Disqualified",$H243,0)))</x:f>
      </x:c>
      <x:c r="T243" s="955" t="str">
        <x:f>IF(COUNTA($A243:$M243)=0,"",IF(OR($U243="Subscription",$U243=""),"",IF(OR($U243="Free Game",$U243="Disqualified — Free Game",$H243=0),"N/A",IF($U243="Profit",$Q243/$H243,IF($U243="Disqualified",-$S243/$H243,0)))))</x:f>
      </x:c>
      <x:c r="U243" s="920" t="str">
        <x:f>IF(COUNTA($A243:$M243)=0,"",IF(OR(LEFT(LOWER(TRIM($F243&amp;"")),12)="subscription",LOWER(TRIM($F243&amp;""))="membership"),"Subscription",IF(OR(AND($H243&lt;&gt;"",$H243=0),LEFT(LOWER(TRIM($F243&amp;"")),9)="free game",LOWER(TRIM($F243&amp;""))="free",LOWER(TRIM($F243&amp;""))="free entry"),IF(LOWER($L243&amp;"")="yes","Disqualified — Free Game","Free Game"),IF(LOWER($L243&amp;"")="yes","Disqualified",IF($P243="","",IF(ROUND(IFERROR(VALUE($P243),0)-IFERROR(VALUE($H243),0),2)&gt;0,"Profit","Draw"))))))</x:f>
      </x:c>
      <x:c r="V243" s="956" t="str">
        <x:f>IF(COUNTA($A243:$M243)=0,"",IF(OR($B243="",$C243="",$U243="Subscription"),"",IFERROR(ROUNDUP(($C243-$B243)/7,0),"")))</x:f>
      </x:c>
      <x:c r="W243" s="114" t="str">
        <x:f>IF(COUNTA($A243:$M243)=0,"",IF(OR($U243="Subscription",$U243=""),"",IF(OR($U243="Free Game",$U243="Disqualified — Free Game"),0,ROUND(IFERROR($Q243,0)-IFERROR($S243,0),2))))</x:f>
      </x:c>
      <x:c r="X243" s="956" t="str">
        <x:f>IF(COUNTA($A243:$M243)=0,"",IF(OR($U243="Subscription",NOT(ISNUMBER($J243)),NOT(ISNUMBER($I243)),$J243=0,$I243=0,$I243&gt;$J243),"",$J243-$I243))</x:f>
      </x:c>
      <x:c r="Y243" s="955" t="str">
        <x:f>IF(COUNTA($A243:$M243)=0,"",IF(OR($U243="Subscription",NOT(ISNUMBER($J243)),$J243=0,$X243=""),"",$X243/$J243))</x:f>
      </x:c>
      <x:c r="Z243" s="957" t="str">
        <x:f>IF(COUNTA($A243:$M243)=0,"",Instructions!$B$29+SUM($W$5:W243))</x:f>
      </x:c>
    </x:row>
    <x:row r="244" ht="36" customHeight="1">
      <x:c r="A244" s="439"/>
      <x:c r="B244" s="453"/>
      <x:c r="C244" s="453"/>
      <x:c r="D244" s="454"/>
      <x:c r="E244" s="454"/>
      <x:c r="F244" s="454"/>
      <x:c r="G244" s="986"/>
      <x:c r="H244" s="455"/>
      <x:c r="I244" s="456"/>
      <x:c r="J244" s="456"/>
      <x:c r="K244" s="986"/>
      <x:c r="L244" s="454"/>
      <x:c r="M244" s="439"/>
      <x:c r="N244" s="987" t="str">
        <x:f>IF(COUNTA($A244:$M244)=0,"",IF(OR(LEFT(LOWER(TRIM($F244&amp;"")),12)="subscription",LOWER(TRIM($F244&amp;""))="membership"),"",IF($G244="","",IF(ISNUMBER(SEARCH("non",LOWER($E244&amp;""))),$G244*0.85,$G244))))</x:f>
      </x:c>
      <x:c r="O244" s="987" t="str">
        <x:f>IF(COUNTA($A244:$M244)=0,"",IF(OR(LEFT(LOWER(TRIM($F244&amp;"")),12)="subscription",LOWER(TRIM($F244&amp;""))="membership"),"",IF(OR($N244="",$I244="",$I244=0),"",IFERROR($N244/$I244,""))))</x:f>
      </x:c>
      <x:c r="P244" s="987" t="str">
        <x:f>IF(COUNTA($A244:$M244)=0,"",IF(OR(LEFT(LOWER(TRIM($F244&amp;"")),12)="subscription",LOWER(TRIM($F244&amp;""))="membership"),"",IF(LOWER($L244&amp;"")="yes",0,IF(OR(AND($H244&lt;&gt;"",$H244=0),LEFT(LOWER(TRIM($F244&amp;"")),9)="free game",LOWER(TRIM($F244&amp;""))="free",LOWER(TRIM($F244&amp;""))="free entry"),IF(LOWER($D244&amp;"")="finalized",IF(ISNUMBER($K244),$K244,""),IF($O244&lt;&gt;"",$O244,"")),IF($K244&lt;&gt;"",$K244,IF($O244&lt;&gt;"",$O244,""))))))</x:f>
      </x:c>
      <x:c r="Q244" s="114" t="str">
        <x:f>IF(COUNTA($A244:$M244)=0,"",IF(OR($U244="Subscription",$U244=""),"",IF($U244="Profit",ROUND(IFERROR($P244,0)-IFERROR($H244,0),2),0)))</x:f>
      </x:c>
      <x:c r="R244" s="114" t="str">
        <x:f>IF(COUNTA($A244:$M244)=0,"",IF(OR($U244="Subscription",$U244=""),"",IF($U244="Draw",$H244,0)))</x:f>
      </x:c>
      <x:c r="S244" s="114" t="str">
        <x:f>IF(COUNTA($A244:$M244)=0,"",IF(OR($U244="Subscription",$U244=""),"",IF($U244="Disqualified",$H244,0)))</x:f>
      </x:c>
      <x:c r="T244" s="955" t="str">
        <x:f>IF(COUNTA($A244:$M244)=0,"",IF(OR($U244="Subscription",$U244=""),"",IF(OR($U244="Free Game",$U244="Disqualified — Free Game",$H244=0),"N/A",IF($U244="Profit",$Q244/$H244,IF($U244="Disqualified",-$S244/$H244,0)))))</x:f>
      </x:c>
      <x:c r="U244" s="920" t="str">
        <x:f>IF(COUNTA($A244:$M244)=0,"",IF(OR(LEFT(LOWER(TRIM($F244&amp;"")),12)="subscription",LOWER(TRIM($F244&amp;""))="membership"),"Subscription",IF(OR(AND($H244&lt;&gt;"",$H244=0),LEFT(LOWER(TRIM($F244&amp;"")),9)="free game",LOWER(TRIM($F244&amp;""))="free",LOWER(TRIM($F244&amp;""))="free entry"),IF(LOWER($L244&amp;"")="yes","Disqualified — Free Game","Free Game"),IF(LOWER($L244&amp;"")="yes","Disqualified",IF($P244="","",IF(ROUND(IFERROR(VALUE($P244),0)-IFERROR(VALUE($H244),0),2)&gt;0,"Profit","Draw"))))))</x:f>
      </x:c>
      <x:c r="V244" s="956" t="str">
        <x:f>IF(COUNTA($A244:$M244)=0,"",IF(OR($B244="",$C244="",$U244="Subscription"),"",IFERROR(ROUNDUP(($C244-$B244)/7,0),"")))</x:f>
      </x:c>
      <x:c r="W244" s="114" t="str">
        <x:f>IF(COUNTA($A244:$M244)=0,"",IF(OR($U244="Subscription",$U244=""),"",IF(OR($U244="Free Game",$U244="Disqualified — Free Game"),0,ROUND(IFERROR($Q244,0)-IFERROR($S244,0),2))))</x:f>
      </x:c>
      <x:c r="X244" s="956" t="str">
        <x:f>IF(COUNTA($A244:$M244)=0,"",IF(OR($U244="Subscription",NOT(ISNUMBER($J244)),NOT(ISNUMBER($I244)),$J244=0,$I244=0,$I244&gt;$J244),"",$J244-$I244))</x:f>
      </x:c>
      <x:c r="Y244" s="955" t="str">
        <x:f>IF(COUNTA($A244:$M244)=0,"",IF(OR($U244="Subscription",NOT(ISNUMBER($J244)),$J244=0,$X244=""),"",$X244/$J244))</x:f>
      </x:c>
      <x:c r="Z244" s="957" t="str">
        <x:f>IF(COUNTA($A244:$M244)=0,"",Instructions!$B$29+SUM($W$5:W244))</x:f>
      </x:c>
    </x:row>
    <x:row r="245" ht="36" customHeight="1">
      <x:c r="A245" s="439"/>
      <x:c r="B245" s="453"/>
      <x:c r="C245" s="453"/>
      <x:c r="D245" s="454"/>
      <x:c r="E245" s="454"/>
      <x:c r="F245" s="454"/>
      <x:c r="G245" s="986"/>
      <x:c r="H245" s="455"/>
      <x:c r="I245" s="456"/>
      <x:c r="J245" s="456"/>
      <x:c r="K245" s="986"/>
      <x:c r="L245" s="454"/>
      <x:c r="M245" s="439"/>
      <x:c r="N245" s="987" t="str">
        <x:f>IF(COUNTA($A245:$M245)=0,"",IF(OR(LEFT(LOWER(TRIM($F245&amp;"")),12)="subscription",LOWER(TRIM($F245&amp;""))="membership"),"",IF($G245="","",IF(ISNUMBER(SEARCH("non",LOWER($E245&amp;""))),$G245*0.85,$G245))))</x:f>
      </x:c>
      <x:c r="O245" s="987" t="str">
        <x:f>IF(COUNTA($A245:$M245)=0,"",IF(OR(LEFT(LOWER(TRIM($F245&amp;"")),12)="subscription",LOWER(TRIM($F245&amp;""))="membership"),"",IF(OR($N245="",$I245="",$I245=0),"",IFERROR($N245/$I245,""))))</x:f>
      </x:c>
      <x:c r="P245" s="987" t="str">
        <x:f>IF(COUNTA($A245:$M245)=0,"",IF(OR(LEFT(LOWER(TRIM($F245&amp;"")),12)="subscription",LOWER(TRIM($F245&amp;""))="membership"),"",IF(LOWER($L245&amp;"")="yes",0,IF(OR(AND($H245&lt;&gt;"",$H245=0),LEFT(LOWER(TRIM($F245&amp;"")),9)="free game",LOWER(TRIM($F245&amp;""))="free",LOWER(TRIM($F245&amp;""))="free entry"),IF(LOWER($D245&amp;"")="finalized",IF(ISNUMBER($K245),$K245,""),IF($O245&lt;&gt;"",$O245,"")),IF($K245&lt;&gt;"",$K245,IF($O245&lt;&gt;"",$O245,""))))))</x:f>
      </x:c>
      <x:c r="Q245" s="114" t="str">
        <x:f>IF(COUNTA($A245:$M245)=0,"",IF(OR($U245="Subscription",$U245=""),"",IF($U245="Profit",ROUND(IFERROR($P245,0)-IFERROR($H245,0),2),0)))</x:f>
      </x:c>
      <x:c r="R245" s="114" t="str">
        <x:f>IF(COUNTA($A245:$M245)=0,"",IF(OR($U245="Subscription",$U245=""),"",IF($U245="Draw",$H245,0)))</x:f>
      </x:c>
      <x:c r="S245" s="114" t="str">
        <x:f>IF(COUNTA($A245:$M245)=0,"",IF(OR($U245="Subscription",$U245=""),"",IF($U245="Disqualified",$H245,0)))</x:f>
      </x:c>
      <x:c r="T245" s="955" t="str">
        <x:f>IF(COUNTA($A245:$M245)=0,"",IF(OR($U245="Subscription",$U245=""),"",IF(OR($U245="Free Game",$U245="Disqualified — Free Game",$H245=0),"N/A",IF($U245="Profit",$Q245/$H245,IF($U245="Disqualified",-$S245/$H245,0)))))</x:f>
      </x:c>
      <x:c r="U245" s="920" t="str">
        <x:f>IF(COUNTA($A245:$M245)=0,"",IF(OR(LEFT(LOWER(TRIM($F245&amp;"")),12)="subscription",LOWER(TRIM($F245&amp;""))="membership"),"Subscription",IF(OR(AND($H245&lt;&gt;"",$H245=0),LEFT(LOWER(TRIM($F245&amp;"")),9)="free game",LOWER(TRIM($F245&amp;""))="free",LOWER(TRIM($F245&amp;""))="free entry"),IF(LOWER($L245&amp;"")="yes","Disqualified — Free Game","Free Game"),IF(LOWER($L245&amp;"")="yes","Disqualified",IF($P245="","",IF(ROUND(IFERROR(VALUE($P245),0)-IFERROR(VALUE($H245),0),2)&gt;0,"Profit","Draw"))))))</x:f>
      </x:c>
      <x:c r="V245" s="956" t="str">
        <x:f>IF(COUNTA($A245:$M245)=0,"",IF(OR($B245="",$C245="",$U245="Subscription"),"",IFERROR(ROUNDUP(($C245-$B245)/7,0),"")))</x:f>
      </x:c>
      <x:c r="W245" s="114" t="str">
        <x:f>IF(COUNTA($A245:$M245)=0,"",IF(OR($U245="Subscription",$U245=""),"",IF(OR($U245="Free Game",$U245="Disqualified — Free Game"),0,ROUND(IFERROR($Q245,0)-IFERROR($S245,0),2))))</x:f>
      </x:c>
      <x:c r="X245" s="956" t="str">
        <x:f>IF(COUNTA($A245:$M245)=0,"",IF(OR($U245="Subscription",NOT(ISNUMBER($J245)),NOT(ISNUMBER($I245)),$J245=0,$I245=0,$I245&gt;$J245),"",$J245-$I245))</x:f>
      </x:c>
      <x:c r="Y245" s="955" t="str">
        <x:f>IF(COUNTA($A245:$M245)=0,"",IF(OR($U245="Subscription",NOT(ISNUMBER($J245)),$J245=0,$X245=""),"",$X245/$J245))</x:f>
      </x:c>
      <x:c r="Z245" s="957" t="str">
        <x:f>IF(COUNTA($A245:$M245)=0,"",Instructions!$B$29+SUM($W$5:W245))</x:f>
      </x:c>
    </x:row>
    <x:row r="246" ht="36" customHeight="1">
      <x:c r="A246" s="439"/>
      <x:c r="B246" s="453"/>
      <x:c r="C246" s="453"/>
      <x:c r="D246" s="454"/>
      <x:c r="E246" s="454"/>
      <x:c r="F246" s="454"/>
      <x:c r="G246" s="986"/>
      <x:c r="H246" s="455"/>
      <x:c r="I246" s="456"/>
      <x:c r="J246" s="456"/>
      <x:c r="K246" s="986"/>
      <x:c r="L246" s="454"/>
      <x:c r="M246" s="439"/>
      <x:c r="N246" s="987" t="str">
        <x:f>IF(COUNTA($A246:$M246)=0,"",IF(OR(LEFT(LOWER(TRIM($F246&amp;"")),12)="subscription",LOWER(TRIM($F246&amp;""))="membership"),"",IF($G246="","",IF(ISNUMBER(SEARCH("non",LOWER($E246&amp;""))),$G246*0.85,$G246))))</x:f>
      </x:c>
      <x:c r="O246" s="987" t="str">
        <x:f>IF(COUNTA($A246:$M246)=0,"",IF(OR(LEFT(LOWER(TRIM($F246&amp;"")),12)="subscription",LOWER(TRIM($F246&amp;""))="membership"),"",IF(OR($N246="",$I246="",$I246=0),"",IFERROR($N246/$I246,""))))</x:f>
      </x:c>
      <x:c r="P246" s="987" t="str">
        <x:f>IF(COUNTA($A246:$M246)=0,"",IF(OR(LEFT(LOWER(TRIM($F246&amp;"")),12)="subscription",LOWER(TRIM($F246&amp;""))="membership"),"",IF(LOWER($L246&amp;"")="yes",0,IF(OR(AND($H246&lt;&gt;"",$H246=0),LEFT(LOWER(TRIM($F246&amp;"")),9)="free game",LOWER(TRIM($F246&amp;""))="free",LOWER(TRIM($F246&amp;""))="free entry"),IF(LOWER($D246&amp;"")="finalized",IF(ISNUMBER($K246),$K246,""),IF($O246&lt;&gt;"",$O246,"")),IF($K246&lt;&gt;"",$K246,IF($O246&lt;&gt;"",$O246,""))))))</x:f>
      </x:c>
      <x:c r="Q246" s="114" t="str">
        <x:f>IF(COUNTA($A246:$M246)=0,"",IF(OR($U246="Subscription",$U246=""),"",IF($U246="Profit",ROUND(IFERROR($P246,0)-IFERROR($H246,0),2),0)))</x:f>
      </x:c>
      <x:c r="R246" s="114" t="str">
        <x:f>IF(COUNTA($A246:$M246)=0,"",IF(OR($U246="Subscription",$U246=""),"",IF($U246="Draw",$H246,0)))</x:f>
      </x:c>
      <x:c r="S246" s="114" t="str">
        <x:f>IF(COUNTA($A246:$M246)=0,"",IF(OR($U246="Subscription",$U246=""),"",IF($U246="Disqualified",$H246,0)))</x:f>
      </x:c>
      <x:c r="T246" s="955" t="str">
        <x:f>IF(COUNTA($A246:$M246)=0,"",IF(OR($U246="Subscription",$U246=""),"",IF(OR($U246="Free Game",$U246="Disqualified — Free Game",$H246=0),"N/A",IF($U246="Profit",$Q246/$H246,IF($U246="Disqualified",-$S246/$H246,0)))))</x:f>
      </x:c>
      <x:c r="U246" s="920" t="str">
        <x:f>IF(COUNTA($A246:$M246)=0,"",IF(OR(LEFT(LOWER(TRIM($F246&amp;"")),12)="subscription",LOWER(TRIM($F246&amp;""))="membership"),"Subscription",IF(OR(AND($H246&lt;&gt;"",$H246=0),LEFT(LOWER(TRIM($F246&amp;"")),9)="free game",LOWER(TRIM($F246&amp;""))="free",LOWER(TRIM($F246&amp;""))="free entry"),IF(LOWER($L246&amp;"")="yes","Disqualified — Free Game","Free Game"),IF(LOWER($L246&amp;"")="yes","Disqualified",IF($P246="","",IF(ROUND(IFERROR(VALUE($P246),0)-IFERROR(VALUE($H246),0),2)&gt;0,"Profit","Draw"))))))</x:f>
      </x:c>
      <x:c r="V246" s="956" t="str">
        <x:f>IF(COUNTA($A246:$M246)=0,"",IF(OR($B246="",$C246="",$U246="Subscription"),"",IFERROR(ROUNDUP(($C246-$B246)/7,0),"")))</x:f>
      </x:c>
      <x:c r="W246" s="114" t="str">
        <x:f>IF(COUNTA($A246:$M246)=0,"",IF(OR($U246="Subscription",$U246=""),"",IF(OR($U246="Free Game",$U246="Disqualified — Free Game"),0,ROUND(IFERROR($Q246,0)-IFERROR($S246,0),2))))</x:f>
      </x:c>
      <x:c r="X246" s="956" t="str">
        <x:f>IF(COUNTA($A246:$M246)=0,"",IF(OR($U246="Subscription",NOT(ISNUMBER($J246)),NOT(ISNUMBER($I246)),$J246=0,$I246=0,$I246&gt;$J246),"",$J246-$I246))</x:f>
      </x:c>
      <x:c r="Y246" s="955" t="str">
        <x:f>IF(COUNTA($A246:$M246)=0,"",IF(OR($U246="Subscription",NOT(ISNUMBER($J246)),$J246=0,$X246=""),"",$X246/$J246))</x:f>
      </x:c>
      <x:c r="Z246" s="957" t="str">
        <x:f>IF(COUNTA($A246:$M246)=0,"",Instructions!$B$29+SUM($W$5:W246))</x:f>
      </x:c>
    </x:row>
    <x:row r="247" ht="36" customHeight="1">
      <x:c r="A247" s="439"/>
      <x:c r="B247" s="453"/>
      <x:c r="C247" s="453"/>
      <x:c r="D247" s="454"/>
      <x:c r="E247" s="454"/>
      <x:c r="F247" s="454"/>
      <x:c r="G247" s="986"/>
      <x:c r="H247" s="455"/>
      <x:c r="I247" s="456"/>
      <x:c r="J247" s="456"/>
      <x:c r="K247" s="986"/>
      <x:c r="L247" s="454"/>
      <x:c r="M247" s="439"/>
      <x:c r="N247" s="987" t="str">
        <x:f>IF(COUNTA($A247:$M247)=0,"",IF(OR(LEFT(LOWER(TRIM($F247&amp;"")),12)="subscription",LOWER(TRIM($F247&amp;""))="membership"),"",IF($G247="","",IF(ISNUMBER(SEARCH("non",LOWER($E247&amp;""))),$G247*0.85,$G247))))</x:f>
      </x:c>
      <x:c r="O247" s="987" t="str">
        <x:f>IF(COUNTA($A247:$M247)=0,"",IF(OR(LEFT(LOWER(TRIM($F247&amp;"")),12)="subscription",LOWER(TRIM($F247&amp;""))="membership"),"",IF(OR($N247="",$I247="",$I247=0),"",IFERROR($N247/$I247,""))))</x:f>
      </x:c>
      <x:c r="P247" s="987" t="str">
        <x:f>IF(COUNTA($A247:$M247)=0,"",IF(OR(LEFT(LOWER(TRIM($F247&amp;"")),12)="subscription",LOWER(TRIM($F247&amp;""))="membership"),"",IF(LOWER($L247&amp;"")="yes",0,IF(OR(AND($H247&lt;&gt;"",$H247=0),LEFT(LOWER(TRIM($F247&amp;"")),9)="free game",LOWER(TRIM($F247&amp;""))="free",LOWER(TRIM($F247&amp;""))="free entry"),IF(LOWER($D247&amp;"")="finalized",IF(ISNUMBER($K247),$K247,""),IF($O247&lt;&gt;"",$O247,"")),IF($K247&lt;&gt;"",$K247,IF($O247&lt;&gt;"",$O247,""))))))</x:f>
      </x:c>
      <x:c r="Q247" s="114" t="str">
        <x:f>IF(COUNTA($A247:$M247)=0,"",IF(OR($U247="Subscription",$U247=""),"",IF($U247="Profit",ROUND(IFERROR($P247,0)-IFERROR($H247,0),2),0)))</x:f>
      </x:c>
      <x:c r="R247" s="114" t="str">
        <x:f>IF(COUNTA($A247:$M247)=0,"",IF(OR($U247="Subscription",$U247=""),"",IF($U247="Draw",$H247,0)))</x:f>
      </x:c>
      <x:c r="S247" s="114" t="str">
        <x:f>IF(COUNTA($A247:$M247)=0,"",IF(OR($U247="Subscription",$U247=""),"",IF($U247="Disqualified",$H247,0)))</x:f>
      </x:c>
      <x:c r="T247" s="955" t="str">
        <x:f>IF(COUNTA($A247:$M247)=0,"",IF(OR($U247="Subscription",$U247=""),"",IF(OR($U247="Free Game",$U247="Disqualified — Free Game",$H247=0),"N/A",IF($U247="Profit",$Q247/$H247,IF($U247="Disqualified",-$S247/$H247,0)))))</x:f>
      </x:c>
      <x:c r="U247" s="920" t="str">
        <x:f>IF(COUNTA($A247:$M247)=0,"",IF(OR(LEFT(LOWER(TRIM($F247&amp;"")),12)="subscription",LOWER(TRIM($F247&amp;""))="membership"),"Subscription",IF(OR(AND($H247&lt;&gt;"",$H247=0),LEFT(LOWER(TRIM($F247&amp;"")),9)="free game",LOWER(TRIM($F247&amp;""))="free",LOWER(TRIM($F247&amp;""))="free entry"),IF(LOWER($L247&amp;"")="yes","Disqualified — Free Game","Free Game"),IF(LOWER($L247&amp;"")="yes","Disqualified",IF($P247="","",IF(ROUND(IFERROR(VALUE($P247),0)-IFERROR(VALUE($H247),0),2)&gt;0,"Profit","Draw"))))))</x:f>
      </x:c>
      <x:c r="V247" s="956" t="str">
        <x:f>IF(COUNTA($A247:$M247)=0,"",IF(OR($B247="",$C247="",$U247="Subscription"),"",IFERROR(ROUNDUP(($C247-$B247)/7,0),"")))</x:f>
      </x:c>
      <x:c r="W247" s="114" t="str">
        <x:f>IF(COUNTA($A247:$M247)=0,"",IF(OR($U247="Subscription",$U247=""),"",IF(OR($U247="Free Game",$U247="Disqualified — Free Game"),0,ROUND(IFERROR($Q247,0)-IFERROR($S247,0),2))))</x:f>
      </x:c>
      <x:c r="X247" s="956" t="str">
        <x:f>IF(COUNTA($A247:$M247)=0,"",IF(OR($U247="Subscription",NOT(ISNUMBER($J247)),NOT(ISNUMBER($I247)),$J247=0,$I247=0,$I247&gt;$J247),"",$J247-$I247))</x:f>
      </x:c>
      <x:c r="Y247" s="955" t="str">
        <x:f>IF(COUNTA($A247:$M247)=0,"",IF(OR($U247="Subscription",NOT(ISNUMBER($J247)),$J247=0,$X247=""),"",$X247/$J247))</x:f>
      </x:c>
      <x:c r="Z247" s="957" t="str">
        <x:f>IF(COUNTA($A247:$M247)=0,"",Instructions!$B$29+SUM($W$5:W247))</x:f>
      </x:c>
    </x:row>
    <x:row r="248" ht="36" customHeight="1">
      <x:c r="A248" s="439"/>
      <x:c r="B248" s="453"/>
      <x:c r="C248" s="453"/>
      <x:c r="D248" s="454"/>
      <x:c r="E248" s="454"/>
      <x:c r="F248" s="454"/>
      <x:c r="G248" s="986"/>
      <x:c r="H248" s="455"/>
      <x:c r="I248" s="456"/>
      <x:c r="J248" s="456"/>
      <x:c r="K248" s="986"/>
      <x:c r="L248" s="454"/>
      <x:c r="M248" s="439"/>
      <x:c r="N248" s="987" t="str">
        <x:f>IF(COUNTA($A248:$M248)=0,"",IF(OR(LEFT(LOWER(TRIM($F248&amp;"")),12)="subscription",LOWER(TRIM($F248&amp;""))="membership"),"",IF($G248="","",IF(ISNUMBER(SEARCH("non",LOWER($E248&amp;""))),$G248*0.85,$G248))))</x:f>
      </x:c>
      <x:c r="O248" s="987" t="str">
        <x:f>IF(COUNTA($A248:$M248)=0,"",IF(OR(LEFT(LOWER(TRIM($F248&amp;"")),12)="subscription",LOWER(TRIM($F248&amp;""))="membership"),"",IF(OR($N248="",$I248="",$I248=0),"",IFERROR($N248/$I248,""))))</x:f>
      </x:c>
      <x:c r="P248" s="987" t="str">
        <x:f>IF(COUNTA($A248:$M248)=0,"",IF(OR(LEFT(LOWER(TRIM($F248&amp;"")),12)="subscription",LOWER(TRIM($F248&amp;""))="membership"),"",IF(LOWER($L248&amp;"")="yes",0,IF(OR(AND($H248&lt;&gt;"",$H248=0),LEFT(LOWER(TRIM($F248&amp;"")),9)="free game",LOWER(TRIM($F248&amp;""))="free",LOWER(TRIM($F248&amp;""))="free entry"),IF(LOWER($D248&amp;"")="finalized",IF(ISNUMBER($K248),$K248,""),IF($O248&lt;&gt;"",$O248,"")),IF($K248&lt;&gt;"",$K248,IF($O248&lt;&gt;"",$O248,""))))))</x:f>
      </x:c>
      <x:c r="Q248" s="114" t="str">
        <x:f>IF(COUNTA($A248:$M248)=0,"",IF(OR($U248="Subscription",$U248=""),"",IF($U248="Profit",ROUND(IFERROR($P248,0)-IFERROR($H248,0),2),0)))</x:f>
      </x:c>
      <x:c r="R248" s="114" t="str">
        <x:f>IF(COUNTA($A248:$M248)=0,"",IF(OR($U248="Subscription",$U248=""),"",IF($U248="Draw",$H248,0)))</x:f>
      </x:c>
      <x:c r="S248" s="114" t="str">
        <x:f>IF(COUNTA($A248:$M248)=0,"",IF(OR($U248="Subscription",$U248=""),"",IF($U248="Disqualified",$H248,0)))</x:f>
      </x:c>
      <x:c r="T248" s="955" t="str">
        <x:f>IF(COUNTA($A248:$M248)=0,"",IF(OR($U248="Subscription",$U248=""),"",IF(OR($U248="Free Game",$U248="Disqualified — Free Game",$H248=0),"N/A",IF($U248="Profit",$Q248/$H248,IF($U248="Disqualified",-$S248/$H248,0)))))</x:f>
      </x:c>
      <x:c r="U248" s="920" t="str">
        <x:f>IF(COUNTA($A248:$M248)=0,"",IF(OR(LEFT(LOWER(TRIM($F248&amp;"")),12)="subscription",LOWER(TRIM($F248&amp;""))="membership"),"Subscription",IF(OR(AND($H248&lt;&gt;"",$H248=0),LEFT(LOWER(TRIM($F248&amp;"")),9)="free game",LOWER(TRIM($F248&amp;""))="free",LOWER(TRIM($F248&amp;""))="free entry"),IF(LOWER($L248&amp;"")="yes","Disqualified — Free Game","Free Game"),IF(LOWER($L248&amp;"")="yes","Disqualified",IF($P248="","",IF(ROUND(IFERROR(VALUE($P248),0)-IFERROR(VALUE($H248),0),2)&gt;0,"Profit","Draw"))))))</x:f>
      </x:c>
      <x:c r="V248" s="956" t="str">
        <x:f>IF(COUNTA($A248:$M248)=0,"",IF(OR($B248="",$C248="",$U248="Subscription"),"",IFERROR(ROUNDUP(($C248-$B248)/7,0),"")))</x:f>
      </x:c>
      <x:c r="W248" s="114" t="str">
        <x:f>IF(COUNTA($A248:$M248)=0,"",IF(OR($U248="Subscription",$U248=""),"",IF(OR($U248="Free Game",$U248="Disqualified — Free Game"),0,ROUND(IFERROR($Q248,0)-IFERROR($S248,0),2))))</x:f>
      </x:c>
      <x:c r="X248" s="956" t="str">
        <x:f>IF(COUNTA($A248:$M248)=0,"",IF(OR($U248="Subscription",NOT(ISNUMBER($J248)),NOT(ISNUMBER($I248)),$J248=0,$I248=0,$I248&gt;$J248),"",$J248-$I248))</x:f>
      </x:c>
      <x:c r="Y248" s="955" t="str">
        <x:f>IF(COUNTA($A248:$M248)=0,"",IF(OR($U248="Subscription",NOT(ISNUMBER($J248)),$J248=0,$X248=""),"",$X248/$J248))</x:f>
      </x:c>
      <x:c r="Z248" s="957" t="str">
        <x:f>IF(COUNTA($A248:$M248)=0,"",Instructions!$B$29+SUM($W$5:W248))</x:f>
      </x:c>
    </x:row>
    <x:row r="249" ht="36" customHeight="1">
      <x:c r="A249" s="439"/>
      <x:c r="B249" s="453"/>
      <x:c r="C249" s="453"/>
      <x:c r="D249" s="454"/>
      <x:c r="E249" s="454"/>
      <x:c r="F249" s="454"/>
      <x:c r="G249" s="986"/>
      <x:c r="H249" s="455"/>
      <x:c r="I249" s="456"/>
      <x:c r="J249" s="456"/>
      <x:c r="K249" s="986"/>
      <x:c r="L249" s="454"/>
      <x:c r="M249" s="439"/>
      <x:c r="N249" s="987" t="str">
        <x:f>IF(COUNTA($A249:$M249)=0,"",IF(OR(LEFT(LOWER(TRIM($F249&amp;"")),12)="subscription",LOWER(TRIM($F249&amp;""))="membership"),"",IF($G249="","",IF(ISNUMBER(SEARCH("non",LOWER($E249&amp;""))),$G249*0.85,$G249))))</x:f>
      </x:c>
      <x:c r="O249" s="987" t="str">
        <x:f>IF(COUNTA($A249:$M249)=0,"",IF(OR(LEFT(LOWER(TRIM($F249&amp;"")),12)="subscription",LOWER(TRIM($F249&amp;""))="membership"),"",IF(OR($N249="",$I249="",$I249=0),"",IFERROR($N249/$I249,""))))</x:f>
      </x:c>
      <x:c r="P249" s="987" t="str">
        <x:f>IF(COUNTA($A249:$M249)=0,"",IF(OR(LEFT(LOWER(TRIM($F249&amp;"")),12)="subscription",LOWER(TRIM($F249&amp;""))="membership"),"",IF(LOWER($L249&amp;"")="yes",0,IF(OR(AND($H249&lt;&gt;"",$H249=0),LEFT(LOWER(TRIM($F249&amp;"")),9)="free game",LOWER(TRIM($F249&amp;""))="free",LOWER(TRIM($F249&amp;""))="free entry"),IF(LOWER($D249&amp;"")="finalized",IF(ISNUMBER($K249),$K249,""),IF($O249&lt;&gt;"",$O249,"")),IF($K249&lt;&gt;"",$K249,IF($O249&lt;&gt;"",$O249,""))))))</x:f>
      </x:c>
      <x:c r="Q249" s="114" t="str">
        <x:f>IF(COUNTA($A249:$M249)=0,"",IF(OR($U249="Subscription",$U249=""),"",IF($U249="Profit",ROUND(IFERROR($P249,0)-IFERROR($H249,0),2),0)))</x:f>
      </x:c>
      <x:c r="R249" s="114" t="str">
        <x:f>IF(COUNTA($A249:$M249)=0,"",IF(OR($U249="Subscription",$U249=""),"",IF($U249="Draw",$H249,0)))</x:f>
      </x:c>
      <x:c r="S249" s="114" t="str">
        <x:f>IF(COUNTA($A249:$M249)=0,"",IF(OR($U249="Subscription",$U249=""),"",IF($U249="Disqualified",$H249,0)))</x:f>
      </x:c>
      <x:c r="T249" s="955" t="str">
        <x:f>IF(COUNTA($A249:$M249)=0,"",IF(OR($U249="Subscription",$U249=""),"",IF(OR($U249="Free Game",$U249="Disqualified — Free Game",$H249=0),"N/A",IF($U249="Profit",$Q249/$H249,IF($U249="Disqualified",-$S249/$H249,0)))))</x:f>
      </x:c>
      <x:c r="U249" s="920" t="str">
        <x:f>IF(COUNTA($A249:$M249)=0,"",IF(OR(LEFT(LOWER(TRIM($F249&amp;"")),12)="subscription",LOWER(TRIM($F249&amp;""))="membership"),"Subscription",IF(OR(AND($H249&lt;&gt;"",$H249=0),LEFT(LOWER(TRIM($F249&amp;"")),9)="free game",LOWER(TRIM($F249&amp;""))="free",LOWER(TRIM($F249&amp;""))="free entry"),IF(LOWER($L249&amp;"")="yes","Disqualified — Free Game","Free Game"),IF(LOWER($L249&amp;"")="yes","Disqualified",IF($P249="","",IF(ROUND(IFERROR(VALUE($P249),0)-IFERROR(VALUE($H249),0),2)&gt;0,"Profit","Draw"))))))</x:f>
      </x:c>
      <x:c r="V249" s="956" t="str">
        <x:f>IF(COUNTA($A249:$M249)=0,"",IF(OR($B249="",$C249="",$U249="Subscription"),"",IFERROR(ROUNDUP(($C249-$B249)/7,0),"")))</x:f>
      </x:c>
      <x:c r="W249" s="114" t="str">
        <x:f>IF(COUNTA($A249:$M249)=0,"",IF(OR($U249="Subscription",$U249=""),"",IF(OR($U249="Free Game",$U249="Disqualified — Free Game"),0,ROUND(IFERROR($Q249,0)-IFERROR($S249,0),2))))</x:f>
      </x:c>
      <x:c r="X249" s="956" t="str">
        <x:f>IF(COUNTA($A249:$M249)=0,"",IF(OR($U249="Subscription",NOT(ISNUMBER($J249)),NOT(ISNUMBER($I249)),$J249=0,$I249=0,$I249&gt;$J249),"",$J249-$I249))</x:f>
      </x:c>
      <x:c r="Y249" s="955" t="str">
        <x:f>IF(COUNTA($A249:$M249)=0,"",IF(OR($U249="Subscription",NOT(ISNUMBER($J249)),$J249=0,$X249=""),"",$X249/$J249))</x:f>
      </x:c>
      <x:c r="Z249" s="957" t="str">
        <x:f>IF(COUNTA($A249:$M249)=0,"",Instructions!$B$29+SUM($W$5:W249))</x:f>
      </x:c>
    </x:row>
    <x:row r="250" ht="36" customHeight="1">
      <x:c r="A250" s="439"/>
      <x:c r="B250" s="453"/>
      <x:c r="C250" s="453"/>
      <x:c r="D250" s="454"/>
      <x:c r="E250" s="454"/>
      <x:c r="F250" s="454"/>
      <x:c r="G250" s="986"/>
      <x:c r="H250" s="455"/>
      <x:c r="I250" s="456"/>
      <x:c r="J250" s="456"/>
      <x:c r="K250" s="986"/>
      <x:c r="L250" s="454"/>
      <x:c r="M250" s="439"/>
      <x:c r="N250" s="987" t="str">
        <x:f>IF(COUNTA($A250:$M250)=0,"",IF(OR(LEFT(LOWER(TRIM($F250&amp;"")),12)="subscription",LOWER(TRIM($F250&amp;""))="membership"),"",IF($G250="","",IF(ISNUMBER(SEARCH("non",LOWER($E250&amp;""))),$G250*0.85,$G250))))</x:f>
      </x:c>
      <x:c r="O250" s="987" t="str">
        <x:f>IF(COUNTA($A250:$M250)=0,"",IF(OR(LEFT(LOWER(TRIM($F250&amp;"")),12)="subscription",LOWER(TRIM($F250&amp;""))="membership"),"",IF(OR($N250="",$I250="",$I250=0),"",IFERROR($N250/$I250,""))))</x:f>
      </x:c>
      <x:c r="P250" s="987" t="str">
        <x:f>IF(COUNTA($A250:$M250)=0,"",IF(OR(LEFT(LOWER(TRIM($F250&amp;"")),12)="subscription",LOWER(TRIM($F250&amp;""))="membership"),"",IF(LOWER($L250&amp;"")="yes",0,IF(OR(AND($H250&lt;&gt;"",$H250=0),LEFT(LOWER(TRIM($F250&amp;"")),9)="free game",LOWER(TRIM($F250&amp;""))="free",LOWER(TRIM($F250&amp;""))="free entry"),IF(LOWER($D250&amp;"")="finalized",IF(ISNUMBER($K250),$K250,""),IF($O250&lt;&gt;"",$O250,"")),IF($K250&lt;&gt;"",$K250,IF($O250&lt;&gt;"",$O250,""))))))</x:f>
      </x:c>
      <x:c r="Q250" s="114" t="str">
        <x:f>IF(COUNTA($A250:$M250)=0,"",IF(OR($U250="Subscription",$U250=""),"",IF($U250="Profit",ROUND(IFERROR($P250,0)-IFERROR($H250,0),2),0)))</x:f>
      </x:c>
      <x:c r="R250" s="114" t="str">
        <x:f>IF(COUNTA($A250:$M250)=0,"",IF(OR($U250="Subscription",$U250=""),"",IF($U250="Draw",$H250,0)))</x:f>
      </x:c>
      <x:c r="S250" s="114" t="str">
        <x:f>IF(COUNTA($A250:$M250)=0,"",IF(OR($U250="Subscription",$U250=""),"",IF($U250="Disqualified",$H250,0)))</x:f>
      </x:c>
      <x:c r="T250" s="955" t="str">
        <x:f>IF(COUNTA($A250:$M250)=0,"",IF(OR($U250="Subscription",$U250=""),"",IF(OR($U250="Free Game",$U250="Disqualified — Free Game",$H250=0),"N/A",IF($U250="Profit",$Q250/$H250,IF($U250="Disqualified",-$S250/$H250,0)))))</x:f>
      </x:c>
      <x:c r="U250" s="920" t="str">
        <x:f>IF(COUNTA($A250:$M250)=0,"",IF(OR(LEFT(LOWER(TRIM($F250&amp;"")),12)="subscription",LOWER(TRIM($F250&amp;""))="membership"),"Subscription",IF(OR(AND($H250&lt;&gt;"",$H250=0),LEFT(LOWER(TRIM($F250&amp;"")),9)="free game",LOWER(TRIM($F250&amp;""))="free",LOWER(TRIM($F250&amp;""))="free entry"),IF(LOWER($L250&amp;"")="yes","Disqualified — Free Game","Free Game"),IF(LOWER($L250&amp;"")="yes","Disqualified",IF($P250="","",IF(ROUND(IFERROR(VALUE($P250),0)-IFERROR(VALUE($H250),0),2)&gt;0,"Profit","Draw"))))))</x:f>
      </x:c>
      <x:c r="V250" s="956" t="str">
        <x:f>IF(COUNTA($A250:$M250)=0,"",IF(OR($B250="",$C250="",$U250="Subscription"),"",IFERROR(ROUNDUP(($C250-$B250)/7,0),"")))</x:f>
      </x:c>
      <x:c r="W250" s="114" t="str">
        <x:f>IF(COUNTA($A250:$M250)=0,"",IF(OR($U250="Subscription",$U250=""),"",IF(OR($U250="Free Game",$U250="Disqualified — Free Game"),0,ROUND(IFERROR($Q250,0)-IFERROR($S250,0),2))))</x:f>
      </x:c>
      <x:c r="X250" s="956" t="str">
        <x:f>IF(COUNTA($A250:$M250)=0,"",IF(OR($U250="Subscription",NOT(ISNUMBER($J250)),NOT(ISNUMBER($I250)),$J250=0,$I250=0,$I250&gt;$J250),"",$J250-$I250))</x:f>
      </x:c>
      <x:c r="Y250" s="955" t="str">
        <x:f>IF(COUNTA($A250:$M250)=0,"",IF(OR($U250="Subscription",NOT(ISNUMBER($J250)),$J250=0,$X250=""),"",$X250/$J250))</x:f>
      </x:c>
      <x:c r="Z250" s="957" t="str">
        <x:f>IF(COUNTA($A250:$M250)=0,"",Instructions!$B$29+SUM($W$5:W250))</x:f>
      </x:c>
    </x:row>
    <x:row r="251" ht="36" customHeight="1">
      <x:c r="A251" s="439"/>
      <x:c r="B251" s="453"/>
      <x:c r="C251" s="453"/>
      <x:c r="D251" s="454"/>
      <x:c r="E251" s="454"/>
      <x:c r="F251" s="454"/>
      <x:c r="G251" s="986"/>
      <x:c r="H251" s="455"/>
      <x:c r="I251" s="456"/>
      <x:c r="J251" s="456"/>
      <x:c r="K251" s="986"/>
      <x:c r="L251" s="454"/>
      <x:c r="M251" s="439"/>
      <x:c r="N251" s="987" t="str">
        <x:f>IF(COUNTA($A251:$M251)=0,"",IF(OR(LEFT(LOWER(TRIM($F251&amp;"")),12)="subscription",LOWER(TRIM($F251&amp;""))="membership"),"",IF($G251="","",IF(ISNUMBER(SEARCH("non",LOWER($E251&amp;""))),$G251*0.85,$G251))))</x:f>
      </x:c>
      <x:c r="O251" s="987" t="str">
        <x:f>IF(COUNTA($A251:$M251)=0,"",IF(OR(LEFT(LOWER(TRIM($F251&amp;"")),12)="subscription",LOWER(TRIM($F251&amp;""))="membership"),"",IF(OR($N251="",$I251="",$I251=0),"",IFERROR($N251/$I251,""))))</x:f>
      </x:c>
      <x:c r="P251" s="987" t="str">
        <x:f>IF(COUNTA($A251:$M251)=0,"",IF(OR(LEFT(LOWER(TRIM($F251&amp;"")),12)="subscription",LOWER(TRIM($F251&amp;""))="membership"),"",IF(LOWER($L251&amp;"")="yes",0,IF(OR(AND($H251&lt;&gt;"",$H251=0),LEFT(LOWER(TRIM($F251&amp;"")),9)="free game",LOWER(TRIM($F251&amp;""))="free",LOWER(TRIM($F251&amp;""))="free entry"),IF(LOWER($D251&amp;"")="finalized",IF(ISNUMBER($K251),$K251,""),IF($O251&lt;&gt;"",$O251,"")),IF($K251&lt;&gt;"",$K251,IF($O251&lt;&gt;"",$O251,""))))))</x:f>
      </x:c>
      <x:c r="Q251" s="114" t="str">
        <x:f>IF(COUNTA($A251:$M251)=0,"",IF(OR($U251="Subscription",$U251=""),"",IF($U251="Profit",ROUND(IFERROR($P251,0)-IFERROR($H251,0),2),0)))</x:f>
      </x:c>
      <x:c r="R251" s="114" t="str">
        <x:f>IF(COUNTA($A251:$M251)=0,"",IF(OR($U251="Subscription",$U251=""),"",IF($U251="Draw",$H251,0)))</x:f>
      </x:c>
      <x:c r="S251" s="114" t="str">
        <x:f>IF(COUNTA($A251:$M251)=0,"",IF(OR($U251="Subscription",$U251=""),"",IF($U251="Disqualified",$H251,0)))</x:f>
      </x:c>
      <x:c r="T251" s="955" t="str">
        <x:f>IF(COUNTA($A251:$M251)=0,"",IF(OR($U251="Subscription",$U251=""),"",IF(OR($U251="Free Game",$U251="Disqualified — Free Game",$H251=0),"N/A",IF($U251="Profit",$Q251/$H251,IF($U251="Disqualified",-$S251/$H251,0)))))</x:f>
      </x:c>
      <x:c r="U251" s="920" t="str">
        <x:f>IF(COUNTA($A251:$M251)=0,"",IF(OR(LEFT(LOWER(TRIM($F251&amp;"")),12)="subscription",LOWER(TRIM($F251&amp;""))="membership"),"Subscription",IF(OR(AND($H251&lt;&gt;"",$H251=0),LEFT(LOWER(TRIM($F251&amp;"")),9)="free game",LOWER(TRIM($F251&amp;""))="free",LOWER(TRIM($F251&amp;""))="free entry"),IF(LOWER($L251&amp;"")="yes","Disqualified — Free Game","Free Game"),IF(LOWER($L251&amp;"")="yes","Disqualified",IF($P251="","",IF(ROUND(IFERROR(VALUE($P251),0)-IFERROR(VALUE($H251),0),2)&gt;0,"Profit","Draw"))))))</x:f>
      </x:c>
      <x:c r="V251" s="956" t="str">
        <x:f>IF(COUNTA($A251:$M251)=0,"",IF(OR($B251="",$C251="",$U251="Subscription"),"",IFERROR(ROUNDUP(($C251-$B251)/7,0),"")))</x:f>
      </x:c>
      <x:c r="W251" s="114" t="str">
        <x:f>IF(COUNTA($A251:$M251)=0,"",IF(OR($U251="Subscription",$U251=""),"",IF(OR($U251="Free Game",$U251="Disqualified — Free Game"),0,ROUND(IFERROR($Q251,0)-IFERROR($S251,0),2))))</x:f>
      </x:c>
      <x:c r="X251" s="956" t="str">
        <x:f>IF(COUNTA($A251:$M251)=0,"",IF(OR($U251="Subscription",NOT(ISNUMBER($J251)),NOT(ISNUMBER($I251)),$J251=0,$I251=0,$I251&gt;$J251),"",$J251-$I251))</x:f>
      </x:c>
      <x:c r="Y251" s="955" t="str">
        <x:f>IF(COUNTA($A251:$M251)=0,"",IF(OR($U251="Subscription",NOT(ISNUMBER($J251)),$J251=0,$X251=""),"",$X251/$J251))</x:f>
      </x:c>
      <x:c r="Z251" s="957" t="str">
        <x:f>IF(COUNTA($A251:$M251)=0,"",Instructions!$B$29+SUM($W$5:W251))</x:f>
      </x:c>
    </x:row>
    <x:row r="252" ht="36" customHeight="1">
      <x:c r="A252" s="439"/>
      <x:c r="B252" s="453"/>
      <x:c r="C252" s="453"/>
      <x:c r="D252" s="454"/>
      <x:c r="E252" s="454"/>
      <x:c r="F252" s="454"/>
      <x:c r="G252" s="986"/>
      <x:c r="H252" s="455"/>
      <x:c r="I252" s="456"/>
      <x:c r="J252" s="456"/>
      <x:c r="K252" s="986"/>
      <x:c r="L252" s="454"/>
      <x:c r="M252" s="439"/>
      <x:c r="N252" s="987" t="str">
        <x:f>IF(COUNTA($A252:$M252)=0,"",IF(OR(LEFT(LOWER(TRIM($F252&amp;"")),12)="subscription",LOWER(TRIM($F252&amp;""))="membership"),"",IF($G252="","",IF(ISNUMBER(SEARCH("non",LOWER($E252&amp;""))),$G252*0.85,$G252))))</x:f>
      </x:c>
      <x:c r="O252" s="987" t="str">
        <x:f>IF(COUNTA($A252:$M252)=0,"",IF(OR(LEFT(LOWER(TRIM($F252&amp;"")),12)="subscription",LOWER(TRIM($F252&amp;""))="membership"),"",IF(OR($N252="",$I252="",$I252=0),"",IFERROR($N252/$I252,""))))</x:f>
      </x:c>
      <x:c r="P252" s="987" t="str">
        <x:f>IF(COUNTA($A252:$M252)=0,"",IF(OR(LEFT(LOWER(TRIM($F252&amp;"")),12)="subscription",LOWER(TRIM($F252&amp;""))="membership"),"",IF(LOWER($L252&amp;"")="yes",0,IF(OR(AND($H252&lt;&gt;"",$H252=0),LEFT(LOWER(TRIM($F252&amp;"")),9)="free game",LOWER(TRIM($F252&amp;""))="free",LOWER(TRIM($F252&amp;""))="free entry"),IF(LOWER($D252&amp;"")="finalized",IF(ISNUMBER($K252),$K252,""),IF($O252&lt;&gt;"",$O252,"")),IF($K252&lt;&gt;"",$K252,IF($O252&lt;&gt;"",$O252,""))))))</x:f>
      </x:c>
      <x:c r="Q252" s="114" t="str">
        <x:f>IF(COUNTA($A252:$M252)=0,"",IF(OR($U252="Subscription",$U252=""),"",IF($U252="Profit",ROUND(IFERROR($P252,0)-IFERROR($H252,0),2),0)))</x:f>
      </x:c>
      <x:c r="R252" s="114" t="str">
        <x:f>IF(COUNTA($A252:$M252)=0,"",IF(OR($U252="Subscription",$U252=""),"",IF($U252="Draw",$H252,0)))</x:f>
      </x:c>
      <x:c r="S252" s="114" t="str">
        <x:f>IF(COUNTA($A252:$M252)=0,"",IF(OR($U252="Subscription",$U252=""),"",IF($U252="Disqualified",$H252,0)))</x:f>
      </x:c>
      <x:c r="T252" s="955" t="str">
        <x:f>IF(COUNTA($A252:$M252)=0,"",IF(OR($U252="Subscription",$U252=""),"",IF(OR($U252="Free Game",$U252="Disqualified — Free Game",$H252=0),"N/A",IF($U252="Profit",$Q252/$H252,IF($U252="Disqualified",-$S252/$H252,0)))))</x:f>
      </x:c>
      <x:c r="U252" s="920" t="str">
        <x:f>IF(COUNTA($A252:$M252)=0,"",IF(OR(LEFT(LOWER(TRIM($F252&amp;"")),12)="subscription",LOWER(TRIM($F252&amp;""))="membership"),"Subscription",IF(OR(AND($H252&lt;&gt;"",$H252=0),LEFT(LOWER(TRIM($F252&amp;"")),9)="free game",LOWER(TRIM($F252&amp;""))="free",LOWER(TRIM($F252&amp;""))="free entry"),IF(LOWER($L252&amp;"")="yes","Disqualified — Free Game","Free Game"),IF(LOWER($L252&amp;"")="yes","Disqualified",IF($P252="","",IF(ROUND(IFERROR(VALUE($P252),0)-IFERROR(VALUE($H252),0),2)&gt;0,"Profit","Draw"))))))</x:f>
      </x:c>
      <x:c r="V252" s="956" t="str">
        <x:f>IF(COUNTA($A252:$M252)=0,"",IF(OR($B252="",$C252="",$U252="Subscription"),"",IFERROR(ROUNDUP(($C252-$B252)/7,0),"")))</x:f>
      </x:c>
      <x:c r="W252" s="114" t="str">
        <x:f>IF(COUNTA($A252:$M252)=0,"",IF(OR($U252="Subscription",$U252=""),"",IF(OR($U252="Free Game",$U252="Disqualified — Free Game"),0,ROUND(IFERROR($Q252,0)-IFERROR($S252,0),2))))</x:f>
      </x:c>
      <x:c r="X252" s="956" t="str">
        <x:f>IF(COUNTA($A252:$M252)=0,"",IF(OR($U252="Subscription",NOT(ISNUMBER($J252)),NOT(ISNUMBER($I252)),$J252=0,$I252=0,$I252&gt;$J252),"",$J252-$I252))</x:f>
      </x:c>
      <x:c r="Y252" s="955" t="str">
        <x:f>IF(COUNTA($A252:$M252)=0,"",IF(OR($U252="Subscription",NOT(ISNUMBER($J252)),$J252=0,$X252=""),"",$X252/$J252))</x:f>
      </x:c>
      <x:c r="Z252" s="957" t="str">
        <x:f>IF(COUNTA($A252:$M252)=0,"",Instructions!$B$29+SUM($W$5:W252))</x:f>
      </x:c>
    </x:row>
    <x:row r="253" ht="36" customHeight="1">
      <x:c r="A253" s="439"/>
      <x:c r="B253" s="453"/>
      <x:c r="C253" s="453"/>
      <x:c r="D253" s="454"/>
      <x:c r="E253" s="454"/>
      <x:c r="F253" s="454"/>
      <x:c r="G253" s="986"/>
      <x:c r="H253" s="455"/>
      <x:c r="I253" s="456"/>
      <x:c r="J253" s="456"/>
      <x:c r="K253" s="986"/>
      <x:c r="L253" s="454"/>
      <x:c r="M253" s="439"/>
      <x:c r="N253" s="987" t="str">
        <x:f>IF(COUNTA($A253:$M253)=0,"",IF(OR(LEFT(LOWER(TRIM($F253&amp;"")),12)="subscription",LOWER(TRIM($F253&amp;""))="membership"),"",IF($G253="","",IF(ISNUMBER(SEARCH("non",LOWER($E253&amp;""))),$G253*0.85,$G253))))</x:f>
      </x:c>
      <x:c r="O253" s="987" t="str">
        <x:f>IF(COUNTA($A253:$M253)=0,"",IF(OR(LEFT(LOWER(TRIM($F253&amp;"")),12)="subscription",LOWER(TRIM($F253&amp;""))="membership"),"",IF(OR($N253="",$I253="",$I253=0),"",IFERROR($N253/$I253,""))))</x:f>
      </x:c>
      <x:c r="P253" s="987" t="str">
        <x:f>IF(COUNTA($A253:$M253)=0,"",IF(OR(LEFT(LOWER(TRIM($F253&amp;"")),12)="subscription",LOWER(TRIM($F253&amp;""))="membership"),"",IF(LOWER($L253&amp;"")="yes",0,IF(OR(AND($H253&lt;&gt;"",$H253=0),LEFT(LOWER(TRIM($F253&amp;"")),9)="free game",LOWER(TRIM($F253&amp;""))="free",LOWER(TRIM($F253&amp;""))="free entry"),IF(LOWER($D253&amp;"")="finalized",IF(ISNUMBER($K253),$K253,""),IF($O253&lt;&gt;"",$O253,"")),IF($K253&lt;&gt;"",$K253,IF($O253&lt;&gt;"",$O253,""))))))</x:f>
      </x:c>
      <x:c r="Q253" s="114" t="str">
        <x:f>IF(COUNTA($A253:$M253)=0,"",IF(OR($U253="Subscription",$U253=""),"",IF($U253="Profit",ROUND(IFERROR($P253,0)-IFERROR($H253,0),2),0)))</x:f>
      </x:c>
      <x:c r="R253" s="114" t="str">
        <x:f>IF(COUNTA($A253:$M253)=0,"",IF(OR($U253="Subscription",$U253=""),"",IF($U253="Draw",$H253,0)))</x:f>
      </x:c>
      <x:c r="S253" s="114" t="str">
        <x:f>IF(COUNTA($A253:$M253)=0,"",IF(OR($U253="Subscription",$U253=""),"",IF($U253="Disqualified",$H253,0)))</x:f>
      </x:c>
      <x:c r="T253" s="955" t="str">
        <x:f>IF(COUNTA($A253:$M253)=0,"",IF(OR($U253="Subscription",$U253=""),"",IF(OR($U253="Free Game",$U253="Disqualified — Free Game",$H253=0),"N/A",IF($U253="Profit",$Q253/$H253,IF($U253="Disqualified",-$S253/$H253,0)))))</x:f>
      </x:c>
      <x:c r="U253" s="920" t="str">
        <x:f>IF(COUNTA($A253:$M253)=0,"",IF(OR(LEFT(LOWER(TRIM($F253&amp;"")),12)="subscription",LOWER(TRIM($F253&amp;""))="membership"),"Subscription",IF(OR(AND($H253&lt;&gt;"",$H253=0),LEFT(LOWER(TRIM($F253&amp;"")),9)="free game",LOWER(TRIM($F253&amp;""))="free",LOWER(TRIM($F253&amp;""))="free entry"),IF(LOWER($L253&amp;"")="yes","Disqualified — Free Game","Free Game"),IF(LOWER($L253&amp;"")="yes","Disqualified",IF($P253="","",IF(ROUND(IFERROR(VALUE($P253),0)-IFERROR(VALUE($H253),0),2)&gt;0,"Profit","Draw"))))))</x:f>
      </x:c>
      <x:c r="V253" s="956" t="str">
        <x:f>IF(COUNTA($A253:$M253)=0,"",IF(OR($B253="",$C253="",$U253="Subscription"),"",IFERROR(ROUNDUP(($C253-$B253)/7,0),"")))</x:f>
      </x:c>
      <x:c r="W253" s="114" t="str">
        <x:f>IF(COUNTA($A253:$M253)=0,"",IF(OR($U253="Subscription",$U253=""),"",IF(OR($U253="Free Game",$U253="Disqualified — Free Game"),0,ROUND(IFERROR($Q253,0)-IFERROR($S253,0),2))))</x:f>
      </x:c>
      <x:c r="X253" s="956" t="str">
        <x:f>IF(COUNTA($A253:$M253)=0,"",IF(OR($U253="Subscription",NOT(ISNUMBER($J253)),NOT(ISNUMBER($I253)),$J253=0,$I253=0,$I253&gt;$J253),"",$J253-$I253))</x:f>
      </x:c>
      <x:c r="Y253" s="955" t="str">
        <x:f>IF(COUNTA($A253:$M253)=0,"",IF(OR($U253="Subscription",NOT(ISNUMBER($J253)),$J253=0,$X253=""),"",$X253/$J253))</x:f>
      </x:c>
      <x:c r="Z253" s="957" t="str">
        <x:f>IF(COUNTA($A253:$M253)=0,"",Instructions!$B$29+SUM($W$5:W253))</x:f>
      </x:c>
    </x:row>
    <x:row r="254" ht="36" customHeight="1">
      <x:c r="A254" s="439"/>
      <x:c r="B254" s="453"/>
      <x:c r="C254" s="453"/>
      <x:c r="D254" s="454"/>
      <x:c r="E254" s="454"/>
      <x:c r="F254" s="454"/>
      <x:c r="G254" s="986"/>
      <x:c r="H254" s="455"/>
      <x:c r="I254" s="456"/>
      <x:c r="J254" s="456"/>
      <x:c r="K254" s="986"/>
      <x:c r="L254" s="454"/>
      <x:c r="M254" s="439"/>
      <x:c r="N254" s="987" t="str">
        <x:f>IF(COUNTA($A254:$M254)=0,"",IF(OR(LEFT(LOWER(TRIM($F254&amp;"")),12)="subscription",LOWER(TRIM($F254&amp;""))="membership"),"",IF($G254="","",IF(ISNUMBER(SEARCH("non",LOWER($E254&amp;""))),$G254*0.85,$G254))))</x:f>
      </x:c>
      <x:c r="O254" s="987" t="str">
        <x:f>IF(COUNTA($A254:$M254)=0,"",IF(OR(LEFT(LOWER(TRIM($F254&amp;"")),12)="subscription",LOWER(TRIM($F254&amp;""))="membership"),"",IF(OR($N254="",$I254="",$I254=0),"",IFERROR($N254/$I254,""))))</x:f>
      </x:c>
      <x:c r="P254" s="987" t="str">
        <x:f>IF(COUNTA($A254:$M254)=0,"",IF(OR(LEFT(LOWER(TRIM($F254&amp;"")),12)="subscription",LOWER(TRIM($F254&amp;""))="membership"),"",IF(LOWER($L254&amp;"")="yes",0,IF(OR(AND($H254&lt;&gt;"",$H254=0),LEFT(LOWER(TRIM($F254&amp;"")),9)="free game",LOWER(TRIM($F254&amp;""))="free",LOWER(TRIM($F254&amp;""))="free entry"),IF(LOWER($D254&amp;"")="finalized",IF(ISNUMBER($K254),$K254,""),IF($O254&lt;&gt;"",$O254,"")),IF($K254&lt;&gt;"",$K254,IF($O254&lt;&gt;"",$O254,""))))))</x:f>
      </x:c>
      <x:c r="Q254" s="114" t="str">
        <x:f>IF(COUNTA($A254:$M254)=0,"",IF(OR($U254="Subscription",$U254=""),"",IF($U254="Profit",ROUND(IFERROR($P254,0)-IFERROR($H254,0),2),0)))</x:f>
      </x:c>
      <x:c r="R254" s="114" t="str">
        <x:f>IF(COUNTA($A254:$M254)=0,"",IF(OR($U254="Subscription",$U254=""),"",IF($U254="Draw",$H254,0)))</x:f>
      </x:c>
      <x:c r="S254" s="114" t="str">
        <x:f>IF(COUNTA($A254:$M254)=0,"",IF(OR($U254="Subscription",$U254=""),"",IF($U254="Disqualified",$H254,0)))</x:f>
      </x:c>
      <x:c r="T254" s="955" t="str">
        <x:f>IF(COUNTA($A254:$M254)=0,"",IF(OR($U254="Subscription",$U254=""),"",IF(OR($U254="Free Game",$U254="Disqualified — Free Game",$H254=0),"N/A",IF($U254="Profit",$Q254/$H254,IF($U254="Disqualified",-$S254/$H254,0)))))</x:f>
      </x:c>
      <x:c r="U254" s="920" t="str">
        <x:f>IF(COUNTA($A254:$M254)=0,"",IF(OR(LEFT(LOWER(TRIM($F254&amp;"")),12)="subscription",LOWER(TRIM($F254&amp;""))="membership"),"Subscription",IF(OR(AND($H254&lt;&gt;"",$H254=0),LEFT(LOWER(TRIM($F254&amp;"")),9)="free game",LOWER(TRIM($F254&amp;""))="free",LOWER(TRIM($F254&amp;""))="free entry"),IF(LOWER($L254&amp;"")="yes","Disqualified — Free Game","Free Game"),IF(LOWER($L254&amp;"")="yes","Disqualified",IF($P254="","",IF(ROUND(IFERROR(VALUE($P254),0)-IFERROR(VALUE($H254),0),2)&gt;0,"Profit","Draw"))))))</x:f>
      </x:c>
      <x:c r="V254" s="956" t="str">
        <x:f>IF(COUNTA($A254:$M254)=0,"",IF(OR($B254="",$C254="",$U254="Subscription"),"",IFERROR(ROUNDUP(($C254-$B254)/7,0),"")))</x:f>
      </x:c>
      <x:c r="W254" s="114" t="str">
        <x:f>IF(COUNTA($A254:$M254)=0,"",IF(OR($U254="Subscription",$U254=""),"",IF(OR($U254="Free Game",$U254="Disqualified — Free Game"),0,ROUND(IFERROR($Q254,0)-IFERROR($S254,0),2))))</x:f>
      </x:c>
      <x:c r="X254" s="956" t="str">
        <x:f>IF(COUNTA($A254:$M254)=0,"",IF(OR($U254="Subscription",NOT(ISNUMBER($J254)),NOT(ISNUMBER($I254)),$J254=0,$I254=0,$I254&gt;$J254),"",$J254-$I254))</x:f>
      </x:c>
      <x:c r="Y254" s="955" t="str">
        <x:f>IF(COUNTA($A254:$M254)=0,"",IF(OR($U254="Subscription",NOT(ISNUMBER($J254)),$J254=0,$X254=""),"",$X254/$J254))</x:f>
      </x:c>
      <x:c r="Z254" s="957" t="str">
        <x:f>IF(COUNTA($A254:$M254)=0,"",Instructions!$B$29+SUM($W$5:W254))</x:f>
      </x:c>
    </x:row>
    <x:row r="255" ht="36" customHeight="1">
      <x:c r="A255" s="439"/>
      <x:c r="B255" s="453"/>
      <x:c r="C255" s="453"/>
      <x:c r="D255" s="454"/>
      <x:c r="E255" s="454"/>
      <x:c r="F255" s="454"/>
      <x:c r="G255" s="986"/>
      <x:c r="H255" s="455"/>
      <x:c r="I255" s="456"/>
      <x:c r="J255" s="456"/>
      <x:c r="K255" s="986"/>
      <x:c r="L255" s="454"/>
      <x:c r="M255" s="439"/>
      <x:c r="N255" s="987" t="str">
        <x:f>IF(COUNTA($A255:$M255)=0,"",IF(OR(LEFT(LOWER(TRIM($F255&amp;"")),12)="subscription",LOWER(TRIM($F255&amp;""))="membership"),"",IF($G255="","",IF(ISNUMBER(SEARCH("non",LOWER($E255&amp;""))),$G255*0.85,$G255))))</x:f>
      </x:c>
      <x:c r="O255" s="987" t="str">
        <x:f>IF(COUNTA($A255:$M255)=0,"",IF(OR(LEFT(LOWER(TRIM($F255&amp;"")),12)="subscription",LOWER(TRIM($F255&amp;""))="membership"),"",IF(OR($N255="",$I255="",$I255=0),"",IFERROR($N255/$I255,""))))</x:f>
      </x:c>
      <x:c r="P255" s="987" t="str">
        <x:f>IF(COUNTA($A255:$M255)=0,"",IF(OR(LEFT(LOWER(TRIM($F255&amp;"")),12)="subscription",LOWER(TRIM($F255&amp;""))="membership"),"",IF(LOWER($L255&amp;"")="yes",0,IF(OR(AND($H255&lt;&gt;"",$H255=0),LEFT(LOWER(TRIM($F255&amp;"")),9)="free game",LOWER(TRIM($F255&amp;""))="free",LOWER(TRIM($F255&amp;""))="free entry"),IF(LOWER($D255&amp;"")="finalized",IF(ISNUMBER($K255),$K255,""),IF($O255&lt;&gt;"",$O255,"")),IF($K255&lt;&gt;"",$K255,IF($O255&lt;&gt;"",$O255,""))))))</x:f>
      </x:c>
      <x:c r="Q255" s="114" t="str">
        <x:f>IF(COUNTA($A255:$M255)=0,"",IF(OR($U255="Subscription",$U255=""),"",IF($U255="Profit",ROUND(IFERROR($P255,0)-IFERROR($H255,0),2),0)))</x:f>
      </x:c>
      <x:c r="R255" s="114" t="str">
        <x:f>IF(COUNTA($A255:$M255)=0,"",IF(OR($U255="Subscription",$U255=""),"",IF($U255="Draw",$H255,0)))</x:f>
      </x:c>
      <x:c r="S255" s="114" t="str">
        <x:f>IF(COUNTA($A255:$M255)=0,"",IF(OR($U255="Subscription",$U255=""),"",IF($U255="Disqualified",$H255,0)))</x:f>
      </x:c>
      <x:c r="T255" s="955" t="str">
        <x:f>IF(COUNTA($A255:$M255)=0,"",IF(OR($U255="Subscription",$U255=""),"",IF(OR($U255="Free Game",$U255="Disqualified — Free Game",$H255=0),"N/A",IF($U255="Profit",$Q255/$H255,IF($U255="Disqualified",-$S255/$H255,0)))))</x:f>
      </x:c>
      <x:c r="U255" s="920" t="str">
        <x:f>IF(COUNTA($A255:$M255)=0,"",IF(OR(LEFT(LOWER(TRIM($F255&amp;"")),12)="subscription",LOWER(TRIM($F255&amp;""))="membership"),"Subscription",IF(OR(AND($H255&lt;&gt;"",$H255=0),LEFT(LOWER(TRIM($F255&amp;"")),9)="free game",LOWER(TRIM($F255&amp;""))="free",LOWER(TRIM($F255&amp;""))="free entry"),IF(LOWER($L255&amp;"")="yes","Disqualified — Free Game","Free Game"),IF(LOWER($L255&amp;"")="yes","Disqualified",IF($P255="","",IF(ROUND(IFERROR(VALUE($P255),0)-IFERROR(VALUE($H255),0),2)&gt;0,"Profit","Draw"))))))</x:f>
      </x:c>
      <x:c r="V255" s="956" t="str">
        <x:f>IF(COUNTA($A255:$M255)=0,"",IF(OR($B255="",$C255="",$U255="Subscription"),"",IFERROR(ROUNDUP(($C255-$B255)/7,0),"")))</x:f>
      </x:c>
      <x:c r="W255" s="114" t="str">
        <x:f>IF(COUNTA($A255:$M255)=0,"",IF(OR($U255="Subscription",$U255=""),"",IF(OR($U255="Free Game",$U255="Disqualified — Free Game"),0,ROUND(IFERROR($Q255,0)-IFERROR($S255,0),2))))</x:f>
      </x:c>
      <x:c r="X255" s="956" t="str">
        <x:f>IF(COUNTA($A255:$M255)=0,"",IF(OR($U255="Subscription",NOT(ISNUMBER($J255)),NOT(ISNUMBER($I255)),$J255=0,$I255=0,$I255&gt;$J255),"",$J255-$I255))</x:f>
      </x:c>
      <x:c r="Y255" s="955" t="str">
        <x:f>IF(COUNTA($A255:$M255)=0,"",IF(OR($U255="Subscription",NOT(ISNUMBER($J255)),$J255=0,$X255=""),"",$X255/$J255))</x:f>
      </x:c>
      <x:c r="Z255" s="957" t="str">
        <x:f>IF(COUNTA($A255:$M255)=0,"",Instructions!$B$29+SUM($W$5:W255))</x:f>
      </x:c>
    </x:row>
    <x:row r="256" ht="36" customHeight="1">
      <x:c r="A256" s="439"/>
      <x:c r="B256" s="453"/>
      <x:c r="C256" s="453"/>
      <x:c r="D256" s="454"/>
      <x:c r="E256" s="454"/>
      <x:c r="F256" s="454"/>
      <x:c r="G256" s="986"/>
      <x:c r="H256" s="455"/>
      <x:c r="I256" s="456"/>
      <x:c r="J256" s="456"/>
      <x:c r="K256" s="986"/>
      <x:c r="L256" s="454"/>
      <x:c r="M256" s="439"/>
      <x:c r="N256" s="987" t="str">
        <x:f>IF(COUNTA($A256:$M256)=0,"",IF(OR(LEFT(LOWER(TRIM($F256&amp;"")),12)="subscription",LOWER(TRIM($F256&amp;""))="membership"),"",IF($G256="","",IF(ISNUMBER(SEARCH("non",LOWER($E256&amp;""))),$G256*0.85,$G256))))</x:f>
      </x:c>
      <x:c r="O256" s="987" t="str">
        <x:f>IF(COUNTA($A256:$M256)=0,"",IF(OR(LEFT(LOWER(TRIM($F256&amp;"")),12)="subscription",LOWER(TRIM($F256&amp;""))="membership"),"",IF(OR($N256="",$I256="",$I256=0),"",IFERROR($N256/$I256,""))))</x:f>
      </x:c>
      <x:c r="P256" s="987" t="str">
        <x:f>IF(COUNTA($A256:$M256)=0,"",IF(OR(LEFT(LOWER(TRIM($F256&amp;"")),12)="subscription",LOWER(TRIM($F256&amp;""))="membership"),"",IF(LOWER($L256&amp;"")="yes",0,IF(OR(AND($H256&lt;&gt;"",$H256=0),LEFT(LOWER(TRIM($F256&amp;"")),9)="free game",LOWER(TRIM($F256&amp;""))="free",LOWER(TRIM($F256&amp;""))="free entry"),IF(LOWER($D256&amp;"")="finalized",IF(ISNUMBER($K256),$K256,""),IF($O256&lt;&gt;"",$O256,"")),IF($K256&lt;&gt;"",$K256,IF($O256&lt;&gt;"",$O256,""))))))</x:f>
      </x:c>
      <x:c r="Q256" s="114" t="str">
        <x:f>IF(COUNTA($A256:$M256)=0,"",IF(OR($U256="Subscription",$U256=""),"",IF($U256="Profit",ROUND(IFERROR($P256,0)-IFERROR($H256,0),2),0)))</x:f>
      </x:c>
      <x:c r="R256" s="114" t="str">
        <x:f>IF(COUNTA($A256:$M256)=0,"",IF(OR($U256="Subscription",$U256=""),"",IF($U256="Draw",$H256,0)))</x:f>
      </x:c>
      <x:c r="S256" s="114" t="str">
        <x:f>IF(COUNTA($A256:$M256)=0,"",IF(OR($U256="Subscription",$U256=""),"",IF($U256="Disqualified",$H256,0)))</x:f>
      </x:c>
      <x:c r="T256" s="955" t="str">
        <x:f>IF(COUNTA($A256:$M256)=0,"",IF(OR($U256="Subscription",$U256=""),"",IF(OR($U256="Free Game",$U256="Disqualified — Free Game",$H256=0),"N/A",IF($U256="Profit",$Q256/$H256,IF($U256="Disqualified",-$S256/$H256,0)))))</x:f>
      </x:c>
      <x:c r="U256" s="920" t="str">
        <x:f>IF(COUNTA($A256:$M256)=0,"",IF(OR(LEFT(LOWER(TRIM($F256&amp;"")),12)="subscription",LOWER(TRIM($F256&amp;""))="membership"),"Subscription",IF(OR(AND($H256&lt;&gt;"",$H256=0),LEFT(LOWER(TRIM($F256&amp;"")),9)="free game",LOWER(TRIM($F256&amp;""))="free",LOWER(TRIM($F256&amp;""))="free entry"),IF(LOWER($L256&amp;"")="yes","Disqualified — Free Game","Free Game"),IF(LOWER($L256&amp;"")="yes","Disqualified",IF($P256="","",IF(ROUND(IFERROR(VALUE($P256),0)-IFERROR(VALUE($H256),0),2)&gt;0,"Profit","Draw"))))))</x:f>
      </x:c>
      <x:c r="V256" s="956" t="str">
        <x:f>IF(COUNTA($A256:$M256)=0,"",IF(OR($B256="",$C256="",$U256="Subscription"),"",IFERROR(ROUNDUP(($C256-$B256)/7,0),"")))</x:f>
      </x:c>
      <x:c r="W256" s="114" t="str">
        <x:f>IF(COUNTA($A256:$M256)=0,"",IF(OR($U256="Subscription",$U256=""),"",IF(OR($U256="Free Game",$U256="Disqualified — Free Game"),0,ROUND(IFERROR($Q256,0)-IFERROR($S256,0),2))))</x:f>
      </x:c>
      <x:c r="X256" s="956" t="str">
        <x:f>IF(COUNTA($A256:$M256)=0,"",IF(OR($U256="Subscription",NOT(ISNUMBER($J256)),NOT(ISNUMBER($I256)),$J256=0,$I256=0,$I256&gt;$J256),"",$J256-$I256))</x:f>
      </x:c>
      <x:c r="Y256" s="955" t="str">
        <x:f>IF(COUNTA($A256:$M256)=0,"",IF(OR($U256="Subscription",NOT(ISNUMBER($J256)),$J256=0,$X256=""),"",$X256/$J256))</x:f>
      </x:c>
      <x:c r="Z256" s="957" t="str">
        <x:f>IF(COUNTA($A256:$M256)=0,"",Instructions!$B$29+SUM($W$5:W256))</x:f>
      </x:c>
    </x:row>
    <x:row r="257" ht="36" customHeight="1">
      <x:c r="A257" s="439"/>
      <x:c r="B257" s="453"/>
      <x:c r="C257" s="453"/>
      <x:c r="D257" s="454"/>
      <x:c r="E257" s="454"/>
      <x:c r="F257" s="454"/>
      <x:c r="G257" s="986"/>
      <x:c r="H257" s="455"/>
      <x:c r="I257" s="456"/>
      <x:c r="J257" s="456"/>
      <x:c r="K257" s="986"/>
      <x:c r="L257" s="454"/>
      <x:c r="M257" s="439"/>
      <x:c r="N257" s="987" t="str">
        <x:f>IF(COUNTA($A257:$M257)=0,"",IF(OR(LEFT(LOWER(TRIM($F257&amp;"")),12)="subscription",LOWER(TRIM($F257&amp;""))="membership"),"",IF($G257="","",IF(ISNUMBER(SEARCH("non",LOWER($E257&amp;""))),$G257*0.85,$G257))))</x:f>
      </x:c>
      <x:c r="O257" s="987" t="str">
        <x:f>IF(COUNTA($A257:$M257)=0,"",IF(OR(LEFT(LOWER(TRIM($F257&amp;"")),12)="subscription",LOWER(TRIM($F257&amp;""))="membership"),"",IF(OR($N257="",$I257="",$I257=0),"",IFERROR($N257/$I257,""))))</x:f>
      </x:c>
      <x:c r="P257" s="987" t="str">
        <x:f>IF(COUNTA($A257:$M257)=0,"",IF(OR(LEFT(LOWER(TRIM($F257&amp;"")),12)="subscription",LOWER(TRIM($F257&amp;""))="membership"),"",IF(LOWER($L257&amp;"")="yes",0,IF(OR(AND($H257&lt;&gt;"",$H257=0),LEFT(LOWER(TRIM($F257&amp;"")),9)="free game",LOWER(TRIM($F257&amp;""))="free",LOWER(TRIM($F257&amp;""))="free entry"),IF(LOWER($D257&amp;"")="finalized",IF(ISNUMBER($K257),$K257,""),IF($O257&lt;&gt;"",$O257,"")),IF($K257&lt;&gt;"",$K257,IF($O257&lt;&gt;"",$O257,""))))))</x:f>
      </x:c>
      <x:c r="Q257" s="114" t="str">
        <x:f>IF(COUNTA($A257:$M257)=0,"",IF(OR($U257="Subscription",$U257=""),"",IF($U257="Profit",ROUND(IFERROR($P257,0)-IFERROR($H257,0),2),0)))</x:f>
      </x:c>
      <x:c r="R257" s="114" t="str">
        <x:f>IF(COUNTA($A257:$M257)=0,"",IF(OR($U257="Subscription",$U257=""),"",IF($U257="Draw",$H257,0)))</x:f>
      </x:c>
      <x:c r="S257" s="114" t="str">
        <x:f>IF(COUNTA($A257:$M257)=0,"",IF(OR($U257="Subscription",$U257=""),"",IF($U257="Disqualified",$H257,0)))</x:f>
      </x:c>
      <x:c r="T257" s="955" t="str">
        <x:f>IF(COUNTA($A257:$M257)=0,"",IF(OR($U257="Subscription",$U257=""),"",IF(OR($U257="Free Game",$U257="Disqualified — Free Game",$H257=0),"N/A",IF($U257="Profit",$Q257/$H257,IF($U257="Disqualified",-$S257/$H257,0)))))</x:f>
      </x:c>
      <x:c r="U257" s="920" t="str">
        <x:f>IF(COUNTA($A257:$M257)=0,"",IF(OR(LEFT(LOWER(TRIM($F257&amp;"")),12)="subscription",LOWER(TRIM($F257&amp;""))="membership"),"Subscription",IF(OR(AND($H257&lt;&gt;"",$H257=0),LEFT(LOWER(TRIM($F257&amp;"")),9)="free game",LOWER(TRIM($F257&amp;""))="free",LOWER(TRIM($F257&amp;""))="free entry"),IF(LOWER($L257&amp;"")="yes","Disqualified — Free Game","Free Game"),IF(LOWER($L257&amp;"")="yes","Disqualified",IF($P257="","",IF(ROUND(IFERROR(VALUE($P257),0)-IFERROR(VALUE($H257),0),2)&gt;0,"Profit","Draw"))))))</x:f>
      </x:c>
      <x:c r="V257" s="956" t="str">
        <x:f>IF(COUNTA($A257:$M257)=0,"",IF(OR($B257="",$C257="",$U257="Subscription"),"",IFERROR(ROUNDUP(($C257-$B257)/7,0),"")))</x:f>
      </x:c>
      <x:c r="W257" s="114" t="str">
        <x:f>IF(COUNTA($A257:$M257)=0,"",IF(OR($U257="Subscription",$U257=""),"",IF(OR($U257="Free Game",$U257="Disqualified — Free Game"),0,ROUND(IFERROR($Q257,0)-IFERROR($S257,0),2))))</x:f>
      </x:c>
      <x:c r="X257" s="956" t="str">
        <x:f>IF(COUNTA($A257:$M257)=0,"",IF(OR($U257="Subscription",NOT(ISNUMBER($J257)),NOT(ISNUMBER($I257)),$J257=0,$I257=0,$I257&gt;$J257),"",$J257-$I257))</x:f>
      </x:c>
      <x:c r="Y257" s="955" t="str">
        <x:f>IF(COUNTA($A257:$M257)=0,"",IF(OR($U257="Subscription",NOT(ISNUMBER($J257)),$J257=0,$X257=""),"",$X257/$J257))</x:f>
      </x:c>
      <x:c r="Z257" s="957" t="str">
        <x:f>IF(COUNTA($A257:$M257)=0,"",Instructions!$B$29+SUM($W$5:W257))</x:f>
      </x:c>
    </x:row>
    <x:row r="258" ht="36" customHeight="1">
      <x:c r="A258" s="439"/>
      <x:c r="B258" s="453"/>
      <x:c r="C258" s="453"/>
      <x:c r="D258" s="454"/>
      <x:c r="E258" s="454"/>
      <x:c r="F258" s="454"/>
      <x:c r="G258" s="986"/>
      <x:c r="H258" s="455"/>
      <x:c r="I258" s="456"/>
      <x:c r="J258" s="456"/>
      <x:c r="K258" s="986"/>
      <x:c r="L258" s="454"/>
      <x:c r="M258" s="439"/>
      <x:c r="N258" s="987" t="str">
        <x:f>IF(COUNTA($A258:$M258)=0,"",IF(OR(LEFT(LOWER(TRIM($F258&amp;"")),12)="subscription",LOWER(TRIM($F258&amp;""))="membership"),"",IF($G258="","",IF(ISNUMBER(SEARCH("non",LOWER($E258&amp;""))),$G258*0.85,$G258))))</x:f>
      </x:c>
      <x:c r="O258" s="987" t="str">
        <x:f>IF(COUNTA($A258:$M258)=0,"",IF(OR(LEFT(LOWER(TRIM($F258&amp;"")),12)="subscription",LOWER(TRIM($F258&amp;""))="membership"),"",IF(OR($N258="",$I258="",$I258=0),"",IFERROR($N258/$I258,""))))</x:f>
      </x:c>
      <x:c r="P258" s="987" t="str">
        <x:f>IF(COUNTA($A258:$M258)=0,"",IF(OR(LEFT(LOWER(TRIM($F258&amp;"")),12)="subscription",LOWER(TRIM($F258&amp;""))="membership"),"",IF(LOWER($L258&amp;"")="yes",0,IF(OR(AND($H258&lt;&gt;"",$H258=0),LEFT(LOWER(TRIM($F258&amp;"")),9)="free game",LOWER(TRIM($F258&amp;""))="free",LOWER(TRIM($F258&amp;""))="free entry"),IF(LOWER($D258&amp;"")="finalized",IF(ISNUMBER($K258),$K258,""),IF($O258&lt;&gt;"",$O258,"")),IF($K258&lt;&gt;"",$K258,IF($O258&lt;&gt;"",$O258,""))))))</x:f>
      </x:c>
      <x:c r="Q258" s="114" t="str">
        <x:f>IF(COUNTA($A258:$M258)=0,"",IF(OR($U258="Subscription",$U258=""),"",IF($U258="Profit",ROUND(IFERROR($P258,0)-IFERROR($H258,0),2),0)))</x:f>
      </x:c>
      <x:c r="R258" s="114" t="str">
        <x:f>IF(COUNTA($A258:$M258)=0,"",IF(OR($U258="Subscription",$U258=""),"",IF($U258="Draw",$H258,0)))</x:f>
      </x:c>
      <x:c r="S258" s="114" t="str">
        <x:f>IF(COUNTA($A258:$M258)=0,"",IF(OR($U258="Subscription",$U258=""),"",IF($U258="Disqualified",$H258,0)))</x:f>
      </x:c>
      <x:c r="T258" s="955" t="str">
        <x:f>IF(COUNTA($A258:$M258)=0,"",IF(OR($U258="Subscription",$U258=""),"",IF(OR($U258="Free Game",$U258="Disqualified — Free Game",$H258=0),"N/A",IF($U258="Profit",$Q258/$H258,IF($U258="Disqualified",-$S258/$H258,0)))))</x:f>
      </x:c>
      <x:c r="U258" s="920" t="str">
        <x:f>IF(COUNTA($A258:$M258)=0,"",IF(OR(LEFT(LOWER(TRIM($F258&amp;"")),12)="subscription",LOWER(TRIM($F258&amp;""))="membership"),"Subscription",IF(OR(AND($H258&lt;&gt;"",$H258=0),LEFT(LOWER(TRIM($F258&amp;"")),9)="free game",LOWER(TRIM($F258&amp;""))="free",LOWER(TRIM($F258&amp;""))="free entry"),IF(LOWER($L258&amp;"")="yes","Disqualified — Free Game","Free Game"),IF(LOWER($L258&amp;"")="yes","Disqualified",IF($P258="","",IF(ROUND(IFERROR(VALUE($P258),0)-IFERROR(VALUE($H258),0),2)&gt;0,"Profit","Draw"))))))</x:f>
      </x:c>
      <x:c r="V258" s="956" t="str">
        <x:f>IF(COUNTA($A258:$M258)=0,"",IF(OR($B258="",$C258="",$U258="Subscription"),"",IFERROR(ROUNDUP(($C258-$B258)/7,0),"")))</x:f>
      </x:c>
      <x:c r="W258" s="114" t="str">
        <x:f>IF(COUNTA($A258:$M258)=0,"",IF(OR($U258="Subscription",$U258=""),"",IF(OR($U258="Free Game",$U258="Disqualified — Free Game"),0,ROUND(IFERROR($Q258,0)-IFERROR($S258,0),2))))</x:f>
      </x:c>
      <x:c r="X258" s="956" t="str">
        <x:f>IF(COUNTA($A258:$M258)=0,"",IF(OR($U258="Subscription",NOT(ISNUMBER($J258)),NOT(ISNUMBER($I258)),$J258=0,$I258=0,$I258&gt;$J258),"",$J258-$I258))</x:f>
      </x:c>
      <x:c r="Y258" s="955" t="str">
        <x:f>IF(COUNTA($A258:$M258)=0,"",IF(OR($U258="Subscription",NOT(ISNUMBER($J258)),$J258=0,$X258=""),"",$X258/$J258))</x:f>
      </x:c>
      <x:c r="Z258" s="957" t="str">
        <x:f>IF(COUNTA($A258:$M258)=0,"",Instructions!$B$29+SUM($W$5:W258))</x:f>
      </x:c>
    </x:row>
    <x:row r="259" ht="36" customHeight="1">
      <x:c r="A259" s="439"/>
      <x:c r="B259" s="453"/>
      <x:c r="C259" s="453"/>
      <x:c r="D259" s="454"/>
      <x:c r="E259" s="454"/>
      <x:c r="F259" s="454"/>
      <x:c r="G259" s="986"/>
      <x:c r="H259" s="455"/>
      <x:c r="I259" s="456"/>
      <x:c r="J259" s="456"/>
      <x:c r="K259" s="986"/>
      <x:c r="L259" s="454"/>
      <x:c r="M259" s="439"/>
      <x:c r="N259" s="987" t="str">
        <x:f>IF(COUNTA($A259:$M259)=0,"",IF(OR(LEFT(LOWER(TRIM($F259&amp;"")),12)="subscription",LOWER(TRIM($F259&amp;""))="membership"),"",IF($G259="","",IF(ISNUMBER(SEARCH("non",LOWER($E259&amp;""))),$G259*0.85,$G259))))</x:f>
      </x:c>
      <x:c r="O259" s="987" t="str">
        <x:f>IF(COUNTA($A259:$M259)=0,"",IF(OR(LEFT(LOWER(TRIM($F259&amp;"")),12)="subscription",LOWER(TRIM($F259&amp;""))="membership"),"",IF(OR($N259="",$I259="",$I259=0),"",IFERROR($N259/$I259,""))))</x:f>
      </x:c>
      <x:c r="P259" s="987" t="str">
        <x:f>IF(COUNTA($A259:$M259)=0,"",IF(OR(LEFT(LOWER(TRIM($F259&amp;"")),12)="subscription",LOWER(TRIM($F259&amp;""))="membership"),"",IF(LOWER($L259&amp;"")="yes",0,IF(OR(AND($H259&lt;&gt;"",$H259=0),LEFT(LOWER(TRIM($F259&amp;"")),9)="free game",LOWER(TRIM($F259&amp;""))="free",LOWER(TRIM($F259&amp;""))="free entry"),IF(LOWER($D259&amp;"")="finalized",IF(ISNUMBER($K259),$K259,""),IF($O259&lt;&gt;"",$O259,"")),IF($K259&lt;&gt;"",$K259,IF($O259&lt;&gt;"",$O259,""))))))</x:f>
      </x:c>
      <x:c r="Q259" s="114" t="str">
        <x:f>IF(COUNTA($A259:$M259)=0,"",IF(OR($U259="Subscription",$U259=""),"",IF($U259="Profit",ROUND(IFERROR($P259,0)-IFERROR($H259,0),2),0)))</x:f>
      </x:c>
      <x:c r="R259" s="114" t="str">
        <x:f>IF(COUNTA($A259:$M259)=0,"",IF(OR($U259="Subscription",$U259=""),"",IF($U259="Draw",$H259,0)))</x:f>
      </x:c>
      <x:c r="S259" s="114" t="str">
        <x:f>IF(COUNTA($A259:$M259)=0,"",IF(OR($U259="Subscription",$U259=""),"",IF($U259="Disqualified",$H259,0)))</x:f>
      </x:c>
      <x:c r="T259" s="955" t="str">
        <x:f>IF(COUNTA($A259:$M259)=0,"",IF(OR($U259="Subscription",$U259=""),"",IF(OR($U259="Free Game",$U259="Disqualified — Free Game",$H259=0),"N/A",IF($U259="Profit",$Q259/$H259,IF($U259="Disqualified",-$S259/$H259,0)))))</x:f>
      </x:c>
      <x:c r="U259" s="920" t="str">
        <x:f>IF(COUNTA($A259:$M259)=0,"",IF(OR(LEFT(LOWER(TRIM($F259&amp;"")),12)="subscription",LOWER(TRIM($F259&amp;""))="membership"),"Subscription",IF(OR(AND($H259&lt;&gt;"",$H259=0),LEFT(LOWER(TRIM($F259&amp;"")),9)="free game",LOWER(TRIM($F259&amp;""))="free",LOWER(TRIM($F259&amp;""))="free entry"),IF(LOWER($L259&amp;"")="yes","Disqualified — Free Game","Free Game"),IF(LOWER($L259&amp;"")="yes","Disqualified",IF($P259="","",IF(ROUND(IFERROR(VALUE($P259),0)-IFERROR(VALUE($H259),0),2)&gt;0,"Profit","Draw"))))))</x:f>
      </x:c>
      <x:c r="V259" s="956" t="str">
        <x:f>IF(COUNTA($A259:$M259)=0,"",IF(OR($B259="",$C259="",$U259="Subscription"),"",IFERROR(ROUNDUP(($C259-$B259)/7,0),"")))</x:f>
      </x:c>
      <x:c r="W259" s="114" t="str">
        <x:f>IF(COUNTA($A259:$M259)=0,"",IF(OR($U259="Subscription",$U259=""),"",IF(OR($U259="Free Game",$U259="Disqualified — Free Game"),0,ROUND(IFERROR($Q259,0)-IFERROR($S259,0),2))))</x:f>
      </x:c>
      <x:c r="X259" s="956" t="str">
        <x:f>IF(COUNTA($A259:$M259)=0,"",IF(OR($U259="Subscription",NOT(ISNUMBER($J259)),NOT(ISNUMBER($I259)),$J259=0,$I259=0,$I259&gt;$J259),"",$J259-$I259))</x:f>
      </x:c>
      <x:c r="Y259" s="955" t="str">
        <x:f>IF(COUNTA($A259:$M259)=0,"",IF(OR($U259="Subscription",NOT(ISNUMBER($J259)),$J259=0,$X259=""),"",$X259/$J259))</x:f>
      </x:c>
      <x:c r="Z259" s="957" t="str">
        <x:f>IF(COUNTA($A259:$M259)=0,"",Instructions!$B$29+SUM($W$5:W259))</x:f>
      </x:c>
    </x:row>
    <x:row r="260" ht="36" customHeight="1">
      <x:c r="A260" s="439"/>
      <x:c r="B260" s="453"/>
      <x:c r="C260" s="453"/>
      <x:c r="D260" s="454"/>
      <x:c r="E260" s="454"/>
      <x:c r="F260" s="454"/>
      <x:c r="G260" s="986"/>
      <x:c r="H260" s="455"/>
      <x:c r="I260" s="456"/>
      <x:c r="J260" s="456"/>
      <x:c r="K260" s="986"/>
      <x:c r="L260" s="454"/>
      <x:c r="M260" s="439"/>
      <x:c r="N260" s="987" t="str">
        <x:f>IF(COUNTA($A260:$M260)=0,"",IF(OR(LEFT(LOWER(TRIM($F260&amp;"")),12)="subscription",LOWER(TRIM($F260&amp;""))="membership"),"",IF($G260="","",IF(ISNUMBER(SEARCH("non",LOWER($E260&amp;""))),$G260*0.85,$G260))))</x:f>
      </x:c>
      <x:c r="O260" s="987" t="str">
        <x:f>IF(COUNTA($A260:$M260)=0,"",IF(OR(LEFT(LOWER(TRIM($F260&amp;"")),12)="subscription",LOWER(TRIM($F260&amp;""))="membership"),"",IF(OR($N260="",$I260="",$I260=0),"",IFERROR($N260/$I260,""))))</x:f>
      </x:c>
      <x:c r="P260" s="987" t="str">
        <x:f>IF(COUNTA($A260:$M260)=0,"",IF(OR(LEFT(LOWER(TRIM($F260&amp;"")),12)="subscription",LOWER(TRIM($F260&amp;""))="membership"),"",IF(LOWER($L260&amp;"")="yes",0,IF(OR(AND($H260&lt;&gt;"",$H260=0),LEFT(LOWER(TRIM($F260&amp;"")),9)="free game",LOWER(TRIM($F260&amp;""))="free",LOWER(TRIM($F260&amp;""))="free entry"),IF(LOWER($D260&amp;"")="finalized",IF(ISNUMBER($K260),$K260,""),IF($O260&lt;&gt;"",$O260,"")),IF($K260&lt;&gt;"",$K260,IF($O260&lt;&gt;"",$O260,""))))))</x:f>
      </x:c>
      <x:c r="Q260" s="114" t="str">
        <x:f>IF(COUNTA($A260:$M260)=0,"",IF(OR($U260="Subscription",$U260=""),"",IF($U260="Profit",ROUND(IFERROR($P260,0)-IFERROR($H260,0),2),0)))</x:f>
      </x:c>
      <x:c r="R260" s="114" t="str">
        <x:f>IF(COUNTA($A260:$M260)=0,"",IF(OR($U260="Subscription",$U260=""),"",IF($U260="Draw",$H260,0)))</x:f>
      </x:c>
      <x:c r="S260" s="114" t="str">
        <x:f>IF(COUNTA($A260:$M260)=0,"",IF(OR($U260="Subscription",$U260=""),"",IF($U260="Disqualified",$H260,0)))</x:f>
      </x:c>
      <x:c r="T260" s="955" t="str">
        <x:f>IF(COUNTA($A260:$M260)=0,"",IF(OR($U260="Subscription",$U260=""),"",IF(OR($U260="Free Game",$U260="Disqualified — Free Game",$H260=0),"N/A",IF($U260="Profit",$Q260/$H260,IF($U260="Disqualified",-$S260/$H260,0)))))</x:f>
      </x:c>
      <x:c r="U260" s="920" t="str">
        <x:f>IF(COUNTA($A260:$M260)=0,"",IF(OR(LEFT(LOWER(TRIM($F260&amp;"")),12)="subscription",LOWER(TRIM($F260&amp;""))="membership"),"Subscription",IF(OR(AND($H260&lt;&gt;"",$H260=0),LEFT(LOWER(TRIM($F260&amp;"")),9)="free game",LOWER(TRIM($F260&amp;""))="free",LOWER(TRIM($F260&amp;""))="free entry"),IF(LOWER($L260&amp;"")="yes","Disqualified — Free Game","Free Game"),IF(LOWER($L260&amp;"")="yes","Disqualified",IF($P260="","",IF(ROUND(IFERROR(VALUE($P260),0)-IFERROR(VALUE($H260),0),2)&gt;0,"Profit","Draw"))))))</x:f>
      </x:c>
      <x:c r="V260" s="956" t="str">
        <x:f>IF(COUNTA($A260:$M260)=0,"",IF(OR($B260="",$C260="",$U260="Subscription"),"",IFERROR(ROUNDUP(($C260-$B260)/7,0),"")))</x:f>
      </x:c>
      <x:c r="W260" s="114" t="str">
        <x:f>IF(COUNTA($A260:$M260)=0,"",IF(OR($U260="Subscription",$U260=""),"",IF(OR($U260="Free Game",$U260="Disqualified — Free Game"),0,ROUND(IFERROR($Q260,0)-IFERROR($S260,0),2))))</x:f>
      </x:c>
      <x:c r="X260" s="956" t="str">
        <x:f>IF(COUNTA($A260:$M260)=0,"",IF(OR($U260="Subscription",NOT(ISNUMBER($J260)),NOT(ISNUMBER($I260)),$J260=0,$I260=0,$I260&gt;$J260),"",$J260-$I260))</x:f>
      </x:c>
      <x:c r="Y260" s="955" t="str">
        <x:f>IF(COUNTA($A260:$M260)=0,"",IF(OR($U260="Subscription",NOT(ISNUMBER($J260)),$J260=0,$X260=""),"",$X260/$J260))</x:f>
      </x:c>
      <x:c r="Z260" s="957" t="str">
        <x:f>IF(COUNTA($A260:$M260)=0,"",Instructions!$B$29+SUM($W$5:W260))</x:f>
      </x:c>
    </x:row>
    <x:row r="261" ht="36" customHeight="1">
      <x:c r="A261" s="439"/>
      <x:c r="B261" s="453"/>
      <x:c r="C261" s="453"/>
      <x:c r="D261" s="454"/>
      <x:c r="E261" s="454"/>
      <x:c r="F261" s="454"/>
      <x:c r="G261" s="986"/>
      <x:c r="H261" s="455"/>
      <x:c r="I261" s="456"/>
      <x:c r="J261" s="456"/>
      <x:c r="K261" s="986"/>
      <x:c r="L261" s="454"/>
      <x:c r="M261" s="439"/>
      <x:c r="N261" s="987" t="str">
        <x:f>IF(COUNTA($A261:$M261)=0,"",IF(OR(LEFT(LOWER(TRIM($F261&amp;"")),12)="subscription",LOWER(TRIM($F261&amp;""))="membership"),"",IF($G261="","",IF(ISNUMBER(SEARCH("non",LOWER($E261&amp;""))),$G261*0.85,$G261))))</x:f>
      </x:c>
      <x:c r="O261" s="987" t="str">
        <x:f>IF(COUNTA($A261:$M261)=0,"",IF(OR(LEFT(LOWER(TRIM($F261&amp;"")),12)="subscription",LOWER(TRIM($F261&amp;""))="membership"),"",IF(OR($N261="",$I261="",$I261=0),"",IFERROR($N261/$I261,""))))</x:f>
      </x:c>
      <x:c r="P261" s="987" t="str">
        <x:f>IF(COUNTA($A261:$M261)=0,"",IF(OR(LEFT(LOWER(TRIM($F261&amp;"")),12)="subscription",LOWER(TRIM($F261&amp;""))="membership"),"",IF(LOWER($L261&amp;"")="yes",0,IF(OR(AND($H261&lt;&gt;"",$H261=0),LEFT(LOWER(TRIM($F261&amp;"")),9)="free game",LOWER(TRIM($F261&amp;""))="free",LOWER(TRIM($F261&amp;""))="free entry"),IF(LOWER($D261&amp;"")="finalized",IF(ISNUMBER($K261),$K261,""),IF($O261&lt;&gt;"",$O261,"")),IF($K261&lt;&gt;"",$K261,IF($O261&lt;&gt;"",$O261,""))))))</x:f>
      </x:c>
      <x:c r="Q261" s="114" t="str">
        <x:f>IF(COUNTA($A261:$M261)=0,"",IF(OR($U261="Subscription",$U261=""),"",IF($U261="Profit",ROUND(IFERROR($P261,0)-IFERROR($H261,0),2),0)))</x:f>
      </x:c>
      <x:c r="R261" s="114" t="str">
        <x:f>IF(COUNTA($A261:$M261)=0,"",IF(OR($U261="Subscription",$U261=""),"",IF($U261="Draw",$H261,0)))</x:f>
      </x:c>
      <x:c r="S261" s="114" t="str">
        <x:f>IF(COUNTA($A261:$M261)=0,"",IF(OR($U261="Subscription",$U261=""),"",IF($U261="Disqualified",$H261,0)))</x:f>
      </x:c>
      <x:c r="T261" s="955" t="str">
        <x:f>IF(COUNTA($A261:$M261)=0,"",IF(OR($U261="Subscription",$U261=""),"",IF(OR($U261="Free Game",$U261="Disqualified — Free Game",$H261=0),"N/A",IF($U261="Profit",$Q261/$H261,IF($U261="Disqualified",-$S261/$H261,0)))))</x:f>
      </x:c>
      <x:c r="U261" s="920" t="str">
        <x:f>IF(COUNTA($A261:$M261)=0,"",IF(OR(LEFT(LOWER(TRIM($F261&amp;"")),12)="subscription",LOWER(TRIM($F261&amp;""))="membership"),"Subscription",IF(OR(AND($H261&lt;&gt;"",$H261=0),LEFT(LOWER(TRIM($F261&amp;"")),9)="free game",LOWER(TRIM($F261&amp;""))="free",LOWER(TRIM($F261&amp;""))="free entry"),IF(LOWER($L261&amp;"")="yes","Disqualified — Free Game","Free Game"),IF(LOWER($L261&amp;"")="yes","Disqualified",IF($P261="","",IF(ROUND(IFERROR(VALUE($P261),0)-IFERROR(VALUE($H261),0),2)&gt;0,"Profit","Draw"))))))</x:f>
      </x:c>
      <x:c r="V261" s="956" t="str">
        <x:f>IF(COUNTA($A261:$M261)=0,"",IF(OR($B261="",$C261="",$U261="Subscription"),"",IFERROR(ROUNDUP(($C261-$B261)/7,0),"")))</x:f>
      </x:c>
      <x:c r="W261" s="114" t="str">
        <x:f>IF(COUNTA($A261:$M261)=0,"",IF(OR($U261="Subscription",$U261=""),"",IF(OR($U261="Free Game",$U261="Disqualified — Free Game"),0,ROUND(IFERROR($Q261,0)-IFERROR($S261,0),2))))</x:f>
      </x:c>
      <x:c r="X261" s="956" t="str">
        <x:f>IF(COUNTA($A261:$M261)=0,"",IF(OR($U261="Subscription",NOT(ISNUMBER($J261)),NOT(ISNUMBER($I261)),$J261=0,$I261=0,$I261&gt;$J261),"",$J261-$I261))</x:f>
      </x:c>
      <x:c r="Y261" s="955" t="str">
        <x:f>IF(COUNTA($A261:$M261)=0,"",IF(OR($U261="Subscription",NOT(ISNUMBER($J261)),$J261=0,$X261=""),"",$X261/$J261))</x:f>
      </x:c>
      <x:c r="Z261" s="957" t="str">
        <x:f>IF(COUNTA($A261:$M261)=0,"",Instructions!$B$29+SUM($W$5:W261))</x:f>
      </x:c>
    </x:row>
    <x:row r="262" ht="36" customHeight="1">
      <x:c r="A262" s="439"/>
      <x:c r="B262" s="453"/>
      <x:c r="C262" s="453"/>
      <x:c r="D262" s="454"/>
      <x:c r="E262" s="454"/>
      <x:c r="F262" s="454"/>
      <x:c r="G262" s="986"/>
      <x:c r="H262" s="455"/>
      <x:c r="I262" s="456"/>
      <x:c r="J262" s="456"/>
      <x:c r="K262" s="986"/>
      <x:c r="L262" s="454"/>
      <x:c r="M262" s="439"/>
      <x:c r="N262" s="987" t="str">
        <x:f>IF(COUNTA($A262:$M262)=0,"",IF(OR(LEFT(LOWER(TRIM($F262&amp;"")),12)="subscription",LOWER(TRIM($F262&amp;""))="membership"),"",IF($G262="","",IF(ISNUMBER(SEARCH("non",LOWER($E262&amp;""))),$G262*0.85,$G262))))</x:f>
      </x:c>
      <x:c r="O262" s="987" t="str">
        <x:f>IF(COUNTA($A262:$M262)=0,"",IF(OR(LEFT(LOWER(TRIM($F262&amp;"")),12)="subscription",LOWER(TRIM($F262&amp;""))="membership"),"",IF(OR($N262="",$I262="",$I262=0),"",IFERROR($N262/$I262,""))))</x:f>
      </x:c>
      <x:c r="P262" s="987" t="str">
        <x:f>IF(COUNTA($A262:$M262)=0,"",IF(OR(LEFT(LOWER(TRIM($F262&amp;"")),12)="subscription",LOWER(TRIM($F262&amp;""))="membership"),"",IF(LOWER($L262&amp;"")="yes",0,IF(OR(AND($H262&lt;&gt;"",$H262=0),LEFT(LOWER(TRIM($F262&amp;"")),9)="free game",LOWER(TRIM($F262&amp;""))="free",LOWER(TRIM($F262&amp;""))="free entry"),IF(LOWER($D262&amp;"")="finalized",IF(ISNUMBER($K262),$K262,""),IF($O262&lt;&gt;"",$O262,"")),IF($K262&lt;&gt;"",$K262,IF($O262&lt;&gt;"",$O262,""))))))</x:f>
      </x:c>
      <x:c r="Q262" s="114" t="str">
        <x:f>IF(COUNTA($A262:$M262)=0,"",IF(OR($U262="Subscription",$U262=""),"",IF($U262="Profit",ROUND(IFERROR($P262,0)-IFERROR($H262,0),2),0)))</x:f>
      </x:c>
      <x:c r="R262" s="114" t="str">
        <x:f>IF(COUNTA($A262:$M262)=0,"",IF(OR($U262="Subscription",$U262=""),"",IF($U262="Draw",$H262,0)))</x:f>
      </x:c>
      <x:c r="S262" s="114" t="str">
        <x:f>IF(COUNTA($A262:$M262)=0,"",IF(OR($U262="Subscription",$U262=""),"",IF($U262="Disqualified",$H262,0)))</x:f>
      </x:c>
      <x:c r="T262" s="955" t="str">
        <x:f>IF(COUNTA($A262:$M262)=0,"",IF(OR($U262="Subscription",$U262=""),"",IF(OR($U262="Free Game",$U262="Disqualified — Free Game",$H262=0),"N/A",IF($U262="Profit",$Q262/$H262,IF($U262="Disqualified",-$S262/$H262,0)))))</x:f>
      </x:c>
      <x:c r="U262" s="920" t="str">
        <x:f>IF(COUNTA($A262:$M262)=0,"",IF(OR(LEFT(LOWER(TRIM($F262&amp;"")),12)="subscription",LOWER(TRIM($F262&amp;""))="membership"),"Subscription",IF(OR(AND($H262&lt;&gt;"",$H262=0),LEFT(LOWER(TRIM($F262&amp;"")),9)="free game",LOWER(TRIM($F262&amp;""))="free",LOWER(TRIM($F262&amp;""))="free entry"),IF(LOWER($L262&amp;"")="yes","Disqualified — Free Game","Free Game"),IF(LOWER($L262&amp;"")="yes","Disqualified",IF($P262="","",IF(ROUND(IFERROR(VALUE($P262),0)-IFERROR(VALUE($H262),0),2)&gt;0,"Profit","Draw"))))))</x:f>
      </x:c>
      <x:c r="V262" s="956" t="str">
        <x:f>IF(COUNTA($A262:$M262)=0,"",IF(OR($B262="",$C262="",$U262="Subscription"),"",IFERROR(ROUNDUP(($C262-$B262)/7,0),"")))</x:f>
      </x:c>
      <x:c r="W262" s="114" t="str">
        <x:f>IF(COUNTA($A262:$M262)=0,"",IF(OR($U262="Subscription",$U262=""),"",IF(OR($U262="Free Game",$U262="Disqualified — Free Game"),0,ROUND(IFERROR($Q262,0)-IFERROR($S262,0),2))))</x:f>
      </x:c>
      <x:c r="X262" s="956" t="str">
        <x:f>IF(COUNTA($A262:$M262)=0,"",IF(OR($U262="Subscription",NOT(ISNUMBER($J262)),NOT(ISNUMBER($I262)),$J262=0,$I262=0,$I262&gt;$J262),"",$J262-$I262))</x:f>
      </x:c>
      <x:c r="Y262" s="955" t="str">
        <x:f>IF(COUNTA($A262:$M262)=0,"",IF(OR($U262="Subscription",NOT(ISNUMBER($J262)),$J262=0,$X262=""),"",$X262/$J262))</x:f>
      </x:c>
      <x:c r="Z262" s="957" t="str">
        <x:f>IF(COUNTA($A262:$M262)=0,"",Instructions!$B$29+SUM($W$5:W262))</x:f>
      </x:c>
    </x:row>
    <x:row r="263" ht="36" customHeight="1">
      <x:c r="A263" s="439"/>
      <x:c r="B263" s="453"/>
      <x:c r="C263" s="453"/>
      <x:c r="D263" s="454"/>
      <x:c r="E263" s="454"/>
      <x:c r="F263" s="454"/>
      <x:c r="G263" s="986"/>
      <x:c r="H263" s="455"/>
      <x:c r="I263" s="456"/>
      <x:c r="J263" s="456"/>
      <x:c r="K263" s="986"/>
      <x:c r="L263" s="454"/>
      <x:c r="M263" s="439"/>
      <x:c r="N263" s="987" t="str">
        <x:f>IF(COUNTA($A263:$M263)=0,"",IF(OR(LEFT(LOWER(TRIM($F263&amp;"")),12)="subscription",LOWER(TRIM($F263&amp;""))="membership"),"",IF($G263="","",IF(ISNUMBER(SEARCH("non",LOWER($E263&amp;""))),$G263*0.85,$G263))))</x:f>
      </x:c>
      <x:c r="O263" s="987" t="str">
        <x:f>IF(COUNTA($A263:$M263)=0,"",IF(OR(LEFT(LOWER(TRIM($F263&amp;"")),12)="subscription",LOWER(TRIM($F263&amp;""))="membership"),"",IF(OR($N263="",$I263="",$I263=0),"",IFERROR($N263/$I263,""))))</x:f>
      </x:c>
      <x:c r="P263" s="987" t="str">
        <x:f>IF(COUNTA($A263:$M263)=0,"",IF(OR(LEFT(LOWER(TRIM($F263&amp;"")),12)="subscription",LOWER(TRIM($F263&amp;""))="membership"),"",IF(LOWER($L263&amp;"")="yes",0,IF(OR(AND($H263&lt;&gt;"",$H263=0),LEFT(LOWER(TRIM($F263&amp;"")),9)="free game",LOWER(TRIM($F263&amp;""))="free",LOWER(TRIM($F263&amp;""))="free entry"),IF(LOWER($D263&amp;"")="finalized",IF(ISNUMBER($K263),$K263,""),IF($O263&lt;&gt;"",$O263,"")),IF($K263&lt;&gt;"",$K263,IF($O263&lt;&gt;"",$O263,""))))))</x:f>
      </x:c>
      <x:c r="Q263" s="114" t="str">
        <x:f>IF(COUNTA($A263:$M263)=0,"",IF(OR($U263="Subscription",$U263=""),"",IF($U263="Profit",ROUND(IFERROR($P263,0)-IFERROR($H263,0),2),0)))</x:f>
      </x:c>
      <x:c r="R263" s="114" t="str">
        <x:f>IF(COUNTA($A263:$M263)=0,"",IF(OR($U263="Subscription",$U263=""),"",IF($U263="Draw",$H263,0)))</x:f>
      </x:c>
      <x:c r="S263" s="114" t="str">
        <x:f>IF(COUNTA($A263:$M263)=0,"",IF(OR($U263="Subscription",$U263=""),"",IF($U263="Disqualified",$H263,0)))</x:f>
      </x:c>
      <x:c r="T263" s="955" t="str">
        <x:f>IF(COUNTA($A263:$M263)=0,"",IF(OR($U263="Subscription",$U263=""),"",IF(OR($U263="Free Game",$U263="Disqualified — Free Game",$H263=0),"N/A",IF($U263="Profit",$Q263/$H263,IF($U263="Disqualified",-$S263/$H263,0)))))</x:f>
      </x:c>
      <x:c r="U263" s="920" t="str">
        <x:f>IF(COUNTA($A263:$M263)=0,"",IF(OR(LEFT(LOWER(TRIM($F263&amp;"")),12)="subscription",LOWER(TRIM($F263&amp;""))="membership"),"Subscription",IF(OR(AND($H263&lt;&gt;"",$H263=0),LEFT(LOWER(TRIM($F263&amp;"")),9)="free game",LOWER(TRIM($F263&amp;""))="free",LOWER(TRIM($F263&amp;""))="free entry"),IF(LOWER($L263&amp;"")="yes","Disqualified — Free Game","Free Game"),IF(LOWER($L263&amp;"")="yes","Disqualified",IF($P263="","",IF(ROUND(IFERROR(VALUE($P263),0)-IFERROR(VALUE($H263),0),2)&gt;0,"Profit","Draw"))))))</x:f>
      </x:c>
      <x:c r="V263" s="956" t="str">
        <x:f>IF(COUNTA($A263:$M263)=0,"",IF(OR($B263="",$C263="",$U263="Subscription"),"",IFERROR(ROUNDUP(($C263-$B263)/7,0),"")))</x:f>
      </x:c>
      <x:c r="W263" s="114" t="str">
        <x:f>IF(COUNTA($A263:$M263)=0,"",IF(OR($U263="Subscription",$U263=""),"",IF(OR($U263="Free Game",$U263="Disqualified — Free Game"),0,ROUND(IFERROR($Q263,0)-IFERROR($S263,0),2))))</x:f>
      </x:c>
      <x:c r="X263" s="956" t="str">
        <x:f>IF(COUNTA($A263:$M263)=0,"",IF(OR($U263="Subscription",NOT(ISNUMBER($J263)),NOT(ISNUMBER($I263)),$J263=0,$I263=0,$I263&gt;$J263),"",$J263-$I263))</x:f>
      </x:c>
      <x:c r="Y263" s="955" t="str">
        <x:f>IF(COUNTA($A263:$M263)=0,"",IF(OR($U263="Subscription",NOT(ISNUMBER($J263)),$J263=0,$X263=""),"",$X263/$J263))</x:f>
      </x:c>
      <x:c r="Z263" s="957" t="str">
        <x:f>IF(COUNTA($A263:$M263)=0,"",Instructions!$B$29+SUM($W$5:W263))</x:f>
      </x:c>
    </x:row>
    <x:row r="264" ht="36" customHeight="1">
      <x:c r="A264" s="439"/>
      <x:c r="B264" s="453"/>
      <x:c r="C264" s="453"/>
      <x:c r="D264" s="454"/>
      <x:c r="E264" s="454"/>
      <x:c r="F264" s="454"/>
      <x:c r="G264" s="986"/>
      <x:c r="H264" s="455"/>
      <x:c r="I264" s="456"/>
      <x:c r="J264" s="456"/>
      <x:c r="K264" s="986"/>
      <x:c r="L264" s="454"/>
      <x:c r="M264" s="439"/>
      <x:c r="N264" s="987" t="str">
        <x:f>IF(COUNTA($A264:$M264)=0,"",IF(OR(LEFT(LOWER(TRIM($F264&amp;"")),12)="subscription",LOWER(TRIM($F264&amp;""))="membership"),"",IF($G264="","",IF(ISNUMBER(SEARCH("non",LOWER($E264&amp;""))),$G264*0.85,$G264))))</x:f>
      </x:c>
      <x:c r="O264" s="987" t="str">
        <x:f>IF(COUNTA($A264:$M264)=0,"",IF(OR(LEFT(LOWER(TRIM($F264&amp;"")),12)="subscription",LOWER(TRIM($F264&amp;""))="membership"),"",IF(OR($N264="",$I264="",$I264=0),"",IFERROR($N264/$I264,""))))</x:f>
      </x:c>
      <x:c r="P264" s="987" t="str">
        <x:f>IF(COUNTA($A264:$M264)=0,"",IF(OR(LEFT(LOWER(TRIM($F264&amp;"")),12)="subscription",LOWER(TRIM($F264&amp;""))="membership"),"",IF(LOWER($L264&amp;"")="yes",0,IF(OR(AND($H264&lt;&gt;"",$H264=0),LEFT(LOWER(TRIM($F264&amp;"")),9)="free game",LOWER(TRIM($F264&amp;""))="free",LOWER(TRIM($F264&amp;""))="free entry"),IF(LOWER($D264&amp;"")="finalized",IF(ISNUMBER($K264),$K264,""),IF($O264&lt;&gt;"",$O264,"")),IF($K264&lt;&gt;"",$K264,IF($O264&lt;&gt;"",$O264,""))))))</x:f>
      </x:c>
      <x:c r="Q264" s="114" t="str">
        <x:f>IF(COUNTA($A264:$M264)=0,"",IF(OR($U264="Subscription",$U264=""),"",IF($U264="Profit",ROUND(IFERROR($P264,0)-IFERROR($H264,0),2),0)))</x:f>
      </x:c>
      <x:c r="R264" s="114" t="str">
        <x:f>IF(COUNTA($A264:$M264)=0,"",IF(OR($U264="Subscription",$U264=""),"",IF($U264="Draw",$H264,0)))</x:f>
      </x:c>
      <x:c r="S264" s="114" t="str">
        <x:f>IF(COUNTA($A264:$M264)=0,"",IF(OR($U264="Subscription",$U264=""),"",IF($U264="Disqualified",$H264,0)))</x:f>
      </x:c>
      <x:c r="T264" s="955" t="str">
        <x:f>IF(COUNTA($A264:$M264)=0,"",IF(OR($U264="Subscription",$U264=""),"",IF(OR($U264="Free Game",$U264="Disqualified — Free Game",$H264=0),"N/A",IF($U264="Profit",$Q264/$H264,IF($U264="Disqualified",-$S264/$H264,0)))))</x:f>
      </x:c>
      <x:c r="U264" s="920" t="str">
        <x:f>IF(COUNTA($A264:$M264)=0,"",IF(OR(LEFT(LOWER(TRIM($F264&amp;"")),12)="subscription",LOWER(TRIM($F264&amp;""))="membership"),"Subscription",IF(OR(AND($H264&lt;&gt;"",$H264=0),LEFT(LOWER(TRIM($F264&amp;"")),9)="free game",LOWER(TRIM($F264&amp;""))="free",LOWER(TRIM($F264&amp;""))="free entry"),IF(LOWER($L264&amp;"")="yes","Disqualified — Free Game","Free Game"),IF(LOWER($L264&amp;"")="yes","Disqualified",IF($P264="","",IF(ROUND(IFERROR(VALUE($P264),0)-IFERROR(VALUE($H264),0),2)&gt;0,"Profit","Draw"))))))</x:f>
      </x:c>
      <x:c r="V264" s="956" t="str">
        <x:f>IF(COUNTA($A264:$M264)=0,"",IF(OR($B264="",$C264="",$U264="Subscription"),"",IFERROR(ROUNDUP(($C264-$B264)/7,0),"")))</x:f>
      </x:c>
      <x:c r="W264" s="114" t="str">
        <x:f>IF(COUNTA($A264:$M264)=0,"",IF(OR($U264="Subscription",$U264=""),"",IF(OR($U264="Free Game",$U264="Disqualified — Free Game"),0,ROUND(IFERROR($Q264,0)-IFERROR($S264,0),2))))</x:f>
      </x:c>
      <x:c r="X264" s="956" t="str">
        <x:f>IF(COUNTA($A264:$M264)=0,"",IF(OR($U264="Subscription",NOT(ISNUMBER($J264)),NOT(ISNUMBER($I264)),$J264=0,$I264=0,$I264&gt;$J264),"",$J264-$I264))</x:f>
      </x:c>
      <x:c r="Y264" s="955" t="str">
        <x:f>IF(COUNTA($A264:$M264)=0,"",IF(OR($U264="Subscription",NOT(ISNUMBER($J264)),$J264=0,$X264=""),"",$X264/$J264))</x:f>
      </x:c>
      <x:c r="Z264" s="957" t="str">
        <x:f>IF(COUNTA($A264:$M264)=0,"",Instructions!$B$29+SUM($W$5:W264))</x:f>
      </x:c>
    </x:row>
    <x:row r="265" ht="36" customHeight="1">
      <x:c r="A265" s="439"/>
      <x:c r="B265" s="453"/>
      <x:c r="C265" s="453"/>
      <x:c r="D265" s="454"/>
      <x:c r="E265" s="454"/>
      <x:c r="F265" s="454"/>
      <x:c r="G265" s="986"/>
      <x:c r="H265" s="455"/>
      <x:c r="I265" s="456"/>
      <x:c r="J265" s="456"/>
      <x:c r="K265" s="986"/>
      <x:c r="L265" s="454"/>
      <x:c r="M265" s="439"/>
      <x:c r="N265" s="987" t="str">
        <x:f>IF(COUNTA($A265:$M265)=0,"",IF(OR(LEFT(LOWER(TRIM($F265&amp;"")),12)="subscription",LOWER(TRIM($F265&amp;""))="membership"),"",IF($G265="","",IF(ISNUMBER(SEARCH("non",LOWER($E265&amp;""))),$G265*0.85,$G265))))</x:f>
      </x:c>
      <x:c r="O265" s="987" t="str">
        <x:f>IF(COUNTA($A265:$M265)=0,"",IF(OR(LEFT(LOWER(TRIM($F265&amp;"")),12)="subscription",LOWER(TRIM($F265&amp;""))="membership"),"",IF(OR($N265="",$I265="",$I265=0),"",IFERROR($N265/$I265,""))))</x:f>
      </x:c>
      <x:c r="P265" s="987" t="str">
        <x:f>IF(COUNTA($A265:$M265)=0,"",IF(OR(LEFT(LOWER(TRIM($F265&amp;"")),12)="subscription",LOWER(TRIM($F265&amp;""))="membership"),"",IF(LOWER($L265&amp;"")="yes",0,IF(OR(AND($H265&lt;&gt;"",$H265=0),LEFT(LOWER(TRIM($F265&amp;"")),9)="free game",LOWER(TRIM($F265&amp;""))="free",LOWER(TRIM($F265&amp;""))="free entry"),IF(LOWER($D265&amp;"")="finalized",IF(ISNUMBER($K265),$K265,""),IF($O265&lt;&gt;"",$O265,"")),IF($K265&lt;&gt;"",$K265,IF($O265&lt;&gt;"",$O265,""))))))</x:f>
      </x:c>
      <x:c r="Q265" s="114" t="str">
        <x:f>IF(COUNTA($A265:$M265)=0,"",IF(OR($U265="Subscription",$U265=""),"",IF($U265="Profit",ROUND(IFERROR($P265,0)-IFERROR($H265,0),2),0)))</x:f>
      </x:c>
      <x:c r="R265" s="114" t="str">
        <x:f>IF(COUNTA($A265:$M265)=0,"",IF(OR($U265="Subscription",$U265=""),"",IF($U265="Draw",$H265,0)))</x:f>
      </x:c>
      <x:c r="S265" s="114" t="str">
        <x:f>IF(COUNTA($A265:$M265)=0,"",IF(OR($U265="Subscription",$U265=""),"",IF($U265="Disqualified",$H265,0)))</x:f>
      </x:c>
      <x:c r="T265" s="955" t="str">
        <x:f>IF(COUNTA($A265:$M265)=0,"",IF(OR($U265="Subscription",$U265=""),"",IF(OR($U265="Free Game",$U265="Disqualified — Free Game",$H265=0),"N/A",IF($U265="Profit",$Q265/$H265,IF($U265="Disqualified",-$S265/$H265,0)))))</x:f>
      </x:c>
      <x:c r="U265" s="920" t="str">
        <x:f>IF(COUNTA($A265:$M265)=0,"",IF(OR(LEFT(LOWER(TRIM($F265&amp;"")),12)="subscription",LOWER(TRIM($F265&amp;""))="membership"),"Subscription",IF(OR(AND($H265&lt;&gt;"",$H265=0),LEFT(LOWER(TRIM($F265&amp;"")),9)="free game",LOWER(TRIM($F265&amp;""))="free",LOWER(TRIM($F265&amp;""))="free entry"),IF(LOWER($L265&amp;"")="yes","Disqualified — Free Game","Free Game"),IF(LOWER($L265&amp;"")="yes","Disqualified",IF($P265="","",IF(ROUND(IFERROR(VALUE($P265),0)-IFERROR(VALUE($H265),0),2)&gt;0,"Profit","Draw"))))))</x:f>
      </x:c>
      <x:c r="V265" s="956" t="str">
        <x:f>IF(COUNTA($A265:$M265)=0,"",IF(OR($B265="",$C265="",$U265="Subscription"),"",IFERROR(ROUNDUP(($C265-$B265)/7,0),"")))</x:f>
      </x:c>
      <x:c r="W265" s="114" t="str">
        <x:f>IF(COUNTA($A265:$M265)=0,"",IF(OR($U265="Subscription",$U265=""),"",IF(OR($U265="Free Game",$U265="Disqualified — Free Game"),0,ROUND(IFERROR($Q265,0)-IFERROR($S265,0),2))))</x:f>
      </x:c>
      <x:c r="X265" s="956" t="str">
        <x:f>IF(COUNTA($A265:$M265)=0,"",IF(OR($U265="Subscription",NOT(ISNUMBER($J265)),NOT(ISNUMBER($I265)),$J265=0,$I265=0,$I265&gt;$J265),"",$J265-$I265))</x:f>
      </x:c>
      <x:c r="Y265" s="955" t="str">
        <x:f>IF(COUNTA($A265:$M265)=0,"",IF(OR($U265="Subscription",NOT(ISNUMBER($J265)),$J265=0,$X265=""),"",$X265/$J265))</x:f>
      </x:c>
      <x:c r="Z265" s="957" t="str">
        <x:f>IF(COUNTA($A265:$M265)=0,"",Instructions!$B$29+SUM($W$5:W265))</x:f>
      </x:c>
    </x:row>
    <x:row r="266" ht="36" customHeight="1">
      <x:c r="A266" s="439"/>
      <x:c r="B266" s="453"/>
      <x:c r="C266" s="453"/>
      <x:c r="D266" s="454"/>
      <x:c r="E266" s="454"/>
      <x:c r="F266" s="454"/>
      <x:c r="G266" s="986"/>
      <x:c r="H266" s="455"/>
      <x:c r="I266" s="456"/>
      <x:c r="J266" s="456"/>
      <x:c r="K266" s="986"/>
      <x:c r="L266" s="454"/>
      <x:c r="M266" s="439"/>
      <x:c r="N266" s="987" t="str">
        <x:f>IF(COUNTA($A266:$M266)=0,"",IF(OR(LEFT(LOWER(TRIM($F266&amp;"")),12)="subscription",LOWER(TRIM($F266&amp;""))="membership"),"",IF($G266="","",IF(ISNUMBER(SEARCH("non",LOWER($E266&amp;""))),$G266*0.85,$G266))))</x:f>
      </x:c>
      <x:c r="O266" s="987" t="str">
        <x:f>IF(COUNTA($A266:$M266)=0,"",IF(OR(LEFT(LOWER(TRIM($F266&amp;"")),12)="subscription",LOWER(TRIM($F266&amp;""))="membership"),"",IF(OR($N266="",$I266="",$I266=0),"",IFERROR($N266/$I266,""))))</x:f>
      </x:c>
      <x:c r="P266" s="987" t="str">
        <x:f>IF(COUNTA($A266:$M266)=0,"",IF(OR(LEFT(LOWER(TRIM($F266&amp;"")),12)="subscription",LOWER(TRIM($F266&amp;""))="membership"),"",IF(LOWER($L266&amp;"")="yes",0,IF(OR(AND($H266&lt;&gt;"",$H266=0),LEFT(LOWER(TRIM($F266&amp;"")),9)="free game",LOWER(TRIM($F266&amp;""))="free",LOWER(TRIM($F266&amp;""))="free entry"),IF(LOWER($D266&amp;"")="finalized",IF(ISNUMBER($K266),$K266,""),IF($O266&lt;&gt;"",$O266,"")),IF($K266&lt;&gt;"",$K266,IF($O266&lt;&gt;"",$O266,""))))))</x:f>
      </x:c>
      <x:c r="Q266" s="114" t="str">
        <x:f>IF(COUNTA($A266:$M266)=0,"",IF(OR($U266="Subscription",$U266=""),"",IF($U266="Profit",ROUND(IFERROR($P266,0)-IFERROR($H266,0),2),0)))</x:f>
      </x:c>
      <x:c r="R266" s="114" t="str">
        <x:f>IF(COUNTA($A266:$M266)=0,"",IF(OR($U266="Subscription",$U266=""),"",IF($U266="Draw",$H266,0)))</x:f>
      </x:c>
      <x:c r="S266" s="114" t="str">
        <x:f>IF(COUNTA($A266:$M266)=0,"",IF(OR($U266="Subscription",$U266=""),"",IF($U266="Disqualified",$H266,0)))</x:f>
      </x:c>
      <x:c r="T266" s="955" t="str">
        <x:f>IF(COUNTA($A266:$M266)=0,"",IF(OR($U266="Subscription",$U266=""),"",IF(OR($U266="Free Game",$U266="Disqualified — Free Game",$H266=0),"N/A",IF($U266="Profit",$Q266/$H266,IF($U266="Disqualified",-$S266/$H266,0)))))</x:f>
      </x:c>
      <x:c r="U266" s="920" t="str">
        <x:f>IF(COUNTA($A266:$M266)=0,"",IF(OR(LEFT(LOWER(TRIM($F266&amp;"")),12)="subscription",LOWER(TRIM($F266&amp;""))="membership"),"Subscription",IF(OR(AND($H266&lt;&gt;"",$H266=0),LEFT(LOWER(TRIM($F266&amp;"")),9)="free game",LOWER(TRIM($F266&amp;""))="free",LOWER(TRIM($F266&amp;""))="free entry"),IF(LOWER($L266&amp;"")="yes","Disqualified — Free Game","Free Game"),IF(LOWER($L266&amp;"")="yes","Disqualified",IF($P266="","",IF(ROUND(IFERROR(VALUE($P266),0)-IFERROR(VALUE($H266),0),2)&gt;0,"Profit","Draw"))))))</x:f>
      </x:c>
      <x:c r="V266" s="956" t="str">
        <x:f>IF(COUNTA($A266:$M266)=0,"",IF(OR($B266="",$C266="",$U266="Subscription"),"",IFERROR(ROUNDUP(($C266-$B266)/7,0),"")))</x:f>
      </x:c>
      <x:c r="W266" s="114" t="str">
        <x:f>IF(COUNTA($A266:$M266)=0,"",IF(OR($U266="Subscription",$U266=""),"",IF(OR($U266="Free Game",$U266="Disqualified — Free Game"),0,ROUND(IFERROR($Q266,0)-IFERROR($S266,0),2))))</x:f>
      </x:c>
      <x:c r="X266" s="956" t="str">
        <x:f>IF(COUNTA($A266:$M266)=0,"",IF(OR($U266="Subscription",NOT(ISNUMBER($J266)),NOT(ISNUMBER($I266)),$J266=0,$I266=0,$I266&gt;$J266),"",$J266-$I266))</x:f>
      </x:c>
      <x:c r="Y266" s="955" t="str">
        <x:f>IF(COUNTA($A266:$M266)=0,"",IF(OR($U266="Subscription",NOT(ISNUMBER($J266)),$J266=0,$X266=""),"",$X266/$J266))</x:f>
      </x:c>
      <x:c r="Z266" s="957" t="str">
        <x:f>IF(COUNTA($A266:$M266)=0,"",Instructions!$B$29+SUM($W$5:W266))</x:f>
      </x:c>
    </x:row>
    <x:row r="267" ht="36" customHeight="1">
      <x:c r="A267" s="439"/>
      <x:c r="B267" s="453"/>
      <x:c r="C267" s="453"/>
      <x:c r="D267" s="454"/>
      <x:c r="E267" s="454"/>
      <x:c r="F267" s="454"/>
      <x:c r="G267" s="986"/>
      <x:c r="H267" s="455"/>
      <x:c r="I267" s="456"/>
      <x:c r="J267" s="456"/>
      <x:c r="K267" s="986"/>
      <x:c r="L267" s="454"/>
      <x:c r="M267" s="439"/>
      <x:c r="N267" s="987" t="str">
        <x:f>IF(COUNTA($A267:$M267)=0,"",IF(OR(LEFT(LOWER(TRIM($F267&amp;"")),12)="subscription",LOWER(TRIM($F267&amp;""))="membership"),"",IF($G267="","",IF(ISNUMBER(SEARCH("non",LOWER($E267&amp;""))),$G267*0.85,$G267))))</x:f>
      </x:c>
      <x:c r="O267" s="987" t="str">
        <x:f>IF(COUNTA($A267:$M267)=0,"",IF(OR(LEFT(LOWER(TRIM($F267&amp;"")),12)="subscription",LOWER(TRIM($F267&amp;""))="membership"),"",IF(OR($N267="",$I267="",$I267=0),"",IFERROR($N267/$I267,""))))</x:f>
      </x:c>
      <x:c r="P267" s="987" t="str">
        <x:f>IF(COUNTA($A267:$M267)=0,"",IF(OR(LEFT(LOWER(TRIM($F267&amp;"")),12)="subscription",LOWER(TRIM($F267&amp;""))="membership"),"",IF(LOWER($L267&amp;"")="yes",0,IF(OR(AND($H267&lt;&gt;"",$H267=0),LEFT(LOWER(TRIM($F267&amp;"")),9)="free game",LOWER(TRIM($F267&amp;""))="free",LOWER(TRIM($F267&amp;""))="free entry"),IF(LOWER($D267&amp;"")="finalized",IF(ISNUMBER($K267),$K267,""),IF($O267&lt;&gt;"",$O267,"")),IF($K267&lt;&gt;"",$K267,IF($O267&lt;&gt;"",$O267,""))))))</x:f>
      </x:c>
      <x:c r="Q267" s="114" t="str">
        <x:f>IF(COUNTA($A267:$M267)=0,"",IF(OR($U267="Subscription",$U267=""),"",IF($U267="Profit",ROUND(IFERROR($P267,0)-IFERROR($H267,0),2),0)))</x:f>
      </x:c>
      <x:c r="R267" s="114" t="str">
        <x:f>IF(COUNTA($A267:$M267)=0,"",IF(OR($U267="Subscription",$U267=""),"",IF($U267="Draw",$H267,0)))</x:f>
      </x:c>
      <x:c r="S267" s="114" t="str">
        <x:f>IF(COUNTA($A267:$M267)=0,"",IF(OR($U267="Subscription",$U267=""),"",IF($U267="Disqualified",$H267,0)))</x:f>
      </x:c>
      <x:c r="T267" s="955" t="str">
        <x:f>IF(COUNTA($A267:$M267)=0,"",IF(OR($U267="Subscription",$U267=""),"",IF(OR($U267="Free Game",$U267="Disqualified — Free Game",$H267=0),"N/A",IF($U267="Profit",$Q267/$H267,IF($U267="Disqualified",-$S267/$H267,0)))))</x:f>
      </x:c>
      <x:c r="U267" s="920" t="str">
        <x:f>IF(COUNTA($A267:$M267)=0,"",IF(OR(LEFT(LOWER(TRIM($F267&amp;"")),12)="subscription",LOWER(TRIM($F267&amp;""))="membership"),"Subscription",IF(OR(AND($H267&lt;&gt;"",$H267=0),LEFT(LOWER(TRIM($F267&amp;"")),9)="free game",LOWER(TRIM($F267&amp;""))="free",LOWER(TRIM($F267&amp;""))="free entry"),IF(LOWER($L267&amp;"")="yes","Disqualified — Free Game","Free Game"),IF(LOWER($L267&amp;"")="yes","Disqualified",IF($P267="","",IF(ROUND(IFERROR(VALUE($P267),0)-IFERROR(VALUE($H267),0),2)&gt;0,"Profit","Draw"))))))</x:f>
      </x:c>
      <x:c r="V267" s="956" t="str">
        <x:f>IF(COUNTA($A267:$M267)=0,"",IF(OR($B267="",$C267="",$U267="Subscription"),"",IFERROR(ROUNDUP(($C267-$B267)/7,0),"")))</x:f>
      </x:c>
      <x:c r="W267" s="114" t="str">
        <x:f>IF(COUNTA($A267:$M267)=0,"",IF(OR($U267="Subscription",$U267=""),"",IF(OR($U267="Free Game",$U267="Disqualified — Free Game"),0,ROUND(IFERROR($Q267,0)-IFERROR($S267,0),2))))</x:f>
      </x:c>
      <x:c r="X267" s="956" t="str">
        <x:f>IF(COUNTA($A267:$M267)=0,"",IF(OR($U267="Subscription",NOT(ISNUMBER($J267)),NOT(ISNUMBER($I267)),$J267=0,$I267=0,$I267&gt;$J267),"",$J267-$I267))</x:f>
      </x:c>
      <x:c r="Y267" s="955" t="str">
        <x:f>IF(COUNTA($A267:$M267)=0,"",IF(OR($U267="Subscription",NOT(ISNUMBER($J267)),$J267=0,$X267=""),"",$X267/$J267))</x:f>
      </x:c>
      <x:c r="Z267" s="957" t="str">
        <x:f>IF(COUNTA($A267:$M267)=0,"",Instructions!$B$29+SUM($W$5:W267))</x:f>
      </x:c>
    </x:row>
    <x:row r="268" ht="36" customHeight="1">
      <x:c r="A268" s="439"/>
      <x:c r="B268" s="453"/>
      <x:c r="C268" s="453"/>
      <x:c r="D268" s="454"/>
      <x:c r="E268" s="454"/>
      <x:c r="F268" s="454"/>
      <x:c r="G268" s="986"/>
      <x:c r="H268" s="455"/>
      <x:c r="I268" s="456"/>
      <x:c r="J268" s="456"/>
      <x:c r="K268" s="986"/>
      <x:c r="L268" s="454"/>
      <x:c r="M268" s="439"/>
      <x:c r="N268" s="987" t="str">
        <x:f>IF(COUNTA($A268:$M268)=0,"",IF(OR(LEFT(LOWER(TRIM($F268&amp;"")),12)="subscription",LOWER(TRIM($F268&amp;""))="membership"),"",IF($G268="","",IF(ISNUMBER(SEARCH("non",LOWER($E268&amp;""))),$G268*0.85,$G268))))</x:f>
      </x:c>
      <x:c r="O268" s="987" t="str">
        <x:f>IF(COUNTA($A268:$M268)=0,"",IF(OR(LEFT(LOWER(TRIM($F268&amp;"")),12)="subscription",LOWER(TRIM($F268&amp;""))="membership"),"",IF(OR($N268="",$I268="",$I268=0),"",IFERROR($N268/$I268,""))))</x:f>
      </x:c>
      <x:c r="P268" s="987" t="str">
        <x:f>IF(COUNTA($A268:$M268)=0,"",IF(OR(LEFT(LOWER(TRIM($F268&amp;"")),12)="subscription",LOWER(TRIM($F268&amp;""))="membership"),"",IF(LOWER($L268&amp;"")="yes",0,IF(OR(AND($H268&lt;&gt;"",$H268=0),LEFT(LOWER(TRIM($F268&amp;"")),9)="free game",LOWER(TRIM($F268&amp;""))="free",LOWER(TRIM($F268&amp;""))="free entry"),IF(LOWER($D268&amp;"")="finalized",IF(ISNUMBER($K268),$K268,""),IF($O268&lt;&gt;"",$O268,"")),IF($K268&lt;&gt;"",$K268,IF($O268&lt;&gt;"",$O268,""))))))</x:f>
      </x:c>
      <x:c r="Q268" s="114" t="str">
        <x:f>IF(COUNTA($A268:$M268)=0,"",IF(OR($U268="Subscription",$U268=""),"",IF($U268="Profit",ROUND(IFERROR($P268,0)-IFERROR($H268,0),2),0)))</x:f>
      </x:c>
      <x:c r="R268" s="114" t="str">
        <x:f>IF(COUNTA($A268:$M268)=0,"",IF(OR($U268="Subscription",$U268=""),"",IF($U268="Draw",$H268,0)))</x:f>
      </x:c>
      <x:c r="S268" s="114" t="str">
        <x:f>IF(COUNTA($A268:$M268)=0,"",IF(OR($U268="Subscription",$U268=""),"",IF($U268="Disqualified",$H268,0)))</x:f>
      </x:c>
      <x:c r="T268" s="955" t="str">
        <x:f>IF(COUNTA($A268:$M268)=0,"",IF(OR($U268="Subscription",$U268=""),"",IF(OR($U268="Free Game",$U268="Disqualified — Free Game",$H268=0),"N/A",IF($U268="Profit",$Q268/$H268,IF($U268="Disqualified",-$S268/$H268,0)))))</x:f>
      </x:c>
      <x:c r="U268" s="920" t="str">
        <x:f>IF(COUNTA($A268:$M268)=0,"",IF(OR(LEFT(LOWER(TRIM($F268&amp;"")),12)="subscription",LOWER(TRIM($F268&amp;""))="membership"),"Subscription",IF(OR(AND($H268&lt;&gt;"",$H268=0),LEFT(LOWER(TRIM($F268&amp;"")),9)="free game",LOWER(TRIM($F268&amp;""))="free",LOWER(TRIM($F268&amp;""))="free entry"),IF(LOWER($L268&amp;"")="yes","Disqualified — Free Game","Free Game"),IF(LOWER($L268&amp;"")="yes","Disqualified",IF($P268="","",IF(ROUND(IFERROR(VALUE($P268),0)-IFERROR(VALUE($H268),0),2)&gt;0,"Profit","Draw"))))))</x:f>
      </x:c>
      <x:c r="V268" s="956" t="str">
        <x:f>IF(COUNTA($A268:$M268)=0,"",IF(OR($B268="",$C268="",$U268="Subscription"),"",IFERROR(ROUNDUP(($C268-$B268)/7,0),"")))</x:f>
      </x:c>
      <x:c r="W268" s="114" t="str">
        <x:f>IF(COUNTA($A268:$M268)=0,"",IF(OR($U268="Subscription",$U268=""),"",IF(OR($U268="Free Game",$U268="Disqualified — Free Game"),0,ROUND(IFERROR($Q268,0)-IFERROR($S268,0),2))))</x:f>
      </x:c>
      <x:c r="X268" s="956" t="str">
        <x:f>IF(COUNTA($A268:$M268)=0,"",IF(OR($U268="Subscription",NOT(ISNUMBER($J268)),NOT(ISNUMBER($I268)),$J268=0,$I268=0,$I268&gt;$J268),"",$J268-$I268))</x:f>
      </x:c>
      <x:c r="Y268" s="955" t="str">
        <x:f>IF(COUNTA($A268:$M268)=0,"",IF(OR($U268="Subscription",NOT(ISNUMBER($J268)),$J268=0,$X268=""),"",$X268/$J268))</x:f>
      </x:c>
      <x:c r="Z268" s="957" t="str">
        <x:f>IF(COUNTA($A268:$M268)=0,"",Instructions!$B$29+SUM($W$5:W268))</x:f>
      </x:c>
    </x:row>
    <x:row r="269" ht="36" customHeight="1">
      <x:c r="A269" s="439"/>
      <x:c r="B269" s="453"/>
      <x:c r="C269" s="453"/>
      <x:c r="D269" s="454"/>
      <x:c r="E269" s="454"/>
      <x:c r="F269" s="454"/>
      <x:c r="G269" s="986"/>
      <x:c r="H269" s="455"/>
      <x:c r="I269" s="456"/>
      <x:c r="J269" s="456"/>
      <x:c r="K269" s="986"/>
      <x:c r="L269" s="454"/>
      <x:c r="M269" s="439"/>
      <x:c r="N269" s="987" t="str">
        <x:f>IF(COUNTA($A269:$M269)=0,"",IF(OR(LEFT(LOWER(TRIM($F269&amp;"")),12)="subscription",LOWER(TRIM($F269&amp;""))="membership"),"",IF($G269="","",IF(ISNUMBER(SEARCH("non",LOWER($E269&amp;""))),$G269*0.85,$G269))))</x:f>
      </x:c>
      <x:c r="O269" s="987" t="str">
        <x:f>IF(COUNTA($A269:$M269)=0,"",IF(OR(LEFT(LOWER(TRIM($F269&amp;"")),12)="subscription",LOWER(TRIM($F269&amp;""))="membership"),"",IF(OR($N269="",$I269="",$I269=0),"",IFERROR($N269/$I269,""))))</x:f>
      </x:c>
      <x:c r="P269" s="987" t="str">
        <x:f>IF(COUNTA($A269:$M269)=0,"",IF(OR(LEFT(LOWER(TRIM($F269&amp;"")),12)="subscription",LOWER(TRIM($F269&amp;""))="membership"),"",IF(LOWER($L269&amp;"")="yes",0,IF(OR(AND($H269&lt;&gt;"",$H269=0),LEFT(LOWER(TRIM($F269&amp;"")),9)="free game",LOWER(TRIM($F269&amp;""))="free",LOWER(TRIM($F269&amp;""))="free entry"),IF(LOWER($D269&amp;"")="finalized",IF(ISNUMBER($K269),$K269,""),IF($O269&lt;&gt;"",$O269,"")),IF($K269&lt;&gt;"",$K269,IF($O269&lt;&gt;"",$O269,""))))))</x:f>
      </x:c>
      <x:c r="Q269" s="114" t="str">
        <x:f>IF(COUNTA($A269:$M269)=0,"",IF(OR($U269="Subscription",$U269=""),"",IF($U269="Profit",ROUND(IFERROR($P269,0)-IFERROR($H269,0),2),0)))</x:f>
      </x:c>
      <x:c r="R269" s="114" t="str">
        <x:f>IF(COUNTA($A269:$M269)=0,"",IF(OR($U269="Subscription",$U269=""),"",IF($U269="Draw",$H269,0)))</x:f>
      </x:c>
      <x:c r="S269" s="114" t="str">
        <x:f>IF(COUNTA($A269:$M269)=0,"",IF(OR($U269="Subscription",$U269=""),"",IF($U269="Disqualified",$H269,0)))</x:f>
      </x:c>
      <x:c r="T269" s="955" t="str">
        <x:f>IF(COUNTA($A269:$M269)=0,"",IF(OR($U269="Subscription",$U269=""),"",IF(OR($U269="Free Game",$U269="Disqualified — Free Game",$H269=0),"N/A",IF($U269="Profit",$Q269/$H269,IF($U269="Disqualified",-$S269/$H269,0)))))</x:f>
      </x:c>
      <x:c r="U269" s="920" t="str">
        <x:f>IF(COUNTA($A269:$M269)=0,"",IF(OR(LEFT(LOWER(TRIM($F269&amp;"")),12)="subscription",LOWER(TRIM($F269&amp;""))="membership"),"Subscription",IF(OR(AND($H269&lt;&gt;"",$H269=0),LEFT(LOWER(TRIM($F269&amp;"")),9)="free game",LOWER(TRIM($F269&amp;""))="free",LOWER(TRIM($F269&amp;""))="free entry"),IF(LOWER($L269&amp;"")="yes","Disqualified — Free Game","Free Game"),IF(LOWER($L269&amp;"")="yes","Disqualified",IF($P269="","",IF(ROUND(IFERROR(VALUE($P269),0)-IFERROR(VALUE($H269),0),2)&gt;0,"Profit","Draw"))))))</x:f>
      </x:c>
      <x:c r="V269" s="956" t="str">
        <x:f>IF(COUNTA($A269:$M269)=0,"",IF(OR($B269="",$C269="",$U269="Subscription"),"",IFERROR(ROUNDUP(($C269-$B269)/7,0),"")))</x:f>
      </x:c>
      <x:c r="W269" s="114" t="str">
        <x:f>IF(COUNTA($A269:$M269)=0,"",IF(OR($U269="Subscription",$U269=""),"",IF(OR($U269="Free Game",$U269="Disqualified — Free Game"),0,ROUND(IFERROR($Q269,0)-IFERROR($S269,0),2))))</x:f>
      </x:c>
      <x:c r="X269" s="956" t="str">
        <x:f>IF(COUNTA($A269:$M269)=0,"",IF(OR($U269="Subscription",NOT(ISNUMBER($J269)),NOT(ISNUMBER($I269)),$J269=0,$I269=0,$I269&gt;$J269),"",$J269-$I269))</x:f>
      </x:c>
      <x:c r="Y269" s="955" t="str">
        <x:f>IF(COUNTA($A269:$M269)=0,"",IF(OR($U269="Subscription",NOT(ISNUMBER($J269)),$J269=0,$X269=""),"",$X269/$J269))</x:f>
      </x:c>
      <x:c r="Z269" s="957" t="str">
        <x:f>IF(COUNTA($A269:$M269)=0,"",Instructions!$B$29+SUM($W$5:W269))</x:f>
      </x:c>
    </x:row>
    <x:row r="270" ht="36" customHeight="1">
      <x:c r="A270" s="439"/>
      <x:c r="B270" s="453"/>
      <x:c r="C270" s="453"/>
      <x:c r="D270" s="454"/>
      <x:c r="E270" s="454"/>
      <x:c r="F270" s="454"/>
      <x:c r="G270" s="986"/>
      <x:c r="H270" s="455"/>
      <x:c r="I270" s="456"/>
      <x:c r="J270" s="456"/>
      <x:c r="K270" s="986"/>
      <x:c r="L270" s="454"/>
      <x:c r="M270" s="439"/>
      <x:c r="N270" s="987" t="str">
        <x:f>IF(COUNTA($A270:$M270)=0,"",IF(OR(LEFT(LOWER(TRIM($F270&amp;"")),12)="subscription",LOWER(TRIM($F270&amp;""))="membership"),"",IF($G270="","",IF(ISNUMBER(SEARCH("non",LOWER($E270&amp;""))),$G270*0.85,$G270))))</x:f>
      </x:c>
      <x:c r="O270" s="987" t="str">
        <x:f>IF(COUNTA($A270:$M270)=0,"",IF(OR(LEFT(LOWER(TRIM($F270&amp;"")),12)="subscription",LOWER(TRIM($F270&amp;""))="membership"),"",IF(OR($N270="",$I270="",$I270=0),"",IFERROR($N270/$I270,""))))</x:f>
      </x:c>
      <x:c r="P270" s="987" t="str">
        <x:f>IF(COUNTA($A270:$M270)=0,"",IF(OR(LEFT(LOWER(TRIM($F270&amp;"")),12)="subscription",LOWER(TRIM($F270&amp;""))="membership"),"",IF(LOWER($L270&amp;"")="yes",0,IF(OR(AND($H270&lt;&gt;"",$H270=0),LEFT(LOWER(TRIM($F270&amp;"")),9)="free game",LOWER(TRIM($F270&amp;""))="free",LOWER(TRIM($F270&amp;""))="free entry"),IF(LOWER($D270&amp;"")="finalized",IF(ISNUMBER($K270),$K270,""),IF($O270&lt;&gt;"",$O270,"")),IF($K270&lt;&gt;"",$K270,IF($O270&lt;&gt;"",$O270,""))))))</x:f>
      </x:c>
      <x:c r="Q270" s="114" t="str">
        <x:f>IF(COUNTA($A270:$M270)=0,"",IF(OR($U270="Subscription",$U270=""),"",IF($U270="Profit",ROUND(IFERROR($P270,0)-IFERROR($H270,0),2),0)))</x:f>
      </x:c>
      <x:c r="R270" s="114" t="str">
        <x:f>IF(COUNTA($A270:$M270)=0,"",IF(OR($U270="Subscription",$U270=""),"",IF($U270="Draw",$H270,0)))</x:f>
      </x:c>
      <x:c r="S270" s="114" t="str">
        <x:f>IF(COUNTA($A270:$M270)=0,"",IF(OR($U270="Subscription",$U270=""),"",IF($U270="Disqualified",$H270,0)))</x:f>
      </x:c>
      <x:c r="T270" s="955" t="str">
        <x:f>IF(COUNTA($A270:$M270)=0,"",IF(OR($U270="Subscription",$U270=""),"",IF(OR($U270="Free Game",$U270="Disqualified — Free Game",$H270=0),"N/A",IF($U270="Profit",$Q270/$H270,IF($U270="Disqualified",-$S270/$H270,0)))))</x:f>
      </x:c>
      <x:c r="U270" s="920" t="str">
        <x:f>IF(COUNTA($A270:$M270)=0,"",IF(OR(LEFT(LOWER(TRIM($F270&amp;"")),12)="subscription",LOWER(TRIM($F270&amp;""))="membership"),"Subscription",IF(OR(AND($H270&lt;&gt;"",$H270=0),LEFT(LOWER(TRIM($F270&amp;"")),9)="free game",LOWER(TRIM($F270&amp;""))="free",LOWER(TRIM($F270&amp;""))="free entry"),IF(LOWER($L270&amp;"")="yes","Disqualified — Free Game","Free Game"),IF(LOWER($L270&amp;"")="yes","Disqualified",IF($P270="","",IF(ROUND(IFERROR(VALUE($P270),0)-IFERROR(VALUE($H270),0),2)&gt;0,"Profit","Draw"))))))</x:f>
      </x:c>
      <x:c r="V270" s="956" t="str">
        <x:f>IF(COUNTA($A270:$M270)=0,"",IF(OR($B270="",$C270="",$U270="Subscription"),"",IFERROR(ROUNDUP(($C270-$B270)/7,0),"")))</x:f>
      </x:c>
      <x:c r="W270" s="114" t="str">
        <x:f>IF(COUNTA($A270:$M270)=0,"",IF(OR($U270="Subscription",$U270=""),"",IF(OR($U270="Free Game",$U270="Disqualified — Free Game"),0,ROUND(IFERROR($Q270,0)-IFERROR($S270,0),2))))</x:f>
      </x:c>
      <x:c r="X270" s="956" t="str">
        <x:f>IF(COUNTA($A270:$M270)=0,"",IF(OR($U270="Subscription",NOT(ISNUMBER($J270)),NOT(ISNUMBER($I270)),$J270=0,$I270=0,$I270&gt;$J270),"",$J270-$I270))</x:f>
      </x:c>
      <x:c r="Y270" s="955" t="str">
        <x:f>IF(COUNTA($A270:$M270)=0,"",IF(OR($U270="Subscription",NOT(ISNUMBER($J270)),$J270=0,$X270=""),"",$X270/$J270))</x:f>
      </x:c>
      <x:c r="Z270" s="957" t="str">
        <x:f>IF(COUNTA($A270:$M270)=0,"",Instructions!$B$29+SUM($W$5:W270))</x:f>
      </x:c>
    </x:row>
    <x:row r="271" ht="36" customHeight="1">
      <x:c r="A271" s="439"/>
      <x:c r="B271" s="453"/>
      <x:c r="C271" s="453"/>
      <x:c r="D271" s="454"/>
      <x:c r="E271" s="454"/>
      <x:c r="F271" s="454"/>
      <x:c r="G271" s="986"/>
      <x:c r="H271" s="455"/>
      <x:c r="I271" s="456"/>
      <x:c r="J271" s="456"/>
      <x:c r="K271" s="986"/>
      <x:c r="L271" s="454"/>
      <x:c r="M271" s="439"/>
      <x:c r="N271" s="987" t="str">
        <x:f>IF(COUNTA($A271:$M271)=0,"",IF(OR(LEFT(LOWER(TRIM($F271&amp;"")),12)="subscription",LOWER(TRIM($F271&amp;""))="membership"),"",IF($G271="","",IF(ISNUMBER(SEARCH("non",LOWER($E271&amp;""))),$G271*0.85,$G271))))</x:f>
      </x:c>
      <x:c r="O271" s="987" t="str">
        <x:f>IF(COUNTA($A271:$M271)=0,"",IF(OR(LEFT(LOWER(TRIM($F271&amp;"")),12)="subscription",LOWER(TRIM($F271&amp;""))="membership"),"",IF(OR($N271="",$I271="",$I271=0),"",IFERROR($N271/$I271,""))))</x:f>
      </x:c>
      <x:c r="P271" s="987" t="str">
        <x:f>IF(COUNTA($A271:$M271)=0,"",IF(OR(LEFT(LOWER(TRIM($F271&amp;"")),12)="subscription",LOWER(TRIM($F271&amp;""))="membership"),"",IF(LOWER($L271&amp;"")="yes",0,IF(OR(AND($H271&lt;&gt;"",$H271=0),LEFT(LOWER(TRIM($F271&amp;"")),9)="free game",LOWER(TRIM($F271&amp;""))="free",LOWER(TRIM($F271&amp;""))="free entry"),IF(LOWER($D271&amp;"")="finalized",IF(ISNUMBER($K271),$K271,""),IF($O271&lt;&gt;"",$O271,"")),IF($K271&lt;&gt;"",$K271,IF($O271&lt;&gt;"",$O271,""))))))</x:f>
      </x:c>
      <x:c r="Q271" s="114" t="str">
        <x:f>IF(COUNTA($A271:$M271)=0,"",IF(OR($U271="Subscription",$U271=""),"",IF($U271="Profit",ROUND(IFERROR($P271,0)-IFERROR($H271,0),2),0)))</x:f>
      </x:c>
      <x:c r="R271" s="114" t="str">
        <x:f>IF(COUNTA($A271:$M271)=0,"",IF(OR($U271="Subscription",$U271=""),"",IF($U271="Draw",$H271,0)))</x:f>
      </x:c>
      <x:c r="S271" s="114" t="str">
        <x:f>IF(COUNTA($A271:$M271)=0,"",IF(OR($U271="Subscription",$U271=""),"",IF($U271="Disqualified",$H271,0)))</x:f>
      </x:c>
      <x:c r="T271" s="955" t="str">
        <x:f>IF(COUNTA($A271:$M271)=0,"",IF(OR($U271="Subscription",$U271=""),"",IF(OR($U271="Free Game",$U271="Disqualified — Free Game",$H271=0),"N/A",IF($U271="Profit",$Q271/$H271,IF($U271="Disqualified",-$S271/$H271,0)))))</x:f>
      </x:c>
      <x:c r="U271" s="920" t="str">
        <x:f>IF(COUNTA($A271:$M271)=0,"",IF(OR(LEFT(LOWER(TRIM($F271&amp;"")),12)="subscription",LOWER(TRIM($F271&amp;""))="membership"),"Subscription",IF(OR(AND($H271&lt;&gt;"",$H271=0),LEFT(LOWER(TRIM($F271&amp;"")),9)="free game",LOWER(TRIM($F271&amp;""))="free",LOWER(TRIM($F271&amp;""))="free entry"),IF(LOWER($L271&amp;"")="yes","Disqualified — Free Game","Free Game"),IF(LOWER($L271&amp;"")="yes","Disqualified",IF($P271="","",IF(ROUND(IFERROR(VALUE($P271),0)-IFERROR(VALUE($H271),0),2)&gt;0,"Profit","Draw"))))))</x:f>
      </x:c>
      <x:c r="V271" s="956" t="str">
        <x:f>IF(COUNTA($A271:$M271)=0,"",IF(OR($B271="",$C271="",$U271="Subscription"),"",IFERROR(ROUNDUP(($C271-$B271)/7,0),"")))</x:f>
      </x:c>
      <x:c r="W271" s="114" t="str">
        <x:f>IF(COUNTA($A271:$M271)=0,"",IF(OR($U271="Subscription",$U271=""),"",IF(OR($U271="Free Game",$U271="Disqualified — Free Game"),0,ROUND(IFERROR($Q271,0)-IFERROR($S271,0),2))))</x:f>
      </x:c>
      <x:c r="X271" s="956" t="str">
        <x:f>IF(COUNTA($A271:$M271)=0,"",IF(OR($U271="Subscription",NOT(ISNUMBER($J271)),NOT(ISNUMBER($I271)),$J271=0,$I271=0,$I271&gt;$J271),"",$J271-$I271))</x:f>
      </x:c>
      <x:c r="Y271" s="955" t="str">
        <x:f>IF(COUNTA($A271:$M271)=0,"",IF(OR($U271="Subscription",NOT(ISNUMBER($J271)),$J271=0,$X271=""),"",$X271/$J271))</x:f>
      </x:c>
      <x:c r="Z271" s="957" t="str">
        <x:f>IF(COUNTA($A271:$M271)=0,"",Instructions!$B$29+SUM($W$5:W271))</x:f>
      </x:c>
    </x:row>
    <x:row r="272" ht="36" customHeight="1">
      <x:c r="A272" s="439"/>
      <x:c r="B272" s="453"/>
      <x:c r="C272" s="453"/>
      <x:c r="D272" s="454"/>
      <x:c r="E272" s="454"/>
      <x:c r="F272" s="454"/>
      <x:c r="G272" s="986"/>
      <x:c r="H272" s="455"/>
      <x:c r="I272" s="456"/>
      <x:c r="J272" s="456"/>
      <x:c r="K272" s="986"/>
      <x:c r="L272" s="454"/>
      <x:c r="M272" s="439"/>
      <x:c r="N272" s="987" t="str">
        <x:f>IF(COUNTA($A272:$M272)=0,"",IF(OR(LEFT(LOWER(TRIM($F272&amp;"")),12)="subscription",LOWER(TRIM($F272&amp;""))="membership"),"",IF($G272="","",IF(ISNUMBER(SEARCH("non",LOWER($E272&amp;""))),$G272*0.85,$G272))))</x:f>
      </x:c>
      <x:c r="O272" s="987" t="str">
        <x:f>IF(COUNTA($A272:$M272)=0,"",IF(OR(LEFT(LOWER(TRIM($F272&amp;"")),12)="subscription",LOWER(TRIM($F272&amp;""))="membership"),"",IF(OR($N272="",$I272="",$I272=0),"",IFERROR($N272/$I272,""))))</x:f>
      </x:c>
      <x:c r="P272" s="987" t="str">
        <x:f>IF(COUNTA($A272:$M272)=0,"",IF(OR(LEFT(LOWER(TRIM($F272&amp;"")),12)="subscription",LOWER(TRIM($F272&amp;""))="membership"),"",IF(LOWER($L272&amp;"")="yes",0,IF(OR(AND($H272&lt;&gt;"",$H272=0),LEFT(LOWER(TRIM($F272&amp;"")),9)="free game",LOWER(TRIM($F272&amp;""))="free",LOWER(TRIM($F272&amp;""))="free entry"),IF(LOWER($D272&amp;"")="finalized",IF(ISNUMBER($K272),$K272,""),IF($O272&lt;&gt;"",$O272,"")),IF($K272&lt;&gt;"",$K272,IF($O272&lt;&gt;"",$O272,""))))))</x:f>
      </x:c>
      <x:c r="Q272" s="114" t="str">
        <x:f>IF(COUNTA($A272:$M272)=0,"",IF(OR($U272="Subscription",$U272=""),"",IF($U272="Profit",ROUND(IFERROR($P272,0)-IFERROR($H272,0),2),0)))</x:f>
      </x:c>
      <x:c r="R272" s="114" t="str">
        <x:f>IF(COUNTA($A272:$M272)=0,"",IF(OR($U272="Subscription",$U272=""),"",IF($U272="Draw",$H272,0)))</x:f>
      </x:c>
      <x:c r="S272" s="114" t="str">
        <x:f>IF(COUNTA($A272:$M272)=0,"",IF(OR($U272="Subscription",$U272=""),"",IF($U272="Disqualified",$H272,0)))</x:f>
      </x:c>
      <x:c r="T272" s="955" t="str">
        <x:f>IF(COUNTA($A272:$M272)=0,"",IF(OR($U272="Subscription",$U272=""),"",IF(OR($U272="Free Game",$U272="Disqualified — Free Game",$H272=0),"N/A",IF($U272="Profit",$Q272/$H272,IF($U272="Disqualified",-$S272/$H272,0)))))</x:f>
      </x:c>
      <x:c r="U272" s="920" t="str">
        <x:f>IF(COUNTA($A272:$M272)=0,"",IF(OR(LEFT(LOWER(TRIM($F272&amp;"")),12)="subscription",LOWER(TRIM($F272&amp;""))="membership"),"Subscription",IF(OR(AND($H272&lt;&gt;"",$H272=0),LEFT(LOWER(TRIM($F272&amp;"")),9)="free game",LOWER(TRIM($F272&amp;""))="free",LOWER(TRIM($F272&amp;""))="free entry"),IF(LOWER($L272&amp;"")="yes","Disqualified — Free Game","Free Game"),IF(LOWER($L272&amp;"")="yes","Disqualified",IF($P272="","",IF(ROUND(IFERROR(VALUE($P272),0)-IFERROR(VALUE($H272),0),2)&gt;0,"Profit","Draw"))))))</x:f>
      </x:c>
      <x:c r="V272" s="956" t="str">
        <x:f>IF(COUNTA($A272:$M272)=0,"",IF(OR($B272="",$C272="",$U272="Subscription"),"",IFERROR(ROUNDUP(($C272-$B272)/7,0),"")))</x:f>
      </x:c>
      <x:c r="W272" s="114" t="str">
        <x:f>IF(COUNTA($A272:$M272)=0,"",IF(OR($U272="Subscription",$U272=""),"",IF(OR($U272="Free Game",$U272="Disqualified — Free Game"),0,ROUND(IFERROR($Q272,0)-IFERROR($S272,0),2))))</x:f>
      </x:c>
      <x:c r="X272" s="956" t="str">
        <x:f>IF(COUNTA($A272:$M272)=0,"",IF(OR($U272="Subscription",NOT(ISNUMBER($J272)),NOT(ISNUMBER($I272)),$J272=0,$I272=0,$I272&gt;$J272),"",$J272-$I272))</x:f>
      </x:c>
      <x:c r="Y272" s="955" t="str">
        <x:f>IF(COUNTA($A272:$M272)=0,"",IF(OR($U272="Subscription",NOT(ISNUMBER($J272)),$J272=0,$X272=""),"",$X272/$J272))</x:f>
      </x:c>
      <x:c r="Z272" s="957" t="str">
        <x:f>IF(COUNTA($A272:$M272)=0,"",Instructions!$B$29+SUM($W$5:W272))</x:f>
      </x:c>
    </x:row>
    <x:row r="273" ht="36" customHeight="1">
      <x:c r="A273" s="439"/>
      <x:c r="B273" s="453"/>
      <x:c r="C273" s="453"/>
      <x:c r="D273" s="454"/>
      <x:c r="E273" s="454"/>
      <x:c r="F273" s="454"/>
      <x:c r="G273" s="986"/>
      <x:c r="H273" s="455"/>
      <x:c r="I273" s="456"/>
      <x:c r="J273" s="456"/>
      <x:c r="K273" s="986"/>
      <x:c r="L273" s="454"/>
      <x:c r="M273" s="439"/>
      <x:c r="N273" s="987" t="str">
        <x:f>IF(COUNTA($A273:$M273)=0,"",IF(OR(LEFT(LOWER(TRIM($F273&amp;"")),12)="subscription",LOWER(TRIM($F273&amp;""))="membership"),"",IF($G273="","",IF(ISNUMBER(SEARCH("non",LOWER($E273&amp;""))),$G273*0.85,$G273))))</x:f>
      </x:c>
      <x:c r="O273" s="987" t="str">
        <x:f>IF(COUNTA($A273:$M273)=0,"",IF(OR(LEFT(LOWER(TRIM($F273&amp;"")),12)="subscription",LOWER(TRIM($F273&amp;""))="membership"),"",IF(OR($N273="",$I273="",$I273=0),"",IFERROR($N273/$I273,""))))</x:f>
      </x:c>
      <x:c r="P273" s="987" t="str">
        <x:f>IF(COUNTA($A273:$M273)=0,"",IF(OR(LEFT(LOWER(TRIM($F273&amp;"")),12)="subscription",LOWER(TRIM($F273&amp;""))="membership"),"",IF(LOWER($L273&amp;"")="yes",0,IF(OR(AND($H273&lt;&gt;"",$H273=0),LEFT(LOWER(TRIM($F273&amp;"")),9)="free game",LOWER(TRIM($F273&amp;""))="free",LOWER(TRIM($F273&amp;""))="free entry"),IF(LOWER($D273&amp;"")="finalized",IF(ISNUMBER($K273),$K273,""),IF($O273&lt;&gt;"",$O273,"")),IF($K273&lt;&gt;"",$K273,IF($O273&lt;&gt;"",$O273,""))))))</x:f>
      </x:c>
      <x:c r="Q273" s="114" t="str">
        <x:f>IF(COUNTA($A273:$M273)=0,"",IF(OR($U273="Subscription",$U273=""),"",IF($U273="Profit",ROUND(IFERROR($P273,0)-IFERROR($H273,0),2),0)))</x:f>
      </x:c>
      <x:c r="R273" s="114" t="str">
        <x:f>IF(COUNTA($A273:$M273)=0,"",IF(OR($U273="Subscription",$U273=""),"",IF($U273="Draw",$H273,0)))</x:f>
      </x:c>
      <x:c r="S273" s="114" t="str">
        <x:f>IF(COUNTA($A273:$M273)=0,"",IF(OR($U273="Subscription",$U273=""),"",IF($U273="Disqualified",$H273,0)))</x:f>
      </x:c>
      <x:c r="T273" s="955" t="str">
        <x:f>IF(COUNTA($A273:$M273)=0,"",IF(OR($U273="Subscription",$U273=""),"",IF(OR($U273="Free Game",$U273="Disqualified — Free Game",$H273=0),"N/A",IF($U273="Profit",$Q273/$H273,IF($U273="Disqualified",-$S273/$H273,0)))))</x:f>
      </x:c>
      <x:c r="U273" s="920" t="str">
        <x:f>IF(COUNTA($A273:$M273)=0,"",IF(OR(LEFT(LOWER(TRIM($F273&amp;"")),12)="subscription",LOWER(TRIM($F273&amp;""))="membership"),"Subscription",IF(OR(AND($H273&lt;&gt;"",$H273=0),LEFT(LOWER(TRIM($F273&amp;"")),9)="free game",LOWER(TRIM($F273&amp;""))="free",LOWER(TRIM($F273&amp;""))="free entry"),IF(LOWER($L273&amp;"")="yes","Disqualified — Free Game","Free Game"),IF(LOWER($L273&amp;"")="yes","Disqualified",IF($P273="","",IF(ROUND(IFERROR(VALUE($P273),0)-IFERROR(VALUE($H273),0),2)&gt;0,"Profit","Draw"))))))</x:f>
      </x:c>
      <x:c r="V273" s="956" t="str">
        <x:f>IF(COUNTA($A273:$M273)=0,"",IF(OR($B273="",$C273="",$U273="Subscription"),"",IFERROR(ROUNDUP(($C273-$B273)/7,0),"")))</x:f>
      </x:c>
      <x:c r="W273" s="114" t="str">
        <x:f>IF(COUNTA($A273:$M273)=0,"",IF(OR($U273="Subscription",$U273=""),"",IF(OR($U273="Free Game",$U273="Disqualified — Free Game"),0,ROUND(IFERROR($Q273,0)-IFERROR($S273,0),2))))</x:f>
      </x:c>
      <x:c r="X273" s="956" t="str">
        <x:f>IF(COUNTA($A273:$M273)=0,"",IF(OR($U273="Subscription",NOT(ISNUMBER($J273)),NOT(ISNUMBER($I273)),$J273=0,$I273=0,$I273&gt;$J273),"",$J273-$I273))</x:f>
      </x:c>
      <x:c r="Y273" s="955" t="str">
        <x:f>IF(COUNTA($A273:$M273)=0,"",IF(OR($U273="Subscription",NOT(ISNUMBER($J273)),$J273=0,$X273=""),"",$X273/$J273))</x:f>
      </x:c>
      <x:c r="Z273" s="957" t="str">
        <x:f>IF(COUNTA($A273:$M273)=0,"",Instructions!$B$29+SUM($W$5:W273))</x:f>
      </x:c>
    </x:row>
    <x:row r="274" ht="36" customHeight="1">
      <x:c r="A274" s="439"/>
      <x:c r="B274" s="453"/>
      <x:c r="C274" s="453"/>
      <x:c r="D274" s="454"/>
      <x:c r="E274" s="454"/>
      <x:c r="F274" s="454"/>
      <x:c r="G274" s="986"/>
      <x:c r="H274" s="455"/>
      <x:c r="I274" s="456"/>
      <x:c r="J274" s="456"/>
      <x:c r="K274" s="986"/>
      <x:c r="L274" s="454"/>
      <x:c r="M274" s="439"/>
      <x:c r="N274" s="987" t="str">
        <x:f>IF(COUNTA($A274:$M274)=0,"",IF(OR(LEFT(LOWER(TRIM($F274&amp;"")),12)="subscription",LOWER(TRIM($F274&amp;""))="membership"),"",IF($G274="","",IF(ISNUMBER(SEARCH("non",LOWER($E274&amp;""))),$G274*0.85,$G274))))</x:f>
      </x:c>
      <x:c r="O274" s="987" t="str">
        <x:f>IF(COUNTA($A274:$M274)=0,"",IF(OR(LEFT(LOWER(TRIM($F274&amp;"")),12)="subscription",LOWER(TRIM($F274&amp;""))="membership"),"",IF(OR($N274="",$I274="",$I274=0),"",IFERROR($N274/$I274,""))))</x:f>
      </x:c>
      <x:c r="P274" s="987" t="str">
        <x:f>IF(COUNTA($A274:$M274)=0,"",IF(OR(LEFT(LOWER(TRIM($F274&amp;"")),12)="subscription",LOWER(TRIM($F274&amp;""))="membership"),"",IF(LOWER($L274&amp;"")="yes",0,IF(OR(AND($H274&lt;&gt;"",$H274=0),LEFT(LOWER(TRIM($F274&amp;"")),9)="free game",LOWER(TRIM($F274&amp;""))="free",LOWER(TRIM($F274&amp;""))="free entry"),IF(LOWER($D274&amp;"")="finalized",IF(ISNUMBER($K274),$K274,""),IF($O274&lt;&gt;"",$O274,"")),IF($K274&lt;&gt;"",$K274,IF($O274&lt;&gt;"",$O274,""))))))</x:f>
      </x:c>
      <x:c r="Q274" s="114" t="str">
        <x:f>IF(COUNTA($A274:$M274)=0,"",IF(OR($U274="Subscription",$U274=""),"",IF($U274="Profit",ROUND(IFERROR($P274,0)-IFERROR($H274,0),2),0)))</x:f>
      </x:c>
      <x:c r="R274" s="114" t="str">
        <x:f>IF(COUNTA($A274:$M274)=0,"",IF(OR($U274="Subscription",$U274=""),"",IF($U274="Draw",$H274,0)))</x:f>
      </x:c>
      <x:c r="S274" s="114" t="str">
        <x:f>IF(COUNTA($A274:$M274)=0,"",IF(OR($U274="Subscription",$U274=""),"",IF($U274="Disqualified",$H274,0)))</x:f>
      </x:c>
      <x:c r="T274" s="955" t="str">
        <x:f>IF(COUNTA($A274:$M274)=0,"",IF(OR($U274="Subscription",$U274=""),"",IF(OR($U274="Free Game",$U274="Disqualified — Free Game",$H274=0),"N/A",IF($U274="Profit",$Q274/$H274,IF($U274="Disqualified",-$S274/$H274,0)))))</x:f>
      </x:c>
      <x:c r="U274" s="920" t="str">
        <x:f>IF(COUNTA($A274:$M274)=0,"",IF(OR(LEFT(LOWER(TRIM($F274&amp;"")),12)="subscription",LOWER(TRIM($F274&amp;""))="membership"),"Subscription",IF(OR(AND($H274&lt;&gt;"",$H274=0),LEFT(LOWER(TRIM($F274&amp;"")),9)="free game",LOWER(TRIM($F274&amp;""))="free",LOWER(TRIM($F274&amp;""))="free entry"),IF(LOWER($L274&amp;"")="yes","Disqualified — Free Game","Free Game"),IF(LOWER($L274&amp;"")="yes","Disqualified",IF($P274="","",IF(ROUND(IFERROR(VALUE($P274),0)-IFERROR(VALUE($H274),0),2)&gt;0,"Profit","Draw"))))))</x:f>
      </x:c>
      <x:c r="V274" s="956" t="str">
        <x:f>IF(COUNTA($A274:$M274)=0,"",IF(OR($B274="",$C274="",$U274="Subscription"),"",IFERROR(ROUNDUP(($C274-$B274)/7,0),"")))</x:f>
      </x:c>
      <x:c r="W274" s="114" t="str">
        <x:f>IF(COUNTA($A274:$M274)=0,"",IF(OR($U274="Subscription",$U274=""),"",IF(OR($U274="Free Game",$U274="Disqualified — Free Game"),0,ROUND(IFERROR($Q274,0)-IFERROR($S274,0),2))))</x:f>
      </x:c>
      <x:c r="X274" s="956" t="str">
        <x:f>IF(COUNTA($A274:$M274)=0,"",IF(OR($U274="Subscription",NOT(ISNUMBER($J274)),NOT(ISNUMBER($I274)),$J274=0,$I274=0,$I274&gt;$J274),"",$J274-$I274))</x:f>
      </x:c>
      <x:c r="Y274" s="955" t="str">
        <x:f>IF(COUNTA($A274:$M274)=0,"",IF(OR($U274="Subscription",NOT(ISNUMBER($J274)),$J274=0,$X274=""),"",$X274/$J274))</x:f>
      </x:c>
      <x:c r="Z274" s="957" t="str">
        <x:f>IF(COUNTA($A274:$M274)=0,"",Instructions!$B$29+SUM($W$5:W274))</x:f>
      </x:c>
    </x:row>
    <x:row r="275" ht="36" customHeight="1">
      <x:c r="A275" s="439"/>
      <x:c r="B275" s="453"/>
      <x:c r="C275" s="453"/>
      <x:c r="D275" s="454"/>
      <x:c r="E275" s="454"/>
      <x:c r="F275" s="454"/>
      <x:c r="G275" s="986"/>
      <x:c r="H275" s="455"/>
      <x:c r="I275" s="456"/>
      <x:c r="J275" s="456"/>
      <x:c r="K275" s="986"/>
      <x:c r="L275" s="454"/>
      <x:c r="M275" s="439"/>
      <x:c r="N275" s="987" t="str">
        <x:f>IF(COUNTA($A275:$M275)=0,"",IF(OR(LEFT(LOWER(TRIM($F275&amp;"")),12)="subscription",LOWER(TRIM($F275&amp;""))="membership"),"",IF($G275="","",IF(ISNUMBER(SEARCH("non",LOWER($E275&amp;""))),$G275*0.85,$G275))))</x:f>
      </x:c>
      <x:c r="O275" s="987" t="str">
        <x:f>IF(COUNTA($A275:$M275)=0,"",IF(OR(LEFT(LOWER(TRIM($F275&amp;"")),12)="subscription",LOWER(TRIM($F275&amp;""))="membership"),"",IF(OR($N275="",$I275="",$I275=0),"",IFERROR($N275/$I275,""))))</x:f>
      </x:c>
      <x:c r="P275" s="987" t="str">
        <x:f>IF(COUNTA($A275:$M275)=0,"",IF(OR(LEFT(LOWER(TRIM($F275&amp;"")),12)="subscription",LOWER(TRIM($F275&amp;""))="membership"),"",IF(LOWER($L275&amp;"")="yes",0,IF(OR(AND($H275&lt;&gt;"",$H275=0),LEFT(LOWER(TRIM($F275&amp;"")),9)="free game",LOWER(TRIM($F275&amp;""))="free",LOWER(TRIM($F275&amp;""))="free entry"),IF(LOWER($D275&amp;"")="finalized",IF(ISNUMBER($K275),$K275,""),IF($O275&lt;&gt;"",$O275,"")),IF($K275&lt;&gt;"",$K275,IF($O275&lt;&gt;"",$O275,""))))))</x:f>
      </x:c>
      <x:c r="Q275" s="114" t="str">
        <x:f>IF(COUNTA($A275:$M275)=0,"",IF(OR($U275="Subscription",$U275=""),"",IF($U275="Profit",ROUND(IFERROR($P275,0)-IFERROR($H275,0),2),0)))</x:f>
      </x:c>
      <x:c r="R275" s="114" t="str">
        <x:f>IF(COUNTA($A275:$M275)=0,"",IF(OR($U275="Subscription",$U275=""),"",IF($U275="Draw",$H275,0)))</x:f>
      </x:c>
      <x:c r="S275" s="114" t="str">
        <x:f>IF(COUNTA($A275:$M275)=0,"",IF(OR($U275="Subscription",$U275=""),"",IF($U275="Disqualified",$H275,0)))</x:f>
      </x:c>
      <x:c r="T275" s="955" t="str">
        <x:f>IF(COUNTA($A275:$M275)=0,"",IF(OR($U275="Subscription",$U275=""),"",IF(OR($U275="Free Game",$U275="Disqualified — Free Game",$H275=0),"N/A",IF($U275="Profit",$Q275/$H275,IF($U275="Disqualified",-$S275/$H275,0)))))</x:f>
      </x:c>
      <x:c r="U275" s="920" t="str">
        <x:f>IF(COUNTA($A275:$M275)=0,"",IF(OR(LEFT(LOWER(TRIM($F275&amp;"")),12)="subscription",LOWER(TRIM($F275&amp;""))="membership"),"Subscription",IF(OR(AND($H275&lt;&gt;"",$H275=0),LEFT(LOWER(TRIM($F275&amp;"")),9)="free game",LOWER(TRIM($F275&amp;""))="free",LOWER(TRIM($F275&amp;""))="free entry"),IF(LOWER($L275&amp;"")="yes","Disqualified — Free Game","Free Game"),IF(LOWER($L275&amp;"")="yes","Disqualified",IF($P275="","",IF(ROUND(IFERROR(VALUE($P275),0)-IFERROR(VALUE($H275),0),2)&gt;0,"Profit","Draw"))))))</x:f>
      </x:c>
      <x:c r="V275" s="956" t="str">
        <x:f>IF(COUNTA($A275:$M275)=0,"",IF(OR($B275="",$C275="",$U275="Subscription"),"",IFERROR(ROUNDUP(($C275-$B275)/7,0),"")))</x:f>
      </x:c>
      <x:c r="W275" s="114" t="str">
        <x:f>IF(COUNTA($A275:$M275)=0,"",IF(OR($U275="Subscription",$U275=""),"",IF(OR($U275="Free Game",$U275="Disqualified — Free Game"),0,ROUND(IFERROR($Q275,0)-IFERROR($S275,0),2))))</x:f>
      </x:c>
      <x:c r="X275" s="956" t="str">
        <x:f>IF(COUNTA($A275:$M275)=0,"",IF(OR($U275="Subscription",NOT(ISNUMBER($J275)),NOT(ISNUMBER($I275)),$J275=0,$I275=0,$I275&gt;$J275),"",$J275-$I275))</x:f>
      </x:c>
      <x:c r="Y275" s="955" t="str">
        <x:f>IF(COUNTA($A275:$M275)=0,"",IF(OR($U275="Subscription",NOT(ISNUMBER($J275)),$J275=0,$X275=""),"",$X275/$J275))</x:f>
      </x:c>
      <x:c r="Z275" s="957" t="str">
        <x:f>IF(COUNTA($A275:$M275)=0,"",Instructions!$B$29+SUM($W$5:W275))</x:f>
      </x:c>
    </x:row>
    <x:row r="276" ht="36" customHeight="1">
      <x:c r="A276" s="439"/>
      <x:c r="B276" s="453"/>
      <x:c r="C276" s="453"/>
      <x:c r="D276" s="454"/>
      <x:c r="E276" s="454"/>
      <x:c r="F276" s="454"/>
      <x:c r="G276" s="986"/>
      <x:c r="H276" s="455"/>
      <x:c r="I276" s="456"/>
      <x:c r="J276" s="456"/>
      <x:c r="K276" s="986"/>
      <x:c r="L276" s="454"/>
      <x:c r="M276" s="439"/>
      <x:c r="N276" s="987" t="str">
        <x:f>IF(COUNTA($A276:$M276)=0,"",IF(OR(LEFT(LOWER(TRIM($F276&amp;"")),12)="subscription",LOWER(TRIM($F276&amp;""))="membership"),"",IF($G276="","",IF(ISNUMBER(SEARCH("non",LOWER($E276&amp;""))),$G276*0.85,$G276))))</x:f>
      </x:c>
      <x:c r="O276" s="987" t="str">
        <x:f>IF(COUNTA($A276:$M276)=0,"",IF(OR(LEFT(LOWER(TRIM($F276&amp;"")),12)="subscription",LOWER(TRIM($F276&amp;""))="membership"),"",IF(OR($N276="",$I276="",$I276=0),"",IFERROR($N276/$I276,""))))</x:f>
      </x:c>
      <x:c r="P276" s="987" t="str">
        <x:f>IF(COUNTA($A276:$M276)=0,"",IF(OR(LEFT(LOWER(TRIM($F276&amp;"")),12)="subscription",LOWER(TRIM($F276&amp;""))="membership"),"",IF(LOWER($L276&amp;"")="yes",0,IF(OR(AND($H276&lt;&gt;"",$H276=0),LEFT(LOWER(TRIM($F276&amp;"")),9)="free game",LOWER(TRIM($F276&amp;""))="free",LOWER(TRIM($F276&amp;""))="free entry"),IF(LOWER($D276&amp;"")="finalized",IF(ISNUMBER($K276),$K276,""),IF($O276&lt;&gt;"",$O276,"")),IF($K276&lt;&gt;"",$K276,IF($O276&lt;&gt;"",$O276,""))))))</x:f>
      </x:c>
      <x:c r="Q276" s="114" t="str">
        <x:f>IF(COUNTA($A276:$M276)=0,"",IF(OR($U276="Subscription",$U276=""),"",IF($U276="Profit",ROUND(IFERROR($P276,0)-IFERROR($H276,0),2),0)))</x:f>
      </x:c>
      <x:c r="R276" s="114" t="str">
        <x:f>IF(COUNTA($A276:$M276)=0,"",IF(OR($U276="Subscription",$U276=""),"",IF($U276="Draw",$H276,0)))</x:f>
      </x:c>
      <x:c r="S276" s="114" t="str">
        <x:f>IF(COUNTA($A276:$M276)=0,"",IF(OR($U276="Subscription",$U276=""),"",IF($U276="Disqualified",$H276,0)))</x:f>
      </x:c>
      <x:c r="T276" s="955" t="str">
        <x:f>IF(COUNTA($A276:$M276)=0,"",IF(OR($U276="Subscription",$U276=""),"",IF(OR($U276="Free Game",$U276="Disqualified — Free Game",$H276=0),"N/A",IF($U276="Profit",$Q276/$H276,IF($U276="Disqualified",-$S276/$H276,0)))))</x:f>
      </x:c>
      <x:c r="U276" s="920" t="str">
        <x:f>IF(COUNTA($A276:$M276)=0,"",IF(OR(LEFT(LOWER(TRIM($F276&amp;"")),12)="subscription",LOWER(TRIM($F276&amp;""))="membership"),"Subscription",IF(OR(AND($H276&lt;&gt;"",$H276=0),LEFT(LOWER(TRIM($F276&amp;"")),9)="free game",LOWER(TRIM($F276&amp;""))="free",LOWER(TRIM($F276&amp;""))="free entry"),IF(LOWER($L276&amp;"")="yes","Disqualified — Free Game","Free Game"),IF(LOWER($L276&amp;"")="yes","Disqualified",IF($P276="","",IF(ROUND(IFERROR(VALUE($P276),0)-IFERROR(VALUE($H276),0),2)&gt;0,"Profit","Draw"))))))</x:f>
      </x:c>
      <x:c r="V276" s="956" t="str">
        <x:f>IF(COUNTA($A276:$M276)=0,"",IF(OR($B276="",$C276="",$U276="Subscription"),"",IFERROR(ROUNDUP(($C276-$B276)/7,0),"")))</x:f>
      </x:c>
      <x:c r="W276" s="114" t="str">
        <x:f>IF(COUNTA($A276:$M276)=0,"",IF(OR($U276="Subscription",$U276=""),"",IF(OR($U276="Free Game",$U276="Disqualified — Free Game"),0,ROUND(IFERROR($Q276,0)-IFERROR($S276,0),2))))</x:f>
      </x:c>
      <x:c r="X276" s="956" t="str">
        <x:f>IF(COUNTA($A276:$M276)=0,"",IF(OR($U276="Subscription",NOT(ISNUMBER($J276)),NOT(ISNUMBER($I276)),$J276=0,$I276=0,$I276&gt;$J276),"",$J276-$I276))</x:f>
      </x:c>
      <x:c r="Y276" s="955" t="str">
        <x:f>IF(COUNTA($A276:$M276)=0,"",IF(OR($U276="Subscription",NOT(ISNUMBER($J276)),$J276=0,$X276=""),"",$X276/$J276))</x:f>
      </x:c>
      <x:c r="Z276" s="957" t="str">
        <x:f>IF(COUNTA($A276:$M276)=0,"",Instructions!$B$29+SUM($W$5:W276))</x:f>
      </x:c>
    </x:row>
    <x:row r="277" ht="36" customHeight="1">
      <x:c r="A277" s="439"/>
      <x:c r="B277" s="453"/>
      <x:c r="C277" s="453"/>
      <x:c r="D277" s="454"/>
      <x:c r="E277" s="454"/>
      <x:c r="F277" s="454"/>
      <x:c r="G277" s="986"/>
      <x:c r="H277" s="455"/>
      <x:c r="I277" s="456"/>
      <x:c r="J277" s="456"/>
      <x:c r="K277" s="986"/>
      <x:c r="L277" s="454"/>
      <x:c r="M277" s="439"/>
      <x:c r="N277" s="987" t="str">
        <x:f>IF(COUNTA($A277:$M277)=0,"",IF(OR(LEFT(LOWER(TRIM($F277&amp;"")),12)="subscription",LOWER(TRIM($F277&amp;""))="membership"),"",IF($G277="","",IF(ISNUMBER(SEARCH("non",LOWER($E277&amp;""))),$G277*0.85,$G277))))</x:f>
      </x:c>
      <x:c r="O277" s="987" t="str">
        <x:f>IF(COUNTA($A277:$M277)=0,"",IF(OR(LEFT(LOWER(TRIM($F277&amp;"")),12)="subscription",LOWER(TRIM($F277&amp;""))="membership"),"",IF(OR($N277="",$I277="",$I277=0),"",IFERROR($N277/$I277,""))))</x:f>
      </x:c>
      <x:c r="P277" s="987" t="str">
        <x:f>IF(COUNTA($A277:$M277)=0,"",IF(OR(LEFT(LOWER(TRIM($F277&amp;"")),12)="subscription",LOWER(TRIM($F277&amp;""))="membership"),"",IF(LOWER($L277&amp;"")="yes",0,IF(OR(AND($H277&lt;&gt;"",$H277=0),LEFT(LOWER(TRIM($F277&amp;"")),9)="free game",LOWER(TRIM($F277&amp;""))="free",LOWER(TRIM($F277&amp;""))="free entry"),IF(LOWER($D277&amp;"")="finalized",IF(ISNUMBER($K277),$K277,""),IF($O277&lt;&gt;"",$O277,"")),IF($K277&lt;&gt;"",$K277,IF($O277&lt;&gt;"",$O277,""))))))</x:f>
      </x:c>
      <x:c r="Q277" s="114" t="str">
        <x:f>IF(COUNTA($A277:$M277)=0,"",IF(OR($U277="Subscription",$U277=""),"",IF($U277="Profit",ROUND(IFERROR($P277,0)-IFERROR($H277,0),2),0)))</x:f>
      </x:c>
      <x:c r="R277" s="114" t="str">
        <x:f>IF(COUNTA($A277:$M277)=0,"",IF(OR($U277="Subscription",$U277=""),"",IF($U277="Draw",$H277,0)))</x:f>
      </x:c>
      <x:c r="S277" s="114" t="str">
        <x:f>IF(COUNTA($A277:$M277)=0,"",IF(OR($U277="Subscription",$U277=""),"",IF($U277="Disqualified",$H277,0)))</x:f>
      </x:c>
      <x:c r="T277" s="955" t="str">
        <x:f>IF(COUNTA($A277:$M277)=0,"",IF(OR($U277="Subscription",$U277=""),"",IF(OR($U277="Free Game",$U277="Disqualified — Free Game",$H277=0),"N/A",IF($U277="Profit",$Q277/$H277,IF($U277="Disqualified",-$S277/$H277,0)))))</x:f>
      </x:c>
      <x:c r="U277" s="920" t="str">
        <x:f>IF(COUNTA($A277:$M277)=0,"",IF(OR(LEFT(LOWER(TRIM($F277&amp;"")),12)="subscription",LOWER(TRIM($F277&amp;""))="membership"),"Subscription",IF(OR(AND($H277&lt;&gt;"",$H277=0),LEFT(LOWER(TRIM($F277&amp;"")),9)="free game",LOWER(TRIM($F277&amp;""))="free",LOWER(TRIM($F277&amp;""))="free entry"),IF(LOWER($L277&amp;"")="yes","Disqualified — Free Game","Free Game"),IF(LOWER($L277&amp;"")="yes","Disqualified",IF($P277="","",IF(ROUND(IFERROR(VALUE($P277),0)-IFERROR(VALUE($H277),0),2)&gt;0,"Profit","Draw"))))))</x:f>
      </x:c>
      <x:c r="V277" s="956" t="str">
        <x:f>IF(COUNTA($A277:$M277)=0,"",IF(OR($B277="",$C277="",$U277="Subscription"),"",IFERROR(ROUNDUP(($C277-$B277)/7,0),"")))</x:f>
      </x:c>
      <x:c r="W277" s="114" t="str">
        <x:f>IF(COUNTA($A277:$M277)=0,"",IF(OR($U277="Subscription",$U277=""),"",IF(OR($U277="Free Game",$U277="Disqualified — Free Game"),0,ROUND(IFERROR($Q277,0)-IFERROR($S277,0),2))))</x:f>
      </x:c>
      <x:c r="X277" s="956" t="str">
        <x:f>IF(COUNTA($A277:$M277)=0,"",IF(OR($U277="Subscription",NOT(ISNUMBER($J277)),NOT(ISNUMBER($I277)),$J277=0,$I277=0,$I277&gt;$J277),"",$J277-$I277))</x:f>
      </x:c>
      <x:c r="Y277" s="955" t="str">
        <x:f>IF(COUNTA($A277:$M277)=0,"",IF(OR($U277="Subscription",NOT(ISNUMBER($J277)),$J277=0,$X277=""),"",$X277/$J277))</x:f>
      </x:c>
      <x:c r="Z277" s="957" t="str">
        <x:f>IF(COUNTA($A277:$M277)=0,"",Instructions!$B$29+SUM($W$5:W277))</x:f>
      </x:c>
    </x:row>
    <x:row r="278" ht="36" customHeight="1">
      <x:c r="A278" s="439"/>
      <x:c r="B278" s="453"/>
      <x:c r="C278" s="453"/>
      <x:c r="D278" s="454"/>
      <x:c r="E278" s="454"/>
      <x:c r="F278" s="454"/>
      <x:c r="G278" s="986"/>
      <x:c r="H278" s="455"/>
      <x:c r="I278" s="456"/>
      <x:c r="J278" s="456"/>
      <x:c r="K278" s="986"/>
      <x:c r="L278" s="454"/>
      <x:c r="M278" s="439"/>
      <x:c r="N278" s="987" t="str">
        <x:f>IF(COUNTA($A278:$M278)=0,"",IF(OR(LEFT(LOWER(TRIM($F278&amp;"")),12)="subscription",LOWER(TRIM($F278&amp;""))="membership"),"",IF($G278="","",IF(ISNUMBER(SEARCH("non",LOWER($E278&amp;""))),$G278*0.85,$G278))))</x:f>
      </x:c>
      <x:c r="O278" s="987" t="str">
        <x:f>IF(COUNTA($A278:$M278)=0,"",IF(OR(LEFT(LOWER(TRIM($F278&amp;"")),12)="subscription",LOWER(TRIM($F278&amp;""))="membership"),"",IF(OR($N278="",$I278="",$I278=0),"",IFERROR($N278/$I278,""))))</x:f>
      </x:c>
      <x:c r="P278" s="987" t="str">
        <x:f>IF(COUNTA($A278:$M278)=0,"",IF(OR(LEFT(LOWER(TRIM($F278&amp;"")),12)="subscription",LOWER(TRIM($F278&amp;""))="membership"),"",IF(LOWER($L278&amp;"")="yes",0,IF(OR(AND($H278&lt;&gt;"",$H278=0),LEFT(LOWER(TRIM($F278&amp;"")),9)="free game",LOWER(TRIM($F278&amp;""))="free",LOWER(TRIM($F278&amp;""))="free entry"),IF(LOWER($D278&amp;"")="finalized",IF(ISNUMBER($K278),$K278,""),IF($O278&lt;&gt;"",$O278,"")),IF($K278&lt;&gt;"",$K278,IF($O278&lt;&gt;"",$O278,""))))))</x:f>
      </x:c>
      <x:c r="Q278" s="114" t="str">
        <x:f>IF(COUNTA($A278:$M278)=0,"",IF(OR($U278="Subscription",$U278=""),"",IF($U278="Profit",ROUND(IFERROR($P278,0)-IFERROR($H278,0),2),0)))</x:f>
      </x:c>
      <x:c r="R278" s="114" t="str">
        <x:f>IF(COUNTA($A278:$M278)=0,"",IF(OR($U278="Subscription",$U278=""),"",IF($U278="Draw",$H278,0)))</x:f>
      </x:c>
      <x:c r="S278" s="114" t="str">
        <x:f>IF(COUNTA($A278:$M278)=0,"",IF(OR($U278="Subscription",$U278=""),"",IF($U278="Disqualified",$H278,0)))</x:f>
      </x:c>
      <x:c r="T278" s="955" t="str">
        <x:f>IF(COUNTA($A278:$M278)=0,"",IF(OR($U278="Subscription",$U278=""),"",IF(OR($U278="Free Game",$U278="Disqualified — Free Game",$H278=0),"N/A",IF($U278="Profit",$Q278/$H278,IF($U278="Disqualified",-$S278/$H278,0)))))</x:f>
      </x:c>
      <x:c r="U278" s="920" t="str">
        <x:f>IF(COUNTA($A278:$M278)=0,"",IF(OR(LEFT(LOWER(TRIM($F278&amp;"")),12)="subscription",LOWER(TRIM($F278&amp;""))="membership"),"Subscription",IF(OR(AND($H278&lt;&gt;"",$H278=0),LEFT(LOWER(TRIM($F278&amp;"")),9)="free game",LOWER(TRIM($F278&amp;""))="free",LOWER(TRIM($F278&amp;""))="free entry"),IF(LOWER($L278&amp;"")="yes","Disqualified — Free Game","Free Game"),IF(LOWER($L278&amp;"")="yes","Disqualified",IF($P278="","",IF(ROUND(IFERROR(VALUE($P278),0)-IFERROR(VALUE($H278),0),2)&gt;0,"Profit","Draw"))))))</x:f>
      </x:c>
      <x:c r="V278" s="956" t="str">
        <x:f>IF(COUNTA($A278:$M278)=0,"",IF(OR($B278="",$C278="",$U278="Subscription"),"",IFERROR(ROUNDUP(($C278-$B278)/7,0),"")))</x:f>
      </x:c>
      <x:c r="W278" s="114" t="str">
        <x:f>IF(COUNTA($A278:$M278)=0,"",IF(OR($U278="Subscription",$U278=""),"",IF(OR($U278="Free Game",$U278="Disqualified — Free Game"),0,ROUND(IFERROR($Q278,0)-IFERROR($S278,0),2))))</x:f>
      </x:c>
      <x:c r="X278" s="956" t="str">
        <x:f>IF(COUNTA($A278:$M278)=0,"",IF(OR($U278="Subscription",NOT(ISNUMBER($J278)),NOT(ISNUMBER($I278)),$J278=0,$I278=0,$I278&gt;$J278),"",$J278-$I278))</x:f>
      </x:c>
      <x:c r="Y278" s="955" t="str">
        <x:f>IF(COUNTA($A278:$M278)=0,"",IF(OR($U278="Subscription",NOT(ISNUMBER($J278)),$J278=0,$X278=""),"",$X278/$J278))</x:f>
      </x:c>
      <x:c r="Z278" s="957" t="str">
        <x:f>IF(COUNTA($A278:$M278)=0,"",Instructions!$B$29+SUM($W$5:W278))</x:f>
      </x:c>
    </x:row>
    <x:row r="279" ht="36" customHeight="1">
      <x:c r="A279" s="439"/>
      <x:c r="B279" s="453"/>
      <x:c r="C279" s="453"/>
      <x:c r="D279" s="454"/>
      <x:c r="E279" s="454"/>
      <x:c r="F279" s="454"/>
      <x:c r="G279" s="986"/>
      <x:c r="H279" s="455"/>
      <x:c r="I279" s="456"/>
      <x:c r="J279" s="456"/>
      <x:c r="K279" s="986"/>
      <x:c r="L279" s="454"/>
      <x:c r="M279" s="439"/>
      <x:c r="N279" s="987" t="str">
        <x:f>IF(COUNTA($A279:$M279)=0,"",IF(OR(LEFT(LOWER(TRIM($F279&amp;"")),12)="subscription",LOWER(TRIM($F279&amp;""))="membership"),"",IF($G279="","",IF(ISNUMBER(SEARCH("non",LOWER($E279&amp;""))),$G279*0.85,$G279))))</x:f>
      </x:c>
      <x:c r="O279" s="987" t="str">
        <x:f>IF(COUNTA($A279:$M279)=0,"",IF(OR(LEFT(LOWER(TRIM($F279&amp;"")),12)="subscription",LOWER(TRIM($F279&amp;""))="membership"),"",IF(OR($N279="",$I279="",$I279=0),"",IFERROR($N279/$I279,""))))</x:f>
      </x:c>
      <x:c r="P279" s="987" t="str">
        <x:f>IF(COUNTA($A279:$M279)=0,"",IF(OR(LEFT(LOWER(TRIM($F279&amp;"")),12)="subscription",LOWER(TRIM($F279&amp;""))="membership"),"",IF(LOWER($L279&amp;"")="yes",0,IF(OR(AND($H279&lt;&gt;"",$H279=0),LEFT(LOWER(TRIM($F279&amp;"")),9)="free game",LOWER(TRIM($F279&amp;""))="free",LOWER(TRIM($F279&amp;""))="free entry"),IF(LOWER($D279&amp;"")="finalized",IF(ISNUMBER($K279),$K279,""),IF($O279&lt;&gt;"",$O279,"")),IF($K279&lt;&gt;"",$K279,IF($O279&lt;&gt;"",$O279,""))))))</x:f>
      </x:c>
      <x:c r="Q279" s="114" t="str">
        <x:f>IF(COUNTA($A279:$M279)=0,"",IF(OR($U279="Subscription",$U279=""),"",IF($U279="Profit",ROUND(IFERROR($P279,0)-IFERROR($H279,0),2),0)))</x:f>
      </x:c>
      <x:c r="R279" s="114" t="str">
        <x:f>IF(COUNTA($A279:$M279)=0,"",IF(OR($U279="Subscription",$U279=""),"",IF($U279="Draw",$H279,0)))</x:f>
      </x:c>
      <x:c r="S279" s="114" t="str">
        <x:f>IF(COUNTA($A279:$M279)=0,"",IF(OR($U279="Subscription",$U279=""),"",IF($U279="Disqualified",$H279,0)))</x:f>
      </x:c>
      <x:c r="T279" s="955" t="str">
        <x:f>IF(COUNTA($A279:$M279)=0,"",IF(OR($U279="Subscription",$U279=""),"",IF(OR($U279="Free Game",$U279="Disqualified — Free Game",$H279=0),"N/A",IF($U279="Profit",$Q279/$H279,IF($U279="Disqualified",-$S279/$H279,0)))))</x:f>
      </x:c>
      <x:c r="U279" s="920" t="str">
        <x:f>IF(COUNTA($A279:$M279)=0,"",IF(OR(LEFT(LOWER(TRIM($F279&amp;"")),12)="subscription",LOWER(TRIM($F279&amp;""))="membership"),"Subscription",IF(OR(AND($H279&lt;&gt;"",$H279=0),LEFT(LOWER(TRIM($F279&amp;"")),9)="free game",LOWER(TRIM($F279&amp;""))="free",LOWER(TRIM($F279&amp;""))="free entry"),IF(LOWER($L279&amp;"")="yes","Disqualified — Free Game","Free Game"),IF(LOWER($L279&amp;"")="yes","Disqualified",IF($P279="","",IF(ROUND(IFERROR(VALUE($P279),0)-IFERROR(VALUE($H279),0),2)&gt;0,"Profit","Draw"))))))</x:f>
      </x:c>
      <x:c r="V279" s="956" t="str">
        <x:f>IF(COUNTA($A279:$M279)=0,"",IF(OR($B279="",$C279="",$U279="Subscription"),"",IFERROR(ROUNDUP(($C279-$B279)/7,0),"")))</x:f>
      </x:c>
      <x:c r="W279" s="114" t="str">
        <x:f>IF(COUNTA($A279:$M279)=0,"",IF(OR($U279="Subscription",$U279=""),"",IF(OR($U279="Free Game",$U279="Disqualified — Free Game"),0,ROUND(IFERROR($Q279,0)-IFERROR($S279,0),2))))</x:f>
      </x:c>
      <x:c r="X279" s="956" t="str">
        <x:f>IF(COUNTA($A279:$M279)=0,"",IF(OR($U279="Subscription",NOT(ISNUMBER($J279)),NOT(ISNUMBER($I279)),$J279=0,$I279=0,$I279&gt;$J279),"",$J279-$I279))</x:f>
      </x:c>
      <x:c r="Y279" s="955" t="str">
        <x:f>IF(COUNTA($A279:$M279)=0,"",IF(OR($U279="Subscription",NOT(ISNUMBER($J279)),$J279=0,$X279=""),"",$X279/$J279))</x:f>
      </x:c>
      <x:c r="Z279" s="957" t="str">
        <x:f>IF(COUNTA($A279:$M279)=0,"",Instructions!$B$29+SUM($W$5:W279))</x:f>
      </x:c>
    </x:row>
    <x:row r="280" ht="36" customHeight="1">
      <x:c r="A280" s="439"/>
      <x:c r="B280" s="453"/>
      <x:c r="C280" s="453"/>
      <x:c r="D280" s="454"/>
      <x:c r="E280" s="454"/>
      <x:c r="F280" s="454"/>
      <x:c r="G280" s="986"/>
      <x:c r="H280" s="455"/>
      <x:c r="I280" s="456"/>
      <x:c r="J280" s="456"/>
      <x:c r="K280" s="986"/>
      <x:c r="L280" s="454"/>
      <x:c r="M280" s="439"/>
      <x:c r="N280" s="987" t="str">
        <x:f>IF(COUNTA($A280:$M280)=0,"",IF(OR(LEFT(LOWER(TRIM($F280&amp;"")),12)="subscription",LOWER(TRIM($F280&amp;""))="membership"),"",IF($G280="","",IF(ISNUMBER(SEARCH("non",LOWER($E280&amp;""))),$G280*0.85,$G280))))</x:f>
      </x:c>
      <x:c r="O280" s="987" t="str">
        <x:f>IF(COUNTA($A280:$M280)=0,"",IF(OR(LEFT(LOWER(TRIM($F280&amp;"")),12)="subscription",LOWER(TRIM($F280&amp;""))="membership"),"",IF(OR($N280="",$I280="",$I280=0),"",IFERROR($N280/$I280,""))))</x:f>
      </x:c>
      <x:c r="P280" s="987" t="str">
        <x:f>IF(COUNTA($A280:$M280)=0,"",IF(OR(LEFT(LOWER(TRIM($F280&amp;"")),12)="subscription",LOWER(TRIM($F280&amp;""))="membership"),"",IF(LOWER($L280&amp;"")="yes",0,IF(OR(AND($H280&lt;&gt;"",$H280=0),LEFT(LOWER(TRIM($F280&amp;"")),9)="free game",LOWER(TRIM($F280&amp;""))="free",LOWER(TRIM($F280&amp;""))="free entry"),IF(LOWER($D280&amp;"")="finalized",IF(ISNUMBER($K280),$K280,""),IF($O280&lt;&gt;"",$O280,"")),IF($K280&lt;&gt;"",$K280,IF($O280&lt;&gt;"",$O280,""))))))</x:f>
      </x:c>
      <x:c r="Q280" s="114" t="str">
        <x:f>IF(COUNTA($A280:$M280)=0,"",IF(OR($U280="Subscription",$U280=""),"",IF($U280="Profit",ROUND(IFERROR($P280,0)-IFERROR($H280,0),2),0)))</x:f>
      </x:c>
      <x:c r="R280" s="114" t="str">
        <x:f>IF(COUNTA($A280:$M280)=0,"",IF(OR($U280="Subscription",$U280=""),"",IF($U280="Draw",$H280,0)))</x:f>
      </x:c>
      <x:c r="S280" s="114" t="str">
        <x:f>IF(COUNTA($A280:$M280)=0,"",IF(OR($U280="Subscription",$U280=""),"",IF($U280="Disqualified",$H280,0)))</x:f>
      </x:c>
      <x:c r="T280" s="955" t="str">
        <x:f>IF(COUNTA($A280:$M280)=0,"",IF(OR($U280="Subscription",$U280=""),"",IF(OR($U280="Free Game",$U280="Disqualified — Free Game",$H280=0),"N/A",IF($U280="Profit",$Q280/$H280,IF($U280="Disqualified",-$S280/$H280,0)))))</x:f>
      </x:c>
      <x:c r="U280" s="920" t="str">
        <x:f>IF(COUNTA($A280:$M280)=0,"",IF(OR(LEFT(LOWER(TRIM($F280&amp;"")),12)="subscription",LOWER(TRIM($F280&amp;""))="membership"),"Subscription",IF(OR(AND($H280&lt;&gt;"",$H280=0),LEFT(LOWER(TRIM($F280&amp;"")),9)="free game",LOWER(TRIM($F280&amp;""))="free",LOWER(TRIM($F280&amp;""))="free entry"),IF(LOWER($L280&amp;"")="yes","Disqualified — Free Game","Free Game"),IF(LOWER($L280&amp;"")="yes","Disqualified",IF($P280="","",IF(ROUND(IFERROR(VALUE($P280),0)-IFERROR(VALUE($H280),0),2)&gt;0,"Profit","Draw"))))))</x:f>
      </x:c>
      <x:c r="V280" s="956" t="str">
        <x:f>IF(COUNTA($A280:$M280)=0,"",IF(OR($B280="",$C280="",$U280="Subscription"),"",IFERROR(ROUNDUP(($C280-$B280)/7,0),"")))</x:f>
      </x:c>
      <x:c r="W280" s="114" t="str">
        <x:f>IF(COUNTA($A280:$M280)=0,"",IF(OR($U280="Subscription",$U280=""),"",IF(OR($U280="Free Game",$U280="Disqualified — Free Game"),0,ROUND(IFERROR($Q280,0)-IFERROR($S280,0),2))))</x:f>
      </x:c>
      <x:c r="X280" s="956" t="str">
        <x:f>IF(COUNTA($A280:$M280)=0,"",IF(OR($U280="Subscription",NOT(ISNUMBER($J280)),NOT(ISNUMBER($I280)),$J280=0,$I280=0,$I280&gt;$J280),"",$J280-$I280))</x:f>
      </x:c>
      <x:c r="Y280" s="955" t="str">
        <x:f>IF(COUNTA($A280:$M280)=0,"",IF(OR($U280="Subscription",NOT(ISNUMBER($J280)),$J280=0,$X280=""),"",$X280/$J280))</x:f>
      </x:c>
      <x:c r="Z280" s="957" t="str">
        <x:f>IF(COUNTA($A280:$M280)=0,"",Instructions!$B$29+SUM($W$5:W280))</x:f>
      </x:c>
    </x:row>
    <x:row r="281" ht="36" customHeight="1">
      <x:c r="A281" s="439"/>
      <x:c r="B281" s="453"/>
      <x:c r="C281" s="453"/>
      <x:c r="D281" s="454"/>
      <x:c r="E281" s="454"/>
      <x:c r="F281" s="454"/>
      <x:c r="G281" s="986"/>
      <x:c r="H281" s="455"/>
      <x:c r="I281" s="456"/>
      <x:c r="J281" s="456"/>
      <x:c r="K281" s="986"/>
      <x:c r="L281" s="454"/>
      <x:c r="M281" s="439"/>
      <x:c r="N281" s="987" t="str">
        <x:f>IF(COUNTA($A281:$M281)=0,"",IF(OR(LEFT(LOWER(TRIM($F281&amp;"")),12)="subscription",LOWER(TRIM($F281&amp;""))="membership"),"",IF($G281="","",IF(ISNUMBER(SEARCH("non",LOWER($E281&amp;""))),$G281*0.85,$G281))))</x:f>
      </x:c>
      <x:c r="O281" s="987" t="str">
        <x:f>IF(COUNTA($A281:$M281)=0,"",IF(OR(LEFT(LOWER(TRIM($F281&amp;"")),12)="subscription",LOWER(TRIM($F281&amp;""))="membership"),"",IF(OR($N281="",$I281="",$I281=0),"",IFERROR($N281/$I281,""))))</x:f>
      </x:c>
      <x:c r="P281" s="987" t="str">
        <x:f>IF(COUNTA($A281:$M281)=0,"",IF(OR(LEFT(LOWER(TRIM($F281&amp;"")),12)="subscription",LOWER(TRIM($F281&amp;""))="membership"),"",IF(LOWER($L281&amp;"")="yes",0,IF(OR(AND($H281&lt;&gt;"",$H281=0),LEFT(LOWER(TRIM($F281&amp;"")),9)="free game",LOWER(TRIM($F281&amp;""))="free",LOWER(TRIM($F281&amp;""))="free entry"),IF(LOWER($D281&amp;"")="finalized",IF(ISNUMBER($K281),$K281,""),IF($O281&lt;&gt;"",$O281,"")),IF($K281&lt;&gt;"",$K281,IF($O281&lt;&gt;"",$O281,""))))))</x:f>
      </x:c>
      <x:c r="Q281" s="114" t="str">
        <x:f>IF(COUNTA($A281:$M281)=0,"",IF(OR($U281="Subscription",$U281=""),"",IF($U281="Profit",ROUND(IFERROR($P281,0)-IFERROR($H281,0),2),0)))</x:f>
      </x:c>
      <x:c r="R281" s="114" t="str">
        <x:f>IF(COUNTA($A281:$M281)=0,"",IF(OR($U281="Subscription",$U281=""),"",IF($U281="Draw",$H281,0)))</x:f>
      </x:c>
      <x:c r="S281" s="114" t="str">
        <x:f>IF(COUNTA($A281:$M281)=0,"",IF(OR($U281="Subscription",$U281=""),"",IF($U281="Disqualified",$H281,0)))</x:f>
      </x:c>
      <x:c r="T281" s="955" t="str">
        <x:f>IF(COUNTA($A281:$M281)=0,"",IF(OR($U281="Subscription",$U281=""),"",IF(OR($U281="Free Game",$U281="Disqualified — Free Game",$H281=0),"N/A",IF($U281="Profit",$Q281/$H281,IF($U281="Disqualified",-$S281/$H281,0)))))</x:f>
      </x:c>
      <x:c r="U281" s="920" t="str">
        <x:f>IF(COUNTA($A281:$M281)=0,"",IF(OR(LEFT(LOWER(TRIM($F281&amp;"")),12)="subscription",LOWER(TRIM($F281&amp;""))="membership"),"Subscription",IF(OR(AND($H281&lt;&gt;"",$H281=0),LEFT(LOWER(TRIM($F281&amp;"")),9)="free game",LOWER(TRIM($F281&amp;""))="free",LOWER(TRIM($F281&amp;""))="free entry"),IF(LOWER($L281&amp;"")="yes","Disqualified — Free Game","Free Game"),IF(LOWER($L281&amp;"")="yes","Disqualified",IF($P281="","",IF(ROUND(IFERROR(VALUE($P281),0)-IFERROR(VALUE($H281),0),2)&gt;0,"Profit","Draw"))))))</x:f>
      </x:c>
      <x:c r="V281" s="956" t="str">
        <x:f>IF(COUNTA($A281:$M281)=0,"",IF(OR($B281="",$C281="",$U281="Subscription"),"",IFERROR(ROUNDUP(($C281-$B281)/7,0),"")))</x:f>
      </x:c>
      <x:c r="W281" s="114" t="str">
        <x:f>IF(COUNTA($A281:$M281)=0,"",IF(OR($U281="Subscription",$U281=""),"",IF(OR($U281="Free Game",$U281="Disqualified — Free Game"),0,ROUND(IFERROR($Q281,0)-IFERROR($S281,0),2))))</x:f>
      </x:c>
      <x:c r="X281" s="956" t="str">
        <x:f>IF(COUNTA($A281:$M281)=0,"",IF(OR($U281="Subscription",NOT(ISNUMBER($J281)),NOT(ISNUMBER($I281)),$J281=0,$I281=0,$I281&gt;$J281),"",$J281-$I281))</x:f>
      </x:c>
      <x:c r="Y281" s="955" t="str">
        <x:f>IF(COUNTA($A281:$M281)=0,"",IF(OR($U281="Subscription",NOT(ISNUMBER($J281)),$J281=0,$X281=""),"",$X281/$J281))</x:f>
      </x:c>
      <x:c r="Z281" s="957" t="str">
        <x:f>IF(COUNTA($A281:$M281)=0,"",Instructions!$B$29+SUM($W$5:W281))</x:f>
      </x:c>
    </x:row>
    <x:row r="282" ht="36" customHeight="1">
      <x:c r="A282" s="439"/>
      <x:c r="B282" s="453"/>
      <x:c r="C282" s="453"/>
      <x:c r="D282" s="454"/>
      <x:c r="E282" s="454"/>
      <x:c r="F282" s="454"/>
      <x:c r="G282" s="986"/>
      <x:c r="H282" s="455"/>
      <x:c r="I282" s="456"/>
      <x:c r="J282" s="456"/>
      <x:c r="K282" s="986"/>
      <x:c r="L282" s="454"/>
      <x:c r="M282" s="439"/>
      <x:c r="N282" s="987" t="str">
        <x:f>IF(COUNTA($A282:$M282)=0,"",IF(OR(LEFT(LOWER(TRIM($F282&amp;"")),12)="subscription",LOWER(TRIM($F282&amp;""))="membership"),"",IF($G282="","",IF(ISNUMBER(SEARCH("non",LOWER($E282&amp;""))),$G282*0.85,$G282))))</x:f>
      </x:c>
      <x:c r="O282" s="987" t="str">
        <x:f>IF(COUNTA($A282:$M282)=0,"",IF(OR(LEFT(LOWER(TRIM($F282&amp;"")),12)="subscription",LOWER(TRIM($F282&amp;""))="membership"),"",IF(OR($N282="",$I282="",$I282=0),"",IFERROR($N282/$I282,""))))</x:f>
      </x:c>
      <x:c r="P282" s="987" t="str">
        <x:f>IF(COUNTA($A282:$M282)=0,"",IF(OR(LEFT(LOWER(TRIM($F282&amp;"")),12)="subscription",LOWER(TRIM($F282&amp;""))="membership"),"",IF(LOWER($L282&amp;"")="yes",0,IF(OR(AND($H282&lt;&gt;"",$H282=0),LEFT(LOWER(TRIM($F282&amp;"")),9)="free game",LOWER(TRIM($F282&amp;""))="free",LOWER(TRIM($F282&amp;""))="free entry"),IF(LOWER($D282&amp;"")="finalized",IF(ISNUMBER($K282),$K282,""),IF($O282&lt;&gt;"",$O282,"")),IF($K282&lt;&gt;"",$K282,IF($O282&lt;&gt;"",$O282,""))))))</x:f>
      </x:c>
      <x:c r="Q282" s="114" t="str">
        <x:f>IF(COUNTA($A282:$M282)=0,"",IF(OR($U282="Subscription",$U282=""),"",IF($U282="Profit",ROUND(IFERROR($P282,0)-IFERROR($H282,0),2),0)))</x:f>
      </x:c>
      <x:c r="R282" s="114" t="str">
        <x:f>IF(COUNTA($A282:$M282)=0,"",IF(OR($U282="Subscription",$U282=""),"",IF($U282="Draw",$H282,0)))</x:f>
      </x:c>
      <x:c r="S282" s="114" t="str">
        <x:f>IF(COUNTA($A282:$M282)=0,"",IF(OR($U282="Subscription",$U282=""),"",IF($U282="Disqualified",$H282,0)))</x:f>
      </x:c>
      <x:c r="T282" s="955" t="str">
        <x:f>IF(COUNTA($A282:$M282)=0,"",IF(OR($U282="Subscription",$U282=""),"",IF(OR($U282="Free Game",$U282="Disqualified — Free Game",$H282=0),"N/A",IF($U282="Profit",$Q282/$H282,IF($U282="Disqualified",-$S282/$H282,0)))))</x:f>
      </x:c>
      <x:c r="U282" s="920" t="str">
        <x:f>IF(COUNTA($A282:$M282)=0,"",IF(OR(LEFT(LOWER(TRIM($F282&amp;"")),12)="subscription",LOWER(TRIM($F282&amp;""))="membership"),"Subscription",IF(OR(AND($H282&lt;&gt;"",$H282=0),LEFT(LOWER(TRIM($F282&amp;"")),9)="free game",LOWER(TRIM($F282&amp;""))="free",LOWER(TRIM($F282&amp;""))="free entry"),IF(LOWER($L282&amp;"")="yes","Disqualified — Free Game","Free Game"),IF(LOWER($L282&amp;"")="yes","Disqualified",IF($P282="","",IF(ROUND(IFERROR(VALUE($P282),0)-IFERROR(VALUE($H282),0),2)&gt;0,"Profit","Draw"))))))</x:f>
      </x:c>
      <x:c r="V282" s="956" t="str">
        <x:f>IF(COUNTA($A282:$M282)=0,"",IF(OR($B282="",$C282="",$U282="Subscription"),"",IFERROR(ROUNDUP(($C282-$B282)/7,0),"")))</x:f>
      </x:c>
      <x:c r="W282" s="114" t="str">
        <x:f>IF(COUNTA($A282:$M282)=0,"",IF(OR($U282="Subscription",$U282=""),"",IF(OR($U282="Free Game",$U282="Disqualified — Free Game"),0,ROUND(IFERROR($Q282,0)-IFERROR($S282,0),2))))</x:f>
      </x:c>
      <x:c r="X282" s="956" t="str">
        <x:f>IF(COUNTA($A282:$M282)=0,"",IF(OR($U282="Subscription",NOT(ISNUMBER($J282)),NOT(ISNUMBER($I282)),$J282=0,$I282=0,$I282&gt;$J282),"",$J282-$I282))</x:f>
      </x:c>
      <x:c r="Y282" s="955" t="str">
        <x:f>IF(COUNTA($A282:$M282)=0,"",IF(OR($U282="Subscription",NOT(ISNUMBER($J282)),$J282=0,$X282=""),"",$X282/$J282))</x:f>
      </x:c>
      <x:c r="Z282" s="957" t="str">
        <x:f>IF(COUNTA($A282:$M282)=0,"",Instructions!$B$29+SUM($W$5:W282))</x:f>
      </x:c>
    </x:row>
    <x:row r="283" ht="36" customHeight="1">
      <x:c r="A283" s="439"/>
      <x:c r="B283" s="453"/>
      <x:c r="C283" s="453"/>
      <x:c r="D283" s="454"/>
      <x:c r="E283" s="454"/>
      <x:c r="F283" s="454"/>
      <x:c r="G283" s="986"/>
      <x:c r="H283" s="455"/>
      <x:c r="I283" s="456"/>
      <x:c r="J283" s="456"/>
      <x:c r="K283" s="986"/>
      <x:c r="L283" s="454"/>
      <x:c r="M283" s="439"/>
      <x:c r="N283" s="987" t="str">
        <x:f>IF(COUNTA($A283:$M283)=0,"",IF(OR(LEFT(LOWER(TRIM($F283&amp;"")),12)="subscription",LOWER(TRIM($F283&amp;""))="membership"),"",IF($G283="","",IF(ISNUMBER(SEARCH("non",LOWER($E283&amp;""))),$G283*0.85,$G283))))</x:f>
      </x:c>
      <x:c r="O283" s="987" t="str">
        <x:f>IF(COUNTA($A283:$M283)=0,"",IF(OR(LEFT(LOWER(TRIM($F283&amp;"")),12)="subscription",LOWER(TRIM($F283&amp;""))="membership"),"",IF(OR($N283="",$I283="",$I283=0),"",IFERROR($N283/$I283,""))))</x:f>
      </x:c>
      <x:c r="P283" s="987" t="str">
        <x:f>IF(COUNTA($A283:$M283)=0,"",IF(OR(LEFT(LOWER(TRIM($F283&amp;"")),12)="subscription",LOWER(TRIM($F283&amp;""))="membership"),"",IF(LOWER($L283&amp;"")="yes",0,IF(OR(AND($H283&lt;&gt;"",$H283=0),LEFT(LOWER(TRIM($F283&amp;"")),9)="free game",LOWER(TRIM($F283&amp;""))="free",LOWER(TRIM($F283&amp;""))="free entry"),IF(LOWER($D283&amp;"")="finalized",IF(ISNUMBER($K283),$K283,""),IF($O283&lt;&gt;"",$O283,"")),IF($K283&lt;&gt;"",$K283,IF($O283&lt;&gt;"",$O283,""))))))</x:f>
      </x:c>
      <x:c r="Q283" s="114" t="str">
        <x:f>IF(COUNTA($A283:$M283)=0,"",IF(OR($U283="Subscription",$U283=""),"",IF($U283="Profit",ROUND(IFERROR($P283,0)-IFERROR($H283,0),2),0)))</x:f>
      </x:c>
      <x:c r="R283" s="114" t="str">
        <x:f>IF(COUNTA($A283:$M283)=0,"",IF(OR($U283="Subscription",$U283=""),"",IF($U283="Draw",$H283,0)))</x:f>
      </x:c>
      <x:c r="S283" s="114" t="str">
        <x:f>IF(COUNTA($A283:$M283)=0,"",IF(OR($U283="Subscription",$U283=""),"",IF($U283="Disqualified",$H283,0)))</x:f>
      </x:c>
      <x:c r="T283" s="955" t="str">
        <x:f>IF(COUNTA($A283:$M283)=0,"",IF(OR($U283="Subscription",$U283=""),"",IF(OR($U283="Free Game",$U283="Disqualified — Free Game",$H283=0),"N/A",IF($U283="Profit",$Q283/$H283,IF($U283="Disqualified",-$S283/$H283,0)))))</x:f>
      </x:c>
      <x:c r="U283" s="920" t="str">
        <x:f>IF(COUNTA($A283:$M283)=0,"",IF(OR(LEFT(LOWER(TRIM($F283&amp;"")),12)="subscription",LOWER(TRIM($F283&amp;""))="membership"),"Subscription",IF(OR(AND($H283&lt;&gt;"",$H283=0),LEFT(LOWER(TRIM($F283&amp;"")),9)="free game",LOWER(TRIM($F283&amp;""))="free",LOWER(TRIM($F283&amp;""))="free entry"),IF(LOWER($L283&amp;"")="yes","Disqualified — Free Game","Free Game"),IF(LOWER($L283&amp;"")="yes","Disqualified",IF($P283="","",IF(ROUND(IFERROR(VALUE($P283),0)-IFERROR(VALUE($H283),0),2)&gt;0,"Profit","Draw"))))))</x:f>
      </x:c>
      <x:c r="V283" s="956" t="str">
        <x:f>IF(COUNTA($A283:$M283)=0,"",IF(OR($B283="",$C283="",$U283="Subscription"),"",IFERROR(ROUNDUP(($C283-$B283)/7,0),"")))</x:f>
      </x:c>
      <x:c r="W283" s="114" t="str">
        <x:f>IF(COUNTA($A283:$M283)=0,"",IF(OR($U283="Subscription",$U283=""),"",IF(OR($U283="Free Game",$U283="Disqualified — Free Game"),0,ROUND(IFERROR($Q283,0)-IFERROR($S283,0),2))))</x:f>
      </x:c>
      <x:c r="X283" s="956" t="str">
        <x:f>IF(COUNTA($A283:$M283)=0,"",IF(OR($U283="Subscription",NOT(ISNUMBER($J283)),NOT(ISNUMBER($I283)),$J283=0,$I283=0,$I283&gt;$J283),"",$J283-$I283))</x:f>
      </x:c>
      <x:c r="Y283" s="955" t="str">
        <x:f>IF(COUNTA($A283:$M283)=0,"",IF(OR($U283="Subscription",NOT(ISNUMBER($J283)),$J283=0,$X283=""),"",$X283/$J283))</x:f>
      </x:c>
      <x:c r="Z283" s="957" t="str">
        <x:f>IF(COUNTA($A283:$M283)=0,"",Instructions!$B$29+SUM($W$5:W283))</x:f>
      </x:c>
    </x:row>
    <x:row r="284" ht="36" customHeight="1">
      <x:c r="A284" s="439"/>
      <x:c r="B284" s="453"/>
      <x:c r="C284" s="453"/>
      <x:c r="D284" s="454"/>
      <x:c r="E284" s="454"/>
      <x:c r="F284" s="454"/>
      <x:c r="G284" s="986"/>
      <x:c r="H284" s="455"/>
      <x:c r="I284" s="456"/>
      <x:c r="J284" s="456"/>
      <x:c r="K284" s="986"/>
      <x:c r="L284" s="454"/>
      <x:c r="M284" s="439"/>
      <x:c r="N284" s="987" t="str">
        <x:f>IF(COUNTA($A284:$M284)=0,"",IF(OR(LEFT(LOWER(TRIM($F284&amp;"")),12)="subscription",LOWER(TRIM($F284&amp;""))="membership"),"",IF($G284="","",IF(ISNUMBER(SEARCH("non",LOWER($E284&amp;""))),$G284*0.85,$G284))))</x:f>
      </x:c>
      <x:c r="O284" s="987" t="str">
        <x:f>IF(COUNTA($A284:$M284)=0,"",IF(OR(LEFT(LOWER(TRIM($F284&amp;"")),12)="subscription",LOWER(TRIM($F284&amp;""))="membership"),"",IF(OR($N284="",$I284="",$I284=0),"",IFERROR($N284/$I284,""))))</x:f>
      </x:c>
      <x:c r="P284" s="987" t="str">
        <x:f>IF(COUNTA($A284:$M284)=0,"",IF(OR(LEFT(LOWER(TRIM($F284&amp;"")),12)="subscription",LOWER(TRIM($F284&amp;""))="membership"),"",IF(LOWER($L284&amp;"")="yes",0,IF(OR(AND($H284&lt;&gt;"",$H284=0),LEFT(LOWER(TRIM($F284&amp;"")),9)="free game",LOWER(TRIM($F284&amp;""))="free",LOWER(TRIM($F284&amp;""))="free entry"),IF(LOWER($D284&amp;"")="finalized",IF(ISNUMBER($K284),$K284,""),IF($O284&lt;&gt;"",$O284,"")),IF($K284&lt;&gt;"",$K284,IF($O284&lt;&gt;"",$O284,""))))))</x:f>
      </x:c>
      <x:c r="Q284" s="114" t="str">
        <x:f>IF(COUNTA($A284:$M284)=0,"",IF(OR($U284="Subscription",$U284=""),"",IF($U284="Profit",ROUND(IFERROR($P284,0)-IFERROR($H284,0),2),0)))</x:f>
      </x:c>
      <x:c r="R284" s="114" t="str">
        <x:f>IF(COUNTA($A284:$M284)=0,"",IF(OR($U284="Subscription",$U284=""),"",IF($U284="Draw",$H284,0)))</x:f>
      </x:c>
      <x:c r="S284" s="114" t="str">
        <x:f>IF(COUNTA($A284:$M284)=0,"",IF(OR($U284="Subscription",$U284=""),"",IF($U284="Disqualified",$H284,0)))</x:f>
      </x:c>
      <x:c r="T284" s="955" t="str">
        <x:f>IF(COUNTA($A284:$M284)=0,"",IF(OR($U284="Subscription",$U284=""),"",IF(OR($U284="Free Game",$U284="Disqualified — Free Game",$H284=0),"N/A",IF($U284="Profit",$Q284/$H284,IF($U284="Disqualified",-$S284/$H284,0)))))</x:f>
      </x:c>
      <x:c r="U284" s="920" t="str">
        <x:f>IF(COUNTA($A284:$M284)=0,"",IF(OR(LEFT(LOWER(TRIM($F284&amp;"")),12)="subscription",LOWER(TRIM($F284&amp;""))="membership"),"Subscription",IF(OR(AND($H284&lt;&gt;"",$H284=0),LEFT(LOWER(TRIM($F284&amp;"")),9)="free game",LOWER(TRIM($F284&amp;""))="free",LOWER(TRIM($F284&amp;""))="free entry"),IF(LOWER($L284&amp;"")="yes","Disqualified — Free Game","Free Game"),IF(LOWER($L284&amp;"")="yes","Disqualified",IF($P284="","",IF(ROUND(IFERROR(VALUE($P284),0)-IFERROR(VALUE($H284),0),2)&gt;0,"Profit","Draw"))))))</x:f>
      </x:c>
      <x:c r="V284" s="956" t="str">
        <x:f>IF(COUNTA($A284:$M284)=0,"",IF(OR($B284="",$C284="",$U284="Subscription"),"",IFERROR(ROUNDUP(($C284-$B284)/7,0),"")))</x:f>
      </x:c>
      <x:c r="W284" s="114" t="str">
        <x:f>IF(COUNTA($A284:$M284)=0,"",IF(OR($U284="Subscription",$U284=""),"",IF(OR($U284="Free Game",$U284="Disqualified — Free Game"),0,ROUND(IFERROR($Q284,0)-IFERROR($S284,0),2))))</x:f>
      </x:c>
      <x:c r="X284" s="956" t="str">
        <x:f>IF(COUNTA($A284:$M284)=0,"",IF(OR($U284="Subscription",NOT(ISNUMBER($J284)),NOT(ISNUMBER($I284)),$J284=0,$I284=0,$I284&gt;$J284),"",$J284-$I284))</x:f>
      </x:c>
      <x:c r="Y284" s="955" t="str">
        <x:f>IF(COUNTA($A284:$M284)=0,"",IF(OR($U284="Subscription",NOT(ISNUMBER($J284)),$J284=0,$X284=""),"",$X284/$J284))</x:f>
      </x:c>
      <x:c r="Z284" s="957" t="str">
        <x:f>IF(COUNTA($A284:$M284)=0,"",Instructions!$B$29+SUM($W$5:W284))</x:f>
      </x:c>
    </x:row>
    <x:row r="285" ht="36" customHeight="1">
      <x:c r="A285" s="439"/>
      <x:c r="B285" s="453"/>
      <x:c r="C285" s="453"/>
      <x:c r="D285" s="454"/>
      <x:c r="E285" s="454"/>
      <x:c r="F285" s="454"/>
      <x:c r="G285" s="986"/>
      <x:c r="H285" s="455"/>
      <x:c r="I285" s="456"/>
      <x:c r="J285" s="456"/>
      <x:c r="K285" s="986"/>
      <x:c r="L285" s="454"/>
      <x:c r="M285" s="439"/>
      <x:c r="N285" s="987" t="str">
        <x:f>IF(COUNTA($A285:$M285)=0,"",IF(OR(LEFT(LOWER(TRIM($F285&amp;"")),12)="subscription",LOWER(TRIM($F285&amp;""))="membership"),"",IF($G285="","",IF(ISNUMBER(SEARCH("non",LOWER($E285&amp;""))),$G285*0.85,$G285))))</x:f>
      </x:c>
      <x:c r="O285" s="987" t="str">
        <x:f>IF(COUNTA($A285:$M285)=0,"",IF(OR(LEFT(LOWER(TRIM($F285&amp;"")),12)="subscription",LOWER(TRIM($F285&amp;""))="membership"),"",IF(OR($N285="",$I285="",$I285=0),"",IFERROR($N285/$I285,""))))</x:f>
      </x:c>
      <x:c r="P285" s="987" t="str">
        <x:f>IF(COUNTA($A285:$M285)=0,"",IF(OR(LEFT(LOWER(TRIM($F285&amp;"")),12)="subscription",LOWER(TRIM($F285&amp;""))="membership"),"",IF(LOWER($L285&amp;"")="yes",0,IF(OR(AND($H285&lt;&gt;"",$H285=0),LEFT(LOWER(TRIM($F285&amp;"")),9)="free game",LOWER(TRIM($F285&amp;""))="free",LOWER(TRIM($F285&amp;""))="free entry"),IF(LOWER($D285&amp;"")="finalized",IF(ISNUMBER($K285),$K285,""),IF($O285&lt;&gt;"",$O285,"")),IF($K285&lt;&gt;"",$K285,IF($O285&lt;&gt;"",$O285,""))))))</x:f>
      </x:c>
      <x:c r="Q285" s="114" t="str">
        <x:f>IF(COUNTA($A285:$M285)=0,"",IF(OR($U285="Subscription",$U285=""),"",IF($U285="Profit",ROUND(IFERROR($P285,0)-IFERROR($H285,0),2),0)))</x:f>
      </x:c>
      <x:c r="R285" s="114" t="str">
        <x:f>IF(COUNTA($A285:$M285)=0,"",IF(OR($U285="Subscription",$U285=""),"",IF($U285="Draw",$H285,0)))</x:f>
      </x:c>
      <x:c r="S285" s="114" t="str">
        <x:f>IF(COUNTA($A285:$M285)=0,"",IF(OR($U285="Subscription",$U285=""),"",IF($U285="Disqualified",$H285,0)))</x:f>
      </x:c>
      <x:c r="T285" s="955" t="str">
        <x:f>IF(COUNTA($A285:$M285)=0,"",IF(OR($U285="Subscription",$U285=""),"",IF(OR($U285="Free Game",$U285="Disqualified — Free Game",$H285=0),"N/A",IF($U285="Profit",$Q285/$H285,IF($U285="Disqualified",-$S285/$H285,0)))))</x:f>
      </x:c>
      <x:c r="U285" s="920" t="str">
        <x:f>IF(COUNTA($A285:$M285)=0,"",IF(OR(LEFT(LOWER(TRIM($F285&amp;"")),12)="subscription",LOWER(TRIM($F285&amp;""))="membership"),"Subscription",IF(OR(AND($H285&lt;&gt;"",$H285=0),LEFT(LOWER(TRIM($F285&amp;"")),9)="free game",LOWER(TRIM($F285&amp;""))="free",LOWER(TRIM($F285&amp;""))="free entry"),IF(LOWER($L285&amp;"")="yes","Disqualified — Free Game","Free Game"),IF(LOWER($L285&amp;"")="yes","Disqualified",IF($P285="","",IF(ROUND(IFERROR(VALUE($P285),0)-IFERROR(VALUE($H285),0),2)&gt;0,"Profit","Draw"))))))</x:f>
      </x:c>
      <x:c r="V285" s="956" t="str">
        <x:f>IF(COUNTA($A285:$M285)=0,"",IF(OR($B285="",$C285="",$U285="Subscription"),"",IFERROR(ROUNDUP(($C285-$B285)/7,0),"")))</x:f>
      </x:c>
      <x:c r="W285" s="114" t="str">
        <x:f>IF(COUNTA($A285:$M285)=0,"",IF(OR($U285="Subscription",$U285=""),"",IF(OR($U285="Free Game",$U285="Disqualified — Free Game"),0,ROUND(IFERROR($Q285,0)-IFERROR($S285,0),2))))</x:f>
      </x:c>
      <x:c r="X285" s="956" t="str">
        <x:f>IF(COUNTA($A285:$M285)=0,"",IF(OR($U285="Subscription",NOT(ISNUMBER($J285)),NOT(ISNUMBER($I285)),$J285=0,$I285=0,$I285&gt;$J285),"",$J285-$I285))</x:f>
      </x:c>
      <x:c r="Y285" s="955" t="str">
        <x:f>IF(COUNTA($A285:$M285)=0,"",IF(OR($U285="Subscription",NOT(ISNUMBER($J285)),$J285=0,$X285=""),"",$X285/$J285))</x:f>
      </x:c>
      <x:c r="Z285" s="957" t="str">
        <x:f>IF(COUNTA($A285:$M285)=0,"",Instructions!$B$29+SUM($W$5:W285))</x:f>
      </x:c>
    </x:row>
    <x:row r="286" ht="36" customHeight="1">
      <x:c r="A286" s="439"/>
      <x:c r="B286" s="453"/>
      <x:c r="C286" s="453"/>
      <x:c r="D286" s="454"/>
      <x:c r="E286" s="454"/>
      <x:c r="F286" s="454"/>
      <x:c r="G286" s="986"/>
      <x:c r="H286" s="455"/>
      <x:c r="I286" s="456"/>
      <x:c r="J286" s="456"/>
      <x:c r="K286" s="986"/>
      <x:c r="L286" s="454"/>
      <x:c r="M286" s="439"/>
      <x:c r="N286" s="987" t="str">
        <x:f>IF(COUNTA($A286:$M286)=0,"",IF(OR(LEFT(LOWER(TRIM($F286&amp;"")),12)="subscription",LOWER(TRIM($F286&amp;""))="membership"),"",IF($G286="","",IF(ISNUMBER(SEARCH("non",LOWER($E286&amp;""))),$G286*0.85,$G286))))</x:f>
      </x:c>
      <x:c r="O286" s="987" t="str">
        <x:f>IF(COUNTA($A286:$M286)=0,"",IF(OR(LEFT(LOWER(TRIM($F286&amp;"")),12)="subscription",LOWER(TRIM($F286&amp;""))="membership"),"",IF(OR($N286="",$I286="",$I286=0),"",IFERROR($N286/$I286,""))))</x:f>
      </x:c>
      <x:c r="P286" s="987" t="str">
        <x:f>IF(COUNTA($A286:$M286)=0,"",IF(OR(LEFT(LOWER(TRIM($F286&amp;"")),12)="subscription",LOWER(TRIM($F286&amp;""))="membership"),"",IF(LOWER($L286&amp;"")="yes",0,IF(OR(AND($H286&lt;&gt;"",$H286=0),LEFT(LOWER(TRIM($F286&amp;"")),9)="free game",LOWER(TRIM($F286&amp;""))="free",LOWER(TRIM($F286&amp;""))="free entry"),IF(LOWER($D286&amp;"")="finalized",IF(ISNUMBER($K286),$K286,""),IF($O286&lt;&gt;"",$O286,"")),IF($K286&lt;&gt;"",$K286,IF($O286&lt;&gt;"",$O286,""))))))</x:f>
      </x:c>
      <x:c r="Q286" s="114" t="str">
        <x:f>IF(COUNTA($A286:$M286)=0,"",IF(OR($U286="Subscription",$U286=""),"",IF($U286="Profit",ROUND(IFERROR($P286,0)-IFERROR($H286,0),2),0)))</x:f>
      </x:c>
      <x:c r="R286" s="114" t="str">
        <x:f>IF(COUNTA($A286:$M286)=0,"",IF(OR($U286="Subscription",$U286=""),"",IF($U286="Draw",$H286,0)))</x:f>
      </x:c>
      <x:c r="S286" s="114" t="str">
        <x:f>IF(COUNTA($A286:$M286)=0,"",IF(OR($U286="Subscription",$U286=""),"",IF($U286="Disqualified",$H286,0)))</x:f>
      </x:c>
      <x:c r="T286" s="955" t="str">
        <x:f>IF(COUNTA($A286:$M286)=0,"",IF(OR($U286="Subscription",$U286=""),"",IF(OR($U286="Free Game",$U286="Disqualified — Free Game",$H286=0),"N/A",IF($U286="Profit",$Q286/$H286,IF($U286="Disqualified",-$S286/$H286,0)))))</x:f>
      </x:c>
      <x:c r="U286" s="920" t="str">
        <x:f>IF(COUNTA($A286:$M286)=0,"",IF(OR(LEFT(LOWER(TRIM($F286&amp;"")),12)="subscription",LOWER(TRIM($F286&amp;""))="membership"),"Subscription",IF(OR(AND($H286&lt;&gt;"",$H286=0),LEFT(LOWER(TRIM($F286&amp;"")),9)="free game",LOWER(TRIM($F286&amp;""))="free",LOWER(TRIM($F286&amp;""))="free entry"),IF(LOWER($L286&amp;"")="yes","Disqualified — Free Game","Free Game"),IF(LOWER($L286&amp;"")="yes","Disqualified",IF($P286="","",IF(ROUND(IFERROR(VALUE($P286),0)-IFERROR(VALUE($H286),0),2)&gt;0,"Profit","Draw"))))))</x:f>
      </x:c>
      <x:c r="V286" s="956" t="str">
        <x:f>IF(COUNTA($A286:$M286)=0,"",IF(OR($B286="",$C286="",$U286="Subscription"),"",IFERROR(ROUNDUP(($C286-$B286)/7,0),"")))</x:f>
      </x:c>
      <x:c r="W286" s="114" t="str">
        <x:f>IF(COUNTA($A286:$M286)=0,"",IF(OR($U286="Subscription",$U286=""),"",IF(OR($U286="Free Game",$U286="Disqualified — Free Game"),0,ROUND(IFERROR($Q286,0)-IFERROR($S286,0),2))))</x:f>
      </x:c>
      <x:c r="X286" s="956" t="str">
        <x:f>IF(COUNTA($A286:$M286)=0,"",IF(OR($U286="Subscription",NOT(ISNUMBER($J286)),NOT(ISNUMBER($I286)),$J286=0,$I286=0,$I286&gt;$J286),"",$J286-$I286))</x:f>
      </x:c>
      <x:c r="Y286" s="955" t="str">
        <x:f>IF(COUNTA($A286:$M286)=0,"",IF(OR($U286="Subscription",NOT(ISNUMBER($J286)),$J286=0,$X286=""),"",$X286/$J286))</x:f>
      </x:c>
      <x:c r="Z286" s="957" t="str">
        <x:f>IF(COUNTA($A286:$M286)=0,"",Instructions!$B$29+SUM($W$5:W286))</x:f>
      </x:c>
    </x:row>
    <x:row r="287" ht="36" customHeight="1">
      <x:c r="A287" s="439"/>
      <x:c r="B287" s="453"/>
      <x:c r="C287" s="453"/>
      <x:c r="D287" s="454"/>
      <x:c r="E287" s="454"/>
      <x:c r="F287" s="454"/>
      <x:c r="G287" s="986"/>
      <x:c r="H287" s="455"/>
      <x:c r="I287" s="456"/>
      <x:c r="J287" s="456"/>
      <x:c r="K287" s="986"/>
      <x:c r="L287" s="454"/>
      <x:c r="M287" s="439"/>
      <x:c r="N287" s="987" t="str">
        <x:f>IF(COUNTA($A287:$M287)=0,"",IF(OR(LEFT(LOWER(TRIM($F287&amp;"")),12)="subscription",LOWER(TRIM($F287&amp;""))="membership"),"",IF($G287="","",IF(ISNUMBER(SEARCH("non",LOWER($E287&amp;""))),$G287*0.85,$G287))))</x:f>
      </x:c>
      <x:c r="O287" s="987" t="str">
        <x:f>IF(COUNTA($A287:$M287)=0,"",IF(OR(LEFT(LOWER(TRIM($F287&amp;"")),12)="subscription",LOWER(TRIM($F287&amp;""))="membership"),"",IF(OR($N287="",$I287="",$I287=0),"",IFERROR($N287/$I287,""))))</x:f>
      </x:c>
      <x:c r="P287" s="987" t="str">
        <x:f>IF(COUNTA($A287:$M287)=0,"",IF(OR(LEFT(LOWER(TRIM($F287&amp;"")),12)="subscription",LOWER(TRIM($F287&amp;""))="membership"),"",IF(LOWER($L287&amp;"")="yes",0,IF(OR(AND($H287&lt;&gt;"",$H287=0),LEFT(LOWER(TRIM($F287&amp;"")),9)="free game",LOWER(TRIM($F287&amp;""))="free",LOWER(TRIM($F287&amp;""))="free entry"),IF(LOWER($D287&amp;"")="finalized",IF(ISNUMBER($K287),$K287,""),IF($O287&lt;&gt;"",$O287,"")),IF($K287&lt;&gt;"",$K287,IF($O287&lt;&gt;"",$O287,""))))))</x:f>
      </x:c>
      <x:c r="Q287" s="114" t="str">
        <x:f>IF(COUNTA($A287:$M287)=0,"",IF(OR($U287="Subscription",$U287=""),"",IF($U287="Profit",ROUND(IFERROR($P287,0)-IFERROR($H287,0),2),0)))</x:f>
      </x:c>
      <x:c r="R287" s="114" t="str">
        <x:f>IF(COUNTA($A287:$M287)=0,"",IF(OR($U287="Subscription",$U287=""),"",IF($U287="Draw",$H287,0)))</x:f>
      </x:c>
      <x:c r="S287" s="114" t="str">
        <x:f>IF(COUNTA($A287:$M287)=0,"",IF(OR($U287="Subscription",$U287=""),"",IF($U287="Disqualified",$H287,0)))</x:f>
      </x:c>
      <x:c r="T287" s="955" t="str">
        <x:f>IF(COUNTA($A287:$M287)=0,"",IF(OR($U287="Subscription",$U287=""),"",IF(OR($U287="Free Game",$U287="Disqualified — Free Game",$H287=0),"N/A",IF($U287="Profit",$Q287/$H287,IF($U287="Disqualified",-$S287/$H287,0)))))</x:f>
      </x:c>
      <x:c r="U287" s="920" t="str">
        <x:f>IF(COUNTA($A287:$M287)=0,"",IF(OR(LEFT(LOWER(TRIM($F287&amp;"")),12)="subscription",LOWER(TRIM($F287&amp;""))="membership"),"Subscription",IF(OR(AND($H287&lt;&gt;"",$H287=0),LEFT(LOWER(TRIM($F287&amp;"")),9)="free game",LOWER(TRIM($F287&amp;""))="free",LOWER(TRIM($F287&amp;""))="free entry"),IF(LOWER($L287&amp;"")="yes","Disqualified — Free Game","Free Game"),IF(LOWER($L287&amp;"")="yes","Disqualified",IF($P287="","",IF(ROUND(IFERROR(VALUE($P287),0)-IFERROR(VALUE($H287),0),2)&gt;0,"Profit","Draw"))))))</x:f>
      </x:c>
      <x:c r="V287" s="956" t="str">
        <x:f>IF(COUNTA($A287:$M287)=0,"",IF(OR($B287="",$C287="",$U287="Subscription"),"",IFERROR(ROUNDUP(($C287-$B287)/7,0),"")))</x:f>
      </x:c>
      <x:c r="W287" s="114" t="str">
        <x:f>IF(COUNTA($A287:$M287)=0,"",IF(OR($U287="Subscription",$U287=""),"",IF(OR($U287="Free Game",$U287="Disqualified — Free Game"),0,ROUND(IFERROR($Q287,0)-IFERROR($S287,0),2))))</x:f>
      </x:c>
      <x:c r="X287" s="956" t="str">
        <x:f>IF(COUNTA($A287:$M287)=0,"",IF(OR($U287="Subscription",NOT(ISNUMBER($J287)),NOT(ISNUMBER($I287)),$J287=0,$I287=0,$I287&gt;$J287),"",$J287-$I287))</x:f>
      </x:c>
      <x:c r="Y287" s="955" t="str">
        <x:f>IF(COUNTA($A287:$M287)=0,"",IF(OR($U287="Subscription",NOT(ISNUMBER($J287)),$J287=0,$X287=""),"",$X287/$J287))</x:f>
      </x:c>
      <x:c r="Z287" s="957" t="str">
        <x:f>IF(COUNTA($A287:$M287)=0,"",Instructions!$B$29+SUM($W$5:W287))</x:f>
      </x:c>
    </x:row>
    <x:row r="288" ht="36" customHeight="1">
      <x:c r="A288" s="439"/>
      <x:c r="B288" s="453"/>
      <x:c r="C288" s="453"/>
      <x:c r="D288" s="454"/>
      <x:c r="E288" s="454"/>
      <x:c r="F288" s="454"/>
      <x:c r="G288" s="986"/>
      <x:c r="H288" s="455"/>
      <x:c r="I288" s="456"/>
      <x:c r="J288" s="456"/>
      <x:c r="K288" s="986"/>
      <x:c r="L288" s="454"/>
      <x:c r="M288" s="439"/>
      <x:c r="N288" s="987" t="str">
        <x:f>IF(COUNTA($A288:$M288)=0,"",IF(OR(LEFT(LOWER(TRIM($F288&amp;"")),12)="subscription",LOWER(TRIM($F288&amp;""))="membership"),"",IF($G288="","",IF(ISNUMBER(SEARCH("non",LOWER($E288&amp;""))),$G288*0.85,$G288))))</x:f>
      </x:c>
      <x:c r="O288" s="987" t="str">
        <x:f>IF(COUNTA($A288:$M288)=0,"",IF(OR(LEFT(LOWER(TRIM($F288&amp;"")),12)="subscription",LOWER(TRIM($F288&amp;""))="membership"),"",IF(OR($N288="",$I288="",$I288=0),"",IFERROR($N288/$I288,""))))</x:f>
      </x:c>
      <x:c r="P288" s="987" t="str">
        <x:f>IF(COUNTA($A288:$M288)=0,"",IF(OR(LEFT(LOWER(TRIM($F288&amp;"")),12)="subscription",LOWER(TRIM($F288&amp;""))="membership"),"",IF(LOWER($L288&amp;"")="yes",0,IF(OR(AND($H288&lt;&gt;"",$H288=0),LEFT(LOWER(TRIM($F288&amp;"")),9)="free game",LOWER(TRIM($F288&amp;""))="free",LOWER(TRIM($F288&amp;""))="free entry"),IF(LOWER($D288&amp;"")="finalized",IF(ISNUMBER($K288),$K288,""),IF($O288&lt;&gt;"",$O288,"")),IF($K288&lt;&gt;"",$K288,IF($O288&lt;&gt;"",$O288,""))))))</x:f>
      </x:c>
      <x:c r="Q288" s="114" t="str">
        <x:f>IF(COUNTA($A288:$M288)=0,"",IF(OR($U288="Subscription",$U288=""),"",IF($U288="Profit",ROUND(IFERROR($P288,0)-IFERROR($H288,0),2),0)))</x:f>
      </x:c>
      <x:c r="R288" s="114" t="str">
        <x:f>IF(COUNTA($A288:$M288)=0,"",IF(OR($U288="Subscription",$U288=""),"",IF($U288="Draw",$H288,0)))</x:f>
      </x:c>
      <x:c r="S288" s="114" t="str">
        <x:f>IF(COUNTA($A288:$M288)=0,"",IF(OR($U288="Subscription",$U288=""),"",IF($U288="Disqualified",$H288,0)))</x:f>
      </x:c>
      <x:c r="T288" s="955" t="str">
        <x:f>IF(COUNTA($A288:$M288)=0,"",IF(OR($U288="Subscription",$U288=""),"",IF(OR($U288="Free Game",$U288="Disqualified — Free Game",$H288=0),"N/A",IF($U288="Profit",$Q288/$H288,IF($U288="Disqualified",-$S288/$H288,0)))))</x:f>
      </x:c>
      <x:c r="U288" s="920" t="str">
        <x:f>IF(COUNTA($A288:$M288)=0,"",IF(OR(LEFT(LOWER(TRIM($F288&amp;"")),12)="subscription",LOWER(TRIM($F288&amp;""))="membership"),"Subscription",IF(OR(AND($H288&lt;&gt;"",$H288=0),LEFT(LOWER(TRIM($F288&amp;"")),9)="free game",LOWER(TRIM($F288&amp;""))="free",LOWER(TRIM($F288&amp;""))="free entry"),IF(LOWER($L288&amp;"")="yes","Disqualified — Free Game","Free Game"),IF(LOWER($L288&amp;"")="yes","Disqualified",IF($P288="","",IF(ROUND(IFERROR(VALUE($P288),0)-IFERROR(VALUE($H288),0),2)&gt;0,"Profit","Draw"))))))</x:f>
      </x:c>
      <x:c r="V288" s="956" t="str">
        <x:f>IF(COUNTA($A288:$M288)=0,"",IF(OR($B288="",$C288="",$U288="Subscription"),"",IFERROR(ROUNDUP(($C288-$B288)/7,0),"")))</x:f>
      </x:c>
      <x:c r="W288" s="114" t="str">
        <x:f>IF(COUNTA($A288:$M288)=0,"",IF(OR($U288="Subscription",$U288=""),"",IF(OR($U288="Free Game",$U288="Disqualified — Free Game"),0,ROUND(IFERROR($Q288,0)-IFERROR($S288,0),2))))</x:f>
      </x:c>
      <x:c r="X288" s="956" t="str">
        <x:f>IF(COUNTA($A288:$M288)=0,"",IF(OR($U288="Subscription",NOT(ISNUMBER($J288)),NOT(ISNUMBER($I288)),$J288=0,$I288=0,$I288&gt;$J288),"",$J288-$I288))</x:f>
      </x:c>
      <x:c r="Y288" s="955" t="str">
        <x:f>IF(COUNTA($A288:$M288)=0,"",IF(OR($U288="Subscription",NOT(ISNUMBER($J288)),$J288=0,$X288=""),"",$X288/$J288))</x:f>
      </x:c>
      <x:c r="Z288" s="957" t="str">
        <x:f>IF(COUNTA($A288:$M288)=0,"",Instructions!$B$29+SUM($W$5:W288))</x:f>
      </x:c>
    </x:row>
    <x:row r="289" ht="36" customHeight="1">
      <x:c r="A289" s="439"/>
      <x:c r="B289" s="453"/>
      <x:c r="C289" s="453"/>
      <x:c r="D289" s="454"/>
      <x:c r="E289" s="454"/>
      <x:c r="F289" s="454"/>
      <x:c r="G289" s="986"/>
      <x:c r="H289" s="455"/>
      <x:c r="I289" s="456"/>
      <x:c r="J289" s="456"/>
      <x:c r="K289" s="986"/>
      <x:c r="L289" s="454"/>
      <x:c r="M289" s="439"/>
      <x:c r="N289" s="987" t="str">
        <x:f>IF(COUNTA($A289:$M289)=0,"",IF(OR(LEFT(LOWER(TRIM($F289&amp;"")),12)="subscription",LOWER(TRIM($F289&amp;""))="membership"),"",IF($G289="","",IF(ISNUMBER(SEARCH("non",LOWER($E289&amp;""))),$G289*0.85,$G289))))</x:f>
      </x:c>
      <x:c r="O289" s="987" t="str">
        <x:f>IF(COUNTA($A289:$M289)=0,"",IF(OR(LEFT(LOWER(TRIM($F289&amp;"")),12)="subscription",LOWER(TRIM($F289&amp;""))="membership"),"",IF(OR($N289="",$I289="",$I289=0),"",IFERROR($N289/$I289,""))))</x:f>
      </x:c>
      <x:c r="P289" s="987" t="str">
        <x:f>IF(COUNTA($A289:$M289)=0,"",IF(OR(LEFT(LOWER(TRIM($F289&amp;"")),12)="subscription",LOWER(TRIM($F289&amp;""))="membership"),"",IF(LOWER($L289&amp;"")="yes",0,IF(OR(AND($H289&lt;&gt;"",$H289=0),LEFT(LOWER(TRIM($F289&amp;"")),9)="free game",LOWER(TRIM($F289&amp;""))="free",LOWER(TRIM($F289&amp;""))="free entry"),IF(LOWER($D289&amp;"")="finalized",IF(ISNUMBER($K289),$K289,""),IF($O289&lt;&gt;"",$O289,"")),IF($K289&lt;&gt;"",$K289,IF($O289&lt;&gt;"",$O289,""))))))</x:f>
      </x:c>
      <x:c r="Q289" s="114" t="str">
        <x:f>IF(COUNTA($A289:$M289)=0,"",IF(OR($U289="Subscription",$U289=""),"",IF($U289="Profit",ROUND(IFERROR($P289,0)-IFERROR($H289,0),2),0)))</x:f>
      </x:c>
      <x:c r="R289" s="114" t="str">
        <x:f>IF(COUNTA($A289:$M289)=0,"",IF(OR($U289="Subscription",$U289=""),"",IF($U289="Draw",$H289,0)))</x:f>
      </x:c>
      <x:c r="S289" s="114" t="str">
        <x:f>IF(COUNTA($A289:$M289)=0,"",IF(OR($U289="Subscription",$U289=""),"",IF($U289="Disqualified",$H289,0)))</x:f>
      </x:c>
      <x:c r="T289" s="955" t="str">
        <x:f>IF(COUNTA($A289:$M289)=0,"",IF(OR($U289="Subscription",$U289=""),"",IF(OR($U289="Free Game",$U289="Disqualified — Free Game",$H289=0),"N/A",IF($U289="Profit",$Q289/$H289,IF($U289="Disqualified",-$S289/$H289,0)))))</x:f>
      </x:c>
      <x:c r="U289" s="920" t="str">
        <x:f>IF(COUNTA($A289:$M289)=0,"",IF(OR(LEFT(LOWER(TRIM($F289&amp;"")),12)="subscription",LOWER(TRIM($F289&amp;""))="membership"),"Subscription",IF(OR(AND($H289&lt;&gt;"",$H289=0),LEFT(LOWER(TRIM($F289&amp;"")),9)="free game",LOWER(TRIM($F289&amp;""))="free",LOWER(TRIM($F289&amp;""))="free entry"),IF(LOWER($L289&amp;"")="yes","Disqualified — Free Game","Free Game"),IF(LOWER($L289&amp;"")="yes","Disqualified",IF($P289="","",IF(ROUND(IFERROR(VALUE($P289),0)-IFERROR(VALUE($H289),0),2)&gt;0,"Profit","Draw"))))))</x:f>
      </x:c>
      <x:c r="V289" s="956" t="str">
        <x:f>IF(COUNTA($A289:$M289)=0,"",IF(OR($B289="",$C289="",$U289="Subscription"),"",IFERROR(ROUNDUP(($C289-$B289)/7,0),"")))</x:f>
      </x:c>
      <x:c r="W289" s="114" t="str">
        <x:f>IF(COUNTA($A289:$M289)=0,"",IF(OR($U289="Subscription",$U289=""),"",IF(OR($U289="Free Game",$U289="Disqualified — Free Game"),0,ROUND(IFERROR($Q289,0)-IFERROR($S289,0),2))))</x:f>
      </x:c>
      <x:c r="X289" s="956" t="str">
        <x:f>IF(COUNTA($A289:$M289)=0,"",IF(OR($U289="Subscription",NOT(ISNUMBER($J289)),NOT(ISNUMBER($I289)),$J289=0,$I289=0,$I289&gt;$J289),"",$J289-$I289))</x:f>
      </x:c>
      <x:c r="Y289" s="955" t="str">
        <x:f>IF(COUNTA($A289:$M289)=0,"",IF(OR($U289="Subscription",NOT(ISNUMBER($J289)),$J289=0,$X289=""),"",$X289/$J289))</x:f>
      </x:c>
      <x:c r="Z289" s="957" t="str">
        <x:f>IF(COUNTA($A289:$M289)=0,"",Instructions!$B$29+SUM($W$5:W289))</x:f>
      </x:c>
    </x:row>
    <x:row r="290" ht="36" customHeight="1">
      <x:c r="A290" s="439"/>
      <x:c r="B290" s="453"/>
      <x:c r="C290" s="453"/>
      <x:c r="D290" s="454"/>
      <x:c r="E290" s="454"/>
      <x:c r="F290" s="454"/>
      <x:c r="G290" s="986"/>
      <x:c r="H290" s="455"/>
      <x:c r="I290" s="456"/>
      <x:c r="J290" s="456"/>
      <x:c r="K290" s="986"/>
      <x:c r="L290" s="454"/>
      <x:c r="M290" s="439"/>
      <x:c r="N290" s="987" t="str">
        <x:f>IF(COUNTA($A290:$M290)=0,"",IF(OR(LEFT(LOWER(TRIM($F290&amp;"")),12)="subscription",LOWER(TRIM($F290&amp;""))="membership"),"",IF($G290="","",IF(ISNUMBER(SEARCH("non",LOWER($E290&amp;""))),$G290*0.85,$G290))))</x:f>
      </x:c>
      <x:c r="O290" s="987" t="str">
        <x:f>IF(COUNTA($A290:$M290)=0,"",IF(OR(LEFT(LOWER(TRIM($F290&amp;"")),12)="subscription",LOWER(TRIM($F290&amp;""))="membership"),"",IF(OR($N290="",$I290="",$I290=0),"",IFERROR($N290/$I290,""))))</x:f>
      </x:c>
      <x:c r="P290" s="987" t="str">
        <x:f>IF(COUNTA($A290:$M290)=0,"",IF(OR(LEFT(LOWER(TRIM($F290&amp;"")),12)="subscription",LOWER(TRIM($F290&amp;""))="membership"),"",IF(LOWER($L290&amp;"")="yes",0,IF(OR(AND($H290&lt;&gt;"",$H290=0),LEFT(LOWER(TRIM($F290&amp;"")),9)="free game",LOWER(TRIM($F290&amp;""))="free",LOWER(TRIM($F290&amp;""))="free entry"),IF(LOWER($D290&amp;"")="finalized",IF(ISNUMBER($K290),$K290,""),IF($O290&lt;&gt;"",$O290,"")),IF($K290&lt;&gt;"",$K290,IF($O290&lt;&gt;"",$O290,""))))))</x:f>
      </x:c>
      <x:c r="Q290" s="114" t="str">
        <x:f>IF(COUNTA($A290:$M290)=0,"",IF(OR($U290="Subscription",$U290=""),"",IF($U290="Profit",ROUND(IFERROR($P290,0)-IFERROR($H290,0),2),0)))</x:f>
      </x:c>
      <x:c r="R290" s="114" t="str">
        <x:f>IF(COUNTA($A290:$M290)=0,"",IF(OR($U290="Subscription",$U290=""),"",IF($U290="Draw",$H290,0)))</x:f>
      </x:c>
      <x:c r="S290" s="114" t="str">
        <x:f>IF(COUNTA($A290:$M290)=0,"",IF(OR($U290="Subscription",$U290=""),"",IF($U290="Disqualified",$H290,0)))</x:f>
      </x:c>
      <x:c r="T290" s="955" t="str">
        <x:f>IF(COUNTA($A290:$M290)=0,"",IF(OR($U290="Subscription",$U290=""),"",IF(OR($U290="Free Game",$U290="Disqualified — Free Game",$H290=0),"N/A",IF($U290="Profit",$Q290/$H290,IF($U290="Disqualified",-$S290/$H290,0)))))</x:f>
      </x:c>
      <x:c r="U290" s="920" t="str">
        <x:f>IF(COUNTA($A290:$M290)=0,"",IF(OR(LEFT(LOWER(TRIM($F290&amp;"")),12)="subscription",LOWER(TRIM($F290&amp;""))="membership"),"Subscription",IF(OR(AND($H290&lt;&gt;"",$H290=0),LEFT(LOWER(TRIM($F290&amp;"")),9)="free game",LOWER(TRIM($F290&amp;""))="free",LOWER(TRIM($F290&amp;""))="free entry"),IF(LOWER($L290&amp;"")="yes","Disqualified — Free Game","Free Game"),IF(LOWER($L290&amp;"")="yes","Disqualified",IF($P290="","",IF(ROUND(IFERROR(VALUE($P290),0)-IFERROR(VALUE($H290),0),2)&gt;0,"Profit","Draw"))))))</x:f>
      </x:c>
      <x:c r="V290" s="956" t="str">
        <x:f>IF(COUNTA($A290:$M290)=0,"",IF(OR($B290="",$C290="",$U290="Subscription"),"",IFERROR(ROUNDUP(($C290-$B290)/7,0),"")))</x:f>
      </x:c>
      <x:c r="W290" s="114" t="str">
        <x:f>IF(COUNTA($A290:$M290)=0,"",IF(OR($U290="Subscription",$U290=""),"",IF(OR($U290="Free Game",$U290="Disqualified — Free Game"),0,ROUND(IFERROR($Q290,0)-IFERROR($S290,0),2))))</x:f>
      </x:c>
      <x:c r="X290" s="956" t="str">
        <x:f>IF(COUNTA($A290:$M290)=0,"",IF(OR($U290="Subscription",NOT(ISNUMBER($J290)),NOT(ISNUMBER($I290)),$J290=0,$I290=0,$I290&gt;$J290),"",$J290-$I290))</x:f>
      </x:c>
      <x:c r="Y290" s="955" t="str">
        <x:f>IF(COUNTA($A290:$M290)=0,"",IF(OR($U290="Subscription",NOT(ISNUMBER($J290)),$J290=0,$X290=""),"",$X290/$J290))</x:f>
      </x:c>
      <x:c r="Z290" s="957" t="str">
        <x:f>IF(COUNTA($A290:$M290)=0,"",Instructions!$B$29+SUM($W$5:W290))</x:f>
      </x:c>
    </x:row>
    <x:row r="291" ht="36" customHeight="1">
      <x:c r="A291" s="439"/>
      <x:c r="B291" s="453"/>
      <x:c r="C291" s="453"/>
      <x:c r="D291" s="454"/>
      <x:c r="E291" s="454"/>
      <x:c r="F291" s="454"/>
      <x:c r="G291" s="986"/>
      <x:c r="H291" s="455"/>
      <x:c r="I291" s="456"/>
      <x:c r="J291" s="456"/>
      <x:c r="K291" s="986"/>
      <x:c r="L291" s="454"/>
      <x:c r="M291" s="439"/>
      <x:c r="N291" s="987" t="str">
        <x:f>IF(COUNTA($A291:$M291)=0,"",IF(OR(LEFT(LOWER(TRIM($F291&amp;"")),12)="subscription",LOWER(TRIM($F291&amp;""))="membership"),"",IF($G291="","",IF(ISNUMBER(SEARCH("non",LOWER($E291&amp;""))),$G291*0.85,$G291))))</x:f>
      </x:c>
      <x:c r="O291" s="987" t="str">
        <x:f>IF(COUNTA($A291:$M291)=0,"",IF(OR(LEFT(LOWER(TRIM($F291&amp;"")),12)="subscription",LOWER(TRIM($F291&amp;""))="membership"),"",IF(OR($N291="",$I291="",$I291=0),"",IFERROR($N291/$I291,""))))</x:f>
      </x:c>
      <x:c r="P291" s="987" t="str">
        <x:f>IF(COUNTA($A291:$M291)=0,"",IF(OR(LEFT(LOWER(TRIM($F291&amp;"")),12)="subscription",LOWER(TRIM($F291&amp;""))="membership"),"",IF(LOWER($L291&amp;"")="yes",0,IF(OR(AND($H291&lt;&gt;"",$H291=0),LEFT(LOWER(TRIM($F291&amp;"")),9)="free game",LOWER(TRIM($F291&amp;""))="free",LOWER(TRIM($F291&amp;""))="free entry"),IF(LOWER($D291&amp;"")="finalized",IF(ISNUMBER($K291),$K291,""),IF($O291&lt;&gt;"",$O291,"")),IF($K291&lt;&gt;"",$K291,IF($O291&lt;&gt;"",$O291,""))))))</x:f>
      </x:c>
      <x:c r="Q291" s="114" t="str">
        <x:f>IF(COUNTA($A291:$M291)=0,"",IF(OR($U291="Subscription",$U291=""),"",IF($U291="Profit",ROUND(IFERROR($P291,0)-IFERROR($H291,0),2),0)))</x:f>
      </x:c>
      <x:c r="R291" s="114" t="str">
        <x:f>IF(COUNTA($A291:$M291)=0,"",IF(OR($U291="Subscription",$U291=""),"",IF($U291="Draw",$H291,0)))</x:f>
      </x:c>
      <x:c r="S291" s="114" t="str">
        <x:f>IF(COUNTA($A291:$M291)=0,"",IF(OR($U291="Subscription",$U291=""),"",IF($U291="Disqualified",$H291,0)))</x:f>
      </x:c>
      <x:c r="T291" s="955" t="str">
        <x:f>IF(COUNTA($A291:$M291)=0,"",IF(OR($U291="Subscription",$U291=""),"",IF(OR($U291="Free Game",$U291="Disqualified — Free Game",$H291=0),"N/A",IF($U291="Profit",$Q291/$H291,IF($U291="Disqualified",-$S291/$H291,0)))))</x:f>
      </x:c>
      <x:c r="U291" s="920" t="str">
        <x:f>IF(COUNTA($A291:$M291)=0,"",IF(OR(LEFT(LOWER(TRIM($F291&amp;"")),12)="subscription",LOWER(TRIM($F291&amp;""))="membership"),"Subscription",IF(OR(AND($H291&lt;&gt;"",$H291=0),LEFT(LOWER(TRIM($F291&amp;"")),9)="free game",LOWER(TRIM($F291&amp;""))="free",LOWER(TRIM($F291&amp;""))="free entry"),IF(LOWER($L291&amp;"")="yes","Disqualified — Free Game","Free Game"),IF(LOWER($L291&amp;"")="yes","Disqualified",IF($P291="","",IF(ROUND(IFERROR(VALUE($P291),0)-IFERROR(VALUE($H291),0),2)&gt;0,"Profit","Draw"))))))</x:f>
      </x:c>
      <x:c r="V291" s="956" t="str">
        <x:f>IF(COUNTA($A291:$M291)=0,"",IF(OR($B291="",$C291="",$U291="Subscription"),"",IFERROR(ROUNDUP(($C291-$B291)/7,0),"")))</x:f>
      </x:c>
      <x:c r="W291" s="114" t="str">
        <x:f>IF(COUNTA($A291:$M291)=0,"",IF(OR($U291="Subscription",$U291=""),"",IF(OR($U291="Free Game",$U291="Disqualified — Free Game"),0,ROUND(IFERROR($Q291,0)-IFERROR($S291,0),2))))</x:f>
      </x:c>
      <x:c r="X291" s="956" t="str">
        <x:f>IF(COUNTA($A291:$M291)=0,"",IF(OR($U291="Subscription",NOT(ISNUMBER($J291)),NOT(ISNUMBER($I291)),$J291=0,$I291=0,$I291&gt;$J291),"",$J291-$I291))</x:f>
      </x:c>
      <x:c r="Y291" s="955" t="str">
        <x:f>IF(COUNTA($A291:$M291)=0,"",IF(OR($U291="Subscription",NOT(ISNUMBER($J291)),$J291=0,$X291=""),"",$X291/$J291))</x:f>
      </x:c>
      <x:c r="Z291" s="957" t="str">
        <x:f>IF(COUNTA($A291:$M291)=0,"",Instructions!$B$29+SUM($W$5:W291))</x:f>
      </x:c>
    </x:row>
    <x:row r="292" ht="36" customHeight="1">
      <x:c r="A292" s="439"/>
      <x:c r="B292" s="453"/>
      <x:c r="C292" s="453"/>
      <x:c r="D292" s="454"/>
      <x:c r="E292" s="454"/>
      <x:c r="F292" s="454"/>
      <x:c r="G292" s="986"/>
      <x:c r="H292" s="455"/>
      <x:c r="I292" s="456"/>
      <x:c r="J292" s="456"/>
      <x:c r="K292" s="986"/>
      <x:c r="L292" s="454"/>
      <x:c r="M292" s="439"/>
      <x:c r="N292" s="987" t="str">
        <x:f>IF(COUNTA($A292:$M292)=0,"",IF(OR(LEFT(LOWER(TRIM($F292&amp;"")),12)="subscription",LOWER(TRIM($F292&amp;""))="membership"),"",IF($G292="","",IF(ISNUMBER(SEARCH("non",LOWER($E292&amp;""))),$G292*0.85,$G292))))</x:f>
      </x:c>
      <x:c r="O292" s="987" t="str">
        <x:f>IF(COUNTA($A292:$M292)=0,"",IF(OR(LEFT(LOWER(TRIM($F292&amp;"")),12)="subscription",LOWER(TRIM($F292&amp;""))="membership"),"",IF(OR($N292="",$I292="",$I292=0),"",IFERROR($N292/$I292,""))))</x:f>
      </x:c>
      <x:c r="P292" s="987" t="str">
        <x:f>IF(COUNTA($A292:$M292)=0,"",IF(OR(LEFT(LOWER(TRIM($F292&amp;"")),12)="subscription",LOWER(TRIM($F292&amp;""))="membership"),"",IF(LOWER($L292&amp;"")="yes",0,IF(OR(AND($H292&lt;&gt;"",$H292=0),LEFT(LOWER(TRIM($F292&amp;"")),9)="free game",LOWER(TRIM($F292&amp;""))="free",LOWER(TRIM($F292&amp;""))="free entry"),IF(LOWER($D292&amp;"")="finalized",IF(ISNUMBER($K292),$K292,""),IF($O292&lt;&gt;"",$O292,"")),IF($K292&lt;&gt;"",$K292,IF($O292&lt;&gt;"",$O292,""))))))</x:f>
      </x:c>
      <x:c r="Q292" s="114" t="str">
        <x:f>IF(COUNTA($A292:$M292)=0,"",IF(OR($U292="Subscription",$U292=""),"",IF($U292="Profit",ROUND(IFERROR($P292,0)-IFERROR($H292,0),2),0)))</x:f>
      </x:c>
      <x:c r="R292" s="114" t="str">
        <x:f>IF(COUNTA($A292:$M292)=0,"",IF(OR($U292="Subscription",$U292=""),"",IF($U292="Draw",$H292,0)))</x:f>
      </x:c>
      <x:c r="S292" s="114" t="str">
        <x:f>IF(COUNTA($A292:$M292)=0,"",IF(OR($U292="Subscription",$U292=""),"",IF($U292="Disqualified",$H292,0)))</x:f>
      </x:c>
      <x:c r="T292" s="955" t="str">
        <x:f>IF(COUNTA($A292:$M292)=0,"",IF(OR($U292="Subscription",$U292=""),"",IF(OR($U292="Free Game",$U292="Disqualified — Free Game",$H292=0),"N/A",IF($U292="Profit",$Q292/$H292,IF($U292="Disqualified",-$S292/$H292,0)))))</x:f>
      </x:c>
      <x:c r="U292" s="920" t="str">
        <x:f>IF(COUNTA($A292:$M292)=0,"",IF(OR(LEFT(LOWER(TRIM($F292&amp;"")),12)="subscription",LOWER(TRIM($F292&amp;""))="membership"),"Subscription",IF(OR(AND($H292&lt;&gt;"",$H292=0),LEFT(LOWER(TRIM($F292&amp;"")),9)="free game",LOWER(TRIM($F292&amp;""))="free",LOWER(TRIM($F292&amp;""))="free entry"),IF(LOWER($L292&amp;"")="yes","Disqualified — Free Game","Free Game"),IF(LOWER($L292&amp;"")="yes","Disqualified",IF($P292="","",IF(ROUND(IFERROR(VALUE($P292),0)-IFERROR(VALUE($H292),0),2)&gt;0,"Profit","Draw"))))))</x:f>
      </x:c>
      <x:c r="V292" s="956" t="str">
        <x:f>IF(COUNTA($A292:$M292)=0,"",IF(OR($B292="",$C292="",$U292="Subscription"),"",IFERROR(ROUNDUP(($C292-$B292)/7,0),"")))</x:f>
      </x:c>
      <x:c r="W292" s="114" t="str">
        <x:f>IF(COUNTA($A292:$M292)=0,"",IF(OR($U292="Subscription",$U292=""),"",IF(OR($U292="Free Game",$U292="Disqualified — Free Game"),0,ROUND(IFERROR($Q292,0)-IFERROR($S292,0),2))))</x:f>
      </x:c>
      <x:c r="X292" s="956" t="str">
        <x:f>IF(COUNTA($A292:$M292)=0,"",IF(OR($U292="Subscription",NOT(ISNUMBER($J292)),NOT(ISNUMBER($I292)),$J292=0,$I292=0,$I292&gt;$J292),"",$J292-$I292))</x:f>
      </x:c>
      <x:c r="Y292" s="955" t="str">
        <x:f>IF(COUNTA($A292:$M292)=0,"",IF(OR($U292="Subscription",NOT(ISNUMBER($J292)),$J292=0,$X292=""),"",$X292/$J292))</x:f>
      </x:c>
      <x:c r="Z292" s="957" t="str">
        <x:f>IF(COUNTA($A292:$M292)=0,"",Instructions!$B$29+SUM($W$5:W292))</x:f>
      </x:c>
    </x:row>
    <x:row r="293" ht="36" customHeight="1">
      <x:c r="A293" s="439"/>
      <x:c r="B293" s="453"/>
      <x:c r="C293" s="453"/>
      <x:c r="D293" s="454"/>
      <x:c r="E293" s="454"/>
      <x:c r="F293" s="454"/>
      <x:c r="G293" s="986"/>
      <x:c r="H293" s="455"/>
      <x:c r="I293" s="456"/>
      <x:c r="J293" s="456"/>
      <x:c r="K293" s="986"/>
      <x:c r="L293" s="454"/>
      <x:c r="M293" s="439"/>
      <x:c r="N293" s="987" t="str">
        <x:f>IF(COUNTA($A293:$M293)=0,"",IF(OR(LEFT(LOWER(TRIM($F293&amp;"")),12)="subscription",LOWER(TRIM($F293&amp;""))="membership"),"",IF($G293="","",IF(ISNUMBER(SEARCH("non",LOWER($E293&amp;""))),$G293*0.85,$G293))))</x:f>
      </x:c>
      <x:c r="O293" s="987" t="str">
        <x:f>IF(COUNTA($A293:$M293)=0,"",IF(OR(LEFT(LOWER(TRIM($F293&amp;"")),12)="subscription",LOWER(TRIM($F293&amp;""))="membership"),"",IF(OR($N293="",$I293="",$I293=0),"",IFERROR($N293/$I293,""))))</x:f>
      </x:c>
      <x:c r="P293" s="987" t="str">
        <x:f>IF(COUNTA($A293:$M293)=0,"",IF(OR(LEFT(LOWER(TRIM($F293&amp;"")),12)="subscription",LOWER(TRIM($F293&amp;""))="membership"),"",IF(LOWER($L293&amp;"")="yes",0,IF(OR(AND($H293&lt;&gt;"",$H293=0),LEFT(LOWER(TRIM($F293&amp;"")),9)="free game",LOWER(TRIM($F293&amp;""))="free",LOWER(TRIM($F293&amp;""))="free entry"),IF(LOWER($D293&amp;"")="finalized",IF(ISNUMBER($K293),$K293,""),IF($O293&lt;&gt;"",$O293,"")),IF($K293&lt;&gt;"",$K293,IF($O293&lt;&gt;"",$O293,""))))))</x:f>
      </x:c>
      <x:c r="Q293" s="114" t="str">
        <x:f>IF(COUNTA($A293:$M293)=0,"",IF(OR($U293="Subscription",$U293=""),"",IF($U293="Profit",ROUND(IFERROR($P293,0)-IFERROR($H293,0),2),0)))</x:f>
      </x:c>
      <x:c r="R293" s="114" t="str">
        <x:f>IF(COUNTA($A293:$M293)=0,"",IF(OR($U293="Subscription",$U293=""),"",IF($U293="Draw",$H293,0)))</x:f>
      </x:c>
      <x:c r="S293" s="114" t="str">
        <x:f>IF(COUNTA($A293:$M293)=0,"",IF(OR($U293="Subscription",$U293=""),"",IF($U293="Disqualified",$H293,0)))</x:f>
      </x:c>
      <x:c r="T293" s="955" t="str">
        <x:f>IF(COUNTA($A293:$M293)=0,"",IF(OR($U293="Subscription",$U293=""),"",IF(OR($U293="Free Game",$U293="Disqualified — Free Game",$H293=0),"N/A",IF($U293="Profit",$Q293/$H293,IF($U293="Disqualified",-$S293/$H293,0)))))</x:f>
      </x:c>
      <x:c r="U293" s="920" t="str">
        <x:f>IF(COUNTA($A293:$M293)=0,"",IF(OR(LEFT(LOWER(TRIM($F293&amp;"")),12)="subscription",LOWER(TRIM($F293&amp;""))="membership"),"Subscription",IF(OR(AND($H293&lt;&gt;"",$H293=0),LEFT(LOWER(TRIM($F293&amp;"")),9)="free game",LOWER(TRIM($F293&amp;""))="free",LOWER(TRIM($F293&amp;""))="free entry"),IF(LOWER($L293&amp;"")="yes","Disqualified — Free Game","Free Game"),IF(LOWER($L293&amp;"")="yes","Disqualified",IF($P293="","",IF(ROUND(IFERROR(VALUE($P293),0)-IFERROR(VALUE($H293),0),2)&gt;0,"Profit","Draw"))))))</x:f>
      </x:c>
      <x:c r="V293" s="956" t="str">
        <x:f>IF(COUNTA($A293:$M293)=0,"",IF(OR($B293="",$C293="",$U293="Subscription"),"",IFERROR(ROUNDUP(($C293-$B293)/7,0),"")))</x:f>
      </x:c>
      <x:c r="W293" s="114" t="str">
        <x:f>IF(COUNTA($A293:$M293)=0,"",IF(OR($U293="Subscription",$U293=""),"",IF(OR($U293="Free Game",$U293="Disqualified — Free Game"),0,ROUND(IFERROR($Q293,0)-IFERROR($S293,0),2))))</x:f>
      </x:c>
      <x:c r="X293" s="956" t="str">
        <x:f>IF(COUNTA($A293:$M293)=0,"",IF(OR($U293="Subscription",NOT(ISNUMBER($J293)),NOT(ISNUMBER($I293)),$J293=0,$I293=0,$I293&gt;$J293),"",$J293-$I293))</x:f>
      </x:c>
      <x:c r="Y293" s="955" t="str">
        <x:f>IF(COUNTA($A293:$M293)=0,"",IF(OR($U293="Subscription",NOT(ISNUMBER($J293)),$J293=0,$X293=""),"",$X293/$J293))</x:f>
      </x:c>
      <x:c r="Z293" s="957" t="str">
        <x:f>IF(COUNTA($A293:$M293)=0,"",Instructions!$B$29+SUM($W$5:W293))</x:f>
      </x:c>
    </x:row>
    <x:row r="294" ht="36" customHeight="1">
      <x:c r="A294" s="439"/>
      <x:c r="B294" s="453"/>
      <x:c r="C294" s="453"/>
      <x:c r="D294" s="454"/>
      <x:c r="E294" s="454"/>
      <x:c r="F294" s="454"/>
      <x:c r="G294" s="986"/>
      <x:c r="H294" s="455"/>
      <x:c r="I294" s="456"/>
      <x:c r="J294" s="456"/>
      <x:c r="K294" s="986"/>
      <x:c r="L294" s="454"/>
      <x:c r="M294" s="439"/>
      <x:c r="N294" s="987" t="str">
        <x:f>IF(COUNTA($A294:$M294)=0,"",IF(OR(LEFT(LOWER(TRIM($F294&amp;"")),12)="subscription",LOWER(TRIM($F294&amp;""))="membership"),"",IF($G294="","",IF(ISNUMBER(SEARCH("non",LOWER($E294&amp;""))),$G294*0.85,$G294))))</x:f>
      </x:c>
      <x:c r="O294" s="987" t="str">
        <x:f>IF(COUNTA($A294:$M294)=0,"",IF(OR(LEFT(LOWER(TRIM($F294&amp;"")),12)="subscription",LOWER(TRIM($F294&amp;""))="membership"),"",IF(OR($N294="",$I294="",$I294=0),"",IFERROR($N294/$I294,""))))</x:f>
      </x:c>
      <x:c r="P294" s="987" t="str">
        <x:f>IF(COUNTA($A294:$M294)=0,"",IF(OR(LEFT(LOWER(TRIM($F294&amp;"")),12)="subscription",LOWER(TRIM($F294&amp;""))="membership"),"",IF(LOWER($L294&amp;"")="yes",0,IF(OR(AND($H294&lt;&gt;"",$H294=0),LEFT(LOWER(TRIM($F294&amp;"")),9)="free game",LOWER(TRIM($F294&amp;""))="free",LOWER(TRIM($F294&amp;""))="free entry"),IF(LOWER($D294&amp;"")="finalized",IF(ISNUMBER($K294),$K294,""),IF($O294&lt;&gt;"",$O294,"")),IF($K294&lt;&gt;"",$K294,IF($O294&lt;&gt;"",$O294,""))))))</x:f>
      </x:c>
      <x:c r="Q294" s="114" t="str">
        <x:f>IF(COUNTA($A294:$M294)=0,"",IF(OR($U294="Subscription",$U294=""),"",IF($U294="Profit",ROUND(IFERROR($P294,0)-IFERROR($H294,0),2),0)))</x:f>
      </x:c>
      <x:c r="R294" s="114" t="str">
        <x:f>IF(COUNTA($A294:$M294)=0,"",IF(OR($U294="Subscription",$U294=""),"",IF($U294="Draw",$H294,0)))</x:f>
      </x:c>
      <x:c r="S294" s="114" t="str">
        <x:f>IF(COUNTA($A294:$M294)=0,"",IF(OR($U294="Subscription",$U294=""),"",IF($U294="Disqualified",$H294,0)))</x:f>
      </x:c>
      <x:c r="T294" s="955" t="str">
        <x:f>IF(COUNTA($A294:$M294)=0,"",IF(OR($U294="Subscription",$U294=""),"",IF(OR($U294="Free Game",$U294="Disqualified — Free Game",$H294=0),"N/A",IF($U294="Profit",$Q294/$H294,IF($U294="Disqualified",-$S294/$H294,0)))))</x:f>
      </x:c>
      <x:c r="U294" s="920" t="str">
        <x:f>IF(COUNTA($A294:$M294)=0,"",IF(OR(LEFT(LOWER(TRIM($F294&amp;"")),12)="subscription",LOWER(TRIM($F294&amp;""))="membership"),"Subscription",IF(OR(AND($H294&lt;&gt;"",$H294=0),LEFT(LOWER(TRIM($F294&amp;"")),9)="free game",LOWER(TRIM($F294&amp;""))="free",LOWER(TRIM($F294&amp;""))="free entry"),IF(LOWER($L294&amp;"")="yes","Disqualified — Free Game","Free Game"),IF(LOWER($L294&amp;"")="yes","Disqualified",IF($P294="","",IF(ROUND(IFERROR(VALUE($P294),0)-IFERROR(VALUE($H294),0),2)&gt;0,"Profit","Draw"))))))</x:f>
      </x:c>
      <x:c r="V294" s="956" t="str">
        <x:f>IF(COUNTA($A294:$M294)=0,"",IF(OR($B294="",$C294="",$U294="Subscription"),"",IFERROR(ROUNDUP(($C294-$B294)/7,0),"")))</x:f>
      </x:c>
      <x:c r="W294" s="114" t="str">
        <x:f>IF(COUNTA($A294:$M294)=0,"",IF(OR($U294="Subscription",$U294=""),"",IF(OR($U294="Free Game",$U294="Disqualified — Free Game"),0,ROUND(IFERROR($Q294,0)-IFERROR($S294,0),2))))</x:f>
      </x:c>
      <x:c r="X294" s="956" t="str">
        <x:f>IF(COUNTA($A294:$M294)=0,"",IF(OR($U294="Subscription",NOT(ISNUMBER($J294)),NOT(ISNUMBER($I294)),$J294=0,$I294=0,$I294&gt;$J294),"",$J294-$I294))</x:f>
      </x:c>
      <x:c r="Y294" s="955" t="str">
        <x:f>IF(COUNTA($A294:$M294)=0,"",IF(OR($U294="Subscription",NOT(ISNUMBER($J294)),$J294=0,$X294=""),"",$X294/$J294))</x:f>
      </x:c>
      <x:c r="Z294" s="957" t="str">
        <x:f>IF(COUNTA($A294:$M294)=0,"",Instructions!$B$29+SUM($W$5:W294))</x:f>
      </x:c>
    </x:row>
    <x:row r="295" ht="36" customHeight="1">
      <x:c r="A295" s="439"/>
      <x:c r="B295" s="453"/>
      <x:c r="C295" s="453"/>
      <x:c r="D295" s="454"/>
      <x:c r="E295" s="454"/>
      <x:c r="F295" s="454"/>
      <x:c r="G295" s="986"/>
      <x:c r="H295" s="455"/>
      <x:c r="I295" s="456"/>
      <x:c r="J295" s="456"/>
      <x:c r="K295" s="986"/>
      <x:c r="L295" s="454"/>
      <x:c r="M295" s="439"/>
      <x:c r="N295" s="987" t="str">
        <x:f>IF(COUNTA($A295:$M295)=0,"",IF(OR(LEFT(LOWER(TRIM($F295&amp;"")),12)="subscription",LOWER(TRIM($F295&amp;""))="membership"),"",IF($G295="","",IF(ISNUMBER(SEARCH("non",LOWER($E295&amp;""))),$G295*0.85,$G295))))</x:f>
      </x:c>
      <x:c r="O295" s="987" t="str">
        <x:f>IF(COUNTA($A295:$M295)=0,"",IF(OR(LEFT(LOWER(TRIM($F295&amp;"")),12)="subscription",LOWER(TRIM($F295&amp;""))="membership"),"",IF(OR($N295="",$I295="",$I295=0),"",IFERROR($N295/$I295,""))))</x:f>
      </x:c>
      <x:c r="P295" s="987" t="str">
        <x:f>IF(COUNTA($A295:$M295)=0,"",IF(OR(LEFT(LOWER(TRIM($F295&amp;"")),12)="subscription",LOWER(TRIM($F295&amp;""))="membership"),"",IF(LOWER($L295&amp;"")="yes",0,IF(OR(AND($H295&lt;&gt;"",$H295=0),LEFT(LOWER(TRIM($F295&amp;"")),9)="free game",LOWER(TRIM($F295&amp;""))="free",LOWER(TRIM($F295&amp;""))="free entry"),IF(LOWER($D295&amp;"")="finalized",IF(ISNUMBER($K295),$K295,""),IF($O295&lt;&gt;"",$O295,"")),IF($K295&lt;&gt;"",$K295,IF($O295&lt;&gt;"",$O295,""))))))</x:f>
      </x:c>
      <x:c r="Q295" s="114" t="str">
        <x:f>IF(COUNTA($A295:$M295)=0,"",IF(OR($U295="Subscription",$U295=""),"",IF($U295="Profit",ROUND(IFERROR($P295,0)-IFERROR($H295,0),2),0)))</x:f>
      </x:c>
      <x:c r="R295" s="114" t="str">
        <x:f>IF(COUNTA($A295:$M295)=0,"",IF(OR($U295="Subscription",$U295=""),"",IF($U295="Draw",$H295,0)))</x:f>
      </x:c>
      <x:c r="S295" s="114" t="str">
        <x:f>IF(COUNTA($A295:$M295)=0,"",IF(OR($U295="Subscription",$U295=""),"",IF($U295="Disqualified",$H295,0)))</x:f>
      </x:c>
      <x:c r="T295" s="955" t="str">
        <x:f>IF(COUNTA($A295:$M295)=0,"",IF(OR($U295="Subscription",$U295=""),"",IF(OR($U295="Free Game",$U295="Disqualified — Free Game",$H295=0),"N/A",IF($U295="Profit",$Q295/$H295,IF($U295="Disqualified",-$S295/$H295,0)))))</x:f>
      </x:c>
      <x:c r="U295" s="920" t="str">
        <x:f>IF(COUNTA($A295:$M295)=0,"",IF(OR(LEFT(LOWER(TRIM($F295&amp;"")),12)="subscription",LOWER(TRIM($F295&amp;""))="membership"),"Subscription",IF(OR(AND($H295&lt;&gt;"",$H295=0),LEFT(LOWER(TRIM($F295&amp;"")),9)="free game",LOWER(TRIM($F295&amp;""))="free",LOWER(TRIM($F295&amp;""))="free entry"),IF(LOWER($L295&amp;"")="yes","Disqualified — Free Game","Free Game"),IF(LOWER($L295&amp;"")="yes","Disqualified",IF($P295="","",IF(ROUND(IFERROR(VALUE($P295),0)-IFERROR(VALUE($H295),0),2)&gt;0,"Profit","Draw"))))))</x:f>
      </x:c>
      <x:c r="V295" s="956" t="str">
        <x:f>IF(COUNTA($A295:$M295)=0,"",IF(OR($B295="",$C295="",$U295="Subscription"),"",IFERROR(ROUNDUP(($C295-$B295)/7,0),"")))</x:f>
      </x:c>
      <x:c r="W295" s="114" t="str">
        <x:f>IF(COUNTA($A295:$M295)=0,"",IF(OR($U295="Subscription",$U295=""),"",IF(OR($U295="Free Game",$U295="Disqualified — Free Game"),0,ROUND(IFERROR($Q295,0)-IFERROR($S295,0),2))))</x:f>
      </x:c>
      <x:c r="X295" s="956" t="str">
        <x:f>IF(COUNTA($A295:$M295)=0,"",IF(OR($U295="Subscription",NOT(ISNUMBER($J295)),NOT(ISNUMBER($I295)),$J295=0,$I295=0,$I295&gt;$J295),"",$J295-$I295))</x:f>
      </x:c>
      <x:c r="Y295" s="955" t="str">
        <x:f>IF(COUNTA($A295:$M295)=0,"",IF(OR($U295="Subscription",NOT(ISNUMBER($J295)),$J295=0,$X295=""),"",$X295/$J295))</x:f>
      </x:c>
      <x:c r="Z295" s="957" t="str">
        <x:f>IF(COUNTA($A295:$M295)=0,"",Instructions!$B$29+SUM($W$5:W295))</x:f>
      </x:c>
    </x:row>
    <x:row r="296" ht="36" customHeight="1">
      <x:c r="A296" s="439"/>
      <x:c r="B296" s="453"/>
      <x:c r="C296" s="453"/>
      <x:c r="D296" s="454"/>
      <x:c r="E296" s="454"/>
      <x:c r="F296" s="454"/>
      <x:c r="G296" s="986"/>
      <x:c r="H296" s="455"/>
      <x:c r="I296" s="456"/>
      <x:c r="J296" s="456"/>
      <x:c r="K296" s="986"/>
      <x:c r="L296" s="454"/>
      <x:c r="M296" s="439"/>
      <x:c r="N296" s="987" t="str">
        <x:f>IF(COUNTA($A296:$M296)=0,"",IF(OR(LEFT(LOWER(TRIM($F296&amp;"")),12)="subscription",LOWER(TRIM($F296&amp;""))="membership"),"",IF($G296="","",IF(ISNUMBER(SEARCH("non",LOWER($E296&amp;""))),$G296*0.85,$G296))))</x:f>
      </x:c>
      <x:c r="O296" s="987" t="str">
        <x:f>IF(COUNTA($A296:$M296)=0,"",IF(OR(LEFT(LOWER(TRIM($F296&amp;"")),12)="subscription",LOWER(TRIM($F296&amp;""))="membership"),"",IF(OR($N296="",$I296="",$I296=0),"",IFERROR($N296/$I296,""))))</x:f>
      </x:c>
      <x:c r="P296" s="987" t="str">
        <x:f>IF(COUNTA($A296:$M296)=0,"",IF(OR(LEFT(LOWER(TRIM($F296&amp;"")),12)="subscription",LOWER(TRIM($F296&amp;""))="membership"),"",IF(LOWER($L296&amp;"")="yes",0,IF(OR(AND($H296&lt;&gt;"",$H296=0),LEFT(LOWER(TRIM($F296&amp;"")),9)="free game",LOWER(TRIM($F296&amp;""))="free",LOWER(TRIM($F296&amp;""))="free entry"),IF(LOWER($D296&amp;"")="finalized",IF(ISNUMBER($K296),$K296,""),IF($O296&lt;&gt;"",$O296,"")),IF($K296&lt;&gt;"",$K296,IF($O296&lt;&gt;"",$O296,""))))))</x:f>
      </x:c>
      <x:c r="Q296" s="114" t="str">
        <x:f>IF(COUNTA($A296:$M296)=0,"",IF(OR($U296="Subscription",$U296=""),"",IF($U296="Profit",ROUND(IFERROR($P296,0)-IFERROR($H296,0),2),0)))</x:f>
      </x:c>
      <x:c r="R296" s="114" t="str">
        <x:f>IF(COUNTA($A296:$M296)=0,"",IF(OR($U296="Subscription",$U296=""),"",IF($U296="Draw",$H296,0)))</x:f>
      </x:c>
      <x:c r="S296" s="114" t="str">
        <x:f>IF(COUNTA($A296:$M296)=0,"",IF(OR($U296="Subscription",$U296=""),"",IF($U296="Disqualified",$H296,0)))</x:f>
      </x:c>
      <x:c r="T296" s="955" t="str">
        <x:f>IF(COUNTA($A296:$M296)=0,"",IF(OR($U296="Subscription",$U296=""),"",IF(OR($U296="Free Game",$U296="Disqualified — Free Game",$H296=0),"N/A",IF($U296="Profit",$Q296/$H296,IF($U296="Disqualified",-$S296/$H296,0)))))</x:f>
      </x:c>
      <x:c r="U296" s="920" t="str">
        <x:f>IF(COUNTA($A296:$M296)=0,"",IF(OR(LEFT(LOWER(TRIM($F296&amp;"")),12)="subscription",LOWER(TRIM($F296&amp;""))="membership"),"Subscription",IF(OR(AND($H296&lt;&gt;"",$H296=0),LEFT(LOWER(TRIM($F296&amp;"")),9)="free game",LOWER(TRIM($F296&amp;""))="free",LOWER(TRIM($F296&amp;""))="free entry"),IF(LOWER($L296&amp;"")="yes","Disqualified — Free Game","Free Game"),IF(LOWER($L296&amp;"")="yes","Disqualified",IF($P296="","",IF(ROUND(IFERROR(VALUE($P296),0)-IFERROR(VALUE($H296),0),2)&gt;0,"Profit","Draw"))))))</x:f>
      </x:c>
      <x:c r="V296" s="956" t="str">
        <x:f>IF(COUNTA($A296:$M296)=0,"",IF(OR($B296="",$C296="",$U296="Subscription"),"",IFERROR(ROUNDUP(($C296-$B296)/7,0),"")))</x:f>
      </x:c>
      <x:c r="W296" s="114" t="str">
        <x:f>IF(COUNTA($A296:$M296)=0,"",IF(OR($U296="Subscription",$U296=""),"",IF(OR($U296="Free Game",$U296="Disqualified — Free Game"),0,ROUND(IFERROR($Q296,0)-IFERROR($S296,0),2))))</x:f>
      </x:c>
      <x:c r="X296" s="956" t="str">
        <x:f>IF(COUNTA($A296:$M296)=0,"",IF(OR($U296="Subscription",NOT(ISNUMBER($J296)),NOT(ISNUMBER($I296)),$J296=0,$I296=0,$I296&gt;$J296),"",$J296-$I296))</x:f>
      </x:c>
      <x:c r="Y296" s="955" t="str">
        <x:f>IF(COUNTA($A296:$M296)=0,"",IF(OR($U296="Subscription",NOT(ISNUMBER($J296)),$J296=0,$X296=""),"",$X296/$J296))</x:f>
      </x:c>
      <x:c r="Z296" s="957" t="str">
        <x:f>IF(COUNTA($A296:$M296)=0,"",Instructions!$B$29+SUM($W$5:W296))</x:f>
      </x:c>
    </x:row>
    <x:row r="297" ht="36" customHeight="1">
      <x:c r="A297" s="439"/>
      <x:c r="B297" s="453"/>
      <x:c r="C297" s="453"/>
      <x:c r="D297" s="454"/>
      <x:c r="E297" s="454"/>
      <x:c r="F297" s="454"/>
      <x:c r="G297" s="986"/>
      <x:c r="H297" s="455"/>
      <x:c r="I297" s="456"/>
      <x:c r="J297" s="456"/>
      <x:c r="K297" s="986"/>
      <x:c r="L297" s="454"/>
      <x:c r="M297" s="439"/>
      <x:c r="N297" s="987" t="str">
        <x:f>IF(COUNTA($A297:$M297)=0,"",IF(OR(LEFT(LOWER(TRIM($F297&amp;"")),12)="subscription",LOWER(TRIM($F297&amp;""))="membership"),"",IF($G297="","",IF(ISNUMBER(SEARCH("non",LOWER($E297&amp;""))),$G297*0.85,$G297))))</x:f>
      </x:c>
      <x:c r="O297" s="987" t="str">
        <x:f>IF(COUNTA($A297:$M297)=0,"",IF(OR(LEFT(LOWER(TRIM($F297&amp;"")),12)="subscription",LOWER(TRIM($F297&amp;""))="membership"),"",IF(OR($N297="",$I297="",$I297=0),"",IFERROR($N297/$I297,""))))</x:f>
      </x:c>
      <x:c r="P297" s="987" t="str">
        <x:f>IF(COUNTA($A297:$M297)=0,"",IF(OR(LEFT(LOWER(TRIM($F297&amp;"")),12)="subscription",LOWER(TRIM($F297&amp;""))="membership"),"",IF(LOWER($L297&amp;"")="yes",0,IF(OR(AND($H297&lt;&gt;"",$H297=0),LEFT(LOWER(TRIM($F297&amp;"")),9)="free game",LOWER(TRIM($F297&amp;""))="free",LOWER(TRIM($F297&amp;""))="free entry"),IF(LOWER($D297&amp;"")="finalized",IF(ISNUMBER($K297),$K297,""),IF($O297&lt;&gt;"",$O297,"")),IF($K297&lt;&gt;"",$K297,IF($O297&lt;&gt;"",$O297,""))))))</x:f>
      </x:c>
      <x:c r="Q297" s="114" t="str">
        <x:f>IF(COUNTA($A297:$M297)=0,"",IF(OR($U297="Subscription",$U297=""),"",IF($U297="Profit",ROUND(IFERROR($P297,0)-IFERROR($H297,0),2),0)))</x:f>
      </x:c>
      <x:c r="R297" s="114" t="str">
        <x:f>IF(COUNTA($A297:$M297)=0,"",IF(OR($U297="Subscription",$U297=""),"",IF($U297="Draw",$H297,0)))</x:f>
      </x:c>
      <x:c r="S297" s="114" t="str">
        <x:f>IF(COUNTA($A297:$M297)=0,"",IF(OR($U297="Subscription",$U297=""),"",IF($U297="Disqualified",$H297,0)))</x:f>
      </x:c>
      <x:c r="T297" s="955" t="str">
        <x:f>IF(COUNTA($A297:$M297)=0,"",IF(OR($U297="Subscription",$U297=""),"",IF(OR($U297="Free Game",$U297="Disqualified — Free Game",$H297=0),"N/A",IF($U297="Profit",$Q297/$H297,IF($U297="Disqualified",-$S297/$H297,0)))))</x:f>
      </x:c>
      <x:c r="U297" s="920" t="str">
        <x:f>IF(COUNTA($A297:$M297)=0,"",IF(OR(LEFT(LOWER(TRIM($F297&amp;"")),12)="subscription",LOWER(TRIM($F297&amp;""))="membership"),"Subscription",IF(OR(AND($H297&lt;&gt;"",$H297=0),LEFT(LOWER(TRIM($F297&amp;"")),9)="free game",LOWER(TRIM($F297&amp;""))="free",LOWER(TRIM($F297&amp;""))="free entry"),IF(LOWER($L297&amp;"")="yes","Disqualified — Free Game","Free Game"),IF(LOWER($L297&amp;"")="yes","Disqualified",IF($P297="","",IF(ROUND(IFERROR(VALUE($P297),0)-IFERROR(VALUE($H297),0),2)&gt;0,"Profit","Draw"))))))</x:f>
      </x:c>
      <x:c r="V297" s="956" t="str">
        <x:f>IF(COUNTA($A297:$M297)=0,"",IF(OR($B297="",$C297="",$U297="Subscription"),"",IFERROR(ROUNDUP(($C297-$B297)/7,0),"")))</x:f>
      </x:c>
      <x:c r="W297" s="114" t="str">
        <x:f>IF(COUNTA($A297:$M297)=0,"",IF(OR($U297="Subscription",$U297=""),"",IF(OR($U297="Free Game",$U297="Disqualified — Free Game"),0,ROUND(IFERROR($Q297,0)-IFERROR($S297,0),2))))</x:f>
      </x:c>
      <x:c r="X297" s="956" t="str">
        <x:f>IF(COUNTA($A297:$M297)=0,"",IF(OR($U297="Subscription",NOT(ISNUMBER($J297)),NOT(ISNUMBER($I297)),$J297=0,$I297=0,$I297&gt;$J297),"",$J297-$I297))</x:f>
      </x:c>
      <x:c r="Y297" s="955" t="str">
        <x:f>IF(COUNTA($A297:$M297)=0,"",IF(OR($U297="Subscription",NOT(ISNUMBER($J297)),$J297=0,$X297=""),"",$X297/$J297))</x:f>
      </x:c>
      <x:c r="Z297" s="957" t="str">
        <x:f>IF(COUNTA($A297:$M297)=0,"",Instructions!$B$29+SUM($W$5:W297))</x:f>
      </x:c>
    </x:row>
    <x:row r="298" ht="36" customHeight="1">
      <x:c r="A298" s="439"/>
      <x:c r="B298" s="453"/>
      <x:c r="C298" s="453"/>
      <x:c r="D298" s="454"/>
      <x:c r="E298" s="454"/>
      <x:c r="F298" s="454"/>
      <x:c r="G298" s="986"/>
      <x:c r="H298" s="455"/>
      <x:c r="I298" s="456"/>
      <x:c r="J298" s="456"/>
      <x:c r="K298" s="986"/>
      <x:c r="L298" s="454"/>
      <x:c r="M298" s="439"/>
      <x:c r="N298" s="987" t="str">
        <x:f>IF(COUNTA($A298:$M298)=0,"",IF(OR(LEFT(LOWER(TRIM($F298&amp;"")),12)="subscription",LOWER(TRIM($F298&amp;""))="membership"),"",IF($G298="","",IF(ISNUMBER(SEARCH("non",LOWER($E298&amp;""))),$G298*0.85,$G298))))</x:f>
      </x:c>
      <x:c r="O298" s="987" t="str">
        <x:f>IF(COUNTA($A298:$M298)=0,"",IF(OR(LEFT(LOWER(TRIM($F298&amp;"")),12)="subscription",LOWER(TRIM($F298&amp;""))="membership"),"",IF(OR($N298="",$I298="",$I298=0),"",IFERROR($N298/$I298,""))))</x:f>
      </x:c>
      <x:c r="P298" s="987" t="str">
        <x:f>IF(COUNTA($A298:$M298)=0,"",IF(OR(LEFT(LOWER(TRIM($F298&amp;"")),12)="subscription",LOWER(TRIM($F298&amp;""))="membership"),"",IF(LOWER($L298&amp;"")="yes",0,IF(OR(AND($H298&lt;&gt;"",$H298=0),LEFT(LOWER(TRIM($F298&amp;"")),9)="free game",LOWER(TRIM($F298&amp;""))="free",LOWER(TRIM($F298&amp;""))="free entry"),IF(LOWER($D298&amp;"")="finalized",IF(ISNUMBER($K298),$K298,""),IF($O298&lt;&gt;"",$O298,"")),IF($K298&lt;&gt;"",$K298,IF($O298&lt;&gt;"",$O298,""))))))</x:f>
      </x:c>
      <x:c r="Q298" s="114" t="str">
        <x:f>IF(COUNTA($A298:$M298)=0,"",IF(OR($U298="Subscription",$U298=""),"",IF($U298="Profit",ROUND(IFERROR($P298,0)-IFERROR($H298,0),2),0)))</x:f>
      </x:c>
      <x:c r="R298" s="114" t="str">
        <x:f>IF(COUNTA($A298:$M298)=0,"",IF(OR($U298="Subscription",$U298=""),"",IF($U298="Draw",$H298,0)))</x:f>
      </x:c>
      <x:c r="S298" s="114" t="str">
        <x:f>IF(COUNTA($A298:$M298)=0,"",IF(OR($U298="Subscription",$U298=""),"",IF($U298="Disqualified",$H298,0)))</x:f>
      </x:c>
      <x:c r="T298" s="955" t="str">
        <x:f>IF(COUNTA($A298:$M298)=0,"",IF(OR($U298="Subscription",$U298=""),"",IF(OR($U298="Free Game",$U298="Disqualified — Free Game",$H298=0),"N/A",IF($U298="Profit",$Q298/$H298,IF($U298="Disqualified",-$S298/$H298,0)))))</x:f>
      </x:c>
      <x:c r="U298" s="920" t="str">
        <x:f>IF(COUNTA($A298:$M298)=0,"",IF(OR(LEFT(LOWER(TRIM($F298&amp;"")),12)="subscription",LOWER(TRIM($F298&amp;""))="membership"),"Subscription",IF(OR(AND($H298&lt;&gt;"",$H298=0),LEFT(LOWER(TRIM($F298&amp;"")),9)="free game",LOWER(TRIM($F298&amp;""))="free",LOWER(TRIM($F298&amp;""))="free entry"),IF(LOWER($L298&amp;"")="yes","Disqualified — Free Game","Free Game"),IF(LOWER($L298&amp;"")="yes","Disqualified",IF($P298="","",IF(ROUND(IFERROR(VALUE($P298),0)-IFERROR(VALUE($H298),0),2)&gt;0,"Profit","Draw"))))))</x:f>
      </x:c>
      <x:c r="V298" s="956" t="str">
        <x:f>IF(COUNTA($A298:$M298)=0,"",IF(OR($B298="",$C298="",$U298="Subscription"),"",IFERROR(ROUNDUP(($C298-$B298)/7,0),"")))</x:f>
      </x:c>
      <x:c r="W298" s="114" t="str">
        <x:f>IF(COUNTA($A298:$M298)=0,"",IF(OR($U298="Subscription",$U298=""),"",IF(OR($U298="Free Game",$U298="Disqualified — Free Game"),0,ROUND(IFERROR($Q298,0)-IFERROR($S298,0),2))))</x:f>
      </x:c>
      <x:c r="X298" s="956" t="str">
        <x:f>IF(COUNTA($A298:$M298)=0,"",IF(OR($U298="Subscription",NOT(ISNUMBER($J298)),NOT(ISNUMBER($I298)),$J298=0,$I298=0,$I298&gt;$J298),"",$J298-$I298))</x:f>
      </x:c>
      <x:c r="Y298" s="955" t="str">
        <x:f>IF(COUNTA($A298:$M298)=0,"",IF(OR($U298="Subscription",NOT(ISNUMBER($J298)),$J298=0,$X298=""),"",$X298/$J298))</x:f>
      </x:c>
      <x:c r="Z298" s="957" t="str">
        <x:f>IF(COUNTA($A298:$M298)=0,"",Instructions!$B$29+SUM($W$5:W298))</x:f>
      </x:c>
    </x:row>
    <x:row r="299" ht="36" customHeight="1">
      <x:c r="A299" s="439"/>
      <x:c r="B299" s="453"/>
      <x:c r="C299" s="453"/>
      <x:c r="D299" s="454"/>
      <x:c r="E299" s="454"/>
      <x:c r="F299" s="454"/>
      <x:c r="G299" s="986"/>
      <x:c r="H299" s="455"/>
      <x:c r="I299" s="456"/>
      <x:c r="J299" s="456"/>
      <x:c r="K299" s="986"/>
      <x:c r="L299" s="454"/>
      <x:c r="M299" s="439"/>
      <x:c r="N299" s="987" t="str">
        <x:f>IF(COUNTA($A299:$M299)=0,"",IF(OR(LEFT(LOWER(TRIM($F299&amp;"")),12)="subscription",LOWER(TRIM($F299&amp;""))="membership"),"",IF($G299="","",IF(ISNUMBER(SEARCH("non",LOWER($E299&amp;""))),$G299*0.85,$G299))))</x:f>
      </x:c>
      <x:c r="O299" s="987" t="str">
        <x:f>IF(COUNTA($A299:$M299)=0,"",IF(OR(LEFT(LOWER(TRIM($F299&amp;"")),12)="subscription",LOWER(TRIM($F299&amp;""))="membership"),"",IF(OR($N299="",$I299="",$I299=0),"",IFERROR($N299/$I299,""))))</x:f>
      </x:c>
      <x:c r="P299" s="987" t="str">
        <x:f>IF(COUNTA($A299:$M299)=0,"",IF(OR(LEFT(LOWER(TRIM($F299&amp;"")),12)="subscription",LOWER(TRIM($F299&amp;""))="membership"),"",IF(LOWER($L299&amp;"")="yes",0,IF(OR(AND($H299&lt;&gt;"",$H299=0),LEFT(LOWER(TRIM($F299&amp;"")),9)="free game",LOWER(TRIM($F299&amp;""))="free",LOWER(TRIM($F299&amp;""))="free entry"),IF(LOWER($D299&amp;"")="finalized",IF(ISNUMBER($K299),$K299,""),IF($O299&lt;&gt;"",$O299,"")),IF($K299&lt;&gt;"",$K299,IF($O299&lt;&gt;"",$O299,""))))))</x:f>
      </x:c>
      <x:c r="Q299" s="114" t="str">
        <x:f>IF(COUNTA($A299:$M299)=0,"",IF(OR($U299="Subscription",$U299=""),"",IF($U299="Profit",ROUND(IFERROR($P299,0)-IFERROR($H299,0),2),0)))</x:f>
      </x:c>
      <x:c r="R299" s="114" t="str">
        <x:f>IF(COUNTA($A299:$M299)=0,"",IF(OR($U299="Subscription",$U299=""),"",IF($U299="Draw",$H299,0)))</x:f>
      </x:c>
      <x:c r="S299" s="114" t="str">
        <x:f>IF(COUNTA($A299:$M299)=0,"",IF(OR($U299="Subscription",$U299=""),"",IF($U299="Disqualified",$H299,0)))</x:f>
      </x:c>
      <x:c r="T299" s="955" t="str">
        <x:f>IF(COUNTA($A299:$M299)=0,"",IF(OR($U299="Subscription",$U299=""),"",IF(OR($U299="Free Game",$U299="Disqualified — Free Game",$H299=0),"N/A",IF($U299="Profit",$Q299/$H299,IF($U299="Disqualified",-$S299/$H299,0)))))</x:f>
      </x:c>
      <x:c r="U299" s="920" t="str">
        <x:f>IF(COUNTA($A299:$M299)=0,"",IF(OR(LEFT(LOWER(TRIM($F299&amp;"")),12)="subscription",LOWER(TRIM($F299&amp;""))="membership"),"Subscription",IF(OR(AND($H299&lt;&gt;"",$H299=0),LEFT(LOWER(TRIM($F299&amp;"")),9)="free game",LOWER(TRIM($F299&amp;""))="free",LOWER(TRIM($F299&amp;""))="free entry"),IF(LOWER($L299&amp;"")="yes","Disqualified — Free Game","Free Game"),IF(LOWER($L299&amp;"")="yes","Disqualified",IF($P299="","",IF(ROUND(IFERROR(VALUE($P299),0)-IFERROR(VALUE($H299),0),2)&gt;0,"Profit","Draw"))))))</x:f>
      </x:c>
      <x:c r="V299" s="956" t="str">
        <x:f>IF(COUNTA($A299:$M299)=0,"",IF(OR($B299="",$C299="",$U299="Subscription"),"",IFERROR(ROUNDUP(($C299-$B299)/7,0),"")))</x:f>
      </x:c>
      <x:c r="W299" s="114" t="str">
        <x:f>IF(COUNTA($A299:$M299)=0,"",IF(OR($U299="Subscription",$U299=""),"",IF(OR($U299="Free Game",$U299="Disqualified — Free Game"),0,ROUND(IFERROR($Q299,0)-IFERROR($S299,0),2))))</x:f>
      </x:c>
      <x:c r="X299" s="956" t="str">
        <x:f>IF(COUNTA($A299:$M299)=0,"",IF(OR($U299="Subscription",NOT(ISNUMBER($J299)),NOT(ISNUMBER($I299)),$J299=0,$I299=0,$I299&gt;$J299),"",$J299-$I299))</x:f>
      </x:c>
      <x:c r="Y299" s="955" t="str">
        <x:f>IF(COUNTA($A299:$M299)=0,"",IF(OR($U299="Subscription",NOT(ISNUMBER($J299)),$J299=0,$X299=""),"",$X299/$J299))</x:f>
      </x:c>
      <x:c r="Z299" s="957" t="str">
        <x:f>IF(COUNTA($A299:$M299)=0,"",Instructions!$B$29+SUM($W$5:W299))</x:f>
      </x:c>
    </x:row>
    <x:row r="300" ht="36" customHeight="1">
      <x:c r="A300" s="439"/>
      <x:c r="B300" s="453"/>
      <x:c r="C300" s="453"/>
      <x:c r="D300" s="454"/>
      <x:c r="E300" s="454"/>
      <x:c r="F300" s="454"/>
      <x:c r="G300" s="986"/>
      <x:c r="H300" s="455"/>
      <x:c r="I300" s="456"/>
      <x:c r="J300" s="456"/>
      <x:c r="K300" s="986"/>
      <x:c r="L300" s="454"/>
      <x:c r="M300" s="439"/>
      <x:c r="N300" s="987" t="str">
        <x:f>IF(COUNTA($A300:$M300)=0,"",IF(OR(LEFT(LOWER(TRIM($F300&amp;"")),12)="subscription",LOWER(TRIM($F300&amp;""))="membership"),"",IF($G300="","",IF(ISNUMBER(SEARCH("non",LOWER($E300&amp;""))),$G300*0.85,$G300))))</x:f>
      </x:c>
      <x:c r="O300" s="987" t="str">
        <x:f>IF(COUNTA($A300:$M300)=0,"",IF(OR(LEFT(LOWER(TRIM($F300&amp;"")),12)="subscription",LOWER(TRIM($F300&amp;""))="membership"),"",IF(OR($N300="",$I300="",$I300=0),"",IFERROR($N300/$I300,""))))</x:f>
      </x:c>
      <x:c r="P300" s="987" t="str">
        <x:f>IF(COUNTA($A300:$M300)=0,"",IF(OR(LEFT(LOWER(TRIM($F300&amp;"")),12)="subscription",LOWER(TRIM($F300&amp;""))="membership"),"",IF(LOWER($L300&amp;"")="yes",0,IF(OR(AND($H300&lt;&gt;"",$H300=0),LEFT(LOWER(TRIM($F300&amp;"")),9)="free game",LOWER(TRIM($F300&amp;""))="free",LOWER(TRIM($F300&amp;""))="free entry"),IF(LOWER($D300&amp;"")="finalized",IF(ISNUMBER($K300),$K300,""),IF($O300&lt;&gt;"",$O300,"")),IF($K300&lt;&gt;"",$K300,IF($O300&lt;&gt;"",$O300,""))))))</x:f>
      </x:c>
      <x:c r="Q300" s="114" t="str">
        <x:f>IF(COUNTA($A300:$M300)=0,"",IF(OR($U300="Subscription",$U300=""),"",IF($U300="Profit",ROUND(IFERROR($P300,0)-IFERROR($H300,0),2),0)))</x:f>
      </x:c>
      <x:c r="R300" s="114" t="str">
        <x:f>IF(COUNTA($A300:$M300)=0,"",IF(OR($U300="Subscription",$U300=""),"",IF($U300="Draw",$H300,0)))</x:f>
      </x:c>
      <x:c r="S300" s="114" t="str">
        <x:f>IF(COUNTA($A300:$M300)=0,"",IF(OR($U300="Subscription",$U300=""),"",IF($U300="Disqualified",$H300,0)))</x:f>
      </x:c>
      <x:c r="T300" s="955" t="str">
        <x:f>IF(COUNTA($A300:$M300)=0,"",IF(OR($U300="Subscription",$U300=""),"",IF(OR($U300="Free Game",$U300="Disqualified — Free Game",$H300=0),"N/A",IF($U300="Profit",$Q300/$H300,IF($U300="Disqualified",-$S300/$H300,0)))))</x:f>
      </x:c>
      <x:c r="U300" s="920" t="str">
        <x:f>IF(COUNTA($A300:$M300)=0,"",IF(OR(LEFT(LOWER(TRIM($F300&amp;"")),12)="subscription",LOWER(TRIM($F300&amp;""))="membership"),"Subscription",IF(OR(AND($H300&lt;&gt;"",$H300=0),LEFT(LOWER(TRIM($F300&amp;"")),9)="free game",LOWER(TRIM($F300&amp;""))="free",LOWER(TRIM($F300&amp;""))="free entry"),IF(LOWER($L300&amp;"")="yes","Disqualified — Free Game","Free Game"),IF(LOWER($L300&amp;"")="yes","Disqualified",IF($P300="","",IF(ROUND(IFERROR(VALUE($P300),0)-IFERROR(VALUE($H300),0),2)&gt;0,"Profit","Draw"))))))</x:f>
      </x:c>
      <x:c r="V300" s="956" t="str">
        <x:f>IF(COUNTA($A300:$M300)=0,"",IF(OR($B300="",$C300="",$U300="Subscription"),"",IFERROR(ROUNDUP(($C300-$B300)/7,0),"")))</x:f>
      </x:c>
      <x:c r="W300" s="114" t="str">
        <x:f>IF(COUNTA($A300:$M300)=0,"",IF(OR($U300="Subscription",$U300=""),"",IF(OR($U300="Free Game",$U300="Disqualified — Free Game"),0,ROUND(IFERROR($Q300,0)-IFERROR($S300,0),2))))</x:f>
      </x:c>
      <x:c r="X300" s="956" t="str">
        <x:f>IF(COUNTA($A300:$M300)=0,"",IF(OR($U300="Subscription",NOT(ISNUMBER($J300)),NOT(ISNUMBER($I300)),$J300=0,$I300=0,$I300&gt;$J300),"",$J300-$I300))</x:f>
      </x:c>
      <x:c r="Y300" s="955" t="str">
        <x:f>IF(COUNTA($A300:$M300)=0,"",IF(OR($U300="Subscription",NOT(ISNUMBER($J300)),$J300=0,$X300=""),"",$X300/$J300))</x:f>
      </x:c>
      <x:c r="Z300" s="957" t="str">
        <x:f>IF(COUNTA($A300:$M300)=0,"",Instructions!$B$29+SUM($W$5:W300))</x:f>
      </x:c>
    </x:row>
    <x:row r="301" ht="36" customHeight="1">
      <x:c r="A301" s="439"/>
      <x:c r="B301" s="453"/>
      <x:c r="C301" s="453"/>
      <x:c r="D301" s="454"/>
      <x:c r="E301" s="454"/>
      <x:c r="F301" s="454"/>
      <x:c r="G301" s="986"/>
      <x:c r="H301" s="455"/>
      <x:c r="I301" s="456"/>
      <x:c r="J301" s="456"/>
      <x:c r="K301" s="986"/>
      <x:c r="L301" s="454"/>
      <x:c r="M301" s="439"/>
      <x:c r="N301" s="987" t="str">
        <x:f>IF(COUNTA($A301:$M301)=0,"",IF(OR(LEFT(LOWER(TRIM($F301&amp;"")),12)="subscription",LOWER(TRIM($F301&amp;""))="membership"),"",IF($G301="","",IF(ISNUMBER(SEARCH("non",LOWER($E301&amp;""))),$G301*0.85,$G301))))</x:f>
      </x:c>
      <x:c r="O301" s="987" t="str">
        <x:f>IF(COUNTA($A301:$M301)=0,"",IF(OR(LEFT(LOWER(TRIM($F301&amp;"")),12)="subscription",LOWER(TRIM($F301&amp;""))="membership"),"",IF(OR($N301="",$I301="",$I301=0),"",IFERROR($N301/$I301,""))))</x:f>
      </x:c>
      <x:c r="P301" s="987" t="str">
        <x:f>IF(COUNTA($A301:$M301)=0,"",IF(OR(LEFT(LOWER(TRIM($F301&amp;"")),12)="subscription",LOWER(TRIM($F301&amp;""))="membership"),"",IF(LOWER($L301&amp;"")="yes",0,IF(OR(AND($H301&lt;&gt;"",$H301=0),LEFT(LOWER(TRIM($F301&amp;"")),9)="free game",LOWER(TRIM($F301&amp;""))="free",LOWER(TRIM($F301&amp;""))="free entry"),IF(LOWER($D301&amp;"")="finalized",IF(ISNUMBER($K301),$K301,""),IF($O301&lt;&gt;"",$O301,"")),IF($K301&lt;&gt;"",$K301,IF($O301&lt;&gt;"",$O301,""))))))</x:f>
      </x:c>
      <x:c r="Q301" s="114" t="str">
        <x:f>IF(COUNTA($A301:$M301)=0,"",IF(OR($U301="Subscription",$U301=""),"",IF($U301="Profit",ROUND(IFERROR($P301,0)-IFERROR($H301,0),2),0)))</x:f>
      </x:c>
      <x:c r="R301" s="114" t="str">
        <x:f>IF(COUNTA($A301:$M301)=0,"",IF(OR($U301="Subscription",$U301=""),"",IF($U301="Draw",$H301,0)))</x:f>
      </x:c>
      <x:c r="S301" s="114" t="str">
        <x:f>IF(COUNTA($A301:$M301)=0,"",IF(OR($U301="Subscription",$U301=""),"",IF($U301="Disqualified",$H301,0)))</x:f>
      </x:c>
      <x:c r="T301" s="955" t="str">
        <x:f>IF(COUNTA($A301:$M301)=0,"",IF(OR($U301="Subscription",$U301=""),"",IF(OR($U301="Free Game",$U301="Disqualified — Free Game",$H301=0),"N/A",IF($U301="Profit",$Q301/$H301,IF($U301="Disqualified",-$S301/$H301,0)))))</x:f>
      </x:c>
      <x:c r="U301" s="920" t="str">
        <x:f>IF(COUNTA($A301:$M301)=0,"",IF(OR(LEFT(LOWER(TRIM($F301&amp;"")),12)="subscription",LOWER(TRIM($F301&amp;""))="membership"),"Subscription",IF(OR(AND($H301&lt;&gt;"",$H301=0),LEFT(LOWER(TRIM($F301&amp;"")),9)="free game",LOWER(TRIM($F301&amp;""))="free",LOWER(TRIM($F301&amp;""))="free entry"),IF(LOWER($L301&amp;"")="yes","Disqualified — Free Game","Free Game"),IF(LOWER($L301&amp;"")="yes","Disqualified",IF($P301="","",IF(ROUND(IFERROR(VALUE($P301),0)-IFERROR(VALUE($H301),0),2)&gt;0,"Profit","Draw"))))))</x:f>
      </x:c>
      <x:c r="V301" s="956" t="str">
        <x:f>IF(COUNTA($A301:$M301)=0,"",IF(OR($B301="",$C301="",$U301="Subscription"),"",IFERROR(ROUNDUP(($C301-$B301)/7,0),"")))</x:f>
      </x:c>
      <x:c r="W301" s="114" t="str">
        <x:f>IF(COUNTA($A301:$M301)=0,"",IF(OR($U301="Subscription",$U301=""),"",IF(OR($U301="Free Game",$U301="Disqualified — Free Game"),0,ROUND(IFERROR($Q301,0)-IFERROR($S301,0),2))))</x:f>
      </x:c>
      <x:c r="X301" s="956" t="str">
        <x:f>IF(COUNTA($A301:$M301)=0,"",IF(OR($U301="Subscription",NOT(ISNUMBER($J301)),NOT(ISNUMBER($I301)),$J301=0,$I301=0,$I301&gt;$J301),"",$J301-$I301))</x:f>
      </x:c>
      <x:c r="Y301" s="955" t="str">
        <x:f>IF(COUNTA($A301:$M301)=0,"",IF(OR($U301="Subscription",NOT(ISNUMBER($J301)),$J301=0,$X301=""),"",$X301/$J301))</x:f>
      </x:c>
      <x:c r="Z301" s="957" t="str">
        <x:f>IF(COUNTA($A301:$M301)=0,"",Instructions!$B$29+SUM($W$5:W301))</x:f>
      </x:c>
    </x:row>
    <x:row r="302" ht="36" customHeight="1">
      <x:c r="A302" s="439"/>
      <x:c r="B302" s="453"/>
      <x:c r="C302" s="453"/>
      <x:c r="D302" s="454"/>
      <x:c r="E302" s="454"/>
      <x:c r="F302" s="454"/>
      <x:c r="G302" s="986"/>
      <x:c r="H302" s="455"/>
      <x:c r="I302" s="456"/>
      <x:c r="J302" s="456"/>
      <x:c r="K302" s="986"/>
      <x:c r="L302" s="454"/>
      <x:c r="M302" s="439"/>
      <x:c r="N302" s="987" t="str">
        <x:f>IF(COUNTA($A302:$M302)=0,"",IF(OR(LEFT(LOWER(TRIM($F302&amp;"")),12)="subscription",LOWER(TRIM($F302&amp;""))="membership"),"",IF($G302="","",IF(ISNUMBER(SEARCH("non",LOWER($E302&amp;""))),$G302*0.85,$G302))))</x:f>
      </x:c>
      <x:c r="O302" s="987" t="str">
        <x:f>IF(COUNTA($A302:$M302)=0,"",IF(OR(LEFT(LOWER(TRIM($F302&amp;"")),12)="subscription",LOWER(TRIM($F302&amp;""))="membership"),"",IF(OR($N302="",$I302="",$I302=0),"",IFERROR($N302/$I302,""))))</x:f>
      </x:c>
      <x:c r="P302" s="987" t="str">
        <x:f>IF(COUNTA($A302:$M302)=0,"",IF(OR(LEFT(LOWER(TRIM($F302&amp;"")),12)="subscription",LOWER(TRIM($F302&amp;""))="membership"),"",IF(LOWER($L302&amp;"")="yes",0,IF(OR(AND($H302&lt;&gt;"",$H302=0),LEFT(LOWER(TRIM($F302&amp;"")),9)="free game",LOWER(TRIM($F302&amp;""))="free",LOWER(TRIM($F302&amp;""))="free entry"),IF(LOWER($D302&amp;"")="finalized",IF(ISNUMBER($K302),$K302,""),IF($O302&lt;&gt;"",$O302,"")),IF($K302&lt;&gt;"",$K302,IF($O302&lt;&gt;"",$O302,""))))))</x:f>
      </x:c>
      <x:c r="Q302" s="114" t="str">
        <x:f>IF(COUNTA($A302:$M302)=0,"",IF(OR($U302="Subscription",$U302=""),"",IF($U302="Profit",ROUND(IFERROR($P302,0)-IFERROR($H302,0),2),0)))</x:f>
      </x:c>
      <x:c r="R302" s="114" t="str">
        <x:f>IF(COUNTA($A302:$M302)=0,"",IF(OR($U302="Subscription",$U302=""),"",IF($U302="Draw",$H302,0)))</x:f>
      </x:c>
      <x:c r="S302" s="114" t="str">
        <x:f>IF(COUNTA($A302:$M302)=0,"",IF(OR($U302="Subscription",$U302=""),"",IF($U302="Disqualified",$H302,0)))</x:f>
      </x:c>
      <x:c r="T302" s="955" t="str">
        <x:f>IF(COUNTA($A302:$M302)=0,"",IF(OR($U302="Subscription",$U302=""),"",IF(OR($U302="Free Game",$U302="Disqualified — Free Game",$H302=0),"N/A",IF($U302="Profit",$Q302/$H302,IF($U302="Disqualified",-$S302/$H302,0)))))</x:f>
      </x:c>
      <x:c r="U302" s="920" t="str">
        <x:f>IF(COUNTA($A302:$M302)=0,"",IF(OR(LEFT(LOWER(TRIM($F302&amp;"")),12)="subscription",LOWER(TRIM($F302&amp;""))="membership"),"Subscription",IF(OR(AND($H302&lt;&gt;"",$H302=0),LEFT(LOWER(TRIM($F302&amp;"")),9)="free game",LOWER(TRIM($F302&amp;""))="free",LOWER(TRIM($F302&amp;""))="free entry"),IF(LOWER($L302&amp;"")="yes","Disqualified — Free Game","Free Game"),IF(LOWER($L302&amp;"")="yes","Disqualified",IF($P302="","",IF(ROUND(IFERROR(VALUE($P302),0)-IFERROR(VALUE($H302),0),2)&gt;0,"Profit","Draw"))))))</x:f>
      </x:c>
      <x:c r="V302" s="956" t="str">
        <x:f>IF(COUNTA($A302:$M302)=0,"",IF(OR($B302="",$C302="",$U302="Subscription"),"",IFERROR(ROUNDUP(($C302-$B302)/7,0),"")))</x:f>
      </x:c>
      <x:c r="W302" s="114" t="str">
        <x:f>IF(COUNTA($A302:$M302)=0,"",IF(OR($U302="Subscription",$U302=""),"",IF(OR($U302="Free Game",$U302="Disqualified — Free Game"),0,ROUND(IFERROR($Q302,0)-IFERROR($S302,0),2))))</x:f>
      </x:c>
      <x:c r="X302" s="956" t="str">
        <x:f>IF(COUNTA($A302:$M302)=0,"",IF(OR($U302="Subscription",NOT(ISNUMBER($J302)),NOT(ISNUMBER($I302)),$J302=0,$I302=0,$I302&gt;$J302),"",$J302-$I302))</x:f>
      </x:c>
      <x:c r="Y302" s="955" t="str">
        <x:f>IF(COUNTA($A302:$M302)=0,"",IF(OR($U302="Subscription",NOT(ISNUMBER($J302)),$J302=0,$X302=""),"",$X302/$J302))</x:f>
      </x:c>
      <x:c r="Z302" s="957" t="str">
        <x:f>IF(COUNTA($A302:$M302)=0,"",Instructions!$B$29+SUM($W$5:W302))</x:f>
      </x:c>
    </x:row>
    <x:row r="303" ht="36" customHeight="1">
      <x:c r="A303" s="439"/>
      <x:c r="B303" s="453"/>
      <x:c r="C303" s="453"/>
      <x:c r="D303" s="454"/>
      <x:c r="E303" s="454"/>
      <x:c r="F303" s="454"/>
      <x:c r="G303" s="986"/>
      <x:c r="H303" s="455"/>
      <x:c r="I303" s="456"/>
      <x:c r="J303" s="456"/>
      <x:c r="K303" s="986"/>
      <x:c r="L303" s="454"/>
      <x:c r="M303" s="439"/>
      <x:c r="N303" s="987" t="str">
        <x:f>IF(COUNTA($A303:$M303)=0,"",IF(OR(LEFT(LOWER(TRIM($F303&amp;"")),12)="subscription",LOWER(TRIM($F303&amp;""))="membership"),"",IF($G303="","",IF(ISNUMBER(SEARCH("non",LOWER($E303&amp;""))),$G303*0.85,$G303))))</x:f>
      </x:c>
      <x:c r="O303" s="987" t="str">
        <x:f>IF(COUNTA($A303:$M303)=0,"",IF(OR(LEFT(LOWER(TRIM($F303&amp;"")),12)="subscription",LOWER(TRIM($F303&amp;""))="membership"),"",IF(OR($N303="",$I303="",$I303=0),"",IFERROR($N303/$I303,""))))</x:f>
      </x:c>
      <x:c r="P303" s="987" t="str">
        <x:f>IF(COUNTA($A303:$M303)=0,"",IF(OR(LEFT(LOWER(TRIM($F303&amp;"")),12)="subscription",LOWER(TRIM($F303&amp;""))="membership"),"",IF(LOWER($L303&amp;"")="yes",0,IF(OR(AND($H303&lt;&gt;"",$H303=0),LEFT(LOWER(TRIM($F303&amp;"")),9)="free game",LOWER(TRIM($F303&amp;""))="free",LOWER(TRIM($F303&amp;""))="free entry"),IF(LOWER($D303&amp;"")="finalized",IF(ISNUMBER($K303),$K303,""),IF($O303&lt;&gt;"",$O303,"")),IF($K303&lt;&gt;"",$K303,IF($O303&lt;&gt;"",$O303,""))))))</x:f>
      </x:c>
      <x:c r="Q303" s="114" t="str">
        <x:f>IF(COUNTA($A303:$M303)=0,"",IF(OR($U303="Subscription",$U303=""),"",IF($U303="Profit",ROUND(IFERROR($P303,0)-IFERROR($H303,0),2),0)))</x:f>
      </x:c>
      <x:c r="R303" s="114" t="str">
        <x:f>IF(COUNTA($A303:$M303)=0,"",IF(OR($U303="Subscription",$U303=""),"",IF($U303="Draw",$H303,0)))</x:f>
      </x:c>
      <x:c r="S303" s="114" t="str">
        <x:f>IF(COUNTA($A303:$M303)=0,"",IF(OR($U303="Subscription",$U303=""),"",IF($U303="Disqualified",$H303,0)))</x:f>
      </x:c>
      <x:c r="T303" s="955" t="str">
        <x:f>IF(COUNTA($A303:$M303)=0,"",IF(OR($U303="Subscription",$U303=""),"",IF(OR($U303="Free Game",$U303="Disqualified — Free Game",$H303=0),"N/A",IF($U303="Profit",$Q303/$H303,IF($U303="Disqualified",-$S303/$H303,0)))))</x:f>
      </x:c>
      <x:c r="U303" s="920" t="str">
        <x:f>IF(COUNTA($A303:$M303)=0,"",IF(OR(LEFT(LOWER(TRIM($F303&amp;"")),12)="subscription",LOWER(TRIM($F303&amp;""))="membership"),"Subscription",IF(OR(AND($H303&lt;&gt;"",$H303=0),LEFT(LOWER(TRIM($F303&amp;"")),9)="free game",LOWER(TRIM($F303&amp;""))="free",LOWER(TRIM($F303&amp;""))="free entry"),IF(LOWER($L303&amp;"")="yes","Disqualified — Free Game","Free Game"),IF(LOWER($L303&amp;"")="yes","Disqualified",IF($P303="","",IF(ROUND(IFERROR(VALUE($P303),0)-IFERROR(VALUE($H303),0),2)&gt;0,"Profit","Draw"))))))</x:f>
      </x:c>
      <x:c r="V303" s="956" t="str">
        <x:f>IF(COUNTA($A303:$M303)=0,"",IF(OR($B303="",$C303="",$U303="Subscription"),"",IFERROR(ROUNDUP(($C303-$B303)/7,0),"")))</x:f>
      </x:c>
      <x:c r="W303" s="114" t="str">
        <x:f>IF(COUNTA($A303:$M303)=0,"",IF(OR($U303="Subscription",$U303=""),"",IF(OR($U303="Free Game",$U303="Disqualified — Free Game"),0,ROUND(IFERROR($Q303,0)-IFERROR($S303,0),2))))</x:f>
      </x:c>
      <x:c r="X303" s="956" t="str">
        <x:f>IF(COUNTA($A303:$M303)=0,"",IF(OR($U303="Subscription",NOT(ISNUMBER($J303)),NOT(ISNUMBER($I303)),$J303=0,$I303=0,$I303&gt;$J303),"",$J303-$I303))</x:f>
      </x:c>
      <x:c r="Y303" s="955" t="str">
        <x:f>IF(COUNTA($A303:$M303)=0,"",IF(OR($U303="Subscription",NOT(ISNUMBER($J303)),$J303=0,$X303=""),"",$X303/$J303))</x:f>
      </x:c>
      <x:c r="Z303" s="957" t="str">
        <x:f>IF(COUNTA($A303:$M303)=0,"",Instructions!$B$29+SUM($W$5:W303))</x:f>
      </x:c>
    </x:row>
    <x:row r="304" ht="36" customHeight="1">
      <x:c r="A304" s="439"/>
      <x:c r="B304" s="453"/>
      <x:c r="C304" s="453"/>
      <x:c r="D304" s="454"/>
      <x:c r="E304" s="454"/>
      <x:c r="F304" s="454"/>
      <x:c r="G304" s="986"/>
      <x:c r="H304" s="455"/>
      <x:c r="I304" s="456"/>
      <x:c r="J304" s="456"/>
      <x:c r="K304" s="986"/>
      <x:c r="L304" s="454"/>
      <x:c r="M304" s="439"/>
      <x:c r="N304" s="987" t="str">
        <x:f>IF(COUNTA($A304:$M304)=0,"",IF(OR(LEFT(LOWER(TRIM($F304&amp;"")),12)="subscription",LOWER(TRIM($F304&amp;""))="membership"),"",IF($G304="","",IF(ISNUMBER(SEARCH("non",LOWER($E304&amp;""))),$G304*0.85,$G304))))</x:f>
      </x:c>
      <x:c r="O304" s="987" t="str">
        <x:f>IF(COUNTA($A304:$M304)=0,"",IF(OR(LEFT(LOWER(TRIM($F304&amp;"")),12)="subscription",LOWER(TRIM($F304&amp;""))="membership"),"",IF(OR($N304="",$I304="",$I304=0),"",IFERROR($N304/$I304,""))))</x:f>
      </x:c>
      <x:c r="P304" s="987" t="str">
        <x:f>IF(COUNTA($A304:$M304)=0,"",IF(OR(LEFT(LOWER(TRIM($F304&amp;"")),12)="subscription",LOWER(TRIM($F304&amp;""))="membership"),"",IF(LOWER($L304&amp;"")="yes",0,IF(OR(AND($H304&lt;&gt;"",$H304=0),LEFT(LOWER(TRIM($F304&amp;"")),9)="free game",LOWER(TRIM($F304&amp;""))="free",LOWER(TRIM($F304&amp;""))="free entry"),IF(LOWER($D304&amp;"")="finalized",IF(ISNUMBER($K304),$K304,""),IF($O304&lt;&gt;"",$O304,"")),IF($K304&lt;&gt;"",$K304,IF($O304&lt;&gt;"",$O304,""))))))</x:f>
      </x:c>
      <x:c r="Q304" s="114" t="str">
        <x:f>IF(COUNTA($A304:$M304)=0,"",IF(OR($U304="Subscription",$U304=""),"",IF($U304="Profit",ROUND(IFERROR($P304,0)-IFERROR($H304,0),2),0)))</x:f>
      </x:c>
      <x:c r="R304" s="114" t="str">
        <x:f>IF(COUNTA($A304:$M304)=0,"",IF(OR($U304="Subscription",$U304=""),"",IF($U304="Draw",$H304,0)))</x:f>
      </x:c>
      <x:c r="S304" s="114" t="str">
        <x:f>IF(COUNTA($A304:$M304)=0,"",IF(OR($U304="Subscription",$U304=""),"",IF($U304="Disqualified",$H304,0)))</x:f>
      </x:c>
      <x:c r="T304" s="955" t="str">
        <x:f>IF(COUNTA($A304:$M304)=0,"",IF(OR($U304="Subscription",$U304=""),"",IF(OR($U304="Free Game",$U304="Disqualified — Free Game",$H304=0),"N/A",IF($U304="Profit",$Q304/$H304,IF($U304="Disqualified",-$S304/$H304,0)))))</x:f>
      </x:c>
      <x:c r="U304" s="920" t="str">
        <x:f>IF(COUNTA($A304:$M304)=0,"",IF(OR(LEFT(LOWER(TRIM($F304&amp;"")),12)="subscription",LOWER(TRIM($F304&amp;""))="membership"),"Subscription",IF(OR(AND($H304&lt;&gt;"",$H304=0),LEFT(LOWER(TRIM($F304&amp;"")),9)="free game",LOWER(TRIM($F304&amp;""))="free",LOWER(TRIM($F304&amp;""))="free entry"),IF(LOWER($L304&amp;"")="yes","Disqualified — Free Game","Free Game"),IF(LOWER($L304&amp;"")="yes","Disqualified",IF($P304="","",IF(ROUND(IFERROR(VALUE($P304),0)-IFERROR(VALUE($H304),0),2)&gt;0,"Profit","Draw"))))))</x:f>
      </x:c>
      <x:c r="V304" s="956" t="str">
        <x:f>IF(COUNTA($A304:$M304)=0,"",IF(OR($B304="",$C304="",$U304="Subscription"),"",IFERROR(ROUNDUP(($C304-$B304)/7,0),"")))</x:f>
      </x:c>
      <x:c r="W304" s="114" t="str">
        <x:f>IF(COUNTA($A304:$M304)=0,"",IF(OR($U304="Subscription",$U304=""),"",IF(OR($U304="Free Game",$U304="Disqualified — Free Game"),0,ROUND(IFERROR($Q304,0)-IFERROR($S304,0),2))))</x:f>
      </x:c>
      <x:c r="X304" s="956" t="str">
        <x:f>IF(COUNTA($A304:$M304)=0,"",IF(OR($U304="Subscription",NOT(ISNUMBER($J304)),NOT(ISNUMBER($I304)),$J304=0,$I304=0,$I304&gt;$J304),"",$J304-$I304))</x:f>
      </x:c>
      <x:c r="Y304" s="955" t="str">
        <x:f>IF(COUNTA($A304:$M304)=0,"",IF(OR($U304="Subscription",NOT(ISNUMBER($J304)),$J304=0,$X304=""),"",$X304/$J304))</x:f>
      </x:c>
      <x:c r="Z304" s="957" t="str">
        <x:f>IF(COUNTA($A304:$M304)=0,"",Instructions!$B$29+SUM($W$5:W304))</x:f>
      </x:c>
    </x:row>
    <x:row r="305" ht="36" customHeight="1">
      <x:c r="A305" s="439"/>
      <x:c r="B305" s="453"/>
      <x:c r="C305" s="453"/>
      <x:c r="D305" s="454"/>
      <x:c r="E305" s="454"/>
      <x:c r="F305" s="454"/>
      <x:c r="G305" s="986"/>
      <x:c r="H305" s="455"/>
      <x:c r="I305" s="456"/>
      <x:c r="J305" s="456"/>
      <x:c r="K305" s="986"/>
      <x:c r="L305" s="454"/>
      <x:c r="M305" s="439"/>
      <x:c r="N305" s="987" t="str">
        <x:f>IF(COUNTA($A305:$M305)=0,"",IF(OR(LEFT(LOWER(TRIM($F305&amp;"")),12)="subscription",LOWER(TRIM($F305&amp;""))="membership"),"",IF($G305="","",IF(ISNUMBER(SEARCH("non",LOWER($E305&amp;""))),$G305*0.85,$G305))))</x:f>
      </x:c>
      <x:c r="O305" s="987" t="str">
        <x:f>IF(COUNTA($A305:$M305)=0,"",IF(OR(LEFT(LOWER(TRIM($F305&amp;"")),12)="subscription",LOWER(TRIM($F305&amp;""))="membership"),"",IF(OR($N305="",$I305="",$I305=0),"",IFERROR($N305/$I305,""))))</x:f>
      </x:c>
      <x:c r="P305" s="987" t="str">
        <x:f>IF(COUNTA($A305:$M305)=0,"",IF(OR(LEFT(LOWER(TRIM($F305&amp;"")),12)="subscription",LOWER(TRIM($F305&amp;""))="membership"),"",IF(LOWER($L305&amp;"")="yes",0,IF(OR(AND($H305&lt;&gt;"",$H305=0),LEFT(LOWER(TRIM($F305&amp;"")),9)="free game",LOWER(TRIM($F305&amp;""))="free",LOWER(TRIM($F305&amp;""))="free entry"),IF(LOWER($D305&amp;"")="finalized",IF(ISNUMBER($K305),$K305,""),IF($O305&lt;&gt;"",$O305,"")),IF($K305&lt;&gt;"",$K305,IF($O305&lt;&gt;"",$O305,""))))))</x:f>
      </x:c>
      <x:c r="Q305" s="114" t="str">
        <x:f>IF(COUNTA($A305:$M305)=0,"",IF(OR($U305="Subscription",$U305=""),"",IF($U305="Profit",ROUND(IFERROR($P305,0)-IFERROR($H305,0),2),0)))</x:f>
      </x:c>
      <x:c r="R305" s="114" t="str">
        <x:f>IF(COUNTA($A305:$M305)=0,"",IF(OR($U305="Subscription",$U305=""),"",IF($U305="Draw",$H305,0)))</x:f>
      </x:c>
      <x:c r="S305" s="114" t="str">
        <x:f>IF(COUNTA($A305:$M305)=0,"",IF(OR($U305="Subscription",$U305=""),"",IF($U305="Disqualified",$H305,0)))</x:f>
      </x:c>
      <x:c r="T305" s="955" t="str">
        <x:f>IF(COUNTA($A305:$M305)=0,"",IF(OR($U305="Subscription",$U305=""),"",IF(OR($U305="Free Game",$U305="Disqualified — Free Game",$H305=0),"N/A",IF($U305="Profit",$Q305/$H305,IF($U305="Disqualified",-$S305/$H305,0)))))</x:f>
      </x:c>
      <x:c r="U305" s="920" t="str">
        <x:f>IF(COUNTA($A305:$M305)=0,"",IF(OR(LEFT(LOWER(TRIM($F305&amp;"")),12)="subscription",LOWER(TRIM($F305&amp;""))="membership"),"Subscription",IF(OR(AND($H305&lt;&gt;"",$H305=0),LEFT(LOWER(TRIM($F305&amp;"")),9)="free game",LOWER(TRIM($F305&amp;""))="free",LOWER(TRIM($F305&amp;""))="free entry"),IF(LOWER($L305&amp;"")="yes","Disqualified — Free Game","Free Game"),IF(LOWER($L305&amp;"")="yes","Disqualified",IF($P305="","",IF(ROUND(IFERROR(VALUE($P305),0)-IFERROR(VALUE($H305),0),2)&gt;0,"Profit","Draw"))))))</x:f>
      </x:c>
      <x:c r="V305" s="956" t="str">
        <x:f>IF(COUNTA($A305:$M305)=0,"",IF(OR($B305="",$C305="",$U305="Subscription"),"",IFERROR(ROUNDUP(($C305-$B305)/7,0),"")))</x:f>
      </x:c>
      <x:c r="W305" s="114" t="str">
        <x:f>IF(COUNTA($A305:$M305)=0,"",IF(OR($U305="Subscription",$U305=""),"",IF(OR($U305="Free Game",$U305="Disqualified — Free Game"),0,ROUND(IFERROR($Q305,0)-IFERROR($S305,0),2))))</x:f>
      </x:c>
      <x:c r="X305" s="956" t="str">
        <x:f>IF(COUNTA($A305:$M305)=0,"",IF(OR($U305="Subscription",NOT(ISNUMBER($J305)),NOT(ISNUMBER($I305)),$J305=0,$I305=0,$I305&gt;$J305),"",$J305-$I305))</x:f>
      </x:c>
      <x:c r="Y305" s="955" t="str">
        <x:f>IF(COUNTA($A305:$M305)=0,"",IF(OR($U305="Subscription",NOT(ISNUMBER($J305)),$J305=0,$X305=""),"",$X305/$J305))</x:f>
      </x:c>
      <x:c r="Z305" s="957" t="str">
        <x:f>IF(COUNTA($A305:$M305)=0,"",Instructions!$B$29+SUM($W$5:W305))</x:f>
      </x:c>
    </x:row>
    <x:row r="306" ht="36" customHeight="1">
      <x:c r="A306" s="439"/>
      <x:c r="B306" s="453"/>
      <x:c r="C306" s="453"/>
      <x:c r="D306" s="454"/>
      <x:c r="E306" s="454"/>
      <x:c r="F306" s="454"/>
      <x:c r="G306" s="986"/>
      <x:c r="H306" s="455"/>
      <x:c r="I306" s="456"/>
      <x:c r="J306" s="456"/>
      <x:c r="K306" s="986"/>
      <x:c r="L306" s="454"/>
      <x:c r="M306" s="439"/>
      <x:c r="N306" s="987" t="str">
        <x:f>IF(COUNTA($A306:$M306)=0,"",IF(OR(LEFT(LOWER(TRIM($F306&amp;"")),12)="subscription",LOWER(TRIM($F306&amp;""))="membership"),"",IF($G306="","",IF(ISNUMBER(SEARCH("non",LOWER($E306&amp;""))),$G306*0.85,$G306))))</x:f>
      </x:c>
      <x:c r="O306" s="987" t="str">
        <x:f>IF(COUNTA($A306:$M306)=0,"",IF(OR(LEFT(LOWER(TRIM($F306&amp;"")),12)="subscription",LOWER(TRIM($F306&amp;""))="membership"),"",IF(OR($N306="",$I306="",$I306=0),"",IFERROR($N306/$I306,""))))</x:f>
      </x:c>
      <x:c r="P306" s="987" t="str">
        <x:f>IF(COUNTA($A306:$M306)=0,"",IF(OR(LEFT(LOWER(TRIM($F306&amp;"")),12)="subscription",LOWER(TRIM($F306&amp;""))="membership"),"",IF(LOWER($L306&amp;"")="yes",0,IF(OR(AND($H306&lt;&gt;"",$H306=0),LEFT(LOWER(TRIM($F306&amp;"")),9)="free game",LOWER(TRIM($F306&amp;""))="free",LOWER(TRIM($F306&amp;""))="free entry"),IF(LOWER($D306&amp;"")="finalized",IF(ISNUMBER($K306),$K306,""),IF($O306&lt;&gt;"",$O306,"")),IF($K306&lt;&gt;"",$K306,IF($O306&lt;&gt;"",$O306,""))))))</x:f>
      </x:c>
      <x:c r="Q306" s="114" t="str">
        <x:f>IF(COUNTA($A306:$M306)=0,"",IF(OR($U306="Subscription",$U306=""),"",IF($U306="Profit",ROUND(IFERROR($P306,0)-IFERROR($H306,0),2),0)))</x:f>
      </x:c>
      <x:c r="R306" s="114" t="str">
        <x:f>IF(COUNTA($A306:$M306)=0,"",IF(OR($U306="Subscription",$U306=""),"",IF($U306="Draw",$H306,0)))</x:f>
      </x:c>
      <x:c r="S306" s="114" t="str">
        <x:f>IF(COUNTA($A306:$M306)=0,"",IF(OR($U306="Subscription",$U306=""),"",IF($U306="Disqualified",$H306,0)))</x:f>
      </x:c>
      <x:c r="T306" s="955" t="str">
        <x:f>IF(COUNTA($A306:$M306)=0,"",IF(OR($U306="Subscription",$U306=""),"",IF(OR($U306="Free Game",$U306="Disqualified — Free Game",$H306=0),"N/A",IF($U306="Profit",$Q306/$H306,IF($U306="Disqualified",-$S306/$H306,0)))))</x:f>
      </x:c>
      <x:c r="U306" s="920" t="str">
        <x:f>IF(COUNTA($A306:$M306)=0,"",IF(OR(LEFT(LOWER(TRIM($F306&amp;"")),12)="subscription",LOWER(TRIM($F306&amp;""))="membership"),"Subscription",IF(OR(AND($H306&lt;&gt;"",$H306=0),LEFT(LOWER(TRIM($F306&amp;"")),9)="free game",LOWER(TRIM($F306&amp;""))="free",LOWER(TRIM($F306&amp;""))="free entry"),IF(LOWER($L306&amp;"")="yes","Disqualified — Free Game","Free Game"),IF(LOWER($L306&amp;"")="yes","Disqualified",IF($P306="","",IF(ROUND(IFERROR(VALUE($P306),0)-IFERROR(VALUE($H306),0),2)&gt;0,"Profit","Draw"))))))</x:f>
      </x:c>
      <x:c r="V306" s="956" t="str">
        <x:f>IF(COUNTA($A306:$M306)=0,"",IF(OR($B306="",$C306="",$U306="Subscription"),"",IFERROR(ROUNDUP(($C306-$B306)/7,0),"")))</x:f>
      </x:c>
      <x:c r="W306" s="114" t="str">
        <x:f>IF(COUNTA($A306:$M306)=0,"",IF(OR($U306="Subscription",$U306=""),"",IF(OR($U306="Free Game",$U306="Disqualified — Free Game"),0,ROUND(IFERROR($Q306,0)-IFERROR($S306,0),2))))</x:f>
      </x:c>
      <x:c r="X306" s="956" t="str">
        <x:f>IF(COUNTA($A306:$M306)=0,"",IF(OR($U306="Subscription",NOT(ISNUMBER($J306)),NOT(ISNUMBER($I306)),$J306=0,$I306=0,$I306&gt;$J306),"",$J306-$I306))</x:f>
      </x:c>
      <x:c r="Y306" s="955" t="str">
        <x:f>IF(COUNTA($A306:$M306)=0,"",IF(OR($U306="Subscription",NOT(ISNUMBER($J306)),$J306=0,$X306=""),"",$X306/$J306))</x:f>
      </x:c>
      <x:c r="Z306" s="957" t="str">
        <x:f>IF(COUNTA($A306:$M306)=0,"",Instructions!$B$29+SUM($W$5:W306))</x:f>
      </x:c>
    </x:row>
    <x:row r="307" ht="36" customHeight="1">
      <x:c r="A307" s="439"/>
      <x:c r="B307" s="453"/>
      <x:c r="C307" s="453"/>
      <x:c r="D307" s="454"/>
      <x:c r="E307" s="454"/>
      <x:c r="F307" s="454"/>
      <x:c r="G307" s="986"/>
      <x:c r="H307" s="455"/>
      <x:c r="I307" s="456"/>
      <x:c r="J307" s="456"/>
      <x:c r="K307" s="986"/>
      <x:c r="L307" s="454"/>
      <x:c r="M307" s="439"/>
      <x:c r="N307" s="987" t="str">
        <x:f>IF(COUNTA($A307:$M307)=0,"",IF(OR(LEFT(LOWER(TRIM($F307&amp;"")),12)="subscription",LOWER(TRIM($F307&amp;""))="membership"),"",IF($G307="","",IF(ISNUMBER(SEARCH("non",LOWER($E307&amp;""))),$G307*0.85,$G307))))</x:f>
      </x:c>
      <x:c r="O307" s="987" t="str">
        <x:f>IF(COUNTA($A307:$M307)=0,"",IF(OR(LEFT(LOWER(TRIM($F307&amp;"")),12)="subscription",LOWER(TRIM($F307&amp;""))="membership"),"",IF(OR($N307="",$I307="",$I307=0),"",IFERROR($N307/$I307,""))))</x:f>
      </x:c>
      <x:c r="P307" s="987" t="str">
        <x:f>IF(COUNTA($A307:$M307)=0,"",IF(OR(LEFT(LOWER(TRIM($F307&amp;"")),12)="subscription",LOWER(TRIM($F307&amp;""))="membership"),"",IF(LOWER($L307&amp;"")="yes",0,IF(OR(AND($H307&lt;&gt;"",$H307=0),LEFT(LOWER(TRIM($F307&amp;"")),9)="free game",LOWER(TRIM($F307&amp;""))="free",LOWER(TRIM($F307&amp;""))="free entry"),IF(LOWER($D307&amp;"")="finalized",IF(ISNUMBER($K307),$K307,""),IF($O307&lt;&gt;"",$O307,"")),IF($K307&lt;&gt;"",$K307,IF($O307&lt;&gt;"",$O307,""))))))</x:f>
      </x:c>
      <x:c r="Q307" s="114" t="str">
        <x:f>IF(COUNTA($A307:$M307)=0,"",IF(OR($U307="Subscription",$U307=""),"",IF($U307="Profit",ROUND(IFERROR($P307,0)-IFERROR($H307,0),2),0)))</x:f>
      </x:c>
      <x:c r="R307" s="114" t="str">
        <x:f>IF(COUNTA($A307:$M307)=0,"",IF(OR($U307="Subscription",$U307=""),"",IF($U307="Draw",$H307,0)))</x:f>
      </x:c>
      <x:c r="S307" s="114" t="str">
        <x:f>IF(COUNTA($A307:$M307)=0,"",IF(OR($U307="Subscription",$U307=""),"",IF($U307="Disqualified",$H307,0)))</x:f>
      </x:c>
      <x:c r="T307" s="955" t="str">
        <x:f>IF(COUNTA($A307:$M307)=0,"",IF(OR($U307="Subscription",$U307=""),"",IF(OR($U307="Free Game",$U307="Disqualified — Free Game",$H307=0),"N/A",IF($U307="Profit",$Q307/$H307,IF($U307="Disqualified",-$S307/$H307,0)))))</x:f>
      </x:c>
      <x:c r="U307" s="920" t="str">
        <x:f>IF(COUNTA($A307:$M307)=0,"",IF(OR(LEFT(LOWER(TRIM($F307&amp;"")),12)="subscription",LOWER(TRIM($F307&amp;""))="membership"),"Subscription",IF(OR(AND($H307&lt;&gt;"",$H307=0),LEFT(LOWER(TRIM($F307&amp;"")),9)="free game",LOWER(TRIM($F307&amp;""))="free",LOWER(TRIM($F307&amp;""))="free entry"),IF(LOWER($L307&amp;"")="yes","Disqualified — Free Game","Free Game"),IF(LOWER($L307&amp;"")="yes","Disqualified",IF($P307="","",IF(ROUND(IFERROR(VALUE($P307),0)-IFERROR(VALUE($H307),0),2)&gt;0,"Profit","Draw"))))))</x:f>
      </x:c>
      <x:c r="V307" s="956" t="str">
        <x:f>IF(COUNTA($A307:$M307)=0,"",IF(OR($B307="",$C307="",$U307="Subscription"),"",IFERROR(ROUNDUP(($C307-$B307)/7,0),"")))</x:f>
      </x:c>
      <x:c r="W307" s="114" t="str">
        <x:f>IF(COUNTA($A307:$M307)=0,"",IF(OR($U307="Subscription",$U307=""),"",IF(OR($U307="Free Game",$U307="Disqualified — Free Game"),0,ROUND(IFERROR($Q307,0)-IFERROR($S307,0),2))))</x:f>
      </x:c>
      <x:c r="X307" s="956" t="str">
        <x:f>IF(COUNTA($A307:$M307)=0,"",IF(OR($U307="Subscription",NOT(ISNUMBER($J307)),NOT(ISNUMBER($I307)),$J307=0,$I307=0,$I307&gt;$J307),"",$J307-$I307))</x:f>
      </x:c>
      <x:c r="Y307" s="955" t="str">
        <x:f>IF(COUNTA($A307:$M307)=0,"",IF(OR($U307="Subscription",NOT(ISNUMBER($J307)),$J307=0,$X307=""),"",$X307/$J307))</x:f>
      </x:c>
      <x:c r="Z307" s="957" t="str">
        <x:f>IF(COUNTA($A307:$M307)=0,"",Instructions!$B$29+SUM($W$5:W307))</x:f>
      </x:c>
    </x:row>
    <x:row r="308" ht="36" customHeight="1">
      <x:c r="A308" s="439"/>
      <x:c r="B308" s="453"/>
      <x:c r="C308" s="453"/>
      <x:c r="D308" s="454"/>
      <x:c r="E308" s="454"/>
      <x:c r="F308" s="454"/>
      <x:c r="G308" s="986"/>
      <x:c r="H308" s="455"/>
      <x:c r="I308" s="456"/>
      <x:c r="J308" s="456"/>
      <x:c r="K308" s="986"/>
      <x:c r="L308" s="454"/>
      <x:c r="M308" s="439"/>
      <x:c r="N308" s="987" t="str">
        <x:f>IF(COUNTA($A308:$M308)=0,"",IF(OR(LEFT(LOWER(TRIM($F308&amp;"")),12)="subscription",LOWER(TRIM($F308&amp;""))="membership"),"",IF($G308="","",IF(ISNUMBER(SEARCH("non",LOWER($E308&amp;""))),$G308*0.85,$G308))))</x:f>
      </x:c>
      <x:c r="O308" s="987" t="str">
        <x:f>IF(COUNTA($A308:$M308)=0,"",IF(OR(LEFT(LOWER(TRIM($F308&amp;"")),12)="subscription",LOWER(TRIM($F308&amp;""))="membership"),"",IF(OR($N308="",$I308="",$I308=0),"",IFERROR($N308/$I308,""))))</x:f>
      </x:c>
      <x:c r="P308" s="987" t="str">
        <x:f>IF(COUNTA($A308:$M308)=0,"",IF(OR(LEFT(LOWER(TRIM($F308&amp;"")),12)="subscription",LOWER(TRIM($F308&amp;""))="membership"),"",IF(LOWER($L308&amp;"")="yes",0,IF(OR(AND($H308&lt;&gt;"",$H308=0),LEFT(LOWER(TRIM($F308&amp;"")),9)="free game",LOWER(TRIM($F308&amp;""))="free",LOWER(TRIM($F308&amp;""))="free entry"),IF(LOWER($D308&amp;"")="finalized",IF(ISNUMBER($K308),$K308,""),IF($O308&lt;&gt;"",$O308,"")),IF($K308&lt;&gt;"",$K308,IF($O308&lt;&gt;"",$O308,""))))))</x:f>
      </x:c>
      <x:c r="Q308" s="114" t="str">
        <x:f>IF(COUNTA($A308:$M308)=0,"",IF(OR($U308="Subscription",$U308=""),"",IF($U308="Profit",ROUND(IFERROR($P308,0)-IFERROR($H308,0),2),0)))</x:f>
      </x:c>
      <x:c r="R308" s="114" t="str">
        <x:f>IF(COUNTA($A308:$M308)=0,"",IF(OR($U308="Subscription",$U308=""),"",IF($U308="Draw",$H308,0)))</x:f>
      </x:c>
      <x:c r="S308" s="114" t="str">
        <x:f>IF(COUNTA($A308:$M308)=0,"",IF(OR($U308="Subscription",$U308=""),"",IF($U308="Disqualified",$H308,0)))</x:f>
      </x:c>
      <x:c r="T308" s="955" t="str">
        <x:f>IF(COUNTA($A308:$M308)=0,"",IF(OR($U308="Subscription",$U308=""),"",IF(OR($U308="Free Game",$U308="Disqualified — Free Game",$H308=0),"N/A",IF($U308="Profit",$Q308/$H308,IF($U308="Disqualified",-$S308/$H308,0)))))</x:f>
      </x:c>
      <x:c r="U308" s="920" t="str">
        <x:f>IF(COUNTA($A308:$M308)=0,"",IF(OR(LEFT(LOWER(TRIM($F308&amp;"")),12)="subscription",LOWER(TRIM($F308&amp;""))="membership"),"Subscription",IF(OR(AND($H308&lt;&gt;"",$H308=0),LEFT(LOWER(TRIM($F308&amp;"")),9)="free game",LOWER(TRIM($F308&amp;""))="free",LOWER(TRIM($F308&amp;""))="free entry"),IF(LOWER($L308&amp;"")="yes","Disqualified — Free Game","Free Game"),IF(LOWER($L308&amp;"")="yes","Disqualified",IF($P308="","",IF(ROUND(IFERROR(VALUE($P308),0)-IFERROR(VALUE($H308),0),2)&gt;0,"Profit","Draw"))))))</x:f>
      </x:c>
      <x:c r="V308" s="956" t="str">
        <x:f>IF(COUNTA($A308:$M308)=0,"",IF(OR($B308="",$C308="",$U308="Subscription"),"",IFERROR(ROUNDUP(($C308-$B308)/7,0),"")))</x:f>
      </x:c>
      <x:c r="W308" s="114" t="str">
        <x:f>IF(COUNTA($A308:$M308)=0,"",IF(OR($U308="Subscription",$U308=""),"",IF(OR($U308="Free Game",$U308="Disqualified — Free Game"),0,ROUND(IFERROR($Q308,0)-IFERROR($S308,0),2))))</x:f>
      </x:c>
      <x:c r="X308" s="956" t="str">
        <x:f>IF(COUNTA($A308:$M308)=0,"",IF(OR($U308="Subscription",NOT(ISNUMBER($J308)),NOT(ISNUMBER($I308)),$J308=0,$I308=0,$I308&gt;$J308),"",$J308-$I308))</x:f>
      </x:c>
      <x:c r="Y308" s="955" t="str">
        <x:f>IF(COUNTA($A308:$M308)=0,"",IF(OR($U308="Subscription",NOT(ISNUMBER($J308)),$J308=0,$X308=""),"",$X308/$J308))</x:f>
      </x:c>
      <x:c r="Z308" s="957" t="str">
        <x:f>IF(COUNTA($A308:$M308)=0,"",Instructions!$B$29+SUM($W$5:W308))</x:f>
      </x:c>
    </x:row>
    <x:row r="309" ht="36" customHeight="1">
      <x:c r="A309" s="439"/>
      <x:c r="B309" s="453"/>
      <x:c r="C309" s="453"/>
      <x:c r="D309" s="454"/>
      <x:c r="E309" s="454"/>
      <x:c r="F309" s="454"/>
      <x:c r="G309" s="986"/>
      <x:c r="H309" s="455"/>
      <x:c r="I309" s="456"/>
      <x:c r="J309" s="456"/>
      <x:c r="K309" s="986"/>
      <x:c r="L309" s="454"/>
      <x:c r="M309" s="439"/>
      <x:c r="N309" s="987" t="str">
        <x:f>IF(COUNTA($A309:$M309)=0,"",IF(OR(LEFT(LOWER(TRIM($F309&amp;"")),12)="subscription",LOWER(TRIM($F309&amp;""))="membership"),"",IF($G309="","",IF(ISNUMBER(SEARCH("non",LOWER($E309&amp;""))),$G309*0.85,$G309))))</x:f>
      </x:c>
      <x:c r="O309" s="987" t="str">
        <x:f>IF(COUNTA($A309:$M309)=0,"",IF(OR(LEFT(LOWER(TRIM($F309&amp;"")),12)="subscription",LOWER(TRIM($F309&amp;""))="membership"),"",IF(OR($N309="",$I309="",$I309=0),"",IFERROR($N309/$I309,""))))</x:f>
      </x:c>
      <x:c r="P309" s="987" t="str">
        <x:f>IF(COUNTA($A309:$M309)=0,"",IF(OR(LEFT(LOWER(TRIM($F309&amp;"")),12)="subscription",LOWER(TRIM($F309&amp;""))="membership"),"",IF(LOWER($L309&amp;"")="yes",0,IF(OR(AND($H309&lt;&gt;"",$H309=0),LEFT(LOWER(TRIM($F309&amp;"")),9)="free game",LOWER(TRIM($F309&amp;""))="free",LOWER(TRIM($F309&amp;""))="free entry"),IF(LOWER($D309&amp;"")="finalized",IF(ISNUMBER($K309),$K309,""),IF($O309&lt;&gt;"",$O309,"")),IF($K309&lt;&gt;"",$K309,IF($O309&lt;&gt;"",$O309,""))))))</x:f>
      </x:c>
      <x:c r="Q309" s="114" t="str">
        <x:f>IF(COUNTA($A309:$M309)=0,"",IF(OR($U309="Subscription",$U309=""),"",IF($U309="Profit",ROUND(IFERROR($P309,0)-IFERROR($H309,0),2),0)))</x:f>
      </x:c>
      <x:c r="R309" s="114" t="str">
        <x:f>IF(COUNTA($A309:$M309)=0,"",IF(OR($U309="Subscription",$U309=""),"",IF($U309="Draw",$H309,0)))</x:f>
      </x:c>
      <x:c r="S309" s="114" t="str">
        <x:f>IF(COUNTA($A309:$M309)=0,"",IF(OR($U309="Subscription",$U309=""),"",IF($U309="Disqualified",$H309,0)))</x:f>
      </x:c>
      <x:c r="T309" s="955" t="str">
        <x:f>IF(COUNTA($A309:$M309)=0,"",IF(OR($U309="Subscription",$U309=""),"",IF(OR($U309="Free Game",$U309="Disqualified — Free Game",$H309=0),"N/A",IF($U309="Profit",$Q309/$H309,IF($U309="Disqualified",-$S309/$H309,0)))))</x:f>
      </x:c>
      <x:c r="U309" s="920" t="str">
        <x:f>IF(COUNTA($A309:$M309)=0,"",IF(OR(LEFT(LOWER(TRIM($F309&amp;"")),12)="subscription",LOWER(TRIM($F309&amp;""))="membership"),"Subscription",IF(OR(AND($H309&lt;&gt;"",$H309=0),LEFT(LOWER(TRIM($F309&amp;"")),9)="free game",LOWER(TRIM($F309&amp;""))="free",LOWER(TRIM($F309&amp;""))="free entry"),IF(LOWER($L309&amp;"")="yes","Disqualified — Free Game","Free Game"),IF(LOWER($L309&amp;"")="yes","Disqualified",IF($P309="","",IF(ROUND(IFERROR(VALUE($P309),0)-IFERROR(VALUE($H309),0),2)&gt;0,"Profit","Draw"))))))</x:f>
      </x:c>
      <x:c r="V309" s="956" t="str">
        <x:f>IF(COUNTA($A309:$M309)=0,"",IF(OR($B309="",$C309="",$U309="Subscription"),"",IFERROR(ROUNDUP(($C309-$B309)/7,0),"")))</x:f>
      </x:c>
      <x:c r="W309" s="114" t="str">
        <x:f>IF(COUNTA($A309:$M309)=0,"",IF(OR($U309="Subscription",$U309=""),"",IF(OR($U309="Free Game",$U309="Disqualified — Free Game"),0,ROUND(IFERROR($Q309,0)-IFERROR($S309,0),2))))</x:f>
      </x:c>
      <x:c r="X309" s="956" t="str">
        <x:f>IF(COUNTA($A309:$M309)=0,"",IF(OR($U309="Subscription",NOT(ISNUMBER($J309)),NOT(ISNUMBER($I309)),$J309=0,$I309=0,$I309&gt;$J309),"",$J309-$I309))</x:f>
      </x:c>
      <x:c r="Y309" s="955" t="str">
        <x:f>IF(COUNTA($A309:$M309)=0,"",IF(OR($U309="Subscription",NOT(ISNUMBER($J309)),$J309=0,$X309=""),"",$X309/$J309))</x:f>
      </x:c>
      <x:c r="Z309" s="957" t="str">
        <x:f>IF(COUNTA($A309:$M309)=0,"",Instructions!$B$29+SUM($W$5:W309))</x:f>
      </x:c>
    </x:row>
    <x:row r="310" ht="36" customHeight="1">
      <x:c r="A310" s="439"/>
      <x:c r="B310" s="453"/>
      <x:c r="C310" s="453"/>
      <x:c r="D310" s="454"/>
      <x:c r="E310" s="454"/>
      <x:c r="F310" s="454"/>
      <x:c r="G310" s="986"/>
      <x:c r="H310" s="455"/>
      <x:c r="I310" s="456"/>
      <x:c r="J310" s="456"/>
      <x:c r="K310" s="986"/>
      <x:c r="L310" s="454"/>
      <x:c r="M310" s="439"/>
      <x:c r="N310" s="987" t="str">
        <x:f>IF(COUNTA($A310:$M310)=0,"",IF(OR(LEFT(LOWER(TRIM($F310&amp;"")),12)="subscription",LOWER(TRIM($F310&amp;""))="membership"),"",IF($G310="","",IF(ISNUMBER(SEARCH("non",LOWER($E310&amp;""))),$G310*0.85,$G310))))</x:f>
      </x:c>
      <x:c r="O310" s="987" t="str">
        <x:f>IF(COUNTA($A310:$M310)=0,"",IF(OR(LEFT(LOWER(TRIM($F310&amp;"")),12)="subscription",LOWER(TRIM($F310&amp;""))="membership"),"",IF(OR($N310="",$I310="",$I310=0),"",IFERROR($N310/$I310,""))))</x:f>
      </x:c>
      <x:c r="P310" s="987" t="str">
        <x:f>IF(COUNTA($A310:$M310)=0,"",IF(OR(LEFT(LOWER(TRIM($F310&amp;"")),12)="subscription",LOWER(TRIM($F310&amp;""))="membership"),"",IF(LOWER($L310&amp;"")="yes",0,IF(OR(AND($H310&lt;&gt;"",$H310=0),LEFT(LOWER(TRIM($F310&amp;"")),9)="free game",LOWER(TRIM($F310&amp;""))="free",LOWER(TRIM($F310&amp;""))="free entry"),IF(LOWER($D310&amp;"")="finalized",IF(ISNUMBER($K310),$K310,""),IF($O310&lt;&gt;"",$O310,"")),IF($K310&lt;&gt;"",$K310,IF($O310&lt;&gt;"",$O310,""))))))</x:f>
      </x:c>
      <x:c r="Q310" s="114" t="str">
        <x:f>IF(COUNTA($A310:$M310)=0,"",IF(OR($U310="Subscription",$U310=""),"",IF($U310="Profit",ROUND(IFERROR($P310,0)-IFERROR($H310,0),2),0)))</x:f>
      </x:c>
      <x:c r="R310" s="114" t="str">
        <x:f>IF(COUNTA($A310:$M310)=0,"",IF(OR($U310="Subscription",$U310=""),"",IF($U310="Draw",$H310,0)))</x:f>
      </x:c>
      <x:c r="S310" s="114" t="str">
        <x:f>IF(COUNTA($A310:$M310)=0,"",IF(OR($U310="Subscription",$U310=""),"",IF($U310="Disqualified",$H310,0)))</x:f>
      </x:c>
      <x:c r="T310" s="955" t="str">
        <x:f>IF(COUNTA($A310:$M310)=0,"",IF(OR($U310="Subscription",$U310=""),"",IF(OR($U310="Free Game",$U310="Disqualified — Free Game",$H310=0),"N/A",IF($U310="Profit",$Q310/$H310,IF($U310="Disqualified",-$S310/$H310,0)))))</x:f>
      </x:c>
      <x:c r="U310" s="920" t="str">
        <x:f>IF(COUNTA($A310:$M310)=0,"",IF(OR(LEFT(LOWER(TRIM($F310&amp;"")),12)="subscription",LOWER(TRIM($F310&amp;""))="membership"),"Subscription",IF(OR(AND($H310&lt;&gt;"",$H310=0),LEFT(LOWER(TRIM($F310&amp;"")),9)="free game",LOWER(TRIM($F310&amp;""))="free",LOWER(TRIM($F310&amp;""))="free entry"),IF(LOWER($L310&amp;"")="yes","Disqualified — Free Game","Free Game"),IF(LOWER($L310&amp;"")="yes","Disqualified",IF($P310="","",IF(ROUND(IFERROR(VALUE($P310),0)-IFERROR(VALUE($H310),0),2)&gt;0,"Profit","Draw"))))))</x:f>
      </x:c>
      <x:c r="V310" s="956" t="str">
        <x:f>IF(COUNTA($A310:$M310)=0,"",IF(OR($B310="",$C310="",$U310="Subscription"),"",IFERROR(ROUNDUP(($C310-$B310)/7,0),"")))</x:f>
      </x:c>
      <x:c r="W310" s="114" t="str">
        <x:f>IF(COUNTA($A310:$M310)=0,"",IF(OR($U310="Subscription",$U310=""),"",IF(OR($U310="Free Game",$U310="Disqualified — Free Game"),0,ROUND(IFERROR($Q310,0)-IFERROR($S310,0),2))))</x:f>
      </x:c>
      <x:c r="X310" s="956" t="str">
        <x:f>IF(COUNTA($A310:$M310)=0,"",IF(OR($U310="Subscription",NOT(ISNUMBER($J310)),NOT(ISNUMBER($I310)),$J310=0,$I310=0,$I310&gt;$J310),"",$J310-$I310))</x:f>
      </x:c>
      <x:c r="Y310" s="955" t="str">
        <x:f>IF(COUNTA($A310:$M310)=0,"",IF(OR($U310="Subscription",NOT(ISNUMBER($J310)),$J310=0,$X310=""),"",$X310/$J310))</x:f>
      </x:c>
      <x:c r="Z310" s="957" t="str">
        <x:f>IF(COUNTA($A310:$M310)=0,"",Instructions!$B$29+SUM($W$5:W310))</x:f>
      </x:c>
    </x:row>
    <x:row r="311" ht="36" customHeight="1">
      <x:c r="A311" s="439"/>
      <x:c r="B311" s="453"/>
      <x:c r="C311" s="453"/>
      <x:c r="D311" s="454"/>
      <x:c r="E311" s="454"/>
      <x:c r="F311" s="454"/>
      <x:c r="G311" s="986"/>
      <x:c r="H311" s="455"/>
      <x:c r="I311" s="456"/>
      <x:c r="J311" s="456"/>
      <x:c r="K311" s="986"/>
      <x:c r="L311" s="454"/>
      <x:c r="M311" s="439"/>
      <x:c r="N311" s="987" t="str">
        <x:f>IF(COUNTA($A311:$M311)=0,"",IF(OR(LEFT(LOWER(TRIM($F311&amp;"")),12)="subscription",LOWER(TRIM($F311&amp;""))="membership"),"",IF($G311="","",IF(ISNUMBER(SEARCH("non",LOWER($E311&amp;""))),$G311*0.85,$G311))))</x:f>
      </x:c>
      <x:c r="O311" s="987" t="str">
        <x:f>IF(COUNTA($A311:$M311)=0,"",IF(OR(LEFT(LOWER(TRIM($F311&amp;"")),12)="subscription",LOWER(TRIM($F311&amp;""))="membership"),"",IF(OR($N311="",$I311="",$I311=0),"",IFERROR($N311/$I311,""))))</x:f>
      </x:c>
      <x:c r="P311" s="987" t="str">
        <x:f>IF(COUNTA($A311:$M311)=0,"",IF(OR(LEFT(LOWER(TRIM($F311&amp;"")),12)="subscription",LOWER(TRIM($F311&amp;""))="membership"),"",IF(LOWER($L311&amp;"")="yes",0,IF(OR(AND($H311&lt;&gt;"",$H311=0),LEFT(LOWER(TRIM($F311&amp;"")),9)="free game",LOWER(TRIM($F311&amp;""))="free",LOWER(TRIM($F311&amp;""))="free entry"),IF(LOWER($D311&amp;"")="finalized",IF(ISNUMBER($K311),$K311,""),IF($O311&lt;&gt;"",$O311,"")),IF($K311&lt;&gt;"",$K311,IF($O311&lt;&gt;"",$O311,""))))))</x:f>
      </x:c>
      <x:c r="Q311" s="114" t="str">
        <x:f>IF(COUNTA($A311:$M311)=0,"",IF(OR($U311="Subscription",$U311=""),"",IF($U311="Profit",ROUND(IFERROR($P311,0)-IFERROR($H311,0),2),0)))</x:f>
      </x:c>
      <x:c r="R311" s="114" t="str">
        <x:f>IF(COUNTA($A311:$M311)=0,"",IF(OR($U311="Subscription",$U311=""),"",IF($U311="Draw",$H311,0)))</x:f>
      </x:c>
      <x:c r="S311" s="114" t="str">
        <x:f>IF(COUNTA($A311:$M311)=0,"",IF(OR($U311="Subscription",$U311=""),"",IF($U311="Disqualified",$H311,0)))</x:f>
      </x:c>
      <x:c r="T311" s="955" t="str">
        <x:f>IF(COUNTA($A311:$M311)=0,"",IF(OR($U311="Subscription",$U311=""),"",IF(OR($U311="Free Game",$U311="Disqualified — Free Game",$H311=0),"N/A",IF($U311="Profit",$Q311/$H311,IF($U311="Disqualified",-$S311/$H311,0)))))</x:f>
      </x:c>
      <x:c r="U311" s="920" t="str">
        <x:f>IF(COUNTA($A311:$M311)=0,"",IF(OR(LEFT(LOWER(TRIM($F311&amp;"")),12)="subscription",LOWER(TRIM($F311&amp;""))="membership"),"Subscription",IF(OR(AND($H311&lt;&gt;"",$H311=0),LEFT(LOWER(TRIM($F311&amp;"")),9)="free game",LOWER(TRIM($F311&amp;""))="free",LOWER(TRIM($F311&amp;""))="free entry"),IF(LOWER($L311&amp;"")="yes","Disqualified — Free Game","Free Game"),IF(LOWER($L311&amp;"")="yes","Disqualified",IF($P311="","",IF(ROUND(IFERROR(VALUE($P311),0)-IFERROR(VALUE($H311),0),2)&gt;0,"Profit","Draw"))))))</x:f>
      </x:c>
      <x:c r="V311" s="956" t="str">
        <x:f>IF(COUNTA($A311:$M311)=0,"",IF(OR($B311="",$C311="",$U311="Subscription"),"",IFERROR(ROUNDUP(($C311-$B311)/7,0),"")))</x:f>
      </x:c>
      <x:c r="W311" s="114" t="str">
        <x:f>IF(COUNTA($A311:$M311)=0,"",IF(OR($U311="Subscription",$U311=""),"",IF(OR($U311="Free Game",$U311="Disqualified — Free Game"),0,ROUND(IFERROR($Q311,0)-IFERROR($S311,0),2))))</x:f>
      </x:c>
      <x:c r="X311" s="956" t="str">
        <x:f>IF(COUNTA($A311:$M311)=0,"",IF(OR($U311="Subscription",NOT(ISNUMBER($J311)),NOT(ISNUMBER($I311)),$J311=0,$I311=0,$I311&gt;$J311),"",$J311-$I311))</x:f>
      </x:c>
      <x:c r="Y311" s="955" t="str">
        <x:f>IF(COUNTA($A311:$M311)=0,"",IF(OR($U311="Subscription",NOT(ISNUMBER($J311)),$J311=0,$X311=""),"",$X311/$J311))</x:f>
      </x:c>
      <x:c r="Z311" s="957" t="str">
        <x:f>IF(COUNTA($A311:$M311)=0,"",Instructions!$B$29+SUM($W$5:W311))</x:f>
      </x:c>
    </x:row>
    <x:row r="312" ht="36" customHeight="1">
      <x:c r="A312" s="439"/>
      <x:c r="B312" s="453"/>
      <x:c r="C312" s="453"/>
      <x:c r="D312" s="454"/>
      <x:c r="E312" s="454"/>
      <x:c r="F312" s="454"/>
      <x:c r="G312" s="986"/>
      <x:c r="H312" s="455"/>
      <x:c r="I312" s="456"/>
      <x:c r="J312" s="456"/>
      <x:c r="K312" s="986"/>
      <x:c r="L312" s="454"/>
      <x:c r="M312" s="439"/>
      <x:c r="N312" s="987" t="str">
        <x:f>IF(COUNTA($A312:$M312)=0,"",IF(OR(LEFT(LOWER(TRIM($F312&amp;"")),12)="subscription",LOWER(TRIM($F312&amp;""))="membership"),"",IF($G312="","",IF(ISNUMBER(SEARCH("non",LOWER($E312&amp;""))),$G312*0.85,$G312))))</x:f>
      </x:c>
      <x:c r="O312" s="987" t="str">
        <x:f>IF(COUNTA($A312:$M312)=0,"",IF(OR(LEFT(LOWER(TRIM($F312&amp;"")),12)="subscription",LOWER(TRIM($F312&amp;""))="membership"),"",IF(OR($N312="",$I312="",$I312=0),"",IFERROR($N312/$I312,""))))</x:f>
      </x:c>
      <x:c r="P312" s="987" t="str">
        <x:f>IF(COUNTA($A312:$M312)=0,"",IF(OR(LEFT(LOWER(TRIM($F312&amp;"")),12)="subscription",LOWER(TRIM($F312&amp;""))="membership"),"",IF(LOWER($L312&amp;"")="yes",0,IF(OR(AND($H312&lt;&gt;"",$H312=0),LEFT(LOWER(TRIM($F312&amp;"")),9)="free game",LOWER(TRIM($F312&amp;""))="free",LOWER(TRIM($F312&amp;""))="free entry"),IF(LOWER($D312&amp;"")="finalized",IF(ISNUMBER($K312),$K312,""),IF($O312&lt;&gt;"",$O312,"")),IF($K312&lt;&gt;"",$K312,IF($O312&lt;&gt;"",$O312,""))))))</x:f>
      </x:c>
      <x:c r="Q312" s="114" t="str">
        <x:f>IF(COUNTA($A312:$M312)=0,"",IF(OR($U312="Subscription",$U312=""),"",IF($U312="Profit",ROUND(IFERROR($P312,0)-IFERROR($H312,0),2),0)))</x:f>
      </x:c>
      <x:c r="R312" s="114" t="str">
        <x:f>IF(COUNTA($A312:$M312)=0,"",IF(OR($U312="Subscription",$U312=""),"",IF($U312="Draw",$H312,0)))</x:f>
      </x:c>
      <x:c r="S312" s="114" t="str">
        <x:f>IF(COUNTA($A312:$M312)=0,"",IF(OR($U312="Subscription",$U312=""),"",IF($U312="Disqualified",$H312,0)))</x:f>
      </x:c>
      <x:c r="T312" s="955" t="str">
        <x:f>IF(COUNTA($A312:$M312)=0,"",IF(OR($U312="Subscription",$U312=""),"",IF(OR($U312="Free Game",$U312="Disqualified — Free Game",$H312=0),"N/A",IF($U312="Profit",$Q312/$H312,IF($U312="Disqualified",-$S312/$H312,0)))))</x:f>
      </x:c>
      <x:c r="U312" s="920" t="str">
        <x:f>IF(COUNTA($A312:$M312)=0,"",IF(OR(LEFT(LOWER(TRIM($F312&amp;"")),12)="subscription",LOWER(TRIM($F312&amp;""))="membership"),"Subscription",IF(OR(AND($H312&lt;&gt;"",$H312=0),LEFT(LOWER(TRIM($F312&amp;"")),9)="free game",LOWER(TRIM($F312&amp;""))="free",LOWER(TRIM($F312&amp;""))="free entry"),IF(LOWER($L312&amp;"")="yes","Disqualified — Free Game","Free Game"),IF(LOWER($L312&amp;"")="yes","Disqualified",IF($P312="","",IF(ROUND(IFERROR(VALUE($P312),0)-IFERROR(VALUE($H312),0),2)&gt;0,"Profit","Draw"))))))</x:f>
      </x:c>
      <x:c r="V312" s="956" t="str">
        <x:f>IF(COUNTA($A312:$M312)=0,"",IF(OR($B312="",$C312="",$U312="Subscription"),"",IFERROR(ROUNDUP(($C312-$B312)/7,0),"")))</x:f>
      </x:c>
      <x:c r="W312" s="114" t="str">
        <x:f>IF(COUNTA($A312:$M312)=0,"",IF(OR($U312="Subscription",$U312=""),"",IF(OR($U312="Free Game",$U312="Disqualified — Free Game"),0,ROUND(IFERROR($Q312,0)-IFERROR($S312,0),2))))</x:f>
      </x:c>
      <x:c r="X312" s="956" t="str">
        <x:f>IF(COUNTA($A312:$M312)=0,"",IF(OR($U312="Subscription",NOT(ISNUMBER($J312)),NOT(ISNUMBER($I312)),$J312=0,$I312=0,$I312&gt;$J312),"",$J312-$I312))</x:f>
      </x:c>
      <x:c r="Y312" s="955" t="str">
        <x:f>IF(COUNTA($A312:$M312)=0,"",IF(OR($U312="Subscription",NOT(ISNUMBER($J312)),$J312=0,$X312=""),"",$X312/$J312))</x:f>
      </x:c>
      <x:c r="Z312" s="957" t="str">
        <x:f>IF(COUNTA($A312:$M312)=0,"",Instructions!$B$29+SUM($W$5:W312))</x:f>
      </x:c>
    </x:row>
    <x:row r="313" ht="36" customHeight="1">
      <x:c r="A313" s="439"/>
      <x:c r="B313" s="453"/>
      <x:c r="C313" s="453"/>
      <x:c r="D313" s="454"/>
      <x:c r="E313" s="454"/>
      <x:c r="F313" s="454"/>
      <x:c r="G313" s="986"/>
      <x:c r="H313" s="455"/>
      <x:c r="I313" s="456"/>
      <x:c r="J313" s="456"/>
      <x:c r="K313" s="986"/>
      <x:c r="L313" s="454"/>
      <x:c r="M313" s="439"/>
      <x:c r="N313" s="987" t="str">
        <x:f>IF(COUNTA($A313:$M313)=0,"",IF(OR(LEFT(LOWER(TRIM($F313&amp;"")),12)="subscription",LOWER(TRIM($F313&amp;""))="membership"),"",IF($G313="","",IF(ISNUMBER(SEARCH("non",LOWER($E313&amp;""))),$G313*0.85,$G313))))</x:f>
      </x:c>
      <x:c r="O313" s="987" t="str">
        <x:f>IF(COUNTA($A313:$M313)=0,"",IF(OR(LEFT(LOWER(TRIM($F313&amp;"")),12)="subscription",LOWER(TRIM($F313&amp;""))="membership"),"",IF(OR($N313="",$I313="",$I313=0),"",IFERROR($N313/$I313,""))))</x:f>
      </x:c>
      <x:c r="P313" s="987" t="str">
        <x:f>IF(COUNTA($A313:$M313)=0,"",IF(OR(LEFT(LOWER(TRIM($F313&amp;"")),12)="subscription",LOWER(TRIM($F313&amp;""))="membership"),"",IF(LOWER($L313&amp;"")="yes",0,IF(OR(AND($H313&lt;&gt;"",$H313=0),LEFT(LOWER(TRIM($F313&amp;"")),9)="free game",LOWER(TRIM($F313&amp;""))="free",LOWER(TRIM($F313&amp;""))="free entry"),IF(LOWER($D313&amp;"")="finalized",IF(ISNUMBER($K313),$K313,""),IF($O313&lt;&gt;"",$O313,"")),IF($K313&lt;&gt;"",$K313,IF($O313&lt;&gt;"",$O313,""))))))</x:f>
      </x:c>
      <x:c r="Q313" s="114" t="str">
        <x:f>IF(COUNTA($A313:$M313)=0,"",IF(OR($U313="Subscription",$U313=""),"",IF($U313="Profit",ROUND(IFERROR($P313,0)-IFERROR($H313,0),2),0)))</x:f>
      </x:c>
      <x:c r="R313" s="114" t="str">
        <x:f>IF(COUNTA($A313:$M313)=0,"",IF(OR($U313="Subscription",$U313=""),"",IF($U313="Draw",$H313,0)))</x:f>
      </x:c>
      <x:c r="S313" s="114" t="str">
        <x:f>IF(COUNTA($A313:$M313)=0,"",IF(OR($U313="Subscription",$U313=""),"",IF($U313="Disqualified",$H313,0)))</x:f>
      </x:c>
      <x:c r="T313" s="955" t="str">
        <x:f>IF(COUNTA($A313:$M313)=0,"",IF(OR($U313="Subscription",$U313=""),"",IF(OR($U313="Free Game",$U313="Disqualified — Free Game",$H313=0),"N/A",IF($U313="Profit",$Q313/$H313,IF($U313="Disqualified",-$S313/$H313,0)))))</x:f>
      </x:c>
      <x:c r="U313" s="920" t="str">
        <x:f>IF(COUNTA($A313:$M313)=0,"",IF(OR(LEFT(LOWER(TRIM($F313&amp;"")),12)="subscription",LOWER(TRIM($F313&amp;""))="membership"),"Subscription",IF(OR(AND($H313&lt;&gt;"",$H313=0),LEFT(LOWER(TRIM($F313&amp;"")),9)="free game",LOWER(TRIM($F313&amp;""))="free",LOWER(TRIM($F313&amp;""))="free entry"),IF(LOWER($L313&amp;"")="yes","Disqualified — Free Game","Free Game"),IF(LOWER($L313&amp;"")="yes","Disqualified",IF($P313="","",IF(ROUND(IFERROR(VALUE($P313),0)-IFERROR(VALUE($H313),0),2)&gt;0,"Profit","Draw"))))))</x:f>
      </x:c>
      <x:c r="V313" s="956" t="str">
        <x:f>IF(COUNTA($A313:$M313)=0,"",IF(OR($B313="",$C313="",$U313="Subscription"),"",IFERROR(ROUNDUP(($C313-$B313)/7,0),"")))</x:f>
      </x:c>
      <x:c r="W313" s="114" t="str">
        <x:f>IF(COUNTA($A313:$M313)=0,"",IF(OR($U313="Subscription",$U313=""),"",IF(OR($U313="Free Game",$U313="Disqualified — Free Game"),0,ROUND(IFERROR($Q313,0)-IFERROR($S313,0),2))))</x:f>
      </x:c>
      <x:c r="X313" s="956" t="str">
        <x:f>IF(COUNTA($A313:$M313)=0,"",IF(OR($U313="Subscription",NOT(ISNUMBER($J313)),NOT(ISNUMBER($I313)),$J313=0,$I313=0,$I313&gt;$J313),"",$J313-$I313))</x:f>
      </x:c>
      <x:c r="Y313" s="955" t="str">
        <x:f>IF(COUNTA($A313:$M313)=0,"",IF(OR($U313="Subscription",NOT(ISNUMBER($J313)),$J313=0,$X313=""),"",$X313/$J313))</x:f>
      </x:c>
      <x:c r="Z313" s="957" t="str">
        <x:f>IF(COUNTA($A313:$M313)=0,"",Instructions!$B$29+SUM($W$5:W313))</x:f>
      </x:c>
    </x:row>
    <x:row r="314" ht="36" customHeight="1">
      <x:c r="A314" s="439"/>
      <x:c r="B314" s="453"/>
      <x:c r="C314" s="453"/>
      <x:c r="D314" s="454"/>
      <x:c r="E314" s="454"/>
      <x:c r="F314" s="454"/>
      <x:c r="G314" s="986"/>
      <x:c r="H314" s="455"/>
      <x:c r="I314" s="456"/>
      <x:c r="J314" s="456"/>
      <x:c r="K314" s="986"/>
      <x:c r="L314" s="454"/>
      <x:c r="M314" s="439"/>
      <x:c r="N314" s="987" t="str">
        <x:f>IF(COUNTA($A314:$M314)=0,"",IF(OR(LEFT(LOWER(TRIM($F314&amp;"")),12)="subscription",LOWER(TRIM($F314&amp;""))="membership"),"",IF($G314="","",IF(ISNUMBER(SEARCH("non",LOWER($E314&amp;""))),$G314*0.85,$G314))))</x:f>
      </x:c>
      <x:c r="O314" s="987" t="str">
        <x:f>IF(COUNTA($A314:$M314)=0,"",IF(OR(LEFT(LOWER(TRIM($F314&amp;"")),12)="subscription",LOWER(TRIM($F314&amp;""))="membership"),"",IF(OR($N314="",$I314="",$I314=0),"",IFERROR($N314/$I314,""))))</x:f>
      </x:c>
      <x:c r="P314" s="987" t="str">
        <x:f>IF(COUNTA($A314:$M314)=0,"",IF(OR(LEFT(LOWER(TRIM($F314&amp;"")),12)="subscription",LOWER(TRIM($F314&amp;""))="membership"),"",IF(LOWER($L314&amp;"")="yes",0,IF(OR(AND($H314&lt;&gt;"",$H314=0),LEFT(LOWER(TRIM($F314&amp;"")),9)="free game",LOWER(TRIM($F314&amp;""))="free",LOWER(TRIM($F314&amp;""))="free entry"),IF(LOWER($D314&amp;"")="finalized",IF(ISNUMBER($K314),$K314,""),IF($O314&lt;&gt;"",$O314,"")),IF($K314&lt;&gt;"",$K314,IF($O314&lt;&gt;"",$O314,""))))))</x:f>
      </x:c>
      <x:c r="Q314" s="114" t="str">
        <x:f>IF(COUNTA($A314:$M314)=0,"",IF(OR($U314="Subscription",$U314=""),"",IF($U314="Profit",ROUND(IFERROR($P314,0)-IFERROR($H314,0),2),0)))</x:f>
      </x:c>
      <x:c r="R314" s="114" t="str">
        <x:f>IF(COUNTA($A314:$M314)=0,"",IF(OR($U314="Subscription",$U314=""),"",IF($U314="Draw",$H314,0)))</x:f>
      </x:c>
      <x:c r="S314" s="114" t="str">
        <x:f>IF(COUNTA($A314:$M314)=0,"",IF(OR($U314="Subscription",$U314=""),"",IF($U314="Disqualified",$H314,0)))</x:f>
      </x:c>
      <x:c r="T314" s="955" t="str">
        <x:f>IF(COUNTA($A314:$M314)=0,"",IF(OR($U314="Subscription",$U314=""),"",IF(OR($U314="Free Game",$U314="Disqualified — Free Game",$H314=0),"N/A",IF($U314="Profit",$Q314/$H314,IF($U314="Disqualified",-$S314/$H314,0)))))</x:f>
      </x:c>
      <x:c r="U314" s="920" t="str">
        <x:f>IF(COUNTA($A314:$M314)=0,"",IF(OR(LEFT(LOWER(TRIM($F314&amp;"")),12)="subscription",LOWER(TRIM($F314&amp;""))="membership"),"Subscription",IF(OR(AND($H314&lt;&gt;"",$H314=0),LEFT(LOWER(TRIM($F314&amp;"")),9)="free game",LOWER(TRIM($F314&amp;""))="free",LOWER(TRIM($F314&amp;""))="free entry"),IF(LOWER($L314&amp;"")="yes","Disqualified — Free Game","Free Game"),IF(LOWER($L314&amp;"")="yes","Disqualified",IF($P314="","",IF(ROUND(IFERROR(VALUE($P314),0)-IFERROR(VALUE($H314),0),2)&gt;0,"Profit","Draw"))))))</x:f>
      </x:c>
      <x:c r="V314" s="956" t="str">
        <x:f>IF(COUNTA($A314:$M314)=0,"",IF(OR($B314="",$C314="",$U314="Subscription"),"",IFERROR(ROUNDUP(($C314-$B314)/7,0),"")))</x:f>
      </x:c>
      <x:c r="W314" s="114" t="str">
        <x:f>IF(COUNTA($A314:$M314)=0,"",IF(OR($U314="Subscription",$U314=""),"",IF(OR($U314="Free Game",$U314="Disqualified — Free Game"),0,ROUND(IFERROR($Q314,0)-IFERROR($S314,0),2))))</x:f>
      </x:c>
      <x:c r="X314" s="956" t="str">
        <x:f>IF(COUNTA($A314:$M314)=0,"",IF(OR($U314="Subscription",NOT(ISNUMBER($J314)),NOT(ISNUMBER($I314)),$J314=0,$I314=0,$I314&gt;$J314),"",$J314-$I314))</x:f>
      </x:c>
      <x:c r="Y314" s="955" t="str">
        <x:f>IF(COUNTA($A314:$M314)=0,"",IF(OR($U314="Subscription",NOT(ISNUMBER($J314)),$J314=0,$X314=""),"",$X314/$J314))</x:f>
      </x:c>
      <x:c r="Z314" s="957" t="str">
        <x:f>IF(COUNTA($A314:$M314)=0,"",Instructions!$B$29+SUM($W$5:W314))</x:f>
      </x:c>
    </x:row>
    <x:row r="315" ht="36" customHeight="1">
      <x:c r="A315" s="439"/>
      <x:c r="B315" s="453"/>
      <x:c r="C315" s="453"/>
      <x:c r="D315" s="454"/>
      <x:c r="E315" s="454"/>
      <x:c r="F315" s="454"/>
      <x:c r="G315" s="986"/>
      <x:c r="H315" s="455"/>
      <x:c r="I315" s="456"/>
      <x:c r="J315" s="456"/>
      <x:c r="K315" s="986"/>
      <x:c r="L315" s="454"/>
      <x:c r="M315" s="439"/>
      <x:c r="N315" s="987" t="str">
        <x:f>IF(COUNTA($A315:$M315)=0,"",IF(OR(LEFT(LOWER(TRIM($F315&amp;"")),12)="subscription",LOWER(TRIM($F315&amp;""))="membership"),"",IF($G315="","",IF(ISNUMBER(SEARCH("non",LOWER($E315&amp;""))),$G315*0.85,$G315))))</x:f>
      </x:c>
      <x:c r="O315" s="987" t="str">
        <x:f>IF(COUNTA($A315:$M315)=0,"",IF(OR(LEFT(LOWER(TRIM($F315&amp;"")),12)="subscription",LOWER(TRIM($F315&amp;""))="membership"),"",IF(OR($N315="",$I315="",$I315=0),"",IFERROR($N315/$I315,""))))</x:f>
      </x:c>
      <x:c r="P315" s="987" t="str">
        <x:f>IF(COUNTA($A315:$M315)=0,"",IF(OR(LEFT(LOWER(TRIM($F315&amp;"")),12)="subscription",LOWER(TRIM($F315&amp;""))="membership"),"",IF(LOWER($L315&amp;"")="yes",0,IF(OR(AND($H315&lt;&gt;"",$H315=0),LEFT(LOWER(TRIM($F315&amp;"")),9)="free game",LOWER(TRIM($F315&amp;""))="free",LOWER(TRIM($F315&amp;""))="free entry"),IF(LOWER($D315&amp;"")="finalized",IF(ISNUMBER($K315),$K315,""),IF($O315&lt;&gt;"",$O315,"")),IF($K315&lt;&gt;"",$K315,IF($O315&lt;&gt;"",$O315,""))))))</x:f>
      </x:c>
      <x:c r="Q315" s="114" t="str">
        <x:f>IF(COUNTA($A315:$M315)=0,"",IF(OR($U315="Subscription",$U315=""),"",IF($U315="Profit",ROUND(IFERROR($P315,0)-IFERROR($H315,0),2),0)))</x:f>
      </x:c>
      <x:c r="R315" s="114" t="str">
        <x:f>IF(COUNTA($A315:$M315)=0,"",IF(OR($U315="Subscription",$U315=""),"",IF($U315="Draw",$H315,0)))</x:f>
      </x:c>
      <x:c r="S315" s="114" t="str">
        <x:f>IF(COUNTA($A315:$M315)=0,"",IF(OR($U315="Subscription",$U315=""),"",IF($U315="Disqualified",$H315,0)))</x:f>
      </x:c>
      <x:c r="T315" s="955" t="str">
        <x:f>IF(COUNTA($A315:$M315)=0,"",IF(OR($U315="Subscription",$U315=""),"",IF(OR($U315="Free Game",$U315="Disqualified — Free Game",$H315=0),"N/A",IF($U315="Profit",$Q315/$H315,IF($U315="Disqualified",-$S315/$H315,0)))))</x:f>
      </x:c>
      <x:c r="U315" s="920" t="str">
        <x:f>IF(COUNTA($A315:$M315)=0,"",IF(OR(LEFT(LOWER(TRIM($F315&amp;"")),12)="subscription",LOWER(TRIM($F315&amp;""))="membership"),"Subscription",IF(OR(AND($H315&lt;&gt;"",$H315=0),LEFT(LOWER(TRIM($F315&amp;"")),9)="free game",LOWER(TRIM($F315&amp;""))="free",LOWER(TRIM($F315&amp;""))="free entry"),IF(LOWER($L315&amp;"")="yes","Disqualified — Free Game","Free Game"),IF(LOWER($L315&amp;"")="yes","Disqualified",IF($P315="","",IF(ROUND(IFERROR(VALUE($P315),0)-IFERROR(VALUE($H315),0),2)&gt;0,"Profit","Draw"))))))</x:f>
      </x:c>
      <x:c r="V315" s="956" t="str">
        <x:f>IF(COUNTA($A315:$M315)=0,"",IF(OR($B315="",$C315="",$U315="Subscription"),"",IFERROR(ROUNDUP(($C315-$B315)/7,0),"")))</x:f>
      </x:c>
      <x:c r="W315" s="114" t="str">
        <x:f>IF(COUNTA($A315:$M315)=0,"",IF(OR($U315="Subscription",$U315=""),"",IF(OR($U315="Free Game",$U315="Disqualified — Free Game"),0,ROUND(IFERROR($Q315,0)-IFERROR($S315,0),2))))</x:f>
      </x:c>
      <x:c r="X315" s="956" t="str">
        <x:f>IF(COUNTA($A315:$M315)=0,"",IF(OR($U315="Subscription",NOT(ISNUMBER($J315)),NOT(ISNUMBER($I315)),$J315=0,$I315=0,$I315&gt;$J315),"",$J315-$I315))</x:f>
      </x:c>
      <x:c r="Y315" s="955" t="str">
        <x:f>IF(COUNTA($A315:$M315)=0,"",IF(OR($U315="Subscription",NOT(ISNUMBER($J315)),$J315=0,$X315=""),"",$X315/$J315))</x:f>
      </x:c>
      <x:c r="Z315" s="957" t="str">
        <x:f>IF(COUNTA($A315:$M315)=0,"",Instructions!$B$29+SUM($W$5:W315))</x:f>
      </x:c>
    </x:row>
    <x:row r="316" ht="36" customHeight="1">
      <x:c r="A316" s="439"/>
      <x:c r="B316" s="453"/>
      <x:c r="C316" s="453"/>
      <x:c r="D316" s="454"/>
      <x:c r="E316" s="454"/>
      <x:c r="F316" s="454"/>
      <x:c r="G316" s="986"/>
      <x:c r="H316" s="455"/>
      <x:c r="I316" s="456"/>
      <x:c r="J316" s="456"/>
      <x:c r="K316" s="986"/>
      <x:c r="L316" s="454"/>
      <x:c r="M316" s="439"/>
      <x:c r="N316" s="987" t="str">
        <x:f>IF(COUNTA($A316:$M316)=0,"",IF(OR(LEFT(LOWER(TRIM($F316&amp;"")),12)="subscription",LOWER(TRIM($F316&amp;""))="membership"),"",IF($G316="","",IF(ISNUMBER(SEARCH("non",LOWER($E316&amp;""))),$G316*0.85,$G316))))</x:f>
      </x:c>
      <x:c r="O316" s="987" t="str">
        <x:f>IF(COUNTA($A316:$M316)=0,"",IF(OR(LEFT(LOWER(TRIM($F316&amp;"")),12)="subscription",LOWER(TRIM($F316&amp;""))="membership"),"",IF(OR($N316="",$I316="",$I316=0),"",IFERROR($N316/$I316,""))))</x:f>
      </x:c>
      <x:c r="P316" s="987" t="str">
        <x:f>IF(COUNTA($A316:$M316)=0,"",IF(OR(LEFT(LOWER(TRIM($F316&amp;"")),12)="subscription",LOWER(TRIM($F316&amp;""))="membership"),"",IF(LOWER($L316&amp;"")="yes",0,IF(OR(AND($H316&lt;&gt;"",$H316=0),LEFT(LOWER(TRIM($F316&amp;"")),9)="free game",LOWER(TRIM($F316&amp;""))="free",LOWER(TRIM($F316&amp;""))="free entry"),IF(LOWER($D316&amp;"")="finalized",IF(ISNUMBER($K316),$K316,""),IF($O316&lt;&gt;"",$O316,"")),IF($K316&lt;&gt;"",$K316,IF($O316&lt;&gt;"",$O316,""))))))</x:f>
      </x:c>
      <x:c r="Q316" s="114" t="str">
        <x:f>IF(COUNTA($A316:$M316)=0,"",IF(OR($U316="Subscription",$U316=""),"",IF($U316="Profit",ROUND(IFERROR($P316,0)-IFERROR($H316,0),2),0)))</x:f>
      </x:c>
      <x:c r="R316" s="114" t="str">
        <x:f>IF(COUNTA($A316:$M316)=0,"",IF(OR($U316="Subscription",$U316=""),"",IF($U316="Draw",$H316,0)))</x:f>
      </x:c>
      <x:c r="S316" s="114" t="str">
        <x:f>IF(COUNTA($A316:$M316)=0,"",IF(OR($U316="Subscription",$U316=""),"",IF($U316="Disqualified",$H316,0)))</x:f>
      </x:c>
      <x:c r="T316" s="955" t="str">
        <x:f>IF(COUNTA($A316:$M316)=0,"",IF(OR($U316="Subscription",$U316=""),"",IF(OR($U316="Free Game",$U316="Disqualified — Free Game",$H316=0),"N/A",IF($U316="Profit",$Q316/$H316,IF($U316="Disqualified",-$S316/$H316,0)))))</x:f>
      </x:c>
      <x:c r="U316" s="920" t="str">
        <x:f>IF(COUNTA($A316:$M316)=0,"",IF(OR(LEFT(LOWER(TRIM($F316&amp;"")),12)="subscription",LOWER(TRIM($F316&amp;""))="membership"),"Subscription",IF(OR(AND($H316&lt;&gt;"",$H316=0),LEFT(LOWER(TRIM($F316&amp;"")),9)="free game",LOWER(TRIM($F316&amp;""))="free",LOWER(TRIM($F316&amp;""))="free entry"),IF(LOWER($L316&amp;"")="yes","Disqualified — Free Game","Free Game"),IF(LOWER($L316&amp;"")="yes","Disqualified",IF($P316="","",IF(ROUND(IFERROR(VALUE($P316),0)-IFERROR(VALUE($H316),0),2)&gt;0,"Profit","Draw"))))))</x:f>
      </x:c>
      <x:c r="V316" s="956" t="str">
        <x:f>IF(COUNTA($A316:$M316)=0,"",IF(OR($B316="",$C316="",$U316="Subscription"),"",IFERROR(ROUNDUP(($C316-$B316)/7,0),"")))</x:f>
      </x:c>
      <x:c r="W316" s="114" t="str">
        <x:f>IF(COUNTA($A316:$M316)=0,"",IF(OR($U316="Subscription",$U316=""),"",IF(OR($U316="Free Game",$U316="Disqualified — Free Game"),0,ROUND(IFERROR($Q316,0)-IFERROR($S316,0),2))))</x:f>
      </x:c>
      <x:c r="X316" s="956" t="str">
        <x:f>IF(COUNTA($A316:$M316)=0,"",IF(OR($U316="Subscription",NOT(ISNUMBER($J316)),NOT(ISNUMBER($I316)),$J316=0,$I316=0,$I316&gt;$J316),"",$J316-$I316))</x:f>
      </x:c>
      <x:c r="Y316" s="955" t="str">
        <x:f>IF(COUNTA($A316:$M316)=0,"",IF(OR($U316="Subscription",NOT(ISNUMBER($J316)),$J316=0,$X316=""),"",$X316/$J316))</x:f>
      </x:c>
      <x:c r="Z316" s="957" t="str">
        <x:f>IF(COUNTA($A316:$M316)=0,"",Instructions!$B$29+SUM($W$5:W316))</x:f>
      </x:c>
    </x:row>
    <x:row r="317" ht="36" customHeight="1">
      <x:c r="A317" s="439"/>
      <x:c r="B317" s="453"/>
      <x:c r="C317" s="453"/>
      <x:c r="D317" s="454"/>
      <x:c r="E317" s="454"/>
      <x:c r="F317" s="454"/>
      <x:c r="G317" s="986"/>
      <x:c r="H317" s="455"/>
      <x:c r="I317" s="456"/>
      <x:c r="J317" s="456"/>
      <x:c r="K317" s="986"/>
      <x:c r="L317" s="454"/>
      <x:c r="M317" s="439"/>
      <x:c r="N317" s="987" t="str">
        <x:f>IF(COUNTA($A317:$M317)=0,"",IF(OR(LEFT(LOWER(TRIM($F317&amp;"")),12)="subscription",LOWER(TRIM($F317&amp;""))="membership"),"",IF($G317="","",IF(ISNUMBER(SEARCH("non",LOWER($E317&amp;""))),$G317*0.85,$G317))))</x:f>
      </x:c>
      <x:c r="O317" s="987" t="str">
        <x:f>IF(COUNTA($A317:$M317)=0,"",IF(OR(LEFT(LOWER(TRIM($F317&amp;"")),12)="subscription",LOWER(TRIM($F317&amp;""))="membership"),"",IF(OR($N317="",$I317="",$I317=0),"",IFERROR($N317/$I317,""))))</x:f>
      </x:c>
      <x:c r="P317" s="987" t="str">
        <x:f>IF(COUNTA($A317:$M317)=0,"",IF(OR(LEFT(LOWER(TRIM($F317&amp;"")),12)="subscription",LOWER(TRIM($F317&amp;""))="membership"),"",IF(LOWER($L317&amp;"")="yes",0,IF(OR(AND($H317&lt;&gt;"",$H317=0),LEFT(LOWER(TRIM($F317&amp;"")),9)="free game",LOWER(TRIM($F317&amp;""))="free",LOWER(TRIM($F317&amp;""))="free entry"),IF(LOWER($D317&amp;"")="finalized",IF(ISNUMBER($K317),$K317,""),IF($O317&lt;&gt;"",$O317,"")),IF($K317&lt;&gt;"",$K317,IF($O317&lt;&gt;"",$O317,""))))))</x:f>
      </x:c>
      <x:c r="Q317" s="114" t="str">
        <x:f>IF(COUNTA($A317:$M317)=0,"",IF(OR($U317="Subscription",$U317=""),"",IF($U317="Profit",ROUND(IFERROR($P317,0)-IFERROR($H317,0),2),0)))</x:f>
      </x:c>
      <x:c r="R317" s="114" t="str">
        <x:f>IF(COUNTA($A317:$M317)=0,"",IF(OR($U317="Subscription",$U317=""),"",IF($U317="Draw",$H317,0)))</x:f>
      </x:c>
      <x:c r="S317" s="114" t="str">
        <x:f>IF(COUNTA($A317:$M317)=0,"",IF(OR($U317="Subscription",$U317=""),"",IF($U317="Disqualified",$H317,0)))</x:f>
      </x:c>
      <x:c r="T317" s="955" t="str">
        <x:f>IF(COUNTA($A317:$M317)=0,"",IF(OR($U317="Subscription",$U317=""),"",IF(OR($U317="Free Game",$U317="Disqualified — Free Game",$H317=0),"N/A",IF($U317="Profit",$Q317/$H317,IF($U317="Disqualified",-$S317/$H317,0)))))</x:f>
      </x:c>
      <x:c r="U317" s="920" t="str">
        <x:f>IF(COUNTA($A317:$M317)=0,"",IF(OR(LEFT(LOWER(TRIM($F317&amp;"")),12)="subscription",LOWER(TRIM($F317&amp;""))="membership"),"Subscription",IF(OR(AND($H317&lt;&gt;"",$H317=0),LEFT(LOWER(TRIM($F317&amp;"")),9)="free game",LOWER(TRIM($F317&amp;""))="free",LOWER(TRIM($F317&amp;""))="free entry"),IF(LOWER($L317&amp;"")="yes","Disqualified — Free Game","Free Game"),IF(LOWER($L317&amp;"")="yes","Disqualified",IF($P317="","",IF(ROUND(IFERROR(VALUE($P317),0)-IFERROR(VALUE($H317),0),2)&gt;0,"Profit","Draw"))))))</x:f>
      </x:c>
      <x:c r="V317" s="956" t="str">
        <x:f>IF(COUNTA($A317:$M317)=0,"",IF(OR($B317="",$C317="",$U317="Subscription"),"",IFERROR(ROUNDUP(($C317-$B317)/7,0),"")))</x:f>
      </x:c>
      <x:c r="W317" s="114" t="str">
        <x:f>IF(COUNTA($A317:$M317)=0,"",IF(OR($U317="Subscription",$U317=""),"",IF(OR($U317="Free Game",$U317="Disqualified — Free Game"),0,ROUND(IFERROR($Q317,0)-IFERROR($S317,0),2))))</x:f>
      </x:c>
      <x:c r="X317" s="956" t="str">
        <x:f>IF(COUNTA($A317:$M317)=0,"",IF(OR($U317="Subscription",NOT(ISNUMBER($J317)),NOT(ISNUMBER($I317)),$J317=0,$I317=0,$I317&gt;$J317),"",$J317-$I317))</x:f>
      </x:c>
      <x:c r="Y317" s="955" t="str">
        <x:f>IF(COUNTA($A317:$M317)=0,"",IF(OR($U317="Subscription",NOT(ISNUMBER($J317)),$J317=0,$X317=""),"",$X317/$J317))</x:f>
      </x:c>
      <x:c r="Z317" s="957" t="str">
        <x:f>IF(COUNTA($A317:$M317)=0,"",Instructions!$B$29+SUM($W$5:W317))</x:f>
      </x:c>
    </x:row>
    <x:row r="318" ht="36" customHeight="1">
      <x:c r="A318" s="439"/>
      <x:c r="B318" s="453"/>
      <x:c r="C318" s="453"/>
      <x:c r="D318" s="454"/>
      <x:c r="E318" s="454"/>
      <x:c r="F318" s="454"/>
      <x:c r="G318" s="986"/>
      <x:c r="H318" s="455"/>
      <x:c r="I318" s="456"/>
      <x:c r="J318" s="456"/>
      <x:c r="K318" s="986"/>
      <x:c r="L318" s="454"/>
      <x:c r="M318" s="439"/>
      <x:c r="N318" s="987" t="str">
        <x:f>IF(COUNTA($A318:$M318)=0,"",IF(OR(LEFT(LOWER(TRIM($F318&amp;"")),12)="subscription",LOWER(TRIM($F318&amp;""))="membership"),"",IF($G318="","",IF(ISNUMBER(SEARCH("non",LOWER($E318&amp;""))),$G318*0.85,$G318))))</x:f>
      </x:c>
      <x:c r="O318" s="987" t="str">
        <x:f>IF(COUNTA($A318:$M318)=0,"",IF(OR(LEFT(LOWER(TRIM($F318&amp;"")),12)="subscription",LOWER(TRIM($F318&amp;""))="membership"),"",IF(OR($N318="",$I318="",$I318=0),"",IFERROR($N318/$I318,""))))</x:f>
      </x:c>
      <x:c r="P318" s="987" t="str">
        <x:f>IF(COUNTA($A318:$M318)=0,"",IF(OR(LEFT(LOWER(TRIM($F318&amp;"")),12)="subscription",LOWER(TRIM($F318&amp;""))="membership"),"",IF(LOWER($L318&amp;"")="yes",0,IF(OR(AND($H318&lt;&gt;"",$H318=0),LEFT(LOWER(TRIM($F318&amp;"")),9)="free game",LOWER(TRIM($F318&amp;""))="free",LOWER(TRIM($F318&amp;""))="free entry"),IF(LOWER($D318&amp;"")="finalized",IF(ISNUMBER($K318),$K318,""),IF($O318&lt;&gt;"",$O318,"")),IF($K318&lt;&gt;"",$K318,IF($O318&lt;&gt;"",$O318,""))))))</x:f>
      </x:c>
      <x:c r="Q318" s="114" t="str">
        <x:f>IF(COUNTA($A318:$M318)=0,"",IF(OR($U318="Subscription",$U318=""),"",IF($U318="Profit",ROUND(IFERROR($P318,0)-IFERROR($H318,0),2),0)))</x:f>
      </x:c>
      <x:c r="R318" s="114" t="str">
        <x:f>IF(COUNTA($A318:$M318)=0,"",IF(OR($U318="Subscription",$U318=""),"",IF($U318="Draw",$H318,0)))</x:f>
      </x:c>
      <x:c r="S318" s="114" t="str">
        <x:f>IF(COUNTA($A318:$M318)=0,"",IF(OR($U318="Subscription",$U318=""),"",IF($U318="Disqualified",$H318,0)))</x:f>
      </x:c>
      <x:c r="T318" s="955" t="str">
        <x:f>IF(COUNTA($A318:$M318)=0,"",IF(OR($U318="Subscription",$U318=""),"",IF(OR($U318="Free Game",$U318="Disqualified — Free Game",$H318=0),"N/A",IF($U318="Profit",$Q318/$H318,IF($U318="Disqualified",-$S318/$H318,0)))))</x:f>
      </x:c>
      <x:c r="U318" s="920" t="str">
        <x:f>IF(COUNTA($A318:$M318)=0,"",IF(OR(LEFT(LOWER(TRIM($F318&amp;"")),12)="subscription",LOWER(TRIM($F318&amp;""))="membership"),"Subscription",IF(OR(AND($H318&lt;&gt;"",$H318=0),LEFT(LOWER(TRIM($F318&amp;"")),9)="free game",LOWER(TRIM($F318&amp;""))="free",LOWER(TRIM($F318&amp;""))="free entry"),IF(LOWER($L318&amp;"")="yes","Disqualified — Free Game","Free Game"),IF(LOWER($L318&amp;"")="yes","Disqualified",IF($P318="","",IF(ROUND(IFERROR(VALUE($P318),0)-IFERROR(VALUE($H318),0),2)&gt;0,"Profit","Draw"))))))</x:f>
      </x:c>
      <x:c r="V318" s="956" t="str">
        <x:f>IF(COUNTA($A318:$M318)=0,"",IF(OR($B318="",$C318="",$U318="Subscription"),"",IFERROR(ROUNDUP(($C318-$B318)/7,0),"")))</x:f>
      </x:c>
      <x:c r="W318" s="114" t="str">
        <x:f>IF(COUNTA($A318:$M318)=0,"",IF(OR($U318="Subscription",$U318=""),"",IF(OR($U318="Free Game",$U318="Disqualified — Free Game"),0,ROUND(IFERROR($Q318,0)-IFERROR($S318,0),2))))</x:f>
      </x:c>
      <x:c r="X318" s="956" t="str">
        <x:f>IF(COUNTA($A318:$M318)=0,"",IF(OR($U318="Subscription",NOT(ISNUMBER($J318)),NOT(ISNUMBER($I318)),$J318=0,$I318=0,$I318&gt;$J318),"",$J318-$I318))</x:f>
      </x:c>
      <x:c r="Y318" s="955" t="str">
        <x:f>IF(COUNTA($A318:$M318)=0,"",IF(OR($U318="Subscription",NOT(ISNUMBER($J318)),$J318=0,$X318=""),"",$X318/$J318))</x:f>
      </x:c>
      <x:c r="Z318" s="957" t="str">
        <x:f>IF(COUNTA($A318:$M318)=0,"",Instructions!$B$29+SUM($W$5:W318))</x:f>
      </x:c>
    </x:row>
    <x:row r="319" ht="36" customHeight="1">
      <x:c r="A319" s="439"/>
      <x:c r="B319" s="453"/>
      <x:c r="C319" s="453"/>
      <x:c r="D319" s="454"/>
      <x:c r="E319" s="454"/>
      <x:c r="F319" s="454"/>
      <x:c r="G319" s="986"/>
      <x:c r="H319" s="455"/>
      <x:c r="I319" s="456"/>
      <x:c r="J319" s="456"/>
      <x:c r="K319" s="986"/>
      <x:c r="L319" s="454"/>
      <x:c r="M319" s="439"/>
      <x:c r="N319" s="987" t="str">
        <x:f>IF(COUNTA($A319:$M319)=0,"",IF(OR(LEFT(LOWER(TRIM($F319&amp;"")),12)="subscription",LOWER(TRIM($F319&amp;""))="membership"),"",IF($G319="","",IF(ISNUMBER(SEARCH("non",LOWER($E319&amp;""))),$G319*0.85,$G319))))</x:f>
      </x:c>
      <x:c r="O319" s="987" t="str">
        <x:f>IF(COUNTA($A319:$M319)=0,"",IF(OR(LEFT(LOWER(TRIM($F319&amp;"")),12)="subscription",LOWER(TRIM($F319&amp;""))="membership"),"",IF(OR($N319="",$I319="",$I319=0),"",IFERROR($N319/$I319,""))))</x:f>
      </x:c>
      <x:c r="P319" s="987" t="str">
        <x:f>IF(COUNTA($A319:$M319)=0,"",IF(OR(LEFT(LOWER(TRIM($F319&amp;"")),12)="subscription",LOWER(TRIM($F319&amp;""))="membership"),"",IF(LOWER($L319&amp;"")="yes",0,IF(OR(AND($H319&lt;&gt;"",$H319=0),LEFT(LOWER(TRIM($F319&amp;"")),9)="free game",LOWER(TRIM($F319&amp;""))="free",LOWER(TRIM($F319&amp;""))="free entry"),IF(LOWER($D319&amp;"")="finalized",IF(ISNUMBER($K319),$K319,""),IF($O319&lt;&gt;"",$O319,"")),IF($K319&lt;&gt;"",$K319,IF($O319&lt;&gt;"",$O319,""))))))</x:f>
      </x:c>
      <x:c r="Q319" s="114" t="str">
        <x:f>IF(COUNTA($A319:$M319)=0,"",IF(OR($U319="Subscription",$U319=""),"",IF($U319="Profit",ROUND(IFERROR($P319,0)-IFERROR($H319,0),2),0)))</x:f>
      </x:c>
      <x:c r="R319" s="114" t="str">
        <x:f>IF(COUNTA($A319:$M319)=0,"",IF(OR($U319="Subscription",$U319=""),"",IF($U319="Draw",$H319,0)))</x:f>
      </x:c>
      <x:c r="S319" s="114" t="str">
        <x:f>IF(COUNTA($A319:$M319)=0,"",IF(OR($U319="Subscription",$U319=""),"",IF($U319="Disqualified",$H319,0)))</x:f>
      </x:c>
      <x:c r="T319" s="955" t="str">
        <x:f>IF(COUNTA($A319:$M319)=0,"",IF(OR($U319="Subscription",$U319=""),"",IF(OR($U319="Free Game",$U319="Disqualified — Free Game",$H319=0),"N/A",IF($U319="Profit",$Q319/$H319,IF($U319="Disqualified",-$S319/$H319,0)))))</x:f>
      </x:c>
      <x:c r="U319" s="920" t="str">
        <x:f>IF(COUNTA($A319:$M319)=0,"",IF(OR(LEFT(LOWER(TRIM($F319&amp;"")),12)="subscription",LOWER(TRIM($F319&amp;""))="membership"),"Subscription",IF(OR(AND($H319&lt;&gt;"",$H319=0),LEFT(LOWER(TRIM($F319&amp;"")),9)="free game",LOWER(TRIM($F319&amp;""))="free",LOWER(TRIM($F319&amp;""))="free entry"),IF(LOWER($L319&amp;"")="yes","Disqualified — Free Game","Free Game"),IF(LOWER($L319&amp;"")="yes","Disqualified",IF($P319="","",IF(ROUND(IFERROR(VALUE($P319),0)-IFERROR(VALUE($H319),0),2)&gt;0,"Profit","Draw"))))))</x:f>
      </x:c>
      <x:c r="V319" s="956" t="str">
        <x:f>IF(COUNTA($A319:$M319)=0,"",IF(OR($B319="",$C319="",$U319="Subscription"),"",IFERROR(ROUNDUP(($C319-$B319)/7,0),"")))</x:f>
      </x:c>
      <x:c r="W319" s="114" t="str">
        <x:f>IF(COUNTA($A319:$M319)=0,"",IF(OR($U319="Subscription",$U319=""),"",IF(OR($U319="Free Game",$U319="Disqualified — Free Game"),0,ROUND(IFERROR($Q319,0)-IFERROR($S319,0),2))))</x:f>
      </x:c>
      <x:c r="X319" s="956" t="str">
        <x:f>IF(COUNTA($A319:$M319)=0,"",IF(OR($U319="Subscription",NOT(ISNUMBER($J319)),NOT(ISNUMBER($I319)),$J319=0,$I319=0,$I319&gt;$J319),"",$J319-$I319))</x:f>
      </x:c>
      <x:c r="Y319" s="955" t="str">
        <x:f>IF(COUNTA($A319:$M319)=0,"",IF(OR($U319="Subscription",NOT(ISNUMBER($J319)),$J319=0,$X319=""),"",$X319/$J319))</x:f>
      </x:c>
      <x:c r="Z319" s="957" t="str">
        <x:f>IF(COUNTA($A319:$M319)=0,"",Instructions!$B$29+SUM($W$5:W319))</x:f>
      </x:c>
    </x:row>
    <x:row r="320" ht="36" customHeight="1">
      <x:c r="A320" s="439"/>
      <x:c r="B320" s="453"/>
      <x:c r="C320" s="453"/>
      <x:c r="D320" s="454"/>
      <x:c r="E320" s="454"/>
      <x:c r="F320" s="454"/>
      <x:c r="G320" s="986"/>
      <x:c r="H320" s="455"/>
      <x:c r="I320" s="456"/>
      <x:c r="J320" s="456"/>
      <x:c r="K320" s="986"/>
      <x:c r="L320" s="454"/>
      <x:c r="M320" s="439"/>
      <x:c r="N320" s="987" t="str">
        <x:f>IF(COUNTA($A320:$M320)=0,"",IF(OR(LEFT(LOWER(TRIM($F320&amp;"")),12)="subscription",LOWER(TRIM($F320&amp;""))="membership"),"",IF($G320="","",IF(ISNUMBER(SEARCH("non",LOWER($E320&amp;""))),$G320*0.85,$G320))))</x:f>
      </x:c>
      <x:c r="O320" s="987" t="str">
        <x:f>IF(COUNTA($A320:$M320)=0,"",IF(OR(LEFT(LOWER(TRIM($F320&amp;"")),12)="subscription",LOWER(TRIM($F320&amp;""))="membership"),"",IF(OR($N320="",$I320="",$I320=0),"",IFERROR($N320/$I320,""))))</x:f>
      </x:c>
      <x:c r="P320" s="987" t="str">
        <x:f>IF(COUNTA($A320:$M320)=0,"",IF(OR(LEFT(LOWER(TRIM($F320&amp;"")),12)="subscription",LOWER(TRIM($F320&amp;""))="membership"),"",IF(LOWER($L320&amp;"")="yes",0,IF(OR(AND($H320&lt;&gt;"",$H320=0),LEFT(LOWER(TRIM($F320&amp;"")),9)="free game",LOWER(TRIM($F320&amp;""))="free",LOWER(TRIM($F320&amp;""))="free entry"),IF(LOWER($D320&amp;"")="finalized",IF(ISNUMBER($K320),$K320,""),IF($O320&lt;&gt;"",$O320,"")),IF($K320&lt;&gt;"",$K320,IF($O320&lt;&gt;"",$O320,""))))))</x:f>
      </x:c>
      <x:c r="Q320" s="114" t="str">
        <x:f>IF(COUNTA($A320:$M320)=0,"",IF(OR($U320="Subscription",$U320=""),"",IF($U320="Profit",ROUND(IFERROR($P320,0)-IFERROR($H320,0),2),0)))</x:f>
      </x:c>
      <x:c r="R320" s="114" t="str">
        <x:f>IF(COUNTA($A320:$M320)=0,"",IF(OR($U320="Subscription",$U320=""),"",IF($U320="Draw",$H320,0)))</x:f>
      </x:c>
      <x:c r="S320" s="114" t="str">
        <x:f>IF(COUNTA($A320:$M320)=0,"",IF(OR($U320="Subscription",$U320=""),"",IF($U320="Disqualified",$H320,0)))</x:f>
      </x:c>
      <x:c r="T320" s="955" t="str">
        <x:f>IF(COUNTA($A320:$M320)=0,"",IF(OR($U320="Subscription",$U320=""),"",IF(OR($U320="Free Game",$U320="Disqualified — Free Game",$H320=0),"N/A",IF($U320="Profit",$Q320/$H320,IF($U320="Disqualified",-$S320/$H320,0)))))</x:f>
      </x:c>
      <x:c r="U320" s="920" t="str">
        <x:f>IF(COUNTA($A320:$M320)=0,"",IF(OR(LEFT(LOWER(TRIM($F320&amp;"")),12)="subscription",LOWER(TRIM($F320&amp;""))="membership"),"Subscription",IF(OR(AND($H320&lt;&gt;"",$H320=0),LEFT(LOWER(TRIM($F320&amp;"")),9)="free game",LOWER(TRIM($F320&amp;""))="free",LOWER(TRIM($F320&amp;""))="free entry"),IF(LOWER($L320&amp;"")="yes","Disqualified — Free Game","Free Game"),IF(LOWER($L320&amp;"")="yes","Disqualified",IF($P320="","",IF(ROUND(IFERROR(VALUE($P320),0)-IFERROR(VALUE($H320),0),2)&gt;0,"Profit","Draw"))))))</x:f>
      </x:c>
      <x:c r="V320" s="956" t="str">
        <x:f>IF(COUNTA($A320:$M320)=0,"",IF(OR($B320="",$C320="",$U320="Subscription"),"",IFERROR(ROUNDUP(($C320-$B320)/7,0),"")))</x:f>
      </x:c>
      <x:c r="W320" s="114" t="str">
        <x:f>IF(COUNTA($A320:$M320)=0,"",IF(OR($U320="Subscription",$U320=""),"",IF(OR($U320="Free Game",$U320="Disqualified — Free Game"),0,ROUND(IFERROR($Q320,0)-IFERROR($S320,0),2))))</x:f>
      </x:c>
      <x:c r="X320" s="956" t="str">
        <x:f>IF(COUNTA($A320:$M320)=0,"",IF(OR($U320="Subscription",NOT(ISNUMBER($J320)),NOT(ISNUMBER($I320)),$J320=0,$I320=0,$I320&gt;$J320),"",$J320-$I320))</x:f>
      </x:c>
      <x:c r="Y320" s="955" t="str">
        <x:f>IF(COUNTA($A320:$M320)=0,"",IF(OR($U320="Subscription",NOT(ISNUMBER($J320)),$J320=0,$X320=""),"",$X320/$J320))</x:f>
      </x:c>
      <x:c r="Z320" s="957" t="str">
        <x:f>IF(COUNTA($A320:$M320)=0,"",Instructions!$B$29+SUM($W$5:W320))</x:f>
      </x:c>
    </x:row>
    <x:row r="321" ht="36" customHeight="1">
      <x:c r="A321" s="439"/>
      <x:c r="B321" s="453"/>
      <x:c r="C321" s="453"/>
      <x:c r="D321" s="454"/>
      <x:c r="E321" s="454"/>
      <x:c r="F321" s="454"/>
      <x:c r="G321" s="986"/>
      <x:c r="H321" s="455"/>
      <x:c r="I321" s="456"/>
      <x:c r="J321" s="456"/>
      <x:c r="K321" s="986"/>
      <x:c r="L321" s="454"/>
      <x:c r="M321" s="439"/>
      <x:c r="N321" s="987" t="str">
        <x:f>IF(COUNTA($A321:$M321)=0,"",IF(OR(LEFT(LOWER(TRIM($F321&amp;"")),12)="subscription",LOWER(TRIM($F321&amp;""))="membership"),"",IF($G321="","",IF(ISNUMBER(SEARCH("non",LOWER($E321&amp;""))),$G321*0.85,$G321))))</x:f>
      </x:c>
      <x:c r="O321" s="987" t="str">
        <x:f>IF(COUNTA($A321:$M321)=0,"",IF(OR(LEFT(LOWER(TRIM($F321&amp;"")),12)="subscription",LOWER(TRIM($F321&amp;""))="membership"),"",IF(OR($N321="",$I321="",$I321=0),"",IFERROR($N321/$I321,""))))</x:f>
      </x:c>
      <x:c r="P321" s="987" t="str">
        <x:f>IF(COUNTA($A321:$M321)=0,"",IF(OR(LEFT(LOWER(TRIM($F321&amp;"")),12)="subscription",LOWER(TRIM($F321&amp;""))="membership"),"",IF(LOWER($L321&amp;"")="yes",0,IF(OR(AND($H321&lt;&gt;"",$H321=0),LEFT(LOWER(TRIM($F321&amp;"")),9)="free game",LOWER(TRIM($F321&amp;""))="free",LOWER(TRIM($F321&amp;""))="free entry"),IF(LOWER($D321&amp;"")="finalized",IF(ISNUMBER($K321),$K321,""),IF($O321&lt;&gt;"",$O321,"")),IF($K321&lt;&gt;"",$K321,IF($O321&lt;&gt;"",$O321,""))))))</x:f>
      </x:c>
      <x:c r="Q321" s="114" t="str">
        <x:f>IF(COUNTA($A321:$M321)=0,"",IF(OR($U321="Subscription",$U321=""),"",IF($U321="Profit",ROUND(IFERROR($P321,0)-IFERROR($H321,0),2),0)))</x:f>
      </x:c>
      <x:c r="R321" s="114" t="str">
        <x:f>IF(COUNTA($A321:$M321)=0,"",IF(OR($U321="Subscription",$U321=""),"",IF($U321="Draw",$H321,0)))</x:f>
      </x:c>
      <x:c r="S321" s="114" t="str">
        <x:f>IF(COUNTA($A321:$M321)=0,"",IF(OR($U321="Subscription",$U321=""),"",IF($U321="Disqualified",$H321,0)))</x:f>
      </x:c>
      <x:c r="T321" s="955" t="str">
        <x:f>IF(COUNTA($A321:$M321)=0,"",IF(OR($U321="Subscription",$U321=""),"",IF(OR($U321="Free Game",$U321="Disqualified — Free Game",$H321=0),"N/A",IF($U321="Profit",$Q321/$H321,IF($U321="Disqualified",-$S321/$H321,0)))))</x:f>
      </x:c>
      <x:c r="U321" s="920" t="str">
        <x:f>IF(COUNTA($A321:$M321)=0,"",IF(OR(LEFT(LOWER(TRIM($F321&amp;"")),12)="subscription",LOWER(TRIM($F321&amp;""))="membership"),"Subscription",IF(OR(AND($H321&lt;&gt;"",$H321=0),LEFT(LOWER(TRIM($F321&amp;"")),9)="free game",LOWER(TRIM($F321&amp;""))="free",LOWER(TRIM($F321&amp;""))="free entry"),IF(LOWER($L321&amp;"")="yes","Disqualified — Free Game","Free Game"),IF(LOWER($L321&amp;"")="yes","Disqualified",IF($P321="","",IF(ROUND(IFERROR(VALUE($P321),0)-IFERROR(VALUE($H321),0),2)&gt;0,"Profit","Draw"))))))</x:f>
      </x:c>
      <x:c r="V321" s="956" t="str">
        <x:f>IF(COUNTA($A321:$M321)=0,"",IF(OR($B321="",$C321="",$U321="Subscription"),"",IFERROR(ROUNDUP(($C321-$B321)/7,0),"")))</x:f>
      </x:c>
      <x:c r="W321" s="114" t="str">
        <x:f>IF(COUNTA($A321:$M321)=0,"",IF(OR($U321="Subscription",$U321=""),"",IF(OR($U321="Free Game",$U321="Disqualified — Free Game"),0,ROUND(IFERROR($Q321,0)-IFERROR($S321,0),2))))</x:f>
      </x:c>
      <x:c r="X321" s="956" t="str">
        <x:f>IF(COUNTA($A321:$M321)=0,"",IF(OR($U321="Subscription",NOT(ISNUMBER($J321)),NOT(ISNUMBER($I321)),$J321=0,$I321=0,$I321&gt;$J321),"",$J321-$I321))</x:f>
      </x:c>
      <x:c r="Y321" s="955" t="str">
        <x:f>IF(COUNTA($A321:$M321)=0,"",IF(OR($U321="Subscription",NOT(ISNUMBER($J321)),$J321=0,$X321=""),"",$X321/$J321))</x:f>
      </x:c>
      <x:c r="Z321" s="957" t="str">
        <x:f>IF(COUNTA($A321:$M321)=0,"",Instructions!$B$29+SUM($W$5:W321))</x:f>
      </x:c>
    </x:row>
    <x:row r="322" ht="36" customHeight="1">
      <x:c r="A322" s="439"/>
      <x:c r="B322" s="453"/>
      <x:c r="C322" s="453"/>
      <x:c r="D322" s="454"/>
      <x:c r="E322" s="454"/>
      <x:c r="F322" s="454"/>
      <x:c r="G322" s="986"/>
      <x:c r="H322" s="455"/>
      <x:c r="I322" s="456"/>
      <x:c r="J322" s="456"/>
      <x:c r="K322" s="986"/>
      <x:c r="L322" s="454"/>
      <x:c r="M322" s="439"/>
      <x:c r="N322" s="987" t="str">
        <x:f>IF(COUNTA($A322:$M322)=0,"",IF(OR(LEFT(LOWER(TRIM($F322&amp;"")),12)="subscription",LOWER(TRIM($F322&amp;""))="membership"),"",IF($G322="","",IF(ISNUMBER(SEARCH("non",LOWER($E322&amp;""))),$G322*0.85,$G322))))</x:f>
      </x:c>
      <x:c r="O322" s="987" t="str">
        <x:f>IF(COUNTA($A322:$M322)=0,"",IF(OR(LEFT(LOWER(TRIM($F322&amp;"")),12)="subscription",LOWER(TRIM($F322&amp;""))="membership"),"",IF(OR($N322="",$I322="",$I322=0),"",IFERROR($N322/$I322,""))))</x:f>
      </x:c>
      <x:c r="P322" s="987" t="str">
        <x:f>IF(COUNTA($A322:$M322)=0,"",IF(OR(LEFT(LOWER(TRIM($F322&amp;"")),12)="subscription",LOWER(TRIM($F322&amp;""))="membership"),"",IF(LOWER($L322&amp;"")="yes",0,IF(OR(AND($H322&lt;&gt;"",$H322=0),LEFT(LOWER(TRIM($F322&amp;"")),9)="free game",LOWER(TRIM($F322&amp;""))="free",LOWER(TRIM($F322&amp;""))="free entry"),IF(LOWER($D322&amp;"")="finalized",IF(ISNUMBER($K322),$K322,""),IF($O322&lt;&gt;"",$O322,"")),IF($K322&lt;&gt;"",$K322,IF($O322&lt;&gt;"",$O322,""))))))</x:f>
      </x:c>
      <x:c r="Q322" s="114" t="str">
        <x:f>IF(COUNTA($A322:$M322)=0,"",IF(OR($U322="Subscription",$U322=""),"",IF($U322="Profit",ROUND(IFERROR($P322,0)-IFERROR($H322,0),2),0)))</x:f>
      </x:c>
      <x:c r="R322" s="114" t="str">
        <x:f>IF(COUNTA($A322:$M322)=0,"",IF(OR($U322="Subscription",$U322=""),"",IF($U322="Draw",$H322,0)))</x:f>
      </x:c>
      <x:c r="S322" s="114" t="str">
        <x:f>IF(COUNTA($A322:$M322)=0,"",IF(OR($U322="Subscription",$U322=""),"",IF($U322="Disqualified",$H322,0)))</x:f>
      </x:c>
      <x:c r="T322" s="955" t="str">
        <x:f>IF(COUNTA($A322:$M322)=0,"",IF(OR($U322="Subscription",$U322=""),"",IF(OR($U322="Free Game",$U322="Disqualified — Free Game",$H322=0),"N/A",IF($U322="Profit",$Q322/$H322,IF($U322="Disqualified",-$S322/$H322,0)))))</x:f>
      </x:c>
      <x:c r="U322" s="920" t="str">
        <x:f>IF(COUNTA($A322:$M322)=0,"",IF(OR(LEFT(LOWER(TRIM($F322&amp;"")),12)="subscription",LOWER(TRIM($F322&amp;""))="membership"),"Subscription",IF(OR(AND($H322&lt;&gt;"",$H322=0),LEFT(LOWER(TRIM($F322&amp;"")),9)="free game",LOWER(TRIM($F322&amp;""))="free",LOWER(TRIM($F322&amp;""))="free entry"),IF(LOWER($L322&amp;"")="yes","Disqualified — Free Game","Free Game"),IF(LOWER($L322&amp;"")="yes","Disqualified",IF($P322="","",IF(ROUND(IFERROR(VALUE($P322),0)-IFERROR(VALUE($H322),0),2)&gt;0,"Profit","Draw"))))))</x:f>
      </x:c>
      <x:c r="V322" s="956" t="str">
        <x:f>IF(COUNTA($A322:$M322)=0,"",IF(OR($B322="",$C322="",$U322="Subscription"),"",IFERROR(ROUNDUP(($C322-$B322)/7,0),"")))</x:f>
      </x:c>
      <x:c r="W322" s="114" t="str">
        <x:f>IF(COUNTA($A322:$M322)=0,"",IF(OR($U322="Subscription",$U322=""),"",IF(OR($U322="Free Game",$U322="Disqualified — Free Game"),0,ROUND(IFERROR($Q322,0)-IFERROR($S322,0),2))))</x:f>
      </x:c>
      <x:c r="X322" s="956" t="str">
        <x:f>IF(COUNTA($A322:$M322)=0,"",IF(OR($U322="Subscription",NOT(ISNUMBER($J322)),NOT(ISNUMBER($I322)),$J322=0,$I322=0,$I322&gt;$J322),"",$J322-$I322))</x:f>
      </x:c>
      <x:c r="Y322" s="955" t="str">
        <x:f>IF(COUNTA($A322:$M322)=0,"",IF(OR($U322="Subscription",NOT(ISNUMBER($J322)),$J322=0,$X322=""),"",$X322/$J322))</x:f>
      </x:c>
      <x:c r="Z322" s="957" t="str">
        <x:f>IF(COUNTA($A322:$M322)=0,"",Instructions!$B$29+SUM($W$5:W322))</x:f>
      </x:c>
    </x:row>
    <x:row r="323" ht="36" customHeight="1">
      <x:c r="A323" s="439"/>
      <x:c r="B323" s="453"/>
      <x:c r="C323" s="453"/>
      <x:c r="D323" s="454"/>
      <x:c r="E323" s="454"/>
      <x:c r="F323" s="454"/>
      <x:c r="G323" s="986"/>
      <x:c r="H323" s="455"/>
      <x:c r="I323" s="456"/>
      <x:c r="J323" s="456"/>
      <x:c r="K323" s="986"/>
      <x:c r="L323" s="454"/>
      <x:c r="M323" s="439"/>
      <x:c r="N323" s="987" t="str">
        <x:f>IF(COUNTA($A323:$M323)=0,"",IF(OR(LEFT(LOWER(TRIM($F323&amp;"")),12)="subscription",LOWER(TRIM($F323&amp;""))="membership"),"",IF($G323="","",IF(ISNUMBER(SEARCH("non",LOWER($E323&amp;""))),$G323*0.85,$G323))))</x:f>
      </x:c>
      <x:c r="O323" s="987" t="str">
        <x:f>IF(COUNTA($A323:$M323)=0,"",IF(OR(LEFT(LOWER(TRIM($F323&amp;"")),12)="subscription",LOWER(TRIM($F323&amp;""))="membership"),"",IF(OR($N323="",$I323="",$I323=0),"",IFERROR($N323/$I323,""))))</x:f>
      </x:c>
      <x:c r="P323" s="987" t="str">
        <x:f>IF(COUNTA($A323:$M323)=0,"",IF(OR(LEFT(LOWER(TRIM($F323&amp;"")),12)="subscription",LOWER(TRIM($F323&amp;""))="membership"),"",IF(LOWER($L323&amp;"")="yes",0,IF(OR(AND($H323&lt;&gt;"",$H323=0),LEFT(LOWER(TRIM($F323&amp;"")),9)="free game",LOWER(TRIM($F323&amp;""))="free",LOWER(TRIM($F323&amp;""))="free entry"),IF(LOWER($D323&amp;"")="finalized",IF(ISNUMBER($K323),$K323,""),IF($O323&lt;&gt;"",$O323,"")),IF($K323&lt;&gt;"",$K323,IF($O323&lt;&gt;"",$O323,""))))))</x:f>
      </x:c>
      <x:c r="Q323" s="114" t="str">
        <x:f>IF(COUNTA($A323:$M323)=0,"",IF(OR($U323="Subscription",$U323=""),"",IF($U323="Profit",ROUND(IFERROR($P323,0)-IFERROR($H323,0),2),0)))</x:f>
      </x:c>
      <x:c r="R323" s="114" t="str">
        <x:f>IF(COUNTA($A323:$M323)=0,"",IF(OR($U323="Subscription",$U323=""),"",IF($U323="Draw",$H323,0)))</x:f>
      </x:c>
      <x:c r="S323" s="114" t="str">
        <x:f>IF(COUNTA($A323:$M323)=0,"",IF(OR($U323="Subscription",$U323=""),"",IF($U323="Disqualified",$H323,0)))</x:f>
      </x:c>
      <x:c r="T323" s="955" t="str">
        <x:f>IF(COUNTA($A323:$M323)=0,"",IF(OR($U323="Subscription",$U323=""),"",IF(OR($U323="Free Game",$U323="Disqualified — Free Game",$H323=0),"N/A",IF($U323="Profit",$Q323/$H323,IF($U323="Disqualified",-$S323/$H323,0)))))</x:f>
      </x:c>
      <x:c r="U323" s="920" t="str">
        <x:f>IF(COUNTA($A323:$M323)=0,"",IF(OR(LEFT(LOWER(TRIM($F323&amp;"")),12)="subscription",LOWER(TRIM($F323&amp;""))="membership"),"Subscription",IF(OR(AND($H323&lt;&gt;"",$H323=0),LEFT(LOWER(TRIM($F323&amp;"")),9)="free game",LOWER(TRIM($F323&amp;""))="free",LOWER(TRIM($F323&amp;""))="free entry"),IF(LOWER($L323&amp;"")="yes","Disqualified — Free Game","Free Game"),IF(LOWER($L323&amp;"")="yes","Disqualified",IF($P323="","",IF(ROUND(IFERROR(VALUE($P323),0)-IFERROR(VALUE($H323),0),2)&gt;0,"Profit","Draw"))))))</x:f>
      </x:c>
      <x:c r="V323" s="956" t="str">
        <x:f>IF(COUNTA($A323:$M323)=0,"",IF(OR($B323="",$C323="",$U323="Subscription"),"",IFERROR(ROUNDUP(($C323-$B323)/7,0),"")))</x:f>
      </x:c>
      <x:c r="W323" s="114" t="str">
        <x:f>IF(COUNTA($A323:$M323)=0,"",IF(OR($U323="Subscription",$U323=""),"",IF(OR($U323="Free Game",$U323="Disqualified — Free Game"),0,ROUND(IFERROR($Q323,0)-IFERROR($S323,0),2))))</x:f>
      </x:c>
      <x:c r="X323" s="956" t="str">
        <x:f>IF(COUNTA($A323:$M323)=0,"",IF(OR($U323="Subscription",NOT(ISNUMBER($J323)),NOT(ISNUMBER($I323)),$J323=0,$I323=0,$I323&gt;$J323),"",$J323-$I323))</x:f>
      </x:c>
      <x:c r="Y323" s="955" t="str">
        <x:f>IF(COUNTA($A323:$M323)=0,"",IF(OR($U323="Subscription",NOT(ISNUMBER($J323)),$J323=0,$X323=""),"",$X323/$J323))</x:f>
      </x:c>
      <x:c r="Z323" s="957" t="str">
        <x:f>IF(COUNTA($A323:$M323)=0,"",Instructions!$B$29+SUM($W$5:W323))</x:f>
      </x:c>
    </x:row>
    <x:row r="324" ht="36" customHeight="1">
      <x:c r="A324" s="439"/>
      <x:c r="B324" s="453"/>
      <x:c r="C324" s="453"/>
      <x:c r="D324" s="454"/>
      <x:c r="E324" s="454"/>
      <x:c r="F324" s="454"/>
      <x:c r="G324" s="986"/>
      <x:c r="H324" s="455"/>
      <x:c r="I324" s="456"/>
      <x:c r="J324" s="456"/>
      <x:c r="K324" s="986"/>
      <x:c r="L324" s="454"/>
      <x:c r="M324" s="439"/>
      <x:c r="N324" s="987" t="str">
        <x:f>IF(COUNTA($A324:$M324)=0,"",IF(OR(LEFT(LOWER(TRIM($F324&amp;"")),12)="subscription",LOWER(TRIM($F324&amp;""))="membership"),"",IF($G324="","",IF(ISNUMBER(SEARCH("non",LOWER($E324&amp;""))),$G324*0.85,$G324))))</x:f>
      </x:c>
      <x:c r="O324" s="987" t="str">
        <x:f>IF(COUNTA($A324:$M324)=0,"",IF(OR(LEFT(LOWER(TRIM($F324&amp;"")),12)="subscription",LOWER(TRIM($F324&amp;""))="membership"),"",IF(OR($N324="",$I324="",$I324=0),"",IFERROR($N324/$I324,""))))</x:f>
      </x:c>
      <x:c r="P324" s="987" t="str">
        <x:f>IF(COUNTA($A324:$M324)=0,"",IF(OR(LEFT(LOWER(TRIM($F324&amp;"")),12)="subscription",LOWER(TRIM($F324&amp;""))="membership"),"",IF(LOWER($L324&amp;"")="yes",0,IF(OR(AND($H324&lt;&gt;"",$H324=0),LEFT(LOWER(TRIM($F324&amp;"")),9)="free game",LOWER(TRIM($F324&amp;""))="free",LOWER(TRIM($F324&amp;""))="free entry"),IF(LOWER($D324&amp;"")="finalized",IF(ISNUMBER($K324),$K324,""),IF($O324&lt;&gt;"",$O324,"")),IF($K324&lt;&gt;"",$K324,IF($O324&lt;&gt;"",$O324,""))))))</x:f>
      </x:c>
      <x:c r="Q324" s="114" t="str">
        <x:f>IF(COUNTA($A324:$M324)=0,"",IF(OR($U324="Subscription",$U324=""),"",IF($U324="Profit",ROUND(IFERROR($P324,0)-IFERROR($H324,0),2),0)))</x:f>
      </x:c>
      <x:c r="R324" s="114" t="str">
        <x:f>IF(COUNTA($A324:$M324)=0,"",IF(OR($U324="Subscription",$U324=""),"",IF($U324="Draw",$H324,0)))</x:f>
      </x:c>
      <x:c r="S324" s="114" t="str">
        <x:f>IF(COUNTA($A324:$M324)=0,"",IF(OR($U324="Subscription",$U324=""),"",IF($U324="Disqualified",$H324,0)))</x:f>
      </x:c>
      <x:c r="T324" s="955" t="str">
        <x:f>IF(COUNTA($A324:$M324)=0,"",IF(OR($U324="Subscription",$U324=""),"",IF(OR($U324="Free Game",$U324="Disqualified — Free Game",$H324=0),"N/A",IF($U324="Profit",$Q324/$H324,IF($U324="Disqualified",-$S324/$H324,0)))))</x:f>
      </x:c>
      <x:c r="U324" s="920" t="str">
        <x:f>IF(COUNTA($A324:$M324)=0,"",IF(OR(LEFT(LOWER(TRIM($F324&amp;"")),12)="subscription",LOWER(TRIM($F324&amp;""))="membership"),"Subscription",IF(OR(AND($H324&lt;&gt;"",$H324=0),LEFT(LOWER(TRIM($F324&amp;"")),9)="free game",LOWER(TRIM($F324&amp;""))="free",LOWER(TRIM($F324&amp;""))="free entry"),IF(LOWER($L324&amp;"")="yes","Disqualified — Free Game","Free Game"),IF(LOWER($L324&amp;"")="yes","Disqualified",IF($P324="","",IF(ROUND(IFERROR(VALUE($P324),0)-IFERROR(VALUE($H324),0),2)&gt;0,"Profit","Draw"))))))</x:f>
      </x:c>
      <x:c r="V324" s="956" t="str">
        <x:f>IF(COUNTA($A324:$M324)=0,"",IF(OR($B324="",$C324="",$U324="Subscription"),"",IFERROR(ROUNDUP(($C324-$B324)/7,0),"")))</x:f>
      </x:c>
      <x:c r="W324" s="114" t="str">
        <x:f>IF(COUNTA($A324:$M324)=0,"",IF(OR($U324="Subscription",$U324=""),"",IF(OR($U324="Free Game",$U324="Disqualified — Free Game"),0,ROUND(IFERROR($Q324,0)-IFERROR($S324,0),2))))</x:f>
      </x:c>
      <x:c r="X324" s="956" t="str">
        <x:f>IF(COUNTA($A324:$M324)=0,"",IF(OR($U324="Subscription",NOT(ISNUMBER($J324)),NOT(ISNUMBER($I324)),$J324=0,$I324=0,$I324&gt;$J324),"",$J324-$I324))</x:f>
      </x:c>
      <x:c r="Y324" s="955" t="str">
        <x:f>IF(COUNTA($A324:$M324)=0,"",IF(OR($U324="Subscription",NOT(ISNUMBER($J324)),$J324=0,$X324=""),"",$X324/$J324))</x:f>
      </x:c>
      <x:c r="Z324" s="957" t="str">
        <x:f>IF(COUNTA($A324:$M324)=0,"",Instructions!$B$29+SUM($W$5:W324))</x:f>
      </x:c>
    </x:row>
    <x:row r="325" ht="36" customHeight="1">
      <x:c r="A325" s="439"/>
      <x:c r="B325" s="453"/>
      <x:c r="C325" s="453"/>
      <x:c r="D325" s="454"/>
      <x:c r="E325" s="454"/>
      <x:c r="F325" s="454"/>
      <x:c r="G325" s="986"/>
      <x:c r="H325" s="455"/>
      <x:c r="I325" s="456"/>
      <x:c r="J325" s="456"/>
      <x:c r="K325" s="986"/>
      <x:c r="L325" s="454"/>
      <x:c r="M325" s="439"/>
      <x:c r="N325" s="987" t="str">
        <x:f>IF(COUNTA($A325:$M325)=0,"",IF(OR(LEFT(LOWER(TRIM($F325&amp;"")),12)="subscription",LOWER(TRIM($F325&amp;""))="membership"),"",IF($G325="","",IF(ISNUMBER(SEARCH("non",LOWER($E325&amp;""))),$G325*0.85,$G325))))</x:f>
      </x:c>
      <x:c r="O325" s="987" t="str">
        <x:f>IF(COUNTA($A325:$M325)=0,"",IF(OR(LEFT(LOWER(TRIM($F325&amp;"")),12)="subscription",LOWER(TRIM($F325&amp;""))="membership"),"",IF(OR($N325="",$I325="",$I325=0),"",IFERROR($N325/$I325,""))))</x:f>
      </x:c>
      <x:c r="P325" s="987" t="str">
        <x:f>IF(COUNTA($A325:$M325)=0,"",IF(OR(LEFT(LOWER(TRIM($F325&amp;"")),12)="subscription",LOWER(TRIM($F325&amp;""))="membership"),"",IF(LOWER($L325&amp;"")="yes",0,IF(OR(AND($H325&lt;&gt;"",$H325=0),LEFT(LOWER(TRIM($F325&amp;"")),9)="free game",LOWER(TRIM($F325&amp;""))="free",LOWER(TRIM($F325&amp;""))="free entry"),IF(LOWER($D325&amp;"")="finalized",IF(ISNUMBER($K325),$K325,""),IF($O325&lt;&gt;"",$O325,"")),IF($K325&lt;&gt;"",$K325,IF($O325&lt;&gt;"",$O325,""))))))</x:f>
      </x:c>
      <x:c r="Q325" s="114" t="str">
        <x:f>IF(COUNTA($A325:$M325)=0,"",IF(OR($U325="Subscription",$U325=""),"",IF($U325="Profit",ROUND(IFERROR($P325,0)-IFERROR($H325,0),2),0)))</x:f>
      </x:c>
      <x:c r="R325" s="114" t="str">
        <x:f>IF(COUNTA($A325:$M325)=0,"",IF(OR($U325="Subscription",$U325=""),"",IF($U325="Draw",$H325,0)))</x:f>
      </x:c>
      <x:c r="S325" s="114" t="str">
        <x:f>IF(COUNTA($A325:$M325)=0,"",IF(OR($U325="Subscription",$U325=""),"",IF($U325="Disqualified",$H325,0)))</x:f>
      </x:c>
      <x:c r="T325" s="955" t="str">
        <x:f>IF(COUNTA($A325:$M325)=0,"",IF(OR($U325="Subscription",$U325=""),"",IF(OR($U325="Free Game",$U325="Disqualified — Free Game",$H325=0),"N/A",IF($U325="Profit",$Q325/$H325,IF($U325="Disqualified",-$S325/$H325,0)))))</x:f>
      </x:c>
      <x:c r="U325" s="920" t="str">
        <x:f>IF(COUNTA($A325:$M325)=0,"",IF(OR(LEFT(LOWER(TRIM($F325&amp;"")),12)="subscription",LOWER(TRIM($F325&amp;""))="membership"),"Subscription",IF(OR(AND($H325&lt;&gt;"",$H325=0),LEFT(LOWER(TRIM($F325&amp;"")),9)="free game",LOWER(TRIM($F325&amp;""))="free",LOWER(TRIM($F325&amp;""))="free entry"),IF(LOWER($L325&amp;"")="yes","Disqualified — Free Game","Free Game"),IF(LOWER($L325&amp;"")="yes","Disqualified",IF($P325="","",IF(ROUND(IFERROR(VALUE($P325),0)-IFERROR(VALUE($H325),0),2)&gt;0,"Profit","Draw"))))))</x:f>
      </x:c>
      <x:c r="V325" s="956" t="str">
        <x:f>IF(COUNTA($A325:$M325)=0,"",IF(OR($B325="",$C325="",$U325="Subscription"),"",IFERROR(ROUNDUP(($C325-$B325)/7,0),"")))</x:f>
      </x:c>
      <x:c r="W325" s="114" t="str">
        <x:f>IF(COUNTA($A325:$M325)=0,"",IF(OR($U325="Subscription",$U325=""),"",IF(OR($U325="Free Game",$U325="Disqualified — Free Game"),0,ROUND(IFERROR($Q325,0)-IFERROR($S325,0),2))))</x:f>
      </x:c>
      <x:c r="X325" s="956" t="str">
        <x:f>IF(COUNTA($A325:$M325)=0,"",IF(OR($U325="Subscription",NOT(ISNUMBER($J325)),NOT(ISNUMBER($I325)),$J325=0,$I325=0,$I325&gt;$J325),"",$J325-$I325))</x:f>
      </x:c>
      <x:c r="Y325" s="955" t="str">
        <x:f>IF(COUNTA($A325:$M325)=0,"",IF(OR($U325="Subscription",NOT(ISNUMBER($J325)),$J325=0,$X325=""),"",$X325/$J325))</x:f>
      </x:c>
      <x:c r="Z325" s="957" t="str">
        <x:f>IF(COUNTA($A325:$M325)=0,"",Instructions!$B$29+SUM($W$5:W325))</x:f>
      </x:c>
    </x:row>
    <x:row r="326" ht="36" customHeight="1">
      <x:c r="A326" s="439"/>
      <x:c r="B326" s="453"/>
      <x:c r="C326" s="453"/>
      <x:c r="D326" s="454"/>
      <x:c r="E326" s="454"/>
      <x:c r="F326" s="454"/>
      <x:c r="G326" s="986"/>
      <x:c r="H326" s="455"/>
      <x:c r="I326" s="456"/>
      <x:c r="J326" s="456"/>
      <x:c r="K326" s="986"/>
      <x:c r="L326" s="454"/>
      <x:c r="M326" s="439"/>
      <x:c r="N326" s="987" t="str">
        <x:f>IF(COUNTA($A326:$M326)=0,"",IF(OR(LEFT(LOWER(TRIM($F326&amp;"")),12)="subscription",LOWER(TRIM($F326&amp;""))="membership"),"",IF($G326="","",IF(ISNUMBER(SEARCH("non",LOWER($E326&amp;""))),$G326*0.85,$G326))))</x:f>
      </x:c>
      <x:c r="O326" s="987" t="str">
        <x:f>IF(COUNTA($A326:$M326)=0,"",IF(OR(LEFT(LOWER(TRIM($F326&amp;"")),12)="subscription",LOWER(TRIM($F326&amp;""))="membership"),"",IF(OR($N326="",$I326="",$I326=0),"",IFERROR($N326/$I326,""))))</x:f>
      </x:c>
      <x:c r="P326" s="987" t="str">
        <x:f>IF(COUNTA($A326:$M326)=0,"",IF(OR(LEFT(LOWER(TRIM($F326&amp;"")),12)="subscription",LOWER(TRIM($F326&amp;""))="membership"),"",IF(LOWER($L326&amp;"")="yes",0,IF(OR(AND($H326&lt;&gt;"",$H326=0),LEFT(LOWER(TRIM($F326&amp;"")),9)="free game",LOWER(TRIM($F326&amp;""))="free",LOWER(TRIM($F326&amp;""))="free entry"),IF(LOWER($D326&amp;"")="finalized",IF(ISNUMBER($K326),$K326,""),IF($O326&lt;&gt;"",$O326,"")),IF($K326&lt;&gt;"",$K326,IF($O326&lt;&gt;"",$O326,""))))))</x:f>
      </x:c>
      <x:c r="Q326" s="114" t="str">
        <x:f>IF(COUNTA($A326:$M326)=0,"",IF(OR($U326="Subscription",$U326=""),"",IF($U326="Profit",ROUND(IFERROR($P326,0)-IFERROR($H326,0),2),0)))</x:f>
      </x:c>
      <x:c r="R326" s="114" t="str">
        <x:f>IF(COUNTA($A326:$M326)=0,"",IF(OR($U326="Subscription",$U326=""),"",IF($U326="Draw",$H326,0)))</x:f>
      </x:c>
      <x:c r="S326" s="114" t="str">
        <x:f>IF(COUNTA($A326:$M326)=0,"",IF(OR($U326="Subscription",$U326=""),"",IF($U326="Disqualified",$H326,0)))</x:f>
      </x:c>
      <x:c r="T326" s="955" t="str">
        <x:f>IF(COUNTA($A326:$M326)=0,"",IF(OR($U326="Subscription",$U326=""),"",IF(OR($U326="Free Game",$U326="Disqualified — Free Game",$H326=0),"N/A",IF($U326="Profit",$Q326/$H326,IF($U326="Disqualified",-$S326/$H326,0)))))</x:f>
      </x:c>
      <x:c r="U326" s="920" t="str">
        <x:f>IF(COUNTA($A326:$M326)=0,"",IF(OR(LEFT(LOWER(TRIM($F326&amp;"")),12)="subscription",LOWER(TRIM($F326&amp;""))="membership"),"Subscription",IF(OR(AND($H326&lt;&gt;"",$H326=0),LEFT(LOWER(TRIM($F326&amp;"")),9)="free game",LOWER(TRIM($F326&amp;""))="free",LOWER(TRIM($F326&amp;""))="free entry"),IF(LOWER($L326&amp;"")="yes","Disqualified — Free Game","Free Game"),IF(LOWER($L326&amp;"")="yes","Disqualified",IF($P326="","",IF(ROUND(IFERROR(VALUE($P326),0)-IFERROR(VALUE($H326),0),2)&gt;0,"Profit","Draw"))))))</x:f>
      </x:c>
      <x:c r="V326" s="956" t="str">
        <x:f>IF(COUNTA($A326:$M326)=0,"",IF(OR($B326="",$C326="",$U326="Subscription"),"",IFERROR(ROUNDUP(($C326-$B326)/7,0),"")))</x:f>
      </x:c>
      <x:c r="W326" s="114" t="str">
        <x:f>IF(COUNTA($A326:$M326)=0,"",IF(OR($U326="Subscription",$U326=""),"",IF(OR($U326="Free Game",$U326="Disqualified — Free Game"),0,ROUND(IFERROR($Q326,0)-IFERROR($S326,0),2))))</x:f>
      </x:c>
      <x:c r="X326" s="956" t="str">
        <x:f>IF(COUNTA($A326:$M326)=0,"",IF(OR($U326="Subscription",NOT(ISNUMBER($J326)),NOT(ISNUMBER($I326)),$J326=0,$I326=0,$I326&gt;$J326),"",$J326-$I326))</x:f>
      </x:c>
      <x:c r="Y326" s="955" t="str">
        <x:f>IF(COUNTA($A326:$M326)=0,"",IF(OR($U326="Subscription",NOT(ISNUMBER($J326)),$J326=0,$X326=""),"",$X326/$J326))</x:f>
      </x:c>
      <x:c r="Z326" s="957" t="str">
        <x:f>IF(COUNTA($A326:$M326)=0,"",Instructions!$B$29+SUM($W$5:W326))</x:f>
      </x:c>
    </x:row>
    <x:row r="327" ht="36" customHeight="1">
      <x:c r="A327" s="439"/>
      <x:c r="B327" s="453"/>
      <x:c r="C327" s="453"/>
      <x:c r="D327" s="454"/>
      <x:c r="E327" s="454"/>
      <x:c r="F327" s="454"/>
      <x:c r="G327" s="986"/>
      <x:c r="H327" s="455"/>
      <x:c r="I327" s="456"/>
      <x:c r="J327" s="456"/>
      <x:c r="K327" s="986"/>
      <x:c r="L327" s="454"/>
      <x:c r="M327" s="439"/>
      <x:c r="N327" s="987" t="str">
        <x:f>IF(COUNTA($A327:$M327)=0,"",IF(OR(LEFT(LOWER(TRIM($F327&amp;"")),12)="subscription",LOWER(TRIM($F327&amp;""))="membership"),"",IF($G327="","",IF(ISNUMBER(SEARCH("non",LOWER($E327&amp;""))),$G327*0.85,$G327))))</x:f>
      </x:c>
      <x:c r="O327" s="987" t="str">
        <x:f>IF(COUNTA($A327:$M327)=0,"",IF(OR(LEFT(LOWER(TRIM($F327&amp;"")),12)="subscription",LOWER(TRIM($F327&amp;""))="membership"),"",IF(OR($N327="",$I327="",$I327=0),"",IFERROR($N327/$I327,""))))</x:f>
      </x:c>
      <x:c r="P327" s="987" t="str">
        <x:f>IF(COUNTA($A327:$M327)=0,"",IF(OR(LEFT(LOWER(TRIM($F327&amp;"")),12)="subscription",LOWER(TRIM($F327&amp;""))="membership"),"",IF(LOWER($L327&amp;"")="yes",0,IF(OR(AND($H327&lt;&gt;"",$H327=0),LEFT(LOWER(TRIM($F327&amp;"")),9)="free game",LOWER(TRIM($F327&amp;""))="free",LOWER(TRIM($F327&amp;""))="free entry"),IF(LOWER($D327&amp;"")="finalized",IF(ISNUMBER($K327),$K327,""),IF($O327&lt;&gt;"",$O327,"")),IF($K327&lt;&gt;"",$K327,IF($O327&lt;&gt;"",$O327,""))))))</x:f>
      </x:c>
      <x:c r="Q327" s="114" t="str">
        <x:f>IF(COUNTA($A327:$M327)=0,"",IF(OR($U327="Subscription",$U327=""),"",IF($U327="Profit",ROUND(IFERROR($P327,0)-IFERROR($H327,0),2),0)))</x:f>
      </x:c>
      <x:c r="R327" s="114" t="str">
        <x:f>IF(COUNTA($A327:$M327)=0,"",IF(OR($U327="Subscription",$U327=""),"",IF($U327="Draw",$H327,0)))</x:f>
      </x:c>
      <x:c r="S327" s="114" t="str">
        <x:f>IF(COUNTA($A327:$M327)=0,"",IF(OR($U327="Subscription",$U327=""),"",IF($U327="Disqualified",$H327,0)))</x:f>
      </x:c>
      <x:c r="T327" s="955" t="str">
        <x:f>IF(COUNTA($A327:$M327)=0,"",IF(OR($U327="Subscription",$U327=""),"",IF(OR($U327="Free Game",$U327="Disqualified — Free Game",$H327=0),"N/A",IF($U327="Profit",$Q327/$H327,IF($U327="Disqualified",-$S327/$H327,0)))))</x:f>
      </x:c>
      <x:c r="U327" s="920" t="str">
        <x:f>IF(COUNTA($A327:$M327)=0,"",IF(OR(LEFT(LOWER(TRIM($F327&amp;"")),12)="subscription",LOWER(TRIM($F327&amp;""))="membership"),"Subscription",IF(OR(AND($H327&lt;&gt;"",$H327=0),LEFT(LOWER(TRIM($F327&amp;"")),9)="free game",LOWER(TRIM($F327&amp;""))="free",LOWER(TRIM($F327&amp;""))="free entry"),IF(LOWER($L327&amp;"")="yes","Disqualified — Free Game","Free Game"),IF(LOWER($L327&amp;"")="yes","Disqualified",IF($P327="","",IF(ROUND(IFERROR(VALUE($P327),0)-IFERROR(VALUE($H327),0),2)&gt;0,"Profit","Draw"))))))</x:f>
      </x:c>
      <x:c r="V327" s="956" t="str">
        <x:f>IF(COUNTA($A327:$M327)=0,"",IF(OR($B327="",$C327="",$U327="Subscription"),"",IFERROR(ROUNDUP(($C327-$B327)/7,0),"")))</x:f>
      </x:c>
      <x:c r="W327" s="114" t="str">
        <x:f>IF(COUNTA($A327:$M327)=0,"",IF(OR($U327="Subscription",$U327=""),"",IF(OR($U327="Free Game",$U327="Disqualified — Free Game"),0,ROUND(IFERROR($Q327,0)-IFERROR($S327,0),2))))</x:f>
      </x:c>
      <x:c r="X327" s="956" t="str">
        <x:f>IF(COUNTA($A327:$M327)=0,"",IF(OR($U327="Subscription",NOT(ISNUMBER($J327)),NOT(ISNUMBER($I327)),$J327=0,$I327=0,$I327&gt;$J327),"",$J327-$I327))</x:f>
      </x:c>
      <x:c r="Y327" s="955" t="str">
        <x:f>IF(COUNTA($A327:$M327)=0,"",IF(OR($U327="Subscription",NOT(ISNUMBER($J327)),$J327=0,$X327=""),"",$X327/$J327))</x:f>
      </x:c>
      <x:c r="Z327" s="957" t="str">
        <x:f>IF(COUNTA($A327:$M327)=0,"",Instructions!$B$29+SUM($W$5:W327))</x:f>
      </x:c>
    </x:row>
    <x:row r="328" ht="36" customHeight="1">
      <x:c r="A328" s="439"/>
      <x:c r="B328" s="453"/>
      <x:c r="C328" s="453"/>
      <x:c r="D328" s="454"/>
      <x:c r="E328" s="454"/>
      <x:c r="F328" s="454"/>
      <x:c r="G328" s="986"/>
      <x:c r="H328" s="455"/>
      <x:c r="I328" s="456"/>
      <x:c r="J328" s="456"/>
      <x:c r="K328" s="986"/>
      <x:c r="L328" s="454"/>
      <x:c r="M328" s="439"/>
      <x:c r="N328" s="987" t="str">
        <x:f>IF(COUNTA($A328:$M328)=0,"",IF(OR(LEFT(LOWER(TRIM($F328&amp;"")),12)="subscription",LOWER(TRIM($F328&amp;""))="membership"),"",IF($G328="","",IF(ISNUMBER(SEARCH("non",LOWER($E328&amp;""))),$G328*0.85,$G328))))</x:f>
      </x:c>
      <x:c r="O328" s="987" t="str">
        <x:f>IF(COUNTA($A328:$M328)=0,"",IF(OR(LEFT(LOWER(TRIM($F328&amp;"")),12)="subscription",LOWER(TRIM($F328&amp;""))="membership"),"",IF(OR($N328="",$I328="",$I328=0),"",IFERROR($N328/$I328,""))))</x:f>
      </x:c>
      <x:c r="P328" s="987" t="str">
        <x:f>IF(COUNTA($A328:$M328)=0,"",IF(OR(LEFT(LOWER(TRIM($F328&amp;"")),12)="subscription",LOWER(TRIM($F328&amp;""))="membership"),"",IF(LOWER($L328&amp;"")="yes",0,IF(OR(AND($H328&lt;&gt;"",$H328=0),LEFT(LOWER(TRIM($F328&amp;"")),9)="free game",LOWER(TRIM($F328&amp;""))="free",LOWER(TRIM($F328&amp;""))="free entry"),IF(LOWER($D328&amp;"")="finalized",IF(ISNUMBER($K328),$K328,""),IF($O328&lt;&gt;"",$O328,"")),IF($K328&lt;&gt;"",$K328,IF($O328&lt;&gt;"",$O328,""))))))</x:f>
      </x:c>
      <x:c r="Q328" s="114" t="str">
        <x:f>IF(COUNTA($A328:$M328)=0,"",IF(OR($U328="Subscription",$U328=""),"",IF($U328="Profit",ROUND(IFERROR($P328,0)-IFERROR($H328,0),2),0)))</x:f>
      </x:c>
      <x:c r="R328" s="114" t="str">
        <x:f>IF(COUNTA($A328:$M328)=0,"",IF(OR($U328="Subscription",$U328=""),"",IF($U328="Draw",$H328,0)))</x:f>
      </x:c>
      <x:c r="S328" s="114" t="str">
        <x:f>IF(COUNTA($A328:$M328)=0,"",IF(OR($U328="Subscription",$U328=""),"",IF($U328="Disqualified",$H328,0)))</x:f>
      </x:c>
      <x:c r="T328" s="955" t="str">
        <x:f>IF(COUNTA($A328:$M328)=0,"",IF(OR($U328="Subscription",$U328=""),"",IF(OR($U328="Free Game",$U328="Disqualified — Free Game",$H328=0),"N/A",IF($U328="Profit",$Q328/$H328,IF($U328="Disqualified",-$S328/$H328,0)))))</x:f>
      </x:c>
      <x:c r="U328" s="920" t="str">
        <x:f>IF(COUNTA($A328:$M328)=0,"",IF(OR(LEFT(LOWER(TRIM($F328&amp;"")),12)="subscription",LOWER(TRIM($F328&amp;""))="membership"),"Subscription",IF(OR(AND($H328&lt;&gt;"",$H328=0),LEFT(LOWER(TRIM($F328&amp;"")),9)="free game",LOWER(TRIM($F328&amp;""))="free",LOWER(TRIM($F328&amp;""))="free entry"),IF(LOWER($L328&amp;"")="yes","Disqualified — Free Game","Free Game"),IF(LOWER($L328&amp;"")="yes","Disqualified",IF($P328="","",IF(ROUND(IFERROR(VALUE($P328),0)-IFERROR(VALUE($H328),0),2)&gt;0,"Profit","Draw"))))))</x:f>
      </x:c>
      <x:c r="V328" s="956" t="str">
        <x:f>IF(COUNTA($A328:$M328)=0,"",IF(OR($B328="",$C328="",$U328="Subscription"),"",IFERROR(ROUNDUP(($C328-$B328)/7,0),"")))</x:f>
      </x:c>
      <x:c r="W328" s="114" t="str">
        <x:f>IF(COUNTA($A328:$M328)=0,"",IF(OR($U328="Subscription",$U328=""),"",IF(OR($U328="Free Game",$U328="Disqualified — Free Game"),0,ROUND(IFERROR($Q328,0)-IFERROR($S328,0),2))))</x:f>
      </x:c>
      <x:c r="X328" s="956" t="str">
        <x:f>IF(COUNTA($A328:$M328)=0,"",IF(OR($U328="Subscription",NOT(ISNUMBER($J328)),NOT(ISNUMBER($I328)),$J328=0,$I328=0,$I328&gt;$J328),"",$J328-$I328))</x:f>
      </x:c>
      <x:c r="Y328" s="955" t="str">
        <x:f>IF(COUNTA($A328:$M328)=0,"",IF(OR($U328="Subscription",NOT(ISNUMBER($J328)),$J328=0,$X328=""),"",$X328/$J328))</x:f>
      </x:c>
      <x:c r="Z328" s="957" t="str">
        <x:f>IF(COUNTA($A328:$M328)=0,"",Instructions!$B$29+SUM($W$5:W328))</x:f>
      </x:c>
    </x:row>
    <x:row r="329" ht="36" customHeight="1">
      <x:c r="A329" s="439"/>
      <x:c r="B329" s="453"/>
      <x:c r="C329" s="453"/>
      <x:c r="D329" s="454"/>
      <x:c r="E329" s="454"/>
      <x:c r="F329" s="454"/>
      <x:c r="G329" s="986"/>
      <x:c r="H329" s="455"/>
      <x:c r="I329" s="456"/>
      <x:c r="J329" s="456"/>
      <x:c r="K329" s="986"/>
      <x:c r="L329" s="454"/>
      <x:c r="M329" s="439"/>
      <x:c r="N329" s="987" t="str">
        <x:f>IF(COUNTA($A329:$M329)=0,"",IF(OR(LEFT(LOWER(TRIM($F329&amp;"")),12)="subscription",LOWER(TRIM($F329&amp;""))="membership"),"",IF($G329="","",IF(ISNUMBER(SEARCH("non",LOWER($E329&amp;""))),$G329*0.85,$G329))))</x:f>
      </x:c>
      <x:c r="O329" s="987" t="str">
        <x:f>IF(COUNTA($A329:$M329)=0,"",IF(OR(LEFT(LOWER(TRIM($F329&amp;"")),12)="subscription",LOWER(TRIM($F329&amp;""))="membership"),"",IF(OR($N329="",$I329="",$I329=0),"",IFERROR($N329/$I329,""))))</x:f>
      </x:c>
      <x:c r="P329" s="987" t="str">
        <x:f>IF(COUNTA($A329:$M329)=0,"",IF(OR(LEFT(LOWER(TRIM($F329&amp;"")),12)="subscription",LOWER(TRIM($F329&amp;""))="membership"),"",IF(LOWER($L329&amp;"")="yes",0,IF(OR(AND($H329&lt;&gt;"",$H329=0),LEFT(LOWER(TRIM($F329&amp;"")),9)="free game",LOWER(TRIM($F329&amp;""))="free",LOWER(TRIM($F329&amp;""))="free entry"),IF(LOWER($D329&amp;"")="finalized",IF(ISNUMBER($K329),$K329,""),IF($O329&lt;&gt;"",$O329,"")),IF($K329&lt;&gt;"",$K329,IF($O329&lt;&gt;"",$O329,""))))))</x:f>
      </x:c>
      <x:c r="Q329" s="114" t="str">
        <x:f>IF(COUNTA($A329:$M329)=0,"",IF(OR($U329="Subscription",$U329=""),"",IF($U329="Profit",ROUND(IFERROR($P329,0)-IFERROR($H329,0),2),0)))</x:f>
      </x:c>
      <x:c r="R329" s="114" t="str">
        <x:f>IF(COUNTA($A329:$M329)=0,"",IF(OR($U329="Subscription",$U329=""),"",IF($U329="Draw",$H329,0)))</x:f>
      </x:c>
      <x:c r="S329" s="114" t="str">
        <x:f>IF(COUNTA($A329:$M329)=0,"",IF(OR($U329="Subscription",$U329=""),"",IF($U329="Disqualified",$H329,0)))</x:f>
      </x:c>
      <x:c r="T329" s="955" t="str">
        <x:f>IF(COUNTA($A329:$M329)=0,"",IF(OR($U329="Subscription",$U329=""),"",IF(OR($U329="Free Game",$U329="Disqualified — Free Game",$H329=0),"N/A",IF($U329="Profit",$Q329/$H329,IF($U329="Disqualified",-$S329/$H329,0)))))</x:f>
      </x:c>
      <x:c r="U329" s="920" t="str">
        <x:f>IF(COUNTA($A329:$M329)=0,"",IF(OR(LEFT(LOWER(TRIM($F329&amp;"")),12)="subscription",LOWER(TRIM($F329&amp;""))="membership"),"Subscription",IF(OR(AND($H329&lt;&gt;"",$H329=0),LEFT(LOWER(TRIM($F329&amp;"")),9)="free game",LOWER(TRIM($F329&amp;""))="free",LOWER(TRIM($F329&amp;""))="free entry"),IF(LOWER($L329&amp;"")="yes","Disqualified — Free Game","Free Game"),IF(LOWER($L329&amp;"")="yes","Disqualified",IF($P329="","",IF(ROUND(IFERROR(VALUE($P329),0)-IFERROR(VALUE($H329),0),2)&gt;0,"Profit","Draw"))))))</x:f>
      </x:c>
      <x:c r="V329" s="956" t="str">
        <x:f>IF(COUNTA($A329:$M329)=0,"",IF(OR($B329="",$C329="",$U329="Subscription"),"",IFERROR(ROUNDUP(($C329-$B329)/7,0),"")))</x:f>
      </x:c>
      <x:c r="W329" s="114" t="str">
        <x:f>IF(COUNTA($A329:$M329)=0,"",IF(OR($U329="Subscription",$U329=""),"",IF(OR($U329="Free Game",$U329="Disqualified — Free Game"),0,ROUND(IFERROR($Q329,0)-IFERROR($S329,0),2))))</x:f>
      </x:c>
      <x:c r="X329" s="956" t="str">
        <x:f>IF(COUNTA($A329:$M329)=0,"",IF(OR($U329="Subscription",NOT(ISNUMBER($J329)),NOT(ISNUMBER($I329)),$J329=0,$I329=0,$I329&gt;$J329),"",$J329-$I329))</x:f>
      </x:c>
      <x:c r="Y329" s="955" t="str">
        <x:f>IF(COUNTA($A329:$M329)=0,"",IF(OR($U329="Subscription",NOT(ISNUMBER($J329)),$J329=0,$X329=""),"",$X329/$J329))</x:f>
      </x:c>
      <x:c r="Z329" s="957" t="str">
        <x:f>IF(COUNTA($A329:$M329)=0,"",Instructions!$B$29+SUM($W$5:W329))</x:f>
      </x:c>
    </x:row>
    <x:row r="330" ht="36" customHeight="1">
      <x:c r="A330" s="439"/>
      <x:c r="B330" s="453"/>
      <x:c r="C330" s="453"/>
      <x:c r="D330" s="454"/>
      <x:c r="E330" s="454"/>
      <x:c r="F330" s="454"/>
      <x:c r="G330" s="986"/>
      <x:c r="H330" s="455"/>
      <x:c r="I330" s="456"/>
      <x:c r="J330" s="456"/>
      <x:c r="K330" s="986"/>
      <x:c r="L330" s="454"/>
      <x:c r="M330" s="439"/>
      <x:c r="N330" s="987" t="str">
        <x:f>IF(COUNTA($A330:$M330)=0,"",IF(OR(LEFT(LOWER(TRIM($F330&amp;"")),12)="subscription",LOWER(TRIM($F330&amp;""))="membership"),"",IF($G330="","",IF(ISNUMBER(SEARCH("non",LOWER($E330&amp;""))),$G330*0.85,$G330))))</x:f>
      </x:c>
      <x:c r="O330" s="987" t="str">
        <x:f>IF(COUNTA($A330:$M330)=0,"",IF(OR(LEFT(LOWER(TRIM($F330&amp;"")),12)="subscription",LOWER(TRIM($F330&amp;""))="membership"),"",IF(OR($N330="",$I330="",$I330=0),"",IFERROR($N330/$I330,""))))</x:f>
      </x:c>
      <x:c r="P330" s="987" t="str">
        <x:f>IF(COUNTA($A330:$M330)=0,"",IF(OR(LEFT(LOWER(TRIM($F330&amp;"")),12)="subscription",LOWER(TRIM($F330&amp;""))="membership"),"",IF(LOWER($L330&amp;"")="yes",0,IF(OR(AND($H330&lt;&gt;"",$H330=0),LEFT(LOWER(TRIM($F330&amp;"")),9)="free game",LOWER(TRIM($F330&amp;""))="free",LOWER(TRIM($F330&amp;""))="free entry"),IF(LOWER($D330&amp;"")="finalized",IF(ISNUMBER($K330),$K330,""),IF($O330&lt;&gt;"",$O330,"")),IF($K330&lt;&gt;"",$K330,IF($O330&lt;&gt;"",$O330,""))))))</x:f>
      </x:c>
      <x:c r="Q330" s="114" t="str">
        <x:f>IF(COUNTA($A330:$M330)=0,"",IF(OR($U330="Subscription",$U330=""),"",IF($U330="Profit",ROUND(IFERROR($P330,0)-IFERROR($H330,0),2),0)))</x:f>
      </x:c>
      <x:c r="R330" s="114" t="str">
        <x:f>IF(COUNTA($A330:$M330)=0,"",IF(OR($U330="Subscription",$U330=""),"",IF($U330="Draw",$H330,0)))</x:f>
      </x:c>
      <x:c r="S330" s="114" t="str">
        <x:f>IF(COUNTA($A330:$M330)=0,"",IF(OR($U330="Subscription",$U330=""),"",IF($U330="Disqualified",$H330,0)))</x:f>
      </x:c>
      <x:c r="T330" s="955" t="str">
        <x:f>IF(COUNTA($A330:$M330)=0,"",IF(OR($U330="Subscription",$U330=""),"",IF(OR($U330="Free Game",$U330="Disqualified — Free Game",$H330=0),"N/A",IF($U330="Profit",$Q330/$H330,IF($U330="Disqualified",-$S330/$H330,0)))))</x:f>
      </x:c>
      <x:c r="U330" s="920" t="str">
        <x:f>IF(COUNTA($A330:$M330)=0,"",IF(OR(LEFT(LOWER(TRIM($F330&amp;"")),12)="subscription",LOWER(TRIM($F330&amp;""))="membership"),"Subscription",IF(OR(AND($H330&lt;&gt;"",$H330=0),LEFT(LOWER(TRIM($F330&amp;"")),9)="free game",LOWER(TRIM($F330&amp;""))="free",LOWER(TRIM($F330&amp;""))="free entry"),IF(LOWER($L330&amp;"")="yes","Disqualified — Free Game","Free Game"),IF(LOWER($L330&amp;"")="yes","Disqualified",IF($P330="","",IF(ROUND(IFERROR(VALUE($P330),0)-IFERROR(VALUE($H330),0),2)&gt;0,"Profit","Draw"))))))</x:f>
      </x:c>
      <x:c r="V330" s="956" t="str">
        <x:f>IF(COUNTA($A330:$M330)=0,"",IF(OR($B330="",$C330="",$U330="Subscription"),"",IFERROR(ROUNDUP(($C330-$B330)/7,0),"")))</x:f>
      </x:c>
      <x:c r="W330" s="114" t="str">
        <x:f>IF(COUNTA($A330:$M330)=0,"",IF(OR($U330="Subscription",$U330=""),"",IF(OR($U330="Free Game",$U330="Disqualified — Free Game"),0,ROUND(IFERROR($Q330,0)-IFERROR($S330,0),2))))</x:f>
      </x:c>
      <x:c r="X330" s="956" t="str">
        <x:f>IF(COUNTA($A330:$M330)=0,"",IF(OR($U330="Subscription",NOT(ISNUMBER($J330)),NOT(ISNUMBER($I330)),$J330=0,$I330=0,$I330&gt;$J330),"",$J330-$I330))</x:f>
      </x:c>
      <x:c r="Y330" s="955" t="str">
        <x:f>IF(COUNTA($A330:$M330)=0,"",IF(OR($U330="Subscription",NOT(ISNUMBER($J330)),$J330=0,$X330=""),"",$X330/$J330))</x:f>
      </x:c>
      <x:c r="Z330" s="957" t="str">
        <x:f>IF(COUNTA($A330:$M330)=0,"",Instructions!$B$29+SUM($W$5:W330))</x:f>
      </x:c>
    </x:row>
    <x:row r="331" ht="36" customHeight="1">
      <x:c r="A331" s="439"/>
      <x:c r="B331" s="453"/>
      <x:c r="C331" s="453"/>
      <x:c r="D331" s="454"/>
      <x:c r="E331" s="454"/>
      <x:c r="F331" s="454"/>
      <x:c r="G331" s="986"/>
      <x:c r="H331" s="455"/>
      <x:c r="I331" s="456"/>
      <x:c r="J331" s="456"/>
      <x:c r="K331" s="986"/>
      <x:c r="L331" s="454"/>
      <x:c r="M331" s="439"/>
      <x:c r="N331" s="987" t="str">
        <x:f>IF(COUNTA($A331:$M331)=0,"",IF(OR(LEFT(LOWER(TRIM($F331&amp;"")),12)="subscription",LOWER(TRIM($F331&amp;""))="membership"),"",IF($G331="","",IF(ISNUMBER(SEARCH("non",LOWER($E331&amp;""))),$G331*0.85,$G331))))</x:f>
      </x:c>
      <x:c r="O331" s="987" t="str">
        <x:f>IF(COUNTA($A331:$M331)=0,"",IF(OR(LEFT(LOWER(TRIM($F331&amp;"")),12)="subscription",LOWER(TRIM($F331&amp;""))="membership"),"",IF(OR($N331="",$I331="",$I331=0),"",IFERROR($N331/$I331,""))))</x:f>
      </x:c>
      <x:c r="P331" s="987" t="str">
        <x:f>IF(COUNTA($A331:$M331)=0,"",IF(OR(LEFT(LOWER(TRIM($F331&amp;"")),12)="subscription",LOWER(TRIM($F331&amp;""))="membership"),"",IF(LOWER($L331&amp;"")="yes",0,IF(OR(AND($H331&lt;&gt;"",$H331=0),LEFT(LOWER(TRIM($F331&amp;"")),9)="free game",LOWER(TRIM($F331&amp;""))="free",LOWER(TRIM($F331&amp;""))="free entry"),IF(LOWER($D331&amp;"")="finalized",IF(ISNUMBER($K331),$K331,""),IF($O331&lt;&gt;"",$O331,"")),IF($K331&lt;&gt;"",$K331,IF($O331&lt;&gt;"",$O331,""))))))</x:f>
      </x:c>
      <x:c r="Q331" s="114" t="str">
        <x:f>IF(COUNTA($A331:$M331)=0,"",IF(OR($U331="Subscription",$U331=""),"",IF($U331="Profit",ROUND(IFERROR($P331,0)-IFERROR($H331,0),2),0)))</x:f>
      </x:c>
      <x:c r="R331" s="114" t="str">
        <x:f>IF(COUNTA($A331:$M331)=0,"",IF(OR($U331="Subscription",$U331=""),"",IF($U331="Draw",$H331,0)))</x:f>
      </x:c>
      <x:c r="S331" s="114" t="str">
        <x:f>IF(COUNTA($A331:$M331)=0,"",IF(OR($U331="Subscription",$U331=""),"",IF($U331="Disqualified",$H331,0)))</x:f>
      </x:c>
      <x:c r="T331" s="955" t="str">
        <x:f>IF(COUNTA($A331:$M331)=0,"",IF(OR($U331="Subscription",$U331=""),"",IF(OR($U331="Free Game",$U331="Disqualified — Free Game",$H331=0),"N/A",IF($U331="Profit",$Q331/$H331,IF($U331="Disqualified",-$S331/$H331,0)))))</x:f>
      </x:c>
      <x:c r="U331" s="920" t="str">
        <x:f>IF(COUNTA($A331:$M331)=0,"",IF(OR(LEFT(LOWER(TRIM($F331&amp;"")),12)="subscription",LOWER(TRIM($F331&amp;""))="membership"),"Subscription",IF(OR(AND($H331&lt;&gt;"",$H331=0),LEFT(LOWER(TRIM($F331&amp;"")),9)="free game",LOWER(TRIM($F331&amp;""))="free",LOWER(TRIM($F331&amp;""))="free entry"),IF(LOWER($L331&amp;"")="yes","Disqualified — Free Game","Free Game"),IF(LOWER($L331&amp;"")="yes","Disqualified",IF($P331="","",IF(ROUND(IFERROR(VALUE($P331),0)-IFERROR(VALUE($H331),0),2)&gt;0,"Profit","Draw"))))))</x:f>
      </x:c>
      <x:c r="V331" s="956" t="str">
        <x:f>IF(COUNTA($A331:$M331)=0,"",IF(OR($B331="",$C331="",$U331="Subscription"),"",IFERROR(ROUNDUP(($C331-$B331)/7,0),"")))</x:f>
      </x:c>
      <x:c r="W331" s="114" t="str">
        <x:f>IF(COUNTA($A331:$M331)=0,"",IF(OR($U331="Subscription",$U331=""),"",IF(OR($U331="Free Game",$U331="Disqualified — Free Game"),0,ROUND(IFERROR($Q331,0)-IFERROR($S331,0),2))))</x:f>
      </x:c>
      <x:c r="X331" s="956" t="str">
        <x:f>IF(COUNTA($A331:$M331)=0,"",IF(OR($U331="Subscription",NOT(ISNUMBER($J331)),NOT(ISNUMBER($I331)),$J331=0,$I331=0,$I331&gt;$J331),"",$J331-$I331))</x:f>
      </x:c>
      <x:c r="Y331" s="955" t="str">
        <x:f>IF(COUNTA($A331:$M331)=0,"",IF(OR($U331="Subscription",NOT(ISNUMBER($J331)),$J331=0,$X331=""),"",$X331/$J331))</x:f>
      </x:c>
      <x:c r="Z331" s="957" t="str">
        <x:f>IF(COUNTA($A331:$M331)=0,"",Instructions!$B$29+SUM($W$5:W331))</x:f>
      </x:c>
    </x:row>
    <x:row r="332" ht="36" customHeight="1">
      <x:c r="A332" s="439"/>
      <x:c r="B332" s="453"/>
      <x:c r="C332" s="453"/>
      <x:c r="D332" s="454"/>
      <x:c r="E332" s="454"/>
      <x:c r="F332" s="454"/>
      <x:c r="G332" s="986"/>
      <x:c r="H332" s="455"/>
      <x:c r="I332" s="456"/>
      <x:c r="J332" s="456"/>
      <x:c r="K332" s="986"/>
      <x:c r="L332" s="454"/>
      <x:c r="M332" s="439"/>
      <x:c r="N332" s="987" t="str">
        <x:f>IF(COUNTA($A332:$M332)=0,"",IF(OR(LEFT(LOWER(TRIM($F332&amp;"")),12)="subscription",LOWER(TRIM($F332&amp;""))="membership"),"",IF($G332="","",IF(ISNUMBER(SEARCH("non",LOWER($E332&amp;""))),$G332*0.85,$G332))))</x:f>
      </x:c>
      <x:c r="O332" s="987" t="str">
        <x:f>IF(COUNTA($A332:$M332)=0,"",IF(OR(LEFT(LOWER(TRIM($F332&amp;"")),12)="subscription",LOWER(TRIM($F332&amp;""))="membership"),"",IF(OR($N332="",$I332="",$I332=0),"",IFERROR($N332/$I332,""))))</x:f>
      </x:c>
      <x:c r="P332" s="987" t="str">
        <x:f>IF(COUNTA($A332:$M332)=0,"",IF(OR(LEFT(LOWER(TRIM($F332&amp;"")),12)="subscription",LOWER(TRIM($F332&amp;""))="membership"),"",IF(LOWER($L332&amp;"")="yes",0,IF(OR(AND($H332&lt;&gt;"",$H332=0),LEFT(LOWER(TRIM($F332&amp;"")),9)="free game",LOWER(TRIM($F332&amp;""))="free",LOWER(TRIM($F332&amp;""))="free entry"),IF(LOWER($D332&amp;"")="finalized",IF(ISNUMBER($K332),$K332,""),IF($O332&lt;&gt;"",$O332,"")),IF($K332&lt;&gt;"",$K332,IF($O332&lt;&gt;"",$O332,""))))))</x:f>
      </x:c>
      <x:c r="Q332" s="114" t="str">
        <x:f>IF(COUNTA($A332:$M332)=0,"",IF(OR($U332="Subscription",$U332=""),"",IF($U332="Profit",ROUND(IFERROR($P332,0)-IFERROR($H332,0),2),0)))</x:f>
      </x:c>
      <x:c r="R332" s="114" t="str">
        <x:f>IF(COUNTA($A332:$M332)=0,"",IF(OR($U332="Subscription",$U332=""),"",IF($U332="Draw",$H332,0)))</x:f>
      </x:c>
      <x:c r="S332" s="114" t="str">
        <x:f>IF(COUNTA($A332:$M332)=0,"",IF(OR($U332="Subscription",$U332=""),"",IF($U332="Disqualified",$H332,0)))</x:f>
      </x:c>
      <x:c r="T332" s="955" t="str">
        <x:f>IF(COUNTA($A332:$M332)=0,"",IF(OR($U332="Subscription",$U332=""),"",IF(OR($U332="Free Game",$U332="Disqualified — Free Game",$H332=0),"N/A",IF($U332="Profit",$Q332/$H332,IF($U332="Disqualified",-$S332/$H332,0)))))</x:f>
      </x:c>
      <x:c r="U332" s="920" t="str">
        <x:f>IF(COUNTA($A332:$M332)=0,"",IF(OR(LEFT(LOWER(TRIM($F332&amp;"")),12)="subscription",LOWER(TRIM($F332&amp;""))="membership"),"Subscription",IF(OR(AND($H332&lt;&gt;"",$H332=0),LEFT(LOWER(TRIM($F332&amp;"")),9)="free game",LOWER(TRIM($F332&amp;""))="free",LOWER(TRIM($F332&amp;""))="free entry"),IF(LOWER($L332&amp;"")="yes","Disqualified — Free Game","Free Game"),IF(LOWER($L332&amp;"")="yes","Disqualified",IF($P332="","",IF(ROUND(IFERROR(VALUE($P332),0)-IFERROR(VALUE($H332),0),2)&gt;0,"Profit","Draw"))))))</x:f>
      </x:c>
      <x:c r="V332" s="956" t="str">
        <x:f>IF(COUNTA($A332:$M332)=0,"",IF(OR($B332="",$C332="",$U332="Subscription"),"",IFERROR(ROUNDUP(($C332-$B332)/7,0),"")))</x:f>
      </x:c>
      <x:c r="W332" s="114" t="str">
        <x:f>IF(COUNTA($A332:$M332)=0,"",IF(OR($U332="Subscription",$U332=""),"",IF(OR($U332="Free Game",$U332="Disqualified — Free Game"),0,ROUND(IFERROR($Q332,0)-IFERROR($S332,0),2))))</x:f>
      </x:c>
      <x:c r="X332" s="956" t="str">
        <x:f>IF(COUNTA($A332:$M332)=0,"",IF(OR($U332="Subscription",NOT(ISNUMBER($J332)),NOT(ISNUMBER($I332)),$J332=0,$I332=0,$I332&gt;$J332),"",$J332-$I332))</x:f>
      </x:c>
      <x:c r="Y332" s="955" t="str">
        <x:f>IF(COUNTA($A332:$M332)=0,"",IF(OR($U332="Subscription",NOT(ISNUMBER($J332)),$J332=0,$X332=""),"",$X332/$J332))</x:f>
      </x:c>
      <x:c r="Z332" s="957" t="str">
        <x:f>IF(COUNTA($A332:$M332)=0,"",Instructions!$B$29+SUM($W$5:W332))</x:f>
      </x:c>
    </x:row>
    <x:row r="333" ht="36" customHeight="1">
      <x:c r="A333" s="439"/>
      <x:c r="B333" s="453"/>
      <x:c r="C333" s="453"/>
      <x:c r="D333" s="454"/>
      <x:c r="E333" s="454"/>
      <x:c r="F333" s="454"/>
      <x:c r="G333" s="986"/>
      <x:c r="H333" s="455"/>
      <x:c r="I333" s="456"/>
      <x:c r="J333" s="456"/>
      <x:c r="K333" s="986"/>
      <x:c r="L333" s="454"/>
      <x:c r="M333" s="439"/>
      <x:c r="N333" s="987" t="str">
        <x:f>IF(COUNTA($A333:$M333)=0,"",IF(OR(LEFT(LOWER(TRIM($F333&amp;"")),12)="subscription",LOWER(TRIM($F333&amp;""))="membership"),"",IF($G333="","",IF(ISNUMBER(SEARCH("non",LOWER($E333&amp;""))),$G333*0.85,$G333))))</x:f>
      </x:c>
      <x:c r="O333" s="987" t="str">
        <x:f>IF(COUNTA($A333:$M333)=0,"",IF(OR(LEFT(LOWER(TRIM($F333&amp;"")),12)="subscription",LOWER(TRIM($F333&amp;""))="membership"),"",IF(OR($N333="",$I333="",$I333=0),"",IFERROR($N333/$I333,""))))</x:f>
      </x:c>
      <x:c r="P333" s="987" t="str">
        <x:f>IF(COUNTA($A333:$M333)=0,"",IF(OR(LEFT(LOWER(TRIM($F333&amp;"")),12)="subscription",LOWER(TRIM($F333&amp;""))="membership"),"",IF(LOWER($L333&amp;"")="yes",0,IF(OR(AND($H333&lt;&gt;"",$H333=0),LEFT(LOWER(TRIM($F333&amp;"")),9)="free game",LOWER(TRIM($F333&amp;""))="free",LOWER(TRIM($F333&amp;""))="free entry"),IF(LOWER($D333&amp;"")="finalized",IF(ISNUMBER($K333),$K333,""),IF($O333&lt;&gt;"",$O333,"")),IF($K333&lt;&gt;"",$K333,IF($O333&lt;&gt;"",$O333,""))))))</x:f>
      </x:c>
      <x:c r="Q333" s="114" t="str">
        <x:f>IF(COUNTA($A333:$M333)=0,"",IF(OR($U333="Subscription",$U333=""),"",IF($U333="Profit",ROUND(IFERROR($P333,0)-IFERROR($H333,0),2),0)))</x:f>
      </x:c>
      <x:c r="R333" s="114" t="str">
        <x:f>IF(COUNTA($A333:$M333)=0,"",IF(OR($U333="Subscription",$U333=""),"",IF($U333="Draw",$H333,0)))</x:f>
      </x:c>
      <x:c r="S333" s="114" t="str">
        <x:f>IF(COUNTA($A333:$M333)=0,"",IF(OR($U333="Subscription",$U333=""),"",IF($U333="Disqualified",$H333,0)))</x:f>
      </x:c>
      <x:c r="T333" s="955" t="str">
        <x:f>IF(COUNTA($A333:$M333)=0,"",IF(OR($U333="Subscription",$U333=""),"",IF(OR($U333="Free Game",$U333="Disqualified — Free Game",$H333=0),"N/A",IF($U333="Profit",$Q333/$H333,IF($U333="Disqualified",-$S333/$H333,0)))))</x:f>
      </x:c>
      <x:c r="U333" s="920" t="str">
        <x:f>IF(COUNTA($A333:$M333)=0,"",IF(OR(LEFT(LOWER(TRIM($F333&amp;"")),12)="subscription",LOWER(TRIM($F333&amp;""))="membership"),"Subscription",IF(OR(AND($H333&lt;&gt;"",$H333=0),LEFT(LOWER(TRIM($F333&amp;"")),9)="free game",LOWER(TRIM($F333&amp;""))="free",LOWER(TRIM($F333&amp;""))="free entry"),IF(LOWER($L333&amp;"")="yes","Disqualified — Free Game","Free Game"),IF(LOWER($L333&amp;"")="yes","Disqualified",IF($P333="","",IF(ROUND(IFERROR(VALUE($P333),0)-IFERROR(VALUE($H333),0),2)&gt;0,"Profit","Draw"))))))</x:f>
      </x:c>
      <x:c r="V333" s="956" t="str">
        <x:f>IF(COUNTA($A333:$M333)=0,"",IF(OR($B333="",$C333="",$U333="Subscription"),"",IFERROR(ROUNDUP(($C333-$B333)/7,0),"")))</x:f>
      </x:c>
      <x:c r="W333" s="114" t="str">
        <x:f>IF(COUNTA($A333:$M333)=0,"",IF(OR($U333="Subscription",$U333=""),"",IF(OR($U333="Free Game",$U333="Disqualified — Free Game"),0,ROUND(IFERROR($Q333,0)-IFERROR($S333,0),2))))</x:f>
      </x:c>
      <x:c r="X333" s="956" t="str">
        <x:f>IF(COUNTA($A333:$M333)=0,"",IF(OR($U333="Subscription",NOT(ISNUMBER($J333)),NOT(ISNUMBER($I333)),$J333=0,$I333=0,$I333&gt;$J333),"",$J333-$I333))</x:f>
      </x:c>
      <x:c r="Y333" s="955" t="str">
        <x:f>IF(COUNTA($A333:$M333)=0,"",IF(OR($U333="Subscription",NOT(ISNUMBER($J333)),$J333=0,$X333=""),"",$X333/$J333))</x:f>
      </x:c>
      <x:c r="Z333" s="957" t="str">
        <x:f>IF(COUNTA($A333:$M333)=0,"",Instructions!$B$29+SUM($W$5:W333))</x:f>
      </x:c>
    </x:row>
    <x:row r="334" ht="36" customHeight="1">
      <x:c r="A334" s="439"/>
      <x:c r="B334" s="453"/>
      <x:c r="C334" s="453"/>
      <x:c r="D334" s="454"/>
      <x:c r="E334" s="454"/>
      <x:c r="F334" s="454"/>
      <x:c r="G334" s="986"/>
      <x:c r="H334" s="455"/>
      <x:c r="I334" s="456"/>
      <x:c r="J334" s="456"/>
      <x:c r="K334" s="986"/>
      <x:c r="L334" s="454"/>
      <x:c r="M334" s="439"/>
      <x:c r="N334" s="987" t="str">
        <x:f>IF(COUNTA($A334:$M334)=0,"",IF(OR(LEFT(LOWER(TRIM($F334&amp;"")),12)="subscription",LOWER(TRIM($F334&amp;""))="membership"),"",IF($G334="","",IF(ISNUMBER(SEARCH("non",LOWER($E334&amp;""))),$G334*0.85,$G334))))</x:f>
      </x:c>
      <x:c r="O334" s="987" t="str">
        <x:f>IF(COUNTA($A334:$M334)=0,"",IF(OR(LEFT(LOWER(TRIM($F334&amp;"")),12)="subscription",LOWER(TRIM($F334&amp;""))="membership"),"",IF(OR($N334="",$I334="",$I334=0),"",IFERROR($N334/$I334,""))))</x:f>
      </x:c>
      <x:c r="P334" s="987" t="str">
        <x:f>IF(COUNTA($A334:$M334)=0,"",IF(OR(LEFT(LOWER(TRIM($F334&amp;"")),12)="subscription",LOWER(TRIM($F334&amp;""))="membership"),"",IF(LOWER($L334&amp;"")="yes",0,IF(OR(AND($H334&lt;&gt;"",$H334=0),LEFT(LOWER(TRIM($F334&amp;"")),9)="free game",LOWER(TRIM($F334&amp;""))="free",LOWER(TRIM($F334&amp;""))="free entry"),IF(LOWER($D334&amp;"")="finalized",IF(ISNUMBER($K334),$K334,""),IF($O334&lt;&gt;"",$O334,"")),IF($K334&lt;&gt;"",$K334,IF($O334&lt;&gt;"",$O334,""))))))</x:f>
      </x:c>
      <x:c r="Q334" s="114" t="str">
        <x:f>IF(COUNTA($A334:$M334)=0,"",IF(OR($U334="Subscription",$U334=""),"",IF($U334="Profit",ROUND(IFERROR($P334,0)-IFERROR($H334,0),2),0)))</x:f>
      </x:c>
      <x:c r="R334" s="114" t="str">
        <x:f>IF(COUNTA($A334:$M334)=0,"",IF(OR($U334="Subscription",$U334=""),"",IF($U334="Draw",$H334,0)))</x:f>
      </x:c>
      <x:c r="S334" s="114" t="str">
        <x:f>IF(COUNTA($A334:$M334)=0,"",IF(OR($U334="Subscription",$U334=""),"",IF($U334="Disqualified",$H334,0)))</x:f>
      </x:c>
      <x:c r="T334" s="955" t="str">
        <x:f>IF(COUNTA($A334:$M334)=0,"",IF(OR($U334="Subscription",$U334=""),"",IF(OR($U334="Free Game",$U334="Disqualified — Free Game",$H334=0),"N/A",IF($U334="Profit",$Q334/$H334,IF($U334="Disqualified",-$S334/$H334,0)))))</x:f>
      </x:c>
      <x:c r="U334" s="920" t="str">
        <x:f>IF(COUNTA($A334:$M334)=0,"",IF(OR(LEFT(LOWER(TRIM($F334&amp;"")),12)="subscription",LOWER(TRIM($F334&amp;""))="membership"),"Subscription",IF(OR(AND($H334&lt;&gt;"",$H334=0),LEFT(LOWER(TRIM($F334&amp;"")),9)="free game",LOWER(TRIM($F334&amp;""))="free",LOWER(TRIM($F334&amp;""))="free entry"),IF(LOWER($L334&amp;"")="yes","Disqualified — Free Game","Free Game"),IF(LOWER($L334&amp;"")="yes","Disqualified",IF($P334="","",IF(ROUND(IFERROR(VALUE($P334),0)-IFERROR(VALUE($H334),0),2)&gt;0,"Profit","Draw"))))))</x:f>
      </x:c>
      <x:c r="V334" s="956" t="str">
        <x:f>IF(COUNTA($A334:$M334)=0,"",IF(OR($B334="",$C334="",$U334="Subscription"),"",IFERROR(ROUNDUP(($C334-$B334)/7,0),"")))</x:f>
      </x:c>
      <x:c r="W334" s="114" t="str">
        <x:f>IF(COUNTA($A334:$M334)=0,"",IF(OR($U334="Subscription",$U334=""),"",IF(OR($U334="Free Game",$U334="Disqualified — Free Game"),0,ROUND(IFERROR($Q334,0)-IFERROR($S334,0),2))))</x:f>
      </x:c>
      <x:c r="X334" s="956" t="str">
        <x:f>IF(COUNTA($A334:$M334)=0,"",IF(OR($U334="Subscription",NOT(ISNUMBER($J334)),NOT(ISNUMBER($I334)),$J334=0,$I334=0,$I334&gt;$J334),"",$J334-$I334))</x:f>
      </x:c>
      <x:c r="Y334" s="955" t="str">
        <x:f>IF(COUNTA($A334:$M334)=0,"",IF(OR($U334="Subscription",NOT(ISNUMBER($J334)),$J334=0,$X334=""),"",$X334/$J334))</x:f>
      </x:c>
      <x:c r="Z334" s="957" t="str">
        <x:f>IF(COUNTA($A334:$M334)=0,"",Instructions!$B$29+SUM($W$5:W334))</x:f>
      </x:c>
    </x:row>
    <x:row r="335" ht="36" customHeight="1">
      <x:c r="A335" s="439"/>
      <x:c r="B335" s="453"/>
      <x:c r="C335" s="453"/>
      <x:c r="D335" s="454"/>
      <x:c r="E335" s="454"/>
      <x:c r="F335" s="454"/>
      <x:c r="G335" s="986"/>
      <x:c r="H335" s="455"/>
      <x:c r="I335" s="456"/>
      <x:c r="J335" s="456"/>
      <x:c r="K335" s="986"/>
      <x:c r="L335" s="454"/>
      <x:c r="M335" s="439"/>
      <x:c r="N335" s="987" t="str">
        <x:f>IF(COUNTA($A335:$M335)=0,"",IF(OR(LEFT(LOWER(TRIM($F335&amp;"")),12)="subscription",LOWER(TRIM($F335&amp;""))="membership"),"",IF($G335="","",IF(ISNUMBER(SEARCH("non",LOWER($E335&amp;""))),$G335*0.85,$G335))))</x:f>
      </x:c>
      <x:c r="O335" s="987" t="str">
        <x:f>IF(COUNTA($A335:$M335)=0,"",IF(OR(LEFT(LOWER(TRIM($F335&amp;"")),12)="subscription",LOWER(TRIM($F335&amp;""))="membership"),"",IF(OR($N335="",$I335="",$I335=0),"",IFERROR($N335/$I335,""))))</x:f>
      </x:c>
      <x:c r="P335" s="987" t="str">
        <x:f>IF(COUNTA($A335:$M335)=0,"",IF(OR(LEFT(LOWER(TRIM($F335&amp;"")),12)="subscription",LOWER(TRIM($F335&amp;""))="membership"),"",IF(LOWER($L335&amp;"")="yes",0,IF(OR(AND($H335&lt;&gt;"",$H335=0),LEFT(LOWER(TRIM($F335&amp;"")),9)="free game",LOWER(TRIM($F335&amp;""))="free",LOWER(TRIM($F335&amp;""))="free entry"),IF(LOWER($D335&amp;"")="finalized",IF(ISNUMBER($K335),$K335,""),IF($O335&lt;&gt;"",$O335,"")),IF($K335&lt;&gt;"",$K335,IF($O335&lt;&gt;"",$O335,""))))))</x:f>
      </x:c>
      <x:c r="Q335" s="114" t="str">
        <x:f>IF(COUNTA($A335:$M335)=0,"",IF(OR($U335="Subscription",$U335=""),"",IF($U335="Profit",ROUND(IFERROR($P335,0)-IFERROR($H335,0),2),0)))</x:f>
      </x:c>
      <x:c r="R335" s="114" t="str">
        <x:f>IF(COUNTA($A335:$M335)=0,"",IF(OR($U335="Subscription",$U335=""),"",IF($U335="Draw",$H335,0)))</x:f>
      </x:c>
      <x:c r="S335" s="114" t="str">
        <x:f>IF(COUNTA($A335:$M335)=0,"",IF(OR($U335="Subscription",$U335=""),"",IF($U335="Disqualified",$H335,0)))</x:f>
      </x:c>
      <x:c r="T335" s="955" t="str">
        <x:f>IF(COUNTA($A335:$M335)=0,"",IF(OR($U335="Subscription",$U335=""),"",IF(OR($U335="Free Game",$U335="Disqualified — Free Game",$H335=0),"N/A",IF($U335="Profit",$Q335/$H335,IF($U335="Disqualified",-$S335/$H335,0)))))</x:f>
      </x:c>
      <x:c r="U335" s="920" t="str">
        <x:f>IF(COUNTA($A335:$M335)=0,"",IF(OR(LEFT(LOWER(TRIM($F335&amp;"")),12)="subscription",LOWER(TRIM($F335&amp;""))="membership"),"Subscription",IF(OR(AND($H335&lt;&gt;"",$H335=0),LEFT(LOWER(TRIM($F335&amp;"")),9)="free game",LOWER(TRIM($F335&amp;""))="free",LOWER(TRIM($F335&amp;""))="free entry"),IF(LOWER($L335&amp;"")="yes","Disqualified — Free Game","Free Game"),IF(LOWER($L335&amp;"")="yes","Disqualified",IF($P335="","",IF(ROUND(IFERROR(VALUE($P335),0)-IFERROR(VALUE($H335),0),2)&gt;0,"Profit","Draw"))))))</x:f>
      </x:c>
      <x:c r="V335" s="956" t="str">
        <x:f>IF(COUNTA($A335:$M335)=0,"",IF(OR($B335="",$C335="",$U335="Subscription"),"",IFERROR(ROUNDUP(($C335-$B335)/7,0),"")))</x:f>
      </x:c>
      <x:c r="W335" s="114" t="str">
        <x:f>IF(COUNTA($A335:$M335)=0,"",IF(OR($U335="Subscription",$U335=""),"",IF(OR($U335="Free Game",$U335="Disqualified — Free Game"),0,ROUND(IFERROR($Q335,0)-IFERROR($S335,0),2))))</x:f>
      </x:c>
      <x:c r="X335" s="956" t="str">
        <x:f>IF(COUNTA($A335:$M335)=0,"",IF(OR($U335="Subscription",NOT(ISNUMBER($J335)),NOT(ISNUMBER($I335)),$J335=0,$I335=0,$I335&gt;$J335),"",$J335-$I335))</x:f>
      </x:c>
      <x:c r="Y335" s="955" t="str">
        <x:f>IF(COUNTA($A335:$M335)=0,"",IF(OR($U335="Subscription",NOT(ISNUMBER($J335)),$J335=0,$X335=""),"",$X335/$J335))</x:f>
      </x:c>
      <x:c r="Z335" s="957" t="str">
        <x:f>IF(COUNTA($A335:$M335)=0,"",Instructions!$B$29+SUM($W$5:W335))</x:f>
      </x:c>
    </x:row>
    <x:row r="336" ht="36" customHeight="1">
      <x:c r="A336" s="439"/>
      <x:c r="B336" s="453"/>
      <x:c r="C336" s="453"/>
      <x:c r="D336" s="454"/>
      <x:c r="E336" s="454"/>
      <x:c r="F336" s="454"/>
      <x:c r="G336" s="986"/>
      <x:c r="H336" s="455"/>
      <x:c r="I336" s="456"/>
      <x:c r="J336" s="456"/>
      <x:c r="K336" s="986"/>
      <x:c r="L336" s="454"/>
      <x:c r="M336" s="439"/>
      <x:c r="N336" s="987" t="str">
        <x:f>IF(COUNTA($A336:$M336)=0,"",IF(OR(LEFT(LOWER(TRIM($F336&amp;"")),12)="subscription",LOWER(TRIM($F336&amp;""))="membership"),"",IF($G336="","",IF(ISNUMBER(SEARCH("non",LOWER($E336&amp;""))),$G336*0.85,$G336))))</x:f>
      </x:c>
      <x:c r="O336" s="987" t="str">
        <x:f>IF(COUNTA($A336:$M336)=0,"",IF(OR(LEFT(LOWER(TRIM($F336&amp;"")),12)="subscription",LOWER(TRIM($F336&amp;""))="membership"),"",IF(OR($N336="",$I336="",$I336=0),"",IFERROR($N336/$I336,""))))</x:f>
      </x:c>
      <x:c r="P336" s="987" t="str">
        <x:f>IF(COUNTA($A336:$M336)=0,"",IF(OR(LEFT(LOWER(TRIM($F336&amp;"")),12)="subscription",LOWER(TRIM($F336&amp;""))="membership"),"",IF(LOWER($L336&amp;"")="yes",0,IF(OR(AND($H336&lt;&gt;"",$H336=0),LEFT(LOWER(TRIM($F336&amp;"")),9)="free game",LOWER(TRIM($F336&amp;""))="free",LOWER(TRIM($F336&amp;""))="free entry"),IF(LOWER($D336&amp;"")="finalized",IF(ISNUMBER($K336),$K336,""),IF($O336&lt;&gt;"",$O336,"")),IF($K336&lt;&gt;"",$K336,IF($O336&lt;&gt;"",$O336,""))))))</x:f>
      </x:c>
      <x:c r="Q336" s="114" t="str">
        <x:f>IF(COUNTA($A336:$M336)=0,"",IF(OR($U336="Subscription",$U336=""),"",IF($U336="Profit",ROUND(IFERROR($P336,0)-IFERROR($H336,0),2),0)))</x:f>
      </x:c>
      <x:c r="R336" s="114" t="str">
        <x:f>IF(COUNTA($A336:$M336)=0,"",IF(OR($U336="Subscription",$U336=""),"",IF($U336="Draw",$H336,0)))</x:f>
      </x:c>
      <x:c r="S336" s="114" t="str">
        <x:f>IF(COUNTA($A336:$M336)=0,"",IF(OR($U336="Subscription",$U336=""),"",IF($U336="Disqualified",$H336,0)))</x:f>
      </x:c>
      <x:c r="T336" s="955" t="str">
        <x:f>IF(COUNTA($A336:$M336)=0,"",IF(OR($U336="Subscription",$U336=""),"",IF(OR($U336="Free Game",$U336="Disqualified — Free Game",$H336=0),"N/A",IF($U336="Profit",$Q336/$H336,IF($U336="Disqualified",-$S336/$H336,0)))))</x:f>
      </x:c>
      <x:c r="U336" s="920" t="str">
        <x:f>IF(COUNTA($A336:$M336)=0,"",IF(OR(LEFT(LOWER(TRIM($F336&amp;"")),12)="subscription",LOWER(TRIM($F336&amp;""))="membership"),"Subscription",IF(OR(AND($H336&lt;&gt;"",$H336=0),LEFT(LOWER(TRIM($F336&amp;"")),9)="free game",LOWER(TRIM($F336&amp;""))="free",LOWER(TRIM($F336&amp;""))="free entry"),IF(LOWER($L336&amp;"")="yes","Disqualified — Free Game","Free Game"),IF(LOWER($L336&amp;"")="yes","Disqualified",IF($P336="","",IF(ROUND(IFERROR(VALUE($P336),0)-IFERROR(VALUE($H336),0),2)&gt;0,"Profit","Draw"))))))</x:f>
      </x:c>
      <x:c r="V336" s="956" t="str">
        <x:f>IF(COUNTA($A336:$M336)=0,"",IF(OR($B336="",$C336="",$U336="Subscription"),"",IFERROR(ROUNDUP(($C336-$B336)/7,0),"")))</x:f>
      </x:c>
      <x:c r="W336" s="114" t="str">
        <x:f>IF(COUNTA($A336:$M336)=0,"",IF(OR($U336="Subscription",$U336=""),"",IF(OR($U336="Free Game",$U336="Disqualified — Free Game"),0,ROUND(IFERROR($Q336,0)-IFERROR($S336,0),2))))</x:f>
      </x:c>
      <x:c r="X336" s="956" t="str">
        <x:f>IF(COUNTA($A336:$M336)=0,"",IF(OR($U336="Subscription",NOT(ISNUMBER($J336)),NOT(ISNUMBER($I336)),$J336=0,$I336=0,$I336&gt;$J336),"",$J336-$I336))</x:f>
      </x:c>
      <x:c r="Y336" s="955" t="str">
        <x:f>IF(COUNTA($A336:$M336)=0,"",IF(OR($U336="Subscription",NOT(ISNUMBER($J336)),$J336=0,$X336=""),"",$X336/$J336))</x:f>
      </x:c>
      <x:c r="Z336" s="957" t="str">
        <x:f>IF(COUNTA($A336:$M336)=0,"",Instructions!$B$29+SUM($W$5:W336))</x:f>
      </x:c>
    </x:row>
    <x:row r="337" ht="36" customHeight="1">
      <x:c r="A337" s="439"/>
      <x:c r="B337" s="453"/>
      <x:c r="C337" s="453"/>
      <x:c r="D337" s="454"/>
      <x:c r="E337" s="454"/>
      <x:c r="F337" s="454"/>
      <x:c r="G337" s="986"/>
      <x:c r="H337" s="455"/>
      <x:c r="I337" s="456"/>
      <x:c r="J337" s="456"/>
      <x:c r="K337" s="986"/>
      <x:c r="L337" s="454"/>
      <x:c r="M337" s="439"/>
      <x:c r="N337" s="987" t="str">
        <x:f>IF(COUNTA($A337:$M337)=0,"",IF(OR(LEFT(LOWER(TRIM($F337&amp;"")),12)="subscription",LOWER(TRIM($F337&amp;""))="membership"),"",IF($G337="","",IF(ISNUMBER(SEARCH("non",LOWER($E337&amp;""))),$G337*0.85,$G337))))</x:f>
      </x:c>
      <x:c r="O337" s="987" t="str">
        <x:f>IF(COUNTA($A337:$M337)=0,"",IF(OR(LEFT(LOWER(TRIM($F337&amp;"")),12)="subscription",LOWER(TRIM($F337&amp;""))="membership"),"",IF(OR($N337="",$I337="",$I337=0),"",IFERROR($N337/$I337,""))))</x:f>
      </x:c>
      <x:c r="P337" s="987" t="str">
        <x:f>IF(COUNTA($A337:$M337)=0,"",IF(OR(LEFT(LOWER(TRIM($F337&amp;"")),12)="subscription",LOWER(TRIM($F337&amp;""))="membership"),"",IF(LOWER($L337&amp;"")="yes",0,IF(OR(AND($H337&lt;&gt;"",$H337=0),LEFT(LOWER(TRIM($F337&amp;"")),9)="free game",LOWER(TRIM($F337&amp;""))="free",LOWER(TRIM($F337&amp;""))="free entry"),IF(LOWER($D337&amp;"")="finalized",IF(ISNUMBER($K337),$K337,""),IF($O337&lt;&gt;"",$O337,"")),IF($K337&lt;&gt;"",$K337,IF($O337&lt;&gt;"",$O337,""))))))</x:f>
      </x:c>
      <x:c r="Q337" s="114" t="str">
        <x:f>IF(COUNTA($A337:$M337)=0,"",IF(OR($U337="Subscription",$U337=""),"",IF($U337="Profit",ROUND(IFERROR($P337,0)-IFERROR($H337,0),2),0)))</x:f>
      </x:c>
      <x:c r="R337" s="114" t="str">
        <x:f>IF(COUNTA($A337:$M337)=0,"",IF(OR($U337="Subscription",$U337=""),"",IF($U337="Draw",$H337,0)))</x:f>
      </x:c>
      <x:c r="S337" s="114" t="str">
        <x:f>IF(COUNTA($A337:$M337)=0,"",IF(OR($U337="Subscription",$U337=""),"",IF($U337="Disqualified",$H337,0)))</x:f>
      </x:c>
      <x:c r="T337" s="955" t="str">
        <x:f>IF(COUNTA($A337:$M337)=0,"",IF(OR($U337="Subscription",$U337=""),"",IF(OR($U337="Free Game",$U337="Disqualified — Free Game",$H337=0),"N/A",IF($U337="Profit",$Q337/$H337,IF($U337="Disqualified",-$S337/$H337,0)))))</x:f>
      </x:c>
      <x:c r="U337" s="920" t="str">
        <x:f>IF(COUNTA($A337:$M337)=0,"",IF(OR(LEFT(LOWER(TRIM($F337&amp;"")),12)="subscription",LOWER(TRIM($F337&amp;""))="membership"),"Subscription",IF(OR(AND($H337&lt;&gt;"",$H337=0),LEFT(LOWER(TRIM($F337&amp;"")),9)="free game",LOWER(TRIM($F337&amp;""))="free",LOWER(TRIM($F337&amp;""))="free entry"),IF(LOWER($L337&amp;"")="yes","Disqualified — Free Game","Free Game"),IF(LOWER($L337&amp;"")="yes","Disqualified",IF($P337="","",IF(ROUND(IFERROR(VALUE($P337),0)-IFERROR(VALUE($H337),0),2)&gt;0,"Profit","Draw"))))))</x:f>
      </x:c>
      <x:c r="V337" s="956" t="str">
        <x:f>IF(COUNTA($A337:$M337)=0,"",IF(OR($B337="",$C337="",$U337="Subscription"),"",IFERROR(ROUNDUP(($C337-$B337)/7,0),"")))</x:f>
      </x:c>
      <x:c r="W337" s="114" t="str">
        <x:f>IF(COUNTA($A337:$M337)=0,"",IF(OR($U337="Subscription",$U337=""),"",IF(OR($U337="Free Game",$U337="Disqualified — Free Game"),0,ROUND(IFERROR($Q337,0)-IFERROR($S337,0),2))))</x:f>
      </x:c>
      <x:c r="X337" s="956" t="str">
        <x:f>IF(COUNTA($A337:$M337)=0,"",IF(OR($U337="Subscription",NOT(ISNUMBER($J337)),NOT(ISNUMBER($I337)),$J337=0,$I337=0,$I337&gt;$J337),"",$J337-$I337))</x:f>
      </x:c>
      <x:c r="Y337" s="955" t="str">
        <x:f>IF(COUNTA($A337:$M337)=0,"",IF(OR($U337="Subscription",NOT(ISNUMBER($J337)),$J337=0,$X337=""),"",$X337/$J337))</x:f>
      </x:c>
      <x:c r="Z337" s="957" t="str">
        <x:f>IF(COUNTA($A337:$M337)=0,"",Instructions!$B$29+SUM($W$5:W337))</x:f>
      </x:c>
    </x:row>
    <x:row r="338" ht="36" customHeight="1">
      <x:c r="A338" s="439"/>
      <x:c r="B338" s="453"/>
      <x:c r="C338" s="453"/>
      <x:c r="D338" s="454"/>
      <x:c r="E338" s="454"/>
      <x:c r="F338" s="454"/>
      <x:c r="G338" s="986"/>
      <x:c r="H338" s="455"/>
      <x:c r="I338" s="456"/>
      <x:c r="J338" s="456"/>
      <x:c r="K338" s="986"/>
      <x:c r="L338" s="454"/>
      <x:c r="M338" s="439"/>
      <x:c r="N338" s="987" t="str">
        <x:f>IF(COUNTA($A338:$M338)=0,"",IF(OR(LEFT(LOWER(TRIM($F338&amp;"")),12)="subscription",LOWER(TRIM($F338&amp;""))="membership"),"",IF($G338="","",IF(ISNUMBER(SEARCH("non",LOWER($E338&amp;""))),$G338*0.85,$G338))))</x:f>
      </x:c>
      <x:c r="O338" s="987" t="str">
        <x:f>IF(COUNTA($A338:$M338)=0,"",IF(OR(LEFT(LOWER(TRIM($F338&amp;"")),12)="subscription",LOWER(TRIM($F338&amp;""))="membership"),"",IF(OR($N338="",$I338="",$I338=0),"",IFERROR($N338/$I338,""))))</x:f>
      </x:c>
      <x:c r="P338" s="987" t="str">
        <x:f>IF(COUNTA($A338:$M338)=0,"",IF(OR(LEFT(LOWER(TRIM($F338&amp;"")),12)="subscription",LOWER(TRIM($F338&amp;""))="membership"),"",IF(LOWER($L338&amp;"")="yes",0,IF(OR(AND($H338&lt;&gt;"",$H338=0),LEFT(LOWER(TRIM($F338&amp;"")),9)="free game",LOWER(TRIM($F338&amp;""))="free",LOWER(TRIM($F338&amp;""))="free entry"),IF(LOWER($D338&amp;"")="finalized",IF(ISNUMBER($K338),$K338,""),IF($O338&lt;&gt;"",$O338,"")),IF($K338&lt;&gt;"",$K338,IF($O338&lt;&gt;"",$O338,""))))))</x:f>
      </x:c>
      <x:c r="Q338" s="114" t="str">
        <x:f>IF(COUNTA($A338:$M338)=0,"",IF(OR($U338="Subscription",$U338=""),"",IF($U338="Profit",ROUND(IFERROR($P338,0)-IFERROR($H338,0),2),0)))</x:f>
      </x:c>
      <x:c r="R338" s="114" t="str">
        <x:f>IF(COUNTA($A338:$M338)=0,"",IF(OR($U338="Subscription",$U338=""),"",IF($U338="Draw",$H338,0)))</x:f>
      </x:c>
      <x:c r="S338" s="114" t="str">
        <x:f>IF(COUNTA($A338:$M338)=0,"",IF(OR($U338="Subscription",$U338=""),"",IF($U338="Disqualified",$H338,0)))</x:f>
      </x:c>
      <x:c r="T338" s="955" t="str">
        <x:f>IF(COUNTA($A338:$M338)=0,"",IF(OR($U338="Subscription",$U338=""),"",IF(OR($U338="Free Game",$U338="Disqualified — Free Game",$H338=0),"N/A",IF($U338="Profit",$Q338/$H338,IF($U338="Disqualified",-$S338/$H338,0)))))</x:f>
      </x:c>
      <x:c r="U338" s="920" t="str">
        <x:f>IF(COUNTA($A338:$M338)=0,"",IF(OR(LEFT(LOWER(TRIM($F338&amp;"")),12)="subscription",LOWER(TRIM($F338&amp;""))="membership"),"Subscription",IF(OR(AND($H338&lt;&gt;"",$H338=0),LEFT(LOWER(TRIM($F338&amp;"")),9)="free game",LOWER(TRIM($F338&amp;""))="free",LOWER(TRIM($F338&amp;""))="free entry"),IF(LOWER($L338&amp;"")="yes","Disqualified — Free Game","Free Game"),IF(LOWER($L338&amp;"")="yes","Disqualified",IF($P338="","",IF(ROUND(IFERROR(VALUE($P338),0)-IFERROR(VALUE($H338),0),2)&gt;0,"Profit","Draw"))))))</x:f>
      </x:c>
      <x:c r="V338" s="956" t="str">
        <x:f>IF(COUNTA($A338:$M338)=0,"",IF(OR($B338="",$C338="",$U338="Subscription"),"",IFERROR(ROUNDUP(($C338-$B338)/7,0),"")))</x:f>
      </x:c>
      <x:c r="W338" s="114" t="str">
        <x:f>IF(COUNTA($A338:$M338)=0,"",IF(OR($U338="Subscription",$U338=""),"",IF(OR($U338="Free Game",$U338="Disqualified — Free Game"),0,ROUND(IFERROR($Q338,0)-IFERROR($S338,0),2))))</x:f>
      </x:c>
      <x:c r="X338" s="956" t="str">
        <x:f>IF(COUNTA($A338:$M338)=0,"",IF(OR($U338="Subscription",NOT(ISNUMBER($J338)),NOT(ISNUMBER($I338)),$J338=0,$I338=0,$I338&gt;$J338),"",$J338-$I338))</x:f>
      </x:c>
      <x:c r="Y338" s="955" t="str">
        <x:f>IF(COUNTA($A338:$M338)=0,"",IF(OR($U338="Subscription",NOT(ISNUMBER($J338)),$J338=0,$X338=""),"",$X338/$J338))</x:f>
      </x:c>
      <x:c r="Z338" s="957" t="str">
        <x:f>IF(COUNTA($A338:$M338)=0,"",Instructions!$B$29+SUM($W$5:W338))</x:f>
      </x:c>
    </x:row>
    <x:row r="339" ht="36" customHeight="1">
      <x:c r="A339" s="439"/>
      <x:c r="B339" s="453"/>
      <x:c r="C339" s="453"/>
      <x:c r="D339" s="454"/>
      <x:c r="E339" s="454"/>
      <x:c r="F339" s="454"/>
      <x:c r="G339" s="986"/>
      <x:c r="H339" s="455"/>
      <x:c r="I339" s="456"/>
      <x:c r="J339" s="456"/>
      <x:c r="K339" s="986"/>
      <x:c r="L339" s="454"/>
      <x:c r="M339" s="439"/>
      <x:c r="N339" s="987" t="str">
        <x:f>IF(COUNTA($A339:$M339)=0,"",IF(OR(LEFT(LOWER(TRIM($F339&amp;"")),12)="subscription",LOWER(TRIM($F339&amp;""))="membership"),"",IF($G339="","",IF(ISNUMBER(SEARCH("non",LOWER($E339&amp;""))),$G339*0.85,$G339))))</x:f>
      </x:c>
      <x:c r="O339" s="987" t="str">
        <x:f>IF(COUNTA($A339:$M339)=0,"",IF(OR(LEFT(LOWER(TRIM($F339&amp;"")),12)="subscription",LOWER(TRIM($F339&amp;""))="membership"),"",IF(OR($N339="",$I339="",$I339=0),"",IFERROR($N339/$I339,""))))</x:f>
      </x:c>
      <x:c r="P339" s="987" t="str">
        <x:f>IF(COUNTA($A339:$M339)=0,"",IF(OR(LEFT(LOWER(TRIM($F339&amp;"")),12)="subscription",LOWER(TRIM($F339&amp;""))="membership"),"",IF(LOWER($L339&amp;"")="yes",0,IF(OR(AND($H339&lt;&gt;"",$H339=0),LEFT(LOWER(TRIM($F339&amp;"")),9)="free game",LOWER(TRIM($F339&amp;""))="free",LOWER(TRIM($F339&amp;""))="free entry"),IF(LOWER($D339&amp;"")="finalized",IF(ISNUMBER($K339),$K339,""),IF($O339&lt;&gt;"",$O339,"")),IF($K339&lt;&gt;"",$K339,IF($O339&lt;&gt;"",$O339,""))))))</x:f>
      </x:c>
      <x:c r="Q339" s="114" t="str">
        <x:f>IF(COUNTA($A339:$M339)=0,"",IF(OR($U339="Subscription",$U339=""),"",IF($U339="Profit",ROUND(IFERROR($P339,0)-IFERROR($H339,0),2),0)))</x:f>
      </x:c>
      <x:c r="R339" s="114" t="str">
        <x:f>IF(COUNTA($A339:$M339)=0,"",IF(OR($U339="Subscription",$U339=""),"",IF($U339="Draw",$H339,0)))</x:f>
      </x:c>
      <x:c r="S339" s="114" t="str">
        <x:f>IF(COUNTA($A339:$M339)=0,"",IF(OR($U339="Subscription",$U339=""),"",IF($U339="Disqualified",$H339,0)))</x:f>
      </x:c>
      <x:c r="T339" s="955" t="str">
        <x:f>IF(COUNTA($A339:$M339)=0,"",IF(OR($U339="Subscription",$U339=""),"",IF(OR($U339="Free Game",$U339="Disqualified — Free Game",$H339=0),"N/A",IF($U339="Profit",$Q339/$H339,IF($U339="Disqualified",-$S339/$H339,0)))))</x:f>
      </x:c>
      <x:c r="U339" s="920" t="str">
        <x:f>IF(COUNTA($A339:$M339)=0,"",IF(OR(LEFT(LOWER(TRIM($F339&amp;"")),12)="subscription",LOWER(TRIM($F339&amp;""))="membership"),"Subscription",IF(OR(AND($H339&lt;&gt;"",$H339=0),LEFT(LOWER(TRIM($F339&amp;"")),9)="free game",LOWER(TRIM($F339&amp;""))="free",LOWER(TRIM($F339&amp;""))="free entry"),IF(LOWER($L339&amp;"")="yes","Disqualified — Free Game","Free Game"),IF(LOWER($L339&amp;"")="yes","Disqualified",IF($P339="","",IF(ROUND(IFERROR(VALUE($P339),0)-IFERROR(VALUE($H339),0),2)&gt;0,"Profit","Draw"))))))</x:f>
      </x:c>
      <x:c r="V339" s="956" t="str">
        <x:f>IF(COUNTA($A339:$M339)=0,"",IF(OR($B339="",$C339="",$U339="Subscription"),"",IFERROR(ROUNDUP(($C339-$B339)/7,0),"")))</x:f>
      </x:c>
      <x:c r="W339" s="114" t="str">
        <x:f>IF(COUNTA($A339:$M339)=0,"",IF(OR($U339="Subscription",$U339=""),"",IF(OR($U339="Free Game",$U339="Disqualified — Free Game"),0,ROUND(IFERROR($Q339,0)-IFERROR($S339,0),2))))</x:f>
      </x:c>
      <x:c r="X339" s="956" t="str">
        <x:f>IF(COUNTA($A339:$M339)=0,"",IF(OR($U339="Subscription",NOT(ISNUMBER($J339)),NOT(ISNUMBER($I339)),$J339=0,$I339=0,$I339&gt;$J339),"",$J339-$I339))</x:f>
      </x:c>
      <x:c r="Y339" s="955" t="str">
        <x:f>IF(COUNTA($A339:$M339)=0,"",IF(OR($U339="Subscription",NOT(ISNUMBER($J339)),$J339=0,$X339=""),"",$X339/$J339))</x:f>
      </x:c>
      <x:c r="Z339" s="957" t="str">
        <x:f>IF(COUNTA($A339:$M339)=0,"",Instructions!$B$29+SUM($W$5:W339))</x:f>
      </x:c>
    </x:row>
    <x:row r="340" ht="36" customHeight="1">
      <x:c r="A340" s="439"/>
      <x:c r="B340" s="453"/>
      <x:c r="C340" s="453"/>
      <x:c r="D340" s="454"/>
      <x:c r="E340" s="454"/>
      <x:c r="F340" s="454"/>
      <x:c r="G340" s="986"/>
      <x:c r="H340" s="455"/>
      <x:c r="I340" s="456"/>
      <x:c r="J340" s="456"/>
      <x:c r="K340" s="986"/>
      <x:c r="L340" s="454"/>
      <x:c r="M340" s="439"/>
      <x:c r="N340" s="987" t="str">
        <x:f>IF(COUNTA($A340:$M340)=0,"",IF(OR(LEFT(LOWER(TRIM($F340&amp;"")),12)="subscription",LOWER(TRIM($F340&amp;""))="membership"),"",IF($G340="","",IF(ISNUMBER(SEARCH("non",LOWER($E340&amp;""))),$G340*0.85,$G340))))</x:f>
      </x:c>
      <x:c r="O340" s="987" t="str">
        <x:f>IF(COUNTA($A340:$M340)=0,"",IF(OR(LEFT(LOWER(TRIM($F340&amp;"")),12)="subscription",LOWER(TRIM($F340&amp;""))="membership"),"",IF(OR($N340="",$I340="",$I340=0),"",IFERROR($N340/$I340,""))))</x:f>
      </x:c>
      <x:c r="P340" s="987" t="str">
        <x:f>IF(COUNTA($A340:$M340)=0,"",IF(OR(LEFT(LOWER(TRIM($F340&amp;"")),12)="subscription",LOWER(TRIM($F340&amp;""))="membership"),"",IF(LOWER($L340&amp;"")="yes",0,IF(OR(AND($H340&lt;&gt;"",$H340=0),LEFT(LOWER(TRIM($F340&amp;"")),9)="free game",LOWER(TRIM($F340&amp;""))="free",LOWER(TRIM($F340&amp;""))="free entry"),IF(LOWER($D340&amp;"")="finalized",IF(ISNUMBER($K340),$K340,""),IF($O340&lt;&gt;"",$O340,"")),IF($K340&lt;&gt;"",$K340,IF($O340&lt;&gt;"",$O340,""))))))</x:f>
      </x:c>
      <x:c r="Q340" s="114" t="str">
        <x:f>IF(COUNTA($A340:$M340)=0,"",IF(OR($U340="Subscription",$U340=""),"",IF($U340="Profit",ROUND(IFERROR($P340,0)-IFERROR($H340,0),2),0)))</x:f>
      </x:c>
      <x:c r="R340" s="114" t="str">
        <x:f>IF(COUNTA($A340:$M340)=0,"",IF(OR($U340="Subscription",$U340=""),"",IF($U340="Draw",$H340,0)))</x:f>
      </x:c>
      <x:c r="S340" s="114" t="str">
        <x:f>IF(COUNTA($A340:$M340)=0,"",IF(OR($U340="Subscription",$U340=""),"",IF($U340="Disqualified",$H340,0)))</x:f>
      </x:c>
      <x:c r="T340" s="955" t="str">
        <x:f>IF(COUNTA($A340:$M340)=0,"",IF(OR($U340="Subscription",$U340=""),"",IF(OR($U340="Free Game",$U340="Disqualified — Free Game",$H340=0),"N/A",IF($U340="Profit",$Q340/$H340,IF($U340="Disqualified",-$S340/$H340,0)))))</x:f>
      </x:c>
      <x:c r="U340" s="920" t="str">
        <x:f>IF(COUNTA($A340:$M340)=0,"",IF(OR(LEFT(LOWER(TRIM($F340&amp;"")),12)="subscription",LOWER(TRIM($F340&amp;""))="membership"),"Subscription",IF(OR(AND($H340&lt;&gt;"",$H340=0),LEFT(LOWER(TRIM($F340&amp;"")),9)="free game",LOWER(TRIM($F340&amp;""))="free",LOWER(TRIM($F340&amp;""))="free entry"),IF(LOWER($L340&amp;"")="yes","Disqualified — Free Game","Free Game"),IF(LOWER($L340&amp;"")="yes","Disqualified",IF($P340="","",IF(ROUND(IFERROR(VALUE($P340),0)-IFERROR(VALUE($H340),0),2)&gt;0,"Profit","Draw"))))))</x:f>
      </x:c>
      <x:c r="V340" s="956" t="str">
        <x:f>IF(COUNTA($A340:$M340)=0,"",IF(OR($B340="",$C340="",$U340="Subscription"),"",IFERROR(ROUNDUP(($C340-$B340)/7,0),"")))</x:f>
      </x:c>
      <x:c r="W340" s="114" t="str">
        <x:f>IF(COUNTA($A340:$M340)=0,"",IF(OR($U340="Subscription",$U340=""),"",IF(OR($U340="Free Game",$U340="Disqualified — Free Game"),0,ROUND(IFERROR($Q340,0)-IFERROR($S340,0),2))))</x:f>
      </x:c>
      <x:c r="X340" s="956" t="str">
        <x:f>IF(COUNTA($A340:$M340)=0,"",IF(OR($U340="Subscription",NOT(ISNUMBER($J340)),NOT(ISNUMBER($I340)),$J340=0,$I340=0,$I340&gt;$J340),"",$J340-$I340))</x:f>
      </x:c>
      <x:c r="Y340" s="955" t="str">
        <x:f>IF(COUNTA($A340:$M340)=0,"",IF(OR($U340="Subscription",NOT(ISNUMBER($J340)),$J340=0,$X340=""),"",$X340/$J340))</x:f>
      </x:c>
      <x:c r="Z340" s="957" t="str">
        <x:f>IF(COUNTA($A340:$M340)=0,"",Instructions!$B$29+SUM($W$5:W340))</x:f>
      </x:c>
    </x:row>
    <x:row r="341" ht="36" customHeight="1">
      <x:c r="A341" s="439"/>
      <x:c r="B341" s="453"/>
      <x:c r="C341" s="453"/>
      <x:c r="D341" s="454"/>
      <x:c r="E341" s="454"/>
      <x:c r="F341" s="454"/>
      <x:c r="G341" s="986"/>
      <x:c r="H341" s="455"/>
      <x:c r="I341" s="456"/>
      <x:c r="J341" s="456"/>
      <x:c r="K341" s="986"/>
      <x:c r="L341" s="454"/>
      <x:c r="M341" s="439"/>
      <x:c r="N341" s="987" t="str">
        <x:f>IF(COUNTA($A341:$M341)=0,"",IF(OR(LEFT(LOWER(TRIM($F341&amp;"")),12)="subscription",LOWER(TRIM($F341&amp;""))="membership"),"",IF($G341="","",IF(ISNUMBER(SEARCH("non",LOWER($E341&amp;""))),$G341*0.85,$G341))))</x:f>
      </x:c>
      <x:c r="O341" s="987" t="str">
        <x:f>IF(COUNTA($A341:$M341)=0,"",IF(OR(LEFT(LOWER(TRIM($F341&amp;"")),12)="subscription",LOWER(TRIM($F341&amp;""))="membership"),"",IF(OR($N341="",$I341="",$I341=0),"",IFERROR($N341/$I341,""))))</x:f>
      </x:c>
      <x:c r="P341" s="987" t="str">
        <x:f>IF(COUNTA($A341:$M341)=0,"",IF(OR(LEFT(LOWER(TRIM($F341&amp;"")),12)="subscription",LOWER(TRIM($F341&amp;""))="membership"),"",IF(LOWER($L341&amp;"")="yes",0,IF(OR(AND($H341&lt;&gt;"",$H341=0),LEFT(LOWER(TRIM($F341&amp;"")),9)="free game",LOWER(TRIM($F341&amp;""))="free",LOWER(TRIM($F341&amp;""))="free entry"),IF(LOWER($D341&amp;"")="finalized",IF(ISNUMBER($K341),$K341,""),IF($O341&lt;&gt;"",$O341,"")),IF($K341&lt;&gt;"",$K341,IF($O341&lt;&gt;"",$O341,""))))))</x:f>
      </x:c>
      <x:c r="Q341" s="114" t="str">
        <x:f>IF(COUNTA($A341:$M341)=0,"",IF(OR($U341="Subscription",$U341=""),"",IF($U341="Profit",ROUND(IFERROR($P341,0)-IFERROR($H341,0),2),0)))</x:f>
      </x:c>
      <x:c r="R341" s="114" t="str">
        <x:f>IF(COUNTA($A341:$M341)=0,"",IF(OR($U341="Subscription",$U341=""),"",IF($U341="Draw",$H341,0)))</x:f>
      </x:c>
      <x:c r="S341" s="114" t="str">
        <x:f>IF(COUNTA($A341:$M341)=0,"",IF(OR($U341="Subscription",$U341=""),"",IF($U341="Disqualified",$H341,0)))</x:f>
      </x:c>
      <x:c r="T341" s="955" t="str">
        <x:f>IF(COUNTA($A341:$M341)=0,"",IF(OR($U341="Subscription",$U341=""),"",IF(OR($U341="Free Game",$U341="Disqualified — Free Game",$H341=0),"N/A",IF($U341="Profit",$Q341/$H341,IF($U341="Disqualified",-$S341/$H341,0)))))</x:f>
      </x:c>
      <x:c r="U341" s="920" t="str">
        <x:f>IF(COUNTA($A341:$M341)=0,"",IF(OR(LEFT(LOWER(TRIM($F341&amp;"")),12)="subscription",LOWER(TRIM($F341&amp;""))="membership"),"Subscription",IF(OR(AND($H341&lt;&gt;"",$H341=0),LEFT(LOWER(TRIM($F341&amp;"")),9)="free game",LOWER(TRIM($F341&amp;""))="free",LOWER(TRIM($F341&amp;""))="free entry"),IF(LOWER($L341&amp;"")="yes","Disqualified — Free Game","Free Game"),IF(LOWER($L341&amp;"")="yes","Disqualified",IF($P341="","",IF(ROUND(IFERROR(VALUE($P341),0)-IFERROR(VALUE($H341),0),2)&gt;0,"Profit","Draw"))))))</x:f>
      </x:c>
      <x:c r="V341" s="956" t="str">
        <x:f>IF(COUNTA($A341:$M341)=0,"",IF(OR($B341="",$C341="",$U341="Subscription"),"",IFERROR(ROUNDUP(($C341-$B341)/7,0),"")))</x:f>
      </x:c>
      <x:c r="W341" s="114" t="str">
        <x:f>IF(COUNTA($A341:$M341)=0,"",IF(OR($U341="Subscription",$U341=""),"",IF(OR($U341="Free Game",$U341="Disqualified — Free Game"),0,ROUND(IFERROR($Q341,0)-IFERROR($S341,0),2))))</x:f>
      </x:c>
      <x:c r="X341" s="956" t="str">
        <x:f>IF(COUNTA($A341:$M341)=0,"",IF(OR($U341="Subscription",NOT(ISNUMBER($J341)),NOT(ISNUMBER($I341)),$J341=0,$I341=0,$I341&gt;$J341),"",$J341-$I341))</x:f>
      </x:c>
      <x:c r="Y341" s="955" t="str">
        <x:f>IF(COUNTA($A341:$M341)=0,"",IF(OR($U341="Subscription",NOT(ISNUMBER($J341)),$J341=0,$X341=""),"",$X341/$J341))</x:f>
      </x:c>
      <x:c r="Z341" s="957" t="str">
        <x:f>IF(COUNTA($A341:$M341)=0,"",Instructions!$B$29+SUM($W$5:W341))</x:f>
      </x:c>
    </x:row>
    <x:row r="342" ht="36" customHeight="1">
      <x:c r="A342" s="439"/>
      <x:c r="B342" s="453"/>
      <x:c r="C342" s="453"/>
      <x:c r="D342" s="454"/>
      <x:c r="E342" s="454"/>
      <x:c r="F342" s="454"/>
      <x:c r="G342" s="986"/>
      <x:c r="H342" s="455"/>
      <x:c r="I342" s="456"/>
      <x:c r="J342" s="456"/>
      <x:c r="K342" s="986"/>
      <x:c r="L342" s="454"/>
      <x:c r="M342" s="439"/>
      <x:c r="N342" s="987" t="str">
        <x:f>IF(COUNTA($A342:$M342)=0,"",IF(OR(LEFT(LOWER(TRIM($F342&amp;"")),12)="subscription",LOWER(TRIM($F342&amp;""))="membership"),"",IF($G342="","",IF(ISNUMBER(SEARCH("non",LOWER($E342&amp;""))),$G342*0.85,$G342))))</x:f>
      </x:c>
      <x:c r="O342" s="987" t="str">
        <x:f>IF(COUNTA($A342:$M342)=0,"",IF(OR(LEFT(LOWER(TRIM($F342&amp;"")),12)="subscription",LOWER(TRIM($F342&amp;""))="membership"),"",IF(OR($N342="",$I342="",$I342=0),"",IFERROR($N342/$I342,""))))</x:f>
      </x:c>
      <x:c r="P342" s="987" t="str">
        <x:f>IF(COUNTA($A342:$M342)=0,"",IF(OR(LEFT(LOWER(TRIM($F342&amp;"")),12)="subscription",LOWER(TRIM($F342&amp;""))="membership"),"",IF(LOWER($L342&amp;"")="yes",0,IF(OR(AND($H342&lt;&gt;"",$H342=0),LEFT(LOWER(TRIM($F342&amp;"")),9)="free game",LOWER(TRIM($F342&amp;""))="free",LOWER(TRIM($F342&amp;""))="free entry"),IF(LOWER($D342&amp;"")="finalized",IF(ISNUMBER($K342),$K342,""),IF($O342&lt;&gt;"",$O342,"")),IF($K342&lt;&gt;"",$K342,IF($O342&lt;&gt;"",$O342,""))))))</x:f>
      </x:c>
      <x:c r="Q342" s="114" t="str">
        <x:f>IF(COUNTA($A342:$M342)=0,"",IF(OR($U342="Subscription",$U342=""),"",IF($U342="Profit",ROUND(IFERROR($P342,0)-IFERROR($H342,0),2),0)))</x:f>
      </x:c>
      <x:c r="R342" s="114" t="str">
        <x:f>IF(COUNTA($A342:$M342)=0,"",IF(OR($U342="Subscription",$U342=""),"",IF($U342="Draw",$H342,0)))</x:f>
      </x:c>
      <x:c r="S342" s="114" t="str">
        <x:f>IF(COUNTA($A342:$M342)=0,"",IF(OR($U342="Subscription",$U342=""),"",IF($U342="Disqualified",$H342,0)))</x:f>
      </x:c>
      <x:c r="T342" s="955" t="str">
        <x:f>IF(COUNTA($A342:$M342)=0,"",IF(OR($U342="Subscription",$U342=""),"",IF(OR($U342="Free Game",$U342="Disqualified — Free Game",$H342=0),"N/A",IF($U342="Profit",$Q342/$H342,IF($U342="Disqualified",-$S342/$H342,0)))))</x:f>
      </x:c>
      <x:c r="U342" s="920" t="str">
        <x:f>IF(COUNTA($A342:$M342)=0,"",IF(OR(LEFT(LOWER(TRIM($F342&amp;"")),12)="subscription",LOWER(TRIM($F342&amp;""))="membership"),"Subscription",IF(OR(AND($H342&lt;&gt;"",$H342=0),LEFT(LOWER(TRIM($F342&amp;"")),9)="free game",LOWER(TRIM($F342&amp;""))="free",LOWER(TRIM($F342&amp;""))="free entry"),IF(LOWER($L342&amp;"")="yes","Disqualified — Free Game","Free Game"),IF(LOWER($L342&amp;"")="yes","Disqualified",IF($P342="","",IF(ROUND(IFERROR(VALUE($P342),0)-IFERROR(VALUE($H342),0),2)&gt;0,"Profit","Draw"))))))</x:f>
      </x:c>
      <x:c r="V342" s="956" t="str">
        <x:f>IF(COUNTA($A342:$M342)=0,"",IF(OR($B342="",$C342="",$U342="Subscription"),"",IFERROR(ROUNDUP(($C342-$B342)/7,0),"")))</x:f>
      </x:c>
      <x:c r="W342" s="114" t="str">
        <x:f>IF(COUNTA($A342:$M342)=0,"",IF(OR($U342="Subscription",$U342=""),"",IF(OR($U342="Free Game",$U342="Disqualified — Free Game"),0,ROUND(IFERROR($Q342,0)-IFERROR($S342,0),2))))</x:f>
      </x:c>
      <x:c r="X342" s="956" t="str">
        <x:f>IF(COUNTA($A342:$M342)=0,"",IF(OR($U342="Subscription",NOT(ISNUMBER($J342)),NOT(ISNUMBER($I342)),$J342=0,$I342=0,$I342&gt;$J342),"",$J342-$I342))</x:f>
      </x:c>
      <x:c r="Y342" s="955" t="str">
        <x:f>IF(COUNTA($A342:$M342)=0,"",IF(OR($U342="Subscription",NOT(ISNUMBER($J342)),$J342=0,$X342=""),"",$X342/$J342))</x:f>
      </x:c>
      <x:c r="Z342" s="957" t="str">
        <x:f>IF(COUNTA($A342:$M342)=0,"",Instructions!$B$29+SUM($W$5:W342))</x:f>
      </x:c>
    </x:row>
    <x:row r="343" ht="36" customHeight="1">
      <x:c r="A343" s="439"/>
      <x:c r="B343" s="453"/>
      <x:c r="C343" s="453"/>
      <x:c r="D343" s="454"/>
      <x:c r="E343" s="454"/>
      <x:c r="F343" s="454"/>
      <x:c r="G343" s="986"/>
      <x:c r="H343" s="455"/>
      <x:c r="I343" s="456"/>
      <x:c r="J343" s="456"/>
      <x:c r="K343" s="986"/>
      <x:c r="L343" s="454"/>
      <x:c r="M343" s="439"/>
      <x:c r="N343" s="987" t="str">
        <x:f>IF(COUNTA($A343:$M343)=0,"",IF(OR(LEFT(LOWER(TRIM($F343&amp;"")),12)="subscription",LOWER(TRIM($F343&amp;""))="membership"),"",IF($G343="","",IF(ISNUMBER(SEARCH("non",LOWER($E343&amp;""))),$G343*0.85,$G343))))</x:f>
      </x:c>
      <x:c r="O343" s="987" t="str">
        <x:f>IF(COUNTA($A343:$M343)=0,"",IF(OR(LEFT(LOWER(TRIM($F343&amp;"")),12)="subscription",LOWER(TRIM($F343&amp;""))="membership"),"",IF(OR($N343="",$I343="",$I343=0),"",IFERROR($N343/$I343,""))))</x:f>
      </x:c>
      <x:c r="P343" s="987" t="str">
        <x:f>IF(COUNTA($A343:$M343)=0,"",IF(OR(LEFT(LOWER(TRIM($F343&amp;"")),12)="subscription",LOWER(TRIM($F343&amp;""))="membership"),"",IF(LOWER($L343&amp;"")="yes",0,IF(OR(AND($H343&lt;&gt;"",$H343=0),LEFT(LOWER(TRIM($F343&amp;"")),9)="free game",LOWER(TRIM($F343&amp;""))="free",LOWER(TRIM($F343&amp;""))="free entry"),IF(LOWER($D343&amp;"")="finalized",IF(ISNUMBER($K343),$K343,""),IF($O343&lt;&gt;"",$O343,"")),IF($K343&lt;&gt;"",$K343,IF($O343&lt;&gt;"",$O343,""))))))</x:f>
      </x:c>
      <x:c r="Q343" s="114" t="str">
        <x:f>IF(COUNTA($A343:$M343)=0,"",IF(OR($U343="Subscription",$U343=""),"",IF($U343="Profit",ROUND(IFERROR($P343,0)-IFERROR($H343,0),2),0)))</x:f>
      </x:c>
      <x:c r="R343" s="114" t="str">
        <x:f>IF(COUNTA($A343:$M343)=0,"",IF(OR($U343="Subscription",$U343=""),"",IF($U343="Draw",$H343,0)))</x:f>
      </x:c>
      <x:c r="S343" s="114" t="str">
        <x:f>IF(COUNTA($A343:$M343)=0,"",IF(OR($U343="Subscription",$U343=""),"",IF($U343="Disqualified",$H343,0)))</x:f>
      </x:c>
      <x:c r="T343" s="955" t="str">
        <x:f>IF(COUNTA($A343:$M343)=0,"",IF(OR($U343="Subscription",$U343=""),"",IF(OR($U343="Free Game",$U343="Disqualified — Free Game",$H343=0),"N/A",IF($U343="Profit",$Q343/$H343,IF($U343="Disqualified",-$S343/$H343,0)))))</x:f>
      </x:c>
      <x:c r="U343" s="920" t="str">
        <x:f>IF(COUNTA($A343:$M343)=0,"",IF(OR(LEFT(LOWER(TRIM($F343&amp;"")),12)="subscription",LOWER(TRIM($F343&amp;""))="membership"),"Subscription",IF(OR(AND($H343&lt;&gt;"",$H343=0),LEFT(LOWER(TRIM($F343&amp;"")),9)="free game",LOWER(TRIM($F343&amp;""))="free",LOWER(TRIM($F343&amp;""))="free entry"),IF(LOWER($L343&amp;"")="yes","Disqualified — Free Game","Free Game"),IF(LOWER($L343&amp;"")="yes","Disqualified",IF($P343="","",IF(ROUND(IFERROR(VALUE($P343),0)-IFERROR(VALUE($H343),0),2)&gt;0,"Profit","Draw"))))))</x:f>
      </x:c>
      <x:c r="V343" s="956" t="str">
        <x:f>IF(COUNTA($A343:$M343)=0,"",IF(OR($B343="",$C343="",$U343="Subscription"),"",IFERROR(ROUNDUP(($C343-$B343)/7,0),"")))</x:f>
      </x:c>
      <x:c r="W343" s="114" t="str">
        <x:f>IF(COUNTA($A343:$M343)=0,"",IF(OR($U343="Subscription",$U343=""),"",IF(OR($U343="Free Game",$U343="Disqualified — Free Game"),0,ROUND(IFERROR($Q343,0)-IFERROR($S343,0),2))))</x:f>
      </x:c>
      <x:c r="X343" s="956" t="str">
        <x:f>IF(COUNTA($A343:$M343)=0,"",IF(OR($U343="Subscription",NOT(ISNUMBER($J343)),NOT(ISNUMBER($I343)),$J343=0,$I343=0,$I343&gt;$J343),"",$J343-$I343))</x:f>
      </x:c>
      <x:c r="Y343" s="955" t="str">
        <x:f>IF(COUNTA($A343:$M343)=0,"",IF(OR($U343="Subscription",NOT(ISNUMBER($J343)),$J343=0,$X343=""),"",$X343/$J343))</x:f>
      </x:c>
      <x:c r="Z343" s="957" t="str">
        <x:f>IF(COUNTA($A343:$M343)=0,"",Instructions!$B$29+SUM($W$5:W343))</x:f>
      </x:c>
    </x:row>
    <x:row r="344" ht="36" customHeight="1">
      <x:c r="A344" s="439"/>
      <x:c r="B344" s="453"/>
      <x:c r="C344" s="453"/>
      <x:c r="D344" s="454"/>
      <x:c r="E344" s="454"/>
      <x:c r="F344" s="454"/>
      <x:c r="G344" s="986"/>
      <x:c r="H344" s="455"/>
      <x:c r="I344" s="456"/>
      <x:c r="J344" s="456"/>
      <x:c r="K344" s="986"/>
      <x:c r="L344" s="454"/>
      <x:c r="M344" s="439"/>
      <x:c r="N344" s="987" t="str">
        <x:f>IF(COUNTA($A344:$M344)=0,"",IF(OR(LEFT(LOWER(TRIM($F344&amp;"")),12)="subscription",LOWER(TRIM($F344&amp;""))="membership"),"",IF($G344="","",IF(ISNUMBER(SEARCH("non",LOWER($E344&amp;""))),$G344*0.85,$G344))))</x:f>
      </x:c>
      <x:c r="O344" s="987" t="str">
        <x:f>IF(COUNTA($A344:$M344)=0,"",IF(OR(LEFT(LOWER(TRIM($F344&amp;"")),12)="subscription",LOWER(TRIM($F344&amp;""))="membership"),"",IF(OR($N344="",$I344="",$I344=0),"",IFERROR($N344/$I344,""))))</x:f>
      </x:c>
      <x:c r="P344" s="987" t="str">
        <x:f>IF(COUNTA($A344:$M344)=0,"",IF(OR(LEFT(LOWER(TRIM($F344&amp;"")),12)="subscription",LOWER(TRIM($F344&amp;""))="membership"),"",IF(LOWER($L344&amp;"")="yes",0,IF(OR(AND($H344&lt;&gt;"",$H344=0),LEFT(LOWER(TRIM($F344&amp;"")),9)="free game",LOWER(TRIM($F344&amp;""))="free",LOWER(TRIM($F344&amp;""))="free entry"),IF(LOWER($D344&amp;"")="finalized",IF(ISNUMBER($K344),$K344,""),IF($O344&lt;&gt;"",$O344,"")),IF($K344&lt;&gt;"",$K344,IF($O344&lt;&gt;"",$O344,""))))))</x:f>
      </x:c>
      <x:c r="Q344" s="114" t="str">
        <x:f>IF(COUNTA($A344:$M344)=0,"",IF(OR($U344="Subscription",$U344=""),"",IF($U344="Profit",ROUND(IFERROR($P344,0)-IFERROR($H344,0),2),0)))</x:f>
      </x:c>
      <x:c r="R344" s="114" t="str">
        <x:f>IF(COUNTA($A344:$M344)=0,"",IF(OR($U344="Subscription",$U344=""),"",IF($U344="Draw",$H344,0)))</x:f>
      </x:c>
      <x:c r="S344" s="114" t="str">
        <x:f>IF(COUNTA($A344:$M344)=0,"",IF(OR($U344="Subscription",$U344=""),"",IF($U344="Disqualified",$H344,0)))</x:f>
      </x:c>
      <x:c r="T344" s="955" t="str">
        <x:f>IF(COUNTA($A344:$M344)=0,"",IF(OR($U344="Subscription",$U344=""),"",IF(OR($U344="Free Game",$U344="Disqualified — Free Game",$H344=0),"N/A",IF($U344="Profit",$Q344/$H344,IF($U344="Disqualified",-$S344/$H344,0)))))</x:f>
      </x:c>
      <x:c r="U344" s="920" t="str">
        <x:f>IF(COUNTA($A344:$M344)=0,"",IF(OR(LEFT(LOWER(TRIM($F344&amp;"")),12)="subscription",LOWER(TRIM($F344&amp;""))="membership"),"Subscription",IF(OR(AND($H344&lt;&gt;"",$H344=0),LEFT(LOWER(TRIM($F344&amp;"")),9)="free game",LOWER(TRIM($F344&amp;""))="free",LOWER(TRIM($F344&amp;""))="free entry"),IF(LOWER($L344&amp;"")="yes","Disqualified — Free Game","Free Game"),IF(LOWER($L344&amp;"")="yes","Disqualified",IF($P344="","",IF(ROUND(IFERROR(VALUE($P344),0)-IFERROR(VALUE($H344),0),2)&gt;0,"Profit","Draw"))))))</x:f>
      </x:c>
      <x:c r="V344" s="956" t="str">
        <x:f>IF(COUNTA($A344:$M344)=0,"",IF(OR($B344="",$C344="",$U344="Subscription"),"",IFERROR(ROUNDUP(($C344-$B344)/7,0),"")))</x:f>
      </x:c>
      <x:c r="W344" s="114" t="str">
        <x:f>IF(COUNTA($A344:$M344)=0,"",IF(OR($U344="Subscription",$U344=""),"",IF(OR($U344="Free Game",$U344="Disqualified — Free Game"),0,ROUND(IFERROR($Q344,0)-IFERROR($S344,0),2))))</x:f>
      </x:c>
      <x:c r="X344" s="956" t="str">
        <x:f>IF(COUNTA($A344:$M344)=0,"",IF(OR($U344="Subscription",NOT(ISNUMBER($J344)),NOT(ISNUMBER($I344)),$J344=0,$I344=0,$I344&gt;$J344),"",$J344-$I344))</x:f>
      </x:c>
      <x:c r="Y344" s="955" t="str">
        <x:f>IF(COUNTA($A344:$M344)=0,"",IF(OR($U344="Subscription",NOT(ISNUMBER($J344)),$J344=0,$X344=""),"",$X344/$J344))</x:f>
      </x:c>
      <x:c r="Z344" s="957" t="str">
        <x:f>IF(COUNTA($A344:$M344)=0,"",Instructions!$B$29+SUM($W$5:W344))</x:f>
      </x:c>
    </x:row>
    <x:row r="345" ht="36" customHeight="1">
      <x:c r="A345" s="439"/>
      <x:c r="B345" s="453"/>
      <x:c r="C345" s="453"/>
      <x:c r="D345" s="454"/>
      <x:c r="E345" s="454"/>
      <x:c r="F345" s="454"/>
      <x:c r="G345" s="986"/>
      <x:c r="H345" s="455"/>
      <x:c r="I345" s="456"/>
      <x:c r="J345" s="456"/>
      <x:c r="K345" s="986"/>
      <x:c r="L345" s="454"/>
      <x:c r="M345" s="439"/>
      <x:c r="N345" s="987" t="str">
        <x:f>IF(COUNTA($A345:$M345)=0,"",IF(OR(LEFT(LOWER(TRIM($F345&amp;"")),12)="subscription",LOWER(TRIM($F345&amp;""))="membership"),"",IF($G345="","",IF(ISNUMBER(SEARCH("non",LOWER($E345&amp;""))),$G345*0.85,$G345))))</x:f>
      </x:c>
      <x:c r="O345" s="987" t="str">
        <x:f>IF(COUNTA($A345:$M345)=0,"",IF(OR(LEFT(LOWER(TRIM($F345&amp;"")),12)="subscription",LOWER(TRIM($F345&amp;""))="membership"),"",IF(OR($N345="",$I345="",$I345=0),"",IFERROR($N345/$I345,""))))</x:f>
      </x:c>
      <x:c r="P345" s="987" t="str">
        <x:f>IF(COUNTA($A345:$M345)=0,"",IF(OR(LEFT(LOWER(TRIM($F345&amp;"")),12)="subscription",LOWER(TRIM($F345&amp;""))="membership"),"",IF(LOWER($L345&amp;"")="yes",0,IF(OR(AND($H345&lt;&gt;"",$H345=0),LEFT(LOWER(TRIM($F345&amp;"")),9)="free game",LOWER(TRIM($F345&amp;""))="free",LOWER(TRIM($F345&amp;""))="free entry"),IF(LOWER($D345&amp;"")="finalized",IF(ISNUMBER($K345),$K345,""),IF($O345&lt;&gt;"",$O345,"")),IF($K345&lt;&gt;"",$K345,IF($O345&lt;&gt;"",$O345,""))))))</x:f>
      </x:c>
      <x:c r="Q345" s="114" t="str">
        <x:f>IF(COUNTA($A345:$M345)=0,"",IF(OR($U345="Subscription",$U345=""),"",IF($U345="Profit",ROUND(IFERROR($P345,0)-IFERROR($H345,0),2),0)))</x:f>
      </x:c>
      <x:c r="R345" s="114" t="str">
        <x:f>IF(COUNTA($A345:$M345)=0,"",IF(OR($U345="Subscription",$U345=""),"",IF($U345="Draw",$H345,0)))</x:f>
      </x:c>
      <x:c r="S345" s="114" t="str">
        <x:f>IF(COUNTA($A345:$M345)=0,"",IF(OR($U345="Subscription",$U345=""),"",IF($U345="Disqualified",$H345,0)))</x:f>
      </x:c>
      <x:c r="T345" s="955" t="str">
        <x:f>IF(COUNTA($A345:$M345)=0,"",IF(OR($U345="Subscription",$U345=""),"",IF(OR($U345="Free Game",$U345="Disqualified — Free Game",$H345=0),"N/A",IF($U345="Profit",$Q345/$H345,IF($U345="Disqualified",-$S345/$H345,0)))))</x:f>
      </x:c>
      <x:c r="U345" s="920" t="str">
        <x:f>IF(COUNTA($A345:$M345)=0,"",IF(OR(LEFT(LOWER(TRIM($F345&amp;"")),12)="subscription",LOWER(TRIM($F345&amp;""))="membership"),"Subscription",IF(OR(AND($H345&lt;&gt;"",$H345=0),LEFT(LOWER(TRIM($F345&amp;"")),9)="free game",LOWER(TRIM($F345&amp;""))="free",LOWER(TRIM($F345&amp;""))="free entry"),IF(LOWER($L345&amp;"")="yes","Disqualified — Free Game","Free Game"),IF(LOWER($L345&amp;"")="yes","Disqualified",IF($P345="","",IF(ROUND(IFERROR(VALUE($P345),0)-IFERROR(VALUE($H345),0),2)&gt;0,"Profit","Draw"))))))</x:f>
      </x:c>
      <x:c r="V345" s="956" t="str">
        <x:f>IF(COUNTA($A345:$M345)=0,"",IF(OR($B345="",$C345="",$U345="Subscription"),"",IFERROR(ROUNDUP(($C345-$B345)/7,0),"")))</x:f>
      </x:c>
      <x:c r="W345" s="114" t="str">
        <x:f>IF(COUNTA($A345:$M345)=0,"",IF(OR($U345="Subscription",$U345=""),"",IF(OR($U345="Free Game",$U345="Disqualified — Free Game"),0,ROUND(IFERROR($Q345,0)-IFERROR($S345,0),2))))</x:f>
      </x:c>
      <x:c r="X345" s="956" t="str">
        <x:f>IF(COUNTA($A345:$M345)=0,"",IF(OR($U345="Subscription",NOT(ISNUMBER($J345)),NOT(ISNUMBER($I345)),$J345=0,$I345=0,$I345&gt;$J345),"",$J345-$I345))</x:f>
      </x:c>
      <x:c r="Y345" s="955" t="str">
        <x:f>IF(COUNTA($A345:$M345)=0,"",IF(OR($U345="Subscription",NOT(ISNUMBER($J345)),$J345=0,$X345=""),"",$X345/$J345))</x:f>
      </x:c>
      <x:c r="Z345" s="957" t="str">
        <x:f>IF(COUNTA($A345:$M345)=0,"",Instructions!$B$29+SUM($W$5:W345))</x:f>
      </x:c>
    </x:row>
    <x:row r="346" ht="36" customHeight="1">
      <x:c r="A346" s="439"/>
      <x:c r="B346" s="453"/>
      <x:c r="C346" s="453"/>
      <x:c r="D346" s="454"/>
      <x:c r="E346" s="454"/>
      <x:c r="F346" s="454"/>
      <x:c r="G346" s="986"/>
      <x:c r="H346" s="455"/>
      <x:c r="I346" s="456"/>
      <x:c r="J346" s="456"/>
      <x:c r="K346" s="986"/>
      <x:c r="L346" s="454"/>
      <x:c r="M346" s="439"/>
      <x:c r="N346" s="987" t="str">
        <x:f>IF(COUNTA($A346:$M346)=0,"",IF(OR(LEFT(LOWER(TRIM($F346&amp;"")),12)="subscription",LOWER(TRIM($F346&amp;""))="membership"),"",IF($G346="","",IF(ISNUMBER(SEARCH("non",LOWER($E346&amp;""))),$G346*0.85,$G346))))</x:f>
      </x:c>
      <x:c r="O346" s="987" t="str">
        <x:f>IF(COUNTA($A346:$M346)=0,"",IF(OR(LEFT(LOWER(TRIM($F346&amp;"")),12)="subscription",LOWER(TRIM($F346&amp;""))="membership"),"",IF(OR($N346="",$I346="",$I346=0),"",IFERROR($N346/$I346,""))))</x:f>
      </x:c>
      <x:c r="P346" s="987" t="str">
        <x:f>IF(COUNTA($A346:$M346)=0,"",IF(OR(LEFT(LOWER(TRIM($F346&amp;"")),12)="subscription",LOWER(TRIM($F346&amp;""))="membership"),"",IF(LOWER($L346&amp;"")="yes",0,IF(OR(AND($H346&lt;&gt;"",$H346=0),LEFT(LOWER(TRIM($F346&amp;"")),9)="free game",LOWER(TRIM($F346&amp;""))="free",LOWER(TRIM($F346&amp;""))="free entry"),IF(LOWER($D346&amp;"")="finalized",IF(ISNUMBER($K346),$K346,""),IF($O346&lt;&gt;"",$O346,"")),IF($K346&lt;&gt;"",$K346,IF($O346&lt;&gt;"",$O346,""))))))</x:f>
      </x:c>
      <x:c r="Q346" s="114" t="str">
        <x:f>IF(COUNTA($A346:$M346)=0,"",IF(OR($U346="Subscription",$U346=""),"",IF($U346="Profit",ROUND(IFERROR($P346,0)-IFERROR($H346,0),2),0)))</x:f>
      </x:c>
      <x:c r="R346" s="114" t="str">
        <x:f>IF(COUNTA($A346:$M346)=0,"",IF(OR($U346="Subscription",$U346=""),"",IF($U346="Draw",$H346,0)))</x:f>
      </x:c>
      <x:c r="S346" s="114" t="str">
        <x:f>IF(COUNTA($A346:$M346)=0,"",IF(OR($U346="Subscription",$U346=""),"",IF($U346="Disqualified",$H346,0)))</x:f>
      </x:c>
      <x:c r="T346" s="955" t="str">
        <x:f>IF(COUNTA($A346:$M346)=0,"",IF(OR($U346="Subscription",$U346=""),"",IF(OR($U346="Free Game",$U346="Disqualified — Free Game",$H346=0),"N/A",IF($U346="Profit",$Q346/$H346,IF($U346="Disqualified",-$S346/$H346,0)))))</x:f>
      </x:c>
      <x:c r="U346" s="920" t="str">
        <x:f>IF(COUNTA($A346:$M346)=0,"",IF(OR(LEFT(LOWER(TRIM($F346&amp;"")),12)="subscription",LOWER(TRIM($F346&amp;""))="membership"),"Subscription",IF(OR(AND($H346&lt;&gt;"",$H346=0),LEFT(LOWER(TRIM($F346&amp;"")),9)="free game",LOWER(TRIM($F346&amp;""))="free",LOWER(TRIM($F346&amp;""))="free entry"),IF(LOWER($L346&amp;"")="yes","Disqualified — Free Game","Free Game"),IF(LOWER($L346&amp;"")="yes","Disqualified",IF($P346="","",IF(ROUND(IFERROR(VALUE($P346),0)-IFERROR(VALUE($H346),0),2)&gt;0,"Profit","Draw"))))))</x:f>
      </x:c>
      <x:c r="V346" s="956" t="str">
        <x:f>IF(COUNTA($A346:$M346)=0,"",IF(OR($B346="",$C346="",$U346="Subscription"),"",IFERROR(ROUNDUP(($C346-$B346)/7,0),"")))</x:f>
      </x:c>
      <x:c r="W346" s="114" t="str">
        <x:f>IF(COUNTA($A346:$M346)=0,"",IF(OR($U346="Subscription",$U346=""),"",IF(OR($U346="Free Game",$U346="Disqualified — Free Game"),0,ROUND(IFERROR($Q346,0)-IFERROR($S346,0),2))))</x:f>
      </x:c>
      <x:c r="X346" s="956" t="str">
        <x:f>IF(COUNTA($A346:$M346)=0,"",IF(OR($U346="Subscription",NOT(ISNUMBER($J346)),NOT(ISNUMBER($I346)),$J346=0,$I346=0,$I346&gt;$J346),"",$J346-$I346))</x:f>
      </x:c>
      <x:c r="Y346" s="955" t="str">
        <x:f>IF(COUNTA($A346:$M346)=0,"",IF(OR($U346="Subscription",NOT(ISNUMBER($J346)),$J346=0,$X346=""),"",$X346/$J346))</x:f>
      </x:c>
      <x:c r="Z346" s="957" t="str">
        <x:f>IF(COUNTA($A346:$M346)=0,"",Instructions!$B$29+SUM($W$5:W346))</x:f>
      </x:c>
    </x:row>
    <x:row r="347" ht="36" customHeight="1">
      <x:c r="A347" s="439"/>
      <x:c r="B347" s="453"/>
      <x:c r="C347" s="453"/>
      <x:c r="D347" s="454"/>
      <x:c r="E347" s="454"/>
      <x:c r="F347" s="454"/>
      <x:c r="G347" s="986"/>
      <x:c r="H347" s="455"/>
      <x:c r="I347" s="456"/>
      <x:c r="J347" s="456"/>
      <x:c r="K347" s="986"/>
      <x:c r="L347" s="454"/>
      <x:c r="M347" s="439"/>
      <x:c r="N347" s="987" t="str">
        <x:f>IF(COUNTA($A347:$M347)=0,"",IF(OR(LEFT(LOWER(TRIM($F347&amp;"")),12)="subscription",LOWER(TRIM($F347&amp;""))="membership"),"",IF($G347="","",IF(ISNUMBER(SEARCH("non",LOWER($E347&amp;""))),$G347*0.85,$G347))))</x:f>
      </x:c>
      <x:c r="O347" s="987" t="str">
        <x:f>IF(COUNTA($A347:$M347)=0,"",IF(OR(LEFT(LOWER(TRIM($F347&amp;"")),12)="subscription",LOWER(TRIM($F347&amp;""))="membership"),"",IF(OR($N347="",$I347="",$I347=0),"",IFERROR($N347/$I347,""))))</x:f>
      </x:c>
      <x:c r="P347" s="987" t="str">
        <x:f>IF(COUNTA($A347:$M347)=0,"",IF(OR(LEFT(LOWER(TRIM($F347&amp;"")),12)="subscription",LOWER(TRIM($F347&amp;""))="membership"),"",IF(LOWER($L347&amp;"")="yes",0,IF(OR(AND($H347&lt;&gt;"",$H347=0),LEFT(LOWER(TRIM($F347&amp;"")),9)="free game",LOWER(TRIM($F347&amp;""))="free",LOWER(TRIM($F347&amp;""))="free entry"),IF(LOWER($D347&amp;"")="finalized",IF(ISNUMBER($K347),$K347,""),IF($O347&lt;&gt;"",$O347,"")),IF($K347&lt;&gt;"",$K347,IF($O347&lt;&gt;"",$O347,""))))))</x:f>
      </x:c>
      <x:c r="Q347" s="114" t="str">
        <x:f>IF(COUNTA($A347:$M347)=0,"",IF(OR($U347="Subscription",$U347=""),"",IF($U347="Profit",ROUND(IFERROR($P347,0)-IFERROR($H347,0),2),0)))</x:f>
      </x:c>
      <x:c r="R347" s="114" t="str">
        <x:f>IF(COUNTA($A347:$M347)=0,"",IF(OR($U347="Subscription",$U347=""),"",IF($U347="Draw",$H347,0)))</x:f>
      </x:c>
      <x:c r="S347" s="114" t="str">
        <x:f>IF(COUNTA($A347:$M347)=0,"",IF(OR($U347="Subscription",$U347=""),"",IF($U347="Disqualified",$H347,0)))</x:f>
      </x:c>
      <x:c r="T347" s="955" t="str">
        <x:f>IF(COUNTA($A347:$M347)=0,"",IF(OR($U347="Subscription",$U347=""),"",IF(OR($U347="Free Game",$U347="Disqualified — Free Game",$H347=0),"N/A",IF($U347="Profit",$Q347/$H347,IF($U347="Disqualified",-$S347/$H347,0)))))</x:f>
      </x:c>
      <x:c r="U347" s="920" t="str">
        <x:f>IF(COUNTA($A347:$M347)=0,"",IF(OR(LEFT(LOWER(TRIM($F347&amp;"")),12)="subscription",LOWER(TRIM($F347&amp;""))="membership"),"Subscription",IF(OR(AND($H347&lt;&gt;"",$H347=0),LEFT(LOWER(TRIM($F347&amp;"")),9)="free game",LOWER(TRIM($F347&amp;""))="free",LOWER(TRIM($F347&amp;""))="free entry"),IF(LOWER($L347&amp;"")="yes","Disqualified — Free Game","Free Game"),IF(LOWER($L347&amp;"")="yes","Disqualified",IF($P347="","",IF(ROUND(IFERROR(VALUE($P347),0)-IFERROR(VALUE($H347),0),2)&gt;0,"Profit","Draw"))))))</x:f>
      </x:c>
      <x:c r="V347" s="956" t="str">
        <x:f>IF(COUNTA($A347:$M347)=0,"",IF(OR($B347="",$C347="",$U347="Subscription"),"",IFERROR(ROUNDUP(($C347-$B347)/7,0),"")))</x:f>
      </x:c>
      <x:c r="W347" s="114" t="str">
        <x:f>IF(COUNTA($A347:$M347)=0,"",IF(OR($U347="Subscription",$U347=""),"",IF(OR($U347="Free Game",$U347="Disqualified — Free Game"),0,ROUND(IFERROR($Q347,0)-IFERROR($S347,0),2))))</x:f>
      </x:c>
      <x:c r="X347" s="956" t="str">
        <x:f>IF(COUNTA($A347:$M347)=0,"",IF(OR($U347="Subscription",NOT(ISNUMBER($J347)),NOT(ISNUMBER($I347)),$J347=0,$I347=0,$I347&gt;$J347),"",$J347-$I347))</x:f>
      </x:c>
      <x:c r="Y347" s="955" t="str">
        <x:f>IF(COUNTA($A347:$M347)=0,"",IF(OR($U347="Subscription",NOT(ISNUMBER($J347)),$J347=0,$X347=""),"",$X347/$J347))</x:f>
      </x:c>
      <x:c r="Z347" s="957" t="str">
        <x:f>IF(COUNTA($A347:$M347)=0,"",Instructions!$B$29+SUM($W$5:W347))</x:f>
      </x:c>
    </x:row>
    <x:row r="348" ht="36" customHeight="1">
      <x:c r="A348" s="439"/>
      <x:c r="B348" s="453"/>
      <x:c r="C348" s="453"/>
      <x:c r="D348" s="454"/>
      <x:c r="E348" s="454"/>
      <x:c r="F348" s="454"/>
      <x:c r="G348" s="986"/>
      <x:c r="H348" s="455"/>
      <x:c r="I348" s="456"/>
      <x:c r="J348" s="456"/>
      <x:c r="K348" s="986"/>
      <x:c r="L348" s="454"/>
      <x:c r="M348" s="439"/>
      <x:c r="N348" s="987" t="str">
        <x:f>IF(COUNTA($A348:$M348)=0,"",IF(OR(LEFT(LOWER(TRIM($F348&amp;"")),12)="subscription",LOWER(TRIM($F348&amp;""))="membership"),"",IF($G348="","",IF(ISNUMBER(SEARCH("non",LOWER($E348&amp;""))),$G348*0.85,$G348))))</x:f>
      </x:c>
      <x:c r="O348" s="987" t="str">
        <x:f>IF(COUNTA($A348:$M348)=0,"",IF(OR(LEFT(LOWER(TRIM($F348&amp;"")),12)="subscription",LOWER(TRIM($F348&amp;""))="membership"),"",IF(OR($N348="",$I348="",$I348=0),"",IFERROR($N348/$I348,""))))</x:f>
      </x:c>
      <x:c r="P348" s="987" t="str">
        <x:f>IF(COUNTA($A348:$M348)=0,"",IF(OR(LEFT(LOWER(TRIM($F348&amp;"")),12)="subscription",LOWER(TRIM($F348&amp;""))="membership"),"",IF(LOWER($L348&amp;"")="yes",0,IF(OR(AND($H348&lt;&gt;"",$H348=0),LEFT(LOWER(TRIM($F348&amp;"")),9)="free game",LOWER(TRIM($F348&amp;""))="free",LOWER(TRIM($F348&amp;""))="free entry"),IF(LOWER($D348&amp;"")="finalized",IF(ISNUMBER($K348),$K348,""),IF($O348&lt;&gt;"",$O348,"")),IF($K348&lt;&gt;"",$K348,IF($O348&lt;&gt;"",$O348,""))))))</x:f>
      </x:c>
      <x:c r="Q348" s="114" t="str">
        <x:f>IF(COUNTA($A348:$M348)=0,"",IF(OR($U348="Subscription",$U348=""),"",IF($U348="Profit",ROUND(IFERROR($P348,0)-IFERROR($H348,0),2),0)))</x:f>
      </x:c>
      <x:c r="R348" s="114" t="str">
        <x:f>IF(COUNTA($A348:$M348)=0,"",IF(OR($U348="Subscription",$U348=""),"",IF($U348="Draw",$H348,0)))</x:f>
      </x:c>
      <x:c r="S348" s="114" t="str">
        <x:f>IF(COUNTA($A348:$M348)=0,"",IF(OR($U348="Subscription",$U348=""),"",IF($U348="Disqualified",$H348,0)))</x:f>
      </x:c>
      <x:c r="T348" s="955" t="str">
        <x:f>IF(COUNTA($A348:$M348)=0,"",IF(OR($U348="Subscription",$U348=""),"",IF(OR($U348="Free Game",$U348="Disqualified — Free Game",$H348=0),"N/A",IF($U348="Profit",$Q348/$H348,IF($U348="Disqualified",-$S348/$H348,0)))))</x:f>
      </x:c>
      <x:c r="U348" s="920" t="str">
        <x:f>IF(COUNTA($A348:$M348)=0,"",IF(OR(LEFT(LOWER(TRIM($F348&amp;"")),12)="subscription",LOWER(TRIM($F348&amp;""))="membership"),"Subscription",IF(OR(AND($H348&lt;&gt;"",$H348=0),LEFT(LOWER(TRIM($F348&amp;"")),9)="free game",LOWER(TRIM($F348&amp;""))="free",LOWER(TRIM($F348&amp;""))="free entry"),IF(LOWER($L348&amp;"")="yes","Disqualified — Free Game","Free Game"),IF(LOWER($L348&amp;"")="yes","Disqualified",IF($P348="","",IF(ROUND(IFERROR(VALUE($P348),0)-IFERROR(VALUE($H348),0),2)&gt;0,"Profit","Draw"))))))</x:f>
      </x:c>
      <x:c r="V348" s="956" t="str">
        <x:f>IF(COUNTA($A348:$M348)=0,"",IF(OR($B348="",$C348="",$U348="Subscription"),"",IFERROR(ROUNDUP(($C348-$B348)/7,0),"")))</x:f>
      </x:c>
      <x:c r="W348" s="114" t="str">
        <x:f>IF(COUNTA($A348:$M348)=0,"",IF(OR($U348="Subscription",$U348=""),"",IF(OR($U348="Free Game",$U348="Disqualified — Free Game"),0,ROUND(IFERROR($Q348,0)-IFERROR($S348,0),2))))</x:f>
      </x:c>
      <x:c r="X348" s="956" t="str">
        <x:f>IF(COUNTA($A348:$M348)=0,"",IF(OR($U348="Subscription",NOT(ISNUMBER($J348)),NOT(ISNUMBER($I348)),$J348=0,$I348=0,$I348&gt;$J348),"",$J348-$I348))</x:f>
      </x:c>
      <x:c r="Y348" s="955" t="str">
        <x:f>IF(COUNTA($A348:$M348)=0,"",IF(OR($U348="Subscription",NOT(ISNUMBER($J348)),$J348=0,$X348=""),"",$X348/$J348))</x:f>
      </x:c>
      <x:c r="Z348" s="957" t="str">
        <x:f>IF(COUNTA($A348:$M348)=0,"",Instructions!$B$29+SUM($W$5:W348))</x:f>
      </x:c>
    </x:row>
    <x:row r="349" ht="36" customHeight="1">
      <x:c r="A349" s="439"/>
      <x:c r="B349" s="453"/>
      <x:c r="C349" s="453"/>
      <x:c r="D349" s="454"/>
      <x:c r="E349" s="454"/>
      <x:c r="F349" s="454"/>
      <x:c r="G349" s="986"/>
      <x:c r="H349" s="455"/>
      <x:c r="I349" s="456"/>
      <x:c r="J349" s="456"/>
      <x:c r="K349" s="986"/>
      <x:c r="L349" s="454"/>
      <x:c r="M349" s="439"/>
      <x:c r="N349" s="987" t="str">
        <x:f>IF(COUNTA($A349:$M349)=0,"",IF(OR(LEFT(LOWER(TRIM($F349&amp;"")),12)="subscription",LOWER(TRIM($F349&amp;""))="membership"),"",IF($G349="","",IF(ISNUMBER(SEARCH("non",LOWER($E349&amp;""))),$G349*0.85,$G349))))</x:f>
      </x:c>
      <x:c r="O349" s="987" t="str">
        <x:f>IF(COUNTA($A349:$M349)=0,"",IF(OR(LEFT(LOWER(TRIM($F349&amp;"")),12)="subscription",LOWER(TRIM($F349&amp;""))="membership"),"",IF(OR($N349="",$I349="",$I349=0),"",IFERROR($N349/$I349,""))))</x:f>
      </x:c>
      <x:c r="P349" s="987" t="str">
        <x:f>IF(COUNTA($A349:$M349)=0,"",IF(OR(LEFT(LOWER(TRIM($F349&amp;"")),12)="subscription",LOWER(TRIM($F349&amp;""))="membership"),"",IF(LOWER($L349&amp;"")="yes",0,IF(OR(AND($H349&lt;&gt;"",$H349=0),LEFT(LOWER(TRIM($F349&amp;"")),9)="free game",LOWER(TRIM($F349&amp;""))="free",LOWER(TRIM($F349&amp;""))="free entry"),IF(LOWER($D349&amp;"")="finalized",IF(ISNUMBER($K349),$K349,""),IF($O349&lt;&gt;"",$O349,"")),IF($K349&lt;&gt;"",$K349,IF($O349&lt;&gt;"",$O349,""))))))</x:f>
      </x:c>
      <x:c r="Q349" s="114" t="str">
        <x:f>IF(COUNTA($A349:$M349)=0,"",IF(OR($U349="Subscription",$U349=""),"",IF($U349="Profit",ROUND(IFERROR($P349,0)-IFERROR($H349,0),2),0)))</x:f>
      </x:c>
      <x:c r="R349" s="114" t="str">
        <x:f>IF(COUNTA($A349:$M349)=0,"",IF(OR($U349="Subscription",$U349=""),"",IF($U349="Draw",$H349,0)))</x:f>
      </x:c>
      <x:c r="S349" s="114" t="str">
        <x:f>IF(COUNTA($A349:$M349)=0,"",IF(OR($U349="Subscription",$U349=""),"",IF($U349="Disqualified",$H349,0)))</x:f>
      </x:c>
      <x:c r="T349" s="955" t="str">
        <x:f>IF(COUNTA($A349:$M349)=0,"",IF(OR($U349="Subscription",$U349=""),"",IF(OR($U349="Free Game",$U349="Disqualified — Free Game",$H349=0),"N/A",IF($U349="Profit",$Q349/$H349,IF($U349="Disqualified",-$S349/$H349,0)))))</x:f>
      </x:c>
      <x:c r="U349" s="920" t="str">
        <x:f>IF(COUNTA($A349:$M349)=0,"",IF(OR(LEFT(LOWER(TRIM($F349&amp;"")),12)="subscription",LOWER(TRIM($F349&amp;""))="membership"),"Subscription",IF(OR(AND($H349&lt;&gt;"",$H349=0),LEFT(LOWER(TRIM($F349&amp;"")),9)="free game",LOWER(TRIM($F349&amp;""))="free",LOWER(TRIM($F349&amp;""))="free entry"),IF(LOWER($L349&amp;"")="yes","Disqualified — Free Game","Free Game"),IF(LOWER($L349&amp;"")="yes","Disqualified",IF($P349="","",IF(ROUND(IFERROR(VALUE($P349),0)-IFERROR(VALUE($H349),0),2)&gt;0,"Profit","Draw"))))))</x:f>
      </x:c>
      <x:c r="V349" s="956" t="str">
        <x:f>IF(COUNTA($A349:$M349)=0,"",IF(OR($B349="",$C349="",$U349="Subscription"),"",IFERROR(ROUNDUP(($C349-$B349)/7,0),"")))</x:f>
      </x:c>
      <x:c r="W349" s="114" t="str">
        <x:f>IF(COUNTA($A349:$M349)=0,"",IF(OR($U349="Subscription",$U349=""),"",IF(OR($U349="Free Game",$U349="Disqualified — Free Game"),0,ROUND(IFERROR($Q349,0)-IFERROR($S349,0),2))))</x:f>
      </x:c>
      <x:c r="X349" s="956" t="str">
        <x:f>IF(COUNTA($A349:$M349)=0,"",IF(OR($U349="Subscription",NOT(ISNUMBER($J349)),NOT(ISNUMBER($I349)),$J349=0,$I349=0,$I349&gt;$J349),"",$J349-$I349))</x:f>
      </x:c>
      <x:c r="Y349" s="955" t="str">
        <x:f>IF(COUNTA($A349:$M349)=0,"",IF(OR($U349="Subscription",NOT(ISNUMBER($J349)),$J349=0,$X349=""),"",$X349/$J349))</x:f>
      </x:c>
      <x:c r="Z349" s="957" t="str">
        <x:f>IF(COUNTA($A349:$M349)=0,"",Instructions!$B$29+SUM($W$5:W349))</x:f>
      </x:c>
    </x:row>
    <x:row r="350" ht="36" customHeight="1">
      <x:c r="A350" s="439"/>
      <x:c r="B350" s="453"/>
      <x:c r="C350" s="453"/>
      <x:c r="D350" s="454"/>
      <x:c r="E350" s="454"/>
      <x:c r="F350" s="454"/>
      <x:c r="G350" s="986"/>
      <x:c r="H350" s="455"/>
      <x:c r="I350" s="456"/>
      <x:c r="J350" s="456"/>
      <x:c r="K350" s="986"/>
      <x:c r="L350" s="454"/>
      <x:c r="M350" s="439"/>
      <x:c r="N350" s="987" t="str">
        <x:f>IF(COUNTA($A350:$M350)=0,"",IF(OR(LEFT(LOWER(TRIM($F350&amp;"")),12)="subscription",LOWER(TRIM($F350&amp;""))="membership"),"",IF($G350="","",IF(ISNUMBER(SEARCH("non",LOWER($E350&amp;""))),$G350*0.85,$G350))))</x:f>
      </x:c>
      <x:c r="O350" s="987" t="str">
        <x:f>IF(COUNTA($A350:$M350)=0,"",IF(OR(LEFT(LOWER(TRIM($F350&amp;"")),12)="subscription",LOWER(TRIM($F350&amp;""))="membership"),"",IF(OR($N350="",$I350="",$I350=0),"",IFERROR($N350/$I350,""))))</x:f>
      </x:c>
      <x:c r="P350" s="987" t="str">
        <x:f>IF(COUNTA($A350:$M350)=0,"",IF(OR(LEFT(LOWER(TRIM($F350&amp;"")),12)="subscription",LOWER(TRIM($F350&amp;""))="membership"),"",IF(LOWER($L350&amp;"")="yes",0,IF(OR(AND($H350&lt;&gt;"",$H350=0),LEFT(LOWER(TRIM($F350&amp;"")),9)="free game",LOWER(TRIM($F350&amp;""))="free",LOWER(TRIM($F350&amp;""))="free entry"),IF(LOWER($D350&amp;"")="finalized",IF(ISNUMBER($K350),$K350,""),IF($O350&lt;&gt;"",$O350,"")),IF($K350&lt;&gt;"",$K350,IF($O350&lt;&gt;"",$O350,""))))))</x:f>
      </x:c>
      <x:c r="Q350" s="114" t="str">
        <x:f>IF(COUNTA($A350:$M350)=0,"",IF(OR($U350="Subscription",$U350=""),"",IF($U350="Profit",ROUND(IFERROR($P350,0)-IFERROR($H350,0),2),0)))</x:f>
      </x:c>
      <x:c r="R350" s="114" t="str">
        <x:f>IF(COUNTA($A350:$M350)=0,"",IF(OR($U350="Subscription",$U350=""),"",IF($U350="Draw",$H350,0)))</x:f>
      </x:c>
      <x:c r="S350" s="114" t="str">
        <x:f>IF(COUNTA($A350:$M350)=0,"",IF(OR($U350="Subscription",$U350=""),"",IF($U350="Disqualified",$H350,0)))</x:f>
      </x:c>
      <x:c r="T350" s="955" t="str">
        <x:f>IF(COUNTA($A350:$M350)=0,"",IF(OR($U350="Subscription",$U350=""),"",IF(OR($U350="Free Game",$U350="Disqualified — Free Game",$H350=0),"N/A",IF($U350="Profit",$Q350/$H350,IF($U350="Disqualified",-$S350/$H350,0)))))</x:f>
      </x:c>
      <x:c r="U350" s="920" t="str">
        <x:f>IF(COUNTA($A350:$M350)=0,"",IF(OR(LEFT(LOWER(TRIM($F350&amp;"")),12)="subscription",LOWER(TRIM($F350&amp;""))="membership"),"Subscription",IF(OR(AND($H350&lt;&gt;"",$H350=0),LEFT(LOWER(TRIM($F350&amp;"")),9)="free game",LOWER(TRIM($F350&amp;""))="free",LOWER(TRIM($F350&amp;""))="free entry"),IF(LOWER($L350&amp;"")="yes","Disqualified — Free Game","Free Game"),IF(LOWER($L350&amp;"")="yes","Disqualified",IF($P350="","",IF(ROUND(IFERROR(VALUE($P350),0)-IFERROR(VALUE($H350),0),2)&gt;0,"Profit","Draw"))))))</x:f>
      </x:c>
      <x:c r="V350" s="956" t="str">
        <x:f>IF(COUNTA($A350:$M350)=0,"",IF(OR($B350="",$C350="",$U350="Subscription"),"",IFERROR(ROUNDUP(($C350-$B350)/7,0),"")))</x:f>
      </x:c>
      <x:c r="W350" s="114" t="str">
        <x:f>IF(COUNTA($A350:$M350)=0,"",IF(OR($U350="Subscription",$U350=""),"",IF(OR($U350="Free Game",$U350="Disqualified — Free Game"),0,ROUND(IFERROR($Q350,0)-IFERROR($S350,0),2))))</x:f>
      </x:c>
      <x:c r="X350" s="956" t="str">
        <x:f>IF(COUNTA($A350:$M350)=0,"",IF(OR($U350="Subscription",NOT(ISNUMBER($J350)),NOT(ISNUMBER($I350)),$J350=0,$I350=0,$I350&gt;$J350),"",$J350-$I350))</x:f>
      </x:c>
      <x:c r="Y350" s="955" t="str">
        <x:f>IF(COUNTA($A350:$M350)=0,"",IF(OR($U350="Subscription",NOT(ISNUMBER($J350)),$J350=0,$X350=""),"",$X350/$J350))</x:f>
      </x:c>
      <x:c r="Z350" s="957" t="str">
        <x:f>IF(COUNTA($A350:$M350)=0,"",Instructions!$B$29+SUM($W$5:W350))</x:f>
      </x:c>
    </x:row>
    <x:row r="351" ht="36" customHeight="1">
      <x:c r="A351" s="439"/>
      <x:c r="B351" s="453"/>
      <x:c r="C351" s="453"/>
      <x:c r="D351" s="454"/>
      <x:c r="E351" s="454"/>
      <x:c r="F351" s="454"/>
      <x:c r="G351" s="986"/>
      <x:c r="H351" s="455"/>
      <x:c r="I351" s="456"/>
      <x:c r="J351" s="456"/>
      <x:c r="K351" s="986"/>
      <x:c r="L351" s="454"/>
      <x:c r="M351" s="439"/>
      <x:c r="N351" s="987" t="str">
        <x:f>IF(COUNTA($A351:$M351)=0,"",IF(OR(LEFT(LOWER(TRIM($F351&amp;"")),12)="subscription",LOWER(TRIM($F351&amp;""))="membership"),"",IF($G351="","",IF(ISNUMBER(SEARCH("non",LOWER($E351&amp;""))),$G351*0.85,$G351))))</x:f>
      </x:c>
      <x:c r="O351" s="987" t="str">
        <x:f>IF(COUNTA($A351:$M351)=0,"",IF(OR(LEFT(LOWER(TRIM($F351&amp;"")),12)="subscription",LOWER(TRIM($F351&amp;""))="membership"),"",IF(OR($N351="",$I351="",$I351=0),"",IFERROR($N351/$I351,""))))</x:f>
      </x:c>
      <x:c r="P351" s="987" t="str">
        <x:f>IF(COUNTA($A351:$M351)=0,"",IF(OR(LEFT(LOWER(TRIM($F351&amp;"")),12)="subscription",LOWER(TRIM($F351&amp;""))="membership"),"",IF(LOWER($L351&amp;"")="yes",0,IF(OR(AND($H351&lt;&gt;"",$H351=0),LEFT(LOWER(TRIM($F351&amp;"")),9)="free game",LOWER(TRIM($F351&amp;""))="free",LOWER(TRIM($F351&amp;""))="free entry"),IF(LOWER($D351&amp;"")="finalized",IF(ISNUMBER($K351),$K351,""),IF($O351&lt;&gt;"",$O351,"")),IF($K351&lt;&gt;"",$K351,IF($O351&lt;&gt;"",$O351,""))))))</x:f>
      </x:c>
      <x:c r="Q351" s="114" t="str">
        <x:f>IF(COUNTA($A351:$M351)=0,"",IF(OR($U351="Subscription",$U351=""),"",IF($U351="Profit",ROUND(IFERROR($P351,0)-IFERROR($H351,0),2),0)))</x:f>
      </x:c>
      <x:c r="R351" s="114" t="str">
        <x:f>IF(COUNTA($A351:$M351)=0,"",IF(OR($U351="Subscription",$U351=""),"",IF($U351="Draw",$H351,0)))</x:f>
      </x:c>
      <x:c r="S351" s="114" t="str">
        <x:f>IF(COUNTA($A351:$M351)=0,"",IF(OR($U351="Subscription",$U351=""),"",IF($U351="Disqualified",$H351,0)))</x:f>
      </x:c>
      <x:c r="T351" s="955" t="str">
        <x:f>IF(COUNTA($A351:$M351)=0,"",IF(OR($U351="Subscription",$U351=""),"",IF(OR($U351="Free Game",$U351="Disqualified — Free Game",$H351=0),"N/A",IF($U351="Profit",$Q351/$H351,IF($U351="Disqualified",-$S351/$H351,0)))))</x:f>
      </x:c>
      <x:c r="U351" s="920" t="str">
        <x:f>IF(COUNTA($A351:$M351)=0,"",IF(OR(LEFT(LOWER(TRIM($F351&amp;"")),12)="subscription",LOWER(TRIM($F351&amp;""))="membership"),"Subscription",IF(OR(AND($H351&lt;&gt;"",$H351=0),LEFT(LOWER(TRIM($F351&amp;"")),9)="free game",LOWER(TRIM($F351&amp;""))="free",LOWER(TRIM($F351&amp;""))="free entry"),IF(LOWER($L351&amp;"")="yes","Disqualified — Free Game","Free Game"),IF(LOWER($L351&amp;"")="yes","Disqualified",IF($P351="","",IF(ROUND(IFERROR(VALUE($P351),0)-IFERROR(VALUE($H351),0),2)&gt;0,"Profit","Draw"))))))</x:f>
      </x:c>
      <x:c r="V351" s="956" t="str">
        <x:f>IF(COUNTA($A351:$M351)=0,"",IF(OR($B351="",$C351="",$U351="Subscription"),"",IFERROR(ROUNDUP(($C351-$B351)/7,0),"")))</x:f>
      </x:c>
      <x:c r="W351" s="114" t="str">
        <x:f>IF(COUNTA($A351:$M351)=0,"",IF(OR($U351="Subscription",$U351=""),"",IF(OR($U351="Free Game",$U351="Disqualified — Free Game"),0,ROUND(IFERROR($Q351,0)-IFERROR($S351,0),2))))</x:f>
      </x:c>
      <x:c r="X351" s="956" t="str">
        <x:f>IF(COUNTA($A351:$M351)=0,"",IF(OR($U351="Subscription",NOT(ISNUMBER($J351)),NOT(ISNUMBER($I351)),$J351=0,$I351=0,$I351&gt;$J351),"",$J351-$I351))</x:f>
      </x:c>
      <x:c r="Y351" s="955" t="str">
        <x:f>IF(COUNTA($A351:$M351)=0,"",IF(OR($U351="Subscription",NOT(ISNUMBER($J351)),$J351=0,$X351=""),"",$X351/$J351))</x:f>
      </x:c>
      <x:c r="Z351" s="957" t="str">
        <x:f>IF(COUNTA($A351:$M351)=0,"",Instructions!$B$29+SUM($W$5:W351))</x:f>
      </x:c>
    </x:row>
    <x:row r="352" ht="36" customHeight="1">
      <x:c r="A352" s="439"/>
      <x:c r="B352" s="453"/>
      <x:c r="C352" s="453"/>
      <x:c r="D352" s="454"/>
      <x:c r="E352" s="454"/>
      <x:c r="F352" s="454"/>
      <x:c r="G352" s="986"/>
      <x:c r="H352" s="455"/>
      <x:c r="I352" s="456"/>
      <x:c r="J352" s="456"/>
      <x:c r="K352" s="986"/>
      <x:c r="L352" s="454"/>
      <x:c r="M352" s="439"/>
      <x:c r="N352" s="987" t="str">
        <x:f>IF(COUNTA($A352:$M352)=0,"",IF(OR(LEFT(LOWER(TRIM($F352&amp;"")),12)="subscription",LOWER(TRIM($F352&amp;""))="membership"),"",IF($G352="","",IF(ISNUMBER(SEARCH("non",LOWER($E352&amp;""))),$G352*0.85,$G352))))</x:f>
      </x:c>
      <x:c r="O352" s="987" t="str">
        <x:f>IF(COUNTA($A352:$M352)=0,"",IF(OR(LEFT(LOWER(TRIM($F352&amp;"")),12)="subscription",LOWER(TRIM($F352&amp;""))="membership"),"",IF(OR($N352="",$I352="",$I352=0),"",IFERROR($N352/$I352,""))))</x:f>
      </x:c>
      <x:c r="P352" s="987" t="str">
        <x:f>IF(COUNTA($A352:$M352)=0,"",IF(OR(LEFT(LOWER(TRIM($F352&amp;"")),12)="subscription",LOWER(TRIM($F352&amp;""))="membership"),"",IF(LOWER($L352&amp;"")="yes",0,IF(OR(AND($H352&lt;&gt;"",$H352=0),LEFT(LOWER(TRIM($F352&amp;"")),9)="free game",LOWER(TRIM($F352&amp;""))="free",LOWER(TRIM($F352&amp;""))="free entry"),IF(LOWER($D352&amp;"")="finalized",IF(ISNUMBER($K352),$K352,""),IF($O352&lt;&gt;"",$O352,"")),IF($K352&lt;&gt;"",$K352,IF($O352&lt;&gt;"",$O352,""))))))</x:f>
      </x:c>
      <x:c r="Q352" s="114" t="str">
        <x:f>IF(COUNTA($A352:$M352)=0,"",IF(OR($U352="Subscription",$U352=""),"",IF($U352="Profit",ROUND(IFERROR($P352,0)-IFERROR($H352,0),2),0)))</x:f>
      </x:c>
      <x:c r="R352" s="114" t="str">
        <x:f>IF(COUNTA($A352:$M352)=0,"",IF(OR($U352="Subscription",$U352=""),"",IF($U352="Draw",$H352,0)))</x:f>
      </x:c>
      <x:c r="S352" s="114" t="str">
        <x:f>IF(COUNTA($A352:$M352)=0,"",IF(OR($U352="Subscription",$U352=""),"",IF($U352="Disqualified",$H352,0)))</x:f>
      </x:c>
      <x:c r="T352" s="955" t="str">
        <x:f>IF(COUNTA($A352:$M352)=0,"",IF(OR($U352="Subscription",$U352=""),"",IF(OR($U352="Free Game",$U352="Disqualified — Free Game",$H352=0),"N/A",IF($U352="Profit",$Q352/$H352,IF($U352="Disqualified",-$S352/$H352,0)))))</x:f>
      </x:c>
      <x:c r="U352" s="920" t="str">
        <x:f>IF(COUNTA($A352:$M352)=0,"",IF(OR(LEFT(LOWER(TRIM($F352&amp;"")),12)="subscription",LOWER(TRIM($F352&amp;""))="membership"),"Subscription",IF(OR(AND($H352&lt;&gt;"",$H352=0),LEFT(LOWER(TRIM($F352&amp;"")),9)="free game",LOWER(TRIM($F352&amp;""))="free",LOWER(TRIM($F352&amp;""))="free entry"),IF(LOWER($L352&amp;"")="yes","Disqualified — Free Game","Free Game"),IF(LOWER($L352&amp;"")="yes","Disqualified",IF($P352="","",IF(ROUND(IFERROR(VALUE($P352),0)-IFERROR(VALUE($H352),0),2)&gt;0,"Profit","Draw"))))))</x:f>
      </x:c>
      <x:c r="V352" s="956" t="str">
        <x:f>IF(COUNTA($A352:$M352)=0,"",IF(OR($B352="",$C352="",$U352="Subscription"),"",IFERROR(ROUNDUP(($C352-$B352)/7,0),"")))</x:f>
      </x:c>
      <x:c r="W352" s="114" t="str">
        <x:f>IF(COUNTA($A352:$M352)=0,"",IF(OR($U352="Subscription",$U352=""),"",IF(OR($U352="Free Game",$U352="Disqualified — Free Game"),0,ROUND(IFERROR($Q352,0)-IFERROR($S352,0),2))))</x:f>
      </x:c>
      <x:c r="X352" s="956" t="str">
        <x:f>IF(COUNTA($A352:$M352)=0,"",IF(OR($U352="Subscription",NOT(ISNUMBER($J352)),NOT(ISNUMBER($I352)),$J352=0,$I352=0,$I352&gt;$J352),"",$J352-$I352))</x:f>
      </x:c>
      <x:c r="Y352" s="955" t="str">
        <x:f>IF(COUNTA($A352:$M352)=0,"",IF(OR($U352="Subscription",NOT(ISNUMBER($J352)),$J352=0,$X352=""),"",$X352/$J352))</x:f>
      </x:c>
      <x:c r="Z352" s="957" t="str">
        <x:f>IF(COUNTA($A352:$M352)=0,"",Instructions!$B$29+SUM($W$5:W352))</x:f>
      </x:c>
    </x:row>
    <x:row r="353" ht="36" customHeight="1">
      <x:c r="A353" s="439"/>
      <x:c r="B353" s="453"/>
      <x:c r="C353" s="453"/>
      <x:c r="D353" s="454"/>
      <x:c r="E353" s="454"/>
      <x:c r="F353" s="454"/>
      <x:c r="G353" s="986"/>
      <x:c r="H353" s="455"/>
      <x:c r="I353" s="456"/>
      <x:c r="J353" s="456"/>
      <x:c r="K353" s="986"/>
      <x:c r="L353" s="454"/>
      <x:c r="M353" s="439"/>
      <x:c r="N353" s="987" t="str">
        <x:f>IF(COUNTA($A353:$M353)=0,"",IF(OR(LEFT(LOWER(TRIM($F353&amp;"")),12)="subscription",LOWER(TRIM($F353&amp;""))="membership"),"",IF($G353="","",IF(ISNUMBER(SEARCH("non",LOWER($E353&amp;""))),$G353*0.85,$G353))))</x:f>
      </x:c>
      <x:c r="O353" s="987" t="str">
        <x:f>IF(COUNTA($A353:$M353)=0,"",IF(OR(LEFT(LOWER(TRIM($F353&amp;"")),12)="subscription",LOWER(TRIM($F353&amp;""))="membership"),"",IF(OR($N353="",$I353="",$I353=0),"",IFERROR($N353/$I353,""))))</x:f>
      </x:c>
      <x:c r="P353" s="987" t="str">
        <x:f>IF(COUNTA($A353:$M353)=0,"",IF(OR(LEFT(LOWER(TRIM($F353&amp;"")),12)="subscription",LOWER(TRIM($F353&amp;""))="membership"),"",IF(LOWER($L353&amp;"")="yes",0,IF(OR(AND($H353&lt;&gt;"",$H353=0),LEFT(LOWER(TRIM($F353&amp;"")),9)="free game",LOWER(TRIM($F353&amp;""))="free",LOWER(TRIM($F353&amp;""))="free entry"),IF(LOWER($D353&amp;"")="finalized",IF(ISNUMBER($K353),$K353,""),IF($O353&lt;&gt;"",$O353,"")),IF($K353&lt;&gt;"",$K353,IF($O353&lt;&gt;"",$O353,""))))))</x:f>
      </x:c>
      <x:c r="Q353" s="114" t="str">
        <x:f>IF(COUNTA($A353:$M353)=0,"",IF(OR($U353="Subscription",$U353=""),"",IF($U353="Profit",ROUND(IFERROR($P353,0)-IFERROR($H353,0),2),0)))</x:f>
      </x:c>
      <x:c r="R353" s="114" t="str">
        <x:f>IF(COUNTA($A353:$M353)=0,"",IF(OR($U353="Subscription",$U353=""),"",IF($U353="Draw",$H353,0)))</x:f>
      </x:c>
      <x:c r="S353" s="114" t="str">
        <x:f>IF(COUNTA($A353:$M353)=0,"",IF(OR($U353="Subscription",$U353=""),"",IF($U353="Disqualified",$H353,0)))</x:f>
      </x:c>
      <x:c r="T353" s="955" t="str">
        <x:f>IF(COUNTA($A353:$M353)=0,"",IF(OR($U353="Subscription",$U353=""),"",IF(OR($U353="Free Game",$U353="Disqualified — Free Game",$H353=0),"N/A",IF($U353="Profit",$Q353/$H353,IF($U353="Disqualified",-$S353/$H353,0)))))</x:f>
      </x:c>
      <x:c r="U353" s="920" t="str">
        <x:f>IF(COUNTA($A353:$M353)=0,"",IF(OR(LEFT(LOWER(TRIM($F353&amp;"")),12)="subscription",LOWER(TRIM($F353&amp;""))="membership"),"Subscription",IF(OR(AND($H353&lt;&gt;"",$H353=0),LEFT(LOWER(TRIM($F353&amp;"")),9)="free game",LOWER(TRIM($F353&amp;""))="free",LOWER(TRIM($F353&amp;""))="free entry"),IF(LOWER($L353&amp;"")="yes","Disqualified — Free Game","Free Game"),IF(LOWER($L353&amp;"")="yes","Disqualified",IF($P353="","",IF(ROUND(IFERROR(VALUE($P353),0)-IFERROR(VALUE($H353),0),2)&gt;0,"Profit","Draw"))))))</x:f>
      </x:c>
      <x:c r="V353" s="956" t="str">
        <x:f>IF(COUNTA($A353:$M353)=0,"",IF(OR($B353="",$C353="",$U353="Subscription"),"",IFERROR(ROUNDUP(($C353-$B353)/7,0),"")))</x:f>
      </x:c>
      <x:c r="W353" s="114" t="str">
        <x:f>IF(COUNTA($A353:$M353)=0,"",IF(OR($U353="Subscription",$U353=""),"",IF(OR($U353="Free Game",$U353="Disqualified — Free Game"),0,ROUND(IFERROR($Q353,0)-IFERROR($S353,0),2))))</x:f>
      </x:c>
      <x:c r="X353" s="956" t="str">
        <x:f>IF(COUNTA($A353:$M353)=0,"",IF(OR($U353="Subscription",NOT(ISNUMBER($J353)),NOT(ISNUMBER($I353)),$J353=0,$I353=0,$I353&gt;$J353),"",$J353-$I353))</x:f>
      </x:c>
      <x:c r="Y353" s="955" t="str">
        <x:f>IF(COUNTA($A353:$M353)=0,"",IF(OR($U353="Subscription",NOT(ISNUMBER($J353)),$J353=0,$X353=""),"",$X353/$J353))</x:f>
      </x:c>
      <x:c r="Z353" s="957" t="str">
        <x:f>IF(COUNTA($A353:$M353)=0,"",Instructions!$B$29+SUM($W$5:W353))</x:f>
      </x:c>
    </x:row>
    <x:row r="354" ht="36" customHeight="1">
      <x:c r="A354" s="439"/>
      <x:c r="B354" s="453"/>
      <x:c r="C354" s="453"/>
      <x:c r="D354" s="454"/>
      <x:c r="E354" s="454"/>
      <x:c r="F354" s="454"/>
      <x:c r="G354" s="986"/>
      <x:c r="H354" s="455"/>
      <x:c r="I354" s="456"/>
      <x:c r="J354" s="456"/>
      <x:c r="K354" s="986"/>
      <x:c r="L354" s="454"/>
      <x:c r="M354" s="439"/>
      <x:c r="N354" s="987" t="str">
        <x:f>IF(COUNTA($A354:$M354)=0,"",IF(OR(LEFT(LOWER(TRIM($F354&amp;"")),12)="subscription",LOWER(TRIM($F354&amp;""))="membership"),"",IF($G354="","",IF(ISNUMBER(SEARCH("non",LOWER($E354&amp;""))),$G354*0.85,$G354))))</x:f>
      </x:c>
      <x:c r="O354" s="987" t="str">
        <x:f>IF(COUNTA($A354:$M354)=0,"",IF(OR(LEFT(LOWER(TRIM($F354&amp;"")),12)="subscription",LOWER(TRIM($F354&amp;""))="membership"),"",IF(OR($N354="",$I354="",$I354=0),"",IFERROR($N354/$I354,""))))</x:f>
      </x:c>
      <x:c r="P354" s="987" t="str">
        <x:f>IF(COUNTA($A354:$M354)=0,"",IF(OR(LEFT(LOWER(TRIM($F354&amp;"")),12)="subscription",LOWER(TRIM($F354&amp;""))="membership"),"",IF(LOWER($L354&amp;"")="yes",0,IF(OR(AND($H354&lt;&gt;"",$H354=0),LEFT(LOWER(TRIM($F354&amp;"")),9)="free game",LOWER(TRIM($F354&amp;""))="free",LOWER(TRIM($F354&amp;""))="free entry"),IF(LOWER($D354&amp;"")="finalized",IF(ISNUMBER($K354),$K354,""),IF($O354&lt;&gt;"",$O354,"")),IF($K354&lt;&gt;"",$K354,IF($O354&lt;&gt;"",$O354,""))))))</x:f>
      </x:c>
      <x:c r="Q354" s="114" t="str">
        <x:f>IF(COUNTA($A354:$M354)=0,"",IF(OR($U354="Subscription",$U354=""),"",IF($U354="Profit",ROUND(IFERROR($P354,0)-IFERROR($H354,0),2),0)))</x:f>
      </x:c>
      <x:c r="R354" s="114" t="str">
        <x:f>IF(COUNTA($A354:$M354)=0,"",IF(OR($U354="Subscription",$U354=""),"",IF($U354="Draw",$H354,0)))</x:f>
      </x:c>
      <x:c r="S354" s="114" t="str">
        <x:f>IF(COUNTA($A354:$M354)=0,"",IF(OR($U354="Subscription",$U354=""),"",IF($U354="Disqualified",$H354,0)))</x:f>
      </x:c>
      <x:c r="T354" s="955" t="str">
        <x:f>IF(COUNTA($A354:$M354)=0,"",IF(OR($U354="Subscription",$U354=""),"",IF(OR($U354="Free Game",$U354="Disqualified — Free Game",$H354=0),"N/A",IF($U354="Profit",$Q354/$H354,IF($U354="Disqualified",-$S354/$H354,0)))))</x:f>
      </x:c>
      <x:c r="U354" s="920" t="str">
        <x:f>IF(COUNTA($A354:$M354)=0,"",IF(OR(LEFT(LOWER(TRIM($F354&amp;"")),12)="subscription",LOWER(TRIM($F354&amp;""))="membership"),"Subscription",IF(OR(AND($H354&lt;&gt;"",$H354=0),LEFT(LOWER(TRIM($F354&amp;"")),9)="free game",LOWER(TRIM($F354&amp;""))="free",LOWER(TRIM($F354&amp;""))="free entry"),IF(LOWER($L354&amp;"")="yes","Disqualified — Free Game","Free Game"),IF(LOWER($L354&amp;"")="yes","Disqualified",IF($P354="","",IF(ROUND(IFERROR(VALUE($P354),0)-IFERROR(VALUE($H354),0),2)&gt;0,"Profit","Draw"))))))</x:f>
      </x:c>
      <x:c r="V354" s="956" t="str">
        <x:f>IF(COUNTA($A354:$M354)=0,"",IF(OR($B354="",$C354="",$U354="Subscription"),"",IFERROR(ROUNDUP(($C354-$B354)/7,0),"")))</x:f>
      </x:c>
      <x:c r="W354" s="114" t="str">
        <x:f>IF(COUNTA($A354:$M354)=0,"",IF(OR($U354="Subscription",$U354=""),"",IF(OR($U354="Free Game",$U354="Disqualified — Free Game"),0,ROUND(IFERROR($Q354,0)-IFERROR($S354,0),2))))</x:f>
      </x:c>
      <x:c r="X354" s="956" t="str">
        <x:f>IF(COUNTA($A354:$M354)=0,"",IF(OR($U354="Subscription",NOT(ISNUMBER($J354)),NOT(ISNUMBER($I354)),$J354=0,$I354=0,$I354&gt;$J354),"",$J354-$I354))</x:f>
      </x:c>
      <x:c r="Y354" s="955" t="str">
        <x:f>IF(COUNTA($A354:$M354)=0,"",IF(OR($U354="Subscription",NOT(ISNUMBER($J354)),$J354=0,$X354=""),"",$X354/$J354))</x:f>
      </x:c>
      <x:c r="Z354" s="957" t="str">
        <x:f>IF(COUNTA($A354:$M354)=0,"",Instructions!$B$29+SUM($W$5:W354))</x:f>
      </x:c>
    </x:row>
    <x:row r="355" ht="36" customHeight="1">
      <x:c r="A355" s="439"/>
      <x:c r="B355" s="453"/>
      <x:c r="C355" s="453"/>
      <x:c r="D355" s="454"/>
      <x:c r="E355" s="454"/>
      <x:c r="F355" s="454"/>
      <x:c r="G355" s="986"/>
      <x:c r="H355" s="455"/>
      <x:c r="I355" s="456"/>
      <x:c r="J355" s="456"/>
      <x:c r="K355" s="986"/>
      <x:c r="L355" s="454"/>
      <x:c r="M355" s="439"/>
      <x:c r="N355" s="987" t="str">
        <x:f>IF(COUNTA($A355:$M355)=0,"",IF(OR(LEFT(LOWER(TRIM($F355&amp;"")),12)="subscription",LOWER(TRIM($F355&amp;""))="membership"),"",IF($G355="","",IF(ISNUMBER(SEARCH("non",LOWER($E355&amp;""))),$G355*0.85,$G355))))</x:f>
      </x:c>
      <x:c r="O355" s="987" t="str">
        <x:f>IF(COUNTA($A355:$M355)=0,"",IF(OR(LEFT(LOWER(TRIM($F355&amp;"")),12)="subscription",LOWER(TRIM($F355&amp;""))="membership"),"",IF(OR($N355="",$I355="",$I355=0),"",IFERROR($N355/$I355,""))))</x:f>
      </x:c>
      <x:c r="P355" s="987" t="str">
        <x:f>IF(COUNTA($A355:$M355)=0,"",IF(OR(LEFT(LOWER(TRIM($F355&amp;"")),12)="subscription",LOWER(TRIM($F355&amp;""))="membership"),"",IF(LOWER($L355&amp;"")="yes",0,IF(OR(AND($H355&lt;&gt;"",$H355=0),LEFT(LOWER(TRIM($F355&amp;"")),9)="free game",LOWER(TRIM($F355&amp;""))="free",LOWER(TRIM($F355&amp;""))="free entry"),IF(LOWER($D355&amp;"")="finalized",IF(ISNUMBER($K355),$K355,""),IF($O355&lt;&gt;"",$O355,"")),IF($K355&lt;&gt;"",$K355,IF($O355&lt;&gt;"",$O355,""))))))</x:f>
      </x:c>
      <x:c r="Q355" s="114" t="str">
        <x:f>IF(COUNTA($A355:$M355)=0,"",IF(OR($U355="Subscription",$U355=""),"",IF($U355="Profit",ROUND(IFERROR($P355,0)-IFERROR($H355,0),2),0)))</x:f>
      </x:c>
      <x:c r="R355" s="114" t="str">
        <x:f>IF(COUNTA($A355:$M355)=0,"",IF(OR($U355="Subscription",$U355=""),"",IF($U355="Draw",$H355,0)))</x:f>
      </x:c>
      <x:c r="S355" s="114" t="str">
        <x:f>IF(COUNTA($A355:$M355)=0,"",IF(OR($U355="Subscription",$U355=""),"",IF($U355="Disqualified",$H355,0)))</x:f>
      </x:c>
      <x:c r="T355" s="955" t="str">
        <x:f>IF(COUNTA($A355:$M355)=0,"",IF(OR($U355="Subscription",$U355=""),"",IF(OR($U355="Free Game",$U355="Disqualified — Free Game",$H355=0),"N/A",IF($U355="Profit",$Q355/$H355,IF($U355="Disqualified",-$S355/$H355,0)))))</x:f>
      </x:c>
      <x:c r="U355" s="920" t="str">
        <x:f>IF(COUNTA($A355:$M355)=0,"",IF(OR(LEFT(LOWER(TRIM($F355&amp;"")),12)="subscription",LOWER(TRIM($F355&amp;""))="membership"),"Subscription",IF(OR(AND($H355&lt;&gt;"",$H355=0),LEFT(LOWER(TRIM($F355&amp;"")),9)="free game",LOWER(TRIM($F355&amp;""))="free",LOWER(TRIM($F355&amp;""))="free entry"),IF(LOWER($L355&amp;"")="yes","Disqualified — Free Game","Free Game"),IF(LOWER($L355&amp;"")="yes","Disqualified",IF($P355="","",IF(ROUND(IFERROR(VALUE($P355),0)-IFERROR(VALUE($H355),0),2)&gt;0,"Profit","Draw"))))))</x:f>
      </x:c>
      <x:c r="V355" s="956" t="str">
        <x:f>IF(COUNTA($A355:$M355)=0,"",IF(OR($B355="",$C355="",$U355="Subscription"),"",IFERROR(ROUNDUP(($C355-$B355)/7,0),"")))</x:f>
      </x:c>
      <x:c r="W355" s="114" t="str">
        <x:f>IF(COUNTA($A355:$M355)=0,"",IF(OR($U355="Subscription",$U355=""),"",IF(OR($U355="Free Game",$U355="Disqualified — Free Game"),0,ROUND(IFERROR($Q355,0)-IFERROR($S355,0),2))))</x:f>
      </x:c>
      <x:c r="X355" s="956" t="str">
        <x:f>IF(COUNTA($A355:$M355)=0,"",IF(OR($U355="Subscription",NOT(ISNUMBER($J355)),NOT(ISNUMBER($I355)),$J355=0,$I355=0,$I355&gt;$J355),"",$J355-$I355))</x:f>
      </x:c>
      <x:c r="Y355" s="955" t="str">
        <x:f>IF(COUNTA($A355:$M355)=0,"",IF(OR($U355="Subscription",NOT(ISNUMBER($J355)),$J355=0,$X355=""),"",$X355/$J355))</x:f>
      </x:c>
      <x:c r="Z355" s="957" t="str">
        <x:f>IF(COUNTA($A355:$M355)=0,"",Instructions!$B$29+SUM($W$5:W355))</x:f>
      </x:c>
    </x:row>
    <x:row r="356" ht="36" customHeight="1">
      <x:c r="A356" s="439"/>
      <x:c r="B356" s="453"/>
      <x:c r="C356" s="453"/>
      <x:c r="D356" s="454"/>
      <x:c r="E356" s="454"/>
      <x:c r="F356" s="454"/>
      <x:c r="G356" s="986"/>
      <x:c r="H356" s="455"/>
      <x:c r="I356" s="456"/>
      <x:c r="J356" s="456"/>
      <x:c r="K356" s="986"/>
      <x:c r="L356" s="454"/>
      <x:c r="M356" s="439"/>
      <x:c r="N356" s="987" t="str">
        <x:f>IF(COUNTA($A356:$M356)=0,"",IF(OR(LEFT(LOWER(TRIM($F356&amp;"")),12)="subscription",LOWER(TRIM($F356&amp;""))="membership"),"",IF($G356="","",IF(ISNUMBER(SEARCH("non",LOWER($E356&amp;""))),$G356*0.85,$G356))))</x:f>
      </x:c>
      <x:c r="O356" s="987" t="str">
        <x:f>IF(COUNTA($A356:$M356)=0,"",IF(OR(LEFT(LOWER(TRIM($F356&amp;"")),12)="subscription",LOWER(TRIM($F356&amp;""))="membership"),"",IF(OR($N356="",$I356="",$I356=0),"",IFERROR($N356/$I356,""))))</x:f>
      </x:c>
      <x:c r="P356" s="987" t="str">
        <x:f>IF(COUNTA($A356:$M356)=0,"",IF(OR(LEFT(LOWER(TRIM($F356&amp;"")),12)="subscription",LOWER(TRIM($F356&amp;""))="membership"),"",IF(LOWER($L356&amp;"")="yes",0,IF(OR(AND($H356&lt;&gt;"",$H356=0),LEFT(LOWER(TRIM($F356&amp;"")),9)="free game",LOWER(TRIM($F356&amp;""))="free",LOWER(TRIM($F356&amp;""))="free entry"),IF(LOWER($D356&amp;"")="finalized",IF(ISNUMBER($K356),$K356,""),IF($O356&lt;&gt;"",$O356,"")),IF($K356&lt;&gt;"",$K356,IF($O356&lt;&gt;"",$O356,""))))))</x:f>
      </x:c>
      <x:c r="Q356" s="114" t="str">
        <x:f>IF(COUNTA($A356:$M356)=0,"",IF(OR($U356="Subscription",$U356=""),"",IF($U356="Profit",ROUND(IFERROR($P356,0)-IFERROR($H356,0),2),0)))</x:f>
      </x:c>
      <x:c r="R356" s="114" t="str">
        <x:f>IF(COUNTA($A356:$M356)=0,"",IF(OR($U356="Subscription",$U356=""),"",IF($U356="Draw",$H356,0)))</x:f>
      </x:c>
      <x:c r="S356" s="114" t="str">
        <x:f>IF(COUNTA($A356:$M356)=0,"",IF(OR($U356="Subscription",$U356=""),"",IF($U356="Disqualified",$H356,0)))</x:f>
      </x:c>
      <x:c r="T356" s="955" t="str">
        <x:f>IF(COUNTA($A356:$M356)=0,"",IF(OR($U356="Subscription",$U356=""),"",IF(OR($U356="Free Game",$U356="Disqualified — Free Game",$H356=0),"N/A",IF($U356="Profit",$Q356/$H356,IF($U356="Disqualified",-$S356/$H356,0)))))</x:f>
      </x:c>
      <x:c r="U356" s="920" t="str">
        <x:f>IF(COUNTA($A356:$M356)=0,"",IF(OR(LEFT(LOWER(TRIM($F356&amp;"")),12)="subscription",LOWER(TRIM($F356&amp;""))="membership"),"Subscription",IF(OR(AND($H356&lt;&gt;"",$H356=0),LEFT(LOWER(TRIM($F356&amp;"")),9)="free game",LOWER(TRIM($F356&amp;""))="free",LOWER(TRIM($F356&amp;""))="free entry"),IF(LOWER($L356&amp;"")="yes","Disqualified — Free Game","Free Game"),IF(LOWER($L356&amp;"")="yes","Disqualified",IF($P356="","",IF(ROUND(IFERROR(VALUE($P356),0)-IFERROR(VALUE($H356),0),2)&gt;0,"Profit","Draw"))))))</x:f>
      </x:c>
      <x:c r="V356" s="956" t="str">
        <x:f>IF(COUNTA($A356:$M356)=0,"",IF(OR($B356="",$C356="",$U356="Subscription"),"",IFERROR(ROUNDUP(($C356-$B356)/7,0),"")))</x:f>
      </x:c>
      <x:c r="W356" s="114" t="str">
        <x:f>IF(COUNTA($A356:$M356)=0,"",IF(OR($U356="Subscription",$U356=""),"",IF(OR($U356="Free Game",$U356="Disqualified — Free Game"),0,ROUND(IFERROR($Q356,0)-IFERROR($S356,0),2))))</x:f>
      </x:c>
      <x:c r="X356" s="956" t="str">
        <x:f>IF(COUNTA($A356:$M356)=0,"",IF(OR($U356="Subscription",NOT(ISNUMBER($J356)),NOT(ISNUMBER($I356)),$J356=0,$I356=0,$I356&gt;$J356),"",$J356-$I356))</x:f>
      </x:c>
      <x:c r="Y356" s="955" t="str">
        <x:f>IF(COUNTA($A356:$M356)=0,"",IF(OR($U356="Subscription",NOT(ISNUMBER($J356)),$J356=0,$X356=""),"",$X356/$J356))</x:f>
      </x:c>
      <x:c r="Z356" s="957" t="str">
        <x:f>IF(COUNTA($A356:$M356)=0,"",Instructions!$B$29+SUM($W$5:W356))</x:f>
      </x:c>
    </x:row>
    <x:row r="357" ht="36" customHeight="1">
      <x:c r="A357" s="439"/>
      <x:c r="B357" s="453"/>
      <x:c r="C357" s="453"/>
      <x:c r="D357" s="454"/>
      <x:c r="E357" s="454"/>
      <x:c r="F357" s="454"/>
      <x:c r="G357" s="986"/>
      <x:c r="H357" s="455"/>
      <x:c r="I357" s="456"/>
      <x:c r="J357" s="456"/>
      <x:c r="K357" s="986"/>
      <x:c r="L357" s="454"/>
      <x:c r="M357" s="439"/>
      <x:c r="N357" s="987" t="str">
        <x:f>IF(COUNTA($A357:$M357)=0,"",IF(OR(LEFT(LOWER(TRIM($F357&amp;"")),12)="subscription",LOWER(TRIM($F357&amp;""))="membership"),"",IF($G357="","",IF(ISNUMBER(SEARCH("non",LOWER($E357&amp;""))),$G357*0.85,$G357))))</x:f>
      </x:c>
      <x:c r="O357" s="987" t="str">
        <x:f>IF(COUNTA($A357:$M357)=0,"",IF(OR(LEFT(LOWER(TRIM($F357&amp;"")),12)="subscription",LOWER(TRIM($F357&amp;""))="membership"),"",IF(OR($N357="",$I357="",$I357=0),"",IFERROR($N357/$I357,""))))</x:f>
      </x:c>
      <x:c r="P357" s="987" t="str">
        <x:f>IF(COUNTA($A357:$M357)=0,"",IF(OR(LEFT(LOWER(TRIM($F357&amp;"")),12)="subscription",LOWER(TRIM($F357&amp;""))="membership"),"",IF(LOWER($L357&amp;"")="yes",0,IF(OR(AND($H357&lt;&gt;"",$H357=0),LEFT(LOWER(TRIM($F357&amp;"")),9)="free game",LOWER(TRIM($F357&amp;""))="free",LOWER(TRIM($F357&amp;""))="free entry"),IF(LOWER($D357&amp;"")="finalized",IF(ISNUMBER($K357),$K357,""),IF($O357&lt;&gt;"",$O357,"")),IF($K357&lt;&gt;"",$K357,IF($O357&lt;&gt;"",$O357,""))))))</x:f>
      </x:c>
      <x:c r="Q357" s="114" t="str">
        <x:f>IF(COUNTA($A357:$M357)=0,"",IF(OR($U357="Subscription",$U357=""),"",IF($U357="Profit",ROUND(IFERROR($P357,0)-IFERROR($H357,0),2),0)))</x:f>
      </x:c>
      <x:c r="R357" s="114" t="str">
        <x:f>IF(COUNTA($A357:$M357)=0,"",IF(OR($U357="Subscription",$U357=""),"",IF($U357="Draw",$H357,0)))</x:f>
      </x:c>
      <x:c r="S357" s="114" t="str">
        <x:f>IF(COUNTA($A357:$M357)=0,"",IF(OR($U357="Subscription",$U357=""),"",IF($U357="Disqualified",$H357,0)))</x:f>
      </x:c>
      <x:c r="T357" s="955" t="str">
        <x:f>IF(COUNTA($A357:$M357)=0,"",IF(OR($U357="Subscription",$U357=""),"",IF(OR($U357="Free Game",$U357="Disqualified — Free Game",$H357=0),"N/A",IF($U357="Profit",$Q357/$H357,IF($U357="Disqualified",-$S357/$H357,0)))))</x:f>
      </x:c>
      <x:c r="U357" s="920" t="str">
        <x:f>IF(COUNTA($A357:$M357)=0,"",IF(OR(LEFT(LOWER(TRIM($F357&amp;"")),12)="subscription",LOWER(TRIM($F357&amp;""))="membership"),"Subscription",IF(OR(AND($H357&lt;&gt;"",$H357=0),LEFT(LOWER(TRIM($F357&amp;"")),9)="free game",LOWER(TRIM($F357&amp;""))="free",LOWER(TRIM($F357&amp;""))="free entry"),IF(LOWER($L357&amp;"")="yes","Disqualified — Free Game","Free Game"),IF(LOWER($L357&amp;"")="yes","Disqualified",IF($P357="","",IF(ROUND(IFERROR(VALUE($P357),0)-IFERROR(VALUE($H357),0),2)&gt;0,"Profit","Draw"))))))</x:f>
      </x:c>
      <x:c r="V357" s="956" t="str">
        <x:f>IF(COUNTA($A357:$M357)=0,"",IF(OR($B357="",$C357="",$U357="Subscription"),"",IFERROR(ROUNDUP(($C357-$B357)/7,0),"")))</x:f>
      </x:c>
      <x:c r="W357" s="114" t="str">
        <x:f>IF(COUNTA($A357:$M357)=0,"",IF(OR($U357="Subscription",$U357=""),"",IF(OR($U357="Free Game",$U357="Disqualified — Free Game"),0,ROUND(IFERROR($Q357,0)-IFERROR($S357,0),2))))</x:f>
      </x:c>
      <x:c r="X357" s="956" t="str">
        <x:f>IF(COUNTA($A357:$M357)=0,"",IF(OR($U357="Subscription",NOT(ISNUMBER($J357)),NOT(ISNUMBER($I357)),$J357=0,$I357=0,$I357&gt;$J357),"",$J357-$I357))</x:f>
      </x:c>
      <x:c r="Y357" s="955" t="str">
        <x:f>IF(COUNTA($A357:$M357)=0,"",IF(OR($U357="Subscription",NOT(ISNUMBER($J357)),$J357=0,$X357=""),"",$X357/$J357))</x:f>
      </x:c>
      <x:c r="Z357" s="957" t="str">
        <x:f>IF(COUNTA($A357:$M357)=0,"",Instructions!$B$29+SUM($W$5:W357))</x:f>
      </x:c>
    </x:row>
    <x:row r="358" ht="36" customHeight="1">
      <x:c r="A358" s="439"/>
      <x:c r="B358" s="453"/>
      <x:c r="C358" s="453"/>
      <x:c r="D358" s="454"/>
      <x:c r="E358" s="454"/>
      <x:c r="F358" s="454"/>
      <x:c r="G358" s="986"/>
      <x:c r="H358" s="455"/>
      <x:c r="I358" s="456"/>
      <x:c r="J358" s="456"/>
      <x:c r="K358" s="986"/>
      <x:c r="L358" s="454"/>
      <x:c r="M358" s="439"/>
      <x:c r="N358" s="987" t="str">
        <x:f>IF(COUNTA($A358:$M358)=0,"",IF(OR(LEFT(LOWER(TRIM($F358&amp;"")),12)="subscription",LOWER(TRIM($F358&amp;""))="membership"),"",IF($G358="","",IF(ISNUMBER(SEARCH("non",LOWER($E358&amp;""))),$G358*0.85,$G358))))</x:f>
      </x:c>
      <x:c r="O358" s="987" t="str">
        <x:f>IF(COUNTA($A358:$M358)=0,"",IF(OR(LEFT(LOWER(TRIM($F358&amp;"")),12)="subscription",LOWER(TRIM($F358&amp;""))="membership"),"",IF(OR($N358="",$I358="",$I358=0),"",IFERROR($N358/$I358,""))))</x:f>
      </x:c>
      <x:c r="P358" s="987" t="str">
        <x:f>IF(COUNTA($A358:$M358)=0,"",IF(OR(LEFT(LOWER(TRIM($F358&amp;"")),12)="subscription",LOWER(TRIM($F358&amp;""))="membership"),"",IF(LOWER($L358&amp;"")="yes",0,IF(OR(AND($H358&lt;&gt;"",$H358=0),LEFT(LOWER(TRIM($F358&amp;"")),9)="free game",LOWER(TRIM($F358&amp;""))="free",LOWER(TRIM($F358&amp;""))="free entry"),IF(LOWER($D358&amp;"")="finalized",IF(ISNUMBER($K358),$K358,""),IF($O358&lt;&gt;"",$O358,"")),IF($K358&lt;&gt;"",$K358,IF($O358&lt;&gt;"",$O358,""))))))</x:f>
      </x:c>
      <x:c r="Q358" s="114" t="str">
        <x:f>IF(COUNTA($A358:$M358)=0,"",IF(OR($U358="Subscription",$U358=""),"",IF($U358="Profit",ROUND(IFERROR($P358,0)-IFERROR($H358,0),2),0)))</x:f>
      </x:c>
      <x:c r="R358" s="114" t="str">
        <x:f>IF(COUNTA($A358:$M358)=0,"",IF(OR($U358="Subscription",$U358=""),"",IF($U358="Draw",$H358,0)))</x:f>
      </x:c>
      <x:c r="S358" s="114" t="str">
        <x:f>IF(COUNTA($A358:$M358)=0,"",IF(OR($U358="Subscription",$U358=""),"",IF($U358="Disqualified",$H358,0)))</x:f>
      </x:c>
      <x:c r="T358" s="955" t="str">
        <x:f>IF(COUNTA($A358:$M358)=0,"",IF(OR($U358="Subscription",$U358=""),"",IF(OR($U358="Free Game",$U358="Disqualified — Free Game",$H358=0),"N/A",IF($U358="Profit",$Q358/$H358,IF($U358="Disqualified",-$S358/$H358,0)))))</x:f>
      </x:c>
      <x:c r="U358" s="920" t="str">
        <x:f>IF(COUNTA($A358:$M358)=0,"",IF(OR(LEFT(LOWER(TRIM($F358&amp;"")),12)="subscription",LOWER(TRIM($F358&amp;""))="membership"),"Subscription",IF(OR(AND($H358&lt;&gt;"",$H358=0),LEFT(LOWER(TRIM($F358&amp;"")),9)="free game",LOWER(TRIM($F358&amp;""))="free",LOWER(TRIM($F358&amp;""))="free entry"),IF(LOWER($L358&amp;"")="yes","Disqualified — Free Game","Free Game"),IF(LOWER($L358&amp;"")="yes","Disqualified",IF($P358="","",IF(ROUND(IFERROR(VALUE($P358),0)-IFERROR(VALUE($H358),0),2)&gt;0,"Profit","Draw"))))))</x:f>
      </x:c>
      <x:c r="V358" s="956" t="str">
        <x:f>IF(COUNTA($A358:$M358)=0,"",IF(OR($B358="",$C358="",$U358="Subscription"),"",IFERROR(ROUNDUP(($C358-$B358)/7,0),"")))</x:f>
      </x:c>
      <x:c r="W358" s="114" t="str">
        <x:f>IF(COUNTA($A358:$M358)=0,"",IF(OR($U358="Subscription",$U358=""),"",IF(OR($U358="Free Game",$U358="Disqualified — Free Game"),0,ROUND(IFERROR($Q358,0)-IFERROR($S358,0),2))))</x:f>
      </x:c>
      <x:c r="X358" s="956" t="str">
        <x:f>IF(COUNTA($A358:$M358)=0,"",IF(OR($U358="Subscription",NOT(ISNUMBER($J358)),NOT(ISNUMBER($I358)),$J358=0,$I358=0,$I358&gt;$J358),"",$J358-$I358))</x:f>
      </x:c>
      <x:c r="Y358" s="955" t="str">
        <x:f>IF(COUNTA($A358:$M358)=0,"",IF(OR($U358="Subscription",NOT(ISNUMBER($J358)),$J358=0,$X358=""),"",$X358/$J358))</x:f>
      </x:c>
      <x:c r="Z358" s="957" t="str">
        <x:f>IF(COUNTA($A358:$M358)=0,"",Instructions!$B$29+SUM($W$5:W358))</x:f>
      </x:c>
    </x:row>
    <x:row r="359" ht="36" customHeight="1">
      <x:c r="A359" s="439"/>
      <x:c r="B359" s="453"/>
      <x:c r="C359" s="453"/>
      <x:c r="D359" s="454"/>
      <x:c r="E359" s="454"/>
      <x:c r="F359" s="454"/>
      <x:c r="G359" s="986"/>
      <x:c r="H359" s="455"/>
      <x:c r="I359" s="456"/>
      <x:c r="J359" s="456"/>
      <x:c r="K359" s="986"/>
      <x:c r="L359" s="454"/>
      <x:c r="M359" s="439"/>
      <x:c r="N359" s="987" t="str">
        <x:f>IF(COUNTA($A359:$M359)=0,"",IF(OR(LEFT(LOWER(TRIM($F359&amp;"")),12)="subscription",LOWER(TRIM($F359&amp;""))="membership"),"",IF($G359="","",IF(ISNUMBER(SEARCH("non",LOWER($E359&amp;""))),$G359*0.85,$G359))))</x:f>
      </x:c>
      <x:c r="O359" s="987" t="str">
        <x:f>IF(COUNTA($A359:$M359)=0,"",IF(OR(LEFT(LOWER(TRIM($F359&amp;"")),12)="subscription",LOWER(TRIM($F359&amp;""))="membership"),"",IF(OR($N359="",$I359="",$I359=0),"",IFERROR($N359/$I359,""))))</x:f>
      </x:c>
      <x:c r="P359" s="987" t="str">
        <x:f>IF(COUNTA($A359:$M359)=0,"",IF(OR(LEFT(LOWER(TRIM($F359&amp;"")),12)="subscription",LOWER(TRIM($F359&amp;""))="membership"),"",IF(LOWER($L359&amp;"")="yes",0,IF(OR(AND($H359&lt;&gt;"",$H359=0),LEFT(LOWER(TRIM($F359&amp;"")),9)="free game",LOWER(TRIM($F359&amp;""))="free",LOWER(TRIM($F359&amp;""))="free entry"),IF(LOWER($D359&amp;"")="finalized",IF(ISNUMBER($K359),$K359,""),IF($O359&lt;&gt;"",$O359,"")),IF($K359&lt;&gt;"",$K359,IF($O359&lt;&gt;"",$O359,""))))))</x:f>
      </x:c>
      <x:c r="Q359" s="114" t="str">
        <x:f>IF(COUNTA($A359:$M359)=0,"",IF(OR($U359="Subscription",$U359=""),"",IF($U359="Profit",ROUND(IFERROR($P359,0)-IFERROR($H359,0),2),0)))</x:f>
      </x:c>
      <x:c r="R359" s="114" t="str">
        <x:f>IF(COUNTA($A359:$M359)=0,"",IF(OR($U359="Subscription",$U359=""),"",IF($U359="Draw",$H359,0)))</x:f>
      </x:c>
      <x:c r="S359" s="114" t="str">
        <x:f>IF(COUNTA($A359:$M359)=0,"",IF(OR($U359="Subscription",$U359=""),"",IF($U359="Disqualified",$H359,0)))</x:f>
      </x:c>
      <x:c r="T359" s="955" t="str">
        <x:f>IF(COUNTA($A359:$M359)=0,"",IF(OR($U359="Subscription",$U359=""),"",IF(OR($U359="Free Game",$U359="Disqualified — Free Game",$H359=0),"N/A",IF($U359="Profit",$Q359/$H359,IF($U359="Disqualified",-$S359/$H359,0)))))</x:f>
      </x:c>
      <x:c r="U359" s="920" t="str">
        <x:f>IF(COUNTA($A359:$M359)=0,"",IF(OR(LEFT(LOWER(TRIM($F359&amp;"")),12)="subscription",LOWER(TRIM($F359&amp;""))="membership"),"Subscription",IF(OR(AND($H359&lt;&gt;"",$H359=0),LEFT(LOWER(TRIM($F359&amp;"")),9)="free game",LOWER(TRIM($F359&amp;""))="free",LOWER(TRIM($F359&amp;""))="free entry"),IF(LOWER($L359&amp;"")="yes","Disqualified — Free Game","Free Game"),IF(LOWER($L359&amp;"")="yes","Disqualified",IF($P359="","",IF(ROUND(IFERROR(VALUE($P359),0)-IFERROR(VALUE($H359),0),2)&gt;0,"Profit","Draw"))))))</x:f>
      </x:c>
      <x:c r="V359" s="956" t="str">
        <x:f>IF(COUNTA($A359:$M359)=0,"",IF(OR($B359="",$C359="",$U359="Subscription"),"",IFERROR(ROUNDUP(($C359-$B359)/7,0),"")))</x:f>
      </x:c>
      <x:c r="W359" s="114" t="str">
        <x:f>IF(COUNTA($A359:$M359)=0,"",IF(OR($U359="Subscription",$U359=""),"",IF(OR($U359="Free Game",$U359="Disqualified — Free Game"),0,ROUND(IFERROR($Q359,0)-IFERROR($S359,0),2))))</x:f>
      </x:c>
      <x:c r="X359" s="956" t="str">
        <x:f>IF(COUNTA($A359:$M359)=0,"",IF(OR($U359="Subscription",NOT(ISNUMBER($J359)),NOT(ISNUMBER($I359)),$J359=0,$I359=0,$I359&gt;$J359),"",$J359-$I359))</x:f>
      </x:c>
      <x:c r="Y359" s="955" t="str">
        <x:f>IF(COUNTA($A359:$M359)=0,"",IF(OR($U359="Subscription",NOT(ISNUMBER($J359)),$J359=0,$X359=""),"",$X359/$J359))</x:f>
      </x:c>
      <x:c r="Z359" s="957" t="str">
        <x:f>IF(COUNTA($A359:$M359)=0,"",Instructions!$B$29+SUM($W$5:W359))</x:f>
      </x:c>
    </x:row>
    <x:row r="360" ht="36" customHeight="1">
      <x:c r="A360" s="439"/>
      <x:c r="B360" s="453"/>
      <x:c r="C360" s="453"/>
      <x:c r="D360" s="454"/>
      <x:c r="E360" s="454"/>
      <x:c r="F360" s="454"/>
      <x:c r="G360" s="986"/>
      <x:c r="H360" s="455"/>
      <x:c r="I360" s="456"/>
      <x:c r="J360" s="456"/>
      <x:c r="K360" s="986"/>
      <x:c r="L360" s="454"/>
      <x:c r="M360" s="439"/>
      <x:c r="N360" s="987" t="str">
        <x:f>IF(COUNTA($A360:$M360)=0,"",IF(OR(LEFT(LOWER(TRIM($F360&amp;"")),12)="subscription",LOWER(TRIM($F360&amp;""))="membership"),"",IF($G360="","",IF(ISNUMBER(SEARCH("non",LOWER($E360&amp;""))),$G360*0.85,$G360))))</x:f>
      </x:c>
      <x:c r="O360" s="987" t="str">
        <x:f>IF(COUNTA($A360:$M360)=0,"",IF(OR(LEFT(LOWER(TRIM($F360&amp;"")),12)="subscription",LOWER(TRIM($F360&amp;""))="membership"),"",IF(OR($N360="",$I360="",$I360=0),"",IFERROR($N360/$I360,""))))</x:f>
      </x:c>
      <x:c r="P360" s="987" t="str">
        <x:f>IF(COUNTA($A360:$M360)=0,"",IF(OR(LEFT(LOWER(TRIM($F360&amp;"")),12)="subscription",LOWER(TRIM($F360&amp;""))="membership"),"",IF(LOWER($L360&amp;"")="yes",0,IF(OR(AND($H360&lt;&gt;"",$H360=0),LEFT(LOWER(TRIM($F360&amp;"")),9)="free game",LOWER(TRIM($F360&amp;""))="free",LOWER(TRIM($F360&amp;""))="free entry"),IF(LOWER($D360&amp;"")="finalized",IF(ISNUMBER($K360),$K360,""),IF($O360&lt;&gt;"",$O360,"")),IF($K360&lt;&gt;"",$K360,IF($O360&lt;&gt;"",$O360,""))))))</x:f>
      </x:c>
      <x:c r="Q360" s="114" t="str">
        <x:f>IF(COUNTA($A360:$M360)=0,"",IF(OR($U360="Subscription",$U360=""),"",IF($U360="Profit",ROUND(IFERROR($P360,0)-IFERROR($H360,0),2),0)))</x:f>
      </x:c>
      <x:c r="R360" s="114" t="str">
        <x:f>IF(COUNTA($A360:$M360)=0,"",IF(OR($U360="Subscription",$U360=""),"",IF($U360="Draw",$H360,0)))</x:f>
      </x:c>
      <x:c r="S360" s="114" t="str">
        <x:f>IF(COUNTA($A360:$M360)=0,"",IF(OR($U360="Subscription",$U360=""),"",IF($U360="Disqualified",$H360,0)))</x:f>
      </x:c>
      <x:c r="T360" s="955" t="str">
        <x:f>IF(COUNTA($A360:$M360)=0,"",IF(OR($U360="Subscription",$U360=""),"",IF(OR($U360="Free Game",$U360="Disqualified — Free Game",$H360=0),"N/A",IF($U360="Profit",$Q360/$H360,IF($U360="Disqualified",-$S360/$H360,0)))))</x:f>
      </x:c>
      <x:c r="U360" s="920" t="str">
        <x:f>IF(COUNTA($A360:$M360)=0,"",IF(OR(LEFT(LOWER(TRIM($F360&amp;"")),12)="subscription",LOWER(TRIM($F360&amp;""))="membership"),"Subscription",IF(OR(AND($H360&lt;&gt;"",$H360=0),LEFT(LOWER(TRIM($F360&amp;"")),9)="free game",LOWER(TRIM($F360&amp;""))="free",LOWER(TRIM($F360&amp;""))="free entry"),IF(LOWER($L360&amp;"")="yes","Disqualified — Free Game","Free Game"),IF(LOWER($L360&amp;"")="yes","Disqualified",IF($P360="","",IF(ROUND(IFERROR(VALUE($P360),0)-IFERROR(VALUE($H360),0),2)&gt;0,"Profit","Draw"))))))</x:f>
      </x:c>
      <x:c r="V360" s="956" t="str">
        <x:f>IF(COUNTA($A360:$M360)=0,"",IF(OR($B360="",$C360="",$U360="Subscription"),"",IFERROR(ROUNDUP(($C360-$B360)/7,0),"")))</x:f>
      </x:c>
      <x:c r="W360" s="114" t="str">
        <x:f>IF(COUNTA($A360:$M360)=0,"",IF(OR($U360="Subscription",$U360=""),"",IF(OR($U360="Free Game",$U360="Disqualified — Free Game"),0,ROUND(IFERROR($Q360,0)-IFERROR($S360,0),2))))</x:f>
      </x:c>
      <x:c r="X360" s="956" t="str">
        <x:f>IF(COUNTA($A360:$M360)=0,"",IF(OR($U360="Subscription",NOT(ISNUMBER($J360)),NOT(ISNUMBER($I360)),$J360=0,$I360=0,$I360&gt;$J360),"",$J360-$I360))</x:f>
      </x:c>
      <x:c r="Y360" s="955" t="str">
        <x:f>IF(COUNTA($A360:$M360)=0,"",IF(OR($U360="Subscription",NOT(ISNUMBER($J360)),$J360=0,$X360=""),"",$X360/$J360))</x:f>
      </x:c>
      <x:c r="Z360" s="957" t="str">
        <x:f>IF(COUNTA($A360:$M360)=0,"",Instructions!$B$29+SUM($W$5:W360))</x:f>
      </x:c>
    </x:row>
    <x:row r="361" ht="36" customHeight="1">
      <x:c r="A361" s="439"/>
      <x:c r="B361" s="453"/>
      <x:c r="C361" s="453"/>
      <x:c r="D361" s="454"/>
      <x:c r="E361" s="454"/>
      <x:c r="F361" s="454"/>
      <x:c r="G361" s="986"/>
      <x:c r="H361" s="455"/>
      <x:c r="I361" s="456"/>
      <x:c r="J361" s="456"/>
      <x:c r="K361" s="986"/>
      <x:c r="L361" s="454"/>
      <x:c r="M361" s="439"/>
      <x:c r="N361" s="987" t="str">
        <x:f>IF(COUNTA($A361:$M361)=0,"",IF(OR(LEFT(LOWER(TRIM($F361&amp;"")),12)="subscription",LOWER(TRIM($F361&amp;""))="membership"),"",IF($G361="","",IF(ISNUMBER(SEARCH("non",LOWER($E361&amp;""))),$G361*0.85,$G361))))</x:f>
      </x:c>
      <x:c r="O361" s="987" t="str">
        <x:f>IF(COUNTA($A361:$M361)=0,"",IF(OR(LEFT(LOWER(TRIM($F361&amp;"")),12)="subscription",LOWER(TRIM($F361&amp;""))="membership"),"",IF(OR($N361="",$I361="",$I361=0),"",IFERROR($N361/$I361,""))))</x:f>
      </x:c>
      <x:c r="P361" s="987" t="str">
        <x:f>IF(COUNTA($A361:$M361)=0,"",IF(OR(LEFT(LOWER(TRIM($F361&amp;"")),12)="subscription",LOWER(TRIM($F361&amp;""))="membership"),"",IF(LOWER($L361&amp;"")="yes",0,IF(OR(AND($H361&lt;&gt;"",$H361=0),LEFT(LOWER(TRIM($F361&amp;"")),9)="free game",LOWER(TRIM($F361&amp;""))="free",LOWER(TRIM($F361&amp;""))="free entry"),IF(LOWER($D361&amp;"")="finalized",IF(ISNUMBER($K361),$K361,""),IF($O361&lt;&gt;"",$O361,"")),IF($K361&lt;&gt;"",$K361,IF($O361&lt;&gt;"",$O361,""))))))</x:f>
      </x:c>
      <x:c r="Q361" s="114" t="str">
        <x:f>IF(COUNTA($A361:$M361)=0,"",IF(OR($U361="Subscription",$U361=""),"",IF($U361="Profit",ROUND(IFERROR($P361,0)-IFERROR($H361,0),2),0)))</x:f>
      </x:c>
      <x:c r="R361" s="114" t="str">
        <x:f>IF(COUNTA($A361:$M361)=0,"",IF(OR($U361="Subscription",$U361=""),"",IF($U361="Draw",$H361,0)))</x:f>
      </x:c>
      <x:c r="S361" s="114" t="str">
        <x:f>IF(COUNTA($A361:$M361)=0,"",IF(OR($U361="Subscription",$U361=""),"",IF($U361="Disqualified",$H361,0)))</x:f>
      </x:c>
      <x:c r="T361" s="955" t="str">
        <x:f>IF(COUNTA($A361:$M361)=0,"",IF(OR($U361="Subscription",$U361=""),"",IF(OR($U361="Free Game",$U361="Disqualified — Free Game",$H361=0),"N/A",IF($U361="Profit",$Q361/$H361,IF($U361="Disqualified",-$S361/$H361,0)))))</x:f>
      </x:c>
      <x:c r="U361" s="920" t="str">
        <x:f>IF(COUNTA($A361:$M361)=0,"",IF(OR(LEFT(LOWER(TRIM($F361&amp;"")),12)="subscription",LOWER(TRIM($F361&amp;""))="membership"),"Subscription",IF(OR(AND($H361&lt;&gt;"",$H361=0),LEFT(LOWER(TRIM($F361&amp;"")),9)="free game",LOWER(TRIM($F361&amp;""))="free",LOWER(TRIM($F361&amp;""))="free entry"),IF(LOWER($L361&amp;"")="yes","Disqualified — Free Game","Free Game"),IF(LOWER($L361&amp;"")="yes","Disqualified",IF($P361="","",IF(ROUND(IFERROR(VALUE($P361),0)-IFERROR(VALUE($H361),0),2)&gt;0,"Profit","Draw"))))))</x:f>
      </x:c>
      <x:c r="V361" s="956" t="str">
        <x:f>IF(COUNTA($A361:$M361)=0,"",IF(OR($B361="",$C361="",$U361="Subscription"),"",IFERROR(ROUNDUP(($C361-$B361)/7,0),"")))</x:f>
      </x:c>
      <x:c r="W361" s="114" t="str">
        <x:f>IF(COUNTA($A361:$M361)=0,"",IF(OR($U361="Subscription",$U361=""),"",IF(OR($U361="Free Game",$U361="Disqualified — Free Game"),0,ROUND(IFERROR($Q361,0)-IFERROR($S361,0),2))))</x:f>
      </x:c>
      <x:c r="X361" s="956" t="str">
        <x:f>IF(COUNTA($A361:$M361)=0,"",IF(OR($U361="Subscription",NOT(ISNUMBER($J361)),NOT(ISNUMBER($I361)),$J361=0,$I361=0,$I361&gt;$J361),"",$J361-$I361))</x:f>
      </x:c>
      <x:c r="Y361" s="955" t="str">
        <x:f>IF(COUNTA($A361:$M361)=0,"",IF(OR($U361="Subscription",NOT(ISNUMBER($J361)),$J361=0,$X361=""),"",$X361/$J361))</x:f>
      </x:c>
      <x:c r="Z361" s="957" t="str">
        <x:f>IF(COUNTA($A361:$M361)=0,"",Instructions!$B$29+SUM($W$5:W361))</x:f>
      </x:c>
    </x:row>
    <x:row r="362" ht="36" customHeight="1">
      <x:c r="A362" s="439"/>
      <x:c r="B362" s="453"/>
      <x:c r="C362" s="453"/>
      <x:c r="D362" s="454"/>
      <x:c r="E362" s="454"/>
      <x:c r="F362" s="454"/>
      <x:c r="G362" s="986"/>
      <x:c r="H362" s="455"/>
      <x:c r="I362" s="456"/>
      <x:c r="J362" s="456"/>
      <x:c r="K362" s="986"/>
      <x:c r="L362" s="454"/>
      <x:c r="M362" s="439"/>
      <x:c r="N362" s="987" t="str">
        <x:f>IF(COUNTA($A362:$M362)=0,"",IF(OR(LEFT(LOWER(TRIM($F362&amp;"")),12)="subscription",LOWER(TRIM($F362&amp;""))="membership"),"",IF($G362="","",IF(ISNUMBER(SEARCH("non",LOWER($E362&amp;""))),$G362*0.85,$G362))))</x:f>
      </x:c>
      <x:c r="O362" s="987" t="str">
        <x:f>IF(COUNTA($A362:$M362)=0,"",IF(OR(LEFT(LOWER(TRIM($F362&amp;"")),12)="subscription",LOWER(TRIM($F362&amp;""))="membership"),"",IF(OR($N362="",$I362="",$I362=0),"",IFERROR($N362/$I362,""))))</x:f>
      </x:c>
      <x:c r="P362" s="987" t="str">
        <x:f>IF(COUNTA($A362:$M362)=0,"",IF(OR(LEFT(LOWER(TRIM($F362&amp;"")),12)="subscription",LOWER(TRIM($F362&amp;""))="membership"),"",IF(LOWER($L362&amp;"")="yes",0,IF(OR(AND($H362&lt;&gt;"",$H362=0),LEFT(LOWER(TRIM($F362&amp;"")),9)="free game",LOWER(TRIM($F362&amp;""))="free",LOWER(TRIM($F362&amp;""))="free entry"),IF(LOWER($D362&amp;"")="finalized",IF(ISNUMBER($K362),$K362,""),IF($O362&lt;&gt;"",$O362,"")),IF($K362&lt;&gt;"",$K362,IF($O362&lt;&gt;"",$O362,""))))))</x:f>
      </x:c>
      <x:c r="Q362" s="114" t="str">
        <x:f>IF(COUNTA($A362:$M362)=0,"",IF(OR($U362="Subscription",$U362=""),"",IF($U362="Profit",ROUND(IFERROR($P362,0)-IFERROR($H362,0),2),0)))</x:f>
      </x:c>
      <x:c r="R362" s="114" t="str">
        <x:f>IF(COUNTA($A362:$M362)=0,"",IF(OR($U362="Subscription",$U362=""),"",IF($U362="Draw",$H362,0)))</x:f>
      </x:c>
      <x:c r="S362" s="114" t="str">
        <x:f>IF(COUNTA($A362:$M362)=0,"",IF(OR($U362="Subscription",$U362=""),"",IF($U362="Disqualified",$H362,0)))</x:f>
      </x:c>
      <x:c r="T362" s="955" t="str">
        <x:f>IF(COUNTA($A362:$M362)=0,"",IF(OR($U362="Subscription",$U362=""),"",IF(OR($U362="Free Game",$U362="Disqualified — Free Game",$H362=0),"N/A",IF($U362="Profit",$Q362/$H362,IF($U362="Disqualified",-$S362/$H362,0)))))</x:f>
      </x:c>
      <x:c r="U362" s="920" t="str">
        <x:f>IF(COUNTA($A362:$M362)=0,"",IF(OR(LEFT(LOWER(TRIM($F362&amp;"")),12)="subscription",LOWER(TRIM($F362&amp;""))="membership"),"Subscription",IF(OR(AND($H362&lt;&gt;"",$H362=0),LEFT(LOWER(TRIM($F362&amp;"")),9)="free game",LOWER(TRIM($F362&amp;""))="free",LOWER(TRIM($F362&amp;""))="free entry"),IF(LOWER($L362&amp;"")="yes","Disqualified — Free Game","Free Game"),IF(LOWER($L362&amp;"")="yes","Disqualified",IF($P362="","",IF(ROUND(IFERROR(VALUE($P362),0)-IFERROR(VALUE($H362),0),2)&gt;0,"Profit","Draw"))))))</x:f>
      </x:c>
      <x:c r="V362" s="956" t="str">
        <x:f>IF(COUNTA($A362:$M362)=0,"",IF(OR($B362="",$C362="",$U362="Subscription"),"",IFERROR(ROUNDUP(($C362-$B362)/7,0),"")))</x:f>
      </x:c>
      <x:c r="W362" s="114" t="str">
        <x:f>IF(COUNTA($A362:$M362)=0,"",IF(OR($U362="Subscription",$U362=""),"",IF(OR($U362="Free Game",$U362="Disqualified — Free Game"),0,ROUND(IFERROR($Q362,0)-IFERROR($S362,0),2))))</x:f>
      </x:c>
      <x:c r="X362" s="956" t="str">
        <x:f>IF(COUNTA($A362:$M362)=0,"",IF(OR($U362="Subscription",NOT(ISNUMBER($J362)),NOT(ISNUMBER($I362)),$J362=0,$I362=0,$I362&gt;$J362),"",$J362-$I362))</x:f>
      </x:c>
      <x:c r="Y362" s="955" t="str">
        <x:f>IF(COUNTA($A362:$M362)=0,"",IF(OR($U362="Subscription",NOT(ISNUMBER($J362)),$J362=0,$X362=""),"",$X362/$J362))</x:f>
      </x:c>
      <x:c r="Z362" s="957" t="str">
        <x:f>IF(COUNTA($A362:$M362)=0,"",Instructions!$B$29+SUM($W$5:W362))</x:f>
      </x:c>
    </x:row>
    <x:row r="363" ht="36" customHeight="1">
      <x:c r="A363" s="439"/>
      <x:c r="B363" s="453"/>
      <x:c r="C363" s="453"/>
      <x:c r="D363" s="454"/>
      <x:c r="E363" s="454"/>
      <x:c r="F363" s="454"/>
      <x:c r="G363" s="986"/>
      <x:c r="H363" s="455"/>
      <x:c r="I363" s="456"/>
      <x:c r="J363" s="456"/>
      <x:c r="K363" s="986"/>
      <x:c r="L363" s="454"/>
      <x:c r="M363" s="439"/>
      <x:c r="N363" s="987" t="str">
        <x:f>IF(COUNTA($A363:$M363)=0,"",IF(OR(LEFT(LOWER(TRIM($F363&amp;"")),12)="subscription",LOWER(TRIM($F363&amp;""))="membership"),"",IF($G363="","",IF(ISNUMBER(SEARCH("non",LOWER($E363&amp;""))),$G363*0.85,$G363))))</x:f>
      </x:c>
      <x:c r="O363" s="987" t="str">
        <x:f>IF(COUNTA($A363:$M363)=0,"",IF(OR(LEFT(LOWER(TRIM($F363&amp;"")),12)="subscription",LOWER(TRIM($F363&amp;""))="membership"),"",IF(OR($N363="",$I363="",$I363=0),"",IFERROR($N363/$I363,""))))</x:f>
      </x:c>
      <x:c r="P363" s="987" t="str">
        <x:f>IF(COUNTA($A363:$M363)=0,"",IF(OR(LEFT(LOWER(TRIM($F363&amp;"")),12)="subscription",LOWER(TRIM($F363&amp;""))="membership"),"",IF(LOWER($L363&amp;"")="yes",0,IF(OR(AND($H363&lt;&gt;"",$H363=0),LEFT(LOWER(TRIM($F363&amp;"")),9)="free game",LOWER(TRIM($F363&amp;""))="free",LOWER(TRIM($F363&amp;""))="free entry"),IF(LOWER($D363&amp;"")="finalized",IF(ISNUMBER($K363),$K363,""),IF($O363&lt;&gt;"",$O363,"")),IF($K363&lt;&gt;"",$K363,IF($O363&lt;&gt;"",$O363,""))))))</x:f>
      </x:c>
      <x:c r="Q363" s="114" t="str">
        <x:f>IF(COUNTA($A363:$M363)=0,"",IF(OR($U363="Subscription",$U363=""),"",IF($U363="Profit",ROUND(IFERROR($P363,0)-IFERROR($H363,0),2),0)))</x:f>
      </x:c>
      <x:c r="R363" s="114" t="str">
        <x:f>IF(COUNTA($A363:$M363)=0,"",IF(OR($U363="Subscription",$U363=""),"",IF($U363="Draw",$H363,0)))</x:f>
      </x:c>
      <x:c r="S363" s="114" t="str">
        <x:f>IF(COUNTA($A363:$M363)=0,"",IF(OR($U363="Subscription",$U363=""),"",IF($U363="Disqualified",$H363,0)))</x:f>
      </x:c>
      <x:c r="T363" s="955" t="str">
        <x:f>IF(COUNTA($A363:$M363)=0,"",IF(OR($U363="Subscription",$U363=""),"",IF(OR($U363="Free Game",$U363="Disqualified — Free Game",$H363=0),"N/A",IF($U363="Profit",$Q363/$H363,IF($U363="Disqualified",-$S363/$H363,0)))))</x:f>
      </x:c>
      <x:c r="U363" s="920" t="str">
        <x:f>IF(COUNTA($A363:$M363)=0,"",IF(OR(LEFT(LOWER(TRIM($F363&amp;"")),12)="subscription",LOWER(TRIM($F363&amp;""))="membership"),"Subscription",IF(OR(AND($H363&lt;&gt;"",$H363=0),LEFT(LOWER(TRIM($F363&amp;"")),9)="free game",LOWER(TRIM($F363&amp;""))="free",LOWER(TRIM($F363&amp;""))="free entry"),IF(LOWER($L363&amp;"")="yes","Disqualified — Free Game","Free Game"),IF(LOWER($L363&amp;"")="yes","Disqualified",IF($P363="","",IF(ROUND(IFERROR(VALUE($P363),0)-IFERROR(VALUE($H363),0),2)&gt;0,"Profit","Draw"))))))</x:f>
      </x:c>
      <x:c r="V363" s="956" t="str">
        <x:f>IF(COUNTA($A363:$M363)=0,"",IF(OR($B363="",$C363="",$U363="Subscription"),"",IFERROR(ROUNDUP(($C363-$B363)/7,0),"")))</x:f>
      </x:c>
      <x:c r="W363" s="114" t="str">
        <x:f>IF(COUNTA($A363:$M363)=0,"",IF(OR($U363="Subscription",$U363=""),"",IF(OR($U363="Free Game",$U363="Disqualified — Free Game"),0,ROUND(IFERROR($Q363,0)-IFERROR($S363,0),2))))</x:f>
      </x:c>
      <x:c r="X363" s="956" t="str">
        <x:f>IF(COUNTA($A363:$M363)=0,"",IF(OR($U363="Subscription",NOT(ISNUMBER($J363)),NOT(ISNUMBER($I363)),$J363=0,$I363=0,$I363&gt;$J363),"",$J363-$I363))</x:f>
      </x:c>
      <x:c r="Y363" s="955" t="str">
        <x:f>IF(COUNTA($A363:$M363)=0,"",IF(OR($U363="Subscription",NOT(ISNUMBER($J363)),$J363=0,$X363=""),"",$X363/$J363))</x:f>
      </x:c>
      <x:c r="Z363" s="957" t="str">
        <x:f>IF(COUNTA($A363:$M363)=0,"",Instructions!$B$29+SUM($W$5:W363))</x:f>
      </x:c>
    </x:row>
    <x:row r="364" ht="36" customHeight="1">
      <x:c r="A364" s="439"/>
      <x:c r="B364" s="453"/>
      <x:c r="C364" s="453"/>
      <x:c r="D364" s="454"/>
      <x:c r="E364" s="454"/>
      <x:c r="F364" s="454"/>
      <x:c r="G364" s="986"/>
      <x:c r="H364" s="455"/>
      <x:c r="I364" s="456"/>
      <x:c r="J364" s="456"/>
      <x:c r="K364" s="986"/>
      <x:c r="L364" s="454"/>
      <x:c r="M364" s="439"/>
      <x:c r="N364" s="987" t="str">
        <x:f>IF(COUNTA($A364:$M364)=0,"",IF(OR(LEFT(LOWER(TRIM($F364&amp;"")),12)="subscription",LOWER(TRIM($F364&amp;""))="membership"),"",IF($G364="","",IF(ISNUMBER(SEARCH("non",LOWER($E364&amp;""))),$G364*0.85,$G364))))</x:f>
      </x:c>
      <x:c r="O364" s="987" t="str">
        <x:f>IF(COUNTA($A364:$M364)=0,"",IF(OR(LEFT(LOWER(TRIM($F364&amp;"")),12)="subscription",LOWER(TRIM($F364&amp;""))="membership"),"",IF(OR($N364="",$I364="",$I364=0),"",IFERROR($N364/$I364,""))))</x:f>
      </x:c>
      <x:c r="P364" s="987" t="str">
        <x:f>IF(COUNTA($A364:$M364)=0,"",IF(OR(LEFT(LOWER(TRIM($F364&amp;"")),12)="subscription",LOWER(TRIM($F364&amp;""))="membership"),"",IF(LOWER($L364&amp;"")="yes",0,IF(OR(AND($H364&lt;&gt;"",$H364=0),LEFT(LOWER(TRIM($F364&amp;"")),9)="free game",LOWER(TRIM($F364&amp;""))="free",LOWER(TRIM($F364&amp;""))="free entry"),IF(LOWER($D364&amp;"")="finalized",IF(ISNUMBER($K364),$K364,""),IF($O364&lt;&gt;"",$O364,"")),IF($K364&lt;&gt;"",$K364,IF($O364&lt;&gt;"",$O364,""))))))</x:f>
      </x:c>
      <x:c r="Q364" s="114" t="str">
        <x:f>IF(COUNTA($A364:$M364)=0,"",IF(OR($U364="Subscription",$U364=""),"",IF($U364="Profit",ROUND(IFERROR($P364,0)-IFERROR($H364,0),2),0)))</x:f>
      </x:c>
      <x:c r="R364" s="114" t="str">
        <x:f>IF(COUNTA($A364:$M364)=0,"",IF(OR($U364="Subscription",$U364=""),"",IF($U364="Draw",$H364,0)))</x:f>
      </x:c>
      <x:c r="S364" s="114" t="str">
        <x:f>IF(COUNTA($A364:$M364)=0,"",IF(OR($U364="Subscription",$U364=""),"",IF($U364="Disqualified",$H364,0)))</x:f>
      </x:c>
      <x:c r="T364" s="955" t="str">
        <x:f>IF(COUNTA($A364:$M364)=0,"",IF(OR($U364="Subscription",$U364=""),"",IF(OR($U364="Free Game",$U364="Disqualified — Free Game",$H364=0),"N/A",IF($U364="Profit",$Q364/$H364,IF($U364="Disqualified",-$S364/$H364,0)))))</x:f>
      </x:c>
      <x:c r="U364" s="920" t="str">
        <x:f>IF(COUNTA($A364:$M364)=0,"",IF(OR(LEFT(LOWER(TRIM($F364&amp;"")),12)="subscription",LOWER(TRIM($F364&amp;""))="membership"),"Subscription",IF(OR(AND($H364&lt;&gt;"",$H364=0),LEFT(LOWER(TRIM($F364&amp;"")),9)="free game",LOWER(TRIM($F364&amp;""))="free",LOWER(TRIM($F364&amp;""))="free entry"),IF(LOWER($L364&amp;"")="yes","Disqualified — Free Game","Free Game"),IF(LOWER($L364&amp;"")="yes","Disqualified",IF($P364="","",IF(ROUND(IFERROR(VALUE($P364),0)-IFERROR(VALUE($H364),0),2)&gt;0,"Profit","Draw"))))))</x:f>
      </x:c>
      <x:c r="V364" s="956" t="str">
        <x:f>IF(COUNTA($A364:$M364)=0,"",IF(OR($B364="",$C364="",$U364="Subscription"),"",IFERROR(ROUNDUP(($C364-$B364)/7,0),"")))</x:f>
      </x:c>
      <x:c r="W364" s="114" t="str">
        <x:f>IF(COUNTA($A364:$M364)=0,"",IF(OR($U364="Subscription",$U364=""),"",IF(OR($U364="Free Game",$U364="Disqualified — Free Game"),0,ROUND(IFERROR($Q364,0)-IFERROR($S364,0),2))))</x:f>
      </x:c>
      <x:c r="X364" s="956" t="str">
        <x:f>IF(COUNTA($A364:$M364)=0,"",IF(OR($U364="Subscription",NOT(ISNUMBER($J364)),NOT(ISNUMBER($I364)),$J364=0,$I364=0,$I364&gt;$J364),"",$J364-$I364))</x:f>
      </x:c>
      <x:c r="Y364" s="955" t="str">
        <x:f>IF(COUNTA($A364:$M364)=0,"",IF(OR($U364="Subscription",NOT(ISNUMBER($J364)),$J364=0,$X364=""),"",$X364/$J364))</x:f>
      </x:c>
      <x:c r="Z364" s="957" t="str">
        <x:f>IF(COUNTA($A364:$M364)=0,"",Instructions!$B$29+SUM($W$5:W364))</x:f>
      </x:c>
    </x:row>
    <x:row r="365" ht="36" customHeight="1">
      <x:c r="A365" s="439"/>
      <x:c r="B365" s="453"/>
      <x:c r="C365" s="453"/>
      <x:c r="D365" s="454"/>
      <x:c r="E365" s="454"/>
      <x:c r="F365" s="454"/>
      <x:c r="G365" s="986"/>
      <x:c r="H365" s="455"/>
      <x:c r="I365" s="456"/>
      <x:c r="J365" s="456"/>
      <x:c r="K365" s="986"/>
      <x:c r="L365" s="454"/>
      <x:c r="M365" s="439"/>
      <x:c r="N365" s="987" t="str">
        <x:f>IF(COUNTA($A365:$M365)=0,"",IF(OR(LEFT(LOWER(TRIM($F365&amp;"")),12)="subscription",LOWER(TRIM($F365&amp;""))="membership"),"",IF($G365="","",IF(ISNUMBER(SEARCH("non",LOWER($E365&amp;""))),$G365*0.85,$G365))))</x:f>
      </x:c>
      <x:c r="O365" s="987" t="str">
        <x:f>IF(COUNTA($A365:$M365)=0,"",IF(OR(LEFT(LOWER(TRIM($F365&amp;"")),12)="subscription",LOWER(TRIM($F365&amp;""))="membership"),"",IF(OR($N365="",$I365="",$I365=0),"",IFERROR($N365/$I365,""))))</x:f>
      </x:c>
      <x:c r="P365" s="987" t="str">
        <x:f>IF(COUNTA($A365:$M365)=0,"",IF(OR(LEFT(LOWER(TRIM($F365&amp;"")),12)="subscription",LOWER(TRIM($F365&amp;""))="membership"),"",IF(LOWER($L365&amp;"")="yes",0,IF(OR(AND($H365&lt;&gt;"",$H365=0),LEFT(LOWER(TRIM($F365&amp;"")),9)="free game",LOWER(TRIM($F365&amp;""))="free",LOWER(TRIM($F365&amp;""))="free entry"),IF(LOWER($D365&amp;"")="finalized",IF(ISNUMBER($K365),$K365,""),IF($O365&lt;&gt;"",$O365,"")),IF($K365&lt;&gt;"",$K365,IF($O365&lt;&gt;"",$O365,""))))))</x:f>
      </x:c>
      <x:c r="Q365" s="114" t="str">
        <x:f>IF(COUNTA($A365:$M365)=0,"",IF(OR($U365="Subscription",$U365=""),"",IF($U365="Profit",ROUND(IFERROR($P365,0)-IFERROR($H365,0),2),0)))</x:f>
      </x:c>
      <x:c r="R365" s="114" t="str">
        <x:f>IF(COUNTA($A365:$M365)=0,"",IF(OR($U365="Subscription",$U365=""),"",IF($U365="Draw",$H365,0)))</x:f>
      </x:c>
      <x:c r="S365" s="114" t="str">
        <x:f>IF(COUNTA($A365:$M365)=0,"",IF(OR($U365="Subscription",$U365=""),"",IF($U365="Disqualified",$H365,0)))</x:f>
      </x:c>
      <x:c r="T365" s="955" t="str">
        <x:f>IF(COUNTA($A365:$M365)=0,"",IF(OR($U365="Subscription",$U365=""),"",IF(OR($U365="Free Game",$U365="Disqualified — Free Game",$H365=0),"N/A",IF($U365="Profit",$Q365/$H365,IF($U365="Disqualified",-$S365/$H365,0)))))</x:f>
      </x:c>
      <x:c r="U365" s="920" t="str">
        <x:f>IF(COUNTA($A365:$M365)=0,"",IF(OR(LEFT(LOWER(TRIM($F365&amp;"")),12)="subscription",LOWER(TRIM($F365&amp;""))="membership"),"Subscription",IF(OR(AND($H365&lt;&gt;"",$H365=0),LEFT(LOWER(TRIM($F365&amp;"")),9)="free game",LOWER(TRIM($F365&amp;""))="free",LOWER(TRIM($F365&amp;""))="free entry"),IF(LOWER($L365&amp;"")="yes","Disqualified — Free Game","Free Game"),IF(LOWER($L365&amp;"")="yes","Disqualified",IF($P365="","",IF(ROUND(IFERROR(VALUE($P365),0)-IFERROR(VALUE($H365),0),2)&gt;0,"Profit","Draw"))))))</x:f>
      </x:c>
      <x:c r="V365" s="956" t="str">
        <x:f>IF(COUNTA($A365:$M365)=0,"",IF(OR($B365="",$C365="",$U365="Subscription"),"",IFERROR(ROUNDUP(($C365-$B365)/7,0),"")))</x:f>
      </x:c>
      <x:c r="W365" s="114" t="str">
        <x:f>IF(COUNTA($A365:$M365)=0,"",IF(OR($U365="Subscription",$U365=""),"",IF(OR($U365="Free Game",$U365="Disqualified — Free Game"),0,ROUND(IFERROR($Q365,0)-IFERROR($S365,0),2))))</x:f>
      </x:c>
      <x:c r="X365" s="956" t="str">
        <x:f>IF(COUNTA($A365:$M365)=0,"",IF(OR($U365="Subscription",NOT(ISNUMBER($J365)),NOT(ISNUMBER($I365)),$J365=0,$I365=0,$I365&gt;$J365),"",$J365-$I365))</x:f>
      </x:c>
      <x:c r="Y365" s="955" t="str">
        <x:f>IF(COUNTA($A365:$M365)=0,"",IF(OR($U365="Subscription",NOT(ISNUMBER($J365)),$J365=0,$X365=""),"",$X365/$J365))</x:f>
      </x:c>
      <x:c r="Z365" s="957" t="str">
        <x:f>IF(COUNTA($A365:$M365)=0,"",Instructions!$B$29+SUM($W$5:W365))</x:f>
      </x:c>
    </x:row>
    <x:row r="366" ht="36" customHeight="1">
      <x:c r="A366" s="439"/>
      <x:c r="B366" s="453"/>
      <x:c r="C366" s="453"/>
      <x:c r="D366" s="454"/>
      <x:c r="E366" s="454"/>
      <x:c r="F366" s="454"/>
      <x:c r="G366" s="986"/>
      <x:c r="H366" s="455"/>
      <x:c r="I366" s="456"/>
      <x:c r="J366" s="456"/>
      <x:c r="K366" s="986"/>
      <x:c r="L366" s="454"/>
      <x:c r="M366" s="439"/>
      <x:c r="N366" s="987" t="str">
        <x:f>IF(COUNTA($A366:$M366)=0,"",IF(OR(LEFT(LOWER(TRIM($F366&amp;"")),12)="subscription",LOWER(TRIM($F366&amp;""))="membership"),"",IF($G366="","",IF(ISNUMBER(SEARCH("non",LOWER($E366&amp;""))),$G366*0.85,$G366))))</x:f>
      </x:c>
      <x:c r="O366" s="987" t="str">
        <x:f>IF(COUNTA($A366:$M366)=0,"",IF(OR(LEFT(LOWER(TRIM($F366&amp;"")),12)="subscription",LOWER(TRIM($F366&amp;""))="membership"),"",IF(OR($N366="",$I366="",$I366=0),"",IFERROR($N366/$I366,""))))</x:f>
      </x:c>
      <x:c r="P366" s="987" t="str">
        <x:f>IF(COUNTA($A366:$M366)=0,"",IF(OR(LEFT(LOWER(TRIM($F366&amp;"")),12)="subscription",LOWER(TRIM($F366&amp;""))="membership"),"",IF(LOWER($L366&amp;"")="yes",0,IF(OR(AND($H366&lt;&gt;"",$H366=0),LEFT(LOWER(TRIM($F366&amp;"")),9)="free game",LOWER(TRIM($F366&amp;""))="free",LOWER(TRIM($F366&amp;""))="free entry"),IF(LOWER($D366&amp;"")="finalized",IF(ISNUMBER($K366),$K366,""),IF($O366&lt;&gt;"",$O366,"")),IF($K366&lt;&gt;"",$K366,IF($O366&lt;&gt;"",$O366,""))))))</x:f>
      </x:c>
      <x:c r="Q366" s="114" t="str">
        <x:f>IF(COUNTA($A366:$M366)=0,"",IF(OR($U366="Subscription",$U366=""),"",IF($U366="Profit",ROUND(IFERROR($P366,0)-IFERROR($H366,0),2),0)))</x:f>
      </x:c>
      <x:c r="R366" s="114" t="str">
        <x:f>IF(COUNTA($A366:$M366)=0,"",IF(OR($U366="Subscription",$U366=""),"",IF($U366="Draw",$H366,0)))</x:f>
      </x:c>
      <x:c r="S366" s="114" t="str">
        <x:f>IF(COUNTA($A366:$M366)=0,"",IF(OR($U366="Subscription",$U366=""),"",IF($U366="Disqualified",$H366,0)))</x:f>
      </x:c>
      <x:c r="T366" s="955" t="str">
        <x:f>IF(COUNTA($A366:$M366)=0,"",IF(OR($U366="Subscription",$U366=""),"",IF(OR($U366="Free Game",$U366="Disqualified — Free Game",$H366=0),"N/A",IF($U366="Profit",$Q366/$H366,IF($U366="Disqualified",-$S366/$H366,0)))))</x:f>
      </x:c>
      <x:c r="U366" s="920" t="str">
        <x:f>IF(COUNTA($A366:$M366)=0,"",IF(OR(LEFT(LOWER(TRIM($F366&amp;"")),12)="subscription",LOWER(TRIM($F366&amp;""))="membership"),"Subscription",IF(OR(AND($H366&lt;&gt;"",$H366=0),LEFT(LOWER(TRIM($F366&amp;"")),9)="free game",LOWER(TRIM($F366&amp;""))="free",LOWER(TRIM($F366&amp;""))="free entry"),IF(LOWER($L366&amp;"")="yes","Disqualified — Free Game","Free Game"),IF(LOWER($L366&amp;"")="yes","Disqualified",IF($P366="","",IF(ROUND(IFERROR(VALUE($P366),0)-IFERROR(VALUE($H366),0),2)&gt;0,"Profit","Draw"))))))</x:f>
      </x:c>
      <x:c r="V366" s="956" t="str">
        <x:f>IF(COUNTA($A366:$M366)=0,"",IF(OR($B366="",$C366="",$U366="Subscription"),"",IFERROR(ROUNDUP(($C366-$B366)/7,0),"")))</x:f>
      </x:c>
      <x:c r="W366" s="114" t="str">
        <x:f>IF(COUNTA($A366:$M366)=0,"",IF(OR($U366="Subscription",$U366=""),"",IF(OR($U366="Free Game",$U366="Disqualified — Free Game"),0,ROUND(IFERROR($Q366,0)-IFERROR($S366,0),2))))</x:f>
      </x:c>
      <x:c r="X366" s="956" t="str">
        <x:f>IF(COUNTA($A366:$M366)=0,"",IF(OR($U366="Subscription",NOT(ISNUMBER($J366)),NOT(ISNUMBER($I366)),$J366=0,$I366=0,$I366&gt;$J366),"",$J366-$I366))</x:f>
      </x:c>
      <x:c r="Y366" s="955" t="str">
        <x:f>IF(COUNTA($A366:$M366)=0,"",IF(OR($U366="Subscription",NOT(ISNUMBER($J366)),$J366=0,$X366=""),"",$X366/$J366))</x:f>
      </x:c>
      <x:c r="Z366" s="957" t="str">
        <x:f>IF(COUNTA($A366:$M366)=0,"",Instructions!$B$29+SUM($W$5:W366))</x:f>
      </x:c>
    </x:row>
    <x:row r="367" ht="36" customHeight="1">
      <x:c r="A367" s="439"/>
      <x:c r="B367" s="453"/>
      <x:c r="C367" s="453"/>
      <x:c r="D367" s="454"/>
      <x:c r="E367" s="454"/>
      <x:c r="F367" s="454"/>
      <x:c r="G367" s="986"/>
      <x:c r="H367" s="455"/>
      <x:c r="I367" s="456"/>
      <x:c r="J367" s="456"/>
      <x:c r="K367" s="986"/>
      <x:c r="L367" s="454"/>
      <x:c r="M367" s="439"/>
      <x:c r="N367" s="987" t="str">
        <x:f>IF(COUNTA($A367:$M367)=0,"",IF(OR(LEFT(LOWER(TRIM($F367&amp;"")),12)="subscription",LOWER(TRIM($F367&amp;""))="membership"),"",IF($G367="","",IF(ISNUMBER(SEARCH("non",LOWER($E367&amp;""))),$G367*0.85,$G367))))</x:f>
      </x:c>
      <x:c r="O367" s="987" t="str">
        <x:f>IF(COUNTA($A367:$M367)=0,"",IF(OR(LEFT(LOWER(TRIM($F367&amp;"")),12)="subscription",LOWER(TRIM($F367&amp;""))="membership"),"",IF(OR($N367="",$I367="",$I367=0),"",IFERROR($N367/$I367,""))))</x:f>
      </x:c>
      <x:c r="P367" s="987" t="str">
        <x:f>IF(COUNTA($A367:$M367)=0,"",IF(OR(LEFT(LOWER(TRIM($F367&amp;"")),12)="subscription",LOWER(TRIM($F367&amp;""))="membership"),"",IF(LOWER($L367&amp;"")="yes",0,IF(OR(AND($H367&lt;&gt;"",$H367=0),LEFT(LOWER(TRIM($F367&amp;"")),9)="free game",LOWER(TRIM($F367&amp;""))="free",LOWER(TRIM($F367&amp;""))="free entry"),IF(LOWER($D367&amp;"")="finalized",IF(ISNUMBER($K367),$K367,""),IF($O367&lt;&gt;"",$O367,"")),IF($K367&lt;&gt;"",$K367,IF($O367&lt;&gt;"",$O367,""))))))</x:f>
      </x:c>
      <x:c r="Q367" s="114" t="str">
        <x:f>IF(COUNTA($A367:$M367)=0,"",IF(OR($U367="Subscription",$U367=""),"",IF($U367="Profit",ROUND(IFERROR($P367,0)-IFERROR($H367,0),2),0)))</x:f>
      </x:c>
      <x:c r="R367" s="114" t="str">
        <x:f>IF(COUNTA($A367:$M367)=0,"",IF(OR($U367="Subscription",$U367=""),"",IF($U367="Draw",$H367,0)))</x:f>
      </x:c>
      <x:c r="S367" s="114" t="str">
        <x:f>IF(COUNTA($A367:$M367)=0,"",IF(OR($U367="Subscription",$U367=""),"",IF($U367="Disqualified",$H367,0)))</x:f>
      </x:c>
      <x:c r="T367" s="955" t="str">
        <x:f>IF(COUNTA($A367:$M367)=0,"",IF(OR($U367="Subscription",$U367=""),"",IF(OR($U367="Free Game",$U367="Disqualified — Free Game",$H367=0),"N/A",IF($U367="Profit",$Q367/$H367,IF($U367="Disqualified",-$S367/$H367,0)))))</x:f>
      </x:c>
      <x:c r="U367" s="920" t="str">
        <x:f>IF(COUNTA($A367:$M367)=0,"",IF(OR(LEFT(LOWER(TRIM($F367&amp;"")),12)="subscription",LOWER(TRIM($F367&amp;""))="membership"),"Subscription",IF(OR(AND($H367&lt;&gt;"",$H367=0),LEFT(LOWER(TRIM($F367&amp;"")),9)="free game",LOWER(TRIM($F367&amp;""))="free",LOWER(TRIM($F367&amp;""))="free entry"),IF(LOWER($L367&amp;"")="yes","Disqualified — Free Game","Free Game"),IF(LOWER($L367&amp;"")="yes","Disqualified",IF($P367="","",IF(ROUND(IFERROR(VALUE($P367),0)-IFERROR(VALUE($H367),0),2)&gt;0,"Profit","Draw"))))))</x:f>
      </x:c>
      <x:c r="V367" s="956" t="str">
        <x:f>IF(COUNTA($A367:$M367)=0,"",IF(OR($B367="",$C367="",$U367="Subscription"),"",IFERROR(ROUNDUP(($C367-$B367)/7,0),"")))</x:f>
      </x:c>
      <x:c r="W367" s="114" t="str">
        <x:f>IF(COUNTA($A367:$M367)=0,"",IF(OR($U367="Subscription",$U367=""),"",IF(OR($U367="Free Game",$U367="Disqualified — Free Game"),0,ROUND(IFERROR($Q367,0)-IFERROR($S367,0),2))))</x:f>
      </x:c>
      <x:c r="X367" s="956" t="str">
        <x:f>IF(COUNTA($A367:$M367)=0,"",IF(OR($U367="Subscription",NOT(ISNUMBER($J367)),NOT(ISNUMBER($I367)),$J367=0,$I367=0,$I367&gt;$J367),"",$J367-$I367))</x:f>
      </x:c>
      <x:c r="Y367" s="955" t="str">
        <x:f>IF(COUNTA($A367:$M367)=0,"",IF(OR($U367="Subscription",NOT(ISNUMBER($J367)),$J367=0,$X367=""),"",$X367/$J367))</x:f>
      </x:c>
      <x:c r="Z367" s="957" t="str">
        <x:f>IF(COUNTA($A367:$M367)=0,"",Instructions!$B$29+SUM($W$5:W367))</x:f>
      </x:c>
    </x:row>
    <x:row r="368" ht="36" customHeight="1">
      <x:c r="A368" s="439"/>
      <x:c r="B368" s="453"/>
      <x:c r="C368" s="453"/>
      <x:c r="D368" s="454"/>
      <x:c r="E368" s="454"/>
      <x:c r="F368" s="454"/>
      <x:c r="G368" s="986"/>
      <x:c r="H368" s="455"/>
      <x:c r="I368" s="456"/>
      <x:c r="J368" s="456"/>
      <x:c r="K368" s="986"/>
      <x:c r="L368" s="454"/>
      <x:c r="M368" s="439"/>
      <x:c r="N368" s="987" t="str">
        <x:f>IF(COUNTA($A368:$M368)=0,"",IF(OR(LEFT(LOWER(TRIM($F368&amp;"")),12)="subscription",LOWER(TRIM($F368&amp;""))="membership"),"",IF($G368="","",IF(ISNUMBER(SEARCH("non",LOWER($E368&amp;""))),$G368*0.85,$G368))))</x:f>
      </x:c>
      <x:c r="O368" s="987" t="str">
        <x:f>IF(COUNTA($A368:$M368)=0,"",IF(OR(LEFT(LOWER(TRIM($F368&amp;"")),12)="subscription",LOWER(TRIM($F368&amp;""))="membership"),"",IF(OR($N368="",$I368="",$I368=0),"",IFERROR($N368/$I368,""))))</x:f>
      </x:c>
      <x:c r="P368" s="987" t="str">
        <x:f>IF(COUNTA($A368:$M368)=0,"",IF(OR(LEFT(LOWER(TRIM($F368&amp;"")),12)="subscription",LOWER(TRIM($F368&amp;""))="membership"),"",IF(LOWER($L368&amp;"")="yes",0,IF(OR(AND($H368&lt;&gt;"",$H368=0),LEFT(LOWER(TRIM($F368&amp;"")),9)="free game",LOWER(TRIM($F368&amp;""))="free",LOWER(TRIM($F368&amp;""))="free entry"),IF(LOWER($D368&amp;"")="finalized",IF(ISNUMBER($K368),$K368,""),IF($O368&lt;&gt;"",$O368,"")),IF($K368&lt;&gt;"",$K368,IF($O368&lt;&gt;"",$O368,""))))))</x:f>
      </x:c>
      <x:c r="Q368" s="114" t="str">
        <x:f>IF(COUNTA($A368:$M368)=0,"",IF(OR($U368="Subscription",$U368=""),"",IF($U368="Profit",ROUND(IFERROR($P368,0)-IFERROR($H368,0),2),0)))</x:f>
      </x:c>
      <x:c r="R368" s="114" t="str">
        <x:f>IF(COUNTA($A368:$M368)=0,"",IF(OR($U368="Subscription",$U368=""),"",IF($U368="Draw",$H368,0)))</x:f>
      </x:c>
      <x:c r="S368" s="114" t="str">
        <x:f>IF(COUNTA($A368:$M368)=0,"",IF(OR($U368="Subscription",$U368=""),"",IF($U368="Disqualified",$H368,0)))</x:f>
      </x:c>
      <x:c r="T368" s="955" t="str">
        <x:f>IF(COUNTA($A368:$M368)=0,"",IF(OR($U368="Subscription",$U368=""),"",IF(OR($U368="Free Game",$U368="Disqualified — Free Game",$H368=0),"N/A",IF($U368="Profit",$Q368/$H368,IF($U368="Disqualified",-$S368/$H368,0)))))</x:f>
      </x:c>
      <x:c r="U368" s="920" t="str">
        <x:f>IF(COUNTA($A368:$M368)=0,"",IF(OR(LEFT(LOWER(TRIM($F368&amp;"")),12)="subscription",LOWER(TRIM($F368&amp;""))="membership"),"Subscription",IF(OR(AND($H368&lt;&gt;"",$H368=0),LEFT(LOWER(TRIM($F368&amp;"")),9)="free game",LOWER(TRIM($F368&amp;""))="free",LOWER(TRIM($F368&amp;""))="free entry"),IF(LOWER($L368&amp;"")="yes","Disqualified — Free Game","Free Game"),IF(LOWER($L368&amp;"")="yes","Disqualified",IF($P368="","",IF(ROUND(IFERROR(VALUE($P368),0)-IFERROR(VALUE($H368),0),2)&gt;0,"Profit","Draw"))))))</x:f>
      </x:c>
      <x:c r="V368" s="956" t="str">
        <x:f>IF(COUNTA($A368:$M368)=0,"",IF(OR($B368="",$C368="",$U368="Subscription"),"",IFERROR(ROUNDUP(($C368-$B368)/7,0),"")))</x:f>
      </x:c>
      <x:c r="W368" s="114" t="str">
        <x:f>IF(COUNTA($A368:$M368)=0,"",IF(OR($U368="Subscription",$U368=""),"",IF(OR($U368="Free Game",$U368="Disqualified — Free Game"),0,ROUND(IFERROR($Q368,0)-IFERROR($S368,0),2))))</x:f>
      </x:c>
      <x:c r="X368" s="956" t="str">
        <x:f>IF(COUNTA($A368:$M368)=0,"",IF(OR($U368="Subscription",NOT(ISNUMBER($J368)),NOT(ISNUMBER($I368)),$J368=0,$I368=0,$I368&gt;$J368),"",$J368-$I368))</x:f>
      </x:c>
      <x:c r="Y368" s="955" t="str">
        <x:f>IF(COUNTA($A368:$M368)=0,"",IF(OR($U368="Subscription",NOT(ISNUMBER($J368)),$J368=0,$X368=""),"",$X368/$J368))</x:f>
      </x:c>
      <x:c r="Z368" s="957" t="str">
        <x:f>IF(COUNTA($A368:$M368)=0,"",Instructions!$B$29+SUM($W$5:W368))</x:f>
      </x:c>
    </x:row>
    <x:row r="369" ht="36" customHeight="1">
      <x:c r="A369" s="439"/>
      <x:c r="B369" s="453"/>
      <x:c r="C369" s="453"/>
      <x:c r="D369" s="454"/>
      <x:c r="E369" s="454"/>
      <x:c r="F369" s="454"/>
      <x:c r="G369" s="986"/>
      <x:c r="H369" s="455"/>
      <x:c r="I369" s="456"/>
      <x:c r="J369" s="456"/>
      <x:c r="K369" s="986"/>
      <x:c r="L369" s="454"/>
      <x:c r="M369" s="439"/>
      <x:c r="N369" s="987" t="str">
        <x:f>IF(COUNTA($A369:$M369)=0,"",IF(OR(LEFT(LOWER(TRIM($F369&amp;"")),12)="subscription",LOWER(TRIM($F369&amp;""))="membership"),"",IF($G369="","",IF(ISNUMBER(SEARCH("non",LOWER($E369&amp;""))),$G369*0.85,$G369))))</x:f>
      </x:c>
      <x:c r="O369" s="987" t="str">
        <x:f>IF(COUNTA($A369:$M369)=0,"",IF(OR(LEFT(LOWER(TRIM($F369&amp;"")),12)="subscription",LOWER(TRIM($F369&amp;""))="membership"),"",IF(OR($N369="",$I369="",$I369=0),"",IFERROR($N369/$I369,""))))</x:f>
      </x:c>
      <x:c r="P369" s="987" t="str">
        <x:f>IF(COUNTA($A369:$M369)=0,"",IF(OR(LEFT(LOWER(TRIM($F369&amp;"")),12)="subscription",LOWER(TRIM($F369&amp;""))="membership"),"",IF(LOWER($L369&amp;"")="yes",0,IF(OR(AND($H369&lt;&gt;"",$H369=0),LEFT(LOWER(TRIM($F369&amp;"")),9)="free game",LOWER(TRIM($F369&amp;""))="free",LOWER(TRIM($F369&amp;""))="free entry"),IF(LOWER($D369&amp;"")="finalized",IF(ISNUMBER($K369),$K369,""),IF($O369&lt;&gt;"",$O369,"")),IF($K369&lt;&gt;"",$K369,IF($O369&lt;&gt;"",$O369,""))))))</x:f>
      </x:c>
      <x:c r="Q369" s="114" t="str">
        <x:f>IF(COUNTA($A369:$M369)=0,"",IF(OR($U369="Subscription",$U369=""),"",IF($U369="Profit",ROUND(IFERROR($P369,0)-IFERROR($H369,0),2),0)))</x:f>
      </x:c>
      <x:c r="R369" s="114" t="str">
        <x:f>IF(COUNTA($A369:$M369)=0,"",IF(OR($U369="Subscription",$U369=""),"",IF($U369="Draw",$H369,0)))</x:f>
      </x:c>
      <x:c r="S369" s="114" t="str">
        <x:f>IF(COUNTA($A369:$M369)=0,"",IF(OR($U369="Subscription",$U369=""),"",IF($U369="Disqualified",$H369,0)))</x:f>
      </x:c>
      <x:c r="T369" s="955" t="str">
        <x:f>IF(COUNTA($A369:$M369)=0,"",IF(OR($U369="Subscription",$U369=""),"",IF(OR($U369="Free Game",$U369="Disqualified — Free Game",$H369=0),"N/A",IF($U369="Profit",$Q369/$H369,IF($U369="Disqualified",-$S369/$H369,0)))))</x:f>
      </x:c>
      <x:c r="U369" s="920" t="str">
        <x:f>IF(COUNTA($A369:$M369)=0,"",IF(OR(LEFT(LOWER(TRIM($F369&amp;"")),12)="subscription",LOWER(TRIM($F369&amp;""))="membership"),"Subscription",IF(OR(AND($H369&lt;&gt;"",$H369=0),LEFT(LOWER(TRIM($F369&amp;"")),9)="free game",LOWER(TRIM($F369&amp;""))="free",LOWER(TRIM($F369&amp;""))="free entry"),IF(LOWER($L369&amp;"")="yes","Disqualified — Free Game","Free Game"),IF(LOWER($L369&amp;"")="yes","Disqualified",IF($P369="","",IF(ROUND(IFERROR(VALUE($P369),0)-IFERROR(VALUE($H369),0),2)&gt;0,"Profit","Draw"))))))</x:f>
      </x:c>
      <x:c r="V369" s="956" t="str">
        <x:f>IF(COUNTA($A369:$M369)=0,"",IF(OR($B369="",$C369="",$U369="Subscription"),"",IFERROR(ROUNDUP(($C369-$B369)/7,0),"")))</x:f>
      </x:c>
      <x:c r="W369" s="114" t="str">
        <x:f>IF(COUNTA($A369:$M369)=0,"",IF(OR($U369="Subscription",$U369=""),"",IF(OR($U369="Free Game",$U369="Disqualified — Free Game"),0,ROUND(IFERROR($Q369,0)-IFERROR($S369,0),2))))</x:f>
      </x:c>
      <x:c r="X369" s="956" t="str">
        <x:f>IF(COUNTA($A369:$M369)=0,"",IF(OR($U369="Subscription",NOT(ISNUMBER($J369)),NOT(ISNUMBER($I369)),$J369=0,$I369=0,$I369&gt;$J369),"",$J369-$I369))</x:f>
      </x:c>
      <x:c r="Y369" s="955" t="str">
        <x:f>IF(COUNTA($A369:$M369)=0,"",IF(OR($U369="Subscription",NOT(ISNUMBER($J369)),$J369=0,$X369=""),"",$X369/$J369))</x:f>
      </x:c>
      <x:c r="Z369" s="957" t="str">
        <x:f>IF(COUNTA($A369:$M369)=0,"",Instructions!$B$29+SUM($W$5:W369))</x:f>
      </x:c>
    </x:row>
    <x:row r="370" ht="36" customHeight="1">
      <x:c r="A370" s="439"/>
      <x:c r="B370" s="453"/>
      <x:c r="C370" s="453"/>
      <x:c r="D370" s="454"/>
      <x:c r="E370" s="454"/>
      <x:c r="F370" s="454"/>
      <x:c r="G370" s="986"/>
      <x:c r="H370" s="455"/>
      <x:c r="I370" s="456"/>
      <x:c r="J370" s="456"/>
      <x:c r="K370" s="986"/>
      <x:c r="L370" s="454"/>
      <x:c r="M370" s="439"/>
      <x:c r="N370" s="987" t="str">
        <x:f>IF(COUNTA($A370:$M370)=0,"",IF(OR(LEFT(LOWER(TRIM($F370&amp;"")),12)="subscription",LOWER(TRIM($F370&amp;""))="membership"),"",IF($G370="","",IF(ISNUMBER(SEARCH("non",LOWER($E370&amp;""))),$G370*0.85,$G370))))</x:f>
      </x:c>
      <x:c r="O370" s="987" t="str">
        <x:f>IF(COUNTA($A370:$M370)=0,"",IF(OR(LEFT(LOWER(TRIM($F370&amp;"")),12)="subscription",LOWER(TRIM($F370&amp;""))="membership"),"",IF(OR($N370="",$I370="",$I370=0),"",IFERROR($N370/$I370,""))))</x:f>
      </x:c>
      <x:c r="P370" s="987" t="str">
        <x:f>IF(COUNTA($A370:$M370)=0,"",IF(OR(LEFT(LOWER(TRIM($F370&amp;"")),12)="subscription",LOWER(TRIM($F370&amp;""))="membership"),"",IF(LOWER($L370&amp;"")="yes",0,IF(OR(AND($H370&lt;&gt;"",$H370=0),LEFT(LOWER(TRIM($F370&amp;"")),9)="free game",LOWER(TRIM($F370&amp;""))="free",LOWER(TRIM($F370&amp;""))="free entry"),IF(LOWER($D370&amp;"")="finalized",IF(ISNUMBER($K370),$K370,""),IF($O370&lt;&gt;"",$O370,"")),IF($K370&lt;&gt;"",$K370,IF($O370&lt;&gt;"",$O370,""))))))</x:f>
      </x:c>
      <x:c r="Q370" s="114" t="str">
        <x:f>IF(COUNTA($A370:$M370)=0,"",IF(OR($U370="Subscription",$U370=""),"",IF($U370="Profit",ROUND(IFERROR($P370,0)-IFERROR($H370,0),2),0)))</x:f>
      </x:c>
      <x:c r="R370" s="114" t="str">
        <x:f>IF(COUNTA($A370:$M370)=0,"",IF(OR($U370="Subscription",$U370=""),"",IF($U370="Draw",$H370,0)))</x:f>
      </x:c>
      <x:c r="S370" s="114" t="str">
        <x:f>IF(COUNTA($A370:$M370)=0,"",IF(OR($U370="Subscription",$U370=""),"",IF($U370="Disqualified",$H370,0)))</x:f>
      </x:c>
      <x:c r="T370" s="955" t="str">
        <x:f>IF(COUNTA($A370:$M370)=0,"",IF(OR($U370="Subscription",$U370=""),"",IF(OR($U370="Free Game",$U370="Disqualified — Free Game",$H370=0),"N/A",IF($U370="Profit",$Q370/$H370,IF($U370="Disqualified",-$S370/$H370,0)))))</x:f>
      </x:c>
      <x:c r="U370" s="920" t="str">
        <x:f>IF(COUNTA($A370:$M370)=0,"",IF(OR(LEFT(LOWER(TRIM($F370&amp;"")),12)="subscription",LOWER(TRIM($F370&amp;""))="membership"),"Subscription",IF(OR(AND($H370&lt;&gt;"",$H370=0),LEFT(LOWER(TRIM($F370&amp;"")),9)="free game",LOWER(TRIM($F370&amp;""))="free",LOWER(TRIM($F370&amp;""))="free entry"),IF(LOWER($L370&amp;"")="yes","Disqualified — Free Game","Free Game"),IF(LOWER($L370&amp;"")="yes","Disqualified",IF($P370="","",IF(ROUND(IFERROR(VALUE($P370),0)-IFERROR(VALUE($H370),0),2)&gt;0,"Profit","Draw"))))))</x:f>
      </x:c>
      <x:c r="V370" s="956" t="str">
        <x:f>IF(COUNTA($A370:$M370)=0,"",IF(OR($B370="",$C370="",$U370="Subscription"),"",IFERROR(ROUNDUP(($C370-$B370)/7,0),"")))</x:f>
      </x:c>
      <x:c r="W370" s="114" t="str">
        <x:f>IF(COUNTA($A370:$M370)=0,"",IF(OR($U370="Subscription",$U370=""),"",IF(OR($U370="Free Game",$U370="Disqualified — Free Game"),0,ROUND(IFERROR($Q370,0)-IFERROR($S370,0),2))))</x:f>
      </x:c>
      <x:c r="X370" s="956" t="str">
        <x:f>IF(COUNTA($A370:$M370)=0,"",IF(OR($U370="Subscription",NOT(ISNUMBER($J370)),NOT(ISNUMBER($I370)),$J370=0,$I370=0,$I370&gt;$J370),"",$J370-$I370))</x:f>
      </x:c>
      <x:c r="Y370" s="955" t="str">
        <x:f>IF(COUNTA($A370:$M370)=0,"",IF(OR($U370="Subscription",NOT(ISNUMBER($J370)),$J370=0,$X370=""),"",$X370/$J370))</x:f>
      </x:c>
      <x:c r="Z370" s="957" t="str">
        <x:f>IF(COUNTA($A370:$M370)=0,"",Instructions!$B$29+SUM($W$5:W370))</x:f>
      </x:c>
    </x:row>
    <x:row r="371" ht="36" customHeight="1">
      <x:c r="A371" s="439"/>
      <x:c r="B371" s="453"/>
      <x:c r="C371" s="453"/>
      <x:c r="D371" s="454"/>
      <x:c r="E371" s="454"/>
      <x:c r="F371" s="454"/>
      <x:c r="G371" s="986"/>
      <x:c r="H371" s="455"/>
      <x:c r="I371" s="456"/>
      <x:c r="J371" s="456"/>
      <x:c r="K371" s="986"/>
      <x:c r="L371" s="454"/>
      <x:c r="M371" s="439"/>
      <x:c r="N371" s="987" t="str">
        <x:f>IF(COUNTA($A371:$M371)=0,"",IF(OR(LEFT(LOWER(TRIM($F371&amp;"")),12)="subscription",LOWER(TRIM($F371&amp;""))="membership"),"",IF($G371="","",IF(ISNUMBER(SEARCH("non",LOWER($E371&amp;""))),$G371*0.85,$G371))))</x:f>
      </x:c>
      <x:c r="O371" s="987" t="str">
        <x:f>IF(COUNTA($A371:$M371)=0,"",IF(OR(LEFT(LOWER(TRIM($F371&amp;"")),12)="subscription",LOWER(TRIM($F371&amp;""))="membership"),"",IF(OR($N371="",$I371="",$I371=0),"",IFERROR($N371/$I371,""))))</x:f>
      </x:c>
      <x:c r="P371" s="987" t="str">
        <x:f>IF(COUNTA($A371:$M371)=0,"",IF(OR(LEFT(LOWER(TRIM($F371&amp;"")),12)="subscription",LOWER(TRIM($F371&amp;""))="membership"),"",IF(LOWER($L371&amp;"")="yes",0,IF(OR(AND($H371&lt;&gt;"",$H371=0),LEFT(LOWER(TRIM($F371&amp;"")),9)="free game",LOWER(TRIM($F371&amp;""))="free",LOWER(TRIM($F371&amp;""))="free entry"),IF(LOWER($D371&amp;"")="finalized",IF(ISNUMBER($K371),$K371,""),IF($O371&lt;&gt;"",$O371,"")),IF($K371&lt;&gt;"",$K371,IF($O371&lt;&gt;"",$O371,""))))))</x:f>
      </x:c>
      <x:c r="Q371" s="114" t="str">
        <x:f>IF(COUNTA($A371:$M371)=0,"",IF(OR($U371="Subscription",$U371=""),"",IF($U371="Profit",ROUND(IFERROR($P371,0)-IFERROR($H371,0),2),0)))</x:f>
      </x:c>
      <x:c r="R371" s="114" t="str">
        <x:f>IF(COUNTA($A371:$M371)=0,"",IF(OR($U371="Subscription",$U371=""),"",IF($U371="Draw",$H371,0)))</x:f>
      </x:c>
      <x:c r="S371" s="114" t="str">
        <x:f>IF(COUNTA($A371:$M371)=0,"",IF(OR($U371="Subscription",$U371=""),"",IF($U371="Disqualified",$H371,0)))</x:f>
      </x:c>
      <x:c r="T371" s="955" t="str">
        <x:f>IF(COUNTA($A371:$M371)=0,"",IF(OR($U371="Subscription",$U371=""),"",IF(OR($U371="Free Game",$U371="Disqualified — Free Game",$H371=0),"N/A",IF($U371="Profit",$Q371/$H371,IF($U371="Disqualified",-$S371/$H371,0)))))</x:f>
      </x:c>
      <x:c r="U371" s="920" t="str">
        <x:f>IF(COUNTA($A371:$M371)=0,"",IF(OR(LEFT(LOWER(TRIM($F371&amp;"")),12)="subscription",LOWER(TRIM($F371&amp;""))="membership"),"Subscription",IF(OR(AND($H371&lt;&gt;"",$H371=0),LEFT(LOWER(TRIM($F371&amp;"")),9)="free game",LOWER(TRIM($F371&amp;""))="free",LOWER(TRIM($F371&amp;""))="free entry"),IF(LOWER($L371&amp;"")="yes","Disqualified — Free Game","Free Game"),IF(LOWER($L371&amp;"")="yes","Disqualified",IF($P371="","",IF(ROUND(IFERROR(VALUE($P371),0)-IFERROR(VALUE($H371),0),2)&gt;0,"Profit","Draw"))))))</x:f>
      </x:c>
      <x:c r="V371" s="956" t="str">
        <x:f>IF(COUNTA($A371:$M371)=0,"",IF(OR($B371="",$C371="",$U371="Subscription"),"",IFERROR(ROUNDUP(($C371-$B371)/7,0),"")))</x:f>
      </x:c>
      <x:c r="W371" s="114" t="str">
        <x:f>IF(COUNTA($A371:$M371)=0,"",IF(OR($U371="Subscription",$U371=""),"",IF(OR($U371="Free Game",$U371="Disqualified — Free Game"),0,ROUND(IFERROR($Q371,0)-IFERROR($S371,0),2))))</x:f>
      </x:c>
      <x:c r="X371" s="956" t="str">
        <x:f>IF(COUNTA($A371:$M371)=0,"",IF(OR($U371="Subscription",NOT(ISNUMBER($J371)),NOT(ISNUMBER($I371)),$J371=0,$I371=0,$I371&gt;$J371),"",$J371-$I371))</x:f>
      </x:c>
      <x:c r="Y371" s="955" t="str">
        <x:f>IF(COUNTA($A371:$M371)=0,"",IF(OR($U371="Subscription",NOT(ISNUMBER($J371)),$J371=0,$X371=""),"",$X371/$J371))</x:f>
      </x:c>
      <x:c r="Z371" s="957" t="str">
        <x:f>IF(COUNTA($A371:$M371)=0,"",Instructions!$B$29+SUM($W$5:W371))</x:f>
      </x:c>
    </x:row>
    <x:row r="372" ht="36" customHeight="1">
      <x:c r="A372" s="439"/>
      <x:c r="B372" s="453"/>
      <x:c r="C372" s="453"/>
      <x:c r="D372" s="454"/>
      <x:c r="E372" s="454"/>
      <x:c r="F372" s="454"/>
      <x:c r="G372" s="986"/>
      <x:c r="H372" s="455"/>
      <x:c r="I372" s="456"/>
      <x:c r="J372" s="456"/>
      <x:c r="K372" s="986"/>
      <x:c r="L372" s="454"/>
      <x:c r="M372" s="439"/>
      <x:c r="N372" s="987" t="str">
        <x:f>IF(COUNTA($A372:$M372)=0,"",IF(OR(LEFT(LOWER(TRIM($F372&amp;"")),12)="subscription",LOWER(TRIM($F372&amp;""))="membership"),"",IF($G372="","",IF(ISNUMBER(SEARCH("non",LOWER($E372&amp;""))),$G372*0.85,$G372))))</x:f>
      </x:c>
      <x:c r="O372" s="987" t="str">
        <x:f>IF(COUNTA($A372:$M372)=0,"",IF(OR(LEFT(LOWER(TRIM($F372&amp;"")),12)="subscription",LOWER(TRIM($F372&amp;""))="membership"),"",IF(OR($N372="",$I372="",$I372=0),"",IFERROR($N372/$I372,""))))</x:f>
      </x:c>
      <x:c r="P372" s="987" t="str">
        <x:f>IF(COUNTA($A372:$M372)=0,"",IF(OR(LEFT(LOWER(TRIM($F372&amp;"")),12)="subscription",LOWER(TRIM($F372&amp;""))="membership"),"",IF(LOWER($L372&amp;"")="yes",0,IF(OR(AND($H372&lt;&gt;"",$H372=0),LEFT(LOWER(TRIM($F372&amp;"")),9)="free game",LOWER(TRIM($F372&amp;""))="free",LOWER(TRIM($F372&amp;""))="free entry"),IF(LOWER($D372&amp;"")="finalized",IF(ISNUMBER($K372),$K372,""),IF($O372&lt;&gt;"",$O372,"")),IF($K372&lt;&gt;"",$K372,IF($O372&lt;&gt;"",$O372,""))))))</x:f>
      </x:c>
      <x:c r="Q372" s="114" t="str">
        <x:f>IF(COUNTA($A372:$M372)=0,"",IF(OR($U372="Subscription",$U372=""),"",IF($U372="Profit",ROUND(IFERROR($P372,0)-IFERROR($H372,0),2),0)))</x:f>
      </x:c>
      <x:c r="R372" s="114" t="str">
        <x:f>IF(COUNTA($A372:$M372)=0,"",IF(OR($U372="Subscription",$U372=""),"",IF($U372="Draw",$H372,0)))</x:f>
      </x:c>
      <x:c r="S372" s="114" t="str">
        <x:f>IF(COUNTA($A372:$M372)=0,"",IF(OR($U372="Subscription",$U372=""),"",IF($U372="Disqualified",$H372,0)))</x:f>
      </x:c>
      <x:c r="T372" s="955" t="str">
        <x:f>IF(COUNTA($A372:$M372)=0,"",IF(OR($U372="Subscription",$U372=""),"",IF(OR($U372="Free Game",$U372="Disqualified — Free Game",$H372=0),"N/A",IF($U372="Profit",$Q372/$H372,IF($U372="Disqualified",-$S372/$H372,0)))))</x:f>
      </x:c>
      <x:c r="U372" s="920" t="str">
        <x:f>IF(COUNTA($A372:$M372)=0,"",IF(OR(LEFT(LOWER(TRIM($F372&amp;"")),12)="subscription",LOWER(TRIM($F372&amp;""))="membership"),"Subscription",IF(OR(AND($H372&lt;&gt;"",$H372=0),LEFT(LOWER(TRIM($F372&amp;"")),9)="free game",LOWER(TRIM($F372&amp;""))="free",LOWER(TRIM($F372&amp;""))="free entry"),IF(LOWER($L372&amp;"")="yes","Disqualified — Free Game","Free Game"),IF(LOWER($L372&amp;"")="yes","Disqualified",IF($P372="","",IF(ROUND(IFERROR(VALUE($P372),0)-IFERROR(VALUE($H372),0),2)&gt;0,"Profit","Draw"))))))</x:f>
      </x:c>
      <x:c r="V372" s="956" t="str">
        <x:f>IF(COUNTA($A372:$M372)=0,"",IF(OR($B372="",$C372="",$U372="Subscription"),"",IFERROR(ROUNDUP(($C372-$B372)/7,0),"")))</x:f>
      </x:c>
      <x:c r="W372" s="114" t="str">
        <x:f>IF(COUNTA($A372:$M372)=0,"",IF(OR($U372="Subscription",$U372=""),"",IF(OR($U372="Free Game",$U372="Disqualified — Free Game"),0,ROUND(IFERROR($Q372,0)-IFERROR($S372,0),2))))</x:f>
      </x:c>
      <x:c r="X372" s="956" t="str">
        <x:f>IF(COUNTA($A372:$M372)=0,"",IF(OR($U372="Subscription",NOT(ISNUMBER($J372)),NOT(ISNUMBER($I372)),$J372=0,$I372=0,$I372&gt;$J372),"",$J372-$I372))</x:f>
      </x:c>
      <x:c r="Y372" s="955" t="str">
        <x:f>IF(COUNTA($A372:$M372)=0,"",IF(OR($U372="Subscription",NOT(ISNUMBER($J372)),$J372=0,$X372=""),"",$X372/$J372))</x:f>
      </x:c>
      <x:c r="Z372" s="957" t="str">
        <x:f>IF(COUNTA($A372:$M372)=0,"",Instructions!$B$29+SUM($W$5:W372))</x:f>
      </x:c>
    </x:row>
    <x:row r="373" ht="36" customHeight="1">
      <x:c r="A373" s="439"/>
      <x:c r="B373" s="453"/>
      <x:c r="C373" s="453"/>
      <x:c r="D373" s="454"/>
      <x:c r="E373" s="454"/>
      <x:c r="F373" s="454"/>
      <x:c r="G373" s="986"/>
      <x:c r="H373" s="455"/>
      <x:c r="I373" s="456"/>
      <x:c r="J373" s="456"/>
      <x:c r="K373" s="986"/>
      <x:c r="L373" s="454"/>
      <x:c r="M373" s="439"/>
      <x:c r="N373" s="987" t="str">
        <x:f>IF(COUNTA($A373:$M373)=0,"",IF(OR(LEFT(LOWER(TRIM($F373&amp;"")),12)="subscription",LOWER(TRIM($F373&amp;""))="membership"),"",IF($G373="","",IF(ISNUMBER(SEARCH("non",LOWER($E373&amp;""))),$G373*0.85,$G373))))</x:f>
      </x:c>
      <x:c r="O373" s="987" t="str">
        <x:f>IF(COUNTA($A373:$M373)=0,"",IF(OR(LEFT(LOWER(TRIM($F373&amp;"")),12)="subscription",LOWER(TRIM($F373&amp;""))="membership"),"",IF(OR($N373="",$I373="",$I373=0),"",IFERROR($N373/$I373,""))))</x:f>
      </x:c>
      <x:c r="P373" s="987" t="str">
        <x:f>IF(COUNTA($A373:$M373)=0,"",IF(OR(LEFT(LOWER(TRIM($F373&amp;"")),12)="subscription",LOWER(TRIM($F373&amp;""))="membership"),"",IF(LOWER($L373&amp;"")="yes",0,IF(OR(AND($H373&lt;&gt;"",$H373=0),LEFT(LOWER(TRIM($F373&amp;"")),9)="free game",LOWER(TRIM($F373&amp;""))="free",LOWER(TRIM($F373&amp;""))="free entry"),IF(LOWER($D373&amp;"")="finalized",IF(ISNUMBER($K373),$K373,""),IF($O373&lt;&gt;"",$O373,"")),IF($K373&lt;&gt;"",$K373,IF($O373&lt;&gt;"",$O373,""))))))</x:f>
      </x:c>
      <x:c r="Q373" s="114" t="str">
        <x:f>IF(COUNTA($A373:$M373)=0,"",IF(OR($U373="Subscription",$U373=""),"",IF($U373="Profit",ROUND(IFERROR($P373,0)-IFERROR($H373,0),2),0)))</x:f>
      </x:c>
      <x:c r="R373" s="114" t="str">
        <x:f>IF(COUNTA($A373:$M373)=0,"",IF(OR($U373="Subscription",$U373=""),"",IF($U373="Draw",$H373,0)))</x:f>
      </x:c>
      <x:c r="S373" s="114" t="str">
        <x:f>IF(COUNTA($A373:$M373)=0,"",IF(OR($U373="Subscription",$U373=""),"",IF($U373="Disqualified",$H373,0)))</x:f>
      </x:c>
      <x:c r="T373" s="955" t="str">
        <x:f>IF(COUNTA($A373:$M373)=0,"",IF(OR($U373="Subscription",$U373=""),"",IF(OR($U373="Free Game",$U373="Disqualified — Free Game",$H373=0),"N/A",IF($U373="Profit",$Q373/$H373,IF($U373="Disqualified",-$S373/$H373,0)))))</x:f>
      </x:c>
      <x:c r="U373" s="920" t="str">
        <x:f>IF(COUNTA($A373:$M373)=0,"",IF(OR(LEFT(LOWER(TRIM($F373&amp;"")),12)="subscription",LOWER(TRIM($F373&amp;""))="membership"),"Subscription",IF(OR(AND($H373&lt;&gt;"",$H373=0),LEFT(LOWER(TRIM($F373&amp;"")),9)="free game",LOWER(TRIM($F373&amp;""))="free",LOWER(TRIM($F373&amp;""))="free entry"),IF(LOWER($L373&amp;"")="yes","Disqualified — Free Game","Free Game"),IF(LOWER($L373&amp;"")="yes","Disqualified",IF($P373="","",IF(ROUND(IFERROR(VALUE($P373),0)-IFERROR(VALUE($H373),0),2)&gt;0,"Profit","Draw"))))))</x:f>
      </x:c>
      <x:c r="V373" s="956" t="str">
        <x:f>IF(COUNTA($A373:$M373)=0,"",IF(OR($B373="",$C373="",$U373="Subscription"),"",IFERROR(ROUNDUP(($C373-$B373)/7,0),"")))</x:f>
      </x:c>
      <x:c r="W373" s="114" t="str">
        <x:f>IF(COUNTA($A373:$M373)=0,"",IF(OR($U373="Subscription",$U373=""),"",IF(OR($U373="Free Game",$U373="Disqualified — Free Game"),0,ROUND(IFERROR($Q373,0)-IFERROR($S373,0),2))))</x:f>
      </x:c>
      <x:c r="X373" s="956" t="str">
        <x:f>IF(COUNTA($A373:$M373)=0,"",IF(OR($U373="Subscription",NOT(ISNUMBER($J373)),NOT(ISNUMBER($I373)),$J373=0,$I373=0,$I373&gt;$J373),"",$J373-$I373))</x:f>
      </x:c>
      <x:c r="Y373" s="955" t="str">
        <x:f>IF(COUNTA($A373:$M373)=0,"",IF(OR($U373="Subscription",NOT(ISNUMBER($J373)),$J373=0,$X373=""),"",$X373/$J373))</x:f>
      </x:c>
      <x:c r="Z373" s="957" t="str">
        <x:f>IF(COUNTA($A373:$M373)=0,"",Instructions!$B$29+SUM($W$5:W373))</x:f>
      </x:c>
    </x:row>
    <x:row r="374" ht="36" customHeight="1">
      <x:c r="A374" s="439"/>
      <x:c r="B374" s="453"/>
      <x:c r="C374" s="453"/>
      <x:c r="D374" s="454"/>
      <x:c r="E374" s="454"/>
      <x:c r="F374" s="454"/>
      <x:c r="G374" s="986"/>
      <x:c r="H374" s="455"/>
      <x:c r="I374" s="456"/>
      <x:c r="J374" s="456"/>
      <x:c r="K374" s="986"/>
      <x:c r="L374" s="454"/>
      <x:c r="M374" s="439"/>
      <x:c r="N374" s="987" t="str">
        <x:f>IF(COUNTA($A374:$M374)=0,"",IF(OR(LEFT(LOWER(TRIM($F374&amp;"")),12)="subscription",LOWER(TRIM($F374&amp;""))="membership"),"",IF($G374="","",IF(ISNUMBER(SEARCH("non",LOWER($E374&amp;""))),$G374*0.85,$G374))))</x:f>
      </x:c>
      <x:c r="O374" s="987" t="str">
        <x:f>IF(COUNTA($A374:$M374)=0,"",IF(OR(LEFT(LOWER(TRIM($F374&amp;"")),12)="subscription",LOWER(TRIM($F374&amp;""))="membership"),"",IF(OR($N374="",$I374="",$I374=0),"",IFERROR($N374/$I374,""))))</x:f>
      </x:c>
      <x:c r="P374" s="987" t="str">
        <x:f>IF(COUNTA($A374:$M374)=0,"",IF(OR(LEFT(LOWER(TRIM($F374&amp;"")),12)="subscription",LOWER(TRIM($F374&amp;""))="membership"),"",IF(LOWER($L374&amp;"")="yes",0,IF(OR(AND($H374&lt;&gt;"",$H374=0),LEFT(LOWER(TRIM($F374&amp;"")),9)="free game",LOWER(TRIM($F374&amp;""))="free",LOWER(TRIM($F374&amp;""))="free entry"),IF(LOWER($D374&amp;"")="finalized",IF(ISNUMBER($K374),$K374,""),IF($O374&lt;&gt;"",$O374,"")),IF($K374&lt;&gt;"",$K374,IF($O374&lt;&gt;"",$O374,""))))))</x:f>
      </x:c>
      <x:c r="Q374" s="114" t="str">
        <x:f>IF(COUNTA($A374:$M374)=0,"",IF(OR($U374="Subscription",$U374=""),"",IF($U374="Profit",ROUND(IFERROR($P374,0)-IFERROR($H374,0),2),0)))</x:f>
      </x:c>
      <x:c r="R374" s="114" t="str">
        <x:f>IF(COUNTA($A374:$M374)=0,"",IF(OR($U374="Subscription",$U374=""),"",IF($U374="Draw",$H374,0)))</x:f>
      </x:c>
      <x:c r="S374" s="114" t="str">
        <x:f>IF(COUNTA($A374:$M374)=0,"",IF(OR($U374="Subscription",$U374=""),"",IF($U374="Disqualified",$H374,0)))</x:f>
      </x:c>
      <x:c r="T374" s="955" t="str">
        <x:f>IF(COUNTA($A374:$M374)=0,"",IF(OR($U374="Subscription",$U374=""),"",IF(OR($U374="Free Game",$U374="Disqualified — Free Game",$H374=0),"N/A",IF($U374="Profit",$Q374/$H374,IF($U374="Disqualified",-$S374/$H374,0)))))</x:f>
      </x:c>
      <x:c r="U374" s="920" t="str">
        <x:f>IF(COUNTA($A374:$M374)=0,"",IF(OR(LEFT(LOWER(TRIM($F374&amp;"")),12)="subscription",LOWER(TRIM($F374&amp;""))="membership"),"Subscription",IF(OR(AND($H374&lt;&gt;"",$H374=0),LEFT(LOWER(TRIM($F374&amp;"")),9)="free game",LOWER(TRIM($F374&amp;""))="free",LOWER(TRIM($F374&amp;""))="free entry"),IF(LOWER($L374&amp;"")="yes","Disqualified — Free Game","Free Game"),IF(LOWER($L374&amp;"")="yes","Disqualified",IF($P374="","",IF(ROUND(IFERROR(VALUE($P374),0)-IFERROR(VALUE($H374),0),2)&gt;0,"Profit","Draw"))))))</x:f>
      </x:c>
      <x:c r="V374" s="956" t="str">
        <x:f>IF(COUNTA($A374:$M374)=0,"",IF(OR($B374="",$C374="",$U374="Subscription"),"",IFERROR(ROUNDUP(($C374-$B374)/7,0),"")))</x:f>
      </x:c>
      <x:c r="W374" s="114" t="str">
        <x:f>IF(COUNTA($A374:$M374)=0,"",IF(OR($U374="Subscription",$U374=""),"",IF(OR($U374="Free Game",$U374="Disqualified — Free Game"),0,ROUND(IFERROR($Q374,0)-IFERROR($S374,0),2))))</x:f>
      </x:c>
      <x:c r="X374" s="956" t="str">
        <x:f>IF(COUNTA($A374:$M374)=0,"",IF(OR($U374="Subscription",NOT(ISNUMBER($J374)),NOT(ISNUMBER($I374)),$J374=0,$I374=0,$I374&gt;$J374),"",$J374-$I374))</x:f>
      </x:c>
      <x:c r="Y374" s="955" t="str">
        <x:f>IF(COUNTA($A374:$M374)=0,"",IF(OR($U374="Subscription",NOT(ISNUMBER($J374)),$J374=0,$X374=""),"",$X374/$J374))</x:f>
      </x:c>
      <x:c r="Z374" s="957" t="str">
        <x:f>IF(COUNTA($A374:$M374)=0,"",Instructions!$B$29+SUM($W$5:W374))</x:f>
      </x:c>
    </x:row>
    <x:row r="375" ht="36" customHeight="1">
      <x:c r="A375" s="439"/>
      <x:c r="B375" s="453"/>
      <x:c r="C375" s="453"/>
      <x:c r="D375" s="454"/>
      <x:c r="E375" s="454"/>
      <x:c r="F375" s="454"/>
      <x:c r="G375" s="986"/>
      <x:c r="H375" s="455"/>
      <x:c r="I375" s="456"/>
      <x:c r="J375" s="456"/>
      <x:c r="K375" s="986"/>
      <x:c r="L375" s="454"/>
      <x:c r="M375" s="439"/>
      <x:c r="N375" s="987" t="str">
        <x:f>IF(COUNTA($A375:$M375)=0,"",IF(OR(LEFT(LOWER(TRIM($F375&amp;"")),12)="subscription",LOWER(TRIM($F375&amp;""))="membership"),"",IF($G375="","",IF(ISNUMBER(SEARCH("non",LOWER($E375&amp;""))),$G375*0.85,$G375))))</x:f>
      </x:c>
      <x:c r="O375" s="987" t="str">
        <x:f>IF(COUNTA($A375:$M375)=0,"",IF(OR(LEFT(LOWER(TRIM($F375&amp;"")),12)="subscription",LOWER(TRIM($F375&amp;""))="membership"),"",IF(OR($N375="",$I375="",$I375=0),"",IFERROR($N375/$I375,""))))</x:f>
      </x:c>
      <x:c r="P375" s="987" t="str">
        <x:f>IF(COUNTA($A375:$M375)=0,"",IF(OR(LEFT(LOWER(TRIM($F375&amp;"")),12)="subscription",LOWER(TRIM($F375&amp;""))="membership"),"",IF(LOWER($L375&amp;"")="yes",0,IF(OR(AND($H375&lt;&gt;"",$H375=0),LEFT(LOWER(TRIM($F375&amp;"")),9)="free game",LOWER(TRIM($F375&amp;""))="free",LOWER(TRIM($F375&amp;""))="free entry"),IF(LOWER($D375&amp;"")="finalized",IF(ISNUMBER($K375),$K375,""),IF($O375&lt;&gt;"",$O375,"")),IF($K375&lt;&gt;"",$K375,IF($O375&lt;&gt;"",$O375,""))))))</x:f>
      </x:c>
      <x:c r="Q375" s="114" t="str">
        <x:f>IF(COUNTA($A375:$M375)=0,"",IF(OR($U375="Subscription",$U375=""),"",IF($U375="Profit",ROUND(IFERROR($P375,0)-IFERROR($H375,0),2),0)))</x:f>
      </x:c>
      <x:c r="R375" s="114" t="str">
        <x:f>IF(COUNTA($A375:$M375)=0,"",IF(OR($U375="Subscription",$U375=""),"",IF($U375="Draw",$H375,0)))</x:f>
      </x:c>
      <x:c r="S375" s="114" t="str">
        <x:f>IF(COUNTA($A375:$M375)=0,"",IF(OR($U375="Subscription",$U375=""),"",IF($U375="Disqualified",$H375,0)))</x:f>
      </x:c>
      <x:c r="T375" s="955" t="str">
        <x:f>IF(COUNTA($A375:$M375)=0,"",IF(OR($U375="Subscription",$U375=""),"",IF(OR($U375="Free Game",$U375="Disqualified — Free Game",$H375=0),"N/A",IF($U375="Profit",$Q375/$H375,IF($U375="Disqualified",-$S375/$H375,0)))))</x:f>
      </x:c>
      <x:c r="U375" s="920" t="str">
        <x:f>IF(COUNTA($A375:$M375)=0,"",IF(OR(LEFT(LOWER(TRIM($F375&amp;"")),12)="subscription",LOWER(TRIM($F375&amp;""))="membership"),"Subscription",IF(OR(AND($H375&lt;&gt;"",$H375=0),LEFT(LOWER(TRIM($F375&amp;"")),9)="free game",LOWER(TRIM($F375&amp;""))="free",LOWER(TRIM($F375&amp;""))="free entry"),IF(LOWER($L375&amp;"")="yes","Disqualified — Free Game","Free Game"),IF(LOWER($L375&amp;"")="yes","Disqualified",IF($P375="","",IF(ROUND(IFERROR(VALUE($P375),0)-IFERROR(VALUE($H375),0),2)&gt;0,"Profit","Draw"))))))</x:f>
      </x:c>
      <x:c r="V375" s="956" t="str">
        <x:f>IF(COUNTA($A375:$M375)=0,"",IF(OR($B375="",$C375="",$U375="Subscription"),"",IFERROR(ROUNDUP(($C375-$B375)/7,0),"")))</x:f>
      </x:c>
      <x:c r="W375" s="114" t="str">
        <x:f>IF(COUNTA($A375:$M375)=0,"",IF(OR($U375="Subscription",$U375=""),"",IF(OR($U375="Free Game",$U375="Disqualified — Free Game"),0,ROUND(IFERROR($Q375,0)-IFERROR($S375,0),2))))</x:f>
      </x:c>
      <x:c r="X375" s="956" t="str">
        <x:f>IF(COUNTA($A375:$M375)=0,"",IF(OR($U375="Subscription",NOT(ISNUMBER($J375)),NOT(ISNUMBER($I375)),$J375=0,$I375=0,$I375&gt;$J375),"",$J375-$I375))</x:f>
      </x:c>
      <x:c r="Y375" s="955" t="str">
        <x:f>IF(COUNTA($A375:$M375)=0,"",IF(OR($U375="Subscription",NOT(ISNUMBER($J375)),$J375=0,$X375=""),"",$X375/$J375))</x:f>
      </x:c>
      <x:c r="Z375" s="957" t="str">
        <x:f>IF(COUNTA($A375:$M375)=0,"",Instructions!$B$29+SUM($W$5:W375))</x:f>
      </x:c>
    </x:row>
    <x:row r="376" ht="36" customHeight="1">
      <x:c r="A376" s="439"/>
      <x:c r="B376" s="453"/>
      <x:c r="C376" s="453"/>
      <x:c r="D376" s="454"/>
      <x:c r="E376" s="454"/>
      <x:c r="F376" s="454"/>
      <x:c r="G376" s="986"/>
      <x:c r="H376" s="455"/>
      <x:c r="I376" s="456"/>
      <x:c r="J376" s="456"/>
      <x:c r="K376" s="986"/>
      <x:c r="L376" s="454"/>
      <x:c r="M376" s="439"/>
      <x:c r="N376" s="987" t="str">
        <x:f>IF(COUNTA($A376:$M376)=0,"",IF(OR(LEFT(LOWER(TRIM($F376&amp;"")),12)="subscription",LOWER(TRIM($F376&amp;""))="membership"),"",IF($G376="","",IF(ISNUMBER(SEARCH("non",LOWER($E376&amp;""))),$G376*0.85,$G376))))</x:f>
      </x:c>
      <x:c r="O376" s="987" t="str">
        <x:f>IF(COUNTA($A376:$M376)=0,"",IF(OR(LEFT(LOWER(TRIM($F376&amp;"")),12)="subscription",LOWER(TRIM($F376&amp;""))="membership"),"",IF(OR($N376="",$I376="",$I376=0),"",IFERROR($N376/$I376,""))))</x:f>
      </x:c>
      <x:c r="P376" s="987" t="str">
        <x:f>IF(COUNTA($A376:$M376)=0,"",IF(OR(LEFT(LOWER(TRIM($F376&amp;"")),12)="subscription",LOWER(TRIM($F376&amp;""))="membership"),"",IF(LOWER($L376&amp;"")="yes",0,IF(OR(AND($H376&lt;&gt;"",$H376=0),LEFT(LOWER(TRIM($F376&amp;"")),9)="free game",LOWER(TRIM($F376&amp;""))="free",LOWER(TRIM($F376&amp;""))="free entry"),IF(LOWER($D376&amp;"")="finalized",IF(ISNUMBER($K376),$K376,""),IF($O376&lt;&gt;"",$O376,"")),IF($K376&lt;&gt;"",$K376,IF($O376&lt;&gt;"",$O376,""))))))</x:f>
      </x:c>
      <x:c r="Q376" s="114" t="str">
        <x:f>IF(COUNTA($A376:$M376)=0,"",IF(OR($U376="Subscription",$U376=""),"",IF($U376="Profit",ROUND(IFERROR($P376,0)-IFERROR($H376,0),2),0)))</x:f>
      </x:c>
      <x:c r="R376" s="114" t="str">
        <x:f>IF(COUNTA($A376:$M376)=0,"",IF(OR($U376="Subscription",$U376=""),"",IF($U376="Draw",$H376,0)))</x:f>
      </x:c>
      <x:c r="S376" s="114" t="str">
        <x:f>IF(COUNTA($A376:$M376)=0,"",IF(OR($U376="Subscription",$U376=""),"",IF($U376="Disqualified",$H376,0)))</x:f>
      </x:c>
      <x:c r="T376" s="955" t="str">
        <x:f>IF(COUNTA($A376:$M376)=0,"",IF(OR($U376="Subscription",$U376=""),"",IF(OR($U376="Free Game",$U376="Disqualified — Free Game",$H376=0),"N/A",IF($U376="Profit",$Q376/$H376,IF($U376="Disqualified",-$S376/$H376,0)))))</x:f>
      </x:c>
      <x:c r="U376" s="920" t="str">
        <x:f>IF(COUNTA($A376:$M376)=0,"",IF(OR(LEFT(LOWER(TRIM($F376&amp;"")),12)="subscription",LOWER(TRIM($F376&amp;""))="membership"),"Subscription",IF(OR(AND($H376&lt;&gt;"",$H376=0),LEFT(LOWER(TRIM($F376&amp;"")),9)="free game",LOWER(TRIM($F376&amp;""))="free",LOWER(TRIM($F376&amp;""))="free entry"),IF(LOWER($L376&amp;"")="yes","Disqualified — Free Game","Free Game"),IF(LOWER($L376&amp;"")="yes","Disqualified",IF($P376="","",IF(ROUND(IFERROR(VALUE($P376),0)-IFERROR(VALUE($H376),0),2)&gt;0,"Profit","Draw"))))))</x:f>
      </x:c>
      <x:c r="V376" s="956" t="str">
        <x:f>IF(COUNTA($A376:$M376)=0,"",IF(OR($B376="",$C376="",$U376="Subscription"),"",IFERROR(ROUNDUP(($C376-$B376)/7,0),"")))</x:f>
      </x:c>
      <x:c r="W376" s="114" t="str">
        <x:f>IF(COUNTA($A376:$M376)=0,"",IF(OR($U376="Subscription",$U376=""),"",IF(OR($U376="Free Game",$U376="Disqualified — Free Game"),0,ROUND(IFERROR($Q376,0)-IFERROR($S376,0),2))))</x:f>
      </x:c>
      <x:c r="X376" s="956" t="str">
        <x:f>IF(COUNTA($A376:$M376)=0,"",IF(OR($U376="Subscription",NOT(ISNUMBER($J376)),NOT(ISNUMBER($I376)),$J376=0,$I376=0,$I376&gt;$J376),"",$J376-$I376))</x:f>
      </x:c>
      <x:c r="Y376" s="955" t="str">
        <x:f>IF(COUNTA($A376:$M376)=0,"",IF(OR($U376="Subscription",NOT(ISNUMBER($J376)),$J376=0,$X376=""),"",$X376/$J376))</x:f>
      </x:c>
      <x:c r="Z376" s="957" t="str">
        <x:f>IF(COUNTA($A376:$M376)=0,"",Instructions!$B$29+SUM($W$5:W376))</x:f>
      </x:c>
    </x:row>
    <x:row r="377" ht="36" customHeight="1">
      <x:c r="A377" s="439"/>
      <x:c r="B377" s="453"/>
      <x:c r="C377" s="453"/>
      <x:c r="D377" s="454"/>
      <x:c r="E377" s="454"/>
      <x:c r="F377" s="454"/>
      <x:c r="G377" s="986"/>
      <x:c r="H377" s="455"/>
      <x:c r="I377" s="456"/>
      <x:c r="J377" s="456"/>
      <x:c r="K377" s="986"/>
      <x:c r="L377" s="454"/>
      <x:c r="M377" s="439"/>
      <x:c r="N377" s="987" t="str">
        <x:f>IF(COUNTA($A377:$M377)=0,"",IF(OR(LEFT(LOWER(TRIM($F377&amp;"")),12)="subscription",LOWER(TRIM($F377&amp;""))="membership"),"",IF($G377="","",IF(ISNUMBER(SEARCH("non",LOWER($E377&amp;""))),$G377*0.85,$G377))))</x:f>
      </x:c>
      <x:c r="O377" s="987" t="str">
        <x:f>IF(COUNTA($A377:$M377)=0,"",IF(OR(LEFT(LOWER(TRIM($F377&amp;"")),12)="subscription",LOWER(TRIM($F377&amp;""))="membership"),"",IF(OR($N377="",$I377="",$I377=0),"",IFERROR($N377/$I377,""))))</x:f>
      </x:c>
      <x:c r="P377" s="987" t="str">
        <x:f>IF(COUNTA($A377:$M377)=0,"",IF(OR(LEFT(LOWER(TRIM($F377&amp;"")),12)="subscription",LOWER(TRIM($F377&amp;""))="membership"),"",IF(LOWER($L377&amp;"")="yes",0,IF(OR(AND($H377&lt;&gt;"",$H377=0),LEFT(LOWER(TRIM($F377&amp;"")),9)="free game",LOWER(TRIM($F377&amp;""))="free",LOWER(TRIM($F377&amp;""))="free entry"),IF(LOWER($D377&amp;"")="finalized",IF(ISNUMBER($K377),$K377,""),IF($O377&lt;&gt;"",$O377,"")),IF($K377&lt;&gt;"",$K377,IF($O377&lt;&gt;"",$O377,""))))))</x:f>
      </x:c>
      <x:c r="Q377" s="114" t="str">
        <x:f>IF(COUNTA($A377:$M377)=0,"",IF(OR($U377="Subscription",$U377=""),"",IF($U377="Profit",ROUND(IFERROR($P377,0)-IFERROR($H377,0),2),0)))</x:f>
      </x:c>
      <x:c r="R377" s="114" t="str">
        <x:f>IF(COUNTA($A377:$M377)=0,"",IF(OR($U377="Subscription",$U377=""),"",IF($U377="Draw",$H377,0)))</x:f>
      </x:c>
      <x:c r="S377" s="114" t="str">
        <x:f>IF(COUNTA($A377:$M377)=0,"",IF(OR($U377="Subscription",$U377=""),"",IF($U377="Disqualified",$H377,0)))</x:f>
      </x:c>
      <x:c r="T377" s="955" t="str">
        <x:f>IF(COUNTA($A377:$M377)=0,"",IF(OR($U377="Subscription",$U377=""),"",IF(OR($U377="Free Game",$U377="Disqualified — Free Game",$H377=0),"N/A",IF($U377="Profit",$Q377/$H377,IF($U377="Disqualified",-$S377/$H377,0)))))</x:f>
      </x:c>
      <x:c r="U377" s="920" t="str">
        <x:f>IF(COUNTA($A377:$M377)=0,"",IF(OR(LEFT(LOWER(TRIM($F377&amp;"")),12)="subscription",LOWER(TRIM($F377&amp;""))="membership"),"Subscription",IF(OR(AND($H377&lt;&gt;"",$H377=0),LEFT(LOWER(TRIM($F377&amp;"")),9)="free game",LOWER(TRIM($F377&amp;""))="free",LOWER(TRIM($F377&amp;""))="free entry"),IF(LOWER($L377&amp;"")="yes","Disqualified — Free Game","Free Game"),IF(LOWER($L377&amp;"")="yes","Disqualified",IF($P377="","",IF(ROUND(IFERROR(VALUE($P377),0)-IFERROR(VALUE($H377),0),2)&gt;0,"Profit","Draw"))))))</x:f>
      </x:c>
      <x:c r="V377" s="956" t="str">
        <x:f>IF(COUNTA($A377:$M377)=0,"",IF(OR($B377="",$C377="",$U377="Subscription"),"",IFERROR(ROUNDUP(($C377-$B377)/7,0),"")))</x:f>
      </x:c>
      <x:c r="W377" s="114" t="str">
        <x:f>IF(COUNTA($A377:$M377)=0,"",IF(OR($U377="Subscription",$U377=""),"",IF(OR($U377="Free Game",$U377="Disqualified — Free Game"),0,ROUND(IFERROR($Q377,0)-IFERROR($S377,0),2))))</x:f>
      </x:c>
      <x:c r="X377" s="956" t="str">
        <x:f>IF(COUNTA($A377:$M377)=0,"",IF(OR($U377="Subscription",NOT(ISNUMBER($J377)),NOT(ISNUMBER($I377)),$J377=0,$I377=0,$I377&gt;$J377),"",$J377-$I377))</x:f>
      </x:c>
      <x:c r="Y377" s="955" t="str">
        <x:f>IF(COUNTA($A377:$M377)=0,"",IF(OR($U377="Subscription",NOT(ISNUMBER($J377)),$J377=0,$X377=""),"",$X377/$J377))</x:f>
      </x:c>
      <x:c r="Z377" s="957" t="str">
        <x:f>IF(COUNTA($A377:$M377)=0,"",Instructions!$B$29+SUM($W$5:W377))</x:f>
      </x:c>
    </x:row>
    <x:row r="378" ht="36" customHeight="1">
      <x:c r="A378" s="439"/>
      <x:c r="B378" s="453"/>
      <x:c r="C378" s="453"/>
      <x:c r="D378" s="454"/>
      <x:c r="E378" s="454"/>
      <x:c r="F378" s="454"/>
      <x:c r="G378" s="986"/>
      <x:c r="H378" s="455"/>
      <x:c r="I378" s="456"/>
      <x:c r="J378" s="456"/>
      <x:c r="K378" s="986"/>
      <x:c r="L378" s="454"/>
      <x:c r="M378" s="439"/>
      <x:c r="N378" s="987" t="str">
        <x:f>IF(COUNTA($A378:$M378)=0,"",IF(OR(LEFT(LOWER(TRIM($F378&amp;"")),12)="subscription",LOWER(TRIM($F378&amp;""))="membership"),"",IF($G378="","",IF(ISNUMBER(SEARCH("non",LOWER($E378&amp;""))),$G378*0.85,$G378))))</x:f>
      </x:c>
      <x:c r="O378" s="987" t="str">
        <x:f>IF(COUNTA($A378:$M378)=0,"",IF(OR(LEFT(LOWER(TRIM($F378&amp;"")),12)="subscription",LOWER(TRIM($F378&amp;""))="membership"),"",IF(OR($N378="",$I378="",$I378=0),"",IFERROR($N378/$I378,""))))</x:f>
      </x:c>
      <x:c r="P378" s="987" t="str">
        <x:f>IF(COUNTA($A378:$M378)=0,"",IF(OR(LEFT(LOWER(TRIM($F378&amp;"")),12)="subscription",LOWER(TRIM($F378&amp;""))="membership"),"",IF(LOWER($L378&amp;"")="yes",0,IF(OR(AND($H378&lt;&gt;"",$H378=0),LEFT(LOWER(TRIM($F378&amp;"")),9)="free game",LOWER(TRIM($F378&amp;""))="free",LOWER(TRIM($F378&amp;""))="free entry"),IF(LOWER($D378&amp;"")="finalized",IF(ISNUMBER($K378),$K378,""),IF($O378&lt;&gt;"",$O378,"")),IF($K378&lt;&gt;"",$K378,IF($O378&lt;&gt;"",$O378,""))))))</x:f>
      </x:c>
      <x:c r="Q378" s="114" t="str">
        <x:f>IF(COUNTA($A378:$M378)=0,"",IF(OR($U378="Subscription",$U378=""),"",IF($U378="Profit",ROUND(IFERROR($P378,0)-IFERROR($H378,0),2),0)))</x:f>
      </x:c>
      <x:c r="R378" s="114" t="str">
        <x:f>IF(COUNTA($A378:$M378)=0,"",IF(OR($U378="Subscription",$U378=""),"",IF($U378="Draw",$H378,0)))</x:f>
      </x:c>
      <x:c r="S378" s="114" t="str">
        <x:f>IF(COUNTA($A378:$M378)=0,"",IF(OR($U378="Subscription",$U378=""),"",IF($U378="Disqualified",$H378,0)))</x:f>
      </x:c>
      <x:c r="T378" s="955" t="str">
        <x:f>IF(COUNTA($A378:$M378)=0,"",IF(OR($U378="Subscription",$U378=""),"",IF(OR($U378="Free Game",$U378="Disqualified — Free Game",$H378=0),"N/A",IF($U378="Profit",$Q378/$H378,IF($U378="Disqualified",-$S378/$H378,0)))))</x:f>
      </x:c>
      <x:c r="U378" s="920" t="str">
        <x:f>IF(COUNTA($A378:$M378)=0,"",IF(OR(LEFT(LOWER(TRIM($F378&amp;"")),12)="subscription",LOWER(TRIM($F378&amp;""))="membership"),"Subscription",IF(OR(AND($H378&lt;&gt;"",$H378=0),LEFT(LOWER(TRIM($F378&amp;"")),9)="free game",LOWER(TRIM($F378&amp;""))="free",LOWER(TRIM($F378&amp;""))="free entry"),IF(LOWER($L378&amp;"")="yes","Disqualified — Free Game","Free Game"),IF(LOWER($L378&amp;"")="yes","Disqualified",IF($P378="","",IF(ROUND(IFERROR(VALUE($P378),0)-IFERROR(VALUE($H378),0),2)&gt;0,"Profit","Draw"))))))</x:f>
      </x:c>
      <x:c r="V378" s="956" t="str">
        <x:f>IF(COUNTA($A378:$M378)=0,"",IF(OR($B378="",$C378="",$U378="Subscription"),"",IFERROR(ROUNDUP(($C378-$B378)/7,0),"")))</x:f>
      </x:c>
      <x:c r="W378" s="114" t="str">
        <x:f>IF(COUNTA($A378:$M378)=0,"",IF(OR($U378="Subscription",$U378=""),"",IF(OR($U378="Free Game",$U378="Disqualified — Free Game"),0,ROUND(IFERROR($Q378,0)-IFERROR($S378,0),2))))</x:f>
      </x:c>
      <x:c r="X378" s="956" t="str">
        <x:f>IF(COUNTA($A378:$M378)=0,"",IF(OR($U378="Subscription",NOT(ISNUMBER($J378)),NOT(ISNUMBER($I378)),$J378=0,$I378=0,$I378&gt;$J378),"",$J378-$I378))</x:f>
      </x:c>
      <x:c r="Y378" s="955" t="str">
        <x:f>IF(COUNTA($A378:$M378)=0,"",IF(OR($U378="Subscription",NOT(ISNUMBER($J378)),$J378=0,$X378=""),"",$X378/$J378))</x:f>
      </x:c>
      <x:c r="Z378" s="957" t="str">
        <x:f>IF(COUNTA($A378:$M378)=0,"",Instructions!$B$29+SUM($W$5:W378))</x:f>
      </x:c>
    </x:row>
    <x:row r="379" ht="36" customHeight="1">
      <x:c r="A379" s="439"/>
      <x:c r="B379" s="453"/>
      <x:c r="C379" s="453"/>
      <x:c r="D379" s="454"/>
      <x:c r="E379" s="454"/>
      <x:c r="F379" s="454"/>
      <x:c r="G379" s="986"/>
      <x:c r="H379" s="455"/>
      <x:c r="I379" s="456"/>
      <x:c r="J379" s="456"/>
      <x:c r="K379" s="986"/>
      <x:c r="L379" s="454"/>
      <x:c r="M379" s="439"/>
      <x:c r="N379" s="987" t="str">
        <x:f>IF(COUNTA($A379:$M379)=0,"",IF(OR(LEFT(LOWER(TRIM($F379&amp;"")),12)="subscription",LOWER(TRIM($F379&amp;""))="membership"),"",IF($G379="","",IF(ISNUMBER(SEARCH("non",LOWER($E379&amp;""))),$G379*0.85,$G379))))</x:f>
      </x:c>
      <x:c r="O379" s="987" t="str">
        <x:f>IF(COUNTA($A379:$M379)=0,"",IF(OR(LEFT(LOWER(TRIM($F379&amp;"")),12)="subscription",LOWER(TRIM($F379&amp;""))="membership"),"",IF(OR($N379="",$I379="",$I379=0),"",IFERROR($N379/$I379,""))))</x:f>
      </x:c>
      <x:c r="P379" s="987" t="str">
        <x:f>IF(COUNTA($A379:$M379)=0,"",IF(OR(LEFT(LOWER(TRIM($F379&amp;"")),12)="subscription",LOWER(TRIM($F379&amp;""))="membership"),"",IF(LOWER($L379&amp;"")="yes",0,IF(OR(AND($H379&lt;&gt;"",$H379=0),LEFT(LOWER(TRIM($F379&amp;"")),9)="free game",LOWER(TRIM($F379&amp;""))="free",LOWER(TRIM($F379&amp;""))="free entry"),IF(LOWER($D379&amp;"")="finalized",IF(ISNUMBER($K379),$K379,""),IF($O379&lt;&gt;"",$O379,"")),IF($K379&lt;&gt;"",$K379,IF($O379&lt;&gt;"",$O379,""))))))</x:f>
      </x:c>
      <x:c r="Q379" s="114" t="str">
        <x:f>IF(COUNTA($A379:$M379)=0,"",IF(OR($U379="Subscription",$U379=""),"",IF($U379="Profit",ROUND(IFERROR($P379,0)-IFERROR($H379,0),2),0)))</x:f>
      </x:c>
      <x:c r="R379" s="114" t="str">
        <x:f>IF(COUNTA($A379:$M379)=0,"",IF(OR($U379="Subscription",$U379=""),"",IF($U379="Draw",$H379,0)))</x:f>
      </x:c>
      <x:c r="S379" s="114" t="str">
        <x:f>IF(COUNTA($A379:$M379)=0,"",IF(OR($U379="Subscription",$U379=""),"",IF($U379="Disqualified",$H379,0)))</x:f>
      </x:c>
      <x:c r="T379" s="955" t="str">
        <x:f>IF(COUNTA($A379:$M379)=0,"",IF(OR($U379="Subscription",$U379=""),"",IF(OR($U379="Free Game",$U379="Disqualified — Free Game",$H379=0),"N/A",IF($U379="Profit",$Q379/$H379,IF($U379="Disqualified",-$S379/$H379,0)))))</x:f>
      </x:c>
      <x:c r="U379" s="920" t="str">
        <x:f>IF(COUNTA($A379:$M379)=0,"",IF(OR(LEFT(LOWER(TRIM($F379&amp;"")),12)="subscription",LOWER(TRIM($F379&amp;""))="membership"),"Subscription",IF(OR(AND($H379&lt;&gt;"",$H379=0),LEFT(LOWER(TRIM($F379&amp;"")),9)="free game",LOWER(TRIM($F379&amp;""))="free",LOWER(TRIM($F379&amp;""))="free entry"),IF(LOWER($L379&amp;"")="yes","Disqualified — Free Game","Free Game"),IF(LOWER($L379&amp;"")="yes","Disqualified",IF($P379="","",IF(ROUND(IFERROR(VALUE($P379),0)-IFERROR(VALUE($H379),0),2)&gt;0,"Profit","Draw"))))))</x:f>
      </x:c>
      <x:c r="V379" s="956" t="str">
        <x:f>IF(COUNTA($A379:$M379)=0,"",IF(OR($B379="",$C379="",$U379="Subscription"),"",IFERROR(ROUNDUP(($C379-$B379)/7,0),"")))</x:f>
      </x:c>
      <x:c r="W379" s="114" t="str">
        <x:f>IF(COUNTA($A379:$M379)=0,"",IF(OR($U379="Subscription",$U379=""),"",IF(OR($U379="Free Game",$U379="Disqualified — Free Game"),0,ROUND(IFERROR($Q379,0)-IFERROR($S379,0),2))))</x:f>
      </x:c>
      <x:c r="X379" s="956" t="str">
        <x:f>IF(COUNTA($A379:$M379)=0,"",IF(OR($U379="Subscription",NOT(ISNUMBER($J379)),NOT(ISNUMBER($I379)),$J379=0,$I379=0,$I379&gt;$J379),"",$J379-$I379))</x:f>
      </x:c>
      <x:c r="Y379" s="955" t="str">
        <x:f>IF(COUNTA($A379:$M379)=0,"",IF(OR($U379="Subscription",NOT(ISNUMBER($J379)),$J379=0,$X379=""),"",$X379/$J379))</x:f>
      </x:c>
      <x:c r="Z379" s="957" t="str">
        <x:f>IF(COUNTA($A379:$M379)=0,"",Instructions!$B$29+SUM($W$5:W379))</x:f>
      </x:c>
    </x:row>
    <x:row r="380" ht="36" customHeight="1">
      <x:c r="A380" s="439"/>
      <x:c r="B380" s="453"/>
      <x:c r="C380" s="453"/>
      <x:c r="D380" s="454"/>
      <x:c r="E380" s="454"/>
      <x:c r="F380" s="454"/>
      <x:c r="G380" s="986"/>
      <x:c r="H380" s="455"/>
      <x:c r="I380" s="456"/>
      <x:c r="J380" s="456"/>
      <x:c r="K380" s="986"/>
      <x:c r="L380" s="454"/>
      <x:c r="M380" s="439"/>
      <x:c r="N380" s="987" t="str">
        <x:f>IF(COUNTA($A380:$M380)=0,"",IF(OR(LEFT(LOWER(TRIM($F380&amp;"")),12)="subscription",LOWER(TRIM($F380&amp;""))="membership"),"",IF($G380="","",IF(ISNUMBER(SEARCH("non",LOWER($E380&amp;""))),$G380*0.85,$G380))))</x:f>
      </x:c>
      <x:c r="O380" s="987" t="str">
        <x:f>IF(COUNTA($A380:$M380)=0,"",IF(OR(LEFT(LOWER(TRIM($F380&amp;"")),12)="subscription",LOWER(TRIM($F380&amp;""))="membership"),"",IF(OR($N380="",$I380="",$I380=0),"",IFERROR($N380/$I380,""))))</x:f>
      </x:c>
      <x:c r="P380" s="987" t="str">
        <x:f>IF(COUNTA($A380:$M380)=0,"",IF(OR(LEFT(LOWER(TRIM($F380&amp;"")),12)="subscription",LOWER(TRIM($F380&amp;""))="membership"),"",IF(LOWER($L380&amp;"")="yes",0,IF(OR(AND($H380&lt;&gt;"",$H380=0),LEFT(LOWER(TRIM($F380&amp;"")),9)="free game",LOWER(TRIM($F380&amp;""))="free",LOWER(TRIM($F380&amp;""))="free entry"),IF(LOWER($D380&amp;"")="finalized",IF(ISNUMBER($K380),$K380,""),IF($O380&lt;&gt;"",$O380,"")),IF($K380&lt;&gt;"",$K380,IF($O380&lt;&gt;"",$O380,""))))))</x:f>
      </x:c>
      <x:c r="Q380" s="114" t="str">
        <x:f>IF(COUNTA($A380:$M380)=0,"",IF(OR($U380="Subscription",$U380=""),"",IF($U380="Profit",ROUND(IFERROR($P380,0)-IFERROR($H380,0),2),0)))</x:f>
      </x:c>
      <x:c r="R380" s="114" t="str">
        <x:f>IF(COUNTA($A380:$M380)=0,"",IF(OR($U380="Subscription",$U380=""),"",IF($U380="Draw",$H380,0)))</x:f>
      </x:c>
      <x:c r="S380" s="114" t="str">
        <x:f>IF(COUNTA($A380:$M380)=0,"",IF(OR($U380="Subscription",$U380=""),"",IF($U380="Disqualified",$H380,0)))</x:f>
      </x:c>
      <x:c r="T380" s="955" t="str">
        <x:f>IF(COUNTA($A380:$M380)=0,"",IF(OR($U380="Subscription",$U380=""),"",IF(OR($U380="Free Game",$U380="Disqualified — Free Game",$H380=0),"N/A",IF($U380="Profit",$Q380/$H380,IF($U380="Disqualified",-$S380/$H380,0)))))</x:f>
      </x:c>
      <x:c r="U380" s="920" t="str">
        <x:f>IF(COUNTA($A380:$M380)=0,"",IF(OR(LEFT(LOWER(TRIM($F380&amp;"")),12)="subscription",LOWER(TRIM($F380&amp;""))="membership"),"Subscription",IF(OR(AND($H380&lt;&gt;"",$H380=0),LEFT(LOWER(TRIM($F380&amp;"")),9)="free game",LOWER(TRIM($F380&amp;""))="free",LOWER(TRIM($F380&amp;""))="free entry"),IF(LOWER($L380&amp;"")="yes","Disqualified — Free Game","Free Game"),IF(LOWER($L380&amp;"")="yes","Disqualified",IF($P380="","",IF(ROUND(IFERROR(VALUE($P380),0)-IFERROR(VALUE($H380),0),2)&gt;0,"Profit","Draw"))))))</x:f>
      </x:c>
      <x:c r="V380" s="956" t="str">
        <x:f>IF(COUNTA($A380:$M380)=0,"",IF(OR($B380="",$C380="",$U380="Subscription"),"",IFERROR(ROUNDUP(($C380-$B380)/7,0),"")))</x:f>
      </x:c>
      <x:c r="W380" s="114" t="str">
        <x:f>IF(COUNTA($A380:$M380)=0,"",IF(OR($U380="Subscription",$U380=""),"",IF(OR($U380="Free Game",$U380="Disqualified — Free Game"),0,ROUND(IFERROR($Q380,0)-IFERROR($S380,0),2))))</x:f>
      </x:c>
      <x:c r="X380" s="956" t="str">
        <x:f>IF(COUNTA($A380:$M380)=0,"",IF(OR($U380="Subscription",NOT(ISNUMBER($J380)),NOT(ISNUMBER($I380)),$J380=0,$I380=0,$I380&gt;$J380),"",$J380-$I380))</x:f>
      </x:c>
      <x:c r="Y380" s="955" t="str">
        <x:f>IF(COUNTA($A380:$M380)=0,"",IF(OR($U380="Subscription",NOT(ISNUMBER($J380)),$J380=0,$X380=""),"",$X380/$J380))</x:f>
      </x:c>
      <x:c r="Z380" s="957" t="str">
        <x:f>IF(COUNTA($A380:$M380)=0,"",Instructions!$B$29+SUM($W$5:W380))</x:f>
      </x:c>
    </x:row>
    <x:row r="381" ht="36" customHeight="1">
      <x:c r="A381" s="439"/>
      <x:c r="B381" s="453"/>
      <x:c r="C381" s="453"/>
      <x:c r="D381" s="454"/>
      <x:c r="E381" s="454"/>
      <x:c r="F381" s="454"/>
      <x:c r="G381" s="986"/>
      <x:c r="H381" s="455"/>
      <x:c r="I381" s="456"/>
      <x:c r="J381" s="456"/>
      <x:c r="K381" s="986"/>
      <x:c r="L381" s="454"/>
      <x:c r="M381" s="439"/>
      <x:c r="N381" s="987" t="str">
        <x:f>IF(COUNTA($A381:$M381)=0,"",IF(OR(LEFT(LOWER(TRIM($F381&amp;"")),12)="subscription",LOWER(TRIM($F381&amp;""))="membership"),"",IF($G381="","",IF(ISNUMBER(SEARCH("non",LOWER($E381&amp;""))),$G381*0.85,$G381))))</x:f>
      </x:c>
      <x:c r="O381" s="987" t="str">
        <x:f>IF(COUNTA($A381:$M381)=0,"",IF(OR(LEFT(LOWER(TRIM($F381&amp;"")),12)="subscription",LOWER(TRIM($F381&amp;""))="membership"),"",IF(OR($N381="",$I381="",$I381=0),"",IFERROR($N381/$I381,""))))</x:f>
      </x:c>
      <x:c r="P381" s="987" t="str">
        <x:f>IF(COUNTA($A381:$M381)=0,"",IF(OR(LEFT(LOWER(TRIM($F381&amp;"")),12)="subscription",LOWER(TRIM($F381&amp;""))="membership"),"",IF(LOWER($L381&amp;"")="yes",0,IF(OR(AND($H381&lt;&gt;"",$H381=0),LEFT(LOWER(TRIM($F381&amp;"")),9)="free game",LOWER(TRIM($F381&amp;""))="free",LOWER(TRIM($F381&amp;""))="free entry"),IF(LOWER($D381&amp;"")="finalized",IF(ISNUMBER($K381),$K381,""),IF($O381&lt;&gt;"",$O381,"")),IF($K381&lt;&gt;"",$K381,IF($O381&lt;&gt;"",$O381,""))))))</x:f>
      </x:c>
      <x:c r="Q381" s="114" t="str">
        <x:f>IF(COUNTA($A381:$M381)=0,"",IF(OR($U381="Subscription",$U381=""),"",IF($U381="Profit",ROUND(IFERROR($P381,0)-IFERROR($H381,0),2),0)))</x:f>
      </x:c>
      <x:c r="R381" s="114" t="str">
        <x:f>IF(COUNTA($A381:$M381)=0,"",IF(OR($U381="Subscription",$U381=""),"",IF($U381="Draw",$H381,0)))</x:f>
      </x:c>
      <x:c r="S381" s="114" t="str">
        <x:f>IF(COUNTA($A381:$M381)=0,"",IF(OR($U381="Subscription",$U381=""),"",IF($U381="Disqualified",$H381,0)))</x:f>
      </x:c>
      <x:c r="T381" s="955" t="str">
        <x:f>IF(COUNTA($A381:$M381)=0,"",IF(OR($U381="Subscription",$U381=""),"",IF(OR($U381="Free Game",$U381="Disqualified — Free Game",$H381=0),"N/A",IF($U381="Profit",$Q381/$H381,IF($U381="Disqualified",-$S381/$H381,0)))))</x:f>
      </x:c>
      <x:c r="U381" s="920" t="str">
        <x:f>IF(COUNTA($A381:$M381)=0,"",IF(OR(LEFT(LOWER(TRIM($F381&amp;"")),12)="subscription",LOWER(TRIM($F381&amp;""))="membership"),"Subscription",IF(OR(AND($H381&lt;&gt;"",$H381=0),LEFT(LOWER(TRIM($F381&amp;"")),9)="free game",LOWER(TRIM($F381&amp;""))="free",LOWER(TRIM($F381&amp;""))="free entry"),IF(LOWER($L381&amp;"")="yes","Disqualified — Free Game","Free Game"),IF(LOWER($L381&amp;"")="yes","Disqualified",IF($P381="","",IF(ROUND(IFERROR(VALUE($P381),0)-IFERROR(VALUE($H381),0),2)&gt;0,"Profit","Draw"))))))</x:f>
      </x:c>
      <x:c r="V381" s="956" t="str">
        <x:f>IF(COUNTA($A381:$M381)=0,"",IF(OR($B381="",$C381="",$U381="Subscription"),"",IFERROR(ROUNDUP(($C381-$B381)/7,0),"")))</x:f>
      </x:c>
      <x:c r="W381" s="114" t="str">
        <x:f>IF(COUNTA($A381:$M381)=0,"",IF(OR($U381="Subscription",$U381=""),"",IF(OR($U381="Free Game",$U381="Disqualified — Free Game"),0,ROUND(IFERROR($Q381,0)-IFERROR($S381,0),2))))</x:f>
      </x:c>
      <x:c r="X381" s="956" t="str">
        <x:f>IF(COUNTA($A381:$M381)=0,"",IF(OR($U381="Subscription",NOT(ISNUMBER($J381)),NOT(ISNUMBER($I381)),$J381=0,$I381=0,$I381&gt;$J381),"",$J381-$I381))</x:f>
      </x:c>
      <x:c r="Y381" s="955" t="str">
        <x:f>IF(COUNTA($A381:$M381)=0,"",IF(OR($U381="Subscription",NOT(ISNUMBER($J381)),$J381=0,$X381=""),"",$X381/$J381))</x:f>
      </x:c>
      <x:c r="Z381" s="957" t="str">
        <x:f>IF(COUNTA($A381:$M381)=0,"",Instructions!$B$29+SUM($W$5:W381))</x:f>
      </x:c>
    </x:row>
    <x:row r="382" ht="36" customHeight="1">
      <x:c r="A382" s="439"/>
      <x:c r="B382" s="453"/>
      <x:c r="C382" s="453"/>
      <x:c r="D382" s="454"/>
      <x:c r="E382" s="454"/>
      <x:c r="F382" s="454"/>
      <x:c r="G382" s="986"/>
      <x:c r="H382" s="455"/>
      <x:c r="I382" s="456"/>
      <x:c r="J382" s="456"/>
      <x:c r="K382" s="986"/>
      <x:c r="L382" s="454"/>
      <x:c r="M382" s="439"/>
      <x:c r="N382" s="987" t="str">
        <x:f>IF(COUNTA($A382:$M382)=0,"",IF(OR(LEFT(LOWER(TRIM($F382&amp;"")),12)="subscription",LOWER(TRIM($F382&amp;""))="membership"),"",IF($G382="","",IF(ISNUMBER(SEARCH("non",LOWER($E382&amp;""))),$G382*0.85,$G382))))</x:f>
      </x:c>
      <x:c r="O382" s="987" t="str">
        <x:f>IF(COUNTA($A382:$M382)=0,"",IF(OR(LEFT(LOWER(TRIM($F382&amp;"")),12)="subscription",LOWER(TRIM($F382&amp;""))="membership"),"",IF(OR($N382="",$I382="",$I382=0),"",IFERROR($N382/$I382,""))))</x:f>
      </x:c>
      <x:c r="P382" s="987" t="str">
        <x:f>IF(COUNTA($A382:$M382)=0,"",IF(OR(LEFT(LOWER(TRIM($F382&amp;"")),12)="subscription",LOWER(TRIM($F382&amp;""))="membership"),"",IF(LOWER($L382&amp;"")="yes",0,IF(OR(AND($H382&lt;&gt;"",$H382=0),LEFT(LOWER(TRIM($F382&amp;"")),9)="free game",LOWER(TRIM($F382&amp;""))="free",LOWER(TRIM($F382&amp;""))="free entry"),IF(LOWER($D382&amp;"")="finalized",IF(ISNUMBER($K382),$K382,""),IF($O382&lt;&gt;"",$O382,"")),IF($K382&lt;&gt;"",$K382,IF($O382&lt;&gt;"",$O382,""))))))</x:f>
      </x:c>
      <x:c r="Q382" s="114" t="str">
        <x:f>IF(COUNTA($A382:$M382)=0,"",IF(OR($U382="Subscription",$U382=""),"",IF($U382="Profit",ROUND(IFERROR($P382,0)-IFERROR($H382,0),2),0)))</x:f>
      </x:c>
      <x:c r="R382" s="114" t="str">
        <x:f>IF(COUNTA($A382:$M382)=0,"",IF(OR($U382="Subscription",$U382=""),"",IF($U382="Draw",$H382,0)))</x:f>
      </x:c>
      <x:c r="S382" s="114" t="str">
        <x:f>IF(COUNTA($A382:$M382)=0,"",IF(OR($U382="Subscription",$U382=""),"",IF($U382="Disqualified",$H382,0)))</x:f>
      </x:c>
      <x:c r="T382" s="955" t="str">
        <x:f>IF(COUNTA($A382:$M382)=0,"",IF(OR($U382="Subscription",$U382=""),"",IF(OR($U382="Free Game",$U382="Disqualified — Free Game",$H382=0),"N/A",IF($U382="Profit",$Q382/$H382,IF($U382="Disqualified",-$S382/$H382,0)))))</x:f>
      </x:c>
      <x:c r="U382" s="920" t="str">
        <x:f>IF(COUNTA($A382:$M382)=0,"",IF(OR(LEFT(LOWER(TRIM($F382&amp;"")),12)="subscription",LOWER(TRIM($F382&amp;""))="membership"),"Subscription",IF(OR(AND($H382&lt;&gt;"",$H382=0),LEFT(LOWER(TRIM($F382&amp;"")),9)="free game",LOWER(TRIM($F382&amp;""))="free",LOWER(TRIM($F382&amp;""))="free entry"),IF(LOWER($L382&amp;"")="yes","Disqualified — Free Game","Free Game"),IF(LOWER($L382&amp;"")="yes","Disqualified",IF($P382="","",IF(ROUND(IFERROR(VALUE($P382),0)-IFERROR(VALUE($H382),0),2)&gt;0,"Profit","Draw"))))))</x:f>
      </x:c>
      <x:c r="V382" s="956" t="str">
        <x:f>IF(COUNTA($A382:$M382)=0,"",IF(OR($B382="",$C382="",$U382="Subscription"),"",IFERROR(ROUNDUP(($C382-$B382)/7,0),"")))</x:f>
      </x:c>
      <x:c r="W382" s="114" t="str">
        <x:f>IF(COUNTA($A382:$M382)=0,"",IF(OR($U382="Subscription",$U382=""),"",IF(OR($U382="Free Game",$U382="Disqualified — Free Game"),0,ROUND(IFERROR($Q382,0)-IFERROR($S382,0),2))))</x:f>
      </x:c>
      <x:c r="X382" s="956" t="str">
        <x:f>IF(COUNTA($A382:$M382)=0,"",IF(OR($U382="Subscription",NOT(ISNUMBER($J382)),NOT(ISNUMBER($I382)),$J382=0,$I382=0,$I382&gt;$J382),"",$J382-$I382))</x:f>
      </x:c>
      <x:c r="Y382" s="955" t="str">
        <x:f>IF(COUNTA($A382:$M382)=0,"",IF(OR($U382="Subscription",NOT(ISNUMBER($J382)),$J382=0,$X382=""),"",$X382/$J382))</x:f>
      </x:c>
      <x:c r="Z382" s="957" t="str">
        <x:f>IF(COUNTA($A382:$M382)=0,"",Instructions!$B$29+SUM($W$5:W382))</x:f>
      </x:c>
    </x:row>
    <x:row r="383" ht="36" customHeight="1">
      <x:c r="A383" s="439"/>
      <x:c r="B383" s="453"/>
      <x:c r="C383" s="453"/>
      <x:c r="D383" s="454"/>
      <x:c r="E383" s="454"/>
      <x:c r="F383" s="454"/>
      <x:c r="G383" s="986"/>
      <x:c r="H383" s="455"/>
      <x:c r="I383" s="456"/>
      <x:c r="J383" s="456"/>
      <x:c r="K383" s="986"/>
      <x:c r="L383" s="454"/>
      <x:c r="M383" s="439"/>
      <x:c r="N383" s="987" t="str">
        <x:f>IF(COUNTA($A383:$M383)=0,"",IF(OR(LEFT(LOWER(TRIM($F383&amp;"")),12)="subscription",LOWER(TRIM($F383&amp;""))="membership"),"",IF($G383="","",IF(ISNUMBER(SEARCH("non",LOWER($E383&amp;""))),$G383*0.85,$G383))))</x:f>
      </x:c>
      <x:c r="O383" s="987" t="str">
        <x:f>IF(COUNTA($A383:$M383)=0,"",IF(OR(LEFT(LOWER(TRIM($F383&amp;"")),12)="subscription",LOWER(TRIM($F383&amp;""))="membership"),"",IF(OR($N383="",$I383="",$I383=0),"",IFERROR($N383/$I383,""))))</x:f>
      </x:c>
      <x:c r="P383" s="987" t="str">
        <x:f>IF(COUNTA($A383:$M383)=0,"",IF(OR(LEFT(LOWER(TRIM($F383&amp;"")),12)="subscription",LOWER(TRIM($F383&amp;""))="membership"),"",IF(LOWER($L383&amp;"")="yes",0,IF(OR(AND($H383&lt;&gt;"",$H383=0),LEFT(LOWER(TRIM($F383&amp;"")),9)="free game",LOWER(TRIM($F383&amp;""))="free",LOWER(TRIM($F383&amp;""))="free entry"),IF(LOWER($D383&amp;"")="finalized",IF(ISNUMBER($K383),$K383,""),IF($O383&lt;&gt;"",$O383,"")),IF($K383&lt;&gt;"",$K383,IF($O383&lt;&gt;"",$O383,""))))))</x:f>
      </x:c>
      <x:c r="Q383" s="114" t="str">
        <x:f>IF(COUNTA($A383:$M383)=0,"",IF(OR($U383="Subscription",$U383=""),"",IF($U383="Profit",ROUND(IFERROR($P383,0)-IFERROR($H383,0),2),0)))</x:f>
      </x:c>
      <x:c r="R383" s="114" t="str">
        <x:f>IF(COUNTA($A383:$M383)=0,"",IF(OR($U383="Subscription",$U383=""),"",IF($U383="Draw",$H383,0)))</x:f>
      </x:c>
      <x:c r="S383" s="114" t="str">
        <x:f>IF(COUNTA($A383:$M383)=0,"",IF(OR($U383="Subscription",$U383=""),"",IF($U383="Disqualified",$H383,0)))</x:f>
      </x:c>
      <x:c r="T383" s="955" t="str">
        <x:f>IF(COUNTA($A383:$M383)=0,"",IF(OR($U383="Subscription",$U383=""),"",IF(OR($U383="Free Game",$U383="Disqualified — Free Game",$H383=0),"N/A",IF($U383="Profit",$Q383/$H383,IF($U383="Disqualified",-$S383/$H383,0)))))</x:f>
      </x:c>
      <x:c r="U383" s="920" t="str">
        <x:f>IF(COUNTA($A383:$M383)=0,"",IF(OR(LEFT(LOWER(TRIM($F383&amp;"")),12)="subscription",LOWER(TRIM($F383&amp;""))="membership"),"Subscription",IF(OR(AND($H383&lt;&gt;"",$H383=0),LEFT(LOWER(TRIM($F383&amp;"")),9)="free game",LOWER(TRIM($F383&amp;""))="free",LOWER(TRIM($F383&amp;""))="free entry"),IF(LOWER($L383&amp;"")="yes","Disqualified — Free Game","Free Game"),IF(LOWER($L383&amp;"")="yes","Disqualified",IF($P383="","",IF(ROUND(IFERROR(VALUE($P383),0)-IFERROR(VALUE($H383),0),2)&gt;0,"Profit","Draw"))))))</x:f>
      </x:c>
      <x:c r="V383" s="956" t="str">
        <x:f>IF(COUNTA($A383:$M383)=0,"",IF(OR($B383="",$C383="",$U383="Subscription"),"",IFERROR(ROUNDUP(($C383-$B383)/7,0),"")))</x:f>
      </x:c>
      <x:c r="W383" s="114" t="str">
        <x:f>IF(COUNTA($A383:$M383)=0,"",IF(OR($U383="Subscription",$U383=""),"",IF(OR($U383="Free Game",$U383="Disqualified — Free Game"),0,ROUND(IFERROR($Q383,0)-IFERROR($S383,0),2))))</x:f>
      </x:c>
      <x:c r="X383" s="956" t="str">
        <x:f>IF(COUNTA($A383:$M383)=0,"",IF(OR($U383="Subscription",NOT(ISNUMBER($J383)),NOT(ISNUMBER($I383)),$J383=0,$I383=0,$I383&gt;$J383),"",$J383-$I383))</x:f>
      </x:c>
      <x:c r="Y383" s="955" t="str">
        <x:f>IF(COUNTA($A383:$M383)=0,"",IF(OR($U383="Subscription",NOT(ISNUMBER($J383)),$J383=0,$X383=""),"",$X383/$J383))</x:f>
      </x:c>
      <x:c r="Z383" s="957" t="str">
        <x:f>IF(COUNTA($A383:$M383)=0,"",Instructions!$B$29+SUM($W$5:W383))</x:f>
      </x:c>
    </x:row>
    <x:row r="384" ht="36" customHeight="1">
      <x:c r="A384" s="439"/>
      <x:c r="B384" s="453"/>
      <x:c r="C384" s="453"/>
      <x:c r="D384" s="454"/>
      <x:c r="E384" s="454"/>
      <x:c r="F384" s="454"/>
      <x:c r="G384" s="986"/>
      <x:c r="H384" s="455"/>
      <x:c r="I384" s="456"/>
      <x:c r="J384" s="456"/>
      <x:c r="K384" s="986"/>
      <x:c r="L384" s="454"/>
      <x:c r="M384" s="439"/>
      <x:c r="N384" s="987" t="str">
        <x:f>IF(COUNTA($A384:$M384)=0,"",IF(OR(LEFT(LOWER(TRIM($F384&amp;"")),12)="subscription",LOWER(TRIM($F384&amp;""))="membership"),"",IF($G384="","",IF(ISNUMBER(SEARCH("non",LOWER($E384&amp;""))),$G384*0.85,$G384))))</x:f>
      </x:c>
      <x:c r="O384" s="987" t="str">
        <x:f>IF(COUNTA($A384:$M384)=0,"",IF(OR(LEFT(LOWER(TRIM($F384&amp;"")),12)="subscription",LOWER(TRIM($F384&amp;""))="membership"),"",IF(OR($N384="",$I384="",$I384=0),"",IFERROR($N384/$I384,""))))</x:f>
      </x:c>
      <x:c r="P384" s="987" t="str">
        <x:f>IF(COUNTA($A384:$M384)=0,"",IF(OR(LEFT(LOWER(TRIM($F384&amp;"")),12)="subscription",LOWER(TRIM($F384&amp;""))="membership"),"",IF(LOWER($L384&amp;"")="yes",0,IF(OR(AND($H384&lt;&gt;"",$H384=0),LEFT(LOWER(TRIM($F384&amp;"")),9)="free game",LOWER(TRIM($F384&amp;""))="free",LOWER(TRIM($F384&amp;""))="free entry"),IF(LOWER($D384&amp;"")="finalized",IF(ISNUMBER($K384),$K384,""),IF($O384&lt;&gt;"",$O384,"")),IF($K384&lt;&gt;"",$K384,IF($O384&lt;&gt;"",$O384,""))))))</x:f>
      </x:c>
      <x:c r="Q384" s="114" t="str">
        <x:f>IF(COUNTA($A384:$M384)=0,"",IF(OR($U384="Subscription",$U384=""),"",IF($U384="Profit",ROUND(IFERROR($P384,0)-IFERROR($H384,0),2),0)))</x:f>
      </x:c>
      <x:c r="R384" s="114" t="str">
        <x:f>IF(COUNTA($A384:$M384)=0,"",IF(OR($U384="Subscription",$U384=""),"",IF($U384="Draw",$H384,0)))</x:f>
      </x:c>
      <x:c r="S384" s="114" t="str">
        <x:f>IF(COUNTA($A384:$M384)=0,"",IF(OR($U384="Subscription",$U384=""),"",IF($U384="Disqualified",$H384,0)))</x:f>
      </x:c>
      <x:c r="T384" s="955" t="str">
        <x:f>IF(COUNTA($A384:$M384)=0,"",IF(OR($U384="Subscription",$U384=""),"",IF(OR($U384="Free Game",$U384="Disqualified — Free Game",$H384=0),"N/A",IF($U384="Profit",$Q384/$H384,IF($U384="Disqualified",-$S384/$H384,0)))))</x:f>
      </x:c>
      <x:c r="U384" s="920" t="str">
        <x:f>IF(COUNTA($A384:$M384)=0,"",IF(OR(LEFT(LOWER(TRIM($F384&amp;"")),12)="subscription",LOWER(TRIM($F384&amp;""))="membership"),"Subscription",IF(OR(AND($H384&lt;&gt;"",$H384=0),LEFT(LOWER(TRIM($F384&amp;"")),9)="free game",LOWER(TRIM($F384&amp;""))="free",LOWER(TRIM($F384&amp;""))="free entry"),IF(LOWER($L384&amp;"")="yes","Disqualified — Free Game","Free Game"),IF(LOWER($L384&amp;"")="yes","Disqualified",IF($P384="","",IF(ROUND(IFERROR(VALUE($P384),0)-IFERROR(VALUE($H384),0),2)&gt;0,"Profit","Draw"))))))</x:f>
      </x:c>
      <x:c r="V384" s="956" t="str">
        <x:f>IF(COUNTA($A384:$M384)=0,"",IF(OR($B384="",$C384="",$U384="Subscription"),"",IFERROR(ROUNDUP(($C384-$B384)/7,0),"")))</x:f>
      </x:c>
      <x:c r="W384" s="114" t="str">
        <x:f>IF(COUNTA($A384:$M384)=0,"",IF(OR($U384="Subscription",$U384=""),"",IF(OR($U384="Free Game",$U384="Disqualified — Free Game"),0,ROUND(IFERROR($Q384,0)-IFERROR($S384,0),2))))</x:f>
      </x:c>
      <x:c r="X384" s="956" t="str">
        <x:f>IF(COUNTA($A384:$M384)=0,"",IF(OR($U384="Subscription",NOT(ISNUMBER($J384)),NOT(ISNUMBER($I384)),$J384=0,$I384=0,$I384&gt;$J384),"",$J384-$I384))</x:f>
      </x:c>
      <x:c r="Y384" s="955" t="str">
        <x:f>IF(COUNTA($A384:$M384)=0,"",IF(OR($U384="Subscription",NOT(ISNUMBER($J384)),$J384=0,$X384=""),"",$X384/$J384))</x:f>
      </x:c>
      <x:c r="Z384" s="957" t="str">
        <x:f>IF(COUNTA($A384:$M384)=0,"",Instructions!$B$29+SUM($W$5:W384))</x:f>
      </x:c>
    </x:row>
    <x:row r="385" ht="36" customHeight="1">
      <x:c r="A385" s="439"/>
      <x:c r="B385" s="453"/>
      <x:c r="C385" s="453"/>
      <x:c r="D385" s="454"/>
      <x:c r="E385" s="454"/>
      <x:c r="F385" s="454"/>
      <x:c r="G385" s="986"/>
      <x:c r="H385" s="455"/>
      <x:c r="I385" s="456"/>
      <x:c r="J385" s="456"/>
      <x:c r="K385" s="986"/>
      <x:c r="L385" s="454"/>
      <x:c r="M385" s="439"/>
      <x:c r="N385" s="987" t="str">
        <x:f>IF(COUNTA($A385:$M385)=0,"",IF(OR(LEFT(LOWER(TRIM($F385&amp;"")),12)="subscription",LOWER(TRIM($F385&amp;""))="membership"),"",IF($G385="","",IF(ISNUMBER(SEARCH("non",LOWER($E385&amp;""))),$G385*0.85,$G385))))</x:f>
      </x:c>
      <x:c r="O385" s="987" t="str">
        <x:f>IF(COUNTA($A385:$M385)=0,"",IF(OR(LEFT(LOWER(TRIM($F385&amp;"")),12)="subscription",LOWER(TRIM($F385&amp;""))="membership"),"",IF(OR($N385="",$I385="",$I385=0),"",IFERROR($N385/$I385,""))))</x:f>
      </x:c>
      <x:c r="P385" s="987" t="str">
        <x:f>IF(COUNTA($A385:$M385)=0,"",IF(OR(LEFT(LOWER(TRIM($F385&amp;"")),12)="subscription",LOWER(TRIM($F385&amp;""))="membership"),"",IF(LOWER($L385&amp;"")="yes",0,IF(OR(AND($H385&lt;&gt;"",$H385=0),LEFT(LOWER(TRIM($F385&amp;"")),9)="free game",LOWER(TRIM($F385&amp;""))="free",LOWER(TRIM($F385&amp;""))="free entry"),IF(LOWER($D385&amp;"")="finalized",IF(ISNUMBER($K385),$K385,""),IF($O385&lt;&gt;"",$O385,"")),IF($K385&lt;&gt;"",$K385,IF($O385&lt;&gt;"",$O385,""))))))</x:f>
      </x:c>
      <x:c r="Q385" s="114" t="str">
        <x:f>IF(COUNTA($A385:$M385)=0,"",IF(OR($U385="Subscription",$U385=""),"",IF($U385="Profit",ROUND(IFERROR($P385,0)-IFERROR($H385,0),2),0)))</x:f>
      </x:c>
      <x:c r="R385" s="114" t="str">
        <x:f>IF(COUNTA($A385:$M385)=0,"",IF(OR($U385="Subscription",$U385=""),"",IF($U385="Draw",$H385,0)))</x:f>
      </x:c>
      <x:c r="S385" s="114" t="str">
        <x:f>IF(COUNTA($A385:$M385)=0,"",IF(OR($U385="Subscription",$U385=""),"",IF($U385="Disqualified",$H385,0)))</x:f>
      </x:c>
      <x:c r="T385" s="955" t="str">
        <x:f>IF(COUNTA($A385:$M385)=0,"",IF(OR($U385="Subscription",$U385=""),"",IF(OR($U385="Free Game",$U385="Disqualified — Free Game",$H385=0),"N/A",IF($U385="Profit",$Q385/$H385,IF($U385="Disqualified",-$S385/$H385,0)))))</x:f>
      </x:c>
      <x:c r="U385" s="920" t="str">
        <x:f>IF(COUNTA($A385:$M385)=0,"",IF(OR(LEFT(LOWER(TRIM($F385&amp;"")),12)="subscription",LOWER(TRIM($F385&amp;""))="membership"),"Subscription",IF(OR(AND($H385&lt;&gt;"",$H385=0),LEFT(LOWER(TRIM($F385&amp;"")),9)="free game",LOWER(TRIM($F385&amp;""))="free",LOWER(TRIM($F385&amp;""))="free entry"),IF(LOWER($L385&amp;"")="yes","Disqualified — Free Game","Free Game"),IF(LOWER($L385&amp;"")="yes","Disqualified",IF($P385="","",IF(ROUND(IFERROR(VALUE($P385),0)-IFERROR(VALUE($H385),0),2)&gt;0,"Profit","Draw"))))))</x:f>
      </x:c>
      <x:c r="V385" s="956" t="str">
        <x:f>IF(COUNTA($A385:$M385)=0,"",IF(OR($B385="",$C385="",$U385="Subscription"),"",IFERROR(ROUNDUP(($C385-$B385)/7,0),"")))</x:f>
      </x:c>
      <x:c r="W385" s="114" t="str">
        <x:f>IF(COUNTA($A385:$M385)=0,"",IF(OR($U385="Subscription",$U385=""),"",IF(OR($U385="Free Game",$U385="Disqualified — Free Game"),0,ROUND(IFERROR($Q385,0)-IFERROR($S385,0),2))))</x:f>
      </x:c>
      <x:c r="X385" s="956" t="str">
        <x:f>IF(COUNTA($A385:$M385)=0,"",IF(OR($U385="Subscription",NOT(ISNUMBER($J385)),NOT(ISNUMBER($I385)),$J385=0,$I385=0,$I385&gt;$J385),"",$J385-$I385))</x:f>
      </x:c>
      <x:c r="Y385" s="955" t="str">
        <x:f>IF(COUNTA($A385:$M385)=0,"",IF(OR($U385="Subscription",NOT(ISNUMBER($J385)),$J385=0,$X385=""),"",$X385/$J385))</x:f>
      </x:c>
      <x:c r="Z385" s="957" t="str">
        <x:f>IF(COUNTA($A385:$M385)=0,"",Instructions!$B$29+SUM($W$5:W385))</x:f>
      </x:c>
    </x:row>
    <x:row r="386" ht="36" customHeight="1">
      <x:c r="A386" s="439"/>
      <x:c r="B386" s="453"/>
      <x:c r="C386" s="453"/>
      <x:c r="D386" s="454"/>
      <x:c r="E386" s="454"/>
      <x:c r="F386" s="454"/>
      <x:c r="G386" s="986"/>
      <x:c r="H386" s="455"/>
      <x:c r="I386" s="456"/>
      <x:c r="J386" s="456"/>
      <x:c r="K386" s="986"/>
      <x:c r="L386" s="454"/>
      <x:c r="M386" s="439"/>
      <x:c r="N386" s="987" t="str">
        <x:f>IF(COUNTA($A386:$M386)=0,"",IF(OR(LEFT(LOWER(TRIM($F386&amp;"")),12)="subscription",LOWER(TRIM($F386&amp;""))="membership"),"",IF($G386="","",IF(ISNUMBER(SEARCH("non",LOWER($E386&amp;""))),$G386*0.85,$G386))))</x:f>
      </x:c>
      <x:c r="O386" s="987" t="str">
        <x:f>IF(COUNTA($A386:$M386)=0,"",IF(OR(LEFT(LOWER(TRIM($F386&amp;"")),12)="subscription",LOWER(TRIM($F386&amp;""))="membership"),"",IF(OR($N386="",$I386="",$I386=0),"",IFERROR($N386/$I386,""))))</x:f>
      </x:c>
      <x:c r="P386" s="987" t="str">
        <x:f>IF(COUNTA($A386:$M386)=0,"",IF(OR(LEFT(LOWER(TRIM($F386&amp;"")),12)="subscription",LOWER(TRIM($F386&amp;""))="membership"),"",IF(LOWER($L386&amp;"")="yes",0,IF(OR(AND($H386&lt;&gt;"",$H386=0),LEFT(LOWER(TRIM($F386&amp;"")),9)="free game",LOWER(TRIM($F386&amp;""))="free",LOWER(TRIM($F386&amp;""))="free entry"),IF(LOWER($D386&amp;"")="finalized",IF(ISNUMBER($K386),$K386,""),IF($O386&lt;&gt;"",$O386,"")),IF($K386&lt;&gt;"",$K386,IF($O386&lt;&gt;"",$O386,""))))))</x:f>
      </x:c>
      <x:c r="Q386" s="114" t="str">
        <x:f>IF(COUNTA($A386:$M386)=0,"",IF(OR($U386="Subscription",$U386=""),"",IF($U386="Profit",ROUND(IFERROR($P386,0)-IFERROR($H386,0),2),0)))</x:f>
      </x:c>
      <x:c r="R386" s="114" t="str">
        <x:f>IF(COUNTA($A386:$M386)=0,"",IF(OR($U386="Subscription",$U386=""),"",IF($U386="Draw",$H386,0)))</x:f>
      </x:c>
      <x:c r="S386" s="114" t="str">
        <x:f>IF(COUNTA($A386:$M386)=0,"",IF(OR($U386="Subscription",$U386=""),"",IF($U386="Disqualified",$H386,0)))</x:f>
      </x:c>
      <x:c r="T386" s="955" t="str">
        <x:f>IF(COUNTA($A386:$M386)=0,"",IF(OR($U386="Subscription",$U386=""),"",IF(OR($U386="Free Game",$U386="Disqualified — Free Game",$H386=0),"N/A",IF($U386="Profit",$Q386/$H386,IF($U386="Disqualified",-$S386/$H386,0)))))</x:f>
      </x:c>
      <x:c r="U386" s="920" t="str">
        <x:f>IF(COUNTA($A386:$M386)=0,"",IF(OR(LEFT(LOWER(TRIM($F386&amp;"")),12)="subscription",LOWER(TRIM($F386&amp;""))="membership"),"Subscription",IF(OR(AND($H386&lt;&gt;"",$H386=0),LEFT(LOWER(TRIM($F386&amp;"")),9)="free game",LOWER(TRIM($F386&amp;""))="free",LOWER(TRIM($F386&amp;""))="free entry"),IF(LOWER($L386&amp;"")="yes","Disqualified — Free Game","Free Game"),IF(LOWER($L386&amp;"")="yes","Disqualified",IF($P386="","",IF(ROUND(IFERROR(VALUE($P386),0)-IFERROR(VALUE($H386),0),2)&gt;0,"Profit","Draw"))))))</x:f>
      </x:c>
      <x:c r="V386" s="956" t="str">
        <x:f>IF(COUNTA($A386:$M386)=0,"",IF(OR($B386="",$C386="",$U386="Subscription"),"",IFERROR(ROUNDUP(($C386-$B386)/7,0),"")))</x:f>
      </x:c>
      <x:c r="W386" s="114" t="str">
        <x:f>IF(COUNTA($A386:$M386)=0,"",IF(OR($U386="Subscription",$U386=""),"",IF(OR($U386="Free Game",$U386="Disqualified — Free Game"),0,ROUND(IFERROR($Q386,0)-IFERROR($S386,0),2))))</x:f>
      </x:c>
      <x:c r="X386" s="956" t="str">
        <x:f>IF(COUNTA($A386:$M386)=0,"",IF(OR($U386="Subscription",NOT(ISNUMBER($J386)),NOT(ISNUMBER($I386)),$J386=0,$I386=0,$I386&gt;$J386),"",$J386-$I386))</x:f>
      </x:c>
      <x:c r="Y386" s="955" t="str">
        <x:f>IF(COUNTA($A386:$M386)=0,"",IF(OR($U386="Subscription",NOT(ISNUMBER($J386)),$J386=0,$X386=""),"",$X386/$J386))</x:f>
      </x:c>
      <x:c r="Z386" s="957" t="str">
        <x:f>IF(COUNTA($A386:$M386)=0,"",Instructions!$B$29+SUM($W$5:W386))</x:f>
      </x:c>
    </x:row>
    <x:row r="387" ht="36" customHeight="1">
      <x:c r="A387" s="439"/>
      <x:c r="B387" s="453"/>
      <x:c r="C387" s="453"/>
      <x:c r="D387" s="454"/>
      <x:c r="E387" s="454"/>
      <x:c r="F387" s="454"/>
      <x:c r="G387" s="986"/>
      <x:c r="H387" s="455"/>
      <x:c r="I387" s="456"/>
      <x:c r="J387" s="456"/>
      <x:c r="K387" s="986"/>
      <x:c r="L387" s="454"/>
      <x:c r="M387" s="439"/>
      <x:c r="N387" s="987" t="str">
        <x:f>IF(COUNTA($A387:$M387)=0,"",IF(OR(LEFT(LOWER(TRIM($F387&amp;"")),12)="subscription",LOWER(TRIM($F387&amp;""))="membership"),"",IF($G387="","",IF(ISNUMBER(SEARCH("non",LOWER($E387&amp;""))),$G387*0.85,$G387))))</x:f>
      </x:c>
      <x:c r="O387" s="987" t="str">
        <x:f>IF(COUNTA($A387:$M387)=0,"",IF(OR(LEFT(LOWER(TRIM($F387&amp;"")),12)="subscription",LOWER(TRIM($F387&amp;""))="membership"),"",IF(OR($N387="",$I387="",$I387=0),"",IFERROR($N387/$I387,""))))</x:f>
      </x:c>
      <x:c r="P387" s="987" t="str">
        <x:f>IF(COUNTA($A387:$M387)=0,"",IF(OR(LEFT(LOWER(TRIM($F387&amp;"")),12)="subscription",LOWER(TRIM($F387&amp;""))="membership"),"",IF(LOWER($L387&amp;"")="yes",0,IF(OR(AND($H387&lt;&gt;"",$H387=0),LEFT(LOWER(TRIM($F387&amp;"")),9)="free game",LOWER(TRIM($F387&amp;""))="free",LOWER(TRIM($F387&amp;""))="free entry"),IF(LOWER($D387&amp;"")="finalized",IF(ISNUMBER($K387),$K387,""),IF($O387&lt;&gt;"",$O387,"")),IF($K387&lt;&gt;"",$K387,IF($O387&lt;&gt;"",$O387,""))))))</x:f>
      </x:c>
      <x:c r="Q387" s="114" t="str">
        <x:f>IF(COUNTA($A387:$M387)=0,"",IF(OR($U387="Subscription",$U387=""),"",IF($U387="Profit",ROUND(IFERROR($P387,0)-IFERROR($H387,0),2),0)))</x:f>
      </x:c>
      <x:c r="R387" s="114" t="str">
        <x:f>IF(COUNTA($A387:$M387)=0,"",IF(OR($U387="Subscription",$U387=""),"",IF($U387="Draw",$H387,0)))</x:f>
      </x:c>
      <x:c r="S387" s="114" t="str">
        <x:f>IF(COUNTA($A387:$M387)=0,"",IF(OR($U387="Subscription",$U387=""),"",IF($U387="Disqualified",$H387,0)))</x:f>
      </x:c>
      <x:c r="T387" s="955" t="str">
        <x:f>IF(COUNTA($A387:$M387)=0,"",IF(OR($U387="Subscription",$U387=""),"",IF(OR($U387="Free Game",$U387="Disqualified — Free Game",$H387=0),"N/A",IF($U387="Profit",$Q387/$H387,IF($U387="Disqualified",-$S387/$H387,0)))))</x:f>
      </x:c>
      <x:c r="U387" s="920" t="str">
        <x:f>IF(COUNTA($A387:$M387)=0,"",IF(OR(LEFT(LOWER(TRIM($F387&amp;"")),12)="subscription",LOWER(TRIM($F387&amp;""))="membership"),"Subscription",IF(OR(AND($H387&lt;&gt;"",$H387=0),LEFT(LOWER(TRIM($F387&amp;"")),9)="free game",LOWER(TRIM($F387&amp;""))="free",LOWER(TRIM($F387&amp;""))="free entry"),IF(LOWER($L387&amp;"")="yes","Disqualified — Free Game","Free Game"),IF(LOWER($L387&amp;"")="yes","Disqualified",IF($P387="","",IF(ROUND(IFERROR(VALUE($P387),0)-IFERROR(VALUE($H387),0),2)&gt;0,"Profit","Draw"))))))</x:f>
      </x:c>
      <x:c r="V387" s="956" t="str">
        <x:f>IF(COUNTA($A387:$M387)=0,"",IF(OR($B387="",$C387="",$U387="Subscription"),"",IFERROR(ROUNDUP(($C387-$B387)/7,0),"")))</x:f>
      </x:c>
      <x:c r="W387" s="114" t="str">
        <x:f>IF(COUNTA($A387:$M387)=0,"",IF(OR($U387="Subscription",$U387=""),"",IF(OR($U387="Free Game",$U387="Disqualified — Free Game"),0,ROUND(IFERROR($Q387,0)-IFERROR($S387,0),2))))</x:f>
      </x:c>
      <x:c r="X387" s="956" t="str">
        <x:f>IF(COUNTA($A387:$M387)=0,"",IF(OR($U387="Subscription",NOT(ISNUMBER($J387)),NOT(ISNUMBER($I387)),$J387=0,$I387=0,$I387&gt;$J387),"",$J387-$I387))</x:f>
      </x:c>
      <x:c r="Y387" s="955" t="str">
        <x:f>IF(COUNTA($A387:$M387)=0,"",IF(OR($U387="Subscription",NOT(ISNUMBER($J387)),$J387=0,$X387=""),"",$X387/$J387))</x:f>
      </x:c>
      <x:c r="Z387" s="957" t="str">
        <x:f>IF(COUNTA($A387:$M387)=0,"",Instructions!$B$29+SUM($W$5:W387))</x:f>
      </x:c>
    </x:row>
    <x:row r="388" ht="36" customHeight="1">
      <x:c r="A388" s="439"/>
      <x:c r="B388" s="453"/>
      <x:c r="C388" s="453"/>
      <x:c r="D388" s="454"/>
      <x:c r="E388" s="454"/>
      <x:c r="F388" s="454"/>
      <x:c r="G388" s="986"/>
      <x:c r="H388" s="455"/>
      <x:c r="I388" s="456"/>
      <x:c r="J388" s="456"/>
      <x:c r="K388" s="986"/>
      <x:c r="L388" s="454"/>
      <x:c r="M388" s="439"/>
      <x:c r="N388" s="987" t="str">
        <x:f>IF(COUNTA($A388:$M388)=0,"",IF(OR(LEFT(LOWER(TRIM($F388&amp;"")),12)="subscription",LOWER(TRIM($F388&amp;""))="membership"),"",IF($G388="","",IF(ISNUMBER(SEARCH("non",LOWER($E388&amp;""))),$G388*0.85,$G388))))</x:f>
      </x:c>
      <x:c r="O388" s="987" t="str">
        <x:f>IF(COUNTA($A388:$M388)=0,"",IF(OR(LEFT(LOWER(TRIM($F388&amp;"")),12)="subscription",LOWER(TRIM($F388&amp;""))="membership"),"",IF(OR($N388="",$I388="",$I388=0),"",IFERROR($N388/$I388,""))))</x:f>
      </x:c>
      <x:c r="P388" s="987" t="str">
        <x:f>IF(COUNTA($A388:$M388)=0,"",IF(OR(LEFT(LOWER(TRIM($F388&amp;"")),12)="subscription",LOWER(TRIM($F388&amp;""))="membership"),"",IF(LOWER($L388&amp;"")="yes",0,IF(OR(AND($H388&lt;&gt;"",$H388=0),LEFT(LOWER(TRIM($F388&amp;"")),9)="free game",LOWER(TRIM($F388&amp;""))="free",LOWER(TRIM($F388&amp;""))="free entry"),IF(LOWER($D388&amp;"")="finalized",IF(ISNUMBER($K388),$K388,""),IF($O388&lt;&gt;"",$O388,"")),IF($K388&lt;&gt;"",$K388,IF($O388&lt;&gt;"",$O388,""))))))</x:f>
      </x:c>
      <x:c r="Q388" s="114" t="str">
        <x:f>IF(COUNTA($A388:$M388)=0,"",IF(OR($U388="Subscription",$U388=""),"",IF($U388="Profit",ROUND(IFERROR($P388,0)-IFERROR($H388,0),2),0)))</x:f>
      </x:c>
      <x:c r="R388" s="114" t="str">
        <x:f>IF(COUNTA($A388:$M388)=0,"",IF(OR($U388="Subscription",$U388=""),"",IF($U388="Draw",$H388,0)))</x:f>
      </x:c>
      <x:c r="S388" s="114" t="str">
        <x:f>IF(COUNTA($A388:$M388)=0,"",IF(OR($U388="Subscription",$U388=""),"",IF($U388="Disqualified",$H388,0)))</x:f>
      </x:c>
      <x:c r="T388" s="955" t="str">
        <x:f>IF(COUNTA($A388:$M388)=0,"",IF(OR($U388="Subscription",$U388=""),"",IF(OR($U388="Free Game",$U388="Disqualified — Free Game",$H388=0),"N/A",IF($U388="Profit",$Q388/$H388,IF($U388="Disqualified",-$S388/$H388,0)))))</x:f>
      </x:c>
      <x:c r="U388" s="920" t="str">
        <x:f>IF(COUNTA($A388:$M388)=0,"",IF(OR(LEFT(LOWER(TRIM($F388&amp;"")),12)="subscription",LOWER(TRIM($F388&amp;""))="membership"),"Subscription",IF(OR(AND($H388&lt;&gt;"",$H388=0),LEFT(LOWER(TRIM($F388&amp;"")),9)="free game",LOWER(TRIM($F388&amp;""))="free",LOWER(TRIM($F388&amp;""))="free entry"),IF(LOWER($L388&amp;"")="yes","Disqualified — Free Game","Free Game"),IF(LOWER($L388&amp;"")="yes","Disqualified",IF($P388="","",IF(ROUND(IFERROR(VALUE($P388),0)-IFERROR(VALUE($H388),0),2)&gt;0,"Profit","Draw"))))))</x:f>
      </x:c>
      <x:c r="V388" s="956" t="str">
        <x:f>IF(COUNTA($A388:$M388)=0,"",IF(OR($B388="",$C388="",$U388="Subscription"),"",IFERROR(ROUNDUP(($C388-$B388)/7,0),"")))</x:f>
      </x:c>
      <x:c r="W388" s="114" t="str">
        <x:f>IF(COUNTA($A388:$M388)=0,"",IF(OR($U388="Subscription",$U388=""),"",IF(OR($U388="Free Game",$U388="Disqualified — Free Game"),0,ROUND(IFERROR($Q388,0)-IFERROR($S388,0),2))))</x:f>
      </x:c>
      <x:c r="X388" s="956" t="str">
        <x:f>IF(COUNTA($A388:$M388)=0,"",IF(OR($U388="Subscription",NOT(ISNUMBER($J388)),NOT(ISNUMBER($I388)),$J388=0,$I388=0,$I388&gt;$J388),"",$J388-$I388))</x:f>
      </x:c>
      <x:c r="Y388" s="955" t="str">
        <x:f>IF(COUNTA($A388:$M388)=0,"",IF(OR($U388="Subscription",NOT(ISNUMBER($J388)),$J388=0,$X388=""),"",$X388/$J388))</x:f>
      </x:c>
      <x:c r="Z388" s="957" t="str">
        <x:f>IF(COUNTA($A388:$M388)=0,"",Instructions!$B$29+SUM($W$5:W388))</x:f>
      </x:c>
    </x:row>
    <x:row r="389" ht="36" customHeight="1">
      <x:c r="A389" s="439"/>
      <x:c r="B389" s="453"/>
      <x:c r="C389" s="453"/>
      <x:c r="D389" s="454"/>
      <x:c r="E389" s="454"/>
      <x:c r="F389" s="454"/>
      <x:c r="G389" s="986"/>
      <x:c r="H389" s="455"/>
      <x:c r="I389" s="456"/>
      <x:c r="J389" s="456"/>
      <x:c r="K389" s="986"/>
      <x:c r="L389" s="454"/>
      <x:c r="M389" s="439"/>
      <x:c r="N389" s="987" t="str">
        <x:f>IF(COUNTA($A389:$M389)=0,"",IF(OR(LEFT(LOWER(TRIM($F389&amp;"")),12)="subscription",LOWER(TRIM($F389&amp;""))="membership"),"",IF($G389="","",IF(ISNUMBER(SEARCH("non",LOWER($E389&amp;""))),$G389*0.85,$G389))))</x:f>
      </x:c>
      <x:c r="O389" s="987" t="str">
        <x:f>IF(COUNTA($A389:$M389)=0,"",IF(OR(LEFT(LOWER(TRIM($F389&amp;"")),12)="subscription",LOWER(TRIM($F389&amp;""))="membership"),"",IF(OR($N389="",$I389="",$I389=0),"",IFERROR($N389/$I389,""))))</x:f>
      </x:c>
      <x:c r="P389" s="987" t="str">
        <x:f>IF(COUNTA($A389:$M389)=0,"",IF(OR(LEFT(LOWER(TRIM($F389&amp;"")),12)="subscription",LOWER(TRIM($F389&amp;""))="membership"),"",IF(LOWER($L389&amp;"")="yes",0,IF(OR(AND($H389&lt;&gt;"",$H389=0),LEFT(LOWER(TRIM($F389&amp;"")),9)="free game",LOWER(TRIM($F389&amp;""))="free",LOWER(TRIM($F389&amp;""))="free entry"),IF(LOWER($D389&amp;"")="finalized",IF(ISNUMBER($K389),$K389,""),IF($O389&lt;&gt;"",$O389,"")),IF($K389&lt;&gt;"",$K389,IF($O389&lt;&gt;"",$O389,""))))))</x:f>
      </x:c>
      <x:c r="Q389" s="114" t="str">
        <x:f>IF(COUNTA($A389:$M389)=0,"",IF(OR($U389="Subscription",$U389=""),"",IF($U389="Profit",ROUND(IFERROR($P389,0)-IFERROR($H389,0),2),0)))</x:f>
      </x:c>
      <x:c r="R389" s="114" t="str">
        <x:f>IF(COUNTA($A389:$M389)=0,"",IF(OR($U389="Subscription",$U389=""),"",IF($U389="Draw",$H389,0)))</x:f>
      </x:c>
      <x:c r="S389" s="114" t="str">
        <x:f>IF(COUNTA($A389:$M389)=0,"",IF(OR($U389="Subscription",$U389=""),"",IF($U389="Disqualified",$H389,0)))</x:f>
      </x:c>
      <x:c r="T389" s="955" t="str">
        <x:f>IF(COUNTA($A389:$M389)=0,"",IF(OR($U389="Subscription",$U389=""),"",IF(OR($U389="Free Game",$U389="Disqualified — Free Game",$H389=0),"N/A",IF($U389="Profit",$Q389/$H389,IF($U389="Disqualified",-$S389/$H389,0)))))</x:f>
      </x:c>
      <x:c r="U389" s="920" t="str">
        <x:f>IF(COUNTA($A389:$M389)=0,"",IF(OR(LEFT(LOWER(TRIM($F389&amp;"")),12)="subscription",LOWER(TRIM($F389&amp;""))="membership"),"Subscription",IF(OR(AND($H389&lt;&gt;"",$H389=0),LEFT(LOWER(TRIM($F389&amp;"")),9)="free game",LOWER(TRIM($F389&amp;""))="free",LOWER(TRIM($F389&amp;""))="free entry"),IF(LOWER($L389&amp;"")="yes","Disqualified — Free Game","Free Game"),IF(LOWER($L389&amp;"")="yes","Disqualified",IF($P389="","",IF(ROUND(IFERROR(VALUE($P389),0)-IFERROR(VALUE($H389),0),2)&gt;0,"Profit","Draw"))))))</x:f>
      </x:c>
      <x:c r="V389" s="956" t="str">
        <x:f>IF(COUNTA($A389:$M389)=0,"",IF(OR($B389="",$C389="",$U389="Subscription"),"",IFERROR(ROUNDUP(($C389-$B389)/7,0),"")))</x:f>
      </x:c>
      <x:c r="W389" s="114" t="str">
        <x:f>IF(COUNTA($A389:$M389)=0,"",IF(OR($U389="Subscription",$U389=""),"",IF(OR($U389="Free Game",$U389="Disqualified — Free Game"),0,ROUND(IFERROR($Q389,0)-IFERROR($S389,0),2))))</x:f>
      </x:c>
      <x:c r="X389" s="956" t="str">
        <x:f>IF(COUNTA($A389:$M389)=0,"",IF(OR($U389="Subscription",NOT(ISNUMBER($J389)),NOT(ISNUMBER($I389)),$J389=0,$I389=0,$I389&gt;$J389),"",$J389-$I389))</x:f>
      </x:c>
      <x:c r="Y389" s="955" t="str">
        <x:f>IF(COUNTA($A389:$M389)=0,"",IF(OR($U389="Subscription",NOT(ISNUMBER($J389)),$J389=0,$X389=""),"",$X389/$J389))</x:f>
      </x:c>
      <x:c r="Z389" s="957" t="str">
        <x:f>IF(COUNTA($A389:$M389)=0,"",Instructions!$B$29+SUM($W$5:W389))</x:f>
      </x:c>
    </x:row>
    <x:row r="390" ht="36" customHeight="1">
      <x:c r="A390" s="439"/>
      <x:c r="B390" s="453"/>
      <x:c r="C390" s="453"/>
      <x:c r="D390" s="454"/>
      <x:c r="E390" s="454"/>
      <x:c r="F390" s="454"/>
      <x:c r="G390" s="986"/>
      <x:c r="H390" s="455"/>
      <x:c r="I390" s="456"/>
      <x:c r="J390" s="456"/>
      <x:c r="K390" s="986"/>
      <x:c r="L390" s="454"/>
      <x:c r="M390" s="439"/>
      <x:c r="N390" s="987" t="str">
        <x:f>IF(COUNTA($A390:$M390)=0,"",IF(OR(LEFT(LOWER(TRIM($F390&amp;"")),12)="subscription",LOWER(TRIM($F390&amp;""))="membership"),"",IF($G390="","",IF(ISNUMBER(SEARCH("non",LOWER($E390&amp;""))),$G390*0.85,$G390))))</x:f>
      </x:c>
      <x:c r="O390" s="987" t="str">
        <x:f>IF(COUNTA($A390:$M390)=0,"",IF(OR(LEFT(LOWER(TRIM($F390&amp;"")),12)="subscription",LOWER(TRIM($F390&amp;""))="membership"),"",IF(OR($N390="",$I390="",$I390=0),"",IFERROR($N390/$I390,""))))</x:f>
      </x:c>
      <x:c r="P390" s="987" t="str">
        <x:f>IF(COUNTA($A390:$M390)=0,"",IF(OR(LEFT(LOWER(TRIM($F390&amp;"")),12)="subscription",LOWER(TRIM($F390&amp;""))="membership"),"",IF(LOWER($L390&amp;"")="yes",0,IF(OR(AND($H390&lt;&gt;"",$H390=0),LEFT(LOWER(TRIM($F390&amp;"")),9)="free game",LOWER(TRIM($F390&amp;""))="free",LOWER(TRIM($F390&amp;""))="free entry"),IF(LOWER($D390&amp;"")="finalized",IF(ISNUMBER($K390),$K390,""),IF($O390&lt;&gt;"",$O390,"")),IF($K390&lt;&gt;"",$K390,IF($O390&lt;&gt;"",$O390,""))))))</x:f>
      </x:c>
      <x:c r="Q390" s="114" t="str">
        <x:f>IF(COUNTA($A390:$M390)=0,"",IF(OR($U390="Subscription",$U390=""),"",IF($U390="Profit",ROUND(IFERROR($P390,0)-IFERROR($H390,0),2),0)))</x:f>
      </x:c>
      <x:c r="R390" s="114" t="str">
        <x:f>IF(COUNTA($A390:$M390)=0,"",IF(OR($U390="Subscription",$U390=""),"",IF($U390="Draw",$H390,0)))</x:f>
      </x:c>
      <x:c r="S390" s="114" t="str">
        <x:f>IF(COUNTA($A390:$M390)=0,"",IF(OR($U390="Subscription",$U390=""),"",IF($U390="Disqualified",$H390,0)))</x:f>
      </x:c>
      <x:c r="T390" s="955" t="str">
        <x:f>IF(COUNTA($A390:$M390)=0,"",IF(OR($U390="Subscription",$U390=""),"",IF(OR($U390="Free Game",$U390="Disqualified — Free Game",$H390=0),"N/A",IF($U390="Profit",$Q390/$H390,IF($U390="Disqualified",-$S390/$H390,0)))))</x:f>
      </x:c>
      <x:c r="U390" s="920" t="str">
        <x:f>IF(COUNTA($A390:$M390)=0,"",IF(OR(LEFT(LOWER(TRIM($F390&amp;"")),12)="subscription",LOWER(TRIM($F390&amp;""))="membership"),"Subscription",IF(OR(AND($H390&lt;&gt;"",$H390=0),LEFT(LOWER(TRIM($F390&amp;"")),9)="free game",LOWER(TRIM($F390&amp;""))="free",LOWER(TRIM($F390&amp;""))="free entry"),IF(LOWER($L390&amp;"")="yes","Disqualified — Free Game","Free Game"),IF(LOWER($L390&amp;"")="yes","Disqualified",IF($P390="","",IF(ROUND(IFERROR(VALUE($P390),0)-IFERROR(VALUE($H390),0),2)&gt;0,"Profit","Draw"))))))</x:f>
      </x:c>
      <x:c r="V390" s="956" t="str">
        <x:f>IF(COUNTA($A390:$M390)=0,"",IF(OR($B390="",$C390="",$U390="Subscription"),"",IFERROR(ROUNDUP(($C390-$B390)/7,0),"")))</x:f>
      </x:c>
      <x:c r="W390" s="114" t="str">
        <x:f>IF(COUNTA($A390:$M390)=0,"",IF(OR($U390="Subscription",$U390=""),"",IF(OR($U390="Free Game",$U390="Disqualified — Free Game"),0,ROUND(IFERROR($Q390,0)-IFERROR($S390,0),2))))</x:f>
      </x:c>
      <x:c r="X390" s="956" t="str">
        <x:f>IF(COUNTA($A390:$M390)=0,"",IF(OR($U390="Subscription",NOT(ISNUMBER($J390)),NOT(ISNUMBER($I390)),$J390=0,$I390=0,$I390&gt;$J390),"",$J390-$I390))</x:f>
      </x:c>
      <x:c r="Y390" s="955" t="str">
        <x:f>IF(COUNTA($A390:$M390)=0,"",IF(OR($U390="Subscription",NOT(ISNUMBER($J390)),$J390=0,$X390=""),"",$X390/$J390))</x:f>
      </x:c>
      <x:c r="Z390" s="957" t="str">
        <x:f>IF(COUNTA($A390:$M390)=0,"",Instructions!$B$29+SUM($W$5:W390))</x:f>
      </x:c>
    </x:row>
    <x:row r="391" ht="36" customHeight="1">
      <x:c r="A391" s="439"/>
      <x:c r="B391" s="453"/>
      <x:c r="C391" s="453"/>
      <x:c r="D391" s="454"/>
      <x:c r="E391" s="454"/>
      <x:c r="F391" s="454"/>
      <x:c r="G391" s="986"/>
      <x:c r="H391" s="455"/>
      <x:c r="I391" s="456"/>
      <x:c r="J391" s="456"/>
      <x:c r="K391" s="986"/>
      <x:c r="L391" s="454"/>
      <x:c r="M391" s="439"/>
      <x:c r="N391" s="987" t="str">
        <x:f>IF(COUNTA($A391:$M391)=0,"",IF(OR(LEFT(LOWER(TRIM($F391&amp;"")),12)="subscription",LOWER(TRIM($F391&amp;""))="membership"),"",IF($G391="","",IF(ISNUMBER(SEARCH("non",LOWER($E391&amp;""))),$G391*0.85,$G391))))</x:f>
      </x:c>
      <x:c r="O391" s="987" t="str">
        <x:f>IF(COUNTA($A391:$M391)=0,"",IF(OR(LEFT(LOWER(TRIM($F391&amp;"")),12)="subscription",LOWER(TRIM($F391&amp;""))="membership"),"",IF(OR($N391="",$I391="",$I391=0),"",IFERROR($N391/$I391,""))))</x:f>
      </x:c>
      <x:c r="P391" s="987" t="str">
        <x:f>IF(COUNTA($A391:$M391)=0,"",IF(OR(LEFT(LOWER(TRIM($F391&amp;"")),12)="subscription",LOWER(TRIM($F391&amp;""))="membership"),"",IF(LOWER($L391&amp;"")="yes",0,IF(OR(AND($H391&lt;&gt;"",$H391=0),LEFT(LOWER(TRIM($F391&amp;"")),9)="free game",LOWER(TRIM($F391&amp;""))="free",LOWER(TRIM($F391&amp;""))="free entry"),IF(LOWER($D391&amp;"")="finalized",IF(ISNUMBER($K391),$K391,""),IF($O391&lt;&gt;"",$O391,"")),IF($K391&lt;&gt;"",$K391,IF($O391&lt;&gt;"",$O391,""))))))</x:f>
      </x:c>
      <x:c r="Q391" s="114" t="str">
        <x:f>IF(COUNTA($A391:$M391)=0,"",IF(OR($U391="Subscription",$U391=""),"",IF($U391="Profit",ROUND(IFERROR($P391,0)-IFERROR($H391,0),2),0)))</x:f>
      </x:c>
      <x:c r="R391" s="114" t="str">
        <x:f>IF(COUNTA($A391:$M391)=0,"",IF(OR($U391="Subscription",$U391=""),"",IF($U391="Draw",$H391,0)))</x:f>
      </x:c>
      <x:c r="S391" s="114" t="str">
        <x:f>IF(COUNTA($A391:$M391)=0,"",IF(OR($U391="Subscription",$U391=""),"",IF($U391="Disqualified",$H391,0)))</x:f>
      </x:c>
      <x:c r="T391" s="955" t="str">
        <x:f>IF(COUNTA($A391:$M391)=0,"",IF(OR($U391="Subscription",$U391=""),"",IF(OR($U391="Free Game",$U391="Disqualified — Free Game",$H391=0),"N/A",IF($U391="Profit",$Q391/$H391,IF($U391="Disqualified",-$S391/$H391,0)))))</x:f>
      </x:c>
      <x:c r="U391" s="920" t="str">
        <x:f>IF(COUNTA($A391:$M391)=0,"",IF(OR(LEFT(LOWER(TRIM($F391&amp;"")),12)="subscription",LOWER(TRIM($F391&amp;""))="membership"),"Subscription",IF(OR(AND($H391&lt;&gt;"",$H391=0),LEFT(LOWER(TRIM($F391&amp;"")),9)="free game",LOWER(TRIM($F391&amp;""))="free",LOWER(TRIM($F391&amp;""))="free entry"),IF(LOWER($L391&amp;"")="yes","Disqualified — Free Game","Free Game"),IF(LOWER($L391&amp;"")="yes","Disqualified",IF($P391="","",IF(ROUND(IFERROR(VALUE($P391),0)-IFERROR(VALUE($H391),0),2)&gt;0,"Profit","Draw"))))))</x:f>
      </x:c>
      <x:c r="V391" s="956" t="str">
        <x:f>IF(COUNTA($A391:$M391)=0,"",IF(OR($B391="",$C391="",$U391="Subscription"),"",IFERROR(ROUNDUP(($C391-$B391)/7,0),"")))</x:f>
      </x:c>
      <x:c r="W391" s="114" t="str">
        <x:f>IF(COUNTA($A391:$M391)=0,"",IF(OR($U391="Subscription",$U391=""),"",IF(OR($U391="Free Game",$U391="Disqualified — Free Game"),0,ROUND(IFERROR($Q391,0)-IFERROR($S391,0),2))))</x:f>
      </x:c>
      <x:c r="X391" s="956" t="str">
        <x:f>IF(COUNTA($A391:$M391)=0,"",IF(OR($U391="Subscription",NOT(ISNUMBER($J391)),NOT(ISNUMBER($I391)),$J391=0,$I391=0,$I391&gt;$J391),"",$J391-$I391))</x:f>
      </x:c>
      <x:c r="Y391" s="955" t="str">
        <x:f>IF(COUNTA($A391:$M391)=0,"",IF(OR($U391="Subscription",NOT(ISNUMBER($J391)),$J391=0,$X391=""),"",$X391/$J391))</x:f>
      </x:c>
      <x:c r="Z391" s="957" t="str">
        <x:f>IF(COUNTA($A391:$M391)=0,"",Instructions!$B$29+SUM($W$5:W391))</x:f>
      </x:c>
    </x:row>
    <x:row r="392" ht="36" customHeight="1">
      <x:c r="A392" s="439"/>
      <x:c r="B392" s="453"/>
      <x:c r="C392" s="453"/>
      <x:c r="D392" s="454"/>
      <x:c r="E392" s="454"/>
      <x:c r="F392" s="454"/>
      <x:c r="G392" s="986"/>
      <x:c r="H392" s="455"/>
      <x:c r="I392" s="456"/>
      <x:c r="J392" s="456"/>
      <x:c r="K392" s="986"/>
      <x:c r="L392" s="454"/>
      <x:c r="M392" s="439"/>
      <x:c r="N392" s="987" t="str">
        <x:f>IF(COUNTA($A392:$M392)=0,"",IF(OR(LEFT(LOWER(TRIM($F392&amp;"")),12)="subscription",LOWER(TRIM($F392&amp;""))="membership"),"",IF($G392="","",IF(ISNUMBER(SEARCH("non",LOWER($E392&amp;""))),$G392*0.85,$G392))))</x:f>
      </x:c>
      <x:c r="O392" s="987" t="str">
        <x:f>IF(COUNTA($A392:$M392)=0,"",IF(OR(LEFT(LOWER(TRIM($F392&amp;"")),12)="subscription",LOWER(TRIM($F392&amp;""))="membership"),"",IF(OR($N392="",$I392="",$I392=0),"",IFERROR($N392/$I392,""))))</x:f>
      </x:c>
      <x:c r="P392" s="987" t="str">
        <x:f>IF(COUNTA($A392:$M392)=0,"",IF(OR(LEFT(LOWER(TRIM($F392&amp;"")),12)="subscription",LOWER(TRIM($F392&amp;""))="membership"),"",IF(LOWER($L392&amp;"")="yes",0,IF(OR(AND($H392&lt;&gt;"",$H392=0),LEFT(LOWER(TRIM($F392&amp;"")),9)="free game",LOWER(TRIM($F392&amp;""))="free",LOWER(TRIM($F392&amp;""))="free entry"),IF(LOWER($D392&amp;"")="finalized",IF(ISNUMBER($K392),$K392,""),IF($O392&lt;&gt;"",$O392,"")),IF($K392&lt;&gt;"",$K392,IF($O392&lt;&gt;"",$O392,""))))))</x:f>
      </x:c>
      <x:c r="Q392" s="114" t="str">
        <x:f>IF(COUNTA($A392:$M392)=0,"",IF(OR($U392="Subscription",$U392=""),"",IF($U392="Profit",ROUND(IFERROR($P392,0)-IFERROR($H392,0),2),0)))</x:f>
      </x:c>
      <x:c r="R392" s="114" t="str">
        <x:f>IF(COUNTA($A392:$M392)=0,"",IF(OR($U392="Subscription",$U392=""),"",IF($U392="Draw",$H392,0)))</x:f>
      </x:c>
      <x:c r="S392" s="114" t="str">
        <x:f>IF(COUNTA($A392:$M392)=0,"",IF(OR($U392="Subscription",$U392=""),"",IF($U392="Disqualified",$H392,0)))</x:f>
      </x:c>
      <x:c r="T392" s="955" t="str">
        <x:f>IF(COUNTA($A392:$M392)=0,"",IF(OR($U392="Subscription",$U392=""),"",IF(OR($U392="Free Game",$U392="Disqualified — Free Game",$H392=0),"N/A",IF($U392="Profit",$Q392/$H392,IF($U392="Disqualified",-$S392/$H392,0)))))</x:f>
      </x:c>
      <x:c r="U392" s="920" t="str">
        <x:f>IF(COUNTA($A392:$M392)=0,"",IF(OR(LEFT(LOWER(TRIM($F392&amp;"")),12)="subscription",LOWER(TRIM($F392&amp;""))="membership"),"Subscription",IF(OR(AND($H392&lt;&gt;"",$H392=0),LEFT(LOWER(TRIM($F392&amp;"")),9)="free game",LOWER(TRIM($F392&amp;""))="free",LOWER(TRIM($F392&amp;""))="free entry"),IF(LOWER($L392&amp;"")="yes","Disqualified — Free Game","Free Game"),IF(LOWER($L392&amp;"")="yes","Disqualified",IF($P392="","",IF(ROUND(IFERROR(VALUE($P392),0)-IFERROR(VALUE($H392),0),2)&gt;0,"Profit","Draw"))))))</x:f>
      </x:c>
      <x:c r="V392" s="956" t="str">
        <x:f>IF(COUNTA($A392:$M392)=0,"",IF(OR($B392="",$C392="",$U392="Subscription"),"",IFERROR(ROUNDUP(($C392-$B392)/7,0),"")))</x:f>
      </x:c>
      <x:c r="W392" s="114" t="str">
        <x:f>IF(COUNTA($A392:$M392)=0,"",IF(OR($U392="Subscription",$U392=""),"",IF(OR($U392="Free Game",$U392="Disqualified — Free Game"),0,ROUND(IFERROR($Q392,0)-IFERROR($S392,0),2))))</x:f>
      </x:c>
      <x:c r="X392" s="956" t="str">
        <x:f>IF(COUNTA($A392:$M392)=0,"",IF(OR($U392="Subscription",NOT(ISNUMBER($J392)),NOT(ISNUMBER($I392)),$J392=0,$I392=0,$I392&gt;$J392),"",$J392-$I392))</x:f>
      </x:c>
      <x:c r="Y392" s="955" t="str">
        <x:f>IF(COUNTA($A392:$M392)=0,"",IF(OR($U392="Subscription",NOT(ISNUMBER($J392)),$J392=0,$X392=""),"",$X392/$J392))</x:f>
      </x:c>
      <x:c r="Z392" s="957" t="str">
        <x:f>IF(COUNTA($A392:$M392)=0,"",Instructions!$B$29+SUM($W$5:W392))</x:f>
      </x:c>
    </x:row>
    <x:row r="393" ht="36" customHeight="1">
      <x:c r="A393" s="439"/>
      <x:c r="B393" s="453"/>
      <x:c r="C393" s="453"/>
      <x:c r="D393" s="454"/>
      <x:c r="E393" s="454"/>
      <x:c r="F393" s="454"/>
      <x:c r="G393" s="986"/>
      <x:c r="H393" s="455"/>
      <x:c r="I393" s="456"/>
      <x:c r="J393" s="456"/>
      <x:c r="K393" s="986"/>
      <x:c r="L393" s="454"/>
      <x:c r="M393" s="439"/>
      <x:c r="N393" s="987" t="str">
        <x:f>IF(COUNTA($A393:$M393)=0,"",IF(OR(LEFT(LOWER(TRIM($F393&amp;"")),12)="subscription",LOWER(TRIM($F393&amp;""))="membership"),"",IF($G393="","",IF(ISNUMBER(SEARCH("non",LOWER($E393&amp;""))),$G393*0.85,$G393))))</x:f>
      </x:c>
      <x:c r="O393" s="987" t="str">
        <x:f>IF(COUNTA($A393:$M393)=0,"",IF(OR(LEFT(LOWER(TRIM($F393&amp;"")),12)="subscription",LOWER(TRIM($F393&amp;""))="membership"),"",IF(OR($N393="",$I393="",$I393=0),"",IFERROR($N393/$I393,""))))</x:f>
      </x:c>
      <x:c r="P393" s="987" t="str">
        <x:f>IF(COUNTA($A393:$M393)=0,"",IF(OR(LEFT(LOWER(TRIM($F393&amp;"")),12)="subscription",LOWER(TRIM($F393&amp;""))="membership"),"",IF(LOWER($L393&amp;"")="yes",0,IF(OR(AND($H393&lt;&gt;"",$H393=0),LEFT(LOWER(TRIM($F393&amp;"")),9)="free game",LOWER(TRIM($F393&amp;""))="free",LOWER(TRIM($F393&amp;""))="free entry"),IF(LOWER($D393&amp;"")="finalized",IF(ISNUMBER($K393),$K393,""),IF($O393&lt;&gt;"",$O393,"")),IF($K393&lt;&gt;"",$K393,IF($O393&lt;&gt;"",$O393,""))))))</x:f>
      </x:c>
      <x:c r="Q393" s="114" t="str">
        <x:f>IF(COUNTA($A393:$M393)=0,"",IF(OR($U393="Subscription",$U393=""),"",IF($U393="Profit",ROUND(IFERROR($P393,0)-IFERROR($H393,0),2),0)))</x:f>
      </x:c>
      <x:c r="R393" s="114" t="str">
        <x:f>IF(COUNTA($A393:$M393)=0,"",IF(OR($U393="Subscription",$U393=""),"",IF($U393="Draw",$H393,0)))</x:f>
      </x:c>
      <x:c r="S393" s="114" t="str">
        <x:f>IF(COUNTA($A393:$M393)=0,"",IF(OR($U393="Subscription",$U393=""),"",IF($U393="Disqualified",$H393,0)))</x:f>
      </x:c>
      <x:c r="T393" s="955" t="str">
        <x:f>IF(COUNTA($A393:$M393)=0,"",IF(OR($U393="Subscription",$U393=""),"",IF(OR($U393="Free Game",$U393="Disqualified — Free Game",$H393=0),"N/A",IF($U393="Profit",$Q393/$H393,IF($U393="Disqualified",-$S393/$H393,0)))))</x:f>
      </x:c>
      <x:c r="U393" s="920" t="str">
        <x:f>IF(COUNTA($A393:$M393)=0,"",IF(OR(LEFT(LOWER(TRIM($F393&amp;"")),12)="subscription",LOWER(TRIM($F393&amp;""))="membership"),"Subscription",IF(OR(AND($H393&lt;&gt;"",$H393=0),LEFT(LOWER(TRIM($F393&amp;"")),9)="free game",LOWER(TRIM($F393&amp;""))="free",LOWER(TRIM($F393&amp;""))="free entry"),IF(LOWER($L393&amp;"")="yes","Disqualified — Free Game","Free Game"),IF(LOWER($L393&amp;"")="yes","Disqualified",IF($P393="","",IF(ROUND(IFERROR(VALUE($P393),0)-IFERROR(VALUE($H393),0),2)&gt;0,"Profit","Draw"))))))</x:f>
      </x:c>
      <x:c r="V393" s="956" t="str">
        <x:f>IF(COUNTA($A393:$M393)=0,"",IF(OR($B393="",$C393="",$U393="Subscription"),"",IFERROR(ROUNDUP(($C393-$B393)/7,0),"")))</x:f>
      </x:c>
      <x:c r="W393" s="114" t="str">
        <x:f>IF(COUNTA($A393:$M393)=0,"",IF(OR($U393="Subscription",$U393=""),"",IF(OR($U393="Free Game",$U393="Disqualified — Free Game"),0,ROUND(IFERROR($Q393,0)-IFERROR($S393,0),2))))</x:f>
      </x:c>
      <x:c r="X393" s="956" t="str">
        <x:f>IF(COUNTA($A393:$M393)=0,"",IF(OR($U393="Subscription",NOT(ISNUMBER($J393)),NOT(ISNUMBER($I393)),$J393=0,$I393=0,$I393&gt;$J393),"",$J393-$I393))</x:f>
      </x:c>
      <x:c r="Y393" s="955" t="str">
        <x:f>IF(COUNTA($A393:$M393)=0,"",IF(OR($U393="Subscription",NOT(ISNUMBER($J393)),$J393=0,$X393=""),"",$X393/$J393))</x:f>
      </x:c>
      <x:c r="Z393" s="957" t="str">
        <x:f>IF(COUNTA($A393:$M393)=0,"",Instructions!$B$29+SUM($W$5:W393))</x:f>
      </x:c>
    </x:row>
    <x:row r="394" ht="36" customHeight="1">
      <x:c r="A394" s="439"/>
      <x:c r="B394" s="453"/>
      <x:c r="C394" s="453"/>
      <x:c r="D394" s="454"/>
      <x:c r="E394" s="454"/>
      <x:c r="F394" s="454"/>
      <x:c r="G394" s="986"/>
      <x:c r="H394" s="455"/>
      <x:c r="I394" s="456"/>
      <x:c r="J394" s="456"/>
      <x:c r="K394" s="986"/>
      <x:c r="L394" s="454"/>
      <x:c r="M394" s="439"/>
      <x:c r="N394" s="987" t="str">
        <x:f>IF(COUNTA($A394:$M394)=0,"",IF(OR(LEFT(LOWER(TRIM($F394&amp;"")),12)="subscription",LOWER(TRIM($F394&amp;""))="membership"),"",IF($G394="","",IF(ISNUMBER(SEARCH("non",LOWER($E394&amp;""))),$G394*0.85,$G394))))</x:f>
      </x:c>
      <x:c r="O394" s="987" t="str">
        <x:f>IF(COUNTA($A394:$M394)=0,"",IF(OR(LEFT(LOWER(TRIM($F394&amp;"")),12)="subscription",LOWER(TRIM($F394&amp;""))="membership"),"",IF(OR($N394="",$I394="",$I394=0),"",IFERROR($N394/$I394,""))))</x:f>
      </x:c>
      <x:c r="P394" s="987" t="str">
        <x:f>IF(COUNTA($A394:$M394)=0,"",IF(OR(LEFT(LOWER(TRIM($F394&amp;"")),12)="subscription",LOWER(TRIM($F394&amp;""))="membership"),"",IF(LOWER($L394&amp;"")="yes",0,IF(OR(AND($H394&lt;&gt;"",$H394=0),LEFT(LOWER(TRIM($F394&amp;"")),9)="free game",LOWER(TRIM($F394&amp;""))="free",LOWER(TRIM($F394&amp;""))="free entry"),IF(LOWER($D394&amp;"")="finalized",IF(ISNUMBER($K394),$K394,""),IF($O394&lt;&gt;"",$O394,"")),IF($K394&lt;&gt;"",$K394,IF($O394&lt;&gt;"",$O394,""))))))</x:f>
      </x:c>
      <x:c r="Q394" s="114" t="str">
        <x:f>IF(COUNTA($A394:$M394)=0,"",IF(OR($U394="Subscription",$U394=""),"",IF($U394="Profit",ROUND(IFERROR($P394,0)-IFERROR($H394,0),2),0)))</x:f>
      </x:c>
      <x:c r="R394" s="114" t="str">
        <x:f>IF(COUNTA($A394:$M394)=0,"",IF(OR($U394="Subscription",$U394=""),"",IF($U394="Draw",$H394,0)))</x:f>
      </x:c>
      <x:c r="S394" s="114" t="str">
        <x:f>IF(COUNTA($A394:$M394)=0,"",IF(OR($U394="Subscription",$U394=""),"",IF($U394="Disqualified",$H394,0)))</x:f>
      </x:c>
      <x:c r="T394" s="955" t="str">
        <x:f>IF(COUNTA($A394:$M394)=0,"",IF(OR($U394="Subscription",$U394=""),"",IF(OR($U394="Free Game",$U394="Disqualified — Free Game",$H394=0),"N/A",IF($U394="Profit",$Q394/$H394,IF($U394="Disqualified",-$S394/$H394,0)))))</x:f>
      </x:c>
      <x:c r="U394" s="920" t="str">
        <x:f>IF(COUNTA($A394:$M394)=0,"",IF(OR(LEFT(LOWER(TRIM($F394&amp;"")),12)="subscription",LOWER(TRIM($F394&amp;""))="membership"),"Subscription",IF(OR(AND($H394&lt;&gt;"",$H394=0),LEFT(LOWER(TRIM($F394&amp;"")),9)="free game",LOWER(TRIM($F394&amp;""))="free",LOWER(TRIM($F394&amp;""))="free entry"),IF(LOWER($L394&amp;"")="yes","Disqualified — Free Game","Free Game"),IF(LOWER($L394&amp;"")="yes","Disqualified",IF($P394="","",IF(ROUND(IFERROR(VALUE($P394),0)-IFERROR(VALUE($H394),0),2)&gt;0,"Profit","Draw"))))))</x:f>
      </x:c>
      <x:c r="V394" s="956" t="str">
        <x:f>IF(COUNTA($A394:$M394)=0,"",IF(OR($B394="",$C394="",$U394="Subscription"),"",IFERROR(ROUNDUP(($C394-$B394)/7,0),"")))</x:f>
      </x:c>
      <x:c r="W394" s="114" t="str">
        <x:f>IF(COUNTA($A394:$M394)=0,"",IF(OR($U394="Subscription",$U394=""),"",IF(OR($U394="Free Game",$U394="Disqualified — Free Game"),0,ROUND(IFERROR($Q394,0)-IFERROR($S394,0),2))))</x:f>
      </x:c>
      <x:c r="X394" s="956" t="str">
        <x:f>IF(COUNTA($A394:$M394)=0,"",IF(OR($U394="Subscription",NOT(ISNUMBER($J394)),NOT(ISNUMBER($I394)),$J394=0,$I394=0,$I394&gt;$J394),"",$J394-$I394))</x:f>
      </x:c>
      <x:c r="Y394" s="955" t="str">
        <x:f>IF(COUNTA($A394:$M394)=0,"",IF(OR($U394="Subscription",NOT(ISNUMBER($J394)),$J394=0,$X394=""),"",$X394/$J394))</x:f>
      </x:c>
      <x:c r="Z394" s="957" t="str">
        <x:f>IF(COUNTA($A394:$M394)=0,"",Instructions!$B$29+SUM($W$5:W394))</x:f>
      </x:c>
    </x:row>
    <x:row r="395" ht="36" customHeight="1">
      <x:c r="A395" s="439"/>
      <x:c r="B395" s="453"/>
      <x:c r="C395" s="453"/>
      <x:c r="D395" s="454"/>
      <x:c r="E395" s="454"/>
      <x:c r="F395" s="454"/>
      <x:c r="G395" s="986"/>
      <x:c r="H395" s="455"/>
      <x:c r="I395" s="456"/>
      <x:c r="J395" s="456"/>
      <x:c r="K395" s="986"/>
      <x:c r="L395" s="454"/>
      <x:c r="M395" s="439"/>
      <x:c r="N395" s="987" t="str">
        <x:f>IF(COUNTA($A395:$M395)=0,"",IF(OR(LEFT(LOWER(TRIM($F395&amp;"")),12)="subscription",LOWER(TRIM($F395&amp;""))="membership"),"",IF($G395="","",IF(ISNUMBER(SEARCH("non",LOWER($E395&amp;""))),$G395*0.85,$G395))))</x:f>
      </x:c>
      <x:c r="O395" s="987" t="str">
        <x:f>IF(COUNTA($A395:$M395)=0,"",IF(OR(LEFT(LOWER(TRIM($F395&amp;"")),12)="subscription",LOWER(TRIM($F395&amp;""))="membership"),"",IF(OR($N395="",$I395="",$I395=0),"",IFERROR($N395/$I395,""))))</x:f>
      </x:c>
      <x:c r="P395" s="987" t="str">
        <x:f>IF(COUNTA($A395:$M395)=0,"",IF(OR(LEFT(LOWER(TRIM($F395&amp;"")),12)="subscription",LOWER(TRIM($F395&amp;""))="membership"),"",IF(LOWER($L395&amp;"")="yes",0,IF(OR(AND($H395&lt;&gt;"",$H395=0),LEFT(LOWER(TRIM($F395&amp;"")),9)="free game",LOWER(TRIM($F395&amp;""))="free",LOWER(TRIM($F395&amp;""))="free entry"),IF(LOWER($D395&amp;"")="finalized",IF(ISNUMBER($K395),$K395,""),IF($O395&lt;&gt;"",$O395,"")),IF($K395&lt;&gt;"",$K395,IF($O395&lt;&gt;"",$O395,""))))))</x:f>
      </x:c>
      <x:c r="Q395" s="114" t="str">
        <x:f>IF(COUNTA($A395:$M395)=0,"",IF(OR($U395="Subscription",$U395=""),"",IF($U395="Profit",ROUND(IFERROR($P395,0)-IFERROR($H395,0),2),0)))</x:f>
      </x:c>
      <x:c r="R395" s="114" t="str">
        <x:f>IF(COUNTA($A395:$M395)=0,"",IF(OR($U395="Subscription",$U395=""),"",IF($U395="Draw",$H395,0)))</x:f>
      </x:c>
      <x:c r="S395" s="114" t="str">
        <x:f>IF(COUNTA($A395:$M395)=0,"",IF(OR($U395="Subscription",$U395=""),"",IF($U395="Disqualified",$H395,0)))</x:f>
      </x:c>
      <x:c r="T395" s="955" t="str">
        <x:f>IF(COUNTA($A395:$M395)=0,"",IF(OR($U395="Subscription",$U395=""),"",IF(OR($U395="Free Game",$U395="Disqualified — Free Game",$H395=0),"N/A",IF($U395="Profit",$Q395/$H395,IF($U395="Disqualified",-$S395/$H395,0)))))</x:f>
      </x:c>
      <x:c r="U395" s="920" t="str">
        <x:f>IF(COUNTA($A395:$M395)=0,"",IF(OR(LEFT(LOWER(TRIM($F395&amp;"")),12)="subscription",LOWER(TRIM($F395&amp;""))="membership"),"Subscription",IF(OR(AND($H395&lt;&gt;"",$H395=0),LEFT(LOWER(TRIM($F395&amp;"")),9)="free game",LOWER(TRIM($F395&amp;""))="free",LOWER(TRIM($F395&amp;""))="free entry"),IF(LOWER($L395&amp;"")="yes","Disqualified — Free Game","Free Game"),IF(LOWER($L395&amp;"")="yes","Disqualified",IF($P395="","",IF(ROUND(IFERROR(VALUE($P395),0)-IFERROR(VALUE($H395),0),2)&gt;0,"Profit","Draw"))))))</x:f>
      </x:c>
      <x:c r="V395" s="956" t="str">
        <x:f>IF(COUNTA($A395:$M395)=0,"",IF(OR($B395="",$C395="",$U395="Subscription"),"",IFERROR(ROUNDUP(($C395-$B395)/7,0),"")))</x:f>
      </x:c>
      <x:c r="W395" s="114" t="str">
        <x:f>IF(COUNTA($A395:$M395)=0,"",IF(OR($U395="Subscription",$U395=""),"",IF(OR($U395="Free Game",$U395="Disqualified — Free Game"),0,ROUND(IFERROR($Q395,0)-IFERROR($S395,0),2))))</x:f>
      </x:c>
      <x:c r="X395" s="956" t="str">
        <x:f>IF(COUNTA($A395:$M395)=0,"",IF(OR($U395="Subscription",NOT(ISNUMBER($J395)),NOT(ISNUMBER($I395)),$J395=0,$I395=0,$I395&gt;$J395),"",$J395-$I395))</x:f>
      </x:c>
      <x:c r="Y395" s="955" t="str">
        <x:f>IF(COUNTA($A395:$M395)=0,"",IF(OR($U395="Subscription",NOT(ISNUMBER($J395)),$J395=0,$X395=""),"",$X395/$J395))</x:f>
      </x:c>
      <x:c r="Z395" s="957" t="str">
        <x:f>IF(COUNTA($A395:$M395)=0,"",Instructions!$B$29+SUM($W$5:W395))</x:f>
      </x:c>
    </x:row>
    <x:row r="396" ht="36" customHeight="1">
      <x:c r="A396" s="439"/>
      <x:c r="B396" s="453"/>
      <x:c r="C396" s="453"/>
      <x:c r="D396" s="454"/>
      <x:c r="E396" s="454"/>
      <x:c r="F396" s="454"/>
      <x:c r="G396" s="986"/>
      <x:c r="H396" s="455"/>
      <x:c r="I396" s="456"/>
      <x:c r="J396" s="456"/>
      <x:c r="K396" s="986"/>
      <x:c r="L396" s="454"/>
      <x:c r="M396" s="439"/>
      <x:c r="N396" s="987" t="str">
        <x:f>IF(COUNTA($A396:$M396)=0,"",IF(OR(LEFT(LOWER(TRIM($F396&amp;"")),12)="subscription",LOWER(TRIM($F396&amp;""))="membership"),"",IF($G396="","",IF(ISNUMBER(SEARCH("non",LOWER($E396&amp;""))),$G396*0.85,$G396))))</x:f>
      </x:c>
      <x:c r="O396" s="987" t="str">
        <x:f>IF(COUNTA($A396:$M396)=0,"",IF(OR(LEFT(LOWER(TRIM($F396&amp;"")),12)="subscription",LOWER(TRIM($F396&amp;""))="membership"),"",IF(OR($N396="",$I396="",$I396=0),"",IFERROR($N396/$I396,""))))</x:f>
      </x:c>
      <x:c r="P396" s="987" t="str">
        <x:f>IF(COUNTA($A396:$M396)=0,"",IF(OR(LEFT(LOWER(TRIM($F396&amp;"")),12)="subscription",LOWER(TRIM($F396&amp;""))="membership"),"",IF(LOWER($L396&amp;"")="yes",0,IF(OR(AND($H396&lt;&gt;"",$H396=0),LEFT(LOWER(TRIM($F396&amp;"")),9)="free game",LOWER(TRIM($F396&amp;""))="free",LOWER(TRIM($F396&amp;""))="free entry"),IF(LOWER($D396&amp;"")="finalized",IF(ISNUMBER($K396),$K396,""),IF($O396&lt;&gt;"",$O396,"")),IF($K396&lt;&gt;"",$K396,IF($O396&lt;&gt;"",$O396,""))))))</x:f>
      </x:c>
      <x:c r="Q396" s="114" t="str">
        <x:f>IF(COUNTA($A396:$M396)=0,"",IF(OR($U396="Subscription",$U396=""),"",IF($U396="Profit",ROUND(IFERROR($P396,0)-IFERROR($H396,0),2),0)))</x:f>
      </x:c>
      <x:c r="R396" s="114" t="str">
        <x:f>IF(COUNTA($A396:$M396)=0,"",IF(OR($U396="Subscription",$U396=""),"",IF($U396="Draw",$H396,0)))</x:f>
      </x:c>
      <x:c r="S396" s="114" t="str">
        <x:f>IF(COUNTA($A396:$M396)=0,"",IF(OR($U396="Subscription",$U396=""),"",IF($U396="Disqualified",$H396,0)))</x:f>
      </x:c>
      <x:c r="T396" s="955" t="str">
        <x:f>IF(COUNTA($A396:$M396)=0,"",IF(OR($U396="Subscription",$U396=""),"",IF(OR($U396="Free Game",$U396="Disqualified — Free Game",$H396=0),"N/A",IF($U396="Profit",$Q396/$H396,IF($U396="Disqualified",-$S396/$H396,0)))))</x:f>
      </x:c>
      <x:c r="U396" s="920" t="str">
        <x:f>IF(COUNTA($A396:$M396)=0,"",IF(OR(LEFT(LOWER(TRIM($F396&amp;"")),12)="subscription",LOWER(TRIM($F396&amp;""))="membership"),"Subscription",IF(OR(AND($H396&lt;&gt;"",$H396=0),LEFT(LOWER(TRIM($F396&amp;"")),9)="free game",LOWER(TRIM($F396&amp;""))="free",LOWER(TRIM($F396&amp;""))="free entry"),IF(LOWER($L396&amp;"")="yes","Disqualified — Free Game","Free Game"),IF(LOWER($L396&amp;"")="yes","Disqualified",IF($P396="","",IF(ROUND(IFERROR(VALUE($P396),0)-IFERROR(VALUE($H396),0),2)&gt;0,"Profit","Draw"))))))</x:f>
      </x:c>
      <x:c r="V396" s="956" t="str">
        <x:f>IF(COUNTA($A396:$M396)=0,"",IF(OR($B396="",$C396="",$U396="Subscription"),"",IFERROR(ROUNDUP(($C396-$B396)/7,0),"")))</x:f>
      </x:c>
      <x:c r="W396" s="114" t="str">
        <x:f>IF(COUNTA($A396:$M396)=0,"",IF(OR($U396="Subscription",$U396=""),"",IF(OR($U396="Free Game",$U396="Disqualified — Free Game"),0,ROUND(IFERROR($Q396,0)-IFERROR($S396,0),2))))</x:f>
      </x:c>
      <x:c r="X396" s="956" t="str">
        <x:f>IF(COUNTA($A396:$M396)=0,"",IF(OR($U396="Subscription",NOT(ISNUMBER($J396)),NOT(ISNUMBER($I396)),$J396=0,$I396=0,$I396&gt;$J396),"",$J396-$I396))</x:f>
      </x:c>
      <x:c r="Y396" s="955" t="str">
        <x:f>IF(COUNTA($A396:$M396)=0,"",IF(OR($U396="Subscription",NOT(ISNUMBER($J396)),$J396=0,$X396=""),"",$X396/$J396))</x:f>
      </x:c>
      <x:c r="Z396" s="957" t="str">
        <x:f>IF(COUNTA($A396:$M396)=0,"",Instructions!$B$29+SUM($W$5:W396))</x:f>
      </x:c>
    </x:row>
    <x:row r="397" ht="36" customHeight="1">
      <x:c r="A397" s="439"/>
      <x:c r="B397" s="453"/>
      <x:c r="C397" s="453"/>
      <x:c r="D397" s="454"/>
      <x:c r="E397" s="454"/>
      <x:c r="F397" s="454"/>
      <x:c r="G397" s="986"/>
      <x:c r="H397" s="455"/>
      <x:c r="I397" s="456"/>
      <x:c r="J397" s="456"/>
      <x:c r="K397" s="986"/>
      <x:c r="L397" s="454"/>
      <x:c r="M397" s="439"/>
      <x:c r="N397" s="987" t="str">
        <x:f>IF(COUNTA($A397:$M397)=0,"",IF(OR(LEFT(LOWER(TRIM($F397&amp;"")),12)="subscription",LOWER(TRIM($F397&amp;""))="membership"),"",IF($G397="","",IF(ISNUMBER(SEARCH("non",LOWER($E397&amp;""))),$G397*0.85,$G397))))</x:f>
      </x:c>
      <x:c r="O397" s="987" t="str">
        <x:f>IF(COUNTA($A397:$M397)=0,"",IF(OR(LEFT(LOWER(TRIM($F397&amp;"")),12)="subscription",LOWER(TRIM($F397&amp;""))="membership"),"",IF(OR($N397="",$I397="",$I397=0),"",IFERROR($N397/$I397,""))))</x:f>
      </x:c>
      <x:c r="P397" s="987" t="str">
        <x:f>IF(COUNTA($A397:$M397)=0,"",IF(OR(LEFT(LOWER(TRIM($F397&amp;"")),12)="subscription",LOWER(TRIM($F397&amp;""))="membership"),"",IF(LOWER($L397&amp;"")="yes",0,IF(OR(AND($H397&lt;&gt;"",$H397=0),LEFT(LOWER(TRIM($F397&amp;"")),9)="free game",LOWER(TRIM($F397&amp;""))="free",LOWER(TRIM($F397&amp;""))="free entry"),IF(LOWER($D397&amp;"")="finalized",IF(ISNUMBER($K397),$K397,""),IF($O397&lt;&gt;"",$O397,"")),IF($K397&lt;&gt;"",$K397,IF($O397&lt;&gt;"",$O397,""))))))</x:f>
      </x:c>
      <x:c r="Q397" s="114" t="str">
        <x:f>IF(COUNTA($A397:$M397)=0,"",IF(OR($U397="Subscription",$U397=""),"",IF($U397="Profit",ROUND(IFERROR($P397,0)-IFERROR($H397,0),2),0)))</x:f>
      </x:c>
      <x:c r="R397" s="114" t="str">
        <x:f>IF(COUNTA($A397:$M397)=0,"",IF(OR($U397="Subscription",$U397=""),"",IF($U397="Draw",$H397,0)))</x:f>
      </x:c>
      <x:c r="S397" s="114" t="str">
        <x:f>IF(COUNTA($A397:$M397)=0,"",IF(OR($U397="Subscription",$U397=""),"",IF($U397="Disqualified",$H397,0)))</x:f>
      </x:c>
      <x:c r="T397" s="955" t="str">
        <x:f>IF(COUNTA($A397:$M397)=0,"",IF(OR($U397="Subscription",$U397=""),"",IF(OR($U397="Free Game",$U397="Disqualified — Free Game",$H397=0),"N/A",IF($U397="Profit",$Q397/$H397,IF($U397="Disqualified",-$S397/$H397,0)))))</x:f>
      </x:c>
      <x:c r="U397" s="920" t="str">
        <x:f>IF(COUNTA($A397:$M397)=0,"",IF(OR(LEFT(LOWER(TRIM($F397&amp;"")),12)="subscription",LOWER(TRIM($F397&amp;""))="membership"),"Subscription",IF(OR(AND($H397&lt;&gt;"",$H397=0),LEFT(LOWER(TRIM($F397&amp;"")),9)="free game",LOWER(TRIM($F397&amp;""))="free",LOWER(TRIM($F397&amp;""))="free entry"),IF(LOWER($L397&amp;"")="yes","Disqualified — Free Game","Free Game"),IF(LOWER($L397&amp;"")="yes","Disqualified",IF($P397="","",IF(ROUND(IFERROR(VALUE($P397),0)-IFERROR(VALUE($H397),0),2)&gt;0,"Profit","Draw"))))))</x:f>
      </x:c>
      <x:c r="V397" s="956" t="str">
        <x:f>IF(COUNTA($A397:$M397)=0,"",IF(OR($B397="",$C397="",$U397="Subscription"),"",IFERROR(ROUNDUP(($C397-$B397)/7,0),"")))</x:f>
      </x:c>
      <x:c r="W397" s="114" t="str">
        <x:f>IF(COUNTA($A397:$M397)=0,"",IF(OR($U397="Subscription",$U397=""),"",IF(OR($U397="Free Game",$U397="Disqualified — Free Game"),0,ROUND(IFERROR($Q397,0)-IFERROR($S397,0),2))))</x:f>
      </x:c>
      <x:c r="X397" s="956" t="str">
        <x:f>IF(COUNTA($A397:$M397)=0,"",IF(OR($U397="Subscription",NOT(ISNUMBER($J397)),NOT(ISNUMBER($I397)),$J397=0,$I397=0,$I397&gt;$J397),"",$J397-$I397))</x:f>
      </x:c>
      <x:c r="Y397" s="955" t="str">
        <x:f>IF(COUNTA($A397:$M397)=0,"",IF(OR($U397="Subscription",NOT(ISNUMBER($J397)),$J397=0,$X397=""),"",$X397/$J397))</x:f>
      </x:c>
      <x:c r="Z397" s="957" t="str">
        <x:f>IF(COUNTA($A397:$M397)=0,"",Instructions!$B$29+SUM($W$5:W397))</x:f>
      </x:c>
    </x:row>
    <x:row r="398" ht="36" customHeight="1">
      <x:c r="A398" s="439"/>
      <x:c r="B398" s="453"/>
      <x:c r="C398" s="453"/>
      <x:c r="D398" s="454"/>
      <x:c r="E398" s="454"/>
      <x:c r="F398" s="454"/>
      <x:c r="G398" s="986"/>
      <x:c r="H398" s="455"/>
      <x:c r="I398" s="456"/>
      <x:c r="J398" s="456"/>
      <x:c r="K398" s="986"/>
      <x:c r="L398" s="454"/>
      <x:c r="M398" s="439"/>
      <x:c r="N398" s="987" t="str">
        <x:f>IF(COUNTA($A398:$M398)=0,"",IF(OR(LEFT(LOWER(TRIM($F398&amp;"")),12)="subscription",LOWER(TRIM($F398&amp;""))="membership"),"",IF($G398="","",IF(ISNUMBER(SEARCH("non",LOWER($E398&amp;""))),$G398*0.85,$G398))))</x:f>
      </x:c>
      <x:c r="O398" s="987" t="str">
        <x:f>IF(COUNTA($A398:$M398)=0,"",IF(OR(LEFT(LOWER(TRIM($F398&amp;"")),12)="subscription",LOWER(TRIM($F398&amp;""))="membership"),"",IF(OR($N398="",$I398="",$I398=0),"",IFERROR($N398/$I398,""))))</x:f>
      </x:c>
      <x:c r="P398" s="987" t="str">
        <x:f>IF(COUNTA($A398:$M398)=0,"",IF(OR(LEFT(LOWER(TRIM($F398&amp;"")),12)="subscription",LOWER(TRIM($F398&amp;""))="membership"),"",IF(LOWER($L398&amp;"")="yes",0,IF(OR(AND($H398&lt;&gt;"",$H398=0),LEFT(LOWER(TRIM($F398&amp;"")),9)="free game",LOWER(TRIM($F398&amp;""))="free",LOWER(TRIM($F398&amp;""))="free entry"),IF(LOWER($D398&amp;"")="finalized",IF(ISNUMBER($K398),$K398,""),IF($O398&lt;&gt;"",$O398,"")),IF($K398&lt;&gt;"",$K398,IF($O398&lt;&gt;"",$O398,""))))))</x:f>
      </x:c>
      <x:c r="Q398" s="114" t="str">
        <x:f>IF(COUNTA($A398:$M398)=0,"",IF(OR($U398="Subscription",$U398=""),"",IF($U398="Profit",ROUND(IFERROR($P398,0)-IFERROR($H398,0),2),0)))</x:f>
      </x:c>
      <x:c r="R398" s="114" t="str">
        <x:f>IF(COUNTA($A398:$M398)=0,"",IF(OR($U398="Subscription",$U398=""),"",IF($U398="Draw",$H398,0)))</x:f>
      </x:c>
      <x:c r="S398" s="114" t="str">
        <x:f>IF(COUNTA($A398:$M398)=0,"",IF(OR($U398="Subscription",$U398=""),"",IF($U398="Disqualified",$H398,0)))</x:f>
      </x:c>
      <x:c r="T398" s="955" t="str">
        <x:f>IF(COUNTA($A398:$M398)=0,"",IF(OR($U398="Subscription",$U398=""),"",IF(OR($U398="Free Game",$U398="Disqualified — Free Game",$H398=0),"N/A",IF($U398="Profit",$Q398/$H398,IF($U398="Disqualified",-$S398/$H398,0)))))</x:f>
      </x:c>
      <x:c r="U398" s="920" t="str">
        <x:f>IF(COUNTA($A398:$M398)=0,"",IF(OR(LEFT(LOWER(TRIM($F398&amp;"")),12)="subscription",LOWER(TRIM($F398&amp;""))="membership"),"Subscription",IF(OR(AND($H398&lt;&gt;"",$H398=0),LEFT(LOWER(TRIM($F398&amp;"")),9)="free game",LOWER(TRIM($F398&amp;""))="free",LOWER(TRIM($F398&amp;""))="free entry"),IF(LOWER($L398&amp;"")="yes","Disqualified — Free Game","Free Game"),IF(LOWER($L398&amp;"")="yes","Disqualified",IF($P398="","",IF(ROUND(IFERROR(VALUE($P398),0)-IFERROR(VALUE($H398),0),2)&gt;0,"Profit","Draw"))))))</x:f>
      </x:c>
      <x:c r="V398" s="956" t="str">
        <x:f>IF(COUNTA($A398:$M398)=0,"",IF(OR($B398="",$C398="",$U398="Subscription"),"",IFERROR(ROUNDUP(($C398-$B398)/7,0),"")))</x:f>
      </x:c>
      <x:c r="W398" s="114" t="str">
        <x:f>IF(COUNTA($A398:$M398)=0,"",IF(OR($U398="Subscription",$U398=""),"",IF(OR($U398="Free Game",$U398="Disqualified — Free Game"),0,ROUND(IFERROR($Q398,0)-IFERROR($S398,0),2))))</x:f>
      </x:c>
      <x:c r="X398" s="956" t="str">
        <x:f>IF(COUNTA($A398:$M398)=0,"",IF(OR($U398="Subscription",NOT(ISNUMBER($J398)),NOT(ISNUMBER($I398)),$J398=0,$I398=0,$I398&gt;$J398),"",$J398-$I398))</x:f>
      </x:c>
      <x:c r="Y398" s="955" t="str">
        <x:f>IF(COUNTA($A398:$M398)=0,"",IF(OR($U398="Subscription",NOT(ISNUMBER($J398)),$J398=0,$X398=""),"",$X398/$J398))</x:f>
      </x:c>
      <x:c r="Z398" s="957" t="str">
        <x:f>IF(COUNTA($A398:$M398)=0,"",Instructions!$B$29+SUM($W$5:W398))</x:f>
      </x:c>
    </x:row>
    <x:row r="399" ht="36" customHeight="1">
      <x:c r="A399" s="439"/>
      <x:c r="B399" s="453"/>
      <x:c r="C399" s="453"/>
      <x:c r="D399" s="454"/>
      <x:c r="E399" s="454"/>
      <x:c r="F399" s="454"/>
      <x:c r="G399" s="986"/>
      <x:c r="H399" s="455"/>
      <x:c r="I399" s="456"/>
      <x:c r="J399" s="456"/>
      <x:c r="K399" s="986"/>
      <x:c r="L399" s="454"/>
      <x:c r="M399" s="439"/>
      <x:c r="N399" s="987" t="str">
        <x:f>IF(COUNTA($A399:$M399)=0,"",IF(OR(LEFT(LOWER(TRIM($F399&amp;"")),12)="subscription",LOWER(TRIM($F399&amp;""))="membership"),"",IF($G399="","",IF(ISNUMBER(SEARCH("non",LOWER($E399&amp;""))),$G399*0.85,$G399))))</x:f>
      </x:c>
      <x:c r="O399" s="987" t="str">
        <x:f>IF(COUNTA($A399:$M399)=0,"",IF(OR(LEFT(LOWER(TRIM($F399&amp;"")),12)="subscription",LOWER(TRIM($F399&amp;""))="membership"),"",IF(OR($N399="",$I399="",$I399=0),"",IFERROR($N399/$I399,""))))</x:f>
      </x:c>
      <x:c r="P399" s="987" t="str">
        <x:f>IF(COUNTA($A399:$M399)=0,"",IF(OR(LEFT(LOWER(TRIM($F399&amp;"")),12)="subscription",LOWER(TRIM($F399&amp;""))="membership"),"",IF(LOWER($L399&amp;"")="yes",0,IF(OR(AND($H399&lt;&gt;"",$H399=0),LEFT(LOWER(TRIM($F399&amp;"")),9)="free game",LOWER(TRIM($F399&amp;""))="free",LOWER(TRIM($F399&amp;""))="free entry"),IF(LOWER($D399&amp;"")="finalized",IF(ISNUMBER($K399),$K399,""),IF($O399&lt;&gt;"",$O399,"")),IF($K399&lt;&gt;"",$K399,IF($O399&lt;&gt;"",$O399,""))))))</x:f>
      </x:c>
      <x:c r="Q399" s="114" t="str">
        <x:f>IF(COUNTA($A399:$M399)=0,"",IF(OR($U399="Subscription",$U399=""),"",IF($U399="Profit",ROUND(IFERROR($P399,0)-IFERROR($H399,0),2),0)))</x:f>
      </x:c>
      <x:c r="R399" s="114" t="str">
        <x:f>IF(COUNTA($A399:$M399)=0,"",IF(OR($U399="Subscription",$U399=""),"",IF($U399="Draw",$H399,0)))</x:f>
      </x:c>
      <x:c r="S399" s="114" t="str">
        <x:f>IF(COUNTA($A399:$M399)=0,"",IF(OR($U399="Subscription",$U399=""),"",IF($U399="Disqualified",$H399,0)))</x:f>
      </x:c>
      <x:c r="T399" s="955" t="str">
        <x:f>IF(COUNTA($A399:$M399)=0,"",IF(OR($U399="Subscription",$U399=""),"",IF(OR($U399="Free Game",$U399="Disqualified — Free Game",$H399=0),"N/A",IF($U399="Profit",$Q399/$H399,IF($U399="Disqualified",-$S399/$H399,0)))))</x:f>
      </x:c>
      <x:c r="U399" s="920" t="str">
        <x:f>IF(COUNTA($A399:$M399)=0,"",IF(OR(LEFT(LOWER(TRIM($F399&amp;"")),12)="subscription",LOWER(TRIM($F399&amp;""))="membership"),"Subscription",IF(OR(AND($H399&lt;&gt;"",$H399=0),LEFT(LOWER(TRIM($F399&amp;"")),9)="free game",LOWER(TRIM($F399&amp;""))="free",LOWER(TRIM($F399&amp;""))="free entry"),IF(LOWER($L399&amp;"")="yes","Disqualified — Free Game","Free Game"),IF(LOWER($L399&amp;"")="yes","Disqualified",IF($P399="","",IF(ROUND(IFERROR(VALUE($P399),0)-IFERROR(VALUE($H399),0),2)&gt;0,"Profit","Draw"))))))</x:f>
      </x:c>
      <x:c r="V399" s="956" t="str">
        <x:f>IF(COUNTA($A399:$M399)=0,"",IF(OR($B399="",$C399="",$U399="Subscription"),"",IFERROR(ROUNDUP(($C399-$B399)/7,0),"")))</x:f>
      </x:c>
      <x:c r="W399" s="114" t="str">
        <x:f>IF(COUNTA($A399:$M399)=0,"",IF(OR($U399="Subscription",$U399=""),"",IF(OR($U399="Free Game",$U399="Disqualified — Free Game"),0,ROUND(IFERROR($Q399,0)-IFERROR($S399,0),2))))</x:f>
      </x:c>
      <x:c r="X399" s="956" t="str">
        <x:f>IF(COUNTA($A399:$M399)=0,"",IF(OR($U399="Subscription",NOT(ISNUMBER($J399)),NOT(ISNUMBER($I399)),$J399=0,$I399=0,$I399&gt;$J399),"",$J399-$I399))</x:f>
      </x:c>
      <x:c r="Y399" s="955" t="str">
        <x:f>IF(COUNTA($A399:$M399)=0,"",IF(OR($U399="Subscription",NOT(ISNUMBER($J399)),$J399=0,$X399=""),"",$X399/$J399))</x:f>
      </x:c>
      <x:c r="Z399" s="957" t="str">
        <x:f>IF(COUNTA($A399:$M399)=0,"",Instructions!$B$29+SUM($W$5:W399))</x:f>
      </x:c>
    </x:row>
    <x:row r="400" ht="36" customHeight="1">
      <x:c r="A400" s="439"/>
      <x:c r="B400" s="453"/>
      <x:c r="C400" s="453"/>
      <x:c r="D400" s="454"/>
      <x:c r="E400" s="454"/>
      <x:c r="F400" s="454"/>
      <x:c r="G400" s="986"/>
      <x:c r="H400" s="455"/>
      <x:c r="I400" s="456"/>
      <x:c r="J400" s="456"/>
      <x:c r="K400" s="986"/>
      <x:c r="L400" s="454"/>
      <x:c r="M400" s="439"/>
      <x:c r="N400" s="987" t="str">
        <x:f>IF(COUNTA($A400:$M400)=0,"",IF(OR(LEFT(LOWER(TRIM($F400&amp;"")),12)="subscription",LOWER(TRIM($F400&amp;""))="membership"),"",IF($G400="","",IF(ISNUMBER(SEARCH("non",LOWER($E400&amp;""))),$G400*0.85,$G400))))</x:f>
      </x:c>
      <x:c r="O400" s="987" t="str">
        <x:f>IF(COUNTA($A400:$M400)=0,"",IF(OR(LEFT(LOWER(TRIM($F400&amp;"")),12)="subscription",LOWER(TRIM($F400&amp;""))="membership"),"",IF(OR($N400="",$I400="",$I400=0),"",IFERROR($N400/$I400,""))))</x:f>
      </x:c>
      <x:c r="P400" s="987" t="str">
        <x:f>IF(COUNTA($A400:$M400)=0,"",IF(OR(LEFT(LOWER(TRIM($F400&amp;"")),12)="subscription",LOWER(TRIM($F400&amp;""))="membership"),"",IF(LOWER($L400&amp;"")="yes",0,IF(OR(AND($H400&lt;&gt;"",$H400=0),LEFT(LOWER(TRIM($F400&amp;"")),9)="free game",LOWER(TRIM($F400&amp;""))="free",LOWER(TRIM($F400&amp;""))="free entry"),IF(LOWER($D400&amp;"")="finalized",IF(ISNUMBER($K400),$K400,""),IF($O400&lt;&gt;"",$O400,"")),IF($K400&lt;&gt;"",$K400,IF($O400&lt;&gt;"",$O400,""))))))</x:f>
      </x:c>
      <x:c r="Q400" s="114" t="str">
        <x:f>IF(COUNTA($A400:$M400)=0,"",IF(OR($U400="Subscription",$U400=""),"",IF($U400="Profit",ROUND(IFERROR($P400,0)-IFERROR($H400,0),2),0)))</x:f>
      </x:c>
      <x:c r="R400" s="114" t="str">
        <x:f>IF(COUNTA($A400:$M400)=0,"",IF(OR($U400="Subscription",$U400=""),"",IF($U400="Draw",$H400,0)))</x:f>
      </x:c>
      <x:c r="S400" s="114" t="str">
        <x:f>IF(COUNTA($A400:$M400)=0,"",IF(OR($U400="Subscription",$U400=""),"",IF($U400="Disqualified",$H400,0)))</x:f>
      </x:c>
      <x:c r="T400" s="955" t="str">
        <x:f>IF(COUNTA($A400:$M400)=0,"",IF(OR($U400="Subscription",$U400=""),"",IF(OR($U400="Free Game",$U400="Disqualified — Free Game",$H400=0),"N/A",IF($U400="Profit",$Q400/$H400,IF($U400="Disqualified",-$S400/$H400,0)))))</x:f>
      </x:c>
      <x:c r="U400" s="920" t="str">
        <x:f>IF(COUNTA($A400:$M400)=0,"",IF(OR(LEFT(LOWER(TRIM($F400&amp;"")),12)="subscription",LOWER(TRIM($F400&amp;""))="membership"),"Subscription",IF(OR(AND($H400&lt;&gt;"",$H400=0),LEFT(LOWER(TRIM($F400&amp;"")),9)="free game",LOWER(TRIM($F400&amp;""))="free",LOWER(TRIM($F400&amp;""))="free entry"),IF(LOWER($L400&amp;"")="yes","Disqualified — Free Game","Free Game"),IF(LOWER($L400&amp;"")="yes","Disqualified",IF($P400="","",IF(ROUND(IFERROR(VALUE($P400),0)-IFERROR(VALUE($H400),0),2)&gt;0,"Profit","Draw"))))))</x:f>
      </x:c>
      <x:c r="V400" s="956" t="str">
        <x:f>IF(COUNTA($A400:$M400)=0,"",IF(OR($B400="",$C400="",$U400="Subscription"),"",IFERROR(ROUNDUP(($C400-$B400)/7,0),"")))</x:f>
      </x:c>
      <x:c r="W400" s="114" t="str">
        <x:f>IF(COUNTA($A400:$M400)=0,"",IF(OR($U400="Subscription",$U400=""),"",IF(OR($U400="Free Game",$U400="Disqualified — Free Game"),0,ROUND(IFERROR($Q400,0)-IFERROR($S400,0),2))))</x:f>
      </x:c>
      <x:c r="X400" s="956" t="str">
        <x:f>IF(COUNTA($A400:$M400)=0,"",IF(OR($U400="Subscription",NOT(ISNUMBER($J400)),NOT(ISNUMBER($I400)),$J400=0,$I400=0,$I400&gt;$J400),"",$J400-$I400))</x:f>
      </x:c>
      <x:c r="Y400" s="955" t="str">
        <x:f>IF(COUNTA($A400:$M400)=0,"",IF(OR($U400="Subscription",NOT(ISNUMBER($J400)),$J400=0,$X400=""),"",$X400/$J400))</x:f>
      </x:c>
      <x:c r="Z400" s="957" t="str">
        <x:f>IF(COUNTA($A400:$M400)=0,"",Instructions!$B$29+SUM($W$5:W400))</x:f>
      </x:c>
    </x:row>
    <x:row r="401" ht="36" customHeight="1">
      <x:c r="A401" s="439"/>
      <x:c r="B401" s="453"/>
      <x:c r="C401" s="453"/>
      <x:c r="D401" s="454"/>
      <x:c r="E401" s="454"/>
      <x:c r="F401" s="454"/>
      <x:c r="G401" s="986"/>
      <x:c r="H401" s="455"/>
      <x:c r="I401" s="456"/>
      <x:c r="J401" s="456"/>
      <x:c r="K401" s="986"/>
      <x:c r="L401" s="454"/>
      <x:c r="M401" s="439"/>
      <x:c r="N401" s="987" t="str">
        <x:f>IF(COUNTA($A401:$M401)=0,"",IF(OR(LEFT(LOWER(TRIM($F401&amp;"")),12)="subscription",LOWER(TRIM($F401&amp;""))="membership"),"",IF($G401="","",IF(ISNUMBER(SEARCH("non",LOWER($E401&amp;""))),$G401*0.85,$G401))))</x:f>
      </x:c>
      <x:c r="O401" s="987" t="str">
        <x:f>IF(COUNTA($A401:$M401)=0,"",IF(OR(LEFT(LOWER(TRIM($F401&amp;"")),12)="subscription",LOWER(TRIM($F401&amp;""))="membership"),"",IF(OR($N401="",$I401="",$I401=0),"",IFERROR($N401/$I401,""))))</x:f>
      </x:c>
      <x:c r="P401" s="987" t="str">
        <x:f>IF(COUNTA($A401:$M401)=0,"",IF(OR(LEFT(LOWER(TRIM($F401&amp;"")),12)="subscription",LOWER(TRIM($F401&amp;""))="membership"),"",IF(LOWER($L401&amp;"")="yes",0,IF(OR(AND($H401&lt;&gt;"",$H401=0),LEFT(LOWER(TRIM($F401&amp;"")),9)="free game",LOWER(TRIM($F401&amp;""))="free",LOWER(TRIM($F401&amp;""))="free entry"),IF(LOWER($D401&amp;"")="finalized",IF(ISNUMBER($K401),$K401,""),IF($O401&lt;&gt;"",$O401,"")),IF($K401&lt;&gt;"",$K401,IF($O401&lt;&gt;"",$O401,""))))))</x:f>
      </x:c>
      <x:c r="Q401" s="114" t="str">
        <x:f>IF(COUNTA($A401:$M401)=0,"",IF(OR($U401="Subscription",$U401=""),"",IF($U401="Profit",ROUND(IFERROR($P401,0)-IFERROR($H401,0),2),0)))</x:f>
      </x:c>
      <x:c r="R401" s="114" t="str">
        <x:f>IF(COUNTA($A401:$M401)=0,"",IF(OR($U401="Subscription",$U401=""),"",IF($U401="Draw",$H401,0)))</x:f>
      </x:c>
      <x:c r="S401" s="114" t="str">
        <x:f>IF(COUNTA($A401:$M401)=0,"",IF(OR($U401="Subscription",$U401=""),"",IF($U401="Disqualified",$H401,0)))</x:f>
      </x:c>
      <x:c r="T401" s="955" t="str">
        <x:f>IF(COUNTA($A401:$M401)=0,"",IF(OR($U401="Subscription",$U401=""),"",IF(OR($U401="Free Game",$U401="Disqualified — Free Game",$H401=0),"N/A",IF($U401="Profit",$Q401/$H401,IF($U401="Disqualified",-$S401/$H401,0)))))</x:f>
      </x:c>
      <x:c r="U401" s="920" t="str">
        <x:f>IF(COUNTA($A401:$M401)=0,"",IF(OR(LEFT(LOWER(TRIM($F401&amp;"")),12)="subscription",LOWER(TRIM($F401&amp;""))="membership"),"Subscription",IF(OR(AND($H401&lt;&gt;"",$H401=0),LEFT(LOWER(TRIM($F401&amp;"")),9)="free game",LOWER(TRIM($F401&amp;""))="free",LOWER(TRIM($F401&amp;""))="free entry"),IF(LOWER($L401&amp;"")="yes","Disqualified — Free Game","Free Game"),IF(LOWER($L401&amp;"")="yes","Disqualified",IF($P401="","",IF(ROUND(IFERROR(VALUE($P401),0)-IFERROR(VALUE($H401),0),2)&gt;0,"Profit","Draw"))))))</x:f>
      </x:c>
      <x:c r="V401" s="956" t="str">
        <x:f>IF(COUNTA($A401:$M401)=0,"",IF(OR($B401="",$C401="",$U401="Subscription"),"",IFERROR(ROUNDUP(($C401-$B401)/7,0),"")))</x:f>
      </x:c>
      <x:c r="W401" s="114" t="str">
        <x:f>IF(COUNTA($A401:$M401)=0,"",IF(OR($U401="Subscription",$U401=""),"",IF(OR($U401="Free Game",$U401="Disqualified — Free Game"),0,ROUND(IFERROR($Q401,0)-IFERROR($S401,0),2))))</x:f>
      </x:c>
      <x:c r="X401" s="956" t="str">
        <x:f>IF(COUNTA($A401:$M401)=0,"",IF(OR($U401="Subscription",NOT(ISNUMBER($J401)),NOT(ISNUMBER($I401)),$J401=0,$I401=0,$I401&gt;$J401),"",$J401-$I401))</x:f>
      </x:c>
      <x:c r="Y401" s="955" t="str">
        <x:f>IF(COUNTA($A401:$M401)=0,"",IF(OR($U401="Subscription",NOT(ISNUMBER($J401)),$J401=0,$X401=""),"",$X401/$J401))</x:f>
      </x:c>
      <x:c r="Z401" s="957" t="str">
        <x:f>IF(COUNTA($A401:$M401)=0,"",Instructions!$B$29+SUM($W$5:W401))</x:f>
      </x:c>
    </x:row>
    <x:row r="402" ht="36" customHeight="1">
      <x:c r="A402" s="439"/>
      <x:c r="B402" s="453"/>
      <x:c r="C402" s="453"/>
      <x:c r="D402" s="454"/>
      <x:c r="E402" s="454"/>
      <x:c r="F402" s="454"/>
      <x:c r="G402" s="986"/>
      <x:c r="H402" s="455"/>
      <x:c r="I402" s="456"/>
      <x:c r="J402" s="456"/>
      <x:c r="K402" s="986"/>
      <x:c r="L402" s="454"/>
      <x:c r="M402" s="439"/>
      <x:c r="N402" s="987" t="str">
        <x:f>IF(COUNTA($A402:$M402)=0,"",IF(OR(LEFT(LOWER(TRIM($F402&amp;"")),12)="subscription",LOWER(TRIM($F402&amp;""))="membership"),"",IF($G402="","",IF(ISNUMBER(SEARCH("non",LOWER($E402&amp;""))),$G402*0.85,$G402))))</x:f>
      </x:c>
      <x:c r="O402" s="987" t="str">
        <x:f>IF(COUNTA($A402:$M402)=0,"",IF(OR(LEFT(LOWER(TRIM($F402&amp;"")),12)="subscription",LOWER(TRIM($F402&amp;""))="membership"),"",IF(OR($N402="",$I402="",$I402=0),"",IFERROR($N402/$I402,""))))</x:f>
      </x:c>
      <x:c r="P402" s="987" t="str">
        <x:f>IF(COUNTA($A402:$M402)=0,"",IF(OR(LEFT(LOWER(TRIM($F402&amp;"")),12)="subscription",LOWER(TRIM($F402&amp;""))="membership"),"",IF(LOWER($L402&amp;"")="yes",0,IF(OR(AND($H402&lt;&gt;"",$H402=0),LEFT(LOWER(TRIM($F402&amp;"")),9)="free game",LOWER(TRIM($F402&amp;""))="free",LOWER(TRIM($F402&amp;""))="free entry"),IF(LOWER($D402&amp;"")="finalized",IF(ISNUMBER($K402),$K402,""),IF($O402&lt;&gt;"",$O402,"")),IF($K402&lt;&gt;"",$K402,IF($O402&lt;&gt;"",$O402,""))))))</x:f>
      </x:c>
      <x:c r="Q402" s="114" t="str">
        <x:f>IF(COUNTA($A402:$M402)=0,"",IF(OR($U402="Subscription",$U402=""),"",IF($U402="Profit",ROUND(IFERROR($P402,0)-IFERROR($H402,0),2),0)))</x:f>
      </x:c>
      <x:c r="R402" s="114" t="str">
        <x:f>IF(COUNTA($A402:$M402)=0,"",IF(OR($U402="Subscription",$U402=""),"",IF($U402="Draw",$H402,0)))</x:f>
      </x:c>
      <x:c r="S402" s="114" t="str">
        <x:f>IF(COUNTA($A402:$M402)=0,"",IF(OR($U402="Subscription",$U402=""),"",IF($U402="Disqualified",$H402,0)))</x:f>
      </x:c>
      <x:c r="T402" s="955" t="str">
        <x:f>IF(COUNTA($A402:$M402)=0,"",IF(OR($U402="Subscription",$U402=""),"",IF(OR($U402="Free Game",$U402="Disqualified — Free Game",$H402=0),"N/A",IF($U402="Profit",$Q402/$H402,IF($U402="Disqualified",-$S402/$H402,0)))))</x:f>
      </x:c>
      <x:c r="U402" s="920" t="str">
        <x:f>IF(COUNTA($A402:$M402)=0,"",IF(OR(LEFT(LOWER(TRIM($F402&amp;"")),12)="subscription",LOWER(TRIM($F402&amp;""))="membership"),"Subscription",IF(OR(AND($H402&lt;&gt;"",$H402=0),LEFT(LOWER(TRIM($F402&amp;"")),9)="free game",LOWER(TRIM($F402&amp;""))="free",LOWER(TRIM($F402&amp;""))="free entry"),IF(LOWER($L402&amp;"")="yes","Disqualified — Free Game","Free Game"),IF(LOWER($L402&amp;"")="yes","Disqualified",IF($P402="","",IF(ROUND(IFERROR(VALUE($P402),0)-IFERROR(VALUE($H402),0),2)&gt;0,"Profit","Draw"))))))</x:f>
      </x:c>
      <x:c r="V402" s="956" t="str">
        <x:f>IF(COUNTA($A402:$M402)=0,"",IF(OR($B402="",$C402="",$U402="Subscription"),"",IFERROR(ROUNDUP(($C402-$B402)/7,0),"")))</x:f>
      </x:c>
      <x:c r="W402" s="114" t="str">
        <x:f>IF(COUNTA($A402:$M402)=0,"",IF(OR($U402="Subscription",$U402=""),"",IF(OR($U402="Free Game",$U402="Disqualified — Free Game"),0,ROUND(IFERROR($Q402,0)-IFERROR($S402,0),2))))</x:f>
      </x:c>
      <x:c r="X402" s="956" t="str">
        <x:f>IF(COUNTA($A402:$M402)=0,"",IF(OR($U402="Subscription",NOT(ISNUMBER($J402)),NOT(ISNUMBER($I402)),$J402=0,$I402=0,$I402&gt;$J402),"",$J402-$I402))</x:f>
      </x:c>
      <x:c r="Y402" s="955" t="str">
        <x:f>IF(COUNTA($A402:$M402)=0,"",IF(OR($U402="Subscription",NOT(ISNUMBER($J402)),$J402=0,$X402=""),"",$X402/$J402))</x:f>
      </x:c>
      <x:c r="Z402" s="957" t="str">
        <x:f>IF(COUNTA($A402:$M402)=0,"",Instructions!$B$29+SUM($W$5:W402))</x:f>
      </x:c>
    </x:row>
    <x:row r="403" ht="36" customHeight="1">
      <x:c r="A403" s="439"/>
      <x:c r="B403" s="453"/>
      <x:c r="C403" s="453"/>
      <x:c r="D403" s="454"/>
      <x:c r="E403" s="454"/>
      <x:c r="F403" s="454"/>
      <x:c r="G403" s="986"/>
      <x:c r="H403" s="455"/>
      <x:c r="I403" s="456"/>
      <x:c r="J403" s="456"/>
      <x:c r="K403" s="986"/>
      <x:c r="L403" s="454"/>
      <x:c r="M403" s="439"/>
      <x:c r="N403" s="987" t="str">
        <x:f>IF(COUNTA($A403:$M403)=0,"",IF(OR(LEFT(LOWER(TRIM($F403&amp;"")),12)="subscription",LOWER(TRIM($F403&amp;""))="membership"),"",IF($G403="","",IF(ISNUMBER(SEARCH("non",LOWER($E403&amp;""))),$G403*0.85,$G403))))</x:f>
      </x:c>
      <x:c r="O403" s="987" t="str">
        <x:f>IF(COUNTA($A403:$M403)=0,"",IF(OR(LEFT(LOWER(TRIM($F403&amp;"")),12)="subscription",LOWER(TRIM($F403&amp;""))="membership"),"",IF(OR($N403="",$I403="",$I403=0),"",IFERROR($N403/$I403,""))))</x:f>
      </x:c>
      <x:c r="P403" s="987" t="str">
        <x:f>IF(COUNTA($A403:$M403)=0,"",IF(OR(LEFT(LOWER(TRIM($F403&amp;"")),12)="subscription",LOWER(TRIM($F403&amp;""))="membership"),"",IF(LOWER($L403&amp;"")="yes",0,IF(OR(AND($H403&lt;&gt;"",$H403=0),LEFT(LOWER(TRIM($F403&amp;"")),9)="free game",LOWER(TRIM($F403&amp;""))="free",LOWER(TRIM($F403&amp;""))="free entry"),IF(LOWER($D403&amp;"")="finalized",IF(ISNUMBER($K403),$K403,""),IF($O403&lt;&gt;"",$O403,"")),IF($K403&lt;&gt;"",$K403,IF($O403&lt;&gt;"",$O403,""))))))</x:f>
      </x:c>
      <x:c r="Q403" s="114" t="str">
        <x:f>IF(COUNTA($A403:$M403)=0,"",IF(OR($U403="Subscription",$U403=""),"",IF($U403="Profit",ROUND(IFERROR($P403,0)-IFERROR($H403,0),2),0)))</x:f>
      </x:c>
      <x:c r="R403" s="114" t="str">
        <x:f>IF(COUNTA($A403:$M403)=0,"",IF(OR($U403="Subscription",$U403=""),"",IF($U403="Draw",$H403,0)))</x:f>
      </x:c>
      <x:c r="S403" s="114" t="str">
        <x:f>IF(COUNTA($A403:$M403)=0,"",IF(OR($U403="Subscription",$U403=""),"",IF($U403="Disqualified",$H403,0)))</x:f>
      </x:c>
      <x:c r="T403" s="955" t="str">
        <x:f>IF(COUNTA($A403:$M403)=0,"",IF(OR($U403="Subscription",$U403=""),"",IF(OR($U403="Free Game",$U403="Disqualified — Free Game",$H403=0),"N/A",IF($U403="Profit",$Q403/$H403,IF($U403="Disqualified",-$S403/$H403,0)))))</x:f>
      </x:c>
      <x:c r="U403" s="920" t="str">
        <x:f>IF(COUNTA($A403:$M403)=0,"",IF(OR(LEFT(LOWER(TRIM($F403&amp;"")),12)="subscription",LOWER(TRIM($F403&amp;""))="membership"),"Subscription",IF(OR(AND($H403&lt;&gt;"",$H403=0),LEFT(LOWER(TRIM($F403&amp;"")),9)="free game",LOWER(TRIM($F403&amp;""))="free",LOWER(TRIM($F403&amp;""))="free entry"),IF(LOWER($L403&amp;"")="yes","Disqualified — Free Game","Free Game"),IF(LOWER($L403&amp;"")="yes","Disqualified",IF($P403="","",IF(ROUND(IFERROR(VALUE($P403),0)-IFERROR(VALUE($H403),0),2)&gt;0,"Profit","Draw"))))))</x:f>
      </x:c>
      <x:c r="V403" s="956" t="str">
        <x:f>IF(COUNTA($A403:$M403)=0,"",IF(OR($B403="",$C403="",$U403="Subscription"),"",IFERROR(ROUNDUP(($C403-$B403)/7,0),"")))</x:f>
      </x:c>
      <x:c r="W403" s="114" t="str">
        <x:f>IF(COUNTA($A403:$M403)=0,"",IF(OR($U403="Subscription",$U403=""),"",IF(OR($U403="Free Game",$U403="Disqualified — Free Game"),0,ROUND(IFERROR($Q403,0)-IFERROR($S403,0),2))))</x:f>
      </x:c>
      <x:c r="X403" s="956" t="str">
        <x:f>IF(COUNTA($A403:$M403)=0,"",IF(OR($U403="Subscription",NOT(ISNUMBER($J403)),NOT(ISNUMBER($I403)),$J403=0,$I403=0,$I403&gt;$J403),"",$J403-$I403))</x:f>
      </x:c>
      <x:c r="Y403" s="955" t="str">
        <x:f>IF(COUNTA($A403:$M403)=0,"",IF(OR($U403="Subscription",NOT(ISNUMBER($J403)),$J403=0,$X403=""),"",$X403/$J403))</x:f>
      </x:c>
      <x:c r="Z403" s="957" t="str">
        <x:f>IF(COUNTA($A403:$M403)=0,"",Instructions!$B$29+SUM($W$5:W403))</x:f>
      </x:c>
    </x:row>
    <x:row r="404" ht="36" customHeight="1">
      <x:c r="A404" s="439"/>
      <x:c r="B404" s="453"/>
      <x:c r="C404" s="453"/>
      <x:c r="D404" s="454"/>
      <x:c r="E404" s="454"/>
      <x:c r="F404" s="454"/>
      <x:c r="G404" s="986"/>
      <x:c r="H404" s="455"/>
      <x:c r="I404" s="456"/>
      <x:c r="J404" s="456"/>
      <x:c r="K404" s="986"/>
      <x:c r="L404" s="454"/>
      <x:c r="M404" s="439"/>
      <x:c r="N404" s="987" t="str">
        <x:f>IF(COUNTA($A404:$M404)=0,"",IF(OR(LEFT(LOWER(TRIM($F404&amp;"")),12)="subscription",LOWER(TRIM($F404&amp;""))="membership"),"",IF($G404="","",IF(ISNUMBER(SEARCH("non",LOWER($E404&amp;""))),$G404*0.85,$G404))))</x:f>
      </x:c>
      <x:c r="O404" s="987" t="str">
        <x:f>IF(COUNTA($A404:$M404)=0,"",IF(OR(LEFT(LOWER(TRIM($F404&amp;"")),12)="subscription",LOWER(TRIM($F404&amp;""))="membership"),"",IF(OR($N404="",$I404="",$I404=0),"",IFERROR($N404/$I404,""))))</x:f>
      </x:c>
      <x:c r="P404" s="987" t="str">
        <x:f>IF(COUNTA($A404:$M404)=0,"",IF(OR(LEFT(LOWER(TRIM($F404&amp;"")),12)="subscription",LOWER(TRIM($F404&amp;""))="membership"),"",IF(LOWER($L404&amp;"")="yes",0,IF(OR(AND($H404&lt;&gt;"",$H404=0),LEFT(LOWER(TRIM($F404&amp;"")),9)="free game",LOWER(TRIM($F404&amp;""))="free",LOWER(TRIM($F404&amp;""))="free entry"),IF(LOWER($D404&amp;"")="finalized",IF(ISNUMBER($K404),$K404,""),IF($O404&lt;&gt;"",$O404,"")),IF($K404&lt;&gt;"",$K404,IF($O404&lt;&gt;"",$O404,""))))))</x:f>
      </x:c>
      <x:c r="Q404" s="114" t="str">
        <x:f>IF(COUNTA($A404:$M404)=0,"",IF(OR($U404="Subscription",$U404=""),"",IF($U404="Profit",ROUND(IFERROR($P404,0)-IFERROR($H404,0),2),0)))</x:f>
      </x:c>
      <x:c r="R404" s="114" t="str">
        <x:f>IF(COUNTA($A404:$M404)=0,"",IF(OR($U404="Subscription",$U404=""),"",IF($U404="Draw",$H404,0)))</x:f>
      </x:c>
      <x:c r="S404" s="114" t="str">
        <x:f>IF(COUNTA($A404:$M404)=0,"",IF(OR($U404="Subscription",$U404=""),"",IF($U404="Disqualified",$H404,0)))</x:f>
      </x:c>
      <x:c r="T404" s="955" t="str">
        <x:f>IF(COUNTA($A404:$M404)=0,"",IF(OR($U404="Subscription",$U404=""),"",IF(OR($U404="Free Game",$U404="Disqualified — Free Game",$H404=0),"N/A",IF($U404="Profit",$Q404/$H404,IF($U404="Disqualified",-$S404/$H404,0)))))</x:f>
      </x:c>
      <x:c r="U404" s="920" t="str">
        <x:f>IF(COUNTA($A404:$M404)=0,"",IF(OR(LEFT(LOWER(TRIM($F404&amp;"")),12)="subscription",LOWER(TRIM($F404&amp;""))="membership"),"Subscription",IF(OR(AND($H404&lt;&gt;"",$H404=0),LEFT(LOWER(TRIM($F404&amp;"")),9)="free game",LOWER(TRIM($F404&amp;""))="free",LOWER(TRIM($F404&amp;""))="free entry"),IF(LOWER($L404&amp;"")="yes","Disqualified — Free Game","Free Game"),IF(LOWER($L404&amp;"")="yes","Disqualified",IF($P404="","",IF(ROUND(IFERROR(VALUE($P404),0)-IFERROR(VALUE($H404),0),2)&gt;0,"Profit","Draw"))))))</x:f>
      </x:c>
      <x:c r="V404" s="956" t="str">
        <x:f>IF(COUNTA($A404:$M404)=0,"",IF(OR($B404="",$C404="",$U404="Subscription"),"",IFERROR(ROUNDUP(($C404-$B404)/7,0),"")))</x:f>
      </x:c>
      <x:c r="W404" s="114" t="str">
        <x:f>IF(COUNTA($A404:$M404)=0,"",IF(OR($U404="Subscription",$U404=""),"",IF(OR($U404="Free Game",$U404="Disqualified — Free Game"),0,ROUND(IFERROR($Q404,0)-IFERROR($S404,0),2))))</x:f>
      </x:c>
      <x:c r="X404" s="956" t="str">
        <x:f>IF(COUNTA($A404:$M404)=0,"",IF(OR($U404="Subscription",NOT(ISNUMBER($J404)),NOT(ISNUMBER($I404)),$J404=0,$I404=0,$I404&gt;$J404),"",$J404-$I404))</x:f>
      </x:c>
      <x:c r="Y404" s="955" t="str">
        <x:f>IF(COUNTA($A404:$M404)=0,"",IF(OR($U404="Subscription",NOT(ISNUMBER($J404)),$J404=0,$X404=""),"",$X404/$J404))</x:f>
      </x:c>
      <x:c r="Z404" s="957" t="str">
        <x:f>IF(COUNTA($A404:$M404)=0,"",Instructions!$B$29+SUM($W$5:W404))</x:f>
      </x:c>
    </x:row>
    <x:row r="405" ht="36" customHeight="1">
      <x:c r="A405" s="439"/>
      <x:c r="B405" s="453"/>
      <x:c r="C405" s="453"/>
      <x:c r="D405" s="454"/>
      <x:c r="E405" s="454"/>
      <x:c r="F405" s="454"/>
      <x:c r="G405" s="986"/>
      <x:c r="H405" s="455"/>
      <x:c r="I405" s="456"/>
      <x:c r="J405" s="456"/>
      <x:c r="K405" s="986"/>
      <x:c r="L405" s="454"/>
      <x:c r="M405" s="439"/>
      <x:c r="N405" s="987" t="str">
        <x:f>IF(COUNTA($A405:$M405)=0,"",IF(OR(LEFT(LOWER(TRIM($F405&amp;"")),12)="subscription",LOWER(TRIM($F405&amp;""))="membership"),"",IF($G405="","",IF(ISNUMBER(SEARCH("non",LOWER($E405&amp;""))),$G405*0.85,$G405))))</x:f>
      </x:c>
      <x:c r="O405" s="987" t="str">
        <x:f>IF(COUNTA($A405:$M405)=0,"",IF(OR(LEFT(LOWER(TRIM($F405&amp;"")),12)="subscription",LOWER(TRIM($F405&amp;""))="membership"),"",IF(OR($N405="",$I405="",$I405=0),"",IFERROR($N405/$I405,""))))</x:f>
      </x:c>
      <x:c r="P405" s="987" t="str">
        <x:f>IF(COUNTA($A405:$M405)=0,"",IF(OR(LEFT(LOWER(TRIM($F405&amp;"")),12)="subscription",LOWER(TRIM($F405&amp;""))="membership"),"",IF(LOWER($L405&amp;"")="yes",0,IF(OR(AND($H405&lt;&gt;"",$H405=0),LEFT(LOWER(TRIM($F405&amp;"")),9)="free game",LOWER(TRIM($F405&amp;""))="free",LOWER(TRIM($F405&amp;""))="free entry"),IF(LOWER($D405&amp;"")="finalized",IF(ISNUMBER($K405),$K405,""),IF($O405&lt;&gt;"",$O405,"")),IF($K405&lt;&gt;"",$K405,IF($O405&lt;&gt;"",$O405,""))))))</x:f>
      </x:c>
      <x:c r="Q405" s="114" t="str">
        <x:f>IF(COUNTA($A405:$M405)=0,"",IF(OR($U405="Subscription",$U405=""),"",IF($U405="Profit",ROUND(IFERROR($P405,0)-IFERROR($H405,0),2),0)))</x:f>
      </x:c>
      <x:c r="R405" s="114" t="str">
        <x:f>IF(COUNTA($A405:$M405)=0,"",IF(OR($U405="Subscription",$U405=""),"",IF($U405="Draw",$H405,0)))</x:f>
      </x:c>
      <x:c r="S405" s="114" t="str">
        <x:f>IF(COUNTA($A405:$M405)=0,"",IF(OR($U405="Subscription",$U405=""),"",IF($U405="Disqualified",$H405,0)))</x:f>
      </x:c>
      <x:c r="T405" s="955" t="str">
        <x:f>IF(COUNTA($A405:$M405)=0,"",IF(OR($U405="Subscription",$U405=""),"",IF(OR($U405="Free Game",$U405="Disqualified — Free Game",$H405=0),"N/A",IF($U405="Profit",$Q405/$H405,IF($U405="Disqualified",-$S405/$H405,0)))))</x:f>
      </x:c>
      <x:c r="U405" s="920" t="str">
        <x:f>IF(COUNTA($A405:$M405)=0,"",IF(OR(LEFT(LOWER(TRIM($F405&amp;"")),12)="subscription",LOWER(TRIM($F405&amp;""))="membership"),"Subscription",IF(OR(AND($H405&lt;&gt;"",$H405=0),LEFT(LOWER(TRIM($F405&amp;"")),9)="free game",LOWER(TRIM($F405&amp;""))="free",LOWER(TRIM($F405&amp;""))="free entry"),IF(LOWER($L405&amp;"")="yes","Disqualified — Free Game","Free Game"),IF(LOWER($L405&amp;"")="yes","Disqualified",IF($P405="","",IF(ROUND(IFERROR(VALUE($P405),0)-IFERROR(VALUE($H405),0),2)&gt;0,"Profit","Draw"))))))</x:f>
      </x:c>
      <x:c r="V405" s="956" t="str">
        <x:f>IF(COUNTA($A405:$M405)=0,"",IF(OR($B405="",$C405="",$U405="Subscription"),"",IFERROR(ROUNDUP(($C405-$B405)/7,0),"")))</x:f>
      </x:c>
      <x:c r="W405" s="114" t="str">
        <x:f>IF(COUNTA($A405:$M405)=0,"",IF(OR($U405="Subscription",$U405=""),"",IF(OR($U405="Free Game",$U405="Disqualified — Free Game"),0,ROUND(IFERROR($Q405,0)-IFERROR($S405,0),2))))</x:f>
      </x:c>
      <x:c r="X405" s="956" t="str">
        <x:f>IF(COUNTA($A405:$M405)=0,"",IF(OR($U405="Subscription",NOT(ISNUMBER($J405)),NOT(ISNUMBER($I405)),$J405=0,$I405=0,$I405&gt;$J405),"",$J405-$I405))</x:f>
      </x:c>
      <x:c r="Y405" s="955" t="str">
        <x:f>IF(COUNTA($A405:$M405)=0,"",IF(OR($U405="Subscription",NOT(ISNUMBER($J405)),$J405=0,$X405=""),"",$X405/$J405))</x:f>
      </x:c>
      <x:c r="Z405" s="957" t="str">
        <x:f>IF(COUNTA($A405:$M405)=0,"",Instructions!$B$29+SUM($W$5:W405))</x:f>
      </x:c>
    </x:row>
    <x:row r="406" ht="36" customHeight="1">
      <x:c r="A406" s="439"/>
      <x:c r="B406" s="453"/>
      <x:c r="C406" s="453"/>
      <x:c r="D406" s="454"/>
      <x:c r="E406" s="454"/>
      <x:c r="F406" s="454"/>
      <x:c r="G406" s="986"/>
      <x:c r="H406" s="455"/>
      <x:c r="I406" s="456"/>
      <x:c r="J406" s="456"/>
      <x:c r="K406" s="986"/>
      <x:c r="L406" s="454"/>
      <x:c r="M406" s="439"/>
      <x:c r="N406" s="987" t="str">
        <x:f>IF(COUNTA($A406:$M406)=0,"",IF(OR(LEFT(LOWER(TRIM($F406&amp;"")),12)="subscription",LOWER(TRIM($F406&amp;""))="membership"),"",IF($G406="","",IF(ISNUMBER(SEARCH("non",LOWER($E406&amp;""))),$G406*0.85,$G406))))</x:f>
      </x:c>
      <x:c r="O406" s="987" t="str">
        <x:f>IF(COUNTA($A406:$M406)=0,"",IF(OR(LEFT(LOWER(TRIM($F406&amp;"")),12)="subscription",LOWER(TRIM($F406&amp;""))="membership"),"",IF(OR($N406="",$I406="",$I406=0),"",IFERROR($N406/$I406,""))))</x:f>
      </x:c>
      <x:c r="P406" s="987" t="str">
        <x:f>IF(COUNTA($A406:$M406)=0,"",IF(OR(LEFT(LOWER(TRIM($F406&amp;"")),12)="subscription",LOWER(TRIM($F406&amp;""))="membership"),"",IF(LOWER($L406&amp;"")="yes",0,IF(OR(AND($H406&lt;&gt;"",$H406=0),LEFT(LOWER(TRIM($F406&amp;"")),9)="free game",LOWER(TRIM($F406&amp;""))="free",LOWER(TRIM($F406&amp;""))="free entry"),IF(LOWER($D406&amp;"")="finalized",IF(ISNUMBER($K406),$K406,""),IF($O406&lt;&gt;"",$O406,"")),IF($K406&lt;&gt;"",$K406,IF($O406&lt;&gt;"",$O406,""))))))</x:f>
      </x:c>
      <x:c r="Q406" s="114" t="str">
        <x:f>IF(COUNTA($A406:$M406)=0,"",IF(OR($U406="Subscription",$U406=""),"",IF($U406="Profit",ROUND(IFERROR($P406,0)-IFERROR($H406,0),2),0)))</x:f>
      </x:c>
      <x:c r="R406" s="114" t="str">
        <x:f>IF(COUNTA($A406:$M406)=0,"",IF(OR($U406="Subscription",$U406=""),"",IF($U406="Draw",$H406,0)))</x:f>
      </x:c>
      <x:c r="S406" s="114" t="str">
        <x:f>IF(COUNTA($A406:$M406)=0,"",IF(OR($U406="Subscription",$U406=""),"",IF($U406="Disqualified",$H406,0)))</x:f>
      </x:c>
      <x:c r="T406" s="955" t="str">
        <x:f>IF(COUNTA($A406:$M406)=0,"",IF(OR($U406="Subscription",$U406=""),"",IF(OR($U406="Free Game",$U406="Disqualified — Free Game",$H406=0),"N/A",IF($U406="Profit",$Q406/$H406,IF($U406="Disqualified",-$S406/$H406,0)))))</x:f>
      </x:c>
      <x:c r="U406" s="920" t="str">
        <x:f>IF(COUNTA($A406:$M406)=0,"",IF(OR(LEFT(LOWER(TRIM($F406&amp;"")),12)="subscription",LOWER(TRIM($F406&amp;""))="membership"),"Subscription",IF(OR(AND($H406&lt;&gt;"",$H406=0),LEFT(LOWER(TRIM($F406&amp;"")),9)="free game",LOWER(TRIM($F406&amp;""))="free",LOWER(TRIM($F406&amp;""))="free entry"),IF(LOWER($L406&amp;"")="yes","Disqualified — Free Game","Free Game"),IF(LOWER($L406&amp;"")="yes","Disqualified",IF($P406="","",IF(ROUND(IFERROR(VALUE($P406),0)-IFERROR(VALUE($H406),0),2)&gt;0,"Profit","Draw"))))))</x:f>
      </x:c>
      <x:c r="V406" s="956" t="str">
        <x:f>IF(COUNTA($A406:$M406)=0,"",IF(OR($B406="",$C406="",$U406="Subscription"),"",IFERROR(ROUNDUP(($C406-$B406)/7,0),"")))</x:f>
      </x:c>
      <x:c r="W406" s="114" t="str">
        <x:f>IF(COUNTA($A406:$M406)=0,"",IF(OR($U406="Subscription",$U406=""),"",IF(OR($U406="Free Game",$U406="Disqualified — Free Game"),0,ROUND(IFERROR($Q406,0)-IFERROR($S406,0),2))))</x:f>
      </x:c>
      <x:c r="X406" s="956" t="str">
        <x:f>IF(COUNTA($A406:$M406)=0,"",IF(OR($U406="Subscription",NOT(ISNUMBER($J406)),NOT(ISNUMBER($I406)),$J406=0,$I406=0,$I406&gt;$J406),"",$J406-$I406))</x:f>
      </x:c>
      <x:c r="Y406" s="955" t="str">
        <x:f>IF(COUNTA($A406:$M406)=0,"",IF(OR($U406="Subscription",NOT(ISNUMBER($J406)),$J406=0,$X406=""),"",$X406/$J406))</x:f>
      </x:c>
      <x:c r="Z406" s="957" t="str">
        <x:f>IF(COUNTA($A406:$M406)=0,"",Instructions!$B$29+SUM($W$5:W406))</x:f>
      </x:c>
    </x:row>
    <x:row r="407" ht="36" customHeight="1">
      <x:c r="A407" s="439"/>
      <x:c r="B407" s="453"/>
      <x:c r="C407" s="453"/>
      <x:c r="D407" s="454"/>
      <x:c r="E407" s="454"/>
      <x:c r="F407" s="454"/>
      <x:c r="G407" s="986"/>
      <x:c r="H407" s="455"/>
      <x:c r="I407" s="456"/>
      <x:c r="J407" s="456"/>
      <x:c r="K407" s="986"/>
      <x:c r="L407" s="454"/>
      <x:c r="M407" s="439"/>
      <x:c r="N407" s="987" t="str">
        <x:f>IF(COUNTA($A407:$M407)=0,"",IF(OR(LEFT(LOWER(TRIM($F407&amp;"")),12)="subscription",LOWER(TRIM($F407&amp;""))="membership"),"",IF($G407="","",IF(ISNUMBER(SEARCH("non",LOWER($E407&amp;""))),$G407*0.85,$G407))))</x:f>
      </x:c>
      <x:c r="O407" s="987" t="str">
        <x:f>IF(COUNTA($A407:$M407)=0,"",IF(OR(LEFT(LOWER(TRIM($F407&amp;"")),12)="subscription",LOWER(TRIM($F407&amp;""))="membership"),"",IF(OR($N407="",$I407="",$I407=0),"",IFERROR($N407/$I407,""))))</x:f>
      </x:c>
      <x:c r="P407" s="987" t="str">
        <x:f>IF(COUNTA($A407:$M407)=0,"",IF(OR(LEFT(LOWER(TRIM($F407&amp;"")),12)="subscription",LOWER(TRIM($F407&amp;""))="membership"),"",IF(LOWER($L407&amp;"")="yes",0,IF(OR(AND($H407&lt;&gt;"",$H407=0),LEFT(LOWER(TRIM($F407&amp;"")),9)="free game",LOWER(TRIM($F407&amp;""))="free",LOWER(TRIM($F407&amp;""))="free entry"),IF(LOWER($D407&amp;"")="finalized",IF(ISNUMBER($K407),$K407,""),IF($O407&lt;&gt;"",$O407,"")),IF($K407&lt;&gt;"",$K407,IF($O407&lt;&gt;"",$O407,""))))))</x:f>
      </x:c>
      <x:c r="Q407" s="114" t="str">
        <x:f>IF(COUNTA($A407:$M407)=0,"",IF(OR($U407="Subscription",$U407=""),"",IF($U407="Profit",ROUND(IFERROR($P407,0)-IFERROR($H407,0),2),0)))</x:f>
      </x:c>
      <x:c r="R407" s="114" t="str">
        <x:f>IF(COUNTA($A407:$M407)=0,"",IF(OR($U407="Subscription",$U407=""),"",IF($U407="Draw",$H407,0)))</x:f>
      </x:c>
      <x:c r="S407" s="114" t="str">
        <x:f>IF(COUNTA($A407:$M407)=0,"",IF(OR($U407="Subscription",$U407=""),"",IF($U407="Disqualified",$H407,0)))</x:f>
      </x:c>
      <x:c r="T407" s="955" t="str">
        <x:f>IF(COUNTA($A407:$M407)=0,"",IF(OR($U407="Subscription",$U407=""),"",IF(OR($U407="Free Game",$U407="Disqualified — Free Game",$H407=0),"N/A",IF($U407="Profit",$Q407/$H407,IF($U407="Disqualified",-$S407/$H407,0)))))</x:f>
      </x:c>
      <x:c r="U407" s="920" t="str">
        <x:f>IF(COUNTA($A407:$M407)=0,"",IF(OR(LEFT(LOWER(TRIM($F407&amp;"")),12)="subscription",LOWER(TRIM($F407&amp;""))="membership"),"Subscription",IF(OR(AND($H407&lt;&gt;"",$H407=0),LEFT(LOWER(TRIM($F407&amp;"")),9)="free game",LOWER(TRIM($F407&amp;""))="free",LOWER(TRIM($F407&amp;""))="free entry"),IF(LOWER($L407&amp;"")="yes","Disqualified — Free Game","Free Game"),IF(LOWER($L407&amp;"")="yes","Disqualified",IF($P407="","",IF(ROUND(IFERROR(VALUE($P407),0)-IFERROR(VALUE($H407),0),2)&gt;0,"Profit","Draw"))))))</x:f>
      </x:c>
      <x:c r="V407" s="956" t="str">
        <x:f>IF(COUNTA($A407:$M407)=0,"",IF(OR($B407="",$C407="",$U407="Subscription"),"",IFERROR(ROUNDUP(($C407-$B407)/7,0),"")))</x:f>
      </x:c>
      <x:c r="W407" s="114" t="str">
        <x:f>IF(COUNTA($A407:$M407)=0,"",IF(OR($U407="Subscription",$U407=""),"",IF(OR($U407="Free Game",$U407="Disqualified — Free Game"),0,ROUND(IFERROR($Q407,0)-IFERROR($S407,0),2))))</x:f>
      </x:c>
      <x:c r="X407" s="956" t="str">
        <x:f>IF(COUNTA($A407:$M407)=0,"",IF(OR($U407="Subscription",NOT(ISNUMBER($J407)),NOT(ISNUMBER($I407)),$J407=0,$I407=0,$I407&gt;$J407),"",$J407-$I407))</x:f>
      </x:c>
      <x:c r="Y407" s="955" t="str">
        <x:f>IF(COUNTA($A407:$M407)=0,"",IF(OR($U407="Subscription",NOT(ISNUMBER($J407)),$J407=0,$X407=""),"",$X407/$J407))</x:f>
      </x:c>
      <x:c r="Z407" s="957" t="str">
        <x:f>IF(COUNTA($A407:$M407)=0,"",Instructions!$B$29+SUM($W$5:W407))</x:f>
      </x:c>
    </x:row>
    <x:row r="408" ht="36" customHeight="1">
      <x:c r="A408" s="439"/>
      <x:c r="B408" s="453"/>
      <x:c r="C408" s="453"/>
      <x:c r="D408" s="454"/>
      <x:c r="E408" s="454"/>
      <x:c r="F408" s="454"/>
      <x:c r="G408" s="986"/>
      <x:c r="H408" s="455"/>
      <x:c r="I408" s="456"/>
      <x:c r="J408" s="456"/>
      <x:c r="K408" s="986"/>
      <x:c r="L408" s="454"/>
      <x:c r="M408" s="439"/>
      <x:c r="N408" s="987" t="str">
        <x:f>IF(COUNTA($A408:$M408)=0,"",IF(OR(LEFT(LOWER(TRIM($F408&amp;"")),12)="subscription",LOWER(TRIM($F408&amp;""))="membership"),"",IF($G408="","",IF(ISNUMBER(SEARCH("non",LOWER($E408&amp;""))),$G408*0.85,$G408))))</x:f>
      </x:c>
      <x:c r="O408" s="987" t="str">
        <x:f>IF(COUNTA($A408:$M408)=0,"",IF(OR(LEFT(LOWER(TRIM($F408&amp;"")),12)="subscription",LOWER(TRIM($F408&amp;""))="membership"),"",IF(OR($N408="",$I408="",$I408=0),"",IFERROR($N408/$I408,""))))</x:f>
      </x:c>
      <x:c r="P408" s="987" t="str">
        <x:f>IF(COUNTA($A408:$M408)=0,"",IF(OR(LEFT(LOWER(TRIM($F408&amp;"")),12)="subscription",LOWER(TRIM($F408&amp;""))="membership"),"",IF(LOWER($L408&amp;"")="yes",0,IF(OR(AND($H408&lt;&gt;"",$H408=0),LEFT(LOWER(TRIM($F408&amp;"")),9)="free game",LOWER(TRIM($F408&amp;""))="free",LOWER(TRIM($F408&amp;""))="free entry"),IF(LOWER($D408&amp;"")="finalized",IF(ISNUMBER($K408),$K408,""),IF($O408&lt;&gt;"",$O408,"")),IF($K408&lt;&gt;"",$K408,IF($O408&lt;&gt;"",$O408,""))))))</x:f>
      </x:c>
      <x:c r="Q408" s="114" t="str">
        <x:f>IF(COUNTA($A408:$M408)=0,"",IF(OR($U408="Subscription",$U408=""),"",IF($U408="Profit",ROUND(IFERROR($P408,0)-IFERROR($H408,0),2),0)))</x:f>
      </x:c>
      <x:c r="R408" s="114" t="str">
        <x:f>IF(COUNTA($A408:$M408)=0,"",IF(OR($U408="Subscription",$U408=""),"",IF($U408="Draw",$H408,0)))</x:f>
      </x:c>
      <x:c r="S408" s="114" t="str">
        <x:f>IF(COUNTA($A408:$M408)=0,"",IF(OR($U408="Subscription",$U408=""),"",IF($U408="Disqualified",$H408,0)))</x:f>
      </x:c>
      <x:c r="T408" s="955" t="str">
        <x:f>IF(COUNTA($A408:$M408)=0,"",IF(OR($U408="Subscription",$U408=""),"",IF(OR($U408="Free Game",$U408="Disqualified — Free Game",$H408=0),"N/A",IF($U408="Profit",$Q408/$H408,IF($U408="Disqualified",-$S408/$H408,0)))))</x:f>
      </x:c>
      <x:c r="U408" s="920" t="str">
        <x:f>IF(COUNTA($A408:$M408)=0,"",IF(OR(LEFT(LOWER(TRIM($F408&amp;"")),12)="subscription",LOWER(TRIM($F408&amp;""))="membership"),"Subscription",IF(OR(AND($H408&lt;&gt;"",$H408=0),LEFT(LOWER(TRIM($F408&amp;"")),9)="free game",LOWER(TRIM($F408&amp;""))="free",LOWER(TRIM($F408&amp;""))="free entry"),IF(LOWER($L408&amp;"")="yes","Disqualified — Free Game","Free Game"),IF(LOWER($L408&amp;"")="yes","Disqualified",IF($P408="","",IF(ROUND(IFERROR(VALUE($P408),0)-IFERROR(VALUE($H408),0),2)&gt;0,"Profit","Draw"))))))</x:f>
      </x:c>
      <x:c r="V408" s="956" t="str">
        <x:f>IF(COUNTA($A408:$M408)=0,"",IF(OR($B408="",$C408="",$U408="Subscription"),"",IFERROR(ROUNDUP(($C408-$B408)/7,0),"")))</x:f>
      </x:c>
      <x:c r="W408" s="114" t="str">
        <x:f>IF(COUNTA($A408:$M408)=0,"",IF(OR($U408="Subscription",$U408=""),"",IF(OR($U408="Free Game",$U408="Disqualified — Free Game"),0,ROUND(IFERROR($Q408,0)-IFERROR($S408,0),2))))</x:f>
      </x:c>
      <x:c r="X408" s="956" t="str">
        <x:f>IF(COUNTA($A408:$M408)=0,"",IF(OR($U408="Subscription",NOT(ISNUMBER($J408)),NOT(ISNUMBER($I408)),$J408=0,$I408=0,$I408&gt;$J408),"",$J408-$I408))</x:f>
      </x:c>
      <x:c r="Y408" s="955" t="str">
        <x:f>IF(COUNTA($A408:$M408)=0,"",IF(OR($U408="Subscription",NOT(ISNUMBER($J408)),$J408=0,$X408=""),"",$X408/$J408))</x:f>
      </x:c>
      <x:c r="Z408" s="957" t="str">
        <x:f>IF(COUNTA($A408:$M408)=0,"",Instructions!$B$29+SUM($W$5:W408))</x:f>
      </x:c>
    </x:row>
    <x:row r="409" ht="36" customHeight="1">
      <x:c r="A409" s="439"/>
      <x:c r="B409" s="453"/>
      <x:c r="C409" s="453"/>
      <x:c r="D409" s="454"/>
      <x:c r="E409" s="454"/>
      <x:c r="F409" s="454"/>
      <x:c r="G409" s="986"/>
      <x:c r="H409" s="455"/>
      <x:c r="I409" s="456"/>
      <x:c r="J409" s="456"/>
      <x:c r="K409" s="986"/>
      <x:c r="L409" s="454"/>
      <x:c r="M409" s="439"/>
      <x:c r="N409" s="987" t="str">
        <x:f>IF(COUNTA($A409:$M409)=0,"",IF(OR(LEFT(LOWER(TRIM($F409&amp;"")),12)="subscription",LOWER(TRIM($F409&amp;""))="membership"),"",IF($G409="","",IF(ISNUMBER(SEARCH("non",LOWER($E409&amp;""))),$G409*0.85,$G409))))</x:f>
      </x:c>
      <x:c r="O409" s="987" t="str">
        <x:f>IF(COUNTA($A409:$M409)=0,"",IF(OR(LEFT(LOWER(TRIM($F409&amp;"")),12)="subscription",LOWER(TRIM($F409&amp;""))="membership"),"",IF(OR($N409="",$I409="",$I409=0),"",IFERROR($N409/$I409,""))))</x:f>
      </x:c>
      <x:c r="P409" s="987" t="str">
        <x:f>IF(COUNTA($A409:$M409)=0,"",IF(OR(LEFT(LOWER(TRIM($F409&amp;"")),12)="subscription",LOWER(TRIM($F409&amp;""))="membership"),"",IF(LOWER($L409&amp;"")="yes",0,IF(OR(AND($H409&lt;&gt;"",$H409=0),LEFT(LOWER(TRIM($F409&amp;"")),9)="free game",LOWER(TRIM($F409&amp;""))="free",LOWER(TRIM($F409&amp;""))="free entry"),IF(LOWER($D409&amp;"")="finalized",IF(ISNUMBER($K409),$K409,""),IF($O409&lt;&gt;"",$O409,"")),IF($K409&lt;&gt;"",$K409,IF($O409&lt;&gt;"",$O409,""))))))</x:f>
      </x:c>
      <x:c r="Q409" s="114" t="str">
        <x:f>IF(COUNTA($A409:$M409)=0,"",IF(OR($U409="Subscription",$U409=""),"",IF($U409="Profit",ROUND(IFERROR($P409,0)-IFERROR($H409,0),2),0)))</x:f>
      </x:c>
      <x:c r="R409" s="114" t="str">
        <x:f>IF(COUNTA($A409:$M409)=0,"",IF(OR($U409="Subscription",$U409=""),"",IF($U409="Draw",$H409,0)))</x:f>
      </x:c>
      <x:c r="S409" s="114" t="str">
        <x:f>IF(COUNTA($A409:$M409)=0,"",IF(OR($U409="Subscription",$U409=""),"",IF($U409="Disqualified",$H409,0)))</x:f>
      </x:c>
      <x:c r="T409" s="955" t="str">
        <x:f>IF(COUNTA($A409:$M409)=0,"",IF(OR($U409="Subscription",$U409=""),"",IF(OR($U409="Free Game",$U409="Disqualified — Free Game",$H409=0),"N/A",IF($U409="Profit",$Q409/$H409,IF($U409="Disqualified",-$S409/$H409,0)))))</x:f>
      </x:c>
      <x:c r="U409" s="920" t="str">
        <x:f>IF(COUNTA($A409:$M409)=0,"",IF(OR(LEFT(LOWER(TRIM($F409&amp;"")),12)="subscription",LOWER(TRIM($F409&amp;""))="membership"),"Subscription",IF(OR(AND($H409&lt;&gt;"",$H409=0),LEFT(LOWER(TRIM($F409&amp;"")),9)="free game",LOWER(TRIM($F409&amp;""))="free",LOWER(TRIM($F409&amp;""))="free entry"),IF(LOWER($L409&amp;"")="yes","Disqualified — Free Game","Free Game"),IF(LOWER($L409&amp;"")="yes","Disqualified",IF($P409="","",IF(ROUND(IFERROR(VALUE($P409),0)-IFERROR(VALUE($H409),0),2)&gt;0,"Profit","Draw"))))))</x:f>
      </x:c>
      <x:c r="V409" s="956" t="str">
        <x:f>IF(COUNTA($A409:$M409)=0,"",IF(OR($B409="",$C409="",$U409="Subscription"),"",IFERROR(ROUNDUP(($C409-$B409)/7,0),"")))</x:f>
      </x:c>
      <x:c r="W409" s="114" t="str">
        <x:f>IF(COUNTA($A409:$M409)=0,"",IF(OR($U409="Subscription",$U409=""),"",IF(OR($U409="Free Game",$U409="Disqualified — Free Game"),0,ROUND(IFERROR($Q409,0)-IFERROR($S409,0),2))))</x:f>
      </x:c>
      <x:c r="X409" s="956" t="str">
        <x:f>IF(COUNTA($A409:$M409)=0,"",IF(OR($U409="Subscription",NOT(ISNUMBER($J409)),NOT(ISNUMBER($I409)),$J409=0,$I409=0,$I409&gt;$J409),"",$J409-$I409))</x:f>
      </x:c>
      <x:c r="Y409" s="955" t="str">
        <x:f>IF(COUNTA($A409:$M409)=0,"",IF(OR($U409="Subscription",NOT(ISNUMBER($J409)),$J409=0,$X409=""),"",$X409/$J409))</x:f>
      </x:c>
      <x:c r="Z409" s="957" t="str">
        <x:f>IF(COUNTA($A409:$M409)=0,"",Instructions!$B$29+SUM($W$5:W409))</x:f>
      </x:c>
    </x:row>
    <x:row r="410" ht="36" customHeight="1">
      <x:c r="A410" s="439"/>
      <x:c r="B410" s="453"/>
      <x:c r="C410" s="453"/>
      <x:c r="D410" s="454"/>
      <x:c r="E410" s="454"/>
      <x:c r="F410" s="454"/>
      <x:c r="G410" s="986"/>
      <x:c r="H410" s="455"/>
      <x:c r="I410" s="456"/>
      <x:c r="J410" s="456"/>
      <x:c r="K410" s="986"/>
      <x:c r="L410" s="454"/>
      <x:c r="M410" s="439"/>
      <x:c r="N410" s="987" t="str">
        <x:f>IF(COUNTA($A410:$M410)=0,"",IF(OR(LEFT(LOWER(TRIM($F410&amp;"")),12)="subscription",LOWER(TRIM($F410&amp;""))="membership"),"",IF($G410="","",IF(ISNUMBER(SEARCH("non",LOWER($E410&amp;""))),$G410*0.85,$G410))))</x:f>
      </x:c>
      <x:c r="O410" s="987" t="str">
        <x:f>IF(COUNTA($A410:$M410)=0,"",IF(OR(LEFT(LOWER(TRIM($F410&amp;"")),12)="subscription",LOWER(TRIM($F410&amp;""))="membership"),"",IF(OR($N410="",$I410="",$I410=0),"",IFERROR($N410/$I410,""))))</x:f>
      </x:c>
      <x:c r="P410" s="987" t="str">
        <x:f>IF(COUNTA($A410:$M410)=0,"",IF(OR(LEFT(LOWER(TRIM($F410&amp;"")),12)="subscription",LOWER(TRIM($F410&amp;""))="membership"),"",IF(LOWER($L410&amp;"")="yes",0,IF(OR(AND($H410&lt;&gt;"",$H410=0),LEFT(LOWER(TRIM($F410&amp;"")),9)="free game",LOWER(TRIM($F410&amp;""))="free",LOWER(TRIM($F410&amp;""))="free entry"),IF(LOWER($D410&amp;"")="finalized",IF(ISNUMBER($K410),$K410,""),IF($O410&lt;&gt;"",$O410,"")),IF($K410&lt;&gt;"",$K410,IF($O410&lt;&gt;"",$O410,""))))))</x:f>
      </x:c>
      <x:c r="Q410" s="114" t="str">
        <x:f>IF(COUNTA($A410:$M410)=0,"",IF(OR($U410="Subscription",$U410=""),"",IF($U410="Profit",ROUND(IFERROR($P410,0)-IFERROR($H410,0),2),0)))</x:f>
      </x:c>
      <x:c r="R410" s="114" t="str">
        <x:f>IF(COUNTA($A410:$M410)=0,"",IF(OR($U410="Subscription",$U410=""),"",IF($U410="Draw",$H410,0)))</x:f>
      </x:c>
      <x:c r="S410" s="114" t="str">
        <x:f>IF(COUNTA($A410:$M410)=0,"",IF(OR($U410="Subscription",$U410=""),"",IF($U410="Disqualified",$H410,0)))</x:f>
      </x:c>
      <x:c r="T410" s="955" t="str">
        <x:f>IF(COUNTA($A410:$M410)=0,"",IF(OR($U410="Subscription",$U410=""),"",IF(OR($U410="Free Game",$U410="Disqualified — Free Game",$H410=0),"N/A",IF($U410="Profit",$Q410/$H410,IF($U410="Disqualified",-$S410/$H410,0)))))</x:f>
      </x:c>
      <x:c r="U410" s="920" t="str">
        <x:f>IF(COUNTA($A410:$M410)=0,"",IF(OR(LEFT(LOWER(TRIM($F410&amp;"")),12)="subscription",LOWER(TRIM($F410&amp;""))="membership"),"Subscription",IF(OR(AND($H410&lt;&gt;"",$H410=0),LEFT(LOWER(TRIM($F410&amp;"")),9)="free game",LOWER(TRIM($F410&amp;""))="free",LOWER(TRIM($F410&amp;""))="free entry"),IF(LOWER($L410&amp;"")="yes","Disqualified — Free Game","Free Game"),IF(LOWER($L410&amp;"")="yes","Disqualified",IF($P410="","",IF(ROUND(IFERROR(VALUE($P410),0)-IFERROR(VALUE($H410),0),2)&gt;0,"Profit","Draw"))))))</x:f>
      </x:c>
      <x:c r="V410" s="956" t="str">
        <x:f>IF(COUNTA($A410:$M410)=0,"",IF(OR($B410="",$C410="",$U410="Subscription"),"",IFERROR(ROUNDUP(($C410-$B410)/7,0),"")))</x:f>
      </x:c>
      <x:c r="W410" s="114" t="str">
        <x:f>IF(COUNTA($A410:$M410)=0,"",IF(OR($U410="Subscription",$U410=""),"",IF(OR($U410="Free Game",$U410="Disqualified — Free Game"),0,ROUND(IFERROR($Q410,0)-IFERROR($S410,0),2))))</x:f>
      </x:c>
      <x:c r="X410" s="956" t="str">
        <x:f>IF(COUNTA($A410:$M410)=0,"",IF(OR($U410="Subscription",NOT(ISNUMBER($J410)),NOT(ISNUMBER($I410)),$J410=0,$I410=0,$I410&gt;$J410),"",$J410-$I410))</x:f>
      </x:c>
      <x:c r="Y410" s="955" t="str">
        <x:f>IF(COUNTA($A410:$M410)=0,"",IF(OR($U410="Subscription",NOT(ISNUMBER($J410)),$J410=0,$X410=""),"",$X410/$J410))</x:f>
      </x:c>
      <x:c r="Z410" s="957" t="str">
        <x:f>IF(COUNTA($A410:$M410)=0,"",Instructions!$B$29+SUM($W$5:W410))</x:f>
      </x:c>
    </x:row>
    <x:row r="411" ht="36" customHeight="1">
      <x:c r="A411" s="439"/>
      <x:c r="B411" s="453"/>
      <x:c r="C411" s="453"/>
      <x:c r="D411" s="454"/>
      <x:c r="E411" s="454"/>
      <x:c r="F411" s="454"/>
      <x:c r="G411" s="986"/>
      <x:c r="H411" s="455"/>
      <x:c r="I411" s="456"/>
      <x:c r="J411" s="456"/>
      <x:c r="K411" s="986"/>
      <x:c r="L411" s="454"/>
      <x:c r="M411" s="439"/>
      <x:c r="N411" s="987" t="str">
        <x:f>IF(COUNTA($A411:$M411)=0,"",IF(OR(LEFT(LOWER(TRIM($F411&amp;"")),12)="subscription",LOWER(TRIM($F411&amp;""))="membership"),"",IF($G411="","",IF(ISNUMBER(SEARCH("non",LOWER($E411&amp;""))),$G411*0.85,$G411))))</x:f>
      </x:c>
      <x:c r="O411" s="987" t="str">
        <x:f>IF(COUNTA($A411:$M411)=0,"",IF(OR(LEFT(LOWER(TRIM($F411&amp;"")),12)="subscription",LOWER(TRIM($F411&amp;""))="membership"),"",IF(OR($N411="",$I411="",$I411=0),"",IFERROR($N411/$I411,""))))</x:f>
      </x:c>
      <x:c r="P411" s="987" t="str">
        <x:f>IF(COUNTA($A411:$M411)=0,"",IF(OR(LEFT(LOWER(TRIM($F411&amp;"")),12)="subscription",LOWER(TRIM($F411&amp;""))="membership"),"",IF(LOWER($L411&amp;"")="yes",0,IF(OR(AND($H411&lt;&gt;"",$H411=0),LEFT(LOWER(TRIM($F411&amp;"")),9)="free game",LOWER(TRIM($F411&amp;""))="free",LOWER(TRIM($F411&amp;""))="free entry"),IF(LOWER($D411&amp;"")="finalized",IF(ISNUMBER($K411),$K411,""),IF($O411&lt;&gt;"",$O411,"")),IF($K411&lt;&gt;"",$K411,IF($O411&lt;&gt;"",$O411,""))))))</x:f>
      </x:c>
      <x:c r="Q411" s="114" t="str">
        <x:f>IF(COUNTA($A411:$M411)=0,"",IF(OR($U411="Subscription",$U411=""),"",IF($U411="Profit",ROUND(IFERROR($P411,0)-IFERROR($H411,0),2),0)))</x:f>
      </x:c>
      <x:c r="R411" s="114" t="str">
        <x:f>IF(COUNTA($A411:$M411)=0,"",IF(OR($U411="Subscription",$U411=""),"",IF($U411="Draw",$H411,0)))</x:f>
      </x:c>
      <x:c r="S411" s="114" t="str">
        <x:f>IF(COUNTA($A411:$M411)=0,"",IF(OR($U411="Subscription",$U411=""),"",IF($U411="Disqualified",$H411,0)))</x:f>
      </x:c>
      <x:c r="T411" s="955" t="str">
        <x:f>IF(COUNTA($A411:$M411)=0,"",IF(OR($U411="Subscription",$U411=""),"",IF(OR($U411="Free Game",$U411="Disqualified — Free Game",$H411=0),"N/A",IF($U411="Profit",$Q411/$H411,IF($U411="Disqualified",-$S411/$H411,0)))))</x:f>
      </x:c>
      <x:c r="U411" s="920" t="str">
        <x:f>IF(COUNTA($A411:$M411)=0,"",IF(OR(LEFT(LOWER(TRIM($F411&amp;"")),12)="subscription",LOWER(TRIM($F411&amp;""))="membership"),"Subscription",IF(OR(AND($H411&lt;&gt;"",$H411=0),LEFT(LOWER(TRIM($F411&amp;"")),9)="free game",LOWER(TRIM($F411&amp;""))="free",LOWER(TRIM($F411&amp;""))="free entry"),IF(LOWER($L411&amp;"")="yes","Disqualified — Free Game","Free Game"),IF(LOWER($L411&amp;"")="yes","Disqualified",IF($P411="","",IF(ROUND(IFERROR(VALUE($P411),0)-IFERROR(VALUE($H411),0),2)&gt;0,"Profit","Draw"))))))</x:f>
      </x:c>
      <x:c r="V411" s="956" t="str">
        <x:f>IF(COUNTA($A411:$M411)=0,"",IF(OR($B411="",$C411="",$U411="Subscription"),"",IFERROR(ROUNDUP(($C411-$B411)/7,0),"")))</x:f>
      </x:c>
      <x:c r="W411" s="114" t="str">
        <x:f>IF(COUNTA($A411:$M411)=0,"",IF(OR($U411="Subscription",$U411=""),"",IF(OR($U411="Free Game",$U411="Disqualified — Free Game"),0,ROUND(IFERROR($Q411,0)-IFERROR($S411,0),2))))</x:f>
      </x:c>
      <x:c r="X411" s="956" t="str">
        <x:f>IF(COUNTA($A411:$M411)=0,"",IF(OR($U411="Subscription",NOT(ISNUMBER($J411)),NOT(ISNUMBER($I411)),$J411=0,$I411=0,$I411&gt;$J411),"",$J411-$I411))</x:f>
      </x:c>
      <x:c r="Y411" s="955" t="str">
        <x:f>IF(COUNTA($A411:$M411)=0,"",IF(OR($U411="Subscription",NOT(ISNUMBER($J411)),$J411=0,$X411=""),"",$X411/$J411))</x:f>
      </x:c>
      <x:c r="Z411" s="957" t="str">
        <x:f>IF(COUNTA($A411:$M411)=0,"",Instructions!$B$29+SUM($W$5:W411))</x:f>
      </x:c>
    </x:row>
    <x:row r="412" ht="36" customHeight="1">
      <x:c r="A412" s="439"/>
      <x:c r="B412" s="453"/>
      <x:c r="C412" s="453"/>
      <x:c r="D412" s="454"/>
      <x:c r="E412" s="454"/>
      <x:c r="F412" s="454"/>
      <x:c r="G412" s="986"/>
      <x:c r="H412" s="455"/>
      <x:c r="I412" s="456"/>
      <x:c r="J412" s="456"/>
      <x:c r="K412" s="986"/>
      <x:c r="L412" s="454"/>
      <x:c r="M412" s="439"/>
      <x:c r="N412" s="987" t="str">
        <x:f>IF(COUNTA($A412:$M412)=0,"",IF(OR(LEFT(LOWER(TRIM($F412&amp;"")),12)="subscription",LOWER(TRIM($F412&amp;""))="membership"),"",IF($G412="","",IF(ISNUMBER(SEARCH("non",LOWER($E412&amp;""))),$G412*0.85,$G412))))</x:f>
      </x:c>
      <x:c r="O412" s="987" t="str">
        <x:f>IF(COUNTA($A412:$M412)=0,"",IF(OR(LEFT(LOWER(TRIM($F412&amp;"")),12)="subscription",LOWER(TRIM($F412&amp;""))="membership"),"",IF(OR($N412="",$I412="",$I412=0),"",IFERROR($N412/$I412,""))))</x:f>
      </x:c>
      <x:c r="P412" s="987" t="str">
        <x:f>IF(COUNTA($A412:$M412)=0,"",IF(OR(LEFT(LOWER(TRIM($F412&amp;"")),12)="subscription",LOWER(TRIM($F412&amp;""))="membership"),"",IF(LOWER($L412&amp;"")="yes",0,IF(OR(AND($H412&lt;&gt;"",$H412=0),LEFT(LOWER(TRIM($F412&amp;"")),9)="free game",LOWER(TRIM($F412&amp;""))="free",LOWER(TRIM($F412&amp;""))="free entry"),IF(LOWER($D412&amp;"")="finalized",IF(ISNUMBER($K412),$K412,""),IF($O412&lt;&gt;"",$O412,"")),IF($K412&lt;&gt;"",$K412,IF($O412&lt;&gt;"",$O412,""))))))</x:f>
      </x:c>
      <x:c r="Q412" s="114" t="str">
        <x:f>IF(COUNTA($A412:$M412)=0,"",IF(OR($U412="Subscription",$U412=""),"",IF($U412="Profit",ROUND(IFERROR($P412,0)-IFERROR($H412,0),2),0)))</x:f>
      </x:c>
      <x:c r="R412" s="114" t="str">
        <x:f>IF(COUNTA($A412:$M412)=0,"",IF(OR($U412="Subscription",$U412=""),"",IF($U412="Draw",$H412,0)))</x:f>
      </x:c>
      <x:c r="S412" s="114" t="str">
        <x:f>IF(COUNTA($A412:$M412)=0,"",IF(OR($U412="Subscription",$U412=""),"",IF($U412="Disqualified",$H412,0)))</x:f>
      </x:c>
      <x:c r="T412" s="955" t="str">
        <x:f>IF(COUNTA($A412:$M412)=0,"",IF(OR($U412="Subscription",$U412=""),"",IF(OR($U412="Free Game",$U412="Disqualified — Free Game",$H412=0),"N/A",IF($U412="Profit",$Q412/$H412,IF($U412="Disqualified",-$S412/$H412,0)))))</x:f>
      </x:c>
      <x:c r="U412" s="920" t="str">
        <x:f>IF(COUNTA($A412:$M412)=0,"",IF(OR(LEFT(LOWER(TRIM($F412&amp;"")),12)="subscription",LOWER(TRIM($F412&amp;""))="membership"),"Subscription",IF(OR(AND($H412&lt;&gt;"",$H412=0),LEFT(LOWER(TRIM($F412&amp;"")),9)="free game",LOWER(TRIM($F412&amp;""))="free",LOWER(TRIM($F412&amp;""))="free entry"),IF(LOWER($L412&amp;"")="yes","Disqualified — Free Game","Free Game"),IF(LOWER($L412&amp;"")="yes","Disqualified",IF($P412="","",IF(ROUND(IFERROR(VALUE($P412),0)-IFERROR(VALUE($H412),0),2)&gt;0,"Profit","Draw"))))))</x:f>
      </x:c>
      <x:c r="V412" s="956" t="str">
        <x:f>IF(COUNTA($A412:$M412)=0,"",IF(OR($B412="",$C412="",$U412="Subscription"),"",IFERROR(ROUNDUP(($C412-$B412)/7,0),"")))</x:f>
      </x:c>
      <x:c r="W412" s="114" t="str">
        <x:f>IF(COUNTA($A412:$M412)=0,"",IF(OR($U412="Subscription",$U412=""),"",IF(OR($U412="Free Game",$U412="Disqualified — Free Game"),0,ROUND(IFERROR($Q412,0)-IFERROR($S412,0),2))))</x:f>
      </x:c>
      <x:c r="X412" s="956" t="str">
        <x:f>IF(COUNTA($A412:$M412)=0,"",IF(OR($U412="Subscription",NOT(ISNUMBER($J412)),NOT(ISNUMBER($I412)),$J412=0,$I412=0,$I412&gt;$J412),"",$J412-$I412))</x:f>
      </x:c>
      <x:c r="Y412" s="955" t="str">
        <x:f>IF(COUNTA($A412:$M412)=0,"",IF(OR($U412="Subscription",NOT(ISNUMBER($J412)),$J412=0,$X412=""),"",$X412/$J412))</x:f>
      </x:c>
      <x:c r="Z412" s="957" t="str">
        <x:f>IF(COUNTA($A412:$M412)=0,"",Instructions!$B$29+SUM($W$5:W412))</x:f>
      </x:c>
    </x:row>
    <x:row r="413" ht="36" customHeight="1">
      <x:c r="A413" s="439"/>
      <x:c r="B413" s="453"/>
      <x:c r="C413" s="453"/>
      <x:c r="D413" s="454"/>
      <x:c r="E413" s="454"/>
      <x:c r="F413" s="454"/>
      <x:c r="G413" s="986"/>
      <x:c r="H413" s="455"/>
      <x:c r="I413" s="456"/>
      <x:c r="J413" s="456"/>
      <x:c r="K413" s="986"/>
      <x:c r="L413" s="454"/>
      <x:c r="M413" s="439"/>
      <x:c r="N413" s="987" t="str">
        <x:f>IF(COUNTA($A413:$M413)=0,"",IF(OR(LEFT(LOWER(TRIM($F413&amp;"")),12)="subscription",LOWER(TRIM($F413&amp;""))="membership"),"",IF($G413="","",IF(ISNUMBER(SEARCH("non",LOWER($E413&amp;""))),$G413*0.85,$G413))))</x:f>
      </x:c>
      <x:c r="O413" s="987" t="str">
        <x:f>IF(COUNTA($A413:$M413)=0,"",IF(OR(LEFT(LOWER(TRIM($F413&amp;"")),12)="subscription",LOWER(TRIM($F413&amp;""))="membership"),"",IF(OR($N413="",$I413="",$I413=0),"",IFERROR($N413/$I413,""))))</x:f>
      </x:c>
      <x:c r="P413" s="987" t="str">
        <x:f>IF(COUNTA($A413:$M413)=0,"",IF(OR(LEFT(LOWER(TRIM($F413&amp;"")),12)="subscription",LOWER(TRIM($F413&amp;""))="membership"),"",IF(LOWER($L413&amp;"")="yes",0,IF(OR(AND($H413&lt;&gt;"",$H413=0),LEFT(LOWER(TRIM($F413&amp;"")),9)="free game",LOWER(TRIM($F413&amp;""))="free",LOWER(TRIM($F413&amp;""))="free entry"),IF(LOWER($D413&amp;"")="finalized",IF(ISNUMBER($K413),$K413,""),IF($O413&lt;&gt;"",$O413,"")),IF($K413&lt;&gt;"",$K413,IF($O413&lt;&gt;"",$O413,""))))))</x:f>
      </x:c>
      <x:c r="Q413" s="114" t="str">
        <x:f>IF(COUNTA($A413:$M413)=0,"",IF(OR($U413="Subscription",$U413=""),"",IF($U413="Profit",ROUND(IFERROR($P413,0)-IFERROR($H413,0),2),0)))</x:f>
      </x:c>
      <x:c r="R413" s="114" t="str">
        <x:f>IF(COUNTA($A413:$M413)=0,"",IF(OR($U413="Subscription",$U413=""),"",IF($U413="Draw",$H413,0)))</x:f>
      </x:c>
      <x:c r="S413" s="114" t="str">
        <x:f>IF(COUNTA($A413:$M413)=0,"",IF(OR($U413="Subscription",$U413=""),"",IF($U413="Disqualified",$H413,0)))</x:f>
      </x:c>
      <x:c r="T413" s="955" t="str">
        <x:f>IF(COUNTA($A413:$M413)=0,"",IF(OR($U413="Subscription",$U413=""),"",IF(OR($U413="Free Game",$U413="Disqualified — Free Game",$H413=0),"N/A",IF($U413="Profit",$Q413/$H413,IF($U413="Disqualified",-$S413/$H413,0)))))</x:f>
      </x:c>
      <x:c r="U413" s="920" t="str">
        <x:f>IF(COUNTA($A413:$M413)=0,"",IF(OR(LEFT(LOWER(TRIM($F413&amp;"")),12)="subscription",LOWER(TRIM($F413&amp;""))="membership"),"Subscription",IF(OR(AND($H413&lt;&gt;"",$H413=0),LEFT(LOWER(TRIM($F413&amp;"")),9)="free game",LOWER(TRIM($F413&amp;""))="free",LOWER(TRIM($F413&amp;""))="free entry"),IF(LOWER($L413&amp;"")="yes","Disqualified — Free Game","Free Game"),IF(LOWER($L413&amp;"")="yes","Disqualified",IF($P413="","",IF(ROUND(IFERROR(VALUE($P413),0)-IFERROR(VALUE($H413),0),2)&gt;0,"Profit","Draw"))))))</x:f>
      </x:c>
      <x:c r="V413" s="956" t="str">
        <x:f>IF(COUNTA($A413:$M413)=0,"",IF(OR($B413="",$C413="",$U413="Subscription"),"",IFERROR(ROUNDUP(($C413-$B413)/7,0),"")))</x:f>
      </x:c>
      <x:c r="W413" s="114" t="str">
        <x:f>IF(COUNTA($A413:$M413)=0,"",IF(OR($U413="Subscription",$U413=""),"",IF(OR($U413="Free Game",$U413="Disqualified — Free Game"),0,ROUND(IFERROR($Q413,0)-IFERROR($S413,0),2))))</x:f>
      </x:c>
      <x:c r="X413" s="956" t="str">
        <x:f>IF(COUNTA($A413:$M413)=0,"",IF(OR($U413="Subscription",NOT(ISNUMBER($J413)),NOT(ISNUMBER($I413)),$J413=0,$I413=0,$I413&gt;$J413),"",$J413-$I413))</x:f>
      </x:c>
      <x:c r="Y413" s="955" t="str">
        <x:f>IF(COUNTA($A413:$M413)=0,"",IF(OR($U413="Subscription",NOT(ISNUMBER($J413)),$J413=0,$X413=""),"",$X413/$J413))</x:f>
      </x:c>
      <x:c r="Z413" s="957" t="str">
        <x:f>IF(COUNTA($A413:$M413)=0,"",Instructions!$B$29+SUM($W$5:W413))</x:f>
      </x:c>
    </x:row>
    <x:row r="414" ht="36" customHeight="1">
      <x:c r="A414" s="439"/>
      <x:c r="B414" s="453"/>
      <x:c r="C414" s="453"/>
      <x:c r="D414" s="454"/>
      <x:c r="E414" s="454"/>
      <x:c r="F414" s="454"/>
      <x:c r="G414" s="986"/>
      <x:c r="H414" s="455"/>
      <x:c r="I414" s="456"/>
      <x:c r="J414" s="456"/>
      <x:c r="K414" s="986"/>
      <x:c r="L414" s="454"/>
      <x:c r="M414" s="439"/>
      <x:c r="N414" s="987" t="str">
        <x:f>IF(COUNTA($A414:$M414)=0,"",IF(OR(LEFT(LOWER(TRIM($F414&amp;"")),12)="subscription",LOWER(TRIM($F414&amp;""))="membership"),"",IF($G414="","",IF(ISNUMBER(SEARCH("non",LOWER($E414&amp;""))),$G414*0.85,$G414))))</x:f>
      </x:c>
      <x:c r="O414" s="987" t="str">
        <x:f>IF(COUNTA($A414:$M414)=0,"",IF(OR(LEFT(LOWER(TRIM($F414&amp;"")),12)="subscription",LOWER(TRIM($F414&amp;""))="membership"),"",IF(OR($N414="",$I414="",$I414=0),"",IFERROR($N414/$I414,""))))</x:f>
      </x:c>
      <x:c r="P414" s="987" t="str">
        <x:f>IF(COUNTA($A414:$M414)=0,"",IF(OR(LEFT(LOWER(TRIM($F414&amp;"")),12)="subscription",LOWER(TRIM($F414&amp;""))="membership"),"",IF(LOWER($L414&amp;"")="yes",0,IF(OR(AND($H414&lt;&gt;"",$H414=0),LEFT(LOWER(TRIM($F414&amp;"")),9)="free game",LOWER(TRIM($F414&amp;""))="free",LOWER(TRIM($F414&amp;""))="free entry"),IF(LOWER($D414&amp;"")="finalized",IF(ISNUMBER($K414),$K414,""),IF($O414&lt;&gt;"",$O414,"")),IF($K414&lt;&gt;"",$K414,IF($O414&lt;&gt;"",$O414,""))))))</x:f>
      </x:c>
      <x:c r="Q414" s="114" t="str">
        <x:f>IF(COUNTA($A414:$M414)=0,"",IF(OR($U414="Subscription",$U414=""),"",IF($U414="Profit",ROUND(IFERROR($P414,0)-IFERROR($H414,0),2),0)))</x:f>
      </x:c>
      <x:c r="R414" s="114" t="str">
        <x:f>IF(COUNTA($A414:$M414)=0,"",IF(OR($U414="Subscription",$U414=""),"",IF($U414="Draw",$H414,0)))</x:f>
      </x:c>
      <x:c r="S414" s="114" t="str">
        <x:f>IF(COUNTA($A414:$M414)=0,"",IF(OR($U414="Subscription",$U414=""),"",IF($U414="Disqualified",$H414,0)))</x:f>
      </x:c>
      <x:c r="T414" s="955" t="str">
        <x:f>IF(COUNTA($A414:$M414)=0,"",IF(OR($U414="Subscription",$U414=""),"",IF(OR($U414="Free Game",$U414="Disqualified — Free Game",$H414=0),"N/A",IF($U414="Profit",$Q414/$H414,IF($U414="Disqualified",-$S414/$H414,0)))))</x:f>
      </x:c>
      <x:c r="U414" s="920" t="str">
        <x:f>IF(COUNTA($A414:$M414)=0,"",IF(OR(LEFT(LOWER(TRIM($F414&amp;"")),12)="subscription",LOWER(TRIM($F414&amp;""))="membership"),"Subscription",IF(OR(AND($H414&lt;&gt;"",$H414=0),LEFT(LOWER(TRIM($F414&amp;"")),9)="free game",LOWER(TRIM($F414&amp;""))="free",LOWER(TRIM($F414&amp;""))="free entry"),IF(LOWER($L414&amp;"")="yes","Disqualified — Free Game","Free Game"),IF(LOWER($L414&amp;"")="yes","Disqualified",IF($P414="","",IF(ROUND(IFERROR(VALUE($P414),0)-IFERROR(VALUE($H414),0),2)&gt;0,"Profit","Draw"))))))</x:f>
      </x:c>
      <x:c r="V414" s="956" t="str">
        <x:f>IF(COUNTA($A414:$M414)=0,"",IF(OR($B414="",$C414="",$U414="Subscription"),"",IFERROR(ROUNDUP(($C414-$B414)/7,0),"")))</x:f>
      </x:c>
      <x:c r="W414" s="114" t="str">
        <x:f>IF(COUNTA($A414:$M414)=0,"",IF(OR($U414="Subscription",$U414=""),"",IF(OR($U414="Free Game",$U414="Disqualified — Free Game"),0,ROUND(IFERROR($Q414,0)-IFERROR($S414,0),2))))</x:f>
      </x:c>
      <x:c r="X414" s="956" t="str">
        <x:f>IF(COUNTA($A414:$M414)=0,"",IF(OR($U414="Subscription",NOT(ISNUMBER($J414)),NOT(ISNUMBER($I414)),$J414=0,$I414=0,$I414&gt;$J414),"",$J414-$I414))</x:f>
      </x:c>
      <x:c r="Y414" s="955" t="str">
        <x:f>IF(COUNTA($A414:$M414)=0,"",IF(OR($U414="Subscription",NOT(ISNUMBER($J414)),$J414=0,$X414=""),"",$X414/$J414))</x:f>
      </x:c>
      <x:c r="Z414" s="957" t="str">
        <x:f>IF(COUNTA($A414:$M414)=0,"",Instructions!$B$29+SUM($W$5:W414))</x:f>
      </x:c>
    </x:row>
    <x:row r="415" ht="36" customHeight="1">
      <x:c r="A415" s="439"/>
      <x:c r="B415" s="453"/>
      <x:c r="C415" s="453"/>
      <x:c r="D415" s="454"/>
      <x:c r="E415" s="454"/>
      <x:c r="F415" s="454"/>
      <x:c r="G415" s="986"/>
      <x:c r="H415" s="455"/>
      <x:c r="I415" s="456"/>
      <x:c r="J415" s="456"/>
      <x:c r="K415" s="986"/>
      <x:c r="L415" s="454"/>
      <x:c r="M415" s="439"/>
      <x:c r="N415" s="987" t="str">
        <x:f>IF(COUNTA($A415:$M415)=0,"",IF(OR(LEFT(LOWER(TRIM($F415&amp;"")),12)="subscription",LOWER(TRIM($F415&amp;""))="membership"),"",IF($G415="","",IF(ISNUMBER(SEARCH("non",LOWER($E415&amp;""))),$G415*0.85,$G415))))</x:f>
      </x:c>
      <x:c r="O415" s="987" t="str">
        <x:f>IF(COUNTA($A415:$M415)=0,"",IF(OR(LEFT(LOWER(TRIM($F415&amp;"")),12)="subscription",LOWER(TRIM($F415&amp;""))="membership"),"",IF(OR($N415="",$I415="",$I415=0),"",IFERROR($N415/$I415,""))))</x:f>
      </x:c>
      <x:c r="P415" s="987" t="str">
        <x:f>IF(COUNTA($A415:$M415)=0,"",IF(OR(LEFT(LOWER(TRIM($F415&amp;"")),12)="subscription",LOWER(TRIM($F415&amp;""))="membership"),"",IF(LOWER($L415&amp;"")="yes",0,IF(OR(AND($H415&lt;&gt;"",$H415=0),LEFT(LOWER(TRIM($F415&amp;"")),9)="free game",LOWER(TRIM($F415&amp;""))="free",LOWER(TRIM($F415&amp;""))="free entry"),IF(LOWER($D415&amp;"")="finalized",IF(ISNUMBER($K415),$K415,""),IF($O415&lt;&gt;"",$O415,"")),IF($K415&lt;&gt;"",$K415,IF($O415&lt;&gt;"",$O415,""))))))</x:f>
      </x:c>
      <x:c r="Q415" s="114" t="str">
        <x:f>IF(COUNTA($A415:$M415)=0,"",IF(OR($U415="Subscription",$U415=""),"",IF($U415="Profit",ROUND(IFERROR($P415,0)-IFERROR($H415,0),2),0)))</x:f>
      </x:c>
      <x:c r="R415" s="114" t="str">
        <x:f>IF(COUNTA($A415:$M415)=0,"",IF(OR($U415="Subscription",$U415=""),"",IF($U415="Draw",$H415,0)))</x:f>
      </x:c>
      <x:c r="S415" s="114" t="str">
        <x:f>IF(COUNTA($A415:$M415)=0,"",IF(OR($U415="Subscription",$U415=""),"",IF($U415="Disqualified",$H415,0)))</x:f>
      </x:c>
      <x:c r="T415" s="955" t="str">
        <x:f>IF(COUNTA($A415:$M415)=0,"",IF(OR($U415="Subscription",$U415=""),"",IF(OR($U415="Free Game",$U415="Disqualified — Free Game",$H415=0),"N/A",IF($U415="Profit",$Q415/$H415,IF($U415="Disqualified",-$S415/$H415,0)))))</x:f>
      </x:c>
      <x:c r="U415" s="920" t="str">
        <x:f>IF(COUNTA($A415:$M415)=0,"",IF(OR(LEFT(LOWER(TRIM($F415&amp;"")),12)="subscription",LOWER(TRIM($F415&amp;""))="membership"),"Subscription",IF(OR(AND($H415&lt;&gt;"",$H415=0),LEFT(LOWER(TRIM($F415&amp;"")),9)="free game",LOWER(TRIM($F415&amp;""))="free",LOWER(TRIM($F415&amp;""))="free entry"),IF(LOWER($L415&amp;"")="yes","Disqualified — Free Game","Free Game"),IF(LOWER($L415&amp;"")="yes","Disqualified",IF($P415="","",IF(ROUND(IFERROR(VALUE($P415),0)-IFERROR(VALUE($H415),0),2)&gt;0,"Profit","Draw"))))))</x:f>
      </x:c>
      <x:c r="V415" s="956" t="str">
        <x:f>IF(COUNTA($A415:$M415)=0,"",IF(OR($B415="",$C415="",$U415="Subscription"),"",IFERROR(ROUNDUP(($C415-$B415)/7,0),"")))</x:f>
      </x:c>
      <x:c r="W415" s="114" t="str">
        <x:f>IF(COUNTA($A415:$M415)=0,"",IF(OR($U415="Subscription",$U415=""),"",IF(OR($U415="Free Game",$U415="Disqualified — Free Game"),0,ROUND(IFERROR($Q415,0)-IFERROR($S415,0),2))))</x:f>
      </x:c>
      <x:c r="X415" s="956" t="str">
        <x:f>IF(COUNTA($A415:$M415)=0,"",IF(OR($U415="Subscription",NOT(ISNUMBER($J415)),NOT(ISNUMBER($I415)),$J415=0,$I415=0,$I415&gt;$J415),"",$J415-$I415))</x:f>
      </x:c>
      <x:c r="Y415" s="955" t="str">
        <x:f>IF(COUNTA($A415:$M415)=0,"",IF(OR($U415="Subscription",NOT(ISNUMBER($J415)),$J415=0,$X415=""),"",$X415/$J415))</x:f>
      </x:c>
      <x:c r="Z415" s="957" t="str">
        <x:f>IF(COUNTA($A415:$M415)=0,"",Instructions!$B$29+SUM($W$5:W415))</x:f>
      </x:c>
    </x:row>
    <x:row r="416" ht="36" customHeight="1">
      <x:c r="A416" s="439"/>
      <x:c r="B416" s="453"/>
      <x:c r="C416" s="453"/>
      <x:c r="D416" s="454"/>
      <x:c r="E416" s="454"/>
      <x:c r="F416" s="454"/>
      <x:c r="G416" s="986"/>
      <x:c r="H416" s="455"/>
      <x:c r="I416" s="456"/>
      <x:c r="J416" s="456"/>
      <x:c r="K416" s="986"/>
      <x:c r="L416" s="454"/>
      <x:c r="M416" s="439"/>
      <x:c r="N416" s="987" t="str">
        <x:f>IF(COUNTA($A416:$M416)=0,"",IF(OR(LEFT(LOWER(TRIM($F416&amp;"")),12)="subscription",LOWER(TRIM($F416&amp;""))="membership"),"",IF($G416="","",IF(ISNUMBER(SEARCH("non",LOWER($E416&amp;""))),$G416*0.85,$G416))))</x:f>
      </x:c>
      <x:c r="O416" s="987" t="str">
        <x:f>IF(COUNTA($A416:$M416)=0,"",IF(OR(LEFT(LOWER(TRIM($F416&amp;"")),12)="subscription",LOWER(TRIM($F416&amp;""))="membership"),"",IF(OR($N416="",$I416="",$I416=0),"",IFERROR($N416/$I416,""))))</x:f>
      </x:c>
      <x:c r="P416" s="987" t="str">
        <x:f>IF(COUNTA($A416:$M416)=0,"",IF(OR(LEFT(LOWER(TRIM($F416&amp;"")),12)="subscription",LOWER(TRIM($F416&amp;""))="membership"),"",IF(LOWER($L416&amp;"")="yes",0,IF(OR(AND($H416&lt;&gt;"",$H416=0),LEFT(LOWER(TRIM($F416&amp;"")),9)="free game",LOWER(TRIM($F416&amp;""))="free",LOWER(TRIM($F416&amp;""))="free entry"),IF(LOWER($D416&amp;"")="finalized",IF(ISNUMBER($K416),$K416,""),IF($O416&lt;&gt;"",$O416,"")),IF($K416&lt;&gt;"",$K416,IF($O416&lt;&gt;"",$O416,""))))))</x:f>
      </x:c>
      <x:c r="Q416" s="114" t="str">
        <x:f>IF(COUNTA($A416:$M416)=0,"",IF(OR($U416="Subscription",$U416=""),"",IF($U416="Profit",ROUND(IFERROR($P416,0)-IFERROR($H416,0),2),0)))</x:f>
      </x:c>
      <x:c r="R416" s="114" t="str">
        <x:f>IF(COUNTA($A416:$M416)=0,"",IF(OR($U416="Subscription",$U416=""),"",IF($U416="Draw",$H416,0)))</x:f>
      </x:c>
      <x:c r="S416" s="114" t="str">
        <x:f>IF(COUNTA($A416:$M416)=0,"",IF(OR($U416="Subscription",$U416=""),"",IF($U416="Disqualified",$H416,0)))</x:f>
      </x:c>
      <x:c r="T416" s="955" t="str">
        <x:f>IF(COUNTA($A416:$M416)=0,"",IF(OR($U416="Subscription",$U416=""),"",IF(OR($U416="Free Game",$U416="Disqualified — Free Game",$H416=0),"N/A",IF($U416="Profit",$Q416/$H416,IF($U416="Disqualified",-$S416/$H416,0)))))</x:f>
      </x:c>
      <x:c r="U416" s="920" t="str">
        <x:f>IF(COUNTA($A416:$M416)=0,"",IF(OR(LEFT(LOWER(TRIM($F416&amp;"")),12)="subscription",LOWER(TRIM($F416&amp;""))="membership"),"Subscription",IF(OR(AND($H416&lt;&gt;"",$H416=0),LEFT(LOWER(TRIM($F416&amp;"")),9)="free game",LOWER(TRIM($F416&amp;""))="free",LOWER(TRIM($F416&amp;""))="free entry"),IF(LOWER($L416&amp;"")="yes","Disqualified — Free Game","Free Game"),IF(LOWER($L416&amp;"")="yes","Disqualified",IF($P416="","",IF(ROUND(IFERROR(VALUE($P416),0)-IFERROR(VALUE($H416),0),2)&gt;0,"Profit","Draw"))))))</x:f>
      </x:c>
      <x:c r="V416" s="956" t="str">
        <x:f>IF(COUNTA($A416:$M416)=0,"",IF(OR($B416="",$C416="",$U416="Subscription"),"",IFERROR(ROUNDUP(($C416-$B416)/7,0),"")))</x:f>
      </x:c>
      <x:c r="W416" s="114" t="str">
        <x:f>IF(COUNTA($A416:$M416)=0,"",IF(OR($U416="Subscription",$U416=""),"",IF(OR($U416="Free Game",$U416="Disqualified — Free Game"),0,ROUND(IFERROR($Q416,0)-IFERROR($S416,0),2))))</x:f>
      </x:c>
      <x:c r="X416" s="956" t="str">
        <x:f>IF(COUNTA($A416:$M416)=0,"",IF(OR($U416="Subscription",NOT(ISNUMBER($J416)),NOT(ISNUMBER($I416)),$J416=0,$I416=0,$I416&gt;$J416),"",$J416-$I416))</x:f>
      </x:c>
      <x:c r="Y416" s="955" t="str">
        <x:f>IF(COUNTA($A416:$M416)=0,"",IF(OR($U416="Subscription",NOT(ISNUMBER($J416)),$J416=0,$X416=""),"",$X416/$J416))</x:f>
      </x:c>
      <x:c r="Z416" s="957" t="str">
        <x:f>IF(COUNTA($A416:$M416)=0,"",Instructions!$B$29+SUM($W$5:W416))</x:f>
      </x:c>
    </x:row>
    <x:row r="417" ht="36" customHeight="1">
      <x:c r="A417" s="439"/>
      <x:c r="B417" s="453"/>
      <x:c r="C417" s="453"/>
      <x:c r="D417" s="454"/>
      <x:c r="E417" s="454"/>
      <x:c r="F417" s="454"/>
      <x:c r="G417" s="986"/>
      <x:c r="H417" s="455"/>
      <x:c r="I417" s="456"/>
      <x:c r="J417" s="456"/>
      <x:c r="K417" s="986"/>
      <x:c r="L417" s="454"/>
      <x:c r="M417" s="439"/>
      <x:c r="N417" s="987" t="str">
        <x:f>IF(COUNTA($A417:$M417)=0,"",IF(OR(LEFT(LOWER(TRIM($F417&amp;"")),12)="subscription",LOWER(TRIM($F417&amp;""))="membership"),"",IF($G417="","",IF(ISNUMBER(SEARCH("non",LOWER($E417&amp;""))),$G417*0.85,$G417))))</x:f>
      </x:c>
      <x:c r="O417" s="987" t="str">
        <x:f>IF(COUNTA($A417:$M417)=0,"",IF(OR(LEFT(LOWER(TRIM($F417&amp;"")),12)="subscription",LOWER(TRIM($F417&amp;""))="membership"),"",IF(OR($N417="",$I417="",$I417=0),"",IFERROR($N417/$I417,""))))</x:f>
      </x:c>
      <x:c r="P417" s="987" t="str">
        <x:f>IF(COUNTA($A417:$M417)=0,"",IF(OR(LEFT(LOWER(TRIM($F417&amp;"")),12)="subscription",LOWER(TRIM($F417&amp;""))="membership"),"",IF(LOWER($L417&amp;"")="yes",0,IF(OR(AND($H417&lt;&gt;"",$H417=0),LEFT(LOWER(TRIM($F417&amp;"")),9)="free game",LOWER(TRIM($F417&amp;""))="free",LOWER(TRIM($F417&amp;""))="free entry"),IF(LOWER($D417&amp;"")="finalized",IF(ISNUMBER($K417),$K417,""),IF($O417&lt;&gt;"",$O417,"")),IF($K417&lt;&gt;"",$K417,IF($O417&lt;&gt;"",$O417,""))))))</x:f>
      </x:c>
      <x:c r="Q417" s="114" t="str">
        <x:f>IF(COUNTA($A417:$M417)=0,"",IF(OR($U417="Subscription",$U417=""),"",IF($U417="Profit",ROUND(IFERROR($P417,0)-IFERROR($H417,0),2),0)))</x:f>
      </x:c>
      <x:c r="R417" s="114" t="str">
        <x:f>IF(COUNTA($A417:$M417)=0,"",IF(OR($U417="Subscription",$U417=""),"",IF($U417="Draw",$H417,0)))</x:f>
      </x:c>
      <x:c r="S417" s="114" t="str">
        <x:f>IF(COUNTA($A417:$M417)=0,"",IF(OR($U417="Subscription",$U417=""),"",IF($U417="Disqualified",$H417,0)))</x:f>
      </x:c>
      <x:c r="T417" s="955" t="str">
        <x:f>IF(COUNTA($A417:$M417)=0,"",IF(OR($U417="Subscription",$U417=""),"",IF(OR($U417="Free Game",$U417="Disqualified — Free Game",$H417=0),"N/A",IF($U417="Profit",$Q417/$H417,IF($U417="Disqualified",-$S417/$H417,0)))))</x:f>
      </x:c>
      <x:c r="U417" s="920" t="str">
        <x:f>IF(COUNTA($A417:$M417)=0,"",IF(OR(LEFT(LOWER(TRIM($F417&amp;"")),12)="subscription",LOWER(TRIM($F417&amp;""))="membership"),"Subscription",IF(OR(AND($H417&lt;&gt;"",$H417=0),LEFT(LOWER(TRIM($F417&amp;"")),9)="free game",LOWER(TRIM($F417&amp;""))="free",LOWER(TRIM($F417&amp;""))="free entry"),IF(LOWER($L417&amp;"")="yes","Disqualified — Free Game","Free Game"),IF(LOWER($L417&amp;"")="yes","Disqualified",IF($P417="","",IF(ROUND(IFERROR(VALUE($P417),0)-IFERROR(VALUE($H417),0),2)&gt;0,"Profit","Draw"))))))</x:f>
      </x:c>
      <x:c r="V417" s="956" t="str">
        <x:f>IF(COUNTA($A417:$M417)=0,"",IF(OR($B417="",$C417="",$U417="Subscription"),"",IFERROR(ROUNDUP(($C417-$B417)/7,0),"")))</x:f>
      </x:c>
      <x:c r="W417" s="114" t="str">
        <x:f>IF(COUNTA($A417:$M417)=0,"",IF(OR($U417="Subscription",$U417=""),"",IF(OR($U417="Free Game",$U417="Disqualified — Free Game"),0,ROUND(IFERROR($Q417,0)-IFERROR($S417,0),2))))</x:f>
      </x:c>
      <x:c r="X417" s="956" t="str">
        <x:f>IF(COUNTA($A417:$M417)=0,"",IF(OR($U417="Subscription",NOT(ISNUMBER($J417)),NOT(ISNUMBER($I417)),$J417=0,$I417=0,$I417&gt;$J417),"",$J417-$I417))</x:f>
      </x:c>
      <x:c r="Y417" s="955" t="str">
        <x:f>IF(COUNTA($A417:$M417)=0,"",IF(OR($U417="Subscription",NOT(ISNUMBER($J417)),$J417=0,$X417=""),"",$X417/$J417))</x:f>
      </x:c>
      <x:c r="Z417" s="957" t="str">
        <x:f>IF(COUNTA($A417:$M417)=0,"",Instructions!$B$29+SUM($W$5:W417))</x:f>
      </x:c>
    </x:row>
    <x:row r="418" ht="36" customHeight="1">
      <x:c r="A418" s="439"/>
      <x:c r="B418" s="453"/>
      <x:c r="C418" s="453"/>
      <x:c r="D418" s="454"/>
      <x:c r="E418" s="454"/>
      <x:c r="F418" s="454"/>
      <x:c r="G418" s="986"/>
      <x:c r="H418" s="455"/>
      <x:c r="I418" s="456"/>
      <x:c r="J418" s="456"/>
      <x:c r="K418" s="986"/>
      <x:c r="L418" s="454"/>
      <x:c r="M418" s="439"/>
      <x:c r="N418" s="987" t="str">
        <x:f>IF(COUNTA($A418:$M418)=0,"",IF(OR(LEFT(LOWER(TRIM($F418&amp;"")),12)="subscription",LOWER(TRIM($F418&amp;""))="membership"),"",IF($G418="","",IF(ISNUMBER(SEARCH("non",LOWER($E418&amp;""))),$G418*0.85,$G418))))</x:f>
      </x:c>
      <x:c r="O418" s="987" t="str">
        <x:f>IF(COUNTA($A418:$M418)=0,"",IF(OR(LEFT(LOWER(TRIM($F418&amp;"")),12)="subscription",LOWER(TRIM($F418&amp;""))="membership"),"",IF(OR($N418="",$I418="",$I418=0),"",IFERROR($N418/$I418,""))))</x:f>
      </x:c>
      <x:c r="P418" s="987" t="str">
        <x:f>IF(COUNTA($A418:$M418)=0,"",IF(OR(LEFT(LOWER(TRIM($F418&amp;"")),12)="subscription",LOWER(TRIM($F418&amp;""))="membership"),"",IF(LOWER($L418&amp;"")="yes",0,IF(OR(AND($H418&lt;&gt;"",$H418=0),LEFT(LOWER(TRIM($F418&amp;"")),9)="free game",LOWER(TRIM($F418&amp;""))="free",LOWER(TRIM($F418&amp;""))="free entry"),IF(LOWER($D418&amp;"")="finalized",IF(ISNUMBER($K418),$K418,""),IF($O418&lt;&gt;"",$O418,"")),IF($K418&lt;&gt;"",$K418,IF($O418&lt;&gt;"",$O418,""))))))</x:f>
      </x:c>
      <x:c r="Q418" s="114" t="str">
        <x:f>IF(COUNTA($A418:$M418)=0,"",IF(OR($U418="Subscription",$U418=""),"",IF($U418="Profit",ROUND(IFERROR($P418,0)-IFERROR($H418,0),2),0)))</x:f>
      </x:c>
      <x:c r="R418" s="114" t="str">
        <x:f>IF(COUNTA($A418:$M418)=0,"",IF(OR($U418="Subscription",$U418=""),"",IF($U418="Draw",$H418,0)))</x:f>
      </x:c>
      <x:c r="S418" s="114" t="str">
        <x:f>IF(COUNTA($A418:$M418)=0,"",IF(OR($U418="Subscription",$U418=""),"",IF($U418="Disqualified",$H418,0)))</x:f>
      </x:c>
      <x:c r="T418" s="955" t="str">
        <x:f>IF(COUNTA($A418:$M418)=0,"",IF(OR($U418="Subscription",$U418=""),"",IF(OR($U418="Free Game",$U418="Disqualified — Free Game",$H418=0),"N/A",IF($U418="Profit",$Q418/$H418,IF($U418="Disqualified",-$S418/$H418,0)))))</x:f>
      </x:c>
      <x:c r="U418" s="920" t="str">
        <x:f>IF(COUNTA($A418:$M418)=0,"",IF(OR(LEFT(LOWER(TRIM($F418&amp;"")),12)="subscription",LOWER(TRIM($F418&amp;""))="membership"),"Subscription",IF(OR(AND($H418&lt;&gt;"",$H418=0),LEFT(LOWER(TRIM($F418&amp;"")),9)="free game",LOWER(TRIM($F418&amp;""))="free",LOWER(TRIM($F418&amp;""))="free entry"),IF(LOWER($L418&amp;"")="yes","Disqualified — Free Game","Free Game"),IF(LOWER($L418&amp;"")="yes","Disqualified",IF($P418="","",IF(ROUND(IFERROR(VALUE($P418),0)-IFERROR(VALUE($H418),0),2)&gt;0,"Profit","Draw"))))))</x:f>
      </x:c>
      <x:c r="V418" s="956" t="str">
        <x:f>IF(COUNTA($A418:$M418)=0,"",IF(OR($B418="",$C418="",$U418="Subscription"),"",IFERROR(ROUNDUP(($C418-$B418)/7,0),"")))</x:f>
      </x:c>
      <x:c r="W418" s="114" t="str">
        <x:f>IF(COUNTA($A418:$M418)=0,"",IF(OR($U418="Subscription",$U418=""),"",IF(OR($U418="Free Game",$U418="Disqualified — Free Game"),0,ROUND(IFERROR($Q418,0)-IFERROR($S418,0),2))))</x:f>
      </x:c>
      <x:c r="X418" s="956" t="str">
        <x:f>IF(COUNTA($A418:$M418)=0,"",IF(OR($U418="Subscription",NOT(ISNUMBER($J418)),NOT(ISNUMBER($I418)),$J418=0,$I418=0,$I418&gt;$J418),"",$J418-$I418))</x:f>
      </x:c>
      <x:c r="Y418" s="955" t="str">
        <x:f>IF(COUNTA($A418:$M418)=0,"",IF(OR($U418="Subscription",NOT(ISNUMBER($J418)),$J418=0,$X418=""),"",$X418/$J418))</x:f>
      </x:c>
      <x:c r="Z418" s="957" t="str">
        <x:f>IF(COUNTA($A418:$M418)=0,"",Instructions!$B$29+SUM($W$5:W418))</x:f>
      </x:c>
    </x:row>
    <x:row r="419" ht="36" customHeight="1">
      <x:c r="A419" s="439"/>
      <x:c r="B419" s="453"/>
      <x:c r="C419" s="453"/>
      <x:c r="D419" s="454"/>
      <x:c r="E419" s="454"/>
      <x:c r="F419" s="454"/>
      <x:c r="G419" s="986"/>
      <x:c r="H419" s="455"/>
      <x:c r="I419" s="456"/>
      <x:c r="J419" s="456"/>
      <x:c r="K419" s="986"/>
      <x:c r="L419" s="454"/>
      <x:c r="M419" s="439"/>
      <x:c r="N419" s="987" t="str">
        <x:f>IF(COUNTA($A419:$M419)=0,"",IF(OR(LEFT(LOWER(TRIM($F419&amp;"")),12)="subscription",LOWER(TRIM($F419&amp;""))="membership"),"",IF($G419="","",IF(ISNUMBER(SEARCH("non",LOWER($E419&amp;""))),$G419*0.85,$G419))))</x:f>
      </x:c>
      <x:c r="O419" s="987" t="str">
        <x:f>IF(COUNTA($A419:$M419)=0,"",IF(OR(LEFT(LOWER(TRIM($F419&amp;"")),12)="subscription",LOWER(TRIM($F419&amp;""))="membership"),"",IF(OR($N419="",$I419="",$I419=0),"",IFERROR($N419/$I419,""))))</x:f>
      </x:c>
      <x:c r="P419" s="987" t="str">
        <x:f>IF(COUNTA($A419:$M419)=0,"",IF(OR(LEFT(LOWER(TRIM($F419&amp;"")),12)="subscription",LOWER(TRIM($F419&amp;""))="membership"),"",IF(LOWER($L419&amp;"")="yes",0,IF(OR(AND($H419&lt;&gt;"",$H419=0),LEFT(LOWER(TRIM($F419&amp;"")),9)="free game",LOWER(TRIM($F419&amp;""))="free",LOWER(TRIM($F419&amp;""))="free entry"),IF(LOWER($D419&amp;"")="finalized",IF(ISNUMBER($K419),$K419,""),IF($O419&lt;&gt;"",$O419,"")),IF($K419&lt;&gt;"",$K419,IF($O419&lt;&gt;"",$O419,""))))))</x:f>
      </x:c>
      <x:c r="Q419" s="114" t="str">
        <x:f>IF(COUNTA($A419:$M419)=0,"",IF(OR($U419="Subscription",$U419=""),"",IF($U419="Profit",ROUND(IFERROR($P419,0)-IFERROR($H419,0),2),0)))</x:f>
      </x:c>
      <x:c r="R419" s="114" t="str">
        <x:f>IF(COUNTA($A419:$M419)=0,"",IF(OR($U419="Subscription",$U419=""),"",IF($U419="Draw",$H419,0)))</x:f>
      </x:c>
      <x:c r="S419" s="114" t="str">
        <x:f>IF(COUNTA($A419:$M419)=0,"",IF(OR($U419="Subscription",$U419=""),"",IF($U419="Disqualified",$H419,0)))</x:f>
      </x:c>
      <x:c r="T419" s="955" t="str">
        <x:f>IF(COUNTA($A419:$M419)=0,"",IF(OR($U419="Subscription",$U419=""),"",IF(OR($U419="Free Game",$U419="Disqualified — Free Game",$H419=0),"N/A",IF($U419="Profit",$Q419/$H419,IF($U419="Disqualified",-$S419/$H419,0)))))</x:f>
      </x:c>
      <x:c r="U419" s="920" t="str">
        <x:f>IF(COUNTA($A419:$M419)=0,"",IF(OR(LEFT(LOWER(TRIM($F419&amp;"")),12)="subscription",LOWER(TRIM($F419&amp;""))="membership"),"Subscription",IF(OR(AND($H419&lt;&gt;"",$H419=0),LEFT(LOWER(TRIM($F419&amp;"")),9)="free game",LOWER(TRIM($F419&amp;""))="free",LOWER(TRIM($F419&amp;""))="free entry"),IF(LOWER($L419&amp;"")="yes","Disqualified — Free Game","Free Game"),IF(LOWER($L419&amp;"")="yes","Disqualified",IF($P419="","",IF(ROUND(IFERROR(VALUE($P419),0)-IFERROR(VALUE($H419),0),2)&gt;0,"Profit","Draw"))))))</x:f>
      </x:c>
      <x:c r="V419" s="956" t="str">
        <x:f>IF(COUNTA($A419:$M419)=0,"",IF(OR($B419="",$C419="",$U419="Subscription"),"",IFERROR(ROUNDUP(($C419-$B419)/7,0),"")))</x:f>
      </x:c>
      <x:c r="W419" s="114" t="str">
        <x:f>IF(COUNTA($A419:$M419)=0,"",IF(OR($U419="Subscription",$U419=""),"",IF(OR($U419="Free Game",$U419="Disqualified — Free Game"),0,ROUND(IFERROR($Q419,0)-IFERROR($S419,0),2))))</x:f>
      </x:c>
      <x:c r="X419" s="956" t="str">
        <x:f>IF(COUNTA($A419:$M419)=0,"",IF(OR($U419="Subscription",NOT(ISNUMBER($J419)),NOT(ISNUMBER($I419)),$J419=0,$I419=0,$I419&gt;$J419),"",$J419-$I419))</x:f>
      </x:c>
      <x:c r="Y419" s="955" t="str">
        <x:f>IF(COUNTA($A419:$M419)=0,"",IF(OR($U419="Subscription",NOT(ISNUMBER($J419)),$J419=0,$X419=""),"",$X419/$J419))</x:f>
      </x:c>
      <x:c r="Z419" s="957" t="str">
        <x:f>IF(COUNTA($A419:$M419)=0,"",Instructions!$B$29+SUM($W$5:W419))</x:f>
      </x:c>
    </x:row>
    <x:row r="420" ht="36" customHeight="1">
      <x:c r="A420" s="439"/>
      <x:c r="B420" s="453"/>
      <x:c r="C420" s="453"/>
      <x:c r="D420" s="454"/>
      <x:c r="E420" s="454"/>
      <x:c r="F420" s="454"/>
      <x:c r="G420" s="986"/>
      <x:c r="H420" s="455"/>
      <x:c r="I420" s="456"/>
      <x:c r="J420" s="456"/>
      <x:c r="K420" s="986"/>
      <x:c r="L420" s="454"/>
      <x:c r="M420" s="439"/>
      <x:c r="N420" s="987" t="str">
        <x:f>IF(COUNTA($A420:$M420)=0,"",IF(OR(LEFT(LOWER(TRIM($F420&amp;"")),12)="subscription",LOWER(TRIM($F420&amp;""))="membership"),"",IF($G420="","",IF(ISNUMBER(SEARCH("non",LOWER($E420&amp;""))),$G420*0.85,$G420))))</x:f>
      </x:c>
      <x:c r="O420" s="987" t="str">
        <x:f>IF(COUNTA($A420:$M420)=0,"",IF(OR(LEFT(LOWER(TRIM($F420&amp;"")),12)="subscription",LOWER(TRIM($F420&amp;""))="membership"),"",IF(OR($N420="",$I420="",$I420=0),"",IFERROR($N420/$I420,""))))</x:f>
      </x:c>
      <x:c r="P420" s="987" t="str">
        <x:f>IF(COUNTA($A420:$M420)=0,"",IF(OR(LEFT(LOWER(TRIM($F420&amp;"")),12)="subscription",LOWER(TRIM($F420&amp;""))="membership"),"",IF(LOWER($L420&amp;"")="yes",0,IF(OR(AND($H420&lt;&gt;"",$H420=0),LEFT(LOWER(TRIM($F420&amp;"")),9)="free game",LOWER(TRIM($F420&amp;""))="free",LOWER(TRIM($F420&amp;""))="free entry"),IF(LOWER($D420&amp;"")="finalized",IF(ISNUMBER($K420),$K420,""),IF($O420&lt;&gt;"",$O420,"")),IF($K420&lt;&gt;"",$K420,IF($O420&lt;&gt;"",$O420,""))))))</x:f>
      </x:c>
      <x:c r="Q420" s="114" t="str">
        <x:f>IF(COUNTA($A420:$M420)=0,"",IF(OR($U420="Subscription",$U420=""),"",IF($U420="Profit",ROUND(IFERROR($P420,0)-IFERROR($H420,0),2),0)))</x:f>
      </x:c>
      <x:c r="R420" s="114" t="str">
        <x:f>IF(COUNTA($A420:$M420)=0,"",IF(OR($U420="Subscription",$U420=""),"",IF($U420="Draw",$H420,0)))</x:f>
      </x:c>
      <x:c r="S420" s="114" t="str">
        <x:f>IF(COUNTA($A420:$M420)=0,"",IF(OR($U420="Subscription",$U420=""),"",IF($U420="Disqualified",$H420,0)))</x:f>
      </x:c>
      <x:c r="T420" s="955" t="str">
        <x:f>IF(COUNTA($A420:$M420)=0,"",IF(OR($U420="Subscription",$U420=""),"",IF(OR($U420="Free Game",$U420="Disqualified — Free Game",$H420=0),"N/A",IF($U420="Profit",$Q420/$H420,IF($U420="Disqualified",-$S420/$H420,0)))))</x:f>
      </x:c>
      <x:c r="U420" s="920" t="str">
        <x:f>IF(COUNTA($A420:$M420)=0,"",IF(OR(LEFT(LOWER(TRIM($F420&amp;"")),12)="subscription",LOWER(TRIM($F420&amp;""))="membership"),"Subscription",IF(OR(AND($H420&lt;&gt;"",$H420=0),LEFT(LOWER(TRIM($F420&amp;"")),9)="free game",LOWER(TRIM($F420&amp;""))="free",LOWER(TRIM($F420&amp;""))="free entry"),IF(LOWER($L420&amp;"")="yes","Disqualified — Free Game","Free Game"),IF(LOWER($L420&amp;"")="yes","Disqualified",IF($P420="","",IF(ROUND(IFERROR(VALUE($P420),0)-IFERROR(VALUE($H420),0),2)&gt;0,"Profit","Draw"))))))</x:f>
      </x:c>
      <x:c r="V420" s="956" t="str">
        <x:f>IF(COUNTA($A420:$M420)=0,"",IF(OR($B420="",$C420="",$U420="Subscription"),"",IFERROR(ROUNDUP(($C420-$B420)/7,0),"")))</x:f>
      </x:c>
      <x:c r="W420" s="114" t="str">
        <x:f>IF(COUNTA($A420:$M420)=0,"",IF(OR($U420="Subscription",$U420=""),"",IF(OR($U420="Free Game",$U420="Disqualified — Free Game"),0,ROUND(IFERROR($Q420,0)-IFERROR($S420,0),2))))</x:f>
      </x:c>
      <x:c r="X420" s="956" t="str">
        <x:f>IF(COUNTA($A420:$M420)=0,"",IF(OR($U420="Subscription",NOT(ISNUMBER($J420)),NOT(ISNUMBER($I420)),$J420=0,$I420=0,$I420&gt;$J420),"",$J420-$I420))</x:f>
      </x:c>
      <x:c r="Y420" s="955" t="str">
        <x:f>IF(COUNTA($A420:$M420)=0,"",IF(OR($U420="Subscription",NOT(ISNUMBER($J420)),$J420=0,$X420=""),"",$X420/$J420))</x:f>
      </x:c>
      <x:c r="Z420" s="957" t="str">
        <x:f>IF(COUNTA($A420:$M420)=0,"",Instructions!$B$29+SUM($W$5:W420))</x:f>
      </x:c>
    </x:row>
    <x:row r="421" ht="36" customHeight="1">
      <x:c r="A421" s="439"/>
      <x:c r="B421" s="453"/>
      <x:c r="C421" s="453"/>
      <x:c r="D421" s="454"/>
      <x:c r="E421" s="454"/>
      <x:c r="F421" s="454"/>
      <x:c r="G421" s="986"/>
      <x:c r="H421" s="455"/>
      <x:c r="I421" s="456"/>
      <x:c r="J421" s="456"/>
      <x:c r="K421" s="986"/>
      <x:c r="L421" s="454"/>
      <x:c r="M421" s="439"/>
      <x:c r="N421" s="987" t="str">
        <x:f>IF(COUNTA($A421:$M421)=0,"",IF(OR(LEFT(LOWER(TRIM($F421&amp;"")),12)="subscription",LOWER(TRIM($F421&amp;""))="membership"),"",IF($G421="","",IF(ISNUMBER(SEARCH("non",LOWER($E421&amp;""))),$G421*0.85,$G421))))</x:f>
      </x:c>
      <x:c r="O421" s="987" t="str">
        <x:f>IF(COUNTA($A421:$M421)=0,"",IF(OR(LEFT(LOWER(TRIM($F421&amp;"")),12)="subscription",LOWER(TRIM($F421&amp;""))="membership"),"",IF(OR($N421="",$I421="",$I421=0),"",IFERROR($N421/$I421,""))))</x:f>
      </x:c>
      <x:c r="P421" s="987" t="str">
        <x:f>IF(COUNTA($A421:$M421)=0,"",IF(OR(LEFT(LOWER(TRIM($F421&amp;"")),12)="subscription",LOWER(TRIM($F421&amp;""))="membership"),"",IF(LOWER($L421&amp;"")="yes",0,IF(OR(AND($H421&lt;&gt;"",$H421=0),LEFT(LOWER(TRIM($F421&amp;"")),9)="free game",LOWER(TRIM($F421&amp;""))="free",LOWER(TRIM($F421&amp;""))="free entry"),IF(LOWER($D421&amp;"")="finalized",IF(ISNUMBER($K421),$K421,""),IF($O421&lt;&gt;"",$O421,"")),IF($K421&lt;&gt;"",$K421,IF($O421&lt;&gt;"",$O421,""))))))</x:f>
      </x:c>
      <x:c r="Q421" s="114" t="str">
        <x:f>IF(COUNTA($A421:$M421)=0,"",IF(OR($U421="Subscription",$U421=""),"",IF($U421="Profit",ROUND(IFERROR($P421,0)-IFERROR($H421,0),2),0)))</x:f>
      </x:c>
      <x:c r="R421" s="114" t="str">
        <x:f>IF(COUNTA($A421:$M421)=0,"",IF(OR($U421="Subscription",$U421=""),"",IF($U421="Draw",$H421,0)))</x:f>
      </x:c>
      <x:c r="S421" s="114" t="str">
        <x:f>IF(COUNTA($A421:$M421)=0,"",IF(OR($U421="Subscription",$U421=""),"",IF($U421="Disqualified",$H421,0)))</x:f>
      </x:c>
      <x:c r="T421" s="955" t="str">
        <x:f>IF(COUNTA($A421:$M421)=0,"",IF(OR($U421="Subscription",$U421=""),"",IF(OR($U421="Free Game",$U421="Disqualified — Free Game",$H421=0),"N/A",IF($U421="Profit",$Q421/$H421,IF($U421="Disqualified",-$S421/$H421,0)))))</x:f>
      </x:c>
      <x:c r="U421" s="920" t="str">
        <x:f>IF(COUNTA($A421:$M421)=0,"",IF(OR(LEFT(LOWER(TRIM($F421&amp;"")),12)="subscription",LOWER(TRIM($F421&amp;""))="membership"),"Subscription",IF(OR(AND($H421&lt;&gt;"",$H421=0),LEFT(LOWER(TRIM($F421&amp;"")),9)="free game",LOWER(TRIM($F421&amp;""))="free",LOWER(TRIM($F421&amp;""))="free entry"),IF(LOWER($L421&amp;"")="yes","Disqualified — Free Game","Free Game"),IF(LOWER($L421&amp;"")="yes","Disqualified",IF($P421="","",IF(ROUND(IFERROR(VALUE($P421),0)-IFERROR(VALUE($H421),0),2)&gt;0,"Profit","Draw"))))))</x:f>
      </x:c>
      <x:c r="V421" s="956" t="str">
        <x:f>IF(COUNTA($A421:$M421)=0,"",IF(OR($B421="",$C421="",$U421="Subscription"),"",IFERROR(ROUNDUP(($C421-$B421)/7,0),"")))</x:f>
      </x:c>
      <x:c r="W421" s="114" t="str">
        <x:f>IF(COUNTA($A421:$M421)=0,"",IF(OR($U421="Subscription",$U421=""),"",IF(OR($U421="Free Game",$U421="Disqualified — Free Game"),0,ROUND(IFERROR($Q421,0)-IFERROR($S421,0),2))))</x:f>
      </x:c>
      <x:c r="X421" s="956" t="str">
        <x:f>IF(COUNTA($A421:$M421)=0,"",IF(OR($U421="Subscription",NOT(ISNUMBER($J421)),NOT(ISNUMBER($I421)),$J421=0,$I421=0,$I421&gt;$J421),"",$J421-$I421))</x:f>
      </x:c>
      <x:c r="Y421" s="955" t="str">
        <x:f>IF(COUNTA($A421:$M421)=0,"",IF(OR($U421="Subscription",NOT(ISNUMBER($J421)),$J421=0,$X421=""),"",$X421/$J421))</x:f>
      </x:c>
      <x:c r="Z421" s="957" t="str">
        <x:f>IF(COUNTA($A421:$M421)=0,"",Instructions!$B$29+SUM($W$5:W421))</x:f>
      </x:c>
    </x:row>
    <x:row r="422" ht="36" customHeight="1">
      <x:c r="A422" s="439"/>
      <x:c r="B422" s="453"/>
      <x:c r="C422" s="453"/>
      <x:c r="D422" s="454"/>
      <x:c r="E422" s="454"/>
      <x:c r="F422" s="454"/>
      <x:c r="G422" s="986"/>
      <x:c r="H422" s="455"/>
      <x:c r="I422" s="456"/>
      <x:c r="J422" s="456"/>
      <x:c r="K422" s="986"/>
      <x:c r="L422" s="454"/>
      <x:c r="M422" s="439"/>
      <x:c r="N422" s="987" t="str">
        <x:f>IF(COUNTA($A422:$M422)=0,"",IF(OR(LEFT(LOWER(TRIM($F422&amp;"")),12)="subscription",LOWER(TRIM($F422&amp;""))="membership"),"",IF($G422="","",IF(ISNUMBER(SEARCH("non",LOWER($E422&amp;""))),$G422*0.85,$G422))))</x:f>
      </x:c>
      <x:c r="O422" s="987" t="str">
        <x:f>IF(COUNTA($A422:$M422)=0,"",IF(OR(LEFT(LOWER(TRIM($F422&amp;"")),12)="subscription",LOWER(TRIM($F422&amp;""))="membership"),"",IF(OR($N422="",$I422="",$I422=0),"",IFERROR($N422/$I422,""))))</x:f>
      </x:c>
      <x:c r="P422" s="987" t="str">
        <x:f>IF(COUNTA($A422:$M422)=0,"",IF(OR(LEFT(LOWER(TRIM($F422&amp;"")),12)="subscription",LOWER(TRIM($F422&amp;""))="membership"),"",IF(LOWER($L422&amp;"")="yes",0,IF(OR(AND($H422&lt;&gt;"",$H422=0),LEFT(LOWER(TRIM($F422&amp;"")),9)="free game",LOWER(TRIM($F422&amp;""))="free",LOWER(TRIM($F422&amp;""))="free entry"),IF(LOWER($D422&amp;"")="finalized",IF(ISNUMBER($K422),$K422,""),IF($O422&lt;&gt;"",$O422,"")),IF($K422&lt;&gt;"",$K422,IF($O422&lt;&gt;"",$O422,""))))))</x:f>
      </x:c>
      <x:c r="Q422" s="114" t="str">
        <x:f>IF(COUNTA($A422:$M422)=0,"",IF(OR($U422="Subscription",$U422=""),"",IF($U422="Profit",ROUND(IFERROR($P422,0)-IFERROR($H422,0),2),0)))</x:f>
      </x:c>
      <x:c r="R422" s="114" t="str">
        <x:f>IF(COUNTA($A422:$M422)=0,"",IF(OR($U422="Subscription",$U422=""),"",IF($U422="Draw",$H422,0)))</x:f>
      </x:c>
      <x:c r="S422" s="114" t="str">
        <x:f>IF(COUNTA($A422:$M422)=0,"",IF(OR($U422="Subscription",$U422=""),"",IF($U422="Disqualified",$H422,0)))</x:f>
      </x:c>
      <x:c r="T422" s="955" t="str">
        <x:f>IF(COUNTA($A422:$M422)=0,"",IF(OR($U422="Subscription",$U422=""),"",IF(OR($U422="Free Game",$U422="Disqualified — Free Game",$H422=0),"N/A",IF($U422="Profit",$Q422/$H422,IF($U422="Disqualified",-$S422/$H422,0)))))</x:f>
      </x:c>
      <x:c r="U422" s="920" t="str">
        <x:f>IF(COUNTA($A422:$M422)=0,"",IF(OR(LEFT(LOWER(TRIM($F422&amp;"")),12)="subscription",LOWER(TRIM($F422&amp;""))="membership"),"Subscription",IF(OR(AND($H422&lt;&gt;"",$H422=0),LEFT(LOWER(TRIM($F422&amp;"")),9)="free game",LOWER(TRIM($F422&amp;""))="free",LOWER(TRIM($F422&amp;""))="free entry"),IF(LOWER($L422&amp;"")="yes","Disqualified — Free Game","Free Game"),IF(LOWER($L422&amp;"")="yes","Disqualified",IF($P422="","",IF(ROUND(IFERROR(VALUE($P422),0)-IFERROR(VALUE($H422),0),2)&gt;0,"Profit","Draw"))))))</x:f>
      </x:c>
      <x:c r="V422" s="956" t="str">
        <x:f>IF(COUNTA($A422:$M422)=0,"",IF(OR($B422="",$C422="",$U422="Subscription"),"",IFERROR(ROUNDUP(($C422-$B422)/7,0),"")))</x:f>
      </x:c>
      <x:c r="W422" s="114" t="str">
        <x:f>IF(COUNTA($A422:$M422)=0,"",IF(OR($U422="Subscription",$U422=""),"",IF(OR($U422="Free Game",$U422="Disqualified — Free Game"),0,ROUND(IFERROR($Q422,0)-IFERROR($S422,0),2))))</x:f>
      </x:c>
      <x:c r="X422" s="956" t="str">
        <x:f>IF(COUNTA($A422:$M422)=0,"",IF(OR($U422="Subscription",NOT(ISNUMBER($J422)),NOT(ISNUMBER($I422)),$J422=0,$I422=0,$I422&gt;$J422),"",$J422-$I422))</x:f>
      </x:c>
      <x:c r="Y422" s="955" t="str">
        <x:f>IF(COUNTA($A422:$M422)=0,"",IF(OR($U422="Subscription",NOT(ISNUMBER($J422)),$J422=0,$X422=""),"",$X422/$J422))</x:f>
      </x:c>
      <x:c r="Z422" s="957" t="str">
        <x:f>IF(COUNTA($A422:$M422)=0,"",Instructions!$B$29+SUM($W$5:W422))</x:f>
      </x:c>
    </x:row>
    <x:row r="423" ht="36" customHeight="1">
      <x:c r="A423" s="439"/>
      <x:c r="B423" s="453"/>
      <x:c r="C423" s="453"/>
      <x:c r="D423" s="454"/>
      <x:c r="E423" s="454"/>
      <x:c r="F423" s="454"/>
      <x:c r="G423" s="986"/>
      <x:c r="H423" s="455"/>
      <x:c r="I423" s="456"/>
      <x:c r="J423" s="456"/>
      <x:c r="K423" s="986"/>
      <x:c r="L423" s="454"/>
      <x:c r="M423" s="439"/>
      <x:c r="N423" s="987" t="str">
        <x:f>IF(COUNTA($A423:$M423)=0,"",IF(OR(LEFT(LOWER(TRIM($F423&amp;"")),12)="subscription",LOWER(TRIM($F423&amp;""))="membership"),"",IF($G423="","",IF(ISNUMBER(SEARCH("non",LOWER($E423&amp;""))),$G423*0.85,$G423))))</x:f>
      </x:c>
      <x:c r="O423" s="987" t="str">
        <x:f>IF(COUNTA($A423:$M423)=0,"",IF(OR(LEFT(LOWER(TRIM($F423&amp;"")),12)="subscription",LOWER(TRIM($F423&amp;""))="membership"),"",IF(OR($N423="",$I423="",$I423=0),"",IFERROR($N423/$I423,""))))</x:f>
      </x:c>
      <x:c r="P423" s="987" t="str">
        <x:f>IF(COUNTA($A423:$M423)=0,"",IF(OR(LEFT(LOWER(TRIM($F423&amp;"")),12)="subscription",LOWER(TRIM($F423&amp;""))="membership"),"",IF(LOWER($L423&amp;"")="yes",0,IF(OR(AND($H423&lt;&gt;"",$H423=0),LEFT(LOWER(TRIM($F423&amp;"")),9)="free game",LOWER(TRIM($F423&amp;""))="free",LOWER(TRIM($F423&amp;""))="free entry"),IF(LOWER($D423&amp;"")="finalized",IF(ISNUMBER($K423),$K423,""),IF($O423&lt;&gt;"",$O423,"")),IF($K423&lt;&gt;"",$K423,IF($O423&lt;&gt;"",$O423,""))))))</x:f>
      </x:c>
      <x:c r="Q423" s="114" t="str">
        <x:f>IF(COUNTA($A423:$M423)=0,"",IF(OR($U423="Subscription",$U423=""),"",IF($U423="Profit",ROUND(IFERROR($P423,0)-IFERROR($H423,0),2),0)))</x:f>
      </x:c>
      <x:c r="R423" s="114" t="str">
        <x:f>IF(COUNTA($A423:$M423)=0,"",IF(OR($U423="Subscription",$U423=""),"",IF($U423="Draw",$H423,0)))</x:f>
      </x:c>
      <x:c r="S423" s="114" t="str">
        <x:f>IF(COUNTA($A423:$M423)=0,"",IF(OR($U423="Subscription",$U423=""),"",IF($U423="Disqualified",$H423,0)))</x:f>
      </x:c>
      <x:c r="T423" s="955" t="str">
        <x:f>IF(COUNTA($A423:$M423)=0,"",IF(OR($U423="Subscription",$U423=""),"",IF(OR($U423="Free Game",$U423="Disqualified — Free Game",$H423=0),"N/A",IF($U423="Profit",$Q423/$H423,IF($U423="Disqualified",-$S423/$H423,0)))))</x:f>
      </x:c>
      <x:c r="U423" s="920" t="str">
        <x:f>IF(COUNTA($A423:$M423)=0,"",IF(OR(LEFT(LOWER(TRIM($F423&amp;"")),12)="subscription",LOWER(TRIM($F423&amp;""))="membership"),"Subscription",IF(OR(AND($H423&lt;&gt;"",$H423=0),LEFT(LOWER(TRIM($F423&amp;"")),9)="free game",LOWER(TRIM($F423&amp;""))="free",LOWER(TRIM($F423&amp;""))="free entry"),IF(LOWER($L423&amp;"")="yes","Disqualified — Free Game","Free Game"),IF(LOWER($L423&amp;"")="yes","Disqualified",IF($P423="","",IF(ROUND(IFERROR(VALUE($P423),0)-IFERROR(VALUE($H423),0),2)&gt;0,"Profit","Draw"))))))</x:f>
      </x:c>
      <x:c r="V423" s="956" t="str">
        <x:f>IF(COUNTA($A423:$M423)=0,"",IF(OR($B423="",$C423="",$U423="Subscription"),"",IFERROR(ROUNDUP(($C423-$B423)/7,0),"")))</x:f>
      </x:c>
      <x:c r="W423" s="114" t="str">
        <x:f>IF(COUNTA($A423:$M423)=0,"",IF(OR($U423="Subscription",$U423=""),"",IF(OR($U423="Free Game",$U423="Disqualified — Free Game"),0,ROUND(IFERROR($Q423,0)-IFERROR($S423,0),2))))</x:f>
      </x:c>
      <x:c r="X423" s="956" t="str">
        <x:f>IF(COUNTA($A423:$M423)=0,"",IF(OR($U423="Subscription",NOT(ISNUMBER($J423)),NOT(ISNUMBER($I423)),$J423=0,$I423=0,$I423&gt;$J423),"",$J423-$I423))</x:f>
      </x:c>
      <x:c r="Y423" s="955" t="str">
        <x:f>IF(COUNTA($A423:$M423)=0,"",IF(OR($U423="Subscription",NOT(ISNUMBER($J423)),$J423=0,$X423=""),"",$X423/$J423))</x:f>
      </x:c>
      <x:c r="Z423" s="957" t="str">
        <x:f>IF(COUNTA($A423:$M423)=0,"",Instructions!$B$29+SUM($W$5:W423))</x:f>
      </x:c>
    </x:row>
    <x:row r="424" ht="36" customHeight="1">
      <x:c r="A424" s="439"/>
      <x:c r="B424" s="453"/>
      <x:c r="C424" s="453"/>
      <x:c r="D424" s="454"/>
      <x:c r="E424" s="454"/>
      <x:c r="F424" s="454"/>
      <x:c r="G424" s="986"/>
      <x:c r="H424" s="455"/>
      <x:c r="I424" s="456"/>
      <x:c r="J424" s="456"/>
      <x:c r="K424" s="986"/>
      <x:c r="L424" s="454"/>
      <x:c r="M424" s="439"/>
      <x:c r="N424" s="987" t="str">
        <x:f>IF(COUNTA($A424:$M424)=0,"",IF(OR(LEFT(LOWER(TRIM($F424&amp;"")),12)="subscription",LOWER(TRIM($F424&amp;""))="membership"),"",IF($G424="","",IF(ISNUMBER(SEARCH("non",LOWER($E424&amp;""))),$G424*0.85,$G424))))</x:f>
      </x:c>
      <x:c r="O424" s="987" t="str">
        <x:f>IF(COUNTA($A424:$M424)=0,"",IF(OR(LEFT(LOWER(TRIM($F424&amp;"")),12)="subscription",LOWER(TRIM($F424&amp;""))="membership"),"",IF(OR($N424="",$I424="",$I424=0),"",IFERROR($N424/$I424,""))))</x:f>
      </x:c>
      <x:c r="P424" s="987" t="str">
        <x:f>IF(COUNTA($A424:$M424)=0,"",IF(OR(LEFT(LOWER(TRIM($F424&amp;"")),12)="subscription",LOWER(TRIM($F424&amp;""))="membership"),"",IF(LOWER($L424&amp;"")="yes",0,IF(OR(AND($H424&lt;&gt;"",$H424=0),LEFT(LOWER(TRIM($F424&amp;"")),9)="free game",LOWER(TRIM($F424&amp;""))="free",LOWER(TRIM($F424&amp;""))="free entry"),IF(LOWER($D424&amp;"")="finalized",IF(ISNUMBER($K424),$K424,""),IF($O424&lt;&gt;"",$O424,"")),IF($K424&lt;&gt;"",$K424,IF($O424&lt;&gt;"",$O424,""))))))</x:f>
      </x:c>
      <x:c r="Q424" s="114" t="str">
        <x:f>IF(COUNTA($A424:$M424)=0,"",IF(OR($U424="Subscription",$U424=""),"",IF($U424="Profit",ROUND(IFERROR($P424,0)-IFERROR($H424,0),2),0)))</x:f>
      </x:c>
      <x:c r="R424" s="114" t="str">
        <x:f>IF(COUNTA($A424:$M424)=0,"",IF(OR($U424="Subscription",$U424=""),"",IF($U424="Draw",$H424,0)))</x:f>
      </x:c>
      <x:c r="S424" s="114" t="str">
        <x:f>IF(COUNTA($A424:$M424)=0,"",IF(OR($U424="Subscription",$U424=""),"",IF($U424="Disqualified",$H424,0)))</x:f>
      </x:c>
      <x:c r="T424" s="955" t="str">
        <x:f>IF(COUNTA($A424:$M424)=0,"",IF(OR($U424="Subscription",$U424=""),"",IF(OR($U424="Free Game",$U424="Disqualified — Free Game",$H424=0),"N/A",IF($U424="Profit",$Q424/$H424,IF($U424="Disqualified",-$S424/$H424,0)))))</x:f>
      </x:c>
      <x:c r="U424" s="920" t="str">
        <x:f>IF(COUNTA($A424:$M424)=0,"",IF(OR(LEFT(LOWER(TRIM($F424&amp;"")),12)="subscription",LOWER(TRIM($F424&amp;""))="membership"),"Subscription",IF(OR(AND($H424&lt;&gt;"",$H424=0),LEFT(LOWER(TRIM($F424&amp;"")),9)="free game",LOWER(TRIM($F424&amp;""))="free",LOWER(TRIM($F424&amp;""))="free entry"),IF(LOWER($L424&amp;"")="yes","Disqualified — Free Game","Free Game"),IF(LOWER($L424&amp;"")="yes","Disqualified",IF($P424="","",IF(ROUND(IFERROR(VALUE($P424),0)-IFERROR(VALUE($H424),0),2)&gt;0,"Profit","Draw"))))))</x:f>
      </x:c>
      <x:c r="V424" s="956" t="str">
        <x:f>IF(COUNTA($A424:$M424)=0,"",IF(OR($B424="",$C424="",$U424="Subscription"),"",IFERROR(ROUNDUP(($C424-$B424)/7,0),"")))</x:f>
      </x:c>
      <x:c r="W424" s="114" t="str">
        <x:f>IF(COUNTA($A424:$M424)=0,"",IF(OR($U424="Subscription",$U424=""),"",IF(OR($U424="Free Game",$U424="Disqualified — Free Game"),0,ROUND(IFERROR($Q424,0)-IFERROR($S424,0),2))))</x:f>
      </x:c>
      <x:c r="X424" s="956" t="str">
        <x:f>IF(COUNTA($A424:$M424)=0,"",IF(OR($U424="Subscription",NOT(ISNUMBER($J424)),NOT(ISNUMBER($I424)),$J424=0,$I424=0,$I424&gt;$J424),"",$J424-$I424))</x:f>
      </x:c>
      <x:c r="Y424" s="955" t="str">
        <x:f>IF(COUNTA($A424:$M424)=0,"",IF(OR($U424="Subscription",NOT(ISNUMBER($J424)),$J424=0,$X424=""),"",$X424/$J424))</x:f>
      </x:c>
      <x:c r="Z424" s="957" t="str">
        <x:f>IF(COUNTA($A424:$M424)=0,"",Instructions!$B$29+SUM($W$5:W424))</x:f>
      </x:c>
    </x:row>
    <x:row r="425" ht="36" customHeight="1">
      <x:c r="A425" s="439"/>
      <x:c r="B425" s="453"/>
      <x:c r="C425" s="453"/>
      <x:c r="D425" s="454"/>
      <x:c r="E425" s="454"/>
      <x:c r="F425" s="454"/>
      <x:c r="G425" s="986"/>
      <x:c r="H425" s="455"/>
      <x:c r="I425" s="456"/>
      <x:c r="J425" s="456"/>
      <x:c r="K425" s="986"/>
      <x:c r="L425" s="454"/>
      <x:c r="M425" s="439"/>
      <x:c r="N425" s="987" t="str">
        <x:f>IF(COUNTA($A425:$M425)=0,"",IF(OR(LEFT(LOWER(TRIM($F425&amp;"")),12)="subscription",LOWER(TRIM($F425&amp;""))="membership"),"",IF($G425="","",IF(ISNUMBER(SEARCH("non",LOWER($E425&amp;""))),$G425*0.85,$G425))))</x:f>
      </x:c>
      <x:c r="O425" s="987" t="str">
        <x:f>IF(COUNTA($A425:$M425)=0,"",IF(OR(LEFT(LOWER(TRIM($F425&amp;"")),12)="subscription",LOWER(TRIM($F425&amp;""))="membership"),"",IF(OR($N425="",$I425="",$I425=0),"",IFERROR($N425/$I425,""))))</x:f>
      </x:c>
      <x:c r="P425" s="987" t="str">
        <x:f>IF(COUNTA($A425:$M425)=0,"",IF(OR(LEFT(LOWER(TRIM($F425&amp;"")),12)="subscription",LOWER(TRIM($F425&amp;""))="membership"),"",IF(LOWER($L425&amp;"")="yes",0,IF(OR(AND($H425&lt;&gt;"",$H425=0),LEFT(LOWER(TRIM($F425&amp;"")),9)="free game",LOWER(TRIM($F425&amp;""))="free",LOWER(TRIM($F425&amp;""))="free entry"),IF(LOWER($D425&amp;"")="finalized",IF(ISNUMBER($K425),$K425,""),IF($O425&lt;&gt;"",$O425,"")),IF($K425&lt;&gt;"",$K425,IF($O425&lt;&gt;"",$O425,""))))))</x:f>
      </x:c>
      <x:c r="Q425" s="114" t="str">
        <x:f>IF(COUNTA($A425:$M425)=0,"",IF(OR($U425="Subscription",$U425=""),"",IF($U425="Profit",ROUND(IFERROR($P425,0)-IFERROR($H425,0),2),0)))</x:f>
      </x:c>
      <x:c r="R425" s="114" t="str">
        <x:f>IF(COUNTA($A425:$M425)=0,"",IF(OR($U425="Subscription",$U425=""),"",IF($U425="Draw",$H425,0)))</x:f>
      </x:c>
      <x:c r="S425" s="114" t="str">
        <x:f>IF(COUNTA($A425:$M425)=0,"",IF(OR($U425="Subscription",$U425=""),"",IF($U425="Disqualified",$H425,0)))</x:f>
      </x:c>
      <x:c r="T425" s="955" t="str">
        <x:f>IF(COUNTA($A425:$M425)=0,"",IF(OR($U425="Subscription",$U425=""),"",IF(OR($U425="Free Game",$U425="Disqualified — Free Game",$H425=0),"N/A",IF($U425="Profit",$Q425/$H425,IF($U425="Disqualified",-$S425/$H425,0)))))</x:f>
      </x:c>
      <x:c r="U425" s="920" t="str">
        <x:f>IF(COUNTA($A425:$M425)=0,"",IF(OR(LEFT(LOWER(TRIM($F425&amp;"")),12)="subscription",LOWER(TRIM($F425&amp;""))="membership"),"Subscription",IF(OR(AND($H425&lt;&gt;"",$H425=0),LEFT(LOWER(TRIM($F425&amp;"")),9)="free game",LOWER(TRIM($F425&amp;""))="free",LOWER(TRIM($F425&amp;""))="free entry"),IF(LOWER($L425&amp;"")="yes","Disqualified — Free Game","Free Game"),IF(LOWER($L425&amp;"")="yes","Disqualified",IF($P425="","",IF(ROUND(IFERROR(VALUE($P425),0)-IFERROR(VALUE($H425),0),2)&gt;0,"Profit","Draw"))))))</x:f>
      </x:c>
      <x:c r="V425" s="956" t="str">
        <x:f>IF(COUNTA($A425:$M425)=0,"",IF(OR($B425="",$C425="",$U425="Subscription"),"",IFERROR(ROUNDUP(($C425-$B425)/7,0),"")))</x:f>
      </x:c>
      <x:c r="W425" s="114" t="str">
        <x:f>IF(COUNTA($A425:$M425)=0,"",IF(OR($U425="Subscription",$U425=""),"",IF(OR($U425="Free Game",$U425="Disqualified — Free Game"),0,ROUND(IFERROR($Q425,0)-IFERROR($S425,0),2))))</x:f>
      </x:c>
      <x:c r="X425" s="956" t="str">
        <x:f>IF(COUNTA($A425:$M425)=0,"",IF(OR($U425="Subscription",NOT(ISNUMBER($J425)),NOT(ISNUMBER($I425)),$J425=0,$I425=0,$I425&gt;$J425),"",$J425-$I425))</x:f>
      </x:c>
      <x:c r="Y425" s="955" t="str">
        <x:f>IF(COUNTA($A425:$M425)=0,"",IF(OR($U425="Subscription",NOT(ISNUMBER($J425)),$J425=0,$X425=""),"",$X425/$J425))</x:f>
      </x:c>
      <x:c r="Z425" s="957" t="str">
        <x:f>IF(COUNTA($A425:$M425)=0,"",Instructions!$B$29+SUM($W$5:W425))</x:f>
      </x:c>
    </x:row>
    <x:row r="426" ht="36" customHeight="1">
      <x:c r="A426" s="439"/>
      <x:c r="B426" s="453"/>
      <x:c r="C426" s="453"/>
      <x:c r="D426" s="454"/>
      <x:c r="E426" s="454"/>
      <x:c r="F426" s="454"/>
      <x:c r="G426" s="986"/>
      <x:c r="H426" s="455"/>
      <x:c r="I426" s="456"/>
      <x:c r="J426" s="456"/>
      <x:c r="K426" s="986"/>
      <x:c r="L426" s="454"/>
      <x:c r="M426" s="439"/>
      <x:c r="N426" s="987" t="str">
        <x:f>IF(COUNTA($A426:$M426)=0,"",IF(OR(LEFT(LOWER(TRIM($F426&amp;"")),12)="subscription",LOWER(TRIM($F426&amp;""))="membership"),"",IF($G426="","",IF(ISNUMBER(SEARCH("non",LOWER($E426&amp;""))),$G426*0.85,$G426))))</x:f>
      </x:c>
      <x:c r="O426" s="987" t="str">
        <x:f>IF(COUNTA($A426:$M426)=0,"",IF(OR(LEFT(LOWER(TRIM($F426&amp;"")),12)="subscription",LOWER(TRIM($F426&amp;""))="membership"),"",IF(OR($N426="",$I426="",$I426=0),"",IFERROR($N426/$I426,""))))</x:f>
      </x:c>
      <x:c r="P426" s="987" t="str">
        <x:f>IF(COUNTA($A426:$M426)=0,"",IF(OR(LEFT(LOWER(TRIM($F426&amp;"")),12)="subscription",LOWER(TRIM($F426&amp;""))="membership"),"",IF(LOWER($L426&amp;"")="yes",0,IF(OR(AND($H426&lt;&gt;"",$H426=0),LEFT(LOWER(TRIM($F426&amp;"")),9)="free game",LOWER(TRIM($F426&amp;""))="free",LOWER(TRIM($F426&amp;""))="free entry"),IF(LOWER($D426&amp;"")="finalized",IF(ISNUMBER($K426),$K426,""),IF($O426&lt;&gt;"",$O426,"")),IF($K426&lt;&gt;"",$K426,IF($O426&lt;&gt;"",$O426,""))))))</x:f>
      </x:c>
      <x:c r="Q426" s="114" t="str">
        <x:f>IF(COUNTA($A426:$M426)=0,"",IF(OR($U426="Subscription",$U426=""),"",IF($U426="Profit",ROUND(IFERROR($P426,0)-IFERROR($H426,0),2),0)))</x:f>
      </x:c>
      <x:c r="R426" s="114" t="str">
        <x:f>IF(COUNTA($A426:$M426)=0,"",IF(OR($U426="Subscription",$U426=""),"",IF($U426="Draw",$H426,0)))</x:f>
      </x:c>
      <x:c r="S426" s="114" t="str">
        <x:f>IF(COUNTA($A426:$M426)=0,"",IF(OR($U426="Subscription",$U426=""),"",IF($U426="Disqualified",$H426,0)))</x:f>
      </x:c>
      <x:c r="T426" s="955" t="str">
        <x:f>IF(COUNTA($A426:$M426)=0,"",IF(OR($U426="Subscription",$U426=""),"",IF(OR($U426="Free Game",$U426="Disqualified — Free Game",$H426=0),"N/A",IF($U426="Profit",$Q426/$H426,IF($U426="Disqualified",-$S426/$H426,0)))))</x:f>
      </x:c>
      <x:c r="U426" s="920" t="str">
        <x:f>IF(COUNTA($A426:$M426)=0,"",IF(OR(LEFT(LOWER(TRIM($F426&amp;"")),12)="subscription",LOWER(TRIM($F426&amp;""))="membership"),"Subscription",IF(OR(AND($H426&lt;&gt;"",$H426=0),LEFT(LOWER(TRIM($F426&amp;"")),9)="free game",LOWER(TRIM($F426&amp;""))="free",LOWER(TRIM($F426&amp;""))="free entry"),IF(LOWER($L426&amp;"")="yes","Disqualified — Free Game","Free Game"),IF(LOWER($L426&amp;"")="yes","Disqualified",IF($P426="","",IF(ROUND(IFERROR(VALUE($P426),0)-IFERROR(VALUE($H426),0),2)&gt;0,"Profit","Draw"))))))</x:f>
      </x:c>
      <x:c r="V426" s="956" t="str">
        <x:f>IF(COUNTA($A426:$M426)=0,"",IF(OR($B426="",$C426="",$U426="Subscription"),"",IFERROR(ROUNDUP(($C426-$B426)/7,0),"")))</x:f>
      </x:c>
      <x:c r="W426" s="114" t="str">
        <x:f>IF(COUNTA($A426:$M426)=0,"",IF(OR($U426="Subscription",$U426=""),"",IF(OR($U426="Free Game",$U426="Disqualified — Free Game"),0,ROUND(IFERROR($Q426,0)-IFERROR($S426,0),2))))</x:f>
      </x:c>
      <x:c r="X426" s="956" t="str">
        <x:f>IF(COUNTA($A426:$M426)=0,"",IF(OR($U426="Subscription",NOT(ISNUMBER($J426)),NOT(ISNUMBER($I426)),$J426=0,$I426=0,$I426&gt;$J426),"",$J426-$I426))</x:f>
      </x:c>
      <x:c r="Y426" s="955" t="str">
        <x:f>IF(COUNTA($A426:$M426)=0,"",IF(OR($U426="Subscription",NOT(ISNUMBER($J426)),$J426=0,$X426=""),"",$X426/$J426))</x:f>
      </x:c>
      <x:c r="Z426" s="957" t="str">
        <x:f>IF(COUNTA($A426:$M426)=0,"",Instructions!$B$29+SUM($W$5:W426))</x:f>
      </x:c>
    </x:row>
    <x:row r="427" ht="36" customHeight="1">
      <x:c r="A427" s="439"/>
      <x:c r="B427" s="453"/>
      <x:c r="C427" s="453"/>
      <x:c r="D427" s="454"/>
      <x:c r="E427" s="454"/>
      <x:c r="F427" s="454"/>
      <x:c r="G427" s="986"/>
      <x:c r="H427" s="455"/>
      <x:c r="I427" s="456"/>
      <x:c r="J427" s="456"/>
      <x:c r="K427" s="986"/>
      <x:c r="L427" s="454"/>
      <x:c r="M427" s="439"/>
      <x:c r="N427" s="987" t="str">
        <x:f>IF(COUNTA($A427:$M427)=0,"",IF(OR(LEFT(LOWER(TRIM($F427&amp;"")),12)="subscription",LOWER(TRIM($F427&amp;""))="membership"),"",IF($G427="","",IF(ISNUMBER(SEARCH("non",LOWER($E427&amp;""))),$G427*0.85,$G427))))</x:f>
      </x:c>
      <x:c r="O427" s="987" t="str">
        <x:f>IF(COUNTA($A427:$M427)=0,"",IF(OR(LEFT(LOWER(TRIM($F427&amp;"")),12)="subscription",LOWER(TRIM($F427&amp;""))="membership"),"",IF(OR($N427="",$I427="",$I427=0),"",IFERROR($N427/$I427,""))))</x:f>
      </x:c>
      <x:c r="P427" s="987" t="str">
        <x:f>IF(COUNTA($A427:$M427)=0,"",IF(OR(LEFT(LOWER(TRIM($F427&amp;"")),12)="subscription",LOWER(TRIM($F427&amp;""))="membership"),"",IF(LOWER($L427&amp;"")="yes",0,IF(OR(AND($H427&lt;&gt;"",$H427=0),LEFT(LOWER(TRIM($F427&amp;"")),9)="free game",LOWER(TRIM($F427&amp;""))="free",LOWER(TRIM($F427&amp;""))="free entry"),IF(LOWER($D427&amp;"")="finalized",IF(ISNUMBER($K427),$K427,""),IF($O427&lt;&gt;"",$O427,"")),IF($K427&lt;&gt;"",$K427,IF($O427&lt;&gt;"",$O427,""))))))</x:f>
      </x:c>
      <x:c r="Q427" s="114" t="str">
        <x:f>IF(COUNTA($A427:$M427)=0,"",IF(OR($U427="Subscription",$U427=""),"",IF($U427="Profit",ROUND(IFERROR($P427,0)-IFERROR($H427,0),2),0)))</x:f>
      </x:c>
      <x:c r="R427" s="114" t="str">
        <x:f>IF(COUNTA($A427:$M427)=0,"",IF(OR($U427="Subscription",$U427=""),"",IF($U427="Draw",$H427,0)))</x:f>
      </x:c>
      <x:c r="S427" s="114" t="str">
        <x:f>IF(COUNTA($A427:$M427)=0,"",IF(OR($U427="Subscription",$U427=""),"",IF($U427="Disqualified",$H427,0)))</x:f>
      </x:c>
      <x:c r="T427" s="955" t="str">
        <x:f>IF(COUNTA($A427:$M427)=0,"",IF(OR($U427="Subscription",$U427=""),"",IF(OR($U427="Free Game",$U427="Disqualified — Free Game",$H427=0),"N/A",IF($U427="Profit",$Q427/$H427,IF($U427="Disqualified",-$S427/$H427,0)))))</x:f>
      </x:c>
      <x:c r="U427" s="920" t="str">
        <x:f>IF(COUNTA($A427:$M427)=0,"",IF(OR(LEFT(LOWER(TRIM($F427&amp;"")),12)="subscription",LOWER(TRIM($F427&amp;""))="membership"),"Subscription",IF(OR(AND($H427&lt;&gt;"",$H427=0),LEFT(LOWER(TRIM($F427&amp;"")),9)="free game",LOWER(TRIM($F427&amp;""))="free",LOWER(TRIM($F427&amp;""))="free entry"),IF(LOWER($L427&amp;"")="yes","Disqualified — Free Game","Free Game"),IF(LOWER($L427&amp;"")="yes","Disqualified",IF($P427="","",IF(ROUND(IFERROR(VALUE($P427),0)-IFERROR(VALUE($H427),0),2)&gt;0,"Profit","Draw"))))))</x:f>
      </x:c>
      <x:c r="V427" s="956" t="str">
        <x:f>IF(COUNTA($A427:$M427)=0,"",IF(OR($B427="",$C427="",$U427="Subscription"),"",IFERROR(ROUNDUP(($C427-$B427)/7,0),"")))</x:f>
      </x:c>
      <x:c r="W427" s="114" t="str">
        <x:f>IF(COUNTA($A427:$M427)=0,"",IF(OR($U427="Subscription",$U427=""),"",IF(OR($U427="Free Game",$U427="Disqualified — Free Game"),0,ROUND(IFERROR($Q427,0)-IFERROR($S427,0),2))))</x:f>
      </x:c>
      <x:c r="X427" s="956" t="str">
        <x:f>IF(COUNTA($A427:$M427)=0,"",IF(OR($U427="Subscription",NOT(ISNUMBER($J427)),NOT(ISNUMBER($I427)),$J427=0,$I427=0,$I427&gt;$J427),"",$J427-$I427))</x:f>
      </x:c>
      <x:c r="Y427" s="955" t="str">
        <x:f>IF(COUNTA($A427:$M427)=0,"",IF(OR($U427="Subscription",NOT(ISNUMBER($J427)),$J427=0,$X427=""),"",$X427/$J427))</x:f>
      </x:c>
      <x:c r="Z427" s="957" t="str">
        <x:f>IF(COUNTA($A427:$M427)=0,"",Instructions!$B$29+SUM($W$5:W427))</x:f>
      </x:c>
    </x:row>
    <x:row r="428" ht="36" customHeight="1">
      <x:c r="A428" s="439"/>
      <x:c r="B428" s="453"/>
      <x:c r="C428" s="453"/>
      <x:c r="D428" s="454"/>
      <x:c r="E428" s="454"/>
      <x:c r="F428" s="454"/>
      <x:c r="G428" s="986"/>
      <x:c r="H428" s="455"/>
      <x:c r="I428" s="456"/>
      <x:c r="J428" s="456"/>
      <x:c r="K428" s="986"/>
      <x:c r="L428" s="454"/>
      <x:c r="M428" s="439"/>
      <x:c r="N428" s="987" t="str">
        <x:f>IF(COUNTA($A428:$M428)=0,"",IF(OR(LEFT(LOWER(TRIM($F428&amp;"")),12)="subscription",LOWER(TRIM($F428&amp;""))="membership"),"",IF($G428="","",IF(ISNUMBER(SEARCH("non",LOWER($E428&amp;""))),$G428*0.85,$G428))))</x:f>
      </x:c>
      <x:c r="O428" s="987" t="str">
        <x:f>IF(COUNTA($A428:$M428)=0,"",IF(OR(LEFT(LOWER(TRIM($F428&amp;"")),12)="subscription",LOWER(TRIM($F428&amp;""))="membership"),"",IF(OR($N428="",$I428="",$I428=0),"",IFERROR($N428/$I428,""))))</x:f>
      </x:c>
      <x:c r="P428" s="987" t="str">
        <x:f>IF(COUNTA($A428:$M428)=0,"",IF(OR(LEFT(LOWER(TRIM($F428&amp;"")),12)="subscription",LOWER(TRIM($F428&amp;""))="membership"),"",IF(LOWER($L428&amp;"")="yes",0,IF(OR(AND($H428&lt;&gt;"",$H428=0),LEFT(LOWER(TRIM($F428&amp;"")),9)="free game",LOWER(TRIM($F428&amp;""))="free",LOWER(TRIM($F428&amp;""))="free entry"),IF(LOWER($D428&amp;"")="finalized",IF(ISNUMBER($K428),$K428,""),IF($O428&lt;&gt;"",$O428,"")),IF($K428&lt;&gt;"",$K428,IF($O428&lt;&gt;"",$O428,""))))))</x:f>
      </x:c>
      <x:c r="Q428" s="114" t="str">
        <x:f>IF(COUNTA($A428:$M428)=0,"",IF(OR($U428="Subscription",$U428=""),"",IF($U428="Profit",ROUND(IFERROR($P428,0)-IFERROR($H428,0),2),0)))</x:f>
      </x:c>
      <x:c r="R428" s="114" t="str">
        <x:f>IF(COUNTA($A428:$M428)=0,"",IF(OR($U428="Subscription",$U428=""),"",IF($U428="Draw",$H428,0)))</x:f>
      </x:c>
      <x:c r="S428" s="114" t="str">
        <x:f>IF(COUNTA($A428:$M428)=0,"",IF(OR($U428="Subscription",$U428=""),"",IF($U428="Disqualified",$H428,0)))</x:f>
      </x:c>
      <x:c r="T428" s="955" t="str">
        <x:f>IF(COUNTA($A428:$M428)=0,"",IF(OR($U428="Subscription",$U428=""),"",IF(OR($U428="Free Game",$U428="Disqualified — Free Game",$H428=0),"N/A",IF($U428="Profit",$Q428/$H428,IF($U428="Disqualified",-$S428/$H428,0)))))</x:f>
      </x:c>
      <x:c r="U428" s="920" t="str">
        <x:f>IF(COUNTA($A428:$M428)=0,"",IF(OR(LEFT(LOWER(TRIM($F428&amp;"")),12)="subscription",LOWER(TRIM($F428&amp;""))="membership"),"Subscription",IF(OR(AND($H428&lt;&gt;"",$H428=0),LEFT(LOWER(TRIM($F428&amp;"")),9)="free game",LOWER(TRIM($F428&amp;""))="free",LOWER(TRIM($F428&amp;""))="free entry"),IF(LOWER($L428&amp;"")="yes","Disqualified — Free Game","Free Game"),IF(LOWER($L428&amp;"")="yes","Disqualified",IF($P428="","",IF(ROUND(IFERROR(VALUE($P428),0)-IFERROR(VALUE($H428),0),2)&gt;0,"Profit","Draw"))))))</x:f>
      </x:c>
      <x:c r="V428" s="956" t="str">
        <x:f>IF(COUNTA($A428:$M428)=0,"",IF(OR($B428="",$C428="",$U428="Subscription"),"",IFERROR(ROUNDUP(($C428-$B428)/7,0),"")))</x:f>
      </x:c>
      <x:c r="W428" s="114" t="str">
        <x:f>IF(COUNTA($A428:$M428)=0,"",IF(OR($U428="Subscription",$U428=""),"",IF(OR($U428="Free Game",$U428="Disqualified — Free Game"),0,ROUND(IFERROR($Q428,0)-IFERROR($S428,0),2))))</x:f>
      </x:c>
      <x:c r="X428" s="956" t="str">
        <x:f>IF(COUNTA($A428:$M428)=0,"",IF(OR($U428="Subscription",NOT(ISNUMBER($J428)),NOT(ISNUMBER($I428)),$J428=0,$I428=0,$I428&gt;$J428),"",$J428-$I428))</x:f>
      </x:c>
      <x:c r="Y428" s="955" t="str">
        <x:f>IF(COUNTA($A428:$M428)=0,"",IF(OR($U428="Subscription",NOT(ISNUMBER($J428)),$J428=0,$X428=""),"",$X428/$J428))</x:f>
      </x:c>
      <x:c r="Z428" s="957" t="str">
        <x:f>IF(COUNTA($A428:$M428)=0,"",Instructions!$B$29+SUM($W$5:W428))</x:f>
      </x:c>
    </x:row>
    <x:row r="429" ht="36" customHeight="1">
      <x:c r="A429" s="439"/>
      <x:c r="B429" s="453"/>
      <x:c r="C429" s="453"/>
      <x:c r="D429" s="454"/>
      <x:c r="E429" s="454"/>
      <x:c r="F429" s="454"/>
      <x:c r="G429" s="986"/>
      <x:c r="H429" s="455"/>
      <x:c r="I429" s="456"/>
      <x:c r="J429" s="456"/>
      <x:c r="K429" s="986"/>
      <x:c r="L429" s="454"/>
      <x:c r="M429" s="439"/>
      <x:c r="N429" s="987" t="str">
        <x:f>IF(COUNTA($A429:$M429)=0,"",IF(OR(LEFT(LOWER(TRIM($F429&amp;"")),12)="subscription",LOWER(TRIM($F429&amp;""))="membership"),"",IF($G429="","",IF(ISNUMBER(SEARCH("non",LOWER($E429&amp;""))),$G429*0.85,$G429))))</x:f>
      </x:c>
      <x:c r="O429" s="987" t="str">
        <x:f>IF(COUNTA($A429:$M429)=0,"",IF(OR(LEFT(LOWER(TRIM($F429&amp;"")),12)="subscription",LOWER(TRIM($F429&amp;""))="membership"),"",IF(OR($N429="",$I429="",$I429=0),"",IFERROR($N429/$I429,""))))</x:f>
      </x:c>
      <x:c r="P429" s="987" t="str">
        <x:f>IF(COUNTA($A429:$M429)=0,"",IF(OR(LEFT(LOWER(TRIM($F429&amp;"")),12)="subscription",LOWER(TRIM($F429&amp;""))="membership"),"",IF(LOWER($L429&amp;"")="yes",0,IF(OR(AND($H429&lt;&gt;"",$H429=0),LEFT(LOWER(TRIM($F429&amp;"")),9)="free game",LOWER(TRIM($F429&amp;""))="free",LOWER(TRIM($F429&amp;""))="free entry"),IF(LOWER($D429&amp;"")="finalized",IF(ISNUMBER($K429),$K429,""),IF($O429&lt;&gt;"",$O429,"")),IF($K429&lt;&gt;"",$K429,IF($O429&lt;&gt;"",$O429,""))))))</x:f>
      </x:c>
      <x:c r="Q429" s="114" t="str">
        <x:f>IF(COUNTA($A429:$M429)=0,"",IF(OR($U429="Subscription",$U429=""),"",IF($U429="Profit",ROUND(IFERROR($P429,0)-IFERROR($H429,0),2),0)))</x:f>
      </x:c>
      <x:c r="R429" s="114" t="str">
        <x:f>IF(COUNTA($A429:$M429)=0,"",IF(OR($U429="Subscription",$U429=""),"",IF($U429="Draw",$H429,0)))</x:f>
      </x:c>
      <x:c r="S429" s="114" t="str">
        <x:f>IF(COUNTA($A429:$M429)=0,"",IF(OR($U429="Subscription",$U429=""),"",IF($U429="Disqualified",$H429,0)))</x:f>
      </x:c>
      <x:c r="T429" s="955" t="str">
        <x:f>IF(COUNTA($A429:$M429)=0,"",IF(OR($U429="Subscription",$U429=""),"",IF(OR($U429="Free Game",$U429="Disqualified — Free Game",$H429=0),"N/A",IF($U429="Profit",$Q429/$H429,IF($U429="Disqualified",-$S429/$H429,0)))))</x:f>
      </x:c>
      <x:c r="U429" s="920" t="str">
        <x:f>IF(COUNTA($A429:$M429)=0,"",IF(OR(LEFT(LOWER(TRIM($F429&amp;"")),12)="subscription",LOWER(TRIM($F429&amp;""))="membership"),"Subscription",IF(OR(AND($H429&lt;&gt;"",$H429=0),LEFT(LOWER(TRIM($F429&amp;"")),9)="free game",LOWER(TRIM($F429&amp;""))="free",LOWER(TRIM($F429&amp;""))="free entry"),IF(LOWER($L429&amp;"")="yes","Disqualified — Free Game","Free Game"),IF(LOWER($L429&amp;"")="yes","Disqualified",IF($P429="","",IF(ROUND(IFERROR(VALUE($P429),0)-IFERROR(VALUE($H429),0),2)&gt;0,"Profit","Draw"))))))</x:f>
      </x:c>
      <x:c r="V429" s="956" t="str">
        <x:f>IF(COUNTA($A429:$M429)=0,"",IF(OR($B429="",$C429="",$U429="Subscription"),"",IFERROR(ROUNDUP(($C429-$B429)/7,0),"")))</x:f>
      </x:c>
      <x:c r="W429" s="114" t="str">
        <x:f>IF(COUNTA($A429:$M429)=0,"",IF(OR($U429="Subscription",$U429=""),"",IF(OR($U429="Free Game",$U429="Disqualified — Free Game"),0,ROUND(IFERROR($Q429,0)-IFERROR($S429,0),2))))</x:f>
      </x:c>
      <x:c r="X429" s="956" t="str">
        <x:f>IF(COUNTA($A429:$M429)=0,"",IF(OR($U429="Subscription",NOT(ISNUMBER($J429)),NOT(ISNUMBER($I429)),$J429=0,$I429=0,$I429&gt;$J429),"",$J429-$I429))</x:f>
      </x:c>
      <x:c r="Y429" s="955" t="str">
        <x:f>IF(COUNTA($A429:$M429)=0,"",IF(OR($U429="Subscription",NOT(ISNUMBER($J429)),$J429=0,$X429=""),"",$X429/$J429))</x:f>
      </x:c>
      <x:c r="Z429" s="957" t="str">
        <x:f>IF(COUNTA($A429:$M429)=0,"",Instructions!$B$29+SUM($W$5:W429))</x:f>
      </x:c>
    </x:row>
    <x:row r="430" ht="36" customHeight="1">
      <x:c r="A430" s="439"/>
      <x:c r="B430" s="453"/>
      <x:c r="C430" s="453"/>
      <x:c r="D430" s="454"/>
      <x:c r="E430" s="454"/>
      <x:c r="F430" s="454"/>
      <x:c r="G430" s="986"/>
      <x:c r="H430" s="455"/>
      <x:c r="I430" s="456"/>
      <x:c r="J430" s="456"/>
      <x:c r="K430" s="986"/>
      <x:c r="L430" s="454"/>
      <x:c r="M430" s="439"/>
      <x:c r="N430" s="987" t="str">
        <x:f>IF(COUNTA($A430:$M430)=0,"",IF(OR(LEFT(LOWER(TRIM($F430&amp;"")),12)="subscription",LOWER(TRIM($F430&amp;""))="membership"),"",IF($G430="","",IF(ISNUMBER(SEARCH("non",LOWER($E430&amp;""))),$G430*0.85,$G430))))</x:f>
      </x:c>
      <x:c r="O430" s="987" t="str">
        <x:f>IF(COUNTA($A430:$M430)=0,"",IF(OR(LEFT(LOWER(TRIM($F430&amp;"")),12)="subscription",LOWER(TRIM($F430&amp;""))="membership"),"",IF(OR($N430="",$I430="",$I430=0),"",IFERROR($N430/$I430,""))))</x:f>
      </x:c>
      <x:c r="P430" s="987" t="str">
        <x:f>IF(COUNTA($A430:$M430)=0,"",IF(OR(LEFT(LOWER(TRIM($F430&amp;"")),12)="subscription",LOWER(TRIM($F430&amp;""))="membership"),"",IF(LOWER($L430&amp;"")="yes",0,IF(OR(AND($H430&lt;&gt;"",$H430=0),LEFT(LOWER(TRIM($F430&amp;"")),9)="free game",LOWER(TRIM($F430&amp;""))="free",LOWER(TRIM($F430&amp;""))="free entry"),IF(LOWER($D430&amp;"")="finalized",IF(ISNUMBER($K430),$K430,""),IF($O430&lt;&gt;"",$O430,"")),IF($K430&lt;&gt;"",$K430,IF($O430&lt;&gt;"",$O430,""))))))</x:f>
      </x:c>
      <x:c r="Q430" s="114" t="str">
        <x:f>IF(COUNTA($A430:$M430)=0,"",IF(OR($U430="Subscription",$U430=""),"",IF($U430="Profit",ROUND(IFERROR($P430,0)-IFERROR($H430,0),2),0)))</x:f>
      </x:c>
      <x:c r="R430" s="114" t="str">
        <x:f>IF(COUNTA($A430:$M430)=0,"",IF(OR($U430="Subscription",$U430=""),"",IF($U430="Draw",$H430,0)))</x:f>
      </x:c>
      <x:c r="S430" s="114" t="str">
        <x:f>IF(COUNTA($A430:$M430)=0,"",IF(OR($U430="Subscription",$U430=""),"",IF($U430="Disqualified",$H430,0)))</x:f>
      </x:c>
      <x:c r="T430" s="955" t="str">
        <x:f>IF(COUNTA($A430:$M430)=0,"",IF(OR($U430="Subscription",$U430=""),"",IF(OR($U430="Free Game",$U430="Disqualified — Free Game",$H430=0),"N/A",IF($U430="Profit",$Q430/$H430,IF($U430="Disqualified",-$S430/$H430,0)))))</x:f>
      </x:c>
      <x:c r="U430" s="920" t="str">
        <x:f>IF(COUNTA($A430:$M430)=0,"",IF(OR(LEFT(LOWER(TRIM($F430&amp;"")),12)="subscription",LOWER(TRIM($F430&amp;""))="membership"),"Subscription",IF(OR(AND($H430&lt;&gt;"",$H430=0),LEFT(LOWER(TRIM($F430&amp;"")),9)="free game",LOWER(TRIM($F430&amp;""))="free",LOWER(TRIM($F430&amp;""))="free entry"),IF(LOWER($L430&amp;"")="yes","Disqualified — Free Game","Free Game"),IF(LOWER($L430&amp;"")="yes","Disqualified",IF($P430="","",IF(ROUND(IFERROR(VALUE($P430),0)-IFERROR(VALUE($H430),0),2)&gt;0,"Profit","Draw"))))))</x:f>
      </x:c>
      <x:c r="V430" s="956" t="str">
        <x:f>IF(COUNTA($A430:$M430)=0,"",IF(OR($B430="",$C430="",$U430="Subscription"),"",IFERROR(ROUNDUP(($C430-$B430)/7,0),"")))</x:f>
      </x:c>
      <x:c r="W430" s="114" t="str">
        <x:f>IF(COUNTA($A430:$M430)=0,"",IF(OR($U430="Subscription",$U430=""),"",IF(OR($U430="Free Game",$U430="Disqualified — Free Game"),0,ROUND(IFERROR($Q430,0)-IFERROR($S430,0),2))))</x:f>
      </x:c>
      <x:c r="X430" s="956" t="str">
        <x:f>IF(COUNTA($A430:$M430)=0,"",IF(OR($U430="Subscription",NOT(ISNUMBER($J430)),NOT(ISNUMBER($I430)),$J430=0,$I430=0,$I430&gt;$J430),"",$J430-$I430))</x:f>
      </x:c>
      <x:c r="Y430" s="955" t="str">
        <x:f>IF(COUNTA($A430:$M430)=0,"",IF(OR($U430="Subscription",NOT(ISNUMBER($J430)),$J430=0,$X430=""),"",$X430/$J430))</x:f>
      </x:c>
      <x:c r="Z430" s="957" t="str">
        <x:f>IF(COUNTA($A430:$M430)=0,"",Instructions!$B$29+SUM($W$5:W430))</x:f>
      </x:c>
    </x:row>
    <x:row r="431" ht="36" customHeight="1">
      <x:c r="A431" s="439"/>
      <x:c r="B431" s="453"/>
      <x:c r="C431" s="453"/>
      <x:c r="D431" s="454"/>
      <x:c r="E431" s="454"/>
      <x:c r="F431" s="454"/>
      <x:c r="G431" s="986"/>
      <x:c r="H431" s="455"/>
      <x:c r="I431" s="456"/>
      <x:c r="J431" s="456"/>
      <x:c r="K431" s="986"/>
      <x:c r="L431" s="454"/>
      <x:c r="M431" s="439"/>
      <x:c r="N431" s="987" t="str">
        <x:f>IF(COUNTA($A431:$M431)=0,"",IF(OR(LEFT(LOWER(TRIM($F431&amp;"")),12)="subscription",LOWER(TRIM($F431&amp;""))="membership"),"",IF($G431="","",IF(ISNUMBER(SEARCH("non",LOWER($E431&amp;""))),$G431*0.85,$G431))))</x:f>
      </x:c>
      <x:c r="O431" s="987" t="str">
        <x:f>IF(COUNTA($A431:$M431)=0,"",IF(OR(LEFT(LOWER(TRIM($F431&amp;"")),12)="subscription",LOWER(TRIM($F431&amp;""))="membership"),"",IF(OR($N431="",$I431="",$I431=0),"",IFERROR($N431/$I431,""))))</x:f>
      </x:c>
      <x:c r="P431" s="987" t="str">
        <x:f>IF(COUNTA($A431:$M431)=0,"",IF(OR(LEFT(LOWER(TRIM($F431&amp;"")),12)="subscription",LOWER(TRIM($F431&amp;""))="membership"),"",IF(LOWER($L431&amp;"")="yes",0,IF(OR(AND($H431&lt;&gt;"",$H431=0),LEFT(LOWER(TRIM($F431&amp;"")),9)="free game",LOWER(TRIM($F431&amp;""))="free",LOWER(TRIM($F431&amp;""))="free entry"),IF(LOWER($D431&amp;"")="finalized",IF(ISNUMBER($K431),$K431,""),IF($O431&lt;&gt;"",$O431,"")),IF($K431&lt;&gt;"",$K431,IF($O431&lt;&gt;"",$O431,""))))))</x:f>
      </x:c>
      <x:c r="Q431" s="114" t="str">
        <x:f>IF(COUNTA($A431:$M431)=0,"",IF(OR($U431="Subscription",$U431=""),"",IF($U431="Profit",ROUND(IFERROR($P431,0)-IFERROR($H431,0),2),0)))</x:f>
      </x:c>
      <x:c r="R431" s="114" t="str">
        <x:f>IF(COUNTA($A431:$M431)=0,"",IF(OR($U431="Subscription",$U431=""),"",IF($U431="Draw",$H431,0)))</x:f>
      </x:c>
      <x:c r="S431" s="114" t="str">
        <x:f>IF(COUNTA($A431:$M431)=0,"",IF(OR($U431="Subscription",$U431=""),"",IF($U431="Disqualified",$H431,0)))</x:f>
      </x:c>
      <x:c r="T431" s="955" t="str">
        <x:f>IF(COUNTA($A431:$M431)=0,"",IF(OR($U431="Subscription",$U431=""),"",IF(OR($U431="Free Game",$U431="Disqualified — Free Game",$H431=0),"N/A",IF($U431="Profit",$Q431/$H431,IF($U431="Disqualified",-$S431/$H431,0)))))</x:f>
      </x:c>
      <x:c r="U431" s="920" t="str">
        <x:f>IF(COUNTA($A431:$M431)=0,"",IF(OR(LEFT(LOWER(TRIM($F431&amp;"")),12)="subscription",LOWER(TRIM($F431&amp;""))="membership"),"Subscription",IF(OR(AND($H431&lt;&gt;"",$H431=0),LEFT(LOWER(TRIM($F431&amp;"")),9)="free game",LOWER(TRIM($F431&amp;""))="free",LOWER(TRIM($F431&amp;""))="free entry"),IF(LOWER($L431&amp;"")="yes","Disqualified — Free Game","Free Game"),IF(LOWER($L431&amp;"")="yes","Disqualified",IF($P431="","",IF(ROUND(IFERROR(VALUE($P431),0)-IFERROR(VALUE($H431),0),2)&gt;0,"Profit","Draw"))))))</x:f>
      </x:c>
      <x:c r="V431" s="956" t="str">
        <x:f>IF(COUNTA($A431:$M431)=0,"",IF(OR($B431="",$C431="",$U431="Subscription"),"",IFERROR(ROUNDUP(($C431-$B431)/7,0),"")))</x:f>
      </x:c>
      <x:c r="W431" s="114" t="str">
        <x:f>IF(COUNTA($A431:$M431)=0,"",IF(OR($U431="Subscription",$U431=""),"",IF(OR($U431="Free Game",$U431="Disqualified — Free Game"),0,ROUND(IFERROR($Q431,0)-IFERROR($S431,0),2))))</x:f>
      </x:c>
      <x:c r="X431" s="956" t="str">
        <x:f>IF(COUNTA($A431:$M431)=0,"",IF(OR($U431="Subscription",NOT(ISNUMBER($J431)),NOT(ISNUMBER($I431)),$J431=0,$I431=0,$I431&gt;$J431),"",$J431-$I431))</x:f>
      </x:c>
      <x:c r="Y431" s="955" t="str">
        <x:f>IF(COUNTA($A431:$M431)=0,"",IF(OR($U431="Subscription",NOT(ISNUMBER($J431)),$J431=0,$X431=""),"",$X431/$J431))</x:f>
      </x:c>
      <x:c r="Z431" s="957" t="str">
        <x:f>IF(COUNTA($A431:$M431)=0,"",Instructions!$B$29+SUM($W$5:W431))</x:f>
      </x:c>
    </x:row>
    <x:row r="432" ht="36" customHeight="1">
      <x:c r="A432" s="439"/>
      <x:c r="B432" s="453"/>
      <x:c r="C432" s="453"/>
      <x:c r="D432" s="454"/>
      <x:c r="E432" s="454"/>
      <x:c r="F432" s="454"/>
      <x:c r="G432" s="986"/>
      <x:c r="H432" s="455"/>
      <x:c r="I432" s="456"/>
      <x:c r="J432" s="456"/>
      <x:c r="K432" s="986"/>
      <x:c r="L432" s="454"/>
      <x:c r="M432" s="439"/>
      <x:c r="N432" s="987" t="str">
        <x:f>IF(COUNTA($A432:$M432)=0,"",IF(OR(LEFT(LOWER(TRIM($F432&amp;"")),12)="subscription",LOWER(TRIM($F432&amp;""))="membership"),"",IF($G432="","",IF(ISNUMBER(SEARCH("non",LOWER($E432&amp;""))),$G432*0.85,$G432))))</x:f>
      </x:c>
      <x:c r="O432" s="987" t="str">
        <x:f>IF(COUNTA($A432:$M432)=0,"",IF(OR(LEFT(LOWER(TRIM($F432&amp;"")),12)="subscription",LOWER(TRIM($F432&amp;""))="membership"),"",IF(OR($N432="",$I432="",$I432=0),"",IFERROR($N432/$I432,""))))</x:f>
      </x:c>
      <x:c r="P432" s="987" t="str">
        <x:f>IF(COUNTA($A432:$M432)=0,"",IF(OR(LEFT(LOWER(TRIM($F432&amp;"")),12)="subscription",LOWER(TRIM($F432&amp;""))="membership"),"",IF(LOWER($L432&amp;"")="yes",0,IF(OR(AND($H432&lt;&gt;"",$H432=0),LEFT(LOWER(TRIM($F432&amp;"")),9)="free game",LOWER(TRIM($F432&amp;""))="free",LOWER(TRIM($F432&amp;""))="free entry"),IF(LOWER($D432&amp;"")="finalized",IF(ISNUMBER($K432),$K432,""),IF($O432&lt;&gt;"",$O432,"")),IF($K432&lt;&gt;"",$K432,IF($O432&lt;&gt;"",$O432,""))))))</x:f>
      </x:c>
      <x:c r="Q432" s="114" t="str">
        <x:f>IF(COUNTA($A432:$M432)=0,"",IF(OR($U432="Subscription",$U432=""),"",IF($U432="Profit",ROUND(IFERROR($P432,0)-IFERROR($H432,0),2),0)))</x:f>
      </x:c>
      <x:c r="R432" s="114" t="str">
        <x:f>IF(COUNTA($A432:$M432)=0,"",IF(OR($U432="Subscription",$U432=""),"",IF($U432="Draw",$H432,0)))</x:f>
      </x:c>
      <x:c r="S432" s="114" t="str">
        <x:f>IF(COUNTA($A432:$M432)=0,"",IF(OR($U432="Subscription",$U432=""),"",IF($U432="Disqualified",$H432,0)))</x:f>
      </x:c>
      <x:c r="T432" s="955" t="str">
        <x:f>IF(COUNTA($A432:$M432)=0,"",IF(OR($U432="Subscription",$U432=""),"",IF(OR($U432="Free Game",$U432="Disqualified — Free Game",$H432=0),"N/A",IF($U432="Profit",$Q432/$H432,IF($U432="Disqualified",-$S432/$H432,0)))))</x:f>
      </x:c>
      <x:c r="U432" s="920" t="str">
        <x:f>IF(COUNTA($A432:$M432)=0,"",IF(OR(LEFT(LOWER(TRIM($F432&amp;"")),12)="subscription",LOWER(TRIM($F432&amp;""))="membership"),"Subscription",IF(OR(AND($H432&lt;&gt;"",$H432=0),LEFT(LOWER(TRIM($F432&amp;"")),9)="free game",LOWER(TRIM($F432&amp;""))="free",LOWER(TRIM($F432&amp;""))="free entry"),IF(LOWER($L432&amp;"")="yes","Disqualified — Free Game","Free Game"),IF(LOWER($L432&amp;"")="yes","Disqualified",IF($P432="","",IF(ROUND(IFERROR(VALUE($P432),0)-IFERROR(VALUE($H432),0),2)&gt;0,"Profit","Draw"))))))</x:f>
      </x:c>
      <x:c r="V432" s="956" t="str">
        <x:f>IF(COUNTA($A432:$M432)=0,"",IF(OR($B432="",$C432="",$U432="Subscription"),"",IFERROR(ROUNDUP(($C432-$B432)/7,0),"")))</x:f>
      </x:c>
      <x:c r="W432" s="114" t="str">
        <x:f>IF(COUNTA($A432:$M432)=0,"",IF(OR($U432="Subscription",$U432=""),"",IF(OR($U432="Free Game",$U432="Disqualified — Free Game"),0,ROUND(IFERROR($Q432,0)-IFERROR($S432,0),2))))</x:f>
      </x:c>
      <x:c r="X432" s="956" t="str">
        <x:f>IF(COUNTA($A432:$M432)=0,"",IF(OR($U432="Subscription",NOT(ISNUMBER($J432)),NOT(ISNUMBER($I432)),$J432=0,$I432=0,$I432&gt;$J432),"",$J432-$I432))</x:f>
      </x:c>
      <x:c r="Y432" s="955" t="str">
        <x:f>IF(COUNTA($A432:$M432)=0,"",IF(OR($U432="Subscription",NOT(ISNUMBER($J432)),$J432=0,$X432=""),"",$X432/$J432))</x:f>
      </x:c>
      <x:c r="Z432" s="957" t="str">
        <x:f>IF(COUNTA($A432:$M432)=0,"",Instructions!$B$29+SUM($W$5:W432))</x:f>
      </x:c>
    </x:row>
    <x:row r="433" ht="36" customHeight="1">
      <x:c r="A433" s="439"/>
      <x:c r="B433" s="453"/>
      <x:c r="C433" s="453"/>
      <x:c r="D433" s="454"/>
      <x:c r="E433" s="454"/>
      <x:c r="F433" s="454"/>
      <x:c r="G433" s="986"/>
      <x:c r="H433" s="455"/>
      <x:c r="I433" s="456"/>
      <x:c r="J433" s="456"/>
      <x:c r="K433" s="986"/>
      <x:c r="L433" s="454"/>
      <x:c r="M433" s="439"/>
      <x:c r="N433" s="987" t="str">
        <x:f>IF(COUNTA($A433:$M433)=0,"",IF(OR(LEFT(LOWER(TRIM($F433&amp;"")),12)="subscription",LOWER(TRIM($F433&amp;""))="membership"),"",IF($G433="","",IF(ISNUMBER(SEARCH("non",LOWER($E433&amp;""))),$G433*0.85,$G433))))</x:f>
      </x:c>
      <x:c r="O433" s="987" t="str">
        <x:f>IF(COUNTA($A433:$M433)=0,"",IF(OR(LEFT(LOWER(TRIM($F433&amp;"")),12)="subscription",LOWER(TRIM($F433&amp;""))="membership"),"",IF(OR($N433="",$I433="",$I433=0),"",IFERROR($N433/$I433,""))))</x:f>
      </x:c>
      <x:c r="P433" s="987" t="str">
        <x:f>IF(COUNTA($A433:$M433)=0,"",IF(OR(LEFT(LOWER(TRIM($F433&amp;"")),12)="subscription",LOWER(TRIM($F433&amp;""))="membership"),"",IF(LOWER($L433&amp;"")="yes",0,IF(OR(AND($H433&lt;&gt;"",$H433=0),LEFT(LOWER(TRIM($F433&amp;"")),9)="free game",LOWER(TRIM($F433&amp;""))="free",LOWER(TRIM($F433&amp;""))="free entry"),IF(LOWER($D433&amp;"")="finalized",IF(ISNUMBER($K433),$K433,""),IF($O433&lt;&gt;"",$O433,"")),IF($K433&lt;&gt;"",$K433,IF($O433&lt;&gt;"",$O433,""))))))</x:f>
      </x:c>
      <x:c r="Q433" s="114" t="str">
        <x:f>IF(COUNTA($A433:$M433)=0,"",IF(OR($U433="Subscription",$U433=""),"",IF($U433="Profit",ROUND(IFERROR($P433,0)-IFERROR($H433,0),2),0)))</x:f>
      </x:c>
      <x:c r="R433" s="114" t="str">
        <x:f>IF(COUNTA($A433:$M433)=0,"",IF(OR($U433="Subscription",$U433=""),"",IF($U433="Draw",$H433,0)))</x:f>
      </x:c>
      <x:c r="S433" s="114" t="str">
        <x:f>IF(COUNTA($A433:$M433)=0,"",IF(OR($U433="Subscription",$U433=""),"",IF($U433="Disqualified",$H433,0)))</x:f>
      </x:c>
      <x:c r="T433" s="955" t="str">
        <x:f>IF(COUNTA($A433:$M433)=0,"",IF(OR($U433="Subscription",$U433=""),"",IF(OR($U433="Free Game",$U433="Disqualified — Free Game",$H433=0),"N/A",IF($U433="Profit",$Q433/$H433,IF($U433="Disqualified",-$S433/$H433,0)))))</x:f>
      </x:c>
      <x:c r="U433" s="920" t="str">
        <x:f>IF(COUNTA($A433:$M433)=0,"",IF(OR(LEFT(LOWER(TRIM($F433&amp;"")),12)="subscription",LOWER(TRIM($F433&amp;""))="membership"),"Subscription",IF(OR(AND($H433&lt;&gt;"",$H433=0),LEFT(LOWER(TRIM($F433&amp;"")),9)="free game",LOWER(TRIM($F433&amp;""))="free",LOWER(TRIM($F433&amp;""))="free entry"),IF(LOWER($L433&amp;"")="yes","Disqualified — Free Game","Free Game"),IF(LOWER($L433&amp;"")="yes","Disqualified",IF($P433="","",IF(ROUND(IFERROR(VALUE($P433),0)-IFERROR(VALUE($H433),0),2)&gt;0,"Profit","Draw"))))))</x:f>
      </x:c>
      <x:c r="V433" s="956" t="str">
        <x:f>IF(COUNTA($A433:$M433)=0,"",IF(OR($B433="",$C433="",$U433="Subscription"),"",IFERROR(ROUNDUP(($C433-$B433)/7,0),"")))</x:f>
      </x:c>
      <x:c r="W433" s="114" t="str">
        <x:f>IF(COUNTA($A433:$M433)=0,"",IF(OR($U433="Subscription",$U433=""),"",IF(OR($U433="Free Game",$U433="Disqualified — Free Game"),0,ROUND(IFERROR($Q433,0)-IFERROR($S433,0),2))))</x:f>
      </x:c>
      <x:c r="X433" s="956" t="str">
        <x:f>IF(COUNTA($A433:$M433)=0,"",IF(OR($U433="Subscription",NOT(ISNUMBER($J433)),NOT(ISNUMBER($I433)),$J433=0,$I433=0,$I433&gt;$J433),"",$J433-$I433))</x:f>
      </x:c>
      <x:c r="Y433" s="955" t="str">
        <x:f>IF(COUNTA($A433:$M433)=0,"",IF(OR($U433="Subscription",NOT(ISNUMBER($J433)),$J433=0,$X433=""),"",$X433/$J433))</x:f>
      </x:c>
      <x:c r="Z433" s="957" t="str">
        <x:f>IF(COUNTA($A433:$M433)=0,"",Instructions!$B$29+SUM($W$5:W433))</x:f>
      </x:c>
    </x:row>
    <x:row r="434" ht="36" customHeight="1">
      <x:c r="A434" s="439"/>
      <x:c r="B434" s="453"/>
      <x:c r="C434" s="453"/>
      <x:c r="D434" s="454"/>
      <x:c r="E434" s="454"/>
      <x:c r="F434" s="454"/>
      <x:c r="G434" s="986"/>
      <x:c r="H434" s="455"/>
      <x:c r="I434" s="456"/>
      <x:c r="J434" s="456"/>
      <x:c r="K434" s="986"/>
      <x:c r="L434" s="454"/>
      <x:c r="M434" s="439"/>
      <x:c r="N434" s="987" t="str">
        <x:f>IF(COUNTA($A434:$M434)=0,"",IF(OR(LEFT(LOWER(TRIM($F434&amp;"")),12)="subscription",LOWER(TRIM($F434&amp;""))="membership"),"",IF($G434="","",IF(ISNUMBER(SEARCH("non",LOWER($E434&amp;""))),$G434*0.85,$G434))))</x:f>
      </x:c>
      <x:c r="O434" s="987" t="str">
        <x:f>IF(COUNTA($A434:$M434)=0,"",IF(OR(LEFT(LOWER(TRIM($F434&amp;"")),12)="subscription",LOWER(TRIM($F434&amp;""))="membership"),"",IF(OR($N434="",$I434="",$I434=0),"",IFERROR($N434/$I434,""))))</x:f>
      </x:c>
      <x:c r="P434" s="987" t="str">
        <x:f>IF(COUNTA($A434:$M434)=0,"",IF(OR(LEFT(LOWER(TRIM($F434&amp;"")),12)="subscription",LOWER(TRIM($F434&amp;""))="membership"),"",IF(LOWER($L434&amp;"")="yes",0,IF(OR(AND($H434&lt;&gt;"",$H434=0),LEFT(LOWER(TRIM($F434&amp;"")),9)="free game",LOWER(TRIM($F434&amp;""))="free",LOWER(TRIM($F434&amp;""))="free entry"),IF(LOWER($D434&amp;"")="finalized",IF(ISNUMBER($K434),$K434,""),IF($O434&lt;&gt;"",$O434,"")),IF($K434&lt;&gt;"",$K434,IF($O434&lt;&gt;"",$O434,""))))))</x:f>
      </x:c>
      <x:c r="Q434" s="114" t="str">
        <x:f>IF(COUNTA($A434:$M434)=0,"",IF(OR($U434="Subscription",$U434=""),"",IF($U434="Profit",ROUND(IFERROR($P434,0)-IFERROR($H434,0),2),0)))</x:f>
      </x:c>
      <x:c r="R434" s="114" t="str">
        <x:f>IF(COUNTA($A434:$M434)=0,"",IF(OR($U434="Subscription",$U434=""),"",IF($U434="Draw",$H434,0)))</x:f>
      </x:c>
      <x:c r="S434" s="114" t="str">
        <x:f>IF(COUNTA($A434:$M434)=0,"",IF(OR($U434="Subscription",$U434=""),"",IF($U434="Disqualified",$H434,0)))</x:f>
      </x:c>
      <x:c r="T434" s="955" t="str">
        <x:f>IF(COUNTA($A434:$M434)=0,"",IF(OR($U434="Subscription",$U434=""),"",IF(OR($U434="Free Game",$U434="Disqualified — Free Game",$H434=0),"N/A",IF($U434="Profit",$Q434/$H434,IF($U434="Disqualified",-$S434/$H434,0)))))</x:f>
      </x:c>
      <x:c r="U434" s="920" t="str">
        <x:f>IF(COUNTA($A434:$M434)=0,"",IF(OR(LEFT(LOWER(TRIM($F434&amp;"")),12)="subscription",LOWER(TRIM($F434&amp;""))="membership"),"Subscription",IF(OR(AND($H434&lt;&gt;"",$H434=0),LEFT(LOWER(TRIM($F434&amp;"")),9)="free game",LOWER(TRIM($F434&amp;""))="free",LOWER(TRIM($F434&amp;""))="free entry"),IF(LOWER($L434&amp;"")="yes","Disqualified — Free Game","Free Game"),IF(LOWER($L434&amp;"")="yes","Disqualified",IF($P434="","",IF(ROUND(IFERROR(VALUE($P434),0)-IFERROR(VALUE($H434),0),2)&gt;0,"Profit","Draw"))))))</x:f>
      </x:c>
      <x:c r="V434" s="956" t="str">
        <x:f>IF(COUNTA($A434:$M434)=0,"",IF(OR($B434="",$C434="",$U434="Subscription"),"",IFERROR(ROUNDUP(($C434-$B434)/7,0),"")))</x:f>
      </x:c>
      <x:c r="W434" s="114" t="str">
        <x:f>IF(COUNTA($A434:$M434)=0,"",IF(OR($U434="Subscription",$U434=""),"",IF(OR($U434="Free Game",$U434="Disqualified — Free Game"),0,ROUND(IFERROR($Q434,0)-IFERROR($S434,0),2))))</x:f>
      </x:c>
      <x:c r="X434" s="956" t="str">
        <x:f>IF(COUNTA($A434:$M434)=0,"",IF(OR($U434="Subscription",NOT(ISNUMBER($J434)),NOT(ISNUMBER($I434)),$J434=0,$I434=0,$I434&gt;$J434),"",$J434-$I434))</x:f>
      </x:c>
      <x:c r="Y434" s="955" t="str">
        <x:f>IF(COUNTA($A434:$M434)=0,"",IF(OR($U434="Subscription",NOT(ISNUMBER($J434)),$J434=0,$X434=""),"",$X434/$J434))</x:f>
      </x:c>
      <x:c r="Z434" s="957" t="str">
        <x:f>IF(COUNTA($A434:$M434)=0,"",Instructions!$B$29+SUM($W$5:W434))</x:f>
      </x:c>
    </x:row>
    <x:row r="435" ht="36" customHeight="1">
      <x:c r="A435" s="439"/>
      <x:c r="B435" s="453"/>
      <x:c r="C435" s="453"/>
      <x:c r="D435" s="454"/>
      <x:c r="E435" s="454"/>
      <x:c r="F435" s="454"/>
      <x:c r="G435" s="986"/>
      <x:c r="H435" s="455"/>
      <x:c r="I435" s="456"/>
      <x:c r="J435" s="456"/>
      <x:c r="K435" s="986"/>
      <x:c r="L435" s="454"/>
      <x:c r="M435" s="439"/>
      <x:c r="N435" s="987" t="str">
        <x:f>IF(COUNTA($A435:$M435)=0,"",IF(OR(LEFT(LOWER(TRIM($F435&amp;"")),12)="subscription",LOWER(TRIM($F435&amp;""))="membership"),"",IF($G435="","",IF(ISNUMBER(SEARCH("non",LOWER($E435&amp;""))),$G435*0.85,$G435))))</x:f>
      </x:c>
      <x:c r="O435" s="987" t="str">
        <x:f>IF(COUNTA($A435:$M435)=0,"",IF(OR(LEFT(LOWER(TRIM($F435&amp;"")),12)="subscription",LOWER(TRIM($F435&amp;""))="membership"),"",IF(OR($N435="",$I435="",$I435=0),"",IFERROR($N435/$I435,""))))</x:f>
      </x:c>
      <x:c r="P435" s="987" t="str">
        <x:f>IF(COUNTA($A435:$M435)=0,"",IF(OR(LEFT(LOWER(TRIM($F435&amp;"")),12)="subscription",LOWER(TRIM($F435&amp;""))="membership"),"",IF(LOWER($L435&amp;"")="yes",0,IF(OR(AND($H435&lt;&gt;"",$H435=0),LEFT(LOWER(TRIM($F435&amp;"")),9)="free game",LOWER(TRIM($F435&amp;""))="free",LOWER(TRIM($F435&amp;""))="free entry"),IF(LOWER($D435&amp;"")="finalized",IF(ISNUMBER($K435),$K435,""),IF($O435&lt;&gt;"",$O435,"")),IF($K435&lt;&gt;"",$K435,IF($O435&lt;&gt;"",$O435,""))))))</x:f>
      </x:c>
      <x:c r="Q435" s="114" t="str">
        <x:f>IF(COUNTA($A435:$M435)=0,"",IF(OR($U435="Subscription",$U435=""),"",IF($U435="Profit",ROUND(IFERROR($P435,0)-IFERROR($H435,0),2),0)))</x:f>
      </x:c>
      <x:c r="R435" s="114" t="str">
        <x:f>IF(COUNTA($A435:$M435)=0,"",IF(OR($U435="Subscription",$U435=""),"",IF($U435="Draw",$H435,0)))</x:f>
      </x:c>
      <x:c r="S435" s="114" t="str">
        <x:f>IF(COUNTA($A435:$M435)=0,"",IF(OR($U435="Subscription",$U435=""),"",IF($U435="Disqualified",$H435,0)))</x:f>
      </x:c>
      <x:c r="T435" s="955" t="str">
        <x:f>IF(COUNTA($A435:$M435)=0,"",IF(OR($U435="Subscription",$U435=""),"",IF(OR($U435="Free Game",$U435="Disqualified — Free Game",$H435=0),"N/A",IF($U435="Profit",$Q435/$H435,IF($U435="Disqualified",-$S435/$H435,0)))))</x:f>
      </x:c>
      <x:c r="U435" s="920" t="str">
        <x:f>IF(COUNTA($A435:$M435)=0,"",IF(OR(LEFT(LOWER(TRIM($F435&amp;"")),12)="subscription",LOWER(TRIM($F435&amp;""))="membership"),"Subscription",IF(OR(AND($H435&lt;&gt;"",$H435=0),LEFT(LOWER(TRIM($F435&amp;"")),9)="free game",LOWER(TRIM($F435&amp;""))="free",LOWER(TRIM($F435&amp;""))="free entry"),IF(LOWER($L435&amp;"")="yes","Disqualified — Free Game","Free Game"),IF(LOWER($L435&amp;"")="yes","Disqualified",IF($P435="","",IF(ROUND(IFERROR(VALUE($P435),0)-IFERROR(VALUE($H435),0),2)&gt;0,"Profit","Draw"))))))</x:f>
      </x:c>
      <x:c r="V435" s="956" t="str">
        <x:f>IF(COUNTA($A435:$M435)=0,"",IF(OR($B435="",$C435="",$U435="Subscription"),"",IFERROR(ROUNDUP(($C435-$B435)/7,0),"")))</x:f>
      </x:c>
      <x:c r="W435" s="114" t="str">
        <x:f>IF(COUNTA($A435:$M435)=0,"",IF(OR($U435="Subscription",$U435=""),"",IF(OR($U435="Free Game",$U435="Disqualified — Free Game"),0,ROUND(IFERROR($Q435,0)-IFERROR($S435,0),2))))</x:f>
      </x:c>
      <x:c r="X435" s="956" t="str">
        <x:f>IF(COUNTA($A435:$M435)=0,"",IF(OR($U435="Subscription",NOT(ISNUMBER($J435)),NOT(ISNUMBER($I435)),$J435=0,$I435=0,$I435&gt;$J435),"",$J435-$I435))</x:f>
      </x:c>
      <x:c r="Y435" s="955" t="str">
        <x:f>IF(COUNTA($A435:$M435)=0,"",IF(OR($U435="Subscription",NOT(ISNUMBER($J435)),$J435=0,$X435=""),"",$X435/$J435))</x:f>
      </x:c>
      <x:c r="Z435" s="957" t="str">
        <x:f>IF(COUNTA($A435:$M435)=0,"",Instructions!$B$29+SUM($W$5:W435))</x:f>
      </x:c>
    </x:row>
    <x:row r="436" ht="36" customHeight="1">
      <x:c r="A436" s="439"/>
      <x:c r="B436" s="453"/>
      <x:c r="C436" s="453"/>
      <x:c r="D436" s="454"/>
      <x:c r="E436" s="454"/>
      <x:c r="F436" s="454"/>
      <x:c r="G436" s="986"/>
      <x:c r="H436" s="455"/>
      <x:c r="I436" s="456"/>
      <x:c r="J436" s="456"/>
      <x:c r="K436" s="986"/>
      <x:c r="L436" s="454"/>
      <x:c r="M436" s="439"/>
      <x:c r="N436" s="987" t="str">
        <x:f>IF(COUNTA($A436:$M436)=0,"",IF(OR(LEFT(LOWER(TRIM($F436&amp;"")),12)="subscription",LOWER(TRIM($F436&amp;""))="membership"),"",IF($G436="","",IF(ISNUMBER(SEARCH("non",LOWER($E436&amp;""))),$G436*0.85,$G436))))</x:f>
      </x:c>
      <x:c r="O436" s="987" t="str">
        <x:f>IF(COUNTA($A436:$M436)=0,"",IF(OR(LEFT(LOWER(TRIM($F436&amp;"")),12)="subscription",LOWER(TRIM($F436&amp;""))="membership"),"",IF(OR($N436="",$I436="",$I436=0),"",IFERROR($N436/$I436,""))))</x:f>
      </x:c>
      <x:c r="P436" s="987" t="str">
        <x:f>IF(COUNTA($A436:$M436)=0,"",IF(OR(LEFT(LOWER(TRIM($F436&amp;"")),12)="subscription",LOWER(TRIM($F436&amp;""))="membership"),"",IF(LOWER($L436&amp;"")="yes",0,IF(OR(AND($H436&lt;&gt;"",$H436=0),LEFT(LOWER(TRIM($F436&amp;"")),9)="free game",LOWER(TRIM($F436&amp;""))="free",LOWER(TRIM($F436&amp;""))="free entry"),IF(LOWER($D436&amp;"")="finalized",IF(ISNUMBER($K436),$K436,""),IF($O436&lt;&gt;"",$O436,"")),IF($K436&lt;&gt;"",$K436,IF($O436&lt;&gt;"",$O436,""))))))</x:f>
      </x:c>
      <x:c r="Q436" s="114" t="str">
        <x:f>IF(COUNTA($A436:$M436)=0,"",IF(OR($U436="Subscription",$U436=""),"",IF($U436="Profit",ROUND(IFERROR($P436,0)-IFERROR($H436,0),2),0)))</x:f>
      </x:c>
      <x:c r="R436" s="114" t="str">
        <x:f>IF(COUNTA($A436:$M436)=0,"",IF(OR($U436="Subscription",$U436=""),"",IF($U436="Draw",$H436,0)))</x:f>
      </x:c>
      <x:c r="S436" s="114" t="str">
        <x:f>IF(COUNTA($A436:$M436)=0,"",IF(OR($U436="Subscription",$U436=""),"",IF($U436="Disqualified",$H436,0)))</x:f>
      </x:c>
      <x:c r="T436" s="955" t="str">
        <x:f>IF(COUNTA($A436:$M436)=0,"",IF(OR($U436="Subscription",$U436=""),"",IF(OR($U436="Free Game",$U436="Disqualified — Free Game",$H436=0),"N/A",IF($U436="Profit",$Q436/$H436,IF($U436="Disqualified",-$S436/$H436,0)))))</x:f>
      </x:c>
      <x:c r="U436" s="920" t="str">
        <x:f>IF(COUNTA($A436:$M436)=0,"",IF(OR(LEFT(LOWER(TRIM($F436&amp;"")),12)="subscription",LOWER(TRIM($F436&amp;""))="membership"),"Subscription",IF(OR(AND($H436&lt;&gt;"",$H436=0),LEFT(LOWER(TRIM($F436&amp;"")),9)="free game",LOWER(TRIM($F436&amp;""))="free",LOWER(TRIM($F436&amp;""))="free entry"),IF(LOWER($L436&amp;"")="yes","Disqualified — Free Game","Free Game"),IF(LOWER($L436&amp;"")="yes","Disqualified",IF($P436="","",IF(ROUND(IFERROR(VALUE($P436),0)-IFERROR(VALUE($H436),0),2)&gt;0,"Profit","Draw"))))))</x:f>
      </x:c>
      <x:c r="V436" s="956" t="str">
        <x:f>IF(COUNTA($A436:$M436)=0,"",IF(OR($B436="",$C436="",$U436="Subscription"),"",IFERROR(ROUNDUP(($C436-$B436)/7,0),"")))</x:f>
      </x:c>
      <x:c r="W436" s="114" t="str">
        <x:f>IF(COUNTA($A436:$M436)=0,"",IF(OR($U436="Subscription",$U436=""),"",IF(OR($U436="Free Game",$U436="Disqualified — Free Game"),0,ROUND(IFERROR($Q436,0)-IFERROR($S436,0),2))))</x:f>
      </x:c>
      <x:c r="X436" s="956" t="str">
        <x:f>IF(COUNTA($A436:$M436)=0,"",IF(OR($U436="Subscription",NOT(ISNUMBER($J436)),NOT(ISNUMBER($I436)),$J436=0,$I436=0,$I436&gt;$J436),"",$J436-$I436))</x:f>
      </x:c>
      <x:c r="Y436" s="955" t="str">
        <x:f>IF(COUNTA($A436:$M436)=0,"",IF(OR($U436="Subscription",NOT(ISNUMBER($J436)),$J436=0,$X436=""),"",$X436/$J436))</x:f>
      </x:c>
      <x:c r="Z436" s="957" t="str">
        <x:f>IF(COUNTA($A436:$M436)=0,"",Instructions!$B$29+SUM($W$5:W436))</x:f>
      </x:c>
    </x:row>
    <x:row r="437" ht="36" customHeight="1">
      <x:c r="A437" s="439"/>
      <x:c r="B437" s="453"/>
      <x:c r="C437" s="453"/>
      <x:c r="D437" s="454"/>
      <x:c r="E437" s="454"/>
      <x:c r="F437" s="454"/>
      <x:c r="G437" s="986"/>
      <x:c r="H437" s="455"/>
      <x:c r="I437" s="456"/>
      <x:c r="J437" s="456"/>
      <x:c r="K437" s="986"/>
      <x:c r="L437" s="454"/>
      <x:c r="M437" s="439"/>
      <x:c r="N437" s="987" t="str">
        <x:f>IF(COUNTA($A437:$M437)=0,"",IF(OR(LEFT(LOWER(TRIM($F437&amp;"")),12)="subscription",LOWER(TRIM($F437&amp;""))="membership"),"",IF($G437="","",IF(ISNUMBER(SEARCH("non",LOWER($E437&amp;""))),$G437*0.85,$G437))))</x:f>
      </x:c>
      <x:c r="O437" s="987" t="str">
        <x:f>IF(COUNTA($A437:$M437)=0,"",IF(OR(LEFT(LOWER(TRIM($F437&amp;"")),12)="subscription",LOWER(TRIM($F437&amp;""))="membership"),"",IF(OR($N437="",$I437="",$I437=0),"",IFERROR($N437/$I437,""))))</x:f>
      </x:c>
      <x:c r="P437" s="987" t="str">
        <x:f>IF(COUNTA($A437:$M437)=0,"",IF(OR(LEFT(LOWER(TRIM($F437&amp;"")),12)="subscription",LOWER(TRIM($F437&amp;""))="membership"),"",IF(LOWER($L437&amp;"")="yes",0,IF(OR(AND($H437&lt;&gt;"",$H437=0),LEFT(LOWER(TRIM($F437&amp;"")),9)="free game",LOWER(TRIM($F437&amp;""))="free",LOWER(TRIM($F437&amp;""))="free entry"),IF(LOWER($D437&amp;"")="finalized",IF(ISNUMBER($K437),$K437,""),IF($O437&lt;&gt;"",$O437,"")),IF($K437&lt;&gt;"",$K437,IF($O437&lt;&gt;"",$O437,""))))))</x:f>
      </x:c>
      <x:c r="Q437" s="114" t="str">
        <x:f>IF(COUNTA($A437:$M437)=0,"",IF(OR($U437="Subscription",$U437=""),"",IF($U437="Profit",ROUND(IFERROR($P437,0)-IFERROR($H437,0),2),0)))</x:f>
      </x:c>
      <x:c r="R437" s="114" t="str">
        <x:f>IF(COUNTA($A437:$M437)=0,"",IF(OR($U437="Subscription",$U437=""),"",IF($U437="Draw",$H437,0)))</x:f>
      </x:c>
      <x:c r="S437" s="114" t="str">
        <x:f>IF(COUNTA($A437:$M437)=0,"",IF(OR($U437="Subscription",$U437=""),"",IF($U437="Disqualified",$H437,0)))</x:f>
      </x:c>
      <x:c r="T437" s="955" t="str">
        <x:f>IF(COUNTA($A437:$M437)=0,"",IF(OR($U437="Subscription",$U437=""),"",IF(OR($U437="Free Game",$U437="Disqualified — Free Game",$H437=0),"N/A",IF($U437="Profit",$Q437/$H437,IF($U437="Disqualified",-$S437/$H437,0)))))</x:f>
      </x:c>
      <x:c r="U437" s="920" t="str">
        <x:f>IF(COUNTA($A437:$M437)=0,"",IF(OR(LEFT(LOWER(TRIM($F437&amp;"")),12)="subscription",LOWER(TRIM($F437&amp;""))="membership"),"Subscription",IF(OR(AND($H437&lt;&gt;"",$H437=0),LEFT(LOWER(TRIM($F437&amp;"")),9)="free game",LOWER(TRIM($F437&amp;""))="free",LOWER(TRIM($F437&amp;""))="free entry"),IF(LOWER($L437&amp;"")="yes","Disqualified — Free Game","Free Game"),IF(LOWER($L437&amp;"")="yes","Disqualified",IF($P437="","",IF(ROUND(IFERROR(VALUE($P437),0)-IFERROR(VALUE($H437),0),2)&gt;0,"Profit","Draw"))))))</x:f>
      </x:c>
      <x:c r="V437" s="956" t="str">
        <x:f>IF(COUNTA($A437:$M437)=0,"",IF(OR($B437="",$C437="",$U437="Subscription"),"",IFERROR(ROUNDUP(($C437-$B437)/7,0),"")))</x:f>
      </x:c>
      <x:c r="W437" s="114" t="str">
        <x:f>IF(COUNTA($A437:$M437)=0,"",IF(OR($U437="Subscription",$U437=""),"",IF(OR($U437="Free Game",$U437="Disqualified — Free Game"),0,ROUND(IFERROR($Q437,0)-IFERROR($S437,0),2))))</x:f>
      </x:c>
      <x:c r="X437" s="956" t="str">
        <x:f>IF(COUNTA($A437:$M437)=0,"",IF(OR($U437="Subscription",NOT(ISNUMBER($J437)),NOT(ISNUMBER($I437)),$J437=0,$I437=0,$I437&gt;$J437),"",$J437-$I437))</x:f>
      </x:c>
      <x:c r="Y437" s="955" t="str">
        <x:f>IF(COUNTA($A437:$M437)=0,"",IF(OR($U437="Subscription",NOT(ISNUMBER($J437)),$J437=0,$X437=""),"",$X437/$J437))</x:f>
      </x:c>
      <x:c r="Z437" s="957" t="str">
        <x:f>IF(COUNTA($A437:$M437)=0,"",Instructions!$B$29+SUM($W$5:W437))</x:f>
      </x:c>
    </x:row>
    <x:row r="438" ht="36" customHeight="1">
      <x:c r="A438" s="439"/>
      <x:c r="B438" s="453"/>
      <x:c r="C438" s="453"/>
      <x:c r="D438" s="454"/>
      <x:c r="E438" s="454"/>
      <x:c r="F438" s="454"/>
      <x:c r="G438" s="986"/>
      <x:c r="H438" s="455"/>
      <x:c r="I438" s="456"/>
      <x:c r="J438" s="456"/>
      <x:c r="K438" s="986"/>
      <x:c r="L438" s="454"/>
      <x:c r="M438" s="439"/>
      <x:c r="N438" s="987" t="str">
        <x:f>IF(COUNTA($A438:$M438)=0,"",IF(OR(LEFT(LOWER(TRIM($F438&amp;"")),12)="subscription",LOWER(TRIM($F438&amp;""))="membership"),"",IF($G438="","",IF(ISNUMBER(SEARCH("non",LOWER($E438&amp;""))),$G438*0.85,$G438))))</x:f>
      </x:c>
      <x:c r="O438" s="987" t="str">
        <x:f>IF(COUNTA($A438:$M438)=0,"",IF(OR(LEFT(LOWER(TRIM($F438&amp;"")),12)="subscription",LOWER(TRIM($F438&amp;""))="membership"),"",IF(OR($N438="",$I438="",$I438=0),"",IFERROR($N438/$I438,""))))</x:f>
      </x:c>
      <x:c r="P438" s="987" t="str">
        <x:f>IF(COUNTA($A438:$M438)=0,"",IF(OR(LEFT(LOWER(TRIM($F438&amp;"")),12)="subscription",LOWER(TRIM($F438&amp;""))="membership"),"",IF(LOWER($L438&amp;"")="yes",0,IF(OR(AND($H438&lt;&gt;"",$H438=0),LEFT(LOWER(TRIM($F438&amp;"")),9)="free game",LOWER(TRIM($F438&amp;""))="free",LOWER(TRIM($F438&amp;""))="free entry"),IF(LOWER($D438&amp;"")="finalized",IF(ISNUMBER($K438),$K438,""),IF($O438&lt;&gt;"",$O438,"")),IF($K438&lt;&gt;"",$K438,IF($O438&lt;&gt;"",$O438,""))))))</x:f>
      </x:c>
      <x:c r="Q438" s="114" t="str">
        <x:f>IF(COUNTA($A438:$M438)=0,"",IF(OR($U438="Subscription",$U438=""),"",IF($U438="Profit",ROUND(IFERROR($P438,0)-IFERROR($H438,0),2),0)))</x:f>
      </x:c>
      <x:c r="R438" s="114" t="str">
        <x:f>IF(COUNTA($A438:$M438)=0,"",IF(OR($U438="Subscription",$U438=""),"",IF($U438="Draw",$H438,0)))</x:f>
      </x:c>
      <x:c r="S438" s="114" t="str">
        <x:f>IF(COUNTA($A438:$M438)=0,"",IF(OR($U438="Subscription",$U438=""),"",IF($U438="Disqualified",$H438,0)))</x:f>
      </x:c>
      <x:c r="T438" s="955" t="str">
        <x:f>IF(COUNTA($A438:$M438)=0,"",IF(OR($U438="Subscription",$U438=""),"",IF(OR($U438="Free Game",$U438="Disqualified — Free Game",$H438=0),"N/A",IF($U438="Profit",$Q438/$H438,IF($U438="Disqualified",-$S438/$H438,0)))))</x:f>
      </x:c>
      <x:c r="U438" s="920" t="str">
        <x:f>IF(COUNTA($A438:$M438)=0,"",IF(OR(LEFT(LOWER(TRIM($F438&amp;"")),12)="subscription",LOWER(TRIM($F438&amp;""))="membership"),"Subscription",IF(OR(AND($H438&lt;&gt;"",$H438=0),LEFT(LOWER(TRIM($F438&amp;"")),9)="free game",LOWER(TRIM($F438&amp;""))="free",LOWER(TRIM($F438&amp;""))="free entry"),IF(LOWER($L438&amp;"")="yes","Disqualified — Free Game","Free Game"),IF(LOWER($L438&amp;"")="yes","Disqualified",IF($P438="","",IF(ROUND(IFERROR(VALUE($P438),0)-IFERROR(VALUE($H438),0),2)&gt;0,"Profit","Draw"))))))</x:f>
      </x:c>
      <x:c r="V438" s="956" t="str">
        <x:f>IF(COUNTA($A438:$M438)=0,"",IF(OR($B438="",$C438="",$U438="Subscription"),"",IFERROR(ROUNDUP(($C438-$B438)/7,0),"")))</x:f>
      </x:c>
      <x:c r="W438" s="114" t="str">
        <x:f>IF(COUNTA($A438:$M438)=0,"",IF(OR($U438="Subscription",$U438=""),"",IF(OR($U438="Free Game",$U438="Disqualified — Free Game"),0,ROUND(IFERROR($Q438,0)-IFERROR($S438,0),2))))</x:f>
      </x:c>
      <x:c r="X438" s="956" t="str">
        <x:f>IF(COUNTA($A438:$M438)=0,"",IF(OR($U438="Subscription",NOT(ISNUMBER($J438)),NOT(ISNUMBER($I438)),$J438=0,$I438=0,$I438&gt;$J438),"",$J438-$I438))</x:f>
      </x:c>
      <x:c r="Y438" s="955" t="str">
        <x:f>IF(COUNTA($A438:$M438)=0,"",IF(OR($U438="Subscription",NOT(ISNUMBER($J438)),$J438=0,$X438=""),"",$X438/$J438))</x:f>
      </x:c>
      <x:c r="Z438" s="957" t="str">
        <x:f>IF(COUNTA($A438:$M438)=0,"",Instructions!$B$29+SUM($W$5:W438))</x:f>
      </x:c>
    </x:row>
    <x:row r="439" ht="36" customHeight="1">
      <x:c r="A439" s="439"/>
      <x:c r="B439" s="453"/>
      <x:c r="C439" s="453"/>
      <x:c r="D439" s="454"/>
      <x:c r="E439" s="454"/>
      <x:c r="F439" s="454"/>
      <x:c r="G439" s="986"/>
      <x:c r="H439" s="455"/>
      <x:c r="I439" s="456"/>
      <x:c r="J439" s="456"/>
      <x:c r="K439" s="986"/>
      <x:c r="L439" s="454"/>
      <x:c r="M439" s="439"/>
      <x:c r="N439" s="987" t="str">
        <x:f>IF(COUNTA($A439:$M439)=0,"",IF(OR(LEFT(LOWER(TRIM($F439&amp;"")),12)="subscription",LOWER(TRIM($F439&amp;""))="membership"),"",IF($G439="","",IF(ISNUMBER(SEARCH("non",LOWER($E439&amp;""))),$G439*0.85,$G439))))</x:f>
      </x:c>
      <x:c r="O439" s="987" t="str">
        <x:f>IF(COUNTA($A439:$M439)=0,"",IF(OR(LEFT(LOWER(TRIM($F439&amp;"")),12)="subscription",LOWER(TRIM($F439&amp;""))="membership"),"",IF(OR($N439="",$I439="",$I439=0),"",IFERROR($N439/$I439,""))))</x:f>
      </x:c>
      <x:c r="P439" s="987" t="str">
        <x:f>IF(COUNTA($A439:$M439)=0,"",IF(OR(LEFT(LOWER(TRIM($F439&amp;"")),12)="subscription",LOWER(TRIM($F439&amp;""))="membership"),"",IF(LOWER($L439&amp;"")="yes",0,IF(OR(AND($H439&lt;&gt;"",$H439=0),LEFT(LOWER(TRIM($F439&amp;"")),9)="free game",LOWER(TRIM($F439&amp;""))="free",LOWER(TRIM($F439&amp;""))="free entry"),IF(LOWER($D439&amp;"")="finalized",IF(ISNUMBER($K439),$K439,""),IF($O439&lt;&gt;"",$O439,"")),IF($K439&lt;&gt;"",$K439,IF($O439&lt;&gt;"",$O439,""))))))</x:f>
      </x:c>
      <x:c r="Q439" s="114" t="str">
        <x:f>IF(COUNTA($A439:$M439)=0,"",IF(OR($U439="Subscription",$U439=""),"",IF($U439="Profit",ROUND(IFERROR($P439,0)-IFERROR($H439,0),2),0)))</x:f>
      </x:c>
      <x:c r="R439" s="114" t="str">
        <x:f>IF(COUNTA($A439:$M439)=0,"",IF(OR($U439="Subscription",$U439=""),"",IF($U439="Draw",$H439,0)))</x:f>
      </x:c>
      <x:c r="S439" s="114" t="str">
        <x:f>IF(COUNTA($A439:$M439)=0,"",IF(OR($U439="Subscription",$U439=""),"",IF($U439="Disqualified",$H439,0)))</x:f>
      </x:c>
      <x:c r="T439" s="955" t="str">
        <x:f>IF(COUNTA($A439:$M439)=0,"",IF(OR($U439="Subscription",$U439=""),"",IF(OR($U439="Free Game",$U439="Disqualified — Free Game",$H439=0),"N/A",IF($U439="Profit",$Q439/$H439,IF($U439="Disqualified",-$S439/$H439,0)))))</x:f>
      </x:c>
      <x:c r="U439" s="920" t="str">
        <x:f>IF(COUNTA($A439:$M439)=0,"",IF(OR(LEFT(LOWER(TRIM($F439&amp;"")),12)="subscription",LOWER(TRIM($F439&amp;""))="membership"),"Subscription",IF(OR(AND($H439&lt;&gt;"",$H439=0),LEFT(LOWER(TRIM($F439&amp;"")),9)="free game",LOWER(TRIM($F439&amp;""))="free",LOWER(TRIM($F439&amp;""))="free entry"),IF(LOWER($L439&amp;"")="yes","Disqualified — Free Game","Free Game"),IF(LOWER($L439&amp;"")="yes","Disqualified",IF($P439="","",IF(ROUND(IFERROR(VALUE($P439),0)-IFERROR(VALUE($H439),0),2)&gt;0,"Profit","Draw"))))))</x:f>
      </x:c>
      <x:c r="V439" s="956" t="str">
        <x:f>IF(COUNTA($A439:$M439)=0,"",IF(OR($B439="",$C439="",$U439="Subscription"),"",IFERROR(ROUNDUP(($C439-$B439)/7,0),"")))</x:f>
      </x:c>
      <x:c r="W439" s="114" t="str">
        <x:f>IF(COUNTA($A439:$M439)=0,"",IF(OR($U439="Subscription",$U439=""),"",IF(OR($U439="Free Game",$U439="Disqualified — Free Game"),0,ROUND(IFERROR($Q439,0)-IFERROR($S439,0),2))))</x:f>
      </x:c>
      <x:c r="X439" s="956" t="str">
        <x:f>IF(COUNTA($A439:$M439)=0,"",IF(OR($U439="Subscription",NOT(ISNUMBER($J439)),NOT(ISNUMBER($I439)),$J439=0,$I439=0,$I439&gt;$J439),"",$J439-$I439))</x:f>
      </x:c>
      <x:c r="Y439" s="955" t="str">
        <x:f>IF(COUNTA($A439:$M439)=0,"",IF(OR($U439="Subscription",NOT(ISNUMBER($J439)),$J439=0,$X439=""),"",$X439/$J439))</x:f>
      </x:c>
      <x:c r="Z439" s="957" t="str">
        <x:f>IF(COUNTA($A439:$M439)=0,"",Instructions!$B$29+SUM($W$5:W439))</x:f>
      </x:c>
    </x:row>
    <x:row r="440" ht="36" customHeight="1">
      <x:c r="A440" s="439"/>
      <x:c r="B440" s="453"/>
      <x:c r="C440" s="453"/>
      <x:c r="D440" s="454"/>
      <x:c r="E440" s="454"/>
      <x:c r="F440" s="454"/>
      <x:c r="G440" s="986"/>
      <x:c r="H440" s="455"/>
      <x:c r="I440" s="456"/>
      <x:c r="J440" s="456"/>
      <x:c r="K440" s="986"/>
      <x:c r="L440" s="454"/>
      <x:c r="M440" s="439"/>
      <x:c r="N440" s="987" t="str">
        <x:f>IF(COUNTA($A440:$M440)=0,"",IF(OR(LEFT(LOWER(TRIM($F440&amp;"")),12)="subscription",LOWER(TRIM($F440&amp;""))="membership"),"",IF($G440="","",IF(ISNUMBER(SEARCH("non",LOWER($E440&amp;""))),$G440*0.85,$G440))))</x:f>
      </x:c>
      <x:c r="O440" s="987" t="str">
        <x:f>IF(COUNTA($A440:$M440)=0,"",IF(OR(LEFT(LOWER(TRIM($F440&amp;"")),12)="subscription",LOWER(TRIM($F440&amp;""))="membership"),"",IF(OR($N440="",$I440="",$I440=0),"",IFERROR($N440/$I440,""))))</x:f>
      </x:c>
      <x:c r="P440" s="987" t="str">
        <x:f>IF(COUNTA($A440:$M440)=0,"",IF(OR(LEFT(LOWER(TRIM($F440&amp;"")),12)="subscription",LOWER(TRIM($F440&amp;""))="membership"),"",IF(LOWER($L440&amp;"")="yes",0,IF(OR(AND($H440&lt;&gt;"",$H440=0),LEFT(LOWER(TRIM($F440&amp;"")),9)="free game",LOWER(TRIM($F440&amp;""))="free",LOWER(TRIM($F440&amp;""))="free entry"),IF(LOWER($D440&amp;"")="finalized",IF(ISNUMBER($K440),$K440,""),IF($O440&lt;&gt;"",$O440,"")),IF($K440&lt;&gt;"",$K440,IF($O440&lt;&gt;"",$O440,""))))))</x:f>
      </x:c>
      <x:c r="Q440" s="114" t="str">
        <x:f>IF(COUNTA($A440:$M440)=0,"",IF(OR($U440="Subscription",$U440=""),"",IF($U440="Profit",ROUND(IFERROR($P440,0)-IFERROR($H440,0),2),0)))</x:f>
      </x:c>
      <x:c r="R440" s="114" t="str">
        <x:f>IF(COUNTA($A440:$M440)=0,"",IF(OR($U440="Subscription",$U440=""),"",IF($U440="Draw",$H440,0)))</x:f>
      </x:c>
      <x:c r="S440" s="114" t="str">
        <x:f>IF(COUNTA($A440:$M440)=0,"",IF(OR($U440="Subscription",$U440=""),"",IF($U440="Disqualified",$H440,0)))</x:f>
      </x:c>
      <x:c r="T440" s="955" t="str">
        <x:f>IF(COUNTA($A440:$M440)=0,"",IF(OR($U440="Subscription",$U440=""),"",IF(OR($U440="Free Game",$U440="Disqualified — Free Game",$H440=0),"N/A",IF($U440="Profit",$Q440/$H440,IF($U440="Disqualified",-$S440/$H440,0)))))</x:f>
      </x:c>
      <x:c r="U440" s="920" t="str">
        <x:f>IF(COUNTA($A440:$M440)=0,"",IF(OR(LEFT(LOWER(TRIM($F440&amp;"")),12)="subscription",LOWER(TRIM($F440&amp;""))="membership"),"Subscription",IF(OR(AND($H440&lt;&gt;"",$H440=0),LEFT(LOWER(TRIM($F440&amp;"")),9)="free game",LOWER(TRIM($F440&amp;""))="free",LOWER(TRIM($F440&amp;""))="free entry"),IF(LOWER($L440&amp;"")="yes","Disqualified — Free Game","Free Game"),IF(LOWER($L440&amp;"")="yes","Disqualified",IF($P440="","",IF(ROUND(IFERROR(VALUE($P440),0)-IFERROR(VALUE($H440),0),2)&gt;0,"Profit","Draw"))))))</x:f>
      </x:c>
      <x:c r="V440" s="956" t="str">
        <x:f>IF(COUNTA($A440:$M440)=0,"",IF(OR($B440="",$C440="",$U440="Subscription"),"",IFERROR(ROUNDUP(($C440-$B440)/7,0),"")))</x:f>
      </x:c>
      <x:c r="W440" s="114" t="str">
        <x:f>IF(COUNTA($A440:$M440)=0,"",IF(OR($U440="Subscription",$U440=""),"",IF(OR($U440="Free Game",$U440="Disqualified — Free Game"),0,ROUND(IFERROR($Q440,0)-IFERROR($S440,0),2))))</x:f>
      </x:c>
      <x:c r="X440" s="956" t="str">
        <x:f>IF(COUNTA($A440:$M440)=0,"",IF(OR($U440="Subscription",NOT(ISNUMBER($J440)),NOT(ISNUMBER($I440)),$J440=0,$I440=0,$I440&gt;$J440),"",$J440-$I440))</x:f>
      </x:c>
      <x:c r="Y440" s="955" t="str">
        <x:f>IF(COUNTA($A440:$M440)=0,"",IF(OR($U440="Subscription",NOT(ISNUMBER($J440)),$J440=0,$X440=""),"",$X440/$J440))</x:f>
      </x:c>
      <x:c r="Z440" s="957" t="str">
        <x:f>IF(COUNTA($A440:$M440)=0,"",Instructions!$B$29+SUM($W$5:W440))</x:f>
      </x:c>
    </x:row>
    <x:row r="441" ht="36" customHeight="1">
      <x:c r="A441" s="439"/>
      <x:c r="B441" s="453"/>
      <x:c r="C441" s="453"/>
      <x:c r="D441" s="454"/>
      <x:c r="E441" s="454"/>
      <x:c r="F441" s="454"/>
      <x:c r="G441" s="986"/>
      <x:c r="H441" s="455"/>
      <x:c r="I441" s="456"/>
      <x:c r="J441" s="456"/>
      <x:c r="K441" s="986"/>
      <x:c r="L441" s="454"/>
      <x:c r="M441" s="439"/>
      <x:c r="N441" s="987" t="str">
        <x:f>IF(COUNTA($A441:$M441)=0,"",IF(OR(LEFT(LOWER(TRIM($F441&amp;"")),12)="subscription",LOWER(TRIM($F441&amp;""))="membership"),"",IF($G441="","",IF(ISNUMBER(SEARCH("non",LOWER($E441&amp;""))),$G441*0.85,$G441))))</x:f>
      </x:c>
      <x:c r="O441" s="987" t="str">
        <x:f>IF(COUNTA($A441:$M441)=0,"",IF(OR(LEFT(LOWER(TRIM($F441&amp;"")),12)="subscription",LOWER(TRIM($F441&amp;""))="membership"),"",IF(OR($N441="",$I441="",$I441=0),"",IFERROR($N441/$I441,""))))</x:f>
      </x:c>
      <x:c r="P441" s="987" t="str">
        <x:f>IF(COUNTA($A441:$M441)=0,"",IF(OR(LEFT(LOWER(TRIM($F441&amp;"")),12)="subscription",LOWER(TRIM($F441&amp;""))="membership"),"",IF(LOWER($L441&amp;"")="yes",0,IF(OR(AND($H441&lt;&gt;"",$H441=0),LEFT(LOWER(TRIM($F441&amp;"")),9)="free game",LOWER(TRIM($F441&amp;""))="free",LOWER(TRIM($F441&amp;""))="free entry"),IF(LOWER($D441&amp;"")="finalized",IF(ISNUMBER($K441),$K441,""),IF($O441&lt;&gt;"",$O441,"")),IF($K441&lt;&gt;"",$K441,IF($O441&lt;&gt;"",$O441,""))))))</x:f>
      </x:c>
      <x:c r="Q441" s="114" t="str">
        <x:f>IF(COUNTA($A441:$M441)=0,"",IF(OR($U441="Subscription",$U441=""),"",IF($U441="Profit",ROUND(IFERROR($P441,0)-IFERROR($H441,0),2),0)))</x:f>
      </x:c>
      <x:c r="R441" s="114" t="str">
        <x:f>IF(COUNTA($A441:$M441)=0,"",IF(OR($U441="Subscription",$U441=""),"",IF($U441="Draw",$H441,0)))</x:f>
      </x:c>
      <x:c r="S441" s="114" t="str">
        <x:f>IF(COUNTA($A441:$M441)=0,"",IF(OR($U441="Subscription",$U441=""),"",IF($U441="Disqualified",$H441,0)))</x:f>
      </x:c>
      <x:c r="T441" s="955" t="str">
        <x:f>IF(COUNTA($A441:$M441)=0,"",IF(OR($U441="Subscription",$U441=""),"",IF(OR($U441="Free Game",$U441="Disqualified — Free Game",$H441=0),"N/A",IF($U441="Profit",$Q441/$H441,IF($U441="Disqualified",-$S441/$H441,0)))))</x:f>
      </x:c>
      <x:c r="U441" s="920" t="str">
        <x:f>IF(COUNTA($A441:$M441)=0,"",IF(OR(LEFT(LOWER(TRIM($F441&amp;"")),12)="subscription",LOWER(TRIM($F441&amp;""))="membership"),"Subscription",IF(OR(AND($H441&lt;&gt;"",$H441=0),LEFT(LOWER(TRIM($F441&amp;"")),9)="free game",LOWER(TRIM($F441&amp;""))="free",LOWER(TRIM($F441&amp;""))="free entry"),IF(LOWER($L441&amp;"")="yes","Disqualified — Free Game","Free Game"),IF(LOWER($L441&amp;"")="yes","Disqualified",IF($P441="","",IF(ROUND(IFERROR(VALUE($P441),0)-IFERROR(VALUE($H441),0),2)&gt;0,"Profit","Draw"))))))</x:f>
      </x:c>
      <x:c r="V441" s="956" t="str">
        <x:f>IF(COUNTA($A441:$M441)=0,"",IF(OR($B441="",$C441="",$U441="Subscription"),"",IFERROR(ROUNDUP(($C441-$B441)/7,0),"")))</x:f>
      </x:c>
      <x:c r="W441" s="114" t="str">
        <x:f>IF(COUNTA($A441:$M441)=0,"",IF(OR($U441="Subscription",$U441=""),"",IF(OR($U441="Free Game",$U441="Disqualified — Free Game"),0,ROUND(IFERROR($Q441,0)-IFERROR($S441,0),2))))</x:f>
      </x:c>
      <x:c r="X441" s="956" t="str">
        <x:f>IF(COUNTA($A441:$M441)=0,"",IF(OR($U441="Subscription",NOT(ISNUMBER($J441)),NOT(ISNUMBER($I441)),$J441=0,$I441=0,$I441&gt;$J441),"",$J441-$I441))</x:f>
      </x:c>
      <x:c r="Y441" s="955" t="str">
        <x:f>IF(COUNTA($A441:$M441)=0,"",IF(OR($U441="Subscription",NOT(ISNUMBER($J441)),$J441=0,$X441=""),"",$X441/$J441))</x:f>
      </x:c>
      <x:c r="Z441" s="957" t="str">
        <x:f>IF(COUNTA($A441:$M441)=0,"",Instructions!$B$29+SUM($W$5:W441))</x:f>
      </x:c>
    </x:row>
    <x:row r="442" ht="36" customHeight="1">
      <x:c r="A442" s="439"/>
      <x:c r="B442" s="453"/>
      <x:c r="C442" s="453"/>
      <x:c r="D442" s="454"/>
      <x:c r="E442" s="454"/>
      <x:c r="F442" s="454"/>
      <x:c r="G442" s="986"/>
      <x:c r="H442" s="455"/>
      <x:c r="I442" s="456"/>
      <x:c r="J442" s="456"/>
      <x:c r="K442" s="986"/>
      <x:c r="L442" s="454"/>
      <x:c r="M442" s="439"/>
      <x:c r="N442" s="987" t="str">
        <x:f>IF(COUNTA($A442:$M442)=0,"",IF(OR(LEFT(LOWER(TRIM($F442&amp;"")),12)="subscription",LOWER(TRIM($F442&amp;""))="membership"),"",IF($G442="","",IF(ISNUMBER(SEARCH("non",LOWER($E442&amp;""))),$G442*0.85,$G442))))</x:f>
      </x:c>
      <x:c r="O442" s="987" t="str">
        <x:f>IF(COUNTA($A442:$M442)=0,"",IF(OR(LEFT(LOWER(TRIM($F442&amp;"")),12)="subscription",LOWER(TRIM($F442&amp;""))="membership"),"",IF(OR($N442="",$I442="",$I442=0),"",IFERROR($N442/$I442,""))))</x:f>
      </x:c>
      <x:c r="P442" s="987" t="str">
        <x:f>IF(COUNTA($A442:$M442)=0,"",IF(OR(LEFT(LOWER(TRIM($F442&amp;"")),12)="subscription",LOWER(TRIM($F442&amp;""))="membership"),"",IF(LOWER($L442&amp;"")="yes",0,IF(OR(AND($H442&lt;&gt;"",$H442=0),LEFT(LOWER(TRIM($F442&amp;"")),9)="free game",LOWER(TRIM($F442&amp;""))="free",LOWER(TRIM($F442&amp;""))="free entry"),IF(LOWER($D442&amp;"")="finalized",IF(ISNUMBER($K442),$K442,""),IF($O442&lt;&gt;"",$O442,"")),IF($K442&lt;&gt;"",$K442,IF($O442&lt;&gt;"",$O442,""))))))</x:f>
      </x:c>
      <x:c r="Q442" s="114" t="str">
        <x:f>IF(COUNTA($A442:$M442)=0,"",IF(OR($U442="Subscription",$U442=""),"",IF($U442="Profit",ROUND(IFERROR($P442,0)-IFERROR($H442,0),2),0)))</x:f>
      </x:c>
      <x:c r="R442" s="114" t="str">
        <x:f>IF(COUNTA($A442:$M442)=0,"",IF(OR($U442="Subscription",$U442=""),"",IF($U442="Draw",$H442,0)))</x:f>
      </x:c>
      <x:c r="S442" s="114" t="str">
        <x:f>IF(COUNTA($A442:$M442)=0,"",IF(OR($U442="Subscription",$U442=""),"",IF($U442="Disqualified",$H442,0)))</x:f>
      </x:c>
      <x:c r="T442" s="955" t="str">
        <x:f>IF(COUNTA($A442:$M442)=0,"",IF(OR($U442="Subscription",$U442=""),"",IF(OR($U442="Free Game",$U442="Disqualified — Free Game",$H442=0),"N/A",IF($U442="Profit",$Q442/$H442,IF($U442="Disqualified",-$S442/$H442,0)))))</x:f>
      </x:c>
      <x:c r="U442" s="920" t="str">
        <x:f>IF(COUNTA($A442:$M442)=0,"",IF(OR(LEFT(LOWER(TRIM($F442&amp;"")),12)="subscription",LOWER(TRIM($F442&amp;""))="membership"),"Subscription",IF(OR(AND($H442&lt;&gt;"",$H442=0),LEFT(LOWER(TRIM($F442&amp;"")),9)="free game",LOWER(TRIM($F442&amp;""))="free",LOWER(TRIM($F442&amp;""))="free entry"),IF(LOWER($L442&amp;"")="yes","Disqualified — Free Game","Free Game"),IF(LOWER($L442&amp;"")="yes","Disqualified",IF($P442="","",IF(ROUND(IFERROR(VALUE($P442),0)-IFERROR(VALUE($H442),0),2)&gt;0,"Profit","Draw"))))))</x:f>
      </x:c>
      <x:c r="V442" s="956" t="str">
        <x:f>IF(COUNTA($A442:$M442)=0,"",IF(OR($B442="",$C442="",$U442="Subscription"),"",IFERROR(ROUNDUP(($C442-$B442)/7,0),"")))</x:f>
      </x:c>
      <x:c r="W442" s="114" t="str">
        <x:f>IF(COUNTA($A442:$M442)=0,"",IF(OR($U442="Subscription",$U442=""),"",IF(OR($U442="Free Game",$U442="Disqualified — Free Game"),0,ROUND(IFERROR($Q442,0)-IFERROR($S442,0),2))))</x:f>
      </x:c>
      <x:c r="X442" s="956" t="str">
        <x:f>IF(COUNTA($A442:$M442)=0,"",IF(OR($U442="Subscription",NOT(ISNUMBER($J442)),NOT(ISNUMBER($I442)),$J442=0,$I442=0,$I442&gt;$J442),"",$J442-$I442))</x:f>
      </x:c>
      <x:c r="Y442" s="955" t="str">
        <x:f>IF(COUNTA($A442:$M442)=0,"",IF(OR($U442="Subscription",NOT(ISNUMBER($J442)),$J442=0,$X442=""),"",$X442/$J442))</x:f>
      </x:c>
      <x:c r="Z442" s="957" t="str">
        <x:f>IF(COUNTA($A442:$M442)=0,"",Instructions!$B$29+SUM($W$5:W442))</x:f>
      </x:c>
    </x:row>
    <x:row r="443" ht="36" customHeight="1">
      <x:c r="A443" s="439"/>
      <x:c r="B443" s="453"/>
      <x:c r="C443" s="453"/>
      <x:c r="D443" s="454"/>
      <x:c r="E443" s="454"/>
      <x:c r="F443" s="454"/>
      <x:c r="G443" s="986"/>
      <x:c r="H443" s="455"/>
      <x:c r="I443" s="456"/>
      <x:c r="J443" s="456"/>
      <x:c r="K443" s="986"/>
      <x:c r="L443" s="454"/>
      <x:c r="M443" s="439"/>
      <x:c r="N443" s="987" t="str">
        <x:f>IF(COUNTA($A443:$M443)=0,"",IF(OR(LEFT(LOWER(TRIM($F443&amp;"")),12)="subscription",LOWER(TRIM($F443&amp;""))="membership"),"",IF($G443="","",IF(ISNUMBER(SEARCH("non",LOWER($E443&amp;""))),$G443*0.85,$G443))))</x:f>
      </x:c>
      <x:c r="O443" s="987" t="str">
        <x:f>IF(COUNTA($A443:$M443)=0,"",IF(OR(LEFT(LOWER(TRIM($F443&amp;"")),12)="subscription",LOWER(TRIM($F443&amp;""))="membership"),"",IF(OR($N443="",$I443="",$I443=0),"",IFERROR($N443/$I443,""))))</x:f>
      </x:c>
      <x:c r="P443" s="987" t="str">
        <x:f>IF(COUNTA($A443:$M443)=0,"",IF(OR(LEFT(LOWER(TRIM($F443&amp;"")),12)="subscription",LOWER(TRIM($F443&amp;""))="membership"),"",IF(LOWER($L443&amp;"")="yes",0,IF(OR(AND($H443&lt;&gt;"",$H443=0),LEFT(LOWER(TRIM($F443&amp;"")),9)="free game",LOWER(TRIM($F443&amp;""))="free",LOWER(TRIM($F443&amp;""))="free entry"),IF(LOWER($D443&amp;"")="finalized",IF(ISNUMBER($K443),$K443,""),IF($O443&lt;&gt;"",$O443,"")),IF($K443&lt;&gt;"",$K443,IF($O443&lt;&gt;"",$O443,""))))))</x:f>
      </x:c>
      <x:c r="Q443" s="114" t="str">
        <x:f>IF(COUNTA($A443:$M443)=0,"",IF(OR($U443="Subscription",$U443=""),"",IF($U443="Profit",ROUND(IFERROR($P443,0)-IFERROR($H443,0),2),0)))</x:f>
      </x:c>
      <x:c r="R443" s="114" t="str">
        <x:f>IF(COUNTA($A443:$M443)=0,"",IF(OR($U443="Subscription",$U443=""),"",IF($U443="Draw",$H443,0)))</x:f>
      </x:c>
      <x:c r="S443" s="114" t="str">
        <x:f>IF(COUNTA($A443:$M443)=0,"",IF(OR($U443="Subscription",$U443=""),"",IF($U443="Disqualified",$H443,0)))</x:f>
      </x:c>
      <x:c r="T443" s="955" t="str">
        <x:f>IF(COUNTA($A443:$M443)=0,"",IF(OR($U443="Subscription",$U443=""),"",IF(OR($U443="Free Game",$U443="Disqualified — Free Game",$H443=0),"N/A",IF($U443="Profit",$Q443/$H443,IF($U443="Disqualified",-$S443/$H443,0)))))</x:f>
      </x:c>
      <x:c r="U443" s="920" t="str">
        <x:f>IF(COUNTA($A443:$M443)=0,"",IF(OR(LEFT(LOWER(TRIM($F443&amp;"")),12)="subscription",LOWER(TRIM($F443&amp;""))="membership"),"Subscription",IF(OR(AND($H443&lt;&gt;"",$H443=0),LEFT(LOWER(TRIM($F443&amp;"")),9)="free game",LOWER(TRIM($F443&amp;""))="free",LOWER(TRIM($F443&amp;""))="free entry"),IF(LOWER($L443&amp;"")="yes","Disqualified — Free Game","Free Game"),IF(LOWER($L443&amp;"")="yes","Disqualified",IF($P443="","",IF(ROUND(IFERROR(VALUE($P443),0)-IFERROR(VALUE($H443),0),2)&gt;0,"Profit","Draw"))))))</x:f>
      </x:c>
      <x:c r="V443" s="956" t="str">
        <x:f>IF(COUNTA($A443:$M443)=0,"",IF(OR($B443="",$C443="",$U443="Subscription"),"",IFERROR(ROUNDUP(($C443-$B443)/7,0),"")))</x:f>
      </x:c>
      <x:c r="W443" s="114" t="str">
        <x:f>IF(COUNTA($A443:$M443)=0,"",IF(OR($U443="Subscription",$U443=""),"",IF(OR($U443="Free Game",$U443="Disqualified — Free Game"),0,ROUND(IFERROR($Q443,0)-IFERROR($S443,0),2))))</x:f>
      </x:c>
      <x:c r="X443" s="956" t="str">
        <x:f>IF(COUNTA($A443:$M443)=0,"",IF(OR($U443="Subscription",NOT(ISNUMBER($J443)),NOT(ISNUMBER($I443)),$J443=0,$I443=0,$I443&gt;$J443),"",$J443-$I443))</x:f>
      </x:c>
      <x:c r="Y443" s="955" t="str">
        <x:f>IF(COUNTA($A443:$M443)=0,"",IF(OR($U443="Subscription",NOT(ISNUMBER($J443)),$J443=0,$X443=""),"",$X443/$J443))</x:f>
      </x:c>
      <x:c r="Z443" s="957" t="str">
        <x:f>IF(COUNTA($A443:$M443)=0,"",Instructions!$B$29+SUM($W$5:W443))</x:f>
      </x:c>
    </x:row>
    <x:row r="444" ht="36" customHeight="1">
      <x:c r="A444" s="439"/>
      <x:c r="B444" s="453"/>
      <x:c r="C444" s="453"/>
      <x:c r="D444" s="454"/>
      <x:c r="E444" s="454"/>
      <x:c r="F444" s="454"/>
      <x:c r="G444" s="986"/>
      <x:c r="H444" s="455"/>
      <x:c r="I444" s="456"/>
      <x:c r="J444" s="456"/>
      <x:c r="K444" s="986"/>
      <x:c r="L444" s="454"/>
      <x:c r="M444" s="439"/>
      <x:c r="N444" s="987" t="str">
        <x:f>IF(COUNTA($A444:$M444)=0,"",IF(OR(LEFT(LOWER(TRIM($F444&amp;"")),12)="subscription",LOWER(TRIM($F444&amp;""))="membership"),"",IF($G444="","",IF(ISNUMBER(SEARCH("non",LOWER($E444&amp;""))),$G444*0.85,$G444))))</x:f>
      </x:c>
      <x:c r="O444" s="987" t="str">
        <x:f>IF(COUNTA($A444:$M444)=0,"",IF(OR(LEFT(LOWER(TRIM($F444&amp;"")),12)="subscription",LOWER(TRIM($F444&amp;""))="membership"),"",IF(OR($N444="",$I444="",$I444=0),"",IFERROR($N444/$I444,""))))</x:f>
      </x:c>
      <x:c r="P444" s="987" t="str">
        <x:f>IF(COUNTA($A444:$M444)=0,"",IF(OR(LEFT(LOWER(TRIM($F444&amp;"")),12)="subscription",LOWER(TRIM($F444&amp;""))="membership"),"",IF(LOWER($L444&amp;"")="yes",0,IF(OR(AND($H444&lt;&gt;"",$H444=0),LEFT(LOWER(TRIM($F444&amp;"")),9)="free game",LOWER(TRIM($F444&amp;""))="free",LOWER(TRIM($F444&amp;""))="free entry"),IF(LOWER($D444&amp;"")="finalized",IF(ISNUMBER($K444),$K444,""),IF($O444&lt;&gt;"",$O444,"")),IF($K444&lt;&gt;"",$K444,IF($O444&lt;&gt;"",$O444,""))))))</x:f>
      </x:c>
      <x:c r="Q444" s="114" t="str">
        <x:f>IF(COUNTA($A444:$M444)=0,"",IF(OR($U444="Subscription",$U444=""),"",IF($U444="Profit",ROUND(IFERROR($P444,0)-IFERROR($H444,0),2),0)))</x:f>
      </x:c>
      <x:c r="R444" s="114" t="str">
        <x:f>IF(COUNTA($A444:$M444)=0,"",IF(OR($U444="Subscription",$U444=""),"",IF($U444="Draw",$H444,0)))</x:f>
      </x:c>
      <x:c r="S444" s="114" t="str">
        <x:f>IF(COUNTA($A444:$M444)=0,"",IF(OR($U444="Subscription",$U444=""),"",IF($U444="Disqualified",$H444,0)))</x:f>
      </x:c>
      <x:c r="T444" s="955" t="str">
        <x:f>IF(COUNTA($A444:$M444)=0,"",IF(OR($U444="Subscription",$U444=""),"",IF(OR($U444="Free Game",$U444="Disqualified — Free Game",$H444=0),"N/A",IF($U444="Profit",$Q444/$H444,IF($U444="Disqualified",-$S444/$H444,0)))))</x:f>
      </x:c>
      <x:c r="U444" s="920" t="str">
        <x:f>IF(COUNTA($A444:$M444)=0,"",IF(OR(LEFT(LOWER(TRIM($F444&amp;"")),12)="subscription",LOWER(TRIM($F444&amp;""))="membership"),"Subscription",IF(OR(AND($H444&lt;&gt;"",$H444=0),LEFT(LOWER(TRIM($F444&amp;"")),9)="free game",LOWER(TRIM($F444&amp;""))="free",LOWER(TRIM($F444&amp;""))="free entry"),IF(LOWER($L444&amp;"")="yes","Disqualified — Free Game","Free Game"),IF(LOWER($L444&amp;"")="yes","Disqualified",IF($P444="","",IF(ROUND(IFERROR(VALUE($P444),0)-IFERROR(VALUE($H444),0),2)&gt;0,"Profit","Draw"))))))</x:f>
      </x:c>
      <x:c r="V444" s="956" t="str">
        <x:f>IF(COUNTA($A444:$M444)=0,"",IF(OR($B444="",$C444="",$U444="Subscription"),"",IFERROR(ROUNDUP(($C444-$B444)/7,0),"")))</x:f>
      </x:c>
      <x:c r="W444" s="114" t="str">
        <x:f>IF(COUNTA($A444:$M444)=0,"",IF(OR($U444="Subscription",$U444=""),"",IF(OR($U444="Free Game",$U444="Disqualified — Free Game"),0,ROUND(IFERROR($Q444,0)-IFERROR($S444,0),2))))</x:f>
      </x:c>
      <x:c r="X444" s="956" t="str">
        <x:f>IF(COUNTA($A444:$M444)=0,"",IF(OR($U444="Subscription",NOT(ISNUMBER($J444)),NOT(ISNUMBER($I444)),$J444=0,$I444=0,$I444&gt;$J444),"",$J444-$I444))</x:f>
      </x:c>
      <x:c r="Y444" s="955" t="str">
        <x:f>IF(COUNTA($A444:$M444)=0,"",IF(OR($U444="Subscription",NOT(ISNUMBER($J444)),$J444=0,$X444=""),"",$X444/$J444))</x:f>
      </x:c>
      <x:c r="Z444" s="957" t="str">
        <x:f>IF(COUNTA($A444:$M444)=0,"",Instructions!$B$29+SUM($W$5:W444))</x:f>
      </x:c>
    </x:row>
    <x:row r="445" ht="36" customHeight="1">
      <x:c r="A445" s="439"/>
      <x:c r="B445" s="453"/>
      <x:c r="C445" s="453"/>
      <x:c r="D445" s="454"/>
      <x:c r="E445" s="454"/>
      <x:c r="F445" s="454"/>
      <x:c r="G445" s="986"/>
      <x:c r="H445" s="455"/>
      <x:c r="I445" s="456"/>
      <x:c r="J445" s="456"/>
      <x:c r="K445" s="986"/>
      <x:c r="L445" s="454"/>
      <x:c r="M445" s="439"/>
      <x:c r="N445" s="987" t="str">
        <x:f>IF(COUNTA($A445:$M445)=0,"",IF(OR(LEFT(LOWER(TRIM($F445&amp;"")),12)="subscription",LOWER(TRIM($F445&amp;""))="membership"),"",IF($G445="","",IF(ISNUMBER(SEARCH("non",LOWER($E445&amp;""))),$G445*0.85,$G445))))</x:f>
      </x:c>
      <x:c r="O445" s="987" t="str">
        <x:f>IF(COUNTA($A445:$M445)=0,"",IF(OR(LEFT(LOWER(TRIM($F445&amp;"")),12)="subscription",LOWER(TRIM($F445&amp;""))="membership"),"",IF(OR($N445="",$I445="",$I445=0),"",IFERROR($N445/$I445,""))))</x:f>
      </x:c>
      <x:c r="P445" s="987" t="str">
        <x:f>IF(COUNTA($A445:$M445)=0,"",IF(OR(LEFT(LOWER(TRIM($F445&amp;"")),12)="subscription",LOWER(TRIM($F445&amp;""))="membership"),"",IF(LOWER($L445&amp;"")="yes",0,IF(OR(AND($H445&lt;&gt;"",$H445=0),LEFT(LOWER(TRIM($F445&amp;"")),9)="free game",LOWER(TRIM($F445&amp;""))="free",LOWER(TRIM($F445&amp;""))="free entry"),IF(LOWER($D445&amp;"")="finalized",IF(ISNUMBER($K445),$K445,""),IF($O445&lt;&gt;"",$O445,"")),IF($K445&lt;&gt;"",$K445,IF($O445&lt;&gt;"",$O445,""))))))</x:f>
      </x:c>
      <x:c r="Q445" s="114" t="str">
        <x:f>IF(COUNTA($A445:$M445)=0,"",IF(OR($U445="Subscription",$U445=""),"",IF($U445="Profit",ROUND(IFERROR($P445,0)-IFERROR($H445,0),2),0)))</x:f>
      </x:c>
      <x:c r="R445" s="114" t="str">
        <x:f>IF(COUNTA($A445:$M445)=0,"",IF(OR($U445="Subscription",$U445=""),"",IF($U445="Draw",$H445,0)))</x:f>
      </x:c>
      <x:c r="S445" s="114" t="str">
        <x:f>IF(COUNTA($A445:$M445)=0,"",IF(OR($U445="Subscription",$U445=""),"",IF($U445="Disqualified",$H445,0)))</x:f>
      </x:c>
      <x:c r="T445" s="955" t="str">
        <x:f>IF(COUNTA($A445:$M445)=0,"",IF(OR($U445="Subscription",$U445=""),"",IF(OR($U445="Free Game",$U445="Disqualified — Free Game",$H445=0),"N/A",IF($U445="Profit",$Q445/$H445,IF($U445="Disqualified",-$S445/$H445,0)))))</x:f>
      </x:c>
      <x:c r="U445" s="920" t="str">
        <x:f>IF(COUNTA($A445:$M445)=0,"",IF(OR(LEFT(LOWER(TRIM($F445&amp;"")),12)="subscription",LOWER(TRIM($F445&amp;""))="membership"),"Subscription",IF(OR(AND($H445&lt;&gt;"",$H445=0),LEFT(LOWER(TRIM($F445&amp;"")),9)="free game",LOWER(TRIM($F445&amp;""))="free",LOWER(TRIM($F445&amp;""))="free entry"),IF(LOWER($L445&amp;"")="yes","Disqualified — Free Game","Free Game"),IF(LOWER($L445&amp;"")="yes","Disqualified",IF($P445="","",IF(ROUND(IFERROR(VALUE($P445),0)-IFERROR(VALUE($H445),0),2)&gt;0,"Profit","Draw"))))))</x:f>
      </x:c>
      <x:c r="V445" s="956" t="str">
        <x:f>IF(COUNTA($A445:$M445)=0,"",IF(OR($B445="",$C445="",$U445="Subscription"),"",IFERROR(ROUNDUP(($C445-$B445)/7,0),"")))</x:f>
      </x:c>
      <x:c r="W445" s="114" t="str">
        <x:f>IF(COUNTA($A445:$M445)=0,"",IF(OR($U445="Subscription",$U445=""),"",IF(OR($U445="Free Game",$U445="Disqualified — Free Game"),0,ROUND(IFERROR($Q445,0)-IFERROR($S445,0),2))))</x:f>
      </x:c>
      <x:c r="X445" s="956" t="str">
        <x:f>IF(COUNTA($A445:$M445)=0,"",IF(OR($U445="Subscription",NOT(ISNUMBER($J445)),NOT(ISNUMBER($I445)),$J445=0,$I445=0,$I445&gt;$J445),"",$J445-$I445))</x:f>
      </x:c>
      <x:c r="Y445" s="955" t="str">
        <x:f>IF(COUNTA($A445:$M445)=0,"",IF(OR($U445="Subscription",NOT(ISNUMBER($J445)),$J445=0,$X445=""),"",$X445/$J445))</x:f>
      </x:c>
      <x:c r="Z445" s="957" t="str">
        <x:f>IF(COUNTA($A445:$M445)=0,"",Instructions!$B$29+SUM($W$5:W445))</x:f>
      </x:c>
    </x:row>
    <x:row r="446" ht="36" customHeight="1">
      <x:c r="A446" s="439"/>
      <x:c r="B446" s="453"/>
      <x:c r="C446" s="453"/>
      <x:c r="D446" s="454"/>
      <x:c r="E446" s="454"/>
      <x:c r="F446" s="454"/>
      <x:c r="G446" s="986"/>
      <x:c r="H446" s="455"/>
      <x:c r="I446" s="456"/>
      <x:c r="J446" s="456"/>
      <x:c r="K446" s="986"/>
      <x:c r="L446" s="454"/>
      <x:c r="M446" s="439"/>
      <x:c r="N446" s="987" t="str">
        <x:f>IF(COUNTA($A446:$M446)=0,"",IF(OR(LEFT(LOWER(TRIM($F446&amp;"")),12)="subscription",LOWER(TRIM($F446&amp;""))="membership"),"",IF($G446="","",IF(ISNUMBER(SEARCH("non",LOWER($E446&amp;""))),$G446*0.85,$G446))))</x:f>
      </x:c>
      <x:c r="O446" s="987" t="str">
        <x:f>IF(COUNTA($A446:$M446)=0,"",IF(OR(LEFT(LOWER(TRIM($F446&amp;"")),12)="subscription",LOWER(TRIM($F446&amp;""))="membership"),"",IF(OR($N446="",$I446="",$I446=0),"",IFERROR($N446/$I446,""))))</x:f>
      </x:c>
      <x:c r="P446" s="987" t="str">
        <x:f>IF(COUNTA($A446:$M446)=0,"",IF(OR(LEFT(LOWER(TRIM($F446&amp;"")),12)="subscription",LOWER(TRIM($F446&amp;""))="membership"),"",IF(LOWER($L446&amp;"")="yes",0,IF(OR(AND($H446&lt;&gt;"",$H446=0),LEFT(LOWER(TRIM($F446&amp;"")),9)="free game",LOWER(TRIM($F446&amp;""))="free",LOWER(TRIM($F446&amp;""))="free entry"),IF(LOWER($D446&amp;"")="finalized",IF(ISNUMBER($K446),$K446,""),IF($O446&lt;&gt;"",$O446,"")),IF($K446&lt;&gt;"",$K446,IF($O446&lt;&gt;"",$O446,""))))))</x:f>
      </x:c>
      <x:c r="Q446" s="114" t="str">
        <x:f>IF(COUNTA($A446:$M446)=0,"",IF(OR($U446="Subscription",$U446=""),"",IF($U446="Profit",ROUND(IFERROR($P446,0)-IFERROR($H446,0),2),0)))</x:f>
      </x:c>
      <x:c r="R446" s="114" t="str">
        <x:f>IF(COUNTA($A446:$M446)=0,"",IF(OR($U446="Subscription",$U446=""),"",IF($U446="Draw",$H446,0)))</x:f>
      </x:c>
      <x:c r="S446" s="114" t="str">
        <x:f>IF(COUNTA($A446:$M446)=0,"",IF(OR($U446="Subscription",$U446=""),"",IF($U446="Disqualified",$H446,0)))</x:f>
      </x:c>
      <x:c r="T446" s="955" t="str">
        <x:f>IF(COUNTA($A446:$M446)=0,"",IF(OR($U446="Subscription",$U446=""),"",IF(OR($U446="Free Game",$U446="Disqualified — Free Game",$H446=0),"N/A",IF($U446="Profit",$Q446/$H446,IF($U446="Disqualified",-$S446/$H446,0)))))</x:f>
      </x:c>
      <x:c r="U446" s="920" t="str">
        <x:f>IF(COUNTA($A446:$M446)=0,"",IF(OR(LEFT(LOWER(TRIM($F446&amp;"")),12)="subscription",LOWER(TRIM($F446&amp;""))="membership"),"Subscription",IF(OR(AND($H446&lt;&gt;"",$H446=0),LEFT(LOWER(TRIM($F446&amp;"")),9)="free game",LOWER(TRIM($F446&amp;""))="free",LOWER(TRIM($F446&amp;""))="free entry"),IF(LOWER($L446&amp;"")="yes","Disqualified — Free Game","Free Game"),IF(LOWER($L446&amp;"")="yes","Disqualified",IF($P446="","",IF(ROUND(IFERROR(VALUE($P446),0)-IFERROR(VALUE($H446),0),2)&gt;0,"Profit","Draw"))))))</x:f>
      </x:c>
      <x:c r="V446" s="956" t="str">
        <x:f>IF(COUNTA($A446:$M446)=0,"",IF(OR($B446="",$C446="",$U446="Subscription"),"",IFERROR(ROUNDUP(($C446-$B446)/7,0),"")))</x:f>
      </x:c>
      <x:c r="W446" s="114" t="str">
        <x:f>IF(COUNTA($A446:$M446)=0,"",IF(OR($U446="Subscription",$U446=""),"",IF(OR($U446="Free Game",$U446="Disqualified — Free Game"),0,ROUND(IFERROR($Q446,0)-IFERROR($S446,0),2))))</x:f>
      </x:c>
      <x:c r="X446" s="956" t="str">
        <x:f>IF(COUNTA($A446:$M446)=0,"",IF(OR($U446="Subscription",NOT(ISNUMBER($J446)),NOT(ISNUMBER($I446)),$J446=0,$I446=0,$I446&gt;$J446),"",$J446-$I446))</x:f>
      </x:c>
      <x:c r="Y446" s="955" t="str">
        <x:f>IF(COUNTA($A446:$M446)=0,"",IF(OR($U446="Subscription",NOT(ISNUMBER($J446)),$J446=0,$X446=""),"",$X446/$J446))</x:f>
      </x:c>
      <x:c r="Z446" s="957" t="str">
        <x:f>IF(COUNTA($A446:$M446)=0,"",Instructions!$B$29+SUM($W$5:W446))</x:f>
      </x:c>
    </x:row>
    <x:row r="447" ht="36" customHeight="1">
      <x:c r="A447" s="439"/>
      <x:c r="B447" s="453"/>
      <x:c r="C447" s="453"/>
      <x:c r="D447" s="454"/>
      <x:c r="E447" s="454"/>
      <x:c r="F447" s="454"/>
      <x:c r="G447" s="986"/>
      <x:c r="H447" s="455"/>
      <x:c r="I447" s="456"/>
      <x:c r="J447" s="456"/>
      <x:c r="K447" s="986"/>
      <x:c r="L447" s="454"/>
      <x:c r="M447" s="439"/>
      <x:c r="N447" s="987" t="str">
        <x:f>IF(COUNTA($A447:$M447)=0,"",IF(OR(LEFT(LOWER(TRIM($F447&amp;"")),12)="subscription",LOWER(TRIM($F447&amp;""))="membership"),"",IF($G447="","",IF(ISNUMBER(SEARCH("non",LOWER($E447&amp;""))),$G447*0.85,$G447))))</x:f>
      </x:c>
      <x:c r="O447" s="987" t="str">
        <x:f>IF(COUNTA($A447:$M447)=0,"",IF(OR(LEFT(LOWER(TRIM($F447&amp;"")),12)="subscription",LOWER(TRIM($F447&amp;""))="membership"),"",IF(OR($N447="",$I447="",$I447=0),"",IFERROR($N447/$I447,""))))</x:f>
      </x:c>
      <x:c r="P447" s="987" t="str">
        <x:f>IF(COUNTA($A447:$M447)=0,"",IF(OR(LEFT(LOWER(TRIM($F447&amp;"")),12)="subscription",LOWER(TRIM($F447&amp;""))="membership"),"",IF(LOWER($L447&amp;"")="yes",0,IF(OR(AND($H447&lt;&gt;"",$H447=0),LEFT(LOWER(TRIM($F447&amp;"")),9)="free game",LOWER(TRIM($F447&amp;""))="free",LOWER(TRIM($F447&amp;""))="free entry"),IF(LOWER($D447&amp;"")="finalized",IF(ISNUMBER($K447),$K447,""),IF($O447&lt;&gt;"",$O447,"")),IF($K447&lt;&gt;"",$K447,IF($O447&lt;&gt;"",$O447,""))))))</x:f>
      </x:c>
      <x:c r="Q447" s="114" t="str">
        <x:f>IF(COUNTA($A447:$M447)=0,"",IF(OR($U447="Subscription",$U447=""),"",IF($U447="Profit",ROUND(IFERROR($P447,0)-IFERROR($H447,0),2),0)))</x:f>
      </x:c>
      <x:c r="R447" s="114" t="str">
        <x:f>IF(COUNTA($A447:$M447)=0,"",IF(OR($U447="Subscription",$U447=""),"",IF($U447="Draw",$H447,0)))</x:f>
      </x:c>
      <x:c r="S447" s="114" t="str">
        <x:f>IF(COUNTA($A447:$M447)=0,"",IF(OR($U447="Subscription",$U447=""),"",IF($U447="Disqualified",$H447,0)))</x:f>
      </x:c>
      <x:c r="T447" s="955" t="str">
        <x:f>IF(COUNTA($A447:$M447)=0,"",IF(OR($U447="Subscription",$U447=""),"",IF(OR($U447="Free Game",$U447="Disqualified — Free Game",$H447=0),"N/A",IF($U447="Profit",$Q447/$H447,IF($U447="Disqualified",-$S447/$H447,0)))))</x:f>
      </x:c>
      <x:c r="U447" s="920" t="str">
        <x:f>IF(COUNTA($A447:$M447)=0,"",IF(OR(LEFT(LOWER(TRIM($F447&amp;"")),12)="subscription",LOWER(TRIM($F447&amp;""))="membership"),"Subscription",IF(OR(AND($H447&lt;&gt;"",$H447=0),LEFT(LOWER(TRIM($F447&amp;"")),9)="free game",LOWER(TRIM($F447&amp;""))="free",LOWER(TRIM($F447&amp;""))="free entry"),IF(LOWER($L447&amp;"")="yes","Disqualified — Free Game","Free Game"),IF(LOWER($L447&amp;"")="yes","Disqualified",IF($P447="","",IF(ROUND(IFERROR(VALUE($P447),0)-IFERROR(VALUE($H447),0),2)&gt;0,"Profit","Draw"))))))</x:f>
      </x:c>
      <x:c r="V447" s="956" t="str">
        <x:f>IF(COUNTA($A447:$M447)=0,"",IF(OR($B447="",$C447="",$U447="Subscription"),"",IFERROR(ROUNDUP(($C447-$B447)/7,0),"")))</x:f>
      </x:c>
      <x:c r="W447" s="114" t="str">
        <x:f>IF(COUNTA($A447:$M447)=0,"",IF(OR($U447="Subscription",$U447=""),"",IF(OR($U447="Free Game",$U447="Disqualified — Free Game"),0,ROUND(IFERROR($Q447,0)-IFERROR($S447,0),2))))</x:f>
      </x:c>
      <x:c r="X447" s="956" t="str">
        <x:f>IF(COUNTA($A447:$M447)=0,"",IF(OR($U447="Subscription",NOT(ISNUMBER($J447)),NOT(ISNUMBER($I447)),$J447=0,$I447=0,$I447&gt;$J447),"",$J447-$I447))</x:f>
      </x:c>
      <x:c r="Y447" s="955" t="str">
        <x:f>IF(COUNTA($A447:$M447)=0,"",IF(OR($U447="Subscription",NOT(ISNUMBER($J447)),$J447=0,$X447=""),"",$X447/$J447))</x:f>
      </x:c>
      <x:c r="Z447" s="957" t="str">
        <x:f>IF(COUNTA($A447:$M447)=0,"",Instructions!$B$29+SUM($W$5:W447))</x:f>
      </x:c>
    </x:row>
    <x:row r="448" ht="36" customHeight="1">
      <x:c r="A448" s="439"/>
      <x:c r="B448" s="453"/>
      <x:c r="C448" s="453"/>
      <x:c r="D448" s="454"/>
      <x:c r="E448" s="454"/>
      <x:c r="F448" s="454"/>
      <x:c r="G448" s="986"/>
      <x:c r="H448" s="455"/>
      <x:c r="I448" s="456"/>
      <x:c r="J448" s="456"/>
      <x:c r="K448" s="986"/>
      <x:c r="L448" s="454"/>
      <x:c r="M448" s="439"/>
      <x:c r="N448" s="987" t="str">
        <x:f>IF(COUNTA($A448:$M448)=0,"",IF(OR(LEFT(LOWER(TRIM($F448&amp;"")),12)="subscription",LOWER(TRIM($F448&amp;""))="membership"),"",IF($G448="","",IF(ISNUMBER(SEARCH("non",LOWER($E448&amp;""))),$G448*0.85,$G448))))</x:f>
      </x:c>
      <x:c r="O448" s="987" t="str">
        <x:f>IF(COUNTA($A448:$M448)=0,"",IF(OR(LEFT(LOWER(TRIM($F448&amp;"")),12)="subscription",LOWER(TRIM($F448&amp;""))="membership"),"",IF(OR($N448="",$I448="",$I448=0),"",IFERROR($N448/$I448,""))))</x:f>
      </x:c>
      <x:c r="P448" s="987" t="str">
        <x:f>IF(COUNTA($A448:$M448)=0,"",IF(OR(LEFT(LOWER(TRIM($F448&amp;"")),12)="subscription",LOWER(TRIM($F448&amp;""))="membership"),"",IF(LOWER($L448&amp;"")="yes",0,IF(OR(AND($H448&lt;&gt;"",$H448=0),LEFT(LOWER(TRIM($F448&amp;"")),9)="free game",LOWER(TRIM($F448&amp;""))="free",LOWER(TRIM($F448&amp;""))="free entry"),IF(LOWER($D448&amp;"")="finalized",IF(ISNUMBER($K448),$K448,""),IF($O448&lt;&gt;"",$O448,"")),IF($K448&lt;&gt;"",$K448,IF($O448&lt;&gt;"",$O448,""))))))</x:f>
      </x:c>
      <x:c r="Q448" s="114" t="str">
        <x:f>IF(COUNTA($A448:$M448)=0,"",IF(OR($U448="Subscription",$U448=""),"",IF($U448="Profit",ROUND(IFERROR($P448,0)-IFERROR($H448,0),2),0)))</x:f>
      </x:c>
      <x:c r="R448" s="114" t="str">
        <x:f>IF(COUNTA($A448:$M448)=0,"",IF(OR($U448="Subscription",$U448=""),"",IF($U448="Draw",$H448,0)))</x:f>
      </x:c>
      <x:c r="S448" s="114" t="str">
        <x:f>IF(COUNTA($A448:$M448)=0,"",IF(OR($U448="Subscription",$U448=""),"",IF($U448="Disqualified",$H448,0)))</x:f>
      </x:c>
      <x:c r="T448" s="955" t="str">
        <x:f>IF(COUNTA($A448:$M448)=0,"",IF(OR($U448="Subscription",$U448=""),"",IF(OR($U448="Free Game",$U448="Disqualified — Free Game",$H448=0),"N/A",IF($U448="Profit",$Q448/$H448,IF($U448="Disqualified",-$S448/$H448,0)))))</x:f>
      </x:c>
      <x:c r="U448" s="920" t="str">
        <x:f>IF(COUNTA($A448:$M448)=0,"",IF(OR(LEFT(LOWER(TRIM($F448&amp;"")),12)="subscription",LOWER(TRIM($F448&amp;""))="membership"),"Subscription",IF(OR(AND($H448&lt;&gt;"",$H448=0),LEFT(LOWER(TRIM($F448&amp;"")),9)="free game",LOWER(TRIM($F448&amp;""))="free",LOWER(TRIM($F448&amp;""))="free entry"),IF(LOWER($L448&amp;"")="yes","Disqualified — Free Game","Free Game"),IF(LOWER($L448&amp;"")="yes","Disqualified",IF($P448="","",IF(ROUND(IFERROR(VALUE($P448),0)-IFERROR(VALUE($H448),0),2)&gt;0,"Profit","Draw"))))))</x:f>
      </x:c>
      <x:c r="V448" s="956" t="str">
        <x:f>IF(COUNTA($A448:$M448)=0,"",IF(OR($B448="",$C448="",$U448="Subscription"),"",IFERROR(ROUNDUP(($C448-$B448)/7,0),"")))</x:f>
      </x:c>
      <x:c r="W448" s="114" t="str">
        <x:f>IF(COUNTA($A448:$M448)=0,"",IF(OR($U448="Subscription",$U448=""),"",IF(OR($U448="Free Game",$U448="Disqualified — Free Game"),0,ROUND(IFERROR($Q448,0)-IFERROR($S448,0),2))))</x:f>
      </x:c>
      <x:c r="X448" s="956" t="str">
        <x:f>IF(COUNTA($A448:$M448)=0,"",IF(OR($U448="Subscription",NOT(ISNUMBER($J448)),NOT(ISNUMBER($I448)),$J448=0,$I448=0,$I448&gt;$J448),"",$J448-$I448))</x:f>
      </x:c>
      <x:c r="Y448" s="955" t="str">
        <x:f>IF(COUNTA($A448:$M448)=0,"",IF(OR($U448="Subscription",NOT(ISNUMBER($J448)),$J448=0,$X448=""),"",$X448/$J448))</x:f>
      </x:c>
      <x:c r="Z448" s="957" t="str">
        <x:f>IF(COUNTA($A448:$M448)=0,"",Instructions!$B$29+SUM($W$5:W448))</x:f>
      </x:c>
    </x:row>
    <x:row r="449" ht="36" customHeight="1">
      <x:c r="A449" s="439"/>
      <x:c r="B449" s="453"/>
      <x:c r="C449" s="453"/>
      <x:c r="D449" s="454"/>
      <x:c r="E449" s="454"/>
      <x:c r="F449" s="454"/>
      <x:c r="G449" s="986"/>
      <x:c r="H449" s="455"/>
      <x:c r="I449" s="456"/>
      <x:c r="J449" s="456"/>
      <x:c r="K449" s="986"/>
      <x:c r="L449" s="454"/>
      <x:c r="M449" s="439"/>
      <x:c r="N449" s="987" t="str">
        <x:f>IF(COUNTA($A449:$M449)=0,"",IF(OR(LEFT(LOWER(TRIM($F449&amp;"")),12)="subscription",LOWER(TRIM($F449&amp;""))="membership"),"",IF($G449="","",IF(ISNUMBER(SEARCH("non",LOWER($E449&amp;""))),$G449*0.85,$G449))))</x:f>
      </x:c>
      <x:c r="O449" s="987" t="str">
        <x:f>IF(COUNTA($A449:$M449)=0,"",IF(OR(LEFT(LOWER(TRIM($F449&amp;"")),12)="subscription",LOWER(TRIM($F449&amp;""))="membership"),"",IF(OR($N449="",$I449="",$I449=0),"",IFERROR($N449/$I449,""))))</x:f>
      </x:c>
      <x:c r="P449" s="987" t="str">
        <x:f>IF(COUNTA($A449:$M449)=0,"",IF(OR(LEFT(LOWER(TRIM($F449&amp;"")),12)="subscription",LOWER(TRIM($F449&amp;""))="membership"),"",IF(LOWER($L449&amp;"")="yes",0,IF(OR(AND($H449&lt;&gt;"",$H449=0),LEFT(LOWER(TRIM($F449&amp;"")),9)="free game",LOWER(TRIM($F449&amp;""))="free",LOWER(TRIM($F449&amp;""))="free entry"),IF(LOWER($D449&amp;"")="finalized",IF(ISNUMBER($K449),$K449,""),IF($O449&lt;&gt;"",$O449,"")),IF($K449&lt;&gt;"",$K449,IF($O449&lt;&gt;"",$O449,""))))))</x:f>
      </x:c>
      <x:c r="Q449" s="114" t="str">
        <x:f>IF(COUNTA($A449:$M449)=0,"",IF(OR($U449="Subscription",$U449=""),"",IF($U449="Profit",ROUND(IFERROR($P449,0)-IFERROR($H449,0),2),0)))</x:f>
      </x:c>
      <x:c r="R449" s="114" t="str">
        <x:f>IF(COUNTA($A449:$M449)=0,"",IF(OR($U449="Subscription",$U449=""),"",IF($U449="Draw",$H449,0)))</x:f>
      </x:c>
      <x:c r="S449" s="114" t="str">
        <x:f>IF(COUNTA($A449:$M449)=0,"",IF(OR($U449="Subscription",$U449=""),"",IF($U449="Disqualified",$H449,0)))</x:f>
      </x:c>
      <x:c r="T449" s="955" t="str">
        <x:f>IF(COUNTA($A449:$M449)=0,"",IF(OR($U449="Subscription",$U449=""),"",IF(OR($U449="Free Game",$U449="Disqualified — Free Game",$H449=0),"N/A",IF($U449="Profit",$Q449/$H449,IF($U449="Disqualified",-$S449/$H449,0)))))</x:f>
      </x:c>
      <x:c r="U449" s="920" t="str">
        <x:f>IF(COUNTA($A449:$M449)=0,"",IF(OR(LEFT(LOWER(TRIM($F449&amp;"")),12)="subscription",LOWER(TRIM($F449&amp;""))="membership"),"Subscription",IF(OR(AND($H449&lt;&gt;"",$H449=0),LEFT(LOWER(TRIM($F449&amp;"")),9)="free game",LOWER(TRIM($F449&amp;""))="free",LOWER(TRIM($F449&amp;""))="free entry"),IF(LOWER($L449&amp;"")="yes","Disqualified — Free Game","Free Game"),IF(LOWER($L449&amp;"")="yes","Disqualified",IF($P449="","",IF(ROUND(IFERROR(VALUE($P449),0)-IFERROR(VALUE($H449),0),2)&gt;0,"Profit","Draw"))))))</x:f>
      </x:c>
      <x:c r="V449" s="956" t="str">
        <x:f>IF(COUNTA($A449:$M449)=0,"",IF(OR($B449="",$C449="",$U449="Subscription"),"",IFERROR(ROUNDUP(($C449-$B449)/7,0),"")))</x:f>
      </x:c>
      <x:c r="W449" s="114" t="str">
        <x:f>IF(COUNTA($A449:$M449)=0,"",IF(OR($U449="Subscription",$U449=""),"",IF(OR($U449="Free Game",$U449="Disqualified — Free Game"),0,ROUND(IFERROR($Q449,0)-IFERROR($S449,0),2))))</x:f>
      </x:c>
      <x:c r="X449" s="956" t="str">
        <x:f>IF(COUNTA($A449:$M449)=0,"",IF(OR($U449="Subscription",NOT(ISNUMBER($J449)),NOT(ISNUMBER($I449)),$J449=0,$I449=0,$I449&gt;$J449),"",$J449-$I449))</x:f>
      </x:c>
      <x:c r="Y449" s="955" t="str">
        <x:f>IF(COUNTA($A449:$M449)=0,"",IF(OR($U449="Subscription",NOT(ISNUMBER($J449)),$J449=0,$X449=""),"",$X449/$J449))</x:f>
      </x:c>
      <x:c r="Z449" s="957" t="str">
        <x:f>IF(COUNTA($A449:$M449)=0,"",Instructions!$B$29+SUM($W$5:W449))</x:f>
      </x:c>
    </x:row>
    <x:row r="450" ht="36" customHeight="1">
      <x:c r="A450" s="439"/>
      <x:c r="B450" s="453"/>
      <x:c r="C450" s="453"/>
      <x:c r="D450" s="454"/>
      <x:c r="E450" s="454"/>
      <x:c r="F450" s="454"/>
      <x:c r="G450" s="986"/>
      <x:c r="H450" s="455"/>
      <x:c r="I450" s="456"/>
      <x:c r="J450" s="456"/>
      <x:c r="K450" s="986"/>
      <x:c r="L450" s="454"/>
      <x:c r="M450" s="439"/>
      <x:c r="N450" s="987" t="str">
        <x:f>IF(COUNTA($A450:$M450)=0,"",IF(OR(LEFT(LOWER(TRIM($F450&amp;"")),12)="subscription",LOWER(TRIM($F450&amp;""))="membership"),"",IF($G450="","",IF(ISNUMBER(SEARCH("non",LOWER($E450&amp;""))),$G450*0.85,$G450))))</x:f>
      </x:c>
      <x:c r="O450" s="987" t="str">
        <x:f>IF(COUNTA($A450:$M450)=0,"",IF(OR(LEFT(LOWER(TRIM($F450&amp;"")),12)="subscription",LOWER(TRIM($F450&amp;""))="membership"),"",IF(OR($N450="",$I450="",$I450=0),"",IFERROR($N450/$I450,""))))</x:f>
      </x:c>
      <x:c r="P450" s="987" t="str">
        <x:f>IF(COUNTA($A450:$M450)=0,"",IF(OR(LEFT(LOWER(TRIM($F450&amp;"")),12)="subscription",LOWER(TRIM($F450&amp;""))="membership"),"",IF(LOWER($L450&amp;"")="yes",0,IF(OR(AND($H450&lt;&gt;"",$H450=0),LEFT(LOWER(TRIM($F450&amp;"")),9)="free game",LOWER(TRIM($F450&amp;""))="free",LOWER(TRIM($F450&amp;""))="free entry"),IF(LOWER($D450&amp;"")="finalized",IF(ISNUMBER($K450),$K450,""),IF($O450&lt;&gt;"",$O450,"")),IF($K450&lt;&gt;"",$K450,IF($O450&lt;&gt;"",$O450,""))))))</x:f>
      </x:c>
      <x:c r="Q450" s="114" t="str">
        <x:f>IF(COUNTA($A450:$M450)=0,"",IF(OR($U450="Subscription",$U450=""),"",IF($U450="Profit",ROUND(IFERROR($P450,0)-IFERROR($H450,0),2),0)))</x:f>
      </x:c>
      <x:c r="R450" s="114" t="str">
        <x:f>IF(COUNTA($A450:$M450)=0,"",IF(OR($U450="Subscription",$U450=""),"",IF($U450="Draw",$H450,0)))</x:f>
      </x:c>
      <x:c r="S450" s="114" t="str">
        <x:f>IF(COUNTA($A450:$M450)=0,"",IF(OR($U450="Subscription",$U450=""),"",IF($U450="Disqualified",$H450,0)))</x:f>
      </x:c>
      <x:c r="T450" s="955" t="str">
        <x:f>IF(COUNTA($A450:$M450)=0,"",IF(OR($U450="Subscription",$U450=""),"",IF(OR($U450="Free Game",$U450="Disqualified — Free Game",$H450=0),"N/A",IF($U450="Profit",$Q450/$H450,IF($U450="Disqualified",-$S450/$H450,0)))))</x:f>
      </x:c>
      <x:c r="U450" s="920" t="str">
        <x:f>IF(COUNTA($A450:$M450)=0,"",IF(OR(LEFT(LOWER(TRIM($F450&amp;"")),12)="subscription",LOWER(TRIM($F450&amp;""))="membership"),"Subscription",IF(OR(AND($H450&lt;&gt;"",$H450=0),LEFT(LOWER(TRIM($F450&amp;"")),9)="free game",LOWER(TRIM($F450&amp;""))="free",LOWER(TRIM($F450&amp;""))="free entry"),IF(LOWER($L450&amp;"")="yes","Disqualified — Free Game","Free Game"),IF(LOWER($L450&amp;"")="yes","Disqualified",IF($P450="","",IF(ROUND(IFERROR(VALUE($P450),0)-IFERROR(VALUE($H450),0),2)&gt;0,"Profit","Draw"))))))</x:f>
      </x:c>
      <x:c r="V450" s="956" t="str">
        <x:f>IF(COUNTA($A450:$M450)=0,"",IF(OR($B450="",$C450="",$U450="Subscription"),"",IFERROR(ROUNDUP(($C450-$B450)/7,0),"")))</x:f>
      </x:c>
      <x:c r="W450" s="114" t="str">
        <x:f>IF(COUNTA($A450:$M450)=0,"",IF(OR($U450="Subscription",$U450=""),"",IF(OR($U450="Free Game",$U450="Disqualified — Free Game"),0,ROUND(IFERROR($Q450,0)-IFERROR($S450,0),2))))</x:f>
      </x:c>
      <x:c r="X450" s="956" t="str">
        <x:f>IF(COUNTA($A450:$M450)=0,"",IF(OR($U450="Subscription",NOT(ISNUMBER($J450)),NOT(ISNUMBER($I450)),$J450=0,$I450=0,$I450&gt;$J450),"",$J450-$I450))</x:f>
      </x:c>
      <x:c r="Y450" s="955" t="str">
        <x:f>IF(COUNTA($A450:$M450)=0,"",IF(OR($U450="Subscription",NOT(ISNUMBER($J450)),$J450=0,$X450=""),"",$X450/$J450))</x:f>
      </x:c>
      <x:c r="Z450" s="957" t="str">
        <x:f>IF(COUNTA($A450:$M450)=0,"",Instructions!$B$29+SUM($W$5:W450))</x:f>
      </x:c>
    </x:row>
    <x:row r="451" ht="36" customHeight="1">
      <x:c r="A451" s="439"/>
      <x:c r="B451" s="453"/>
      <x:c r="C451" s="453"/>
      <x:c r="D451" s="454"/>
      <x:c r="E451" s="454"/>
      <x:c r="F451" s="454"/>
      <x:c r="G451" s="986"/>
      <x:c r="H451" s="455"/>
      <x:c r="I451" s="456"/>
      <x:c r="J451" s="456"/>
      <x:c r="K451" s="986"/>
      <x:c r="L451" s="454"/>
      <x:c r="M451" s="439"/>
      <x:c r="N451" s="987" t="str">
        <x:f>IF(COUNTA($A451:$M451)=0,"",IF(OR(LEFT(LOWER(TRIM($F451&amp;"")),12)="subscription",LOWER(TRIM($F451&amp;""))="membership"),"",IF($G451="","",IF(ISNUMBER(SEARCH("non",LOWER($E451&amp;""))),$G451*0.85,$G451))))</x:f>
      </x:c>
      <x:c r="O451" s="987" t="str">
        <x:f>IF(COUNTA($A451:$M451)=0,"",IF(OR(LEFT(LOWER(TRIM($F451&amp;"")),12)="subscription",LOWER(TRIM($F451&amp;""))="membership"),"",IF(OR($N451="",$I451="",$I451=0),"",IFERROR($N451/$I451,""))))</x:f>
      </x:c>
      <x:c r="P451" s="987" t="str">
        <x:f>IF(COUNTA($A451:$M451)=0,"",IF(OR(LEFT(LOWER(TRIM($F451&amp;"")),12)="subscription",LOWER(TRIM($F451&amp;""))="membership"),"",IF(LOWER($L451&amp;"")="yes",0,IF(OR(AND($H451&lt;&gt;"",$H451=0),LEFT(LOWER(TRIM($F451&amp;"")),9)="free game",LOWER(TRIM($F451&amp;""))="free",LOWER(TRIM($F451&amp;""))="free entry"),IF(LOWER($D451&amp;"")="finalized",IF(ISNUMBER($K451),$K451,""),IF($O451&lt;&gt;"",$O451,"")),IF($K451&lt;&gt;"",$K451,IF($O451&lt;&gt;"",$O451,""))))))</x:f>
      </x:c>
      <x:c r="Q451" s="114" t="str">
        <x:f>IF(COUNTA($A451:$M451)=0,"",IF(OR($U451="Subscription",$U451=""),"",IF($U451="Profit",ROUND(IFERROR($P451,0)-IFERROR($H451,0),2),0)))</x:f>
      </x:c>
      <x:c r="R451" s="114" t="str">
        <x:f>IF(COUNTA($A451:$M451)=0,"",IF(OR($U451="Subscription",$U451=""),"",IF($U451="Draw",$H451,0)))</x:f>
      </x:c>
      <x:c r="S451" s="114" t="str">
        <x:f>IF(COUNTA($A451:$M451)=0,"",IF(OR($U451="Subscription",$U451=""),"",IF($U451="Disqualified",$H451,0)))</x:f>
      </x:c>
      <x:c r="T451" s="955" t="str">
        <x:f>IF(COUNTA($A451:$M451)=0,"",IF(OR($U451="Subscription",$U451=""),"",IF(OR($U451="Free Game",$U451="Disqualified — Free Game",$H451=0),"N/A",IF($U451="Profit",$Q451/$H451,IF($U451="Disqualified",-$S451/$H451,0)))))</x:f>
      </x:c>
      <x:c r="U451" s="920" t="str">
        <x:f>IF(COUNTA($A451:$M451)=0,"",IF(OR(LEFT(LOWER(TRIM($F451&amp;"")),12)="subscription",LOWER(TRIM($F451&amp;""))="membership"),"Subscription",IF(OR(AND($H451&lt;&gt;"",$H451=0),LEFT(LOWER(TRIM($F451&amp;"")),9)="free game",LOWER(TRIM($F451&amp;""))="free",LOWER(TRIM($F451&amp;""))="free entry"),IF(LOWER($L451&amp;"")="yes","Disqualified — Free Game","Free Game"),IF(LOWER($L451&amp;"")="yes","Disqualified",IF($P451="","",IF(ROUND(IFERROR(VALUE($P451),0)-IFERROR(VALUE($H451),0),2)&gt;0,"Profit","Draw"))))))</x:f>
      </x:c>
      <x:c r="V451" s="956" t="str">
        <x:f>IF(COUNTA($A451:$M451)=0,"",IF(OR($B451="",$C451="",$U451="Subscription"),"",IFERROR(ROUNDUP(($C451-$B451)/7,0),"")))</x:f>
      </x:c>
      <x:c r="W451" s="114" t="str">
        <x:f>IF(COUNTA($A451:$M451)=0,"",IF(OR($U451="Subscription",$U451=""),"",IF(OR($U451="Free Game",$U451="Disqualified — Free Game"),0,ROUND(IFERROR($Q451,0)-IFERROR($S451,0),2))))</x:f>
      </x:c>
      <x:c r="X451" s="956" t="str">
        <x:f>IF(COUNTA($A451:$M451)=0,"",IF(OR($U451="Subscription",NOT(ISNUMBER($J451)),NOT(ISNUMBER($I451)),$J451=0,$I451=0,$I451&gt;$J451),"",$J451-$I451))</x:f>
      </x:c>
      <x:c r="Y451" s="955" t="str">
        <x:f>IF(COUNTA($A451:$M451)=0,"",IF(OR($U451="Subscription",NOT(ISNUMBER($J451)),$J451=0,$X451=""),"",$X451/$J451))</x:f>
      </x:c>
      <x:c r="Z451" s="957" t="str">
        <x:f>IF(COUNTA($A451:$M451)=0,"",Instructions!$B$29+SUM($W$5:W451))</x:f>
      </x:c>
    </x:row>
    <x:row r="452" ht="36" customHeight="1">
      <x:c r="A452" s="439"/>
      <x:c r="B452" s="453"/>
      <x:c r="C452" s="453"/>
      <x:c r="D452" s="454"/>
      <x:c r="E452" s="454"/>
      <x:c r="F452" s="454"/>
      <x:c r="G452" s="986"/>
      <x:c r="H452" s="455"/>
      <x:c r="I452" s="456"/>
      <x:c r="J452" s="456"/>
      <x:c r="K452" s="986"/>
      <x:c r="L452" s="454"/>
      <x:c r="M452" s="439"/>
      <x:c r="N452" s="987" t="str">
        <x:f>IF(COUNTA($A452:$M452)=0,"",IF(OR(LEFT(LOWER(TRIM($F452&amp;"")),12)="subscription",LOWER(TRIM($F452&amp;""))="membership"),"",IF($G452="","",IF(ISNUMBER(SEARCH("non",LOWER($E452&amp;""))),$G452*0.85,$G452))))</x:f>
      </x:c>
      <x:c r="O452" s="987" t="str">
        <x:f>IF(COUNTA($A452:$M452)=0,"",IF(OR(LEFT(LOWER(TRIM($F452&amp;"")),12)="subscription",LOWER(TRIM($F452&amp;""))="membership"),"",IF(OR($N452="",$I452="",$I452=0),"",IFERROR($N452/$I452,""))))</x:f>
      </x:c>
      <x:c r="P452" s="987" t="str">
        <x:f>IF(COUNTA($A452:$M452)=0,"",IF(OR(LEFT(LOWER(TRIM($F452&amp;"")),12)="subscription",LOWER(TRIM($F452&amp;""))="membership"),"",IF(LOWER($L452&amp;"")="yes",0,IF(OR(AND($H452&lt;&gt;"",$H452=0),LEFT(LOWER(TRIM($F452&amp;"")),9)="free game",LOWER(TRIM($F452&amp;""))="free",LOWER(TRIM($F452&amp;""))="free entry"),IF(LOWER($D452&amp;"")="finalized",IF(ISNUMBER($K452),$K452,""),IF($O452&lt;&gt;"",$O452,"")),IF($K452&lt;&gt;"",$K452,IF($O452&lt;&gt;"",$O452,""))))))</x:f>
      </x:c>
      <x:c r="Q452" s="114" t="str">
        <x:f>IF(COUNTA($A452:$M452)=0,"",IF(OR($U452="Subscription",$U452=""),"",IF($U452="Profit",ROUND(IFERROR($P452,0)-IFERROR($H452,0),2),0)))</x:f>
      </x:c>
      <x:c r="R452" s="114" t="str">
        <x:f>IF(COUNTA($A452:$M452)=0,"",IF(OR($U452="Subscription",$U452=""),"",IF($U452="Draw",$H452,0)))</x:f>
      </x:c>
      <x:c r="S452" s="114" t="str">
        <x:f>IF(COUNTA($A452:$M452)=0,"",IF(OR($U452="Subscription",$U452=""),"",IF($U452="Disqualified",$H452,0)))</x:f>
      </x:c>
      <x:c r="T452" s="955" t="str">
        <x:f>IF(COUNTA($A452:$M452)=0,"",IF(OR($U452="Subscription",$U452=""),"",IF(OR($U452="Free Game",$U452="Disqualified — Free Game",$H452=0),"N/A",IF($U452="Profit",$Q452/$H452,IF($U452="Disqualified",-$S452/$H452,0)))))</x:f>
      </x:c>
      <x:c r="U452" s="920" t="str">
        <x:f>IF(COUNTA($A452:$M452)=0,"",IF(OR(LEFT(LOWER(TRIM($F452&amp;"")),12)="subscription",LOWER(TRIM($F452&amp;""))="membership"),"Subscription",IF(OR(AND($H452&lt;&gt;"",$H452=0),LEFT(LOWER(TRIM($F452&amp;"")),9)="free game",LOWER(TRIM($F452&amp;""))="free",LOWER(TRIM($F452&amp;""))="free entry"),IF(LOWER($L452&amp;"")="yes","Disqualified — Free Game","Free Game"),IF(LOWER($L452&amp;"")="yes","Disqualified",IF($P452="","",IF(ROUND(IFERROR(VALUE($P452),0)-IFERROR(VALUE($H452),0),2)&gt;0,"Profit","Draw"))))))</x:f>
      </x:c>
      <x:c r="V452" s="956" t="str">
        <x:f>IF(COUNTA($A452:$M452)=0,"",IF(OR($B452="",$C452="",$U452="Subscription"),"",IFERROR(ROUNDUP(($C452-$B452)/7,0),"")))</x:f>
      </x:c>
      <x:c r="W452" s="114" t="str">
        <x:f>IF(COUNTA($A452:$M452)=0,"",IF(OR($U452="Subscription",$U452=""),"",IF(OR($U452="Free Game",$U452="Disqualified — Free Game"),0,ROUND(IFERROR($Q452,0)-IFERROR($S452,0),2))))</x:f>
      </x:c>
      <x:c r="X452" s="956" t="str">
        <x:f>IF(COUNTA($A452:$M452)=0,"",IF(OR($U452="Subscription",NOT(ISNUMBER($J452)),NOT(ISNUMBER($I452)),$J452=0,$I452=0,$I452&gt;$J452),"",$J452-$I452))</x:f>
      </x:c>
      <x:c r="Y452" s="955" t="str">
        <x:f>IF(COUNTA($A452:$M452)=0,"",IF(OR($U452="Subscription",NOT(ISNUMBER($J452)),$J452=0,$X452=""),"",$X452/$J452))</x:f>
      </x:c>
      <x:c r="Z452" s="957" t="str">
        <x:f>IF(COUNTA($A452:$M452)=0,"",Instructions!$B$29+SUM($W$5:W452))</x:f>
      </x:c>
    </x:row>
    <x:row r="453" ht="36" customHeight="1">
      <x:c r="A453" s="439"/>
      <x:c r="B453" s="453"/>
      <x:c r="C453" s="453"/>
      <x:c r="D453" s="454"/>
      <x:c r="E453" s="454"/>
      <x:c r="F453" s="454"/>
      <x:c r="G453" s="986"/>
      <x:c r="H453" s="455"/>
      <x:c r="I453" s="456"/>
      <x:c r="J453" s="456"/>
      <x:c r="K453" s="986"/>
      <x:c r="L453" s="454"/>
      <x:c r="M453" s="439"/>
      <x:c r="N453" s="987" t="str">
        <x:f>IF(COUNTA($A453:$M453)=0,"",IF(OR(LEFT(LOWER(TRIM($F453&amp;"")),12)="subscription",LOWER(TRIM($F453&amp;""))="membership"),"",IF($G453="","",IF(ISNUMBER(SEARCH("non",LOWER($E453&amp;""))),$G453*0.85,$G453))))</x:f>
      </x:c>
      <x:c r="O453" s="987" t="str">
        <x:f>IF(COUNTA($A453:$M453)=0,"",IF(OR(LEFT(LOWER(TRIM($F453&amp;"")),12)="subscription",LOWER(TRIM($F453&amp;""))="membership"),"",IF(OR($N453="",$I453="",$I453=0),"",IFERROR($N453/$I453,""))))</x:f>
      </x:c>
      <x:c r="P453" s="987" t="str">
        <x:f>IF(COUNTA($A453:$M453)=0,"",IF(OR(LEFT(LOWER(TRIM($F453&amp;"")),12)="subscription",LOWER(TRIM($F453&amp;""))="membership"),"",IF(LOWER($L453&amp;"")="yes",0,IF(OR(AND($H453&lt;&gt;"",$H453=0),LEFT(LOWER(TRIM($F453&amp;"")),9)="free game",LOWER(TRIM($F453&amp;""))="free",LOWER(TRIM($F453&amp;""))="free entry"),IF(LOWER($D453&amp;"")="finalized",IF(ISNUMBER($K453),$K453,""),IF($O453&lt;&gt;"",$O453,"")),IF($K453&lt;&gt;"",$K453,IF($O453&lt;&gt;"",$O453,""))))))</x:f>
      </x:c>
      <x:c r="Q453" s="114" t="str">
        <x:f>IF(COUNTA($A453:$M453)=0,"",IF(OR($U453="Subscription",$U453=""),"",IF($U453="Profit",ROUND(IFERROR($P453,0)-IFERROR($H453,0),2),0)))</x:f>
      </x:c>
      <x:c r="R453" s="114" t="str">
        <x:f>IF(COUNTA($A453:$M453)=0,"",IF(OR($U453="Subscription",$U453=""),"",IF($U453="Draw",$H453,0)))</x:f>
      </x:c>
      <x:c r="S453" s="114" t="str">
        <x:f>IF(COUNTA($A453:$M453)=0,"",IF(OR($U453="Subscription",$U453=""),"",IF($U453="Disqualified",$H453,0)))</x:f>
      </x:c>
      <x:c r="T453" s="955" t="str">
        <x:f>IF(COUNTA($A453:$M453)=0,"",IF(OR($U453="Subscription",$U453=""),"",IF(OR($U453="Free Game",$U453="Disqualified — Free Game",$H453=0),"N/A",IF($U453="Profit",$Q453/$H453,IF($U453="Disqualified",-$S453/$H453,0)))))</x:f>
      </x:c>
      <x:c r="U453" s="920" t="str">
        <x:f>IF(COUNTA($A453:$M453)=0,"",IF(OR(LEFT(LOWER(TRIM($F453&amp;"")),12)="subscription",LOWER(TRIM($F453&amp;""))="membership"),"Subscription",IF(OR(AND($H453&lt;&gt;"",$H453=0),LEFT(LOWER(TRIM($F453&amp;"")),9)="free game",LOWER(TRIM($F453&amp;""))="free",LOWER(TRIM($F453&amp;""))="free entry"),IF(LOWER($L453&amp;"")="yes","Disqualified — Free Game","Free Game"),IF(LOWER($L453&amp;"")="yes","Disqualified",IF($P453="","",IF(ROUND(IFERROR(VALUE($P453),0)-IFERROR(VALUE($H453),0),2)&gt;0,"Profit","Draw"))))))</x:f>
      </x:c>
      <x:c r="V453" s="956" t="str">
        <x:f>IF(COUNTA($A453:$M453)=0,"",IF(OR($B453="",$C453="",$U453="Subscription"),"",IFERROR(ROUNDUP(($C453-$B453)/7,0),"")))</x:f>
      </x:c>
      <x:c r="W453" s="114" t="str">
        <x:f>IF(COUNTA($A453:$M453)=0,"",IF(OR($U453="Subscription",$U453=""),"",IF(OR($U453="Free Game",$U453="Disqualified — Free Game"),0,ROUND(IFERROR($Q453,0)-IFERROR($S453,0),2))))</x:f>
      </x:c>
      <x:c r="X453" s="956" t="str">
        <x:f>IF(COUNTA($A453:$M453)=0,"",IF(OR($U453="Subscription",NOT(ISNUMBER($J453)),NOT(ISNUMBER($I453)),$J453=0,$I453=0,$I453&gt;$J453),"",$J453-$I453))</x:f>
      </x:c>
      <x:c r="Y453" s="955" t="str">
        <x:f>IF(COUNTA($A453:$M453)=0,"",IF(OR($U453="Subscription",NOT(ISNUMBER($J453)),$J453=0,$X453=""),"",$X453/$J453))</x:f>
      </x:c>
      <x:c r="Z453" s="957" t="str">
        <x:f>IF(COUNTA($A453:$M453)=0,"",Instructions!$B$29+SUM($W$5:W453))</x:f>
      </x:c>
    </x:row>
    <x:row r="454" ht="36" customHeight="1">
      <x:c r="A454" s="439"/>
      <x:c r="B454" s="453"/>
      <x:c r="C454" s="453"/>
      <x:c r="D454" s="454"/>
      <x:c r="E454" s="454"/>
      <x:c r="F454" s="454"/>
      <x:c r="G454" s="986"/>
      <x:c r="H454" s="455"/>
      <x:c r="I454" s="456"/>
      <x:c r="J454" s="456"/>
      <x:c r="K454" s="986"/>
      <x:c r="L454" s="454"/>
      <x:c r="M454" s="439"/>
      <x:c r="N454" s="987" t="str">
        <x:f>IF(COUNTA($A454:$M454)=0,"",IF(OR(LEFT(LOWER(TRIM($F454&amp;"")),12)="subscription",LOWER(TRIM($F454&amp;""))="membership"),"",IF($G454="","",IF(ISNUMBER(SEARCH("non",LOWER($E454&amp;""))),$G454*0.85,$G454))))</x:f>
      </x:c>
      <x:c r="O454" s="987" t="str">
        <x:f>IF(COUNTA($A454:$M454)=0,"",IF(OR(LEFT(LOWER(TRIM($F454&amp;"")),12)="subscription",LOWER(TRIM($F454&amp;""))="membership"),"",IF(OR($N454="",$I454="",$I454=0),"",IFERROR($N454/$I454,""))))</x:f>
      </x:c>
      <x:c r="P454" s="987" t="str">
        <x:f>IF(COUNTA($A454:$M454)=0,"",IF(OR(LEFT(LOWER(TRIM($F454&amp;"")),12)="subscription",LOWER(TRIM($F454&amp;""))="membership"),"",IF(LOWER($L454&amp;"")="yes",0,IF(OR(AND($H454&lt;&gt;"",$H454=0),LEFT(LOWER(TRIM($F454&amp;"")),9)="free game",LOWER(TRIM($F454&amp;""))="free",LOWER(TRIM($F454&amp;""))="free entry"),IF(LOWER($D454&amp;"")="finalized",IF(ISNUMBER($K454),$K454,""),IF($O454&lt;&gt;"",$O454,"")),IF($K454&lt;&gt;"",$K454,IF($O454&lt;&gt;"",$O454,""))))))</x:f>
      </x:c>
      <x:c r="Q454" s="114" t="str">
        <x:f>IF(COUNTA($A454:$M454)=0,"",IF(OR($U454="Subscription",$U454=""),"",IF($U454="Profit",ROUND(IFERROR($P454,0)-IFERROR($H454,0),2),0)))</x:f>
      </x:c>
      <x:c r="R454" s="114" t="str">
        <x:f>IF(COUNTA($A454:$M454)=0,"",IF(OR($U454="Subscription",$U454=""),"",IF($U454="Draw",$H454,0)))</x:f>
      </x:c>
      <x:c r="S454" s="114" t="str">
        <x:f>IF(COUNTA($A454:$M454)=0,"",IF(OR($U454="Subscription",$U454=""),"",IF($U454="Disqualified",$H454,0)))</x:f>
      </x:c>
      <x:c r="T454" s="955" t="str">
        <x:f>IF(COUNTA($A454:$M454)=0,"",IF(OR($U454="Subscription",$U454=""),"",IF(OR($U454="Free Game",$U454="Disqualified — Free Game",$H454=0),"N/A",IF($U454="Profit",$Q454/$H454,IF($U454="Disqualified",-$S454/$H454,0)))))</x:f>
      </x:c>
      <x:c r="U454" s="920" t="str">
        <x:f>IF(COUNTA($A454:$M454)=0,"",IF(OR(LEFT(LOWER(TRIM($F454&amp;"")),12)="subscription",LOWER(TRIM($F454&amp;""))="membership"),"Subscription",IF(OR(AND($H454&lt;&gt;"",$H454=0),LEFT(LOWER(TRIM($F454&amp;"")),9)="free game",LOWER(TRIM($F454&amp;""))="free",LOWER(TRIM($F454&amp;""))="free entry"),IF(LOWER($L454&amp;"")="yes","Disqualified — Free Game","Free Game"),IF(LOWER($L454&amp;"")="yes","Disqualified",IF($P454="","",IF(ROUND(IFERROR(VALUE($P454),0)-IFERROR(VALUE($H454),0),2)&gt;0,"Profit","Draw"))))))</x:f>
      </x:c>
      <x:c r="V454" s="956" t="str">
        <x:f>IF(COUNTA($A454:$M454)=0,"",IF(OR($B454="",$C454="",$U454="Subscription"),"",IFERROR(ROUNDUP(($C454-$B454)/7,0),"")))</x:f>
      </x:c>
      <x:c r="W454" s="114" t="str">
        <x:f>IF(COUNTA($A454:$M454)=0,"",IF(OR($U454="Subscription",$U454=""),"",IF(OR($U454="Free Game",$U454="Disqualified — Free Game"),0,ROUND(IFERROR($Q454,0)-IFERROR($S454,0),2))))</x:f>
      </x:c>
      <x:c r="X454" s="956" t="str">
        <x:f>IF(COUNTA($A454:$M454)=0,"",IF(OR($U454="Subscription",NOT(ISNUMBER($J454)),NOT(ISNUMBER($I454)),$J454=0,$I454=0,$I454&gt;$J454),"",$J454-$I454))</x:f>
      </x:c>
      <x:c r="Y454" s="955" t="str">
        <x:f>IF(COUNTA($A454:$M454)=0,"",IF(OR($U454="Subscription",NOT(ISNUMBER($J454)),$J454=0,$X454=""),"",$X454/$J454))</x:f>
      </x:c>
      <x:c r="Z454" s="957" t="str">
        <x:f>IF(COUNTA($A454:$M454)=0,"",Instructions!$B$29+SUM($W$5:W454))</x:f>
      </x:c>
    </x:row>
    <x:row r="455" ht="36" customHeight="1">
      <x:c r="A455" s="439"/>
      <x:c r="B455" s="453"/>
      <x:c r="C455" s="453"/>
      <x:c r="D455" s="454"/>
      <x:c r="E455" s="454"/>
      <x:c r="F455" s="454"/>
      <x:c r="G455" s="986"/>
      <x:c r="H455" s="455"/>
      <x:c r="I455" s="456"/>
      <x:c r="J455" s="456"/>
      <x:c r="K455" s="986"/>
      <x:c r="L455" s="454"/>
      <x:c r="M455" s="439"/>
      <x:c r="N455" s="987" t="str">
        <x:f>IF(COUNTA($A455:$M455)=0,"",IF(OR(LEFT(LOWER(TRIM($F455&amp;"")),12)="subscription",LOWER(TRIM($F455&amp;""))="membership"),"",IF($G455="","",IF(ISNUMBER(SEARCH("non",LOWER($E455&amp;""))),$G455*0.85,$G455))))</x:f>
      </x:c>
      <x:c r="O455" s="987" t="str">
        <x:f>IF(COUNTA($A455:$M455)=0,"",IF(OR(LEFT(LOWER(TRIM($F455&amp;"")),12)="subscription",LOWER(TRIM($F455&amp;""))="membership"),"",IF(OR($N455="",$I455="",$I455=0),"",IFERROR($N455/$I455,""))))</x:f>
      </x:c>
      <x:c r="P455" s="987" t="str">
        <x:f>IF(COUNTA($A455:$M455)=0,"",IF(OR(LEFT(LOWER(TRIM($F455&amp;"")),12)="subscription",LOWER(TRIM($F455&amp;""))="membership"),"",IF(LOWER($L455&amp;"")="yes",0,IF(OR(AND($H455&lt;&gt;"",$H455=0),LEFT(LOWER(TRIM($F455&amp;"")),9)="free game",LOWER(TRIM($F455&amp;""))="free",LOWER(TRIM($F455&amp;""))="free entry"),IF(LOWER($D455&amp;"")="finalized",IF(ISNUMBER($K455),$K455,""),IF($O455&lt;&gt;"",$O455,"")),IF($K455&lt;&gt;"",$K455,IF($O455&lt;&gt;"",$O455,""))))))</x:f>
      </x:c>
      <x:c r="Q455" s="114" t="str">
        <x:f>IF(COUNTA($A455:$M455)=0,"",IF(OR($U455="Subscription",$U455=""),"",IF($U455="Profit",ROUND(IFERROR($P455,0)-IFERROR($H455,0),2),0)))</x:f>
      </x:c>
      <x:c r="R455" s="114" t="str">
        <x:f>IF(COUNTA($A455:$M455)=0,"",IF(OR($U455="Subscription",$U455=""),"",IF($U455="Draw",$H455,0)))</x:f>
      </x:c>
      <x:c r="S455" s="114" t="str">
        <x:f>IF(COUNTA($A455:$M455)=0,"",IF(OR($U455="Subscription",$U455=""),"",IF($U455="Disqualified",$H455,0)))</x:f>
      </x:c>
      <x:c r="T455" s="955" t="str">
        <x:f>IF(COUNTA($A455:$M455)=0,"",IF(OR($U455="Subscription",$U455=""),"",IF(OR($U455="Free Game",$U455="Disqualified — Free Game",$H455=0),"N/A",IF($U455="Profit",$Q455/$H455,IF($U455="Disqualified",-$S455/$H455,0)))))</x:f>
      </x:c>
      <x:c r="U455" s="920" t="str">
        <x:f>IF(COUNTA($A455:$M455)=0,"",IF(OR(LEFT(LOWER(TRIM($F455&amp;"")),12)="subscription",LOWER(TRIM($F455&amp;""))="membership"),"Subscription",IF(OR(AND($H455&lt;&gt;"",$H455=0),LEFT(LOWER(TRIM($F455&amp;"")),9)="free game",LOWER(TRIM($F455&amp;""))="free",LOWER(TRIM($F455&amp;""))="free entry"),IF(LOWER($L455&amp;"")="yes","Disqualified — Free Game","Free Game"),IF(LOWER($L455&amp;"")="yes","Disqualified",IF($P455="","",IF(ROUND(IFERROR(VALUE($P455),0)-IFERROR(VALUE($H455),0),2)&gt;0,"Profit","Draw"))))))</x:f>
      </x:c>
      <x:c r="V455" s="956" t="str">
        <x:f>IF(COUNTA($A455:$M455)=0,"",IF(OR($B455="",$C455="",$U455="Subscription"),"",IFERROR(ROUNDUP(($C455-$B455)/7,0),"")))</x:f>
      </x:c>
      <x:c r="W455" s="114" t="str">
        <x:f>IF(COUNTA($A455:$M455)=0,"",IF(OR($U455="Subscription",$U455=""),"",IF(OR($U455="Free Game",$U455="Disqualified — Free Game"),0,ROUND(IFERROR($Q455,0)-IFERROR($S455,0),2))))</x:f>
      </x:c>
      <x:c r="X455" s="956" t="str">
        <x:f>IF(COUNTA($A455:$M455)=0,"",IF(OR($U455="Subscription",NOT(ISNUMBER($J455)),NOT(ISNUMBER($I455)),$J455=0,$I455=0,$I455&gt;$J455),"",$J455-$I455))</x:f>
      </x:c>
      <x:c r="Y455" s="955" t="str">
        <x:f>IF(COUNTA($A455:$M455)=0,"",IF(OR($U455="Subscription",NOT(ISNUMBER($J455)),$J455=0,$X455=""),"",$X455/$J455))</x:f>
      </x:c>
      <x:c r="Z455" s="957" t="str">
        <x:f>IF(COUNTA($A455:$M455)=0,"",Instructions!$B$29+SUM($W$5:W455))</x:f>
      </x:c>
    </x:row>
    <x:row r="456" ht="36" customHeight="1">
      <x:c r="A456" s="439"/>
      <x:c r="B456" s="453"/>
      <x:c r="C456" s="453"/>
      <x:c r="D456" s="454"/>
      <x:c r="E456" s="454"/>
      <x:c r="F456" s="454"/>
      <x:c r="G456" s="986"/>
      <x:c r="H456" s="455"/>
      <x:c r="I456" s="456"/>
      <x:c r="J456" s="456"/>
      <x:c r="K456" s="986"/>
      <x:c r="L456" s="454"/>
      <x:c r="M456" s="439"/>
      <x:c r="N456" s="987" t="str">
        <x:f>IF(COUNTA($A456:$M456)=0,"",IF(OR(LEFT(LOWER(TRIM($F456&amp;"")),12)="subscription",LOWER(TRIM($F456&amp;""))="membership"),"",IF($G456="","",IF(ISNUMBER(SEARCH("non",LOWER($E456&amp;""))),$G456*0.85,$G456))))</x:f>
      </x:c>
      <x:c r="O456" s="987" t="str">
        <x:f>IF(COUNTA($A456:$M456)=0,"",IF(OR(LEFT(LOWER(TRIM($F456&amp;"")),12)="subscription",LOWER(TRIM($F456&amp;""))="membership"),"",IF(OR($N456="",$I456="",$I456=0),"",IFERROR($N456/$I456,""))))</x:f>
      </x:c>
      <x:c r="P456" s="987" t="str">
        <x:f>IF(COUNTA($A456:$M456)=0,"",IF(OR(LEFT(LOWER(TRIM($F456&amp;"")),12)="subscription",LOWER(TRIM($F456&amp;""))="membership"),"",IF(LOWER($L456&amp;"")="yes",0,IF(OR(AND($H456&lt;&gt;"",$H456=0),LEFT(LOWER(TRIM($F456&amp;"")),9)="free game",LOWER(TRIM($F456&amp;""))="free",LOWER(TRIM($F456&amp;""))="free entry"),IF(LOWER($D456&amp;"")="finalized",IF(ISNUMBER($K456),$K456,""),IF($O456&lt;&gt;"",$O456,"")),IF($K456&lt;&gt;"",$K456,IF($O456&lt;&gt;"",$O456,""))))))</x:f>
      </x:c>
      <x:c r="Q456" s="114" t="str">
        <x:f>IF(COUNTA($A456:$M456)=0,"",IF(OR($U456="Subscription",$U456=""),"",IF($U456="Profit",ROUND(IFERROR($P456,0)-IFERROR($H456,0),2),0)))</x:f>
      </x:c>
      <x:c r="R456" s="114" t="str">
        <x:f>IF(COUNTA($A456:$M456)=0,"",IF(OR($U456="Subscription",$U456=""),"",IF($U456="Draw",$H456,0)))</x:f>
      </x:c>
      <x:c r="S456" s="114" t="str">
        <x:f>IF(COUNTA($A456:$M456)=0,"",IF(OR($U456="Subscription",$U456=""),"",IF($U456="Disqualified",$H456,0)))</x:f>
      </x:c>
      <x:c r="T456" s="955" t="str">
        <x:f>IF(COUNTA($A456:$M456)=0,"",IF(OR($U456="Subscription",$U456=""),"",IF(OR($U456="Free Game",$U456="Disqualified — Free Game",$H456=0),"N/A",IF($U456="Profit",$Q456/$H456,IF($U456="Disqualified",-$S456/$H456,0)))))</x:f>
      </x:c>
      <x:c r="U456" s="920" t="str">
        <x:f>IF(COUNTA($A456:$M456)=0,"",IF(OR(LEFT(LOWER(TRIM($F456&amp;"")),12)="subscription",LOWER(TRIM($F456&amp;""))="membership"),"Subscription",IF(OR(AND($H456&lt;&gt;"",$H456=0),LEFT(LOWER(TRIM($F456&amp;"")),9)="free game",LOWER(TRIM($F456&amp;""))="free",LOWER(TRIM($F456&amp;""))="free entry"),IF(LOWER($L456&amp;"")="yes","Disqualified — Free Game","Free Game"),IF(LOWER($L456&amp;"")="yes","Disqualified",IF($P456="","",IF(ROUND(IFERROR(VALUE($P456),0)-IFERROR(VALUE($H456),0),2)&gt;0,"Profit","Draw"))))))</x:f>
      </x:c>
      <x:c r="V456" s="956" t="str">
        <x:f>IF(COUNTA($A456:$M456)=0,"",IF(OR($B456="",$C456="",$U456="Subscription"),"",IFERROR(ROUNDUP(($C456-$B456)/7,0),"")))</x:f>
      </x:c>
      <x:c r="W456" s="114" t="str">
        <x:f>IF(COUNTA($A456:$M456)=0,"",IF(OR($U456="Subscription",$U456=""),"",IF(OR($U456="Free Game",$U456="Disqualified — Free Game"),0,ROUND(IFERROR($Q456,0)-IFERROR($S456,0),2))))</x:f>
      </x:c>
      <x:c r="X456" s="956" t="str">
        <x:f>IF(COUNTA($A456:$M456)=0,"",IF(OR($U456="Subscription",NOT(ISNUMBER($J456)),NOT(ISNUMBER($I456)),$J456=0,$I456=0,$I456&gt;$J456),"",$J456-$I456))</x:f>
      </x:c>
      <x:c r="Y456" s="955" t="str">
        <x:f>IF(COUNTA($A456:$M456)=0,"",IF(OR($U456="Subscription",NOT(ISNUMBER($J456)),$J456=0,$X456=""),"",$X456/$J456))</x:f>
      </x:c>
      <x:c r="Z456" s="957" t="str">
        <x:f>IF(COUNTA($A456:$M456)=0,"",Instructions!$B$29+SUM($W$5:W456))</x:f>
      </x:c>
    </x:row>
    <x:row r="457" ht="36" customHeight="1">
      <x:c r="A457" s="439"/>
      <x:c r="B457" s="453"/>
      <x:c r="C457" s="453"/>
      <x:c r="D457" s="454"/>
      <x:c r="E457" s="454"/>
      <x:c r="F457" s="454"/>
      <x:c r="G457" s="986"/>
      <x:c r="H457" s="455"/>
      <x:c r="I457" s="456"/>
      <x:c r="J457" s="456"/>
      <x:c r="K457" s="986"/>
      <x:c r="L457" s="454"/>
      <x:c r="M457" s="439"/>
      <x:c r="N457" s="987" t="str">
        <x:f>IF(COUNTA($A457:$M457)=0,"",IF(OR(LEFT(LOWER(TRIM($F457&amp;"")),12)="subscription",LOWER(TRIM($F457&amp;""))="membership"),"",IF($G457="","",IF(ISNUMBER(SEARCH("non",LOWER($E457&amp;""))),$G457*0.85,$G457))))</x:f>
      </x:c>
      <x:c r="O457" s="987" t="str">
        <x:f>IF(COUNTA($A457:$M457)=0,"",IF(OR(LEFT(LOWER(TRIM($F457&amp;"")),12)="subscription",LOWER(TRIM($F457&amp;""))="membership"),"",IF(OR($N457="",$I457="",$I457=0),"",IFERROR($N457/$I457,""))))</x:f>
      </x:c>
      <x:c r="P457" s="987" t="str">
        <x:f>IF(COUNTA($A457:$M457)=0,"",IF(OR(LEFT(LOWER(TRIM($F457&amp;"")),12)="subscription",LOWER(TRIM($F457&amp;""))="membership"),"",IF(LOWER($L457&amp;"")="yes",0,IF(OR(AND($H457&lt;&gt;"",$H457=0),LEFT(LOWER(TRIM($F457&amp;"")),9)="free game",LOWER(TRIM($F457&amp;""))="free",LOWER(TRIM($F457&amp;""))="free entry"),IF(LOWER($D457&amp;"")="finalized",IF(ISNUMBER($K457),$K457,""),IF($O457&lt;&gt;"",$O457,"")),IF($K457&lt;&gt;"",$K457,IF($O457&lt;&gt;"",$O457,""))))))</x:f>
      </x:c>
      <x:c r="Q457" s="114" t="str">
        <x:f>IF(COUNTA($A457:$M457)=0,"",IF(OR($U457="Subscription",$U457=""),"",IF($U457="Profit",ROUND(IFERROR($P457,0)-IFERROR($H457,0),2),0)))</x:f>
      </x:c>
      <x:c r="R457" s="114" t="str">
        <x:f>IF(COUNTA($A457:$M457)=0,"",IF(OR($U457="Subscription",$U457=""),"",IF($U457="Draw",$H457,0)))</x:f>
      </x:c>
      <x:c r="S457" s="114" t="str">
        <x:f>IF(COUNTA($A457:$M457)=0,"",IF(OR($U457="Subscription",$U457=""),"",IF($U457="Disqualified",$H457,0)))</x:f>
      </x:c>
      <x:c r="T457" s="955" t="str">
        <x:f>IF(COUNTA($A457:$M457)=0,"",IF(OR($U457="Subscription",$U457=""),"",IF(OR($U457="Free Game",$U457="Disqualified — Free Game",$H457=0),"N/A",IF($U457="Profit",$Q457/$H457,IF($U457="Disqualified",-$S457/$H457,0)))))</x:f>
      </x:c>
      <x:c r="U457" s="920" t="str">
        <x:f>IF(COUNTA($A457:$M457)=0,"",IF(OR(LEFT(LOWER(TRIM($F457&amp;"")),12)="subscription",LOWER(TRIM($F457&amp;""))="membership"),"Subscription",IF(OR(AND($H457&lt;&gt;"",$H457=0),LEFT(LOWER(TRIM($F457&amp;"")),9)="free game",LOWER(TRIM($F457&amp;""))="free",LOWER(TRIM($F457&amp;""))="free entry"),IF(LOWER($L457&amp;"")="yes","Disqualified — Free Game","Free Game"),IF(LOWER($L457&amp;"")="yes","Disqualified",IF($P457="","",IF(ROUND(IFERROR(VALUE($P457),0)-IFERROR(VALUE($H457),0),2)&gt;0,"Profit","Draw"))))))</x:f>
      </x:c>
      <x:c r="V457" s="956" t="str">
        <x:f>IF(COUNTA($A457:$M457)=0,"",IF(OR($B457="",$C457="",$U457="Subscription"),"",IFERROR(ROUNDUP(($C457-$B457)/7,0),"")))</x:f>
      </x:c>
      <x:c r="W457" s="114" t="str">
        <x:f>IF(COUNTA($A457:$M457)=0,"",IF(OR($U457="Subscription",$U457=""),"",IF(OR($U457="Free Game",$U457="Disqualified — Free Game"),0,ROUND(IFERROR($Q457,0)-IFERROR($S457,0),2))))</x:f>
      </x:c>
      <x:c r="X457" s="956" t="str">
        <x:f>IF(COUNTA($A457:$M457)=0,"",IF(OR($U457="Subscription",NOT(ISNUMBER($J457)),NOT(ISNUMBER($I457)),$J457=0,$I457=0,$I457&gt;$J457),"",$J457-$I457))</x:f>
      </x:c>
      <x:c r="Y457" s="955" t="str">
        <x:f>IF(COUNTA($A457:$M457)=0,"",IF(OR($U457="Subscription",NOT(ISNUMBER($J457)),$J457=0,$X457=""),"",$X457/$J457))</x:f>
      </x:c>
      <x:c r="Z457" s="957" t="str">
        <x:f>IF(COUNTA($A457:$M457)=0,"",Instructions!$B$29+SUM($W$5:W457))</x:f>
      </x:c>
    </x:row>
    <x:row r="458" ht="36" customHeight="1">
      <x:c r="A458" s="439"/>
      <x:c r="B458" s="453"/>
      <x:c r="C458" s="453"/>
      <x:c r="D458" s="454"/>
      <x:c r="E458" s="454"/>
      <x:c r="F458" s="454"/>
      <x:c r="G458" s="986"/>
      <x:c r="H458" s="455"/>
      <x:c r="I458" s="456"/>
      <x:c r="J458" s="456"/>
      <x:c r="K458" s="986"/>
      <x:c r="L458" s="454"/>
      <x:c r="M458" s="439"/>
      <x:c r="N458" s="987" t="str">
        <x:f>IF(COUNTA($A458:$M458)=0,"",IF(OR(LEFT(LOWER(TRIM($F458&amp;"")),12)="subscription",LOWER(TRIM($F458&amp;""))="membership"),"",IF($G458="","",IF(ISNUMBER(SEARCH("non",LOWER($E458&amp;""))),$G458*0.85,$G458))))</x:f>
      </x:c>
      <x:c r="O458" s="987" t="str">
        <x:f>IF(COUNTA($A458:$M458)=0,"",IF(OR(LEFT(LOWER(TRIM($F458&amp;"")),12)="subscription",LOWER(TRIM($F458&amp;""))="membership"),"",IF(OR($N458="",$I458="",$I458=0),"",IFERROR($N458/$I458,""))))</x:f>
      </x:c>
      <x:c r="P458" s="987" t="str">
        <x:f>IF(COUNTA($A458:$M458)=0,"",IF(OR(LEFT(LOWER(TRIM($F458&amp;"")),12)="subscription",LOWER(TRIM($F458&amp;""))="membership"),"",IF(LOWER($L458&amp;"")="yes",0,IF(OR(AND($H458&lt;&gt;"",$H458=0),LEFT(LOWER(TRIM($F458&amp;"")),9)="free game",LOWER(TRIM($F458&amp;""))="free",LOWER(TRIM($F458&amp;""))="free entry"),IF(LOWER($D458&amp;"")="finalized",IF(ISNUMBER($K458),$K458,""),IF($O458&lt;&gt;"",$O458,"")),IF($K458&lt;&gt;"",$K458,IF($O458&lt;&gt;"",$O458,""))))))</x:f>
      </x:c>
      <x:c r="Q458" s="114" t="str">
        <x:f>IF(COUNTA($A458:$M458)=0,"",IF(OR($U458="Subscription",$U458=""),"",IF($U458="Profit",ROUND(IFERROR($P458,0)-IFERROR($H458,0),2),0)))</x:f>
      </x:c>
      <x:c r="R458" s="114" t="str">
        <x:f>IF(COUNTA($A458:$M458)=0,"",IF(OR($U458="Subscription",$U458=""),"",IF($U458="Draw",$H458,0)))</x:f>
      </x:c>
      <x:c r="S458" s="114" t="str">
        <x:f>IF(COUNTA($A458:$M458)=0,"",IF(OR($U458="Subscription",$U458=""),"",IF($U458="Disqualified",$H458,0)))</x:f>
      </x:c>
      <x:c r="T458" s="955" t="str">
        <x:f>IF(COUNTA($A458:$M458)=0,"",IF(OR($U458="Subscription",$U458=""),"",IF(OR($U458="Free Game",$U458="Disqualified — Free Game",$H458=0),"N/A",IF($U458="Profit",$Q458/$H458,IF($U458="Disqualified",-$S458/$H458,0)))))</x:f>
      </x:c>
      <x:c r="U458" s="920" t="str">
        <x:f>IF(COUNTA($A458:$M458)=0,"",IF(OR(LEFT(LOWER(TRIM($F458&amp;"")),12)="subscription",LOWER(TRIM($F458&amp;""))="membership"),"Subscription",IF(OR(AND($H458&lt;&gt;"",$H458=0),LEFT(LOWER(TRIM($F458&amp;"")),9)="free game",LOWER(TRIM($F458&amp;""))="free",LOWER(TRIM($F458&amp;""))="free entry"),IF(LOWER($L458&amp;"")="yes","Disqualified — Free Game","Free Game"),IF(LOWER($L458&amp;"")="yes","Disqualified",IF($P458="","",IF(ROUND(IFERROR(VALUE($P458),0)-IFERROR(VALUE($H458),0),2)&gt;0,"Profit","Draw"))))))</x:f>
      </x:c>
      <x:c r="V458" s="956" t="str">
        <x:f>IF(COUNTA($A458:$M458)=0,"",IF(OR($B458="",$C458="",$U458="Subscription"),"",IFERROR(ROUNDUP(($C458-$B458)/7,0),"")))</x:f>
      </x:c>
      <x:c r="W458" s="114" t="str">
        <x:f>IF(COUNTA($A458:$M458)=0,"",IF(OR($U458="Subscription",$U458=""),"",IF(OR($U458="Free Game",$U458="Disqualified — Free Game"),0,ROUND(IFERROR($Q458,0)-IFERROR($S458,0),2))))</x:f>
      </x:c>
      <x:c r="X458" s="956" t="str">
        <x:f>IF(COUNTA($A458:$M458)=0,"",IF(OR($U458="Subscription",NOT(ISNUMBER($J458)),NOT(ISNUMBER($I458)),$J458=0,$I458=0,$I458&gt;$J458),"",$J458-$I458))</x:f>
      </x:c>
      <x:c r="Y458" s="955" t="str">
        <x:f>IF(COUNTA($A458:$M458)=0,"",IF(OR($U458="Subscription",NOT(ISNUMBER($J458)),$J458=0,$X458=""),"",$X458/$J458))</x:f>
      </x:c>
      <x:c r="Z458" s="957" t="str">
        <x:f>IF(COUNTA($A458:$M458)=0,"",Instructions!$B$29+SUM($W$5:W458))</x:f>
      </x:c>
    </x:row>
    <x:row r="459" ht="36" customHeight="1">
      <x:c r="A459" s="439"/>
      <x:c r="B459" s="453"/>
      <x:c r="C459" s="453"/>
      <x:c r="D459" s="454"/>
      <x:c r="E459" s="454"/>
      <x:c r="F459" s="454"/>
      <x:c r="G459" s="986"/>
      <x:c r="H459" s="455"/>
      <x:c r="I459" s="456"/>
      <x:c r="J459" s="456"/>
      <x:c r="K459" s="986"/>
      <x:c r="L459" s="454"/>
      <x:c r="M459" s="439"/>
      <x:c r="N459" s="987" t="str">
        <x:f>IF(COUNTA($A459:$M459)=0,"",IF(OR(LEFT(LOWER(TRIM($F459&amp;"")),12)="subscription",LOWER(TRIM($F459&amp;""))="membership"),"",IF($G459="","",IF(ISNUMBER(SEARCH("non",LOWER($E459&amp;""))),$G459*0.85,$G459))))</x:f>
      </x:c>
      <x:c r="O459" s="987" t="str">
        <x:f>IF(COUNTA($A459:$M459)=0,"",IF(OR(LEFT(LOWER(TRIM($F459&amp;"")),12)="subscription",LOWER(TRIM($F459&amp;""))="membership"),"",IF(OR($N459="",$I459="",$I459=0),"",IFERROR($N459/$I459,""))))</x:f>
      </x:c>
      <x:c r="P459" s="987" t="str">
        <x:f>IF(COUNTA($A459:$M459)=0,"",IF(OR(LEFT(LOWER(TRIM($F459&amp;"")),12)="subscription",LOWER(TRIM($F459&amp;""))="membership"),"",IF(LOWER($L459&amp;"")="yes",0,IF(OR(AND($H459&lt;&gt;"",$H459=0),LEFT(LOWER(TRIM($F459&amp;"")),9)="free game",LOWER(TRIM($F459&amp;""))="free",LOWER(TRIM($F459&amp;""))="free entry"),IF(LOWER($D459&amp;"")="finalized",IF(ISNUMBER($K459),$K459,""),IF($O459&lt;&gt;"",$O459,"")),IF($K459&lt;&gt;"",$K459,IF($O459&lt;&gt;"",$O459,""))))))</x:f>
      </x:c>
      <x:c r="Q459" s="114" t="str">
        <x:f>IF(COUNTA($A459:$M459)=0,"",IF(OR($U459="Subscription",$U459=""),"",IF($U459="Profit",ROUND(IFERROR($P459,0)-IFERROR($H459,0),2),0)))</x:f>
      </x:c>
      <x:c r="R459" s="114" t="str">
        <x:f>IF(COUNTA($A459:$M459)=0,"",IF(OR($U459="Subscription",$U459=""),"",IF($U459="Draw",$H459,0)))</x:f>
      </x:c>
      <x:c r="S459" s="114" t="str">
        <x:f>IF(COUNTA($A459:$M459)=0,"",IF(OR($U459="Subscription",$U459=""),"",IF($U459="Disqualified",$H459,0)))</x:f>
      </x:c>
      <x:c r="T459" s="955" t="str">
        <x:f>IF(COUNTA($A459:$M459)=0,"",IF(OR($U459="Subscription",$U459=""),"",IF(OR($U459="Free Game",$U459="Disqualified — Free Game",$H459=0),"N/A",IF($U459="Profit",$Q459/$H459,IF($U459="Disqualified",-$S459/$H459,0)))))</x:f>
      </x:c>
      <x:c r="U459" s="920" t="str">
        <x:f>IF(COUNTA($A459:$M459)=0,"",IF(OR(LEFT(LOWER(TRIM($F459&amp;"")),12)="subscription",LOWER(TRIM($F459&amp;""))="membership"),"Subscription",IF(OR(AND($H459&lt;&gt;"",$H459=0),LEFT(LOWER(TRIM($F459&amp;"")),9)="free game",LOWER(TRIM($F459&amp;""))="free",LOWER(TRIM($F459&amp;""))="free entry"),IF(LOWER($L459&amp;"")="yes","Disqualified — Free Game","Free Game"),IF(LOWER($L459&amp;"")="yes","Disqualified",IF($P459="","",IF(ROUND(IFERROR(VALUE($P459),0)-IFERROR(VALUE($H459),0),2)&gt;0,"Profit","Draw"))))))</x:f>
      </x:c>
      <x:c r="V459" s="956" t="str">
        <x:f>IF(COUNTA($A459:$M459)=0,"",IF(OR($B459="",$C459="",$U459="Subscription"),"",IFERROR(ROUNDUP(($C459-$B459)/7,0),"")))</x:f>
      </x:c>
      <x:c r="W459" s="114" t="str">
        <x:f>IF(COUNTA($A459:$M459)=0,"",IF(OR($U459="Subscription",$U459=""),"",IF(OR($U459="Free Game",$U459="Disqualified — Free Game"),0,ROUND(IFERROR($Q459,0)-IFERROR($S459,0),2))))</x:f>
      </x:c>
      <x:c r="X459" s="956" t="str">
        <x:f>IF(COUNTA($A459:$M459)=0,"",IF(OR($U459="Subscription",NOT(ISNUMBER($J459)),NOT(ISNUMBER($I459)),$J459=0,$I459=0,$I459&gt;$J459),"",$J459-$I459))</x:f>
      </x:c>
      <x:c r="Y459" s="955" t="str">
        <x:f>IF(COUNTA($A459:$M459)=0,"",IF(OR($U459="Subscription",NOT(ISNUMBER($J459)),$J459=0,$X459=""),"",$X459/$J459))</x:f>
      </x:c>
      <x:c r="Z459" s="957" t="str">
        <x:f>IF(COUNTA($A459:$M459)=0,"",Instructions!$B$29+SUM($W$5:W459))</x:f>
      </x:c>
    </x:row>
    <x:row r="460" ht="36" customHeight="1">
      <x:c r="A460" s="439"/>
      <x:c r="B460" s="453"/>
      <x:c r="C460" s="453"/>
      <x:c r="D460" s="454"/>
      <x:c r="E460" s="454"/>
      <x:c r="F460" s="454"/>
      <x:c r="G460" s="986"/>
      <x:c r="H460" s="455"/>
      <x:c r="I460" s="456"/>
      <x:c r="J460" s="456"/>
      <x:c r="K460" s="986"/>
      <x:c r="L460" s="454"/>
      <x:c r="M460" s="439"/>
      <x:c r="N460" s="987" t="str">
        <x:f>IF(COUNTA($A460:$M460)=0,"",IF(OR(LEFT(LOWER(TRIM($F460&amp;"")),12)="subscription",LOWER(TRIM($F460&amp;""))="membership"),"",IF($G460="","",IF(ISNUMBER(SEARCH("non",LOWER($E460&amp;""))),$G460*0.85,$G460))))</x:f>
      </x:c>
      <x:c r="O460" s="987" t="str">
        <x:f>IF(COUNTA($A460:$M460)=0,"",IF(OR(LEFT(LOWER(TRIM($F460&amp;"")),12)="subscription",LOWER(TRIM($F460&amp;""))="membership"),"",IF(OR($N460="",$I460="",$I460=0),"",IFERROR($N460/$I460,""))))</x:f>
      </x:c>
      <x:c r="P460" s="987" t="str">
        <x:f>IF(COUNTA($A460:$M460)=0,"",IF(OR(LEFT(LOWER(TRIM($F460&amp;"")),12)="subscription",LOWER(TRIM($F460&amp;""))="membership"),"",IF(LOWER($L460&amp;"")="yes",0,IF(OR(AND($H460&lt;&gt;"",$H460=0),LEFT(LOWER(TRIM($F460&amp;"")),9)="free game",LOWER(TRIM($F460&amp;""))="free",LOWER(TRIM($F460&amp;""))="free entry"),IF(LOWER($D460&amp;"")="finalized",IF(ISNUMBER($K460),$K460,""),IF($O460&lt;&gt;"",$O460,"")),IF($K460&lt;&gt;"",$K460,IF($O460&lt;&gt;"",$O460,""))))))</x:f>
      </x:c>
      <x:c r="Q460" s="114" t="str">
        <x:f>IF(COUNTA($A460:$M460)=0,"",IF(OR($U460="Subscription",$U460=""),"",IF($U460="Profit",ROUND(IFERROR($P460,0)-IFERROR($H460,0),2),0)))</x:f>
      </x:c>
      <x:c r="R460" s="114" t="str">
        <x:f>IF(COUNTA($A460:$M460)=0,"",IF(OR($U460="Subscription",$U460=""),"",IF($U460="Draw",$H460,0)))</x:f>
      </x:c>
      <x:c r="S460" s="114" t="str">
        <x:f>IF(COUNTA($A460:$M460)=0,"",IF(OR($U460="Subscription",$U460=""),"",IF($U460="Disqualified",$H460,0)))</x:f>
      </x:c>
      <x:c r="T460" s="955" t="str">
        <x:f>IF(COUNTA($A460:$M460)=0,"",IF(OR($U460="Subscription",$U460=""),"",IF(OR($U460="Free Game",$U460="Disqualified — Free Game",$H460=0),"N/A",IF($U460="Profit",$Q460/$H460,IF($U460="Disqualified",-$S460/$H460,0)))))</x:f>
      </x:c>
      <x:c r="U460" s="920" t="str">
        <x:f>IF(COUNTA($A460:$M460)=0,"",IF(OR(LEFT(LOWER(TRIM($F460&amp;"")),12)="subscription",LOWER(TRIM($F460&amp;""))="membership"),"Subscription",IF(OR(AND($H460&lt;&gt;"",$H460=0),LEFT(LOWER(TRIM($F460&amp;"")),9)="free game",LOWER(TRIM($F460&amp;""))="free",LOWER(TRIM($F460&amp;""))="free entry"),IF(LOWER($L460&amp;"")="yes","Disqualified — Free Game","Free Game"),IF(LOWER($L460&amp;"")="yes","Disqualified",IF($P460="","",IF(ROUND(IFERROR(VALUE($P460),0)-IFERROR(VALUE($H460),0),2)&gt;0,"Profit","Draw"))))))</x:f>
      </x:c>
      <x:c r="V460" s="956" t="str">
        <x:f>IF(COUNTA($A460:$M460)=0,"",IF(OR($B460="",$C460="",$U460="Subscription"),"",IFERROR(ROUNDUP(($C460-$B460)/7,0),"")))</x:f>
      </x:c>
      <x:c r="W460" s="114" t="str">
        <x:f>IF(COUNTA($A460:$M460)=0,"",IF(OR($U460="Subscription",$U460=""),"",IF(OR($U460="Free Game",$U460="Disqualified — Free Game"),0,ROUND(IFERROR($Q460,0)-IFERROR($S460,0),2))))</x:f>
      </x:c>
      <x:c r="X460" s="956" t="str">
        <x:f>IF(COUNTA($A460:$M460)=0,"",IF(OR($U460="Subscription",NOT(ISNUMBER($J460)),NOT(ISNUMBER($I460)),$J460=0,$I460=0,$I460&gt;$J460),"",$J460-$I460))</x:f>
      </x:c>
      <x:c r="Y460" s="955" t="str">
        <x:f>IF(COUNTA($A460:$M460)=0,"",IF(OR($U460="Subscription",NOT(ISNUMBER($J460)),$J460=0,$X460=""),"",$X460/$J460))</x:f>
      </x:c>
      <x:c r="Z460" s="957" t="str">
        <x:f>IF(COUNTA($A460:$M460)=0,"",Instructions!$B$29+SUM($W$5:W460))</x:f>
      </x:c>
    </x:row>
    <x:row r="461" ht="36" customHeight="1">
      <x:c r="A461" s="439"/>
      <x:c r="B461" s="453"/>
      <x:c r="C461" s="453"/>
      <x:c r="D461" s="454"/>
      <x:c r="E461" s="454"/>
      <x:c r="F461" s="454"/>
      <x:c r="G461" s="986"/>
      <x:c r="H461" s="455"/>
      <x:c r="I461" s="456"/>
      <x:c r="J461" s="456"/>
      <x:c r="K461" s="986"/>
      <x:c r="L461" s="454"/>
      <x:c r="M461" s="439"/>
      <x:c r="N461" s="987" t="str">
        <x:f>IF(COUNTA($A461:$M461)=0,"",IF(OR(LEFT(LOWER(TRIM($F461&amp;"")),12)="subscription",LOWER(TRIM($F461&amp;""))="membership"),"",IF($G461="","",IF(ISNUMBER(SEARCH("non",LOWER($E461&amp;""))),$G461*0.85,$G461))))</x:f>
      </x:c>
      <x:c r="O461" s="987" t="str">
        <x:f>IF(COUNTA($A461:$M461)=0,"",IF(OR(LEFT(LOWER(TRIM($F461&amp;"")),12)="subscription",LOWER(TRIM($F461&amp;""))="membership"),"",IF(OR($N461="",$I461="",$I461=0),"",IFERROR($N461/$I461,""))))</x:f>
      </x:c>
      <x:c r="P461" s="987" t="str">
        <x:f>IF(COUNTA($A461:$M461)=0,"",IF(OR(LEFT(LOWER(TRIM($F461&amp;"")),12)="subscription",LOWER(TRIM($F461&amp;""))="membership"),"",IF(LOWER($L461&amp;"")="yes",0,IF(OR(AND($H461&lt;&gt;"",$H461=0),LEFT(LOWER(TRIM($F461&amp;"")),9)="free game",LOWER(TRIM($F461&amp;""))="free",LOWER(TRIM($F461&amp;""))="free entry"),IF(LOWER($D461&amp;"")="finalized",IF(ISNUMBER($K461),$K461,""),IF($O461&lt;&gt;"",$O461,"")),IF($K461&lt;&gt;"",$K461,IF($O461&lt;&gt;"",$O461,""))))))</x:f>
      </x:c>
      <x:c r="Q461" s="114" t="str">
        <x:f>IF(COUNTA($A461:$M461)=0,"",IF(OR($U461="Subscription",$U461=""),"",IF($U461="Profit",ROUND(IFERROR($P461,0)-IFERROR($H461,0),2),0)))</x:f>
      </x:c>
      <x:c r="R461" s="114" t="str">
        <x:f>IF(COUNTA($A461:$M461)=0,"",IF(OR($U461="Subscription",$U461=""),"",IF($U461="Draw",$H461,0)))</x:f>
      </x:c>
      <x:c r="S461" s="114" t="str">
        <x:f>IF(COUNTA($A461:$M461)=0,"",IF(OR($U461="Subscription",$U461=""),"",IF($U461="Disqualified",$H461,0)))</x:f>
      </x:c>
      <x:c r="T461" s="955" t="str">
        <x:f>IF(COUNTA($A461:$M461)=0,"",IF(OR($U461="Subscription",$U461=""),"",IF(OR($U461="Free Game",$U461="Disqualified — Free Game",$H461=0),"N/A",IF($U461="Profit",$Q461/$H461,IF($U461="Disqualified",-$S461/$H461,0)))))</x:f>
      </x:c>
      <x:c r="U461" s="920" t="str">
        <x:f>IF(COUNTA($A461:$M461)=0,"",IF(OR(LEFT(LOWER(TRIM($F461&amp;"")),12)="subscription",LOWER(TRIM($F461&amp;""))="membership"),"Subscription",IF(OR(AND($H461&lt;&gt;"",$H461=0),LEFT(LOWER(TRIM($F461&amp;"")),9)="free game",LOWER(TRIM($F461&amp;""))="free",LOWER(TRIM($F461&amp;""))="free entry"),IF(LOWER($L461&amp;"")="yes","Disqualified — Free Game","Free Game"),IF(LOWER($L461&amp;"")="yes","Disqualified",IF($P461="","",IF(ROUND(IFERROR(VALUE($P461),0)-IFERROR(VALUE($H461),0),2)&gt;0,"Profit","Draw"))))))</x:f>
      </x:c>
      <x:c r="V461" s="956" t="str">
        <x:f>IF(COUNTA($A461:$M461)=0,"",IF(OR($B461="",$C461="",$U461="Subscription"),"",IFERROR(ROUNDUP(($C461-$B461)/7,0),"")))</x:f>
      </x:c>
      <x:c r="W461" s="114" t="str">
        <x:f>IF(COUNTA($A461:$M461)=0,"",IF(OR($U461="Subscription",$U461=""),"",IF(OR($U461="Free Game",$U461="Disqualified — Free Game"),0,ROUND(IFERROR($Q461,0)-IFERROR($S461,0),2))))</x:f>
      </x:c>
      <x:c r="X461" s="956" t="str">
        <x:f>IF(COUNTA($A461:$M461)=0,"",IF(OR($U461="Subscription",NOT(ISNUMBER($J461)),NOT(ISNUMBER($I461)),$J461=0,$I461=0,$I461&gt;$J461),"",$J461-$I461))</x:f>
      </x:c>
      <x:c r="Y461" s="955" t="str">
        <x:f>IF(COUNTA($A461:$M461)=0,"",IF(OR($U461="Subscription",NOT(ISNUMBER($J461)),$J461=0,$X461=""),"",$X461/$J461))</x:f>
      </x:c>
      <x:c r="Z461" s="957" t="str">
        <x:f>IF(COUNTA($A461:$M461)=0,"",Instructions!$B$29+SUM($W$5:W461))</x:f>
      </x:c>
    </x:row>
    <x:row r="462" ht="36" customHeight="1">
      <x:c r="A462" s="439"/>
      <x:c r="B462" s="453"/>
      <x:c r="C462" s="453"/>
      <x:c r="D462" s="454"/>
      <x:c r="E462" s="454"/>
      <x:c r="F462" s="454"/>
      <x:c r="G462" s="986"/>
      <x:c r="H462" s="455"/>
      <x:c r="I462" s="456"/>
      <x:c r="J462" s="456"/>
      <x:c r="K462" s="986"/>
      <x:c r="L462" s="454"/>
      <x:c r="M462" s="439"/>
      <x:c r="N462" s="987" t="str">
        <x:f>IF(COUNTA($A462:$M462)=0,"",IF(OR(LEFT(LOWER(TRIM($F462&amp;"")),12)="subscription",LOWER(TRIM($F462&amp;""))="membership"),"",IF($G462="","",IF(ISNUMBER(SEARCH("non",LOWER($E462&amp;""))),$G462*0.85,$G462))))</x:f>
      </x:c>
      <x:c r="O462" s="987" t="str">
        <x:f>IF(COUNTA($A462:$M462)=0,"",IF(OR(LEFT(LOWER(TRIM($F462&amp;"")),12)="subscription",LOWER(TRIM($F462&amp;""))="membership"),"",IF(OR($N462="",$I462="",$I462=0),"",IFERROR($N462/$I462,""))))</x:f>
      </x:c>
      <x:c r="P462" s="987" t="str">
        <x:f>IF(COUNTA($A462:$M462)=0,"",IF(OR(LEFT(LOWER(TRIM($F462&amp;"")),12)="subscription",LOWER(TRIM($F462&amp;""))="membership"),"",IF(LOWER($L462&amp;"")="yes",0,IF(OR(AND($H462&lt;&gt;"",$H462=0),LEFT(LOWER(TRIM($F462&amp;"")),9)="free game",LOWER(TRIM($F462&amp;""))="free",LOWER(TRIM($F462&amp;""))="free entry"),IF(LOWER($D462&amp;"")="finalized",IF(ISNUMBER($K462),$K462,""),IF($O462&lt;&gt;"",$O462,"")),IF($K462&lt;&gt;"",$K462,IF($O462&lt;&gt;"",$O462,""))))))</x:f>
      </x:c>
      <x:c r="Q462" s="114" t="str">
        <x:f>IF(COUNTA($A462:$M462)=0,"",IF(OR($U462="Subscription",$U462=""),"",IF($U462="Profit",ROUND(IFERROR($P462,0)-IFERROR($H462,0),2),0)))</x:f>
      </x:c>
      <x:c r="R462" s="114" t="str">
        <x:f>IF(COUNTA($A462:$M462)=0,"",IF(OR($U462="Subscription",$U462=""),"",IF($U462="Draw",$H462,0)))</x:f>
      </x:c>
      <x:c r="S462" s="114" t="str">
        <x:f>IF(COUNTA($A462:$M462)=0,"",IF(OR($U462="Subscription",$U462=""),"",IF($U462="Disqualified",$H462,0)))</x:f>
      </x:c>
      <x:c r="T462" s="955" t="str">
        <x:f>IF(COUNTA($A462:$M462)=0,"",IF(OR($U462="Subscription",$U462=""),"",IF(OR($U462="Free Game",$U462="Disqualified — Free Game",$H462=0),"N/A",IF($U462="Profit",$Q462/$H462,IF($U462="Disqualified",-$S462/$H462,0)))))</x:f>
      </x:c>
      <x:c r="U462" s="920" t="str">
        <x:f>IF(COUNTA($A462:$M462)=0,"",IF(OR(LEFT(LOWER(TRIM($F462&amp;"")),12)="subscription",LOWER(TRIM($F462&amp;""))="membership"),"Subscription",IF(OR(AND($H462&lt;&gt;"",$H462=0),LEFT(LOWER(TRIM($F462&amp;"")),9)="free game",LOWER(TRIM($F462&amp;""))="free",LOWER(TRIM($F462&amp;""))="free entry"),IF(LOWER($L462&amp;"")="yes","Disqualified — Free Game","Free Game"),IF(LOWER($L462&amp;"")="yes","Disqualified",IF($P462="","",IF(ROUND(IFERROR(VALUE($P462),0)-IFERROR(VALUE($H462),0),2)&gt;0,"Profit","Draw"))))))</x:f>
      </x:c>
      <x:c r="V462" s="956" t="str">
        <x:f>IF(COUNTA($A462:$M462)=0,"",IF(OR($B462="",$C462="",$U462="Subscription"),"",IFERROR(ROUNDUP(($C462-$B462)/7,0),"")))</x:f>
      </x:c>
      <x:c r="W462" s="114" t="str">
        <x:f>IF(COUNTA($A462:$M462)=0,"",IF(OR($U462="Subscription",$U462=""),"",IF(OR($U462="Free Game",$U462="Disqualified — Free Game"),0,ROUND(IFERROR($Q462,0)-IFERROR($S462,0),2))))</x:f>
      </x:c>
      <x:c r="X462" s="956" t="str">
        <x:f>IF(COUNTA($A462:$M462)=0,"",IF(OR($U462="Subscription",NOT(ISNUMBER($J462)),NOT(ISNUMBER($I462)),$J462=0,$I462=0,$I462&gt;$J462),"",$J462-$I462))</x:f>
      </x:c>
      <x:c r="Y462" s="955" t="str">
        <x:f>IF(COUNTA($A462:$M462)=0,"",IF(OR($U462="Subscription",NOT(ISNUMBER($J462)),$J462=0,$X462=""),"",$X462/$J462))</x:f>
      </x:c>
      <x:c r="Z462" s="957" t="str">
        <x:f>IF(COUNTA($A462:$M462)=0,"",Instructions!$B$29+SUM($W$5:W462))</x:f>
      </x:c>
    </x:row>
    <x:row r="463" ht="36" customHeight="1">
      <x:c r="A463" s="439"/>
      <x:c r="B463" s="453"/>
      <x:c r="C463" s="453"/>
      <x:c r="D463" s="454"/>
      <x:c r="E463" s="454"/>
      <x:c r="F463" s="454"/>
      <x:c r="G463" s="986"/>
      <x:c r="H463" s="455"/>
      <x:c r="I463" s="456"/>
      <x:c r="J463" s="456"/>
      <x:c r="K463" s="986"/>
      <x:c r="L463" s="454"/>
      <x:c r="M463" s="439"/>
      <x:c r="N463" s="987" t="str">
        <x:f>IF(COUNTA($A463:$M463)=0,"",IF(OR(LEFT(LOWER(TRIM($F463&amp;"")),12)="subscription",LOWER(TRIM($F463&amp;""))="membership"),"",IF($G463="","",IF(ISNUMBER(SEARCH("non",LOWER($E463&amp;""))),$G463*0.85,$G463))))</x:f>
      </x:c>
      <x:c r="O463" s="987" t="str">
        <x:f>IF(COUNTA($A463:$M463)=0,"",IF(OR(LEFT(LOWER(TRIM($F463&amp;"")),12)="subscription",LOWER(TRIM($F463&amp;""))="membership"),"",IF(OR($N463="",$I463="",$I463=0),"",IFERROR($N463/$I463,""))))</x:f>
      </x:c>
      <x:c r="P463" s="987" t="str">
        <x:f>IF(COUNTA($A463:$M463)=0,"",IF(OR(LEFT(LOWER(TRIM($F463&amp;"")),12)="subscription",LOWER(TRIM($F463&amp;""))="membership"),"",IF(LOWER($L463&amp;"")="yes",0,IF(OR(AND($H463&lt;&gt;"",$H463=0),LEFT(LOWER(TRIM($F463&amp;"")),9)="free game",LOWER(TRIM($F463&amp;""))="free",LOWER(TRIM($F463&amp;""))="free entry"),IF(LOWER($D463&amp;"")="finalized",IF(ISNUMBER($K463),$K463,""),IF($O463&lt;&gt;"",$O463,"")),IF($K463&lt;&gt;"",$K463,IF($O463&lt;&gt;"",$O463,""))))))</x:f>
      </x:c>
      <x:c r="Q463" s="114" t="str">
        <x:f>IF(COUNTA($A463:$M463)=0,"",IF(OR($U463="Subscription",$U463=""),"",IF($U463="Profit",ROUND(IFERROR($P463,0)-IFERROR($H463,0),2),0)))</x:f>
      </x:c>
      <x:c r="R463" s="114" t="str">
        <x:f>IF(COUNTA($A463:$M463)=0,"",IF(OR($U463="Subscription",$U463=""),"",IF($U463="Draw",$H463,0)))</x:f>
      </x:c>
      <x:c r="S463" s="114" t="str">
        <x:f>IF(COUNTA($A463:$M463)=0,"",IF(OR($U463="Subscription",$U463=""),"",IF($U463="Disqualified",$H463,0)))</x:f>
      </x:c>
      <x:c r="T463" s="955" t="str">
        <x:f>IF(COUNTA($A463:$M463)=0,"",IF(OR($U463="Subscription",$U463=""),"",IF(OR($U463="Free Game",$U463="Disqualified — Free Game",$H463=0),"N/A",IF($U463="Profit",$Q463/$H463,IF($U463="Disqualified",-$S463/$H463,0)))))</x:f>
      </x:c>
      <x:c r="U463" s="920" t="str">
        <x:f>IF(COUNTA($A463:$M463)=0,"",IF(OR(LEFT(LOWER(TRIM($F463&amp;"")),12)="subscription",LOWER(TRIM($F463&amp;""))="membership"),"Subscription",IF(OR(AND($H463&lt;&gt;"",$H463=0),LEFT(LOWER(TRIM($F463&amp;"")),9)="free game",LOWER(TRIM($F463&amp;""))="free",LOWER(TRIM($F463&amp;""))="free entry"),IF(LOWER($L463&amp;"")="yes","Disqualified — Free Game","Free Game"),IF(LOWER($L463&amp;"")="yes","Disqualified",IF($P463="","",IF(ROUND(IFERROR(VALUE($P463),0)-IFERROR(VALUE($H463),0),2)&gt;0,"Profit","Draw"))))))</x:f>
      </x:c>
      <x:c r="V463" s="956" t="str">
        <x:f>IF(COUNTA($A463:$M463)=0,"",IF(OR($B463="",$C463="",$U463="Subscription"),"",IFERROR(ROUNDUP(($C463-$B463)/7,0),"")))</x:f>
      </x:c>
      <x:c r="W463" s="114" t="str">
        <x:f>IF(COUNTA($A463:$M463)=0,"",IF(OR($U463="Subscription",$U463=""),"",IF(OR($U463="Free Game",$U463="Disqualified — Free Game"),0,ROUND(IFERROR($Q463,0)-IFERROR($S463,0),2))))</x:f>
      </x:c>
      <x:c r="X463" s="956" t="str">
        <x:f>IF(COUNTA($A463:$M463)=0,"",IF(OR($U463="Subscription",NOT(ISNUMBER($J463)),NOT(ISNUMBER($I463)),$J463=0,$I463=0,$I463&gt;$J463),"",$J463-$I463))</x:f>
      </x:c>
      <x:c r="Y463" s="955" t="str">
        <x:f>IF(COUNTA($A463:$M463)=0,"",IF(OR($U463="Subscription",NOT(ISNUMBER($J463)),$J463=0,$X463=""),"",$X463/$J463))</x:f>
      </x:c>
      <x:c r="Z463" s="957" t="str">
        <x:f>IF(COUNTA($A463:$M463)=0,"",Instructions!$B$29+SUM($W$5:W463))</x:f>
      </x:c>
    </x:row>
    <x:row r="464" ht="36" customHeight="1">
      <x:c r="A464" s="439"/>
      <x:c r="B464" s="453"/>
      <x:c r="C464" s="453"/>
      <x:c r="D464" s="454"/>
      <x:c r="E464" s="454"/>
      <x:c r="F464" s="454"/>
      <x:c r="G464" s="986"/>
      <x:c r="H464" s="455"/>
      <x:c r="I464" s="456"/>
      <x:c r="J464" s="456"/>
      <x:c r="K464" s="986"/>
      <x:c r="L464" s="454"/>
      <x:c r="M464" s="439"/>
      <x:c r="N464" s="987" t="str">
        <x:f>IF(COUNTA($A464:$M464)=0,"",IF(OR(LEFT(LOWER(TRIM($F464&amp;"")),12)="subscription",LOWER(TRIM($F464&amp;""))="membership"),"",IF($G464="","",IF(ISNUMBER(SEARCH("non",LOWER($E464&amp;""))),$G464*0.85,$G464))))</x:f>
      </x:c>
      <x:c r="O464" s="987" t="str">
        <x:f>IF(COUNTA($A464:$M464)=0,"",IF(OR(LEFT(LOWER(TRIM($F464&amp;"")),12)="subscription",LOWER(TRIM($F464&amp;""))="membership"),"",IF(OR($N464="",$I464="",$I464=0),"",IFERROR($N464/$I464,""))))</x:f>
      </x:c>
      <x:c r="P464" s="987" t="str">
        <x:f>IF(COUNTA($A464:$M464)=0,"",IF(OR(LEFT(LOWER(TRIM($F464&amp;"")),12)="subscription",LOWER(TRIM($F464&amp;""))="membership"),"",IF(LOWER($L464&amp;"")="yes",0,IF(OR(AND($H464&lt;&gt;"",$H464=0),LEFT(LOWER(TRIM($F464&amp;"")),9)="free game",LOWER(TRIM($F464&amp;""))="free",LOWER(TRIM($F464&amp;""))="free entry"),IF(LOWER($D464&amp;"")="finalized",IF(ISNUMBER($K464),$K464,""),IF($O464&lt;&gt;"",$O464,"")),IF($K464&lt;&gt;"",$K464,IF($O464&lt;&gt;"",$O464,""))))))</x:f>
      </x:c>
      <x:c r="Q464" s="114" t="str">
        <x:f>IF(COUNTA($A464:$M464)=0,"",IF(OR($U464="Subscription",$U464=""),"",IF($U464="Profit",ROUND(IFERROR($P464,0)-IFERROR($H464,0),2),0)))</x:f>
      </x:c>
      <x:c r="R464" s="114" t="str">
        <x:f>IF(COUNTA($A464:$M464)=0,"",IF(OR($U464="Subscription",$U464=""),"",IF($U464="Draw",$H464,0)))</x:f>
      </x:c>
      <x:c r="S464" s="114" t="str">
        <x:f>IF(COUNTA($A464:$M464)=0,"",IF(OR($U464="Subscription",$U464=""),"",IF($U464="Disqualified",$H464,0)))</x:f>
      </x:c>
      <x:c r="T464" s="955" t="str">
        <x:f>IF(COUNTA($A464:$M464)=0,"",IF(OR($U464="Subscription",$U464=""),"",IF(OR($U464="Free Game",$U464="Disqualified — Free Game",$H464=0),"N/A",IF($U464="Profit",$Q464/$H464,IF($U464="Disqualified",-$S464/$H464,0)))))</x:f>
      </x:c>
      <x:c r="U464" s="920" t="str">
        <x:f>IF(COUNTA($A464:$M464)=0,"",IF(OR(LEFT(LOWER(TRIM($F464&amp;"")),12)="subscription",LOWER(TRIM($F464&amp;""))="membership"),"Subscription",IF(OR(AND($H464&lt;&gt;"",$H464=0),LEFT(LOWER(TRIM($F464&amp;"")),9)="free game",LOWER(TRIM($F464&amp;""))="free",LOWER(TRIM($F464&amp;""))="free entry"),IF(LOWER($L464&amp;"")="yes","Disqualified — Free Game","Free Game"),IF(LOWER($L464&amp;"")="yes","Disqualified",IF($P464="","",IF(ROUND(IFERROR(VALUE($P464),0)-IFERROR(VALUE($H464),0),2)&gt;0,"Profit","Draw"))))))</x:f>
      </x:c>
      <x:c r="V464" s="956" t="str">
        <x:f>IF(COUNTA($A464:$M464)=0,"",IF(OR($B464="",$C464="",$U464="Subscription"),"",IFERROR(ROUNDUP(($C464-$B464)/7,0),"")))</x:f>
      </x:c>
      <x:c r="W464" s="114" t="str">
        <x:f>IF(COUNTA($A464:$M464)=0,"",IF(OR($U464="Subscription",$U464=""),"",IF(OR($U464="Free Game",$U464="Disqualified — Free Game"),0,ROUND(IFERROR($Q464,0)-IFERROR($S464,0),2))))</x:f>
      </x:c>
      <x:c r="X464" s="956" t="str">
        <x:f>IF(COUNTA($A464:$M464)=0,"",IF(OR($U464="Subscription",NOT(ISNUMBER($J464)),NOT(ISNUMBER($I464)),$J464=0,$I464=0,$I464&gt;$J464),"",$J464-$I464))</x:f>
      </x:c>
      <x:c r="Y464" s="955" t="str">
        <x:f>IF(COUNTA($A464:$M464)=0,"",IF(OR($U464="Subscription",NOT(ISNUMBER($J464)),$J464=0,$X464=""),"",$X464/$J464))</x:f>
      </x:c>
      <x:c r="Z464" s="957" t="str">
        <x:f>IF(COUNTA($A464:$M464)=0,"",Instructions!$B$29+SUM($W$5:W464))</x:f>
      </x:c>
    </x:row>
    <x:row r="465" ht="36" customHeight="1">
      <x:c r="A465" s="439"/>
      <x:c r="B465" s="453"/>
      <x:c r="C465" s="453"/>
      <x:c r="D465" s="454"/>
      <x:c r="E465" s="454"/>
      <x:c r="F465" s="454"/>
      <x:c r="G465" s="986"/>
      <x:c r="H465" s="455"/>
      <x:c r="I465" s="456"/>
      <x:c r="J465" s="456"/>
      <x:c r="K465" s="986"/>
      <x:c r="L465" s="454"/>
      <x:c r="M465" s="439"/>
      <x:c r="N465" s="987" t="str">
        <x:f>IF(COUNTA($A465:$M465)=0,"",IF(OR(LEFT(LOWER(TRIM($F465&amp;"")),12)="subscription",LOWER(TRIM($F465&amp;""))="membership"),"",IF($G465="","",IF(ISNUMBER(SEARCH("non",LOWER($E465&amp;""))),$G465*0.85,$G465))))</x:f>
      </x:c>
      <x:c r="O465" s="987" t="str">
        <x:f>IF(COUNTA($A465:$M465)=0,"",IF(OR(LEFT(LOWER(TRIM($F465&amp;"")),12)="subscription",LOWER(TRIM($F465&amp;""))="membership"),"",IF(OR($N465="",$I465="",$I465=0),"",IFERROR($N465/$I465,""))))</x:f>
      </x:c>
      <x:c r="P465" s="987" t="str">
        <x:f>IF(COUNTA($A465:$M465)=0,"",IF(OR(LEFT(LOWER(TRIM($F465&amp;"")),12)="subscription",LOWER(TRIM($F465&amp;""))="membership"),"",IF(LOWER($L465&amp;"")="yes",0,IF(OR(AND($H465&lt;&gt;"",$H465=0),LEFT(LOWER(TRIM($F465&amp;"")),9)="free game",LOWER(TRIM($F465&amp;""))="free",LOWER(TRIM($F465&amp;""))="free entry"),IF(LOWER($D465&amp;"")="finalized",IF(ISNUMBER($K465),$K465,""),IF($O465&lt;&gt;"",$O465,"")),IF($K465&lt;&gt;"",$K465,IF($O465&lt;&gt;"",$O465,""))))))</x:f>
      </x:c>
      <x:c r="Q465" s="114" t="str">
        <x:f>IF(COUNTA($A465:$M465)=0,"",IF(OR($U465="Subscription",$U465=""),"",IF($U465="Profit",ROUND(IFERROR($P465,0)-IFERROR($H465,0),2),0)))</x:f>
      </x:c>
      <x:c r="R465" s="114" t="str">
        <x:f>IF(COUNTA($A465:$M465)=0,"",IF(OR($U465="Subscription",$U465=""),"",IF($U465="Draw",$H465,0)))</x:f>
      </x:c>
      <x:c r="S465" s="114" t="str">
        <x:f>IF(COUNTA($A465:$M465)=0,"",IF(OR($U465="Subscription",$U465=""),"",IF($U465="Disqualified",$H465,0)))</x:f>
      </x:c>
      <x:c r="T465" s="955" t="str">
        <x:f>IF(COUNTA($A465:$M465)=0,"",IF(OR($U465="Subscription",$U465=""),"",IF(OR($U465="Free Game",$U465="Disqualified — Free Game",$H465=0),"N/A",IF($U465="Profit",$Q465/$H465,IF($U465="Disqualified",-$S465/$H465,0)))))</x:f>
      </x:c>
      <x:c r="U465" s="920" t="str">
        <x:f>IF(COUNTA($A465:$M465)=0,"",IF(OR(LEFT(LOWER(TRIM($F465&amp;"")),12)="subscription",LOWER(TRIM($F465&amp;""))="membership"),"Subscription",IF(OR(AND($H465&lt;&gt;"",$H465=0),LEFT(LOWER(TRIM($F465&amp;"")),9)="free game",LOWER(TRIM($F465&amp;""))="free",LOWER(TRIM($F465&amp;""))="free entry"),IF(LOWER($L465&amp;"")="yes","Disqualified — Free Game","Free Game"),IF(LOWER($L465&amp;"")="yes","Disqualified",IF($P465="","",IF(ROUND(IFERROR(VALUE($P465),0)-IFERROR(VALUE($H465),0),2)&gt;0,"Profit","Draw"))))))</x:f>
      </x:c>
      <x:c r="V465" s="956" t="str">
        <x:f>IF(COUNTA($A465:$M465)=0,"",IF(OR($B465="",$C465="",$U465="Subscription"),"",IFERROR(ROUNDUP(($C465-$B465)/7,0),"")))</x:f>
      </x:c>
      <x:c r="W465" s="114" t="str">
        <x:f>IF(COUNTA($A465:$M465)=0,"",IF(OR($U465="Subscription",$U465=""),"",IF(OR($U465="Free Game",$U465="Disqualified — Free Game"),0,ROUND(IFERROR($Q465,0)-IFERROR($S465,0),2))))</x:f>
      </x:c>
      <x:c r="X465" s="956" t="str">
        <x:f>IF(COUNTA($A465:$M465)=0,"",IF(OR($U465="Subscription",NOT(ISNUMBER($J465)),NOT(ISNUMBER($I465)),$J465=0,$I465=0,$I465&gt;$J465),"",$J465-$I465))</x:f>
      </x:c>
      <x:c r="Y465" s="955" t="str">
        <x:f>IF(COUNTA($A465:$M465)=0,"",IF(OR($U465="Subscription",NOT(ISNUMBER($J465)),$J465=0,$X465=""),"",$X465/$J465))</x:f>
      </x:c>
      <x:c r="Z465" s="957" t="str">
        <x:f>IF(COUNTA($A465:$M465)=0,"",Instructions!$B$29+SUM($W$5:W465))</x:f>
      </x:c>
    </x:row>
    <x:row r="466" ht="36" customHeight="1">
      <x:c r="A466" s="439"/>
      <x:c r="B466" s="453"/>
      <x:c r="C466" s="453"/>
      <x:c r="D466" s="454"/>
      <x:c r="E466" s="454"/>
      <x:c r="F466" s="454"/>
      <x:c r="G466" s="986"/>
      <x:c r="H466" s="455"/>
      <x:c r="I466" s="456"/>
      <x:c r="J466" s="456"/>
      <x:c r="K466" s="986"/>
      <x:c r="L466" s="454"/>
      <x:c r="M466" s="439"/>
      <x:c r="N466" s="987" t="str">
        <x:f>IF(COUNTA($A466:$M466)=0,"",IF(OR(LEFT(LOWER(TRIM($F466&amp;"")),12)="subscription",LOWER(TRIM($F466&amp;""))="membership"),"",IF($G466="","",IF(ISNUMBER(SEARCH("non",LOWER($E466&amp;""))),$G466*0.85,$G466))))</x:f>
      </x:c>
      <x:c r="O466" s="987" t="str">
        <x:f>IF(COUNTA($A466:$M466)=0,"",IF(OR(LEFT(LOWER(TRIM($F466&amp;"")),12)="subscription",LOWER(TRIM($F466&amp;""))="membership"),"",IF(OR($N466="",$I466="",$I466=0),"",IFERROR($N466/$I466,""))))</x:f>
      </x:c>
      <x:c r="P466" s="987" t="str">
        <x:f>IF(COUNTA($A466:$M466)=0,"",IF(OR(LEFT(LOWER(TRIM($F466&amp;"")),12)="subscription",LOWER(TRIM($F466&amp;""))="membership"),"",IF(LOWER($L466&amp;"")="yes",0,IF(OR(AND($H466&lt;&gt;"",$H466=0),LEFT(LOWER(TRIM($F466&amp;"")),9)="free game",LOWER(TRIM($F466&amp;""))="free",LOWER(TRIM($F466&amp;""))="free entry"),IF(LOWER($D466&amp;"")="finalized",IF(ISNUMBER($K466),$K466,""),IF($O466&lt;&gt;"",$O466,"")),IF($K466&lt;&gt;"",$K466,IF($O466&lt;&gt;"",$O466,""))))))</x:f>
      </x:c>
      <x:c r="Q466" s="114" t="str">
        <x:f>IF(COUNTA($A466:$M466)=0,"",IF(OR($U466="Subscription",$U466=""),"",IF($U466="Profit",ROUND(IFERROR($P466,0)-IFERROR($H466,0),2),0)))</x:f>
      </x:c>
      <x:c r="R466" s="114" t="str">
        <x:f>IF(COUNTA($A466:$M466)=0,"",IF(OR($U466="Subscription",$U466=""),"",IF($U466="Draw",$H466,0)))</x:f>
      </x:c>
      <x:c r="S466" s="114" t="str">
        <x:f>IF(COUNTA($A466:$M466)=0,"",IF(OR($U466="Subscription",$U466=""),"",IF($U466="Disqualified",$H466,0)))</x:f>
      </x:c>
      <x:c r="T466" s="955" t="str">
        <x:f>IF(COUNTA($A466:$M466)=0,"",IF(OR($U466="Subscription",$U466=""),"",IF(OR($U466="Free Game",$U466="Disqualified — Free Game",$H466=0),"N/A",IF($U466="Profit",$Q466/$H466,IF($U466="Disqualified",-$S466/$H466,0)))))</x:f>
      </x:c>
      <x:c r="U466" s="920" t="str">
        <x:f>IF(COUNTA($A466:$M466)=0,"",IF(OR(LEFT(LOWER(TRIM($F466&amp;"")),12)="subscription",LOWER(TRIM($F466&amp;""))="membership"),"Subscription",IF(OR(AND($H466&lt;&gt;"",$H466=0),LEFT(LOWER(TRIM($F466&amp;"")),9)="free game",LOWER(TRIM($F466&amp;""))="free",LOWER(TRIM($F466&amp;""))="free entry"),IF(LOWER($L466&amp;"")="yes","Disqualified — Free Game","Free Game"),IF(LOWER($L466&amp;"")="yes","Disqualified",IF($P466="","",IF(ROUND(IFERROR(VALUE($P466),0)-IFERROR(VALUE($H466),0),2)&gt;0,"Profit","Draw"))))))</x:f>
      </x:c>
      <x:c r="V466" s="956" t="str">
        <x:f>IF(COUNTA($A466:$M466)=0,"",IF(OR($B466="",$C466="",$U466="Subscription"),"",IFERROR(ROUNDUP(($C466-$B466)/7,0),"")))</x:f>
      </x:c>
      <x:c r="W466" s="114" t="str">
        <x:f>IF(COUNTA($A466:$M466)=0,"",IF(OR($U466="Subscription",$U466=""),"",IF(OR($U466="Free Game",$U466="Disqualified — Free Game"),0,ROUND(IFERROR($Q466,0)-IFERROR($S466,0),2))))</x:f>
      </x:c>
      <x:c r="X466" s="956" t="str">
        <x:f>IF(COUNTA($A466:$M466)=0,"",IF(OR($U466="Subscription",NOT(ISNUMBER($J466)),NOT(ISNUMBER($I466)),$J466=0,$I466=0,$I466&gt;$J466),"",$J466-$I466))</x:f>
      </x:c>
      <x:c r="Y466" s="955" t="str">
        <x:f>IF(COUNTA($A466:$M466)=0,"",IF(OR($U466="Subscription",NOT(ISNUMBER($J466)),$J466=0,$X466=""),"",$X466/$J466))</x:f>
      </x:c>
      <x:c r="Z466" s="957" t="str">
        <x:f>IF(COUNTA($A466:$M466)=0,"",Instructions!$B$29+SUM($W$5:W466))</x:f>
      </x:c>
    </x:row>
    <x:row r="467" ht="36" customHeight="1">
      <x:c r="A467" s="439"/>
      <x:c r="B467" s="453"/>
      <x:c r="C467" s="453"/>
      <x:c r="D467" s="454"/>
      <x:c r="E467" s="454"/>
      <x:c r="F467" s="454"/>
      <x:c r="G467" s="986"/>
      <x:c r="H467" s="455"/>
      <x:c r="I467" s="456"/>
      <x:c r="J467" s="456"/>
      <x:c r="K467" s="986"/>
      <x:c r="L467" s="454"/>
      <x:c r="M467" s="439"/>
      <x:c r="N467" s="987" t="str">
        <x:f>IF(COUNTA($A467:$M467)=0,"",IF(OR(LEFT(LOWER(TRIM($F467&amp;"")),12)="subscription",LOWER(TRIM($F467&amp;""))="membership"),"",IF($G467="","",IF(ISNUMBER(SEARCH("non",LOWER($E467&amp;""))),$G467*0.85,$G467))))</x:f>
      </x:c>
      <x:c r="O467" s="987" t="str">
        <x:f>IF(COUNTA($A467:$M467)=0,"",IF(OR(LEFT(LOWER(TRIM($F467&amp;"")),12)="subscription",LOWER(TRIM($F467&amp;""))="membership"),"",IF(OR($N467="",$I467="",$I467=0),"",IFERROR($N467/$I467,""))))</x:f>
      </x:c>
      <x:c r="P467" s="987" t="str">
        <x:f>IF(COUNTA($A467:$M467)=0,"",IF(OR(LEFT(LOWER(TRIM($F467&amp;"")),12)="subscription",LOWER(TRIM($F467&amp;""))="membership"),"",IF(LOWER($L467&amp;"")="yes",0,IF(OR(AND($H467&lt;&gt;"",$H467=0),LEFT(LOWER(TRIM($F467&amp;"")),9)="free game",LOWER(TRIM($F467&amp;""))="free",LOWER(TRIM($F467&amp;""))="free entry"),IF(LOWER($D467&amp;"")="finalized",IF(ISNUMBER($K467),$K467,""),IF($O467&lt;&gt;"",$O467,"")),IF($K467&lt;&gt;"",$K467,IF($O467&lt;&gt;"",$O467,""))))))</x:f>
      </x:c>
      <x:c r="Q467" s="114" t="str">
        <x:f>IF(COUNTA($A467:$M467)=0,"",IF(OR($U467="Subscription",$U467=""),"",IF($U467="Profit",ROUND(IFERROR($P467,0)-IFERROR($H467,0),2),0)))</x:f>
      </x:c>
      <x:c r="R467" s="114" t="str">
        <x:f>IF(COUNTA($A467:$M467)=0,"",IF(OR($U467="Subscription",$U467=""),"",IF($U467="Draw",$H467,0)))</x:f>
      </x:c>
      <x:c r="S467" s="114" t="str">
        <x:f>IF(COUNTA($A467:$M467)=0,"",IF(OR($U467="Subscription",$U467=""),"",IF($U467="Disqualified",$H467,0)))</x:f>
      </x:c>
      <x:c r="T467" s="955" t="str">
        <x:f>IF(COUNTA($A467:$M467)=0,"",IF(OR($U467="Subscription",$U467=""),"",IF(OR($U467="Free Game",$U467="Disqualified — Free Game",$H467=0),"N/A",IF($U467="Profit",$Q467/$H467,IF($U467="Disqualified",-$S467/$H467,0)))))</x:f>
      </x:c>
      <x:c r="U467" s="920" t="str">
        <x:f>IF(COUNTA($A467:$M467)=0,"",IF(OR(LEFT(LOWER(TRIM($F467&amp;"")),12)="subscription",LOWER(TRIM($F467&amp;""))="membership"),"Subscription",IF(OR(AND($H467&lt;&gt;"",$H467=0),LEFT(LOWER(TRIM($F467&amp;"")),9)="free game",LOWER(TRIM($F467&amp;""))="free",LOWER(TRIM($F467&amp;""))="free entry"),IF(LOWER($L467&amp;"")="yes","Disqualified — Free Game","Free Game"),IF(LOWER($L467&amp;"")="yes","Disqualified",IF($P467="","",IF(ROUND(IFERROR(VALUE($P467),0)-IFERROR(VALUE($H467),0),2)&gt;0,"Profit","Draw"))))))</x:f>
      </x:c>
      <x:c r="V467" s="956" t="str">
        <x:f>IF(COUNTA($A467:$M467)=0,"",IF(OR($B467="",$C467="",$U467="Subscription"),"",IFERROR(ROUNDUP(($C467-$B467)/7,0),"")))</x:f>
      </x:c>
      <x:c r="W467" s="114" t="str">
        <x:f>IF(COUNTA($A467:$M467)=0,"",IF(OR($U467="Subscription",$U467=""),"",IF(OR($U467="Free Game",$U467="Disqualified — Free Game"),0,ROUND(IFERROR($Q467,0)-IFERROR($S467,0),2))))</x:f>
      </x:c>
      <x:c r="X467" s="956" t="str">
        <x:f>IF(COUNTA($A467:$M467)=0,"",IF(OR($U467="Subscription",NOT(ISNUMBER($J467)),NOT(ISNUMBER($I467)),$J467=0,$I467=0,$I467&gt;$J467),"",$J467-$I467))</x:f>
      </x:c>
      <x:c r="Y467" s="955" t="str">
        <x:f>IF(COUNTA($A467:$M467)=0,"",IF(OR($U467="Subscription",NOT(ISNUMBER($J467)),$J467=0,$X467=""),"",$X467/$J467))</x:f>
      </x:c>
      <x:c r="Z467" s="957" t="str">
        <x:f>IF(COUNTA($A467:$M467)=0,"",Instructions!$B$29+SUM($W$5:W467))</x:f>
      </x:c>
    </x:row>
    <x:row r="468" ht="36" customHeight="1">
      <x:c r="A468" s="439"/>
      <x:c r="B468" s="453"/>
      <x:c r="C468" s="453"/>
      <x:c r="D468" s="454"/>
      <x:c r="E468" s="454"/>
      <x:c r="F468" s="454"/>
      <x:c r="G468" s="986"/>
      <x:c r="H468" s="455"/>
      <x:c r="I468" s="456"/>
      <x:c r="J468" s="456"/>
      <x:c r="K468" s="986"/>
      <x:c r="L468" s="454"/>
      <x:c r="M468" s="439"/>
      <x:c r="N468" s="987" t="str">
        <x:f>IF(COUNTA($A468:$M468)=0,"",IF(OR(LEFT(LOWER(TRIM($F468&amp;"")),12)="subscription",LOWER(TRIM($F468&amp;""))="membership"),"",IF($G468="","",IF(ISNUMBER(SEARCH("non",LOWER($E468&amp;""))),$G468*0.85,$G468))))</x:f>
      </x:c>
      <x:c r="O468" s="987" t="str">
        <x:f>IF(COUNTA($A468:$M468)=0,"",IF(OR(LEFT(LOWER(TRIM($F468&amp;"")),12)="subscription",LOWER(TRIM($F468&amp;""))="membership"),"",IF(OR($N468="",$I468="",$I468=0),"",IFERROR($N468/$I468,""))))</x:f>
      </x:c>
      <x:c r="P468" s="987" t="str">
        <x:f>IF(COUNTA($A468:$M468)=0,"",IF(OR(LEFT(LOWER(TRIM($F468&amp;"")),12)="subscription",LOWER(TRIM($F468&amp;""))="membership"),"",IF(LOWER($L468&amp;"")="yes",0,IF(OR(AND($H468&lt;&gt;"",$H468=0),LEFT(LOWER(TRIM($F468&amp;"")),9)="free game",LOWER(TRIM($F468&amp;""))="free",LOWER(TRIM($F468&amp;""))="free entry"),IF(LOWER($D468&amp;"")="finalized",IF(ISNUMBER($K468),$K468,""),IF($O468&lt;&gt;"",$O468,"")),IF($K468&lt;&gt;"",$K468,IF($O468&lt;&gt;"",$O468,""))))))</x:f>
      </x:c>
      <x:c r="Q468" s="114" t="str">
        <x:f>IF(COUNTA($A468:$M468)=0,"",IF(OR($U468="Subscription",$U468=""),"",IF($U468="Profit",ROUND(IFERROR($P468,0)-IFERROR($H468,0),2),0)))</x:f>
      </x:c>
      <x:c r="R468" s="114" t="str">
        <x:f>IF(COUNTA($A468:$M468)=0,"",IF(OR($U468="Subscription",$U468=""),"",IF($U468="Draw",$H468,0)))</x:f>
      </x:c>
      <x:c r="S468" s="114" t="str">
        <x:f>IF(COUNTA($A468:$M468)=0,"",IF(OR($U468="Subscription",$U468=""),"",IF($U468="Disqualified",$H468,0)))</x:f>
      </x:c>
      <x:c r="T468" s="955" t="str">
        <x:f>IF(COUNTA($A468:$M468)=0,"",IF(OR($U468="Subscription",$U468=""),"",IF(OR($U468="Free Game",$U468="Disqualified — Free Game",$H468=0),"N/A",IF($U468="Profit",$Q468/$H468,IF($U468="Disqualified",-$S468/$H468,0)))))</x:f>
      </x:c>
      <x:c r="U468" s="920" t="str">
        <x:f>IF(COUNTA($A468:$M468)=0,"",IF(OR(LEFT(LOWER(TRIM($F468&amp;"")),12)="subscription",LOWER(TRIM($F468&amp;""))="membership"),"Subscription",IF(OR(AND($H468&lt;&gt;"",$H468=0),LEFT(LOWER(TRIM($F468&amp;"")),9)="free game",LOWER(TRIM($F468&amp;""))="free",LOWER(TRIM($F468&amp;""))="free entry"),IF(LOWER($L468&amp;"")="yes","Disqualified — Free Game","Free Game"),IF(LOWER($L468&amp;"")="yes","Disqualified",IF($P468="","",IF(ROUND(IFERROR(VALUE($P468),0)-IFERROR(VALUE($H468),0),2)&gt;0,"Profit","Draw"))))))</x:f>
      </x:c>
      <x:c r="V468" s="956" t="str">
        <x:f>IF(COUNTA($A468:$M468)=0,"",IF(OR($B468="",$C468="",$U468="Subscription"),"",IFERROR(ROUNDUP(($C468-$B468)/7,0),"")))</x:f>
      </x:c>
      <x:c r="W468" s="114" t="str">
        <x:f>IF(COUNTA($A468:$M468)=0,"",IF(OR($U468="Subscription",$U468=""),"",IF(OR($U468="Free Game",$U468="Disqualified — Free Game"),0,ROUND(IFERROR($Q468,0)-IFERROR($S468,0),2))))</x:f>
      </x:c>
      <x:c r="X468" s="956" t="str">
        <x:f>IF(COUNTA($A468:$M468)=0,"",IF(OR($U468="Subscription",NOT(ISNUMBER($J468)),NOT(ISNUMBER($I468)),$J468=0,$I468=0,$I468&gt;$J468),"",$J468-$I468))</x:f>
      </x:c>
      <x:c r="Y468" s="955" t="str">
        <x:f>IF(COUNTA($A468:$M468)=0,"",IF(OR($U468="Subscription",NOT(ISNUMBER($J468)),$J468=0,$X468=""),"",$X468/$J468))</x:f>
      </x:c>
      <x:c r="Z468" s="957" t="str">
        <x:f>IF(COUNTA($A468:$M468)=0,"",Instructions!$B$29+SUM($W$5:W468))</x:f>
      </x:c>
    </x:row>
    <x:row r="469" ht="36" customHeight="1">
      <x:c r="A469" s="439"/>
      <x:c r="B469" s="453"/>
      <x:c r="C469" s="453"/>
      <x:c r="D469" s="454"/>
      <x:c r="E469" s="454"/>
      <x:c r="F469" s="454"/>
      <x:c r="G469" s="986"/>
      <x:c r="H469" s="455"/>
      <x:c r="I469" s="456"/>
      <x:c r="J469" s="456"/>
      <x:c r="K469" s="986"/>
      <x:c r="L469" s="454"/>
      <x:c r="M469" s="439"/>
      <x:c r="N469" s="987" t="str">
        <x:f>IF(COUNTA($A469:$M469)=0,"",IF(OR(LEFT(LOWER(TRIM($F469&amp;"")),12)="subscription",LOWER(TRIM($F469&amp;""))="membership"),"",IF($G469="","",IF(ISNUMBER(SEARCH("non",LOWER($E469&amp;""))),$G469*0.85,$G469))))</x:f>
      </x:c>
      <x:c r="O469" s="987" t="str">
        <x:f>IF(COUNTA($A469:$M469)=0,"",IF(OR(LEFT(LOWER(TRIM($F469&amp;"")),12)="subscription",LOWER(TRIM($F469&amp;""))="membership"),"",IF(OR($N469="",$I469="",$I469=0),"",IFERROR($N469/$I469,""))))</x:f>
      </x:c>
      <x:c r="P469" s="987" t="str">
        <x:f>IF(COUNTA($A469:$M469)=0,"",IF(OR(LEFT(LOWER(TRIM($F469&amp;"")),12)="subscription",LOWER(TRIM($F469&amp;""))="membership"),"",IF(LOWER($L469&amp;"")="yes",0,IF(OR(AND($H469&lt;&gt;"",$H469=0),LEFT(LOWER(TRIM($F469&amp;"")),9)="free game",LOWER(TRIM($F469&amp;""))="free",LOWER(TRIM($F469&amp;""))="free entry"),IF(LOWER($D469&amp;"")="finalized",IF(ISNUMBER($K469),$K469,""),IF($O469&lt;&gt;"",$O469,"")),IF($K469&lt;&gt;"",$K469,IF($O469&lt;&gt;"",$O469,""))))))</x:f>
      </x:c>
      <x:c r="Q469" s="114" t="str">
        <x:f>IF(COUNTA($A469:$M469)=0,"",IF(OR($U469="Subscription",$U469=""),"",IF($U469="Profit",ROUND(IFERROR($P469,0)-IFERROR($H469,0),2),0)))</x:f>
      </x:c>
      <x:c r="R469" s="114" t="str">
        <x:f>IF(COUNTA($A469:$M469)=0,"",IF(OR($U469="Subscription",$U469=""),"",IF($U469="Draw",$H469,0)))</x:f>
      </x:c>
      <x:c r="S469" s="114" t="str">
        <x:f>IF(COUNTA($A469:$M469)=0,"",IF(OR($U469="Subscription",$U469=""),"",IF($U469="Disqualified",$H469,0)))</x:f>
      </x:c>
      <x:c r="T469" s="955" t="str">
        <x:f>IF(COUNTA($A469:$M469)=0,"",IF(OR($U469="Subscription",$U469=""),"",IF(OR($U469="Free Game",$U469="Disqualified — Free Game",$H469=0),"N/A",IF($U469="Profit",$Q469/$H469,IF($U469="Disqualified",-$S469/$H469,0)))))</x:f>
      </x:c>
      <x:c r="U469" s="920" t="str">
        <x:f>IF(COUNTA($A469:$M469)=0,"",IF(OR(LEFT(LOWER(TRIM($F469&amp;"")),12)="subscription",LOWER(TRIM($F469&amp;""))="membership"),"Subscription",IF(OR(AND($H469&lt;&gt;"",$H469=0),LEFT(LOWER(TRIM($F469&amp;"")),9)="free game",LOWER(TRIM($F469&amp;""))="free",LOWER(TRIM($F469&amp;""))="free entry"),IF(LOWER($L469&amp;"")="yes","Disqualified — Free Game","Free Game"),IF(LOWER($L469&amp;"")="yes","Disqualified",IF($P469="","",IF(ROUND(IFERROR(VALUE($P469),0)-IFERROR(VALUE($H469),0),2)&gt;0,"Profit","Draw"))))))</x:f>
      </x:c>
      <x:c r="V469" s="956" t="str">
        <x:f>IF(COUNTA($A469:$M469)=0,"",IF(OR($B469="",$C469="",$U469="Subscription"),"",IFERROR(ROUNDUP(($C469-$B469)/7,0),"")))</x:f>
      </x:c>
      <x:c r="W469" s="114" t="str">
        <x:f>IF(COUNTA($A469:$M469)=0,"",IF(OR($U469="Subscription",$U469=""),"",IF(OR($U469="Free Game",$U469="Disqualified — Free Game"),0,ROUND(IFERROR($Q469,0)-IFERROR($S469,0),2))))</x:f>
      </x:c>
      <x:c r="X469" s="956" t="str">
        <x:f>IF(COUNTA($A469:$M469)=0,"",IF(OR($U469="Subscription",NOT(ISNUMBER($J469)),NOT(ISNUMBER($I469)),$J469=0,$I469=0,$I469&gt;$J469),"",$J469-$I469))</x:f>
      </x:c>
      <x:c r="Y469" s="955" t="str">
        <x:f>IF(COUNTA($A469:$M469)=0,"",IF(OR($U469="Subscription",NOT(ISNUMBER($J469)),$J469=0,$X469=""),"",$X469/$J469))</x:f>
      </x:c>
      <x:c r="Z469" s="957" t="str">
        <x:f>IF(COUNTA($A469:$M469)=0,"",Instructions!$B$29+SUM($W$5:W469))</x:f>
      </x:c>
    </x:row>
    <x:row r="470" ht="36" customHeight="1">
      <x:c r="A470" s="439"/>
      <x:c r="B470" s="453"/>
      <x:c r="C470" s="453"/>
      <x:c r="D470" s="454"/>
      <x:c r="E470" s="454"/>
      <x:c r="F470" s="454"/>
      <x:c r="G470" s="986"/>
      <x:c r="H470" s="455"/>
      <x:c r="I470" s="456"/>
      <x:c r="J470" s="456"/>
      <x:c r="K470" s="986"/>
      <x:c r="L470" s="454"/>
      <x:c r="M470" s="439"/>
      <x:c r="N470" s="987" t="str">
        <x:f>IF(COUNTA($A470:$M470)=0,"",IF(OR(LEFT(LOWER(TRIM($F470&amp;"")),12)="subscription",LOWER(TRIM($F470&amp;""))="membership"),"",IF($G470="","",IF(ISNUMBER(SEARCH("non",LOWER($E470&amp;""))),$G470*0.85,$G470))))</x:f>
      </x:c>
      <x:c r="O470" s="987" t="str">
        <x:f>IF(COUNTA($A470:$M470)=0,"",IF(OR(LEFT(LOWER(TRIM($F470&amp;"")),12)="subscription",LOWER(TRIM($F470&amp;""))="membership"),"",IF(OR($N470="",$I470="",$I470=0),"",IFERROR($N470/$I470,""))))</x:f>
      </x:c>
      <x:c r="P470" s="987" t="str">
        <x:f>IF(COUNTA($A470:$M470)=0,"",IF(OR(LEFT(LOWER(TRIM($F470&amp;"")),12)="subscription",LOWER(TRIM($F470&amp;""))="membership"),"",IF(LOWER($L470&amp;"")="yes",0,IF(OR(AND($H470&lt;&gt;"",$H470=0),LEFT(LOWER(TRIM($F470&amp;"")),9)="free game",LOWER(TRIM($F470&amp;""))="free",LOWER(TRIM($F470&amp;""))="free entry"),IF(LOWER($D470&amp;"")="finalized",IF(ISNUMBER($K470),$K470,""),IF($O470&lt;&gt;"",$O470,"")),IF($K470&lt;&gt;"",$K470,IF($O470&lt;&gt;"",$O470,""))))))</x:f>
      </x:c>
      <x:c r="Q470" s="114" t="str">
        <x:f>IF(COUNTA($A470:$M470)=0,"",IF(OR($U470="Subscription",$U470=""),"",IF($U470="Profit",ROUND(IFERROR($P470,0)-IFERROR($H470,0),2),0)))</x:f>
      </x:c>
      <x:c r="R470" s="114" t="str">
        <x:f>IF(COUNTA($A470:$M470)=0,"",IF(OR($U470="Subscription",$U470=""),"",IF($U470="Draw",$H470,0)))</x:f>
      </x:c>
      <x:c r="S470" s="114" t="str">
        <x:f>IF(COUNTA($A470:$M470)=0,"",IF(OR($U470="Subscription",$U470=""),"",IF($U470="Disqualified",$H470,0)))</x:f>
      </x:c>
      <x:c r="T470" s="955" t="str">
        <x:f>IF(COUNTA($A470:$M470)=0,"",IF(OR($U470="Subscription",$U470=""),"",IF(OR($U470="Free Game",$U470="Disqualified — Free Game",$H470=0),"N/A",IF($U470="Profit",$Q470/$H470,IF($U470="Disqualified",-$S470/$H470,0)))))</x:f>
      </x:c>
      <x:c r="U470" s="920" t="str">
        <x:f>IF(COUNTA($A470:$M470)=0,"",IF(OR(LEFT(LOWER(TRIM($F470&amp;"")),12)="subscription",LOWER(TRIM($F470&amp;""))="membership"),"Subscription",IF(OR(AND($H470&lt;&gt;"",$H470=0),LEFT(LOWER(TRIM($F470&amp;"")),9)="free game",LOWER(TRIM($F470&amp;""))="free",LOWER(TRIM($F470&amp;""))="free entry"),IF(LOWER($L470&amp;"")="yes","Disqualified — Free Game","Free Game"),IF(LOWER($L470&amp;"")="yes","Disqualified",IF($P470="","",IF(ROUND(IFERROR(VALUE($P470),0)-IFERROR(VALUE($H470),0),2)&gt;0,"Profit","Draw"))))))</x:f>
      </x:c>
      <x:c r="V470" s="956" t="str">
        <x:f>IF(COUNTA($A470:$M470)=0,"",IF(OR($B470="",$C470="",$U470="Subscription"),"",IFERROR(ROUNDUP(($C470-$B470)/7,0),"")))</x:f>
      </x:c>
      <x:c r="W470" s="114" t="str">
        <x:f>IF(COUNTA($A470:$M470)=0,"",IF(OR($U470="Subscription",$U470=""),"",IF(OR($U470="Free Game",$U470="Disqualified — Free Game"),0,ROUND(IFERROR($Q470,0)-IFERROR($S470,0),2))))</x:f>
      </x:c>
      <x:c r="X470" s="956" t="str">
        <x:f>IF(COUNTA($A470:$M470)=0,"",IF(OR($U470="Subscription",NOT(ISNUMBER($J470)),NOT(ISNUMBER($I470)),$J470=0,$I470=0,$I470&gt;$J470),"",$J470-$I470))</x:f>
      </x:c>
      <x:c r="Y470" s="955" t="str">
        <x:f>IF(COUNTA($A470:$M470)=0,"",IF(OR($U470="Subscription",NOT(ISNUMBER($J470)),$J470=0,$X470=""),"",$X470/$J470))</x:f>
      </x:c>
      <x:c r="Z470" s="957" t="str">
        <x:f>IF(COUNTA($A470:$M470)=0,"",Instructions!$B$29+SUM($W$5:W470))</x:f>
      </x:c>
    </x:row>
    <x:row r="471" ht="36" customHeight="1">
      <x:c r="A471" s="439"/>
      <x:c r="B471" s="453"/>
      <x:c r="C471" s="453"/>
      <x:c r="D471" s="454"/>
      <x:c r="E471" s="454"/>
      <x:c r="F471" s="454"/>
      <x:c r="G471" s="986"/>
      <x:c r="H471" s="455"/>
      <x:c r="I471" s="456"/>
      <x:c r="J471" s="456"/>
      <x:c r="K471" s="986"/>
      <x:c r="L471" s="454"/>
      <x:c r="M471" s="439"/>
      <x:c r="N471" s="987" t="str">
        <x:f>IF(COUNTA($A471:$M471)=0,"",IF(OR(LEFT(LOWER(TRIM($F471&amp;"")),12)="subscription",LOWER(TRIM($F471&amp;""))="membership"),"",IF($G471="","",IF(ISNUMBER(SEARCH("non",LOWER($E471&amp;""))),$G471*0.85,$G471))))</x:f>
      </x:c>
      <x:c r="O471" s="987" t="str">
        <x:f>IF(COUNTA($A471:$M471)=0,"",IF(OR(LEFT(LOWER(TRIM($F471&amp;"")),12)="subscription",LOWER(TRIM($F471&amp;""))="membership"),"",IF(OR($N471="",$I471="",$I471=0),"",IFERROR($N471/$I471,""))))</x:f>
      </x:c>
      <x:c r="P471" s="987" t="str">
        <x:f>IF(COUNTA($A471:$M471)=0,"",IF(OR(LEFT(LOWER(TRIM($F471&amp;"")),12)="subscription",LOWER(TRIM($F471&amp;""))="membership"),"",IF(LOWER($L471&amp;"")="yes",0,IF(OR(AND($H471&lt;&gt;"",$H471=0),LEFT(LOWER(TRIM($F471&amp;"")),9)="free game",LOWER(TRIM($F471&amp;""))="free",LOWER(TRIM($F471&amp;""))="free entry"),IF(LOWER($D471&amp;"")="finalized",IF(ISNUMBER($K471),$K471,""),IF($O471&lt;&gt;"",$O471,"")),IF($K471&lt;&gt;"",$K471,IF($O471&lt;&gt;"",$O471,""))))))</x:f>
      </x:c>
      <x:c r="Q471" s="114" t="str">
        <x:f>IF(COUNTA($A471:$M471)=0,"",IF(OR($U471="Subscription",$U471=""),"",IF($U471="Profit",ROUND(IFERROR($P471,0)-IFERROR($H471,0),2),0)))</x:f>
      </x:c>
      <x:c r="R471" s="114" t="str">
        <x:f>IF(COUNTA($A471:$M471)=0,"",IF(OR($U471="Subscription",$U471=""),"",IF($U471="Draw",$H471,0)))</x:f>
      </x:c>
      <x:c r="S471" s="114" t="str">
        <x:f>IF(COUNTA($A471:$M471)=0,"",IF(OR($U471="Subscription",$U471=""),"",IF($U471="Disqualified",$H471,0)))</x:f>
      </x:c>
      <x:c r="T471" s="955" t="str">
        <x:f>IF(COUNTA($A471:$M471)=0,"",IF(OR($U471="Subscription",$U471=""),"",IF(OR($U471="Free Game",$U471="Disqualified — Free Game",$H471=0),"N/A",IF($U471="Profit",$Q471/$H471,IF($U471="Disqualified",-$S471/$H471,0)))))</x:f>
      </x:c>
      <x:c r="U471" s="920" t="str">
        <x:f>IF(COUNTA($A471:$M471)=0,"",IF(OR(LEFT(LOWER(TRIM($F471&amp;"")),12)="subscription",LOWER(TRIM($F471&amp;""))="membership"),"Subscription",IF(OR(AND($H471&lt;&gt;"",$H471=0),LEFT(LOWER(TRIM($F471&amp;"")),9)="free game",LOWER(TRIM($F471&amp;""))="free",LOWER(TRIM($F471&amp;""))="free entry"),IF(LOWER($L471&amp;"")="yes","Disqualified — Free Game","Free Game"),IF(LOWER($L471&amp;"")="yes","Disqualified",IF($P471="","",IF(ROUND(IFERROR(VALUE($P471),0)-IFERROR(VALUE($H471),0),2)&gt;0,"Profit","Draw"))))))</x:f>
      </x:c>
      <x:c r="V471" s="956" t="str">
        <x:f>IF(COUNTA($A471:$M471)=0,"",IF(OR($B471="",$C471="",$U471="Subscription"),"",IFERROR(ROUNDUP(($C471-$B471)/7,0),"")))</x:f>
      </x:c>
      <x:c r="W471" s="114" t="str">
        <x:f>IF(COUNTA($A471:$M471)=0,"",IF(OR($U471="Subscription",$U471=""),"",IF(OR($U471="Free Game",$U471="Disqualified — Free Game"),0,ROUND(IFERROR($Q471,0)-IFERROR($S471,0),2))))</x:f>
      </x:c>
      <x:c r="X471" s="956" t="str">
        <x:f>IF(COUNTA($A471:$M471)=0,"",IF(OR($U471="Subscription",NOT(ISNUMBER($J471)),NOT(ISNUMBER($I471)),$J471=0,$I471=0,$I471&gt;$J471),"",$J471-$I471))</x:f>
      </x:c>
      <x:c r="Y471" s="955" t="str">
        <x:f>IF(COUNTA($A471:$M471)=0,"",IF(OR($U471="Subscription",NOT(ISNUMBER($J471)),$J471=0,$X471=""),"",$X471/$J471))</x:f>
      </x:c>
      <x:c r="Z471" s="957" t="str">
        <x:f>IF(COUNTA($A471:$M471)=0,"",Instructions!$B$29+SUM($W$5:W471))</x:f>
      </x:c>
    </x:row>
    <x:row r="472" ht="36" customHeight="1">
      <x:c r="A472" s="439"/>
      <x:c r="B472" s="453"/>
      <x:c r="C472" s="453"/>
      <x:c r="D472" s="454"/>
      <x:c r="E472" s="454"/>
      <x:c r="F472" s="454"/>
      <x:c r="G472" s="986"/>
      <x:c r="H472" s="455"/>
      <x:c r="I472" s="456"/>
      <x:c r="J472" s="456"/>
      <x:c r="K472" s="986"/>
      <x:c r="L472" s="454"/>
      <x:c r="M472" s="439"/>
      <x:c r="N472" s="987" t="str">
        <x:f>IF(COUNTA($A472:$M472)=0,"",IF(OR(LEFT(LOWER(TRIM($F472&amp;"")),12)="subscription",LOWER(TRIM($F472&amp;""))="membership"),"",IF($G472="","",IF(ISNUMBER(SEARCH("non",LOWER($E472&amp;""))),$G472*0.85,$G472))))</x:f>
      </x:c>
      <x:c r="O472" s="987" t="str">
        <x:f>IF(COUNTA($A472:$M472)=0,"",IF(OR(LEFT(LOWER(TRIM($F472&amp;"")),12)="subscription",LOWER(TRIM($F472&amp;""))="membership"),"",IF(OR($N472="",$I472="",$I472=0),"",IFERROR($N472/$I472,""))))</x:f>
      </x:c>
      <x:c r="P472" s="987" t="str">
        <x:f>IF(COUNTA($A472:$M472)=0,"",IF(OR(LEFT(LOWER(TRIM($F472&amp;"")),12)="subscription",LOWER(TRIM($F472&amp;""))="membership"),"",IF(LOWER($L472&amp;"")="yes",0,IF(OR(AND($H472&lt;&gt;"",$H472=0),LEFT(LOWER(TRIM($F472&amp;"")),9)="free game",LOWER(TRIM($F472&amp;""))="free",LOWER(TRIM($F472&amp;""))="free entry"),IF(LOWER($D472&amp;"")="finalized",IF(ISNUMBER($K472),$K472,""),IF($O472&lt;&gt;"",$O472,"")),IF($K472&lt;&gt;"",$K472,IF($O472&lt;&gt;"",$O472,""))))))</x:f>
      </x:c>
      <x:c r="Q472" s="114" t="str">
        <x:f>IF(COUNTA($A472:$M472)=0,"",IF(OR($U472="Subscription",$U472=""),"",IF($U472="Profit",ROUND(IFERROR($P472,0)-IFERROR($H472,0),2),0)))</x:f>
      </x:c>
      <x:c r="R472" s="114" t="str">
        <x:f>IF(COUNTA($A472:$M472)=0,"",IF(OR($U472="Subscription",$U472=""),"",IF($U472="Draw",$H472,0)))</x:f>
      </x:c>
      <x:c r="S472" s="114" t="str">
        <x:f>IF(COUNTA($A472:$M472)=0,"",IF(OR($U472="Subscription",$U472=""),"",IF($U472="Disqualified",$H472,0)))</x:f>
      </x:c>
      <x:c r="T472" s="955" t="str">
        <x:f>IF(COUNTA($A472:$M472)=0,"",IF(OR($U472="Subscription",$U472=""),"",IF(OR($U472="Free Game",$U472="Disqualified — Free Game",$H472=0),"N/A",IF($U472="Profit",$Q472/$H472,IF($U472="Disqualified",-$S472/$H472,0)))))</x:f>
      </x:c>
      <x:c r="U472" s="920" t="str">
        <x:f>IF(COUNTA($A472:$M472)=0,"",IF(OR(LEFT(LOWER(TRIM($F472&amp;"")),12)="subscription",LOWER(TRIM($F472&amp;""))="membership"),"Subscription",IF(OR(AND($H472&lt;&gt;"",$H472=0),LEFT(LOWER(TRIM($F472&amp;"")),9)="free game",LOWER(TRIM($F472&amp;""))="free",LOWER(TRIM($F472&amp;""))="free entry"),IF(LOWER($L472&amp;"")="yes","Disqualified — Free Game","Free Game"),IF(LOWER($L472&amp;"")="yes","Disqualified",IF($P472="","",IF(ROUND(IFERROR(VALUE($P472),0)-IFERROR(VALUE($H472),0),2)&gt;0,"Profit","Draw"))))))</x:f>
      </x:c>
      <x:c r="V472" s="956" t="str">
        <x:f>IF(COUNTA($A472:$M472)=0,"",IF(OR($B472="",$C472="",$U472="Subscription"),"",IFERROR(ROUNDUP(($C472-$B472)/7,0),"")))</x:f>
      </x:c>
      <x:c r="W472" s="114" t="str">
        <x:f>IF(COUNTA($A472:$M472)=0,"",IF(OR($U472="Subscription",$U472=""),"",IF(OR($U472="Free Game",$U472="Disqualified — Free Game"),0,ROUND(IFERROR($Q472,0)-IFERROR($S472,0),2))))</x:f>
      </x:c>
      <x:c r="X472" s="956" t="str">
        <x:f>IF(COUNTA($A472:$M472)=0,"",IF(OR($U472="Subscription",NOT(ISNUMBER($J472)),NOT(ISNUMBER($I472)),$J472=0,$I472=0,$I472&gt;$J472),"",$J472-$I472))</x:f>
      </x:c>
      <x:c r="Y472" s="955" t="str">
        <x:f>IF(COUNTA($A472:$M472)=0,"",IF(OR($U472="Subscription",NOT(ISNUMBER($J472)),$J472=0,$X472=""),"",$X472/$J472))</x:f>
      </x:c>
      <x:c r="Z472" s="957" t="str">
        <x:f>IF(COUNTA($A472:$M472)=0,"",Instructions!$B$29+SUM($W$5:W472))</x:f>
      </x:c>
    </x:row>
    <x:row r="473" ht="36" customHeight="1">
      <x:c r="A473" s="439"/>
      <x:c r="B473" s="453"/>
      <x:c r="C473" s="453"/>
      <x:c r="D473" s="454"/>
      <x:c r="E473" s="454"/>
      <x:c r="F473" s="454"/>
      <x:c r="G473" s="986"/>
      <x:c r="H473" s="455"/>
      <x:c r="I473" s="456"/>
      <x:c r="J473" s="456"/>
      <x:c r="K473" s="986"/>
      <x:c r="L473" s="454"/>
      <x:c r="M473" s="439"/>
      <x:c r="N473" s="987" t="str">
        <x:f>IF(COUNTA($A473:$M473)=0,"",IF(OR(LEFT(LOWER(TRIM($F473&amp;"")),12)="subscription",LOWER(TRIM($F473&amp;""))="membership"),"",IF($G473="","",IF(ISNUMBER(SEARCH("non",LOWER($E473&amp;""))),$G473*0.85,$G473))))</x:f>
      </x:c>
      <x:c r="O473" s="987" t="str">
        <x:f>IF(COUNTA($A473:$M473)=0,"",IF(OR(LEFT(LOWER(TRIM($F473&amp;"")),12)="subscription",LOWER(TRIM($F473&amp;""))="membership"),"",IF(OR($N473="",$I473="",$I473=0),"",IFERROR($N473/$I473,""))))</x:f>
      </x:c>
      <x:c r="P473" s="987" t="str">
        <x:f>IF(COUNTA($A473:$M473)=0,"",IF(OR(LEFT(LOWER(TRIM($F473&amp;"")),12)="subscription",LOWER(TRIM($F473&amp;""))="membership"),"",IF(LOWER($L473&amp;"")="yes",0,IF(OR(AND($H473&lt;&gt;"",$H473=0),LEFT(LOWER(TRIM($F473&amp;"")),9)="free game",LOWER(TRIM($F473&amp;""))="free",LOWER(TRIM($F473&amp;""))="free entry"),IF(LOWER($D473&amp;"")="finalized",IF(ISNUMBER($K473),$K473,""),IF($O473&lt;&gt;"",$O473,"")),IF($K473&lt;&gt;"",$K473,IF($O473&lt;&gt;"",$O473,""))))))</x:f>
      </x:c>
      <x:c r="Q473" s="114" t="str">
        <x:f>IF(COUNTA($A473:$M473)=0,"",IF(OR($U473="Subscription",$U473=""),"",IF($U473="Profit",ROUND(IFERROR($P473,0)-IFERROR($H473,0),2),0)))</x:f>
      </x:c>
      <x:c r="R473" s="114" t="str">
        <x:f>IF(COUNTA($A473:$M473)=0,"",IF(OR($U473="Subscription",$U473=""),"",IF($U473="Draw",$H473,0)))</x:f>
      </x:c>
      <x:c r="S473" s="114" t="str">
        <x:f>IF(COUNTA($A473:$M473)=0,"",IF(OR($U473="Subscription",$U473=""),"",IF($U473="Disqualified",$H473,0)))</x:f>
      </x:c>
      <x:c r="T473" s="955" t="str">
        <x:f>IF(COUNTA($A473:$M473)=0,"",IF(OR($U473="Subscription",$U473=""),"",IF(OR($U473="Free Game",$U473="Disqualified — Free Game",$H473=0),"N/A",IF($U473="Profit",$Q473/$H473,IF($U473="Disqualified",-$S473/$H473,0)))))</x:f>
      </x:c>
      <x:c r="U473" s="920" t="str">
        <x:f>IF(COUNTA($A473:$M473)=0,"",IF(OR(LEFT(LOWER(TRIM($F473&amp;"")),12)="subscription",LOWER(TRIM($F473&amp;""))="membership"),"Subscription",IF(OR(AND($H473&lt;&gt;"",$H473=0),LEFT(LOWER(TRIM($F473&amp;"")),9)="free game",LOWER(TRIM($F473&amp;""))="free",LOWER(TRIM($F473&amp;""))="free entry"),IF(LOWER($L473&amp;"")="yes","Disqualified — Free Game","Free Game"),IF(LOWER($L473&amp;"")="yes","Disqualified",IF($P473="","",IF(ROUND(IFERROR(VALUE($P473),0)-IFERROR(VALUE($H473),0),2)&gt;0,"Profit","Draw"))))))</x:f>
      </x:c>
      <x:c r="V473" s="956" t="str">
        <x:f>IF(COUNTA($A473:$M473)=0,"",IF(OR($B473="",$C473="",$U473="Subscription"),"",IFERROR(ROUNDUP(($C473-$B473)/7,0),"")))</x:f>
      </x:c>
      <x:c r="W473" s="114" t="str">
        <x:f>IF(COUNTA($A473:$M473)=0,"",IF(OR($U473="Subscription",$U473=""),"",IF(OR($U473="Free Game",$U473="Disqualified — Free Game"),0,ROUND(IFERROR($Q473,0)-IFERROR($S473,0),2))))</x:f>
      </x:c>
      <x:c r="X473" s="956" t="str">
        <x:f>IF(COUNTA($A473:$M473)=0,"",IF(OR($U473="Subscription",NOT(ISNUMBER($J473)),NOT(ISNUMBER($I473)),$J473=0,$I473=0,$I473&gt;$J473),"",$J473-$I473))</x:f>
      </x:c>
      <x:c r="Y473" s="955" t="str">
        <x:f>IF(COUNTA($A473:$M473)=0,"",IF(OR($U473="Subscription",NOT(ISNUMBER($J473)),$J473=0,$X473=""),"",$X473/$J473))</x:f>
      </x:c>
      <x:c r="Z473" s="957" t="str">
        <x:f>IF(COUNTA($A473:$M473)=0,"",Instructions!$B$29+SUM($W$5:W473))</x:f>
      </x:c>
    </x:row>
    <x:row r="474" ht="36" customHeight="1">
      <x:c r="A474" s="439"/>
      <x:c r="B474" s="453"/>
      <x:c r="C474" s="453"/>
      <x:c r="D474" s="454"/>
      <x:c r="E474" s="454"/>
      <x:c r="F474" s="454"/>
      <x:c r="G474" s="986"/>
      <x:c r="H474" s="455"/>
      <x:c r="I474" s="456"/>
      <x:c r="J474" s="456"/>
      <x:c r="K474" s="986"/>
      <x:c r="L474" s="454"/>
      <x:c r="M474" s="439"/>
      <x:c r="N474" s="987" t="str">
        <x:f>IF(COUNTA($A474:$M474)=0,"",IF(OR(LEFT(LOWER(TRIM($F474&amp;"")),12)="subscription",LOWER(TRIM($F474&amp;""))="membership"),"",IF($G474="","",IF(ISNUMBER(SEARCH("non",LOWER($E474&amp;""))),$G474*0.85,$G474))))</x:f>
      </x:c>
      <x:c r="O474" s="987" t="str">
        <x:f>IF(COUNTA($A474:$M474)=0,"",IF(OR(LEFT(LOWER(TRIM($F474&amp;"")),12)="subscription",LOWER(TRIM($F474&amp;""))="membership"),"",IF(OR($N474="",$I474="",$I474=0),"",IFERROR($N474/$I474,""))))</x:f>
      </x:c>
      <x:c r="P474" s="987" t="str">
        <x:f>IF(COUNTA($A474:$M474)=0,"",IF(OR(LEFT(LOWER(TRIM($F474&amp;"")),12)="subscription",LOWER(TRIM($F474&amp;""))="membership"),"",IF(LOWER($L474&amp;"")="yes",0,IF(OR(AND($H474&lt;&gt;"",$H474=0),LEFT(LOWER(TRIM($F474&amp;"")),9)="free game",LOWER(TRIM($F474&amp;""))="free",LOWER(TRIM($F474&amp;""))="free entry"),IF(LOWER($D474&amp;"")="finalized",IF(ISNUMBER($K474),$K474,""),IF($O474&lt;&gt;"",$O474,"")),IF($K474&lt;&gt;"",$K474,IF($O474&lt;&gt;"",$O474,""))))))</x:f>
      </x:c>
      <x:c r="Q474" s="114" t="str">
        <x:f>IF(COUNTA($A474:$M474)=0,"",IF(OR($U474="Subscription",$U474=""),"",IF($U474="Profit",ROUND(IFERROR($P474,0)-IFERROR($H474,0),2),0)))</x:f>
      </x:c>
      <x:c r="R474" s="114" t="str">
        <x:f>IF(COUNTA($A474:$M474)=0,"",IF(OR($U474="Subscription",$U474=""),"",IF($U474="Draw",$H474,0)))</x:f>
      </x:c>
      <x:c r="S474" s="114" t="str">
        <x:f>IF(COUNTA($A474:$M474)=0,"",IF(OR($U474="Subscription",$U474=""),"",IF($U474="Disqualified",$H474,0)))</x:f>
      </x:c>
      <x:c r="T474" s="955" t="str">
        <x:f>IF(COUNTA($A474:$M474)=0,"",IF(OR($U474="Subscription",$U474=""),"",IF(OR($U474="Free Game",$U474="Disqualified — Free Game",$H474=0),"N/A",IF($U474="Profit",$Q474/$H474,IF($U474="Disqualified",-$S474/$H474,0)))))</x:f>
      </x:c>
      <x:c r="U474" s="920" t="str">
        <x:f>IF(COUNTA($A474:$M474)=0,"",IF(OR(LEFT(LOWER(TRIM($F474&amp;"")),12)="subscription",LOWER(TRIM($F474&amp;""))="membership"),"Subscription",IF(OR(AND($H474&lt;&gt;"",$H474=0),LEFT(LOWER(TRIM($F474&amp;"")),9)="free game",LOWER(TRIM($F474&amp;""))="free",LOWER(TRIM($F474&amp;""))="free entry"),IF(LOWER($L474&amp;"")="yes","Disqualified — Free Game","Free Game"),IF(LOWER($L474&amp;"")="yes","Disqualified",IF($P474="","",IF(ROUND(IFERROR(VALUE($P474),0)-IFERROR(VALUE($H474),0),2)&gt;0,"Profit","Draw"))))))</x:f>
      </x:c>
      <x:c r="V474" s="956" t="str">
        <x:f>IF(COUNTA($A474:$M474)=0,"",IF(OR($B474="",$C474="",$U474="Subscription"),"",IFERROR(ROUNDUP(($C474-$B474)/7,0),"")))</x:f>
      </x:c>
      <x:c r="W474" s="114" t="str">
        <x:f>IF(COUNTA($A474:$M474)=0,"",IF(OR($U474="Subscription",$U474=""),"",IF(OR($U474="Free Game",$U474="Disqualified — Free Game"),0,ROUND(IFERROR($Q474,0)-IFERROR($S474,0),2))))</x:f>
      </x:c>
      <x:c r="X474" s="956" t="str">
        <x:f>IF(COUNTA($A474:$M474)=0,"",IF(OR($U474="Subscription",NOT(ISNUMBER($J474)),NOT(ISNUMBER($I474)),$J474=0,$I474=0,$I474&gt;$J474),"",$J474-$I474))</x:f>
      </x:c>
      <x:c r="Y474" s="955" t="str">
        <x:f>IF(COUNTA($A474:$M474)=0,"",IF(OR($U474="Subscription",NOT(ISNUMBER($J474)),$J474=0,$X474=""),"",$X474/$J474))</x:f>
      </x:c>
      <x:c r="Z474" s="957" t="str">
        <x:f>IF(COUNTA($A474:$M474)=0,"",Instructions!$B$29+SUM($W$5:W474))</x:f>
      </x:c>
    </x:row>
    <x:row r="475" ht="36" customHeight="1">
      <x:c r="A475" s="439"/>
      <x:c r="B475" s="453"/>
      <x:c r="C475" s="453"/>
      <x:c r="D475" s="454"/>
      <x:c r="E475" s="454"/>
      <x:c r="F475" s="454"/>
      <x:c r="G475" s="986"/>
      <x:c r="H475" s="455"/>
      <x:c r="I475" s="456"/>
      <x:c r="J475" s="456"/>
      <x:c r="K475" s="986"/>
      <x:c r="L475" s="454"/>
      <x:c r="M475" s="439"/>
      <x:c r="N475" s="987" t="str">
        <x:f>IF(COUNTA($A475:$M475)=0,"",IF(OR(LEFT(LOWER(TRIM($F475&amp;"")),12)="subscription",LOWER(TRIM($F475&amp;""))="membership"),"",IF($G475="","",IF(ISNUMBER(SEARCH("non",LOWER($E475&amp;""))),$G475*0.85,$G475))))</x:f>
      </x:c>
      <x:c r="O475" s="987" t="str">
        <x:f>IF(COUNTA($A475:$M475)=0,"",IF(OR(LEFT(LOWER(TRIM($F475&amp;"")),12)="subscription",LOWER(TRIM($F475&amp;""))="membership"),"",IF(OR($N475="",$I475="",$I475=0),"",IFERROR($N475/$I475,""))))</x:f>
      </x:c>
      <x:c r="P475" s="987" t="str">
        <x:f>IF(COUNTA($A475:$M475)=0,"",IF(OR(LEFT(LOWER(TRIM($F475&amp;"")),12)="subscription",LOWER(TRIM($F475&amp;""))="membership"),"",IF(LOWER($L475&amp;"")="yes",0,IF(OR(AND($H475&lt;&gt;"",$H475=0),LEFT(LOWER(TRIM($F475&amp;"")),9)="free game",LOWER(TRIM($F475&amp;""))="free",LOWER(TRIM($F475&amp;""))="free entry"),IF(LOWER($D475&amp;"")="finalized",IF(ISNUMBER($K475),$K475,""),IF($O475&lt;&gt;"",$O475,"")),IF($K475&lt;&gt;"",$K475,IF($O475&lt;&gt;"",$O475,""))))))</x:f>
      </x:c>
      <x:c r="Q475" s="114" t="str">
        <x:f>IF(COUNTA($A475:$M475)=0,"",IF(OR($U475="Subscription",$U475=""),"",IF($U475="Profit",ROUND(IFERROR($P475,0)-IFERROR($H475,0),2),0)))</x:f>
      </x:c>
      <x:c r="R475" s="114" t="str">
        <x:f>IF(COUNTA($A475:$M475)=0,"",IF(OR($U475="Subscription",$U475=""),"",IF($U475="Draw",$H475,0)))</x:f>
      </x:c>
      <x:c r="S475" s="114" t="str">
        <x:f>IF(COUNTA($A475:$M475)=0,"",IF(OR($U475="Subscription",$U475=""),"",IF($U475="Disqualified",$H475,0)))</x:f>
      </x:c>
      <x:c r="T475" s="955" t="str">
        <x:f>IF(COUNTA($A475:$M475)=0,"",IF(OR($U475="Subscription",$U475=""),"",IF(OR($U475="Free Game",$U475="Disqualified — Free Game",$H475=0),"N/A",IF($U475="Profit",$Q475/$H475,IF($U475="Disqualified",-$S475/$H475,0)))))</x:f>
      </x:c>
      <x:c r="U475" s="920" t="str">
        <x:f>IF(COUNTA($A475:$M475)=0,"",IF(OR(LEFT(LOWER(TRIM($F475&amp;"")),12)="subscription",LOWER(TRIM($F475&amp;""))="membership"),"Subscription",IF(OR(AND($H475&lt;&gt;"",$H475=0),LEFT(LOWER(TRIM($F475&amp;"")),9)="free game",LOWER(TRIM($F475&amp;""))="free",LOWER(TRIM($F475&amp;""))="free entry"),IF(LOWER($L475&amp;"")="yes","Disqualified — Free Game","Free Game"),IF(LOWER($L475&amp;"")="yes","Disqualified",IF($P475="","",IF(ROUND(IFERROR(VALUE($P475),0)-IFERROR(VALUE($H475),0),2)&gt;0,"Profit","Draw"))))))</x:f>
      </x:c>
      <x:c r="V475" s="956" t="str">
        <x:f>IF(COUNTA($A475:$M475)=0,"",IF(OR($B475="",$C475="",$U475="Subscription"),"",IFERROR(ROUNDUP(($C475-$B475)/7,0),"")))</x:f>
      </x:c>
      <x:c r="W475" s="114" t="str">
        <x:f>IF(COUNTA($A475:$M475)=0,"",IF(OR($U475="Subscription",$U475=""),"",IF(OR($U475="Free Game",$U475="Disqualified — Free Game"),0,ROUND(IFERROR($Q475,0)-IFERROR($S475,0),2))))</x:f>
      </x:c>
      <x:c r="X475" s="956" t="str">
        <x:f>IF(COUNTA($A475:$M475)=0,"",IF(OR($U475="Subscription",NOT(ISNUMBER($J475)),NOT(ISNUMBER($I475)),$J475=0,$I475=0,$I475&gt;$J475),"",$J475-$I475))</x:f>
      </x:c>
      <x:c r="Y475" s="955" t="str">
        <x:f>IF(COUNTA($A475:$M475)=0,"",IF(OR($U475="Subscription",NOT(ISNUMBER($J475)),$J475=0,$X475=""),"",$X475/$J475))</x:f>
      </x:c>
      <x:c r="Z475" s="957" t="str">
        <x:f>IF(COUNTA($A475:$M475)=0,"",Instructions!$B$29+SUM($W$5:W475))</x:f>
      </x:c>
    </x:row>
    <x:row r="476" ht="36" customHeight="1">
      <x:c r="A476" s="439"/>
      <x:c r="B476" s="453"/>
      <x:c r="C476" s="453"/>
      <x:c r="D476" s="454"/>
      <x:c r="E476" s="454"/>
      <x:c r="F476" s="454"/>
      <x:c r="G476" s="986"/>
      <x:c r="H476" s="455"/>
      <x:c r="I476" s="456"/>
      <x:c r="J476" s="456"/>
      <x:c r="K476" s="986"/>
      <x:c r="L476" s="454"/>
      <x:c r="M476" s="439"/>
      <x:c r="N476" s="987" t="str">
        <x:f>IF(COUNTA($A476:$M476)=0,"",IF(OR(LEFT(LOWER(TRIM($F476&amp;"")),12)="subscription",LOWER(TRIM($F476&amp;""))="membership"),"",IF($G476="","",IF(ISNUMBER(SEARCH("non",LOWER($E476&amp;""))),$G476*0.85,$G476))))</x:f>
      </x:c>
      <x:c r="O476" s="987" t="str">
        <x:f>IF(COUNTA($A476:$M476)=0,"",IF(OR(LEFT(LOWER(TRIM($F476&amp;"")),12)="subscription",LOWER(TRIM($F476&amp;""))="membership"),"",IF(OR($N476="",$I476="",$I476=0),"",IFERROR($N476/$I476,""))))</x:f>
      </x:c>
      <x:c r="P476" s="987" t="str">
        <x:f>IF(COUNTA($A476:$M476)=0,"",IF(OR(LEFT(LOWER(TRIM($F476&amp;"")),12)="subscription",LOWER(TRIM($F476&amp;""))="membership"),"",IF(LOWER($L476&amp;"")="yes",0,IF(OR(AND($H476&lt;&gt;"",$H476=0),LEFT(LOWER(TRIM($F476&amp;"")),9)="free game",LOWER(TRIM($F476&amp;""))="free",LOWER(TRIM($F476&amp;""))="free entry"),IF(LOWER($D476&amp;"")="finalized",IF(ISNUMBER($K476),$K476,""),IF($O476&lt;&gt;"",$O476,"")),IF($K476&lt;&gt;"",$K476,IF($O476&lt;&gt;"",$O476,""))))))</x:f>
      </x:c>
      <x:c r="Q476" s="114" t="str">
        <x:f>IF(COUNTA($A476:$M476)=0,"",IF(OR($U476="Subscription",$U476=""),"",IF($U476="Profit",ROUND(IFERROR($P476,0)-IFERROR($H476,0),2),0)))</x:f>
      </x:c>
      <x:c r="R476" s="114" t="str">
        <x:f>IF(COUNTA($A476:$M476)=0,"",IF(OR($U476="Subscription",$U476=""),"",IF($U476="Draw",$H476,0)))</x:f>
      </x:c>
      <x:c r="S476" s="114" t="str">
        <x:f>IF(COUNTA($A476:$M476)=0,"",IF(OR($U476="Subscription",$U476=""),"",IF($U476="Disqualified",$H476,0)))</x:f>
      </x:c>
      <x:c r="T476" s="955" t="str">
        <x:f>IF(COUNTA($A476:$M476)=0,"",IF(OR($U476="Subscription",$U476=""),"",IF(OR($U476="Free Game",$U476="Disqualified — Free Game",$H476=0),"N/A",IF($U476="Profit",$Q476/$H476,IF($U476="Disqualified",-$S476/$H476,0)))))</x:f>
      </x:c>
      <x:c r="U476" s="920" t="str">
        <x:f>IF(COUNTA($A476:$M476)=0,"",IF(OR(LEFT(LOWER(TRIM($F476&amp;"")),12)="subscription",LOWER(TRIM($F476&amp;""))="membership"),"Subscription",IF(OR(AND($H476&lt;&gt;"",$H476=0),LEFT(LOWER(TRIM($F476&amp;"")),9)="free game",LOWER(TRIM($F476&amp;""))="free",LOWER(TRIM($F476&amp;""))="free entry"),IF(LOWER($L476&amp;"")="yes","Disqualified — Free Game","Free Game"),IF(LOWER($L476&amp;"")="yes","Disqualified",IF($P476="","",IF(ROUND(IFERROR(VALUE($P476),0)-IFERROR(VALUE($H476),0),2)&gt;0,"Profit","Draw"))))))</x:f>
      </x:c>
      <x:c r="V476" s="956" t="str">
        <x:f>IF(COUNTA($A476:$M476)=0,"",IF(OR($B476="",$C476="",$U476="Subscription"),"",IFERROR(ROUNDUP(($C476-$B476)/7,0),"")))</x:f>
      </x:c>
      <x:c r="W476" s="114" t="str">
        <x:f>IF(COUNTA($A476:$M476)=0,"",IF(OR($U476="Subscription",$U476=""),"",IF(OR($U476="Free Game",$U476="Disqualified — Free Game"),0,ROUND(IFERROR($Q476,0)-IFERROR($S476,0),2))))</x:f>
      </x:c>
      <x:c r="X476" s="956" t="str">
        <x:f>IF(COUNTA($A476:$M476)=0,"",IF(OR($U476="Subscription",NOT(ISNUMBER($J476)),NOT(ISNUMBER($I476)),$J476=0,$I476=0,$I476&gt;$J476),"",$J476-$I476))</x:f>
      </x:c>
      <x:c r="Y476" s="955" t="str">
        <x:f>IF(COUNTA($A476:$M476)=0,"",IF(OR($U476="Subscription",NOT(ISNUMBER($J476)),$J476=0,$X476=""),"",$X476/$J476))</x:f>
      </x:c>
      <x:c r="Z476" s="957" t="str">
        <x:f>IF(COUNTA($A476:$M476)=0,"",Instructions!$B$29+SUM($W$5:W476))</x:f>
      </x:c>
    </x:row>
    <x:row r="477" ht="36" customHeight="1">
      <x:c r="A477" s="439"/>
      <x:c r="B477" s="453"/>
      <x:c r="C477" s="453"/>
      <x:c r="D477" s="454"/>
      <x:c r="E477" s="454"/>
      <x:c r="F477" s="454"/>
      <x:c r="G477" s="986"/>
      <x:c r="H477" s="455"/>
      <x:c r="I477" s="456"/>
      <x:c r="J477" s="456"/>
      <x:c r="K477" s="986"/>
      <x:c r="L477" s="454"/>
      <x:c r="M477" s="439"/>
      <x:c r="N477" s="987" t="str">
        <x:f>IF(COUNTA($A477:$M477)=0,"",IF(OR(LEFT(LOWER(TRIM($F477&amp;"")),12)="subscription",LOWER(TRIM($F477&amp;""))="membership"),"",IF($G477="","",IF(ISNUMBER(SEARCH("non",LOWER($E477&amp;""))),$G477*0.85,$G477))))</x:f>
      </x:c>
      <x:c r="O477" s="987" t="str">
        <x:f>IF(COUNTA($A477:$M477)=0,"",IF(OR(LEFT(LOWER(TRIM($F477&amp;"")),12)="subscription",LOWER(TRIM($F477&amp;""))="membership"),"",IF(OR($N477="",$I477="",$I477=0),"",IFERROR($N477/$I477,""))))</x:f>
      </x:c>
      <x:c r="P477" s="987" t="str">
        <x:f>IF(COUNTA($A477:$M477)=0,"",IF(OR(LEFT(LOWER(TRIM($F477&amp;"")),12)="subscription",LOWER(TRIM($F477&amp;""))="membership"),"",IF(LOWER($L477&amp;"")="yes",0,IF(OR(AND($H477&lt;&gt;"",$H477=0),LEFT(LOWER(TRIM($F477&amp;"")),9)="free game",LOWER(TRIM($F477&amp;""))="free",LOWER(TRIM($F477&amp;""))="free entry"),IF(LOWER($D477&amp;"")="finalized",IF(ISNUMBER($K477),$K477,""),IF($O477&lt;&gt;"",$O477,"")),IF($K477&lt;&gt;"",$K477,IF($O477&lt;&gt;"",$O477,""))))))</x:f>
      </x:c>
      <x:c r="Q477" s="114" t="str">
        <x:f>IF(COUNTA($A477:$M477)=0,"",IF(OR($U477="Subscription",$U477=""),"",IF($U477="Profit",ROUND(IFERROR($P477,0)-IFERROR($H477,0),2),0)))</x:f>
      </x:c>
      <x:c r="R477" s="114" t="str">
        <x:f>IF(COUNTA($A477:$M477)=0,"",IF(OR($U477="Subscription",$U477=""),"",IF($U477="Draw",$H477,0)))</x:f>
      </x:c>
      <x:c r="S477" s="114" t="str">
        <x:f>IF(COUNTA($A477:$M477)=0,"",IF(OR($U477="Subscription",$U477=""),"",IF($U477="Disqualified",$H477,0)))</x:f>
      </x:c>
      <x:c r="T477" s="955" t="str">
        <x:f>IF(COUNTA($A477:$M477)=0,"",IF(OR($U477="Subscription",$U477=""),"",IF(OR($U477="Free Game",$U477="Disqualified — Free Game",$H477=0),"N/A",IF($U477="Profit",$Q477/$H477,IF($U477="Disqualified",-$S477/$H477,0)))))</x:f>
      </x:c>
      <x:c r="U477" s="920" t="str">
        <x:f>IF(COUNTA($A477:$M477)=0,"",IF(OR(LEFT(LOWER(TRIM($F477&amp;"")),12)="subscription",LOWER(TRIM($F477&amp;""))="membership"),"Subscription",IF(OR(AND($H477&lt;&gt;"",$H477=0),LEFT(LOWER(TRIM($F477&amp;"")),9)="free game",LOWER(TRIM($F477&amp;""))="free",LOWER(TRIM($F477&amp;""))="free entry"),IF(LOWER($L477&amp;"")="yes","Disqualified — Free Game","Free Game"),IF(LOWER($L477&amp;"")="yes","Disqualified",IF($P477="","",IF(ROUND(IFERROR(VALUE($P477),0)-IFERROR(VALUE($H477),0),2)&gt;0,"Profit","Draw"))))))</x:f>
      </x:c>
      <x:c r="V477" s="956" t="str">
        <x:f>IF(COUNTA($A477:$M477)=0,"",IF(OR($B477="",$C477="",$U477="Subscription"),"",IFERROR(ROUNDUP(($C477-$B477)/7,0),"")))</x:f>
      </x:c>
      <x:c r="W477" s="114" t="str">
        <x:f>IF(COUNTA($A477:$M477)=0,"",IF(OR($U477="Subscription",$U477=""),"",IF(OR($U477="Free Game",$U477="Disqualified — Free Game"),0,ROUND(IFERROR($Q477,0)-IFERROR($S477,0),2))))</x:f>
      </x:c>
      <x:c r="X477" s="956" t="str">
        <x:f>IF(COUNTA($A477:$M477)=0,"",IF(OR($U477="Subscription",NOT(ISNUMBER($J477)),NOT(ISNUMBER($I477)),$J477=0,$I477=0,$I477&gt;$J477),"",$J477-$I477))</x:f>
      </x:c>
      <x:c r="Y477" s="955" t="str">
        <x:f>IF(COUNTA($A477:$M477)=0,"",IF(OR($U477="Subscription",NOT(ISNUMBER($J477)),$J477=0,$X477=""),"",$X477/$J477))</x:f>
      </x:c>
      <x:c r="Z477" s="957" t="str">
        <x:f>IF(COUNTA($A477:$M477)=0,"",Instructions!$B$29+SUM($W$5:W477))</x:f>
      </x:c>
    </x:row>
    <x:row r="478" ht="36" customHeight="1">
      <x:c r="A478" s="439"/>
      <x:c r="B478" s="453"/>
      <x:c r="C478" s="453"/>
      <x:c r="D478" s="454"/>
      <x:c r="E478" s="454"/>
      <x:c r="F478" s="454"/>
      <x:c r="G478" s="986"/>
      <x:c r="H478" s="455"/>
      <x:c r="I478" s="456"/>
      <x:c r="J478" s="456"/>
      <x:c r="K478" s="986"/>
      <x:c r="L478" s="454"/>
      <x:c r="M478" s="439"/>
      <x:c r="N478" s="987" t="str">
        <x:f>IF(COUNTA($A478:$M478)=0,"",IF(OR(LEFT(LOWER(TRIM($F478&amp;"")),12)="subscription",LOWER(TRIM($F478&amp;""))="membership"),"",IF($G478="","",IF(ISNUMBER(SEARCH("non",LOWER($E478&amp;""))),$G478*0.85,$G478))))</x:f>
      </x:c>
      <x:c r="O478" s="987" t="str">
        <x:f>IF(COUNTA($A478:$M478)=0,"",IF(OR(LEFT(LOWER(TRIM($F478&amp;"")),12)="subscription",LOWER(TRIM($F478&amp;""))="membership"),"",IF(OR($N478="",$I478="",$I478=0),"",IFERROR($N478/$I478,""))))</x:f>
      </x:c>
      <x:c r="P478" s="987" t="str">
        <x:f>IF(COUNTA($A478:$M478)=0,"",IF(OR(LEFT(LOWER(TRIM($F478&amp;"")),12)="subscription",LOWER(TRIM($F478&amp;""))="membership"),"",IF(LOWER($L478&amp;"")="yes",0,IF(OR(AND($H478&lt;&gt;"",$H478=0),LEFT(LOWER(TRIM($F478&amp;"")),9)="free game",LOWER(TRIM($F478&amp;""))="free",LOWER(TRIM($F478&amp;""))="free entry"),IF(LOWER($D478&amp;"")="finalized",IF(ISNUMBER($K478),$K478,""),IF($O478&lt;&gt;"",$O478,"")),IF($K478&lt;&gt;"",$K478,IF($O478&lt;&gt;"",$O478,""))))))</x:f>
      </x:c>
      <x:c r="Q478" s="114" t="str">
        <x:f>IF(COUNTA($A478:$M478)=0,"",IF(OR($U478="Subscription",$U478=""),"",IF($U478="Profit",ROUND(IFERROR($P478,0)-IFERROR($H478,0),2),0)))</x:f>
      </x:c>
      <x:c r="R478" s="114" t="str">
        <x:f>IF(COUNTA($A478:$M478)=0,"",IF(OR($U478="Subscription",$U478=""),"",IF($U478="Draw",$H478,0)))</x:f>
      </x:c>
      <x:c r="S478" s="114" t="str">
        <x:f>IF(COUNTA($A478:$M478)=0,"",IF(OR($U478="Subscription",$U478=""),"",IF($U478="Disqualified",$H478,0)))</x:f>
      </x:c>
      <x:c r="T478" s="955" t="str">
        <x:f>IF(COUNTA($A478:$M478)=0,"",IF(OR($U478="Subscription",$U478=""),"",IF(OR($U478="Free Game",$U478="Disqualified — Free Game",$H478=0),"N/A",IF($U478="Profit",$Q478/$H478,IF($U478="Disqualified",-$S478/$H478,0)))))</x:f>
      </x:c>
      <x:c r="U478" s="920" t="str">
        <x:f>IF(COUNTA($A478:$M478)=0,"",IF(OR(LEFT(LOWER(TRIM($F478&amp;"")),12)="subscription",LOWER(TRIM($F478&amp;""))="membership"),"Subscription",IF(OR(AND($H478&lt;&gt;"",$H478=0),LEFT(LOWER(TRIM($F478&amp;"")),9)="free game",LOWER(TRIM($F478&amp;""))="free",LOWER(TRIM($F478&amp;""))="free entry"),IF(LOWER($L478&amp;"")="yes","Disqualified — Free Game","Free Game"),IF(LOWER($L478&amp;"")="yes","Disqualified",IF($P478="","",IF(ROUND(IFERROR(VALUE($P478),0)-IFERROR(VALUE($H478),0),2)&gt;0,"Profit","Draw"))))))</x:f>
      </x:c>
      <x:c r="V478" s="956" t="str">
        <x:f>IF(COUNTA($A478:$M478)=0,"",IF(OR($B478="",$C478="",$U478="Subscription"),"",IFERROR(ROUNDUP(($C478-$B478)/7,0),"")))</x:f>
      </x:c>
      <x:c r="W478" s="114" t="str">
        <x:f>IF(COUNTA($A478:$M478)=0,"",IF(OR($U478="Subscription",$U478=""),"",IF(OR($U478="Free Game",$U478="Disqualified — Free Game"),0,ROUND(IFERROR($Q478,0)-IFERROR($S478,0),2))))</x:f>
      </x:c>
      <x:c r="X478" s="956" t="str">
        <x:f>IF(COUNTA($A478:$M478)=0,"",IF(OR($U478="Subscription",NOT(ISNUMBER($J478)),NOT(ISNUMBER($I478)),$J478=0,$I478=0,$I478&gt;$J478),"",$J478-$I478))</x:f>
      </x:c>
      <x:c r="Y478" s="955" t="str">
        <x:f>IF(COUNTA($A478:$M478)=0,"",IF(OR($U478="Subscription",NOT(ISNUMBER($J478)),$J478=0,$X478=""),"",$X478/$J478))</x:f>
      </x:c>
      <x:c r="Z478" s="957" t="str">
        <x:f>IF(COUNTA($A478:$M478)=0,"",Instructions!$B$29+SUM($W$5:W478))</x:f>
      </x:c>
    </x:row>
    <x:row r="479" ht="36" customHeight="1">
      <x:c r="A479" s="439"/>
      <x:c r="B479" s="453"/>
      <x:c r="C479" s="453"/>
      <x:c r="D479" s="454"/>
      <x:c r="E479" s="454"/>
      <x:c r="F479" s="454"/>
      <x:c r="G479" s="986"/>
      <x:c r="H479" s="455"/>
      <x:c r="I479" s="456"/>
      <x:c r="J479" s="456"/>
      <x:c r="K479" s="986"/>
      <x:c r="L479" s="454"/>
      <x:c r="M479" s="439"/>
      <x:c r="N479" s="987" t="str">
        <x:f>IF(COUNTA($A479:$M479)=0,"",IF(OR(LEFT(LOWER(TRIM($F479&amp;"")),12)="subscription",LOWER(TRIM($F479&amp;""))="membership"),"",IF($G479="","",IF(ISNUMBER(SEARCH("non",LOWER($E479&amp;""))),$G479*0.85,$G479))))</x:f>
      </x:c>
      <x:c r="O479" s="987" t="str">
        <x:f>IF(COUNTA($A479:$M479)=0,"",IF(OR(LEFT(LOWER(TRIM($F479&amp;"")),12)="subscription",LOWER(TRIM($F479&amp;""))="membership"),"",IF(OR($N479="",$I479="",$I479=0),"",IFERROR($N479/$I479,""))))</x:f>
      </x:c>
      <x:c r="P479" s="987" t="str">
        <x:f>IF(COUNTA($A479:$M479)=0,"",IF(OR(LEFT(LOWER(TRIM($F479&amp;"")),12)="subscription",LOWER(TRIM($F479&amp;""))="membership"),"",IF(LOWER($L479&amp;"")="yes",0,IF(OR(AND($H479&lt;&gt;"",$H479=0),LEFT(LOWER(TRIM($F479&amp;"")),9)="free game",LOWER(TRIM($F479&amp;""))="free",LOWER(TRIM($F479&amp;""))="free entry"),IF(LOWER($D479&amp;"")="finalized",IF(ISNUMBER($K479),$K479,""),IF($O479&lt;&gt;"",$O479,"")),IF($K479&lt;&gt;"",$K479,IF($O479&lt;&gt;"",$O479,""))))))</x:f>
      </x:c>
      <x:c r="Q479" s="114" t="str">
        <x:f>IF(COUNTA($A479:$M479)=0,"",IF(OR($U479="Subscription",$U479=""),"",IF($U479="Profit",ROUND(IFERROR($P479,0)-IFERROR($H479,0),2),0)))</x:f>
      </x:c>
      <x:c r="R479" s="114" t="str">
        <x:f>IF(COUNTA($A479:$M479)=0,"",IF(OR($U479="Subscription",$U479=""),"",IF($U479="Draw",$H479,0)))</x:f>
      </x:c>
      <x:c r="S479" s="114" t="str">
        <x:f>IF(COUNTA($A479:$M479)=0,"",IF(OR($U479="Subscription",$U479=""),"",IF($U479="Disqualified",$H479,0)))</x:f>
      </x:c>
      <x:c r="T479" s="955" t="str">
        <x:f>IF(COUNTA($A479:$M479)=0,"",IF(OR($U479="Subscription",$U479=""),"",IF(OR($U479="Free Game",$U479="Disqualified — Free Game",$H479=0),"N/A",IF($U479="Profit",$Q479/$H479,IF($U479="Disqualified",-$S479/$H479,0)))))</x:f>
      </x:c>
      <x:c r="U479" s="920" t="str">
        <x:f>IF(COUNTA($A479:$M479)=0,"",IF(OR(LEFT(LOWER(TRIM($F479&amp;"")),12)="subscription",LOWER(TRIM($F479&amp;""))="membership"),"Subscription",IF(OR(AND($H479&lt;&gt;"",$H479=0),LEFT(LOWER(TRIM($F479&amp;"")),9)="free game",LOWER(TRIM($F479&amp;""))="free",LOWER(TRIM($F479&amp;""))="free entry"),IF(LOWER($L479&amp;"")="yes","Disqualified — Free Game","Free Game"),IF(LOWER($L479&amp;"")="yes","Disqualified",IF($P479="","",IF(ROUND(IFERROR(VALUE($P479),0)-IFERROR(VALUE($H479),0),2)&gt;0,"Profit","Draw"))))))</x:f>
      </x:c>
      <x:c r="V479" s="956" t="str">
        <x:f>IF(COUNTA($A479:$M479)=0,"",IF(OR($B479="",$C479="",$U479="Subscription"),"",IFERROR(ROUNDUP(($C479-$B479)/7,0),"")))</x:f>
      </x:c>
      <x:c r="W479" s="114" t="str">
        <x:f>IF(COUNTA($A479:$M479)=0,"",IF(OR($U479="Subscription",$U479=""),"",IF(OR($U479="Free Game",$U479="Disqualified — Free Game"),0,ROUND(IFERROR($Q479,0)-IFERROR($S479,0),2))))</x:f>
      </x:c>
      <x:c r="X479" s="956" t="str">
        <x:f>IF(COUNTA($A479:$M479)=0,"",IF(OR($U479="Subscription",NOT(ISNUMBER($J479)),NOT(ISNUMBER($I479)),$J479=0,$I479=0,$I479&gt;$J479),"",$J479-$I479))</x:f>
      </x:c>
      <x:c r="Y479" s="955" t="str">
        <x:f>IF(COUNTA($A479:$M479)=0,"",IF(OR($U479="Subscription",NOT(ISNUMBER($J479)),$J479=0,$X479=""),"",$X479/$J479))</x:f>
      </x:c>
      <x:c r="Z479" s="957" t="str">
        <x:f>IF(COUNTA($A479:$M479)=0,"",Instructions!$B$29+SUM($W$5:W479))</x:f>
      </x:c>
    </x:row>
    <x:row r="480" ht="36" customHeight="1">
      <x:c r="A480" s="439"/>
      <x:c r="B480" s="453"/>
      <x:c r="C480" s="453"/>
      <x:c r="D480" s="454"/>
      <x:c r="E480" s="454"/>
      <x:c r="F480" s="454"/>
      <x:c r="G480" s="986"/>
      <x:c r="H480" s="455"/>
      <x:c r="I480" s="456"/>
      <x:c r="J480" s="456"/>
      <x:c r="K480" s="986"/>
      <x:c r="L480" s="454"/>
      <x:c r="M480" s="439"/>
      <x:c r="N480" s="987" t="str">
        <x:f>IF(COUNTA($A480:$M480)=0,"",IF(OR(LEFT(LOWER(TRIM($F480&amp;"")),12)="subscription",LOWER(TRIM($F480&amp;""))="membership"),"",IF($G480="","",IF(ISNUMBER(SEARCH("non",LOWER($E480&amp;""))),$G480*0.85,$G480))))</x:f>
      </x:c>
      <x:c r="O480" s="987" t="str">
        <x:f>IF(COUNTA($A480:$M480)=0,"",IF(OR(LEFT(LOWER(TRIM($F480&amp;"")),12)="subscription",LOWER(TRIM($F480&amp;""))="membership"),"",IF(OR($N480="",$I480="",$I480=0),"",IFERROR($N480/$I480,""))))</x:f>
      </x:c>
      <x:c r="P480" s="987" t="str">
        <x:f>IF(COUNTA($A480:$M480)=0,"",IF(OR(LEFT(LOWER(TRIM($F480&amp;"")),12)="subscription",LOWER(TRIM($F480&amp;""))="membership"),"",IF(LOWER($L480&amp;"")="yes",0,IF(OR(AND($H480&lt;&gt;"",$H480=0),LEFT(LOWER(TRIM($F480&amp;"")),9)="free game",LOWER(TRIM($F480&amp;""))="free",LOWER(TRIM($F480&amp;""))="free entry"),IF(LOWER($D480&amp;"")="finalized",IF(ISNUMBER($K480),$K480,""),IF($O480&lt;&gt;"",$O480,"")),IF($K480&lt;&gt;"",$K480,IF($O480&lt;&gt;"",$O480,""))))))</x:f>
      </x:c>
      <x:c r="Q480" s="114" t="str">
        <x:f>IF(COUNTA($A480:$M480)=0,"",IF(OR($U480="Subscription",$U480=""),"",IF($U480="Profit",ROUND(IFERROR($P480,0)-IFERROR($H480,0),2),0)))</x:f>
      </x:c>
      <x:c r="R480" s="114" t="str">
        <x:f>IF(COUNTA($A480:$M480)=0,"",IF(OR($U480="Subscription",$U480=""),"",IF($U480="Draw",$H480,0)))</x:f>
      </x:c>
      <x:c r="S480" s="114" t="str">
        <x:f>IF(COUNTA($A480:$M480)=0,"",IF(OR($U480="Subscription",$U480=""),"",IF($U480="Disqualified",$H480,0)))</x:f>
      </x:c>
      <x:c r="T480" s="955" t="str">
        <x:f>IF(COUNTA($A480:$M480)=0,"",IF(OR($U480="Subscription",$U480=""),"",IF(OR($U480="Free Game",$U480="Disqualified — Free Game",$H480=0),"N/A",IF($U480="Profit",$Q480/$H480,IF($U480="Disqualified",-$S480/$H480,0)))))</x:f>
      </x:c>
      <x:c r="U480" s="920" t="str">
        <x:f>IF(COUNTA($A480:$M480)=0,"",IF(OR(LEFT(LOWER(TRIM($F480&amp;"")),12)="subscription",LOWER(TRIM($F480&amp;""))="membership"),"Subscription",IF(OR(AND($H480&lt;&gt;"",$H480=0),LEFT(LOWER(TRIM($F480&amp;"")),9)="free game",LOWER(TRIM($F480&amp;""))="free",LOWER(TRIM($F480&amp;""))="free entry"),IF(LOWER($L480&amp;"")="yes","Disqualified — Free Game","Free Game"),IF(LOWER($L480&amp;"")="yes","Disqualified",IF($P480="","",IF(ROUND(IFERROR(VALUE($P480),0)-IFERROR(VALUE($H480),0),2)&gt;0,"Profit","Draw"))))))</x:f>
      </x:c>
      <x:c r="V480" s="956" t="str">
        <x:f>IF(COUNTA($A480:$M480)=0,"",IF(OR($B480="",$C480="",$U480="Subscription"),"",IFERROR(ROUNDUP(($C480-$B480)/7,0),"")))</x:f>
      </x:c>
      <x:c r="W480" s="114" t="str">
        <x:f>IF(COUNTA($A480:$M480)=0,"",IF(OR($U480="Subscription",$U480=""),"",IF(OR($U480="Free Game",$U480="Disqualified — Free Game"),0,ROUND(IFERROR($Q480,0)-IFERROR($S480,0),2))))</x:f>
      </x:c>
      <x:c r="X480" s="956" t="str">
        <x:f>IF(COUNTA($A480:$M480)=0,"",IF(OR($U480="Subscription",NOT(ISNUMBER($J480)),NOT(ISNUMBER($I480)),$J480=0,$I480=0,$I480&gt;$J480),"",$J480-$I480))</x:f>
      </x:c>
      <x:c r="Y480" s="955" t="str">
        <x:f>IF(COUNTA($A480:$M480)=0,"",IF(OR($U480="Subscription",NOT(ISNUMBER($J480)),$J480=0,$X480=""),"",$X480/$J480))</x:f>
      </x:c>
      <x:c r="Z480" s="957" t="str">
        <x:f>IF(COUNTA($A480:$M480)=0,"",Instructions!$B$29+SUM($W$5:W480))</x:f>
      </x:c>
    </x:row>
    <x:row r="481" ht="36" customHeight="1">
      <x:c r="A481" s="439"/>
      <x:c r="B481" s="453"/>
      <x:c r="C481" s="453"/>
      <x:c r="D481" s="454"/>
      <x:c r="E481" s="454"/>
      <x:c r="F481" s="454"/>
      <x:c r="G481" s="986"/>
      <x:c r="H481" s="455"/>
      <x:c r="I481" s="456"/>
      <x:c r="J481" s="456"/>
      <x:c r="K481" s="986"/>
      <x:c r="L481" s="454"/>
      <x:c r="M481" s="439"/>
      <x:c r="N481" s="987" t="str">
        <x:f>IF(COUNTA($A481:$M481)=0,"",IF(OR(LEFT(LOWER(TRIM($F481&amp;"")),12)="subscription",LOWER(TRIM($F481&amp;""))="membership"),"",IF($G481="","",IF(ISNUMBER(SEARCH("non",LOWER($E481&amp;""))),$G481*0.85,$G481))))</x:f>
      </x:c>
      <x:c r="O481" s="987" t="str">
        <x:f>IF(COUNTA($A481:$M481)=0,"",IF(OR(LEFT(LOWER(TRIM($F481&amp;"")),12)="subscription",LOWER(TRIM($F481&amp;""))="membership"),"",IF(OR($N481="",$I481="",$I481=0),"",IFERROR($N481/$I481,""))))</x:f>
      </x:c>
      <x:c r="P481" s="987" t="str">
        <x:f>IF(COUNTA($A481:$M481)=0,"",IF(OR(LEFT(LOWER(TRIM($F481&amp;"")),12)="subscription",LOWER(TRIM($F481&amp;""))="membership"),"",IF(LOWER($L481&amp;"")="yes",0,IF(OR(AND($H481&lt;&gt;"",$H481=0),LEFT(LOWER(TRIM($F481&amp;"")),9)="free game",LOWER(TRIM($F481&amp;""))="free",LOWER(TRIM($F481&amp;""))="free entry"),IF(LOWER($D481&amp;"")="finalized",IF(ISNUMBER($K481),$K481,""),IF($O481&lt;&gt;"",$O481,"")),IF($K481&lt;&gt;"",$K481,IF($O481&lt;&gt;"",$O481,""))))))</x:f>
      </x:c>
      <x:c r="Q481" s="114" t="str">
        <x:f>IF(COUNTA($A481:$M481)=0,"",IF(OR($U481="Subscription",$U481=""),"",IF($U481="Profit",ROUND(IFERROR($P481,0)-IFERROR($H481,0),2),0)))</x:f>
      </x:c>
      <x:c r="R481" s="114" t="str">
        <x:f>IF(COUNTA($A481:$M481)=0,"",IF(OR($U481="Subscription",$U481=""),"",IF($U481="Draw",$H481,0)))</x:f>
      </x:c>
      <x:c r="S481" s="114" t="str">
        <x:f>IF(COUNTA($A481:$M481)=0,"",IF(OR($U481="Subscription",$U481=""),"",IF($U481="Disqualified",$H481,0)))</x:f>
      </x:c>
      <x:c r="T481" s="955" t="str">
        <x:f>IF(COUNTA($A481:$M481)=0,"",IF(OR($U481="Subscription",$U481=""),"",IF(OR($U481="Free Game",$U481="Disqualified — Free Game",$H481=0),"N/A",IF($U481="Profit",$Q481/$H481,IF($U481="Disqualified",-$S481/$H481,0)))))</x:f>
      </x:c>
      <x:c r="U481" s="920" t="str">
        <x:f>IF(COUNTA($A481:$M481)=0,"",IF(OR(LEFT(LOWER(TRIM($F481&amp;"")),12)="subscription",LOWER(TRIM($F481&amp;""))="membership"),"Subscription",IF(OR(AND($H481&lt;&gt;"",$H481=0),LEFT(LOWER(TRIM($F481&amp;"")),9)="free game",LOWER(TRIM($F481&amp;""))="free",LOWER(TRIM($F481&amp;""))="free entry"),IF(LOWER($L481&amp;"")="yes","Disqualified — Free Game","Free Game"),IF(LOWER($L481&amp;"")="yes","Disqualified",IF($P481="","",IF(ROUND(IFERROR(VALUE($P481),0)-IFERROR(VALUE($H481),0),2)&gt;0,"Profit","Draw"))))))</x:f>
      </x:c>
      <x:c r="V481" s="956" t="str">
        <x:f>IF(COUNTA($A481:$M481)=0,"",IF(OR($B481="",$C481="",$U481="Subscription"),"",IFERROR(ROUNDUP(($C481-$B481)/7,0),"")))</x:f>
      </x:c>
      <x:c r="W481" s="114" t="str">
        <x:f>IF(COUNTA($A481:$M481)=0,"",IF(OR($U481="Subscription",$U481=""),"",IF(OR($U481="Free Game",$U481="Disqualified — Free Game"),0,ROUND(IFERROR($Q481,0)-IFERROR($S481,0),2))))</x:f>
      </x:c>
      <x:c r="X481" s="956" t="str">
        <x:f>IF(COUNTA($A481:$M481)=0,"",IF(OR($U481="Subscription",NOT(ISNUMBER($J481)),NOT(ISNUMBER($I481)),$J481=0,$I481=0,$I481&gt;$J481),"",$J481-$I481))</x:f>
      </x:c>
      <x:c r="Y481" s="955" t="str">
        <x:f>IF(COUNTA($A481:$M481)=0,"",IF(OR($U481="Subscription",NOT(ISNUMBER($J481)),$J481=0,$X481=""),"",$X481/$J481))</x:f>
      </x:c>
      <x:c r="Z481" s="957" t="str">
        <x:f>IF(COUNTA($A481:$M481)=0,"",Instructions!$B$29+SUM($W$5:W481))</x:f>
      </x:c>
    </x:row>
    <x:row r="482" ht="36" customHeight="1">
      <x:c r="A482" s="439"/>
      <x:c r="B482" s="453"/>
      <x:c r="C482" s="453"/>
      <x:c r="D482" s="454"/>
      <x:c r="E482" s="454"/>
      <x:c r="F482" s="454"/>
      <x:c r="G482" s="986"/>
      <x:c r="H482" s="455"/>
      <x:c r="I482" s="456"/>
      <x:c r="J482" s="456"/>
      <x:c r="K482" s="986"/>
      <x:c r="L482" s="454"/>
      <x:c r="M482" s="439"/>
      <x:c r="N482" s="987" t="str">
        <x:f>IF(COUNTA($A482:$M482)=0,"",IF(OR(LEFT(LOWER(TRIM($F482&amp;"")),12)="subscription",LOWER(TRIM($F482&amp;""))="membership"),"",IF($G482="","",IF(ISNUMBER(SEARCH("non",LOWER($E482&amp;""))),$G482*0.85,$G482))))</x:f>
      </x:c>
      <x:c r="O482" s="987" t="str">
        <x:f>IF(COUNTA($A482:$M482)=0,"",IF(OR(LEFT(LOWER(TRIM($F482&amp;"")),12)="subscription",LOWER(TRIM($F482&amp;""))="membership"),"",IF(OR($N482="",$I482="",$I482=0),"",IFERROR($N482/$I482,""))))</x:f>
      </x:c>
      <x:c r="P482" s="987" t="str">
        <x:f>IF(COUNTA($A482:$M482)=0,"",IF(OR(LEFT(LOWER(TRIM($F482&amp;"")),12)="subscription",LOWER(TRIM($F482&amp;""))="membership"),"",IF(LOWER($L482&amp;"")="yes",0,IF(OR(AND($H482&lt;&gt;"",$H482=0),LEFT(LOWER(TRIM($F482&amp;"")),9)="free game",LOWER(TRIM($F482&amp;""))="free",LOWER(TRIM($F482&amp;""))="free entry"),IF(LOWER($D482&amp;"")="finalized",IF(ISNUMBER($K482),$K482,""),IF($O482&lt;&gt;"",$O482,"")),IF($K482&lt;&gt;"",$K482,IF($O482&lt;&gt;"",$O482,""))))))</x:f>
      </x:c>
      <x:c r="Q482" s="114" t="str">
        <x:f>IF(COUNTA($A482:$M482)=0,"",IF(OR($U482="Subscription",$U482=""),"",IF($U482="Profit",ROUND(IFERROR($P482,0)-IFERROR($H482,0),2),0)))</x:f>
      </x:c>
      <x:c r="R482" s="114" t="str">
        <x:f>IF(COUNTA($A482:$M482)=0,"",IF(OR($U482="Subscription",$U482=""),"",IF($U482="Draw",$H482,0)))</x:f>
      </x:c>
      <x:c r="S482" s="114" t="str">
        <x:f>IF(COUNTA($A482:$M482)=0,"",IF(OR($U482="Subscription",$U482=""),"",IF($U482="Disqualified",$H482,0)))</x:f>
      </x:c>
      <x:c r="T482" s="955" t="str">
        <x:f>IF(COUNTA($A482:$M482)=0,"",IF(OR($U482="Subscription",$U482=""),"",IF(OR($U482="Free Game",$U482="Disqualified — Free Game",$H482=0),"N/A",IF($U482="Profit",$Q482/$H482,IF($U482="Disqualified",-$S482/$H482,0)))))</x:f>
      </x:c>
      <x:c r="U482" s="920" t="str">
        <x:f>IF(COUNTA($A482:$M482)=0,"",IF(OR(LEFT(LOWER(TRIM($F482&amp;"")),12)="subscription",LOWER(TRIM($F482&amp;""))="membership"),"Subscription",IF(OR(AND($H482&lt;&gt;"",$H482=0),LEFT(LOWER(TRIM($F482&amp;"")),9)="free game",LOWER(TRIM($F482&amp;""))="free",LOWER(TRIM($F482&amp;""))="free entry"),IF(LOWER($L482&amp;"")="yes","Disqualified — Free Game","Free Game"),IF(LOWER($L482&amp;"")="yes","Disqualified",IF($P482="","",IF(ROUND(IFERROR(VALUE($P482),0)-IFERROR(VALUE($H482),0),2)&gt;0,"Profit","Draw"))))))</x:f>
      </x:c>
      <x:c r="V482" s="956" t="str">
        <x:f>IF(COUNTA($A482:$M482)=0,"",IF(OR($B482="",$C482="",$U482="Subscription"),"",IFERROR(ROUNDUP(($C482-$B482)/7,0),"")))</x:f>
      </x:c>
      <x:c r="W482" s="114" t="str">
        <x:f>IF(COUNTA($A482:$M482)=0,"",IF(OR($U482="Subscription",$U482=""),"",IF(OR($U482="Free Game",$U482="Disqualified — Free Game"),0,ROUND(IFERROR($Q482,0)-IFERROR($S482,0),2))))</x:f>
      </x:c>
      <x:c r="X482" s="956" t="str">
        <x:f>IF(COUNTA($A482:$M482)=0,"",IF(OR($U482="Subscription",NOT(ISNUMBER($J482)),NOT(ISNUMBER($I482)),$J482=0,$I482=0,$I482&gt;$J482),"",$J482-$I482))</x:f>
      </x:c>
      <x:c r="Y482" s="955" t="str">
        <x:f>IF(COUNTA($A482:$M482)=0,"",IF(OR($U482="Subscription",NOT(ISNUMBER($J482)),$J482=0,$X482=""),"",$X482/$J482))</x:f>
      </x:c>
      <x:c r="Z482" s="957" t="str">
        <x:f>IF(COUNTA($A482:$M482)=0,"",Instructions!$B$29+SUM($W$5:W482))</x:f>
      </x:c>
    </x:row>
    <x:row r="483" ht="36" customHeight="1">
      <x:c r="A483" s="439"/>
      <x:c r="B483" s="453"/>
      <x:c r="C483" s="453"/>
      <x:c r="D483" s="454"/>
      <x:c r="E483" s="454"/>
      <x:c r="F483" s="454"/>
      <x:c r="G483" s="986"/>
      <x:c r="H483" s="455"/>
      <x:c r="I483" s="456"/>
      <x:c r="J483" s="456"/>
      <x:c r="K483" s="986"/>
      <x:c r="L483" s="454"/>
      <x:c r="M483" s="439"/>
      <x:c r="N483" s="987" t="str">
        <x:f>IF(COUNTA($A483:$M483)=0,"",IF(OR(LEFT(LOWER(TRIM($F483&amp;"")),12)="subscription",LOWER(TRIM($F483&amp;""))="membership"),"",IF($G483="","",IF(ISNUMBER(SEARCH("non",LOWER($E483&amp;""))),$G483*0.85,$G483))))</x:f>
      </x:c>
      <x:c r="O483" s="987" t="str">
        <x:f>IF(COUNTA($A483:$M483)=0,"",IF(OR(LEFT(LOWER(TRIM($F483&amp;"")),12)="subscription",LOWER(TRIM($F483&amp;""))="membership"),"",IF(OR($N483="",$I483="",$I483=0),"",IFERROR($N483/$I483,""))))</x:f>
      </x:c>
      <x:c r="P483" s="987" t="str">
        <x:f>IF(COUNTA($A483:$M483)=0,"",IF(OR(LEFT(LOWER(TRIM($F483&amp;"")),12)="subscription",LOWER(TRIM($F483&amp;""))="membership"),"",IF(LOWER($L483&amp;"")="yes",0,IF(OR(AND($H483&lt;&gt;"",$H483=0),LEFT(LOWER(TRIM($F483&amp;"")),9)="free game",LOWER(TRIM($F483&amp;""))="free",LOWER(TRIM($F483&amp;""))="free entry"),IF(LOWER($D483&amp;"")="finalized",IF(ISNUMBER($K483),$K483,""),IF($O483&lt;&gt;"",$O483,"")),IF($K483&lt;&gt;"",$K483,IF($O483&lt;&gt;"",$O483,""))))))</x:f>
      </x:c>
      <x:c r="Q483" s="114" t="str">
        <x:f>IF(COUNTA($A483:$M483)=0,"",IF(OR($U483="Subscription",$U483=""),"",IF($U483="Profit",ROUND(IFERROR($P483,0)-IFERROR($H483,0),2),0)))</x:f>
      </x:c>
      <x:c r="R483" s="114" t="str">
        <x:f>IF(COUNTA($A483:$M483)=0,"",IF(OR($U483="Subscription",$U483=""),"",IF($U483="Draw",$H483,0)))</x:f>
      </x:c>
      <x:c r="S483" s="114" t="str">
        <x:f>IF(COUNTA($A483:$M483)=0,"",IF(OR($U483="Subscription",$U483=""),"",IF($U483="Disqualified",$H483,0)))</x:f>
      </x:c>
      <x:c r="T483" s="955" t="str">
        <x:f>IF(COUNTA($A483:$M483)=0,"",IF(OR($U483="Subscription",$U483=""),"",IF(OR($U483="Free Game",$U483="Disqualified — Free Game",$H483=0),"N/A",IF($U483="Profit",$Q483/$H483,IF($U483="Disqualified",-$S483/$H483,0)))))</x:f>
      </x:c>
      <x:c r="U483" s="920" t="str">
        <x:f>IF(COUNTA($A483:$M483)=0,"",IF(OR(LEFT(LOWER(TRIM($F483&amp;"")),12)="subscription",LOWER(TRIM($F483&amp;""))="membership"),"Subscription",IF(OR(AND($H483&lt;&gt;"",$H483=0),LEFT(LOWER(TRIM($F483&amp;"")),9)="free game",LOWER(TRIM($F483&amp;""))="free",LOWER(TRIM($F483&amp;""))="free entry"),IF(LOWER($L483&amp;"")="yes","Disqualified — Free Game","Free Game"),IF(LOWER($L483&amp;"")="yes","Disqualified",IF($P483="","",IF(ROUND(IFERROR(VALUE($P483),0)-IFERROR(VALUE($H483),0),2)&gt;0,"Profit","Draw"))))))</x:f>
      </x:c>
      <x:c r="V483" s="956" t="str">
        <x:f>IF(COUNTA($A483:$M483)=0,"",IF(OR($B483="",$C483="",$U483="Subscription"),"",IFERROR(ROUNDUP(($C483-$B483)/7,0),"")))</x:f>
      </x:c>
      <x:c r="W483" s="114" t="str">
        <x:f>IF(COUNTA($A483:$M483)=0,"",IF(OR($U483="Subscription",$U483=""),"",IF(OR($U483="Free Game",$U483="Disqualified — Free Game"),0,ROUND(IFERROR($Q483,0)-IFERROR($S483,0),2))))</x:f>
      </x:c>
      <x:c r="X483" s="956" t="str">
        <x:f>IF(COUNTA($A483:$M483)=0,"",IF(OR($U483="Subscription",NOT(ISNUMBER($J483)),NOT(ISNUMBER($I483)),$J483=0,$I483=0,$I483&gt;$J483),"",$J483-$I483))</x:f>
      </x:c>
      <x:c r="Y483" s="955" t="str">
        <x:f>IF(COUNTA($A483:$M483)=0,"",IF(OR($U483="Subscription",NOT(ISNUMBER($J483)),$J483=0,$X483=""),"",$X483/$J483))</x:f>
      </x:c>
      <x:c r="Z483" s="957" t="str">
        <x:f>IF(COUNTA($A483:$M483)=0,"",Instructions!$B$29+SUM($W$5:W483))</x:f>
      </x:c>
    </x:row>
    <x:row r="484" ht="36" customHeight="1">
      <x:c r="A484" s="439"/>
      <x:c r="B484" s="453"/>
      <x:c r="C484" s="453"/>
      <x:c r="D484" s="454"/>
      <x:c r="E484" s="454"/>
      <x:c r="F484" s="454"/>
      <x:c r="G484" s="986"/>
      <x:c r="H484" s="455"/>
      <x:c r="I484" s="456"/>
      <x:c r="J484" s="456"/>
      <x:c r="K484" s="986"/>
      <x:c r="L484" s="454"/>
      <x:c r="M484" s="439"/>
      <x:c r="N484" s="987" t="str">
        <x:f>IF(COUNTA($A484:$M484)=0,"",IF(OR(LEFT(LOWER(TRIM($F484&amp;"")),12)="subscription",LOWER(TRIM($F484&amp;""))="membership"),"",IF($G484="","",IF(ISNUMBER(SEARCH("non",LOWER($E484&amp;""))),$G484*0.85,$G484))))</x:f>
      </x:c>
      <x:c r="O484" s="987" t="str">
        <x:f>IF(COUNTA($A484:$M484)=0,"",IF(OR(LEFT(LOWER(TRIM($F484&amp;"")),12)="subscription",LOWER(TRIM($F484&amp;""))="membership"),"",IF(OR($N484="",$I484="",$I484=0),"",IFERROR($N484/$I484,""))))</x:f>
      </x:c>
      <x:c r="P484" s="987" t="str">
        <x:f>IF(COUNTA($A484:$M484)=0,"",IF(OR(LEFT(LOWER(TRIM($F484&amp;"")),12)="subscription",LOWER(TRIM($F484&amp;""))="membership"),"",IF(LOWER($L484&amp;"")="yes",0,IF(OR(AND($H484&lt;&gt;"",$H484=0),LEFT(LOWER(TRIM($F484&amp;"")),9)="free game",LOWER(TRIM($F484&amp;""))="free",LOWER(TRIM($F484&amp;""))="free entry"),IF(LOWER($D484&amp;"")="finalized",IF(ISNUMBER($K484),$K484,""),IF($O484&lt;&gt;"",$O484,"")),IF($K484&lt;&gt;"",$K484,IF($O484&lt;&gt;"",$O484,""))))))</x:f>
      </x:c>
      <x:c r="Q484" s="114" t="str">
        <x:f>IF(COUNTA($A484:$M484)=0,"",IF(OR($U484="Subscription",$U484=""),"",IF($U484="Profit",ROUND(IFERROR($P484,0)-IFERROR($H484,0),2),0)))</x:f>
      </x:c>
      <x:c r="R484" s="114" t="str">
        <x:f>IF(COUNTA($A484:$M484)=0,"",IF(OR($U484="Subscription",$U484=""),"",IF($U484="Draw",$H484,0)))</x:f>
      </x:c>
      <x:c r="S484" s="114" t="str">
        <x:f>IF(COUNTA($A484:$M484)=0,"",IF(OR($U484="Subscription",$U484=""),"",IF($U484="Disqualified",$H484,0)))</x:f>
      </x:c>
      <x:c r="T484" s="955" t="str">
        <x:f>IF(COUNTA($A484:$M484)=0,"",IF(OR($U484="Subscription",$U484=""),"",IF(OR($U484="Free Game",$U484="Disqualified — Free Game",$H484=0),"N/A",IF($U484="Profit",$Q484/$H484,IF($U484="Disqualified",-$S484/$H484,0)))))</x:f>
      </x:c>
      <x:c r="U484" s="920" t="str">
        <x:f>IF(COUNTA($A484:$M484)=0,"",IF(OR(LEFT(LOWER(TRIM($F484&amp;"")),12)="subscription",LOWER(TRIM($F484&amp;""))="membership"),"Subscription",IF(OR(AND($H484&lt;&gt;"",$H484=0),LEFT(LOWER(TRIM($F484&amp;"")),9)="free game",LOWER(TRIM($F484&amp;""))="free",LOWER(TRIM($F484&amp;""))="free entry"),IF(LOWER($L484&amp;"")="yes","Disqualified — Free Game","Free Game"),IF(LOWER($L484&amp;"")="yes","Disqualified",IF($P484="","",IF(ROUND(IFERROR(VALUE($P484),0)-IFERROR(VALUE($H484),0),2)&gt;0,"Profit","Draw"))))))</x:f>
      </x:c>
      <x:c r="V484" s="956" t="str">
        <x:f>IF(COUNTA($A484:$M484)=0,"",IF(OR($B484="",$C484="",$U484="Subscription"),"",IFERROR(ROUNDUP(($C484-$B484)/7,0),"")))</x:f>
      </x:c>
      <x:c r="W484" s="114" t="str">
        <x:f>IF(COUNTA($A484:$M484)=0,"",IF(OR($U484="Subscription",$U484=""),"",IF(OR($U484="Free Game",$U484="Disqualified — Free Game"),0,ROUND(IFERROR($Q484,0)-IFERROR($S484,0),2))))</x:f>
      </x:c>
      <x:c r="X484" s="956" t="str">
        <x:f>IF(COUNTA($A484:$M484)=0,"",IF(OR($U484="Subscription",NOT(ISNUMBER($J484)),NOT(ISNUMBER($I484)),$J484=0,$I484=0,$I484&gt;$J484),"",$J484-$I484))</x:f>
      </x:c>
      <x:c r="Y484" s="955" t="str">
        <x:f>IF(COUNTA($A484:$M484)=0,"",IF(OR($U484="Subscription",NOT(ISNUMBER($J484)),$J484=0,$X484=""),"",$X484/$J484))</x:f>
      </x:c>
      <x:c r="Z484" s="957" t="str">
        <x:f>IF(COUNTA($A484:$M484)=0,"",Instructions!$B$29+SUM($W$5:W484))</x:f>
      </x:c>
    </x:row>
    <x:row r="485" ht="36" customHeight="1">
      <x:c r="A485" s="439"/>
      <x:c r="B485" s="453"/>
      <x:c r="C485" s="453"/>
      <x:c r="D485" s="454"/>
      <x:c r="E485" s="454"/>
      <x:c r="F485" s="454"/>
      <x:c r="G485" s="986"/>
      <x:c r="H485" s="455"/>
      <x:c r="I485" s="456"/>
      <x:c r="J485" s="456"/>
      <x:c r="K485" s="986"/>
      <x:c r="L485" s="454"/>
      <x:c r="M485" s="439"/>
      <x:c r="N485" s="987" t="str">
        <x:f>IF(COUNTA($A485:$M485)=0,"",IF(OR(LEFT(LOWER(TRIM($F485&amp;"")),12)="subscription",LOWER(TRIM($F485&amp;""))="membership"),"",IF($G485="","",IF(ISNUMBER(SEARCH("non",LOWER($E485&amp;""))),$G485*0.85,$G485))))</x:f>
      </x:c>
      <x:c r="O485" s="987" t="str">
        <x:f>IF(COUNTA($A485:$M485)=0,"",IF(OR(LEFT(LOWER(TRIM($F485&amp;"")),12)="subscription",LOWER(TRIM($F485&amp;""))="membership"),"",IF(OR($N485="",$I485="",$I485=0),"",IFERROR($N485/$I485,""))))</x:f>
      </x:c>
      <x:c r="P485" s="987" t="str">
        <x:f>IF(COUNTA($A485:$M485)=0,"",IF(OR(LEFT(LOWER(TRIM($F485&amp;"")),12)="subscription",LOWER(TRIM($F485&amp;""))="membership"),"",IF(LOWER($L485&amp;"")="yes",0,IF(OR(AND($H485&lt;&gt;"",$H485=0),LEFT(LOWER(TRIM($F485&amp;"")),9)="free game",LOWER(TRIM($F485&amp;""))="free",LOWER(TRIM($F485&amp;""))="free entry"),IF(LOWER($D485&amp;"")="finalized",IF(ISNUMBER($K485),$K485,""),IF($O485&lt;&gt;"",$O485,"")),IF($K485&lt;&gt;"",$K485,IF($O485&lt;&gt;"",$O485,""))))))</x:f>
      </x:c>
      <x:c r="Q485" s="114" t="str">
        <x:f>IF(COUNTA($A485:$M485)=0,"",IF(OR($U485="Subscription",$U485=""),"",IF($U485="Profit",ROUND(IFERROR($P485,0)-IFERROR($H485,0),2),0)))</x:f>
      </x:c>
      <x:c r="R485" s="114" t="str">
        <x:f>IF(COUNTA($A485:$M485)=0,"",IF(OR($U485="Subscription",$U485=""),"",IF($U485="Draw",$H485,0)))</x:f>
      </x:c>
      <x:c r="S485" s="114" t="str">
        <x:f>IF(COUNTA($A485:$M485)=0,"",IF(OR($U485="Subscription",$U485=""),"",IF($U485="Disqualified",$H485,0)))</x:f>
      </x:c>
      <x:c r="T485" s="955" t="str">
        <x:f>IF(COUNTA($A485:$M485)=0,"",IF(OR($U485="Subscription",$U485=""),"",IF(OR($U485="Free Game",$U485="Disqualified — Free Game",$H485=0),"N/A",IF($U485="Profit",$Q485/$H485,IF($U485="Disqualified",-$S485/$H485,0)))))</x:f>
      </x:c>
      <x:c r="U485" s="920" t="str">
        <x:f>IF(COUNTA($A485:$M485)=0,"",IF(OR(LEFT(LOWER(TRIM($F485&amp;"")),12)="subscription",LOWER(TRIM($F485&amp;""))="membership"),"Subscription",IF(OR(AND($H485&lt;&gt;"",$H485=0),LEFT(LOWER(TRIM($F485&amp;"")),9)="free game",LOWER(TRIM($F485&amp;""))="free",LOWER(TRIM($F485&amp;""))="free entry"),IF(LOWER($L485&amp;"")="yes","Disqualified — Free Game","Free Game"),IF(LOWER($L485&amp;"")="yes","Disqualified",IF($P485="","",IF(ROUND(IFERROR(VALUE($P485),0)-IFERROR(VALUE($H485),0),2)&gt;0,"Profit","Draw"))))))</x:f>
      </x:c>
      <x:c r="V485" s="956" t="str">
        <x:f>IF(COUNTA($A485:$M485)=0,"",IF(OR($B485="",$C485="",$U485="Subscription"),"",IFERROR(ROUNDUP(($C485-$B485)/7,0),"")))</x:f>
      </x:c>
      <x:c r="W485" s="114" t="str">
        <x:f>IF(COUNTA($A485:$M485)=0,"",IF(OR($U485="Subscription",$U485=""),"",IF(OR($U485="Free Game",$U485="Disqualified — Free Game"),0,ROUND(IFERROR($Q485,0)-IFERROR($S485,0),2))))</x:f>
      </x:c>
      <x:c r="X485" s="956" t="str">
        <x:f>IF(COUNTA($A485:$M485)=0,"",IF(OR($U485="Subscription",NOT(ISNUMBER($J485)),NOT(ISNUMBER($I485)),$J485=0,$I485=0,$I485&gt;$J485),"",$J485-$I485))</x:f>
      </x:c>
      <x:c r="Y485" s="955" t="str">
        <x:f>IF(COUNTA($A485:$M485)=0,"",IF(OR($U485="Subscription",NOT(ISNUMBER($J485)),$J485=0,$X485=""),"",$X485/$J485))</x:f>
      </x:c>
      <x:c r="Z485" s="957" t="str">
        <x:f>IF(COUNTA($A485:$M485)=0,"",Instructions!$B$29+SUM($W$5:W485))</x:f>
      </x:c>
    </x:row>
    <x:row r="486" ht="36" customHeight="1">
      <x:c r="A486" s="439"/>
      <x:c r="B486" s="453"/>
      <x:c r="C486" s="453"/>
      <x:c r="D486" s="454"/>
      <x:c r="E486" s="454"/>
      <x:c r="F486" s="454"/>
      <x:c r="G486" s="986"/>
      <x:c r="H486" s="455"/>
      <x:c r="I486" s="456"/>
      <x:c r="J486" s="456"/>
      <x:c r="K486" s="986"/>
      <x:c r="L486" s="454"/>
      <x:c r="M486" s="439"/>
      <x:c r="N486" s="987" t="str">
        <x:f>IF(COUNTA($A486:$M486)=0,"",IF(OR(LEFT(LOWER(TRIM($F486&amp;"")),12)="subscription",LOWER(TRIM($F486&amp;""))="membership"),"",IF($G486="","",IF(ISNUMBER(SEARCH("non",LOWER($E486&amp;""))),$G486*0.85,$G486))))</x:f>
      </x:c>
      <x:c r="O486" s="987" t="str">
        <x:f>IF(COUNTA($A486:$M486)=0,"",IF(OR(LEFT(LOWER(TRIM($F486&amp;"")),12)="subscription",LOWER(TRIM($F486&amp;""))="membership"),"",IF(OR($N486="",$I486="",$I486=0),"",IFERROR($N486/$I486,""))))</x:f>
      </x:c>
      <x:c r="P486" s="987" t="str">
        <x:f>IF(COUNTA($A486:$M486)=0,"",IF(OR(LEFT(LOWER(TRIM($F486&amp;"")),12)="subscription",LOWER(TRIM($F486&amp;""))="membership"),"",IF(LOWER($L486&amp;"")="yes",0,IF(OR(AND($H486&lt;&gt;"",$H486=0),LEFT(LOWER(TRIM($F486&amp;"")),9)="free game",LOWER(TRIM($F486&amp;""))="free",LOWER(TRIM($F486&amp;""))="free entry"),IF(LOWER($D486&amp;"")="finalized",IF(ISNUMBER($K486),$K486,""),IF($O486&lt;&gt;"",$O486,"")),IF($K486&lt;&gt;"",$K486,IF($O486&lt;&gt;"",$O486,""))))))</x:f>
      </x:c>
      <x:c r="Q486" s="114" t="str">
        <x:f>IF(COUNTA($A486:$M486)=0,"",IF(OR($U486="Subscription",$U486=""),"",IF($U486="Profit",ROUND(IFERROR($P486,0)-IFERROR($H486,0),2),0)))</x:f>
      </x:c>
      <x:c r="R486" s="114" t="str">
        <x:f>IF(COUNTA($A486:$M486)=0,"",IF(OR($U486="Subscription",$U486=""),"",IF($U486="Draw",$H486,0)))</x:f>
      </x:c>
      <x:c r="S486" s="114" t="str">
        <x:f>IF(COUNTA($A486:$M486)=0,"",IF(OR($U486="Subscription",$U486=""),"",IF($U486="Disqualified",$H486,0)))</x:f>
      </x:c>
      <x:c r="T486" s="955" t="str">
        <x:f>IF(COUNTA($A486:$M486)=0,"",IF(OR($U486="Subscription",$U486=""),"",IF(OR($U486="Free Game",$U486="Disqualified — Free Game",$H486=0),"N/A",IF($U486="Profit",$Q486/$H486,IF($U486="Disqualified",-$S486/$H486,0)))))</x:f>
      </x:c>
      <x:c r="U486" s="920" t="str">
        <x:f>IF(COUNTA($A486:$M486)=0,"",IF(OR(LEFT(LOWER(TRIM($F486&amp;"")),12)="subscription",LOWER(TRIM($F486&amp;""))="membership"),"Subscription",IF(OR(AND($H486&lt;&gt;"",$H486=0),LEFT(LOWER(TRIM($F486&amp;"")),9)="free game",LOWER(TRIM($F486&amp;""))="free",LOWER(TRIM($F486&amp;""))="free entry"),IF(LOWER($L486&amp;"")="yes","Disqualified — Free Game","Free Game"),IF(LOWER($L486&amp;"")="yes","Disqualified",IF($P486="","",IF(ROUND(IFERROR(VALUE($P486),0)-IFERROR(VALUE($H486),0),2)&gt;0,"Profit","Draw"))))))</x:f>
      </x:c>
      <x:c r="V486" s="956" t="str">
        <x:f>IF(COUNTA($A486:$M486)=0,"",IF(OR($B486="",$C486="",$U486="Subscription"),"",IFERROR(ROUNDUP(($C486-$B486)/7,0),"")))</x:f>
      </x:c>
      <x:c r="W486" s="114" t="str">
        <x:f>IF(COUNTA($A486:$M486)=0,"",IF(OR($U486="Subscription",$U486=""),"",IF(OR($U486="Free Game",$U486="Disqualified — Free Game"),0,ROUND(IFERROR($Q486,0)-IFERROR($S486,0),2))))</x:f>
      </x:c>
      <x:c r="X486" s="956" t="str">
        <x:f>IF(COUNTA($A486:$M486)=0,"",IF(OR($U486="Subscription",NOT(ISNUMBER($J486)),NOT(ISNUMBER($I486)),$J486=0,$I486=0,$I486&gt;$J486),"",$J486-$I486))</x:f>
      </x:c>
      <x:c r="Y486" s="955" t="str">
        <x:f>IF(COUNTA($A486:$M486)=0,"",IF(OR($U486="Subscription",NOT(ISNUMBER($J486)),$J486=0,$X486=""),"",$X486/$J486))</x:f>
      </x:c>
      <x:c r="Z486" s="957" t="str">
        <x:f>IF(COUNTA($A486:$M486)=0,"",Instructions!$B$29+SUM($W$5:W486))</x:f>
      </x:c>
    </x:row>
    <x:row r="487" ht="36" customHeight="1">
      <x:c r="A487" s="439"/>
      <x:c r="B487" s="453"/>
      <x:c r="C487" s="453"/>
      <x:c r="D487" s="454"/>
      <x:c r="E487" s="454"/>
      <x:c r="F487" s="454"/>
      <x:c r="G487" s="986"/>
      <x:c r="H487" s="455"/>
      <x:c r="I487" s="456"/>
      <x:c r="J487" s="456"/>
      <x:c r="K487" s="986"/>
      <x:c r="L487" s="454"/>
      <x:c r="M487" s="439"/>
      <x:c r="N487" s="987" t="str">
        <x:f>IF(COUNTA($A487:$M487)=0,"",IF(OR(LEFT(LOWER(TRIM($F487&amp;"")),12)="subscription",LOWER(TRIM($F487&amp;""))="membership"),"",IF($G487="","",IF(ISNUMBER(SEARCH("non",LOWER($E487&amp;""))),$G487*0.85,$G487))))</x:f>
      </x:c>
      <x:c r="O487" s="987" t="str">
        <x:f>IF(COUNTA($A487:$M487)=0,"",IF(OR(LEFT(LOWER(TRIM($F487&amp;"")),12)="subscription",LOWER(TRIM($F487&amp;""))="membership"),"",IF(OR($N487="",$I487="",$I487=0),"",IFERROR($N487/$I487,""))))</x:f>
      </x:c>
      <x:c r="P487" s="987" t="str">
        <x:f>IF(COUNTA($A487:$M487)=0,"",IF(OR(LEFT(LOWER(TRIM($F487&amp;"")),12)="subscription",LOWER(TRIM($F487&amp;""))="membership"),"",IF(LOWER($L487&amp;"")="yes",0,IF(OR(AND($H487&lt;&gt;"",$H487=0),LEFT(LOWER(TRIM($F487&amp;"")),9)="free game",LOWER(TRIM($F487&amp;""))="free",LOWER(TRIM($F487&amp;""))="free entry"),IF(LOWER($D487&amp;"")="finalized",IF(ISNUMBER($K487),$K487,""),IF($O487&lt;&gt;"",$O487,"")),IF($K487&lt;&gt;"",$K487,IF($O487&lt;&gt;"",$O487,""))))))</x:f>
      </x:c>
      <x:c r="Q487" s="114" t="str">
        <x:f>IF(COUNTA($A487:$M487)=0,"",IF(OR($U487="Subscription",$U487=""),"",IF($U487="Profit",ROUND(IFERROR($P487,0)-IFERROR($H487,0),2),0)))</x:f>
      </x:c>
      <x:c r="R487" s="114" t="str">
        <x:f>IF(COUNTA($A487:$M487)=0,"",IF(OR($U487="Subscription",$U487=""),"",IF($U487="Draw",$H487,0)))</x:f>
      </x:c>
      <x:c r="S487" s="114" t="str">
        <x:f>IF(COUNTA($A487:$M487)=0,"",IF(OR($U487="Subscription",$U487=""),"",IF($U487="Disqualified",$H487,0)))</x:f>
      </x:c>
      <x:c r="T487" s="955" t="str">
        <x:f>IF(COUNTA($A487:$M487)=0,"",IF(OR($U487="Subscription",$U487=""),"",IF(OR($U487="Free Game",$U487="Disqualified — Free Game",$H487=0),"N/A",IF($U487="Profit",$Q487/$H487,IF($U487="Disqualified",-$S487/$H487,0)))))</x:f>
      </x:c>
      <x:c r="U487" s="920" t="str">
        <x:f>IF(COUNTA($A487:$M487)=0,"",IF(OR(LEFT(LOWER(TRIM($F487&amp;"")),12)="subscription",LOWER(TRIM($F487&amp;""))="membership"),"Subscription",IF(OR(AND($H487&lt;&gt;"",$H487=0),LEFT(LOWER(TRIM($F487&amp;"")),9)="free game",LOWER(TRIM($F487&amp;""))="free",LOWER(TRIM($F487&amp;""))="free entry"),IF(LOWER($L487&amp;"")="yes","Disqualified — Free Game","Free Game"),IF(LOWER($L487&amp;"")="yes","Disqualified",IF($P487="","",IF(ROUND(IFERROR(VALUE($P487),0)-IFERROR(VALUE($H487),0),2)&gt;0,"Profit","Draw"))))))</x:f>
      </x:c>
      <x:c r="V487" s="956" t="str">
        <x:f>IF(COUNTA($A487:$M487)=0,"",IF(OR($B487="",$C487="",$U487="Subscription"),"",IFERROR(ROUNDUP(($C487-$B487)/7,0),"")))</x:f>
      </x:c>
      <x:c r="W487" s="114" t="str">
        <x:f>IF(COUNTA($A487:$M487)=0,"",IF(OR($U487="Subscription",$U487=""),"",IF(OR($U487="Free Game",$U487="Disqualified — Free Game"),0,ROUND(IFERROR($Q487,0)-IFERROR($S487,0),2))))</x:f>
      </x:c>
      <x:c r="X487" s="956" t="str">
        <x:f>IF(COUNTA($A487:$M487)=0,"",IF(OR($U487="Subscription",NOT(ISNUMBER($J487)),NOT(ISNUMBER($I487)),$J487=0,$I487=0,$I487&gt;$J487),"",$J487-$I487))</x:f>
      </x:c>
      <x:c r="Y487" s="955" t="str">
        <x:f>IF(COUNTA($A487:$M487)=0,"",IF(OR($U487="Subscription",NOT(ISNUMBER($J487)),$J487=0,$X487=""),"",$X487/$J487))</x:f>
      </x:c>
      <x:c r="Z487" s="957" t="str">
        <x:f>IF(COUNTA($A487:$M487)=0,"",Instructions!$B$29+SUM($W$5:W487))</x:f>
      </x:c>
    </x:row>
    <x:row r="488" ht="36" customHeight="1">
      <x:c r="A488" s="439"/>
      <x:c r="B488" s="453"/>
      <x:c r="C488" s="453"/>
      <x:c r="D488" s="454"/>
      <x:c r="E488" s="454"/>
      <x:c r="F488" s="454"/>
      <x:c r="G488" s="986"/>
      <x:c r="H488" s="455"/>
      <x:c r="I488" s="456"/>
      <x:c r="J488" s="456"/>
      <x:c r="K488" s="986"/>
      <x:c r="L488" s="454"/>
      <x:c r="M488" s="439"/>
      <x:c r="N488" s="987" t="str">
        <x:f>IF(COUNTA($A488:$M488)=0,"",IF(OR(LEFT(LOWER(TRIM($F488&amp;"")),12)="subscription",LOWER(TRIM($F488&amp;""))="membership"),"",IF($G488="","",IF(ISNUMBER(SEARCH("non",LOWER($E488&amp;""))),$G488*0.85,$G488))))</x:f>
      </x:c>
      <x:c r="O488" s="987" t="str">
        <x:f>IF(COUNTA($A488:$M488)=0,"",IF(OR(LEFT(LOWER(TRIM($F488&amp;"")),12)="subscription",LOWER(TRIM($F488&amp;""))="membership"),"",IF(OR($N488="",$I488="",$I488=0),"",IFERROR($N488/$I488,""))))</x:f>
      </x:c>
      <x:c r="P488" s="987" t="str">
        <x:f>IF(COUNTA($A488:$M488)=0,"",IF(OR(LEFT(LOWER(TRIM($F488&amp;"")),12)="subscription",LOWER(TRIM($F488&amp;""))="membership"),"",IF(LOWER($L488&amp;"")="yes",0,IF(OR(AND($H488&lt;&gt;"",$H488=0),LEFT(LOWER(TRIM($F488&amp;"")),9)="free game",LOWER(TRIM($F488&amp;""))="free",LOWER(TRIM($F488&amp;""))="free entry"),IF(LOWER($D488&amp;"")="finalized",IF(ISNUMBER($K488),$K488,""),IF($O488&lt;&gt;"",$O488,"")),IF($K488&lt;&gt;"",$K488,IF($O488&lt;&gt;"",$O488,""))))))</x:f>
      </x:c>
      <x:c r="Q488" s="114" t="str">
        <x:f>IF(COUNTA($A488:$M488)=0,"",IF(OR($U488="Subscription",$U488=""),"",IF($U488="Profit",ROUND(IFERROR($P488,0)-IFERROR($H488,0),2),0)))</x:f>
      </x:c>
      <x:c r="R488" s="114" t="str">
        <x:f>IF(COUNTA($A488:$M488)=0,"",IF(OR($U488="Subscription",$U488=""),"",IF($U488="Draw",$H488,0)))</x:f>
      </x:c>
      <x:c r="S488" s="114" t="str">
        <x:f>IF(COUNTA($A488:$M488)=0,"",IF(OR($U488="Subscription",$U488=""),"",IF($U488="Disqualified",$H488,0)))</x:f>
      </x:c>
      <x:c r="T488" s="955" t="str">
        <x:f>IF(COUNTA($A488:$M488)=0,"",IF(OR($U488="Subscription",$U488=""),"",IF(OR($U488="Free Game",$U488="Disqualified — Free Game",$H488=0),"N/A",IF($U488="Profit",$Q488/$H488,IF($U488="Disqualified",-$S488/$H488,0)))))</x:f>
      </x:c>
      <x:c r="U488" s="920" t="str">
        <x:f>IF(COUNTA($A488:$M488)=0,"",IF(OR(LEFT(LOWER(TRIM($F488&amp;"")),12)="subscription",LOWER(TRIM($F488&amp;""))="membership"),"Subscription",IF(OR(AND($H488&lt;&gt;"",$H488=0),LEFT(LOWER(TRIM($F488&amp;"")),9)="free game",LOWER(TRIM($F488&amp;""))="free",LOWER(TRIM($F488&amp;""))="free entry"),IF(LOWER($L488&amp;"")="yes","Disqualified — Free Game","Free Game"),IF(LOWER($L488&amp;"")="yes","Disqualified",IF($P488="","",IF(ROUND(IFERROR(VALUE($P488),0)-IFERROR(VALUE($H488),0),2)&gt;0,"Profit","Draw"))))))</x:f>
      </x:c>
      <x:c r="V488" s="956" t="str">
        <x:f>IF(COUNTA($A488:$M488)=0,"",IF(OR($B488="",$C488="",$U488="Subscription"),"",IFERROR(ROUNDUP(($C488-$B488)/7,0),"")))</x:f>
      </x:c>
      <x:c r="W488" s="114" t="str">
        <x:f>IF(COUNTA($A488:$M488)=0,"",IF(OR($U488="Subscription",$U488=""),"",IF(OR($U488="Free Game",$U488="Disqualified — Free Game"),0,ROUND(IFERROR($Q488,0)-IFERROR($S488,0),2))))</x:f>
      </x:c>
      <x:c r="X488" s="956" t="str">
        <x:f>IF(COUNTA($A488:$M488)=0,"",IF(OR($U488="Subscription",NOT(ISNUMBER($J488)),NOT(ISNUMBER($I488)),$J488=0,$I488=0,$I488&gt;$J488),"",$J488-$I488))</x:f>
      </x:c>
      <x:c r="Y488" s="955" t="str">
        <x:f>IF(COUNTA($A488:$M488)=0,"",IF(OR($U488="Subscription",NOT(ISNUMBER($J488)),$J488=0,$X488=""),"",$X488/$J488))</x:f>
      </x:c>
      <x:c r="Z488" s="957" t="str">
        <x:f>IF(COUNTA($A488:$M488)=0,"",Instructions!$B$29+SUM($W$5:W488))</x:f>
      </x:c>
    </x:row>
    <x:row r="489" ht="36" customHeight="1">
      <x:c r="A489" s="439"/>
      <x:c r="B489" s="453"/>
      <x:c r="C489" s="453"/>
      <x:c r="D489" s="454"/>
      <x:c r="E489" s="454"/>
      <x:c r="F489" s="454"/>
      <x:c r="G489" s="986"/>
      <x:c r="H489" s="455"/>
      <x:c r="I489" s="456"/>
      <x:c r="J489" s="456"/>
      <x:c r="K489" s="986"/>
      <x:c r="L489" s="454"/>
      <x:c r="M489" s="439"/>
      <x:c r="N489" s="987" t="str">
        <x:f>IF(COUNTA($A489:$M489)=0,"",IF(OR(LEFT(LOWER(TRIM($F489&amp;"")),12)="subscription",LOWER(TRIM($F489&amp;""))="membership"),"",IF($G489="","",IF(ISNUMBER(SEARCH("non",LOWER($E489&amp;""))),$G489*0.85,$G489))))</x:f>
      </x:c>
      <x:c r="O489" s="987" t="str">
        <x:f>IF(COUNTA($A489:$M489)=0,"",IF(OR(LEFT(LOWER(TRIM($F489&amp;"")),12)="subscription",LOWER(TRIM($F489&amp;""))="membership"),"",IF(OR($N489="",$I489="",$I489=0),"",IFERROR($N489/$I489,""))))</x:f>
      </x:c>
      <x:c r="P489" s="987" t="str">
        <x:f>IF(COUNTA($A489:$M489)=0,"",IF(OR(LEFT(LOWER(TRIM($F489&amp;"")),12)="subscription",LOWER(TRIM($F489&amp;""))="membership"),"",IF(LOWER($L489&amp;"")="yes",0,IF(OR(AND($H489&lt;&gt;"",$H489=0),LEFT(LOWER(TRIM($F489&amp;"")),9)="free game",LOWER(TRIM($F489&amp;""))="free",LOWER(TRIM($F489&amp;""))="free entry"),IF(LOWER($D489&amp;"")="finalized",IF(ISNUMBER($K489),$K489,""),IF($O489&lt;&gt;"",$O489,"")),IF($K489&lt;&gt;"",$K489,IF($O489&lt;&gt;"",$O489,""))))))</x:f>
      </x:c>
      <x:c r="Q489" s="114" t="str">
        <x:f>IF(COUNTA($A489:$M489)=0,"",IF(OR($U489="Subscription",$U489=""),"",IF($U489="Profit",ROUND(IFERROR($P489,0)-IFERROR($H489,0),2),0)))</x:f>
      </x:c>
      <x:c r="R489" s="114" t="str">
        <x:f>IF(COUNTA($A489:$M489)=0,"",IF(OR($U489="Subscription",$U489=""),"",IF($U489="Draw",$H489,0)))</x:f>
      </x:c>
      <x:c r="S489" s="114" t="str">
        <x:f>IF(COUNTA($A489:$M489)=0,"",IF(OR($U489="Subscription",$U489=""),"",IF($U489="Disqualified",$H489,0)))</x:f>
      </x:c>
      <x:c r="T489" s="955" t="str">
        <x:f>IF(COUNTA($A489:$M489)=0,"",IF(OR($U489="Subscription",$U489=""),"",IF(OR($U489="Free Game",$U489="Disqualified — Free Game",$H489=0),"N/A",IF($U489="Profit",$Q489/$H489,IF($U489="Disqualified",-$S489/$H489,0)))))</x:f>
      </x:c>
      <x:c r="U489" s="920" t="str">
        <x:f>IF(COUNTA($A489:$M489)=0,"",IF(OR(LEFT(LOWER(TRIM($F489&amp;"")),12)="subscription",LOWER(TRIM($F489&amp;""))="membership"),"Subscription",IF(OR(AND($H489&lt;&gt;"",$H489=0),LEFT(LOWER(TRIM($F489&amp;"")),9)="free game",LOWER(TRIM($F489&amp;""))="free",LOWER(TRIM($F489&amp;""))="free entry"),IF(LOWER($L489&amp;"")="yes","Disqualified — Free Game","Free Game"),IF(LOWER($L489&amp;"")="yes","Disqualified",IF($P489="","",IF(ROUND(IFERROR(VALUE($P489),0)-IFERROR(VALUE($H489),0),2)&gt;0,"Profit","Draw"))))))</x:f>
      </x:c>
      <x:c r="V489" s="956" t="str">
        <x:f>IF(COUNTA($A489:$M489)=0,"",IF(OR($B489="",$C489="",$U489="Subscription"),"",IFERROR(ROUNDUP(($C489-$B489)/7,0),"")))</x:f>
      </x:c>
      <x:c r="W489" s="114" t="str">
        <x:f>IF(COUNTA($A489:$M489)=0,"",IF(OR($U489="Subscription",$U489=""),"",IF(OR($U489="Free Game",$U489="Disqualified — Free Game"),0,ROUND(IFERROR($Q489,0)-IFERROR($S489,0),2))))</x:f>
      </x:c>
      <x:c r="X489" s="956" t="str">
        <x:f>IF(COUNTA($A489:$M489)=0,"",IF(OR($U489="Subscription",NOT(ISNUMBER($J489)),NOT(ISNUMBER($I489)),$J489=0,$I489=0,$I489&gt;$J489),"",$J489-$I489))</x:f>
      </x:c>
      <x:c r="Y489" s="955" t="str">
        <x:f>IF(COUNTA($A489:$M489)=0,"",IF(OR($U489="Subscription",NOT(ISNUMBER($J489)),$J489=0,$X489=""),"",$X489/$J489))</x:f>
      </x:c>
      <x:c r="Z489" s="957" t="str">
        <x:f>IF(COUNTA($A489:$M489)=0,"",Instructions!$B$29+SUM($W$5:W489))</x:f>
      </x:c>
    </x:row>
    <x:row r="490" ht="36" customHeight="1">
      <x:c r="A490" s="439"/>
      <x:c r="B490" s="453"/>
      <x:c r="C490" s="453"/>
      <x:c r="D490" s="454"/>
      <x:c r="E490" s="454"/>
      <x:c r="F490" s="454"/>
      <x:c r="G490" s="986"/>
      <x:c r="H490" s="455"/>
      <x:c r="I490" s="456"/>
      <x:c r="J490" s="456"/>
      <x:c r="K490" s="986"/>
      <x:c r="L490" s="454"/>
      <x:c r="M490" s="439"/>
      <x:c r="N490" s="987" t="str">
        <x:f>IF(COUNTA($A490:$M490)=0,"",IF(OR(LEFT(LOWER(TRIM($F490&amp;"")),12)="subscription",LOWER(TRIM($F490&amp;""))="membership"),"",IF($G490="","",IF(ISNUMBER(SEARCH("non",LOWER($E490&amp;""))),$G490*0.85,$G490))))</x:f>
      </x:c>
      <x:c r="O490" s="987" t="str">
        <x:f>IF(COUNTA($A490:$M490)=0,"",IF(OR(LEFT(LOWER(TRIM($F490&amp;"")),12)="subscription",LOWER(TRIM($F490&amp;""))="membership"),"",IF(OR($N490="",$I490="",$I490=0),"",IFERROR($N490/$I490,""))))</x:f>
      </x:c>
      <x:c r="P490" s="987" t="str">
        <x:f>IF(COUNTA($A490:$M490)=0,"",IF(OR(LEFT(LOWER(TRIM($F490&amp;"")),12)="subscription",LOWER(TRIM($F490&amp;""))="membership"),"",IF(LOWER($L490&amp;"")="yes",0,IF(OR(AND($H490&lt;&gt;"",$H490=0),LEFT(LOWER(TRIM($F490&amp;"")),9)="free game",LOWER(TRIM($F490&amp;""))="free",LOWER(TRIM($F490&amp;""))="free entry"),IF(LOWER($D490&amp;"")="finalized",IF(ISNUMBER($K490),$K490,""),IF($O490&lt;&gt;"",$O490,"")),IF($K490&lt;&gt;"",$K490,IF($O490&lt;&gt;"",$O490,""))))))</x:f>
      </x:c>
      <x:c r="Q490" s="114" t="str">
        <x:f>IF(COUNTA($A490:$M490)=0,"",IF(OR($U490="Subscription",$U490=""),"",IF($U490="Profit",ROUND(IFERROR($P490,0)-IFERROR($H490,0),2),0)))</x:f>
      </x:c>
      <x:c r="R490" s="114" t="str">
        <x:f>IF(COUNTA($A490:$M490)=0,"",IF(OR($U490="Subscription",$U490=""),"",IF($U490="Draw",$H490,0)))</x:f>
      </x:c>
      <x:c r="S490" s="114" t="str">
        <x:f>IF(COUNTA($A490:$M490)=0,"",IF(OR($U490="Subscription",$U490=""),"",IF($U490="Disqualified",$H490,0)))</x:f>
      </x:c>
      <x:c r="T490" s="955" t="str">
        <x:f>IF(COUNTA($A490:$M490)=0,"",IF(OR($U490="Subscription",$U490=""),"",IF(OR($U490="Free Game",$U490="Disqualified — Free Game",$H490=0),"N/A",IF($U490="Profit",$Q490/$H490,IF($U490="Disqualified",-$S490/$H490,0)))))</x:f>
      </x:c>
      <x:c r="U490" s="920" t="str">
        <x:f>IF(COUNTA($A490:$M490)=0,"",IF(OR(LEFT(LOWER(TRIM($F490&amp;"")),12)="subscription",LOWER(TRIM($F490&amp;""))="membership"),"Subscription",IF(OR(AND($H490&lt;&gt;"",$H490=0),LEFT(LOWER(TRIM($F490&amp;"")),9)="free game",LOWER(TRIM($F490&amp;""))="free",LOWER(TRIM($F490&amp;""))="free entry"),IF(LOWER($L490&amp;"")="yes","Disqualified — Free Game","Free Game"),IF(LOWER($L490&amp;"")="yes","Disqualified",IF($P490="","",IF(ROUND(IFERROR(VALUE($P490),0)-IFERROR(VALUE($H490),0),2)&gt;0,"Profit","Draw"))))))</x:f>
      </x:c>
      <x:c r="V490" s="956" t="str">
        <x:f>IF(COUNTA($A490:$M490)=0,"",IF(OR($B490="",$C490="",$U490="Subscription"),"",IFERROR(ROUNDUP(($C490-$B490)/7,0),"")))</x:f>
      </x:c>
      <x:c r="W490" s="114" t="str">
        <x:f>IF(COUNTA($A490:$M490)=0,"",IF(OR($U490="Subscription",$U490=""),"",IF(OR($U490="Free Game",$U490="Disqualified — Free Game"),0,ROUND(IFERROR($Q490,0)-IFERROR($S490,0),2))))</x:f>
      </x:c>
      <x:c r="X490" s="956" t="str">
        <x:f>IF(COUNTA($A490:$M490)=0,"",IF(OR($U490="Subscription",NOT(ISNUMBER($J490)),NOT(ISNUMBER($I490)),$J490=0,$I490=0,$I490&gt;$J490),"",$J490-$I490))</x:f>
      </x:c>
      <x:c r="Y490" s="955" t="str">
        <x:f>IF(COUNTA($A490:$M490)=0,"",IF(OR($U490="Subscription",NOT(ISNUMBER($J490)),$J490=0,$X490=""),"",$X490/$J490))</x:f>
      </x:c>
      <x:c r="Z490" s="957" t="str">
        <x:f>IF(COUNTA($A490:$M490)=0,"",Instructions!$B$29+SUM($W$5:W490))</x:f>
      </x:c>
    </x:row>
    <x:row r="491" ht="36" customHeight="1">
      <x:c r="A491" s="439"/>
      <x:c r="B491" s="453"/>
      <x:c r="C491" s="453"/>
      <x:c r="D491" s="454"/>
      <x:c r="E491" s="454"/>
      <x:c r="F491" s="454"/>
      <x:c r="G491" s="986"/>
      <x:c r="H491" s="455"/>
      <x:c r="I491" s="456"/>
      <x:c r="J491" s="456"/>
      <x:c r="K491" s="986"/>
      <x:c r="L491" s="454"/>
      <x:c r="M491" s="439"/>
      <x:c r="N491" s="987" t="str">
        <x:f>IF(COUNTA($A491:$M491)=0,"",IF(OR(LEFT(LOWER(TRIM($F491&amp;"")),12)="subscription",LOWER(TRIM($F491&amp;""))="membership"),"",IF($G491="","",IF(ISNUMBER(SEARCH("non",LOWER($E491&amp;""))),$G491*0.85,$G491))))</x:f>
      </x:c>
      <x:c r="O491" s="987" t="str">
        <x:f>IF(COUNTA($A491:$M491)=0,"",IF(OR(LEFT(LOWER(TRIM($F491&amp;"")),12)="subscription",LOWER(TRIM($F491&amp;""))="membership"),"",IF(OR($N491="",$I491="",$I491=0),"",IFERROR($N491/$I491,""))))</x:f>
      </x:c>
      <x:c r="P491" s="987" t="str">
        <x:f>IF(COUNTA($A491:$M491)=0,"",IF(OR(LEFT(LOWER(TRIM($F491&amp;"")),12)="subscription",LOWER(TRIM($F491&amp;""))="membership"),"",IF(LOWER($L491&amp;"")="yes",0,IF(OR(AND($H491&lt;&gt;"",$H491=0),LEFT(LOWER(TRIM($F491&amp;"")),9)="free game",LOWER(TRIM($F491&amp;""))="free",LOWER(TRIM($F491&amp;""))="free entry"),IF(LOWER($D491&amp;"")="finalized",IF(ISNUMBER($K491),$K491,""),IF($O491&lt;&gt;"",$O491,"")),IF($K491&lt;&gt;"",$K491,IF($O491&lt;&gt;"",$O491,""))))))</x:f>
      </x:c>
      <x:c r="Q491" s="114" t="str">
        <x:f>IF(COUNTA($A491:$M491)=0,"",IF(OR($U491="Subscription",$U491=""),"",IF($U491="Profit",ROUND(IFERROR($P491,0)-IFERROR($H491,0),2),0)))</x:f>
      </x:c>
      <x:c r="R491" s="114" t="str">
        <x:f>IF(COUNTA($A491:$M491)=0,"",IF(OR($U491="Subscription",$U491=""),"",IF($U491="Draw",$H491,0)))</x:f>
      </x:c>
      <x:c r="S491" s="114" t="str">
        <x:f>IF(COUNTA($A491:$M491)=0,"",IF(OR($U491="Subscription",$U491=""),"",IF($U491="Disqualified",$H491,0)))</x:f>
      </x:c>
      <x:c r="T491" s="955" t="str">
        <x:f>IF(COUNTA($A491:$M491)=0,"",IF(OR($U491="Subscription",$U491=""),"",IF(OR($U491="Free Game",$U491="Disqualified — Free Game",$H491=0),"N/A",IF($U491="Profit",$Q491/$H491,IF($U491="Disqualified",-$S491/$H491,0)))))</x:f>
      </x:c>
      <x:c r="U491" s="920" t="str">
        <x:f>IF(COUNTA($A491:$M491)=0,"",IF(OR(LEFT(LOWER(TRIM($F491&amp;"")),12)="subscription",LOWER(TRIM($F491&amp;""))="membership"),"Subscription",IF(OR(AND($H491&lt;&gt;"",$H491=0),LEFT(LOWER(TRIM($F491&amp;"")),9)="free game",LOWER(TRIM($F491&amp;""))="free",LOWER(TRIM($F491&amp;""))="free entry"),IF(LOWER($L491&amp;"")="yes","Disqualified — Free Game","Free Game"),IF(LOWER($L491&amp;"")="yes","Disqualified",IF($P491="","",IF(ROUND(IFERROR(VALUE($P491),0)-IFERROR(VALUE($H491),0),2)&gt;0,"Profit","Draw"))))))</x:f>
      </x:c>
      <x:c r="V491" s="956" t="str">
        <x:f>IF(COUNTA($A491:$M491)=0,"",IF(OR($B491="",$C491="",$U491="Subscription"),"",IFERROR(ROUNDUP(($C491-$B491)/7,0),"")))</x:f>
      </x:c>
      <x:c r="W491" s="114" t="str">
        <x:f>IF(COUNTA($A491:$M491)=0,"",IF(OR($U491="Subscription",$U491=""),"",IF(OR($U491="Free Game",$U491="Disqualified — Free Game"),0,ROUND(IFERROR($Q491,0)-IFERROR($S491,0),2))))</x:f>
      </x:c>
      <x:c r="X491" s="956" t="str">
        <x:f>IF(COUNTA($A491:$M491)=0,"",IF(OR($U491="Subscription",NOT(ISNUMBER($J491)),NOT(ISNUMBER($I491)),$J491=0,$I491=0,$I491&gt;$J491),"",$J491-$I491))</x:f>
      </x:c>
      <x:c r="Y491" s="955" t="str">
        <x:f>IF(COUNTA($A491:$M491)=0,"",IF(OR($U491="Subscription",NOT(ISNUMBER($J491)),$J491=0,$X491=""),"",$X491/$J491))</x:f>
      </x:c>
      <x:c r="Z491" s="957" t="str">
        <x:f>IF(COUNTA($A491:$M491)=0,"",Instructions!$B$29+SUM($W$5:W491))</x:f>
      </x:c>
    </x:row>
    <x:row r="492" ht="36" customHeight="1">
      <x:c r="A492" s="439"/>
      <x:c r="B492" s="453"/>
      <x:c r="C492" s="453"/>
      <x:c r="D492" s="454"/>
      <x:c r="E492" s="454"/>
      <x:c r="F492" s="454"/>
      <x:c r="G492" s="986"/>
      <x:c r="H492" s="455"/>
      <x:c r="I492" s="456"/>
      <x:c r="J492" s="456"/>
      <x:c r="K492" s="986"/>
      <x:c r="L492" s="454"/>
      <x:c r="M492" s="439"/>
      <x:c r="N492" s="987" t="str">
        <x:f>IF(COUNTA($A492:$M492)=0,"",IF(OR(LEFT(LOWER(TRIM($F492&amp;"")),12)="subscription",LOWER(TRIM($F492&amp;""))="membership"),"",IF($G492="","",IF(ISNUMBER(SEARCH("non",LOWER($E492&amp;""))),$G492*0.85,$G492))))</x:f>
      </x:c>
      <x:c r="O492" s="987" t="str">
        <x:f>IF(COUNTA($A492:$M492)=0,"",IF(OR(LEFT(LOWER(TRIM($F492&amp;"")),12)="subscription",LOWER(TRIM($F492&amp;""))="membership"),"",IF(OR($N492="",$I492="",$I492=0),"",IFERROR($N492/$I492,""))))</x:f>
      </x:c>
      <x:c r="P492" s="987" t="str">
        <x:f>IF(COUNTA($A492:$M492)=0,"",IF(OR(LEFT(LOWER(TRIM($F492&amp;"")),12)="subscription",LOWER(TRIM($F492&amp;""))="membership"),"",IF(LOWER($L492&amp;"")="yes",0,IF(OR(AND($H492&lt;&gt;"",$H492=0),LEFT(LOWER(TRIM($F492&amp;"")),9)="free game",LOWER(TRIM($F492&amp;""))="free",LOWER(TRIM($F492&amp;""))="free entry"),IF(LOWER($D492&amp;"")="finalized",IF(ISNUMBER($K492),$K492,""),IF($O492&lt;&gt;"",$O492,"")),IF($K492&lt;&gt;"",$K492,IF($O492&lt;&gt;"",$O492,""))))))</x:f>
      </x:c>
      <x:c r="Q492" s="114" t="str">
        <x:f>IF(COUNTA($A492:$M492)=0,"",IF(OR($U492="Subscription",$U492=""),"",IF($U492="Profit",ROUND(IFERROR($P492,0)-IFERROR($H492,0),2),0)))</x:f>
      </x:c>
      <x:c r="R492" s="114" t="str">
        <x:f>IF(COUNTA($A492:$M492)=0,"",IF(OR($U492="Subscription",$U492=""),"",IF($U492="Draw",$H492,0)))</x:f>
      </x:c>
      <x:c r="S492" s="114" t="str">
        <x:f>IF(COUNTA($A492:$M492)=0,"",IF(OR($U492="Subscription",$U492=""),"",IF($U492="Disqualified",$H492,0)))</x:f>
      </x:c>
      <x:c r="T492" s="955" t="str">
        <x:f>IF(COUNTA($A492:$M492)=0,"",IF(OR($U492="Subscription",$U492=""),"",IF(OR($U492="Free Game",$U492="Disqualified — Free Game",$H492=0),"N/A",IF($U492="Profit",$Q492/$H492,IF($U492="Disqualified",-$S492/$H492,0)))))</x:f>
      </x:c>
      <x:c r="U492" s="920" t="str">
        <x:f>IF(COUNTA($A492:$M492)=0,"",IF(OR(LEFT(LOWER(TRIM($F492&amp;"")),12)="subscription",LOWER(TRIM($F492&amp;""))="membership"),"Subscription",IF(OR(AND($H492&lt;&gt;"",$H492=0),LEFT(LOWER(TRIM($F492&amp;"")),9)="free game",LOWER(TRIM($F492&amp;""))="free",LOWER(TRIM($F492&amp;""))="free entry"),IF(LOWER($L492&amp;"")="yes","Disqualified — Free Game","Free Game"),IF(LOWER($L492&amp;"")="yes","Disqualified",IF($P492="","",IF(ROUND(IFERROR(VALUE($P492),0)-IFERROR(VALUE($H492),0),2)&gt;0,"Profit","Draw"))))))</x:f>
      </x:c>
      <x:c r="V492" s="956" t="str">
        <x:f>IF(COUNTA($A492:$M492)=0,"",IF(OR($B492="",$C492="",$U492="Subscription"),"",IFERROR(ROUNDUP(($C492-$B492)/7,0),"")))</x:f>
      </x:c>
      <x:c r="W492" s="114" t="str">
        <x:f>IF(COUNTA($A492:$M492)=0,"",IF(OR($U492="Subscription",$U492=""),"",IF(OR($U492="Free Game",$U492="Disqualified — Free Game"),0,ROUND(IFERROR($Q492,0)-IFERROR($S492,0),2))))</x:f>
      </x:c>
      <x:c r="X492" s="956" t="str">
        <x:f>IF(COUNTA($A492:$M492)=0,"",IF(OR($U492="Subscription",NOT(ISNUMBER($J492)),NOT(ISNUMBER($I492)),$J492=0,$I492=0,$I492&gt;$J492),"",$J492-$I492))</x:f>
      </x:c>
      <x:c r="Y492" s="955" t="str">
        <x:f>IF(COUNTA($A492:$M492)=0,"",IF(OR($U492="Subscription",NOT(ISNUMBER($J492)),$J492=0,$X492=""),"",$X492/$J492))</x:f>
      </x:c>
      <x:c r="Z492" s="957" t="str">
        <x:f>IF(COUNTA($A492:$M492)=0,"",Instructions!$B$29+SUM($W$5:W492))</x:f>
      </x:c>
    </x:row>
    <x:row r="493" ht="36" customHeight="1">
      <x:c r="A493" s="439"/>
      <x:c r="B493" s="453"/>
      <x:c r="C493" s="453"/>
      <x:c r="D493" s="454"/>
      <x:c r="E493" s="454"/>
      <x:c r="F493" s="454"/>
      <x:c r="G493" s="986"/>
      <x:c r="H493" s="455"/>
      <x:c r="I493" s="456"/>
      <x:c r="J493" s="456"/>
      <x:c r="K493" s="986"/>
      <x:c r="L493" s="454"/>
      <x:c r="M493" s="439"/>
      <x:c r="N493" s="987" t="str">
        <x:f>IF(COUNTA($A493:$M493)=0,"",IF(OR(LEFT(LOWER(TRIM($F493&amp;"")),12)="subscription",LOWER(TRIM($F493&amp;""))="membership"),"",IF($G493="","",IF(ISNUMBER(SEARCH("non",LOWER($E493&amp;""))),$G493*0.85,$G493))))</x:f>
      </x:c>
      <x:c r="O493" s="987" t="str">
        <x:f>IF(COUNTA($A493:$M493)=0,"",IF(OR(LEFT(LOWER(TRIM($F493&amp;"")),12)="subscription",LOWER(TRIM($F493&amp;""))="membership"),"",IF(OR($N493="",$I493="",$I493=0),"",IFERROR($N493/$I493,""))))</x:f>
      </x:c>
      <x:c r="P493" s="987" t="str">
        <x:f>IF(COUNTA($A493:$M493)=0,"",IF(OR(LEFT(LOWER(TRIM($F493&amp;"")),12)="subscription",LOWER(TRIM($F493&amp;""))="membership"),"",IF(LOWER($L493&amp;"")="yes",0,IF(OR(AND($H493&lt;&gt;"",$H493=0),LEFT(LOWER(TRIM($F493&amp;"")),9)="free game",LOWER(TRIM($F493&amp;""))="free",LOWER(TRIM($F493&amp;""))="free entry"),IF(LOWER($D493&amp;"")="finalized",IF(ISNUMBER($K493),$K493,""),IF($O493&lt;&gt;"",$O493,"")),IF($K493&lt;&gt;"",$K493,IF($O493&lt;&gt;"",$O493,""))))))</x:f>
      </x:c>
      <x:c r="Q493" s="114" t="str">
        <x:f>IF(COUNTA($A493:$M493)=0,"",IF(OR($U493="Subscription",$U493=""),"",IF($U493="Profit",ROUND(IFERROR($P493,0)-IFERROR($H493,0),2),0)))</x:f>
      </x:c>
      <x:c r="R493" s="114" t="str">
        <x:f>IF(COUNTA($A493:$M493)=0,"",IF(OR($U493="Subscription",$U493=""),"",IF($U493="Draw",$H493,0)))</x:f>
      </x:c>
      <x:c r="S493" s="114" t="str">
        <x:f>IF(COUNTA($A493:$M493)=0,"",IF(OR($U493="Subscription",$U493=""),"",IF($U493="Disqualified",$H493,0)))</x:f>
      </x:c>
      <x:c r="T493" s="955" t="str">
        <x:f>IF(COUNTA($A493:$M493)=0,"",IF(OR($U493="Subscription",$U493=""),"",IF(OR($U493="Free Game",$U493="Disqualified — Free Game",$H493=0),"N/A",IF($U493="Profit",$Q493/$H493,IF($U493="Disqualified",-$S493/$H493,0)))))</x:f>
      </x:c>
      <x:c r="U493" s="920" t="str">
        <x:f>IF(COUNTA($A493:$M493)=0,"",IF(OR(LEFT(LOWER(TRIM($F493&amp;"")),12)="subscription",LOWER(TRIM($F493&amp;""))="membership"),"Subscription",IF(OR(AND($H493&lt;&gt;"",$H493=0),LEFT(LOWER(TRIM($F493&amp;"")),9)="free game",LOWER(TRIM($F493&amp;""))="free",LOWER(TRIM($F493&amp;""))="free entry"),IF(LOWER($L493&amp;"")="yes","Disqualified — Free Game","Free Game"),IF(LOWER($L493&amp;"")="yes","Disqualified",IF($P493="","",IF(ROUND(IFERROR(VALUE($P493),0)-IFERROR(VALUE($H493),0),2)&gt;0,"Profit","Draw"))))))</x:f>
      </x:c>
      <x:c r="V493" s="956" t="str">
        <x:f>IF(COUNTA($A493:$M493)=0,"",IF(OR($B493="",$C493="",$U493="Subscription"),"",IFERROR(ROUNDUP(($C493-$B493)/7,0),"")))</x:f>
      </x:c>
      <x:c r="W493" s="114" t="str">
        <x:f>IF(COUNTA($A493:$M493)=0,"",IF(OR($U493="Subscription",$U493=""),"",IF(OR($U493="Free Game",$U493="Disqualified — Free Game"),0,ROUND(IFERROR($Q493,0)-IFERROR($S493,0),2))))</x:f>
      </x:c>
      <x:c r="X493" s="956" t="str">
        <x:f>IF(COUNTA($A493:$M493)=0,"",IF(OR($U493="Subscription",NOT(ISNUMBER($J493)),NOT(ISNUMBER($I493)),$J493=0,$I493=0,$I493&gt;$J493),"",$J493-$I493))</x:f>
      </x:c>
      <x:c r="Y493" s="955" t="str">
        <x:f>IF(COUNTA($A493:$M493)=0,"",IF(OR($U493="Subscription",NOT(ISNUMBER($J493)),$J493=0,$X493=""),"",$X493/$J493))</x:f>
      </x:c>
      <x:c r="Z493" s="957" t="str">
        <x:f>IF(COUNTA($A493:$M493)=0,"",Instructions!$B$29+SUM($W$5:W493))</x:f>
      </x:c>
    </x:row>
    <x:row r="494" ht="36" customHeight="1">
      <x:c r="A494" s="439"/>
      <x:c r="B494" s="453"/>
      <x:c r="C494" s="453"/>
      <x:c r="D494" s="454"/>
      <x:c r="E494" s="454"/>
      <x:c r="F494" s="454"/>
      <x:c r="G494" s="986"/>
      <x:c r="H494" s="455"/>
      <x:c r="I494" s="456"/>
      <x:c r="J494" s="456"/>
      <x:c r="K494" s="986"/>
      <x:c r="L494" s="454"/>
      <x:c r="M494" s="439"/>
      <x:c r="N494" s="987" t="str">
        <x:f>IF(COUNTA($A494:$M494)=0,"",IF(OR(LEFT(LOWER(TRIM($F494&amp;"")),12)="subscription",LOWER(TRIM($F494&amp;""))="membership"),"",IF($G494="","",IF(ISNUMBER(SEARCH("non",LOWER($E494&amp;""))),$G494*0.85,$G494))))</x:f>
      </x:c>
      <x:c r="O494" s="987" t="str">
        <x:f>IF(COUNTA($A494:$M494)=0,"",IF(OR(LEFT(LOWER(TRIM($F494&amp;"")),12)="subscription",LOWER(TRIM($F494&amp;""))="membership"),"",IF(OR($N494="",$I494="",$I494=0),"",IFERROR($N494/$I494,""))))</x:f>
      </x:c>
      <x:c r="P494" s="987" t="str">
        <x:f>IF(COUNTA($A494:$M494)=0,"",IF(OR(LEFT(LOWER(TRIM($F494&amp;"")),12)="subscription",LOWER(TRIM($F494&amp;""))="membership"),"",IF(LOWER($L494&amp;"")="yes",0,IF(OR(AND($H494&lt;&gt;"",$H494=0),LEFT(LOWER(TRIM($F494&amp;"")),9)="free game",LOWER(TRIM($F494&amp;""))="free",LOWER(TRIM($F494&amp;""))="free entry"),IF(LOWER($D494&amp;"")="finalized",IF(ISNUMBER($K494),$K494,""),IF($O494&lt;&gt;"",$O494,"")),IF($K494&lt;&gt;"",$K494,IF($O494&lt;&gt;"",$O494,""))))))</x:f>
      </x:c>
      <x:c r="Q494" s="114" t="str">
        <x:f>IF(COUNTA($A494:$M494)=0,"",IF(OR($U494="Subscription",$U494=""),"",IF($U494="Profit",ROUND(IFERROR($P494,0)-IFERROR($H494,0),2),0)))</x:f>
      </x:c>
      <x:c r="R494" s="114" t="str">
        <x:f>IF(COUNTA($A494:$M494)=0,"",IF(OR($U494="Subscription",$U494=""),"",IF($U494="Draw",$H494,0)))</x:f>
      </x:c>
      <x:c r="S494" s="114" t="str">
        <x:f>IF(COUNTA($A494:$M494)=0,"",IF(OR($U494="Subscription",$U494=""),"",IF($U494="Disqualified",$H494,0)))</x:f>
      </x:c>
      <x:c r="T494" s="955" t="str">
        <x:f>IF(COUNTA($A494:$M494)=0,"",IF(OR($U494="Subscription",$U494=""),"",IF(OR($U494="Free Game",$U494="Disqualified — Free Game",$H494=0),"N/A",IF($U494="Profit",$Q494/$H494,IF($U494="Disqualified",-$S494/$H494,0)))))</x:f>
      </x:c>
      <x:c r="U494" s="920" t="str">
        <x:f>IF(COUNTA($A494:$M494)=0,"",IF(OR(LEFT(LOWER(TRIM($F494&amp;"")),12)="subscription",LOWER(TRIM($F494&amp;""))="membership"),"Subscription",IF(OR(AND($H494&lt;&gt;"",$H494=0),LEFT(LOWER(TRIM($F494&amp;"")),9)="free game",LOWER(TRIM($F494&amp;""))="free",LOWER(TRIM($F494&amp;""))="free entry"),IF(LOWER($L494&amp;"")="yes","Disqualified — Free Game","Free Game"),IF(LOWER($L494&amp;"")="yes","Disqualified",IF($P494="","",IF(ROUND(IFERROR(VALUE($P494),0)-IFERROR(VALUE($H494),0),2)&gt;0,"Profit","Draw"))))))</x:f>
      </x:c>
      <x:c r="V494" s="956" t="str">
        <x:f>IF(COUNTA($A494:$M494)=0,"",IF(OR($B494="",$C494="",$U494="Subscription"),"",IFERROR(ROUNDUP(($C494-$B494)/7,0),"")))</x:f>
      </x:c>
      <x:c r="W494" s="114" t="str">
        <x:f>IF(COUNTA($A494:$M494)=0,"",IF(OR($U494="Subscription",$U494=""),"",IF(OR($U494="Free Game",$U494="Disqualified — Free Game"),0,ROUND(IFERROR($Q494,0)-IFERROR($S494,0),2))))</x:f>
      </x:c>
      <x:c r="X494" s="956" t="str">
        <x:f>IF(COUNTA($A494:$M494)=0,"",IF(OR($U494="Subscription",NOT(ISNUMBER($J494)),NOT(ISNUMBER($I494)),$J494=0,$I494=0,$I494&gt;$J494),"",$J494-$I494))</x:f>
      </x:c>
      <x:c r="Y494" s="955" t="str">
        <x:f>IF(COUNTA($A494:$M494)=0,"",IF(OR($U494="Subscription",NOT(ISNUMBER($J494)),$J494=0,$X494=""),"",$X494/$J494))</x:f>
      </x:c>
      <x:c r="Z494" s="957" t="str">
        <x:f>IF(COUNTA($A494:$M494)=0,"",Instructions!$B$29+SUM($W$5:W494))</x:f>
      </x:c>
    </x:row>
    <x:row r="495" ht="36" customHeight="1">
      <x:c r="A495" s="439"/>
      <x:c r="B495" s="453"/>
      <x:c r="C495" s="453"/>
      <x:c r="D495" s="454"/>
      <x:c r="E495" s="454"/>
      <x:c r="F495" s="454"/>
      <x:c r="G495" s="986"/>
      <x:c r="H495" s="455"/>
      <x:c r="I495" s="456"/>
      <x:c r="J495" s="456"/>
      <x:c r="K495" s="986"/>
      <x:c r="L495" s="454"/>
      <x:c r="M495" s="439"/>
      <x:c r="N495" s="987" t="str">
        <x:f>IF(COUNTA($A495:$M495)=0,"",IF(OR(LEFT(LOWER(TRIM($F495&amp;"")),12)="subscription",LOWER(TRIM($F495&amp;""))="membership"),"",IF($G495="","",IF(ISNUMBER(SEARCH("non",LOWER($E495&amp;""))),$G495*0.85,$G495))))</x:f>
      </x:c>
      <x:c r="O495" s="987" t="str">
        <x:f>IF(COUNTA($A495:$M495)=0,"",IF(OR(LEFT(LOWER(TRIM($F495&amp;"")),12)="subscription",LOWER(TRIM($F495&amp;""))="membership"),"",IF(OR($N495="",$I495="",$I495=0),"",IFERROR($N495/$I495,""))))</x:f>
      </x:c>
      <x:c r="P495" s="987" t="str">
        <x:f>IF(COUNTA($A495:$M495)=0,"",IF(OR(LEFT(LOWER(TRIM($F495&amp;"")),12)="subscription",LOWER(TRIM($F495&amp;""))="membership"),"",IF(LOWER($L495&amp;"")="yes",0,IF(OR(AND($H495&lt;&gt;"",$H495=0),LEFT(LOWER(TRIM($F495&amp;"")),9)="free game",LOWER(TRIM($F495&amp;""))="free",LOWER(TRIM($F495&amp;""))="free entry"),IF(LOWER($D495&amp;"")="finalized",IF(ISNUMBER($K495),$K495,""),IF($O495&lt;&gt;"",$O495,"")),IF($K495&lt;&gt;"",$K495,IF($O495&lt;&gt;"",$O495,""))))))</x:f>
      </x:c>
      <x:c r="Q495" s="114" t="str">
        <x:f>IF(COUNTA($A495:$M495)=0,"",IF(OR($U495="Subscription",$U495=""),"",IF($U495="Profit",ROUND(IFERROR($P495,0)-IFERROR($H495,0),2),0)))</x:f>
      </x:c>
      <x:c r="R495" s="114" t="str">
        <x:f>IF(COUNTA($A495:$M495)=0,"",IF(OR($U495="Subscription",$U495=""),"",IF($U495="Draw",$H495,0)))</x:f>
      </x:c>
      <x:c r="S495" s="114" t="str">
        <x:f>IF(COUNTA($A495:$M495)=0,"",IF(OR($U495="Subscription",$U495=""),"",IF($U495="Disqualified",$H495,0)))</x:f>
      </x:c>
      <x:c r="T495" s="955" t="str">
        <x:f>IF(COUNTA($A495:$M495)=0,"",IF(OR($U495="Subscription",$U495=""),"",IF(OR($U495="Free Game",$U495="Disqualified — Free Game",$H495=0),"N/A",IF($U495="Profit",$Q495/$H495,IF($U495="Disqualified",-$S495/$H495,0)))))</x:f>
      </x:c>
      <x:c r="U495" s="920" t="str">
        <x:f>IF(COUNTA($A495:$M495)=0,"",IF(OR(LEFT(LOWER(TRIM($F495&amp;"")),12)="subscription",LOWER(TRIM($F495&amp;""))="membership"),"Subscription",IF(OR(AND($H495&lt;&gt;"",$H495=0),LEFT(LOWER(TRIM($F495&amp;"")),9)="free game",LOWER(TRIM($F495&amp;""))="free",LOWER(TRIM($F495&amp;""))="free entry"),IF(LOWER($L495&amp;"")="yes","Disqualified — Free Game","Free Game"),IF(LOWER($L495&amp;"")="yes","Disqualified",IF($P495="","",IF(ROUND(IFERROR(VALUE($P495),0)-IFERROR(VALUE($H495),0),2)&gt;0,"Profit","Draw"))))))</x:f>
      </x:c>
      <x:c r="V495" s="956" t="str">
        <x:f>IF(COUNTA($A495:$M495)=0,"",IF(OR($B495="",$C495="",$U495="Subscription"),"",IFERROR(ROUNDUP(($C495-$B495)/7,0),"")))</x:f>
      </x:c>
      <x:c r="W495" s="114" t="str">
        <x:f>IF(COUNTA($A495:$M495)=0,"",IF(OR($U495="Subscription",$U495=""),"",IF(OR($U495="Free Game",$U495="Disqualified — Free Game"),0,ROUND(IFERROR($Q495,0)-IFERROR($S495,0),2))))</x:f>
      </x:c>
      <x:c r="X495" s="956" t="str">
        <x:f>IF(COUNTA($A495:$M495)=0,"",IF(OR($U495="Subscription",NOT(ISNUMBER($J495)),NOT(ISNUMBER($I495)),$J495=0,$I495=0,$I495&gt;$J495),"",$J495-$I495))</x:f>
      </x:c>
      <x:c r="Y495" s="955" t="str">
        <x:f>IF(COUNTA($A495:$M495)=0,"",IF(OR($U495="Subscription",NOT(ISNUMBER($J495)),$J495=0,$X495=""),"",$X495/$J495))</x:f>
      </x:c>
      <x:c r="Z495" s="957" t="str">
        <x:f>IF(COUNTA($A495:$M495)=0,"",Instructions!$B$29+SUM($W$5:W495))</x:f>
      </x:c>
    </x:row>
    <x:row r="496" ht="36" customHeight="1">
      <x:c r="A496" s="439"/>
      <x:c r="B496" s="453"/>
      <x:c r="C496" s="453"/>
      <x:c r="D496" s="454"/>
      <x:c r="E496" s="454"/>
      <x:c r="F496" s="454"/>
      <x:c r="G496" s="986"/>
      <x:c r="H496" s="455"/>
      <x:c r="I496" s="456"/>
      <x:c r="J496" s="456"/>
      <x:c r="K496" s="986"/>
      <x:c r="L496" s="454"/>
      <x:c r="M496" s="439"/>
      <x:c r="N496" s="987" t="str">
        <x:f>IF(COUNTA($A496:$M496)=0,"",IF(OR(LEFT(LOWER(TRIM($F496&amp;"")),12)="subscription",LOWER(TRIM($F496&amp;""))="membership"),"",IF($G496="","",IF(ISNUMBER(SEARCH("non",LOWER($E496&amp;""))),$G496*0.85,$G496))))</x:f>
      </x:c>
      <x:c r="O496" s="987" t="str">
        <x:f>IF(COUNTA($A496:$M496)=0,"",IF(OR(LEFT(LOWER(TRIM($F496&amp;"")),12)="subscription",LOWER(TRIM($F496&amp;""))="membership"),"",IF(OR($N496="",$I496="",$I496=0),"",IFERROR($N496/$I496,""))))</x:f>
      </x:c>
      <x:c r="P496" s="987" t="str">
        <x:f>IF(COUNTA($A496:$M496)=0,"",IF(OR(LEFT(LOWER(TRIM($F496&amp;"")),12)="subscription",LOWER(TRIM($F496&amp;""))="membership"),"",IF(LOWER($L496&amp;"")="yes",0,IF(OR(AND($H496&lt;&gt;"",$H496=0),LEFT(LOWER(TRIM($F496&amp;"")),9)="free game",LOWER(TRIM($F496&amp;""))="free",LOWER(TRIM($F496&amp;""))="free entry"),IF(LOWER($D496&amp;"")="finalized",IF(ISNUMBER($K496),$K496,""),IF($O496&lt;&gt;"",$O496,"")),IF($K496&lt;&gt;"",$K496,IF($O496&lt;&gt;"",$O496,""))))))</x:f>
      </x:c>
      <x:c r="Q496" s="114" t="str">
        <x:f>IF(COUNTA($A496:$M496)=0,"",IF(OR($U496="Subscription",$U496=""),"",IF($U496="Profit",ROUND(IFERROR($P496,0)-IFERROR($H496,0),2),0)))</x:f>
      </x:c>
      <x:c r="R496" s="114" t="str">
        <x:f>IF(COUNTA($A496:$M496)=0,"",IF(OR($U496="Subscription",$U496=""),"",IF($U496="Draw",$H496,0)))</x:f>
      </x:c>
      <x:c r="S496" s="114" t="str">
        <x:f>IF(COUNTA($A496:$M496)=0,"",IF(OR($U496="Subscription",$U496=""),"",IF($U496="Disqualified",$H496,0)))</x:f>
      </x:c>
      <x:c r="T496" s="955" t="str">
        <x:f>IF(COUNTA($A496:$M496)=0,"",IF(OR($U496="Subscription",$U496=""),"",IF(OR($U496="Free Game",$U496="Disqualified — Free Game",$H496=0),"N/A",IF($U496="Profit",$Q496/$H496,IF($U496="Disqualified",-$S496/$H496,0)))))</x:f>
      </x:c>
      <x:c r="U496" s="920" t="str">
        <x:f>IF(COUNTA($A496:$M496)=0,"",IF(OR(LEFT(LOWER(TRIM($F496&amp;"")),12)="subscription",LOWER(TRIM($F496&amp;""))="membership"),"Subscription",IF(OR(AND($H496&lt;&gt;"",$H496=0),LEFT(LOWER(TRIM($F496&amp;"")),9)="free game",LOWER(TRIM($F496&amp;""))="free",LOWER(TRIM($F496&amp;""))="free entry"),IF(LOWER($L496&amp;"")="yes","Disqualified — Free Game","Free Game"),IF(LOWER($L496&amp;"")="yes","Disqualified",IF($P496="","",IF(ROUND(IFERROR(VALUE($P496),0)-IFERROR(VALUE($H496),0),2)&gt;0,"Profit","Draw"))))))</x:f>
      </x:c>
      <x:c r="V496" s="956" t="str">
        <x:f>IF(COUNTA($A496:$M496)=0,"",IF(OR($B496="",$C496="",$U496="Subscription"),"",IFERROR(ROUNDUP(($C496-$B496)/7,0),"")))</x:f>
      </x:c>
      <x:c r="W496" s="114" t="str">
        <x:f>IF(COUNTA($A496:$M496)=0,"",IF(OR($U496="Subscription",$U496=""),"",IF(OR($U496="Free Game",$U496="Disqualified — Free Game"),0,ROUND(IFERROR($Q496,0)-IFERROR($S496,0),2))))</x:f>
      </x:c>
      <x:c r="X496" s="956" t="str">
        <x:f>IF(COUNTA($A496:$M496)=0,"",IF(OR($U496="Subscription",NOT(ISNUMBER($J496)),NOT(ISNUMBER($I496)),$J496=0,$I496=0,$I496&gt;$J496),"",$J496-$I496))</x:f>
      </x:c>
      <x:c r="Y496" s="955" t="str">
        <x:f>IF(COUNTA($A496:$M496)=0,"",IF(OR($U496="Subscription",NOT(ISNUMBER($J496)),$J496=0,$X496=""),"",$X496/$J496))</x:f>
      </x:c>
      <x:c r="Z496" s="957" t="str">
        <x:f>IF(COUNTA($A496:$M496)=0,"",Instructions!$B$29+SUM($W$5:W496))</x:f>
      </x:c>
    </x:row>
    <x:row r="497" ht="36" customHeight="1">
      <x:c r="A497" s="439"/>
      <x:c r="B497" s="453"/>
      <x:c r="C497" s="453"/>
      <x:c r="D497" s="454"/>
      <x:c r="E497" s="454"/>
      <x:c r="F497" s="454"/>
      <x:c r="G497" s="986"/>
      <x:c r="H497" s="455"/>
      <x:c r="I497" s="456"/>
      <x:c r="J497" s="456"/>
      <x:c r="K497" s="986"/>
      <x:c r="L497" s="454"/>
      <x:c r="M497" s="439"/>
      <x:c r="N497" s="987" t="str">
        <x:f>IF(COUNTA($A497:$M497)=0,"",IF(OR(LEFT(LOWER(TRIM($F497&amp;"")),12)="subscription",LOWER(TRIM($F497&amp;""))="membership"),"",IF($G497="","",IF(ISNUMBER(SEARCH("non",LOWER($E497&amp;""))),$G497*0.85,$G497))))</x:f>
      </x:c>
      <x:c r="O497" s="987" t="str">
        <x:f>IF(COUNTA($A497:$M497)=0,"",IF(OR(LEFT(LOWER(TRIM($F497&amp;"")),12)="subscription",LOWER(TRIM($F497&amp;""))="membership"),"",IF(OR($N497="",$I497="",$I497=0),"",IFERROR($N497/$I497,""))))</x:f>
      </x:c>
      <x:c r="P497" s="987" t="str">
        <x:f>IF(COUNTA($A497:$M497)=0,"",IF(OR(LEFT(LOWER(TRIM($F497&amp;"")),12)="subscription",LOWER(TRIM($F497&amp;""))="membership"),"",IF(LOWER($L497&amp;"")="yes",0,IF(OR(AND($H497&lt;&gt;"",$H497=0),LEFT(LOWER(TRIM($F497&amp;"")),9)="free game",LOWER(TRIM($F497&amp;""))="free",LOWER(TRIM($F497&amp;""))="free entry"),IF(LOWER($D497&amp;"")="finalized",IF(ISNUMBER($K497),$K497,""),IF($O497&lt;&gt;"",$O497,"")),IF($K497&lt;&gt;"",$K497,IF($O497&lt;&gt;"",$O497,""))))))</x:f>
      </x:c>
      <x:c r="Q497" s="114" t="str">
        <x:f>IF(COUNTA($A497:$M497)=0,"",IF(OR($U497="Subscription",$U497=""),"",IF($U497="Profit",ROUND(IFERROR($P497,0)-IFERROR($H497,0),2),0)))</x:f>
      </x:c>
      <x:c r="R497" s="114" t="str">
        <x:f>IF(COUNTA($A497:$M497)=0,"",IF(OR($U497="Subscription",$U497=""),"",IF($U497="Draw",$H497,0)))</x:f>
      </x:c>
      <x:c r="S497" s="114" t="str">
        <x:f>IF(COUNTA($A497:$M497)=0,"",IF(OR($U497="Subscription",$U497=""),"",IF($U497="Disqualified",$H497,0)))</x:f>
      </x:c>
      <x:c r="T497" s="955" t="str">
        <x:f>IF(COUNTA($A497:$M497)=0,"",IF(OR($U497="Subscription",$U497=""),"",IF(OR($U497="Free Game",$U497="Disqualified — Free Game",$H497=0),"N/A",IF($U497="Profit",$Q497/$H497,IF($U497="Disqualified",-$S497/$H497,0)))))</x:f>
      </x:c>
      <x:c r="U497" s="920" t="str">
        <x:f>IF(COUNTA($A497:$M497)=0,"",IF(OR(LEFT(LOWER(TRIM($F497&amp;"")),12)="subscription",LOWER(TRIM($F497&amp;""))="membership"),"Subscription",IF(OR(AND($H497&lt;&gt;"",$H497=0),LEFT(LOWER(TRIM($F497&amp;"")),9)="free game",LOWER(TRIM($F497&amp;""))="free",LOWER(TRIM($F497&amp;""))="free entry"),IF(LOWER($L497&amp;"")="yes","Disqualified — Free Game","Free Game"),IF(LOWER($L497&amp;"")="yes","Disqualified",IF($P497="","",IF(ROUND(IFERROR(VALUE($P497),0)-IFERROR(VALUE($H497),0),2)&gt;0,"Profit","Draw"))))))</x:f>
      </x:c>
      <x:c r="V497" s="956" t="str">
        <x:f>IF(COUNTA($A497:$M497)=0,"",IF(OR($B497="",$C497="",$U497="Subscription"),"",IFERROR(ROUNDUP(($C497-$B497)/7,0),"")))</x:f>
      </x:c>
      <x:c r="W497" s="114" t="str">
        <x:f>IF(COUNTA($A497:$M497)=0,"",IF(OR($U497="Subscription",$U497=""),"",IF(OR($U497="Free Game",$U497="Disqualified — Free Game"),0,ROUND(IFERROR($Q497,0)-IFERROR($S497,0),2))))</x:f>
      </x:c>
      <x:c r="X497" s="956" t="str">
        <x:f>IF(COUNTA($A497:$M497)=0,"",IF(OR($U497="Subscription",NOT(ISNUMBER($J497)),NOT(ISNUMBER($I497)),$J497=0,$I497=0,$I497&gt;$J497),"",$J497-$I497))</x:f>
      </x:c>
      <x:c r="Y497" s="955" t="str">
        <x:f>IF(COUNTA($A497:$M497)=0,"",IF(OR($U497="Subscription",NOT(ISNUMBER($J497)),$J497=0,$X497=""),"",$X497/$J497))</x:f>
      </x:c>
      <x:c r="Z497" s="957" t="str">
        <x:f>IF(COUNTA($A497:$M497)=0,"",Instructions!$B$29+SUM($W$5:W497))</x:f>
      </x:c>
    </x:row>
    <x:row r="498" ht="36" customHeight="1">
      <x:c r="A498" s="439"/>
      <x:c r="B498" s="453"/>
      <x:c r="C498" s="453"/>
      <x:c r="D498" s="454"/>
      <x:c r="E498" s="454"/>
      <x:c r="F498" s="454"/>
      <x:c r="G498" s="986"/>
      <x:c r="H498" s="455"/>
      <x:c r="I498" s="456"/>
      <x:c r="J498" s="456"/>
      <x:c r="K498" s="986"/>
      <x:c r="L498" s="454"/>
      <x:c r="M498" s="439"/>
      <x:c r="N498" s="987" t="str">
        <x:f>IF(COUNTA($A498:$M498)=0,"",IF(OR(LEFT(LOWER(TRIM($F498&amp;"")),12)="subscription",LOWER(TRIM($F498&amp;""))="membership"),"",IF($G498="","",IF(ISNUMBER(SEARCH("non",LOWER($E498&amp;""))),$G498*0.85,$G498))))</x:f>
      </x:c>
      <x:c r="O498" s="987" t="str">
        <x:f>IF(COUNTA($A498:$M498)=0,"",IF(OR(LEFT(LOWER(TRIM($F498&amp;"")),12)="subscription",LOWER(TRIM($F498&amp;""))="membership"),"",IF(OR($N498="",$I498="",$I498=0),"",IFERROR($N498/$I498,""))))</x:f>
      </x:c>
      <x:c r="P498" s="987" t="str">
        <x:f>IF(COUNTA($A498:$M498)=0,"",IF(OR(LEFT(LOWER(TRIM($F498&amp;"")),12)="subscription",LOWER(TRIM($F498&amp;""))="membership"),"",IF(LOWER($L498&amp;"")="yes",0,IF(OR(AND($H498&lt;&gt;"",$H498=0),LEFT(LOWER(TRIM($F498&amp;"")),9)="free game",LOWER(TRIM($F498&amp;""))="free",LOWER(TRIM($F498&amp;""))="free entry"),IF(LOWER($D498&amp;"")="finalized",IF(ISNUMBER($K498),$K498,""),IF($O498&lt;&gt;"",$O498,"")),IF($K498&lt;&gt;"",$K498,IF($O498&lt;&gt;"",$O498,""))))))</x:f>
      </x:c>
      <x:c r="Q498" s="114" t="str">
        <x:f>IF(COUNTA($A498:$M498)=0,"",IF(OR($U498="Subscription",$U498=""),"",IF($U498="Profit",ROUND(IFERROR($P498,0)-IFERROR($H498,0),2),0)))</x:f>
      </x:c>
      <x:c r="R498" s="114" t="str">
        <x:f>IF(COUNTA($A498:$M498)=0,"",IF(OR($U498="Subscription",$U498=""),"",IF($U498="Draw",$H498,0)))</x:f>
      </x:c>
      <x:c r="S498" s="114" t="str">
        <x:f>IF(COUNTA($A498:$M498)=0,"",IF(OR($U498="Subscription",$U498=""),"",IF($U498="Disqualified",$H498,0)))</x:f>
      </x:c>
      <x:c r="T498" s="955" t="str">
        <x:f>IF(COUNTA($A498:$M498)=0,"",IF(OR($U498="Subscription",$U498=""),"",IF(OR($U498="Free Game",$U498="Disqualified — Free Game",$H498=0),"N/A",IF($U498="Profit",$Q498/$H498,IF($U498="Disqualified",-$S498/$H498,0)))))</x:f>
      </x:c>
      <x:c r="U498" s="920" t="str">
        <x:f>IF(COUNTA($A498:$M498)=0,"",IF(OR(LEFT(LOWER(TRIM($F498&amp;"")),12)="subscription",LOWER(TRIM($F498&amp;""))="membership"),"Subscription",IF(OR(AND($H498&lt;&gt;"",$H498=0),LEFT(LOWER(TRIM($F498&amp;"")),9)="free game",LOWER(TRIM($F498&amp;""))="free",LOWER(TRIM($F498&amp;""))="free entry"),IF(LOWER($L498&amp;"")="yes","Disqualified — Free Game","Free Game"),IF(LOWER($L498&amp;"")="yes","Disqualified",IF($P498="","",IF(ROUND(IFERROR(VALUE($P498),0)-IFERROR(VALUE($H498),0),2)&gt;0,"Profit","Draw"))))))</x:f>
      </x:c>
      <x:c r="V498" s="956" t="str">
        <x:f>IF(COUNTA($A498:$M498)=0,"",IF(OR($B498="",$C498="",$U498="Subscription"),"",IFERROR(ROUNDUP(($C498-$B498)/7,0),"")))</x:f>
      </x:c>
      <x:c r="W498" s="114" t="str">
        <x:f>IF(COUNTA($A498:$M498)=0,"",IF(OR($U498="Subscription",$U498=""),"",IF(OR($U498="Free Game",$U498="Disqualified — Free Game"),0,ROUND(IFERROR($Q498,0)-IFERROR($S498,0),2))))</x:f>
      </x:c>
      <x:c r="X498" s="956" t="str">
        <x:f>IF(COUNTA($A498:$M498)=0,"",IF(OR($U498="Subscription",NOT(ISNUMBER($J498)),NOT(ISNUMBER($I498)),$J498=0,$I498=0,$I498&gt;$J498),"",$J498-$I498))</x:f>
      </x:c>
      <x:c r="Y498" s="955" t="str">
        <x:f>IF(COUNTA($A498:$M498)=0,"",IF(OR($U498="Subscription",NOT(ISNUMBER($J498)),$J498=0,$X498=""),"",$X498/$J498))</x:f>
      </x:c>
      <x:c r="Z498" s="957" t="str">
        <x:f>IF(COUNTA($A498:$M498)=0,"",Instructions!$B$29+SUM($W$5:W498))</x:f>
      </x:c>
    </x:row>
    <x:row r="499" ht="36" customHeight="1">
      <x:c r="A499" s="439"/>
      <x:c r="B499" s="453"/>
      <x:c r="C499" s="453"/>
      <x:c r="D499" s="454"/>
      <x:c r="E499" s="454"/>
      <x:c r="F499" s="454"/>
      <x:c r="G499" s="986"/>
      <x:c r="H499" s="455"/>
      <x:c r="I499" s="456"/>
      <x:c r="J499" s="456"/>
      <x:c r="K499" s="986"/>
      <x:c r="L499" s="454"/>
      <x:c r="M499" s="439"/>
      <x:c r="N499" s="987" t="str">
        <x:f>IF(COUNTA($A499:$M499)=0,"",IF(OR(LEFT(LOWER(TRIM($F499&amp;"")),12)="subscription",LOWER(TRIM($F499&amp;""))="membership"),"",IF($G499="","",IF(ISNUMBER(SEARCH("non",LOWER($E499&amp;""))),$G499*0.85,$G499))))</x:f>
      </x:c>
      <x:c r="O499" s="987" t="str">
        <x:f>IF(COUNTA($A499:$M499)=0,"",IF(OR(LEFT(LOWER(TRIM($F499&amp;"")),12)="subscription",LOWER(TRIM($F499&amp;""))="membership"),"",IF(OR($N499="",$I499="",$I499=0),"",IFERROR($N499/$I499,""))))</x:f>
      </x:c>
      <x:c r="P499" s="987" t="str">
        <x:f>IF(COUNTA($A499:$M499)=0,"",IF(OR(LEFT(LOWER(TRIM($F499&amp;"")),12)="subscription",LOWER(TRIM($F499&amp;""))="membership"),"",IF(LOWER($L499&amp;"")="yes",0,IF(OR(AND($H499&lt;&gt;"",$H499=0),LEFT(LOWER(TRIM($F499&amp;"")),9)="free game",LOWER(TRIM($F499&amp;""))="free",LOWER(TRIM($F499&amp;""))="free entry"),IF(LOWER($D499&amp;"")="finalized",IF(ISNUMBER($K499),$K499,""),IF($O499&lt;&gt;"",$O499,"")),IF($K499&lt;&gt;"",$K499,IF($O499&lt;&gt;"",$O499,""))))))</x:f>
      </x:c>
      <x:c r="Q499" s="114" t="str">
        <x:f>IF(COUNTA($A499:$M499)=0,"",IF(OR($U499="Subscription",$U499=""),"",IF($U499="Profit",ROUND(IFERROR($P499,0)-IFERROR($H499,0),2),0)))</x:f>
      </x:c>
      <x:c r="R499" s="114" t="str">
        <x:f>IF(COUNTA($A499:$M499)=0,"",IF(OR($U499="Subscription",$U499=""),"",IF($U499="Draw",$H499,0)))</x:f>
      </x:c>
      <x:c r="S499" s="114" t="str">
        <x:f>IF(COUNTA($A499:$M499)=0,"",IF(OR($U499="Subscription",$U499=""),"",IF($U499="Disqualified",$H499,0)))</x:f>
      </x:c>
      <x:c r="T499" s="955" t="str">
        <x:f>IF(COUNTA($A499:$M499)=0,"",IF(OR($U499="Subscription",$U499=""),"",IF(OR($U499="Free Game",$U499="Disqualified — Free Game",$H499=0),"N/A",IF($U499="Profit",$Q499/$H499,IF($U499="Disqualified",-$S499/$H499,0)))))</x:f>
      </x:c>
      <x:c r="U499" s="920" t="str">
        <x:f>IF(COUNTA($A499:$M499)=0,"",IF(OR(LEFT(LOWER(TRIM($F499&amp;"")),12)="subscription",LOWER(TRIM($F499&amp;""))="membership"),"Subscription",IF(OR(AND($H499&lt;&gt;"",$H499=0),LEFT(LOWER(TRIM($F499&amp;"")),9)="free game",LOWER(TRIM($F499&amp;""))="free",LOWER(TRIM($F499&amp;""))="free entry"),IF(LOWER($L499&amp;"")="yes","Disqualified — Free Game","Free Game"),IF(LOWER($L499&amp;"")="yes","Disqualified",IF($P499="","",IF(ROUND(IFERROR(VALUE($P499),0)-IFERROR(VALUE($H499),0),2)&gt;0,"Profit","Draw"))))))</x:f>
      </x:c>
      <x:c r="V499" s="956" t="str">
        <x:f>IF(COUNTA($A499:$M499)=0,"",IF(OR($B499="",$C499="",$U499="Subscription"),"",IFERROR(ROUNDUP(($C499-$B499)/7,0),"")))</x:f>
      </x:c>
      <x:c r="W499" s="114" t="str">
        <x:f>IF(COUNTA($A499:$M499)=0,"",IF(OR($U499="Subscription",$U499=""),"",IF(OR($U499="Free Game",$U499="Disqualified — Free Game"),0,ROUND(IFERROR($Q499,0)-IFERROR($S499,0),2))))</x:f>
      </x:c>
      <x:c r="X499" s="956" t="str">
        <x:f>IF(COUNTA($A499:$M499)=0,"",IF(OR($U499="Subscription",NOT(ISNUMBER($J499)),NOT(ISNUMBER($I499)),$J499=0,$I499=0,$I499&gt;$J499),"",$J499-$I499))</x:f>
      </x:c>
      <x:c r="Y499" s="955" t="str">
        <x:f>IF(COUNTA($A499:$M499)=0,"",IF(OR($U499="Subscription",NOT(ISNUMBER($J499)),$J499=0,$X499=""),"",$X499/$J499))</x:f>
      </x:c>
      <x:c r="Z499" s="957" t="str">
        <x:f>IF(COUNTA($A499:$M499)=0,"",Instructions!$B$29+SUM($W$5:W499))</x:f>
      </x:c>
    </x:row>
    <x:row r="500" ht="36" customHeight="1">
      <x:c r="A500" s="439"/>
      <x:c r="B500" s="453"/>
      <x:c r="C500" s="453"/>
      <x:c r="D500" s="454"/>
      <x:c r="E500" s="454"/>
      <x:c r="F500" s="454"/>
      <x:c r="G500" s="986"/>
      <x:c r="H500" s="455"/>
      <x:c r="I500" s="456"/>
      <x:c r="J500" s="456"/>
      <x:c r="K500" s="986"/>
      <x:c r="L500" s="454"/>
      <x:c r="M500" s="439"/>
      <x:c r="N500" s="987" t="str">
        <x:f>IF(COUNTA($A500:$M500)=0,"",IF(OR(LEFT(LOWER(TRIM($F500&amp;"")),12)="subscription",LOWER(TRIM($F500&amp;""))="membership"),"",IF($G500="","",IF(ISNUMBER(SEARCH("non",LOWER($E500&amp;""))),$G500*0.85,$G500))))</x:f>
      </x:c>
      <x:c r="O500" s="987" t="str">
        <x:f>IF(COUNTA($A500:$M500)=0,"",IF(OR(LEFT(LOWER(TRIM($F500&amp;"")),12)="subscription",LOWER(TRIM($F500&amp;""))="membership"),"",IF(OR($N500="",$I500="",$I500=0),"",IFERROR($N500/$I500,""))))</x:f>
      </x:c>
      <x:c r="P500" s="987" t="str">
        <x:f>IF(COUNTA($A500:$M500)=0,"",IF(OR(LEFT(LOWER(TRIM($F500&amp;"")),12)="subscription",LOWER(TRIM($F500&amp;""))="membership"),"",IF(LOWER($L500&amp;"")="yes",0,IF(OR(AND($H500&lt;&gt;"",$H500=0),LEFT(LOWER(TRIM($F500&amp;"")),9)="free game",LOWER(TRIM($F500&amp;""))="free",LOWER(TRIM($F500&amp;""))="free entry"),IF(LOWER($D500&amp;"")="finalized",IF(ISNUMBER($K500),$K500,""),IF($O500&lt;&gt;"",$O500,"")),IF($K500&lt;&gt;"",$K500,IF($O500&lt;&gt;"",$O500,""))))))</x:f>
      </x:c>
      <x:c r="Q500" s="114" t="str">
        <x:f>IF(COUNTA($A500:$M500)=0,"",IF(OR($U500="Subscription",$U500=""),"",IF($U500="Profit",ROUND(IFERROR($P500,0)-IFERROR($H500,0),2),0)))</x:f>
      </x:c>
      <x:c r="R500" s="114" t="str">
        <x:f>IF(COUNTA($A500:$M500)=0,"",IF(OR($U500="Subscription",$U500=""),"",IF($U500="Draw",$H500,0)))</x:f>
      </x:c>
      <x:c r="S500" s="114" t="str">
        <x:f>IF(COUNTA($A500:$M500)=0,"",IF(OR($U500="Subscription",$U500=""),"",IF($U500="Disqualified",$H500,0)))</x:f>
      </x:c>
      <x:c r="T500" s="955" t="str">
        <x:f>IF(COUNTA($A500:$M500)=0,"",IF(OR($U500="Subscription",$U500=""),"",IF(OR($U500="Free Game",$U500="Disqualified — Free Game",$H500=0),"N/A",IF($U500="Profit",$Q500/$H500,IF($U500="Disqualified",-$S500/$H500,0)))))</x:f>
      </x:c>
      <x:c r="U500" s="920" t="str">
        <x:f>IF(COUNTA($A500:$M500)=0,"",IF(OR(LEFT(LOWER(TRIM($F500&amp;"")),12)="subscription",LOWER(TRIM($F500&amp;""))="membership"),"Subscription",IF(OR(AND($H500&lt;&gt;"",$H500=0),LEFT(LOWER(TRIM($F500&amp;"")),9)="free game",LOWER(TRIM($F500&amp;""))="free",LOWER(TRIM($F500&amp;""))="free entry"),IF(LOWER($L500&amp;"")="yes","Disqualified — Free Game","Free Game"),IF(LOWER($L500&amp;"")="yes","Disqualified",IF($P500="","",IF(ROUND(IFERROR(VALUE($P500),0)-IFERROR(VALUE($H500),0),2)&gt;0,"Profit","Draw"))))))</x:f>
      </x:c>
      <x:c r="V500" s="956" t="str">
        <x:f>IF(COUNTA($A500:$M500)=0,"",IF(OR($B500="",$C500="",$U500="Subscription"),"",IFERROR(ROUNDUP(($C500-$B500)/7,0),"")))</x:f>
      </x:c>
      <x:c r="W500" s="114" t="str">
        <x:f>IF(COUNTA($A500:$M500)=0,"",IF(OR($U500="Subscription",$U500=""),"",IF(OR($U500="Free Game",$U500="Disqualified — Free Game"),0,ROUND(IFERROR($Q500,0)-IFERROR($S500,0),2))))</x:f>
      </x:c>
      <x:c r="X500" s="956" t="str">
        <x:f>IF(COUNTA($A500:$M500)=0,"",IF(OR($U500="Subscription",NOT(ISNUMBER($J500)),NOT(ISNUMBER($I500)),$J500=0,$I500=0,$I500&gt;$J500),"",$J500-$I500))</x:f>
      </x:c>
      <x:c r="Y500" s="955" t="str">
        <x:f>IF(COUNTA($A500:$M500)=0,"",IF(OR($U500="Subscription",NOT(ISNUMBER($J500)),$J500=0,$X500=""),"",$X500/$J500))</x:f>
      </x:c>
      <x:c r="Z500" s="957" t="str">
        <x:f>IF(COUNTA($A500:$M500)=0,"",Instructions!$B$29+SUM($W$5:W500))</x:f>
      </x:c>
    </x:row>
    <x:row r="501" ht="36" customHeight="1">
      <x:c r="A501" s="439"/>
      <x:c r="B501" s="453"/>
      <x:c r="C501" s="453"/>
      <x:c r="D501" s="454"/>
      <x:c r="E501" s="454"/>
      <x:c r="F501" s="454"/>
      <x:c r="G501" s="986"/>
      <x:c r="H501" s="455"/>
      <x:c r="I501" s="456"/>
      <x:c r="J501" s="456"/>
      <x:c r="K501" s="986"/>
      <x:c r="L501" s="454"/>
      <x:c r="M501" s="439"/>
      <x:c r="N501" s="988" t="str">
        <x:f>IF(COUNTA($A501:$M501)=0,"",IF(OR(LEFT(LOWER(TRIM($F501&amp;"")),12)="subscription",LOWER(TRIM($F501&amp;""))="membership"),"",IF($G501="","",IF(ISNUMBER(SEARCH("non",LOWER($E501&amp;""))),$G501*0.85,$G501))))</x:f>
      </x:c>
      <x:c r="O501" s="988" t="str">
        <x:f>IF(COUNTA($A501:$M501)=0,"",IF(OR(LEFT(LOWER(TRIM($F501&amp;"")),12)="subscription",LOWER(TRIM($F501&amp;""))="membership"),"",IF(OR($N501="",$I501="",$I501=0),"",IFERROR($N501/$I501,""))))</x:f>
      </x:c>
      <x:c r="P501" s="988" t="str">
        <x:f>IF(COUNTA($A501:$M501)=0,"",IF(OR(LEFT(LOWER(TRIM($F501&amp;"")),12)="subscription",LOWER(TRIM($F501&amp;""))="membership"),"",IF(LOWER($L501&amp;"")="yes",0,IF(OR(AND($H501&lt;&gt;"",$H501=0),LEFT(LOWER(TRIM($F501&amp;"")),9)="free game",LOWER(TRIM($F501&amp;""))="free",LOWER(TRIM($F501&amp;""))="free entry"),IF(LOWER($D501&amp;"")="finalized",IF(ISNUMBER($K501),$K501,""),IF($O501&lt;&gt;"",$O501,"")),IF($K501&lt;&gt;"",$K501,IF($O501&lt;&gt;"",$O501,""))))))</x:f>
      </x:c>
      <x:c r="Q501" s="958" t="str">
        <x:f>IF(COUNTA($A501:$M501)=0,"",IF(OR($U501="Subscription",$U501=""),"",IF($U501="Profit",ROUND(IFERROR($P501,0)-IFERROR($H501,0),2),0)))</x:f>
      </x:c>
      <x:c r="R501" s="958" t="str">
        <x:f>IF(COUNTA($A501:$M501)=0,"",IF(OR($U501="Subscription",$U501=""),"",IF($U501="Draw",$H501,0)))</x:f>
      </x:c>
      <x:c r="S501" s="958" t="str">
        <x:f>IF(COUNTA($A501:$M501)=0,"",IF(OR($U501="Subscription",$U501=""),"",IF($U501="Disqualified",$H501,0)))</x:f>
      </x:c>
      <x:c r="T501" s="959" t="str">
        <x:f>IF(COUNTA($A501:$M501)=0,"",IF(OR($U501="Subscription",$U501=""),"",IF(OR($U501="Free Game",$U501="Disqualified — Free Game",$H501=0),"N/A",IF($U501="Profit",$Q501/$H501,IF($U501="Disqualified",-$S501/$H501,0)))))</x:f>
      </x:c>
      <x:c r="U501" s="920" t="str">
        <x:f>IF(COUNTA($A501:$M501)=0,"",IF(OR(LEFT(LOWER(TRIM($F501&amp;"")),12)="subscription",LOWER(TRIM($F501&amp;""))="membership"),"Subscription",IF(OR(AND($H501&lt;&gt;"",$H501=0),LEFT(LOWER(TRIM($F501&amp;"")),9)="free game",LOWER(TRIM($F501&amp;""))="free",LOWER(TRIM($F501&amp;""))="free entry"),IF(LOWER($L501&amp;"")="yes","Disqualified — Free Game","Free Game"),IF(LOWER($L501&amp;"")="yes","Disqualified",IF($P501="","",IF(ROUND(IFERROR(VALUE($P501),0)-IFERROR(VALUE($H501),0),2)&gt;0,"Profit","Draw"))))))</x:f>
      </x:c>
      <x:c r="V501" s="960" t="str">
        <x:f>IF(COUNTA($A501:$M501)=0,"",IF(OR($B501="",$C501="",$U501="Subscription"),"",IFERROR(ROUNDUP(($C501-$B501)/7,0),"")))</x:f>
      </x:c>
      <x:c r="W501" s="958" t="str">
        <x:f>IF(COUNTA($A501:$M501)=0,"",IF(OR($U501="Subscription",$U501=""),"",IF(OR($U501="Free Game",$U501="Disqualified — Free Game"),0,ROUND(IFERROR($Q501,0)-IFERROR($S501,0),2))))</x:f>
      </x:c>
      <x:c r="X501" s="960" t="str">
        <x:f>IF(COUNTA($A501:$M501)=0,"",IF(OR($U501="Subscription",NOT(ISNUMBER($J501)),NOT(ISNUMBER($I501)),$J501=0,$I501=0,$I501&gt;$J501),"",$J501-$I501))</x:f>
      </x:c>
      <x:c r="Y501" s="959" t="str">
        <x:f>IF(COUNTA($A501:$M501)=0,"",IF(OR($U501="Subscription",NOT(ISNUMBER($J501)),$J501=0,$X501=""),"",$X501/$J501))</x:f>
      </x:c>
      <x:c r="Z501" s="958" t="str">
        <x:f>IF(COUNTA($A501:$M501)=0,"",Instructions!$B$29+SUM($W$5:W501))</x:f>
      </x:c>
    </x:row>
    <x:row r="502" ht="36" customHeight="1">
      <x:c r="A502" s="439"/>
      <x:c r="B502" s="453"/>
      <x:c r="C502" s="453"/>
      <x:c r="D502" s="454"/>
      <x:c r="E502" s="454"/>
      <x:c r="F502" s="454"/>
      <x:c r="G502" s="986"/>
      <x:c r="H502" s="455"/>
      <x:c r="I502" s="456"/>
      <x:c r="J502" s="456"/>
      <x:c r="K502" s="986"/>
      <x:c r="L502" s="454"/>
      <x:c r="M502" s="439"/>
      <x:c r="N502" s="988" t="str">
        <x:f>IF(COUNTA($A502:$M502)=0,"",IF(OR(LEFT(LOWER(TRIM($F502&amp;"")),12)="subscription",LOWER(TRIM($F502&amp;""))="membership"),"",IF($G502="","",IF(ISNUMBER(SEARCH("non",LOWER($E502&amp;""))),$G502*0.85,$G502))))</x:f>
      </x:c>
      <x:c r="O502" s="988" t="str">
        <x:f>IF(COUNTA($A502:$M502)=0,"",IF(OR(LEFT(LOWER(TRIM($F502&amp;"")),12)="subscription",LOWER(TRIM($F502&amp;""))="membership"),"",IF(OR($N502="",$I502="",$I502=0),"",IFERROR($N502/$I502,""))))</x:f>
      </x:c>
      <x:c r="P502" s="988" t="str">
        <x:f>IF(COUNTA($A502:$M502)=0,"",IF(OR(LEFT(LOWER(TRIM($F502&amp;"")),12)="subscription",LOWER(TRIM($F502&amp;""))="membership"),"",IF(LOWER($L502&amp;"")="yes",0,IF(OR(AND($H502&lt;&gt;"",$H502=0),LEFT(LOWER(TRIM($F502&amp;"")),9)="free game",LOWER(TRIM($F502&amp;""))="free",LOWER(TRIM($F502&amp;""))="free entry"),IF(LOWER($D502&amp;"")="finalized",IF(ISNUMBER($K502),$K502,""),IF($O502&lt;&gt;"",$O502,"")),IF($K502&lt;&gt;"",$K502,IF($O502&lt;&gt;"",$O502,""))))))</x:f>
      </x:c>
      <x:c r="Q502" s="958" t="str">
        <x:f>IF(COUNTA($A502:$M502)=0,"",IF(OR($U502="Subscription",$U502=""),"",IF($U502="Profit",ROUND(IFERROR($P502,0)-IFERROR($H502,0),2),0)))</x:f>
      </x:c>
      <x:c r="R502" s="958" t="str">
        <x:f>IF(COUNTA($A502:$M502)=0,"",IF(OR($U502="Subscription",$U502=""),"",IF($U502="Draw",$H502,0)))</x:f>
      </x:c>
      <x:c r="S502" s="958" t="str">
        <x:f>IF(COUNTA($A502:$M502)=0,"",IF(OR($U502="Subscription",$U502=""),"",IF($U502="Disqualified",$H502,0)))</x:f>
      </x:c>
      <x:c r="T502" s="959" t="str">
        <x:f>IF(COUNTA($A502:$M502)=0,"",IF(OR($U502="Subscription",$U502=""),"",IF(OR($U502="Free Game",$U502="Disqualified — Free Game",$H502=0),"N/A",IF($U502="Profit",$Q502/$H502,IF($U502="Disqualified",-$S502/$H502,0)))))</x:f>
      </x:c>
      <x:c r="U502" s="920" t="str">
        <x:f>IF(COUNTA($A502:$M502)=0,"",IF(OR(LEFT(LOWER(TRIM($F502&amp;"")),12)="subscription",LOWER(TRIM($F502&amp;""))="membership"),"Subscription",IF(OR(AND($H502&lt;&gt;"",$H502=0),LEFT(LOWER(TRIM($F502&amp;"")),9)="free game",LOWER(TRIM($F502&amp;""))="free",LOWER(TRIM($F502&amp;""))="free entry"),IF(LOWER($L502&amp;"")="yes","Disqualified — Free Game","Free Game"),IF(LOWER($L502&amp;"")="yes","Disqualified",IF($P502="","",IF(ROUND(IFERROR(VALUE($P502),0)-IFERROR(VALUE($H502),0),2)&gt;0,"Profit","Draw"))))))</x:f>
      </x:c>
      <x:c r="V502" s="960" t="str">
        <x:f>IF(COUNTA($A502:$M502)=0,"",IF(OR($B502="",$C502="",$U502="Subscription"),"",IFERROR(ROUNDUP(($C502-$B502)/7,0),"")))</x:f>
      </x:c>
      <x:c r="W502" s="958" t="str">
        <x:f>IF(COUNTA($A502:$M502)=0,"",IF(OR($U502="Subscription",$U502=""),"",IF(OR($U502="Free Game",$U502="Disqualified — Free Game"),0,ROUND(IFERROR($Q502,0)-IFERROR($S502,0),2))))</x:f>
      </x:c>
      <x:c r="X502" s="960" t="str">
        <x:f>IF(COUNTA($A502:$M502)=0,"",IF(OR($U502="Subscription",NOT(ISNUMBER($J502)),NOT(ISNUMBER($I502)),$J502=0,$I502=0,$I502&gt;$J502),"",$J502-$I502))</x:f>
      </x:c>
      <x:c r="Y502" s="959" t="str">
        <x:f>IF(COUNTA($A502:$M502)=0,"",IF(OR($U502="Subscription",NOT(ISNUMBER($J502)),$J502=0,$X502=""),"",$X502/$J502))</x:f>
      </x:c>
      <x:c r="Z502" s="958" t="str">
        <x:f>IF(COUNTA($A502:$M502)=0,"",Instructions!$B$29+SUM($W$5:W502))</x:f>
      </x:c>
    </x:row>
    <x:row r="503" ht="36" customHeight="1">
      <x:c r="A503" s="439"/>
      <x:c r="B503" s="453"/>
      <x:c r="C503" s="453"/>
      <x:c r="D503" s="454"/>
      <x:c r="E503" s="454"/>
      <x:c r="F503" s="454"/>
      <x:c r="G503" s="986"/>
      <x:c r="H503" s="455"/>
      <x:c r="I503" s="456"/>
      <x:c r="J503" s="456"/>
      <x:c r="K503" s="986"/>
      <x:c r="L503" s="454"/>
      <x:c r="M503" s="439"/>
      <x:c r="N503" s="988" t="str">
        <x:f>IF(COUNTA($A503:$M503)=0,"",IF(OR(LEFT(LOWER(TRIM($F503&amp;"")),12)="subscription",LOWER(TRIM($F503&amp;""))="membership"),"",IF($G503="","",IF(ISNUMBER(SEARCH("non",LOWER($E503&amp;""))),$G503*0.85,$G503))))</x:f>
      </x:c>
      <x:c r="O503" s="988" t="str">
        <x:f>IF(COUNTA($A503:$M503)=0,"",IF(OR(LEFT(LOWER(TRIM($F503&amp;"")),12)="subscription",LOWER(TRIM($F503&amp;""))="membership"),"",IF(OR($N503="",$I503="",$I503=0),"",IFERROR($N503/$I503,""))))</x:f>
      </x:c>
      <x:c r="P503" s="988" t="str">
        <x:f>IF(COUNTA($A503:$M503)=0,"",IF(OR(LEFT(LOWER(TRIM($F503&amp;"")),12)="subscription",LOWER(TRIM($F503&amp;""))="membership"),"",IF(LOWER($L503&amp;"")="yes",0,IF(OR(AND($H503&lt;&gt;"",$H503=0),LEFT(LOWER(TRIM($F503&amp;"")),9)="free game",LOWER(TRIM($F503&amp;""))="free",LOWER(TRIM($F503&amp;""))="free entry"),IF(LOWER($D503&amp;"")="finalized",IF(ISNUMBER($K503),$K503,""),IF($O503&lt;&gt;"",$O503,"")),IF($K503&lt;&gt;"",$K503,IF($O503&lt;&gt;"",$O503,""))))))</x:f>
      </x:c>
      <x:c r="Q503" s="958" t="str">
        <x:f>IF(COUNTA($A503:$M503)=0,"",IF(OR($U503="Subscription",$U503=""),"",IF($U503="Profit",ROUND(IFERROR($P503,0)-IFERROR($H503,0),2),0)))</x:f>
      </x:c>
      <x:c r="R503" s="958" t="str">
        <x:f>IF(COUNTA($A503:$M503)=0,"",IF(OR($U503="Subscription",$U503=""),"",IF($U503="Draw",$H503,0)))</x:f>
      </x:c>
      <x:c r="S503" s="958" t="str">
        <x:f>IF(COUNTA($A503:$M503)=0,"",IF(OR($U503="Subscription",$U503=""),"",IF($U503="Disqualified",$H503,0)))</x:f>
      </x:c>
      <x:c r="T503" s="959" t="str">
        <x:f>IF(COUNTA($A503:$M503)=0,"",IF(OR($U503="Subscription",$U503=""),"",IF(OR($U503="Free Game",$U503="Disqualified — Free Game",$H503=0),"N/A",IF($U503="Profit",$Q503/$H503,IF($U503="Disqualified",-$S503/$H503,0)))))</x:f>
      </x:c>
      <x:c r="U503" s="920" t="str">
        <x:f>IF(COUNTA($A503:$M503)=0,"",IF(OR(LEFT(LOWER(TRIM($F503&amp;"")),12)="subscription",LOWER(TRIM($F503&amp;""))="membership"),"Subscription",IF(OR(AND($H503&lt;&gt;"",$H503=0),LEFT(LOWER(TRIM($F503&amp;"")),9)="free game",LOWER(TRIM($F503&amp;""))="free",LOWER(TRIM($F503&amp;""))="free entry"),IF(LOWER($L503&amp;"")="yes","Disqualified — Free Game","Free Game"),IF(LOWER($L503&amp;"")="yes","Disqualified",IF($P503="","",IF(ROUND(IFERROR(VALUE($P503),0)-IFERROR(VALUE($H503),0),2)&gt;0,"Profit","Draw"))))))</x:f>
      </x:c>
      <x:c r="V503" s="960" t="str">
        <x:f>IF(COUNTA($A503:$M503)=0,"",IF(OR($B503="",$C503="",$U503="Subscription"),"",IFERROR(ROUNDUP(($C503-$B503)/7,0),"")))</x:f>
      </x:c>
      <x:c r="W503" s="958" t="str">
        <x:f>IF(COUNTA($A503:$M503)=0,"",IF(OR($U503="Subscription",$U503=""),"",IF(OR($U503="Free Game",$U503="Disqualified — Free Game"),0,ROUND(IFERROR($Q503,0)-IFERROR($S503,0),2))))</x:f>
      </x:c>
      <x:c r="X503" s="960" t="str">
        <x:f>IF(COUNTA($A503:$M503)=0,"",IF(OR($U503="Subscription",NOT(ISNUMBER($J503)),NOT(ISNUMBER($I503)),$J503=0,$I503=0,$I503&gt;$J503),"",$J503-$I503))</x:f>
      </x:c>
      <x:c r="Y503" s="959" t="str">
        <x:f>IF(COUNTA($A503:$M503)=0,"",IF(OR($U503="Subscription",NOT(ISNUMBER($J503)),$J503=0,$X503=""),"",$X503/$J503))</x:f>
      </x:c>
      <x:c r="Z503" s="958" t="str">
        <x:f>IF(COUNTA($A503:$M503)=0,"",Instructions!$B$29+SUM($W$5:W503))</x:f>
      </x:c>
    </x:row>
    <x:row r="504" ht="36" customHeight="1">
      <x:c r="A504" s="439"/>
      <x:c r="B504" s="449"/>
      <x:c r="C504" s="449"/>
      <x:c r="D504" s="450"/>
      <x:c r="E504" s="450"/>
      <x:c r="F504" s="450"/>
      <x:c r="G504" s="985"/>
      <x:c r="H504" s="451"/>
      <x:c r="I504" s="452"/>
      <x:c r="J504" s="452"/>
      <x:c r="K504" s="985"/>
      <x:c r="L504" s="450"/>
      <x:c r="M504" s="439"/>
      <x:c r="N504" s="988" t="str">
        <x:f>IF(COUNTA($A504:$M504)=0,"",IF(OR(LEFT(LOWER(TRIM($F504&amp;"")),12)="subscription",LOWER(TRIM($F504&amp;""))="membership"),"",IF($G504="","",IF(ISNUMBER(SEARCH("non",LOWER($E504&amp;""))),$G504*0.85,$G504))))</x:f>
      </x:c>
      <x:c r="O504" s="988" t="str">
        <x:f>IF(COUNTA($A504:$M504)=0,"",IF(OR(LEFT(LOWER(TRIM($F504&amp;"")),12)="subscription",LOWER(TRIM($F504&amp;""))="membership"),"",IF(OR($N504="",$I504="",$I504=0),"",IFERROR($N504/$I504,""))))</x:f>
      </x:c>
      <x:c r="P504" s="988" t="str">
        <x:f>IF(COUNTA($A504:$M504)=0,"",IF(OR(LEFT(LOWER(TRIM($F504&amp;"")),12)="subscription",LOWER(TRIM($F504&amp;""))="membership"),"",IF(LOWER($L504&amp;"")="yes",0,IF(OR(AND($H504&lt;&gt;"",$H504=0),LEFT(LOWER(TRIM($F504&amp;"")),9)="free game",LOWER(TRIM($F504&amp;""))="free",LOWER(TRIM($F504&amp;""))="free entry"),IF(LOWER($D504&amp;"")="finalized",IF(ISNUMBER($K504),$K504,""),IF($O504&lt;&gt;"",$O504,"")),IF($K504&lt;&gt;"",$K504,IF($O504&lt;&gt;"",$O504,""))))))</x:f>
      </x:c>
      <x:c r="Q504" s="958" t="str">
        <x:f>IF(COUNTA($A504:$M504)=0,"",IF(OR($U504="Subscription",$U504=""),"",IF($U504="Profit",ROUND(IFERROR($P504,0)-IFERROR($H504,0),2),0)))</x:f>
      </x:c>
      <x:c r="R504" s="958" t="str">
        <x:f>IF(COUNTA($A504:$M504)=0,"",IF(OR($U504="Subscription",$U504=""),"",IF($U504="Draw",$H504,0)))</x:f>
      </x:c>
      <x:c r="S504" s="958" t="str">
        <x:f>IF(COUNTA($A504:$M504)=0,"",IF(OR($U504="Subscription",$U504=""),"",IF($U504="Disqualified",$H504,0)))</x:f>
      </x:c>
      <x:c r="T504" s="959" t="str">
        <x:f>IF(COUNTA($A504:$M504)=0,"",IF(OR($U504="Subscription",$U504=""),"",IF(OR($U504="Free Game",$U504="Disqualified — Free Game",$H504=0),"N/A",IF($U504="Profit",$Q504/$H504,IF($U504="Disqualified",-$S504/$H504,0)))))</x:f>
      </x:c>
      <x:c r="U504" s="920" t="str">
        <x:f>IF(COUNTA($A504:$M504)=0,"",IF(OR(LEFT(LOWER(TRIM($F504&amp;"")),12)="subscription",LOWER(TRIM($F504&amp;""))="membership"),"Subscription",IF(OR(AND($H504&lt;&gt;"",$H504=0),LEFT(LOWER(TRIM($F504&amp;"")),9)="free game",LOWER(TRIM($F504&amp;""))="free",LOWER(TRIM($F504&amp;""))="free entry"),IF(LOWER($L504&amp;"")="yes","Disqualified — Free Game","Free Game"),IF(LOWER($L504&amp;"")="yes","Disqualified",IF($P504="","",IF(ROUND(IFERROR(VALUE($P504),0)-IFERROR(VALUE($H504),0),2)&gt;0,"Profit","Draw"))))))</x:f>
      </x:c>
      <x:c r="V504" s="960" t="str">
        <x:f>IF(COUNTA($A504:$M504)=0,"",IF(OR($B504="",$C504="",$U504="Subscription"),"",IFERROR(ROUNDUP(($C504-$B504)/7,0),"")))</x:f>
      </x:c>
      <x:c r="W504" s="958" t="str">
        <x:f>IF(COUNTA($A504:$M504)=0,"",IF(OR($U504="Subscription",$U504=""),"",IF(OR($U504="Free Game",$U504="Disqualified — Free Game"),0,ROUND(IFERROR($Q504,0)-IFERROR($S504,0),2))))</x:f>
      </x:c>
      <x:c r="X504" s="960" t="str">
        <x:f>IF(COUNTA($A504:$M504)=0,"",IF(OR($U504="Subscription",NOT(ISNUMBER($J504)),NOT(ISNUMBER($I504)),$J504=0,$I504=0,$I504&gt;$J504),"",$J504-$I504))</x:f>
      </x:c>
      <x:c r="Y504" s="959" t="str">
        <x:f>IF(COUNTA($A504:$M504)=0,"",IF(OR($U504="Subscription",NOT(ISNUMBER($J504)),$J504=0,$X504=""),"",$X504/$J504))</x:f>
      </x:c>
      <x:c r="Z504" s="958" t="str">
        <x:f>IF(COUNTA($A504:$M504)=0,"",Instructions!$B$29+SUM($W$5:W504))</x:f>
      </x:c>
    </x:row>
    <x:row r="505" ht="44" customHeight="1">
      <x:c r="A505" s="198" t="str">
        <x:v>END OF WORKBOOK — 500 RECORD ROWS USED. ARCHIVE THIS FILE AND BEGIN A FRESH COPY. DO NOT ENTER RECORDS BELOW THIS ROW.</x:v>
      </x:c>
      <x:c r="B505" s="198"/>
      <x:c r="C505" s="198"/>
      <x:c r="D505" s="198"/>
      <x:c r="E505" s="198"/>
      <x:c r="F505" s="198"/>
      <x:c r="G505" s="198"/>
      <x:c r="H505" s="198"/>
      <x:c r="I505" s="198"/>
      <x:c r="J505" s="198"/>
      <x:c r="K505" s="198"/>
      <x:c r="L505" s="198"/>
      <x:c r="M505" s="198"/>
      <x:c r="N505" s="198"/>
      <x:c r="O505" s="198"/>
      <x:c r="P505" s="198"/>
      <x:c r="Q505" s="198"/>
      <x:c r="R505" s="198"/>
      <x:c r="S505" s="198"/>
      <x:c r="T505" s="198"/>
      <x:c r="U505" s="198"/>
      <x:c r="V505" s="198"/>
      <x:c r="W505" s="198"/>
      <x:c r="X505" s="198"/>
      <x:c r="Y505" s="198"/>
      <x:c r="Z505" s="198"/>
    </x:row>
    <x:row r="506">
      <x:c r="A506" s="245"/>
      <x:c r="B506" s="245"/>
      <x:c r="C506" s="245"/>
      <x:c r="D506" s="245"/>
      <x:c r="E506" s="245"/>
      <x:c r="F506" s="245"/>
      <x:c r="G506" s="245"/>
      <x:c r="H506" s="245"/>
      <x:c r="I506" s="245"/>
      <x:c r="J506" s="245"/>
      <x:c r="K506" s="245"/>
      <x:c r="L506" s="245"/>
      <x:c r="M506" s="245"/>
      <x:c r="N506" s="245"/>
      <x:c r="O506" s="245"/>
      <x:c r="P506" s="245"/>
      <x:c r="Q506" s="245"/>
      <x:c r="R506" s="245"/>
      <x:c r="S506" s="245"/>
      <x:c r="T506" s="245"/>
      <x:c r="U506" s="245"/>
      <x:c r="V506" s="245"/>
      <x:c r="W506" s="245"/>
      <x:c r="X506" s="245"/>
      <x:c r="Y506" s="245"/>
      <x:c r="Z506" s="245"/>
    </x:row>
    <x:row r="507">
      <x:c r="A507" s="245"/>
      <x:c r="B507" s="245"/>
      <x:c r="C507" s="245"/>
      <x:c r="D507" s="245"/>
      <x:c r="E507" s="245"/>
      <x:c r="F507" s="245"/>
      <x:c r="G507" s="245"/>
      <x:c r="H507" s="245"/>
      <x:c r="I507" s="245"/>
      <x:c r="J507" s="245"/>
      <x:c r="K507" s="245"/>
      <x:c r="L507" s="245"/>
      <x:c r="M507" s="245"/>
      <x:c r="N507" s="245"/>
      <x:c r="O507" s="245"/>
      <x:c r="P507" s="245"/>
      <x:c r="Q507" s="245"/>
      <x:c r="R507" s="245"/>
      <x:c r="S507" s="245"/>
      <x:c r="T507" s="245"/>
      <x:c r="U507" s="245"/>
      <x:c r="V507" s="245"/>
      <x:c r="W507" s="245"/>
      <x:c r="X507" s="245"/>
      <x:c r="Y507" s="245"/>
      <x:c r="Z507" s="245"/>
    </x:row>
    <x:row r="508">
      <x:c r="A508" s="245"/>
      <x:c r="B508" s="245"/>
      <x:c r="C508" s="245"/>
      <x:c r="D508" s="245"/>
      <x:c r="E508" s="245"/>
      <x:c r="F508" s="245"/>
      <x:c r="G508" s="245"/>
      <x:c r="H508" s="245"/>
      <x:c r="I508" s="245"/>
      <x:c r="J508" s="245"/>
      <x:c r="K508" s="245"/>
      <x:c r="L508" s="245"/>
      <x:c r="M508" s="245"/>
      <x:c r="N508" s="245"/>
      <x:c r="O508" s="245"/>
      <x:c r="P508" s="245"/>
      <x:c r="Q508" s="245"/>
      <x:c r="R508" s="245"/>
      <x:c r="S508" s="245"/>
      <x:c r="T508" s="245"/>
      <x:c r="U508" s="245"/>
      <x:c r="V508" s="245"/>
      <x:c r="W508" s="245"/>
      <x:c r="X508" s="245"/>
      <x:c r="Y508" s="245"/>
      <x:c r="Z508" s="245"/>
    </x:row>
    <x:row r="509">
      <x:c r="A509" s="245"/>
      <x:c r="B509" s="245"/>
      <x:c r="C509" s="245"/>
      <x:c r="D509" s="245"/>
      <x:c r="E509" s="245"/>
      <x:c r="F509" s="245"/>
      <x:c r="G509" s="245"/>
      <x:c r="H509" s="245"/>
      <x:c r="I509" s="245"/>
      <x:c r="J509" s="245"/>
      <x:c r="K509" s="245"/>
      <x:c r="L509" s="245"/>
      <x:c r="M509" s="245"/>
      <x:c r="N509" s="245"/>
      <x:c r="O509" s="245"/>
      <x:c r="P509" s="245"/>
      <x:c r="Q509" s="245"/>
      <x:c r="R509" s="245"/>
      <x:c r="S509" s="245"/>
      <x:c r="T509" s="245"/>
      <x:c r="U509" s="245"/>
      <x:c r="V509" s="245"/>
      <x:c r="W509" s="245"/>
      <x:c r="X509" s="245"/>
      <x:c r="Y509" s="245"/>
      <x:c r="Z509" s="245"/>
    </x:row>
    <x:row r="510">
      <x:c r="A510" s="245"/>
      <x:c r="B510" s="245"/>
      <x:c r="C510" s="245"/>
      <x:c r="D510" s="245"/>
      <x:c r="E510" s="245"/>
      <x:c r="F510" s="245"/>
      <x:c r="G510" s="245"/>
      <x:c r="H510" s="245"/>
      <x:c r="I510" s="245"/>
      <x:c r="J510" s="245"/>
      <x:c r="K510" s="245"/>
      <x:c r="L510" s="245"/>
      <x:c r="M510" s="245"/>
      <x:c r="N510" s="245"/>
      <x:c r="O510" s="245"/>
      <x:c r="P510" s="245"/>
      <x:c r="Q510" s="245"/>
      <x:c r="R510" s="245"/>
      <x:c r="S510" s="245"/>
      <x:c r="T510" s="245"/>
      <x:c r="U510" s="245"/>
      <x:c r="V510" s="245"/>
      <x:c r="W510" s="245"/>
      <x:c r="X510" s="245"/>
      <x:c r="Y510" s="245"/>
      <x:c r="Z510" s="245"/>
    </x:row>
    <x:row r="511">
      <x:c r="A511" s="245"/>
      <x:c r="B511" s="245"/>
      <x:c r="C511" s="245"/>
      <x:c r="D511" s="245"/>
      <x:c r="E511" s="245"/>
      <x:c r="F511" s="245"/>
      <x:c r="G511" s="245"/>
      <x:c r="H511" s="245"/>
      <x:c r="I511" s="245"/>
      <x:c r="J511" s="245"/>
      <x:c r="K511" s="245"/>
      <x:c r="L511" s="245"/>
      <x:c r="M511" s="245"/>
      <x:c r="N511" s="245"/>
      <x:c r="O511" s="245"/>
      <x:c r="P511" s="245"/>
      <x:c r="Q511" s="245"/>
      <x:c r="R511" s="245"/>
      <x:c r="S511" s="245"/>
      <x:c r="T511" s="245"/>
      <x:c r="U511" s="245"/>
      <x:c r="V511" s="245"/>
      <x:c r="W511" s="245"/>
      <x:c r="X511" s="245"/>
      <x:c r="Y511" s="245"/>
      <x:c r="Z511" s="245"/>
    </x:row>
    <x:row r="512">
      <x:c r="A512" s="245"/>
      <x:c r="B512" s="245"/>
      <x:c r="C512" s="245"/>
      <x:c r="D512" s="245"/>
      <x:c r="E512" s="245"/>
      <x:c r="F512" s="245"/>
      <x:c r="G512" s="245"/>
      <x:c r="H512" s="245"/>
      <x:c r="I512" s="245"/>
      <x:c r="J512" s="245"/>
      <x:c r="K512" s="245"/>
      <x:c r="L512" s="245"/>
      <x:c r="M512" s="245"/>
      <x:c r="N512" s="245"/>
      <x:c r="O512" s="245"/>
      <x:c r="P512" s="245"/>
      <x:c r="Q512" s="245"/>
      <x:c r="R512" s="245"/>
      <x:c r="S512" s="245"/>
      <x:c r="T512" s="245"/>
      <x:c r="U512" s="245"/>
      <x:c r="V512" s="245"/>
      <x:c r="W512" s="245"/>
      <x:c r="X512" s="245"/>
      <x:c r="Y512" s="245"/>
      <x:c r="Z512" s="245"/>
    </x:row>
    <x:row r="513">
      <x:c r="A513" s="245"/>
      <x:c r="B513" s="245"/>
      <x:c r="C513" s="245"/>
      <x:c r="D513" s="245"/>
      <x:c r="E513" s="245"/>
      <x:c r="F513" s="245"/>
      <x:c r="G513" s="245"/>
      <x:c r="H513" s="245"/>
      <x:c r="I513" s="245"/>
      <x:c r="J513" s="245"/>
      <x:c r="K513" s="245"/>
      <x:c r="L513" s="245"/>
      <x:c r="M513" s="245"/>
      <x:c r="N513" s="245"/>
      <x:c r="O513" s="245"/>
      <x:c r="P513" s="245"/>
      <x:c r="Q513" s="245"/>
      <x:c r="R513" s="245"/>
      <x:c r="S513" s="245"/>
      <x:c r="T513" s="245"/>
      <x:c r="U513" s="245"/>
      <x:c r="V513" s="245"/>
      <x:c r="W513" s="245"/>
      <x:c r="X513" s="245"/>
      <x:c r="Y513" s="245"/>
      <x:c r="Z513" s="245"/>
    </x:row>
    <x:row r="514">
      <x:c r="A514" s="245"/>
      <x:c r="B514" s="245"/>
      <x:c r="C514" s="245"/>
      <x:c r="D514" s="245"/>
      <x:c r="E514" s="245"/>
      <x:c r="F514" s="245"/>
      <x:c r="G514" s="245"/>
      <x:c r="H514" s="245"/>
      <x:c r="I514" s="245"/>
      <x:c r="J514" s="245"/>
      <x:c r="K514" s="245"/>
      <x:c r="L514" s="245"/>
      <x:c r="M514" s="245"/>
      <x:c r="N514" s="245"/>
      <x:c r="O514" s="245"/>
      <x:c r="P514" s="245"/>
      <x:c r="Q514" s="245"/>
      <x:c r="R514" s="245"/>
      <x:c r="S514" s="245"/>
      <x:c r="T514" s="245"/>
      <x:c r="U514" s="245"/>
      <x:c r="V514" s="245"/>
      <x:c r="W514" s="245"/>
      <x:c r="X514" s="245"/>
      <x:c r="Y514" s="245"/>
      <x:c r="Z514" s="245"/>
    </x:row>
    <x:row r="515">
      <x:c r="A515" s="245"/>
      <x:c r="B515" s="245"/>
      <x:c r="C515" s="245"/>
      <x:c r="D515" s="245"/>
      <x:c r="E515" s="245"/>
      <x:c r="F515" s="245"/>
      <x:c r="G515" s="245"/>
      <x:c r="H515" s="245"/>
      <x:c r="I515" s="245"/>
      <x:c r="J515" s="245"/>
      <x:c r="K515" s="245"/>
      <x:c r="L515" s="245"/>
      <x:c r="M515" s="245"/>
      <x:c r="N515" s="245"/>
      <x:c r="O515" s="245"/>
      <x:c r="P515" s="245"/>
      <x:c r="Q515" s="245"/>
      <x:c r="R515" s="245"/>
      <x:c r="S515" s="245"/>
      <x:c r="T515" s="245"/>
      <x:c r="U515" s="245"/>
      <x:c r="V515" s="245"/>
      <x:c r="W515" s="245"/>
      <x:c r="X515" s="245"/>
      <x:c r="Y515" s="245"/>
      <x:c r="Z515" s="245"/>
    </x:row>
    <x:row r="516">
      <x:c r="A516" s="245"/>
      <x:c r="B516" s="245"/>
      <x:c r="C516" s="245"/>
      <x:c r="D516" s="245"/>
      <x:c r="E516" s="245"/>
      <x:c r="F516" s="245"/>
      <x:c r="G516" s="245"/>
      <x:c r="H516" s="245"/>
      <x:c r="I516" s="245"/>
      <x:c r="J516" s="245"/>
      <x:c r="K516" s="245"/>
      <x:c r="L516" s="245"/>
      <x:c r="M516" s="245"/>
      <x:c r="N516" s="245"/>
      <x:c r="O516" s="245"/>
      <x:c r="P516" s="245"/>
      <x:c r="Q516" s="245"/>
      <x:c r="R516" s="245"/>
      <x:c r="S516" s="245"/>
      <x:c r="T516" s="245"/>
      <x:c r="U516" s="245"/>
      <x:c r="V516" s="245"/>
      <x:c r="W516" s="245"/>
      <x:c r="X516" s="245"/>
      <x:c r="Y516" s="245"/>
      <x:c r="Z516" s="245"/>
    </x:row>
    <x:row r="517">
      <x:c r="A517" s="245"/>
      <x:c r="B517" s="245"/>
      <x:c r="C517" s="245"/>
      <x:c r="D517" s="245"/>
      <x:c r="E517" s="245"/>
      <x:c r="F517" s="245"/>
      <x:c r="G517" s="245"/>
      <x:c r="H517" s="245"/>
      <x:c r="I517" s="245"/>
      <x:c r="J517" s="245"/>
      <x:c r="K517" s="245"/>
      <x:c r="L517" s="245"/>
      <x:c r="M517" s="245"/>
      <x:c r="N517" s="245"/>
      <x:c r="O517" s="245"/>
      <x:c r="P517" s="245"/>
      <x:c r="Q517" s="245"/>
      <x:c r="R517" s="245"/>
      <x:c r="S517" s="245"/>
      <x:c r="T517" s="245"/>
      <x:c r="U517" s="245"/>
      <x:c r="V517" s="245"/>
      <x:c r="W517" s="245"/>
      <x:c r="X517" s="245"/>
      <x:c r="Y517" s="245"/>
      <x:c r="Z517" s="245"/>
    </x:row>
    <x:row r="518">
      <x:c r="A518" s="245"/>
      <x:c r="B518" s="245"/>
      <x:c r="C518" s="245"/>
      <x:c r="D518" s="245"/>
      <x:c r="E518" s="245"/>
      <x:c r="F518" s="245"/>
      <x:c r="G518" s="245"/>
      <x:c r="H518" s="245"/>
      <x:c r="I518" s="245"/>
      <x:c r="J518" s="245"/>
      <x:c r="K518" s="245"/>
      <x:c r="L518" s="245"/>
      <x:c r="M518" s="245"/>
      <x:c r="N518" s="245"/>
      <x:c r="O518" s="245"/>
      <x:c r="P518" s="245"/>
      <x:c r="Q518" s="245"/>
      <x:c r="R518" s="245"/>
      <x:c r="S518" s="245"/>
      <x:c r="T518" s="245"/>
      <x:c r="U518" s="245"/>
      <x:c r="V518" s="245"/>
      <x:c r="W518" s="245"/>
      <x:c r="X518" s="245"/>
      <x:c r="Y518" s="245"/>
      <x:c r="Z518" s="245"/>
    </x:row>
    <x:row r="519">
      <x:c r="A519" s="245"/>
      <x:c r="B519" s="245"/>
      <x:c r="C519" s="245"/>
      <x:c r="D519" s="245"/>
      <x:c r="E519" s="245"/>
      <x:c r="F519" s="245"/>
      <x:c r="G519" s="245"/>
      <x:c r="H519" s="245"/>
      <x:c r="I519" s="245"/>
      <x:c r="J519" s="245"/>
      <x:c r="K519" s="245"/>
      <x:c r="L519" s="245"/>
      <x:c r="M519" s="245"/>
      <x:c r="N519" s="245"/>
      <x:c r="O519" s="245"/>
      <x:c r="P519" s="245"/>
      <x:c r="Q519" s="245"/>
      <x:c r="R519" s="245"/>
      <x:c r="S519" s="245"/>
      <x:c r="T519" s="245"/>
      <x:c r="U519" s="245"/>
      <x:c r="V519" s="245"/>
      <x:c r="W519" s="245"/>
      <x:c r="X519" s="245"/>
      <x:c r="Y519" s="245"/>
      <x:c r="Z519" s="245"/>
    </x:row>
    <x:row r="520">
      <x:c r="A520" s="245"/>
      <x:c r="B520" s="245"/>
      <x:c r="C520" s="245"/>
      <x:c r="D520" s="245"/>
      <x:c r="E520" s="245"/>
      <x:c r="F520" s="245"/>
      <x:c r="G520" s="245"/>
      <x:c r="H520" s="245"/>
      <x:c r="I520" s="245"/>
      <x:c r="J520" s="245"/>
      <x:c r="K520" s="245"/>
      <x:c r="L520" s="245"/>
      <x:c r="M520" s="245"/>
      <x:c r="N520" s="245"/>
      <x:c r="O520" s="245"/>
      <x:c r="P520" s="245"/>
      <x:c r="Q520" s="245"/>
      <x:c r="R520" s="245"/>
      <x:c r="S520" s="245"/>
      <x:c r="T520" s="245"/>
      <x:c r="U520" s="245"/>
      <x:c r="V520" s="245"/>
      <x:c r="W520" s="245"/>
      <x:c r="X520" s="245"/>
      <x:c r="Y520" s="245"/>
      <x:c r="Z520" s="245"/>
    </x:row>
    <x:row r="521">
      <x:c r="A521" s="245"/>
      <x:c r="B521" s="245"/>
      <x:c r="C521" s="245"/>
      <x:c r="D521" s="245"/>
      <x:c r="E521" s="245"/>
      <x:c r="F521" s="245"/>
      <x:c r="G521" s="245"/>
      <x:c r="H521" s="245"/>
      <x:c r="I521" s="245"/>
      <x:c r="J521" s="245"/>
      <x:c r="K521" s="245"/>
      <x:c r="L521" s="245"/>
      <x:c r="M521" s="245"/>
      <x:c r="N521" s="245"/>
      <x:c r="O521" s="245"/>
      <x:c r="P521" s="245"/>
      <x:c r="Q521" s="245"/>
      <x:c r="R521" s="245"/>
      <x:c r="S521" s="245"/>
      <x:c r="T521" s="245"/>
      <x:c r="U521" s="245"/>
      <x:c r="V521" s="245"/>
      <x:c r="W521" s="245"/>
      <x:c r="X521" s="245"/>
      <x:c r="Y521" s="245"/>
      <x:c r="Z521" s="245"/>
    </x:row>
    <x:row r="522">
      <x:c r="A522" s="245"/>
      <x:c r="B522" s="245"/>
      <x:c r="C522" s="245"/>
      <x:c r="D522" s="245"/>
      <x:c r="E522" s="245"/>
      <x:c r="F522" s="245"/>
      <x:c r="G522" s="245"/>
      <x:c r="H522" s="245"/>
      <x:c r="I522" s="245"/>
      <x:c r="J522" s="245"/>
      <x:c r="K522" s="245"/>
      <x:c r="L522" s="245"/>
      <x:c r="M522" s="245"/>
      <x:c r="N522" s="245"/>
      <x:c r="O522" s="245"/>
      <x:c r="P522" s="245"/>
      <x:c r="Q522" s="245"/>
      <x:c r="R522" s="245"/>
      <x:c r="S522" s="245"/>
      <x:c r="T522" s="245"/>
      <x:c r="U522" s="245"/>
      <x:c r="V522" s="245"/>
      <x:c r="W522" s="245"/>
      <x:c r="X522" s="245"/>
      <x:c r="Y522" s="245"/>
      <x:c r="Z522" s="245"/>
    </x:row>
    <x:row r="523">
      <x:c r="A523" s="245"/>
      <x:c r="B523" s="245"/>
      <x:c r="C523" s="245"/>
      <x:c r="D523" s="245"/>
      <x:c r="E523" s="245"/>
      <x:c r="F523" s="245"/>
      <x:c r="G523" s="245"/>
      <x:c r="H523" s="245"/>
      <x:c r="I523" s="245"/>
      <x:c r="J523" s="245"/>
      <x:c r="K523" s="245"/>
      <x:c r="L523" s="245"/>
      <x:c r="M523" s="245"/>
      <x:c r="N523" s="245"/>
      <x:c r="O523" s="245"/>
      <x:c r="P523" s="245"/>
      <x:c r="Q523" s="245"/>
      <x:c r="R523" s="245"/>
      <x:c r="S523" s="245"/>
      <x:c r="T523" s="245"/>
      <x:c r="U523" s="245"/>
      <x:c r="V523" s="245"/>
      <x:c r="W523" s="245"/>
      <x:c r="X523" s="245"/>
      <x:c r="Y523" s="245"/>
      <x:c r="Z523" s="245"/>
    </x:row>
    <x:row r="524">
      <x:c r="A524" s="245"/>
      <x:c r="B524" s="245"/>
      <x:c r="C524" s="245"/>
      <x:c r="D524" s="245"/>
      <x:c r="E524" s="245"/>
      <x:c r="F524" s="245"/>
      <x:c r="G524" s="245"/>
      <x:c r="H524" s="245"/>
      <x:c r="I524" s="245"/>
      <x:c r="J524" s="245"/>
      <x:c r="K524" s="245"/>
      <x:c r="L524" s="245"/>
      <x:c r="M524" s="245"/>
      <x:c r="N524" s="245"/>
      <x:c r="O524" s="245"/>
      <x:c r="P524" s="245"/>
      <x:c r="Q524" s="245"/>
      <x:c r="R524" s="245"/>
      <x:c r="S524" s="245"/>
      <x:c r="T524" s="245"/>
      <x:c r="U524" s="245"/>
      <x:c r="V524" s="245"/>
      <x:c r="W524" s="245"/>
      <x:c r="X524" s="245"/>
      <x:c r="Y524" s="245"/>
      <x:c r="Z524" s="245"/>
    </x:row>
    <x:row r="525">
      <x:c r="A525" s="245"/>
      <x:c r="B525" s="245"/>
      <x:c r="C525" s="245"/>
      <x:c r="D525" s="245"/>
      <x:c r="E525" s="245"/>
      <x:c r="F525" s="245"/>
      <x:c r="G525" s="245"/>
      <x:c r="H525" s="245"/>
      <x:c r="I525" s="245"/>
      <x:c r="J525" s="245"/>
      <x:c r="K525" s="245"/>
      <x:c r="L525" s="245"/>
      <x:c r="M525" s="245"/>
      <x:c r="N525" s="245"/>
      <x:c r="O525" s="245"/>
      <x:c r="P525" s="245"/>
      <x:c r="Q525" s="245"/>
      <x:c r="R525" s="245"/>
      <x:c r="S525" s="245"/>
      <x:c r="T525" s="245"/>
      <x:c r="U525" s="245"/>
      <x:c r="V525" s="245"/>
      <x:c r="W525" s="245"/>
      <x:c r="X525" s="245"/>
      <x:c r="Y525" s="245"/>
      <x:c r="Z525" s="245"/>
    </x:row>
    <x:row r="526">
      <x:c r="A526" s="245"/>
      <x:c r="B526" s="245"/>
      <x:c r="C526" s="245"/>
      <x:c r="D526" s="245"/>
      <x:c r="E526" s="245"/>
      <x:c r="F526" s="245"/>
      <x:c r="G526" s="245"/>
      <x:c r="H526" s="245"/>
      <x:c r="I526" s="245"/>
      <x:c r="J526" s="245"/>
      <x:c r="K526" s="245"/>
      <x:c r="L526" s="245"/>
      <x:c r="M526" s="245"/>
      <x:c r="N526" s="245"/>
      <x:c r="O526" s="245"/>
      <x:c r="P526" s="245"/>
      <x:c r="Q526" s="245"/>
      <x:c r="R526" s="245"/>
      <x:c r="S526" s="245"/>
      <x:c r="T526" s="245"/>
      <x:c r="U526" s="245"/>
      <x:c r="V526" s="245"/>
      <x:c r="W526" s="245"/>
      <x:c r="X526" s="245"/>
      <x:c r="Y526" s="245"/>
      <x:c r="Z526" s="245"/>
    </x:row>
    <x:row r="527">
      <x:c r="A527" s="245"/>
      <x:c r="B527" s="245"/>
      <x:c r="C527" s="245"/>
      <x:c r="D527" s="245"/>
      <x:c r="E527" s="245"/>
      <x:c r="F527" s="245"/>
      <x:c r="G527" s="245"/>
      <x:c r="H527" s="245"/>
      <x:c r="I527" s="245"/>
      <x:c r="J527" s="245"/>
      <x:c r="K527" s="245"/>
      <x:c r="L527" s="245"/>
      <x:c r="M527" s="245"/>
      <x:c r="N527" s="245"/>
      <x:c r="O527" s="245"/>
      <x:c r="P527" s="245"/>
      <x:c r="Q527" s="245"/>
      <x:c r="R527" s="245"/>
      <x:c r="S527" s="245"/>
      <x:c r="T527" s="245"/>
      <x:c r="U527" s="245"/>
      <x:c r="V527" s="245"/>
      <x:c r="W527" s="245"/>
      <x:c r="X527" s="245"/>
      <x:c r="Y527" s="245"/>
      <x:c r="Z527" s="245"/>
    </x:row>
    <x:row r="528">
      <x:c r="A528" s="245"/>
      <x:c r="B528" s="245"/>
      <x:c r="C528" s="245"/>
      <x:c r="D528" s="245"/>
      <x:c r="E528" s="245"/>
      <x:c r="F528" s="245"/>
      <x:c r="G528" s="245"/>
      <x:c r="H528" s="245"/>
      <x:c r="I528" s="245"/>
      <x:c r="J528" s="245"/>
      <x:c r="K528" s="245"/>
      <x:c r="L528" s="245"/>
      <x:c r="M528" s="245"/>
      <x:c r="N528" s="245"/>
      <x:c r="O528" s="245"/>
      <x:c r="P528" s="245"/>
      <x:c r="Q528" s="245"/>
      <x:c r="R528" s="245"/>
      <x:c r="S528" s="245"/>
      <x:c r="T528" s="245"/>
      <x:c r="U528" s="245"/>
      <x:c r="V528" s="245"/>
      <x:c r="W528" s="245"/>
      <x:c r="X528" s="245"/>
      <x:c r="Y528" s="245"/>
      <x:c r="Z528" s="245"/>
    </x:row>
    <x:row r="529">
      <x:c r="A529" s="245"/>
      <x:c r="B529" s="245"/>
      <x:c r="C529" s="245"/>
      <x:c r="D529" s="245"/>
      <x:c r="E529" s="245"/>
      <x:c r="F529" s="245"/>
      <x:c r="G529" s="245"/>
      <x:c r="H529" s="245"/>
      <x:c r="I529" s="245"/>
      <x:c r="J529" s="245"/>
      <x:c r="K529" s="245"/>
      <x:c r="L529" s="245"/>
      <x:c r="M529" s="245"/>
      <x:c r="N529" s="245"/>
      <x:c r="O529" s="245"/>
      <x:c r="P529" s="245"/>
      <x:c r="Q529" s="245"/>
      <x:c r="R529" s="245"/>
      <x:c r="S529" s="245"/>
      <x:c r="T529" s="245"/>
      <x:c r="U529" s="245"/>
      <x:c r="V529" s="245"/>
      <x:c r="W529" s="245"/>
      <x:c r="X529" s="245"/>
      <x:c r="Y529" s="245"/>
      <x:c r="Z529" s="245"/>
    </x:row>
    <x:row r="530">
      <x:c r="A530" s="245"/>
      <x:c r="B530" s="245"/>
      <x:c r="C530" s="245"/>
      <x:c r="D530" s="245"/>
      <x:c r="E530" s="245"/>
      <x:c r="F530" s="245"/>
      <x:c r="G530" s="245"/>
      <x:c r="H530" s="245"/>
      <x:c r="I530" s="245"/>
      <x:c r="J530" s="245"/>
      <x:c r="K530" s="245"/>
      <x:c r="L530" s="245"/>
      <x:c r="M530" s="245"/>
      <x:c r="N530" s="245"/>
      <x:c r="O530" s="245"/>
      <x:c r="P530" s="245"/>
      <x:c r="Q530" s="245"/>
      <x:c r="R530" s="245"/>
      <x:c r="S530" s="245"/>
      <x:c r="T530" s="245"/>
      <x:c r="U530" s="245"/>
      <x:c r="V530" s="245"/>
      <x:c r="W530" s="245"/>
      <x:c r="X530" s="245"/>
      <x:c r="Y530" s="245"/>
      <x:c r="Z530" s="245"/>
    </x:row>
    <x:row r="531">
      <x:c r="A531" s="245"/>
      <x:c r="B531" s="245"/>
      <x:c r="C531" s="245"/>
      <x:c r="D531" s="245"/>
      <x:c r="E531" s="245"/>
      <x:c r="F531" s="245"/>
      <x:c r="G531" s="245"/>
      <x:c r="H531" s="245"/>
      <x:c r="I531" s="245"/>
      <x:c r="J531" s="245"/>
      <x:c r="K531" s="245"/>
      <x:c r="L531" s="245"/>
      <x:c r="M531" s="245"/>
      <x:c r="N531" s="245"/>
      <x:c r="O531" s="245"/>
      <x:c r="P531" s="245"/>
      <x:c r="Q531" s="245"/>
      <x:c r="R531" s="245"/>
      <x:c r="S531" s="245"/>
      <x:c r="T531" s="245"/>
      <x:c r="U531" s="245"/>
      <x:c r="V531" s="245"/>
      <x:c r="W531" s="245"/>
      <x:c r="X531" s="245"/>
      <x:c r="Y531" s="245"/>
      <x:c r="Z531" s="245"/>
    </x:row>
    <x:row r="532">
      <x:c r="A532" s="245"/>
      <x:c r="B532" s="245"/>
      <x:c r="C532" s="245"/>
      <x:c r="D532" s="245"/>
      <x:c r="E532" s="245"/>
      <x:c r="F532" s="245"/>
      <x:c r="G532" s="245"/>
      <x:c r="H532" s="245"/>
      <x:c r="I532" s="245"/>
      <x:c r="J532" s="245"/>
      <x:c r="K532" s="245"/>
      <x:c r="L532" s="245"/>
      <x:c r="M532" s="245"/>
      <x:c r="N532" s="245"/>
      <x:c r="O532" s="245"/>
      <x:c r="P532" s="245"/>
      <x:c r="Q532" s="245"/>
      <x:c r="R532" s="245"/>
      <x:c r="S532" s="245"/>
      <x:c r="T532" s="245"/>
      <x:c r="U532" s="245"/>
      <x:c r="V532" s="245"/>
      <x:c r="W532" s="245"/>
      <x:c r="X532" s="245"/>
      <x:c r="Y532" s="245"/>
      <x:c r="Z532" s="245"/>
    </x:row>
    <x:row r="533">
      <x:c r="A533" s="245"/>
      <x:c r="B533" s="245"/>
      <x:c r="C533" s="245"/>
      <x:c r="D533" s="245"/>
      <x:c r="E533" s="245"/>
      <x:c r="F533" s="245"/>
      <x:c r="G533" s="245"/>
      <x:c r="H533" s="245"/>
      <x:c r="I533" s="245"/>
      <x:c r="J533" s="245"/>
      <x:c r="K533" s="245"/>
      <x:c r="L533" s="245"/>
      <x:c r="M533" s="245"/>
      <x:c r="N533" s="245"/>
      <x:c r="O533" s="245"/>
      <x:c r="P533" s="245"/>
      <x:c r="Q533" s="245"/>
      <x:c r="R533" s="245"/>
      <x:c r="S533" s="245"/>
      <x:c r="T533" s="245"/>
      <x:c r="U533" s="245"/>
      <x:c r="V533" s="245"/>
      <x:c r="W533" s="245"/>
      <x:c r="X533" s="245"/>
      <x:c r="Y533" s="245"/>
      <x:c r="Z533" s="245"/>
    </x:row>
    <x:row r="534">
      <x:c r="A534" s="245"/>
      <x:c r="B534" s="245"/>
      <x:c r="C534" s="245"/>
      <x:c r="D534" s="245"/>
      <x:c r="E534" s="245"/>
      <x:c r="F534" s="245"/>
      <x:c r="G534" s="245"/>
      <x:c r="H534" s="245"/>
      <x:c r="I534" s="245"/>
      <x:c r="J534" s="245"/>
      <x:c r="K534" s="245"/>
      <x:c r="L534" s="245"/>
      <x:c r="M534" s="245"/>
      <x:c r="N534" s="245"/>
      <x:c r="O534" s="245"/>
      <x:c r="P534" s="245"/>
      <x:c r="Q534" s="245"/>
      <x:c r="R534" s="245"/>
      <x:c r="S534" s="245"/>
      <x:c r="T534" s="245"/>
      <x:c r="U534" s="245"/>
      <x:c r="V534" s="245"/>
      <x:c r="W534" s="245"/>
      <x:c r="X534" s="245"/>
      <x:c r="Y534" s="245"/>
      <x:c r="Z534" s="245"/>
    </x:row>
    <x:row r="535">
      <x:c r="A535" s="245"/>
      <x:c r="B535" s="245"/>
      <x:c r="C535" s="245"/>
      <x:c r="D535" s="245"/>
      <x:c r="E535" s="245"/>
      <x:c r="F535" s="245"/>
      <x:c r="G535" s="245"/>
      <x:c r="H535" s="245"/>
      <x:c r="I535" s="245"/>
      <x:c r="J535" s="245"/>
      <x:c r="K535" s="245"/>
      <x:c r="L535" s="245"/>
      <x:c r="M535" s="245"/>
      <x:c r="N535" s="245"/>
      <x:c r="O535" s="245"/>
      <x:c r="P535" s="245"/>
      <x:c r="Q535" s="245"/>
      <x:c r="R535" s="245"/>
      <x:c r="S535" s="245"/>
      <x:c r="T535" s="245"/>
      <x:c r="U535" s="245"/>
      <x:c r="V535" s="245"/>
      <x:c r="W535" s="245"/>
      <x:c r="X535" s="245"/>
      <x:c r="Y535" s="245"/>
      <x:c r="Z535" s="245"/>
    </x:row>
    <x:row r="536">
      <x:c r="A536" s="245"/>
      <x:c r="B536" s="245"/>
      <x:c r="C536" s="245"/>
      <x:c r="D536" s="245"/>
      <x:c r="E536" s="245"/>
      <x:c r="F536" s="245"/>
      <x:c r="G536" s="245"/>
      <x:c r="H536" s="245"/>
      <x:c r="I536" s="245"/>
      <x:c r="J536" s="245"/>
      <x:c r="K536" s="245"/>
      <x:c r="L536" s="245"/>
      <x:c r="M536" s="245"/>
      <x:c r="N536" s="245"/>
      <x:c r="O536" s="245"/>
      <x:c r="P536" s="245"/>
      <x:c r="Q536" s="245"/>
      <x:c r="R536" s="245"/>
      <x:c r="S536" s="245"/>
      <x:c r="T536" s="245"/>
      <x:c r="U536" s="245"/>
      <x:c r="V536" s="245"/>
      <x:c r="W536" s="245"/>
      <x:c r="X536" s="245"/>
      <x:c r="Y536" s="245"/>
      <x:c r="Z536" s="245"/>
    </x:row>
    <x:row r="537">
      <x:c r="A537" s="245"/>
      <x:c r="B537" s="245"/>
      <x:c r="C537" s="245"/>
      <x:c r="D537" s="245"/>
      <x:c r="E537" s="245"/>
      <x:c r="F537" s="245"/>
      <x:c r="G537" s="245"/>
      <x:c r="H537" s="245"/>
      <x:c r="I537" s="245"/>
      <x:c r="J537" s="245"/>
      <x:c r="K537" s="245"/>
      <x:c r="L537" s="245"/>
      <x:c r="M537" s="245"/>
      <x:c r="N537" s="245"/>
      <x:c r="O537" s="245"/>
      <x:c r="P537" s="245"/>
      <x:c r="Q537" s="245"/>
      <x:c r="R537" s="245"/>
      <x:c r="S537" s="245"/>
      <x:c r="T537" s="245"/>
      <x:c r="U537" s="245"/>
      <x:c r="V537" s="245"/>
      <x:c r="W537" s="245"/>
      <x:c r="X537" s="245"/>
      <x:c r="Y537" s="245"/>
      <x:c r="Z537" s="245"/>
    </x:row>
    <x:row r="538">
      <x:c r="A538" s="245"/>
      <x:c r="B538" s="245"/>
      <x:c r="C538" s="245"/>
      <x:c r="D538" s="245"/>
      <x:c r="E538" s="245"/>
      <x:c r="F538" s="245"/>
      <x:c r="G538" s="245"/>
      <x:c r="H538" s="245"/>
      <x:c r="I538" s="245"/>
      <x:c r="J538" s="245"/>
      <x:c r="K538" s="245"/>
      <x:c r="L538" s="245"/>
      <x:c r="M538" s="245"/>
      <x:c r="N538" s="245"/>
      <x:c r="O538" s="245"/>
      <x:c r="P538" s="245"/>
      <x:c r="Q538" s="245"/>
      <x:c r="R538" s="245"/>
      <x:c r="S538" s="245"/>
      <x:c r="T538" s="245"/>
      <x:c r="U538" s="245"/>
      <x:c r="V538" s="245"/>
      <x:c r="W538" s="245"/>
      <x:c r="X538" s="245"/>
      <x:c r="Y538" s="245"/>
      <x:c r="Z538" s="245"/>
    </x:row>
    <x:row r="539">
      <x:c r="A539" s="245"/>
      <x:c r="B539" s="245"/>
      <x:c r="C539" s="245"/>
      <x:c r="D539" s="245"/>
      <x:c r="E539" s="245"/>
      <x:c r="F539" s="245"/>
      <x:c r="G539" s="245"/>
      <x:c r="H539" s="245"/>
      <x:c r="I539" s="245"/>
      <x:c r="J539" s="245"/>
      <x:c r="K539" s="245"/>
      <x:c r="L539" s="245"/>
      <x:c r="M539" s="245"/>
      <x:c r="N539" s="245"/>
      <x:c r="O539" s="245"/>
      <x:c r="P539" s="245"/>
      <x:c r="Q539" s="245"/>
      <x:c r="R539" s="245"/>
      <x:c r="S539" s="245"/>
      <x:c r="T539" s="245"/>
      <x:c r="U539" s="245"/>
      <x:c r="V539" s="245"/>
      <x:c r="W539" s="245"/>
      <x:c r="X539" s="245"/>
      <x:c r="Y539" s="245"/>
      <x:c r="Z539" s="245"/>
    </x:row>
    <x:row r="540">
      <x:c r="A540" s="245"/>
      <x:c r="B540" s="245"/>
      <x:c r="C540" s="245"/>
      <x:c r="D540" s="245"/>
      <x:c r="E540" s="245"/>
      <x:c r="F540" s="245"/>
      <x:c r="G540" s="245"/>
      <x:c r="H540" s="245"/>
      <x:c r="I540" s="245"/>
      <x:c r="J540" s="245"/>
      <x:c r="K540" s="245"/>
      <x:c r="L540" s="245"/>
      <x:c r="M540" s="245"/>
      <x:c r="N540" s="245"/>
      <x:c r="O540" s="245"/>
      <x:c r="P540" s="245"/>
      <x:c r="Q540" s="245"/>
      <x:c r="R540" s="245"/>
      <x:c r="S540" s="245"/>
      <x:c r="T540" s="245"/>
      <x:c r="U540" s="245"/>
      <x:c r="V540" s="245"/>
      <x:c r="W540" s="245"/>
      <x:c r="X540" s="245"/>
      <x:c r="Y540" s="245"/>
      <x:c r="Z540" s="245"/>
    </x:row>
    <x:row r="541">
      <x:c r="A541" s="245"/>
      <x:c r="B541" s="245"/>
      <x:c r="C541" s="245"/>
      <x:c r="D541" s="245"/>
      <x:c r="E541" s="245"/>
      <x:c r="F541" s="245"/>
      <x:c r="G541" s="245"/>
      <x:c r="H541" s="245"/>
      <x:c r="I541" s="245"/>
      <x:c r="J541" s="245"/>
      <x:c r="K541" s="245"/>
      <x:c r="L541" s="245"/>
      <x:c r="M541" s="245"/>
      <x:c r="N541" s="245"/>
      <x:c r="O541" s="245"/>
      <x:c r="P541" s="245"/>
      <x:c r="Q541" s="245"/>
      <x:c r="R541" s="245"/>
      <x:c r="S541" s="245"/>
      <x:c r="T541" s="245"/>
      <x:c r="U541" s="245"/>
      <x:c r="V541" s="245"/>
      <x:c r="W541" s="245"/>
      <x:c r="X541" s="245"/>
      <x:c r="Y541" s="245"/>
      <x:c r="Z541" s="245"/>
    </x:row>
    <x:row r="542">
      <x:c r="A542" s="245"/>
      <x:c r="B542" s="245"/>
      <x:c r="C542" s="245"/>
      <x:c r="D542" s="245"/>
      <x:c r="E542" s="245"/>
      <x:c r="F542" s="245"/>
      <x:c r="G542" s="245"/>
      <x:c r="H542" s="245"/>
      <x:c r="I542" s="245"/>
      <x:c r="J542" s="245"/>
      <x:c r="K542" s="245"/>
      <x:c r="L542" s="245"/>
      <x:c r="M542" s="245"/>
      <x:c r="N542" s="245"/>
      <x:c r="O542" s="245"/>
      <x:c r="P542" s="245"/>
      <x:c r="Q542" s="245"/>
      <x:c r="R542" s="245"/>
      <x:c r="S542" s="245"/>
      <x:c r="T542" s="245"/>
      <x:c r="U542" s="245"/>
      <x:c r="V542" s="245"/>
      <x:c r="W542" s="245"/>
      <x:c r="X542" s="245"/>
      <x:c r="Y542" s="245"/>
      <x:c r="Z542" s="245"/>
    </x:row>
    <x:row r="543">
      <x:c r="A543" s="245"/>
      <x:c r="B543" s="245"/>
      <x:c r="C543" s="245"/>
      <x:c r="D543" s="245"/>
      <x:c r="E543" s="245"/>
      <x:c r="F543" s="245"/>
      <x:c r="G543" s="245"/>
      <x:c r="H543" s="245"/>
      <x:c r="I543" s="245"/>
      <x:c r="J543" s="245"/>
      <x:c r="K543" s="245"/>
      <x:c r="L543" s="245"/>
      <x:c r="M543" s="245"/>
      <x:c r="N543" s="245"/>
      <x:c r="O543" s="245"/>
      <x:c r="P543" s="245"/>
      <x:c r="Q543" s="245"/>
      <x:c r="R543" s="245"/>
      <x:c r="S543" s="245"/>
      <x:c r="T543" s="245"/>
      <x:c r="U543" s="245"/>
      <x:c r="V543" s="245"/>
      <x:c r="W543" s="245"/>
      <x:c r="X543" s="245"/>
      <x:c r="Y543" s="245"/>
      <x:c r="Z543" s="245"/>
    </x:row>
    <x:row r="544">
      <x:c r="A544" s="245"/>
      <x:c r="B544" s="245"/>
      <x:c r="C544" s="245"/>
      <x:c r="D544" s="245"/>
      <x:c r="E544" s="245"/>
      <x:c r="F544" s="245"/>
      <x:c r="G544" s="245"/>
      <x:c r="H544" s="245"/>
      <x:c r="I544" s="245"/>
      <x:c r="J544" s="245"/>
      <x:c r="K544" s="245"/>
      <x:c r="L544" s="245"/>
      <x:c r="M544" s="245"/>
      <x:c r="N544" s="245"/>
      <x:c r="O544" s="245"/>
      <x:c r="P544" s="245"/>
      <x:c r="Q544" s="245"/>
      <x:c r="R544" s="245"/>
      <x:c r="S544" s="245"/>
      <x:c r="T544" s="245"/>
      <x:c r="U544" s="245"/>
      <x:c r="V544" s="245"/>
      <x:c r="W544" s="245"/>
      <x:c r="X544" s="245"/>
      <x:c r="Y544" s="245"/>
      <x:c r="Z544" s="245"/>
    </x:row>
    <x:row r="545">
      <x:c r="A545" s="245"/>
      <x:c r="B545" s="245"/>
      <x:c r="C545" s="245"/>
      <x:c r="D545" s="245"/>
      <x:c r="E545" s="245"/>
      <x:c r="F545" s="245"/>
      <x:c r="G545" s="245"/>
      <x:c r="H545" s="245"/>
      <x:c r="I545" s="245"/>
      <x:c r="J545" s="245"/>
      <x:c r="K545" s="245"/>
      <x:c r="L545" s="245"/>
      <x:c r="M545" s="245"/>
      <x:c r="N545" s="245"/>
      <x:c r="O545" s="245"/>
      <x:c r="P545" s="245"/>
      <x:c r="Q545" s="245"/>
      <x:c r="R545" s="245"/>
      <x:c r="S545" s="245"/>
      <x:c r="T545" s="245"/>
      <x:c r="U545" s="245"/>
      <x:c r="V545" s="245"/>
      <x:c r="W545" s="245"/>
      <x:c r="X545" s="245"/>
      <x:c r="Y545" s="245"/>
      <x:c r="Z545" s="245"/>
    </x:row>
    <x:row r="546">
      <x:c r="A546" s="245"/>
      <x:c r="B546" s="245"/>
      <x:c r="C546" s="245"/>
      <x:c r="D546" s="245"/>
      <x:c r="E546" s="245"/>
      <x:c r="F546" s="245"/>
      <x:c r="G546" s="245"/>
      <x:c r="H546" s="245"/>
      <x:c r="I546" s="245"/>
      <x:c r="J546" s="245"/>
      <x:c r="K546" s="245"/>
      <x:c r="L546" s="245"/>
      <x:c r="M546" s="245"/>
      <x:c r="N546" s="245"/>
      <x:c r="O546" s="245"/>
      <x:c r="P546" s="245"/>
      <x:c r="Q546" s="245"/>
      <x:c r="R546" s="245"/>
      <x:c r="S546" s="245"/>
      <x:c r="T546" s="245"/>
      <x:c r="U546" s="245"/>
      <x:c r="V546" s="245"/>
      <x:c r="W546" s="245"/>
      <x:c r="X546" s="245"/>
      <x:c r="Y546" s="245"/>
      <x:c r="Z546" s="245"/>
    </x:row>
    <x:row r="547">
      <x:c r="A547" s="245"/>
      <x:c r="B547" s="245"/>
      <x:c r="C547" s="245"/>
      <x:c r="D547" s="245"/>
      <x:c r="E547" s="245"/>
      <x:c r="F547" s="245"/>
      <x:c r="G547" s="245"/>
      <x:c r="H547" s="245"/>
      <x:c r="I547" s="245"/>
      <x:c r="J547" s="245"/>
      <x:c r="K547" s="245"/>
      <x:c r="L547" s="245"/>
      <x:c r="M547" s="245"/>
      <x:c r="N547" s="245"/>
      <x:c r="O547" s="245"/>
      <x:c r="P547" s="245"/>
      <x:c r="Q547" s="245"/>
      <x:c r="R547" s="245"/>
      <x:c r="S547" s="245"/>
      <x:c r="T547" s="245"/>
      <x:c r="U547" s="245"/>
      <x:c r="V547" s="245"/>
      <x:c r="W547" s="245"/>
      <x:c r="X547" s="245"/>
      <x:c r="Y547" s="245"/>
      <x:c r="Z547" s="245"/>
    </x:row>
    <x:row r="548">
      <x:c r="A548" s="245"/>
      <x:c r="B548" s="245"/>
      <x:c r="C548" s="245"/>
      <x:c r="D548" s="245"/>
      <x:c r="E548" s="245"/>
      <x:c r="F548" s="245"/>
      <x:c r="G548" s="245"/>
      <x:c r="H548" s="245"/>
      <x:c r="I548" s="245"/>
      <x:c r="J548" s="245"/>
      <x:c r="K548" s="245"/>
      <x:c r="L548" s="245"/>
      <x:c r="M548" s="245"/>
      <x:c r="N548" s="245"/>
      <x:c r="O548" s="245"/>
      <x:c r="P548" s="245"/>
      <x:c r="Q548" s="245"/>
      <x:c r="R548" s="245"/>
      <x:c r="S548" s="245"/>
      <x:c r="T548" s="245"/>
      <x:c r="U548" s="245"/>
      <x:c r="V548" s="245"/>
      <x:c r="W548" s="245"/>
      <x:c r="X548" s="245"/>
      <x:c r="Y548" s="245"/>
      <x:c r="Z548" s="245"/>
    </x:row>
    <x:row r="549">
      <x:c r="A549" s="245"/>
      <x:c r="B549" s="245"/>
      <x:c r="C549" s="245"/>
      <x:c r="D549" s="245"/>
      <x:c r="E549" s="245"/>
      <x:c r="F549" s="245"/>
      <x:c r="G549" s="245"/>
      <x:c r="H549" s="245"/>
      <x:c r="I549" s="245"/>
      <x:c r="J549" s="245"/>
      <x:c r="K549" s="245"/>
      <x:c r="L549" s="245"/>
      <x:c r="M549" s="245"/>
      <x:c r="N549" s="245"/>
      <x:c r="O549" s="245"/>
      <x:c r="P549" s="245"/>
      <x:c r="Q549" s="245"/>
      <x:c r="R549" s="245"/>
      <x:c r="S549" s="245"/>
      <x:c r="T549" s="245"/>
      <x:c r="U549" s="245"/>
      <x:c r="V549" s="245"/>
      <x:c r="W549" s="245"/>
      <x:c r="X549" s="245"/>
      <x:c r="Y549" s="245"/>
      <x:c r="Z549" s="245"/>
    </x:row>
    <x:row r="550">
      <x:c r="A550" s="245"/>
      <x:c r="B550" s="245"/>
      <x:c r="C550" s="245"/>
      <x:c r="D550" s="245"/>
      <x:c r="E550" s="245"/>
      <x:c r="F550" s="245"/>
      <x:c r="G550" s="245"/>
      <x:c r="H550" s="245"/>
      <x:c r="I550" s="245"/>
      <x:c r="J550" s="245"/>
      <x:c r="K550" s="245"/>
      <x:c r="L550" s="245"/>
      <x:c r="M550" s="245"/>
      <x:c r="N550" s="245"/>
      <x:c r="O550" s="245"/>
      <x:c r="P550" s="245"/>
      <x:c r="Q550" s="245"/>
      <x:c r="R550" s="245"/>
      <x:c r="S550" s="245"/>
      <x:c r="T550" s="245"/>
      <x:c r="U550" s="245"/>
      <x:c r="V550" s="245"/>
      <x:c r="W550" s="245"/>
      <x:c r="X550" s="245"/>
      <x:c r="Y550" s="245"/>
      <x:c r="Z550" s="245"/>
    </x:row>
    <x:row r="551">
      <x:c r="A551" s="245"/>
      <x:c r="B551" s="245"/>
      <x:c r="C551" s="245"/>
      <x:c r="D551" s="245"/>
      <x:c r="E551" s="245"/>
      <x:c r="F551" s="245"/>
      <x:c r="G551" s="245"/>
      <x:c r="H551" s="245"/>
      <x:c r="I551" s="245"/>
      <x:c r="J551" s="245"/>
      <x:c r="K551" s="245"/>
      <x:c r="L551" s="245"/>
      <x:c r="M551" s="245"/>
      <x:c r="N551" s="245"/>
      <x:c r="O551" s="245"/>
      <x:c r="P551" s="245"/>
      <x:c r="Q551" s="245"/>
      <x:c r="R551" s="245"/>
      <x:c r="S551" s="245"/>
      <x:c r="T551" s="245"/>
      <x:c r="U551" s="245"/>
      <x:c r="V551" s="245"/>
      <x:c r="W551" s="245"/>
      <x:c r="X551" s="245"/>
      <x:c r="Y551" s="245"/>
      <x:c r="Z551" s="245"/>
    </x:row>
    <x:row r="552">
      <x:c r="A552" s="245"/>
      <x:c r="B552" s="245"/>
      <x:c r="C552" s="245"/>
      <x:c r="D552" s="245"/>
      <x:c r="E552" s="245"/>
      <x:c r="F552" s="245"/>
      <x:c r="G552" s="245"/>
      <x:c r="H552" s="245"/>
      <x:c r="I552" s="245"/>
      <x:c r="J552" s="245"/>
      <x:c r="K552" s="245"/>
      <x:c r="L552" s="245"/>
      <x:c r="M552" s="245"/>
      <x:c r="N552" s="245"/>
      <x:c r="O552" s="245"/>
      <x:c r="P552" s="245"/>
      <x:c r="Q552" s="245"/>
      <x:c r="R552" s="245"/>
      <x:c r="S552" s="245"/>
      <x:c r="T552" s="245"/>
      <x:c r="U552" s="245"/>
      <x:c r="V552" s="245"/>
      <x:c r="W552" s="245"/>
      <x:c r="X552" s="245"/>
      <x:c r="Y552" s="245"/>
      <x:c r="Z552" s="245"/>
    </x:row>
    <x:row r="553">
      <x:c r="A553" s="245"/>
      <x:c r="B553" s="245"/>
      <x:c r="C553" s="245"/>
      <x:c r="D553" s="245"/>
      <x:c r="E553" s="245"/>
      <x:c r="F553" s="245"/>
      <x:c r="G553" s="245"/>
      <x:c r="H553" s="245"/>
      <x:c r="I553" s="245"/>
      <x:c r="J553" s="245"/>
      <x:c r="K553" s="245"/>
      <x:c r="L553" s="245"/>
      <x:c r="M553" s="245"/>
      <x:c r="N553" s="245"/>
      <x:c r="O553" s="245"/>
      <x:c r="P553" s="245"/>
      <x:c r="Q553" s="245"/>
      <x:c r="R553" s="245"/>
      <x:c r="S553" s="245"/>
      <x:c r="T553" s="245"/>
      <x:c r="U553" s="245"/>
      <x:c r="V553" s="245"/>
      <x:c r="W553" s="245"/>
      <x:c r="X553" s="245"/>
      <x:c r="Y553" s="245"/>
      <x:c r="Z553" s="245"/>
    </x:row>
    <x:row r="554">
      <x:c r="A554" s="245"/>
      <x:c r="B554" s="245"/>
      <x:c r="C554" s="245"/>
      <x:c r="D554" s="245"/>
      <x:c r="E554" s="245"/>
      <x:c r="F554" s="245"/>
      <x:c r="G554" s="245"/>
      <x:c r="H554" s="245"/>
      <x:c r="I554" s="245"/>
      <x:c r="J554" s="245"/>
      <x:c r="K554" s="245"/>
      <x:c r="L554" s="245"/>
      <x:c r="M554" s="245"/>
      <x:c r="N554" s="245"/>
      <x:c r="O554" s="245"/>
      <x:c r="P554" s="245"/>
      <x:c r="Q554" s="245"/>
      <x:c r="R554" s="245"/>
      <x:c r="S554" s="245"/>
      <x:c r="T554" s="245"/>
      <x:c r="U554" s="245"/>
      <x:c r="V554" s="245"/>
      <x:c r="W554" s="245"/>
      <x:c r="X554" s="245"/>
      <x:c r="Y554" s="245"/>
      <x:c r="Z554" s="245"/>
    </x:row>
    <x:row r="555">
      <x:c r="A555" s="245"/>
      <x:c r="B555" s="245"/>
      <x:c r="C555" s="245"/>
      <x:c r="D555" s="245"/>
      <x:c r="E555" s="245"/>
      <x:c r="F555" s="245"/>
      <x:c r="G555" s="245"/>
      <x:c r="H555" s="245"/>
      <x:c r="I555" s="245"/>
      <x:c r="J555" s="245"/>
      <x:c r="K555" s="245"/>
      <x:c r="L555" s="245"/>
      <x:c r="M555" s="245"/>
      <x:c r="N555" s="245"/>
      <x:c r="O555" s="245"/>
      <x:c r="P555" s="245"/>
      <x:c r="Q555" s="245"/>
      <x:c r="R555" s="245"/>
      <x:c r="S555" s="245"/>
      <x:c r="T555" s="245"/>
      <x:c r="U555" s="245"/>
      <x:c r="V555" s="245"/>
      <x:c r="W555" s="245"/>
      <x:c r="X555" s="245"/>
      <x:c r="Y555" s="245"/>
      <x:c r="Z555" s="245"/>
    </x:row>
    <x:row r="556">
      <x:c r="A556" s="245"/>
      <x:c r="B556" s="245"/>
      <x:c r="C556" s="245"/>
      <x:c r="D556" s="245"/>
      <x:c r="E556" s="245"/>
      <x:c r="F556" s="245"/>
      <x:c r="G556" s="245"/>
      <x:c r="H556" s="245"/>
      <x:c r="I556" s="245"/>
      <x:c r="J556" s="245"/>
      <x:c r="K556" s="245"/>
      <x:c r="L556" s="245"/>
      <x:c r="M556" s="245"/>
      <x:c r="N556" s="245"/>
      <x:c r="O556" s="245"/>
      <x:c r="P556" s="245"/>
      <x:c r="Q556" s="245"/>
      <x:c r="R556" s="245"/>
      <x:c r="S556" s="245"/>
      <x:c r="T556" s="245"/>
      <x:c r="U556" s="245"/>
      <x:c r="V556" s="245"/>
      <x:c r="W556" s="245"/>
      <x:c r="X556" s="245"/>
      <x:c r="Y556" s="245"/>
      <x:c r="Z556" s="245"/>
    </x:row>
    <x:row r="557">
      <x:c r="A557" s="245"/>
      <x:c r="B557" s="245"/>
      <x:c r="C557" s="245"/>
      <x:c r="D557" s="245"/>
      <x:c r="E557" s="245"/>
      <x:c r="F557" s="245"/>
      <x:c r="G557" s="245"/>
      <x:c r="H557" s="245"/>
      <x:c r="I557" s="245"/>
      <x:c r="J557" s="245"/>
      <x:c r="K557" s="245"/>
      <x:c r="L557" s="245"/>
      <x:c r="M557" s="245"/>
      <x:c r="N557" s="245"/>
      <x:c r="O557" s="245"/>
      <x:c r="P557" s="245"/>
      <x:c r="Q557" s="245"/>
      <x:c r="R557" s="245"/>
      <x:c r="S557" s="245"/>
      <x:c r="T557" s="245"/>
      <x:c r="U557" s="245"/>
      <x:c r="V557" s="245"/>
      <x:c r="W557" s="245"/>
      <x:c r="X557" s="245"/>
      <x:c r="Y557" s="245"/>
      <x:c r="Z557" s="245"/>
    </x:row>
    <x:row r="558">
      <x:c r="A558" s="245"/>
      <x:c r="B558" s="245"/>
      <x:c r="C558" s="245"/>
      <x:c r="D558" s="245"/>
      <x:c r="E558" s="245"/>
      <x:c r="F558" s="245"/>
      <x:c r="G558" s="245"/>
      <x:c r="H558" s="245"/>
      <x:c r="I558" s="245"/>
      <x:c r="J558" s="245"/>
      <x:c r="K558" s="245"/>
      <x:c r="L558" s="245"/>
      <x:c r="M558" s="245"/>
      <x:c r="N558" s="245"/>
      <x:c r="O558" s="245"/>
      <x:c r="P558" s="245"/>
      <x:c r="Q558" s="245"/>
      <x:c r="R558" s="245"/>
      <x:c r="S558" s="245"/>
      <x:c r="T558" s="245"/>
      <x:c r="U558" s="245"/>
      <x:c r="V558" s="245"/>
      <x:c r="W558" s="245"/>
      <x:c r="X558" s="245"/>
      <x:c r="Y558" s="245"/>
      <x:c r="Z558" s="245"/>
    </x:row>
    <x:row r="559">
      <x:c r="A559" s="245"/>
      <x:c r="B559" s="245"/>
      <x:c r="C559" s="245"/>
      <x:c r="D559" s="245"/>
      <x:c r="E559" s="245"/>
      <x:c r="F559" s="245"/>
      <x:c r="G559" s="245"/>
      <x:c r="H559" s="245"/>
      <x:c r="I559" s="245"/>
      <x:c r="J559" s="245"/>
      <x:c r="K559" s="245"/>
      <x:c r="L559" s="245"/>
      <x:c r="M559" s="245"/>
      <x:c r="N559" s="245"/>
      <x:c r="O559" s="245"/>
      <x:c r="P559" s="245"/>
      <x:c r="Q559" s="245"/>
      <x:c r="R559" s="245"/>
      <x:c r="S559" s="245"/>
      <x:c r="T559" s="245"/>
      <x:c r="U559" s="245"/>
      <x:c r="V559" s="245"/>
      <x:c r="W559" s="245"/>
      <x:c r="X559" s="245"/>
      <x:c r="Y559" s="245"/>
      <x:c r="Z559" s="245"/>
    </x:row>
    <x:row r="560">
      <x:c r="A560" s="245"/>
      <x:c r="B560" s="245"/>
      <x:c r="C560" s="245"/>
      <x:c r="D560" s="245"/>
      <x:c r="E560" s="245"/>
      <x:c r="F560" s="245"/>
      <x:c r="G560" s="245"/>
      <x:c r="H560" s="245"/>
      <x:c r="I560" s="245"/>
      <x:c r="J560" s="245"/>
      <x:c r="K560" s="245"/>
      <x:c r="L560" s="245"/>
      <x:c r="M560" s="245"/>
      <x:c r="N560" s="245"/>
      <x:c r="O560" s="245"/>
      <x:c r="P560" s="245"/>
      <x:c r="Q560" s="245"/>
      <x:c r="R560" s="245"/>
      <x:c r="S560" s="245"/>
      <x:c r="T560" s="245"/>
      <x:c r="U560" s="245"/>
      <x:c r="V560" s="245"/>
      <x:c r="W560" s="245"/>
      <x:c r="X560" s="245"/>
      <x:c r="Y560" s="245"/>
      <x:c r="Z560" s="245"/>
    </x:row>
    <x:row r="561">
      <x:c r="A561" s="245"/>
      <x:c r="B561" s="245"/>
      <x:c r="C561" s="245"/>
      <x:c r="D561" s="245"/>
      <x:c r="E561" s="245"/>
      <x:c r="F561" s="245"/>
      <x:c r="G561" s="245"/>
      <x:c r="H561" s="245"/>
      <x:c r="I561" s="245"/>
      <x:c r="J561" s="245"/>
      <x:c r="K561" s="245"/>
      <x:c r="L561" s="245"/>
      <x:c r="M561" s="245"/>
      <x:c r="N561" s="245"/>
      <x:c r="O561" s="245"/>
      <x:c r="P561" s="245"/>
      <x:c r="Q561" s="245"/>
      <x:c r="R561" s="245"/>
      <x:c r="S561" s="245"/>
      <x:c r="T561" s="245"/>
      <x:c r="U561" s="245"/>
      <x:c r="V561" s="245"/>
      <x:c r="W561" s="245"/>
      <x:c r="X561" s="245"/>
      <x:c r="Y561" s="245"/>
      <x:c r="Z561" s="245"/>
    </x:row>
    <x:row r="562">
      <x:c r="A562" s="245"/>
      <x:c r="B562" s="245"/>
      <x:c r="C562" s="245"/>
      <x:c r="D562" s="245"/>
      <x:c r="E562" s="245"/>
      <x:c r="F562" s="245"/>
      <x:c r="G562" s="245"/>
      <x:c r="H562" s="245"/>
      <x:c r="I562" s="245"/>
      <x:c r="J562" s="245"/>
      <x:c r="K562" s="245"/>
      <x:c r="L562" s="245"/>
      <x:c r="M562" s="245"/>
      <x:c r="N562" s="245"/>
      <x:c r="O562" s="245"/>
      <x:c r="P562" s="245"/>
      <x:c r="Q562" s="245"/>
      <x:c r="R562" s="245"/>
      <x:c r="S562" s="245"/>
      <x:c r="T562" s="245"/>
      <x:c r="U562" s="245"/>
      <x:c r="V562" s="245"/>
      <x:c r="W562" s="245"/>
      <x:c r="X562" s="245"/>
      <x:c r="Y562" s="245"/>
      <x:c r="Z562" s="245"/>
    </x:row>
    <x:row r="563">
      <x:c r="A563" s="245"/>
      <x:c r="B563" s="245"/>
      <x:c r="C563" s="245"/>
      <x:c r="D563" s="245"/>
      <x:c r="E563" s="245"/>
      <x:c r="F563" s="245"/>
      <x:c r="G563" s="245"/>
      <x:c r="H563" s="245"/>
      <x:c r="I563" s="245"/>
      <x:c r="J563" s="245"/>
      <x:c r="K563" s="245"/>
      <x:c r="L563" s="245"/>
      <x:c r="M563" s="245"/>
      <x:c r="N563" s="245"/>
      <x:c r="O563" s="245"/>
      <x:c r="P563" s="245"/>
      <x:c r="Q563" s="245"/>
      <x:c r="R563" s="245"/>
      <x:c r="S563" s="245"/>
      <x:c r="T563" s="245"/>
      <x:c r="U563" s="245"/>
      <x:c r="V563" s="245"/>
      <x:c r="W563" s="245"/>
      <x:c r="X563" s="245"/>
      <x:c r="Y563" s="245"/>
      <x:c r="Z563" s="245"/>
    </x:row>
    <x:row r="564">
      <x:c r="A564" s="245"/>
      <x:c r="B564" s="245"/>
      <x:c r="C564" s="245"/>
      <x:c r="D564" s="245"/>
      <x:c r="E564" s="245"/>
      <x:c r="F564" s="245"/>
      <x:c r="G564" s="245"/>
      <x:c r="H564" s="245"/>
      <x:c r="I564" s="245"/>
      <x:c r="J564" s="245"/>
      <x:c r="K564" s="245"/>
      <x:c r="L564" s="245"/>
      <x:c r="M564" s="245"/>
      <x:c r="N564" s="245"/>
      <x:c r="O564" s="245"/>
      <x:c r="P564" s="245"/>
      <x:c r="Q564" s="245"/>
      <x:c r="R564" s="245"/>
      <x:c r="S564" s="245"/>
      <x:c r="T564" s="245"/>
      <x:c r="U564" s="245"/>
      <x:c r="V564" s="245"/>
      <x:c r="W564" s="245"/>
      <x:c r="X564" s="245"/>
      <x:c r="Y564" s="245"/>
      <x:c r="Z564" s="245"/>
    </x:row>
    <x:row r="565">
      <x:c r="A565" s="245"/>
      <x:c r="B565" s="245"/>
      <x:c r="C565" s="245"/>
      <x:c r="D565" s="245"/>
      <x:c r="E565" s="245"/>
      <x:c r="F565" s="245"/>
      <x:c r="G565" s="245"/>
      <x:c r="H565" s="245"/>
      <x:c r="I565" s="245"/>
      <x:c r="J565" s="245"/>
      <x:c r="K565" s="245"/>
      <x:c r="L565" s="245"/>
      <x:c r="M565" s="245"/>
      <x:c r="N565" s="245"/>
      <x:c r="O565" s="245"/>
      <x:c r="P565" s="245"/>
      <x:c r="Q565" s="245"/>
      <x:c r="R565" s="245"/>
      <x:c r="S565" s="245"/>
      <x:c r="T565" s="245"/>
      <x:c r="U565" s="245"/>
      <x:c r="V565" s="245"/>
      <x:c r="W565" s="245"/>
      <x:c r="X565" s="245"/>
      <x:c r="Y565" s="245"/>
      <x:c r="Z565" s="245"/>
    </x:row>
    <x:row r="566">
      <x:c r="A566" s="245"/>
      <x:c r="B566" s="245"/>
      <x:c r="C566" s="245"/>
      <x:c r="D566" s="245"/>
      <x:c r="E566" s="245"/>
      <x:c r="F566" s="245"/>
      <x:c r="G566" s="245"/>
      <x:c r="H566" s="245"/>
      <x:c r="I566" s="245"/>
      <x:c r="J566" s="245"/>
      <x:c r="K566" s="245"/>
      <x:c r="L566" s="245"/>
      <x:c r="M566" s="245"/>
      <x:c r="N566" s="245"/>
      <x:c r="O566" s="245"/>
      <x:c r="P566" s="245"/>
      <x:c r="Q566" s="245"/>
      <x:c r="R566" s="245"/>
      <x:c r="S566" s="245"/>
      <x:c r="T566" s="245"/>
      <x:c r="U566" s="245"/>
      <x:c r="V566" s="245"/>
      <x:c r="W566" s="245"/>
      <x:c r="X566" s="245"/>
      <x:c r="Y566" s="245"/>
      <x:c r="Z566" s="245"/>
    </x:row>
    <x:row r="567">
      <x:c r="A567" s="245"/>
      <x:c r="B567" s="245"/>
      <x:c r="C567" s="245"/>
      <x:c r="D567" s="245"/>
      <x:c r="E567" s="245"/>
      <x:c r="F567" s="245"/>
      <x:c r="G567" s="245"/>
      <x:c r="H567" s="245"/>
      <x:c r="I567" s="245"/>
      <x:c r="J567" s="245"/>
      <x:c r="K567" s="245"/>
      <x:c r="L567" s="245"/>
      <x:c r="M567" s="245"/>
      <x:c r="N567" s="245"/>
      <x:c r="O567" s="245"/>
      <x:c r="P567" s="245"/>
      <x:c r="Q567" s="245"/>
      <x:c r="R567" s="245"/>
      <x:c r="S567" s="245"/>
      <x:c r="T567" s="245"/>
      <x:c r="U567" s="245"/>
      <x:c r="V567" s="245"/>
      <x:c r="W567" s="245"/>
      <x:c r="X567" s="245"/>
      <x:c r="Y567" s="245"/>
      <x:c r="Z567" s="245"/>
    </x:row>
    <x:row r="568">
      <x:c r="A568" s="245"/>
      <x:c r="B568" s="245"/>
      <x:c r="C568" s="245"/>
      <x:c r="D568" s="245"/>
      <x:c r="E568" s="245"/>
      <x:c r="F568" s="245"/>
      <x:c r="G568" s="245"/>
      <x:c r="H568" s="245"/>
      <x:c r="I568" s="245"/>
      <x:c r="J568" s="245"/>
      <x:c r="K568" s="245"/>
      <x:c r="L568" s="245"/>
      <x:c r="M568" s="245"/>
      <x:c r="N568" s="245"/>
      <x:c r="O568" s="245"/>
      <x:c r="P568" s="245"/>
      <x:c r="Q568" s="245"/>
      <x:c r="R568" s="245"/>
      <x:c r="S568" s="245"/>
      <x:c r="T568" s="245"/>
      <x:c r="U568" s="245"/>
      <x:c r="V568" s="245"/>
      <x:c r="W568" s="245"/>
      <x:c r="X568" s="245"/>
      <x:c r="Y568" s="245"/>
      <x:c r="Z568" s="245"/>
    </x:row>
    <x:row r="569">
      <x:c r="A569" s="245"/>
      <x:c r="B569" s="245"/>
      <x:c r="C569" s="245"/>
      <x:c r="D569" s="245"/>
      <x:c r="E569" s="245"/>
      <x:c r="F569" s="245"/>
      <x:c r="G569" s="245"/>
      <x:c r="H569" s="245"/>
      <x:c r="I569" s="245"/>
      <x:c r="J569" s="245"/>
      <x:c r="K569" s="245"/>
      <x:c r="L569" s="245"/>
      <x:c r="M569" s="245"/>
      <x:c r="N569" s="245"/>
      <x:c r="O569" s="245"/>
      <x:c r="P569" s="245"/>
      <x:c r="Q569" s="245"/>
      <x:c r="R569" s="245"/>
      <x:c r="S569" s="245"/>
      <x:c r="T569" s="245"/>
      <x:c r="U569" s="245"/>
      <x:c r="V569" s="245"/>
      <x:c r="W569" s="245"/>
      <x:c r="X569" s="245"/>
      <x:c r="Y569" s="245"/>
      <x:c r="Z569" s="245"/>
    </x:row>
    <x:row r="570">
      <x:c r="A570" s="245"/>
      <x:c r="B570" s="245"/>
      <x:c r="C570" s="245"/>
      <x:c r="D570" s="245"/>
      <x:c r="E570" s="245"/>
      <x:c r="F570" s="245"/>
      <x:c r="G570" s="245"/>
      <x:c r="H570" s="245"/>
      <x:c r="I570" s="245"/>
      <x:c r="J570" s="245"/>
      <x:c r="K570" s="245"/>
      <x:c r="L570" s="245"/>
      <x:c r="M570" s="245"/>
      <x:c r="N570" s="245"/>
      <x:c r="O570" s="245"/>
      <x:c r="P570" s="245"/>
      <x:c r="Q570" s="245"/>
      <x:c r="R570" s="245"/>
      <x:c r="S570" s="245"/>
      <x:c r="T570" s="245"/>
      <x:c r="U570" s="245"/>
      <x:c r="V570" s="245"/>
      <x:c r="W570" s="245"/>
      <x:c r="X570" s="245"/>
      <x:c r="Y570" s="245"/>
      <x:c r="Z570" s="245"/>
    </x:row>
    <x:row r="571">
      <x:c r="A571" s="245"/>
      <x:c r="B571" s="245"/>
      <x:c r="C571" s="245"/>
      <x:c r="D571" s="245"/>
      <x:c r="E571" s="245"/>
      <x:c r="F571" s="245"/>
      <x:c r="G571" s="245"/>
      <x:c r="H571" s="245"/>
      <x:c r="I571" s="245"/>
      <x:c r="J571" s="245"/>
      <x:c r="K571" s="245"/>
      <x:c r="L571" s="245"/>
      <x:c r="M571" s="245"/>
      <x:c r="N571" s="245"/>
      <x:c r="O571" s="245"/>
      <x:c r="P571" s="245"/>
      <x:c r="Q571" s="245"/>
      <x:c r="R571" s="245"/>
      <x:c r="S571" s="245"/>
      <x:c r="T571" s="245"/>
      <x:c r="U571" s="245"/>
      <x:c r="V571" s="245"/>
      <x:c r="W571" s="245"/>
      <x:c r="X571" s="245"/>
      <x:c r="Y571" s="245"/>
      <x:c r="Z571" s="245"/>
    </x:row>
    <x:row r="572">
      <x:c r="A572" s="245"/>
      <x:c r="B572" s="245"/>
      <x:c r="C572" s="245"/>
      <x:c r="D572" s="245"/>
      <x:c r="E572" s="245"/>
      <x:c r="F572" s="245"/>
      <x:c r="G572" s="245"/>
      <x:c r="H572" s="245"/>
      <x:c r="I572" s="245"/>
      <x:c r="J572" s="245"/>
      <x:c r="K572" s="245"/>
      <x:c r="L572" s="245"/>
      <x:c r="M572" s="245"/>
      <x:c r="N572" s="245"/>
      <x:c r="O572" s="245"/>
      <x:c r="P572" s="245"/>
      <x:c r="Q572" s="245"/>
      <x:c r="R572" s="245"/>
      <x:c r="S572" s="245"/>
      <x:c r="T572" s="245"/>
      <x:c r="U572" s="245"/>
      <x:c r="V572" s="245"/>
      <x:c r="W572" s="245"/>
      <x:c r="X572" s="245"/>
      <x:c r="Y572" s="245"/>
      <x:c r="Z572" s="245"/>
    </x:row>
    <x:row r="573">
      <x:c r="A573" s="245"/>
      <x:c r="B573" s="245"/>
      <x:c r="C573" s="245"/>
      <x:c r="D573" s="245"/>
      <x:c r="E573" s="245"/>
      <x:c r="F573" s="245"/>
      <x:c r="G573" s="245"/>
      <x:c r="H573" s="245"/>
      <x:c r="I573" s="245"/>
      <x:c r="J573" s="245"/>
      <x:c r="K573" s="245"/>
      <x:c r="L573" s="245"/>
      <x:c r="M573" s="245"/>
      <x:c r="N573" s="245"/>
      <x:c r="O573" s="245"/>
      <x:c r="P573" s="245"/>
      <x:c r="Q573" s="245"/>
      <x:c r="R573" s="245"/>
      <x:c r="S573" s="245"/>
      <x:c r="T573" s="245"/>
      <x:c r="U573" s="245"/>
      <x:c r="V573" s="245"/>
      <x:c r="W573" s="245"/>
      <x:c r="X573" s="245"/>
      <x:c r="Y573" s="245"/>
      <x:c r="Z573" s="245"/>
    </x:row>
    <x:row r="574">
      <x:c r="A574" s="245"/>
      <x:c r="B574" s="245"/>
      <x:c r="C574" s="245"/>
      <x:c r="D574" s="245"/>
      <x:c r="E574" s="245"/>
      <x:c r="F574" s="245"/>
      <x:c r="G574" s="245"/>
      <x:c r="H574" s="245"/>
      <x:c r="I574" s="245"/>
      <x:c r="J574" s="245"/>
      <x:c r="K574" s="245"/>
      <x:c r="L574" s="245"/>
      <x:c r="M574" s="245"/>
      <x:c r="N574" s="245"/>
      <x:c r="O574" s="245"/>
      <x:c r="P574" s="245"/>
      <x:c r="Q574" s="245"/>
      <x:c r="R574" s="245"/>
      <x:c r="S574" s="245"/>
      <x:c r="T574" s="245"/>
      <x:c r="U574" s="245"/>
      <x:c r="V574" s="245"/>
      <x:c r="W574" s="245"/>
      <x:c r="X574" s="245"/>
      <x:c r="Y574" s="245"/>
      <x:c r="Z574" s="245"/>
    </x:row>
    <x:row r="575">
      <x:c r="A575" s="245"/>
      <x:c r="B575" s="245"/>
      <x:c r="C575" s="245"/>
      <x:c r="D575" s="245"/>
      <x:c r="E575" s="245"/>
      <x:c r="F575" s="245"/>
      <x:c r="G575" s="245"/>
      <x:c r="H575" s="245"/>
      <x:c r="I575" s="245"/>
      <x:c r="J575" s="245"/>
      <x:c r="K575" s="245"/>
      <x:c r="L575" s="245"/>
      <x:c r="M575" s="245"/>
      <x:c r="N575" s="245"/>
      <x:c r="O575" s="245"/>
      <x:c r="P575" s="245"/>
      <x:c r="Q575" s="245"/>
      <x:c r="R575" s="245"/>
      <x:c r="S575" s="245"/>
      <x:c r="T575" s="245"/>
      <x:c r="U575" s="245"/>
      <x:c r="V575" s="245"/>
      <x:c r="W575" s="245"/>
      <x:c r="X575" s="245"/>
      <x:c r="Y575" s="245"/>
      <x:c r="Z575" s="245"/>
    </x:row>
    <x:row r="576">
      <x:c r="A576" s="245"/>
      <x:c r="B576" s="245"/>
      <x:c r="C576" s="245"/>
      <x:c r="D576" s="245"/>
      <x:c r="E576" s="245"/>
      <x:c r="F576" s="245"/>
      <x:c r="G576" s="245"/>
      <x:c r="H576" s="245"/>
      <x:c r="I576" s="245"/>
      <x:c r="J576" s="245"/>
      <x:c r="K576" s="245"/>
      <x:c r="L576" s="245"/>
      <x:c r="M576" s="245"/>
      <x:c r="N576" s="245"/>
      <x:c r="O576" s="245"/>
      <x:c r="P576" s="245"/>
      <x:c r="Q576" s="245"/>
      <x:c r="R576" s="245"/>
      <x:c r="S576" s="245"/>
      <x:c r="T576" s="245"/>
      <x:c r="U576" s="245"/>
      <x:c r="V576" s="245"/>
      <x:c r="W576" s="245"/>
      <x:c r="X576" s="245"/>
      <x:c r="Y576" s="245"/>
      <x:c r="Z576" s="245"/>
    </x:row>
    <x:row r="577">
      <x:c r="A577" s="245"/>
      <x:c r="B577" s="245"/>
      <x:c r="C577" s="245"/>
      <x:c r="D577" s="245"/>
      <x:c r="E577" s="245"/>
      <x:c r="F577" s="245"/>
      <x:c r="G577" s="245"/>
      <x:c r="H577" s="245"/>
      <x:c r="I577" s="245"/>
      <x:c r="J577" s="245"/>
      <x:c r="K577" s="245"/>
      <x:c r="L577" s="245"/>
      <x:c r="M577" s="245"/>
      <x:c r="N577" s="245"/>
      <x:c r="O577" s="245"/>
      <x:c r="P577" s="245"/>
      <x:c r="Q577" s="245"/>
      <x:c r="R577" s="245"/>
      <x:c r="S577" s="245"/>
      <x:c r="T577" s="245"/>
      <x:c r="U577" s="245"/>
      <x:c r="V577" s="245"/>
      <x:c r="W577" s="245"/>
      <x:c r="X577" s="245"/>
      <x:c r="Y577" s="245"/>
      <x:c r="Z577" s="245"/>
    </x:row>
    <x:row r="578">
      <x:c r="A578" s="245"/>
      <x:c r="B578" s="245"/>
      <x:c r="C578" s="245"/>
      <x:c r="D578" s="245"/>
      <x:c r="E578" s="245"/>
      <x:c r="F578" s="245"/>
      <x:c r="G578" s="245"/>
      <x:c r="H578" s="245"/>
      <x:c r="I578" s="245"/>
      <x:c r="J578" s="245"/>
      <x:c r="K578" s="245"/>
      <x:c r="L578" s="245"/>
      <x:c r="M578" s="245"/>
      <x:c r="N578" s="245"/>
      <x:c r="O578" s="245"/>
      <x:c r="P578" s="245"/>
      <x:c r="Q578" s="245"/>
      <x:c r="R578" s="245"/>
      <x:c r="S578" s="245"/>
      <x:c r="T578" s="245"/>
      <x:c r="U578" s="245"/>
      <x:c r="V578" s="245"/>
      <x:c r="W578" s="245"/>
      <x:c r="X578" s="245"/>
      <x:c r="Y578" s="245"/>
      <x:c r="Z578" s="245"/>
    </x:row>
    <x:row r="579">
      <x:c r="A579" s="245"/>
      <x:c r="B579" s="245"/>
      <x:c r="C579" s="245"/>
      <x:c r="D579" s="245"/>
      <x:c r="E579" s="245"/>
      <x:c r="F579" s="245"/>
      <x:c r="G579" s="245"/>
      <x:c r="H579" s="245"/>
      <x:c r="I579" s="245"/>
      <x:c r="J579" s="245"/>
      <x:c r="K579" s="245"/>
      <x:c r="L579" s="245"/>
      <x:c r="M579" s="245"/>
      <x:c r="N579" s="245"/>
      <x:c r="O579" s="245"/>
      <x:c r="P579" s="245"/>
      <x:c r="Q579" s="245"/>
      <x:c r="R579" s="245"/>
      <x:c r="S579" s="245"/>
      <x:c r="T579" s="245"/>
      <x:c r="U579" s="245"/>
      <x:c r="V579" s="245"/>
      <x:c r="W579" s="245"/>
      <x:c r="X579" s="245"/>
      <x:c r="Y579" s="245"/>
      <x:c r="Z579" s="245"/>
    </x:row>
    <x:row r="580">
      <x:c r="A580" s="245"/>
      <x:c r="B580" s="245"/>
      <x:c r="C580" s="245"/>
      <x:c r="D580" s="245"/>
      <x:c r="E580" s="245"/>
      <x:c r="F580" s="245"/>
      <x:c r="G580" s="245"/>
      <x:c r="H580" s="245"/>
      <x:c r="I580" s="245"/>
      <x:c r="J580" s="245"/>
      <x:c r="K580" s="245"/>
      <x:c r="L580" s="245"/>
      <x:c r="M580" s="245"/>
      <x:c r="N580" s="245"/>
      <x:c r="O580" s="245"/>
      <x:c r="P580" s="245"/>
      <x:c r="Q580" s="245"/>
      <x:c r="R580" s="245"/>
      <x:c r="S580" s="245"/>
      <x:c r="T580" s="245"/>
      <x:c r="U580" s="245"/>
      <x:c r="V580" s="245"/>
      <x:c r="W580" s="245"/>
      <x:c r="X580" s="245"/>
      <x:c r="Y580" s="245"/>
      <x:c r="Z580" s="245"/>
    </x:row>
    <x:row r="581">
      <x:c r="A581" s="245"/>
      <x:c r="B581" s="245"/>
      <x:c r="C581" s="245"/>
      <x:c r="D581" s="245"/>
      <x:c r="E581" s="245"/>
      <x:c r="F581" s="245"/>
      <x:c r="G581" s="245"/>
      <x:c r="H581" s="245"/>
      <x:c r="I581" s="245"/>
      <x:c r="J581" s="245"/>
      <x:c r="K581" s="245"/>
      <x:c r="L581" s="245"/>
      <x:c r="M581" s="245"/>
      <x:c r="N581" s="245"/>
      <x:c r="O581" s="245"/>
      <x:c r="P581" s="245"/>
      <x:c r="Q581" s="245"/>
      <x:c r="R581" s="245"/>
      <x:c r="S581" s="245"/>
      <x:c r="T581" s="245"/>
      <x:c r="U581" s="245"/>
      <x:c r="V581" s="245"/>
      <x:c r="W581" s="245"/>
      <x:c r="X581" s="245"/>
      <x:c r="Y581" s="245"/>
      <x:c r="Z581" s="245"/>
    </x:row>
    <x:row r="582">
      <x:c r="A582" s="245"/>
      <x:c r="B582" s="245"/>
      <x:c r="C582" s="245"/>
      <x:c r="D582" s="245"/>
      <x:c r="E582" s="245"/>
      <x:c r="F582" s="245"/>
      <x:c r="G582" s="245"/>
      <x:c r="H582" s="245"/>
      <x:c r="I582" s="245"/>
      <x:c r="J582" s="245"/>
      <x:c r="K582" s="245"/>
      <x:c r="L582" s="245"/>
      <x:c r="M582" s="245"/>
      <x:c r="N582" s="245"/>
      <x:c r="O582" s="245"/>
      <x:c r="P582" s="245"/>
      <x:c r="Q582" s="245"/>
      <x:c r="R582" s="245"/>
      <x:c r="S582" s="245"/>
      <x:c r="T582" s="245"/>
      <x:c r="U582" s="245"/>
      <x:c r="V582" s="245"/>
      <x:c r="W582" s="245"/>
      <x:c r="X582" s="245"/>
      <x:c r="Y582" s="245"/>
      <x:c r="Z582" s="245"/>
    </x:row>
    <x:row r="583">
      <x:c r="A583" s="245"/>
      <x:c r="B583" s="245"/>
      <x:c r="C583" s="245"/>
      <x:c r="D583" s="245"/>
      <x:c r="E583" s="245"/>
      <x:c r="F583" s="245"/>
      <x:c r="G583" s="245"/>
      <x:c r="H583" s="245"/>
      <x:c r="I583" s="245"/>
      <x:c r="J583" s="245"/>
      <x:c r="K583" s="245"/>
      <x:c r="L583" s="245"/>
      <x:c r="M583" s="245"/>
      <x:c r="N583" s="245"/>
      <x:c r="O583" s="245"/>
      <x:c r="P583" s="245"/>
      <x:c r="Q583" s="245"/>
      <x:c r="R583" s="245"/>
      <x:c r="S583" s="245"/>
      <x:c r="T583" s="245"/>
      <x:c r="U583" s="245"/>
      <x:c r="V583" s="245"/>
      <x:c r="W583" s="245"/>
      <x:c r="X583" s="245"/>
      <x:c r="Y583" s="245"/>
      <x:c r="Z583" s="245"/>
    </x:row>
    <x:row r="584">
      <x:c r="A584" s="245"/>
      <x:c r="B584" s="245"/>
      <x:c r="C584" s="245"/>
      <x:c r="D584" s="245"/>
      <x:c r="E584" s="245"/>
      <x:c r="F584" s="245"/>
      <x:c r="G584" s="245"/>
      <x:c r="H584" s="245"/>
      <x:c r="I584" s="245"/>
      <x:c r="J584" s="245"/>
      <x:c r="K584" s="245"/>
      <x:c r="L584" s="245"/>
      <x:c r="M584" s="245"/>
      <x:c r="N584" s="245"/>
      <x:c r="O584" s="245"/>
      <x:c r="P584" s="245"/>
      <x:c r="Q584" s="245"/>
      <x:c r="R584" s="245"/>
      <x:c r="S584" s="245"/>
      <x:c r="T584" s="245"/>
      <x:c r="U584" s="245"/>
      <x:c r="V584" s="245"/>
      <x:c r="W584" s="245"/>
      <x:c r="X584" s="245"/>
      <x:c r="Y584" s="245"/>
      <x:c r="Z584" s="245"/>
    </x:row>
    <x:row r="585">
      <x:c r="A585" s="245"/>
      <x:c r="B585" s="245"/>
      <x:c r="C585" s="245"/>
      <x:c r="D585" s="245"/>
      <x:c r="E585" s="245"/>
      <x:c r="F585" s="245"/>
      <x:c r="G585" s="245"/>
      <x:c r="H585" s="245"/>
      <x:c r="I585" s="245"/>
      <x:c r="J585" s="245"/>
      <x:c r="K585" s="245"/>
      <x:c r="L585" s="245"/>
      <x:c r="M585" s="245"/>
      <x:c r="N585" s="245"/>
      <x:c r="O585" s="245"/>
      <x:c r="P585" s="245"/>
      <x:c r="Q585" s="245"/>
      <x:c r="R585" s="245"/>
      <x:c r="S585" s="245"/>
      <x:c r="T585" s="245"/>
      <x:c r="U585" s="245"/>
      <x:c r="V585" s="245"/>
      <x:c r="W585" s="245"/>
      <x:c r="X585" s="245"/>
      <x:c r="Y585" s="245"/>
      <x:c r="Z585" s="245"/>
    </x:row>
    <x:row r="586">
      <x:c r="A586" s="245"/>
      <x:c r="B586" s="245"/>
      <x:c r="C586" s="245"/>
      <x:c r="D586" s="245"/>
      <x:c r="E586" s="245"/>
      <x:c r="F586" s="245"/>
      <x:c r="G586" s="245"/>
      <x:c r="H586" s="245"/>
      <x:c r="I586" s="245"/>
      <x:c r="J586" s="245"/>
      <x:c r="K586" s="245"/>
      <x:c r="L586" s="245"/>
      <x:c r="M586" s="245"/>
      <x:c r="N586" s="245"/>
      <x:c r="O586" s="245"/>
      <x:c r="P586" s="245"/>
      <x:c r="Q586" s="245"/>
      <x:c r="R586" s="245"/>
      <x:c r="S586" s="245"/>
      <x:c r="T586" s="245"/>
      <x:c r="U586" s="245"/>
      <x:c r="V586" s="245"/>
      <x:c r="W586" s="245"/>
      <x:c r="X586" s="245"/>
      <x:c r="Y586" s="245"/>
      <x:c r="Z586" s="245"/>
    </x:row>
    <x:row r="587">
      <x:c r="A587" s="245"/>
      <x:c r="B587" s="245"/>
      <x:c r="C587" s="245"/>
      <x:c r="D587" s="245"/>
      <x:c r="E587" s="245"/>
      <x:c r="F587" s="245"/>
      <x:c r="G587" s="245"/>
      <x:c r="H587" s="245"/>
      <x:c r="I587" s="245"/>
      <x:c r="J587" s="245"/>
      <x:c r="K587" s="245"/>
      <x:c r="L587" s="245"/>
      <x:c r="M587" s="245"/>
      <x:c r="N587" s="245"/>
      <x:c r="O587" s="245"/>
      <x:c r="P587" s="245"/>
      <x:c r="Q587" s="245"/>
      <x:c r="R587" s="245"/>
      <x:c r="S587" s="245"/>
      <x:c r="T587" s="245"/>
      <x:c r="U587" s="245"/>
      <x:c r="V587" s="245"/>
      <x:c r="W587" s="245"/>
      <x:c r="X587" s="245"/>
      <x:c r="Y587" s="245"/>
      <x:c r="Z587" s="245"/>
    </x:row>
    <x:row r="588">
      <x:c r="A588" s="245"/>
      <x:c r="B588" s="245"/>
      <x:c r="C588" s="245"/>
      <x:c r="D588" s="245"/>
      <x:c r="E588" s="245"/>
      <x:c r="F588" s="245"/>
      <x:c r="G588" s="245"/>
      <x:c r="H588" s="245"/>
      <x:c r="I588" s="245"/>
      <x:c r="J588" s="245"/>
      <x:c r="K588" s="245"/>
      <x:c r="L588" s="245"/>
      <x:c r="M588" s="245"/>
      <x:c r="N588" s="245"/>
      <x:c r="O588" s="245"/>
      <x:c r="P588" s="245"/>
      <x:c r="Q588" s="245"/>
      <x:c r="R588" s="245"/>
      <x:c r="S588" s="245"/>
      <x:c r="T588" s="245"/>
      <x:c r="U588" s="245"/>
      <x:c r="V588" s="245"/>
      <x:c r="W588" s="245"/>
      <x:c r="X588" s="245"/>
      <x:c r="Y588" s="245"/>
      <x:c r="Z588" s="245"/>
    </x:row>
    <x:row r="589">
      <x:c r="A589" s="245"/>
      <x:c r="B589" s="245"/>
      <x:c r="C589" s="245"/>
      <x:c r="D589" s="245"/>
      <x:c r="E589" s="245"/>
      <x:c r="F589" s="245"/>
      <x:c r="G589" s="245"/>
      <x:c r="H589" s="245"/>
      <x:c r="I589" s="245"/>
      <x:c r="J589" s="245"/>
      <x:c r="K589" s="245"/>
      <x:c r="L589" s="245"/>
      <x:c r="M589" s="245"/>
      <x:c r="N589" s="245"/>
      <x:c r="O589" s="245"/>
      <x:c r="P589" s="245"/>
      <x:c r="Q589" s="245"/>
      <x:c r="R589" s="245"/>
      <x:c r="S589" s="245"/>
      <x:c r="T589" s="245"/>
      <x:c r="U589" s="245"/>
      <x:c r="V589" s="245"/>
      <x:c r="W589" s="245"/>
      <x:c r="X589" s="245"/>
      <x:c r="Y589" s="245"/>
      <x:c r="Z589" s="245"/>
    </x:row>
    <x:row r="590">
      <x:c r="A590" s="245"/>
      <x:c r="B590" s="245"/>
      <x:c r="C590" s="245"/>
      <x:c r="D590" s="245"/>
      <x:c r="E590" s="245"/>
      <x:c r="F590" s="245"/>
      <x:c r="G590" s="245"/>
      <x:c r="H590" s="245"/>
      <x:c r="I590" s="245"/>
      <x:c r="J590" s="245"/>
      <x:c r="K590" s="245"/>
      <x:c r="L590" s="245"/>
      <x:c r="M590" s="245"/>
      <x:c r="N590" s="245"/>
      <x:c r="O590" s="245"/>
      <x:c r="P590" s="245"/>
      <x:c r="Q590" s="245"/>
      <x:c r="R590" s="245"/>
      <x:c r="S590" s="245"/>
      <x:c r="T590" s="245"/>
      <x:c r="U590" s="245"/>
      <x:c r="V590" s="245"/>
      <x:c r="W590" s="245"/>
      <x:c r="X590" s="245"/>
      <x:c r="Y590" s="245"/>
      <x:c r="Z590" s="245"/>
    </x:row>
    <x:row r="591">
      <x:c r="A591" s="245"/>
      <x:c r="B591" s="245"/>
      <x:c r="C591" s="245"/>
      <x:c r="D591" s="245"/>
      <x:c r="E591" s="245"/>
      <x:c r="F591" s="245"/>
      <x:c r="G591" s="245"/>
      <x:c r="H591" s="245"/>
      <x:c r="I591" s="245"/>
      <x:c r="J591" s="245"/>
      <x:c r="K591" s="245"/>
      <x:c r="L591" s="245"/>
      <x:c r="M591" s="245"/>
      <x:c r="N591" s="245"/>
      <x:c r="O591" s="245"/>
      <x:c r="P591" s="245"/>
      <x:c r="Q591" s="245"/>
      <x:c r="R591" s="245"/>
      <x:c r="S591" s="245"/>
      <x:c r="T591" s="245"/>
      <x:c r="U591" s="245"/>
      <x:c r="V591" s="245"/>
      <x:c r="W591" s="245"/>
      <x:c r="X591" s="245"/>
      <x:c r="Y591" s="245"/>
      <x:c r="Z591" s="245"/>
    </x:row>
    <x:row r="592">
      <x:c r="A592" s="245"/>
      <x:c r="B592" s="245"/>
      <x:c r="C592" s="245"/>
      <x:c r="D592" s="245"/>
      <x:c r="E592" s="245"/>
      <x:c r="F592" s="245"/>
      <x:c r="G592" s="245"/>
      <x:c r="H592" s="245"/>
      <x:c r="I592" s="245"/>
      <x:c r="J592" s="245"/>
      <x:c r="K592" s="245"/>
      <x:c r="L592" s="245"/>
      <x:c r="M592" s="245"/>
      <x:c r="N592" s="245"/>
      <x:c r="O592" s="245"/>
      <x:c r="P592" s="245"/>
      <x:c r="Q592" s="245"/>
      <x:c r="R592" s="245"/>
      <x:c r="S592" s="245"/>
      <x:c r="T592" s="245"/>
      <x:c r="U592" s="245"/>
      <x:c r="V592" s="245"/>
      <x:c r="W592" s="245"/>
      <x:c r="X592" s="245"/>
      <x:c r="Y592" s="245"/>
      <x:c r="Z592" s="245"/>
    </x:row>
    <x:row r="593">
      <x:c r="A593" s="245"/>
      <x:c r="B593" s="245"/>
      <x:c r="C593" s="245"/>
      <x:c r="D593" s="245"/>
      <x:c r="E593" s="245"/>
      <x:c r="F593" s="245"/>
      <x:c r="G593" s="245"/>
      <x:c r="H593" s="245"/>
      <x:c r="I593" s="245"/>
      <x:c r="J593" s="245"/>
      <x:c r="K593" s="245"/>
      <x:c r="L593" s="245"/>
      <x:c r="M593" s="245"/>
      <x:c r="N593" s="245"/>
      <x:c r="O593" s="245"/>
      <x:c r="P593" s="245"/>
      <x:c r="Q593" s="245"/>
      <x:c r="R593" s="245"/>
      <x:c r="S593" s="245"/>
      <x:c r="T593" s="245"/>
      <x:c r="U593" s="245"/>
      <x:c r="V593" s="245"/>
      <x:c r="W593" s="245"/>
      <x:c r="X593" s="245"/>
      <x:c r="Y593" s="245"/>
      <x:c r="Z593" s="245"/>
    </x:row>
    <x:row r="594">
      <x:c r="A594" s="245"/>
      <x:c r="B594" s="245"/>
      <x:c r="C594" s="245"/>
      <x:c r="D594" s="245"/>
      <x:c r="E594" s="245"/>
      <x:c r="F594" s="245"/>
      <x:c r="G594" s="245"/>
      <x:c r="H594" s="245"/>
      <x:c r="I594" s="245"/>
      <x:c r="J594" s="245"/>
      <x:c r="K594" s="245"/>
      <x:c r="L594" s="245"/>
      <x:c r="M594" s="245"/>
      <x:c r="N594" s="245"/>
      <x:c r="O594" s="245"/>
      <x:c r="P594" s="245"/>
      <x:c r="Q594" s="245"/>
      <x:c r="R594" s="245"/>
      <x:c r="S594" s="245"/>
      <x:c r="T594" s="245"/>
      <x:c r="U594" s="245"/>
      <x:c r="V594" s="245"/>
      <x:c r="W594" s="245"/>
      <x:c r="X594" s="245"/>
      <x:c r="Y594" s="245"/>
      <x:c r="Z594" s="245"/>
    </x:row>
    <x:row r="595">
      <x:c r="A595" s="245"/>
      <x:c r="B595" s="245"/>
      <x:c r="C595" s="245"/>
      <x:c r="D595" s="245"/>
      <x:c r="E595" s="245"/>
      <x:c r="F595" s="245"/>
      <x:c r="G595" s="245"/>
      <x:c r="H595" s="245"/>
      <x:c r="I595" s="245"/>
      <x:c r="J595" s="245"/>
      <x:c r="K595" s="245"/>
      <x:c r="L595" s="245"/>
      <x:c r="M595" s="245"/>
      <x:c r="N595" s="245"/>
      <x:c r="O595" s="245"/>
      <x:c r="P595" s="245"/>
      <x:c r="Q595" s="245"/>
      <x:c r="R595" s="245"/>
      <x:c r="S595" s="245"/>
      <x:c r="T595" s="245"/>
      <x:c r="U595" s="245"/>
      <x:c r="V595" s="245"/>
      <x:c r="W595" s="245"/>
      <x:c r="X595" s="245"/>
      <x:c r="Y595" s="245"/>
      <x:c r="Z595" s="245"/>
    </x:row>
    <x:row r="596">
      <x:c r="A596" s="245"/>
      <x:c r="B596" s="245"/>
      <x:c r="C596" s="245"/>
      <x:c r="D596" s="245"/>
      <x:c r="E596" s="245"/>
      <x:c r="F596" s="245"/>
      <x:c r="G596" s="245"/>
      <x:c r="H596" s="245"/>
      <x:c r="I596" s="245"/>
      <x:c r="J596" s="245"/>
      <x:c r="K596" s="245"/>
      <x:c r="L596" s="245"/>
      <x:c r="M596" s="245"/>
      <x:c r="N596" s="245"/>
      <x:c r="O596" s="245"/>
      <x:c r="P596" s="245"/>
      <x:c r="Q596" s="245"/>
      <x:c r="R596" s="245"/>
      <x:c r="S596" s="245"/>
      <x:c r="T596" s="245"/>
      <x:c r="U596" s="245"/>
      <x:c r="V596" s="245"/>
      <x:c r="W596" s="245"/>
      <x:c r="X596" s="245"/>
      <x:c r="Y596" s="245"/>
      <x:c r="Z596" s="245"/>
    </x:row>
    <x:row r="597">
      <x:c r="A597" s="245"/>
      <x:c r="B597" s="245"/>
      <x:c r="C597" s="245"/>
      <x:c r="D597" s="245"/>
      <x:c r="E597" s="245"/>
      <x:c r="F597" s="245"/>
      <x:c r="G597" s="245"/>
      <x:c r="H597" s="245"/>
      <x:c r="I597" s="245"/>
      <x:c r="J597" s="245"/>
      <x:c r="K597" s="245"/>
      <x:c r="L597" s="245"/>
      <x:c r="M597" s="245"/>
      <x:c r="N597" s="245"/>
      <x:c r="O597" s="245"/>
      <x:c r="P597" s="245"/>
      <x:c r="Q597" s="245"/>
      <x:c r="R597" s="245"/>
      <x:c r="S597" s="245"/>
      <x:c r="T597" s="245"/>
      <x:c r="U597" s="245"/>
      <x:c r="V597" s="245"/>
      <x:c r="W597" s="245"/>
      <x:c r="X597" s="245"/>
      <x:c r="Y597" s="245"/>
      <x:c r="Z597" s="245"/>
    </x:row>
    <x:row r="598">
      <x:c r="A598" s="245"/>
      <x:c r="B598" s="245"/>
      <x:c r="C598" s="245"/>
      <x:c r="D598" s="245"/>
      <x:c r="E598" s="245"/>
      <x:c r="F598" s="245"/>
      <x:c r="G598" s="245"/>
      <x:c r="H598" s="245"/>
      <x:c r="I598" s="245"/>
      <x:c r="J598" s="245"/>
      <x:c r="K598" s="245"/>
      <x:c r="L598" s="245"/>
      <x:c r="M598" s="245"/>
      <x:c r="N598" s="245"/>
      <x:c r="O598" s="245"/>
      <x:c r="P598" s="245"/>
      <x:c r="Q598" s="245"/>
      <x:c r="R598" s="245"/>
      <x:c r="S598" s="245"/>
      <x:c r="T598" s="245"/>
      <x:c r="U598" s="245"/>
      <x:c r="V598" s="245"/>
      <x:c r="W598" s="245"/>
      <x:c r="X598" s="245"/>
      <x:c r="Y598" s="245"/>
      <x:c r="Z598" s="245"/>
    </x:row>
    <x:row r="599">
      <x:c r="A599" s="245"/>
      <x:c r="B599" s="245"/>
      <x:c r="C599" s="245"/>
      <x:c r="D599" s="245"/>
      <x:c r="E599" s="245"/>
      <x:c r="F599" s="245"/>
      <x:c r="G599" s="245"/>
      <x:c r="H599" s="245"/>
      <x:c r="I599" s="245"/>
      <x:c r="J599" s="245"/>
      <x:c r="K599" s="245"/>
      <x:c r="L599" s="245"/>
      <x:c r="M599" s="245"/>
      <x:c r="N599" s="245"/>
      <x:c r="O599" s="245"/>
      <x:c r="P599" s="245"/>
      <x:c r="Q599" s="245"/>
      <x:c r="R599" s="245"/>
      <x:c r="S599" s="245"/>
      <x:c r="T599" s="245"/>
      <x:c r="U599" s="245"/>
      <x:c r="V599" s="245"/>
      <x:c r="W599" s="245"/>
      <x:c r="X599" s="245"/>
      <x:c r="Y599" s="245"/>
      <x:c r="Z599" s="245"/>
    </x:row>
    <x:row r="600">
      <x:c r="A600" s="245"/>
      <x:c r="B600" s="245"/>
      <x:c r="C600" s="245"/>
      <x:c r="D600" s="245"/>
      <x:c r="E600" s="245"/>
      <x:c r="F600" s="245"/>
      <x:c r="G600" s="245"/>
      <x:c r="H600" s="245"/>
      <x:c r="I600" s="245"/>
      <x:c r="J600" s="245"/>
      <x:c r="K600" s="245"/>
      <x:c r="L600" s="245"/>
      <x:c r="M600" s="245"/>
      <x:c r="N600" s="245"/>
      <x:c r="O600" s="245"/>
      <x:c r="P600" s="245"/>
      <x:c r="Q600" s="245"/>
      <x:c r="R600" s="245"/>
      <x:c r="S600" s="245"/>
      <x:c r="T600" s="245"/>
      <x:c r="U600" s="245"/>
      <x:c r="V600" s="245"/>
      <x:c r="W600" s="245"/>
      <x:c r="X600" s="245"/>
      <x:c r="Y600" s="245"/>
      <x:c r="Z600" s="245"/>
    </x:row>
    <x:row r="601">
      <x:c r="A601" s="245"/>
      <x:c r="B601" s="245"/>
      <x:c r="C601" s="245"/>
      <x:c r="D601" s="245"/>
      <x:c r="E601" s="245"/>
      <x:c r="F601" s="245"/>
      <x:c r="G601" s="245"/>
      <x:c r="H601" s="245"/>
      <x:c r="I601" s="245"/>
      <x:c r="J601" s="245"/>
      <x:c r="K601" s="245"/>
      <x:c r="L601" s="245"/>
      <x:c r="M601" s="245"/>
      <x:c r="N601" s="245"/>
      <x:c r="O601" s="245"/>
      <x:c r="P601" s="245"/>
      <x:c r="Q601" s="245"/>
      <x:c r="R601" s="245"/>
      <x:c r="S601" s="245"/>
      <x:c r="T601" s="245"/>
      <x:c r="U601" s="245"/>
      <x:c r="V601" s="245"/>
      <x:c r="W601" s="245"/>
      <x:c r="X601" s="245"/>
      <x:c r="Y601" s="245"/>
      <x:c r="Z601" s="245"/>
    </x:row>
    <x:row r="602">
      <x:c r="A602" s="245"/>
      <x:c r="B602" s="245"/>
      <x:c r="C602" s="245"/>
      <x:c r="D602" s="245"/>
      <x:c r="E602" s="245"/>
      <x:c r="F602" s="245"/>
      <x:c r="G602" s="245"/>
      <x:c r="H602" s="245"/>
      <x:c r="I602" s="245"/>
      <x:c r="J602" s="245"/>
      <x:c r="K602" s="245"/>
      <x:c r="L602" s="245"/>
      <x:c r="M602" s="245"/>
      <x:c r="N602" s="245"/>
      <x:c r="O602" s="245"/>
      <x:c r="P602" s="245"/>
      <x:c r="Q602" s="245"/>
      <x:c r="R602" s="245"/>
      <x:c r="S602" s="245"/>
      <x:c r="T602" s="245"/>
      <x:c r="U602" s="245"/>
      <x:c r="V602" s="245"/>
      <x:c r="W602" s="245"/>
      <x:c r="X602" s="245"/>
      <x:c r="Y602" s="245"/>
      <x:c r="Z602" s="245"/>
    </x:row>
    <x:row r="603">
      <x:c r="A603" s="245"/>
      <x:c r="B603" s="245"/>
      <x:c r="C603" s="245"/>
      <x:c r="D603" s="245"/>
      <x:c r="E603" s="245"/>
      <x:c r="F603" s="245"/>
      <x:c r="G603" s="245"/>
      <x:c r="H603" s="245"/>
      <x:c r="I603" s="245"/>
      <x:c r="J603" s="245"/>
      <x:c r="K603" s="245"/>
      <x:c r="L603" s="245"/>
      <x:c r="M603" s="245"/>
      <x:c r="N603" s="245"/>
      <x:c r="O603" s="245"/>
      <x:c r="P603" s="245"/>
      <x:c r="Q603" s="245"/>
      <x:c r="R603" s="245"/>
      <x:c r="S603" s="245"/>
      <x:c r="T603" s="245"/>
      <x:c r="U603" s="245"/>
      <x:c r="V603" s="245"/>
      <x:c r="W603" s="245"/>
      <x:c r="X603" s="245"/>
      <x:c r="Y603" s="245"/>
      <x:c r="Z603" s="245"/>
    </x:row>
    <x:row r="604">
      <x:c r="A604" s="245"/>
      <x:c r="B604" s="245"/>
      <x:c r="C604" s="245"/>
      <x:c r="D604" s="245"/>
      <x:c r="E604" s="245"/>
      <x:c r="F604" s="245"/>
      <x:c r="G604" s="245"/>
      <x:c r="H604" s="245"/>
      <x:c r="I604" s="245"/>
      <x:c r="J604" s="245"/>
      <x:c r="K604" s="245"/>
      <x:c r="L604" s="245"/>
      <x:c r="M604" s="245"/>
      <x:c r="N604" s="245"/>
      <x:c r="O604" s="245"/>
      <x:c r="P604" s="245"/>
      <x:c r="Q604" s="245"/>
      <x:c r="R604" s="245"/>
      <x:c r="S604" s="245"/>
      <x:c r="T604" s="245"/>
      <x:c r="U604" s="245"/>
      <x:c r="V604" s="245"/>
      <x:c r="W604" s="245"/>
      <x:c r="X604" s="245"/>
      <x:c r="Y604" s="245"/>
      <x:c r="Z604" s="245"/>
    </x:row>
    <x:row r="605">
      <x:c r="A605" s="245"/>
      <x:c r="B605" s="245"/>
      <x:c r="C605" s="245"/>
      <x:c r="D605" s="245"/>
      <x:c r="E605" s="245"/>
      <x:c r="F605" s="245"/>
      <x:c r="G605" s="245"/>
      <x:c r="H605" s="245"/>
      <x:c r="I605" s="245"/>
      <x:c r="J605" s="245"/>
      <x:c r="K605" s="245"/>
      <x:c r="L605" s="245"/>
      <x:c r="M605" s="245"/>
      <x:c r="N605" s="245"/>
      <x:c r="O605" s="245"/>
      <x:c r="P605" s="245"/>
      <x:c r="Q605" s="245"/>
      <x:c r="R605" s="245"/>
      <x:c r="S605" s="245"/>
      <x:c r="T605" s="245"/>
      <x:c r="U605" s="245"/>
      <x:c r="V605" s="245"/>
      <x:c r="W605" s="245"/>
      <x:c r="X605" s="245"/>
      <x:c r="Y605" s="245"/>
      <x:c r="Z605" s="245"/>
    </x:row>
    <x:row r="606">
      <x:c r="A606" s="245"/>
      <x:c r="B606" s="245"/>
      <x:c r="C606" s="245"/>
      <x:c r="D606" s="245"/>
      <x:c r="E606" s="245"/>
      <x:c r="F606" s="245"/>
      <x:c r="G606" s="245"/>
      <x:c r="H606" s="245"/>
      <x:c r="I606" s="245"/>
      <x:c r="J606" s="245"/>
      <x:c r="K606" s="245"/>
      <x:c r="L606" s="245"/>
      <x:c r="M606" s="245"/>
      <x:c r="N606" s="245"/>
      <x:c r="O606" s="245"/>
      <x:c r="P606" s="245"/>
      <x:c r="Q606" s="245"/>
      <x:c r="R606" s="245"/>
      <x:c r="S606" s="245"/>
      <x:c r="T606" s="245"/>
      <x:c r="U606" s="245"/>
      <x:c r="V606" s="245"/>
      <x:c r="W606" s="245"/>
      <x:c r="X606" s="245"/>
      <x:c r="Y606" s="245"/>
      <x:c r="Z606" s="245"/>
    </x:row>
    <x:row r="607">
      <x:c r="A607" s="245"/>
      <x:c r="B607" s="245"/>
      <x:c r="C607" s="245"/>
      <x:c r="D607" s="245"/>
      <x:c r="E607" s="245"/>
      <x:c r="F607" s="245"/>
      <x:c r="G607" s="245"/>
      <x:c r="H607" s="245"/>
      <x:c r="I607" s="245"/>
      <x:c r="J607" s="245"/>
      <x:c r="K607" s="245"/>
      <x:c r="L607" s="245"/>
      <x:c r="M607" s="245"/>
      <x:c r="N607" s="245"/>
      <x:c r="O607" s="245"/>
      <x:c r="P607" s="245"/>
      <x:c r="Q607" s="245"/>
      <x:c r="R607" s="245"/>
      <x:c r="S607" s="245"/>
      <x:c r="T607" s="245"/>
      <x:c r="U607" s="245"/>
      <x:c r="V607" s="245"/>
      <x:c r="W607" s="245"/>
      <x:c r="X607" s="245"/>
      <x:c r="Y607" s="245"/>
      <x:c r="Z607" s="245"/>
    </x:row>
    <x:row r="608">
      <x:c r="A608" s="245"/>
      <x:c r="B608" s="245"/>
      <x:c r="C608" s="245"/>
      <x:c r="D608" s="245"/>
      <x:c r="E608" s="245"/>
      <x:c r="F608" s="245"/>
      <x:c r="G608" s="245"/>
      <x:c r="H608" s="245"/>
      <x:c r="I608" s="245"/>
      <x:c r="J608" s="245"/>
      <x:c r="K608" s="245"/>
      <x:c r="L608" s="245"/>
      <x:c r="M608" s="245"/>
      <x:c r="N608" s="245"/>
      <x:c r="O608" s="245"/>
      <x:c r="P608" s="245"/>
      <x:c r="Q608" s="245"/>
      <x:c r="R608" s="245"/>
      <x:c r="S608" s="245"/>
      <x:c r="T608" s="245"/>
      <x:c r="U608" s="245"/>
      <x:c r="V608" s="245"/>
      <x:c r="W608" s="245"/>
      <x:c r="X608" s="245"/>
      <x:c r="Y608" s="245"/>
      <x:c r="Z608" s="245"/>
    </x:row>
    <x:row r="609">
      <x:c r="A609" s="245"/>
      <x:c r="B609" s="245"/>
      <x:c r="C609" s="245"/>
      <x:c r="D609" s="245"/>
      <x:c r="E609" s="245"/>
      <x:c r="F609" s="245"/>
      <x:c r="G609" s="245"/>
      <x:c r="H609" s="245"/>
      <x:c r="I609" s="245"/>
      <x:c r="J609" s="245"/>
      <x:c r="K609" s="245"/>
      <x:c r="L609" s="245"/>
      <x:c r="M609" s="245"/>
      <x:c r="N609" s="245"/>
      <x:c r="O609" s="245"/>
      <x:c r="P609" s="245"/>
      <x:c r="Q609" s="245"/>
      <x:c r="R609" s="245"/>
      <x:c r="S609" s="245"/>
      <x:c r="T609" s="245"/>
      <x:c r="U609" s="245"/>
      <x:c r="V609" s="245"/>
      <x:c r="W609" s="245"/>
      <x:c r="X609" s="245"/>
      <x:c r="Y609" s="245"/>
      <x:c r="Z609" s="245"/>
    </x:row>
    <x:row r="610">
      <x:c r="A610" s="245"/>
      <x:c r="B610" s="245"/>
      <x:c r="C610" s="245"/>
      <x:c r="D610" s="245"/>
      <x:c r="E610" s="245"/>
      <x:c r="F610" s="245"/>
      <x:c r="G610" s="245"/>
      <x:c r="H610" s="245"/>
      <x:c r="I610" s="245"/>
      <x:c r="J610" s="245"/>
      <x:c r="K610" s="245"/>
      <x:c r="L610" s="245"/>
      <x:c r="M610" s="245"/>
      <x:c r="N610" s="245"/>
      <x:c r="O610" s="245"/>
      <x:c r="P610" s="245"/>
      <x:c r="Q610" s="245"/>
      <x:c r="R610" s="245"/>
      <x:c r="S610" s="245"/>
      <x:c r="T610" s="245"/>
      <x:c r="U610" s="245"/>
      <x:c r="V610" s="245"/>
      <x:c r="W610" s="245"/>
      <x:c r="X610" s="245"/>
      <x:c r="Y610" s="245"/>
      <x:c r="Z610" s="245"/>
    </x:row>
    <x:row r="611">
      <x:c r="A611" s="245"/>
      <x:c r="B611" s="245"/>
      <x:c r="C611" s="245"/>
      <x:c r="D611" s="245"/>
      <x:c r="E611" s="245"/>
      <x:c r="F611" s="245"/>
      <x:c r="G611" s="245"/>
      <x:c r="H611" s="245"/>
      <x:c r="I611" s="245"/>
      <x:c r="J611" s="245"/>
      <x:c r="K611" s="245"/>
      <x:c r="L611" s="245"/>
      <x:c r="M611" s="245"/>
      <x:c r="N611" s="245"/>
      <x:c r="O611" s="245"/>
      <x:c r="P611" s="245"/>
      <x:c r="Q611" s="245"/>
      <x:c r="R611" s="245"/>
      <x:c r="S611" s="245"/>
      <x:c r="T611" s="245"/>
      <x:c r="U611" s="245"/>
      <x:c r="V611" s="245"/>
      <x:c r="W611" s="245"/>
      <x:c r="X611" s="245"/>
      <x:c r="Y611" s="245"/>
      <x:c r="Z611" s="245"/>
    </x:row>
    <x:row r="612">
      <x:c r="A612" s="245"/>
      <x:c r="B612" s="245"/>
      <x:c r="C612" s="245"/>
      <x:c r="D612" s="245"/>
      <x:c r="E612" s="245"/>
      <x:c r="F612" s="245"/>
      <x:c r="G612" s="245"/>
      <x:c r="H612" s="245"/>
      <x:c r="I612" s="245"/>
      <x:c r="J612" s="245"/>
      <x:c r="K612" s="245"/>
      <x:c r="L612" s="245"/>
      <x:c r="M612" s="245"/>
      <x:c r="N612" s="245"/>
      <x:c r="O612" s="245"/>
      <x:c r="P612" s="245"/>
      <x:c r="Q612" s="245"/>
      <x:c r="R612" s="245"/>
      <x:c r="S612" s="245"/>
      <x:c r="T612" s="245"/>
      <x:c r="U612" s="245"/>
      <x:c r="V612" s="245"/>
      <x:c r="W612" s="245"/>
      <x:c r="X612" s="245"/>
      <x:c r="Y612" s="245"/>
      <x:c r="Z612" s="245"/>
    </x:row>
    <x:row r="613">
      <x:c r="A613" s="245"/>
      <x:c r="B613" s="245"/>
      <x:c r="C613" s="245"/>
      <x:c r="D613" s="245"/>
      <x:c r="E613" s="245"/>
      <x:c r="F613" s="245"/>
      <x:c r="G613" s="245"/>
      <x:c r="H613" s="245"/>
      <x:c r="I613" s="245"/>
      <x:c r="J613" s="245"/>
      <x:c r="K613" s="245"/>
      <x:c r="L613" s="245"/>
      <x:c r="M613" s="245"/>
      <x:c r="N613" s="245"/>
      <x:c r="O613" s="245"/>
      <x:c r="P613" s="245"/>
      <x:c r="Q613" s="245"/>
      <x:c r="R613" s="245"/>
      <x:c r="S613" s="245"/>
      <x:c r="T613" s="245"/>
      <x:c r="U613" s="245"/>
      <x:c r="V613" s="245"/>
      <x:c r="W613" s="245"/>
      <x:c r="X613" s="245"/>
      <x:c r="Y613" s="245"/>
      <x:c r="Z613" s="245"/>
    </x:row>
    <x:row r="614">
      <x:c r="A614" s="245"/>
      <x:c r="B614" s="245"/>
      <x:c r="C614" s="245"/>
      <x:c r="D614" s="245"/>
      <x:c r="E614" s="245"/>
      <x:c r="F614" s="245"/>
      <x:c r="G614" s="245"/>
      <x:c r="H614" s="245"/>
      <x:c r="I614" s="245"/>
      <x:c r="J614" s="245"/>
      <x:c r="K614" s="245"/>
      <x:c r="L614" s="245"/>
      <x:c r="M614" s="245"/>
      <x:c r="N614" s="245"/>
      <x:c r="O614" s="245"/>
      <x:c r="P614" s="245"/>
      <x:c r="Q614" s="245"/>
      <x:c r="R614" s="245"/>
      <x:c r="S614" s="245"/>
      <x:c r="T614" s="245"/>
      <x:c r="U614" s="245"/>
      <x:c r="V614" s="245"/>
      <x:c r="W614" s="245"/>
      <x:c r="X614" s="245"/>
      <x:c r="Y614" s="245"/>
      <x:c r="Z614" s="245"/>
    </x:row>
    <x:row r="615">
      <x:c r="A615" s="245"/>
      <x:c r="B615" s="245"/>
      <x:c r="C615" s="245"/>
      <x:c r="D615" s="245"/>
      <x:c r="E615" s="245"/>
      <x:c r="F615" s="245"/>
      <x:c r="G615" s="245"/>
      <x:c r="H615" s="245"/>
      <x:c r="I615" s="245"/>
      <x:c r="J615" s="245"/>
      <x:c r="K615" s="245"/>
      <x:c r="L615" s="245"/>
      <x:c r="M615" s="245"/>
      <x:c r="N615" s="245"/>
      <x:c r="O615" s="245"/>
      <x:c r="P615" s="245"/>
      <x:c r="Q615" s="245"/>
      <x:c r="R615" s="245"/>
      <x:c r="S615" s="245"/>
      <x:c r="T615" s="245"/>
      <x:c r="U615" s="245"/>
      <x:c r="V615" s="245"/>
      <x:c r="W615" s="245"/>
      <x:c r="X615" s="245"/>
      <x:c r="Y615" s="245"/>
      <x:c r="Z615" s="245"/>
    </x:row>
    <x:row r="616">
      <x:c r="A616" s="245"/>
      <x:c r="B616" s="245"/>
      <x:c r="C616" s="245"/>
      <x:c r="D616" s="245"/>
      <x:c r="E616" s="245"/>
      <x:c r="F616" s="245"/>
      <x:c r="G616" s="245"/>
      <x:c r="H616" s="245"/>
      <x:c r="I616" s="245"/>
      <x:c r="J616" s="245"/>
      <x:c r="K616" s="245"/>
      <x:c r="L616" s="245"/>
      <x:c r="M616" s="245"/>
      <x:c r="N616" s="245"/>
      <x:c r="O616" s="245"/>
      <x:c r="P616" s="245"/>
      <x:c r="Q616" s="245"/>
      <x:c r="R616" s="245"/>
      <x:c r="S616" s="245"/>
      <x:c r="T616" s="245"/>
      <x:c r="U616" s="245"/>
      <x:c r="V616" s="245"/>
      <x:c r="W616" s="245"/>
      <x:c r="X616" s="245"/>
      <x:c r="Y616" s="245"/>
      <x:c r="Z616" s="245"/>
    </x:row>
    <x:row r="617">
      <x:c r="A617" s="245"/>
      <x:c r="B617" s="245"/>
      <x:c r="C617" s="245"/>
      <x:c r="D617" s="245"/>
      <x:c r="E617" s="245"/>
      <x:c r="F617" s="245"/>
      <x:c r="G617" s="245"/>
      <x:c r="H617" s="245"/>
      <x:c r="I617" s="245"/>
      <x:c r="J617" s="245"/>
      <x:c r="K617" s="245"/>
      <x:c r="L617" s="245"/>
      <x:c r="M617" s="245"/>
      <x:c r="N617" s="245"/>
      <x:c r="O617" s="245"/>
      <x:c r="P617" s="245"/>
      <x:c r="Q617" s="245"/>
      <x:c r="R617" s="245"/>
      <x:c r="S617" s="245"/>
      <x:c r="T617" s="245"/>
      <x:c r="U617" s="245"/>
      <x:c r="V617" s="245"/>
      <x:c r="W617" s="245"/>
      <x:c r="X617" s="245"/>
      <x:c r="Y617" s="245"/>
      <x:c r="Z617" s="245"/>
    </x:row>
    <x:row r="618">
      <x:c r="A618" s="245"/>
      <x:c r="B618" s="245"/>
      <x:c r="C618" s="245"/>
      <x:c r="D618" s="245"/>
      <x:c r="E618" s="245"/>
      <x:c r="F618" s="245"/>
      <x:c r="G618" s="245"/>
      <x:c r="H618" s="245"/>
      <x:c r="I618" s="245"/>
      <x:c r="J618" s="245"/>
      <x:c r="K618" s="245"/>
      <x:c r="L618" s="245"/>
      <x:c r="M618" s="245"/>
      <x:c r="N618" s="245"/>
      <x:c r="O618" s="245"/>
      <x:c r="P618" s="245"/>
      <x:c r="Q618" s="245"/>
      <x:c r="R618" s="245"/>
      <x:c r="S618" s="245"/>
      <x:c r="T618" s="245"/>
      <x:c r="U618" s="245"/>
      <x:c r="V618" s="245"/>
      <x:c r="W618" s="245"/>
      <x:c r="X618" s="245"/>
      <x:c r="Y618" s="245"/>
      <x:c r="Z618" s="245"/>
    </x:row>
    <x:row r="619">
      <x:c r="A619" s="245"/>
      <x:c r="B619" s="245"/>
      <x:c r="C619" s="245"/>
      <x:c r="D619" s="245"/>
      <x:c r="E619" s="245"/>
      <x:c r="F619" s="245"/>
      <x:c r="G619" s="245"/>
      <x:c r="H619" s="245"/>
      <x:c r="I619" s="245"/>
      <x:c r="J619" s="245"/>
      <x:c r="K619" s="245"/>
      <x:c r="L619" s="245"/>
      <x:c r="M619" s="245"/>
      <x:c r="N619" s="245"/>
      <x:c r="O619" s="245"/>
      <x:c r="P619" s="245"/>
      <x:c r="Q619" s="245"/>
      <x:c r="R619" s="245"/>
      <x:c r="S619" s="245"/>
      <x:c r="T619" s="245"/>
      <x:c r="U619" s="245"/>
      <x:c r="V619" s="245"/>
      <x:c r="W619" s="245"/>
      <x:c r="X619" s="245"/>
      <x:c r="Y619" s="245"/>
      <x:c r="Z619" s="245"/>
    </x:row>
    <x:row r="620">
      <x:c r="A620" s="245"/>
      <x:c r="B620" s="245"/>
      <x:c r="C620" s="245"/>
      <x:c r="D620" s="245"/>
      <x:c r="E620" s="245"/>
      <x:c r="F620" s="245"/>
      <x:c r="G620" s="245"/>
      <x:c r="H620" s="245"/>
      <x:c r="I620" s="245"/>
      <x:c r="J620" s="245"/>
      <x:c r="K620" s="245"/>
      <x:c r="L620" s="245"/>
      <x:c r="M620" s="245"/>
      <x:c r="N620" s="245"/>
      <x:c r="O620" s="245"/>
      <x:c r="P620" s="245"/>
      <x:c r="Q620" s="245"/>
      <x:c r="R620" s="245"/>
      <x:c r="S620" s="245"/>
      <x:c r="T620" s="245"/>
      <x:c r="U620" s="245"/>
      <x:c r="V620" s="245"/>
      <x:c r="W620" s="245"/>
      <x:c r="X620" s="245"/>
      <x:c r="Y620" s="245"/>
      <x:c r="Z620" s="245"/>
    </x:row>
    <x:row r="621">
      <x:c r="A621" s="245"/>
      <x:c r="B621" s="245"/>
      <x:c r="C621" s="245"/>
      <x:c r="D621" s="245"/>
      <x:c r="E621" s="245"/>
      <x:c r="F621" s="245"/>
      <x:c r="G621" s="245"/>
      <x:c r="H621" s="245"/>
      <x:c r="I621" s="245"/>
      <x:c r="J621" s="245"/>
      <x:c r="K621" s="245"/>
      <x:c r="L621" s="245"/>
      <x:c r="M621" s="245"/>
      <x:c r="N621" s="245"/>
      <x:c r="O621" s="245"/>
      <x:c r="P621" s="245"/>
      <x:c r="Q621" s="245"/>
      <x:c r="R621" s="245"/>
      <x:c r="S621" s="245"/>
      <x:c r="T621" s="245"/>
      <x:c r="U621" s="245"/>
      <x:c r="V621" s="245"/>
      <x:c r="W621" s="245"/>
      <x:c r="X621" s="245"/>
      <x:c r="Y621" s="245"/>
      <x:c r="Z621" s="245"/>
    </x:row>
    <x:row r="622">
      <x:c r="A622" s="245"/>
      <x:c r="B622" s="245"/>
      <x:c r="C622" s="245"/>
      <x:c r="D622" s="245"/>
      <x:c r="E622" s="245"/>
      <x:c r="F622" s="245"/>
      <x:c r="G622" s="245"/>
      <x:c r="H622" s="245"/>
      <x:c r="I622" s="245"/>
      <x:c r="J622" s="245"/>
      <x:c r="K622" s="245"/>
      <x:c r="L622" s="245"/>
      <x:c r="M622" s="245"/>
      <x:c r="N622" s="245"/>
      <x:c r="O622" s="245"/>
      <x:c r="P622" s="245"/>
      <x:c r="Q622" s="245"/>
      <x:c r="R622" s="245"/>
      <x:c r="S622" s="245"/>
      <x:c r="T622" s="245"/>
      <x:c r="U622" s="245"/>
      <x:c r="V622" s="245"/>
      <x:c r="W622" s="245"/>
      <x:c r="X622" s="245"/>
      <x:c r="Y622" s="245"/>
      <x:c r="Z622" s="245"/>
    </x:row>
    <x:row r="623">
      <x:c r="A623" s="245"/>
      <x:c r="B623" s="245"/>
      <x:c r="C623" s="245"/>
      <x:c r="D623" s="245"/>
      <x:c r="E623" s="245"/>
      <x:c r="F623" s="245"/>
      <x:c r="G623" s="245"/>
      <x:c r="H623" s="245"/>
      <x:c r="I623" s="245"/>
      <x:c r="J623" s="245"/>
      <x:c r="K623" s="245"/>
      <x:c r="L623" s="245"/>
      <x:c r="M623" s="245"/>
      <x:c r="N623" s="245"/>
      <x:c r="O623" s="245"/>
      <x:c r="P623" s="245"/>
      <x:c r="Q623" s="245"/>
      <x:c r="R623" s="245"/>
      <x:c r="S623" s="245"/>
      <x:c r="T623" s="245"/>
      <x:c r="U623" s="245"/>
      <x:c r="V623" s="245"/>
      <x:c r="W623" s="245"/>
      <x:c r="X623" s="245"/>
      <x:c r="Y623" s="245"/>
      <x:c r="Z623" s="245"/>
    </x:row>
    <x:row r="624">
      <x:c r="A624" s="245"/>
      <x:c r="B624" s="245"/>
      <x:c r="C624" s="245"/>
      <x:c r="D624" s="245"/>
      <x:c r="E624" s="245"/>
      <x:c r="F624" s="245"/>
      <x:c r="G624" s="245"/>
      <x:c r="H624" s="245"/>
      <x:c r="I624" s="245"/>
      <x:c r="J624" s="245"/>
      <x:c r="K624" s="245"/>
      <x:c r="L624" s="245"/>
      <x:c r="M624" s="245"/>
      <x:c r="N624" s="245"/>
      <x:c r="O624" s="245"/>
      <x:c r="P624" s="245"/>
      <x:c r="Q624" s="245"/>
      <x:c r="R624" s="245"/>
      <x:c r="S624" s="245"/>
      <x:c r="T624" s="245"/>
      <x:c r="U624" s="245"/>
      <x:c r="V624" s="245"/>
      <x:c r="W624" s="245"/>
      <x:c r="X624" s="245"/>
      <x:c r="Y624" s="245"/>
      <x:c r="Z624" s="245"/>
    </x:row>
    <x:row r="625">
      <x:c r="A625" s="245"/>
      <x:c r="B625" s="245"/>
      <x:c r="C625" s="245"/>
      <x:c r="D625" s="245"/>
      <x:c r="E625" s="245"/>
      <x:c r="F625" s="245"/>
      <x:c r="G625" s="245"/>
      <x:c r="H625" s="245"/>
      <x:c r="I625" s="245"/>
      <x:c r="J625" s="245"/>
      <x:c r="K625" s="245"/>
      <x:c r="L625" s="245"/>
      <x:c r="M625" s="245"/>
      <x:c r="N625" s="245"/>
      <x:c r="O625" s="245"/>
      <x:c r="P625" s="245"/>
      <x:c r="Q625" s="245"/>
      <x:c r="R625" s="245"/>
      <x:c r="S625" s="245"/>
      <x:c r="T625" s="245"/>
      <x:c r="U625" s="245"/>
      <x:c r="V625" s="245"/>
      <x:c r="W625" s="245"/>
      <x:c r="X625" s="245"/>
      <x:c r="Y625" s="245"/>
      <x:c r="Z625" s="245"/>
    </x:row>
    <x:row r="626">
      <x:c r="A626" s="245"/>
      <x:c r="B626" s="245"/>
      <x:c r="C626" s="245"/>
      <x:c r="D626" s="245"/>
      <x:c r="E626" s="245"/>
      <x:c r="F626" s="245"/>
      <x:c r="G626" s="245"/>
      <x:c r="H626" s="245"/>
      <x:c r="I626" s="245"/>
      <x:c r="J626" s="245"/>
      <x:c r="K626" s="245"/>
      <x:c r="L626" s="245"/>
      <x:c r="M626" s="245"/>
      <x:c r="N626" s="245"/>
      <x:c r="O626" s="245"/>
      <x:c r="P626" s="245"/>
      <x:c r="Q626" s="245"/>
      <x:c r="R626" s="245"/>
      <x:c r="S626" s="245"/>
      <x:c r="T626" s="245"/>
      <x:c r="U626" s="245"/>
      <x:c r="V626" s="245"/>
      <x:c r="W626" s="245"/>
      <x:c r="X626" s="245"/>
      <x:c r="Y626" s="245"/>
      <x:c r="Z626" s="245"/>
    </x:row>
    <x:row r="627">
      <x:c r="A627" s="245"/>
      <x:c r="B627" s="245"/>
      <x:c r="C627" s="245"/>
      <x:c r="D627" s="245"/>
      <x:c r="E627" s="245"/>
      <x:c r="F627" s="245"/>
      <x:c r="G627" s="245"/>
      <x:c r="H627" s="245"/>
      <x:c r="I627" s="245"/>
      <x:c r="J627" s="245"/>
      <x:c r="K627" s="245"/>
      <x:c r="L627" s="245"/>
      <x:c r="M627" s="245"/>
      <x:c r="N627" s="245"/>
      <x:c r="O627" s="245"/>
      <x:c r="P627" s="245"/>
      <x:c r="Q627" s="245"/>
      <x:c r="R627" s="245"/>
      <x:c r="S627" s="245"/>
      <x:c r="T627" s="245"/>
      <x:c r="U627" s="245"/>
      <x:c r="V627" s="245"/>
      <x:c r="W627" s="245"/>
      <x:c r="X627" s="245"/>
      <x:c r="Y627" s="245"/>
      <x:c r="Z627" s="245"/>
    </x:row>
    <x:row r="628">
      <x:c r="A628" s="245"/>
      <x:c r="B628" s="245"/>
      <x:c r="C628" s="245"/>
      <x:c r="D628" s="245"/>
      <x:c r="E628" s="245"/>
      <x:c r="F628" s="245"/>
      <x:c r="G628" s="245"/>
      <x:c r="H628" s="245"/>
      <x:c r="I628" s="245"/>
      <x:c r="J628" s="245"/>
      <x:c r="K628" s="245"/>
      <x:c r="L628" s="245"/>
      <x:c r="M628" s="245"/>
      <x:c r="N628" s="245"/>
      <x:c r="O628" s="245"/>
      <x:c r="P628" s="245"/>
      <x:c r="Q628" s="245"/>
      <x:c r="R628" s="245"/>
      <x:c r="S628" s="245"/>
      <x:c r="T628" s="245"/>
      <x:c r="U628" s="245"/>
      <x:c r="V628" s="245"/>
      <x:c r="W628" s="245"/>
      <x:c r="X628" s="245"/>
      <x:c r="Y628" s="245"/>
      <x:c r="Z628" s="245"/>
    </x:row>
    <x:row r="629">
      <x:c r="A629" s="245"/>
      <x:c r="B629" s="245"/>
      <x:c r="C629" s="245"/>
      <x:c r="D629" s="245"/>
      <x:c r="E629" s="245"/>
      <x:c r="F629" s="245"/>
      <x:c r="G629" s="245"/>
      <x:c r="H629" s="245"/>
      <x:c r="I629" s="245"/>
      <x:c r="J629" s="245"/>
      <x:c r="K629" s="245"/>
      <x:c r="L629" s="245"/>
      <x:c r="M629" s="245"/>
      <x:c r="N629" s="245"/>
      <x:c r="O629" s="245"/>
      <x:c r="P629" s="245"/>
      <x:c r="Q629" s="245"/>
      <x:c r="R629" s="245"/>
      <x:c r="S629" s="245"/>
      <x:c r="T629" s="245"/>
      <x:c r="U629" s="245"/>
      <x:c r="V629" s="245"/>
      <x:c r="W629" s="245"/>
      <x:c r="X629" s="245"/>
      <x:c r="Y629" s="245"/>
      <x:c r="Z629" s="245"/>
    </x:row>
    <x:row r="630">
      <x:c r="A630" s="245"/>
      <x:c r="B630" s="245"/>
      <x:c r="C630" s="245"/>
      <x:c r="D630" s="245"/>
      <x:c r="E630" s="245"/>
      <x:c r="F630" s="245"/>
      <x:c r="G630" s="245"/>
      <x:c r="H630" s="245"/>
      <x:c r="I630" s="245"/>
      <x:c r="J630" s="245"/>
      <x:c r="K630" s="245"/>
      <x:c r="L630" s="245"/>
      <x:c r="M630" s="245"/>
      <x:c r="N630" s="245"/>
      <x:c r="O630" s="245"/>
      <x:c r="P630" s="245"/>
      <x:c r="Q630" s="245"/>
      <x:c r="R630" s="245"/>
      <x:c r="S630" s="245"/>
      <x:c r="T630" s="245"/>
      <x:c r="U630" s="245"/>
      <x:c r="V630" s="245"/>
      <x:c r="W630" s="245"/>
      <x:c r="X630" s="245"/>
      <x:c r="Y630" s="245"/>
      <x:c r="Z630" s="245"/>
    </x:row>
    <x:row r="631">
      <x:c r="A631" s="245"/>
      <x:c r="B631" s="245"/>
      <x:c r="C631" s="245"/>
      <x:c r="D631" s="245"/>
      <x:c r="E631" s="245"/>
      <x:c r="F631" s="245"/>
      <x:c r="G631" s="245"/>
      <x:c r="H631" s="245"/>
      <x:c r="I631" s="245"/>
      <x:c r="J631" s="245"/>
      <x:c r="K631" s="245"/>
      <x:c r="L631" s="245"/>
      <x:c r="M631" s="245"/>
      <x:c r="N631" s="245"/>
      <x:c r="O631" s="245"/>
      <x:c r="P631" s="245"/>
      <x:c r="Q631" s="245"/>
      <x:c r="R631" s="245"/>
      <x:c r="S631" s="245"/>
      <x:c r="T631" s="245"/>
      <x:c r="U631" s="245"/>
      <x:c r="V631" s="245"/>
      <x:c r="W631" s="245"/>
      <x:c r="X631" s="245"/>
      <x:c r="Y631" s="245"/>
      <x:c r="Z631" s="245"/>
    </x:row>
    <x:row r="632">
      <x:c r="A632" s="245"/>
      <x:c r="B632" s="245"/>
      <x:c r="C632" s="245"/>
      <x:c r="D632" s="245"/>
      <x:c r="E632" s="245"/>
      <x:c r="F632" s="245"/>
      <x:c r="G632" s="245"/>
      <x:c r="H632" s="245"/>
      <x:c r="I632" s="245"/>
      <x:c r="J632" s="245"/>
      <x:c r="K632" s="245"/>
      <x:c r="L632" s="245"/>
      <x:c r="M632" s="245"/>
      <x:c r="N632" s="245"/>
      <x:c r="O632" s="245"/>
      <x:c r="P632" s="245"/>
      <x:c r="Q632" s="245"/>
      <x:c r="R632" s="245"/>
      <x:c r="S632" s="245"/>
      <x:c r="T632" s="245"/>
      <x:c r="U632" s="245"/>
      <x:c r="V632" s="245"/>
      <x:c r="W632" s="245"/>
      <x:c r="X632" s="245"/>
      <x:c r="Y632" s="245"/>
      <x:c r="Z632" s="245"/>
    </x:row>
    <x:row r="633">
      <x:c r="A633" s="245"/>
      <x:c r="B633" s="245"/>
      <x:c r="C633" s="245"/>
      <x:c r="D633" s="245"/>
      <x:c r="E633" s="245"/>
      <x:c r="F633" s="245"/>
      <x:c r="G633" s="245"/>
      <x:c r="H633" s="245"/>
      <x:c r="I633" s="245"/>
      <x:c r="J633" s="245"/>
      <x:c r="K633" s="245"/>
      <x:c r="L633" s="245"/>
      <x:c r="M633" s="245"/>
      <x:c r="N633" s="245"/>
      <x:c r="O633" s="245"/>
      <x:c r="P633" s="245"/>
      <x:c r="Q633" s="245"/>
      <x:c r="R633" s="245"/>
      <x:c r="S633" s="245"/>
      <x:c r="T633" s="245"/>
      <x:c r="U633" s="245"/>
      <x:c r="V633" s="245"/>
      <x:c r="W633" s="245"/>
      <x:c r="X633" s="245"/>
      <x:c r="Y633" s="245"/>
      <x:c r="Z633" s="245"/>
    </x:row>
    <x:row r="634">
      <x:c r="A634" s="245"/>
      <x:c r="B634" s="245"/>
      <x:c r="C634" s="245"/>
      <x:c r="D634" s="245"/>
      <x:c r="E634" s="245"/>
      <x:c r="F634" s="245"/>
      <x:c r="G634" s="245"/>
      <x:c r="H634" s="245"/>
      <x:c r="I634" s="245"/>
      <x:c r="J634" s="245"/>
      <x:c r="K634" s="245"/>
      <x:c r="L634" s="245"/>
      <x:c r="M634" s="245"/>
      <x:c r="N634" s="245"/>
      <x:c r="O634" s="245"/>
      <x:c r="P634" s="245"/>
      <x:c r="Q634" s="245"/>
      <x:c r="R634" s="245"/>
      <x:c r="S634" s="245"/>
      <x:c r="T634" s="245"/>
      <x:c r="U634" s="245"/>
      <x:c r="V634" s="245"/>
      <x:c r="W634" s="245"/>
      <x:c r="X634" s="245"/>
      <x:c r="Y634" s="245"/>
      <x:c r="Z634" s="245"/>
    </x:row>
    <x:row r="635">
      <x:c r="A635" s="245"/>
      <x:c r="B635" s="245"/>
      <x:c r="C635" s="245"/>
      <x:c r="D635" s="245"/>
      <x:c r="E635" s="245"/>
      <x:c r="F635" s="245"/>
      <x:c r="G635" s="245"/>
      <x:c r="H635" s="245"/>
      <x:c r="I635" s="245"/>
      <x:c r="J635" s="245"/>
      <x:c r="K635" s="245"/>
      <x:c r="L635" s="245"/>
      <x:c r="M635" s="245"/>
      <x:c r="N635" s="245"/>
      <x:c r="O635" s="245"/>
      <x:c r="P635" s="245"/>
      <x:c r="Q635" s="245"/>
      <x:c r="R635" s="245"/>
      <x:c r="S635" s="245"/>
      <x:c r="T635" s="245"/>
      <x:c r="U635" s="245"/>
      <x:c r="V635" s="245"/>
      <x:c r="W635" s="245"/>
      <x:c r="X635" s="245"/>
      <x:c r="Y635" s="245"/>
      <x:c r="Z635" s="245"/>
    </x:row>
    <x:row r="636">
      <x:c r="A636" s="245"/>
      <x:c r="B636" s="245"/>
      <x:c r="C636" s="245"/>
      <x:c r="D636" s="245"/>
      <x:c r="E636" s="245"/>
      <x:c r="F636" s="245"/>
      <x:c r="G636" s="245"/>
      <x:c r="H636" s="245"/>
      <x:c r="I636" s="245"/>
      <x:c r="J636" s="245"/>
      <x:c r="K636" s="245"/>
      <x:c r="L636" s="245"/>
      <x:c r="M636" s="245"/>
      <x:c r="N636" s="245"/>
      <x:c r="O636" s="245"/>
      <x:c r="P636" s="245"/>
      <x:c r="Q636" s="245"/>
      <x:c r="R636" s="245"/>
      <x:c r="S636" s="245"/>
      <x:c r="T636" s="245"/>
      <x:c r="U636" s="245"/>
      <x:c r="V636" s="245"/>
      <x:c r="W636" s="245"/>
      <x:c r="X636" s="245"/>
      <x:c r="Y636" s="245"/>
      <x:c r="Z636" s="245"/>
    </x:row>
    <x:row r="637">
      <x:c r="A637" s="245"/>
      <x:c r="B637" s="245"/>
      <x:c r="C637" s="245"/>
      <x:c r="D637" s="245"/>
      <x:c r="E637" s="245"/>
      <x:c r="F637" s="245"/>
      <x:c r="G637" s="245"/>
      <x:c r="H637" s="245"/>
      <x:c r="I637" s="245"/>
      <x:c r="J637" s="245"/>
      <x:c r="K637" s="245"/>
      <x:c r="L637" s="245"/>
      <x:c r="M637" s="245"/>
      <x:c r="N637" s="245"/>
      <x:c r="O637" s="245"/>
      <x:c r="P637" s="245"/>
      <x:c r="Q637" s="245"/>
      <x:c r="R637" s="245"/>
      <x:c r="S637" s="245"/>
      <x:c r="T637" s="245"/>
      <x:c r="U637" s="245"/>
      <x:c r="V637" s="245"/>
      <x:c r="W637" s="245"/>
      <x:c r="X637" s="245"/>
      <x:c r="Y637" s="245"/>
      <x:c r="Z637" s="245"/>
    </x:row>
    <x:row r="638">
      <x:c r="A638" s="245"/>
      <x:c r="B638" s="245"/>
      <x:c r="C638" s="245"/>
      <x:c r="D638" s="245"/>
      <x:c r="E638" s="245"/>
      <x:c r="F638" s="245"/>
      <x:c r="G638" s="245"/>
      <x:c r="H638" s="245"/>
      <x:c r="I638" s="245"/>
      <x:c r="J638" s="245"/>
      <x:c r="K638" s="245"/>
      <x:c r="L638" s="245"/>
      <x:c r="M638" s="245"/>
      <x:c r="N638" s="245"/>
      <x:c r="O638" s="245"/>
      <x:c r="P638" s="245"/>
      <x:c r="Q638" s="245"/>
      <x:c r="R638" s="245"/>
      <x:c r="S638" s="245"/>
      <x:c r="T638" s="245"/>
      <x:c r="U638" s="245"/>
      <x:c r="V638" s="245"/>
      <x:c r="W638" s="245"/>
      <x:c r="X638" s="245"/>
      <x:c r="Y638" s="245"/>
      <x:c r="Z638" s="245"/>
    </x:row>
    <x:row r="639">
      <x:c r="A639" s="245"/>
      <x:c r="B639" s="245"/>
      <x:c r="C639" s="245"/>
      <x:c r="D639" s="245"/>
      <x:c r="E639" s="245"/>
      <x:c r="F639" s="245"/>
      <x:c r="G639" s="245"/>
      <x:c r="H639" s="245"/>
      <x:c r="I639" s="245"/>
      <x:c r="J639" s="245"/>
      <x:c r="K639" s="245"/>
      <x:c r="L639" s="245"/>
      <x:c r="M639" s="245"/>
      <x:c r="N639" s="245"/>
      <x:c r="O639" s="245"/>
      <x:c r="P639" s="245"/>
      <x:c r="Q639" s="245"/>
      <x:c r="R639" s="245"/>
      <x:c r="S639" s="245"/>
      <x:c r="T639" s="245"/>
      <x:c r="U639" s="245"/>
      <x:c r="V639" s="245"/>
      <x:c r="W639" s="245"/>
      <x:c r="X639" s="245"/>
      <x:c r="Y639" s="245"/>
      <x:c r="Z639" s="245"/>
    </x:row>
    <x:row r="640">
      <x:c r="A640" s="245"/>
      <x:c r="B640" s="245"/>
      <x:c r="C640" s="245"/>
      <x:c r="D640" s="245"/>
      <x:c r="E640" s="245"/>
      <x:c r="F640" s="245"/>
      <x:c r="G640" s="245"/>
      <x:c r="H640" s="245"/>
      <x:c r="I640" s="245"/>
      <x:c r="J640" s="245"/>
      <x:c r="K640" s="245"/>
      <x:c r="L640" s="245"/>
      <x:c r="M640" s="245"/>
      <x:c r="N640" s="245"/>
      <x:c r="O640" s="245"/>
      <x:c r="P640" s="245"/>
      <x:c r="Q640" s="245"/>
      <x:c r="R640" s="245"/>
      <x:c r="S640" s="245"/>
      <x:c r="T640" s="245"/>
      <x:c r="U640" s="245"/>
      <x:c r="V640" s="245"/>
      <x:c r="W640" s="245"/>
      <x:c r="X640" s="245"/>
      <x:c r="Y640" s="245"/>
      <x:c r="Z640" s="245"/>
    </x:row>
    <x:row r="641">
      <x:c r="A641" s="245"/>
      <x:c r="B641" s="245"/>
      <x:c r="C641" s="245"/>
      <x:c r="D641" s="245"/>
      <x:c r="E641" s="245"/>
      <x:c r="F641" s="245"/>
      <x:c r="G641" s="245"/>
      <x:c r="H641" s="245"/>
      <x:c r="I641" s="245"/>
      <x:c r="J641" s="245"/>
      <x:c r="K641" s="245"/>
      <x:c r="L641" s="245"/>
      <x:c r="M641" s="245"/>
      <x:c r="N641" s="245"/>
      <x:c r="O641" s="245"/>
      <x:c r="P641" s="245"/>
      <x:c r="Q641" s="245"/>
      <x:c r="R641" s="245"/>
      <x:c r="S641" s="245"/>
      <x:c r="T641" s="245"/>
      <x:c r="U641" s="245"/>
      <x:c r="V641" s="245"/>
      <x:c r="W641" s="245"/>
      <x:c r="X641" s="245"/>
      <x:c r="Y641" s="245"/>
      <x:c r="Z641" s="245"/>
    </x:row>
    <x:row r="642">
      <x:c r="A642" s="245"/>
      <x:c r="B642" s="245"/>
      <x:c r="C642" s="245"/>
      <x:c r="D642" s="245"/>
      <x:c r="E642" s="245"/>
      <x:c r="F642" s="245"/>
      <x:c r="G642" s="245"/>
      <x:c r="H642" s="245"/>
      <x:c r="I642" s="245"/>
      <x:c r="J642" s="245"/>
      <x:c r="K642" s="245"/>
      <x:c r="L642" s="245"/>
      <x:c r="M642" s="245"/>
      <x:c r="N642" s="245"/>
      <x:c r="O642" s="245"/>
      <x:c r="P642" s="245"/>
      <x:c r="Q642" s="245"/>
      <x:c r="R642" s="245"/>
      <x:c r="S642" s="245"/>
      <x:c r="T642" s="245"/>
      <x:c r="U642" s="245"/>
      <x:c r="V642" s="245"/>
      <x:c r="W642" s="245"/>
      <x:c r="X642" s="245"/>
      <x:c r="Y642" s="245"/>
      <x:c r="Z642" s="245"/>
    </x:row>
    <x:row r="643">
      <x:c r="A643" s="245"/>
      <x:c r="B643" s="245"/>
      <x:c r="C643" s="245"/>
      <x:c r="D643" s="245"/>
      <x:c r="E643" s="245"/>
      <x:c r="F643" s="245"/>
      <x:c r="G643" s="245"/>
      <x:c r="H643" s="245"/>
      <x:c r="I643" s="245"/>
      <x:c r="J643" s="245"/>
      <x:c r="K643" s="245"/>
      <x:c r="L643" s="245"/>
      <x:c r="M643" s="245"/>
      <x:c r="N643" s="245"/>
      <x:c r="O643" s="245"/>
      <x:c r="P643" s="245"/>
      <x:c r="Q643" s="245"/>
      <x:c r="R643" s="245"/>
      <x:c r="S643" s="245"/>
      <x:c r="T643" s="245"/>
      <x:c r="U643" s="245"/>
      <x:c r="V643" s="245"/>
      <x:c r="W643" s="245"/>
      <x:c r="X643" s="245"/>
      <x:c r="Y643" s="245"/>
      <x:c r="Z643" s="245"/>
    </x:row>
    <x:row r="644">
      <x:c r="A644" s="245"/>
      <x:c r="B644" s="245"/>
      <x:c r="C644" s="245"/>
      <x:c r="D644" s="245"/>
      <x:c r="E644" s="245"/>
      <x:c r="F644" s="245"/>
      <x:c r="G644" s="245"/>
      <x:c r="H644" s="245"/>
      <x:c r="I644" s="245"/>
      <x:c r="J644" s="245"/>
      <x:c r="K644" s="245"/>
      <x:c r="L644" s="245"/>
      <x:c r="M644" s="245"/>
      <x:c r="N644" s="245"/>
      <x:c r="O644" s="245"/>
      <x:c r="P644" s="245"/>
      <x:c r="Q644" s="245"/>
      <x:c r="R644" s="245"/>
      <x:c r="S644" s="245"/>
      <x:c r="T644" s="245"/>
      <x:c r="U644" s="245"/>
      <x:c r="V644" s="245"/>
      <x:c r="W644" s="245"/>
      <x:c r="X644" s="245"/>
      <x:c r="Y644" s="245"/>
      <x:c r="Z644" s="245"/>
    </x:row>
    <x:row r="645">
      <x:c r="A645" s="245"/>
      <x:c r="B645" s="245"/>
      <x:c r="C645" s="245"/>
      <x:c r="D645" s="245"/>
      <x:c r="E645" s="245"/>
      <x:c r="F645" s="245"/>
      <x:c r="G645" s="245"/>
      <x:c r="H645" s="245"/>
      <x:c r="I645" s="245"/>
      <x:c r="J645" s="245"/>
      <x:c r="K645" s="245"/>
      <x:c r="L645" s="245"/>
      <x:c r="M645" s="245"/>
      <x:c r="N645" s="245"/>
      <x:c r="O645" s="245"/>
      <x:c r="P645" s="245"/>
      <x:c r="Q645" s="245"/>
      <x:c r="R645" s="245"/>
      <x:c r="S645" s="245"/>
      <x:c r="T645" s="245"/>
      <x:c r="U645" s="245"/>
      <x:c r="V645" s="245"/>
      <x:c r="W645" s="245"/>
      <x:c r="X645" s="245"/>
      <x:c r="Y645" s="245"/>
      <x:c r="Z645" s="245"/>
    </x:row>
    <x:row r="646">
      <x:c r="A646" s="245"/>
      <x:c r="B646" s="245"/>
      <x:c r="C646" s="245"/>
      <x:c r="D646" s="245"/>
      <x:c r="E646" s="245"/>
      <x:c r="F646" s="245"/>
      <x:c r="G646" s="245"/>
      <x:c r="H646" s="245"/>
      <x:c r="I646" s="245"/>
      <x:c r="J646" s="245"/>
      <x:c r="K646" s="245"/>
      <x:c r="L646" s="245"/>
      <x:c r="M646" s="245"/>
      <x:c r="N646" s="245"/>
      <x:c r="O646" s="245"/>
      <x:c r="P646" s="245"/>
      <x:c r="Q646" s="245"/>
      <x:c r="R646" s="245"/>
      <x:c r="S646" s="245"/>
      <x:c r="T646" s="245"/>
      <x:c r="U646" s="245"/>
      <x:c r="V646" s="245"/>
      <x:c r="W646" s="245"/>
      <x:c r="X646" s="245"/>
      <x:c r="Y646" s="245"/>
      <x:c r="Z646" s="245"/>
    </x:row>
    <x:row r="647">
      <x:c r="A647" s="245"/>
      <x:c r="B647" s="245"/>
      <x:c r="C647" s="245"/>
      <x:c r="D647" s="245"/>
      <x:c r="E647" s="245"/>
      <x:c r="F647" s="245"/>
      <x:c r="G647" s="245"/>
      <x:c r="H647" s="245"/>
      <x:c r="I647" s="245"/>
      <x:c r="J647" s="245"/>
      <x:c r="K647" s="245"/>
      <x:c r="L647" s="245"/>
      <x:c r="M647" s="245"/>
      <x:c r="N647" s="245"/>
      <x:c r="O647" s="245"/>
      <x:c r="P647" s="245"/>
      <x:c r="Q647" s="245"/>
      <x:c r="R647" s="245"/>
      <x:c r="S647" s="245"/>
      <x:c r="T647" s="245"/>
      <x:c r="U647" s="245"/>
      <x:c r="V647" s="245"/>
      <x:c r="W647" s="245"/>
      <x:c r="X647" s="245"/>
      <x:c r="Y647" s="245"/>
      <x:c r="Z647" s="245"/>
    </x:row>
    <x:row r="648">
      <x:c r="A648" s="245"/>
      <x:c r="B648" s="245"/>
      <x:c r="C648" s="245"/>
      <x:c r="D648" s="245"/>
      <x:c r="E648" s="245"/>
      <x:c r="F648" s="245"/>
      <x:c r="G648" s="245"/>
      <x:c r="H648" s="245"/>
      <x:c r="I648" s="245"/>
      <x:c r="J648" s="245"/>
      <x:c r="K648" s="245"/>
      <x:c r="L648" s="245"/>
      <x:c r="M648" s="245"/>
      <x:c r="N648" s="245"/>
      <x:c r="O648" s="245"/>
      <x:c r="P648" s="245"/>
      <x:c r="Q648" s="245"/>
      <x:c r="R648" s="245"/>
      <x:c r="S648" s="245"/>
      <x:c r="T648" s="245"/>
      <x:c r="U648" s="245"/>
      <x:c r="V648" s="245"/>
      <x:c r="W648" s="245"/>
      <x:c r="X648" s="245"/>
      <x:c r="Y648" s="245"/>
      <x:c r="Z648" s="245"/>
    </x:row>
    <x:row r="649">
      <x:c r="A649" s="245"/>
      <x:c r="B649" s="245"/>
      <x:c r="C649" s="245"/>
      <x:c r="D649" s="245"/>
      <x:c r="E649" s="245"/>
      <x:c r="F649" s="245"/>
      <x:c r="G649" s="245"/>
      <x:c r="H649" s="245"/>
      <x:c r="I649" s="245"/>
      <x:c r="J649" s="245"/>
      <x:c r="K649" s="245"/>
      <x:c r="L649" s="245"/>
      <x:c r="M649" s="245"/>
      <x:c r="N649" s="245"/>
      <x:c r="O649" s="245"/>
      <x:c r="P649" s="245"/>
      <x:c r="Q649" s="245"/>
      <x:c r="R649" s="245"/>
      <x:c r="S649" s="245"/>
      <x:c r="T649" s="245"/>
      <x:c r="U649" s="245"/>
      <x:c r="V649" s="245"/>
      <x:c r="W649" s="245"/>
      <x:c r="X649" s="245"/>
      <x:c r="Y649" s="245"/>
      <x:c r="Z649" s="245"/>
    </x:row>
    <x:row r="650">
      <x:c r="A650" s="245"/>
      <x:c r="B650" s="245"/>
      <x:c r="C650" s="245"/>
      <x:c r="D650" s="245"/>
      <x:c r="E650" s="245"/>
      <x:c r="F650" s="245"/>
      <x:c r="G650" s="245"/>
      <x:c r="H650" s="245"/>
      <x:c r="I650" s="245"/>
      <x:c r="J650" s="245"/>
      <x:c r="K650" s="245"/>
      <x:c r="L650" s="245"/>
      <x:c r="M650" s="245"/>
      <x:c r="N650" s="245"/>
      <x:c r="O650" s="245"/>
      <x:c r="P650" s="245"/>
      <x:c r="Q650" s="245"/>
      <x:c r="R650" s="245"/>
      <x:c r="S650" s="245"/>
      <x:c r="T650" s="245"/>
      <x:c r="U650" s="245"/>
      <x:c r="V650" s="245"/>
      <x:c r="W650" s="245"/>
      <x:c r="X650" s="245"/>
      <x:c r="Y650" s="245"/>
      <x:c r="Z650" s="245"/>
    </x:row>
    <x:row r="651">
      <x:c r="A651" s="245"/>
      <x:c r="B651" s="245"/>
      <x:c r="C651" s="245"/>
      <x:c r="D651" s="245"/>
      <x:c r="E651" s="245"/>
      <x:c r="F651" s="245"/>
      <x:c r="G651" s="245"/>
      <x:c r="H651" s="245"/>
      <x:c r="I651" s="245"/>
      <x:c r="J651" s="245"/>
      <x:c r="K651" s="245"/>
      <x:c r="L651" s="245"/>
      <x:c r="M651" s="245"/>
      <x:c r="N651" s="245"/>
      <x:c r="O651" s="245"/>
      <x:c r="P651" s="245"/>
      <x:c r="Q651" s="245"/>
      <x:c r="R651" s="245"/>
      <x:c r="S651" s="245"/>
      <x:c r="T651" s="245"/>
      <x:c r="U651" s="245"/>
      <x:c r="V651" s="245"/>
      <x:c r="W651" s="245"/>
      <x:c r="X651" s="245"/>
      <x:c r="Y651" s="245"/>
      <x:c r="Z651" s="245"/>
    </x:row>
    <x:row r="652">
      <x:c r="A652" s="245"/>
      <x:c r="B652" s="245"/>
      <x:c r="C652" s="245"/>
      <x:c r="D652" s="245"/>
      <x:c r="E652" s="245"/>
      <x:c r="F652" s="245"/>
      <x:c r="G652" s="245"/>
      <x:c r="H652" s="245"/>
      <x:c r="I652" s="245"/>
      <x:c r="J652" s="245"/>
      <x:c r="K652" s="245"/>
      <x:c r="L652" s="245"/>
      <x:c r="M652" s="245"/>
      <x:c r="N652" s="245"/>
      <x:c r="O652" s="245"/>
      <x:c r="P652" s="245"/>
      <x:c r="Q652" s="245"/>
      <x:c r="R652" s="245"/>
      <x:c r="S652" s="245"/>
      <x:c r="T652" s="245"/>
      <x:c r="U652" s="245"/>
      <x:c r="V652" s="245"/>
      <x:c r="W652" s="245"/>
      <x:c r="X652" s="245"/>
      <x:c r="Y652" s="245"/>
      <x:c r="Z652" s="245"/>
    </x:row>
    <x:row r="653">
      <x:c r="A653" s="245"/>
      <x:c r="B653" s="245"/>
      <x:c r="C653" s="245"/>
      <x:c r="D653" s="245"/>
      <x:c r="E653" s="245"/>
      <x:c r="F653" s="245"/>
      <x:c r="G653" s="245"/>
      <x:c r="H653" s="245"/>
      <x:c r="I653" s="245"/>
      <x:c r="J653" s="245"/>
      <x:c r="K653" s="245"/>
      <x:c r="L653" s="245"/>
      <x:c r="M653" s="245"/>
      <x:c r="N653" s="245"/>
      <x:c r="O653" s="245"/>
      <x:c r="P653" s="245"/>
      <x:c r="Q653" s="245"/>
      <x:c r="R653" s="245"/>
      <x:c r="S653" s="245"/>
      <x:c r="T653" s="245"/>
      <x:c r="U653" s="245"/>
      <x:c r="V653" s="245"/>
      <x:c r="W653" s="245"/>
      <x:c r="X653" s="245"/>
      <x:c r="Y653" s="245"/>
      <x:c r="Z653" s="245"/>
    </x:row>
    <x:row r="654">
      <x:c r="A654" s="245"/>
      <x:c r="B654" s="245"/>
      <x:c r="C654" s="245"/>
      <x:c r="D654" s="245"/>
      <x:c r="E654" s="245"/>
      <x:c r="F654" s="245"/>
      <x:c r="G654" s="245"/>
      <x:c r="H654" s="245"/>
      <x:c r="I654" s="245"/>
      <x:c r="J654" s="245"/>
      <x:c r="K654" s="245"/>
      <x:c r="L654" s="245"/>
      <x:c r="M654" s="245"/>
      <x:c r="N654" s="245"/>
      <x:c r="O654" s="245"/>
      <x:c r="P654" s="245"/>
      <x:c r="Q654" s="245"/>
      <x:c r="R654" s="245"/>
      <x:c r="S654" s="245"/>
      <x:c r="T654" s="245"/>
      <x:c r="U654" s="245"/>
      <x:c r="V654" s="245"/>
      <x:c r="W654" s="245"/>
      <x:c r="X654" s="245"/>
      <x:c r="Y654" s="245"/>
      <x:c r="Z654" s="245"/>
    </x:row>
    <x:row r="655">
      <x:c r="A655" s="245"/>
      <x:c r="B655" s="245"/>
      <x:c r="C655" s="245"/>
      <x:c r="D655" s="245"/>
      <x:c r="E655" s="245"/>
      <x:c r="F655" s="245"/>
      <x:c r="G655" s="245"/>
      <x:c r="H655" s="245"/>
      <x:c r="I655" s="245"/>
      <x:c r="J655" s="245"/>
      <x:c r="K655" s="245"/>
      <x:c r="L655" s="245"/>
      <x:c r="M655" s="245"/>
      <x:c r="N655" s="245"/>
      <x:c r="O655" s="245"/>
      <x:c r="P655" s="245"/>
      <x:c r="Q655" s="245"/>
      <x:c r="R655" s="245"/>
      <x:c r="S655" s="245"/>
      <x:c r="T655" s="245"/>
      <x:c r="U655" s="245"/>
      <x:c r="V655" s="245"/>
      <x:c r="W655" s="245"/>
      <x:c r="X655" s="245"/>
      <x:c r="Y655" s="245"/>
      <x:c r="Z655" s="245"/>
    </x:row>
    <x:row r="656">
      <x:c r="A656" s="245"/>
      <x:c r="B656" s="245"/>
      <x:c r="C656" s="245"/>
      <x:c r="D656" s="245"/>
      <x:c r="E656" s="245"/>
      <x:c r="F656" s="245"/>
      <x:c r="G656" s="245"/>
      <x:c r="H656" s="245"/>
      <x:c r="I656" s="245"/>
      <x:c r="J656" s="245"/>
      <x:c r="K656" s="245"/>
      <x:c r="L656" s="245"/>
      <x:c r="M656" s="245"/>
      <x:c r="N656" s="245"/>
      <x:c r="O656" s="245"/>
      <x:c r="P656" s="245"/>
      <x:c r="Q656" s="245"/>
      <x:c r="R656" s="245"/>
      <x:c r="S656" s="245"/>
      <x:c r="T656" s="245"/>
      <x:c r="U656" s="245"/>
      <x:c r="V656" s="245"/>
      <x:c r="W656" s="245"/>
      <x:c r="X656" s="245"/>
      <x:c r="Y656" s="245"/>
      <x:c r="Z656" s="245"/>
    </x:row>
    <x:row r="657">
      <x:c r="A657" s="245"/>
      <x:c r="B657" s="245"/>
      <x:c r="C657" s="245"/>
      <x:c r="D657" s="245"/>
      <x:c r="E657" s="245"/>
      <x:c r="F657" s="245"/>
      <x:c r="G657" s="245"/>
      <x:c r="H657" s="245"/>
      <x:c r="I657" s="245"/>
      <x:c r="J657" s="245"/>
      <x:c r="K657" s="245"/>
      <x:c r="L657" s="245"/>
      <x:c r="M657" s="245"/>
      <x:c r="N657" s="245"/>
      <x:c r="O657" s="245"/>
      <x:c r="P657" s="245"/>
      <x:c r="Q657" s="245"/>
      <x:c r="R657" s="245"/>
      <x:c r="S657" s="245"/>
      <x:c r="T657" s="245"/>
      <x:c r="U657" s="245"/>
      <x:c r="V657" s="245"/>
      <x:c r="W657" s="245"/>
      <x:c r="X657" s="245"/>
      <x:c r="Y657" s="245"/>
      <x:c r="Z657" s="245"/>
    </x:row>
    <x:row r="658">
      <x:c r="A658" s="245"/>
      <x:c r="B658" s="245"/>
      <x:c r="C658" s="245"/>
      <x:c r="D658" s="245"/>
      <x:c r="E658" s="245"/>
      <x:c r="F658" s="245"/>
      <x:c r="G658" s="245"/>
      <x:c r="H658" s="245"/>
      <x:c r="I658" s="245"/>
      <x:c r="J658" s="245"/>
      <x:c r="K658" s="245"/>
      <x:c r="L658" s="245"/>
      <x:c r="M658" s="245"/>
      <x:c r="N658" s="245"/>
      <x:c r="O658" s="245"/>
      <x:c r="P658" s="245"/>
      <x:c r="Q658" s="245"/>
      <x:c r="R658" s="245"/>
      <x:c r="S658" s="245"/>
      <x:c r="T658" s="245"/>
      <x:c r="U658" s="245"/>
      <x:c r="V658" s="245"/>
      <x:c r="W658" s="245"/>
      <x:c r="X658" s="245"/>
      <x:c r="Y658" s="245"/>
      <x:c r="Z658" s="245"/>
    </x:row>
    <x:row r="659">
      <x:c r="A659" s="245"/>
      <x:c r="B659" s="245"/>
      <x:c r="C659" s="245"/>
      <x:c r="D659" s="245"/>
      <x:c r="E659" s="245"/>
      <x:c r="F659" s="245"/>
      <x:c r="G659" s="245"/>
      <x:c r="H659" s="245"/>
      <x:c r="I659" s="245"/>
      <x:c r="J659" s="245"/>
      <x:c r="K659" s="245"/>
      <x:c r="L659" s="245"/>
      <x:c r="M659" s="245"/>
      <x:c r="N659" s="245"/>
      <x:c r="O659" s="245"/>
      <x:c r="P659" s="245"/>
      <x:c r="Q659" s="245"/>
      <x:c r="R659" s="245"/>
      <x:c r="S659" s="245"/>
      <x:c r="T659" s="245"/>
      <x:c r="U659" s="245"/>
      <x:c r="V659" s="245"/>
      <x:c r="W659" s="245"/>
      <x:c r="X659" s="245"/>
      <x:c r="Y659" s="245"/>
      <x:c r="Z659" s="245"/>
    </x:row>
    <x:row r="660">
      <x:c r="A660" s="245"/>
      <x:c r="B660" s="245"/>
      <x:c r="C660" s="245"/>
      <x:c r="D660" s="245"/>
      <x:c r="E660" s="245"/>
      <x:c r="F660" s="245"/>
      <x:c r="G660" s="245"/>
      <x:c r="H660" s="245"/>
      <x:c r="I660" s="245"/>
      <x:c r="J660" s="245"/>
      <x:c r="K660" s="245"/>
      <x:c r="L660" s="245"/>
      <x:c r="M660" s="245"/>
      <x:c r="N660" s="245"/>
      <x:c r="O660" s="245"/>
      <x:c r="P660" s="245"/>
      <x:c r="Q660" s="245"/>
      <x:c r="R660" s="245"/>
      <x:c r="S660" s="245"/>
      <x:c r="T660" s="245"/>
      <x:c r="U660" s="245"/>
      <x:c r="V660" s="245"/>
      <x:c r="W660" s="245"/>
      <x:c r="X660" s="245"/>
      <x:c r="Y660" s="245"/>
      <x:c r="Z660" s="245"/>
    </x:row>
    <x:row r="661">
      <x:c r="A661" s="245"/>
      <x:c r="B661" s="245"/>
      <x:c r="C661" s="245"/>
      <x:c r="D661" s="245"/>
      <x:c r="E661" s="245"/>
      <x:c r="F661" s="245"/>
      <x:c r="G661" s="245"/>
      <x:c r="H661" s="245"/>
      <x:c r="I661" s="245"/>
      <x:c r="J661" s="245"/>
      <x:c r="K661" s="245"/>
      <x:c r="L661" s="245"/>
      <x:c r="M661" s="245"/>
      <x:c r="N661" s="245"/>
      <x:c r="O661" s="245"/>
      <x:c r="P661" s="245"/>
      <x:c r="Q661" s="245"/>
      <x:c r="R661" s="245"/>
      <x:c r="S661" s="245"/>
      <x:c r="T661" s="245"/>
      <x:c r="U661" s="245"/>
      <x:c r="V661" s="245"/>
      <x:c r="W661" s="245"/>
      <x:c r="X661" s="245"/>
      <x:c r="Y661" s="245"/>
      <x:c r="Z661" s="245"/>
    </x:row>
    <x:row r="662">
      <x:c r="A662" s="245"/>
      <x:c r="B662" s="245"/>
      <x:c r="C662" s="245"/>
      <x:c r="D662" s="245"/>
      <x:c r="E662" s="245"/>
      <x:c r="F662" s="245"/>
      <x:c r="G662" s="245"/>
      <x:c r="H662" s="245"/>
      <x:c r="I662" s="245"/>
      <x:c r="J662" s="245"/>
      <x:c r="K662" s="245"/>
      <x:c r="L662" s="245"/>
      <x:c r="M662" s="245"/>
      <x:c r="N662" s="245"/>
      <x:c r="O662" s="245"/>
      <x:c r="P662" s="245"/>
      <x:c r="Q662" s="245"/>
      <x:c r="R662" s="245"/>
      <x:c r="S662" s="245"/>
      <x:c r="T662" s="245"/>
      <x:c r="U662" s="245"/>
      <x:c r="V662" s="245"/>
      <x:c r="W662" s="245"/>
      <x:c r="X662" s="245"/>
      <x:c r="Y662" s="245"/>
      <x:c r="Z662" s="245"/>
    </x:row>
    <x:row r="663">
      <x:c r="A663" s="245"/>
      <x:c r="B663" s="245"/>
      <x:c r="C663" s="245"/>
      <x:c r="D663" s="245"/>
      <x:c r="E663" s="245"/>
      <x:c r="F663" s="245"/>
      <x:c r="G663" s="245"/>
      <x:c r="H663" s="245"/>
      <x:c r="I663" s="245"/>
      <x:c r="J663" s="245"/>
      <x:c r="K663" s="245"/>
      <x:c r="L663" s="245"/>
      <x:c r="M663" s="245"/>
      <x:c r="N663" s="245"/>
      <x:c r="O663" s="245"/>
      <x:c r="P663" s="245"/>
      <x:c r="Q663" s="245"/>
      <x:c r="R663" s="245"/>
      <x:c r="S663" s="245"/>
      <x:c r="T663" s="245"/>
      <x:c r="U663" s="245"/>
      <x:c r="V663" s="245"/>
      <x:c r="W663" s="245"/>
      <x:c r="X663" s="245"/>
      <x:c r="Y663" s="245"/>
      <x:c r="Z663" s="245"/>
    </x:row>
    <x:row r="664">
      <x:c r="A664" s="245"/>
      <x:c r="B664" s="245"/>
      <x:c r="C664" s="245"/>
      <x:c r="D664" s="245"/>
      <x:c r="E664" s="245"/>
      <x:c r="F664" s="245"/>
      <x:c r="G664" s="245"/>
      <x:c r="H664" s="245"/>
      <x:c r="I664" s="245"/>
      <x:c r="J664" s="245"/>
      <x:c r="K664" s="245"/>
      <x:c r="L664" s="245"/>
      <x:c r="M664" s="245"/>
      <x:c r="N664" s="245"/>
      <x:c r="O664" s="245"/>
      <x:c r="P664" s="245"/>
      <x:c r="Q664" s="245"/>
      <x:c r="R664" s="245"/>
      <x:c r="S664" s="245"/>
      <x:c r="T664" s="245"/>
      <x:c r="U664" s="245"/>
      <x:c r="V664" s="245"/>
      <x:c r="W664" s="245"/>
      <x:c r="X664" s="245"/>
      <x:c r="Y664" s="245"/>
      <x:c r="Z664" s="245"/>
    </x:row>
    <x:row r="665">
      <x:c r="A665" s="245"/>
      <x:c r="B665" s="245"/>
      <x:c r="C665" s="245"/>
      <x:c r="D665" s="245"/>
      <x:c r="E665" s="245"/>
      <x:c r="F665" s="245"/>
      <x:c r="G665" s="245"/>
      <x:c r="H665" s="245"/>
      <x:c r="I665" s="245"/>
      <x:c r="J665" s="245"/>
      <x:c r="K665" s="245"/>
      <x:c r="L665" s="245"/>
      <x:c r="M665" s="245"/>
      <x:c r="N665" s="245"/>
      <x:c r="O665" s="245"/>
      <x:c r="P665" s="245"/>
      <x:c r="Q665" s="245"/>
      <x:c r="R665" s="245"/>
      <x:c r="S665" s="245"/>
      <x:c r="T665" s="245"/>
      <x:c r="U665" s="245"/>
      <x:c r="V665" s="245"/>
      <x:c r="W665" s="245"/>
      <x:c r="X665" s="245"/>
      <x:c r="Y665" s="245"/>
      <x:c r="Z665" s="245"/>
    </x:row>
    <x:row r="666">
      <x:c r="A666" s="245"/>
      <x:c r="B666" s="245"/>
      <x:c r="C666" s="245"/>
      <x:c r="D666" s="245"/>
      <x:c r="E666" s="245"/>
      <x:c r="F666" s="245"/>
      <x:c r="G666" s="245"/>
      <x:c r="H666" s="245"/>
      <x:c r="I666" s="245"/>
      <x:c r="J666" s="245"/>
      <x:c r="K666" s="245"/>
      <x:c r="L666" s="245"/>
      <x:c r="M666" s="245"/>
      <x:c r="N666" s="245"/>
      <x:c r="O666" s="245"/>
      <x:c r="P666" s="245"/>
      <x:c r="Q666" s="245"/>
      <x:c r="R666" s="245"/>
      <x:c r="S666" s="245"/>
      <x:c r="T666" s="245"/>
      <x:c r="U666" s="245"/>
      <x:c r="V666" s="245"/>
      <x:c r="W666" s="245"/>
      <x:c r="X666" s="245"/>
      <x:c r="Y666" s="245"/>
      <x:c r="Z666" s="245"/>
    </x:row>
    <x:row r="667">
      <x:c r="A667" s="245"/>
      <x:c r="B667" s="245"/>
      <x:c r="C667" s="245"/>
      <x:c r="D667" s="245"/>
      <x:c r="E667" s="245"/>
      <x:c r="F667" s="245"/>
      <x:c r="G667" s="245"/>
      <x:c r="H667" s="245"/>
      <x:c r="I667" s="245"/>
      <x:c r="J667" s="245"/>
      <x:c r="K667" s="245"/>
      <x:c r="L667" s="245"/>
      <x:c r="M667" s="245"/>
      <x:c r="N667" s="245"/>
      <x:c r="O667" s="245"/>
      <x:c r="P667" s="245"/>
      <x:c r="Q667" s="245"/>
      <x:c r="R667" s="245"/>
      <x:c r="S667" s="245"/>
      <x:c r="T667" s="245"/>
      <x:c r="U667" s="245"/>
      <x:c r="V667" s="245"/>
      <x:c r="W667" s="245"/>
      <x:c r="X667" s="245"/>
      <x:c r="Y667" s="245"/>
      <x:c r="Z667" s="245"/>
    </x:row>
    <x:row r="668">
      <x:c r="A668" s="245"/>
      <x:c r="B668" s="245"/>
      <x:c r="C668" s="245"/>
      <x:c r="D668" s="245"/>
      <x:c r="E668" s="245"/>
      <x:c r="F668" s="245"/>
      <x:c r="G668" s="245"/>
      <x:c r="H668" s="245"/>
      <x:c r="I668" s="245"/>
      <x:c r="J668" s="245"/>
      <x:c r="K668" s="245"/>
      <x:c r="L668" s="245"/>
      <x:c r="M668" s="245"/>
      <x:c r="N668" s="245"/>
      <x:c r="O668" s="245"/>
      <x:c r="P668" s="245"/>
      <x:c r="Q668" s="245"/>
      <x:c r="R668" s="245"/>
      <x:c r="S668" s="245"/>
      <x:c r="T668" s="245"/>
      <x:c r="U668" s="245"/>
      <x:c r="V668" s="245"/>
      <x:c r="W668" s="245"/>
      <x:c r="X668" s="245"/>
      <x:c r="Y668" s="245"/>
      <x:c r="Z668" s="245"/>
    </x:row>
    <x:row r="669">
      <x:c r="A669" s="245"/>
      <x:c r="B669" s="245"/>
      <x:c r="C669" s="245"/>
      <x:c r="D669" s="245"/>
      <x:c r="E669" s="245"/>
      <x:c r="F669" s="245"/>
      <x:c r="G669" s="245"/>
      <x:c r="H669" s="245"/>
      <x:c r="I669" s="245"/>
      <x:c r="J669" s="245"/>
      <x:c r="K669" s="245"/>
      <x:c r="L669" s="245"/>
      <x:c r="M669" s="245"/>
      <x:c r="N669" s="245"/>
      <x:c r="O669" s="245"/>
      <x:c r="P669" s="245"/>
      <x:c r="Q669" s="245"/>
      <x:c r="R669" s="245"/>
      <x:c r="S669" s="245"/>
      <x:c r="T669" s="245"/>
      <x:c r="U669" s="245"/>
      <x:c r="V669" s="245"/>
      <x:c r="W669" s="245"/>
      <x:c r="X669" s="245"/>
      <x:c r="Y669" s="245"/>
      <x:c r="Z669" s="245"/>
    </x:row>
    <x:row r="670">
      <x:c r="A670" s="245"/>
      <x:c r="B670" s="245"/>
      <x:c r="C670" s="245"/>
      <x:c r="D670" s="245"/>
      <x:c r="E670" s="245"/>
      <x:c r="F670" s="245"/>
      <x:c r="G670" s="245"/>
      <x:c r="H670" s="245"/>
      <x:c r="I670" s="245"/>
      <x:c r="J670" s="245"/>
      <x:c r="K670" s="245"/>
      <x:c r="L670" s="245"/>
      <x:c r="M670" s="245"/>
      <x:c r="N670" s="245"/>
      <x:c r="O670" s="245"/>
      <x:c r="P670" s="245"/>
      <x:c r="Q670" s="245"/>
      <x:c r="R670" s="245"/>
      <x:c r="S670" s="245"/>
      <x:c r="T670" s="245"/>
      <x:c r="U670" s="245"/>
      <x:c r="V670" s="245"/>
      <x:c r="W670" s="245"/>
      <x:c r="X670" s="245"/>
      <x:c r="Y670" s="245"/>
      <x:c r="Z670" s="245"/>
    </x:row>
    <x:row r="671">
      <x:c r="A671" s="245"/>
      <x:c r="B671" s="245"/>
      <x:c r="C671" s="245"/>
      <x:c r="D671" s="245"/>
      <x:c r="E671" s="245"/>
      <x:c r="F671" s="245"/>
      <x:c r="G671" s="245"/>
      <x:c r="H671" s="245"/>
      <x:c r="I671" s="245"/>
      <x:c r="J671" s="245"/>
      <x:c r="K671" s="245"/>
      <x:c r="L671" s="245"/>
      <x:c r="M671" s="245"/>
      <x:c r="N671" s="245"/>
      <x:c r="O671" s="245"/>
      <x:c r="P671" s="245"/>
      <x:c r="Q671" s="245"/>
      <x:c r="R671" s="245"/>
      <x:c r="S671" s="245"/>
      <x:c r="T671" s="245"/>
      <x:c r="U671" s="245"/>
      <x:c r="V671" s="245"/>
      <x:c r="W671" s="245"/>
      <x:c r="X671" s="245"/>
      <x:c r="Y671" s="245"/>
      <x:c r="Z671" s="245"/>
    </x:row>
    <x:row r="672">
      <x:c r="A672" s="245"/>
      <x:c r="B672" s="245"/>
      <x:c r="C672" s="245"/>
      <x:c r="D672" s="245"/>
      <x:c r="E672" s="245"/>
      <x:c r="F672" s="245"/>
      <x:c r="G672" s="245"/>
      <x:c r="H672" s="245"/>
      <x:c r="I672" s="245"/>
      <x:c r="J672" s="245"/>
      <x:c r="K672" s="245"/>
      <x:c r="L672" s="245"/>
      <x:c r="M672" s="245"/>
      <x:c r="N672" s="245"/>
      <x:c r="O672" s="245"/>
      <x:c r="P672" s="245"/>
      <x:c r="Q672" s="245"/>
      <x:c r="R672" s="245"/>
      <x:c r="S672" s="245"/>
      <x:c r="T672" s="245"/>
      <x:c r="U672" s="245"/>
      <x:c r="V672" s="245"/>
      <x:c r="W672" s="245"/>
      <x:c r="X672" s="245"/>
      <x:c r="Y672" s="245"/>
      <x:c r="Z672" s="245"/>
    </x:row>
    <x:row r="673">
      <x:c r="A673" s="245"/>
      <x:c r="B673" s="245"/>
      <x:c r="C673" s="245"/>
      <x:c r="D673" s="245"/>
      <x:c r="E673" s="245"/>
      <x:c r="F673" s="245"/>
      <x:c r="G673" s="245"/>
      <x:c r="H673" s="245"/>
      <x:c r="I673" s="245"/>
      <x:c r="J673" s="245"/>
      <x:c r="K673" s="245"/>
      <x:c r="L673" s="245"/>
      <x:c r="M673" s="245"/>
      <x:c r="N673" s="245"/>
      <x:c r="O673" s="245"/>
      <x:c r="P673" s="245"/>
      <x:c r="Q673" s="245"/>
      <x:c r="R673" s="245"/>
      <x:c r="S673" s="245"/>
      <x:c r="T673" s="245"/>
      <x:c r="U673" s="245"/>
      <x:c r="V673" s="245"/>
      <x:c r="W673" s="245"/>
      <x:c r="X673" s="245"/>
      <x:c r="Y673" s="245"/>
      <x:c r="Z673" s="245"/>
    </x:row>
    <x:row r="674">
      <x:c r="A674" s="245"/>
      <x:c r="B674" s="245"/>
      <x:c r="C674" s="245"/>
      <x:c r="D674" s="245"/>
      <x:c r="E674" s="245"/>
      <x:c r="F674" s="245"/>
      <x:c r="G674" s="245"/>
      <x:c r="H674" s="245"/>
      <x:c r="I674" s="245"/>
      <x:c r="J674" s="245"/>
      <x:c r="K674" s="245"/>
      <x:c r="L674" s="245"/>
      <x:c r="M674" s="245"/>
      <x:c r="N674" s="245"/>
      <x:c r="O674" s="245"/>
      <x:c r="P674" s="245"/>
      <x:c r="Q674" s="245"/>
      <x:c r="R674" s="245"/>
      <x:c r="S674" s="245"/>
      <x:c r="T674" s="245"/>
      <x:c r="U674" s="245"/>
      <x:c r="V674" s="245"/>
      <x:c r="W674" s="245"/>
      <x:c r="X674" s="245"/>
      <x:c r="Y674" s="245"/>
      <x:c r="Z674" s="245"/>
    </x:row>
    <x:row r="675">
      <x:c r="A675" s="245"/>
      <x:c r="B675" s="245"/>
      <x:c r="C675" s="245"/>
      <x:c r="D675" s="245"/>
      <x:c r="E675" s="245"/>
      <x:c r="F675" s="245"/>
      <x:c r="G675" s="245"/>
      <x:c r="H675" s="245"/>
      <x:c r="I675" s="245"/>
      <x:c r="J675" s="245"/>
      <x:c r="K675" s="245"/>
      <x:c r="L675" s="245"/>
      <x:c r="M675" s="245"/>
      <x:c r="N675" s="245"/>
      <x:c r="O675" s="245"/>
      <x:c r="P675" s="245"/>
      <x:c r="Q675" s="245"/>
      <x:c r="R675" s="245"/>
      <x:c r="S675" s="245"/>
      <x:c r="T675" s="245"/>
      <x:c r="U675" s="245"/>
      <x:c r="V675" s="245"/>
      <x:c r="W675" s="245"/>
      <x:c r="X675" s="245"/>
      <x:c r="Y675" s="245"/>
      <x:c r="Z675" s="245"/>
    </x:row>
    <x:row r="676">
      <x:c r="A676" s="245"/>
      <x:c r="B676" s="245"/>
      <x:c r="C676" s="245"/>
      <x:c r="D676" s="245"/>
      <x:c r="E676" s="245"/>
      <x:c r="F676" s="245"/>
      <x:c r="G676" s="245"/>
      <x:c r="H676" s="245"/>
      <x:c r="I676" s="245"/>
      <x:c r="J676" s="245"/>
      <x:c r="K676" s="245"/>
      <x:c r="L676" s="245"/>
      <x:c r="M676" s="245"/>
      <x:c r="N676" s="245"/>
      <x:c r="O676" s="245"/>
      <x:c r="P676" s="245"/>
      <x:c r="Q676" s="245"/>
      <x:c r="R676" s="245"/>
      <x:c r="S676" s="245"/>
      <x:c r="T676" s="245"/>
      <x:c r="U676" s="245"/>
      <x:c r="V676" s="245"/>
      <x:c r="W676" s="245"/>
      <x:c r="X676" s="245"/>
      <x:c r="Y676" s="245"/>
      <x:c r="Z676" s="245"/>
    </x:row>
    <x:row r="677">
      <x:c r="A677" s="245"/>
      <x:c r="B677" s="245"/>
      <x:c r="C677" s="245"/>
      <x:c r="D677" s="245"/>
      <x:c r="E677" s="245"/>
      <x:c r="F677" s="245"/>
      <x:c r="G677" s="245"/>
      <x:c r="H677" s="245"/>
      <x:c r="I677" s="245"/>
      <x:c r="J677" s="245"/>
      <x:c r="K677" s="245"/>
      <x:c r="L677" s="245"/>
      <x:c r="M677" s="245"/>
      <x:c r="N677" s="245"/>
      <x:c r="O677" s="245"/>
      <x:c r="P677" s="245"/>
      <x:c r="Q677" s="245"/>
      <x:c r="R677" s="245"/>
      <x:c r="S677" s="245"/>
      <x:c r="T677" s="245"/>
      <x:c r="U677" s="245"/>
      <x:c r="V677" s="245"/>
      <x:c r="W677" s="245"/>
      <x:c r="X677" s="245"/>
      <x:c r="Y677" s="245"/>
      <x:c r="Z677" s="245"/>
    </x:row>
    <x:row r="678">
      <x:c r="A678" s="245"/>
      <x:c r="B678" s="245"/>
      <x:c r="C678" s="245"/>
      <x:c r="D678" s="245"/>
      <x:c r="E678" s="245"/>
      <x:c r="F678" s="245"/>
      <x:c r="G678" s="245"/>
      <x:c r="H678" s="245"/>
      <x:c r="I678" s="245"/>
      <x:c r="J678" s="245"/>
      <x:c r="K678" s="245"/>
      <x:c r="L678" s="245"/>
      <x:c r="M678" s="245"/>
      <x:c r="N678" s="245"/>
      <x:c r="O678" s="245"/>
      <x:c r="P678" s="245"/>
      <x:c r="Q678" s="245"/>
      <x:c r="R678" s="245"/>
      <x:c r="S678" s="245"/>
      <x:c r="T678" s="245"/>
      <x:c r="U678" s="245"/>
      <x:c r="V678" s="245"/>
      <x:c r="W678" s="245"/>
      <x:c r="X678" s="245"/>
      <x:c r="Y678" s="245"/>
      <x:c r="Z678" s="245"/>
    </x:row>
    <x:row r="679">
      <x:c r="A679" s="245"/>
      <x:c r="B679" s="245"/>
      <x:c r="C679" s="245"/>
      <x:c r="D679" s="245"/>
      <x:c r="E679" s="245"/>
      <x:c r="F679" s="245"/>
      <x:c r="G679" s="245"/>
      <x:c r="H679" s="245"/>
      <x:c r="I679" s="245"/>
      <x:c r="J679" s="245"/>
      <x:c r="K679" s="245"/>
      <x:c r="L679" s="245"/>
      <x:c r="M679" s="245"/>
      <x:c r="N679" s="245"/>
      <x:c r="O679" s="245"/>
      <x:c r="P679" s="245"/>
      <x:c r="Q679" s="245"/>
      <x:c r="R679" s="245"/>
      <x:c r="S679" s="245"/>
      <x:c r="T679" s="245"/>
      <x:c r="U679" s="245"/>
      <x:c r="V679" s="245"/>
      <x:c r="W679" s="245"/>
      <x:c r="X679" s="245"/>
      <x:c r="Y679" s="245"/>
      <x:c r="Z679" s="245"/>
    </x:row>
    <x:row r="680">
      <x:c r="A680" s="245"/>
      <x:c r="B680" s="245"/>
      <x:c r="C680" s="245"/>
      <x:c r="D680" s="245"/>
      <x:c r="E680" s="245"/>
      <x:c r="F680" s="245"/>
      <x:c r="G680" s="245"/>
      <x:c r="H680" s="245"/>
      <x:c r="I680" s="245"/>
      <x:c r="J680" s="245"/>
      <x:c r="K680" s="245"/>
      <x:c r="L680" s="245"/>
      <x:c r="M680" s="245"/>
      <x:c r="N680" s="245"/>
      <x:c r="O680" s="245"/>
      <x:c r="P680" s="245"/>
      <x:c r="Q680" s="245"/>
      <x:c r="R680" s="245"/>
      <x:c r="S680" s="245"/>
      <x:c r="T680" s="245"/>
      <x:c r="U680" s="245"/>
      <x:c r="V680" s="245"/>
      <x:c r="W680" s="245"/>
      <x:c r="X680" s="245"/>
      <x:c r="Y680" s="245"/>
      <x:c r="Z680" s="245"/>
    </x:row>
    <x:row r="681">
      <x:c r="A681" s="245"/>
      <x:c r="B681" s="245"/>
      <x:c r="C681" s="245"/>
      <x:c r="D681" s="245"/>
      <x:c r="E681" s="245"/>
      <x:c r="F681" s="245"/>
      <x:c r="G681" s="245"/>
      <x:c r="H681" s="245"/>
      <x:c r="I681" s="245"/>
      <x:c r="J681" s="245"/>
      <x:c r="K681" s="245"/>
      <x:c r="L681" s="245"/>
      <x:c r="M681" s="245"/>
      <x:c r="N681" s="245"/>
      <x:c r="O681" s="245"/>
      <x:c r="P681" s="245"/>
      <x:c r="Q681" s="245"/>
      <x:c r="R681" s="245"/>
      <x:c r="S681" s="245"/>
      <x:c r="T681" s="245"/>
      <x:c r="U681" s="245"/>
      <x:c r="V681" s="245"/>
      <x:c r="W681" s="245"/>
      <x:c r="X681" s="245"/>
      <x:c r="Y681" s="245"/>
      <x:c r="Z681" s="245"/>
    </x:row>
    <x:row r="682">
      <x:c r="A682" s="245"/>
      <x:c r="B682" s="245"/>
      <x:c r="C682" s="245"/>
      <x:c r="D682" s="245"/>
      <x:c r="E682" s="245"/>
      <x:c r="F682" s="245"/>
      <x:c r="G682" s="245"/>
      <x:c r="H682" s="245"/>
      <x:c r="I682" s="245"/>
      <x:c r="J682" s="245"/>
      <x:c r="K682" s="245"/>
      <x:c r="L682" s="245"/>
      <x:c r="M682" s="245"/>
      <x:c r="N682" s="245"/>
      <x:c r="O682" s="245"/>
      <x:c r="P682" s="245"/>
      <x:c r="Q682" s="245"/>
      <x:c r="R682" s="245"/>
      <x:c r="S682" s="245"/>
      <x:c r="T682" s="245"/>
      <x:c r="U682" s="245"/>
      <x:c r="V682" s="245"/>
      <x:c r="W682" s="245"/>
      <x:c r="X682" s="245"/>
      <x:c r="Y682" s="245"/>
      <x:c r="Z682" s="245"/>
    </x:row>
    <x:row r="683">
      <x:c r="A683" s="245"/>
      <x:c r="B683" s="245"/>
      <x:c r="C683" s="245"/>
      <x:c r="D683" s="245"/>
      <x:c r="E683" s="245"/>
      <x:c r="F683" s="245"/>
      <x:c r="G683" s="245"/>
      <x:c r="H683" s="245"/>
      <x:c r="I683" s="245"/>
      <x:c r="J683" s="245"/>
      <x:c r="K683" s="245"/>
      <x:c r="L683" s="245"/>
      <x:c r="M683" s="245"/>
      <x:c r="N683" s="245"/>
      <x:c r="O683" s="245"/>
      <x:c r="P683" s="245"/>
      <x:c r="Q683" s="245"/>
      <x:c r="R683" s="245"/>
      <x:c r="S683" s="245"/>
      <x:c r="T683" s="245"/>
      <x:c r="U683" s="245"/>
      <x:c r="V683" s="245"/>
      <x:c r="W683" s="245"/>
      <x:c r="X683" s="245"/>
      <x:c r="Y683" s="245"/>
      <x:c r="Z683" s="245"/>
    </x:row>
    <x:row r="684">
      <x:c r="A684" s="245"/>
      <x:c r="B684" s="245"/>
      <x:c r="C684" s="245"/>
      <x:c r="D684" s="245"/>
      <x:c r="E684" s="245"/>
      <x:c r="F684" s="245"/>
      <x:c r="G684" s="245"/>
      <x:c r="H684" s="245"/>
      <x:c r="I684" s="245"/>
      <x:c r="J684" s="245"/>
      <x:c r="K684" s="245"/>
      <x:c r="L684" s="245"/>
      <x:c r="M684" s="245"/>
      <x:c r="N684" s="245"/>
      <x:c r="O684" s="245"/>
      <x:c r="P684" s="245"/>
      <x:c r="Q684" s="245"/>
      <x:c r="R684" s="245"/>
      <x:c r="S684" s="245"/>
      <x:c r="T684" s="245"/>
      <x:c r="U684" s="245"/>
      <x:c r="V684" s="245"/>
      <x:c r="W684" s="245"/>
      <x:c r="X684" s="245"/>
      <x:c r="Y684" s="245"/>
      <x:c r="Z684" s="245"/>
    </x:row>
    <x:row r="685">
      <x:c r="A685" s="245"/>
      <x:c r="B685" s="245"/>
      <x:c r="C685" s="245"/>
      <x:c r="D685" s="245"/>
      <x:c r="E685" s="245"/>
      <x:c r="F685" s="245"/>
      <x:c r="G685" s="245"/>
      <x:c r="H685" s="245"/>
      <x:c r="I685" s="245"/>
      <x:c r="J685" s="245"/>
      <x:c r="K685" s="245"/>
      <x:c r="L685" s="245"/>
      <x:c r="M685" s="245"/>
      <x:c r="N685" s="245"/>
      <x:c r="O685" s="245"/>
      <x:c r="P685" s="245"/>
      <x:c r="Q685" s="245"/>
      <x:c r="R685" s="245"/>
      <x:c r="S685" s="245"/>
      <x:c r="T685" s="245"/>
      <x:c r="U685" s="245"/>
      <x:c r="V685" s="245"/>
      <x:c r="W685" s="245"/>
      <x:c r="X685" s="245"/>
      <x:c r="Y685" s="245"/>
      <x:c r="Z685" s="245"/>
    </x:row>
    <x:row r="686">
      <x:c r="A686" s="245"/>
      <x:c r="B686" s="245"/>
      <x:c r="C686" s="245"/>
      <x:c r="D686" s="245"/>
      <x:c r="E686" s="245"/>
      <x:c r="F686" s="245"/>
      <x:c r="G686" s="245"/>
      <x:c r="H686" s="245"/>
      <x:c r="I686" s="245"/>
      <x:c r="J686" s="245"/>
      <x:c r="K686" s="245"/>
      <x:c r="L686" s="245"/>
      <x:c r="M686" s="245"/>
      <x:c r="N686" s="245"/>
      <x:c r="O686" s="245"/>
      <x:c r="P686" s="245"/>
      <x:c r="Q686" s="245"/>
      <x:c r="R686" s="245"/>
      <x:c r="S686" s="245"/>
      <x:c r="T686" s="245"/>
      <x:c r="U686" s="245"/>
      <x:c r="V686" s="245"/>
      <x:c r="W686" s="245"/>
      <x:c r="X686" s="245"/>
      <x:c r="Y686" s="245"/>
      <x:c r="Z686" s="245"/>
    </x:row>
    <x:row r="687">
      <x:c r="A687" s="245"/>
      <x:c r="B687" s="245"/>
      <x:c r="C687" s="245"/>
      <x:c r="D687" s="245"/>
      <x:c r="E687" s="245"/>
      <x:c r="F687" s="245"/>
      <x:c r="G687" s="245"/>
      <x:c r="H687" s="245"/>
      <x:c r="I687" s="245"/>
      <x:c r="J687" s="245"/>
      <x:c r="K687" s="245"/>
      <x:c r="L687" s="245"/>
      <x:c r="M687" s="245"/>
      <x:c r="N687" s="245"/>
      <x:c r="O687" s="245"/>
      <x:c r="P687" s="245"/>
      <x:c r="Q687" s="245"/>
      <x:c r="R687" s="245"/>
      <x:c r="S687" s="245"/>
      <x:c r="T687" s="245"/>
      <x:c r="U687" s="245"/>
      <x:c r="V687" s="245"/>
      <x:c r="W687" s="245"/>
      <x:c r="X687" s="245"/>
      <x:c r="Y687" s="245"/>
      <x:c r="Z687" s="245"/>
    </x:row>
    <x:row r="688">
      <x:c r="A688" s="245"/>
      <x:c r="B688" s="245"/>
      <x:c r="C688" s="245"/>
      <x:c r="D688" s="245"/>
      <x:c r="E688" s="245"/>
      <x:c r="F688" s="245"/>
      <x:c r="G688" s="245"/>
      <x:c r="H688" s="245"/>
      <x:c r="I688" s="245"/>
      <x:c r="J688" s="245"/>
      <x:c r="K688" s="245"/>
      <x:c r="L688" s="245"/>
      <x:c r="M688" s="245"/>
      <x:c r="N688" s="245"/>
      <x:c r="O688" s="245"/>
      <x:c r="P688" s="245"/>
      <x:c r="Q688" s="245"/>
      <x:c r="R688" s="245"/>
      <x:c r="S688" s="245"/>
      <x:c r="T688" s="245"/>
      <x:c r="U688" s="245"/>
      <x:c r="V688" s="245"/>
      <x:c r="W688" s="245"/>
      <x:c r="X688" s="245"/>
      <x:c r="Y688" s="245"/>
      <x:c r="Z688" s="245"/>
    </x:row>
    <x:row r="689">
      <x:c r="A689" s="245"/>
      <x:c r="B689" s="245"/>
      <x:c r="C689" s="245"/>
      <x:c r="D689" s="245"/>
      <x:c r="E689" s="245"/>
      <x:c r="F689" s="245"/>
      <x:c r="G689" s="245"/>
      <x:c r="H689" s="245"/>
      <x:c r="I689" s="245"/>
      <x:c r="J689" s="245"/>
      <x:c r="K689" s="245"/>
      <x:c r="L689" s="245"/>
      <x:c r="M689" s="245"/>
      <x:c r="N689" s="245"/>
      <x:c r="O689" s="245"/>
      <x:c r="P689" s="245"/>
      <x:c r="Q689" s="245"/>
      <x:c r="R689" s="245"/>
      <x:c r="S689" s="245"/>
      <x:c r="T689" s="245"/>
      <x:c r="U689" s="245"/>
      <x:c r="V689" s="245"/>
      <x:c r="W689" s="245"/>
      <x:c r="X689" s="245"/>
      <x:c r="Y689" s="245"/>
      <x:c r="Z689" s="245"/>
    </x:row>
    <x:row r="690">
      <x:c r="A690" s="245"/>
      <x:c r="B690" s="245"/>
      <x:c r="C690" s="245"/>
      <x:c r="D690" s="245"/>
      <x:c r="E690" s="245"/>
      <x:c r="F690" s="245"/>
      <x:c r="G690" s="245"/>
      <x:c r="H690" s="245"/>
      <x:c r="I690" s="245"/>
      <x:c r="J690" s="245"/>
      <x:c r="K690" s="245"/>
      <x:c r="L690" s="245"/>
      <x:c r="M690" s="245"/>
      <x:c r="N690" s="245"/>
      <x:c r="O690" s="245"/>
      <x:c r="P690" s="245"/>
      <x:c r="Q690" s="245"/>
      <x:c r="R690" s="245"/>
      <x:c r="S690" s="245"/>
      <x:c r="T690" s="245"/>
      <x:c r="U690" s="245"/>
      <x:c r="V690" s="245"/>
      <x:c r="W690" s="245"/>
      <x:c r="X690" s="245"/>
      <x:c r="Y690" s="245"/>
      <x:c r="Z690" s="245"/>
    </x:row>
    <x:row r="691">
      <x:c r="A691" s="245"/>
      <x:c r="B691" s="245"/>
      <x:c r="C691" s="245"/>
      <x:c r="D691" s="245"/>
      <x:c r="E691" s="245"/>
      <x:c r="F691" s="245"/>
      <x:c r="G691" s="245"/>
      <x:c r="H691" s="245"/>
      <x:c r="I691" s="245"/>
      <x:c r="J691" s="245"/>
      <x:c r="K691" s="245"/>
      <x:c r="L691" s="245"/>
      <x:c r="M691" s="245"/>
      <x:c r="N691" s="245"/>
      <x:c r="O691" s="245"/>
      <x:c r="P691" s="245"/>
      <x:c r="Q691" s="245"/>
      <x:c r="R691" s="245"/>
      <x:c r="S691" s="245"/>
      <x:c r="T691" s="245"/>
      <x:c r="U691" s="245"/>
      <x:c r="V691" s="245"/>
      <x:c r="W691" s="245"/>
      <x:c r="X691" s="245"/>
      <x:c r="Y691" s="245"/>
      <x:c r="Z691" s="245"/>
    </x:row>
    <x:row r="692">
      <x:c r="A692" s="245"/>
      <x:c r="B692" s="245"/>
      <x:c r="C692" s="245"/>
      <x:c r="D692" s="245"/>
      <x:c r="E692" s="245"/>
      <x:c r="F692" s="245"/>
      <x:c r="G692" s="245"/>
      <x:c r="H692" s="245"/>
      <x:c r="I692" s="245"/>
      <x:c r="J692" s="245"/>
      <x:c r="K692" s="245"/>
      <x:c r="L692" s="245"/>
      <x:c r="M692" s="245"/>
      <x:c r="N692" s="245"/>
      <x:c r="O692" s="245"/>
      <x:c r="P692" s="245"/>
      <x:c r="Q692" s="245"/>
      <x:c r="R692" s="245"/>
      <x:c r="S692" s="245"/>
      <x:c r="T692" s="245"/>
      <x:c r="U692" s="245"/>
      <x:c r="V692" s="245"/>
      <x:c r="W692" s="245"/>
      <x:c r="X692" s="245"/>
      <x:c r="Y692" s="245"/>
      <x:c r="Z692" s="245"/>
    </x:row>
    <x:row r="693">
      <x:c r="A693" s="245"/>
      <x:c r="B693" s="245"/>
      <x:c r="C693" s="245"/>
      <x:c r="D693" s="245"/>
      <x:c r="E693" s="245"/>
      <x:c r="F693" s="245"/>
      <x:c r="G693" s="245"/>
      <x:c r="H693" s="245"/>
      <x:c r="I693" s="245"/>
      <x:c r="J693" s="245"/>
      <x:c r="K693" s="245"/>
      <x:c r="L693" s="245"/>
      <x:c r="M693" s="245"/>
      <x:c r="N693" s="245"/>
      <x:c r="O693" s="245"/>
      <x:c r="P693" s="245"/>
      <x:c r="Q693" s="245"/>
      <x:c r="R693" s="245"/>
      <x:c r="S693" s="245"/>
      <x:c r="T693" s="245"/>
      <x:c r="U693" s="245"/>
      <x:c r="V693" s="245"/>
      <x:c r="W693" s="245"/>
      <x:c r="X693" s="245"/>
      <x:c r="Y693" s="245"/>
      <x:c r="Z693" s="245"/>
    </x:row>
    <x:row r="694">
      <x:c r="A694" s="245"/>
      <x:c r="B694" s="245"/>
      <x:c r="C694" s="245"/>
      <x:c r="D694" s="245"/>
      <x:c r="E694" s="245"/>
      <x:c r="F694" s="245"/>
      <x:c r="G694" s="245"/>
      <x:c r="H694" s="245"/>
      <x:c r="I694" s="245"/>
      <x:c r="J694" s="245"/>
      <x:c r="K694" s="245"/>
      <x:c r="L694" s="245"/>
      <x:c r="M694" s="245"/>
      <x:c r="N694" s="245"/>
      <x:c r="O694" s="245"/>
      <x:c r="P694" s="245"/>
      <x:c r="Q694" s="245"/>
      <x:c r="R694" s="245"/>
      <x:c r="S694" s="245"/>
      <x:c r="T694" s="245"/>
      <x:c r="U694" s="245"/>
      <x:c r="V694" s="245"/>
      <x:c r="W694" s="245"/>
      <x:c r="X694" s="245"/>
      <x:c r="Y694" s="245"/>
      <x:c r="Z694" s="245"/>
    </x:row>
    <x:row r="695">
      <x:c r="A695" s="245"/>
      <x:c r="B695" s="245"/>
      <x:c r="C695" s="245"/>
      <x:c r="D695" s="245"/>
      <x:c r="E695" s="245"/>
      <x:c r="F695" s="245"/>
      <x:c r="G695" s="245"/>
      <x:c r="H695" s="245"/>
      <x:c r="I695" s="245"/>
      <x:c r="J695" s="245"/>
      <x:c r="K695" s="245"/>
      <x:c r="L695" s="245"/>
      <x:c r="M695" s="245"/>
      <x:c r="N695" s="245"/>
      <x:c r="O695" s="245"/>
      <x:c r="P695" s="245"/>
      <x:c r="Q695" s="245"/>
      <x:c r="R695" s="245"/>
      <x:c r="S695" s="245"/>
      <x:c r="T695" s="245"/>
      <x:c r="U695" s="245"/>
      <x:c r="V695" s="245"/>
      <x:c r="W695" s="245"/>
      <x:c r="X695" s="245"/>
      <x:c r="Y695" s="245"/>
      <x:c r="Z695" s="245"/>
    </x:row>
    <x:row r="696">
      <x:c r="A696" s="245"/>
      <x:c r="B696" s="245"/>
      <x:c r="C696" s="245"/>
      <x:c r="D696" s="245"/>
      <x:c r="E696" s="245"/>
      <x:c r="F696" s="245"/>
      <x:c r="G696" s="245"/>
      <x:c r="H696" s="245"/>
      <x:c r="I696" s="245"/>
      <x:c r="J696" s="245"/>
      <x:c r="K696" s="245"/>
      <x:c r="L696" s="245"/>
      <x:c r="M696" s="245"/>
      <x:c r="N696" s="245"/>
      <x:c r="O696" s="245"/>
      <x:c r="P696" s="245"/>
      <x:c r="Q696" s="245"/>
      <x:c r="R696" s="245"/>
      <x:c r="S696" s="245"/>
      <x:c r="T696" s="245"/>
      <x:c r="U696" s="245"/>
      <x:c r="V696" s="245"/>
      <x:c r="W696" s="245"/>
      <x:c r="X696" s="245"/>
      <x:c r="Y696" s="245"/>
      <x:c r="Z696" s="245"/>
    </x:row>
    <x:row r="697">
      <x:c r="A697" s="245"/>
      <x:c r="B697" s="245"/>
      <x:c r="C697" s="245"/>
      <x:c r="D697" s="245"/>
      <x:c r="E697" s="245"/>
      <x:c r="F697" s="245"/>
      <x:c r="G697" s="245"/>
      <x:c r="H697" s="245"/>
      <x:c r="I697" s="245"/>
      <x:c r="J697" s="245"/>
      <x:c r="K697" s="245"/>
      <x:c r="L697" s="245"/>
      <x:c r="M697" s="245"/>
      <x:c r="N697" s="245"/>
      <x:c r="O697" s="245"/>
      <x:c r="P697" s="245"/>
      <x:c r="Q697" s="245"/>
      <x:c r="R697" s="245"/>
      <x:c r="S697" s="245"/>
      <x:c r="T697" s="245"/>
      <x:c r="U697" s="245"/>
      <x:c r="V697" s="245"/>
      <x:c r="W697" s="245"/>
      <x:c r="X697" s="245"/>
      <x:c r="Y697" s="245"/>
      <x:c r="Z697" s="245"/>
    </x:row>
    <x:row r="698">
      <x:c r="A698" s="245"/>
      <x:c r="B698" s="245"/>
      <x:c r="C698" s="245"/>
      <x:c r="D698" s="245"/>
      <x:c r="E698" s="245"/>
      <x:c r="F698" s="245"/>
      <x:c r="G698" s="245"/>
      <x:c r="H698" s="245"/>
      <x:c r="I698" s="245"/>
      <x:c r="J698" s="245"/>
      <x:c r="K698" s="245"/>
      <x:c r="L698" s="245"/>
      <x:c r="M698" s="245"/>
      <x:c r="N698" s="245"/>
      <x:c r="O698" s="245"/>
      <x:c r="P698" s="245"/>
      <x:c r="Q698" s="245"/>
      <x:c r="R698" s="245"/>
      <x:c r="S698" s="245"/>
      <x:c r="T698" s="245"/>
      <x:c r="U698" s="245"/>
      <x:c r="V698" s="245"/>
      <x:c r="W698" s="245"/>
      <x:c r="X698" s="245"/>
      <x:c r="Y698" s="245"/>
      <x:c r="Z698" s="245"/>
    </x:row>
    <x:row r="699">
      <x:c r="A699" s="245"/>
      <x:c r="B699" s="245"/>
      <x:c r="C699" s="245"/>
      <x:c r="D699" s="245"/>
      <x:c r="E699" s="245"/>
      <x:c r="F699" s="245"/>
      <x:c r="G699" s="245"/>
      <x:c r="H699" s="245"/>
      <x:c r="I699" s="245"/>
      <x:c r="J699" s="245"/>
      <x:c r="K699" s="245"/>
      <x:c r="L699" s="245"/>
      <x:c r="M699" s="245"/>
      <x:c r="N699" s="245"/>
      <x:c r="O699" s="245"/>
      <x:c r="P699" s="245"/>
      <x:c r="Q699" s="245"/>
      <x:c r="R699" s="245"/>
      <x:c r="S699" s="245"/>
      <x:c r="T699" s="245"/>
      <x:c r="U699" s="245"/>
      <x:c r="V699" s="245"/>
      <x:c r="W699" s="245"/>
      <x:c r="X699" s="245"/>
      <x:c r="Y699" s="245"/>
      <x:c r="Z699" s="245"/>
    </x:row>
    <x:row r="700">
      <x:c r="A700" s="245"/>
      <x:c r="B700" s="245"/>
      <x:c r="C700" s="245"/>
      <x:c r="D700" s="245"/>
      <x:c r="E700" s="245"/>
      <x:c r="F700" s="245"/>
      <x:c r="G700" s="245"/>
      <x:c r="H700" s="245"/>
      <x:c r="I700" s="245"/>
      <x:c r="J700" s="245"/>
      <x:c r="K700" s="245"/>
      <x:c r="L700" s="245"/>
      <x:c r="M700" s="245"/>
      <x:c r="N700" s="245"/>
      <x:c r="O700" s="245"/>
      <x:c r="P700" s="245"/>
      <x:c r="Q700" s="245"/>
      <x:c r="R700" s="245"/>
      <x:c r="S700" s="245"/>
      <x:c r="T700" s="245"/>
      <x:c r="U700" s="245"/>
      <x:c r="V700" s="245"/>
      <x:c r="W700" s="245"/>
      <x:c r="X700" s="245"/>
      <x:c r="Y700" s="245"/>
      <x:c r="Z700" s="245"/>
    </x:row>
    <x:row r="701">
      <x:c r="A701" s="245"/>
      <x:c r="B701" s="245"/>
      <x:c r="C701" s="245"/>
      <x:c r="D701" s="245"/>
      <x:c r="E701" s="245"/>
      <x:c r="F701" s="245"/>
      <x:c r="G701" s="245"/>
      <x:c r="H701" s="245"/>
      <x:c r="I701" s="245"/>
      <x:c r="J701" s="245"/>
      <x:c r="K701" s="245"/>
      <x:c r="L701" s="245"/>
      <x:c r="M701" s="245"/>
      <x:c r="N701" s="245"/>
      <x:c r="O701" s="245"/>
      <x:c r="P701" s="245"/>
      <x:c r="Q701" s="245"/>
      <x:c r="R701" s="245"/>
      <x:c r="S701" s="245"/>
      <x:c r="T701" s="245"/>
      <x:c r="U701" s="245"/>
      <x:c r="V701" s="245"/>
      <x:c r="W701" s="245"/>
      <x:c r="X701" s="245"/>
      <x:c r="Y701" s="245"/>
      <x:c r="Z701" s="245"/>
    </x:row>
    <x:row r="702">
      <x:c r="A702" s="245"/>
      <x:c r="B702" s="245"/>
      <x:c r="C702" s="245"/>
      <x:c r="D702" s="245"/>
      <x:c r="E702" s="245"/>
      <x:c r="F702" s="245"/>
      <x:c r="G702" s="245"/>
      <x:c r="H702" s="245"/>
      <x:c r="I702" s="245"/>
      <x:c r="J702" s="245"/>
      <x:c r="K702" s="245"/>
      <x:c r="L702" s="245"/>
      <x:c r="M702" s="245"/>
      <x:c r="N702" s="245"/>
      <x:c r="O702" s="245"/>
      <x:c r="P702" s="245"/>
      <x:c r="Q702" s="245"/>
      <x:c r="R702" s="245"/>
      <x:c r="S702" s="245"/>
      <x:c r="T702" s="245"/>
      <x:c r="U702" s="245"/>
      <x:c r="V702" s="245"/>
      <x:c r="W702" s="245"/>
      <x:c r="X702" s="245"/>
      <x:c r="Y702" s="245"/>
      <x:c r="Z702" s="245"/>
    </x:row>
    <x:row r="703">
      <x:c r="A703" s="245"/>
      <x:c r="B703" s="245"/>
      <x:c r="C703" s="245"/>
      <x:c r="D703" s="245"/>
      <x:c r="E703" s="245"/>
      <x:c r="F703" s="245"/>
      <x:c r="G703" s="245"/>
      <x:c r="H703" s="245"/>
      <x:c r="I703" s="245"/>
      <x:c r="J703" s="245"/>
      <x:c r="K703" s="245"/>
      <x:c r="L703" s="245"/>
      <x:c r="M703" s="245"/>
      <x:c r="N703" s="245"/>
      <x:c r="O703" s="245"/>
      <x:c r="P703" s="245"/>
      <x:c r="Q703" s="245"/>
      <x:c r="R703" s="245"/>
      <x:c r="S703" s="245"/>
      <x:c r="T703" s="245"/>
      <x:c r="U703" s="245"/>
      <x:c r="V703" s="245"/>
      <x:c r="W703" s="245"/>
      <x:c r="X703" s="245"/>
      <x:c r="Y703" s="245"/>
      <x:c r="Z703" s="245"/>
    </x:row>
    <x:row r="704">
      <x:c r="A704" s="245"/>
      <x:c r="B704" s="245"/>
      <x:c r="C704" s="245"/>
      <x:c r="D704" s="245"/>
      <x:c r="E704" s="245"/>
      <x:c r="F704" s="245"/>
      <x:c r="G704" s="245"/>
      <x:c r="H704" s="245"/>
      <x:c r="I704" s="245"/>
      <x:c r="J704" s="245"/>
      <x:c r="K704" s="245"/>
      <x:c r="L704" s="245"/>
      <x:c r="M704" s="245"/>
      <x:c r="N704" s="245"/>
      <x:c r="O704" s="245"/>
      <x:c r="P704" s="245"/>
      <x:c r="Q704" s="245"/>
      <x:c r="R704" s="245"/>
      <x:c r="S704" s="245"/>
      <x:c r="T704" s="245"/>
      <x:c r="U704" s="245"/>
      <x:c r="V704" s="245"/>
      <x:c r="W704" s="245"/>
      <x:c r="X704" s="245"/>
      <x:c r="Y704" s="245"/>
      <x:c r="Z704" s="245"/>
    </x:row>
    <x:row r="705">
      <x:c r="A705" s="245"/>
      <x:c r="B705" s="245"/>
      <x:c r="C705" s="245"/>
      <x:c r="D705" s="245"/>
      <x:c r="E705" s="245"/>
      <x:c r="F705" s="245"/>
      <x:c r="G705" s="245"/>
      <x:c r="H705" s="245"/>
      <x:c r="I705" s="245"/>
      <x:c r="J705" s="245"/>
      <x:c r="K705" s="245"/>
      <x:c r="L705" s="245"/>
      <x:c r="M705" s="245"/>
      <x:c r="N705" s="245"/>
      <x:c r="O705" s="245"/>
      <x:c r="P705" s="245"/>
      <x:c r="Q705" s="245"/>
      <x:c r="R705" s="245"/>
      <x:c r="S705" s="245"/>
      <x:c r="T705" s="245"/>
      <x:c r="U705" s="245"/>
      <x:c r="V705" s="245"/>
      <x:c r="W705" s="245"/>
      <x:c r="X705" s="245"/>
      <x:c r="Y705" s="245"/>
      <x:c r="Z705" s="245"/>
    </x:row>
    <x:row r="706">
      <x:c r="A706" s="245"/>
      <x:c r="B706" s="245"/>
      <x:c r="C706" s="245"/>
      <x:c r="D706" s="245"/>
      <x:c r="E706" s="245"/>
      <x:c r="F706" s="245"/>
      <x:c r="G706" s="245"/>
      <x:c r="H706" s="245"/>
      <x:c r="I706" s="245"/>
      <x:c r="J706" s="245"/>
      <x:c r="K706" s="245"/>
      <x:c r="L706" s="245"/>
      <x:c r="M706" s="245"/>
      <x:c r="N706" s="245"/>
      <x:c r="O706" s="245"/>
      <x:c r="P706" s="245"/>
      <x:c r="Q706" s="245"/>
      <x:c r="R706" s="245"/>
      <x:c r="S706" s="245"/>
      <x:c r="T706" s="245"/>
      <x:c r="U706" s="245"/>
      <x:c r="V706" s="245"/>
      <x:c r="W706" s="245"/>
      <x:c r="X706" s="245"/>
      <x:c r="Y706" s="245"/>
      <x:c r="Z706" s="245"/>
    </x:row>
    <x:row r="707">
      <x:c r="A707" s="245"/>
      <x:c r="B707" s="245"/>
      <x:c r="C707" s="245"/>
      <x:c r="D707" s="245"/>
      <x:c r="E707" s="245"/>
      <x:c r="F707" s="245"/>
      <x:c r="G707" s="245"/>
      <x:c r="H707" s="245"/>
      <x:c r="I707" s="245"/>
      <x:c r="J707" s="245"/>
      <x:c r="K707" s="245"/>
      <x:c r="L707" s="245"/>
      <x:c r="M707" s="245"/>
      <x:c r="N707" s="245"/>
      <x:c r="O707" s="245"/>
      <x:c r="P707" s="245"/>
      <x:c r="Q707" s="245"/>
      <x:c r="R707" s="245"/>
      <x:c r="S707" s="245"/>
      <x:c r="T707" s="245"/>
      <x:c r="U707" s="245"/>
      <x:c r="V707" s="245"/>
      <x:c r="W707" s="245"/>
      <x:c r="X707" s="245"/>
      <x:c r="Y707" s="245"/>
      <x:c r="Z707" s="245"/>
    </x:row>
    <x:row r="708">
      <x:c r="A708" s="245"/>
      <x:c r="B708" s="245"/>
      <x:c r="C708" s="245"/>
      <x:c r="D708" s="245"/>
      <x:c r="E708" s="245"/>
      <x:c r="F708" s="245"/>
      <x:c r="G708" s="245"/>
      <x:c r="H708" s="245"/>
      <x:c r="I708" s="245"/>
      <x:c r="J708" s="245"/>
      <x:c r="K708" s="245"/>
      <x:c r="L708" s="245"/>
      <x:c r="M708" s="245"/>
      <x:c r="N708" s="245"/>
      <x:c r="O708" s="245"/>
      <x:c r="P708" s="245"/>
      <x:c r="Q708" s="245"/>
      <x:c r="R708" s="245"/>
      <x:c r="S708" s="245"/>
      <x:c r="T708" s="245"/>
      <x:c r="U708" s="245"/>
      <x:c r="V708" s="245"/>
      <x:c r="W708" s="245"/>
      <x:c r="X708" s="245"/>
      <x:c r="Y708" s="245"/>
      <x:c r="Z708" s="245"/>
    </x:row>
    <x:row r="709">
      <x:c r="A709" s="245"/>
      <x:c r="B709" s="245"/>
      <x:c r="C709" s="245"/>
      <x:c r="D709" s="245"/>
      <x:c r="E709" s="245"/>
      <x:c r="F709" s="245"/>
      <x:c r="G709" s="245"/>
      <x:c r="H709" s="245"/>
      <x:c r="I709" s="245"/>
      <x:c r="J709" s="245"/>
      <x:c r="K709" s="245"/>
      <x:c r="L709" s="245"/>
      <x:c r="M709" s="245"/>
      <x:c r="N709" s="245"/>
      <x:c r="O709" s="245"/>
      <x:c r="P709" s="245"/>
      <x:c r="Q709" s="245"/>
      <x:c r="R709" s="245"/>
      <x:c r="S709" s="245"/>
      <x:c r="T709" s="245"/>
      <x:c r="U709" s="245"/>
      <x:c r="V709" s="245"/>
      <x:c r="W709" s="245"/>
      <x:c r="X709" s="245"/>
      <x:c r="Y709" s="245"/>
      <x:c r="Z709" s="245"/>
    </x:row>
    <x:row r="710">
      <x:c r="A710" s="245"/>
      <x:c r="B710" s="245"/>
      <x:c r="C710" s="245"/>
      <x:c r="D710" s="245"/>
      <x:c r="E710" s="245"/>
      <x:c r="F710" s="245"/>
      <x:c r="G710" s="245"/>
      <x:c r="H710" s="245"/>
      <x:c r="I710" s="245"/>
      <x:c r="J710" s="245"/>
      <x:c r="K710" s="245"/>
      <x:c r="L710" s="245"/>
      <x:c r="M710" s="245"/>
      <x:c r="N710" s="245"/>
      <x:c r="O710" s="245"/>
      <x:c r="P710" s="245"/>
      <x:c r="Q710" s="245"/>
      <x:c r="R710" s="245"/>
      <x:c r="S710" s="245"/>
      <x:c r="T710" s="245"/>
      <x:c r="U710" s="245"/>
      <x:c r="V710" s="245"/>
      <x:c r="W710" s="245"/>
      <x:c r="X710" s="245"/>
      <x:c r="Y710" s="245"/>
      <x:c r="Z710" s="245"/>
    </x:row>
    <x:row r="711">
      <x:c r="A711" s="245"/>
      <x:c r="B711" s="245"/>
      <x:c r="C711" s="245"/>
      <x:c r="D711" s="245"/>
      <x:c r="E711" s="245"/>
      <x:c r="F711" s="245"/>
      <x:c r="G711" s="245"/>
      <x:c r="H711" s="245"/>
      <x:c r="I711" s="245"/>
      <x:c r="J711" s="245"/>
      <x:c r="K711" s="245"/>
      <x:c r="L711" s="245"/>
      <x:c r="M711" s="245"/>
      <x:c r="N711" s="245"/>
      <x:c r="O711" s="245"/>
      <x:c r="P711" s="245"/>
      <x:c r="Q711" s="245"/>
      <x:c r="R711" s="245"/>
      <x:c r="S711" s="245"/>
      <x:c r="T711" s="245"/>
      <x:c r="U711" s="245"/>
      <x:c r="V711" s="245"/>
      <x:c r="W711" s="245"/>
      <x:c r="X711" s="245"/>
      <x:c r="Y711" s="245"/>
      <x:c r="Z711" s="245"/>
    </x:row>
    <x:row r="712">
      <x:c r="A712" s="245"/>
      <x:c r="B712" s="245"/>
      <x:c r="C712" s="245"/>
      <x:c r="D712" s="245"/>
      <x:c r="E712" s="245"/>
      <x:c r="F712" s="245"/>
      <x:c r="G712" s="245"/>
      <x:c r="H712" s="245"/>
      <x:c r="I712" s="245"/>
      <x:c r="J712" s="245"/>
      <x:c r="K712" s="245"/>
      <x:c r="L712" s="245"/>
      <x:c r="M712" s="245"/>
      <x:c r="N712" s="245"/>
      <x:c r="O712" s="245"/>
      <x:c r="P712" s="245"/>
      <x:c r="Q712" s="245"/>
      <x:c r="R712" s="245"/>
      <x:c r="S712" s="245"/>
      <x:c r="T712" s="245"/>
      <x:c r="U712" s="245"/>
      <x:c r="V712" s="245"/>
      <x:c r="W712" s="245"/>
      <x:c r="X712" s="245"/>
      <x:c r="Y712" s="245"/>
      <x:c r="Z712" s="245"/>
    </x:row>
    <x:row r="713">
      <x:c r="A713" s="245"/>
      <x:c r="B713" s="245"/>
      <x:c r="C713" s="245"/>
      <x:c r="D713" s="245"/>
      <x:c r="E713" s="245"/>
      <x:c r="F713" s="245"/>
      <x:c r="G713" s="245"/>
      <x:c r="H713" s="245"/>
      <x:c r="I713" s="245"/>
      <x:c r="J713" s="245"/>
      <x:c r="K713" s="245"/>
      <x:c r="L713" s="245"/>
      <x:c r="M713" s="245"/>
      <x:c r="N713" s="245"/>
      <x:c r="O713" s="245"/>
      <x:c r="P713" s="245"/>
      <x:c r="Q713" s="245"/>
      <x:c r="R713" s="245"/>
      <x:c r="S713" s="245"/>
      <x:c r="T713" s="245"/>
      <x:c r="U713" s="245"/>
      <x:c r="V713" s="245"/>
      <x:c r="W713" s="245"/>
      <x:c r="X713" s="245"/>
      <x:c r="Y713" s="245"/>
      <x:c r="Z713" s="245"/>
    </x:row>
    <x:row r="714">
      <x:c r="A714" s="245"/>
      <x:c r="B714" s="245"/>
      <x:c r="C714" s="245"/>
      <x:c r="D714" s="245"/>
      <x:c r="E714" s="245"/>
      <x:c r="F714" s="245"/>
      <x:c r="G714" s="245"/>
      <x:c r="H714" s="245"/>
      <x:c r="I714" s="245"/>
      <x:c r="J714" s="245"/>
      <x:c r="K714" s="245"/>
      <x:c r="L714" s="245"/>
      <x:c r="M714" s="245"/>
      <x:c r="N714" s="245"/>
      <x:c r="O714" s="245"/>
      <x:c r="P714" s="245"/>
      <x:c r="Q714" s="245"/>
      <x:c r="R714" s="245"/>
      <x:c r="S714" s="245"/>
      <x:c r="T714" s="245"/>
      <x:c r="U714" s="245"/>
      <x:c r="V714" s="245"/>
      <x:c r="W714" s="245"/>
      <x:c r="X714" s="245"/>
      <x:c r="Y714" s="245"/>
      <x:c r="Z714" s="245"/>
    </x:row>
    <x:row r="715">
      <x:c r="A715" s="245"/>
      <x:c r="B715" s="245"/>
      <x:c r="C715" s="245"/>
      <x:c r="D715" s="245"/>
      <x:c r="E715" s="245"/>
      <x:c r="F715" s="245"/>
      <x:c r="G715" s="245"/>
      <x:c r="H715" s="245"/>
      <x:c r="I715" s="245"/>
      <x:c r="J715" s="245"/>
      <x:c r="K715" s="245"/>
      <x:c r="L715" s="245"/>
      <x:c r="M715" s="245"/>
      <x:c r="N715" s="245"/>
      <x:c r="O715" s="245"/>
      <x:c r="P715" s="245"/>
      <x:c r="Q715" s="245"/>
      <x:c r="R715" s="245"/>
      <x:c r="S715" s="245"/>
      <x:c r="T715" s="245"/>
      <x:c r="U715" s="245"/>
      <x:c r="V715" s="245"/>
      <x:c r="W715" s="245"/>
      <x:c r="X715" s="245"/>
      <x:c r="Y715" s="245"/>
      <x:c r="Z715" s="245"/>
    </x:row>
    <x:row r="716">
      <x:c r="A716" s="245"/>
      <x:c r="B716" s="245"/>
      <x:c r="C716" s="245"/>
      <x:c r="D716" s="245"/>
      <x:c r="E716" s="245"/>
      <x:c r="F716" s="245"/>
      <x:c r="G716" s="245"/>
      <x:c r="H716" s="245"/>
      <x:c r="I716" s="245"/>
      <x:c r="J716" s="245"/>
      <x:c r="K716" s="245"/>
      <x:c r="L716" s="245"/>
      <x:c r="M716" s="245"/>
      <x:c r="N716" s="245"/>
      <x:c r="O716" s="245"/>
      <x:c r="P716" s="245"/>
      <x:c r="Q716" s="245"/>
      <x:c r="R716" s="245"/>
      <x:c r="S716" s="245"/>
      <x:c r="T716" s="245"/>
      <x:c r="U716" s="245"/>
      <x:c r="V716" s="245"/>
      <x:c r="W716" s="245"/>
      <x:c r="X716" s="245"/>
      <x:c r="Y716" s="245"/>
      <x:c r="Z716" s="245"/>
    </x:row>
    <x:row r="717">
      <x:c r="A717" s="245"/>
      <x:c r="B717" s="245"/>
      <x:c r="C717" s="245"/>
      <x:c r="D717" s="245"/>
      <x:c r="E717" s="245"/>
      <x:c r="F717" s="245"/>
      <x:c r="G717" s="245"/>
      <x:c r="H717" s="245"/>
      <x:c r="I717" s="245"/>
      <x:c r="J717" s="245"/>
      <x:c r="K717" s="245"/>
      <x:c r="L717" s="245"/>
      <x:c r="M717" s="245"/>
      <x:c r="N717" s="245"/>
      <x:c r="O717" s="245"/>
      <x:c r="P717" s="245"/>
      <x:c r="Q717" s="245"/>
      <x:c r="R717" s="245"/>
      <x:c r="S717" s="245"/>
      <x:c r="T717" s="245"/>
      <x:c r="U717" s="245"/>
      <x:c r="V717" s="245"/>
      <x:c r="W717" s="245"/>
      <x:c r="X717" s="245"/>
      <x:c r="Y717" s="245"/>
      <x:c r="Z717" s="245"/>
    </x:row>
    <x:row r="718">
      <x:c r="A718" s="245"/>
      <x:c r="B718" s="245"/>
      <x:c r="C718" s="245"/>
      <x:c r="D718" s="245"/>
      <x:c r="E718" s="245"/>
      <x:c r="F718" s="245"/>
      <x:c r="G718" s="245"/>
      <x:c r="H718" s="245"/>
      <x:c r="I718" s="245"/>
      <x:c r="J718" s="245"/>
      <x:c r="K718" s="245"/>
      <x:c r="L718" s="245"/>
      <x:c r="M718" s="245"/>
      <x:c r="N718" s="245"/>
      <x:c r="O718" s="245"/>
      <x:c r="P718" s="245"/>
      <x:c r="Q718" s="245"/>
      <x:c r="R718" s="245"/>
      <x:c r="S718" s="245"/>
      <x:c r="T718" s="245"/>
      <x:c r="U718" s="245"/>
      <x:c r="V718" s="245"/>
      <x:c r="W718" s="245"/>
      <x:c r="X718" s="245"/>
      <x:c r="Y718" s="245"/>
      <x:c r="Z718" s="245"/>
    </x:row>
    <x:row r="719">
      <x:c r="A719" s="245"/>
      <x:c r="B719" s="245"/>
      <x:c r="C719" s="245"/>
      <x:c r="D719" s="245"/>
      <x:c r="E719" s="245"/>
      <x:c r="F719" s="245"/>
      <x:c r="G719" s="245"/>
      <x:c r="H719" s="245"/>
      <x:c r="I719" s="245"/>
      <x:c r="J719" s="245"/>
      <x:c r="K719" s="245"/>
      <x:c r="L719" s="245"/>
      <x:c r="M719" s="245"/>
      <x:c r="N719" s="245"/>
      <x:c r="O719" s="245"/>
      <x:c r="P719" s="245"/>
      <x:c r="Q719" s="245"/>
      <x:c r="R719" s="245"/>
      <x:c r="S719" s="245"/>
      <x:c r="T719" s="245"/>
      <x:c r="U719" s="245"/>
      <x:c r="V719" s="245"/>
      <x:c r="W719" s="245"/>
      <x:c r="X719" s="245"/>
      <x:c r="Y719" s="245"/>
      <x:c r="Z719" s="245"/>
    </x:row>
    <x:row r="720">
      <x:c r="A720" s="245"/>
      <x:c r="B720" s="245"/>
      <x:c r="C720" s="245"/>
      <x:c r="D720" s="245"/>
      <x:c r="E720" s="245"/>
      <x:c r="F720" s="245"/>
      <x:c r="G720" s="245"/>
      <x:c r="H720" s="245"/>
      <x:c r="I720" s="245"/>
      <x:c r="J720" s="245"/>
      <x:c r="K720" s="245"/>
      <x:c r="L720" s="245"/>
      <x:c r="M720" s="245"/>
      <x:c r="N720" s="245"/>
      <x:c r="O720" s="245"/>
      <x:c r="P720" s="245"/>
      <x:c r="Q720" s="245"/>
      <x:c r="R720" s="245"/>
      <x:c r="S720" s="245"/>
      <x:c r="T720" s="245"/>
      <x:c r="U720" s="245"/>
      <x:c r="V720" s="245"/>
      <x:c r="W720" s="245"/>
      <x:c r="X720" s="245"/>
      <x:c r="Y720" s="245"/>
      <x:c r="Z720" s="245"/>
    </x:row>
    <x:row r="721">
      <x:c r="A721" s="245"/>
      <x:c r="B721" s="245"/>
      <x:c r="C721" s="245"/>
      <x:c r="D721" s="245"/>
      <x:c r="E721" s="245"/>
      <x:c r="F721" s="245"/>
      <x:c r="G721" s="245"/>
      <x:c r="H721" s="245"/>
      <x:c r="I721" s="245"/>
      <x:c r="J721" s="245"/>
      <x:c r="K721" s="245"/>
      <x:c r="L721" s="245"/>
      <x:c r="M721" s="245"/>
      <x:c r="N721" s="245"/>
      <x:c r="O721" s="245"/>
      <x:c r="P721" s="245"/>
      <x:c r="Q721" s="245"/>
      <x:c r="R721" s="245"/>
      <x:c r="S721" s="245"/>
      <x:c r="T721" s="245"/>
      <x:c r="U721" s="245"/>
      <x:c r="V721" s="245"/>
      <x:c r="W721" s="245"/>
      <x:c r="X721" s="245"/>
      <x:c r="Y721" s="245"/>
      <x:c r="Z721" s="245"/>
    </x:row>
    <x:row r="722">
      <x:c r="A722" s="245"/>
      <x:c r="B722" s="245"/>
      <x:c r="C722" s="245"/>
      <x:c r="D722" s="245"/>
      <x:c r="E722" s="245"/>
      <x:c r="F722" s="245"/>
      <x:c r="G722" s="245"/>
      <x:c r="H722" s="245"/>
      <x:c r="I722" s="245"/>
      <x:c r="J722" s="245"/>
      <x:c r="K722" s="245"/>
      <x:c r="L722" s="245"/>
      <x:c r="M722" s="245"/>
      <x:c r="N722" s="245"/>
      <x:c r="O722" s="245"/>
      <x:c r="P722" s="245"/>
      <x:c r="Q722" s="245"/>
      <x:c r="R722" s="245"/>
      <x:c r="S722" s="245"/>
      <x:c r="T722" s="245"/>
      <x:c r="U722" s="245"/>
      <x:c r="V722" s="245"/>
      <x:c r="W722" s="245"/>
      <x:c r="X722" s="245"/>
      <x:c r="Y722" s="245"/>
      <x:c r="Z722" s="245"/>
    </x:row>
    <x:row r="723">
      <x:c r="A723" s="245"/>
      <x:c r="B723" s="245"/>
      <x:c r="C723" s="245"/>
      <x:c r="D723" s="245"/>
      <x:c r="E723" s="245"/>
      <x:c r="F723" s="245"/>
      <x:c r="G723" s="245"/>
      <x:c r="H723" s="245"/>
      <x:c r="I723" s="245"/>
      <x:c r="J723" s="245"/>
      <x:c r="K723" s="245"/>
      <x:c r="L723" s="245"/>
      <x:c r="M723" s="245"/>
      <x:c r="N723" s="245"/>
      <x:c r="O723" s="245"/>
      <x:c r="P723" s="245"/>
      <x:c r="Q723" s="245"/>
      <x:c r="R723" s="245"/>
      <x:c r="S723" s="245"/>
      <x:c r="T723" s="245"/>
      <x:c r="U723" s="245"/>
      <x:c r="V723" s="245"/>
      <x:c r="W723" s="245"/>
      <x:c r="X723" s="245"/>
      <x:c r="Y723" s="245"/>
      <x:c r="Z723" s="245"/>
    </x:row>
    <x:row r="724">
      <x:c r="A724" s="245"/>
      <x:c r="B724" s="245"/>
      <x:c r="C724" s="245"/>
      <x:c r="D724" s="245"/>
      <x:c r="E724" s="245"/>
      <x:c r="F724" s="245"/>
      <x:c r="G724" s="245"/>
      <x:c r="H724" s="245"/>
      <x:c r="I724" s="245"/>
      <x:c r="J724" s="245"/>
      <x:c r="K724" s="245"/>
      <x:c r="L724" s="245"/>
      <x:c r="M724" s="245"/>
      <x:c r="N724" s="245"/>
      <x:c r="O724" s="245"/>
      <x:c r="P724" s="245"/>
      <x:c r="Q724" s="245"/>
      <x:c r="R724" s="245"/>
      <x:c r="S724" s="245"/>
      <x:c r="T724" s="245"/>
      <x:c r="U724" s="245"/>
      <x:c r="V724" s="245"/>
      <x:c r="W724" s="245"/>
      <x:c r="X724" s="245"/>
      <x:c r="Y724" s="245"/>
      <x:c r="Z724" s="245"/>
    </x:row>
    <x:row r="725">
      <x:c r="A725" s="245"/>
      <x:c r="B725" s="245"/>
      <x:c r="C725" s="245"/>
      <x:c r="D725" s="245"/>
      <x:c r="E725" s="245"/>
      <x:c r="F725" s="245"/>
      <x:c r="G725" s="245"/>
      <x:c r="H725" s="245"/>
      <x:c r="I725" s="245"/>
      <x:c r="J725" s="245"/>
      <x:c r="K725" s="245"/>
      <x:c r="L725" s="245"/>
      <x:c r="M725" s="245"/>
      <x:c r="N725" s="245"/>
      <x:c r="O725" s="245"/>
      <x:c r="P725" s="245"/>
      <x:c r="Q725" s="245"/>
      <x:c r="R725" s="245"/>
      <x:c r="S725" s="245"/>
      <x:c r="T725" s="245"/>
      <x:c r="U725" s="245"/>
      <x:c r="V725" s="245"/>
      <x:c r="W725" s="245"/>
      <x:c r="X725" s="245"/>
      <x:c r="Y725" s="245"/>
      <x:c r="Z725" s="245"/>
    </x:row>
    <x:row r="726">
      <x:c r="A726" s="245"/>
      <x:c r="B726" s="245"/>
      <x:c r="C726" s="245"/>
      <x:c r="D726" s="245"/>
      <x:c r="E726" s="245"/>
      <x:c r="F726" s="245"/>
      <x:c r="G726" s="245"/>
      <x:c r="H726" s="245"/>
      <x:c r="I726" s="245"/>
      <x:c r="J726" s="245"/>
      <x:c r="K726" s="245"/>
      <x:c r="L726" s="245"/>
      <x:c r="M726" s="245"/>
      <x:c r="N726" s="245"/>
      <x:c r="O726" s="245"/>
      <x:c r="P726" s="245"/>
      <x:c r="Q726" s="245"/>
      <x:c r="R726" s="245"/>
      <x:c r="S726" s="245"/>
      <x:c r="T726" s="245"/>
      <x:c r="U726" s="245"/>
      <x:c r="V726" s="245"/>
      <x:c r="W726" s="245"/>
      <x:c r="X726" s="245"/>
      <x:c r="Y726" s="245"/>
      <x:c r="Z726" s="245"/>
    </x:row>
    <x:row r="727">
      <x:c r="A727" s="245"/>
      <x:c r="B727" s="245"/>
      <x:c r="C727" s="245"/>
      <x:c r="D727" s="245"/>
      <x:c r="E727" s="245"/>
      <x:c r="F727" s="245"/>
      <x:c r="G727" s="245"/>
      <x:c r="H727" s="245"/>
      <x:c r="I727" s="245"/>
      <x:c r="J727" s="245"/>
      <x:c r="K727" s="245"/>
      <x:c r="L727" s="245"/>
      <x:c r="M727" s="245"/>
      <x:c r="N727" s="245"/>
      <x:c r="O727" s="245"/>
      <x:c r="P727" s="245"/>
      <x:c r="Q727" s="245"/>
      <x:c r="R727" s="245"/>
      <x:c r="S727" s="245"/>
      <x:c r="T727" s="245"/>
      <x:c r="U727" s="245"/>
      <x:c r="V727" s="245"/>
      <x:c r="W727" s="245"/>
      <x:c r="X727" s="245"/>
      <x:c r="Y727" s="245"/>
      <x:c r="Z727" s="245"/>
    </x:row>
    <x:row r="728">
      <x:c r="A728" s="245"/>
      <x:c r="B728" s="245"/>
      <x:c r="C728" s="245"/>
      <x:c r="D728" s="245"/>
      <x:c r="E728" s="245"/>
      <x:c r="F728" s="245"/>
      <x:c r="G728" s="245"/>
      <x:c r="H728" s="245"/>
      <x:c r="I728" s="245"/>
      <x:c r="J728" s="245"/>
      <x:c r="K728" s="245"/>
      <x:c r="L728" s="245"/>
      <x:c r="M728" s="245"/>
      <x:c r="N728" s="245"/>
      <x:c r="O728" s="245"/>
      <x:c r="P728" s="245"/>
      <x:c r="Q728" s="245"/>
      <x:c r="R728" s="245"/>
      <x:c r="S728" s="245"/>
      <x:c r="T728" s="245"/>
      <x:c r="U728" s="245"/>
      <x:c r="V728" s="245"/>
      <x:c r="W728" s="245"/>
      <x:c r="X728" s="245"/>
      <x:c r="Y728" s="245"/>
      <x:c r="Z728" s="245"/>
    </x:row>
    <x:row r="729">
      <x:c r="A729" s="245"/>
      <x:c r="B729" s="245"/>
      <x:c r="C729" s="245"/>
      <x:c r="D729" s="245"/>
      <x:c r="E729" s="245"/>
      <x:c r="F729" s="245"/>
      <x:c r="G729" s="245"/>
      <x:c r="H729" s="245"/>
      <x:c r="I729" s="245"/>
      <x:c r="J729" s="245"/>
      <x:c r="K729" s="245"/>
      <x:c r="L729" s="245"/>
      <x:c r="M729" s="245"/>
      <x:c r="N729" s="245"/>
      <x:c r="O729" s="245"/>
      <x:c r="P729" s="245"/>
      <x:c r="Q729" s="245"/>
      <x:c r="R729" s="245"/>
      <x:c r="S729" s="245"/>
      <x:c r="T729" s="245"/>
      <x:c r="U729" s="245"/>
      <x:c r="V729" s="245"/>
      <x:c r="W729" s="245"/>
      <x:c r="X729" s="245"/>
      <x:c r="Y729" s="245"/>
      <x:c r="Z729" s="245"/>
    </x:row>
    <x:row r="730">
      <x:c r="A730" s="245"/>
      <x:c r="B730" s="245"/>
      <x:c r="C730" s="245"/>
      <x:c r="D730" s="245"/>
      <x:c r="E730" s="245"/>
      <x:c r="F730" s="245"/>
      <x:c r="G730" s="245"/>
      <x:c r="H730" s="245"/>
      <x:c r="I730" s="245"/>
      <x:c r="J730" s="245"/>
      <x:c r="K730" s="245"/>
      <x:c r="L730" s="245"/>
      <x:c r="M730" s="245"/>
      <x:c r="N730" s="245"/>
      <x:c r="O730" s="245"/>
      <x:c r="P730" s="245"/>
      <x:c r="Q730" s="245"/>
      <x:c r="R730" s="245"/>
      <x:c r="S730" s="245"/>
      <x:c r="T730" s="245"/>
      <x:c r="U730" s="245"/>
      <x:c r="V730" s="245"/>
      <x:c r="W730" s="245"/>
      <x:c r="X730" s="245"/>
      <x:c r="Y730" s="245"/>
      <x:c r="Z730" s="245"/>
    </x:row>
    <x:row r="731">
      <x:c r="A731" s="245"/>
      <x:c r="B731" s="245"/>
      <x:c r="C731" s="245"/>
      <x:c r="D731" s="245"/>
      <x:c r="E731" s="245"/>
      <x:c r="F731" s="245"/>
      <x:c r="G731" s="245"/>
      <x:c r="H731" s="245"/>
      <x:c r="I731" s="245"/>
      <x:c r="J731" s="245"/>
      <x:c r="K731" s="245"/>
      <x:c r="L731" s="245"/>
      <x:c r="M731" s="245"/>
      <x:c r="N731" s="245"/>
      <x:c r="O731" s="245"/>
      <x:c r="P731" s="245"/>
      <x:c r="Q731" s="245"/>
      <x:c r="R731" s="245"/>
      <x:c r="S731" s="245"/>
      <x:c r="T731" s="245"/>
      <x:c r="U731" s="245"/>
      <x:c r="V731" s="245"/>
      <x:c r="W731" s="245"/>
      <x:c r="X731" s="245"/>
      <x:c r="Y731" s="245"/>
      <x:c r="Z731" s="245"/>
    </x:row>
    <x:row r="732">
      <x:c r="A732" s="245"/>
      <x:c r="B732" s="245"/>
      <x:c r="C732" s="245"/>
      <x:c r="D732" s="245"/>
      <x:c r="E732" s="245"/>
      <x:c r="F732" s="245"/>
      <x:c r="G732" s="245"/>
      <x:c r="H732" s="245"/>
      <x:c r="I732" s="245"/>
      <x:c r="J732" s="245"/>
      <x:c r="K732" s="245"/>
      <x:c r="L732" s="245"/>
      <x:c r="M732" s="245"/>
      <x:c r="N732" s="245"/>
      <x:c r="O732" s="245"/>
      <x:c r="P732" s="245"/>
      <x:c r="Q732" s="245"/>
      <x:c r="R732" s="245"/>
      <x:c r="S732" s="245"/>
      <x:c r="T732" s="245"/>
      <x:c r="U732" s="245"/>
      <x:c r="V732" s="245"/>
      <x:c r="W732" s="245"/>
      <x:c r="X732" s="245"/>
      <x:c r="Y732" s="245"/>
      <x:c r="Z732" s="245"/>
    </x:row>
    <x:row r="733">
      <x:c r="A733" s="245"/>
      <x:c r="B733" s="245"/>
      <x:c r="C733" s="245"/>
      <x:c r="D733" s="245"/>
      <x:c r="E733" s="245"/>
      <x:c r="F733" s="245"/>
      <x:c r="G733" s="245"/>
      <x:c r="H733" s="245"/>
      <x:c r="I733" s="245"/>
      <x:c r="J733" s="245"/>
      <x:c r="K733" s="245"/>
      <x:c r="L733" s="245"/>
      <x:c r="M733" s="245"/>
      <x:c r="N733" s="245"/>
      <x:c r="O733" s="245"/>
      <x:c r="P733" s="245"/>
      <x:c r="Q733" s="245"/>
      <x:c r="R733" s="245"/>
      <x:c r="S733" s="245"/>
      <x:c r="T733" s="245"/>
      <x:c r="U733" s="245"/>
      <x:c r="V733" s="245"/>
      <x:c r="W733" s="245"/>
      <x:c r="X733" s="245"/>
      <x:c r="Y733" s="245"/>
      <x:c r="Z733" s="245"/>
    </x:row>
    <x:row r="734">
      <x:c r="A734" s="245"/>
      <x:c r="B734" s="245"/>
      <x:c r="C734" s="245"/>
      <x:c r="D734" s="245"/>
      <x:c r="E734" s="245"/>
      <x:c r="F734" s="245"/>
      <x:c r="G734" s="245"/>
      <x:c r="H734" s="245"/>
      <x:c r="I734" s="245"/>
      <x:c r="J734" s="245"/>
      <x:c r="K734" s="245"/>
      <x:c r="L734" s="245"/>
      <x:c r="M734" s="245"/>
      <x:c r="N734" s="245"/>
      <x:c r="O734" s="245"/>
      <x:c r="P734" s="245"/>
      <x:c r="Q734" s="245"/>
      <x:c r="R734" s="245"/>
      <x:c r="S734" s="245"/>
      <x:c r="T734" s="245"/>
      <x:c r="U734" s="245"/>
      <x:c r="V734" s="245"/>
      <x:c r="W734" s="245"/>
      <x:c r="X734" s="245"/>
      <x:c r="Y734" s="245"/>
      <x:c r="Z734" s="245"/>
    </x:row>
    <x:row r="735">
      <x:c r="A735" s="245"/>
      <x:c r="B735" s="245"/>
      <x:c r="C735" s="245"/>
      <x:c r="D735" s="245"/>
      <x:c r="E735" s="245"/>
      <x:c r="F735" s="245"/>
      <x:c r="G735" s="245"/>
      <x:c r="H735" s="245"/>
      <x:c r="I735" s="245"/>
      <x:c r="J735" s="245"/>
      <x:c r="K735" s="245"/>
      <x:c r="L735" s="245"/>
      <x:c r="M735" s="245"/>
      <x:c r="N735" s="245"/>
      <x:c r="O735" s="245"/>
      <x:c r="P735" s="245"/>
      <x:c r="Q735" s="245"/>
      <x:c r="R735" s="245"/>
      <x:c r="S735" s="245"/>
      <x:c r="T735" s="245"/>
      <x:c r="U735" s="245"/>
      <x:c r="V735" s="245"/>
      <x:c r="W735" s="245"/>
      <x:c r="X735" s="245"/>
      <x:c r="Y735" s="245"/>
      <x:c r="Z735" s="245"/>
    </x:row>
    <x:row r="736">
      <x:c r="A736" s="245"/>
      <x:c r="B736" s="245"/>
      <x:c r="C736" s="245"/>
      <x:c r="D736" s="245"/>
      <x:c r="E736" s="245"/>
      <x:c r="F736" s="245"/>
      <x:c r="G736" s="245"/>
      <x:c r="H736" s="245"/>
      <x:c r="I736" s="245"/>
      <x:c r="J736" s="245"/>
      <x:c r="K736" s="245"/>
      <x:c r="L736" s="245"/>
      <x:c r="M736" s="245"/>
      <x:c r="N736" s="245"/>
      <x:c r="O736" s="245"/>
      <x:c r="P736" s="245"/>
      <x:c r="Q736" s="245"/>
      <x:c r="R736" s="245"/>
      <x:c r="S736" s="245"/>
      <x:c r="T736" s="245"/>
      <x:c r="U736" s="245"/>
      <x:c r="V736" s="245"/>
      <x:c r="W736" s="245"/>
      <x:c r="X736" s="245"/>
      <x:c r="Y736" s="245"/>
      <x:c r="Z736" s="245"/>
    </x:row>
    <x:row r="737">
      <x:c r="A737" s="245"/>
      <x:c r="B737" s="245"/>
      <x:c r="C737" s="245"/>
      <x:c r="D737" s="245"/>
      <x:c r="E737" s="245"/>
      <x:c r="F737" s="245"/>
      <x:c r="G737" s="245"/>
      <x:c r="H737" s="245"/>
      <x:c r="I737" s="245"/>
      <x:c r="J737" s="245"/>
      <x:c r="K737" s="245"/>
      <x:c r="L737" s="245"/>
      <x:c r="M737" s="245"/>
      <x:c r="N737" s="245"/>
      <x:c r="O737" s="245"/>
      <x:c r="P737" s="245"/>
      <x:c r="Q737" s="245"/>
      <x:c r="R737" s="245"/>
      <x:c r="S737" s="245"/>
      <x:c r="T737" s="245"/>
      <x:c r="U737" s="245"/>
      <x:c r="V737" s="245"/>
      <x:c r="W737" s="245"/>
      <x:c r="X737" s="245"/>
      <x:c r="Y737" s="245"/>
      <x:c r="Z737" s="245"/>
    </x:row>
    <x:row r="738">
      <x:c r="A738" s="245"/>
      <x:c r="B738" s="245"/>
      <x:c r="C738" s="245"/>
      <x:c r="D738" s="245"/>
      <x:c r="E738" s="245"/>
      <x:c r="F738" s="245"/>
      <x:c r="G738" s="245"/>
      <x:c r="H738" s="245"/>
      <x:c r="I738" s="245"/>
      <x:c r="J738" s="245"/>
      <x:c r="K738" s="245"/>
      <x:c r="L738" s="245"/>
      <x:c r="M738" s="245"/>
      <x:c r="N738" s="245"/>
      <x:c r="O738" s="245"/>
      <x:c r="P738" s="245"/>
      <x:c r="Q738" s="245"/>
      <x:c r="R738" s="245"/>
      <x:c r="S738" s="245"/>
      <x:c r="T738" s="245"/>
      <x:c r="U738" s="245"/>
      <x:c r="V738" s="245"/>
      <x:c r="W738" s="245"/>
      <x:c r="X738" s="245"/>
      <x:c r="Y738" s="245"/>
      <x:c r="Z738" s="245"/>
    </x:row>
    <x:row r="739">
      <x:c r="A739" s="245"/>
      <x:c r="B739" s="245"/>
      <x:c r="C739" s="245"/>
      <x:c r="D739" s="245"/>
      <x:c r="E739" s="245"/>
      <x:c r="F739" s="245"/>
      <x:c r="G739" s="245"/>
      <x:c r="H739" s="245"/>
      <x:c r="I739" s="245"/>
      <x:c r="J739" s="245"/>
      <x:c r="K739" s="245"/>
      <x:c r="L739" s="245"/>
      <x:c r="M739" s="245"/>
      <x:c r="N739" s="245"/>
      <x:c r="O739" s="245"/>
      <x:c r="P739" s="245"/>
      <x:c r="Q739" s="245"/>
      <x:c r="R739" s="245"/>
      <x:c r="S739" s="245"/>
      <x:c r="T739" s="245"/>
      <x:c r="U739" s="245"/>
      <x:c r="V739" s="245"/>
      <x:c r="W739" s="245"/>
      <x:c r="X739" s="245"/>
      <x:c r="Y739" s="245"/>
      <x:c r="Z739" s="245"/>
    </x:row>
    <x:row r="740">
      <x:c r="A740" s="245"/>
      <x:c r="B740" s="245"/>
      <x:c r="C740" s="245"/>
      <x:c r="D740" s="245"/>
      <x:c r="E740" s="245"/>
      <x:c r="F740" s="245"/>
      <x:c r="G740" s="245"/>
      <x:c r="H740" s="245"/>
      <x:c r="I740" s="245"/>
      <x:c r="J740" s="245"/>
      <x:c r="K740" s="245"/>
      <x:c r="L740" s="245"/>
      <x:c r="M740" s="245"/>
      <x:c r="N740" s="245"/>
      <x:c r="O740" s="245"/>
      <x:c r="P740" s="245"/>
      <x:c r="Q740" s="245"/>
      <x:c r="R740" s="245"/>
      <x:c r="S740" s="245"/>
      <x:c r="T740" s="245"/>
      <x:c r="U740" s="245"/>
      <x:c r="V740" s="245"/>
      <x:c r="W740" s="245"/>
      <x:c r="X740" s="245"/>
      <x:c r="Y740" s="245"/>
      <x:c r="Z740" s="245"/>
    </x:row>
    <x:row r="741">
      <x:c r="A741" s="245"/>
      <x:c r="B741" s="245"/>
      <x:c r="C741" s="245"/>
      <x:c r="D741" s="245"/>
      <x:c r="E741" s="245"/>
      <x:c r="F741" s="245"/>
      <x:c r="G741" s="245"/>
      <x:c r="H741" s="245"/>
      <x:c r="I741" s="245"/>
      <x:c r="J741" s="245"/>
      <x:c r="K741" s="245"/>
      <x:c r="L741" s="245"/>
      <x:c r="M741" s="245"/>
      <x:c r="N741" s="245"/>
      <x:c r="O741" s="245"/>
      <x:c r="P741" s="245"/>
      <x:c r="Q741" s="245"/>
      <x:c r="R741" s="245"/>
      <x:c r="S741" s="245"/>
      <x:c r="T741" s="245"/>
      <x:c r="U741" s="245"/>
      <x:c r="V741" s="245"/>
      <x:c r="W741" s="245"/>
      <x:c r="X741" s="245"/>
      <x:c r="Y741" s="245"/>
      <x:c r="Z741" s="245"/>
    </x:row>
    <x:row r="742">
      <x:c r="A742" s="245"/>
      <x:c r="B742" s="245"/>
      <x:c r="C742" s="245"/>
      <x:c r="D742" s="245"/>
      <x:c r="E742" s="245"/>
      <x:c r="F742" s="245"/>
      <x:c r="G742" s="245"/>
      <x:c r="H742" s="245"/>
      <x:c r="I742" s="245"/>
      <x:c r="J742" s="245"/>
      <x:c r="K742" s="245"/>
      <x:c r="L742" s="245"/>
      <x:c r="M742" s="245"/>
      <x:c r="N742" s="245"/>
      <x:c r="O742" s="245"/>
      <x:c r="P742" s="245"/>
      <x:c r="Q742" s="245"/>
      <x:c r="R742" s="245"/>
      <x:c r="S742" s="245"/>
      <x:c r="T742" s="245"/>
      <x:c r="U742" s="245"/>
      <x:c r="V742" s="245"/>
      <x:c r="W742" s="245"/>
      <x:c r="X742" s="245"/>
      <x:c r="Y742" s="245"/>
      <x:c r="Z742" s="245"/>
    </x:row>
    <x:row r="743">
      <x:c r="A743" s="245"/>
      <x:c r="B743" s="245"/>
      <x:c r="C743" s="245"/>
      <x:c r="D743" s="245"/>
      <x:c r="E743" s="245"/>
      <x:c r="F743" s="245"/>
      <x:c r="G743" s="245"/>
      <x:c r="H743" s="245"/>
      <x:c r="I743" s="245"/>
      <x:c r="J743" s="245"/>
      <x:c r="K743" s="245"/>
      <x:c r="L743" s="245"/>
      <x:c r="M743" s="245"/>
      <x:c r="N743" s="245"/>
      <x:c r="O743" s="245"/>
      <x:c r="P743" s="245"/>
      <x:c r="Q743" s="245"/>
      <x:c r="R743" s="245"/>
      <x:c r="S743" s="245"/>
      <x:c r="T743" s="245"/>
      <x:c r="U743" s="245"/>
      <x:c r="V743" s="245"/>
      <x:c r="W743" s="245"/>
      <x:c r="X743" s="245"/>
      <x:c r="Y743" s="245"/>
      <x:c r="Z743" s="245"/>
    </x:row>
    <x:row r="744">
      <x:c r="A744" s="245"/>
      <x:c r="B744" s="245"/>
      <x:c r="C744" s="245"/>
      <x:c r="D744" s="245"/>
      <x:c r="E744" s="245"/>
      <x:c r="F744" s="245"/>
      <x:c r="G744" s="245"/>
      <x:c r="H744" s="245"/>
      <x:c r="I744" s="245"/>
      <x:c r="J744" s="245"/>
      <x:c r="K744" s="245"/>
      <x:c r="L744" s="245"/>
      <x:c r="M744" s="245"/>
      <x:c r="N744" s="245"/>
      <x:c r="O744" s="245"/>
      <x:c r="P744" s="245"/>
      <x:c r="Q744" s="245"/>
      <x:c r="R744" s="245"/>
      <x:c r="S744" s="245"/>
      <x:c r="T744" s="245"/>
      <x:c r="U744" s="245"/>
      <x:c r="V744" s="245"/>
      <x:c r="W744" s="245"/>
      <x:c r="X744" s="245"/>
      <x:c r="Y744" s="245"/>
      <x:c r="Z744" s="245"/>
    </x:row>
    <x:row r="745">
      <x:c r="A745" s="245"/>
      <x:c r="B745" s="245"/>
      <x:c r="C745" s="245"/>
      <x:c r="D745" s="245"/>
      <x:c r="E745" s="245"/>
      <x:c r="F745" s="245"/>
      <x:c r="G745" s="245"/>
      <x:c r="H745" s="245"/>
      <x:c r="I745" s="245"/>
      <x:c r="J745" s="245"/>
      <x:c r="K745" s="245"/>
      <x:c r="L745" s="245"/>
      <x:c r="M745" s="245"/>
      <x:c r="N745" s="245"/>
      <x:c r="O745" s="245"/>
      <x:c r="P745" s="245"/>
      <x:c r="Q745" s="245"/>
      <x:c r="R745" s="245"/>
      <x:c r="S745" s="245"/>
      <x:c r="T745" s="245"/>
      <x:c r="U745" s="245"/>
      <x:c r="V745" s="245"/>
      <x:c r="W745" s="245"/>
      <x:c r="X745" s="245"/>
      <x:c r="Y745" s="245"/>
      <x:c r="Z745" s="245"/>
    </x:row>
    <x:row r="746">
      <x:c r="A746" s="245"/>
      <x:c r="B746" s="245"/>
      <x:c r="C746" s="245"/>
      <x:c r="D746" s="245"/>
      <x:c r="E746" s="245"/>
      <x:c r="F746" s="245"/>
      <x:c r="G746" s="245"/>
      <x:c r="H746" s="245"/>
      <x:c r="I746" s="245"/>
      <x:c r="J746" s="245"/>
      <x:c r="K746" s="245"/>
      <x:c r="L746" s="245"/>
      <x:c r="M746" s="245"/>
      <x:c r="N746" s="245"/>
      <x:c r="O746" s="245"/>
      <x:c r="P746" s="245"/>
      <x:c r="Q746" s="245"/>
      <x:c r="R746" s="245"/>
      <x:c r="S746" s="245"/>
      <x:c r="T746" s="245"/>
      <x:c r="U746" s="245"/>
      <x:c r="V746" s="245"/>
      <x:c r="W746" s="245"/>
      <x:c r="X746" s="245"/>
      <x:c r="Y746" s="245"/>
      <x:c r="Z746" s="245"/>
    </x:row>
    <x:row r="747">
      <x:c r="A747" s="245"/>
      <x:c r="B747" s="245"/>
      <x:c r="C747" s="245"/>
      <x:c r="D747" s="245"/>
      <x:c r="E747" s="245"/>
      <x:c r="F747" s="245"/>
      <x:c r="G747" s="245"/>
      <x:c r="H747" s="245"/>
      <x:c r="I747" s="245"/>
      <x:c r="J747" s="245"/>
      <x:c r="K747" s="245"/>
      <x:c r="L747" s="245"/>
      <x:c r="M747" s="245"/>
      <x:c r="N747" s="245"/>
      <x:c r="O747" s="245"/>
      <x:c r="P747" s="245"/>
      <x:c r="Q747" s="245"/>
      <x:c r="R747" s="245"/>
      <x:c r="S747" s="245"/>
      <x:c r="T747" s="245"/>
      <x:c r="U747" s="245"/>
      <x:c r="V747" s="245"/>
      <x:c r="W747" s="245"/>
      <x:c r="X747" s="245"/>
      <x:c r="Y747" s="245"/>
      <x:c r="Z747" s="245"/>
    </x:row>
    <x:row r="748">
      <x:c r="A748" s="245"/>
      <x:c r="B748" s="245"/>
      <x:c r="C748" s="245"/>
      <x:c r="D748" s="245"/>
      <x:c r="E748" s="245"/>
      <x:c r="F748" s="245"/>
      <x:c r="G748" s="245"/>
      <x:c r="H748" s="245"/>
      <x:c r="I748" s="245"/>
      <x:c r="J748" s="245"/>
      <x:c r="K748" s="245"/>
      <x:c r="L748" s="245"/>
      <x:c r="M748" s="245"/>
      <x:c r="N748" s="245"/>
      <x:c r="O748" s="245"/>
      <x:c r="P748" s="245"/>
      <x:c r="Q748" s="245"/>
      <x:c r="R748" s="245"/>
      <x:c r="S748" s="245"/>
      <x:c r="T748" s="245"/>
      <x:c r="U748" s="245"/>
      <x:c r="V748" s="245"/>
      <x:c r="W748" s="245"/>
      <x:c r="X748" s="245"/>
      <x:c r="Y748" s="245"/>
      <x:c r="Z748" s="245"/>
    </x:row>
    <x:row r="749">
      <x:c r="A749" s="245"/>
      <x:c r="B749" s="245"/>
      <x:c r="C749" s="245"/>
      <x:c r="D749" s="245"/>
      <x:c r="E749" s="245"/>
      <x:c r="F749" s="245"/>
      <x:c r="G749" s="245"/>
      <x:c r="H749" s="245"/>
      <x:c r="I749" s="245"/>
      <x:c r="J749" s="245"/>
      <x:c r="K749" s="245"/>
      <x:c r="L749" s="245"/>
      <x:c r="M749" s="245"/>
      <x:c r="N749" s="245"/>
      <x:c r="O749" s="245"/>
      <x:c r="P749" s="245"/>
      <x:c r="Q749" s="245"/>
      <x:c r="R749" s="245"/>
      <x:c r="S749" s="245"/>
      <x:c r="T749" s="245"/>
      <x:c r="U749" s="245"/>
      <x:c r="V749" s="245"/>
      <x:c r="W749" s="245"/>
      <x:c r="X749" s="245"/>
      <x:c r="Y749" s="245"/>
      <x:c r="Z749" s="245"/>
    </x:row>
    <x:row r="750">
      <x:c r="A750" s="245"/>
      <x:c r="B750" s="245"/>
      <x:c r="C750" s="245"/>
      <x:c r="D750" s="245"/>
      <x:c r="E750" s="245"/>
      <x:c r="F750" s="245"/>
      <x:c r="G750" s="245"/>
      <x:c r="H750" s="245"/>
      <x:c r="I750" s="245"/>
      <x:c r="J750" s="245"/>
      <x:c r="K750" s="245"/>
      <x:c r="L750" s="245"/>
      <x:c r="M750" s="245"/>
      <x:c r="N750" s="245"/>
      <x:c r="O750" s="245"/>
      <x:c r="P750" s="245"/>
      <x:c r="Q750" s="245"/>
      <x:c r="R750" s="245"/>
      <x:c r="S750" s="245"/>
      <x:c r="T750" s="245"/>
      <x:c r="U750" s="245"/>
      <x:c r="V750" s="245"/>
      <x:c r="W750" s="245"/>
      <x:c r="X750" s="245"/>
      <x:c r="Y750" s="245"/>
      <x:c r="Z750" s="245"/>
    </x:row>
    <x:row r="751">
      <x:c r="A751" s="245"/>
      <x:c r="B751" s="245"/>
      <x:c r="C751" s="245"/>
      <x:c r="D751" s="245"/>
      <x:c r="E751" s="245"/>
      <x:c r="F751" s="245"/>
      <x:c r="G751" s="245"/>
      <x:c r="H751" s="245"/>
      <x:c r="I751" s="245"/>
      <x:c r="J751" s="245"/>
      <x:c r="K751" s="245"/>
      <x:c r="L751" s="245"/>
      <x:c r="M751" s="245"/>
      <x:c r="N751" s="245"/>
      <x:c r="O751" s="245"/>
      <x:c r="P751" s="245"/>
      <x:c r="Q751" s="245"/>
      <x:c r="R751" s="245"/>
      <x:c r="S751" s="245"/>
      <x:c r="T751" s="245"/>
      <x:c r="U751" s="245"/>
      <x:c r="V751" s="245"/>
      <x:c r="W751" s="245"/>
      <x:c r="X751" s="245"/>
      <x:c r="Y751" s="245"/>
      <x:c r="Z751" s="245"/>
    </x:row>
    <x:row r="752">
      <x:c r="A752" s="245"/>
      <x:c r="B752" s="245"/>
      <x:c r="C752" s="245"/>
      <x:c r="D752" s="245"/>
      <x:c r="E752" s="245"/>
      <x:c r="F752" s="245"/>
      <x:c r="G752" s="245"/>
      <x:c r="H752" s="245"/>
      <x:c r="I752" s="245"/>
      <x:c r="J752" s="245"/>
      <x:c r="K752" s="245"/>
      <x:c r="L752" s="245"/>
      <x:c r="M752" s="245"/>
      <x:c r="N752" s="245"/>
      <x:c r="O752" s="245"/>
      <x:c r="P752" s="245"/>
      <x:c r="Q752" s="245"/>
      <x:c r="R752" s="245"/>
      <x:c r="S752" s="245"/>
      <x:c r="T752" s="245"/>
      <x:c r="U752" s="245"/>
      <x:c r="V752" s="245"/>
      <x:c r="W752" s="245"/>
      <x:c r="X752" s="245"/>
      <x:c r="Y752" s="245"/>
      <x:c r="Z752" s="245"/>
    </x:row>
    <x:row r="753">
      <x:c r="A753" s="245"/>
      <x:c r="B753" s="245"/>
      <x:c r="C753" s="245"/>
      <x:c r="D753" s="245"/>
      <x:c r="E753" s="245"/>
      <x:c r="F753" s="245"/>
      <x:c r="G753" s="245"/>
      <x:c r="H753" s="245"/>
      <x:c r="I753" s="245"/>
      <x:c r="J753" s="245"/>
      <x:c r="K753" s="245"/>
      <x:c r="L753" s="245"/>
      <x:c r="M753" s="245"/>
      <x:c r="N753" s="245"/>
      <x:c r="O753" s="245"/>
      <x:c r="P753" s="245"/>
      <x:c r="Q753" s="245"/>
      <x:c r="R753" s="245"/>
      <x:c r="S753" s="245"/>
      <x:c r="T753" s="245"/>
      <x:c r="U753" s="245"/>
      <x:c r="V753" s="245"/>
      <x:c r="W753" s="245"/>
      <x:c r="X753" s="245"/>
      <x:c r="Y753" s="245"/>
      <x:c r="Z753" s="245"/>
    </x:row>
    <x:row r="754">
      <x:c r="A754" s="245"/>
      <x:c r="B754" s="245"/>
      <x:c r="C754" s="245"/>
      <x:c r="D754" s="245"/>
      <x:c r="E754" s="245"/>
      <x:c r="F754" s="245"/>
      <x:c r="G754" s="245"/>
      <x:c r="H754" s="245"/>
      <x:c r="I754" s="245"/>
      <x:c r="J754" s="245"/>
      <x:c r="K754" s="245"/>
      <x:c r="L754" s="245"/>
      <x:c r="M754" s="245"/>
      <x:c r="N754" s="245"/>
      <x:c r="O754" s="245"/>
      <x:c r="P754" s="245"/>
      <x:c r="Q754" s="245"/>
      <x:c r="R754" s="245"/>
      <x:c r="S754" s="245"/>
      <x:c r="T754" s="245"/>
      <x:c r="U754" s="245"/>
      <x:c r="V754" s="245"/>
      <x:c r="W754" s="245"/>
      <x:c r="X754" s="245"/>
      <x:c r="Y754" s="245"/>
      <x:c r="Z754" s="245"/>
    </x:row>
    <x:row r="755">
      <x:c r="A755" s="245"/>
      <x:c r="B755" s="245"/>
      <x:c r="C755" s="245"/>
      <x:c r="D755" s="245"/>
      <x:c r="E755" s="245"/>
      <x:c r="F755" s="245"/>
      <x:c r="G755" s="245"/>
      <x:c r="H755" s="245"/>
      <x:c r="I755" s="245"/>
      <x:c r="J755" s="245"/>
      <x:c r="K755" s="245"/>
      <x:c r="L755" s="245"/>
      <x:c r="M755" s="245"/>
      <x:c r="N755" s="245"/>
      <x:c r="O755" s="245"/>
      <x:c r="P755" s="245"/>
      <x:c r="Q755" s="245"/>
      <x:c r="R755" s="245"/>
      <x:c r="S755" s="245"/>
      <x:c r="T755" s="245"/>
      <x:c r="U755" s="245"/>
      <x:c r="V755" s="245"/>
      <x:c r="W755" s="245"/>
      <x:c r="X755" s="245"/>
      <x:c r="Y755" s="245"/>
      <x:c r="Z755" s="245"/>
    </x:row>
    <x:row r="756">
      <x:c r="A756" s="245"/>
      <x:c r="B756" s="245"/>
      <x:c r="C756" s="245"/>
      <x:c r="D756" s="245"/>
      <x:c r="E756" s="245"/>
      <x:c r="F756" s="245"/>
      <x:c r="G756" s="245"/>
      <x:c r="H756" s="245"/>
      <x:c r="I756" s="245"/>
      <x:c r="J756" s="245"/>
      <x:c r="K756" s="245"/>
      <x:c r="L756" s="245"/>
      <x:c r="M756" s="245"/>
      <x:c r="N756" s="245"/>
      <x:c r="O756" s="245"/>
      <x:c r="P756" s="245"/>
      <x:c r="Q756" s="245"/>
      <x:c r="R756" s="245"/>
      <x:c r="S756" s="245"/>
      <x:c r="T756" s="245"/>
      <x:c r="U756" s="245"/>
      <x:c r="V756" s="245"/>
      <x:c r="W756" s="245"/>
      <x:c r="X756" s="245"/>
      <x:c r="Y756" s="245"/>
      <x:c r="Z756" s="245"/>
    </x:row>
    <x:row r="757">
      <x:c r="A757" s="245"/>
      <x:c r="B757" s="245"/>
      <x:c r="C757" s="245"/>
      <x:c r="D757" s="245"/>
      <x:c r="E757" s="245"/>
      <x:c r="F757" s="245"/>
      <x:c r="G757" s="245"/>
      <x:c r="H757" s="245"/>
      <x:c r="I757" s="245"/>
      <x:c r="J757" s="245"/>
      <x:c r="K757" s="245"/>
      <x:c r="L757" s="245"/>
      <x:c r="M757" s="245"/>
      <x:c r="N757" s="245"/>
      <x:c r="O757" s="245"/>
      <x:c r="P757" s="245"/>
      <x:c r="Q757" s="245"/>
      <x:c r="R757" s="245"/>
      <x:c r="S757" s="245"/>
      <x:c r="T757" s="245"/>
      <x:c r="U757" s="245"/>
      <x:c r="V757" s="245"/>
      <x:c r="W757" s="245"/>
      <x:c r="X757" s="245"/>
      <x:c r="Y757" s="245"/>
      <x:c r="Z757" s="245"/>
    </x:row>
    <x:row r="758">
      <x:c r="A758" s="245"/>
      <x:c r="B758" s="245"/>
      <x:c r="C758" s="245"/>
      <x:c r="D758" s="245"/>
      <x:c r="E758" s="245"/>
      <x:c r="F758" s="245"/>
      <x:c r="G758" s="245"/>
      <x:c r="H758" s="245"/>
      <x:c r="I758" s="245"/>
      <x:c r="J758" s="245"/>
      <x:c r="K758" s="245"/>
      <x:c r="L758" s="245"/>
      <x:c r="M758" s="245"/>
      <x:c r="N758" s="245"/>
      <x:c r="O758" s="245"/>
      <x:c r="P758" s="245"/>
      <x:c r="Q758" s="245"/>
      <x:c r="R758" s="245"/>
      <x:c r="S758" s="245"/>
      <x:c r="T758" s="245"/>
      <x:c r="U758" s="245"/>
      <x:c r="V758" s="245"/>
      <x:c r="W758" s="245"/>
      <x:c r="X758" s="245"/>
      <x:c r="Y758" s="245"/>
      <x:c r="Z758" s="245"/>
    </x:row>
    <x:row r="759">
      <x:c r="A759" s="245"/>
      <x:c r="B759" s="245"/>
      <x:c r="C759" s="245"/>
      <x:c r="D759" s="245"/>
      <x:c r="E759" s="245"/>
      <x:c r="F759" s="245"/>
      <x:c r="G759" s="245"/>
      <x:c r="H759" s="245"/>
      <x:c r="I759" s="245"/>
      <x:c r="J759" s="245"/>
      <x:c r="K759" s="245"/>
      <x:c r="L759" s="245"/>
      <x:c r="M759" s="245"/>
      <x:c r="N759" s="245"/>
      <x:c r="O759" s="245"/>
      <x:c r="P759" s="245"/>
      <x:c r="Q759" s="245"/>
      <x:c r="R759" s="245"/>
      <x:c r="S759" s="245"/>
      <x:c r="T759" s="245"/>
      <x:c r="U759" s="245"/>
      <x:c r="V759" s="245"/>
      <x:c r="W759" s="245"/>
      <x:c r="X759" s="245"/>
      <x:c r="Y759" s="245"/>
      <x:c r="Z759" s="245"/>
    </x:row>
    <x:row r="760">
      <x:c r="A760" s="245"/>
      <x:c r="B760" s="245"/>
      <x:c r="C760" s="245"/>
      <x:c r="D760" s="245"/>
      <x:c r="E760" s="245"/>
      <x:c r="F760" s="245"/>
      <x:c r="G760" s="245"/>
      <x:c r="H760" s="245"/>
      <x:c r="I760" s="245"/>
      <x:c r="J760" s="245"/>
      <x:c r="K760" s="245"/>
      <x:c r="L760" s="245"/>
      <x:c r="M760" s="245"/>
      <x:c r="N760" s="245"/>
      <x:c r="O760" s="245"/>
      <x:c r="P760" s="245"/>
      <x:c r="Q760" s="245"/>
      <x:c r="R760" s="245"/>
      <x:c r="S760" s="245"/>
      <x:c r="T760" s="245"/>
      <x:c r="U760" s="245"/>
      <x:c r="V760" s="245"/>
      <x:c r="W760" s="245"/>
      <x:c r="X760" s="245"/>
      <x:c r="Y760" s="245"/>
      <x:c r="Z760" s="245"/>
    </x:row>
    <x:row r="761">
      <x:c r="A761" s="245"/>
      <x:c r="B761" s="245"/>
      <x:c r="C761" s="245"/>
      <x:c r="D761" s="245"/>
      <x:c r="E761" s="245"/>
      <x:c r="F761" s="245"/>
      <x:c r="G761" s="245"/>
      <x:c r="H761" s="245"/>
      <x:c r="I761" s="245"/>
      <x:c r="J761" s="245"/>
      <x:c r="K761" s="245"/>
      <x:c r="L761" s="245"/>
      <x:c r="M761" s="245"/>
      <x:c r="N761" s="245"/>
      <x:c r="O761" s="245"/>
      <x:c r="P761" s="245"/>
      <x:c r="Q761" s="245"/>
      <x:c r="R761" s="245"/>
      <x:c r="S761" s="245"/>
      <x:c r="T761" s="245"/>
      <x:c r="U761" s="245"/>
      <x:c r="V761" s="245"/>
      <x:c r="W761" s="245"/>
      <x:c r="X761" s="245"/>
      <x:c r="Y761" s="245"/>
      <x:c r="Z761" s="245"/>
    </x:row>
    <x:row r="762">
      <x:c r="A762" s="245"/>
      <x:c r="B762" s="245"/>
      <x:c r="C762" s="245"/>
      <x:c r="D762" s="245"/>
      <x:c r="E762" s="245"/>
      <x:c r="F762" s="245"/>
      <x:c r="G762" s="245"/>
      <x:c r="H762" s="245"/>
      <x:c r="I762" s="245"/>
      <x:c r="J762" s="245"/>
      <x:c r="K762" s="245"/>
      <x:c r="L762" s="245"/>
      <x:c r="M762" s="245"/>
      <x:c r="N762" s="245"/>
      <x:c r="O762" s="245"/>
      <x:c r="P762" s="245"/>
      <x:c r="Q762" s="245"/>
      <x:c r="R762" s="245"/>
      <x:c r="S762" s="245"/>
      <x:c r="T762" s="245"/>
      <x:c r="U762" s="245"/>
      <x:c r="V762" s="245"/>
      <x:c r="W762" s="245"/>
      <x:c r="X762" s="245"/>
      <x:c r="Y762" s="245"/>
      <x:c r="Z762" s="245"/>
    </x:row>
    <x:row r="763">
      <x:c r="A763" s="245"/>
      <x:c r="B763" s="245"/>
      <x:c r="C763" s="245"/>
      <x:c r="D763" s="245"/>
      <x:c r="E763" s="245"/>
      <x:c r="F763" s="245"/>
      <x:c r="G763" s="245"/>
      <x:c r="H763" s="245"/>
      <x:c r="I763" s="245"/>
      <x:c r="J763" s="245"/>
      <x:c r="K763" s="245"/>
      <x:c r="L763" s="245"/>
      <x:c r="M763" s="245"/>
      <x:c r="N763" s="245"/>
      <x:c r="O763" s="245"/>
      <x:c r="P763" s="245"/>
      <x:c r="Q763" s="245"/>
      <x:c r="R763" s="245"/>
      <x:c r="S763" s="245"/>
      <x:c r="T763" s="245"/>
      <x:c r="U763" s="245"/>
      <x:c r="V763" s="245"/>
      <x:c r="W763" s="245"/>
      <x:c r="X763" s="245"/>
      <x:c r="Y763" s="245"/>
      <x:c r="Z763" s="245"/>
    </x:row>
    <x:row r="764">
      <x:c r="A764" s="245"/>
      <x:c r="B764" s="245"/>
      <x:c r="C764" s="245"/>
      <x:c r="D764" s="245"/>
      <x:c r="E764" s="245"/>
      <x:c r="F764" s="245"/>
      <x:c r="G764" s="245"/>
      <x:c r="H764" s="245"/>
      <x:c r="I764" s="245"/>
      <x:c r="J764" s="245"/>
      <x:c r="K764" s="245"/>
      <x:c r="L764" s="245"/>
      <x:c r="M764" s="245"/>
      <x:c r="N764" s="245"/>
      <x:c r="O764" s="245"/>
      <x:c r="P764" s="245"/>
      <x:c r="Q764" s="245"/>
      <x:c r="R764" s="245"/>
      <x:c r="S764" s="245"/>
      <x:c r="T764" s="245"/>
      <x:c r="U764" s="245"/>
      <x:c r="V764" s="245"/>
      <x:c r="W764" s="245"/>
      <x:c r="X764" s="245"/>
      <x:c r="Y764" s="245"/>
      <x:c r="Z764" s="245"/>
    </x:row>
    <x:row r="765">
      <x:c r="A765" s="245"/>
      <x:c r="B765" s="245"/>
      <x:c r="C765" s="245"/>
      <x:c r="D765" s="245"/>
      <x:c r="E765" s="245"/>
      <x:c r="F765" s="245"/>
      <x:c r="G765" s="245"/>
      <x:c r="H765" s="245"/>
      <x:c r="I765" s="245"/>
      <x:c r="J765" s="245"/>
      <x:c r="K765" s="245"/>
      <x:c r="L765" s="245"/>
      <x:c r="M765" s="245"/>
      <x:c r="N765" s="245"/>
      <x:c r="O765" s="245"/>
      <x:c r="P765" s="245"/>
      <x:c r="Q765" s="245"/>
      <x:c r="R765" s="245"/>
      <x:c r="S765" s="245"/>
      <x:c r="T765" s="245"/>
      <x:c r="U765" s="245"/>
      <x:c r="V765" s="245"/>
      <x:c r="W765" s="245"/>
      <x:c r="X765" s="245"/>
      <x:c r="Y765" s="245"/>
      <x:c r="Z765" s="245"/>
    </x:row>
    <x:row r="766">
      <x:c r="A766" s="245"/>
      <x:c r="B766" s="245"/>
      <x:c r="C766" s="245"/>
      <x:c r="D766" s="245"/>
      <x:c r="E766" s="245"/>
      <x:c r="F766" s="245"/>
      <x:c r="G766" s="245"/>
      <x:c r="H766" s="245"/>
      <x:c r="I766" s="245"/>
      <x:c r="J766" s="245"/>
      <x:c r="K766" s="245"/>
      <x:c r="L766" s="245"/>
      <x:c r="M766" s="245"/>
      <x:c r="N766" s="245"/>
      <x:c r="O766" s="245"/>
      <x:c r="P766" s="245"/>
      <x:c r="Q766" s="245"/>
      <x:c r="R766" s="245"/>
      <x:c r="S766" s="245"/>
      <x:c r="T766" s="245"/>
      <x:c r="U766" s="245"/>
      <x:c r="V766" s="245"/>
      <x:c r="W766" s="245"/>
      <x:c r="X766" s="245"/>
      <x:c r="Y766" s="245"/>
      <x:c r="Z766" s="245"/>
    </x:row>
    <x:row r="767">
      <x:c r="A767" s="245"/>
      <x:c r="B767" s="245"/>
      <x:c r="C767" s="245"/>
      <x:c r="D767" s="245"/>
      <x:c r="E767" s="245"/>
      <x:c r="F767" s="245"/>
      <x:c r="G767" s="245"/>
      <x:c r="H767" s="245"/>
      <x:c r="I767" s="245"/>
      <x:c r="J767" s="245"/>
      <x:c r="K767" s="245"/>
      <x:c r="L767" s="245"/>
      <x:c r="M767" s="245"/>
      <x:c r="N767" s="245"/>
      <x:c r="O767" s="245"/>
      <x:c r="P767" s="245"/>
      <x:c r="Q767" s="245"/>
      <x:c r="R767" s="245"/>
      <x:c r="S767" s="245"/>
      <x:c r="T767" s="245"/>
      <x:c r="U767" s="245"/>
      <x:c r="V767" s="245"/>
      <x:c r="W767" s="245"/>
      <x:c r="X767" s="245"/>
      <x:c r="Y767" s="245"/>
      <x:c r="Z767" s="245"/>
    </x:row>
    <x:row r="768">
      <x:c r="A768" s="245"/>
      <x:c r="B768" s="245"/>
      <x:c r="C768" s="245"/>
      <x:c r="D768" s="245"/>
      <x:c r="E768" s="245"/>
      <x:c r="F768" s="245"/>
      <x:c r="G768" s="245"/>
      <x:c r="H768" s="245"/>
      <x:c r="I768" s="245"/>
      <x:c r="J768" s="245"/>
      <x:c r="K768" s="245"/>
      <x:c r="L768" s="245"/>
      <x:c r="M768" s="245"/>
      <x:c r="N768" s="245"/>
      <x:c r="O768" s="245"/>
      <x:c r="P768" s="245"/>
      <x:c r="Q768" s="245"/>
      <x:c r="R768" s="245"/>
      <x:c r="S768" s="245"/>
      <x:c r="T768" s="245"/>
      <x:c r="U768" s="245"/>
      <x:c r="V768" s="245"/>
      <x:c r="W768" s="245"/>
      <x:c r="X768" s="245"/>
      <x:c r="Y768" s="245"/>
      <x:c r="Z768" s="245"/>
    </x:row>
    <x:row r="769">
      <x:c r="A769" s="245"/>
      <x:c r="B769" s="245"/>
      <x:c r="C769" s="245"/>
      <x:c r="D769" s="245"/>
      <x:c r="E769" s="245"/>
      <x:c r="F769" s="245"/>
      <x:c r="G769" s="245"/>
      <x:c r="H769" s="245"/>
      <x:c r="I769" s="245"/>
      <x:c r="J769" s="245"/>
      <x:c r="K769" s="245"/>
      <x:c r="L769" s="245"/>
      <x:c r="M769" s="245"/>
      <x:c r="N769" s="245"/>
      <x:c r="O769" s="245"/>
      <x:c r="P769" s="245"/>
      <x:c r="Q769" s="245"/>
      <x:c r="R769" s="245"/>
      <x:c r="S769" s="245"/>
      <x:c r="T769" s="245"/>
      <x:c r="U769" s="245"/>
      <x:c r="V769" s="245"/>
      <x:c r="W769" s="245"/>
      <x:c r="X769" s="245"/>
      <x:c r="Y769" s="245"/>
      <x:c r="Z769" s="245"/>
    </x:row>
    <x:row r="770">
      <x:c r="A770" s="245"/>
      <x:c r="B770" s="245"/>
      <x:c r="C770" s="245"/>
      <x:c r="D770" s="245"/>
      <x:c r="E770" s="245"/>
      <x:c r="F770" s="245"/>
      <x:c r="G770" s="245"/>
      <x:c r="H770" s="245"/>
      <x:c r="I770" s="245"/>
      <x:c r="J770" s="245"/>
      <x:c r="K770" s="245"/>
      <x:c r="L770" s="245"/>
      <x:c r="M770" s="245"/>
      <x:c r="N770" s="245"/>
      <x:c r="O770" s="245"/>
      <x:c r="P770" s="245"/>
      <x:c r="Q770" s="245"/>
      <x:c r="R770" s="245"/>
      <x:c r="S770" s="245"/>
      <x:c r="T770" s="245"/>
      <x:c r="U770" s="245"/>
      <x:c r="V770" s="245"/>
      <x:c r="W770" s="245"/>
      <x:c r="X770" s="245"/>
      <x:c r="Y770" s="245"/>
      <x:c r="Z770" s="245"/>
    </x:row>
    <x:row r="771">
      <x:c r="A771" s="245"/>
      <x:c r="B771" s="245"/>
      <x:c r="C771" s="245"/>
      <x:c r="D771" s="245"/>
      <x:c r="E771" s="245"/>
      <x:c r="F771" s="245"/>
      <x:c r="G771" s="245"/>
      <x:c r="H771" s="245"/>
      <x:c r="I771" s="245"/>
      <x:c r="J771" s="245"/>
      <x:c r="K771" s="245"/>
      <x:c r="L771" s="245"/>
      <x:c r="M771" s="245"/>
      <x:c r="N771" s="245"/>
      <x:c r="O771" s="245"/>
      <x:c r="P771" s="245"/>
      <x:c r="Q771" s="245"/>
      <x:c r="R771" s="245"/>
      <x:c r="S771" s="245"/>
      <x:c r="T771" s="245"/>
      <x:c r="U771" s="245"/>
      <x:c r="V771" s="245"/>
      <x:c r="W771" s="245"/>
      <x:c r="X771" s="245"/>
      <x:c r="Y771" s="245"/>
      <x:c r="Z771" s="245"/>
    </x:row>
    <x:row r="772">
      <x:c r="A772" s="245"/>
      <x:c r="B772" s="245"/>
      <x:c r="C772" s="245"/>
      <x:c r="D772" s="245"/>
      <x:c r="E772" s="245"/>
      <x:c r="F772" s="245"/>
      <x:c r="G772" s="245"/>
      <x:c r="H772" s="245"/>
      <x:c r="I772" s="245"/>
      <x:c r="J772" s="245"/>
      <x:c r="K772" s="245"/>
      <x:c r="L772" s="245"/>
      <x:c r="M772" s="245"/>
      <x:c r="N772" s="245"/>
      <x:c r="O772" s="245"/>
      <x:c r="P772" s="245"/>
      <x:c r="Q772" s="245"/>
      <x:c r="R772" s="245"/>
      <x:c r="S772" s="245"/>
      <x:c r="T772" s="245"/>
      <x:c r="U772" s="245"/>
      <x:c r="V772" s="245"/>
      <x:c r="W772" s="245"/>
      <x:c r="X772" s="245"/>
      <x:c r="Y772" s="245"/>
      <x:c r="Z772" s="245"/>
    </x:row>
    <x:row r="773">
      <x:c r="A773" s="245"/>
      <x:c r="B773" s="245"/>
      <x:c r="C773" s="245"/>
      <x:c r="D773" s="245"/>
      <x:c r="E773" s="245"/>
      <x:c r="F773" s="245"/>
      <x:c r="G773" s="245"/>
      <x:c r="H773" s="245"/>
      <x:c r="I773" s="245"/>
      <x:c r="J773" s="245"/>
      <x:c r="K773" s="245"/>
      <x:c r="L773" s="245"/>
      <x:c r="M773" s="245"/>
      <x:c r="N773" s="245"/>
      <x:c r="O773" s="245"/>
      <x:c r="P773" s="245"/>
      <x:c r="Q773" s="245"/>
      <x:c r="R773" s="245"/>
      <x:c r="S773" s="245"/>
      <x:c r="T773" s="245"/>
      <x:c r="U773" s="245"/>
      <x:c r="V773" s="245"/>
      <x:c r="W773" s="245"/>
      <x:c r="X773" s="245"/>
      <x:c r="Y773" s="245"/>
      <x:c r="Z773" s="245"/>
    </x:row>
    <x:row r="774">
      <x:c r="A774" s="245"/>
      <x:c r="B774" s="245"/>
      <x:c r="C774" s="245"/>
      <x:c r="D774" s="245"/>
      <x:c r="E774" s="245"/>
      <x:c r="F774" s="245"/>
      <x:c r="G774" s="245"/>
      <x:c r="H774" s="245"/>
      <x:c r="I774" s="245"/>
      <x:c r="J774" s="245"/>
      <x:c r="K774" s="245"/>
      <x:c r="L774" s="245"/>
      <x:c r="M774" s="245"/>
      <x:c r="N774" s="245"/>
      <x:c r="O774" s="245"/>
      <x:c r="P774" s="245"/>
      <x:c r="Q774" s="245"/>
      <x:c r="R774" s="245"/>
      <x:c r="S774" s="245"/>
      <x:c r="T774" s="245"/>
      <x:c r="U774" s="245"/>
      <x:c r="V774" s="245"/>
      <x:c r="W774" s="245"/>
      <x:c r="X774" s="245"/>
      <x:c r="Y774" s="245"/>
      <x:c r="Z774" s="245"/>
    </x:row>
    <x:row r="775">
      <x:c r="A775" s="245"/>
      <x:c r="B775" s="245"/>
      <x:c r="C775" s="245"/>
      <x:c r="D775" s="245"/>
      <x:c r="E775" s="245"/>
      <x:c r="F775" s="245"/>
      <x:c r="G775" s="245"/>
      <x:c r="H775" s="245"/>
      <x:c r="I775" s="245"/>
      <x:c r="J775" s="245"/>
      <x:c r="K775" s="245"/>
      <x:c r="L775" s="245"/>
      <x:c r="M775" s="245"/>
      <x:c r="N775" s="245"/>
      <x:c r="O775" s="245"/>
      <x:c r="P775" s="245"/>
      <x:c r="Q775" s="245"/>
      <x:c r="R775" s="245"/>
      <x:c r="S775" s="245"/>
      <x:c r="T775" s="245"/>
      <x:c r="U775" s="245"/>
      <x:c r="V775" s="245"/>
      <x:c r="W775" s="245"/>
      <x:c r="X775" s="245"/>
      <x:c r="Y775" s="245"/>
      <x:c r="Z775" s="245"/>
    </x:row>
    <x:row r="776">
      <x:c r="A776" s="245"/>
      <x:c r="B776" s="245"/>
      <x:c r="C776" s="245"/>
      <x:c r="D776" s="245"/>
      <x:c r="E776" s="245"/>
      <x:c r="F776" s="245"/>
      <x:c r="G776" s="245"/>
      <x:c r="H776" s="245"/>
      <x:c r="I776" s="245"/>
      <x:c r="J776" s="245"/>
      <x:c r="K776" s="245"/>
      <x:c r="L776" s="245"/>
      <x:c r="M776" s="245"/>
      <x:c r="N776" s="245"/>
      <x:c r="O776" s="245"/>
      <x:c r="P776" s="245"/>
      <x:c r="Q776" s="245"/>
      <x:c r="R776" s="245"/>
      <x:c r="S776" s="245"/>
      <x:c r="T776" s="245"/>
      <x:c r="U776" s="245"/>
      <x:c r="V776" s="245"/>
      <x:c r="W776" s="245"/>
      <x:c r="X776" s="245"/>
      <x:c r="Y776" s="245"/>
      <x:c r="Z776" s="245"/>
    </x:row>
    <x:row r="777">
      <x:c r="A777" s="245"/>
      <x:c r="B777" s="245"/>
      <x:c r="C777" s="245"/>
      <x:c r="D777" s="245"/>
      <x:c r="E777" s="245"/>
      <x:c r="F777" s="245"/>
      <x:c r="G777" s="245"/>
      <x:c r="H777" s="245"/>
      <x:c r="I777" s="245"/>
      <x:c r="J777" s="245"/>
      <x:c r="K777" s="245"/>
      <x:c r="L777" s="245"/>
      <x:c r="M777" s="245"/>
      <x:c r="N777" s="245"/>
      <x:c r="O777" s="245"/>
      <x:c r="P777" s="245"/>
      <x:c r="Q777" s="245"/>
      <x:c r="R777" s="245"/>
      <x:c r="S777" s="245"/>
      <x:c r="T777" s="245"/>
      <x:c r="U777" s="245"/>
      <x:c r="V777" s="245"/>
      <x:c r="W777" s="245"/>
      <x:c r="X777" s="245"/>
      <x:c r="Y777" s="245"/>
      <x:c r="Z777" s="245"/>
    </x:row>
    <x:row r="778">
      <x:c r="A778" s="245"/>
      <x:c r="B778" s="245"/>
      <x:c r="C778" s="245"/>
      <x:c r="D778" s="245"/>
      <x:c r="E778" s="245"/>
      <x:c r="F778" s="245"/>
      <x:c r="G778" s="245"/>
      <x:c r="H778" s="245"/>
      <x:c r="I778" s="245"/>
      <x:c r="J778" s="245"/>
      <x:c r="K778" s="245"/>
      <x:c r="L778" s="245"/>
      <x:c r="M778" s="245"/>
      <x:c r="N778" s="245"/>
      <x:c r="O778" s="245"/>
      <x:c r="P778" s="245"/>
      <x:c r="Q778" s="245"/>
      <x:c r="R778" s="245"/>
      <x:c r="S778" s="245"/>
      <x:c r="T778" s="245"/>
      <x:c r="U778" s="245"/>
      <x:c r="V778" s="245"/>
      <x:c r="W778" s="245"/>
      <x:c r="X778" s="245"/>
      <x:c r="Y778" s="245"/>
      <x:c r="Z778" s="245"/>
    </x:row>
    <x:row r="779">
      <x:c r="A779" s="245"/>
      <x:c r="B779" s="245"/>
      <x:c r="C779" s="245"/>
      <x:c r="D779" s="245"/>
      <x:c r="E779" s="245"/>
      <x:c r="F779" s="245"/>
      <x:c r="G779" s="245"/>
      <x:c r="H779" s="245"/>
      <x:c r="I779" s="245"/>
      <x:c r="J779" s="245"/>
      <x:c r="K779" s="245"/>
      <x:c r="L779" s="245"/>
      <x:c r="M779" s="245"/>
      <x:c r="N779" s="245"/>
      <x:c r="O779" s="245"/>
      <x:c r="P779" s="245"/>
      <x:c r="Q779" s="245"/>
      <x:c r="R779" s="245"/>
      <x:c r="S779" s="245"/>
      <x:c r="T779" s="245"/>
      <x:c r="U779" s="245"/>
      <x:c r="V779" s="245"/>
      <x:c r="W779" s="245"/>
      <x:c r="X779" s="245"/>
      <x:c r="Y779" s="245"/>
      <x:c r="Z779" s="245"/>
    </x:row>
    <x:row r="780">
      <x:c r="A780" s="245"/>
      <x:c r="B780" s="245"/>
      <x:c r="C780" s="245"/>
      <x:c r="D780" s="245"/>
      <x:c r="E780" s="245"/>
      <x:c r="F780" s="245"/>
      <x:c r="G780" s="245"/>
      <x:c r="H780" s="245"/>
      <x:c r="I780" s="245"/>
      <x:c r="J780" s="245"/>
      <x:c r="K780" s="245"/>
      <x:c r="L780" s="245"/>
      <x:c r="M780" s="245"/>
      <x:c r="N780" s="245"/>
      <x:c r="O780" s="245"/>
      <x:c r="P780" s="245"/>
      <x:c r="Q780" s="245"/>
      <x:c r="R780" s="245"/>
      <x:c r="S780" s="245"/>
      <x:c r="T780" s="245"/>
      <x:c r="U780" s="245"/>
      <x:c r="V780" s="245"/>
      <x:c r="W780" s="245"/>
      <x:c r="X780" s="245"/>
      <x:c r="Y780" s="245"/>
      <x:c r="Z780" s="245"/>
    </x:row>
    <x:row r="781">
      <x:c r="A781" s="245"/>
      <x:c r="B781" s="245"/>
      <x:c r="C781" s="245"/>
      <x:c r="D781" s="245"/>
      <x:c r="E781" s="245"/>
      <x:c r="F781" s="245"/>
      <x:c r="G781" s="245"/>
      <x:c r="H781" s="245"/>
      <x:c r="I781" s="245"/>
      <x:c r="J781" s="245"/>
      <x:c r="K781" s="245"/>
      <x:c r="L781" s="245"/>
      <x:c r="M781" s="245"/>
      <x:c r="N781" s="245"/>
      <x:c r="O781" s="245"/>
      <x:c r="P781" s="245"/>
      <x:c r="Q781" s="245"/>
      <x:c r="R781" s="245"/>
      <x:c r="S781" s="245"/>
      <x:c r="T781" s="245"/>
      <x:c r="U781" s="245"/>
      <x:c r="V781" s="245"/>
      <x:c r="W781" s="245"/>
      <x:c r="X781" s="245"/>
      <x:c r="Y781" s="245"/>
      <x:c r="Z781" s="245"/>
    </x:row>
    <x:row r="782">
      <x:c r="A782" s="245"/>
      <x:c r="B782" s="245"/>
      <x:c r="C782" s="245"/>
      <x:c r="D782" s="245"/>
      <x:c r="E782" s="245"/>
      <x:c r="F782" s="245"/>
      <x:c r="G782" s="245"/>
      <x:c r="H782" s="245"/>
      <x:c r="I782" s="245"/>
      <x:c r="J782" s="245"/>
      <x:c r="K782" s="245"/>
      <x:c r="L782" s="245"/>
      <x:c r="M782" s="245"/>
      <x:c r="N782" s="245"/>
      <x:c r="O782" s="245"/>
      <x:c r="P782" s="245"/>
      <x:c r="Q782" s="245"/>
      <x:c r="R782" s="245"/>
      <x:c r="S782" s="245"/>
      <x:c r="T782" s="245"/>
      <x:c r="U782" s="245"/>
      <x:c r="V782" s="245"/>
      <x:c r="W782" s="245"/>
      <x:c r="X782" s="245"/>
      <x:c r="Y782" s="245"/>
      <x:c r="Z782" s="245"/>
    </x:row>
    <x:row r="783">
      <x:c r="A783" s="245"/>
      <x:c r="B783" s="245"/>
      <x:c r="C783" s="245"/>
      <x:c r="D783" s="245"/>
      <x:c r="E783" s="245"/>
      <x:c r="F783" s="245"/>
      <x:c r="G783" s="245"/>
      <x:c r="H783" s="245"/>
      <x:c r="I783" s="245"/>
      <x:c r="J783" s="245"/>
      <x:c r="K783" s="245"/>
      <x:c r="L783" s="245"/>
      <x:c r="M783" s="245"/>
      <x:c r="N783" s="245"/>
      <x:c r="O783" s="245"/>
      <x:c r="P783" s="245"/>
      <x:c r="Q783" s="245"/>
      <x:c r="R783" s="245"/>
      <x:c r="S783" s="245"/>
      <x:c r="T783" s="245"/>
      <x:c r="U783" s="245"/>
      <x:c r="V783" s="245"/>
      <x:c r="W783" s="245"/>
      <x:c r="X783" s="245"/>
      <x:c r="Y783" s="245"/>
      <x:c r="Z783" s="245"/>
    </x:row>
    <x:row r="784">
      <x:c r="A784" s="245"/>
      <x:c r="B784" s="245"/>
      <x:c r="C784" s="245"/>
      <x:c r="D784" s="245"/>
      <x:c r="E784" s="245"/>
      <x:c r="F784" s="245"/>
      <x:c r="G784" s="245"/>
      <x:c r="H784" s="245"/>
      <x:c r="I784" s="245"/>
      <x:c r="J784" s="245"/>
      <x:c r="K784" s="245"/>
      <x:c r="L784" s="245"/>
      <x:c r="M784" s="245"/>
      <x:c r="N784" s="245"/>
      <x:c r="O784" s="245"/>
      <x:c r="P784" s="245"/>
      <x:c r="Q784" s="245"/>
      <x:c r="R784" s="245"/>
      <x:c r="S784" s="245"/>
      <x:c r="T784" s="245"/>
      <x:c r="U784" s="245"/>
      <x:c r="V784" s="245"/>
      <x:c r="W784" s="245"/>
      <x:c r="X784" s="245"/>
      <x:c r="Y784" s="245"/>
      <x:c r="Z784" s="245"/>
    </x:row>
    <x:row r="785">
      <x:c r="A785" s="245"/>
      <x:c r="B785" s="245"/>
      <x:c r="C785" s="245"/>
      <x:c r="D785" s="245"/>
      <x:c r="E785" s="245"/>
      <x:c r="F785" s="245"/>
      <x:c r="G785" s="245"/>
      <x:c r="H785" s="245"/>
      <x:c r="I785" s="245"/>
      <x:c r="J785" s="245"/>
      <x:c r="K785" s="245"/>
      <x:c r="L785" s="245"/>
      <x:c r="M785" s="245"/>
      <x:c r="N785" s="245"/>
      <x:c r="O785" s="245"/>
      <x:c r="P785" s="245"/>
      <x:c r="Q785" s="245"/>
      <x:c r="R785" s="245"/>
      <x:c r="S785" s="245"/>
      <x:c r="T785" s="245"/>
      <x:c r="U785" s="245"/>
      <x:c r="V785" s="245"/>
      <x:c r="W785" s="245"/>
      <x:c r="X785" s="245"/>
      <x:c r="Y785" s="245"/>
      <x:c r="Z785" s="245"/>
    </x:row>
    <x:row r="786">
      <x:c r="A786" s="245"/>
      <x:c r="B786" s="245"/>
      <x:c r="C786" s="245"/>
      <x:c r="D786" s="245"/>
      <x:c r="E786" s="245"/>
      <x:c r="F786" s="245"/>
      <x:c r="G786" s="245"/>
      <x:c r="H786" s="245"/>
      <x:c r="I786" s="245"/>
      <x:c r="J786" s="245"/>
      <x:c r="K786" s="245"/>
      <x:c r="L786" s="245"/>
      <x:c r="M786" s="245"/>
      <x:c r="N786" s="245"/>
      <x:c r="O786" s="245"/>
      <x:c r="P786" s="245"/>
      <x:c r="Q786" s="245"/>
      <x:c r="R786" s="245"/>
      <x:c r="S786" s="245"/>
      <x:c r="T786" s="245"/>
      <x:c r="U786" s="245"/>
      <x:c r="V786" s="245"/>
      <x:c r="W786" s="245"/>
      <x:c r="X786" s="245"/>
      <x:c r="Y786" s="245"/>
      <x:c r="Z786" s="245"/>
    </x:row>
    <x:row r="787">
      <x:c r="A787" s="245"/>
      <x:c r="B787" s="245"/>
      <x:c r="C787" s="245"/>
      <x:c r="D787" s="245"/>
      <x:c r="E787" s="245"/>
      <x:c r="F787" s="245"/>
      <x:c r="G787" s="245"/>
      <x:c r="H787" s="245"/>
      <x:c r="I787" s="245"/>
      <x:c r="J787" s="245"/>
      <x:c r="K787" s="245"/>
      <x:c r="L787" s="245"/>
      <x:c r="M787" s="245"/>
      <x:c r="N787" s="245"/>
      <x:c r="O787" s="245"/>
      <x:c r="P787" s="245"/>
      <x:c r="Q787" s="245"/>
      <x:c r="R787" s="245"/>
      <x:c r="S787" s="245"/>
      <x:c r="T787" s="245"/>
      <x:c r="U787" s="245"/>
      <x:c r="V787" s="245"/>
      <x:c r="W787" s="245"/>
      <x:c r="X787" s="245"/>
      <x:c r="Y787" s="245"/>
      <x:c r="Z787" s="245"/>
    </x:row>
    <x:row r="788">
      <x:c r="A788" s="245"/>
      <x:c r="B788" s="245"/>
      <x:c r="C788" s="245"/>
      <x:c r="D788" s="245"/>
      <x:c r="E788" s="245"/>
      <x:c r="F788" s="245"/>
      <x:c r="G788" s="245"/>
      <x:c r="H788" s="245"/>
      <x:c r="I788" s="245"/>
      <x:c r="J788" s="245"/>
      <x:c r="K788" s="245"/>
      <x:c r="L788" s="245"/>
      <x:c r="M788" s="245"/>
      <x:c r="N788" s="245"/>
      <x:c r="O788" s="245"/>
      <x:c r="P788" s="245"/>
      <x:c r="Q788" s="245"/>
      <x:c r="R788" s="245"/>
      <x:c r="S788" s="245"/>
      <x:c r="T788" s="245"/>
      <x:c r="U788" s="245"/>
      <x:c r="V788" s="245"/>
      <x:c r="W788" s="245"/>
      <x:c r="X788" s="245"/>
      <x:c r="Y788" s="245"/>
      <x:c r="Z788" s="245"/>
    </x:row>
    <x:row r="789">
      <x:c r="A789" s="245"/>
      <x:c r="B789" s="245"/>
      <x:c r="C789" s="245"/>
      <x:c r="D789" s="245"/>
      <x:c r="E789" s="245"/>
      <x:c r="F789" s="245"/>
      <x:c r="G789" s="245"/>
      <x:c r="H789" s="245"/>
      <x:c r="I789" s="245"/>
      <x:c r="J789" s="245"/>
      <x:c r="K789" s="245"/>
      <x:c r="L789" s="245"/>
      <x:c r="M789" s="245"/>
      <x:c r="N789" s="245"/>
      <x:c r="O789" s="245"/>
      <x:c r="P789" s="245"/>
      <x:c r="Q789" s="245"/>
      <x:c r="R789" s="245"/>
      <x:c r="S789" s="245"/>
      <x:c r="T789" s="245"/>
      <x:c r="U789" s="245"/>
      <x:c r="V789" s="245"/>
      <x:c r="W789" s="245"/>
      <x:c r="X789" s="245"/>
      <x:c r="Y789" s="245"/>
      <x:c r="Z789" s="245"/>
    </x:row>
    <x:row r="790">
      <x:c r="A790" s="245"/>
      <x:c r="B790" s="245"/>
      <x:c r="C790" s="245"/>
      <x:c r="D790" s="245"/>
      <x:c r="E790" s="245"/>
      <x:c r="F790" s="245"/>
      <x:c r="G790" s="245"/>
      <x:c r="H790" s="245"/>
      <x:c r="I790" s="245"/>
      <x:c r="J790" s="245"/>
      <x:c r="K790" s="245"/>
      <x:c r="L790" s="245"/>
      <x:c r="M790" s="245"/>
      <x:c r="N790" s="245"/>
      <x:c r="O790" s="245"/>
      <x:c r="P790" s="245"/>
      <x:c r="Q790" s="245"/>
      <x:c r="R790" s="245"/>
      <x:c r="S790" s="245"/>
      <x:c r="T790" s="245"/>
      <x:c r="U790" s="245"/>
      <x:c r="V790" s="245"/>
      <x:c r="W790" s="245"/>
      <x:c r="X790" s="245"/>
      <x:c r="Y790" s="245"/>
      <x:c r="Z790" s="245"/>
    </x:row>
    <x:row r="791">
      <x:c r="A791" s="245"/>
      <x:c r="B791" s="245"/>
      <x:c r="C791" s="245"/>
      <x:c r="D791" s="245"/>
      <x:c r="E791" s="245"/>
      <x:c r="F791" s="245"/>
      <x:c r="G791" s="245"/>
      <x:c r="H791" s="245"/>
      <x:c r="I791" s="245"/>
      <x:c r="J791" s="245"/>
      <x:c r="K791" s="245"/>
      <x:c r="L791" s="245"/>
      <x:c r="M791" s="245"/>
      <x:c r="N791" s="245"/>
      <x:c r="O791" s="245"/>
      <x:c r="P791" s="245"/>
      <x:c r="Q791" s="245"/>
      <x:c r="R791" s="245"/>
      <x:c r="S791" s="245"/>
      <x:c r="T791" s="245"/>
      <x:c r="U791" s="245"/>
      <x:c r="V791" s="245"/>
      <x:c r="W791" s="245"/>
      <x:c r="X791" s="245"/>
      <x:c r="Y791" s="245"/>
      <x:c r="Z791" s="245"/>
    </x:row>
    <x:row r="792">
      <x:c r="A792" s="245"/>
      <x:c r="B792" s="245"/>
      <x:c r="C792" s="245"/>
      <x:c r="D792" s="245"/>
      <x:c r="E792" s="245"/>
      <x:c r="F792" s="245"/>
      <x:c r="G792" s="245"/>
      <x:c r="H792" s="245"/>
      <x:c r="I792" s="245"/>
      <x:c r="J792" s="245"/>
      <x:c r="K792" s="245"/>
      <x:c r="L792" s="245"/>
      <x:c r="M792" s="245"/>
      <x:c r="N792" s="245"/>
      <x:c r="O792" s="245"/>
      <x:c r="P792" s="245"/>
      <x:c r="Q792" s="245"/>
      <x:c r="R792" s="245"/>
      <x:c r="S792" s="245"/>
      <x:c r="T792" s="245"/>
      <x:c r="U792" s="245"/>
      <x:c r="V792" s="245"/>
      <x:c r="W792" s="245"/>
      <x:c r="X792" s="245"/>
      <x:c r="Y792" s="245"/>
      <x:c r="Z792" s="245"/>
    </x:row>
    <x:row r="793">
      <x:c r="A793" s="245"/>
      <x:c r="B793" s="245"/>
      <x:c r="C793" s="245"/>
      <x:c r="D793" s="245"/>
      <x:c r="E793" s="245"/>
      <x:c r="F793" s="245"/>
      <x:c r="G793" s="245"/>
      <x:c r="H793" s="245"/>
      <x:c r="I793" s="245"/>
      <x:c r="J793" s="245"/>
      <x:c r="K793" s="245"/>
      <x:c r="L793" s="245"/>
      <x:c r="M793" s="245"/>
      <x:c r="N793" s="245"/>
      <x:c r="O793" s="245"/>
      <x:c r="P793" s="245"/>
      <x:c r="Q793" s="245"/>
      <x:c r="R793" s="245"/>
      <x:c r="S793" s="245"/>
      <x:c r="T793" s="245"/>
      <x:c r="U793" s="245"/>
      <x:c r="V793" s="245"/>
      <x:c r="W793" s="245"/>
      <x:c r="X793" s="245"/>
      <x:c r="Y793" s="245"/>
      <x:c r="Z793" s="245"/>
    </x:row>
    <x:row r="794">
      <x:c r="A794" s="245"/>
      <x:c r="B794" s="245"/>
      <x:c r="C794" s="245"/>
      <x:c r="D794" s="245"/>
      <x:c r="E794" s="245"/>
      <x:c r="F794" s="245"/>
      <x:c r="G794" s="245"/>
      <x:c r="H794" s="245"/>
      <x:c r="I794" s="245"/>
      <x:c r="J794" s="245"/>
      <x:c r="K794" s="245"/>
      <x:c r="L794" s="245"/>
      <x:c r="M794" s="245"/>
      <x:c r="N794" s="245"/>
      <x:c r="O794" s="245"/>
      <x:c r="P794" s="245"/>
      <x:c r="Q794" s="245"/>
      <x:c r="R794" s="245"/>
      <x:c r="S794" s="245"/>
      <x:c r="T794" s="245"/>
      <x:c r="U794" s="245"/>
      <x:c r="V794" s="245"/>
      <x:c r="W794" s="245"/>
      <x:c r="X794" s="245"/>
      <x:c r="Y794" s="245"/>
      <x:c r="Z794" s="245"/>
    </x:row>
    <x:row r="795">
      <x:c r="A795" s="245"/>
      <x:c r="B795" s="245"/>
      <x:c r="C795" s="245"/>
      <x:c r="D795" s="245"/>
      <x:c r="E795" s="245"/>
      <x:c r="F795" s="245"/>
      <x:c r="G795" s="245"/>
      <x:c r="H795" s="245"/>
      <x:c r="I795" s="245"/>
      <x:c r="J795" s="245"/>
      <x:c r="K795" s="245"/>
      <x:c r="L795" s="245"/>
      <x:c r="M795" s="245"/>
      <x:c r="N795" s="245"/>
      <x:c r="O795" s="245"/>
      <x:c r="P795" s="245"/>
      <x:c r="Q795" s="245"/>
      <x:c r="R795" s="245"/>
      <x:c r="S795" s="245"/>
      <x:c r="T795" s="245"/>
      <x:c r="U795" s="245"/>
      <x:c r="V795" s="245"/>
      <x:c r="W795" s="245"/>
      <x:c r="X795" s="245"/>
      <x:c r="Y795" s="245"/>
      <x:c r="Z795" s="245"/>
    </x:row>
    <x:row r="796">
      <x:c r="A796" s="245"/>
      <x:c r="B796" s="245"/>
      <x:c r="C796" s="245"/>
      <x:c r="D796" s="245"/>
      <x:c r="E796" s="245"/>
      <x:c r="F796" s="245"/>
      <x:c r="G796" s="245"/>
      <x:c r="H796" s="245"/>
      <x:c r="I796" s="245"/>
      <x:c r="J796" s="245"/>
      <x:c r="K796" s="245"/>
      <x:c r="L796" s="245"/>
      <x:c r="M796" s="245"/>
      <x:c r="N796" s="245"/>
      <x:c r="O796" s="245"/>
      <x:c r="P796" s="245"/>
      <x:c r="Q796" s="245"/>
      <x:c r="R796" s="245"/>
      <x:c r="S796" s="245"/>
      <x:c r="T796" s="245"/>
      <x:c r="U796" s="245"/>
      <x:c r="V796" s="245"/>
      <x:c r="W796" s="245"/>
      <x:c r="X796" s="245"/>
      <x:c r="Y796" s="245"/>
      <x:c r="Z796" s="245"/>
    </x:row>
    <x:row r="797">
      <x:c r="A797" s="245"/>
      <x:c r="B797" s="245"/>
      <x:c r="C797" s="245"/>
      <x:c r="D797" s="245"/>
      <x:c r="E797" s="245"/>
      <x:c r="F797" s="245"/>
      <x:c r="G797" s="245"/>
      <x:c r="H797" s="245"/>
      <x:c r="I797" s="245"/>
      <x:c r="J797" s="245"/>
      <x:c r="K797" s="245"/>
      <x:c r="L797" s="245"/>
      <x:c r="M797" s="245"/>
      <x:c r="N797" s="245"/>
      <x:c r="O797" s="245"/>
      <x:c r="P797" s="245"/>
      <x:c r="Q797" s="245"/>
      <x:c r="R797" s="245"/>
      <x:c r="S797" s="245"/>
      <x:c r="T797" s="245"/>
      <x:c r="U797" s="245"/>
      <x:c r="V797" s="245"/>
      <x:c r="W797" s="245"/>
      <x:c r="X797" s="245"/>
      <x:c r="Y797" s="245"/>
      <x:c r="Z797" s="245"/>
    </x:row>
    <x:row r="798">
      <x:c r="A798" s="245"/>
      <x:c r="B798" s="245"/>
      <x:c r="C798" s="245"/>
      <x:c r="D798" s="245"/>
      <x:c r="E798" s="245"/>
      <x:c r="F798" s="245"/>
      <x:c r="G798" s="245"/>
      <x:c r="H798" s="245"/>
      <x:c r="I798" s="245"/>
      <x:c r="J798" s="245"/>
      <x:c r="K798" s="245"/>
      <x:c r="L798" s="245"/>
      <x:c r="M798" s="245"/>
      <x:c r="N798" s="245"/>
      <x:c r="O798" s="245"/>
      <x:c r="P798" s="245"/>
      <x:c r="Q798" s="245"/>
      <x:c r="R798" s="245"/>
      <x:c r="S798" s="245"/>
      <x:c r="T798" s="245"/>
      <x:c r="U798" s="245"/>
      <x:c r="V798" s="245"/>
      <x:c r="W798" s="245"/>
      <x:c r="X798" s="245"/>
      <x:c r="Y798" s="245"/>
      <x:c r="Z798" s="245"/>
    </x:row>
    <x:row r="799">
      <x:c r="A799" s="245"/>
      <x:c r="B799" s="245"/>
      <x:c r="C799" s="245"/>
      <x:c r="D799" s="245"/>
      <x:c r="E799" s="245"/>
      <x:c r="F799" s="245"/>
      <x:c r="G799" s="245"/>
      <x:c r="H799" s="245"/>
      <x:c r="I799" s="245"/>
      <x:c r="J799" s="245"/>
      <x:c r="K799" s="245"/>
      <x:c r="L799" s="245"/>
      <x:c r="M799" s="245"/>
      <x:c r="N799" s="245"/>
      <x:c r="O799" s="245"/>
      <x:c r="P799" s="245"/>
      <x:c r="Q799" s="245"/>
      <x:c r="R799" s="245"/>
      <x:c r="S799" s="245"/>
      <x:c r="T799" s="245"/>
      <x:c r="U799" s="245"/>
      <x:c r="V799" s="245"/>
      <x:c r="W799" s="245"/>
      <x:c r="X799" s="245"/>
      <x:c r="Y799" s="245"/>
      <x:c r="Z799" s="245"/>
    </x:row>
    <x:row r="800">
      <x:c r="A800" s="245"/>
      <x:c r="B800" s="245"/>
      <x:c r="C800" s="245"/>
      <x:c r="D800" s="245"/>
      <x:c r="E800" s="245"/>
      <x:c r="F800" s="245"/>
      <x:c r="G800" s="245"/>
      <x:c r="H800" s="245"/>
      <x:c r="I800" s="245"/>
      <x:c r="J800" s="245"/>
      <x:c r="K800" s="245"/>
      <x:c r="L800" s="245"/>
      <x:c r="M800" s="245"/>
      <x:c r="N800" s="245"/>
      <x:c r="O800" s="245"/>
      <x:c r="P800" s="245"/>
      <x:c r="Q800" s="245"/>
      <x:c r="R800" s="245"/>
      <x:c r="S800" s="245"/>
      <x:c r="T800" s="245"/>
      <x:c r="U800" s="245"/>
      <x:c r="V800" s="245"/>
      <x:c r="W800" s="245"/>
      <x:c r="X800" s="245"/>
      <x:c r="Y800" s="245"/>
      <x:c r="Z800" s="245"/>
    </x:row>
    <x:row r="801">
      <x:c r="A801" s="245"/>
      <x:c r="B801" s="245"/>
      <x:c r="C801" s="245"/>
      <x:c r="D801" s="245"/>
      <x:c r="E801" s="245"/>
      <x:c r="F801" s="245"/>
      <x:c r="G801" s="245"/>
      <x:c r="H801" s="245"/>
      <x:c r="I801" s="245"/>
      <x:c r="J801" s="245"/>
      <x:c r="K801" s="245"/>
      <x:c r="L801" s="245"/>
      <x:c r="M801" s="245"/>
      <x:c r="N801" s="245"/>
      <x:c r="O801" s="245"/>
      <x:c r="P801" s="245"/>
      <x:c r="Q801" s="245"/>
      <x:c r="R801" s="245"/>
      <x:c r="S801" s="245"/>
      <x:c r="T801" s="245"/>
      <x:c r="U801" s="245"/>
      <x:c r="V801" s="245"/>
      <x:c r="W801" s="245"/>
      <x:c r="X801" s="245"/>
      <x:c r="Y801" s="245"/>
      <x:c r="Z801" s="245"/>
    </x:row>
    <x:row r="802">
      <x:c r="A802" s="245"/>
      <x:c r="B802" s="245"/>
      <x:c r="C802" s="245"/>
      <x:c r="D802" s="245"/>
      <x:c r="E802" s="245"/>
      <x:c r="F802" s="245"/>
      <x:c r="G802" s="245"/>
      <x:c r="H802" s="245"/>
      <x:c r="I802" s="245"/>
      <x:c r="J802" s="245"/>
      <x:c r="K802" s="245"/>
      <x:c r="L802" s="245"/>
      <x:c r="M802" s="245"/>
      <x:c r="N802" s="245"/>
      <x:c r="O802" s="245"/>
      <x:c r="P802" s="245"/>
      <x:c r="Q802" s="245"/>
      <x:c r="R802" s="245"/>
      <x:c r="S802" s="245"/>
      <x:c r="T802" s="245"/>
      <x:c r="U802" s="245"/>
      <x:c r="V802" s="245"/>
      <x:c r="W802" s="245"/>
      <x:c r="X802" s="245"/>
      <x:c r="Y802" s="245"/>
      <x:c r="Z802" s="245"/>
    </x:row>
    <x:row r="803">
      <x:c r="A803" s="245"/>
      <x:c r="B803" s="245"/>
      <x:c r="C803" s="245"/>
      <x:c r="D803" s="245"/>
      <x:c r="E803" s="245"/>
      <x:c r="F803" s="245"/>
      <x:c r="G803" s="245"/>
      <x:c r="H803" s="245"/>
      <x:c r="I803" s="245"/>
      <x:c r="J803" s="245"/>
      <x:c r="K803" s="245"/>
      <x:c r="L803" s="245"/>
      <x:c r="M803" s="245"/>
      <x:c r="N803" s="245"/>
      <x:c r="O803" s="245"/>
      <x:c r="P803" s="245"/>
      <x:c r="Q803" s="245"/>
      <x:c r="R803" s="245"/>
      <x:c r="S803" s="245"/>
      <x:c r="T803" s="245"/>
      <x:c r="U803" s="245"/>
      <x:c r="V803" s="245"/>
      <x:c r="W803" s="245"/>
      <x:c r="X803" s="245"/>
      <x:c r="Y803" s="245"/>
      <x:c r="Z803" s="245"/>
    </x:row>
    <x:row r="804">
      <x:c r="A804" s="245"/>
      <x:c r="B804" s="245"/>
      <x:c r="C804" s="245"/>
      <x:c r="D804" s="245"/>
      <x:c r="E804" s="245"/>
      <x:c r="F804" s="245"/>
      <x:c r="G804" s="245"/>
      <x:c r="H804" s="245"/>
      <x:c r="I804" s="245"/>
      <x:c r="J804" s="245"/>
      <x:c r="K804" s="245"/>
      <x:c r="L804" s="245"/>
      <x:c r="M804" s="245"/>
      <x:c r="N804" s="245"/>
      <x:c r="O804" s="245"/>
      <x:c r="P804" s="245"/>
      <x:c r="Q804" s="245"/>
      <x:c r="R804" s="245"/>
      <x:c r="S804" s="245"/>
      <x:c r="T804" s="245"/>
      <x:c r="U804" s="245"/>
      <x:c r="V804" s="245"/>
      <x:c r="W804" s="245"/>
      <x:c r="X804" s="245"/>
      <x:c r="Y804" s="245"/>
      <x:c r="Z804" s="245"/>
    </x:row>
    <x:row r="805">
      <x:c r="A805" s="245"/>
      <x:c r="B805" s="245"/>
      <x:c r="C805" s="245"/>
      <x:c r="D805" s="245"/>
      <x:c r="E805" s="245"/>
      <x:c r="F805" s="245"/>
      <x:c r="G805" s="245"/>
      <x:c r="H805" s="245"/>
      <x:c r="I805" s="245"/>
      <x:c r="J805" s="245"/>
      <x:c r="K805" s="245"/>
      <x:c r="L805" s="245"/>
      <x:c r="M805" s="245"/>
      <x:c r="N805" s="245"/>
      <x:c r="O805" s="245"/>
      <x:c r="P805" s="245"/>
      <x:c r="Q805" s="245"/>
      <x:c r="R805" s="245"/>
      <x:c r="S805" s="245"/>
      <x:c r="T805" s="245"/>
      <x:c r="U805" s="245"/>
      <x:c r="V805" s="245"/>
      <x:c r="W805" s="245"/>
      <x:c r="X805" s="245"/>
      <x:c r="Y805" s="245"/>
      <x:c r="Z805" s="245"/>
    </x:row>
    <x:row r="806">
      <x:c r="A806" s="245"/>
      <x:c r="B806" s="245"/>
      <x:c r="C806" s="245"/>
      <x:c r="D806" s="245"/>
      <x:c r="E806" s="245"/>
      <x:c r="F806" s="245"/>
      <x:c r="G806" s="245"/>
      <x:c r="H806" s="245"/>
      <x:c r="I806" s="245"/>
      <x:c r="J806" s="245"/>
      <x:c r="K806" s="245"/>
      <x:c r="L806" s="245"/>
      <x:c r="M806" s="245"/>
      <x:c r="N806" s="245"/>
      <x:c r="O806" s="245"/>
      <x:c r="P806" s="245"/>
      <x:c r="Q806" s="245"/>
      <x:c r="R806" s="245"/>
      <x:c r="S806" s="245"/>
      <x:c r="T806" s="245"/>
      <x:c r="U806" s="245"/>
      <x:c r="V806" s="245"/>
      <x:c r="W806" s="245"/>
      <x:c r="X806" s="245"/>
      <x:c r="Y806" s="245"/>
      <x:c r="Z806" s="245"/>
    </x:row>
    <x:row r="807">
      <x:c r="A807" s="245"/>
      <x:c r="B807" s="245"/>
      <x:c r="C807" s="245"/>
      <x:c r="D807" s="245"/>
      <x:c r="E807" s="245"/>
      <x:c r="F807" s="245"/>
      <x:c r="G807" s="245"/>
      <x:c r="H807" s="245"/>
      <x:c r="I807" s="245"/>
      <x:c r="J807" s="245"/>
      <x:c r="K807" s="245"/>
      <x:c r="L807" s="245"/>
      <x:c r="M807" s="245"/>
      <x:c r="N807" s="245"/>
      <x:c r="O807" s="245"/>
      <x:c r="P807" s="245"/>
      <x:c r="Q807" s="245"/>
      <x:c r="R807" s="245"/>
      <x:c r="S807" s="245"/>
      <x:c r="T807" s="245"/>
      <x:c r="U807" s="245"/>
      <x:c r="V807" s="245"/>
      <x:c r="W807" s="245"/>
      <x:c r="X807" s="245"/>
      <x:c r="Y807" s="245"/>
      <x:c r="Z807" s="245"/>
    </x:row>
    <x:row r="808">
      <x:c r="A808" s="245"/>
      <x:c r="B808" s="245"/>
      <x:c r="C808" s="245"/>
      <x:c r="D808" s="245"/>
      <x:c r="E808" s="245"/>
      <x:c r="F808" s="245"/>
      <x:c r="G808" s="245"/>
      <x:c r="H808" s="245"/>
      <x:c r="I808" s="245"/>
      <x:c r="J808" s="245"/>
      <x:c r="K808" s="245"/>
      <x:c r="L808" s="245"/>
      <x:c r="M808" s="245"/>
      <x:c r="N808" s="245"/>
      <x:c r="O808" s="245"/>
      <x:c r="P808" s="245"/>
      <x:c r="Q808" s="245"/>
      <x:c r="R808" s="245"/>
      <x:c r="S808" s="245"/>
      <x:c r="T808" s="245"/>
      <x:c r="U808" s="245"/>
      <x:c r="V808" s="245"/>
      <x:c r="W808" s="245"/>
      <x:c r="X808" s="245"/>
      <x:c r="Y808" s="245"/>
      <x:c r="Z808" s="245"/>
    </x:row>
    <x:row r="809">
      <x:c r="A809" s="245"/>
      <x:c r="B809" s="245"/>
      <x:c r="C809" s="245"/>
      <x:c r="D809" s="245"/>
      <x:c r="E809" s="245"/>
      <x:c r="F809" s="245"/>
      <x:c r="G809" s="245"/>
      <x:c r="H809" s="245"/>
      <x:c r="I809" s="245"/>
      <x:c r="J809" s="245"/>
      <x:c r="K809" s="245"/>
      <x:c r="L809" s="245"/>
      <x:c r="M809" s="245"/>
      <x:c r="N809" s="245"/>
      <x:c r="O809" s="245"/>
      <x:c r="P809" s="245"/>
      <x:c r="Q809" s="245"/>
      <x:c r="R809" s="245"/>
      <x:c r="S809" s="245"/>
      <x:c r="T809" s="245"/>
      <x:c r="U809" s="245"/>
      <x:c r="V809" s="245"/>
      <x:c r="W809" s="245"/>
      <x:c r="X809" s="245"/>
      <x:c r="Y809" s="245"/>
      <x:c r="Z809" s="245"/>
    </x:row>
    <x:row r="810">
      <x:c r="A810" s="245"/>
      <x:c r="B810" s="245"/>
      <x:c r="C810" s="245"/>
      <x:c r="D810" s="245"/>
      <x:c r="E810" s="245"/>
      <x:c r="F810" s="245"/>
      <x:c r="G810" s="245"/>
      <x:c r="H810" s="245"/>
      <x:c r="I810" s="245"/>
      <x:c r="J810" s="245"/>
      <x:c r="K810" s="245"/>
      <x:c r="L810" s="245"/>
      <x:c r="M810" s="245"/>
      <x:c r="N810" s="245"/>
      <x:c r="O810" s="245"/>
      <x:c r="P810" s="245"/>
      <x:c r="Q810" s="245"/>
      <x:c r="R810" s="245"/>
      <x:c r="S810" s="245"/>
      <x:c r="T810" s="245"/>
      <x:c r="U810" s="245"/>
      <x:c r="V810" s="245"/>
      <x:c r="W810" s="245"/>
      <x:c r="X810" s="245"/>
      <x:c r="Y810" s="245"/>
      <x:c r="Z810" s="245"/>
    </x:row>
    <x:row r="811">
      <x:c r="A811" s="245"/>
      <x:c r="B811" s="245"/>
      <x:c r="C811" s="245"/>
      <x:c r="D811" s="245"/>
      <x:c r="E811" s="245"/>
      <x:c r="F811" s="245"/>
      <x:c r="G811" s="245"/>
      <x:c r="H811" s="245"/>
      <x:c r="I811" s="245"/>
      <x:c r="J811" s="245"/>
      <x:c r="K811" s="245"/>
      <x:c r="L811" s="245"/>
      <x:c r="M811" s="245"/>
      <x:c r="N811" s="245"/>
      <x:c r="O811" s="245"/>
      <x:c r="P811" s="245"/>
      <x:c r="Q811" s="245"/>
      <x:c r="R811" s="245"/>
      <x:c r="S811" s="245"/>
      <x:c r="T811" s="245"/>
      <x:c r="U811" s="245"/>
      <x:c r="V811" s="245"/>
      <x:c r="W811" s="245"/>
      <x:c r="X811" s="245"/>
      <x:c r="Y811" s="245"/>
      <x:c r="Z811" s="245"/>
    </x:row>
    <x:row r="812">
      <x:c r="A812" s="245"/>
      <x:c r="B812" s="245"/>
      <x:c r="C812" s="245"/>
      <x:c r="D812" s="245"/>
      <x:c r="E812" s="245"/>
      <x:c r="F812" s="245"/>
      <x:c r="G812" s="245"/>
      <x:c r="H812" s="245"/>
      <x:c r="I812" s="245"/>
      <x:c r="J812" s="245"/>
      <x:c r="K812" s="245"/>
      <x:c r="L812" s="245"/>
      <x:c r="M812" s="245"/>
      <x:c r="N812" s="245"/>
      <x:c r="O812" s="245"/>
      <x:c r="P812" s="245"/>
      <x:c r="Q812" s="245"/>
      <x:c r="R812" s="245"/>
      <x:c r="S812" s="245"/>
      <x:c r="T812" s="245"/>
      <x:c r="U812" s="245"/>
      <x:c r="V812" s="245"/>
      <x:c r="W812" s="245"/>
      <x:c r="X812" s="245"/>
      <x:c r="Y812" s="245"/>
      <x:c r="Z812" s="245"/>
    </x:row>
    <x:row r="813">
      <x:c r="A813" s="245"/>
      <x:c r="B813" s="245"/>
      <x:c r="C813" s="245"/>
      <x:c r="D813" s="245"/>
      <x:c r="E813" s="245"/>
      <x:c r="F813" s="245"/>
      <x:c r="G813" s="245"/>
      <x:c r="H813" s="245"/>
      <x:c r="I813" s="245"/>
      <x:c r="J813" s="245"/>
      <x:c r="K813" s="245"/>
      <x:c r="L813" s="245"/>
      <x:c r="M813" s="245"/>
      <x:c r="N813" s="245"/>
      <x:c r="O813" s="245"/>
      <x:c r="P813" s="245"/>
      <x:c r="Q813" s="245"/>
      <x:c r="R813" s="245"/>
      <x:c r="S813" s="245"/>
      <x:c r="T813" s="245"/>
      <x:c r="U813" s="245"/>
      <x:c r="V813" s="245"/>
      <x:c r="W813" s="245"/>
      <x:c r="X813" s="245"/>
      <x:c r="Y813" s="245"/>
      <x:c r="Z813" s="245"/>
    </x:row>
    <x:row r="814">
      <x:c r="A814" s="245"/>
      <x:c r="B814" s="245"/>
      <x:c r="C814" s="245"/>
      <x:c r="D814" s="245"/>
      <x:c r="E814" s="245"/>
      <x:c r="F814" s="245"/>
      <x:c r="G814" s="245"/>
      <x:c r="H814" s="245"/>
      <x:c r="I814" s="245"/>
      <x:c r="J814" s="245"/>
      <x:c r="K814" s="245"/>
      <x:c r="L814" s="245"/>
      <x:c r="M814" s="245"/>
      <x:c r="N814" s="245"/>
      <x:c r="O814" s="245"/>
      <x:c r="P814" s="245"/>
      <x:c r="Q814" s="245"/>
      <x:c r="R814" s="245"/>
      <x:c r="S814" s="245"/>
      <x:c r="T814" s="245"/>
      <x:c r="U814" s="245"/>
      <x:c r="V814" s="245"/>
      <x:c r="W814" s="245"/>
      <x:c r="X814" s="245"/>
      <x:c r="Y814" s="245"/>
      <x:c r="Z814" s="245"/>
    </x:row>
    <x:row r="815">
      <x:c r="A815" s="245"/>
      <x:c r="B815" s="245"/>
      <x:c r="C815" s="245"/>
      <x:c r="D815" s="245"/>
      <x:c r="E815" s="245"/>
      <x:c r="F815" s="245"/>
      <x:c r="G815" s="245"/>
      <x:c r="H815" s="245"/>
      <x:c r="I815" s="245"/>
      <x:c r="J815" s="245"/>
      <x:c r="K815" s="245"/>
      <x:c r="L815" s="245"/>
      <x:c r="M815" s="245"/>
      <x:c r="N815" s="245"/>
      <x:c r="O815" s="245"/>
      <x:c r="P815" s="245"/>
      <x:c r="Q815" s="245"/>
      <x:c r="R815" s="245"/>
      <x:c r="S815" s="245"/>
      <x:c r="T815" s="245"/>
      <x:c r="U815" s="245"/>
      <x:c r="V815" s="245"/>
      <x:c r="W815" s="245"/>
      <x:c r="X815" s="245"/>
      <x:c r="Y815" s="245"/>
      <x:c r="Z815" s="245"/>
    </x:row>
    <x:row r="816">
      <x:c r="A816" s="245"/>
      <x:c r="B816" s="245"/>
      <x:c r="C816" s="245"/>
      <x:c r="D816" s="245"/>
      <x:c r="E816" s="245"/>
      <x:c r="F816" s="245"/>
      <x:c r="G816" s="245"/>
      <x:c r="H816" s="245"/>
      <x:c r="I816" s="245"/>
      <x:c r="J816" s="245"/>
      <x:c r="K816" s="245"/>
      <x:c r="L816" s="245"/>
      <x:c r="M816" s="245"/>
      <x:c r="N816" s="245"/>
      <x:c r="O816" s="245"/>
      <x:c r="P816" s="245"/>
      <x:c r="Q816" s="245"/>
      <x:c r="R816" s="245"/>
      <x:c r="S816" s="245"/>
      <x:c r="T816" s="245"/>
      <x:c r="U816" s="245"/>
      <x:c r="V816" s="245"/>
      <x:c r="W816" s="245"/>
      <x:c r="X816" s="245"/>
      <x:c r="Y816" s="245"/>
      <x:c r="Z816" s="245"/>
    </x:row>
    <x:row r="817">
      <x:c r="A817" s="245"/>
      <x:c r="B817" s="245"/>
      <x:c r="C817" s="245"/>
      <x:c r="D817" s="245"/>
      <x:c r="E817" s="245"/>
      <x:c r="F817" s="245"/>
      <x:c r="G817" s="245"/>
      <x:c r="H817" s="245"/>
      <x:c r="I817" s="245"/>
      <x:c r="J817" s="245"/>
      <x:c r="K817" s="245"/>
      <x:c r="L817" s="245"/>
      <x:c r="M817" s="245"/>
      <x:c r="N817" s="245"/>
      <x:c r="O817" s="245"/>
      <x:c r="P817" s="245"/>
      <x:c r="Q817" s="245"/>
      <x:c r="R817" s="245"/>
      <x:c r="S817" s="245"/>
      <x:c r="T817" s="245"/>
      <x:c r="U817" s="245"/>
      <x:c r="V817" s="245"/>
      <x:c r="W817" s="245"/>
      <x:c r="X817" s="245"/>
      <x:c r="Y817" s="245"/>
      <x:c r="Z817" s="245"/>
    </x:row>
    <x:row r="818">
      <x:c r="A818" s="245"/>
      <x:c r="B818" s="245"/>
      <x:c r="C818" s="245"/>
      <x:c r="D818" s="245"/>
      <x:c r="E818" s="245"/>
      <x:c r="F818" s="245"/>
      <x:c r="G818" s="245"/>
      <x:c r="H818" s="245"/>
      <x:c r="I818" s="245"/>
      <x:c r="J818" s="245"/>
      <x:c r="K818" s="245"/>
      <x:c r="L818" s="245"/>
      <x:c r="M818" s="245"/>
      <x:c r="N818" s="245"/>
      <x:c r="O818" s="245"/>
      <x:c r="P818" s="245"/>
      <x:c r="Q818" s="245"/>
      <x:c r="R818" s="245"/>
      <x:c r="S818" s="245"/>
      <x:c r="T818" s="245"/>
      <x:c r="U818" s="245"/>
      <x:c r="V818" s="245"/>
      <x:c r="W818" s="245"/>
      <x:c r="X818" s="245"/>
      <x:c r="Y818" s="245"/>
      <x:c r="Z818" s="245"/>
    </x:row>
    <x:row r="819">
      <x:c r="A819" s="245"/>
      <x:c r="B819" s="245"/>
      <x:c r="C819" s="245"/>
      <x:c r="D819" s="245"/>
      <x:c r="E819" s="245"/>
      <x:c r="F819" s="245"/>
      <x:c r="G819" s="245"/>
      <x:c r="H819" s="245"/>
      <x:c r="I819" s="245"/>
      <x:c r="J819" s="245"/>
      <x:c r="K819" s="245"/>
      <x:c r="L819" s="245"/>
      <x:c r="M819" s="245"/>
      <x:c r="N819" s="245"/>
      <x:c r="O819" s="245"/>
      <x:c r="P819" s="245"/>
      <x:c r="Q819" s="245"/>
      <x:c r="R819" s="245"/>
      <x:c r="S819" s="245"/>
      <x:c r="T819" s="245"/>
      <x:c r="U819" s="245"/>
      <x:c r="V819" s="245"/>
      <x:c r="W819" s="245"/>
      <x:c r="X819" s="245"/>
      <x:c r="Y819" s="245"/>
      <x:c r="Z819" s="245"/>
    </x:row>
    <x:row r="820">
      <x:c r="A820" s="245"/>
      <x:c r="B820" s="245"/>
      <x:c r="C820" s="245"/>
      <x:c r="D820" s="245"/>
      <x:c r="E820" s="245"/>
      <x:c r="F820" s="245"/>
      <x:c r="G820" s="245"/>
      <x:c r="H820" s="245"/>
      <x:c r="I820" s="245"/>
      <x:c r="J820" s="245"/>
      <x:c r="K820" s="245"/>
      <x:c r="L820" s="245"/>
      <x:c r="M820" s="245"/>
      <x:c r="N820" s="245"/>
      <x:c r="O820" s="245"/>
      <x:c r="P820" s="245"/>
      <x:c r="Q820" s="245"/>
      <x:c r="R820" s="245"/>
      <x:c r="S820" s="245"/>
      <x:c r="T820" s="245"/>
      <x:c r="U820" s="245"/>
      <x:c r="V820" s="245"/>
      <x:c r="W820" s="245"/>
      <x:c r="X820" s="245"/>
      <x:c r="Y820" s="245"/>
      <x:c r="Z820" s="245"/>
    </x:row>
    <x:row r="821">
      <x:c r="A821" s="245"/>
      <x:c r="B821" s="245"/>
      <x:c r="C821" s="245"/>
      <x:c r="D821" s="245"/>
      <x:c r="E821" s="245"/>
      <x:c r="F821" s="245"/>
      <x:c r="G821" s="245"/>
      <x:c r="H821" s="245"/>
      <x:c r="I821" s="245"/>
      <x:c r="J821" s="245"/>
      <x:c r="K821" s="245"/>
      <x:c r="L821" s="245"/>
      <x:c r="M821" s="245"/>
      <x:c r="N821" s="245"/>
      <x:c r="O821" s="245"/>
      <x:c r="P821" s="245"/>
      <x:c r="Q821" s="245"/>
      <x:c r="R821" s="245"/>
      <x:c r="S821" s="245"/>
      <x:c r="T821" s="245"/>
      <x:c r="U821" s="245"/>
      <x:c r="V821" s="245"/>
      <x:c r="W821" s="245"/>
      <x:c r="X821" s="245"/>
      <x:c r="Y821" s="245"/>
      <x:c r="Z821" s="245"/>
    </x:row>
    <x:row r="822">
      <x:c r="A822" s="245"/>
      <x:c r="B822" s="245"/>
      <x:c r="C822" s="245"/>
      <x:c r="D822" s="245"/>
      <x:c r="E822" s="245"/>
      <x:c r="F822" s="245"/>
      <x:c r="G822" s="245"/>
      <x:c r="H822" s="245"/>
      <x:c r="I822" s="245"/>
      <x:c r="J822" s="245"/>
      <x:c r="K822" s="245"/>
      <x:c r="L822" s="245"/>
      <x:c r="M822" s="245"/>
      <x:c r="N822" s="245"/>
      <x:c r="O822" s="245"/>
      <x:c r="P822" s="245"/>
      <x:c r="Q822" s="245"/>
      <x:c r="R822" s="245"/>
      <x:c r="S822" s="245"/>
      <x:c r="T822" s="245"/>
      <x:c r="U822" s="245"/>
      <x:c r="V822" s="245"/>
      <x:c r="W822" s="245"/>
      <x:c r="X822" s="245"/>
      <x:c r="Y822" s="245"/>
      <x:c r="Z822" s="245"/>
    </x:row>
    <x:row r="823">
      <x:c r="A823" s="245"/>
      <x:c r="B823" s="245"/>
      <x:c r="C823" s="245"/>
      <x:c r="D823" s="245"/>
      <x:c r="E823" s="245"/>
      <x:c r="F823" s="245"/>
      <x:c r="G823" s="245"/>
      <x:c r="H823" s="245"/>
      <x:c r="I823" s="245"/>
      <x:c r="J823" s="245"/>
      <x:c r="K823" s="245"/>
      <x:c r="L823" s="245"/>
      <x:c r="M823" s="245"/>
      <x:c r="N823" s="245"/>
      <x:c r="O823" s="245"/>
      <x:c r="P823" s="245"/>
      <x:c r="Q823" s="245"/>
      <x:c r="R823" s="245"/>
      <x:c r="S823" s="245"/>
      <x:c r="T823" s="245"/>
      <x:c r="U823" s="245"/>
      <x:c r="V823" s="245"/>
      <x:c r="W823" s="245"/>
      <x:c r="X823" s="245"/>
      <x:c r="Y823" s="245"/>
      <x:c r="Z823" s="245"/>
    </x:row>
    <x:row r="824">
      <x:c r="A824" s="245"/>
      <x:c r="B824" s="245"/>
      <x:c r="C824" s="245"/>
      <x:c r="D824" s="245"/>
      <x:c r="E824" s="245"/>
      <x:c r="F824" s="245"/>
      <x:c r="G824" s="245"/>
      <x:c r="H824" s="245"/>
      <x:c r="I824" s="245"/>
      <x:c r="J824" s="245"/>
      <x:c r="K824" s="245"/>
      <x:c r="L824" s="245"/>
      <x:c r="M824" s="245"/>
      <x:c r="N824" s="245"/>
      <x:c r="O824" s="245"/>
      <x:c r="P824" s="245"/>
      <x:c r="Q824" s="245"/>
      <x:c r="R824" s="245"/>
      <x:c r="S824" s="245"/>
      <x:c r="T824" s="245"/>
      <x:c r="U824" s="245"/>
      <x:c r="V824" s="245"/>
      <x:c r="W824" s="245"/>
      <x:c r="X824" s="245"/>
      <x:c r="Y824" s="245"/>
      <x:c r="Z824" s="245"/>
    </x:row>
    <x:row r="825">
      <x:c r="A825" s="245"/>
      <x:c r="B825" s="245"/>
      <x:c r="C825" s="245"/>
      <x:c r="D825" s="245"/>
      <x:c r="E825" s="245"/>
      <x:c r="F825" s="245"/>
      <x:c r="G825" s="245"/>
      <x:c r="H825" s="245"/>
      <x:c r="I825" s="245"/>
      <x:c r="J825" s="245"/>
      <x:c r="K825" s="245"/>
      <x:c r="L825" s="245"/>
      <x:c r="M825" s="245"/>
      <x:c r="N825" s="245"/>
      <x:c r="O825" s="245"/>
      <x:c r="P825" s="245"/>
      <x:c r="Q825" s="245"/>
      <x:c r="R825" s="245"/>
      <x:c r="S825" s="245"/>
      <x:c r="T825" s="245"/>
      <x:c r="U825" s="245"/>
      <x:c r="V825" s="245"/>
      <x:c r="W825" s="245"/>
      <x:c r="X825" s="245"/>
      <x:c r="Y825" s="245"/>
      <x:c r="Z825" s="245"/>
    </x:row>
    <x:row r="826">
      <x:c r="A826" s="245"/>
      <x:c r="B826" s="245"/>
      <x:c r="C826" s="245"/>
      <x:c r="D826" s="245"/>
      <x:c r="E826" s="245"/>
      <x:c r="F826" s="245"/>
      <x:c r="G826" s="245"/>
      <x:c r="H826" s="245"/>
      <x:c r="I826" s="245"/>
      <x:c r="J826" s="245"/>
      <x:c r="K826" s="245"/>
      <x:c r="L826" s="245"/>
      <x:c r="M826" s="245"/>
      <x:c r="N826" s="245"/>
      <x:c r="O826" s="245"/>
      <x:c r="P826" s="245"/>
      <x:c r="Q826" s="245"/>
      <x:c r="R826" s="245"/>
      <x:c r="S826" s="245"/>
      <x:c r="T826" s="245"/>
      <x:c r="U826" s="245"/>
      <x:c r="V826" s="245"/>
      <x:c r="W826" s="245"/>
      <x:c r="X826" s="245"/>
      <x:c r="Y826" s="245"/>
      <x:c r="Z826" s="245"/>
    </x:row>
    <x:row r="827">
      <x:c r="A827" s="245"/>
      <x:c r="B827" s="245"/>
      <x:c r="C827" s="245"/>
      <x:c r="D827" s="245"/>
      <x:c r="E827" s="245"/>
      <x:c r="F827" s="245"/>
      <x:c r="G827" s="245"/>
      <x:c r="H827" s="245"/>
      <x:c r="I827" s="245"/>
      <x:c r="J827" s="245"/>
      <x:c r="K827" s="245"/>
      <x:c r="L827" s="245"/>
      <x:c r="M827" s="245"/>
      <x:c r="N827" s="245"/>
      <x:c r="O827" s="245"/>
      <x:c r="P827" s="245"/>
      <x:c r="Q827" s="245"/>
      <x:c r="R827" s="245"/>
      <x:c r="S827" s="245"/>
      <x:c r="T827" s="245"/>
      <x:c r="U827" s="245"/>
      <x:c r="V827" s="245"/>
      <x:c r="W827" s="245"/>
      <x:c r="X827" s="245"/>
      <x:c r="Y827" s="245"/>
      <x:c r="Z827" s="245"/>
    </x:row>
    <x:row r="828">
      <x:c r="A828" s="245"/>
      <x:c r="B828" s="245"/>
      <x:c r="C828" s="245"/>
      <x:c r="D828" s="245"/>
      <x:c r="E828" s="245"/>
      <x:c r="F828" s="245"/>
      <x:c r="G828" s="245"/>
      <x:c r="H828" s="245"/>
      <x:c r="I828" s="245"/>
      <x:c r="J828" s="245"/>
      <x:c r="K828" s="245"/>
      <x:c r="L828" s="245"/>
      <x:c r="M828" s="245"/>
      <x:c r="N828" s="245"/>
      <x:c r="O828" s="245"/>
      <x:c r="P828" s="245"/>
      <x:c r="Q828" s="245"/>
      <x:c r="R828" s="245"/>
      <x:c r="S828" s="245"/>
      <x:c r="T828" s="245"/>
      <x:c r="U828" s="245"/>
      <x:c r="V828" s="245"/>
      <x:c r="W828" s="245"/>
      <x:c r="X828" s="245"/>
      <x:c r="Y828" s="245"/>
      <x:c r="Z828" s="245"/>
    </x:row>
    <x:row r="829">
      <x:c r="A829" s="245"/>
      <x:c r="B829" s="245"/>
      <x:c r="C829" s="245"/>
      <x:c r="D829" s="245"/>
      <x:c r="E829" s="245"/>
      <x:c r="F829" s="245"/>
      <x:c r="G829" s="245"/>
      <x:c r="H829" s="245"/>
      <x:c r="I829" s="245"/>
      <x:c r="J829" s="245"/>
      <x:c r="K829" s="245"/>
      <x:c r="L829" s="245"/>
      <x:c r="M829" s="245"/>
      <x:c r="N829" s="245"/>
      <x:c r="O829" s="245"/>
      <x:c r="P829" s="245"/>
      <x:c r="Q829" s="245"/>
      <x:c r="R829" s="245"/>
      <x:c r="S829" s="245"/>
      <x:c r="T829" s="245"/>
      <x:c r="U829" s="245"/>
      <x:c r="V829" s="245"/>
      <x:c r="W829" s="245"/>
      <x:c r="X829" s="245"/>
      <x:c r="Y829" s="245"/>
      <x:c r="Z829" s="245"/>
    </x:row>
    <x:row r="830">
      <x:c r="A830" s="245"/>
      <x:c r="B830" s="245"/>
      <x:c r="C830" s="245"/>
      <x:c r="D830" s="245"/>
      <x:c r="E830" s="245"/>
      <x:c r="F830" s="245"/>
      <x:c r="G830" s="245"/>
      <x:c r="H830" s="245"/>
      <x:c r="I830" s="245"/>
      <x:c r="J830" s="245"/>
      <x:c r="K830" s="245"/>
      <x:c r="L830" s="245"/>
      <x:c r="M830" s="245"/>
      <x:c r="N830" s="245"/>
      <x:c r="O830" s="245"/>
      <x:c r="P830" s="245"/>
      <x:c r="Q830" s="245"/>
      <x:c r="R830" s="245"/>
      <x:c r="S830" s="245"/>
      <x:c r="T830" s="245"/>
      <x:c r="U830" s="245"/>
      <x:c r="V830" s="245"/>
      <x:c r="W830" s="245"/>
      <x:c r="X830" s="245"/>
      <x:c r="Y830" s="245"/>
      <x:c r="Z830" s="245"/>
    </x:row>
    <x:row r="831">
      <x:c r="A831" s="245"/>
      <x:c r="B831" s="245"/>
      <x:c r="C831" s="245"/>
      <x:c r="D831" s="245"/>
      <x:c r="E831" s="245"/>
      <x:c r="F831" s="245"/>
      <x:c r="G831" s="245"/>
      <x:c r="H831" s="245"/>
      <x:c r="I831" s="245"/>
      <x:c r="J831" s="245"/>
      <x:c r="K831" s="245"/>
      <x:c r="L831" s="245"/>
      <x:c r="M831" s="245"/>
      <x:c r="N831" s="245"/>
      <x:c r="O831" s="245"/>
      <x:c r="P831" s="245"/>
      <x:c r="Q831" s="245"/>
      <x:c r="R831" s="245"/>
      <x:c r="S831" s="245"/>
      <x:c r="T831" s="245"/>
      <x:c r="U831" s="245"/>
      <x:c r="V831" s="245"/>
      <x:c r="W831" s="245"/>
      <x:c r="X831" s="245"/>
      <x:c r="Y831" s="245"/>
      <x:c r="Z831" s="245"/>
    </x:row>
    <x:row r="832">
      <x:c r="A832" s="245"/>
      <x:c r="B832" s="245"/>
      <x:c r="C832" s="245"/>
      <x:c r="D832" s="245"/>
      <x:c r="E832" s="245"/>
      <x:c r="F832" s="245"/>
      <x:c r="G832" s="245"/>
      <x:c r="H832" s="245"/>
      <x:c r="I832" s="245"/>
      <x:c r="J832" s="245"/>
      <x:c r="K832" s="245"/>
      <x:c r="L832" s="245"/>
      <x:c r="M832" s="245"/>
      <x:c r="N832" s="245"/>
      <x:c r="O832" s="245"/>
      <x:c r="P832" s="245"/>
      <x:c r="Q832" s="245"/>
      <x:c r="R832" s="245"/>
      <x:c r="S832" s="245"/>
      <x:c r="T832" s="245"/>
      <x:c r="U832" s="245"/>
      <x:c r="V832" s="245"/>
      <x:c r="W832" s="245"/>
      <x:c r="X832" s="245"/>
      <x:c r="Y832" s="245"/>
      <x:c r="Z832" s="245"/>
    </x:row>
    <x:row r="833">
      <x:c r="A833" s="245"/>
      <x:c r="B833" s="245"/>
      <x:c r="C833" s="245"/>
      <x:c r="D833" s="245"/>
      <x:c r="E833" s="245"/>
      <x:c r="F833" s="245"/>
      <x:c r="G833" s="245"/>
      <x:c r="H833" s="245"/>
      <x:c r="I833" s="245"/>
      <x:c r="J833" s="245"/>
      <x:c r="K833" s="245"/>
      <x:c r="L833" s="245"/>
      <x:c r="M833" s="245"/>
      <x:c r="N833" s="245"/>
      <x:c r="O833" s="245"/>
      <x:c r="P833" s="245"/>
      <x:c r="Q833" s="245"/>
      <x:c r="R833" s="245"/>
      <x:c r="S833" s="245"/>
      <x:c r="T833" s="245"/>
      <x:c r="U833" s="245"/>
      <x:c r="V833" s="245"/>
      <x:c r="W833" s="245"/>
      <x:c r="X833" s="245"/>
      <x:c r="Y833" s="245"/>
      <x:c r="Z833" s="245"/>
    </x:row>
    <x:row r="834">
      <x:c r="A834" s="245"/>
      <x:c r="B834" s="245"/>
      <x:c r="C834" s="245"/>
      <x:c r="D834" s="245"/>
      <x:c r="E834" s="245"/>
      <x:c r="F834" s="245"/>
      <x:c r="G834" s="245"/>
      <x:c r="H834" s="245"/>
      <x:c r="I834" s="245"/>
      <x:c r="J834" s="245"/>
      <x:c r="K834" s="245"/>
      <x:c r="L834" s="245"/>
      <x:c r="M834" s="245"/>
      <x:c r="N834" s="245"/>
      <x:c r="O834" s="245"/>
      <x:c r="P834" s="245"/>
      <x:c r="Q834" s="245"/>
      <x:c r="R834" s="245"/>
      <x:c r="S834" s="245"/>
      <x:c r="T834" s="245"/>
      <x:c r="U834" s="245"/>
      <x:c r="V834" s="245"/>
      <x:c r="W834" s="245"/>
      <x:c r="X834" s="245"/>
      <x:c r="Y834" s="245"/>
      <x:c r="Z834" s="245"/>
    </x:row>
    <x:row r="835">
      <x:c r="A835" s="245"/>
      <x:c r="B835" s="245"/>
      <x:c r="C835" s="245"/>
      <x:c r="D835" s="245"/>
      <x:c r="E835" s="245"/>
      <x:c r="F835" s="245"/>
      <x:c r="G835" s="245"/>
      <x:c r="H835" s="245"/>
      <x:c r="I835" s="245"/>
      <x:c r="J835" s="245"/>
      <x:c r="K835" s="245"/>
      <x:c r="L835" s="245"/>
      <x:c r="M835" s="245"/>
      <x:c r="N835" s="245"/>
      <x:c r="O835" s="245"/>
      <x:c r="P835" s="245"/>
      <x:c r="Q835" s="245"/>
      <x:c r="R835" s="245"/>
      <x:c r="S835" s="245"/>
      <x:c r="T835" s="245"/>
      <x:c r="U835" s="245"/>
      <x:c r="V835" s="245"/>
      <x:c r="W835" s="245"/>
      <x:c r="X835" s="245"/>
      <x:c r="Y835" s="245"/>
      <x:c r="Z835" s="245"/>
    </x:row>
    <x:row r="836">
      <x:c r="A836" s="245"/>
      <x:c r="B836" s="245"/>
      <x:c r="C836" s="245"/>
      <x:c r="D836" s="245"/>
      <x:c r="E836" s="245"/>
      <x:c r="F836" s="245"/>
      <x:c r="G836" s="245"/>
      <x:c r="H836" s="245"/>
      <x:c r="I836" s="245"/>
      <x:c r="J836" s="245"/>
      <x:c r="K836" s="245"/>
      <x:c r="L836" s="245"/>
      <x:c r="M836" s="245"/>
      <x:c r="N836" s="245"/>
      <x:c r="O836" s="245"/>
      <x:c r="P836" s="245"/>
      <x:c r="Q836" s="245"/>
      <x:c r="R836" s="245"/>
      <x:c r="S836" s="245"/>
      <x:c r="T836" s="245"/>
      <x:c r="U836" s="245"/>
      <x:c r="V836" s="245"/>
      <x:c r="W836" s="245"/>
      <x:c r="X836" s="245"/>
      <x:c r="Y836" s="245"/>
      <x:c r="Z836" s="245"/>
    </x:row>
    <x:row r="837">
      <x:c r="A837" s="245"/>
      <x:c r="B837" s="245"/>
      <x:c r="C837" s="245"/>
      <x:c r="D837" s="245"/>
      <x:c r="E837" s="245"/>
      <x:c r="F837" s="245"/>
      <x:c r="G837" s="245"/>
      <x:c r="H837" s="245"/>
      <x:c r="I837" s="245"/>
      <x:c r="J837" s="245"/>
      <x:c r="K837" s="245"/>
      <x:c r="L837" s="245"/>
      <x:c r="M837" s="245"/>
      <x:c r="N837" s="245"/>
      <x:c r="O837" s="245"/>
      <x:c r="P837" s="245"/>
      <x:c r="Q837" s="245"/>
      <x:c r="R837" s="245"/>
      <x:c r="S837" s="245"/>
      <x:c r="T837" s="245"/>
      <x:c r="U837" s="245"/>
      <x:c r="V837" s="245"/>
      <x:c r="W837" s="245"/>
      <x:c r="X837" s="245"/>
      <x:c r="Y837" s="245"/>
      <x:c r="Z837" s="245"/>
    </x:row>
    <x:row r="838">
      <x:c r="A838" s="245"/>
      <x:c r="B838" s="245"/>
      <x:c r="C838" s="245"/>
      <x:c r="D838" s="245"/>
      <x:c r="E838" s="245"/>
      <x:c r="F838" s="245"/>
      <x:c r="G838" s="245"/>
      <x:c r="H838" s="245"/>
      <x:c r="I838" s="245"/>
      <x:c r="J838" s="245"/>
      <x:c r="K838" s="245"/>
      <x:c r="L838" s="245"/>
      <x:c r="M838" s="245"/>
      <x:c r="N838" s="245"/>
      <x:c r="O838" s="245"/>
      <x:c r="P838" s="245"/>
      <x:c r="Q838" s="245"/>
      <x:c r="R838" s="245"/>
      <x:c r="S838" s="245"/>
      <x:c r="T838" s="245"/>
      <x:c r="U838" s="245"/>
      <x:c r="V838" s="245"/>
      <x:c r="W838" s="245"/>
      <x:c r="X838" s="245"/>
      <x:c r="Y838" s="245"/>
      <x:c r="Z838" s="245"/>
    </x:row>
    <x:row r="839">
      <x:c r="A839" s="245"/>
      <x:c r="B839" s="245"/>
      <x:c r="C839" s="245"/>
      <x:c r="D839" s="245"/>
      <x:c r="E839" s="245"/>
      <x:c r="F839" s="245"/>
      <x:c r="G839" s="245"/>
      <x:c r="H839" s="245"/>
      <x:c r="I839" s="245"/>
      <x:c r="J839" s="245"/>
      <x:c r="K839" s="245"/>
      <x:c r="L839" s="245"/>
      <x:c r="M839" s="245"/>
      <x:c r="N839" s="245"/>
      <x:c r="O839" s="245"/>
      <x:c r="P839" s="245"/>
      <x:c r="Q839" s="245"/>
      <x:c r="R839" s="245"/>
      <x:c r="S839" s="245"/>
      <x:c r="T839" s="245"/>
      <x:c r="U839" s="245"/>
      <x:c r="V839" s="245"/>
      <x:c r="W839" s="245"/>
      <x:c r="X839" s="245"/>
      <x:c r="Y839" s="245"/>
      <x:c r="Z839" s="245"/>
    </x:row>
    <x:row r="840">
      <x:c r="A840" s="245"/>
      <x:c r="B840" s="245"/>
      <x:c r="C840" s="245"/>
      <x:c r="D840" s="245"/>
      <x:c r="E840" s="245"/>
      <x:c r="F840" s="245"/>
      <x:c r="G840" s="245"/>
      <x:c r="H840" s="245"/>
      <x:c r="I840" s="245"/>
      <x:c r="J840" s="245"/>
      <x:c r="K840" s="245"/>
      <x:c r="L840" s="245"/>
      <x:c r="M840" s="245"/>
      <x:c r="N840" s="245"/>
      <x:c r="O840" s="245"/>
      <x:c r="P840" s="245"/>
      <x:c r="Q840" s="245"/>
      <x:c r="R840" s="245"/>
      <x:c r="S840" s="245"/>
      <x:c r="T840" s="245"/>
      <x:c r="U840" s="245"/>
      <x:c r="V840" s="245"/>
      <x:c r="W840" s="245"/>
      <x:c r="X840" s="245"/>
      <x:c r="Y840" s="245"/>
      <x:c r="Z840" s="245"/>
    </x:row>
    <x:row r="841">
      <x:c r="A841" s="245"/>
      <x:c r="B841" s="245"/>
      <x:c r="C841" s="245"/>
      <x:c r="D841" s="245"/>
      <x:c r="E841" s="245"/>
      <x:c r="F841" s="245"/>
      <x:c r="G841" s="245"/>
      <x:c r="H841" s="245"/>
      <x:c r="I841" s="245"/>
      <x:c r="J841" s="245"/>
      <x:c r="K841" s="245"/>
      <x:c r="L841" s="245"/>
      <x:c r="M841" s="245"/>
      <x:c r="N841" s="245"/>
      <x:c r="O841" s="245"/>
      <x:c r="P841" s="245"/>
      <x:c r="Q841" s="245"/>
      <x:c r="R841" s="245"/>
      <x:c r="S841" s="245"/>
      <x:c r="T841" s="245"/>
      <x:c r="U841" s="245"/>
      <x:c r="V841" s="245"/>
      <x:c r="W841" s="245"/>
      <x:c r="X841" s="245"/>
      <x:c r="Y841" s="245"/>
      <x:c r="Z841" s="245"/>
    </x:row>
    <x:row r="842">
      <x:c r="A842" s="245"/>
      <x:c r="B842" s="245"/>
      <x:c r="C842" s="245"/>
      <x:c r="D842" s="245"/>
      <x:c r="E842" s="245"/>
      <x:c r="F842" s="245"/>
      <x:c r="G842" s="245"/>
      <x:c r="H842" s="245"/>
      <x:c r="I842" s="245"/>
      <x:c r="J842" s="245"/>
      <x:c r="K842" s="245"/>
      <x:c r="L842" s="245"/>
      <x:c r="M842" s="245"/>
      <x:c r="N842" s="245"/>
      <x:c r="O842" s="245"/>
      <x:c r="P842" s="245"/>
      <x:c r="Q842" s="245"/>
      <x:c r="R842" s="245"/>
      <x:c r="S842" s="245"/>
      <x:c r="T842" s="245"/>
      <x:c r="U842" s="245"/>
      <x:c r="V842" s="245"/>
      <x:c r="W842" s="245"/>
      <x:c r="X842" s="245"/>
      <x:c r="Y842" s="245"/>
      <x:c r="Z842" s="245"/>
    </x:row>
    <x:row r="843">
      <x:c r="A843" s="245"/>
      <x:c r="B843" s="245"/>
      <x:c r="C843" s="245"/>
      <x:c r="D843" s="245"/>
      <x:c r="E843" s="245"/>
      <x:c r="F843" s="245"/>
      <x:c r="G843" s="245"/>
      <x:c r="H843" s="245"/>
      <x:c r="I843" s="245"/>
      <x:c r="J843" s="245"/>
      <x:c r="K843" s="245"/>
      <x:c r="L843" s="245"/>
      <x:c r="M843" s="245"/>
      <x:c r="N843" s="245"/>
      <x:c r="O843" s="245"/>
      <x:c r="P843" s="245"/>
      <x:c r="Q843" s="245"/>
      <x:c r="R843" s="245"/>
      <x:c r="S843" s="245"/>
      <x:c r="T843" s="245"/>
      <x:c r="U843" s="245"/>
      <x:c r="V843" s="245"/>
      <x:c r="W843" s="245"/>
      <x:c r="X843" s="245"/>
      <x:c r="Y843" s="245"/>
      <x:c r="Z843" s="245"/>
    </x:row>
    <x:row r="844">
      <x:c r="A844" s="245"/>
      <x:c r="B844" s="245"/>
      <x:c r="C844" s="245"/>
      <x:c r="D844" s="245"/>
      <x:c r="E844" s="245"/>
      <x:c r="F844" s="245"/>
      <x:c r="G844" s="245"/>
      <x:c r="H844" s="245"/>
      <x:c r="I844" s="245"/>
      <x:c r="J844" s="245"/>
      <x:c r="K844" s="245"/>
      <x:c r="L844" s="245"/>
      <x:c r="M844" s="245"/>
      <x:c r="N844" s="245"/>
      <x:c r="O844" s="245"/>
      <x:c r="P844" s="245"/>
      <x:c r="Q844" s="245"/>
      <x:c r="R844" s="245"/>
      <x:c r="S844" s="245"/>
      <x:c r="T844" s="245"/>
      <x:c r="U844" s="245"/>
      <x:c r="V844" s="245"/>
      <x:c r="W844" s="245"/>
      <x:c r="X844" s="245"/>
      <x:c r="Y844" s="245"/>
      <x:c r="Z844" s="245"/>
    </x:row>
    <x:row r="845">
      <x:c r="A845" s="245"/>
      <x:c r="B845" s="245"/>
      <x:c r="C845" s="245"/>
      <x:c r="D845" s="245"/>
      <x:c r="E845" s="245"/>
      <x:c r="F845" s="245"/>
      <x:c r="G845" s="245"/>
      <x:c r="H845" s="245"/>
      <x:c r="I845" s="245"/>
      <x:c r="J845" s="245"/>
      <x:c r="K845" s="245"/>
      <x:c r="L845" s="245"/>
      <x:c r="M845" s="245"/>
      <x:c r="N845" s="245"/>
      <x:c r="O845" s="245"/>
      <x:c r="P845" s="245"/>
      <x:c r="Q845" s="245"/>
      <x:c r="R845" s="245"/>
      <x:c r="S845" s="245"/>
      <x:c r="T845" s="245"/>
      <x:c r="U845" s="245"/>
      <x:c r="V845" s="245"/>
      <x:c r="W845" s="245"/>
      <x:c r="X845" s="245"/>
      <x:c r="Y845" s="245"/>
      <x:c r="Z845" s="245"/>
    </x:row>
    <x:row r="846">
      <x:c r="A846" s="245"/>
      <x:c r="B846" s="245"/>
      <x:c r="C846" s="245"/>
      <x:c r="D846" s="245"/>
      <x:c r="E846" s="245"/>
      <x:c r="F846" s="245"/>
      <x:c r="G846" s="245"/>
      <x:c r="H846" s="245"/>
      <x:c r="I846" s="245"/>
      <x:c r="J846" s="245"/>
      <x:c r="K846" s="245"/>
      <x:c r="L846" s="245"/>
      <x:c r="M846" s="245"/>
      <x:c r="N846" s="245"/>
      <x:c r="O846" s="245"/>
      <x:c r="P846" s="245"/>
      <x:c r="Q846" s="245"/>
      <x:c r="R846" s="245"/>
      <x:c r="S846" s="245"/>
      <x:c r="T846" s="245"/>
      <x:c r="U846" s="245"/>
      <x:c r="V846" s="245"/>
      <x:c r="W846" s="245"/>
      <x:c r="X846" s="245"/>
      <x:c r="Y846" s="245"/>
      <x:c r="Z846" s="245"/>
    </x:row>
    <x:row r="847">
      <x:c r="A847" s="245"/>
      <x:c r="B847" s="245"/>
      <x:c r="C847" s="245"/>
      <x:c r="D847" s="245"/>
      <x:c r="E847" s="245"/>
      <x:c r="F847" s="245"/>
      <x:c r="G847" s="245"/>
      <x:c r="H847" s="245"/>
      <x:c r="I847" s="245"/>
      <x:c r="J847" s="245"/>
      <x:c r="K847" s="245"/>
      <x:c r="L847" s="245"/>
      <x:c r="M847" s="245"/>
      <x:c r="N847" s="245"/>
      <x:c r="O847" s="245"/>
      <x:c r="P847" s="245"/>
      <x:c r="Q847" s="245"/>
      <x:c r="R847" s="245"/>
      <x:c r="S847" s="245"/>
      <x:c r="T847" s="245"/>
      <x:c r="U847" s="245"/>
      <x:c r="V847" s="245"/>
      <x:c r="W847" s="245"/>
      <x:c r="X847" s="245"/>
      <x:c r="Y847" s="245"/>
      <x:c r="Z847" s="245"/>
    </x:row>
    <x:row r="848">
      <x:c r="A848" s="245"/>
      <x:c r="B848" s="245"/>
      <x:c r="C848" s="245"/>
      <x:c r="D848" s="245"/>
      <x:c r="E848" s="245"/>
      <x:c r="F848" s="245"/>
      <x:c r="G848" s="245"/>
      <x:c r="H848" s="245"/>
      <x:c r="I848" s="245"/>
      <x:c r="J848" s="245"/>
      <x:c r="K848" s="245"/>
      <x:c r="L848" s="245"/>
      <x:c r="M848" s="245"/>
      <x:c r="N848" s="245"/>
      <x:c r="O848" s="245"/>
      <x:c r="P848" s="245"/>
      <x:c r="Q848" s="245"/>
      <x:c r="R848" s="245"/>
      <x:c r="S848" s="245"/>
      <x:c r="T848" s="245"/>
      <x:c r="U848" s="245"/>
      <x:c r="V848" s="245"/>
      <x:c r="W848" s="245"/>
      <x:c r="X848" s="245"/>
      <x:c r="Y848" s="245"/>
      <x:c r="Z848" s="245"/>
    </x:row>
    <x:row r="849">
      <x:c r="A849" s="245"/>
      <x:c r="B849" s="245"/>
      <x:c r="C849" s="245"/>
      <x:c r="D849" s="245"/>
      <x:c r="E849" s="245"/>
      <x:c r="F849" s="245"/>
      <x:c r="G849" s="245"/>
      <x:c r="H849" s="245"/>
      <x:c r="I849" s="245"/>
      <x:c r="J849" s="245"/>
      <x:c r="K849" s="245"/>
      <x:c r="L849" s="245"/>
      <x:c r="M849" s="245"/>
      <x:c r="N849" s="245"/>
      <x:c r="O849" s="245"/>
      <x:c r="P849" s="245"/>
      <x:c r="Q849" s="245"/>
      <x:c r="R849" s="245"/>
      <x:c r="S849" s="245"/>
      <x:c r="T849" s="245"/>
      <x:c r="U849" s="245"/>
      <x:c r="V849" s="245"/>
      <x:c r="W849" s="245"/>
      <x:c r="X849" s="245"/>
      <x:c r="Y849" s="245"/>
      <x:c r="Z849" s="245"/>
    </x:row>
    <x:row r="850">
      <x:c r="A850" s="245"/>
      <x:c r="B850" s="245"/>
      <x:c r="C850" s="245"/>
      <x:c r="D850" s="245"/>
      <x:c r="E850" s="245"/>
      <x:c r="F850" s="245"/>
      <x:c r="G850" s="245"/>
      <x:c r="H850" s="245"/>
      <x:c r="I850" s="245"/>
      <x:c r="J850" s="245"/>
      <x:c r="K850" s="245"/>
      <x:c r="L850" s="245"/>
      <x:c r="M850" s="245"/>
      <x:c r="N850" s="245"/>
      <x:c r="O850" s="245"/>
      <x:c r="P850" s="245"/>
      <x:c r="Q850" s="245"/>
      <x:c r="R850" s="245"/>
      <x:c r="S850" s="245"/>
      <x:c r="T850" s="245"/>
      <x:c r="U850" s="245"/>
      <x:c r="V850" s="245"/>
      <x:c r="W850" s="245"/>
      <x:c r="X850" s="245"/>
      <x:c r="Y850" s="245"/>
      <x:c r="Z850" s="245"/>
    </x:row>
    <x:row r="851">
      <x:c r="A851" s="245"/>
      <x:c r="B851" s="245"/>
      <x:c r="C851" s="245"/>
      <x:c r="D851" s="245"/>
      <x:c r="E851" s="245"/>
      <x:c r="F851" s="245"/>
      <x:c r="G851" s="245"/>
      <x:c r="H851" s="245"/>
      <x:c r="I851" s="245"/>
      <x:c r="J851" s="245"/>
      <x:c r="K851" s="245"/>
      <x:c r="L851" s="245"/>
      <x:c r="M851" s="245"/>
      <x:c r="N851" s="245"/>
      <x:c r="O851" s="245"/>
      <x:c r="P851" s="245"/>
      <x:c r="Q851" s="245"/>
      <x:c r="R851" s="245"/>
      <x:c r="S851" s="245"/>
      <x:c r="T851" s="245"/>
      <x:c r="U851" s="245"/>
      <x:c r="V851" s="245"/>
      <x:c r="W851" s="245"/>
      <x:c r="X851" s="245"/>
      <x:c r="Y851" s="245"/>
      <x:c r="Z851" s="245"/>
    </x:row>
    <x:row r="852">
      <x:c r="A852" s="245"/>
      <x:c r="B852" s="245"/>
      <x:c r="C852" s="245"/>
      <x:c r="D852" s="245"/>
      <x:c r="E852" s="245"/>
      <x:c r="F852" s="245"/>
      <x:c r="G852" s="245"/>
      <x:c r="H852" s="245"/>
      <x:c r="I852" s="245"/>
      <x:c r="J852" s="245"/>
      <x:c r="K852" s="245"/>
      <x:c r="L852" s="245"/>
      <x:c r="M852" s="245"/>
      <x:c r="N852" s="245"/>
      <x:c r="O852" s="245"/>
      <x:c r="P852" s="245"/>
      <x:c r="Q852" s="245"/>
      <x:c r="R852" s="245"/>
      <x:c r="S852" s="245"/>
      <x:c r="T852" s="245"/>
      <x:c r="U852" s="245"/>
      <x:c r="V852" s="245"/>
      <x:c r="W852" s="245"/>
      <x:c r="X852" s="245"/>
      <x:c r="Y852" s="245"/>
      <x:c r="Z852" s="245"/>
    </x:row>
    <x:row r="853">
      <x:c r="A853" s="245"/>
      <x:c r="B853" s="245"/>
      <x:c r="C853" s="245"/>
      <x:c r="D853" s="245"/>
      <x:c r="E853" s="245"/>
      <x:c r="F853" s="245"/>
      <x:c r="G853" s="245"/>
      <x:c r="H853" s="245"/>
      <x:c r="I853" s="245"/>
      <x:c r="J853" s="245"/>
      <x:c r="K853" s="245"/>
      <x:c r="L853" s="245"/>
      <x:c r="M853" s="245"/>
      <x:c r="N853" s="245"/>
      <x:c r="O853" s="245"/>
      <x:c r="P853" s="245"/>
      <x:c r="Q853" s="245"/>
      <x:c r="R853" s="245"/>
      <x:c r="S853" s="245"/>
      <x:c r="T853" s="245"/>
      <x:c r="U853" s="245"/>
      <x:c r="V853" s="245"/>
      <x:c r="W853" s="245"/>
      <x:c r="X853" s="245"/>
      <x:c r="Y853" s="245"/>
      <x:c r="Z853" s="245"/>
    </x:row>
    <x:row r="854">
      <x:c r="A854" s="245"/>
      <x:c r="B854" s="245"/>
      <x:c r="C854" s="245"/>
      <x:c r="D854" s="245"/>
      <x:c r="E854" s="245"/>
      <x:c r="F854" s="245"/>
      <x:c r="G854" s="245"/>
      <x:c r="H854" s="245"/>
      <x:c r="I854" s="245"/>
      <x:c r="J854" s="245"/>
      <x:c r="K854" s="245"/>
      <x:c r="L854" s="245"/>
      <x:c r="M854" s="245"/>
      <x:c r="N854" s="245"/>
      <x:c r="O854" s="245"/>
      <x:c r="P854" s="245"/>
      <x:c r="Q854" s="245"/>
      <x:c r="R854" s="245"/>
      <x:c r="S854" s="245"/>
      <x:c r="T854" s="245"/>
      <x:c r="U854" s="245"/>
      <x:c r="V854" s="245"/>
      <x:c r="W854" s="245"/>
      <x:c r="X854" s="245"/>
      <x:c r="Y854" s="245"/>
      <x:c r="Z854" s="245"/>
    </x:row>
    <x:row r="855">
      <x:c r="A855" s="245"/>
      <x:c r="B855" s="245"/>
      <x:c r="C855" s="245"/>
      <x:c r="D855" s="245"/>
      <x:c r="E855" s="245"/>
      <x:c r="F855" s="245"/>
      <x:c r="G855" s="245"/>
      <x:c r="H855" s="245"/>
      <x:c r="I855" s="245"/>
      <x:c r="J855" s="245"/>
      <x:c r="K855" s="245"/>
      <x:c r="L855" s="245"/>
      <x:c r="M855" s="245"/>
      <x:c r="N855" s="245"/>
      <x:c r="O855" s="245"/>
      <x:c r="P855" s="245"/>
      <x:c r="Q855" s="245"/>
      <x:c r="R855" s="245"/>
      <x:c r="S855" s="245"/>
      <x:c r="T855" s="245"/>
      <x:c r="U855" s="245"/>
      <x:c r="V855" s="245"/>
      <x:c r="W855" s="245"/>
      <x:c r="X855" s="245"/>
      <x:c r="Y855" s="245"/>
      <x:c r="Z855" s="245"/>
    </x:row>
    <x:row r="856">
      <x:c r="A856" s="245"/>
      <x:c r="B856" s="245"/>
      <x:c r="C856" s="245"/>
      <x:c r="D856" s="245"/>
      <x:c r="E856" s="245"/>
      <x:c r="F856" s="245"/>
      <x:c r="G856" s="245"/>
      <x:c r="H856" s="245"/>
      <x:c r="I856" s="245"/>
      <x:c r="J856" s="245"/>
      <x:c r="K856" s="245"/>
      <x:c r="L856" s="245"/>
      <x:c r="M856" s="245"/>
      <x:c r="N856" s="245"/>
      <x:c r="O856" s="245"/>
      <x:c r="P856" s="245"/>
      <x:c r="Q856" s="245"/>
      <x:c r="R856" s="245"/>
      <x:c r="S856" s="245"/>
      <x:c r="T856" s="245"/>
      <x:c r="U856" s="245"/>
      <x:c r="V856" s="245"/>
      <x:c r="W856" s="245"/>
      <x:c r="X856" s="245"/>
      <x:c r="Y856" s="245"/>
      <x:c r="Z856" s="245"/>
    </x:row>
    <x:row r="857">
      <x:c r="A857" s="245"/>
      <x:c r="B857" s="245"/>
      <x:c r="C857" s="245"/>
      <x:c r="D857" s="245"/>
      <x:c r="E857" s="245"/>
      <x:c r="F857" s="245"/>
      <x:c r="G857" s="245"/>
      <x:c r="H857" s="245"/>
      <x:c r="I857" s="245"/>
      <x:c r="J857" s="245"/>
      <x:c r="K857" s="245"/>
      <x:c r="L857" s="245"/>
      <x:c r="M857" s="245"/>
      <x:c r="N857" s="245"/>
      <x:c r="O857" s="245"/>
      <x:c r="P857" s="245"/>
      <x:c r="Q857" s="245"/>
      <x:c r="R857" s="245"/>
      <x:c r="S857" s="245"/>
      <x:c r="T857" s="245"/>
      <x:c r="U857" s="245"/>
      <x:c r="V857" s="245"/>
      <x:c r="W857" s="245"/>
      <x:c r="X857" s="245"/>
      <x:c r="Y857" s="245"/>
      <x:c r="Z857" s="245"/>
    </x:row>
    <x:row r="858">
      <x:c r="A858" s="245"/>
      <x:c r="B858" s="245"/>
      <x:c r="C858" s="245"/>
      <x:c r="D858" s="245"/>
      <x:c r="E858" s="245"/>
      <x:c r="F858" s="245"/>
      <x:c r="G858" s="245"/>
      <x:c r="H858" s="245"/>
      <x:c r="I858" s="245"/>
      <x:c r="J858" s="245"/>
      <x:c r="K858" s="245"/>
      <x:c r="L858" s="245"/>
      <x:c r="M858" s="245"/>
      <x:c r="N858" s="245"/>
      <x:c r="O858" s="245"/>
      <x:c r="P858" s="245"/>
      <x:c r="Q858" s="245"/>
      <x:c r="R858" s="245"/>
      <x:c r="S858" s="245"/>
      <x:c r="T858" s="245"/>
      <x:c r="U858" s="245"/>
      <x:c r="V858" s="245"/>
      <x:c r="W858" s="245"/>
      <x:c r="X858" s="245"/>
      <x:c r="Y858" s="245"/>
      <x:c r="Z858" s="245"/>
    </x:row>
    <x:row r="859">
      <x:c r="A859" s="245"/>
      <x:c r="B859" s="245"/>
      <x:c r="C859" s="245"/>
      <x:c r="D859" s="245"/>
      <x:c r="E859" s="245"/>
      <x:c r="F859" s="245"/>
      <x:c r="G859" s="245"/>
      <x:c r="H859" s="245"/>
      <x:c r="I859" s="245"/>
      <x:c r="J859" s="245"/>
      <x:c r="K859" s="245"/>
      <x:c r="L859" s="245"/>
      <x:c r="M859" s="245"/>
      <x:c r="N859" s="245"/>
      <x:c r="O859" s="245"/>
      <x:c r="P859" s="245"/>
      <x:c r="Q859" s="245"/>
      <x:c r="R859" s="245"/>
      <x:c r="S859" s="245"/>
      <x:c r="T859" s="245"/>
      <x:c r="U859" s="245"/>
      <x:c r="V859" s="245"/>
      <x:c r="W859" s="245"/>
      <x:c r="X859" s="245"/>
      <x:c r="Y859" s="245"/>
      <x:c r="Z859" s="245"/>
    </x:row>
    <x:row r="860">
      <x:c r="A860" s="245"/>
      <x:c r="B860" s="245"/>
      <x:c r="C860" s="245"/>
      <x:c r="D860" s="245"/>
      <x:c r="E860" s="245"/>
      <x:c r="F860" s="245"/>
      <x:c r="G860" s="245"/>
      <x:c r="H860" s="245"/>
      <x:c r="I860" s="245"/>
      <x:c r="J860" s="245"/>
      <x:c r="K860" s="245"/>
      <x:c r="L860" s="245"/>
      <x:c r="M860" s="245"/>
      <x:c r="N860" s="245"/>
      <x:c r="O860" s="245"/>
      <x:c r="P860" s="245"/>
      <x:c r="Q860" s="245"/>
      <x:c r="R860" s="245"/>
      <x:c r="S860" s="245"/>
      <x:c r="T860" s="245"/>
      <x:c r="U860" s="245"/>
      <x:c r="V860" s="245"/>
      <x:c r="W860" s="245"/>
      <x:c r="X860" s="245"/>
      <x:c r="Y860" s="245"/>
      <x:c r="Z860" s="245"/>
    </x:row>
    <x:row r="861">
      <x:c r="A861" s="245"/>
      <x:c r="B861" s="245"/>
      <x:c r="C861" s="245"/>
      <x:c r="D861" s="245"/>
      <x:c r="E861" s="245"/>
      <x:c r="F861" s="245"/>
      <x:c r="G861" s="245"/>
      <x:c r="H861" s="245"/>
      <x:c r="I861" s="245"/>
      <x:c r="J861" s="245"/>
      <x:c r="K861" s="245"/>
      <x:c r="L861" s="245"/>
      <x:c r="M861" s="245"/>
      <x:c r="N861" s="245"/>
      <x:c r="O861" s="245"/>
      <x:c r="P861" s="245"/>
      <x:c r="Q861" s="245"/>
      <x:c r="R861" s="245"/>
      <x:c r="S861" s="245"/>
      <x:c r="T861" s="245"/>
      <x:c r="U861" s="245"/>
      <x:c r="V861" s="245"/>
      <x:c r="W861" s="245"/>
      <x:c r="X861" s="245"/>
      <x:c r="Y861" s="245"/>
      <x:c r="Z861" s="245"/>
    </x:row>
    <x:row r="862">
      <x:c r="A862" s="245"/>
      <x:c r="B862" s="245"/>
      <x:c r="C862" s="245"/>
      <x:c r="D862" s="245"/>
      <x:c r="E862" s="245"/>
      <x:c r="F862" s="245"/>
      <x:c r="G862" s="245"/>
      <x:c r="H862" s="245"/>
      <x:c r="I862" s="245"/>
      <x:c r="J862" s="245"/>
      <x:c r="K862" s="245"/>
      <x:c r="L862" s="245"/>
      <x:c r="M862" s="245"/>
      <x:c r="N862" s="245"/>
      <x:c r="O862" s="245"/>
      <x:c r="P862" s="245"/>
      <x:c r="Q862" s="245"/>
      <x:c r="R862" s="245"/>
      <x:c r="S862" s="245"/>
      <x:c r="T862" s="245"/>
      <x:c r="U862" s="245"/>
      <x:c r="V862" s="245"/>
      <x:c r="W862" s="245"/>
      <x:c r="X862" s="245"/>
      <x:c r="Y862" s="245"/>
      <x:c r="Z862" s="245"/>
    </x:row>
    <x:row r="863">
      <x:c r="A863" s="245"/>
      <x:c r="B863" s="245"/>
      <x:c r="C863" s="245"/>
      <x:c r="D863" s="245"/>
      <x:c r="E863" s="245"/>
      <x:c r="F863" s="245"/>
      <x:c r="G863" s="245"/>
      <x:c r="H863" s="245"/>
      <x:c r="I863" s="245"/>
      <x:c r="J863" s="245"/>
      <x:c r="K863" s="245"/>
      <x:c r="L863" s="245"/>
      <x:c r="M863" s="245"/>
      <x:c r="N863" s="245"/>
      <x:c r="O863" s="245"/>
      <x:c r="P863" s="245"/>
      <x:c r="Q863" s="245"/>
      <x:c r="R863" s="245"/>
      <x:c r="S863" s="245"/>
      <x:c r="T863" s="245"/>
      <x:c r="U863" s="245"/>
      <x:c r="V863" s="245"/>
      <x:c r="W863" s="245"/>
      <x:c r="X863" s="245"/>
      <x:c r="Y863" s="245"/>
      <x:c r="Z863" s="245"/>
    </x:row>
    <x:row r="864">
      <x:c r="A864" s="245"/>
      <x:c r="B864" s="245"/>
      <x:c r="C864" s="245"/>
      <x:c r="D864" s="245"/>
      <x:c r="E864" s="245"/>
      <x:c r="F864" s="245"/>
      <x:c r="G864" s="245"/>
      <x:c r="H864" s="245"/>
      <x:c r="I864" s="245"/>
      <x:c r="J864" s="245"/>
      <x:c r="K864" s="245"/>
      <x:c r="L864" s="245"/>
      <x:c r="M864" s="245"/>
      <x:c r="N864" s="245"/>
      <x:c r="O864" s="245"/>
      <x:c r="P864" s="245"/>
      <x:c r="Q864" s="245"/>
      <x:c r="R864" s="245"/>
      <x:c r="S864" s="245"/>
      <x:c r="T864" s="245"/>
      <x:c r="U864" s="245"/>
      <x:c r="V864" s="245"/>
      <x:c r="W864" s="245"/>
      <x:c r="X864" s="245"/>
      <x:c r="Y864" s="245"/>
      <x:c r="Z864" s="245"/>
    </x:row>
    <x:row r="865">
      <x:c r="A865" s="245"/>
      <x:c r="B865" s="245"/>
      <x:c r="C865" s="245"/>
      <x:c r="D865" s="245"/>
      <x:c r="E865" s="245"/>
      <x:c r="F865" s="245"/>
      <x:c r="G865" s="245"/>
      <x:c r="H865" s="245"/>
      <x:c r="I865" s="245"/>
      <x:c r="J865" s="245"/>
      <x:c r="K865" s="245"/>
      <x:c r="L865" s="245"/>
      <x:c r="M865" s="245"/>
      <x:c r="N865" s="245"/>
      <x:c r="O865" s="245"/>
      <x:c r="P865" s="245"/>
      <x:c r="Q865" s="245"/>
      <x:c r="R865" s="245"/>
      <x:c r="S865" s="245"/>
      <x:c r="T865" s="245"/>
      <x:c r="U865" s="245"/>
      <x:c r="V865" s="245"/>
      <x:c r="W865" s="245"/>
      <x:c r="X865" s="245"/>
      <x:c r="Y865" s="245"/>
      <x:c r="Z865" s="245"/>
    </x:row>
    <x:row r="866">
      <x:c r="A866" s="245"/>
      <x:c r="B866" s="245"/>
      <x:c r="C866" s="245"/>
      <x:c r="D866" s="245"/>
      <x:c r="E866" s="245"/>
      <x:c r="F866" s="245"/>
      <x:c r="G866" s="245"/>
      <x:c r="H866" s="245"/>
      <x:c r="I866" s="245"/>
      <x:c r="J866" s="245"/>
      <x:c r="K866" s="245"/>
      <x:c r="L866" s="245"/>
      <x:c r="M866" s="245"/>
      <x:c r="N866" s="245"/>
      <x:c r="O866" s="245"/>
      <x:c r="P866" s="245"/>
      <x:c r="Q866" s="245"/>
      <x:c r="R866" s="245"/>
      <x:c r="S866" s="245"/>
      <x:c r="T866" s="245"/>
      <x:c r="U866" s="245"/>
      <x:c r="V866" s="245"/>
      <x:c r="W866" s="245"/>
      <x:c r="X866" s="245"/>
      <x:c r="Y866" s="245"/>
      <x:c r="Z866" s="245"/>
    </x:row>
    <x:row r="867">
      <x:c r="A867" s="245"/>
      <x:c r="B867" s="245"/>
      <x:c r="C867" s="245"/>
      <x:c r="D867" s="245"/>
      <x:c r="E867" s="245"/>
      <x:c r="F867" s="245"/>
      <x:c r="G867" s="245"/>
      <x:c r="H867" s="245"/>
      <x:c r="I867" s="245"/>
      <x:c r="J867" s="245"/>
      <x:c r="K867" s="245"/>
      <x:c r="L867" s="245"/>
      <x:c r="M867" s="245"/>
      <x:c r="N867" s="245"/>
      <x:c r="O867" s="245"/>
      <x:c r="P867" s="245"/>
      <x:c r="Q867" s="245"/>
      <x:c r="R867" s="245"/>
      <x:c r="S867" s="245"/>
      <x:c r="T867" s="245"/>
      <x:c r="U867" s="245"/>
      <x:c r="V867" s="245"/>
      <x:c r="W867" s="245"/>
      <x:c r="X867" s="245"/>
      <x:c r="Y867" s="245"/>
      <x:c r="Z867" s="245"/>
    </x:row>
    <x:row r="868">
      <x:c r="A868" s="245"/>
      <x:c r="B868" s="245"/>
      <x:c r="C868" s="245"/>
      <x:c r="D868" s="245"/>
      <x:c r="E868" s="245"/>
      <x:c r="F868" s="245"/>
      <x:c r="G868" s="245"/>
      <x:c r="H868" s="245"/>
      <x:c r="I868" s="245"/>
      <x:c r="J868" s="245"/>
      <x:c r="K868" s="245"/>
      <x:c r="L868" s="245"/>
      <x:c r="M868" s="245"/>
      <x:c r="N868" s="245"/>
      <x:c r="O868" s="245"/>
      <x:c r="P868" s="245"/>
      <x:c r="Q868" s="245"/>
      <x:c r="R868" s="245"/>
      <x:c r="S868" s="245"/>
      <x:c r="T868" s="245"/>
      <x:c r="U868" s="245"/>
      <x:c r="V868" s="245"/>
      <x:c r="W868" s="245"/>
      <x:c r="X868" s="245"/>
      <x:c r="Y868" s="245"/>
      <x:c r="Z868" s="245"/>
    </x:row>
    <x:row r="869">
      <x:c r="A869" s="245"/>
      <x:c r="B869" s="245"/>
      <x:c r="C869" s="245"/>
      <x:c r="D869" s="245"/>
      <x:c r="E869" s="245"/>
      <x:c r="F869" s="245"/>
      <x:c r="G869" s="245"/>
      <x:c r="H869" s="245"/>
      <x:c r="I869" s="245"/>
      <x:c r="J869" s="245"/>
      <x:c r="K869" s="245"/>
      <x:c r="L869" s="245"/>
      <x:c r="M869" s="245"/>
      <x:c r="N869" s="245"/>
      <x:c r="O869" s="245"/>
      <x:c r="P869" s="245"/>
      <x:c r="Q869" s="245"/>
      <x:c r="R869" s="245"/>
      <x:c r="S869" s="245"/>
      <x:c r="T869" s="245"/>
      <x:c r="U869" s="245"/>
      <x:c r="V869" s="245"/>
      <x:c r="W869" s="245"/>
      <x:c r="X869" s="245"/>
      <x:c r="Y869" s="245"/>
      <x:c r="Z869" s="245"/>
    </x:row>
    <x:row r="870">
      <x:c r="A870" s="245"/>
      <x:c r="B870" s="245"/>
      <x:c r="C870" s="245"/>
      <x:c r="D870" s="245"/>
      <x:c r="E870" s="245"/>
      <x:c r="F870" s="245"/>
      <x:c r="G870" s="245"/>
      <x:c r="H870" s="245"/>
      <x:c r="I870" s="245"/>
      <x:c r="J870" s="245"/>
      <x:c r="K870" s="245"/>
      <x:c r="L870" s="245"/>
      <x:c r="M870" s="245"/>
      <x:c r="N870" s="245"/>
      <x:c r="O870" s="245"/>
      <x:c r="P870" s="245"/>
      <x:c r="Q870" s="245"/>
      <x:c r="R870" s="245"/>
      <x:c r="S870" s="245"/>
      <x:c r="T870" s="245"/>
      <x:c r="U870" s="245"/>
      <x:c r="V870" s="245"/>
      <x:c r="W870" s="245"/>
      <x:c r="X870" s="245"/>
      <x:c r="Y870" s="245"/>
      <x:c r="Z870" s="245"/>
    </x:row>
    <x:row r="871">
      <x:c r="A871" s="245"/>
      <x:c r="B871" s="245"/>
      <x:c r="C871" s="245"/>
      <x:c r="D871" s="245"/>
      <x:c r="E871" s="245"/>
      <x:c r="F871" s="245"/>
      <x:c r="G871" s="245"/>
      <x:c r="H871" s="245"/>
      <x:c r="I871" s="245"/>
      <x:c r="J871" s="245"/>
      <x:c r="K871" s="245"/>
      <x:c r="L871" s="245"/>
      <x:c r="M871" s="245"/>
      <x:c r="N871" s="245"/>
      <x:c r="O871" s="245"/>
      <x:c r="P871" s="245"/>
      <x:c r="Q871" s="245"/>
      <x:c r="R871" s="245"/>
      <x:c r="S871" s="245"/>
      <x:c r="T871" s="245"/>
      <x:c r="U871" s="245"/>
      <x:c r="V871" s="245"/>
      <x:c r="W871" s="245"/>
      <x:c r="X871" s="245"/>
      <x:c r="Y871" s="245"/>
      <x:c r="Z871" s="245"/>
    </x:row>
    <x:row r="872">
      <x:c r="A872" s="245"/>
      <x:c r="B872" s="245"/>
      <x:c r="C872" s="245"/>
      <x:c r="D872" s="245"/>
      <x:c r="E872" s="245"/>
      <x:c r="F872" s="245"/>
      <x:c r="G872" s="245"/>
      <x:c r="H872" s="245"/>
      <x:c r="I872" s="245"/>
      <x:c r="J872" s="245"/>
      <x:c r="K872" s="245"/>
      <x:c r="L872" s="245"/>
      <x:c r="M872" s="245"/>
      <x:c r="N872" s="245"/>
      <x:c r="O872" s="245"/>
      <x:c r="P872" s="245"/>
      <x:c r="Q872" s="245"/>
      <x:c r="R872" s="245"/>
      <x:c r="S872" s="245"/>
      <x:c r="T872" s="245"/>
      <x:c r="U872" s="245"/>
      <x:c r="V872" s="245"/>
      <x:c r="W872" s="245"/>
      <x:c r="X872" s="245"/>
      <x:c r="Y872" s="245"/>
      <x:c r="Z872" s="245"/>
    </x:row>
    <x:row r="873">
      <x:c r="A873" s="245"/>
      <x:c r="B873" s="245"/>
      <x:c r="C873" s="245"/>
      <x:c r="D873" s="245"/>
      <x:c r="E873" s="245"/>
      <x:c r="F873" s="245"/>
      <x:c r="G873" s="245"/>
      <x:c r="H873" s="245"/>
      <x:c r="I873" s="245"/>
      <x:c r="J873" s="245"/>
      <x:c r="K873" s="245"/>
      <x:c r="L873" s="245"/>
      <x:c r="M873" s="245"/>
      <x:c r="N873" s="245"/>
      <x:c r="O873" s="245"/>
      <x:c r="P873" s="245"/>
      <x:c r="Q873" s="245"/>
      <x:c r="R873" s="245"/>
      <x:c r="S873" s="245"/>
      <x:c r="T873" s="245"/>
      <x:c r="U873" s="245"/>
      <x:c r="V873" s="245"/>
      <x:c r="W873" s="245"/>
      <x:c r="X873" s="245"/>
      <x:c r="Y873" s="245"/>
      <x:c r="Z873" s="245"/>
    </x:row>
    <x:row r="874">
      <x:c r="A874" s="245"/>
      <x:c r="B874" s="245"/>
      <x:c r="C874" s="245"/>
      <x:c r="D874" s="245"/>
      <x:c r="E874" s="245"/>
      <x:c r="F874" s="245"/>
      <x:c r="G874" s="245"/>
      <x:c r="H874" s="245"/>
      <x:c r="I874" s="245"/>
      <x:c r="J874" s="245"/>
      <x:c r="K874" s="245"/>
      <x:c r="L874" s="245"/>
      <x:c r="M874" s="245"/>
      <x:c r="N874" s="245"/>
      <x:c r="O874" s="245"/>
      <x:c r="P874" s="245"/>
      <x:c r="Q874" s="245"/>
      <x:c r="R874" s="245"/>
      <x:c r="S874" s="245"/>
      <x:c r="T874" s="245"/>
      <x:c r="U874" s="245"/>
      <x:c r="V874" s="245"/>
      <x:c r="W874" s="245"/>
      <x:c r="X874" s="245"/>
      <x:c r="Y874" s="245"/>
      <x:c r="Z874" s="245"/>
    </x:row>
    <x:row r="875">
      <x:c r="A875" s="245"/>
      <x:c r="B875" s="245"/>
      <x:c r="C875" s="245"/>
      <x:c r="D875" s="245"/>
      <x:c r="E875" s="245"/>
      <x:c r="F875" s="245"/>
      <x:c r="G875" s="245"/>
      <x:c r="H875" s="245"/>
      <x:c r="I875" s="245"/>
      <x:c r="J875" s="245"/>
      <x:c r="K875" s="245"/>
      <x:c r="L875" s="245"/>
      <x:c r="M875" s="245"/>
      <x:c r="N875" s="245"/>
      <x:c r="O875" s="245"/>
      <x:c r="P875" s="245"/>
      <x:c r="Q875" s="245"/>
      <x:c r="R875" s="245"/>
      <x:c r="S875" s="245"/>
      <x:c r="T875" s="245"/>
      <x:c r="U875" s="245"/>
      <x:c r="V875" s="245"/>
      <x:c r="W875" s="245"/>
      <x:c r="X875" s="245"/>
      <x:c r="Y875" s="245"/>
      <x:c r="Z875" s="245"/>
    </x:row>
    <x:row r="876">
      <x:c r="A876" s="245"/>
      <x:c r="B876" s="245"/>
      <x:c r="C876" s="245"/>
      <x:c r="D876" s="245"/>
      <x:c r="E876" s="245"/>
      <x:c r="F876" s="245"/>
      <x:c r="G876" s="245"/>
      <x:c r="H876" s="245"/>
      <x:c r="I876" s="245"/>
      <x:c r="J876" s="245"/>
      <x:c r="K876" s="245"/>
      <x:c r="L876" s="245"/>
      <x:c r="M876" s="245"/>
      <x:c r="N876" s="245"/>
      <x:c r="O876" s="245"/>
      <x:c r="P876" s="245"/>
      <x:c r="Q876" s="245"/>
      <x:c r="R876" s="245"/>
      <x:c r="S876" s="245"/>
      <x:c r="T876" s="245"/>
      <x:c r="U876" s="245"/>
      <x:c r="V876" s="245"/>
      <x:c r="W876" s="245"/>
      <x:c r="X876" s="245"/>
      <x:c r="Y876" s="245"/>
      <x:c r="Z876" s="245"/>
    </x:row>
    <x:row r="877">
      <x:c r="A877" s="245"/>
      <x:c r="B877" s="245"/>
      <x:c r="C877" s="245"/>
      <x:c r="D877" s="245"/>
      <x:c r="E877" s="245"/>
      <x:c r="F877" s="245"/>
      <x:c r="G877" s="245"/>
      <x:c r="H877" s="245"/>
      <x:c r="I877" s="245"/>
      <x:c r="J877" s="245"/>
      <x:c r="K877" s="245"/>
      <x:c r="L877" s="245"/>
      <x:c r="M877" s="245"/>
      <x:c r="N877" s="245"/>
      <x:c r="O877" s="245"/>
      <x:c r="P877" s="245"/>
      <x:c r="Q877" s="245"/>
      <x:c r="R877" s="245"/>
      <x:c r="S877" s="245"/>
      <x:c r="T877" s="245"/>
      <x:c r="U877" s="245"/>
      <x:c r="V877" s="245"/>
      <x:c r="W877" s="245"/>
      <x:c r="X877" s="245"/>
      <x:c r="Y877" s="245"/>
      <x:c r="Z877" s="245"/>
    </x:row>
    <x:row r="878">
      <x:c r="A878" s="245"/>
      <x:c r="B878" s="245"/>
      <x:c r="C878" s="245"/>
      <x:c r="D878" s="245"/>
      <x:c r="E878" s="245"/>
      <x:c r="F878" s="245"/>
      <x:c r="G878" s="245"/>
      <x:c r="H878" s="245"/>
      <x:c r="I878" s="245"/>
      <x:c r="J878" s="245"/>
      <x:c r="K878" s="245"/>
      <x:c r="L878" s="245"/>
      <x:c r="M878" s="245"/>
      <x:c r="N878" s="245"/>
      <x:c r="O878" s="245"/>
      <x:c r="P878" s="245"/>
      <x:c r="Q878" s="245"/>
      <x:c r="R878" s="245"/>
      <x:c r="S878" s="245"/>
      <x:c r="T878" s="245"/>
      <x:c r="U878" s="245"/>
      <x:c r="V878" s="245"/>
      <x:c r="W878" s="245"/>
      <x:c r="X878" s="245"/>
      <x:c r="Y878" s="245"/>
      <x:c r="Z878" s="245"/>
    </x:row>
    <x:row r="879">
      <x:c r="A879" s="245"/>
      <x:c r="B879" s="245"/>
      <x:c r="C879" s="245"/>
      <x:c r="D879" s="245"/>
      <x:c r="E879" s="245"/>
      <x:c r="F879" s="245"/>
      <x:c r="G879" s="245"/>
      <x:c r="H879" s="245"/>
      <x:c r="I879" s="245"/>
      <x:c r="J879" s="245"/>
      <x:c r="K879" s="245"/>
      <x:c r="L879" s="245"/>
      <x:c r="M879" s="245"/>
      <x:c r="N879" s="245"/>
      <x:c r="O879" s="245"/>
      <x:c r="P879" s="245"/>
      <x:c r="Q879" s="245"/>
      <x:c r="R879" s="245"/>
      <x:c r="S879" s="245"/>
      <x:c r="T879" s="245"/>
      <x:c r="U879" s="245"/>
      <x:c r="V879" s="245"/>
      <x:c r="W879" s="245"/>
      <x:c r="X879" s="245"/>
      <x:c r="Y879" s="245"/>
      <x:c r="Z879" s="245"/>
    </x:row>
    <x:row r="880">
      <x:c r="A880" s="245"/>
      <x:c r="B880" s="245"/>
      <x:c r="C880" s="245"/>
      <x:c r="D880" s="245"/>
      <x:c r="E880" s="245"/>
      <x:c r="F880" s="245"/>
      <x:c r="G880" s="245"/>
      <x:c r="H880" s="245"/>
      <x:c r="I880" s="245"/>
      <x:c r="J880" s="245"/>
      <x:c r="K880" s="245"/>
      <x:c r="L880" s="245"/>
      <x:c r="M880" s="245"/>
      <x:c r="N880" s="245"/>
      <x:c r="O880" s="245"/>
      <x:c r="P880" s="245"/>
      <x:c r="Q880" s="245"/>
      <x:c r="R880" s="245"/>
      <x:c r="S880" s="245"/>
      <x:c r="T880" s="245"/>
      <x:c r="U880" s="245"/>
      <x:c r="V880" s="245"/>
      <x:c r="W880" s="245"/>
      <x:c r="X880" s="245"/>
      <x:c r="Y880" s="245"/>
      <x:c r="Z880" s="245"/>
    </x:row>
    <x:row r="881">
      <x:c r="A881" s="245"/>
      <x:c r="B881" s="245"/>
      <x:c r="C881" s="245"/>
      <x:c r="D881" s="245"/>
      <x:c r="E881" s="245"/>
      <x:c r="F881" s="245"/>
      <x:c r="G881" s="245"/>
      <x:c r="H881" s="245"/>
      <x:c r="I881" s="245"/>
      <x:c r="J881" s="245"/>
      <x:c r="K881" s="245"/>
      <x:c r="L881" s="245"/>
      <x:c r="M881" s="245"/>
      <x:c r="N881" s="245"/>
      <x:c r="O881" s="245"/>
      <x:c r="P881" s="245"/>
      <x:c r="Q881" s="245"/>
      <x:c r="R881" s="245"/>
      <x:c r="S881" s="245"/>
      <x:c r="T881" s="245"/>
      <x:c r="U881" s="245"/>
      <x:c r="V881" s="245"/>
      <x:c r="W881" s="245"/>
      <x:c r="X881" s="245"/>
      <x:c r="Y881" s="245"/>
      <x:c r="Z881" s="245"/>
    </x:row>
    <x:row r="882">
      <x:c r="A882" s="245"/>
      <x:c r="B882" s="245"/>
      <x:c r="C882" s="245"/>
      <x:c r="D882" s="245"/>
      <x:c r="E882" s="245"/>
      <x:c r="F882" s="245"/>
      <x:c r="G882" s="245"/>
      <x:c r="H882" s="245"/>
      <x:c r="I882" s="245"/>
      <x:c r="J882" s="245"/>
      <x:c r="K882" s="245"/>
      <x:c r="L882" s="245"/>
      <x:c r="M882" s="245"/>
      <x:c r="N882" s="245"/>
      <x:c r="O882" s="245"/>
      <x:c r="P882" s="245"/>
      <x:c r="Q882" s="245"/>
      <x:c r="R882" s="245"/>
      <x:c r="S882" s="245"/>
      <x:c r="T882" s="245"/>
      <x:c r="U882" s="245"/>
      <x:c r="V882" s="245"/>
      <x:c r="W882" s="245"/>
      <x:c r="X882" s="245"/>
      <x:c r="Y882" s="245"/>
      <x:c r="Z882" s="245"/>
    </x:row>
    <x:row r="883">
      <x:c r="A883" s="245"/>
      <x:c r="B883" s="245"/>
      <x:c r="C883" s="245"/>
      <x:c r="D883" s="245"/>
      <x:c r="E883" s="245"/>
      <x:c r="F883" s="245"/>
      <x:c r="G883" s="245"/>
      <x:c r="H883" s="245"/>
      <x:c r="I883" s="245"/>
      <x:c r="J883" s="245"/>
      <x:c r="K883" s="245"/>
      <x:c r="L883" s="245"/>
      <x:c r="M883" s="245"/>
      <x:c r="N883" s="245"/>
      <x:c r="O883" s="245"/>
      <x:c r="P883" s="245"/>
      <x:c r="Q883" s="245"/>
      <x:c r="R883" s="245"/>
      <x:c r="S883" s="245"/>
      <x:c r="T883" s="245"/>
      <x:c r="U883" s="245"/>
      <x:c r="V883" s="245"/>
      <x:c r="W883" s="245"/>
      <x:c r="X883" s="245"/>
      <x:c r="Y883" s="245"/>
      <x:c r="Z883" s="245"/>
    </x:row>
    <x:row r="884">
      <x:c r="A884" s="245"/>
      <x:c r="B884" s="245"/>
      <x:c r="C884" s="245"/>
      <x:c r="D884" s="245"/>
      <x:c r="E884" s="245"/>
      <x:c r="F884" s="245"/>
      <x:c r="G884" s="245"/>
      <x:c r="H884" s="245"/>
      <x:c r="I884" s="245"/>
      <x:c r="J884" s="245"/>
      <x:c r="K884" s="245"/>
      <x:c r="L884" s="245"/>
      <x:c r="M884" s="245"/>
      <x:c r="N884" s="245"/>
      <x:c r="O884" s="245"/>
      <x:c r="P884" s="245"/>
      <x:c r="Q884" s="245"/>
      <x:c r="R884" s="245"/>
      <x:c r="S884" s="245"/>
      <x:c r="T884" s="245"/>
      <x:c r="U884" s="245"/>
      <x:c r="V884" s="245"/>
      <x:c r="W884" s="245"/>
      <x:c r="X884" s="245"/>
      <x:c r="Y884" s="245"/>
      <x:c r="Z884" s="245"/>
    </x:row>
    <x:row r="885">
      <x:c r="A885" s="245"/>
      <x:c r="B885" s="245"/>
      <x:c r="C885" s="245"/>
      <x:c r="D885" s="245"/>
      <x:c r="E885" s="245"/>
      <x:c r="F885" s="245"/>
      <x:c r="G885" s="245"/>
      <x:c r="H885" s="245"/>
      <x:c r="I885" s="245"/>
      <x:c r="J885" s="245"/>
      <x:c r="K885" s="245"/>
      <x:c r="L885" s="245"/>
      <x:c r="M885" s="245"/>
      <x:c r="N885" s="245"/>
      <x:c r="O885" s="245"/>
      <x:c r="P885" s="245"/>
      <x:c r="Q885" s="245"/>
      <x:c r="R885" s="245"/>
      <x:c r="S885" s="245"/>
      <x:c r="T885" s="245"/>
      <x:c r="U885" s="245"/>
      <x:c r="V885" s="245"/>
      <x:c r="W885" s="245"/>
      <x:c r="X885" s="245"/>
      <x:c r="Y885" s="245"/>
      <x:c r="Z885" s="245"/>
    </x:row>
    <x:row r="886">
      <x:c r="A886" s="245"/>
      <x:c r="B886" s="245"/>
      <x:c r="C886" s="245"/>
      <x:c r="D886" s="245"/>
      <x:c r="E886" s="245"/>
      <x:c r="F886" s="245"/>
      <x:c r="G886" s="245"/>
      <x:c r="H886" s="245"/>
      <x:c r="I886" s="245"/>
      <x:c r="J886" s="245"/>
      <x:c r="K886" s="245"/>
      <x:c r="L886" s="245"/>
      <x:c r="M886" s="245"/>
      <x:c r="N886" s="245"/>
      <x:c r="O886" s="245"/>
      <x:c r="P886" s="245"/>
      <x:c r="Q886" s="245"/>
      <x:c r="R886" s="245"/>
      <x:c r="S886" s="245"/>
      <x:c r="T886" s="245"/>
      <x:c r="U886" s="245"/>
      <x:c r="V886" s="245"/>
      <x:c r="W886" s="245"/>
      <x:c r="X886" s="245"/>
      <x:c r="Y886" s="245"/>
      <x:c r="Z886" s="245"/>
    </x:row>
    <x:row r="887">
      <x:c r="A887" s="245"/>
      <x:c r="B887" s="245"/>
      <x:c r="C887" s="245"/>
      <x:c r="D887" s="245"/>
      <x:c r="E887" s="245"/>
      <x:c r="F887" s="245"/>
      <x:c r="G887" s="245"/>
      <x:c r="H887" s="245"/>
      <x:c r="I887" s="245"/>
      <x:c r="J887" s="245"/>
      <x:c r="K887" s="245"/>
      <x:c r="L887" s="245"/>
      <x:c r="M887" s="245"/>
      <x:c r="N887" s="245"/>
      <x:c r="O887" s="245"/>
      <x:c r="P887" s="245"/>
      <x:c r="Q887" s="245"/>
      <x:c r="R887" s="245"/>
      <x:c r="S887" s="245"/>
      <x:c r="T887" s="245"/>
      <x:c r="U887" s="245"/>
      <x:c r="V887" s="245"/>
      <x:c r="W887" s="245"/>
      <x:c r="X887" s="245"/>
      <x:c r="Y887" s="245"/>
      <x:c r="Z887" s="245"/>
    </x:row>
    <x:row r="888">
      <x:c r="A888" s="245"/>
      <x:c r="B888" s="245"/>
      <x:c r="C888" s="245"/>
      <x:c r="D888" s="245"/>
      <x:c r="E888" s="245"/>
      <x:c r="F888" s="245"/>
      <x:c r="G888" s="245"/>
      <x:c r="H888" s="245"/>
      <x:c r="I888" s="245"/>
      <x:c r="J888" s="245"/>
      <x:c r="K888" s="245"/>
      <x:c r="L888" s="245"/>
      <x:c r="M888" s="245"/>
      <x:c r="N888" s="245"/>
      <x:c r="O888" s="245"/>
      <x:c r="P888" s="245"/>
      <x:c r="Q888" s="245"/>
      <x:c r="R888" s="245"/>
      <x:c r="S888" s="245"/>
      <x:c r="T888" s="245"/>
      <x:c r="U888" s="245"/>
      <x:c r="V888" s="245"/>
      <x:c r="W888" s="245"/>
      <x:c r="X888" s="245"/>
      <x:c r="Y888" s="245"/>
      <x:c r="Z888" s="245"/>
    </x:row>
    <x:row r="889">
      <x:c r="A889" s="245"/>
      <x:c r="B889" s="245"/>
      <x:c r="C889" s="245"/>
      <x:c r="D889" s="245"/>
      <x:c r="E889" s="245"/>
      <x:c r="F889" s="245"/>
      <x:c r="G889" s="245"/>
      <x:c r="H889" s="245"/>
      <x:c r="I889" s="245"/>
      <x:c r="J889" s="245"/>
      <x:c r="K889" s="245"/>
      <x:c r="L889" s="245"/>
      <x:c r="M889" s="245"/>
      <x:c r="N889" s="245"/>
      <x:c r="O889" s="245"/>
      <x:c r="P889" s="245"/>
      <x:c r="Q889" s="245"/>
      <x:c r="R889" s="245"/>
      <x:c r="S889" s="245"/>
      <x:c r="T889" s="245"/>
      <x:c r="U889" s="245"/>
      <x:c r="V889" s="245"/>
      <x:c r="W889" s="245"/>
      <x:c r="X889" s="245"/>
      <x:c r="Y889" s="245"/>
      <x:c r="Z889" s="245"/>
    </x:row>
    <x:row r="890">
      <x:c r="A890" s="245"/>
      <x:c r="B890" s="245"/>
      <x:c r="C890" s="245"/>
      <x:c r="D890" s="245"/>
      <x:c r="E890" s="245"/>
      <x:c r="F890" s="245"/>
      <x:c r="G890" s="245"/>
      <x:c r="H890" s="245"/>
      <x:c r="I890" s="245"/>
      <x:c r="J890" s="245"/>
      <x:c r="K890" s="245"/>
      <x:c r="L890" s="245"/>
      <x:c r="M890" s="245"/>
      <x:c r="N890" s="245"/>
      <x:c r="O890" s="245"/>
      <x:c r="P890" s="245"/>
      <x:c r="Q890" s="245"/>
      <x:c r="R890" s="245"/>
      <x:c r="S890" s="245"/>
      <x:c r="T890" s="245"/>
      <x:c r="U890" s="245"/>
      <x:c r="V890" s="245"/>
      <x:c r="W890" s="245"/>
      <x:c r="X890" s="245"/>
      <x:c r="Y890" s="245"/>
      <x:c r="Z890" s="245"/>
    </x:row>
    <x:row r="891">
      <x:c r="A891" s="245"/>
      <x:c r="B891" s="245"/>
      <x:c r="C891" s="245"/>
      <x:c r="D891" s="245"/>
      <x:c r="E891" s="245"/>
      <x:c r="F891" s="245"/>
      <x:c r="G891" s="245"/>
      <x:c r="H891" s="245"/>
      <x:c r="I891" s="245"/>
      <x:c r="J891" s="245"/>
      <x:c r="K891" s="245"/>
      <x:c r="L891" s="245"/>
      <x:c r="M891" s="245"/>
      <x:c r="N891" s="245"/>
      <x:c r="O891" s="245"/>
      <x:c r="P891" s="245"/>
      <x:c r="Q891" s="245"/>
      <x:c r="R891" s="245"/>
      <x:c r="S891" s="245"/>
      <x:c r="T891" s="245"/>
      <x:c r="U891" s="245"/>
      <x:c r="V891" s="245"/>
      <x:c r="W891" s="245"/>
      <x:c r="X891" s="245"/>
      <x:c r="Y891" s="245"/>
      <x:c r="Z891" s="245"/>
    </x:row>
    <x:row r="892">
      <x:c r="A892" s="245"/>
      <x:c r="B892" s="245"/>
      <x:c r="C892" s="245"/>
      <x:c r="D892" s="245"/>
      <x:c r="E892" s="245"/>
      <x:c r="F892" s="245"/>
      <x:c r="G892" s="245"/>
      <x:c r="H892" s="245"/>
      <x:c r="I892" s="245"/>
      <x:c r="J892" s="245"/>
      <x:c r="K892" s="245"/>
      <x:c r="L892" s="245"/>
      <x:c r="M892" s="245"/>
      <x:c r="N892" s="245"/>
      <x:c r="O892" s="245"/>
      <x:c r="P892" s="245"/>
      <x:c r="Q892" s="245"/>
      <x:c r="R892" s="245"/>
      <x:c r="S892" s="245"/>
      <x:c r="T892" s="245"/>
      <x:c r="U892" s="245"/>
      <x:c r="V892" s="245"/>
      <x:c r="W892" s="245"/>
      <x:c r="X892" s="245"/>
      <x:c r="Y892" s="245"/>
      <x:c r="Z892" s="245"/>
    </x:row>
    <x:row r="893">
      <x:c r="A893" s="245"/>
      <x:c r="B893" s="245"/>
      <x:c r="C893" s="245"/>
      <x:c r="D893" s="245"/>
      <x:c r="E893" s="245"/>
      <x:c r="F893" s="245"/>
      <x:c r="G893" s="245"/>
      <x:c r="H893" s="245"/>
      <x:c r="I893" s="245"/>
      <x:c r="J893" s="245"/>
      <x:c r="K893" s="245"/>
      <x:c r="L893" s="245"/>
      <x:c r="M893" s="245"/>
      <x:c r="N893" s="245"/>
      <x:c r="O893" s="245"/>
      <x:c r="P893" s="245"/>
      <x:c r="Q893" s="245"/>
      <x:c r="R893" s="245"/>
      <x:c r="S893" s="245"/>
      <x:c r="T893" s="245"/>
      <x:c r="U893" s="245"/>
      <x:c r="V893" s="245"/>
      <x:c r="W893" s="245"/>
      <x:c r="X893" s="245"/>
      <x:c r="Y893" s="245"/>
      <x:c r="Z893" s="245"/>
    </x:row>
    <x:row r="894">
      <x:c r="A894" s="245"/>
      <x:c r="B894" s="245"/>
      <x:c r="C894" s="245"/>
      <x:c r="D894" s="245"/>
      <x:c r="E894" s="245"/>
      <x:c r="F894" s="245"/>
      <x:c r="G894" s="245"/>
      <x:c r="H894" s="245"/>
      <x:c r="I894" s="245"/>
      <x:c r="J894" s="245"/>
      <x:c r="K894" s="245"/>
      <x:c r="L894" s="245"/>
      <x:c r="M894" s="245"/>
      <x:c r="N894" s="245"/>
      <x:c r="O894" s="245"/>
      <x:c r="P894" s="245"/>
      <x:c r="Q894" s="245"/>
      <x:c r="R894" s="245"/>
      <x:c r="S894" s="245"/>
      <x:c r="T894" s="245"/>
      <x:c r="U894" s="245"/>
      <x:c r="V894" s="245"/>
      <x:c r="W894" s="245"/>
      <x:c r="X894" s="245"/>
      <x:c r="Y894" s="245"/>
      <x:c r="Z894" s="245"/>
    </x:row>
    <x:row r="895">
      <x:c r="A895" s="245"/>
      <x:c r="B895" s="245"/>
      <x:c r="C895" s="245"/>
      <x:c r="D895" s="245"/>
      <x:c r="E895" s="245"/>
      <x:c r="F895" s="245"/>
      <x:c r="G895" s="245"/>
      <x:c r="H895" s="245"/>
      <x:c r="I895" s="245"/>
      <x:c r="J895" s="245"/>
      <x:c r="K895" s="245"/>
      <x:c r="L895" s="245"/>
      <x:c r="M895" s="245"/>
      <x:c r="N895" s="245"/>
      <x:c r="O895" s="245"/>
      <x:c r="P895" s="245"/>
      <x:c r="Q895" s="245"/>
      <x:c r="R895" s="245"/>
      <x:c r="S895" s="245"/>
      <x:c r="T895" s="245"/>
      <x:c r="U895" s="245"/>
      <x:c r="V895" s="245"/>
      <x:c r="W895" s="245"/>
      <x:c r="X895" s="245"/>
      <x:c r="Y895" s="245"/>
      <x:c r="Z895" s="245"/>
    </x:row>
    <x:row r="896">
      <x:c r="A896" s="245"/>
      <x:c r="B896" s="245"/>
      <x:c r="C896" s="245"/>
      <x:c r="D896" s="245"/>
      <x:c r="E896" s="245"/>
      <x:c r="F896" s="245"/>
      <x:c r="G896" s="245"/>
      <x:c r="H896" s="245"/>
      <x:c r="I896" s="245"/>
      <x:c r="J896" s="245"/>
      <x:c r="K896" s="245"/>
      <x:c r="L896" s="245"/>
      <x:c r="M896" s="245"/>
      <x:c r="N896" s="245"/>
      <x:c r="O896" s="245"/>
      <x:c r="P896" s="245"/>
      <x:c r="Q896" s="245"/>
      <x:c r="R896" s="245"/>
      <x:c r="S896" s="245"/>
      <x:c r="T896" s="245"/>
      <x:c r="U896" s="245"/>
      <x:c r="V896" s="245"/>
      <x:c r="W896" s="245"/>
      <x:c r="X896" s="245"/>
      <x:c r="Y896" s="245"/>
      <x:c r="Z896" s="245"/>
    </x:row>
    <x:row r="897">
      <x:c r="A897" s="245"/>
      <x:c r="B897" s="245"/>
      <x:c r="C897" s="245"/>
      <x:c r="D897" s="245"/>
      <x:c r="E897" s="245"/>
      <x:c r="F897" s="245"/>
      <x:c r="G897" s="245"/>
      <x:c r="H897" s="245"/>
      <x:c r="I897" s="245"/>
      <x:c r="J897" s="245"/>
      <x:c r="K897" s="245"/>
      <x:c r="L897" s="245"/>
      <x:c r="M897" s="245"/>
      <x:c r="N897" s="245"/>
      <x:c r="O897" s="245"/>
      <x:c r="P897" s="245"/>
      <x:c r="Q897" s="245"/>
      <x:c r="R897" s="245"/>
      <x:c r="S897" s="245"/>
      <x:c r="T897" s="245"/>
      <x:c r="U897" s="245"/>
      <x:c r="V897" s="245"/>
      <x:c r="W897" s="245"/>
      <x:c r="X897" s="245"/>
      <x:c r="Y897" s="245"/>
      <x:c r="Z897" s="245"/>
    </x:row>
    <x:row r="898">
      <x:c r="A898" s="245"/>
      <x:c r="B898" s="245"/>
      <x:c r="C898" s="245"/>
      <x:c r="D898" s="245"/>
      <x:c r="E898" s="245"/>
      <x:c r="F898" s="245"/>
      <x:c r="G898" s="245"/>
      <x:c r="H898" s="245"/>
      <x:c r="I898" s="245"/>
      <x:c r="J898" s="245"/>
      <x:c r="K898" s="245"/>
      <x:c r="L898" s="245"/>
      <x:c r="M898" s="245"/>
      <x:c r="N898" s="245"/>
      <x:c r="O898" s="245"/>
      <x:c r="P898" s="245"/>
      <x:c r="Q898" s="245"/>
      <x:c r="R898" s="245"/>
      <x:c r="S898" s="245"/>
      <x:c r="T898" s="245"/>
      <x:c r="U898" s="245"/>
      <x:c r="V898" s="245"/>
      <x:c r="W898" s="245"/>
      <x:c r="X898" s="245"/>
      <x:c r="Y898" s="245"/>
      <x:c r="Z898" s="245"/>
    </x:row>
    <x:row r="899">
      <x:c r="A899" s="245"/>
      <x:c r="B899" s="245"/>
      <x:c r="C899" s="245"/>
      <x:c r="D899" s="245"/>
      <x:c r="E899" s="245"/>
      <x:c r="F899" s="245"/>
      <x:c r="G899" s="245"/>
      <x:c r="H899" s="245"/>
      <x:c r="I899" s="245"/>
      <x:c r="J899" s="245"/>
      <x:c r="K899" s="245"/>
      <x:c r="L899" s="245"/>
      <x:c r="M899" s="245"/>
      <x:c r="N899" s="245"/>
      <x:c r="O899" s="245"/>
      <x:c r="P899" s="245"/>
      <x:c r="Q899" s="245"/>
      <x:c r="R899" s="245"/>
      <x:c r="S899" s="245"/>
      <x:c r="T899" s="245"/>
      <x:c r="U899" s="245"/>
      <x:c r="V899" s="245"/>
      <x:c r="W899" s="245"/>
      <x:c r="X899" s="245"/>
      <x:c r="Y899" s="245"/>
      <x:c r="Z899" s="245"/>
    </x:row>
    <x:row r="900">
      <x:c r="A900" s="245"/>
      <x:c r="B900" s="245"/>
      <x:c r="C900" s="245"/>
      <x:c r="D900" s="245"/>
      <x:c r="E900" s="245"/>
      <x:c r="F900" s="245"/>
      <x:c r="G900" s="245"/>
      <x:c r="H900" s="245"/>
      <x:c r="I900" s="245"/>
      <x:c r="J900" s="245"/>
      <x:c r="K900" s="245"/>
      <x:c r="L900" s="245"/>
      <x:c r="M900" s="245"/>
      <x:c r="N900" s="245"/>
      <x:c r="O900" s="245"/>
      <x:c r="P900" s="245"/>
      <x:c r="Q900" s="245"/>
      <x:c r="R900" s="245"/>
      <x:c r="S900" s="245"/>
      <x:c r="T900" s="245"/>
      <x:c r="U900" s="245"/>
      <x:c r="V900" s="245"/>
      <x:c r="W900" s="245"/>
      <x:c r="X900" s="245"/>
      <x:c r="Y900" s="245"/>
      <x:c r="Z900" s="245"/>
    </x:row>
    <x:row r="901">
      <x:c r="A901" s="245"/>
      <x:c r="B901" s="245"/>
      <x:c r="C901" s="245"/>
      <x:c r="D901" s="245"/>
      <x:c r="E901" s="245"/>
      <x:c r="F901" s="245"/>
      <x:c r="G901" s="245"/>
      <x:c r="H901" s="245"/>
      <x:c r="I901" s="245"/>
      <x:c r="J901" s="245"/>
      <x:c r="K901" s="245"/>
      <x:c r="L901" s="245"/>
      <x:c r="M901" s="245"/>
      <x:c r="N901" s="245"/>
      <x:c r="O901" s="245"/>
      <x:c r="P901" s="245"/>
      <x:c r="Q901" s="245"/>
      <x:c r="R901" s="245"/>
      <x:c r="S901" s="245"/>
      <x:c r="T901" s="245"/>
      <x:c r="U901" s="245"/>
      <x:c r="V901" s="245"/>
      <x:c r="W901" s="245"/>
      <x:c r="X901" s="245"/>
      <x:c r="Y901" s="245"/>
      <x:c r="Z901" s="245"/>
    </x:row>
    <x:row r="902">
      <x:c r="A902" s="245"/>
      <x:c r="B902" s="245"/>
      <x:c r="C902" s="245"/>
      <x:c r="D902" s="245"/>
      <x:c r="E902" s="245"/>
      <x:c r="F902" s="245"/>
      <x:c r="G902" s="245"/>
      <x:c r="H902" s="245"/>
      <x:c r="I902" s="245"/>
      <x:c r="J902" s="245"/>
      <x:c r="K902" s="245"/>
      <x:c r="L902" s="245"/>
      <x:c r="M902" s="245"/>
      <x:c r="N902" s="245"/>
      <x:c r="O902" s="245"/>
      <x:c r="P902" s="245"/>
      <x:c r="Q902" s="245"/>
      <x:c r="R902" s="245"/>
      <x:c r="S902" s="245"/>
      <x:c r="T902" s="245"/>
      <x:c r="U902" s="245"/>
      <x:c r="V902" s="245"/>
      <x:c r="W902" s="245"/>
      <x:c r="X902" s="245"/>
      <x:c r="Y902" s="245"/>
      <x:c r="Z902" s="245"/>
    </x:row>
    <x:row r="903">
      <x:c r="A903" s="245"/>
      <x:c r="B903" s="245"/>
      <x:c r="C903" s="245"/>
      <x:c r="D903" s="245"/>
      <x:c r="E903" s="245"/>
      <x:c r="F903" s="245"/>
      <x:c r="G903" s="245"/>
      <x:c r="H903" s="245"/>
      <x:c r="I903" s="245"/>
      <x:c r="J903" s="245"/>
      <x:c r="K903" s="245"/>
      <x:c r="L903" s="245"/>
      <x:c r="M903" s="245"/>
      <x:c r="N903" s="245"/>
      <x:c r="O903" s="245"/>
      <x:c r="P903" s="245"/>
      <x:c r="Q903" s="245"/>
      <x:c r="R903" s="245"/>
      <x:c r="S903" s="245"/>
      <x:c r="T903" s="245"/>
      <x:c r="U903" s="245"/>
      <x:c r="V903" s="245"/>
      <x:c r="W903" s="245"/>
      <x:c r="X903" s="245"/>
      <x:c r="Y903" s="245"/>
      <x:c r="Z903" s="245"/>
    </x:row>
    <x:row r="904">
      <x:c r="A904" s="245"/>
      <x:c r="B904" s="245"/>
      <x:c r="C904" s="245"/>
      <x:c r="D904" s="245"/>
      <x:c r="E904" s="245"/>
      <x:c r="F904" s="245"/>
      <x:c r="G904" s="245"/>
      <x:c r="H904" s="245"/>
      <x:c r="I904" s="245"/>
      <x:c r="J904" s="245"/>
      <x:c r="K904" s="245"/>
      <x:c r="L904" s="245"/>
      <x:c r="M904" s="245"/>
      <x:c r="N904" s="245"/>
      <x:c r="O904" s="245"/>
      <x:c r="P904" s="245"/>
      <x:c r="Q904" s="245"/>
      <x:c r="R904" s="245"/>
      <x:c r="S904" s="245"/>
      <x:c r="T904" s="245"/>
      <x:c r="U904" s="245"/>
      <x:c r="V904" s="245"/>
      <x:c r="W904" s="245"/>
      <x:c r="X904" s="245"/>
      <x:c r="Y904" s="245"/>
      <x:c r="Z904" s="245"/>
    </x:row>
    <x:row r="905">
      <x:c r="A905" s="245"/>
      <x:c r="B905" s="245"/>
      <x:c r="C905" s="245"/>
      <x:c r="D905" s="245"/>
      <x:c r="E905" s="245"/>
      <x:c r="F905" s="245"/>
      <x:c r="G905" s="245"/>
      <x:c r="H905" s="245"/>
      <x:c r="I905" s="245"/>
      <x:c r="J905" s="245"/>
      <x:c r="K905" s="245"/>
      <x:c r="L905" s="245"/>
      <x:c r="M905" s="245"/>
      <x:c r="N905" s="245"/>
      <x:c r="O905" s="245"/>
      <x:c r="P905" s="245"/>
      <x:c r="Q905" s="245"/>
      <x:c r="R905" s="245"/>
      <x:c r="S905" s="245"/>
      <x:c r="T905" s="245"/>
      <x:c r="U905" s="245"/>
      <x:c r="V905" s="245"/>
      <x:c r="W905" s="245"/>
      <x:c r="X905" s="245"/>
      <x:c r="Y905" s="245"/>
      <x:c r="Z905" s="245"/>
    </x:row>
    <x:row r="906">
      <x:c r="A906" s="245"/>
      <x:c r="B906" s="245"/>
      <x:c r="C906" s="245"/>
      <x:c r="D906" s="245"/>
      <x:c r="E906" s="245"/>
      <x:c r="F906" s="245"/>
      <x:c r="G906" s="245"/>
      <x:c r="H906" s="245"/>
      <x:c r="I906" s="245"/>
      <x:c r="J906" s="245"/>
      <x:c r="K906" s="245"/>
      <x:c r="L906" s="245"/>
      <x:c r="M906" s="245"/>
      <x:c r="N906" s="245"/>
      <x:c r="O906" s="245"/>
      <x:c r="P906" s="245"/>
      <x:c r="Q906" s="245"/>
      <x:c r="R906" s="245"/>
      <x:c r="S906" s="245"/>
      <x:c r="T906" s="245"/>
      <x:c r="U906" s="245"/>
      <x:c r="V906" s="245"/>
      <x:c r="W906" s="245"/>
      <x:c r="X906" s="245"/>
      <x:c r="Y906" s="245"/>
      <x:c r="Z906" s="245"/>
    </x:row>
    <x:row r="907">
      <x:c r="A907" s="245"/>
      <x:c r="B907" s="245"/>
      <x:c r="C907" s="245"/>
      <x:c r="D907" s="245"/>
      <x:c r="E907" s="245"/>
      <x:c r="F907" s="245"/>
      <x:c r="G907" s="245"/>
      <x:c r="H907" s="245"/>
      <x:c r="I907" s="245"/>
      <x:c r="J907" s="245"/>
      <x:c r="K907" s="245"/>
      <x:c r="L907" s="245"/>
      <x:c r="M907" s="245"/>
      <x:c r="N907" s="245"/>
      <x:c r="O907" s="245"/>
      <x:c r="P907" s="245"/>
      <x:c r="Q907" s="245"/>
      <x:c r="R907" s="245"/>
      <x:c r="S907" s="245"/>
      <x:c r="T907" s="245"/>
      <x:c r="U907" s="245"/>
      <x:c r="V907" s="245"/>
      <x:c r="W907" s="245"/>
      <x:c r="X907" s="245"/>
      <x:c r="Y907" s="245"/>
      <x:c r="Z907" s="245"/>
    </x:row>
    <x:row r="908">
      <x:c r="A908" s="245"/>
      <x:c r="B908" s="245"/>
      <x:c r="C908" s="245"/>
      <x:c r="D908" s="245"/>
      <x:c r="E908" s="245"/>
      <x:c r="F908" s="245"/>
      <x:c r="G908" s="245"/>
      <x:c r="H908" s="245"/>
      <x:c r="I908" s="245"/>
      <x:c r="J908" s="245"/>
      <x:c r="K908" s="245"/>
      <x:c r="L908" s="245"/>
      <x:c r="M908" s="245"/>
      <x:c r="N908" s="245"/>
      <x:c r="O908" s="245"/>
      <x:c r="P908" s="245"/>
      <x:c r="Q908" s="245"/>
      <x:c r="R908" s="245"/>
      <x:c r="S908" s="245"/>
      <x:c r="T908" s="245"/>
      <x:c r="U908" s="245"/>
      <x:c r="V908" s="245"/>
      <x:c r="W908" s="245"/>
      <x:c r="X908" s="245"/>
      <x:c r="Y908" s="245"/>
      <x:c r="Z908" s="245"/>
    </x:row>
    <x:row r="909">
      <x:c r="A909" s="245"/>
      <x:c r="B909" s="245"/>
      <x:c r="C909" s="245"/>
      <x:c r="D909" s="245"/>
      <x:c r="E909" s="245"/>
      <x:c r="F909" s="245"/>
      <x:c r="G909" s="245"/>
      <x:c r="H909" s="245"/>
      <x:c r="I909" s="245"/>
      <x:c r="J909" s="245"/>
      <x:c r="K909" s="245"/>
      <x:c r="L909" s="245"/>
      <x:c r="M909" s="245"/>
      <x:c r="N909" s="245"/>
      <x:c r="O909" s="245"/>
      <x:c r="P909" s="245"/>
      <x:c r="Q909" s="245"/>
      <x:c r="R909" s="245"/>
      <x:c r="S909" s="245"/>
      <x:c r="T909" s="245"/>
      <x:c r="U909" s="245"/>
      <x:c r="V909" s="245"/>
      <x:c r="W909" s="245"/>
      <x:c r="X909" s="245"/>
      <x:c r="Y909" s="245"/>
      <x:c r="Z909" s="245"/>
    </x:row>
    <x:row r="910">
      <x:c r="A910" s="245"/>
      <x:c r="B910" s="245"/>
      <x:c r="C910" s="245"/>
      <x:c r="D910" s="245"/>
      <x:c r="E910" s="245"/>
      <x:c r="F910" s="245"/>
      <x:c r="G910" s="245"/>
      <x:c r="H910" s="245"/>
      <x:c r="I910" s="245"/>
      <x:c r="J910" s="245"/>
      <x:c r="K910" s="245"/>
      <x:c r="L910" s="245"/>
      <x:c r="M910" s="245"/>
      <x:c r="N910" s="245"/>
      <x:c r="O910" s="245"/>
      <x:c r="P910" s="245"/>
      <x:c r="Q910" s="245"/>
      <x:c r="R910" s="245"/>
      <x:c r="S910" s="245"/>
      <x:c r="T910" s="245"/>
      <x:c r="U910" s="245"/>
      <x:c r="V910" s="245"/>
      <x:c r="W910" s="245"/>
      <x:c r="X910" s="245"/>
      <x:c r="Y910" s="245"/>
      <x:c r="Z910" s="245"/>
    </x:row>
    <x:row r="911">
      <x:c r="A911" s="245"/>
      <x:c r="B911" s="245"/>
      <x:c r="C911" s="245"/>
      <x:c r="D911" s="245"/>
      <x:c r="E911" s="245"/>
      <x:c r="F911" s="245"/>
      <x:c r="G911" s="245"/>
      <x:c r="H911" s="245"/>
      <x:c r="I911" s="245"/>
      <x:c r="J911" s="245"/>
      <x:c r="K911" s="245"/>
      <x:c r="L911" s="245"/>
      <x:c r="M911" s="245"/>
      <x:c r="N911" s="245"/>
      <x:c r="O911" s="245"/>
      <x:c r="P911" s="245"/>
      <x:c r="Q911" s="245"/>
      <x:c r="R911" s="245"/>
      <x:c r="S911" s="245"/>
      <x:c r="T911" s="245"/>
      <x:c r="U911" s="245"/>
      <x:c r="V911" s="245"/>
      <x:c r="W911" s="245"/>
      <x:c r="X911" s="245"/>
      <x:c r="Y911" s="245"/>
      <x:c r="Z911" s="245"/>
    </x:row>
    <x:row r="912">
      <x:c r="A912" s="245"/>
      <x:c r="B912" s="245"/>
      <x:c r="C912" s="245"/>
      <x:c r="D912" s="245"/>
      <x:c r="E912" s="245"/>
      <x:c r="F912" s="245"/>
      <x:c r="G912" s="245"/>
      <x:c r="H912" s="245"/>
      <x:c r="I912" s="245"/>
      <x:c r="J912" s="245"/>
      <x:c r="K912" s="245"/>
      <x:c r="L912" s="245"/>
      <x:c r="M912" s="245"/>
      <x:c r="N912" s="245"/>
      <x:c r="O912" s="245"/>
      <x:c r="P912" s="245"/>
      <x:c r="Q912" s="245"/>
      <x:c r="R912" s="245"/>
      <x:c r="S912" s="245"/>
      <x:c r="T912" s="245"/>
      <x:c r="U912" s="245"/>
      <x:c r="V912" s="245"/>
      <x:c r="W912" s="245"/>
      <x:c r="X912" s="245"/>
      <x:c r="Y912" s="245"/>
      <x:c r="Z912" s="245"/>
    </x:row>
    <x:row r="913">
      <x:c r="A913" s="245"/>
      <x:c r="B913" s="245"/>
      <x:c r="C913" s="245"/>
      <x:c r="D913" s="245"/>
      <x:c r="E913" s="245"/>
      <x:c r="F913" s="245"/>
      <x:c r="G913" s="245"/>
      <x:c r="H913" s="245"/>
      <x:c r="I913" s="245"/>
      <x:c r="J913" s="245"/>
      <x:c r="K913" s="245"/>
      <x:c r="L913" s="245"/>
      <x:c r="M913" s="245"/>
      <x:c r="N913" s="245"/>
      <x:c r="O913" s="245"/>
      <x:c r="P913" s="245"/>
      <x:c r="Q913" s="245"/>
      <x:c r="R913" s="245"/>
      <x:c r="S913" s="245"/>
      <x:c r="T913" s="245"/>
      <x:c r="U913" s="245"/>
      <x:c r="V913" s="245"/>
      <x:c r="W913" s="245"/>
      <x:c r="X913" s="245"/>
      <x:c r="Y913" s="245"/>
      <x:c r="Z913" s="245"/>
    </x:row>
    <x:row r="914">
      <x:c r="A914" s="245"/>
      <x:c r="B914" s="245"/>
      <x:c r="C914" s="245"/>
      <x:c r="D914" s="245"/>
      <x:c r="E914" s="245"/>
      <x:c r="F914" s="245"/>
      <x:c r="G914" s="245"/>
      <x:c r="H914" s="245"/>
      <x:c r="I914" s="245"/>
      <x:c r="J914" s="245"/>
      <x:c r="K914" s="245"/>
      <x:c r="L914" s="245"/>
      <x:c r="M914" s="245"/>
      <x:c r="N914" s="245"/>
      <x:c r="O914" s="245"/>
      <x:c r="P914" s="245"/>
      <x:c r="Q914" s="245"/>
      <x:c r="R914" s="245"/>
      <x:c r="S914" s="245"/>
      <x:c r="T914" s="245"/>
      <x:c r="U914" s="245"/>
      <x:c r="V914" s="245"/>
      <x:c r="W914" s="245"/>
      <x:c r="X914" s="245"/>
      <x:c r="Y914" s="245"/>
      <x:c r="Z914" s="245"/>
    </x:row>
    <x:row r="915">
      <x:c r="A915" s="245"/>
      <x:c r="B915" s="245"/>
      <x:c r="C915" s="245"/>
      <x:c r="D915" s="245"/>
      <x:c r="E915" s="245"/>
      <x:c r="F915" s="245"/>
      <x:c r="G915" s="245"/>
      <x:c r="H915" s="245"/>
      <x:c r="I915" s="245"/>
      <x:c r="J915" s="245"/>
      <x:c r="K915" s="245"/>
      <x:c r="L915" s="245"/>
      <x:c r="M915" s="245"/>
      <x:c r="N915" s="245"/>
      <x:c r="O915" s="245"/>
      <x:c r="P915" s="245"/>
      <x:c r="Q915" s="245"/>
      <x:c r="R915" s="245"/>
      <x:c r="S915" s="245"/>
      <x:c r="T915" s="245"/>
      <x:c r="U915" s="245"/>
      <x:c r="V915" s="245"/>
      <x:c r="W915" s="245"/>
      <x:c r="X915" s="245"/>
      <x:c r="Y915" s="245"/>
      <x:c r="Z915" s="245"/>
    </x:row>
    <x:row r="916">
      <x:c r="A916" s="245"/>
      <x:c r="B916" s="245"/>
      <x:c r="C916" s="245"/>
      <x:c r="D916" s="245"/>
      <x:c r="E916" s="245"/>
      <x:c r="F916" s="245"/>
      <x:c r="G916" s="245"/>
      <x:c r="H916" s="245"/>
      <x:c r="I916" s="245"/>
      <x:c r="J916" s="245"/>
      <x:c r="K916" s="245"/>
      <x:c r="L916" s="245"/>
      <x:c r="M916" s="245"/>
      <x:c r="N916" s="245"/>
      <x:c r="O916" s="245"/>
      <x:c r="P916" s="245"/>
      <x:c r="Q916" s="245"/>
      <x:c r="R916" s="245"/>
      <x:c r="S916" s="245"/>
      <x:c r="T916" s="245"/>
      <x:c r="U916" s="245"/>
      <x:c r="V916" s="245"/>
      <x:c r="W916" s="245"/>
      <x:c r="X916" s="245"/>
      <x:c r="Y916" s="245"/>
      <x:c r="Z916" s="245"/>
    </x:row>
    <x:row r="917">
      <x:c r="A917" s="245"/>
      <x:c r="B917" s="245"/>
      <x:c r="C917" s="245"/>
      <x:c r="D917" s="245"/>
      <x:c r="E917" s="245"/>
      <x:c r="F917" s="245"/>
      <x:c r="G917" s="245"/>
      <x:c r="H917" s="245"/>
      <x:c r="I917" s="245"/>
      <x:c r="J917" s="245"/>
      <x:c r="K917" s="245"/>
      <x:c r="L917" s="245"/>
      <x:c r="M917" s="245"/>
      <x:c r="N917" s="245"/>
      <x:c r="O917" s="245"/>
      <x:c r="P917" s="245"/>
      <x:c r="Q917" s="245"/>
      <x:c r="R917" s="245"/>
      <x:c r="S917" s="245"/>
      <x:c r="T917" s="245"/>
      <x:c r="U917" s="245"/>
      <x:c r="V917" s="245"/>
      <x:c r="W917" s="245"/>
      <x:c r="X917" s="245"/>
      <x:c r="Y917" s="245"/>
      <x:c r="Z917" s="245"/>
    </x:row>
    <x:row r="918">
      <x:c r="A918" s="245"/>
      <x:c r="B918" s="245"/>
      <x:c r="C918" s="245"/>
      <x:c r="D918" s="245"/>
      <x:c r="E918" s="245"/>
      <x:c r="F918" s="245"/>
      <x:c r="G918" s="245"/>
      <x:c r="H918" s="245"/>
      <x:c r="I918" s="245"/>
      <x:c r="J918" s="245"/>
      <x:c r="K918" s="245"/>
      <x:c r="L918" s="245"/>
      <x:c r="M918" s="245"/>
      <x:c r="N918" s="245"/>
      <x:c r="O918" s="245"/>
      <x:c r="P918" s="245"/>
      <x:c r="Q918" s="245"/>
      <x:c r="R918" s="245"/>
      <x:c r="S918" s="245"/>
      <x:c r="T918" s="245"/>
      <x:c r="U918" s="245"/>
      <x:c r="V918" s="245"/>
      <x:c r="W918" s="245"/>
      <x:c r="X918" s="245"/>
      <x:c r="Y918" s="245"/>
      <x:c r="Z918" s="245"/>
    </x:row>
    <x:row r="919">
      <x:c r="A919" s="245"/>
      <x:c r="B919" s="245"/>
      <x:c r="C919" s="245"/>
      <x:c r="D919" s="245"/>
      <x:c r="E919" s="245"/>
      <x:c r="F919" s="245"/>
      <x:c r="G919" s="245"/>
      <x:c r="H919" s="245"/>
      <x:c r="I919" s="245"/>
      <x:c r="J919" s="245"/>
      <x:c r="K919" s="245"/>
      <x:c r="L919" s="245"/>
      <x:c r="M919" s="245"/>
      <x:c r="N919" s="245"/>
      <x:c r="O919" s="245"/>
      <x:c r="P919" s="245"/>
      <x:c r="Q919" s="245"/>
      <x:c r="R919" s="245"/>
      <x:c r="S919" s="245"/>
      <x:c r="T919" s="245"/>
      <x:c r="U919" s="245"/>
      <x:c r="V919" s="245"/>
      <x:c r="W919" s="245"/>
      <x:c r="X919" s="245"/>
      <x:c r="Y919" s="245"/>
      <x:c r="Z919" s="245"/>
    </x:row>
    <x:row r="920">
      <x:c r="A920" s="245"/>
      <x:c r="B920" s="245"/>
      <x:c r="C920" s="245"/>
      <x:c r="D920" s="245"/>
      <x:c r="E920" s="245"/>
      <x:c r="F920" s="245"/>
      <x:c r="G920" s="245"/>
      <x:c r="H920" s="245"/>
      <x:c r="I920" s="245"/>
      <x:c r="J920" s="245"/>
      <x:c r="K920" s="245"/>
      <x:c r="L920" s="245"/>
      <x:c r="M920" s="245"/>
      <x:c r="N920" s="245"/>
      <x:c r="O920" s="245"/>
      <x:c r="P920" s="245"/>
      <x:c r="Q920" s="245"/>
      <x:c r="R920" s="245"/>
      <x:c r="S920" s="245"/>
      <x:c r="T920" s="245"/>
      <x:c r="U920" s="245"/>
      <x:c r="V920" s="245"/>
      <x:c r="W920" s="245"/>
      <x:c r="X920" s="245"/>
      <x:c r="Y920" s="245"/>
      <x:c r="Z920" s="245"/>
    </x:row>
    <x:row r="921">
      <x:c r="A921" s="245"/>
      <x:c r="B921" s="245"/>
      <x:c r="C921" s="245"/>
      <x:c r="D921" s="245"/>
      <x:c r="E921" s="245"/>
      <x:c r="F921" s="245"/>
      <x:c r="G921" s="245"/>
      <x:c r="H921" s="245"/>
      <x:c r="I921" s="245"/>
      <x:c r="J921" s="245"/>
      <x:c r="K921" s="245"/>
      <x:c r="L921" s="245"/>
      <x:c r="M921" s="245"/>
      <x:c r="N921" s="245"/>
      <x:c r="O921" s="245"/>
      <x:c r="P921" s="245"/>
      <x:c r="Q921" s="245"/>
      <x:c r="R921" s="245"/>
      <x:c r="S921" s="245"/>
      <x:c r="T921" s="245"/>
      <x:c r="U921" s="245"/>
      <x:c r="V921" s="245"/>
      <x:c r="W921" s="245"/>
      <x:c r="X921" s="245"/>
      <x:c r="Y921" s="245"/>
      <x:c r="Z921" s="245"/>
    </x:row>
    <x:row r="922">
      <x:c r="A922" s="245"/>
      <x:c r="B922" s="245"/>
      <x:c r="C922" s="245"/>
      <x:c r="D922" s="245"/>
      <x:c r="E922" s="245"/>
      <x:c r="F922" s="245"/>
      <x:c r="G922" s="245"/>
      <x:c r="H922" s="245"/>
      <x:c r="I922" s="245"/>
      <x:c r="J922" s="245"/>
      <x:c r="K922" s="245"/>
      <x:c r="L922" s="245"/>
      <x:c r="M922" s="245"/>
      <x:c r="N922" s="245"/>
      <x:c r="O922" s="245"/>
      <x:c r="P922" s="245"/>
      <x:c r="Q922" s="245"/>
      <x:c r="R922" s="245"/>
      <x:c r="S922" s="245"/>
      <x:c r="T922" s="245"/>
      <x:c r="U922" s="245"/>
      <x:c r="V922" s="245"/>
      <x:c r="W922" s="245"/>
      <x:c r="X922" s="245"/>
      <x:c r="Y922" s="245"/>
      <x:c r="Z922" s="245"/>
    </x:row>
    <x:row r="923">
      <x:c r="A923" s="245"/>
      <x:c r="B923" s="245"/>
      <x:c r="C923" s="245"/>
      <x:c r="D923" s="245"/>
      <x:c r="E923" s="245"/>
      <x:c r="F923" s="245"/>
      <x:c r="G923" s="245"/>
      <x:c r="H923" s="245"/>
      <x:c r="I923" s="245"/>
      <x:c r="J923" s="245"/>
      <x:c r="K923" s="245"/>
      <x:c r="L923" s="245"/>
      <x:c r="M923" s="245"/>
      <x:c r="N923" s="245"/>
      <x:c r="O923" s="245"/>
      <x:c r="P923" s="245"/>
      <x:c r="Q923" s="245"/>
      <x:c r="R923" s="245"/>
      <x:c r="S923" s="245"/>
      <x:c r="T923" s="245"/>
      <x:c r="U923" s="245"/>
      <x:c r="V923" s="245"/>
      <x:c r="W923" s="245"/>
      <x:c r="X923" s="245"/>
      <x:c r="Y923" s="245"/>
      <x:c r="Z923" s="245"/>
    </x:row>
    <x:row r="924">
      <x:c r="A924" s="245"/>
      <x:c r="B924" s="245"/>
      <x:c r="C924" s="245"/>
      <x:c r="D924" s="245"/>
      <x:c r="E924" s="245"/>
      <x:c r="F924" s="245"/>
      <x:c r="G924" s="245"/>
      <x:c r="H924" s="245"/>
      <x:c r="I924" s="245"/>
      <x:c r="J924" s="245"/>
      <x:c r="K924" s="245"/>
      <x:c r="L924" s="245"/>
      <x:c r="M924" s="245"/>
      <x:c r="N924" s="245"/>
      <x:c r="O924" s="245"/>
      <x:c r="P924" s="245"/>
      <x:c r="Q924" s="245"/>
      <x:c r="R924" s="245"/>
      <x:c r="S924" s="245"/>
      <x:c r="T924" s="245"/>
      <x:c r="U924" s="245"/>
      <x:c r="V924" s="245"/>
      <x:c r="W924" s="245"/>
      <x:c r="X924" s="245"/>
      <x:c r="Y924" s="245"/>
      <x:c r="Z924" s="245"/>
    </x:row>
    <x:row r="925">
      <x:c r="A925" s="245"/>
      <x:c r="B925" s="245"/>
      <x:c r="C925" s="245"/>
      <x:c r="D925" s="245"/>
      <x:c r="E925" s="245"/>
      <x:c r="F925" s="245"/>
      <x:c r="G925" s="245"/>
      <x:c r="H925" s="245"/>
      <x:c r="I925" s="245"/>
      <x:c r="J925" s="245"/>
      <x:c r="K925" s="245"/>
      <x:c r="L925" s="245"/>
      <x:c r="M925" s="245"/>
      <x:c r="N925" s="245"/>
      <x:c r="O925" s="245"/>
      <x:c r="P925" s="245"/>
      <x:c r="Q925" s="245"/>
      <x:c r="R925" s="245"/>
      <x:c r="S925" s="245"/>
      <x:c r="T925" s="245"/>
      <x:c r="U925" s="245"/>
      <x:c r="V925" s="245"/>
      <x:c r="W925" s="245"/>
      <x:c r="X925" s="245"/>
      <x:c r="Y925" s="245"/>
      <x:c r="Z925" s="245"/>
    </x:row>
    <x:row r="926">
      <x:c r="A926" s="245"/>
      <x:c r="B926" s="245"/>
      <x:c r="C926" s="245"/>
      <x:c r="D926" s="245"/>
      <x:c r="E926" s="245"/>
      <x:c r="F926" s="245"/>
      <x:c r="G926" s="245"/>
      <x:c r="H926" s="245"/>
      <x:c r="I926" s="245"/>
      <x:c r="J926" s="245"/>
      <x:c r="K926" s="245"/>
      <x:c r="L926" s="245"/>
      <x:c r="M926" s="245"/>
      <x:c r="N926" s="245"/>
      <x:c r="O926" s="245"/>
      <x:c r="P926" s="245"/>
      <x:c r="Q926" s="245"/>
      <x:c r="R926" s="245"/>
      <x:c r="S926" s="245"/>
      <x:c r="T926" s="245"/>
      <x:c r="U926" s="245"/>
      <x:c r="V926" s="245"/>
      <x:c r="W926" s="245"/>
      <x:c r="X926" s="245"/>
      <x:c r="Y926" s="245"/>
      <x:c r="Z926" s="245"/>
    </x:row>
    <x:row r="927">
      <x:c r="A927" s="245"/>
      <x:c r="B927" s="245"/>
      <x:c r="C927" s="245"/>
      <x:c r="D927" s="245"/>
      <x:c r="E927" s="245"/>
      <x:c r="F927" s="245"/>
      <x:c r="G927" s="245"/>
      <x:c r="H927" s="245"/>
      <x:c r="I927" s="245"/>
      <x:c r="J927" s="245"/>
      <x:c r="K927" s="245"/>
      <x:c r="L927" s="245"/>
      <x:c r="M927" s="245"/>
      <x:c r="N927" s="245"/>
      <x:c r="O927" s="245"/>
      <x:c r="P927" s="245"/>
      <x:c r="Q927" s="245"/>
      <x:c r="R927" s="245"/>
      <x:c r="S927" s="245"/>
      <x:c r="T927" s="245"/>
      <x:c r="U927" s="245"/>
      <x:c r="V927" s="245"/>
      <x:c r="W927" s="245"/>
      <x:c r="X927" s="245"/>
      <x:c r="Y927" s="245"/>
      <x:c r="Z927" s="245"/>
    </x:row>
    <x:row r="928">
      <x:c r="A928" s="245"/>
      <x:c r="B928" s="245"/>
      <x:c r="C928" s="245"/>
      <x:c r="D928" s="245"/>
      <x:c r="E928" s="245"/>
      <x:c r="F928" s="245"/>
      <x:c r="G928" s="245"/>
      <x:c r="H928" s="245"/>
      <x:c r="I928" s="245"/>
      <x:c r="J928" s="245"/>
      <x:c r="K928" s="245"/>
      <x:c r="L928" s="245"/>
      <x:c r="M928" s="245"/>
      <x:c r="N928" s="245"/>
      <x:c r="O928" s="245"/>
      <x:c r="P928" s="245"/>
      <x:c r="Q928" s="245"/>
      <x:c r="R928" s="245"/>
      <x:c r="S928" s="245"/>
      <x:c r="T928" s="245"/>
      <x:c r="U928" s="245"/>
      <x:c r="V928" s="245"/>
      <x:c r="W928" s="245"/>
      <x:c r="X928" s="245"/>
      <x:c r="Y928" s="245"/>
      <x:c r="Z928" s="245"/>
    </x:row>
    <x:row r="929">
      <x:c r="A929" s="245"/>
      <x:c r="B929" s="245"/>
      <x:c r="C929" s="245"/>
      <x:c r="D929" s="245"/>
      <x:c r="E929" s="245"/>
      <x:c r="F929" s="245"/>
      <x:c r="G929" s="245"/>
      <x:c r="H929" s="245"/>
      <x:c r="I929" s="245"/>
      <x:c r="J929" s="245"/>
      <x:c r="K929" s="245"/>
      <x:c r="L929" s="245"/>
      <x:c r="M929" s="245"/>
      <x:c r="N929" s="245"/>
      <x:c r="O929" s="245"/>
      <x:c r="P929" s="245"/>
      <x:c r="Q929" s="245"/>
      <x:c r="R929" s="245"/>
      <x:c r="S929" s="245"/>
      <x:c r="T929" s="245"/>
      <x:c r="U929" s="245"/>
      <x:c r="V929" s="245"/>
      <x:c r="W929" s="245"/>
      <x:c r="X929" s="245"/>
      <x:c r="Y929" s="245"/>
      <x:c r="Z929" s="245"/>
    </x:row>
    <x:row r="930">
      <x:c r="A930" s="245"/>
      <x:c r="B930" s="245"/>
      <x:c r="C930" s="245"/>
      <x:c r="D930" s="245"/>
      <x:c r="E930" s="245"/>
      <x:c r="F930" s="245"/>
      <x:c r="G930" s="245"/>
      <x:c r="H930" s="245"/>
      <x:c r="I930" s="245"/>
      <x:c r="J930" s="245"/>
      <x:c r="K930" s="245"/>
      <x:c r="L930" s="245"/>
      <x:c r="M930" s="245"/>
      <x:c r="N930" s="245"/>
      <x:c r="O930" s="245"/>
      <x:c r="P930" s="245"/>
      <x:c r="Q930" s="245"/>
      <x:c r="R930" s="245"/>
      <x:c r="S930" s="245"/>
      <x:c r="T930" s="245"/>
      <x:c r="U930" s="245"/>
      <x:c r="V930" s="245"/>
      <x:c r="W930" s="245"/>
      <x:c r="X930" s="245"/>
      <x:c r="Y930" s="245"/>
      <x:c r="Z930" s="245"/>
    </x:row>
    <x:row r="931">
      <x:c r="A931" s="245"/>
      <x:c r="B931" s="245"/>
      <x:c r="C931" s="245"/>
      <x:c r="D931" s="245"/>
      <x:c r="E931" s="245"/>
      <x:c r="F931" s="245"/>
      <x:c r="G931" s="245"/>
      <x:c r="H931" s="245"/>
      <x:c r="I931" s="245"/>
      <x:c r="J931" s="245"/>
      <x:c r="K931" s="245"/>
      <x:c r="L931" s="245"/>
      <x:c r="M931" s="245"/>
      <x:c r="N931" s="245"/>
      <x:c r="O931" s="245"/>
      <x:c r="P931" s="245"/>
      <x:c r="Q931" s="245"/>
      <x:c r="R931" s="245"/>
      <x:c r="S931" s="245"/>
      <x:c r="T931" s="245"/>
      <x:c r="U931" s="245"/>
      <x:c r="V931" s="245"/>
      <x:c r="W931" s="245"/>
      <x:c r="X931" s="245"/>
      <x:c r="Y931" s="245"/>
      <x:c r="Z931" s="245"/>
    </x:row>
    <x:row r="932">
      <x:c r="A932" s="245"/>
      <x:c r="B932" s="245"/>
      <x:c r="C932" s="245"/>
      <x:c r="D932" s="245"/>
      <x:c r="E932" s="245"/>
      <x:c r="F932" s="245"/>
      <x:c r="G932" s="245"/>
      <x:c r="H932" s="245"/>
      <x:c r="I932" s="245"/>
      <x:c r="J932" s="245"/>
      <x:c r="K932" s="245"/>
      <x:c r="L932" s="245"/>
      <x:c r="M932" s="245"/>
      <x:c r="N932" s="245"/>
      <x:c r="O932" s="245"/>
      <x:c r="P932" s="245"/>
      <x:c r="Q932" s="245"/>
      <x:c r="R932" s="245"/>
      <x:c r="S932" s="245"/>
      <x:c r="T932" s="245"/>
      <x:c r="U932" s="245"/>
      <x:c r="V932" s="245"/>
      <x:c r="W932" s="245"/>
      <x:c r="X932" s="245"/>
      <x:c r="Y932" s="245"/>
      <x:c r="Z932" s="245"/>
    </x:row>
    <x:row r="933">
      <x:c r="A933" s="245"/>
      <x:c r="B933" s="245"/>
      <x:c r="C933" s="245"/>
      <x:c r="D933" s="245"/>
      <x:c r="E933" s="245"/>
      <x:c r="F933" s="245"/>
      <x:c r="G933" s="245"/>
      <x:c r="H933" s="245"/>
      <x:c r="I933" s="245"/>
      <x:c r="J933" s="245"/>
      <x:c r="K933" s="245"/>
      <x:c r="L933" s="245"/>
      <x:c r="M933" s="245"/>
      <x:c r="N933" s="245"/>
      <x:c r="O933" s="245"/>
      <x:c r="P933" s="245"/>
      <x:c r="Q933" s="245"/>
      <x:c r="R933" s="245"/>
      <x:c r="S933" s="245"/>
      <x:c r="T933" s="245"/>
      <x:c r="U933" s="245"/>
      <x:c r="V933" s="245"/>
      <x:c r="W933" s="245"/>
      <x:c r="X933" s="245"/>
      <x:c r="Y933" s="245"/>
      <x:c r="Z933" s="245"/>
    </x:row>
    <x:row r="934">
      <x:c r="A934" s="245"/>
      <x:c r="B934" s="245"/>
      <x:c r="C934" s="245"/>
      <x:c r="D934" s="245"/>
      <x:c r="E934" s="245"/>
      <x:c r="F934" s="245"/>
      <x:c r="G934" s="245"/>
      <x:c r="H934" s="245"/>
      <x:c r="I934" s="245"/>
      <x:c r="J934" s="245"/>
      <x:c r="K934" s="245"/>
      <x:c r="L934" s="245"/>
      <x:c r="M934" s="245"/>
      <x:c r="N934" s="245"/>
      <x:c r="O934" s="245"/>
      <x:c r="P934" s="245"/>
      <x:c r="Q934" s="245"/>
      <x:c r="R934" s="245"/>
      <x:c r="S934" s="245"/>
      <x:c r="T934" s="245"/>
      <x:c r="U934" s="245"/>
      <x:c r="V934" s="245"/>
      <x:c r="W934" s="245"/>
      <x:c r="X934" s="245"/>
      <x:c r="Y934" s="245"/>
      <x:c r="Z934" s="245"/>
    </x:row>
    <x:row r="935">
      <x:c r="A935" s="245"/>
      <x:c r="B935" s="245"/>
      <x:c r="C935" s="245"/>
      <x:c r="D935" s="245"/>
      <x:c r="E935" s="245"/>
      <x:c r="F935" s="245"/>
      <x:c r="G935" s="245"/>
      <x:c r="H935" s="245"/>
      <x:c r="I935" s="245"/>
      <x:c r="J935" s="245"/>
      <x:c r="K935" s="245"/>
      <x:c r="L935" s="245"/>
      <x:c r="M935" s="245"/>
      <x:c r="N935" s="245"/>
      <x:c r="O935" s="245"/>
      <x:c r="P935" s="245"/>
      <x:c r="Q935" s="245"/>
      <x:c r="R935" s="245"/>
      <x:c r="S935" s="245"/>
      <x:c r="T935" s="245"/>
      <x:c r="U935" s="245"/>
      <x:c r="V935" s="245"/>
      <x:c r="W935" s="245"/>
      <x:c r="X935" s="245"/>
      <x:c r="Y935" s="245"/>
      <x:c r="Z935" s="245"/>
    </x:row>
    <x:row r="936">
      <x:c r="A936" s="245"/>
      <x:c r="B936" s="245"/>
      <x:c r="C936" s="245"/>
      <x:c r="D936" s="245"/>
      <x:c r="E936" s="245"/>
      <x:c r="F936" s="245"/>
      <x:c r="G936" s="245"/>
      <x:c r="H936" s="245"/>
      <x:c r="I936" s="245"/>
      <x:c r="J936" s="245"/>
      <x:c r="K936" s="245"/>
      <x:c r="L936" s="245"/>
      <x:c r="M936" s="245"/>
      <x:c r="N936" s="245"/>
      <x:c r="O936" s="245"/>
      <x:c r="P936" s="245"/>
      <x:c r="Q936" s="245"/>
      <x:c r="R936" s="245"/>
      <x:c r="S936" s="245"/>
      <x:c r="T936" s="245"/>
      <x:c r="U936" s="245"/>
      <x:c r="V936" s="245"/>
      <x:c r="W936" s="245"/>
      <x:c r="X936" s="245"/>
      <x:c r="Y936" s="245"/>
      <x:c r="Z936" s="245"/>
    </x:row>
    <x:row r="937">
      <x:c r="A937" s="245"/>
      <x:c r="B937" s="245"/>
      <x:c r="C937" s="245"/>
      <x:c r="D937" s="245"/>
      <x:c r="E937" s="245"/>
      <x:c r="F937" s="245"/>
      <x:c r="G937" s="245"/>
      <x:c r="H937" s="245"/>
      <x:c r="I937" s="245"/>
      <x:c r="J937" s="245"/>
      <x:c r="K937" s="245"/>
      <x:c r="L937" s="245"/>
      <x:c r="M937" s="245"/>
      <x:c r="N937" s="245"/>
      <x:c r="O937" s="245"/>
      <x:c r="P937" s="245"/>
      <x:c r="Q937" s="245"/>
      <x:c r="R937" s="245"/>
      <x:c r="S937" s="245"/>
      <x:c r="T937" s="245"/>
      <x:c r="U937" s="245"/>
      <x:c r="V937" s="245"/>
      <x:c r="W937" s="245"/>
      <x:c r="X937" s="245"/>
      <x:c r="Y937" s="245"/>
      <x:c r="Z937" s="245"/>
    </x:row>
    <x:row r="938">
      <x:c r="A938" s="245"/>
      <x:c r="B938" s="245"/>
      <x:c r="C938" s="245"/>
      <x:c r="D938" s="245"/>
      <x:c r="E938" s="245"/>
      <x:c r="F938" s="245"/>
      <x:c r="G938" s="245"/>
      <x:c r="H938" s="245"/>
      <x:c r="I938" s="245"/>
      <x:c r="J938" s="245"/>
      <x:c r="K938" s="245"/>
      <x:c r="L938" s="245"/>
      <x:c r="M938" s="245"/>
      <x:c r="N938" s="245"/>
      <x:c r="O938" s="245"/>
      <x:c r="P938" s="245"/>
      <x:c r="Q938" s="245"/>
      <x:c r="R938" s="245"/>
      <x:c r="S938" s="245"/>
      <x:c r="T938" s="245"/>
      <x:c r="U938" s="245"/>
      <x:c r="V938" s="245"/>
      <x:c r="W938" s="245"/>
      <x:c r="X938" s="245"/>
      <x:c r="Y938" s="245"/>
      <x:c r="Z938" s="245"/>
    </x:row>
    <x:row r="939">
      <x:c r="A939" s="245"/>
      <x:c r="B939" s="245"/>
      <x:c r="C939" s="245"/>
      <x:c r="D939" s="245"/>
      <x:c r="E939" s="245"/>
      <x:c r="F939" s="245"/>
      <x:c r="G939" s="245"/>
      <x:c r="H939" s="245"/>
      <x:c r="I939" s="245"/>
      <x:c r="J939" s="245"/>
      <x:c r="K939" s="245"/>
      <x:c r="L939" s="245"/>
      <x:c r="M939" s="245"/>
      <x:c r="N939" s="245"/>
      <x:c r="O939" s="245"/>
      <x:c r="P939" s="245"/>
      <x:c r="Q939" s="245"/>
      <x:c r="R939" s="245"/>
      <x:c r="S939" s="245"/>
      <x:c r="T939" s="245"/>
      <x:c r="U939" s="245"/>
      <x:c r="V939" s="245"/>
      <x:c r="W939" s="245"/>
      <x:c r="X939" s="245"/>
      <x:c r="Y939" s="245"/>
      <x:c r="Z939" s="245"/>
    </x:row>
    <x:row r="940">
      <x:c r="A940" s="245"/>
      <x:c r="B940" s="245"/>
      <x:c r="C940" s="245"/>
      <x:c r="D940" s="245"/>
      <x:c r="E940" s="245"/>
      <x:c r="F940" s="245"/>
      <x:c r="G940" s="245"/>
      <x:c r="H940" s="245"/>
      <x:c r="I940" s="245"/>
      <x:c r="J940" s="245"/>
      <x:c r="K940" s="245"/>
      <x:c r="L940" s="245"/>
      <x:c r="M940" s="245"/>
      <x:c r="N940" s="245"/>
      <x:c r="O940" s="245"/>
      <x:c r="P940" s="245"/>
      <x:c r="Q940" s="245"/>
      <x:c r="R940" s="245"/>
      <x:c r="S940" s="245"/>
      <x:c r="T940" s="245"/>
      <x:c r="U940" s="245"/>
      <x:c r="V940" s="245"/>
      <x:c r="W940" s="245"/>
      <x:c r="X940" s="245"/>
      <x:c r="Y940" s="245"/>
      <x:c r="Z940" s="245"/>
    </x:row>
    <x:row r="941">
      <x:c r="A941" s="245"/>
      <x:c r="B941" s="245"/>
      <x:c r="C941" s="245"/>
      <x:c r="D941" s="245"/>
      <x:c r="E941" s="245"/>
      <x:c r="F941" s="245"/>
      <x:c r="G941" s="245"/>
      <x:c r="H941" s="245"/>
      <x:c r="I941" s="245"/>
      <x:c r="J941" s="245"/>
      <x:c r="K941" s="245"/>
      <x:c r="L941" s="245"/>
      <x:c r="M941" s="245"/>
      <x:c r="N941" s="245"/>
      <x:c r="O941" s="245"/>
      <x:c r="P941" s="245"/>
      <x:c r="Q941" s="245"/>
      <x:c r="R941" s="245"/>
      <x:c r="S941" s="245"/>
      <x:c r="T941" s="245"/>
      <x:c r="U941" s="245"/>
      <x:c r="V941" s="245"/>
      <x:c r="W941" s="245"/>
      <x:c r="X941" s="245"/>
      <x:c r="Y941" s="245"/>
      <x:c r="Z941" s="245"/>
    </x:row>
    <x:row r="942">
      <x:c r="A942" s="245"/>
      <x:c r="B942" s="245"/>
      <x:c r="C942" s="245"/>
      <x:c r="D942" s="245"/>
      <x:c r="E942" s="245"/>
      <x:c r="F942" s="245"/>
      <x:c r="G942" s="245"/>
      <x:c r="H942" s="245"/>
      <x:c r="I942" s="245"/>
      <x:c r="J942" s="245"/>
      <x:c r="K942" s="245"/>
      <x:c r="L942" s="245"/>
      <x:c r="M942" s="245"/>
      <x:c r="N942" s="245"/>
      <x:c r="O942" s="245"/>
      <x:c r="P942" s="245"/>
      <x:c r="Q942" s="245"/>
      <x:c r="R942" s="245"/>
      <x:c r="S942" s="245"/>
      <x:c r="T942" s="245"/>
      <x:c r="U942" s="245"/>
      <x:c r="V942" s="245"/>
      <x:c r="W942" s="245"/>
      <x:c r="X942" s="245"/>
      <x:c r="Y942" s="245"/>
      <x:c r="Z942" s="245"/>
    </x:row>
    <x:row r="943">
      <x:c r="A943" s="245"/>
      <x:c r="B943" s="245"/>
      <x:c r="C943" s="245"/>
      <x:c r="D943" s="245"/>
      <x:c r="E943" s="245"/>
      <x:c r="F943" s="245"/>
      <x:c r="G943" s="245"/>
      <x:c r="H943" s="245"/>
      <x:c r="I943" s="245"/>
      <x:c r="J943" s="245"/>
      <x:c r="K943" s="245"/>
      <x:c r="L943" s="245"/>
      <x:c r="M943" s="245"/>
      <x:c r="N943" s="245"/>
      <x:c r="O943" s="245"/>
      <x:c r="P943" s="245"/>
      <x:c r="Q943" s="245"/>
      <x:c r="R943" s="245"/>
      <x:c r="S943" s="245"/>
      <x:c r="T943" s="245"/>
      <x:c r="U943" s="245"/>
      <x:c r="V943" s="245"/>
      <x:c r="W943" s="245"/>
      <x:c r="X943" s="245"/>
      <x:c r="Y943" s="245"/>
      <x:c r="Z943" s="245"/>
    </x:row>
    <x:row r="944">
      <x:c r="A944" s="245"/>
      <x:c r="B944" s="245"/>
      <x:c r="C944" s="245"/>
      <x:c r="D944" s="245"/>
      <x:c r="E944" s="245"/>
      <x:c r="F944" s="245"/>
      <x:c r="G944" s="245"/>
      <x:c r="H944" s="245"/>
      <x:c r="I944" s="245"/>
      <x:c r="J944" s="245"/>
      <x:c r="K944" s="245"/>
      <x:c r="L944" s="245"/>
      <x:c r="M944" s="245"/>
      <x:c r="N944" s="245"/>
      <x:c r="O944" s="245"/>
      <x:c r="P944" s="245"/>
      <x:c r="Q944" s="245"/>
      <x:c r="R944" s="245"/>
      <x:c r="S944" s="245"/>
      <x:c r="T944" s="245"/>
      <x:c r="U944" s="245"/>
      <x:c r="V944" s="245"/>
      <x:c r="W944" s="245"/>
      <x:c r="X944" s="245"/>
      <x:c r="Y944" s="245"/>
      <x:c r="Z944" s="245"/>
    </x:row>
    <x:row r="945">
      <x:c r="A945" s="245"/>
      <x:c r="B945" s="245"/>
      <x:c r="C945" s="245"/>
      <x:c r="D945" s="245"/>
      <x:c r="E945" s="245"/>
      <x:c r="F945" s="245"/>
      <x:c r="G945" s="245"/>
      <x:c r="H945" s="245"/>
      <x:c r="I945" s="245"/>
      <x:c r="J945" s="245"/>
      <x:c r="K945" s="245"/>
      <x:c r="L945" s="245"/>
      <x:c r="M945" s="245"/>
      <x:c r="N945" s="245"/>
      <x:c r="O945" s="245"/>
      <x:c r="P945" s="245"/>
      <x:c r="Q945" s="245"/>
      <x:c r="R945" s="245"/>
      <x:c r="S945" s="245"/>
      <x:c r="T945" s="245"/>
      <x:c r="U945" s="245"/>
      <x:c r="V945" s="245"/>
      <x:c r="W945" s="245"/>
      <x:c r="X945" s="245"/>
      <x:c r="Y945" s="245"/>
      <x:c r="Z945" s="245"/>
    </x:row>
    <x:row r="946">
      <x:c r="A946" s="245"/>
      <x:c r="B946" s="245"/>
      <x:c r="C946" s="245"/>
      <x:c r="D946" s="245"/>
      <x:c r="E946" s="245"/>
      <x:c r="F946" s="245"/>
      <x:c r="G946" s="245"/>
      <x:c r="H946" s="245"/>
      <x:c r="I946" s="245"/>
      <x:c r="J946" s="245"/>
      <x:c r="K946" s="245"/>
      <x:c r="L946" s="245"/>
      <x:c r="M946" s="245"/>
      <x:c r="N946" s="245"/>
      <x:c r="O946" s="245"/>
      <x:c r="P946" s="245"/>
      <x:c r="Q946" s="245"/>
      <x:c r="R946" s="245"/>
      <x:c r="S946" s="245"/>
      <x:c r="T946" s="245"/>
      <x:c r="U946" s="245"/>
      <x:c r="V946" s="245"/>
      <x:c r="W946" s="245"/>
      <x:c r="X946" s="245"/>
      <x:c r="Y946" s="245"/>
      <x:c r="Z946" s="245"/>
    </x:row>
    <x:row r="947">
      <x:c r="A947" s="245"/>
      <x:c r="B947" s="245"/>
      <x:c r="C947" s="245"/>
      <x:c r="D947" s="245"/>
      <x:c r="E947" s="245"/>
      <x:c r="F947" s="245"/>
      <x:c r="G947" s="245"/>
      <x:c r="H947" s="245"/>
      <x:c r="I947" s="245"/>
      <x:c r="J947" s="245"/>
      <x:c r="K947" s="245"/>
      <x:c r="L947" s="245"/>
      <x:c r="M947" s="245"/>
      <x:c r="N947" s="245"/>
      <x:c r="O947" s="245"/>
      <x:c r="P947" s="245"/>
      <x:c r="Q947" s="245"/>
      <x:c r="R947" s="245"/>
      <x:c r="S947" s="245"/>
      <x:c r="T947" s="245"/>
      <x:c r="U947" s="245"/>
      <x:c r="V947" s="245"/>
      <x:c r="W947" s="245"/>
      <x:c r="X947" s="245"/>
      <x:c r="Y947" s="245"/>
      <x:c r="Z947" s="245"/>
    </x:row>
    <x:row r="948">
      <x:c r="A948" s="245"/>
      <x:c r="B948" s="245"/>
      <x:c r="C948" s="245"/>
      <x:c r="D948" s="245"/>
      <x:c r="E948" s="245"/>
      <x:c r="F948" s="245"/>
      <x:c r="G948" s="245"/>
      <x:c r="H948" s="245"/>
      <x:c r="I948" s="245"/>
      <x:c r="J948" s="245"/>
      <x:c r="K948" s="245"/>
      <x:c r="L948" s="245"/>
      <x:c r="M948" s="245"/>
      <x:c r="N948" s="245"/>
      <x:c r="O948" s="245"/>
      <x:c r="P948" s="245"/>
      <x:c r="Q948" s="245"/>
      <x:c r="R948" s="245"/>
      <x:c r="S948" s="245"/>
      <x:c r="T948" s="245"/>
      <x:c r="U948" s="245"/>
      <x:c r="V948" s="245"/>
      <x:c r="W948" s="245"/>
      <x:c r="X948" s="245"/>
      <x:c r="Y948" s="245"/>
      <x:c r="Z948" s="245"/>
    </x:row>
    <x:row r="949">
      <x:c r="A949" s="245"/>
      <x:c r="B949" s="245"/>
      <x:c r="C949" s="245"/>
      <x:c r="D949" s="245"/>
      <x:c r="E949" s="245"/>
      <x:c r="F949" s="245"/>
      <x:c r="G949" s="245"/>
      <x:c r="H949" s="245"/>
      <x:c r="I949" s="245"/>
      <x:c r="J949" s="245"/>
      <x:c r="K949" s="245"/>
      <x:c r="L949" s="245"/>
      <x:c r="M949" s="245"/>
      <x:c r="N949" s="245"/>
      <x:c r="O949" s="245"/>
      <x:c r="P949" s="245"/>
      <x:c r="Q949" s="245"/>
      <x:c r="R949" s="245"/>
      <x:c r="S949" s="245"/>
      <x:c r="T949" s="245"/>
      <x:c r="U949" s="245"/>
      <x:c r="V949" s="245"/>
      <x:c r="W949" s="245"/>
      <x:c r="X949" s="245"/>
      <x:c r="Y949" s="245"/>
      <x:c r="Z949" s="245"/>
    </x:row>
    <x:row r="950">
      <x:c r="A950" s="245"/>
      <x:c r="B950" s="245"/>
      <x:c r="C950" s="245"/>
      <x:c r="D950" s="245"/>
      <x:c r="E950" s="245"/>
      <x:c r="F950" s="245"/>
      <x:c r="G950" s="245"/>
      <x:c r="H950" s="245"/>
      <x:c r="I950" s="245"/>
      <x:c r="J950" s="245"/>
      <x:c r="K950" s="245"/>
      <x:c r="L950" s="245"/>
      <x:c r="M950" s="245"/>
      <x:c r="N950" s="245"/>
      <x:c r="O950" s="245"/>
      <x:c r="P950" s="245"/>
      <x:c r="Q950" s="245"/>
      <x:c r="R950" s="245"/>
      <x:c r="S950" s="245"/>
      <x:c r="T950" s="245"/>
      <x:c r="U950" s="245"/>
      <x:c r="V950" s="245"/>
      <x:c r="W950" s="245"/>
      <x:c r="X950" s="245"/>
      <x:c r="Y950" s="245"/>
      <x:c r="Z950" s="245"/>
    </x:row>
    <x:row r="951">
      <x:c r="A951" s="245"/>
      <x:c r="B951" s="245"/>
      <x:c r="C951" s="245"/>
      <x:c r="D951" s="245"/>
      <x:c r="E951" s="245"/>
      <x:c r="F951" s="245"/>
      <x:c r="G951" s="245"/>
      <x:c r="H951" s="245"/>
      <x:c r="I951" s="245"/>
      <x:c r="J951" s="245"/>
      <x:c r="K951" s="245"/>
      <x:c r="L951" s="245"/>
      <x:c r="M951" s="245"/>
      <x:c r="N951" s="245"/>
      <x:c r="O951" s="245"/>
      <x:c r="P951" s="245"/>
      <x:c r="Q951" s="245"/>
      <x:c r="R951" s="245"/>
      <x:c r="S951" s="245"/>
      <x:c r="T951" s="245"/>
      <x:c r="U951" s="245"/>
      <x:c r="V951" s="245"/>
      <x:c r="W951" s="245"/>
      <x:c r="X951" s="245"/>
      <x:c r="Y951" s="245"/>
      <x:c r="Z951" s="245"/>
    </x:row>
    <x:row r="952">
      <x:c r="A952" s="245"/>
      <x:c r="B952" s="245"/>
      <x:c r="C952" s="245"/>
      <x:c r="D952" s="245"/>
      <x:c r="E952" s="245"/>
      <x:c r="F952" s="245"/>
      <x:c r="G952" s="245"/>
      <x:c r="H952" s="245"/>
      <x:c r="I952" s="245"/>
      <x:c r="J952" s="245"/>
      <x:c r="K952" s="245"/>
      <x:c r="L952" s="245"/>
      <x:c r="M952" s="245"/>
      <x:c r="N952" s="245"/>
      <x:c r="O952" s="245"/>
      <x:c r="P952" s="245"/>
      <x:c r="Q952" s="245"/>
      <x:c r="R952" s="245"/>
      <x:c r="S952" s="245"/>
      <x:c r="T952" s="245"/>
      <x:c r="U952" s="245"/>
      <x:c r="V952" s="245"/>
      <x:c r="W952" s="245"/>
      <x:c r="X952" s="245"/>
      <x:c r="Y952" s="245"/>
      <x:c r="Z952" s="245"/>
    </x:row>
    <x:row r="953">
      <x:c r="A953" s="245"/>
      <x:c r="B953" s="245"/>
      <x:c r="C953" s="245"/>
      <x:c r="D953" s="245"/>
      <x:c r="E953" s="245"/>
      <x:c r="F953" s="245"/>
      <x:c r="G953" s="245"/>
      <x:c r="H953" s="245"/>
      <x:c r="I953" s="245"/>
      <x:c r="J953" s="245"/>
      <x:c r="K953" s="245"/>
      <x:c r="L953" s="245"/>
      <x:c r="M953" s="245"/>
      <x:c r="N953" s="245"/>
      <x:c r="O953" s="245"/>
      <x:c r="P953" s="245"/>
      <x:c r="Q953" s="245"/>
      <x:c r="R953" s="245"/>
      <x:c r="S953" s="245"/>
      <x:c r="T953" s="245"/>
      <x:c r="U953" s="245"/>
      <x:c r="V953" s="245"/>
      <x:c r="W953" s="245"/>
      <x:c r="X953" s="245"/>
      <x:c r="Y953" s="245"/>
      <x:c r="Z953" s="245"/>
    </x:row>
    <x:row r="954">
      <x:c r="A954" s="245"/>
      <x:c r="B954" s="245"/>
      <x:c r="C954" s="245"/>
      <x:c r="D954" s="245"/>
      <x:c r="E954" s="245"/>
      <x:c r="F954" s="245"/>
      <x:c r="G954" s="245"/>
      <x:c r="H954" s="245"/>
      <x:c r="I954" s="245"/>
      <x:c r="J954" s="245"/>
      <x:c r="K954" s="245"/>
      <x:c r="L954" s="245"/>
      <x:c r="M954" s="245"/>
      <x:c r="N954" s="245"/>
      <x:c r="O954" s="245"/>
      <x:c r="P954" s="245"/>
      <x:c r="Q954" s="245"/>
      <x:c r="R954" s="245"/>
      <x:c r="S954" s="245"/>
      <x:c r="T954" s="245"/>
      <x:c r="U954" s="245"/>
      <x:c r="V954" s="245"/>
      <x:c r="W954" s="245"/>
      <x:c r="X954" s="245"/>
      <x:c r="Y954" s="245"/>
      <x:c r="Z954" s="245"/>
    </x:row>
    <x:row r="955">
      <x:c r="A955" s="245"/>
      <x:c r="B955" s="245"/>
      <x:c r="C955" s="245"/>
      <x:c r="D955" s="245"/>
      <x:c r="E955" s="245"/>
      <x:c r="F955" s="245"/>
      <x:c r="G955" s="245"/>
      <x:c r="H955" s="245"/>
      <x:c r="I955" s="245"/>
      <x:c r="J955" s="245"/>
      <x:c r="K955" s="245"/>
      <x:c r="L955" s="245"/>
      <x:c r="M955" s="245"/>
      <x:c r="N955" s="245"/>
      <x:c r="O955" s="245"/>
      <x:c r="P955" s="245"/>
      <x:c r="Q955" s="245"/>
      <x:c r="R955" s="245"/>
      <x:c r="S955" s="245"/>
      <x:c r="T955" s="245"/>
      <x:c r="U955" s="245"/>
      <x:c r="V955" s="245"/>
      <x:c r="W955" s="245"/>
      <x:c r="X955" s="245"/>
      <x:c r="Y955" s="245"/>
      <x:c r="Z955" s="245"/>
    </x:row>
    <x:row r="956">
      <x:c r="A956" s="245"/>
      <x:c r="B956" s="245"/>
      <x:c r="C956" s="245"/>
      <x:c r="D956" s="245"/>
      <x:c r="E956" s="245"/>
      <x:c r="F956" s="245"/>
      <x:c r="G956" s="245"/>
      <x:c r="H956" s="245"/>
      <x:c r="I956" s="245"/>
      <x:c r="J956" s="245"/>
      <x:c r="K956" s="245"/>
      <x:c r="L956" s="245"/>
      <x:c r="M956" s="245"/>
      <x:c r="N956" s="245"/>
      <x:c r="O956" s="245"/>
      <x:c r="P956" s="245"/>
      <x:c r="Q956" s="245"/>
      <x:c r="R956" s="245"/>
      <x:c r="S956" s="245"/>
      <x:c r="T956" s="245"/>
      <x:c r="U956" s="245"/>
      <x:c r="V956" s="245"/>
      <x:c r="W956" s="245"/>
      <x:c r="X956" s="245"/>
      <x:c r="Y956" s="245"/>
      <x:c r="Z956" s="245"/>
    </x:row>
    <x:row r="957">
      <x:c r="A957" s="245"/>
      <x:c r="B957" s="245"/>
      <x:c r="C957" s="245"/>
      <x:c r="D957" s="245"/>
      <x:c r="E957" s="245"/>
      <x:c r="F957" s="245"/>
      <x:c r="G957" s="245"/>
      <x:c r="H957" s="245"/>
      <x:c r="I957" s="245"/>
      <x:c r="J957" s="245"/>
      <x:c r="K957" s="245"/>
      <x:c r="L957" s="245"/>
      <x:c r="M957" s="245"/>
      <x:c r="N957" s="245"/>
      <x:c r="O957" s="245"/>
      <x:c r="P957" s="245"/>
      <x:c r="Q957" s="245"/>
      <x:c r="R957" s="245"/>
      <x:c r="S957" s="245"/>
      <x:c r="T957" s="245"/>
      <x:c r="U957" s="245"/>
      <x:c r="V957" s="245"/>
      <x:c r="W957" s="245"/>
      <x:c r="X957" s="245"/>
      <x:c r="Y957" s="245"/>
      <x:c r="Z957" s="245"/>
    </x:row>
    <x:row r="958">
      <x:c r="A958" s="245"/>
      <x:c r="B958" s="245"/>
      <x:c r="C958" s="245"/>
      <x:c r="D958" s="245"/>
      <x:c r="E958" s="245"/>
      <x:c r="F958" s="245"/>
      <x:c r="G958" s="245"/>
      <x:c r="H958" s="245"/>
      <x:c r="I958" s="245"/>
      <x:c r="J958" s="245"/>
      <x:c r="K958" s="245"/>
      <x:c r="L958" s="245"/>
      <x:c r="M958" s="245"/>
      <x:c r="N958" s="245"/>
      <x:c r="O958" s="245"/>
      <x:c r="P958" s="245"/>
      <x:c r="Q958" s="245"/>
      <x:c r="R958" s="245"/>
      <x:c r="S958" s="245"/>
      <x:c r="T958" s="245"/>
      <x:c r="U958" s="245"/>
      <x:c r="V958" s="245"/>
      <x:c r="W958" s="245"/>
      <x:c r="X958" s="245"/>
      <x:c r="Y958" s="245"/>
      <x:c r="Z958" s="245"/>
    </x:row>
    <x:row r="959">
      <x:c r="A959" s="245"/>
      <x:c r="B959" s="245"/>
      <x:c r="C959" s="245"/>
      <x:c r="D959" s="245"/>
      <x:c r="E959" s="245"/>
      <x:c r="F959" s="245"/>
      <x:c r="G959" s="245"/>
      <x:c r="H959" s="245"/>
      <x:c r="I959" s="245"/>
      <x:c r="J959" s="245"/>
      <x:c r="K959" s="245"/>
      <x:c r="L959" s="245"/>
      <x:c r="M959" s="245"/>
      <x:c r="N959" s="245"/>
      <x:c r="O959" s="245"/>
      <x:c r="P959" s="245"/>
      <x:c r="Q959" s="245"/>
      <x:c r="R959" s="245"/>
      <x:c r="S959" s="245"/>
      <x:c r="T959" s="245"/>
      <x:c r="U959" s="245"/>
      <x:c r="V959" s="245"/>
      <x:c r="W959" s="245"/>
      <x:c r="X959" s="245"/>
      <x:c r="Y959" s="245"/>
      <x:c r="Z959" s="245"/>
    </x:row>
    <x:row r="960">
      <x:c r="A960" s="245"/>
      <x:c r="B960" s="245"/>
      <x:c r="C960" s="245"/>
      <x:c r="D960" s="245"/>
      <x:c r="E960" s="245"/>
      <x:c r="F960" s="245"/>
      <x:c r="G960" s="245"/>
      <x:c r="H960" s="245"/>
      <x:c r="I960" s="245"/>
      <x:c r="J960" s="245"/>
      <x:c r="K960" s="245"/>
      <x:c r="L960" s="245"/>
      <x:c r="M960" s="245"/>
      <x:c r="N960" s="245"/>
      <x:c r="O960" s="245"/>
      <x:c r="P960" s="245"/>
      <x:c r="Q960" s="245"/>
      <x:c r="R960" s="245"/>
      <x:c r="S960" s="245"/>
      <x:c r="T960" s="245"/>
      <x:c r="U960" s="245"/>
      <x:c r="V960" s="245"/>
      <x:c r="W960" s="245"/>
      <x:c r="X960" s="245"/>
      <x:c r="Y960" s="245"/>
      <x:c r="Z960" s="245"/>
    </x:row>
    <x:row r="961">
      <x:c r="A961" s="245"/>
      <x:c r="B961" s="245"/>
      <x:c r="C961" s="245"/>
      <x:c r="D961" s="245"/>
      <x:c r="E961" s="245"/>
      <x:c r="F961" s="245"/>
      <x:c r="G961" s="245"/>
      <x:c r="H961" s="245"/>
      <x:c r="I961" s="245"/>
      <x:c r="J961" s="245"/>
      <x:c r="K961" s="245"/>
      <x:c r="L961" s="245"/>
      <x:c r="M961" s="245"/>
      <x:c r="N961" s="245"/>
      <x:c r="O961" s="245"/>
      <x:c r="P961" s="245"/>
      <x:c r="Q961" s="245"/>
      <x:c r="R961" s="245"/>
      <x:c r="S961" s="245"/>
      <x:c r="T961" s="245"/>
      <x:c r="U961" s="245"/>
      <x:c r="V961" s="245"/>
      <x:c r="W961" s="245"/>
      <x:c r="X961" s="245"/>
      <x:c r="Y961" s="245"/>
      <x:c r="Z961" s="245"/>
    </x:row>
    <x:row r="962">
      <x:c r="A962" s="245"/>
      <x:c r="B962" s="245"/>
      <x:c r="C962" s="245"/>
      <x:c r="D962" s="245"/>
      <x:c r="E962" s="245"/>
      <x:c r="F962" s="245"/>
      <x:c r="G962" s="245"/>
      <x:c r="H962" s="245"/>
      <x:c r="I962" s="245"/>
      <x:c r="J962" s="245"/>
      <x:c r="K962" s="245"/>
      <x:c r="L962" s="245"/>
      <x:c r="M962" s="245"/>
      <x:c r="N962" s="245"/>
      <x:c r="O962" s="245"/>
      <x:c r="P962" s="245"/>
      <x:c r="Q962" s="245"/>
      <x:c r="R962" s="245"/>
      <x:c r="S962" s="245"/>
      <x:c r="T962" s="245"/>
      <x:c r="U962" s="245"/>
      <x:c r="V962" s="245"/>
      <x:c r="W962" s="245"/>
      <x:c r="X962" s="245"/>
      <x:c r="Y962" s="245"/>
      <x:c r="Z962" s="245"/>
    </x:row>
    <x:row r="963">
      <x:c r="A963" s="245"/>
      <x:c r="B963" s="245"/>
      <x:c r="C963" s="245"/>
      <x:c r="D963" s="245"/>
      <x:c r="E963" s="245"/>
      <x:c r="F963" s="245"/>
      <x:c r="G963" s="245"/>
      <x:c r="H963" s="245"/>
      <x:c r="I963" s="245"/>
      <x:c r="J963" s="245"/>
      <x:c r="K963" s="245"/>
      <x:c r="L963" s="245"/>
      <x:c r="M963" s="245"/>
      <x:c r="N963" s="245"/>
      <x:c r="O963" s="245"/>
      <x:c r="P963" s="245"/>
      <x:c r="Q963" s="245"/>
      <x:c r="R963" s="245"/>
      <x:c r="S963" s="245"/>
      <x:c r="T963" s="245"/>
      <x:c r="U963" s="245"/>
      <x:c r="V963" s="245"/>
      <x:c r="W963" s="245"/>
      <x:c r="X963" s="245"/>
      <x:c r="Y963" s="245"/>
      <x:c r="Z963" s="245"/>
    </x:row>
    <x:row r="964">
      <x:c r="A964" s="245"/>
      <x:c r="B964" s="245"/>
      <x:c r="C964" s="245"/>
      <x:c r="D964" s="245"/>
      <x:c r="E964" s="245"/>
      <x:c r="F964" s="245"/>
      <x:c r="G964" s="245"/>
      <x:c r="H964" s="245"/>
      <x:c r="I964" s="245"/>
      <x:c r="J964" s="245"/>
      <x:c r="K964" s="245"/>
      <x:c r="L964" s="245"/>
      <x:c r="M964" s="245"/>
      <x:c r="N964" s="245"/>
      <x:c r="O964" s="245"/>
      <x:c r="P964" s="245"/>
      <x:c r="Q964" s="245"/>
      <x:c r="R964" s="245"/>
      <x:c r="S964" s="245"/>
      <x:c r="T964" s="245"/>
      <x:c r="U964" s="245"/>
      <x:c r="V964" s="245"/>
      <x:c r="W964" s="245"/>
      <x:c r="X964" s="245"/>
      <x:c r="Y964" s="245"/>
      <x:c r="Z964" s="245"/>
    </x:row>
    <x:row r="965">
      <x:c r="A965" s="245"/>
      <x:c r="B965" s="245"/>
      <x:c r="C965" s="245"/>
      <x:c r="D965" s="245"/>
      <x:c r="E965" s="245"/>
      <x:c r="F965" s="245"/>
      <x:c r="G965" s="245"/>
      <x:c r="H965" s="245"/>
      <x:c r="I965" s="245"/>
      <x:c r="J965" s="245"/>
      <x:c r="K965" s="245"/>
      <x:c r="L965" s="245"/>
      <x:c r="M965" s="245"/>
      <x:c r="N965" s="245"/>
      <x:c r="O965" s="245"/>
      <x:c r="P965" s="245"/>
      <x:c r="Q965" s="245"/>
      <x:c r="R965" s="245"/>
      <x:c r="S965" s="245"/>
      <x:c r="T965" s="245"/>
      <x:c r="U965" s="245"/>
      <x:c r="V965" s="245"/>
      <x:c r="W965" s="245"/>
      <x:c r="X965" s="245"/>
      <x:c r="Y965" s="245"/>
      <x:c r="Z965" s="245"/>
    </x:row>
    <x:row r="966">
      <x:c r="A966" s="245"/>
      <x:c r="B966" s="245"/>
      <x:c r="C966" s="245"/>
      <x:c r="D966" s="245"/>
      <x:c r="E966" s="245"/>
      <x:c r="F966" s="245"/>
      <x:c r="G966" s="245"/>
      <x:c r="H966" s="245"/>
      <x:c r="I966" s="245"/>
      <x:c r="J966" s="245"/>
      <x:c r="K966" s="245"/>
      <x:c r="L966" s="245"/>
      <x:c r="M966" s="245"/>
      <x:c r="N966" s="245"/>
      <x:c r="O966" s="245"/>
      <x:c r="P966" s="245"/>
      <x:c r="Q966" s="245"/>
      <x:c r="R966" s="245"/>
      <x:c r="S966" s="245"/>
      <x:c r="T966" s="245"/>
      <x:c r="U966" s="245"/>
      <x:c r="V966" s="245"/>
      <x:c r="W966" s="245"/>
      <x:c r="X966" s="245"/>
      <x:c r="Y966" s="245"/>
      <x:c r="Z966" s="245"/>
    </x:row>
    <x:row r="967">
      <x:c r="A967" s="245"/>
      <x:c r="B967" s="245"/>
      <x:c r="C967" s="245"/>
      <x:c r="D967" s="245"/>
      <x:c r="E967" s="245"/>
      <x:c r="F967" s="245"/>
      <x:c r="G967" s="245"/>
      <x:c r="H967" s="245"/>
      <x:c r="I967" s="245"/>
      <x:c r="J967" s="245"/>
      <x:c r="K967" s="245"/>
      <x:c r="L967" s="245"/>
      <x:c r="M967" s="245"/>
      <x:c r="N967" s="245"/>
      <x:c r="O967" s="245"/>
      <x:c r="P967" s="245"/>
      <x:c r="Q967" s="245"/>
      <x:c r="R967" s="245"/>
      <x:c r="S967" s="245"/>
      <x:c r="T967" s="245"/>
      <x:c r="U967" s="245"/>
      <x:c r="V967" s="245"/>
      <x:c r="W967" s="245"/>
      <x:c r="X967" s="245"/>
      <x:c r="Y967" s="245"/>
      <x:c r="Z967" s="245"/>
    </x:row>
    <x:row r="968">
      <x:c r="A968" s="245"/>
      <x:c r="B968" s="245"/>
      <x:c r="C968" s="245"/>
      <x:c r="D968" s="245"/>
      <x:c r="E968" s="245"/>
      <x:c r="F968" s="245"/>
      <x:c r="G968" s="245"/>
      <x:c r="H968" s="245"/>
      <x:c r="I968" s="245"/>
      <x:c r="J968" s="245"/>
      <x:c r="K968" s="245"/>
      <x:c r="L968" s="245"/>
      <x:c r="M968" s="245"/>
      <x:c r="N968" s="245"/>
      <x:c r="O968" s="245"/>
      <x:c r="P968" s="245"/>
      <x:c r="Q968" s="245"/>
      <x:c r="R968" s="245"/>
      <x:c r="S968" s="245"/>
      <x:c r="T968" s="245"/>
      <x:c r="U968" s="245"/>
      <x:c r="V968" s="245"/>
      <x:c r="W968" s="245"/>
      <x:c r="X968" s="245"/>
      <x:c r="Y968" s="245"/>
      <x:c r="Z968" s="245"/>
    </x:row>
    <x:row r="969">
      <x:c r="A969" s="245"/>
      <x:c r="B969" s="245"/>
      <x:c r="C969" s="245"/>
      <x:c r="D969" s="245"/>
      <x:c r="E969" s="245"/>
      <x:c r="F969" s="245"/>
      <x:c r="G969" s="245"/>
      <x:c r="H969" s="245"/>
      <x:c r="I969" s="245"/>
      <x:c r="J969" s="245"/>
      <x:c r="K969" s="245"/>
      <x:c r="L969" s="245"/>
      <x:c r="M969" s="245"/>
      <x:c r="N969" s="245"/>
      <x:c r="O969" s="245"/>
      <x:c r="P969" s="245"/>
      <x:c r="Q969" s="245"/>
      <x:c r="R969" s="245"/>
      <x:c r="S969" s="245"/>
      <x:c r="T969" s="245"/>
      <x:c r="U969" s="245"/>
      <x:c r="V969" s="245"/>
      <x:c r="W969" s="245"/>
      <x:c r="X969" s="245"/>
      <x:c r="Y969" s="245"/>
      <x:c r="Z969" s="245"/>
    </x:row>
    <x:row r="970">
      <x:c r="A970" s="245"/>
      <x:c r="B970" s="245"/>
      <x:c r="C970" s="245"/>
      <x:c r="D970" s="245"/>
      <x:c r="E970" s="245"/>
      <x:c r="F970" s="245"/>
      <x:c r="G970" s="245"/>
      <x:c r="H970" s="245"/>
      <x:c r="I970" s="245"/>
      <x:c r="J970" s="245"/>
      <x:c r="K970" s="245"/>
      <x:c r="L970" s="245"/>
      <x:c r="M970" s="245"/>
      <x:c r="N970" s="245"/>
      <x:c r="O970" s="245"/>
      <x:c r="P970" s="245"/>
      <x:c r="Q970" s="245"/>
      <x:c r="R970" s="245"/>
      <x:c r="S970" s="245"/>
      <x:c r="T970" s="245"/>
      <x:c r="U970" s="245"/>
      <x:c r="V970" s="245"/>
      <x:c r="W970" s="245"/>
      <x:c r="X970" s="245"/>
      <x:c r="Y970" s="245"/>
      <x:c r="Z970" s="245"/>
    </x:row>
    <x:row r="971">
      <x:c r="A971" s="245"/>
      <x:c r="B971" s="245"/>
      <x:c r="C971" s="245"/>
      <x:c r="D971" s="245"/>
      <x:c r="E971" s="245"/>
      <x:c r="F971" s="245"/>
      <x:c r="G971" s="245"/>
      <x:c r="H971" s="245"/>
      <x:c r="I971" s="245"/>
      <x:c r="J971" s="245"/>
      <x:c r="K971" s="245"/>
      <x:c r="L971" s="245"/>
      <x:c r="M971" s="245"/>
      <x:c r="N971" s="245"/>
      <x:c r="O971" s="245"/>
      <x:c r="P971" s="245"/>
      <x:c r="Q971" s="245"/>
      <x:c r="R971" s="245"/>
      <x:c r="S971" s="245"/>
      <x:c r="T971" s="245"/>
      <x:c r="U971" s="245"/>
      <x:c r="V971" s="245"/>
      <x:c r="W971" s="245"/>
      <x:c r="X971" s="245"/>
      <x:c r="Y971" s="245"/>
      <x:c r="Z971" s="245"/>
    </x:row>
    <x:row r="972">
      <x:c r="A972" s="245"/>
      <x:c r="B972" s="245"/>
      <x:c r="C972" s="245"/>
      <x:c r="D972" s="245"/>
      <x:c r="E972" s="245"/>
      <x:c r="F972" s="245"/>
      <x:c r="G972" s="245"/>
      <x:c r="H972" s="245"/>
      <x:c r="I972" s="245"/>
      <x:c r="J972" s="245"/>
      <x:c r="K972" s="245"/>
      <x:c r="L972" s="245"/>
      <x:c r="M972" s="245"/>
      <x:c r="N972" s="245"/>
      <x:c r="O972" s="245"/>
      <x:c r="P972" s="245"/>
      <x:c r="Q972" s="245"/>
      <x:c r="R972" s="245"/>
      <x:c r="S972" s="245"/>
      <x:c r="T972" s="245"/>
      <x:c r="U972" s="245"/>
      <x:c r="V972" s="245"/>
      <x:c r="W972" s="245"/>
      <x:c r="X972" s="245"/>
      <x:c r="Y972" s="245"/>
      <x:c r="Z972" s="245"/>
    </x:row>
    <x:row r="973">
      <x:c r="A973" s="245"/>
      <x:c r="B973" s="245"/>
      <x:c r="C973" s="245"/>
      <x:c r="D973" s="245"/>
      <x:c r="E973" s="245"/>
      <x:c r="F973" s="245"/>
      <x:c r="G973" s="245"/>
      <x:c r="H973" s="245"/>
      <x:c r="I973" s="245"/>
      <x:c r="J973" s="245"/>
      <x:c r="K973" s="245"/>
      <x:c r="L973" s="245"/>
      <x:c r="M973" s="245"/>
      <x:c r="N973" s="245"/>
      <x:c r="O973" s="245"/>
      <x:c r="P973" s="245"/>
      <x:c r="Q973" s="245"/>
      <x:c r="R973" s="245"/>
      <x:c r="S973" s="245"/>
      <x:c r="T973" s="245"/>
      <x:c r="U973" s="245"/>
      <x:c r="V973" s="245"/>
      <x:c r="W973" s="245"/>
      <x:c r="X973" s="245"/>
      <x:c r="Y973" s="245"/>
      <x:c r="Z973" s="245"/>
    </x:row>
    <x:row r="974">
      <x:c r="A974" s="245"/>
      <x:c r="B974" s="245"/>
      <x:c r="C974" s="245"/>
      <x:c r="D974" s="245"/>
      <x:c r="E974" s="245"/>
      <x:c r="F974" s="245"/>
      <x:c r="G974" s="245"/>
      <x:c r="H974" s="245"/>
      <x:c r="I974" s="245"/>
      <x:c r="J974" s="245"/>
      <x:c r="K974" s="245"/>
      <x:c r="L974" s="245"/>
      <x:c r="M974" s="245"/>
      <x:c r="N974" s="245"/>
      <x:c r="O974" s="245"/>
      <x:c r="P974" s="245"/>
      <x:c r="Q974" s="245"/>
      <x:c r="R974" s="245"/>
      <x:c r="S974" s="245"/>
      <x:c r="T974" s="245"/>
      <x:c r="U974" s="245"/>
      <x:c r="V974" s="245"/>
      <x:c r="W974" s="245"/>
      <x:c r="X974" s="245"/>
      <x:c r="Y974" s="245"/>
      <x:c r="Z974" s="245"/>
    </x:row>
    <x:row r="975">
      <x:c r="A975" s="245"/>
      <x:c r="B975" s="245"/>
      <x:c r="C975" s="245"/>
      <x:c r="D975" s="245"/>
      <x:c r="E975" s="245"/>
      <x:c r="F975" s="245"/>
      <x:c r="G975" s="245"/>
      <x:c r="H975" s="245"/>
      <x:c r="I975" s="245"/>
      <x:c r="J975" s="245"/>
      <x:c r="K975" s="245"/>
      <x:c r="L975" s="245"/>
      <x:c r="M975" s="245"/>
      <x:c r="N975" s="245"/>
      <x:c r="O975" s="245"/>
      <x:c r="P975" s="245"/>
      <x:c r="Q975" s="245"/>
      <x:c r="R975" s="245"/>
      <x:c r="S975" s="245"/>
      <x:c r="T975" s="245"/>
      <x:c r="U975" s="245"/>
      <x:c r="V975" s="245"/>
      <x:c r="W975" s="245"/>
      <x:c r="X975" s="245"/>
      <x:c r="Y975" s="245"/>
      <x:c r="Z975" s="245"/>
    </x:row>
    <x:row r="976">
      <x:c r="A976" s="245"/>
      <x:c r="B976" s="245"/>
      <x:c r="C976" s="245"/>
      <x:c r="D976" s="245"/>
      <x:c r="E976" s="245"/>
      <x:c r="F976" s="245"/>
      <x:c r="G976" s="245"/>
      <x:c r="H976" s="245"/>
      <x:c r="I976" s="245"/>
      <x:c r="J976" s="245"/>
      <x:c r="K976" s="245"/>
      <x:c r="L976" s="245"/>
      <x:c r="M976" s="245"/>
      <x:c r="N976" s="245"/>
      <x:c r="O976" s="245"/>
      <x:c r="P976" s="245"/>
      <x:c r="Q976" s="245"/>
      <x:c r="R976" s="245"/>
      <x:c r="S976" s="245"/>
      <x:c r="T976" s="245"/>
      <x:c r="U976" s="245"/>
      <x:c r="V976" s="245"/>
      <x:c r="W976" s="245"/>
      <x:c r="X976" s="245"/>
      <x:c r="Y976" s="245"/>
      <x:c r="Z976" s="245"/>
    </x:row>
    <x:row r="977">
      <x:c r="A977" s="245"/>
      <x:c r="B977" s="245"/>
      <x:c r="C977" s="245"/>
      <x:c r="D977" s="245"/>
      <x:c r="E977" s="245"/>
      <x:c r="F977" s="245"/>
      <x:c r="G977" s="245"/>
      <x:c r="H977" s="245"/>
      <x:c r="I977" s="245"/>
      <x:c r="J977" s="245"/>
      <x:c r="K977" s="245"/>
      <x:c r="L977" s="245"/>
      <x:c r="M977" s="245"/>
      <x:c r="N977" s="245"/>
      <x:c r="O977" s="245"/>
      <x:c r="P977" s="245"/>
      <x:c r="Q977" s="245"/>
      <x:c r="R977" s="245"/>
      <x:c r="S977" s="245"/>
      <x:c r="T977" s="245"/>
      <x:c r="U977" s="245"/>
      <x:c r="V977" s="245"/>
      <x:c r="W977" s="245"/>
      <x:c r="X977" s="245"/>
      <x:c r="Y977" s="245"/>
      <x:c r="Z977" s="245"/>
    </x:row>
    <x:row r="978">
      <x:c r="A978" s="245"/>
      <x:c r="B978" s="245"/>
      <x:c r="C978" s="245"/>
      <x:c r="D978" s="245"/>
      <x:c r="E978" s="245"/>
      <x:c r="F978" s="245"/>
      <x:c r="G978" s="245"/>
      <x:c r="H978" s="245"/>
      <x:c r="I978" s="245"/>
      <x:c r="J978" s="245"/>
      <x:c r="K978" s="245"/>
      <x:c r="L978" s="245"/>
      <x:c r="M978" s="245"/>
      <x:c r="N978" s="245"/>
      <x:c r="O978" s="245"/>
      <x:c r="P978" s="245"/>
      <x:c r="Q978" s="245"/>
      <x:c r="R978" s="245"/>
      <x:c r="S978" s="245"/>
      <x:c r="T978" s="245"/>
      <x:c r="U978" s="245"/>
      <x:c r="V978" s="245"/>
      <x:c r="W978" s="245"/>
      <x:c r="X978" s="245"/>
      <x:c r="Y978" s="245"/>
      <x:c r="Z978" s="245"/>
    </x:row>
    <x:row r="979">
      <x:c r="A979" s="245"/>
      <x:c r="B979" s="245"/>
      <x:c r="C979" s="245"/>
      <x:c r="D979" s="245"/>
      <x:c r="E979" s="245"/>
      <x:c r="F979" s="245"/>
      <x:c r="G979" s="245"/>
      <x:c r="H979" s="245"/>
      <x:c r="I979" s="245"/>
      <x:c r="J979" s="245"/>
      <x:c r="K979" s="245"/>
      <x:c r="L979" s="245"/>
      <x:c r="M979" s="245"/>
      <x:c r="N979" s="245"/>
      <x:c r="O979" s="245"/>
      <x:c r="P979" s="245"/>
      <x:c r="Q979" s="245"/>
      <x:c r="R979" s="245"/>
      <x:c r="S979" s="245"/>
      <x:c r="T979" s="245"/>
      <x:c r="U979" s="245"/>
      <x:c r="V979" s="245"/>
      <x:c r="W979" s="245"/>
      <x:c r="X979" s="245"/>
      <x:c r="Y979" s="245"/>
      <x:c r="Z979" s="245"/>
    </x:row>
    <x:row r="980">
      <x:c r="A980" s="245"/>
      <x:c r="B980" s="245"/>
      <x:c r="C980" s="245"/>
      <x:c r="D980" s="245"/>
      <x:c r="E980" s="245"/>
      <x:c r="F980" s="245"/>
      <x:c r="G980" s="245"/>
      <x:c r="H980" s="245"/>
      <x:c r="I980" s="245"/>
      <x:c r="J980" s="245"/>
      <x:c r="K980" s="245"/>
      <x:c r="L980" s="245"/>
      <x:c r="M980" s="245"/>
      <x:c r="N980" s="245"/>
      <x:c r="O980" s="245"/>
      <x:c r="P980" s="245"/>
      <x:c r="Q980" s="245"/>
      <x:c r="R980" s="245"/>
      <x:c r="S980" s="245"/>
      <x:c r="T980" s="245"/>
      <x:c r="U980" s="245"/>
      <x:c r="V980" s="245"/>
      <x:c r="W980" s="245"/>
      <x:c r="X980" s="245"/>
      <x:c r="Y980" s="245"/>
      <x:c r="Z980" s="245"/>
    </x:row>
    <x:row r="981">
      <x:c r="A981" s="245"/>
      <x:c r="B981" s="245"/>
      <x:c r="C981" s="245"/>
      <x:c r="D981" s="245"/>
      <x:c r="E981" s="245"/>
      <x:c r="F981" s="245"/>
      <x:c r="G981" s="245"/>
      <x:c r="H981" s="245"/>
      <x:c r="I981" s="245"/>
      <x:c r="J981" s="245"/>
      <x:c r="K981" s="245"/>
      <x:c r="L981" s="245"/>
      <x:c r="M981" s="245"/>
      <x:c r="N981" s="245"/>
      <x:c r="O981" s="245"/>
      <x:c r="P981" s="245"/>
      <x:c r="Q981" s="245"/>
      <x:c r="R981" s="245"/>
      <x:c r="S981" s="245"/>
      <x:c r="T981" s="245"/>
      <x:c r="U981" s="245"/>
      <x:c r="V981" s="245"/>
      <x:c r="W981" s="245"/>
      <x:c r="X981" s="245"/>
      <x:c r="Y981" s="245"/>
      <x:c r="Z981" s="245"/>
    </x:row>
    <x:row r="982">
      <x:c r="A982" s="245"/>
      <x:c r="B982" s="245"/>
      <x:c r="C982" s="245"/>
      <x:c r="D982" s="245"/>
      <x:c r="E982" s="245"/>
      <x:c r="F982" s="245"/>
      <x:c r="G982" s="245"/>
      <x:c r="H982" s="245"/>
      <x:c r="I982" s="245"/>
      <x:c r="J982" s="245"/>
      <x:c r="K982" s="245"/>
      <x:c r="L982" s="245"/>
      <x:c r="M982" s="245"/>
      <x:c r="N982" s="245"/>
      <x:c r="O982" s="245"/>
      <x:c r="P982" s="245"/>
      <x:c r="Q982" s="245"/>
      <x:c r="R982" s="245"/>
      <x:c r="S982" s="245"/>
      <x:c r="T982" s="245"/>
      <x:c r="U982" s="245"/>
      <x:c r="V982" s="245"/>
      <x:c r="W982" s="245"/>
      <x:c r="X982" s="245"/>
      <x:c r="Y982" s="245"/>
      <x:c r="Z982" s="245"/>
    </x:row>
    <x:row r="983">
      <x:c r="A983" s="245"/>
      <x:c r="B983" s="245"/>
      <x:c r="C983" s="245"/>
      <x:c r="D983" s="245"/>
      <x:c r="E983" s="245"/>
      <x:c r="F983" s="245"/>
      <x:c r="G983" s="245"/>
      <x:c r="H983" s="245"/>
      <x:c r="I983" s="245"/>
      <x:c r="J983" s="245"/>
      <x:c r="K983" s="245"/>
      <x:c r="L983" s="245"/>
      <x:c r="M983" s="245"/>
      <x:c r="N983" s="245"/>
      <x:c r="O983" s="245"/>
      <x:c r="P983" s="245"/>
      <x:c r="Q983" s="245"/>
      <x:c r="R983" s="245"/>
      <x:c r="S983" s="245"/>
      <x:c r="T983" s="245"/>
      <x:c r="U983" s="245"/>
      <x:c r="V983" s="245"/>
      <x:c r="W983" s="245"/>
      <x:c r="X983" s="245"/>
      <x:c r="Y983" s="245"/>
      <x:c r="Z983" s="245"/>
    </x:row>
    <x:row r="984">
      <x:c r="A984" s="245"/>
      <x:c r="B984" s="245"/>
      <x:c r="C984" s="245"/>
      <x:c r="D984" s="245"/>
      <x:c r="E984" s="245"/>
      <x:c r="F984" s="245"/>
      <x:c r="G984" s="245"/>
      <x:c r="H984" s="245"/>
      <x:c r="I984" s="245"/>
      <x:c r="J984" s="245"/>
      <x:c r="K984" s="245"/>
      <x:c r="L984" s="245"/>
      <x:c r="M984" s="245"/>
      <x:c r="N984" s="245"/>
      <x:c r="O984" s="245"/>
      <x:c r="P984" s="245"/>
      <x:c r="Q984" s="245"/>
      <x:c r="R984" s="245"/>
      <x:c r="S984" s="245"/>
      <x:c r="T984" s="245"/>
      <x:c r="U984" s="245"/>
      <x:c r="V984" s="245"/>
      <x:c r="W984" s="245"/>
      <x:c r="X984" s="245"/>
      <x:c r="Y984" s="245"/>
      <x:c r="Z984" s="245"/>
    </x:row>
    <x:row r="985">
      <x:c r="A985" s="245"/>
      <x:c r="B985" s="245"/>
      <x:c r="C985" s="245"/>
      <x:c r="D985" s="245"/>
      <x:c r="E985" s="245"/>
      <x:c r="F985" s="245"/>
      <x:c r="G985" s="245"/>
      <x:c r="H985" s="245"/>
      <x:c r="I985" s="245"/>
      <x:c r="J985" s="245"/>
      <x:c r="K985" s="245"/>
      <x:c r="L985" s="245"/>
      <x:c r="M985" s="245"/>
      <x:c r="N985" s="245"/>
      <x:c r="O985" s="245"/>
      <x:c r="P985" s="245"/>
      <x:c r="Q985" s="245"/>
      <x:c r="R985" s="245"/>
      <x:c r="S985" s="245"/>
      <x:c r="T985" s="245"/>
      <x:c r="U985" s="245"/>
      <x:c r="V985" s="245"/>
      <x:c r="W985" s="245"/>
      <x:c r="X985" s="245"/>
      <x:c r="Y985" s="245"/>
      <x:c r="Z985" s="245"/>
    </x:row>
    <x:row r="986">
      <x:c r="A986" s="245"/>
      <x:c r="B986" s="245"/>
      <x:c r="C986" s="245"/>
      <x:c r="D986" s="245"/>
      <x:c r="E986" s="245"/>
      <x:c r="F986" s="245"/>
      <x:c r="G986" s="245"/>
      <x:c r="H986" s="245"/>
      <x:c r="I986" s="245"/>
      <x:c r="J986" s="245"/>
      <x:c r="K986" s="245"/>
      <x:c r="L986" s="245"/>
      <x:c r="M986" s="245"/>
      <x:c r="N986" s="245"/>
      <x:c r="O986" s="245"/>
      <x:c r="P986" s="245"/>
      <x:c r="Q986" s="245"/>
      <x:c r="R986" s="245"/>
      <x:c r="S986" s="245"/>
      <x:c r="T986" s="245"/>
      <x:c r="U986" s="245"/>
      <x:c r="V986" s="245"/>
      <x:c r="W986" s="245"/>
      <x:c r="X986" s="245"/>
      <x:c r="Y986" s="245"/>
      <x:c r="Z986" s="245"/>
    </x:row>
    <x:row r="987">
      <x:c r="A987" s="245"/>
      <x:c r="B987" s="245"/>
      <x:c r="C987" s="245"/>
      <x:c r="D987" s="245"/>
      <x:c r="E987" s="245"/>
      <x:c r="F987" s="245"/>
      <x:c r="G987" s="245"/>
      <x:c r="H987" s="245"/>
      <x:c r="I987" s="245"/>
      <x:c r="J987" s="245"/>
      <x:c r="K987" s="245"/>
      <x:c r="L987" s="245"/>
      <x:c r="M987" s="245"/>
      <x:c r="N987" s="245"/>
      <x:c r="O987" s="245"/>
      <x:c r="P987" s="245"/>
      <x:c r="Q987" s="245"/>
      <x:c r="R987" s="245"/>
      <x:c r="S987" s="245"/>
      <x:c r="T987" s="245"/>
      <x:c r="U987" s="245"/>
      <x:c r="V987" s="245"/>
      <x:c r="W987" s="245"/>
      <x:c r="X987" s="245"/>
      <x:c r="Y987" s="245"/>
      <x:c r="Z987" s="245"/>
    </x:row>
    <x:row r="988">
      <x:c r="A988" s="245"/>
      <x:c r="B988" s="245"/>
      <x:c r="C988" s="245"/>
      <x:c r="D988" s="245"/>
      <x:c r="E988" s="245"/>
      <x:c r="F988" s="245"/>
      <x:c r="G988" s="245"/>
      <x:c r="H988" s="245"/>
      <x:c r="I988" s="245"/>
      <x:c r="J988" s="245"/>
      <x:c r="K988" s="245"/>
      <x:c r="L988" s="245"/>
      <x:c r="M988" s="245"/>
      <x:c r="N988" s="245"/>
      <x:c r="O988" s="245"/>
      <x:c r="P988" s="245"/>
      <x:c r="Q988" s="245"/>
      <x:c r="R988" s="245"/>
      <x:c r="S988" s="245"/>
      <x:c r="T988" s="245"/>
      <x:c r="U988" s="245"/>
      <x:c r="V988" s="245"/>
      <x:c r="W988" s="245"/>
      <x:c r="X988" s="245"/>
      <x:c r="Y988" s="245"/>
      <x:c r="Z988" s="245"/>
    </x:row>
    <x:row r="989">
      <x:c r="A989" s="245"/>
      <x:c r="B989" s="245"/>
      <x:c r="C989" s="245"/>
      <x:c r="D989" s="245"/>
      <x:c r="E989" s="245"/>
      <x:c r="F989" s="245"/>
      <x:c r="G989" s="245"/>
      <x:c r="H989" s="245"/>
      <x:c r="I989" s="245"/>
      <x:c r="J989" s="245"/>
      <x:c r="K989" s="245"/>
      <x:c r="L989" s="245"/>
      <x:c r="M989" s="245"/>
      <x:c r="N989" s="245"/>
      <x:c r="O989" s="245"/>
      <x:c r="P989" s="245"/>
      <x:c r="Q989" s="245"/>
      <x:c r="R989" s="245"/>
      <x:c r="S989" s="245"/>
      <x:c r="T989" s="245"/>
      <x:c r="U989" s="245"/>
      <x:c r="V989" s="245"/>
      <x:c r="W989" s="245"/>
      <x:c r="X989" s="245"/>
      <x:c r="Y989" s="245"/>
      <x:c r="Z989" s="245"/>
    </x:row>
    <x:row r="990">
      <x:c r="A990" s="245"/>
      <x:c r="B990" s="245"/>
      <x:c r="C990" s="245"/>
      <x:c r="D990" s="245"/>
      <x:c r="E990" s="245"/>
      <x:c r="F990" s="245"/>
      <x:c r="G990" s="245"/>
      <x:c r="H990" s="245"/>
      <x:c r="I990" s="245"/>
      <x:c r="J990" s="245"/>
      <x:c r="K990" s="245"/>
      <x:c r="L990" s="245"/>
      <x:c r="M990" s="245"/>
      <x:c r="N990" s="245"/>
      <x:c r="O990" s="245"/>
      <x:c r="P990" s="245"/>
      <x:c r="Q990" s="245"/>
      <x:c r="R990" s="245"/>
      <x:c r="S990" s="245"/>
      <x:c r="T990" s="245"/>
      <x:c r="U990" s="245"/>
      <x:c r="V990" s="245"/>
      <x:c r="W990" s="245"/>
      <x:c r="X990" s="245"/>
      <x:c r="Y990" s="245"/>
      <x:c r="Z990" s="245"/>
    </x:row>
    <x:row r="991">
      <x:c r="A991" s="245"/>
      <x:c r="B991" s="245"/>
      <x:c r="C991" s="245"/>
      <x:c r="D991" s="245"/>
      <x:c r="E991" s="245"/>
      <x:c r="F991" s="245"/>
      <x:c r="G991" s="245"/>
      <x:c r="H991" s="245"/>
      <x:c r="I991" s="245"/>
      <x:c r="J991" s="245"/>
      <x:c r="K991" s="245"/>
      <x:c r="L991" s="245"/>
      <x:c r="M991" s="245"/>
      <x:c r="N991" s="245"/>
      <x:c r="O991" s="245"/>
      <x:c r="P991" s="245"/>
      <x:c r="Q991" s="245"/>
      <x:c r="R991" s="245"/>
      <x:c r="S991" s="245"/>
      <x:c r="T991" s="245"/>
      <x:c r="U991" s="245"/>
      <x:c r="V991" s="245"/>
      <x:c r="W991" s="245"/>
      <x:c r="X991" s="245"/>
      <x:c r="Y991" s="245"/>
      <x:c r="Z991" s="245"/>
    </x:row>
    <x:row r="992">
      <x:c r="A992" s="245"/>
      <x:c r="B992" s="245"/>
      <x:c r="C992" s="245"/>
      <x:c r="D992" s="245"/>
      <x:c r="E992" s="245"/>
      <x:c r="F992" s="245"/>
      <x:c r="G992" s="245"/>
      <x:c r="H992" s="245"/>
      <x:c r="I992" s="245"/>
      <x:c r="J992" s="245"/>
      <x:c r="K992" s="245"/>
      <x:c r="L992" s="245"/>
      <x:c r="M992" s="245"/>
      <x:c r="N992" s="245"/>
      <x:c r="O992" s="245"/>
      <x:c r="P992" s="245"/>
      <x:c r="Q992" s="245"/>
      <x:c r="R992" s="245"/>
      <x:c r="S992" s="245"/>
      <x:c r="T992" s="245"/>
      <x:c r="U992" s="245"/>
      <x:c r="V992" s="245"/>
      <x:c r="W992" s="245"/>
      <x:c r="X992" s="245"/>
      <x:c r="Y992" s="245"/>
      <x:c r="Z992" s="245"/>
    </x:row>
    <x:row r="993">
      <x:c r="A993" s="245"/>
      <x:c r="B993" s="245"/>
      <x:c r="C993" s="245"/>
      <x:c r="D993" s="245"/>
      <x:c r="E993" s="245"/>
      <x:c r="F993" s="245"/>
      <x:c r="G993" s="245"/>
      <x:c r="H993" s="245"/>
      <x:c r="I993" s="245"/>
      <x:c r="J993" s="245"/>
      <x:c r="K993" s="245"/>
      <x:c r="L993" s="245"/>
      <x:c r="M993" s="245"/>
      <x:c r="N993" s="245"/>
      <x:c r="O993" s="245"/>
      <x:c r="P993" s="245"/>
      <x:c r="Q993" s="245"/>
      <x:c r="R993" s="245"/>
      <x:c r="S993" s="245"/>
      <x:c r="T993" s="245"/>
      <x:c r="U993" s="245"/>
      <x:c r="V993" s="245"/>
      <x:c r="W993" s="245"/>
      <x:c r="X993" s="245"/>
      <x:c r="Y993" s="245"/>
      <x:c r="Z993" s="245"/>
    </x:row>
    <x:row r="994">
      <x:c r="A994" s="245"/>
      <x:c r="B994" s="245"/>
      <x:c r="C994" s="245"/>
      <x:c r="D994" s="245"/>
      <x:c r="E994" s="245"/>
      <x:c r="F994" s="245"/>
      <x:c r="G994" s="245"/>
      <x:c r="H994" s="245"/>
      <x:c r="I994" s="245"/>
      <x:c r="J994" s="245"/>
      <x:c r="K994" s="245"/>
      <x:c r="L994" s="245"/>
      <x:c r="M994" s="245"/>
      <x:c r="N994" s="245"/>
      <x:c r="O994" s="245"/>
      <x:c r="P994" s="245"/>
      <x:c r="Q994" s="245"/>
      <x:c r="R994" s="245"/>
      <x:c r="S994" s="245"/>
      <x:c r="T994" s="245"/>
      <x:c r="U994" s="245"/>
      <x:c r="V994" s="245"/>
      <x:c r="W994" s="245"/>
      <x:c r="X994" s="245"/>
      <x:c r="Y994" s="245"/>
      <x:c r="Z994" s="245"/>
    </x:row>
    <x:row r="995">
      <x:c r="A995" s="245"/>
      <x:c r="B995" s="245"/>
      <x:c r="C995" s="245"/>
      <x:c r="D995" s="245"/>
      <x:c r="E995" s="245"/>
      <x:c r="F995" s="245"/>
      <x:c r="G995" s="245"/>
      <x:c r="H995" s="245"/>
      <x:c r="I995" s="245"/>
      <x:c r="J995" s="245"/>
      <x:c r="K995" s="245"/>
      <x:c r="L995" s="245"/>
      <x:c r="M995" s="245"/>
      <x:c r="N995" s="245"/>
      <x:c r="O995" s="245"/>
      <x:c r="P995" s="245"/>
      <x:c r="Q995" s="245"/>
      <x:c r="R995" s="245"/>
      <x:c r="S995" s="245"/>
      <x:c r="T995" s="245"/>
      <x:c r="U995" s="245"/>
      <x:c r="V995" s="245"/>
      <x:c r="W995" s="245"/>
      <x:c r="X995" s="245"/>
      <x:c r="Y995" s="245"/>
      <x:c r="Z995" s="245"/>
    </x:row>
    <x:row r="996">
      <x:c r="A996" s="245"/>
      <x:c r="B996" s="245"/>
      <x:c r="C996" s="245"/>
      <x:c r="D996" s="245"/>
      <x:c r="E996" s="245"/>
      <x:c r="F996" s="245"/>
      <x:c r="G996" s="245"/>
      <x:c r="H996" s="245"/>
      <x:c r="I996" s="245"/>
      <x:c r="J996" s="245"/>
      <x:c r="K996" s="245"/>
      <x:c r="L996" s="245"/>
      <x:c r="M996" s="245"/>
      <x:c r="N996" s="245"/>
      <x:c r="O996" s="245"/>
      <x:c r="P996" s="245"/>
      <x:c r="Q996" s="245"/>
      <x:c r="R996" s="245"/>
      <x:c r="S996" s="245"/>
      <x:c r="T996" s="245"/>
      <x:c r="U996" s="245"/>
      <x:c r="V996" s="245"/>
      <x:c r="W996" s="245"/>
      <x:c r="X996" s="245"/>
      <x:c r="Y996" s="245"/>
      <x:c r="Z996" s="245"/>
    </x:row>
    <x:row r="997">
      <x:c r="A997" s="245"/>
      <x:c r="B997" s="245"/>
      <x:c r="C997" s="245"/>
      <x:c r="D997" s="245"/>
      <x:c r="E997" s="245"/>
      <x:c r="F997" s="245"/>
      <x:c r="G997" s="245"/>
      <x:c r="H997" s="245"/>
      <x:c r="I997" s="245"/>
      <x:c r="J997" s="245"/>
      <x:c r="K997" s="245"/>
      <x:c r="L997" s="245"/>
      <x:c r="M997" s="245"/>
      <x:c r="N997" s="245"/>
      <x:c r="O997" s="245"/>
      <x:c r="P997" s="245"/>
      <x:c r="Q997" s="245"/>
      <x:c r="R997" s="245"/>
      <x:c r="S997" s="245"/>
      <x:c r="T997" s="245"/>
      <x:c r="U997" s="245"/>
      <x:c r="V997" s="245"/>
      <x:c r="W997" s="245"/>
      <x:c r="X997" s="245"/>
      <x:c r="Y997" s="245"/>
      <x:c r="Z997" s="245"/>
    </x:row>
    <x:row r="998">
      <x:c r="A998" s="245"/>
      <x:c r="B998" s="245"/>
      <x:c r="C998" s="245"/>
      <x:c r="D998" s="245"/>
      <x:c r="E998" s="245"/>
      <x:c r="F998" s="245"/>
      <x:c r="G998" s="245"/>
      <x:c r="H998" s="245"/>
      <x:c r="I998" s="245"/>
      <x:c r="J998" s="245"/>
      <x:c r="K998" s="245"/>
      <x:c r="L998" s="245"/>
      <x:c r="M998" s="245"/>
      <x:c r="N998" s="245"/>
      <x:c r="O998" s="245"/>
      <x:c r="P998" s="245"/>
      <x:c r="Q998" s="245"/>
      <x:c r="R998" s="245"/>
      <x:c r="S998" s="245"/>
      <x:c r="T998" s="245"/>
      <x:c r="U998" s="245"/>
      <x:c r="V998" s="245"/>
      <x:c r="W998" s="245"/>
      <x:c r="X998" s="245"/>
      <x:c r="Y998" s="245"/>
      <x:c r="Z998" s="245"/>
    </x:row>
    <x:row r="999">
      <x:c r="A999" s="245"/>
      <x:c r="B999" s="245"/>
      <x:c r="C999" s="245"/>
      <x:c r="D999" s="245"/>
      <x:c r="E999" s="245"/>
      <x:c r="F999" s="245"/>
      <x:c r="G999" s="245"/>
      <x:c r="H999" s="245"/>
      <x:c r="I999" s="245"/>
      <x:c r="J999" s="245"/>
      <x:c r="K999" s="245"/>
      <x:c r="L999" s="245"/>
      <x:c r="M999" s="245"/>
      <x:c r="N999" s="245"/>
      <x:c r="O999" s="245"/>
      <x:c r="P999" s="245"/>
      <x:c r="Q999" s="245"/>
      <x:c r="R999" s="245"/>
      <x:c r="S999" s="245"/>
      <x:c r="T999" s="245"/>
      <x:c r="U999" s="245"/>
      <x:c r="V999" s="245"/>
      <x:c r="W999" s="245"/>
      <x:c r="X999" s="245"/>
      <x:c r="Y999" s="245"/>
      <x:c r="Z999" s="245"/>
    </x:row>
    <x:row r="1000">
      <x:c r="A1000" s="245"/>
      <x:c r="B1000" s="245"/>
      <x:c r="C1000" s="245"/>
      <x:c r="D1000" s="245"/>
      <x:c r="E1000" s="245"/>
      <x:c r="F1000" s="245"/>
      <x:c r="G1000" s="245"/>
      <x:c r="H1000" s="245"/>
      <x:c r="I1000" s="245"/>
      <x:c r="J1000" s="245"/>
      <x:c r="K1000" s="245"/>
      <x:c r="L1000" s="245"/>
      <x:c r="M1000" s="245"/>
      <x:c r="N1000" s="245"/>
      <x:c r="O1000" s="245"/>
      <x:c r="P1000" s="245"/>
      <x:c r="Q1000" s="245"/>
      <x:c r="R1000" s="245"/>
      <x:c r="S1000" s="245"/>
      <x:c r="T1000" s="245"/>
      <x:c r="U1000" s="245"/>
      <x:c r="V1000" s="245"/>
      <x:c r="W1000" s="245"/>
      <x:c r="X1000" s="245"/>
      <x:c r="Y1000" s="245"/>
      <x:c r="Z1000" s="245"/>
    </x:row>
  </x:sheetData>
  <x:mergeCells>
    <x:mergeCell ref="A1:Z1"/>
    <x:mergeCell ref="A2:Z2"/>
    <x:mergeCell ref="A3:M3"/>
    <x:mergeCell ref="N3:Z3"/>
    <x:mergeCell ref="A505:Z505"/>
  </x:mergeCells>
  <x:conditionalFormatting sqref="Z5:Z500">
    <x:cfRule type="expression" dxfId="0" priority="1">
      <x:formula>$U5="Profit"</x:formula>
    </x:cfRule>
    <x:cfRule type="expression" dxfId="1" priority="2">
      <x:formula>$U5="Draw"</x:formula>
    </x:cfRule>
    <x:cfRule type="expression" dxfId="2" priority="3">
      <x:formula>$U5="Free Game"</x:formula>
    </x:cfRule>
    <x:cfRule type="expression" dxfId="3" priority="4">
      <x:formula>$U5="Subscription"</x:formula>
    </x:cfRule>
    <x:cfRule type="expression" dxfId="4" priority="5">
      <x:formula>$U5="Disqualified"</x:formula>
    </x:cfRule>
  </x:conditionalFormatting>
  <x:conditionalFormatting sqref="Z5:Z504">
    <x:cfRule type="expression" dxfId="35" priority="11">
      <x:formula>$U5="Profit"</x:formula>
    </x:cfRule>
    <x:cfRule type="expression" dxfId="36" priority="12">
      <x:formula>$U5="Draw"</x:formula>
    </x:cfRule>
    <x:cfRule type="expression" dxfId="37" priority="13">
      <x:formula>OR($U5="Free Game",$U5="Disqualified — Free Game")</x:formula>
    </x:cfRule>
    <x:cfRule type="expression" dxfId="38" priority="14">
      <x:formula>$U5="Subscription"</x:formula>
    </x:cfRule>
    <x:cfRule type="expression" dxfId="39" priority="15">
      <x:formula>$U5="Disqualified"</x:formula>
    </x:cfRule>
  </x:conditionalFormatting>
  <x:dataValidations count="7">
    <x:dataValidation type="list" sqref="D5:D500">
      <x:formula1>"Estimate,Finalized,N/A"</x:formula1>
    </x:dataValidation>
    <x:dataValidation type="list" sqref="E5:E500">
      <x:formula1>"Member,Non-Member,N/A"</x:formula1>
    </x:dataValidation>
    <x:dataValidation type="list" sqref="L5:L500">
      <x:formula1>"No,Yes,N/A"</x:formula1>
    </x:dataValidation>
    <x:dataValidation type="list" sqref="D5:D504">
      <x:formula1>"Estimate,Finalized"</x:formula1>
    </x:dataValidation>
    <x:dataValidation type="list" sqref="E5:E504">
      <x:formula1>"Member,Non-Member"</x:formula1>
    </x:dataValidation>
    <x:dataValidation type="list" allowBlank="1" showDropDown="0" sqref="F5:F504">
      <x:formula1>"Cash,Points,Hybrid,Free Game — completed challenge/chips,Subscription — membership charge only"</x:formula1>
    </x:dataValidation>
    <x:dataValidation type="list" sqref="L5:L504">
      <x:formula1>"Yes,No"</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4" topLeftCell="A5" activePane="bottomLeft" state="frozen"/>
      <x:selection pane="bottomLeft" activeCell="A5" sqref="A5"/>
    </x:sheetView>
  </x:sheetViews>
  <x:sheetFormatPr defaultRowHeight="15"/>
  <x:cols>
    <x:col min="1" max="1" width="12" hidden="0" customWidth="1"/>
    <x:col min="2" max="2" width="18" hidden="0" customWidth="1"/>
    <x:col min="3" max="3" width="24" hidden="0" customWidth="1"/>
    <x:col min="4" max="4" width="18" hidden="0" customWidth="1"/>
    <x:col min="5" max="5" width="22" hidden="0" customWidth="1"/>
    <x:col min="6" max="6" width="30" hidden="0" customWidth="1"/>
    <x:col min="7" max="7" width="34" hidden="0" customWidth="1"/>
    <x:col min="9" max="9" width="24" hidden="0" customWidth="1"/>
    <x:col min="10" max="10" width="12" hidden="0" customWidth="1"/>
    <x:col min="8" max="8" width="2" customWidth="1" hidden="1"/>
  </x:cols>
  <x:sheetData>
    <x:row r="1" ht="22" hidden="0" customHeight="1">
      <x:c r="A1" s="961" t="str">
        <x:v>Record Review — Game Index and Field Review — v246.3.6</x:v>
      </x:c>
      <x:c r="B1" s="961"/>
      <x:c r="C1" s="961"/>
      <x:c r="D1" s="961"/>
      <x:c r="E1" s="961"/>
      <x:c r="F1" s="961"/>
      <x:c r="G1" s="982"/>
      <x:c r="H1" s="982"/>
      <x:c r="I1" s="104"/>
      <x:c r="J1" s="104"/>
    </x:row>
    <x:row r="2" ht="22" hidden="0" customHeight="1">
      <x:c r="A2" s="76" t="str">
        <x:v>Lists each non-subscription game, shows its calculated result, and points out blank fields that may deserve review. A listed blank is not always required for that game. Notes are copied from Game Records.</x:v>
      </x:c>
      <x:c r="B2" s="76"/>
      <x:c r="C2" s="76"/>
      <x:c r="D2" s="76"/>
      <x:c r="E2" s="76"/>
      <x:c r="F2" s="76"/>
      <x:c r="G2" s="982"/>
      <x:c r="H2" s="982"/>
      <x:c r="I2" s="104"/>
      <x:c r="J2" s="104"/>
    </x:row>
    <x:row r="3" ht="12" hidden="0" customHeight="1">
      <x:c r="A3" s="476"/>
      <x:c r="B3" s="476"/>
      <x:c r="C3" s="476"/>
      <x:c r="D3" s="476"/>
      <x:c r="E3" s="476"/>
      <x:c r="F3" s="476"/>
      <x:c r="G3" s="476"/>
      <x:c r="H3" s="476"/>
      <x:c r="I3" s="104"/>
      <x:c r="J3" s="104"/>
    </x:row>
    <x:row r="4" ht="32" hidden="0" customHeight="1">
      <x:c r="A4" s="310" t="str">
        <x:v>Game #</x:v>
      </x:c>
      <x:c r="B4" s="310" t="str">
        <x:v>Game Records ID</x:v>
      </x:c>
      <x:c r="C4" s="310" t="str">
        <x:v>Game Name</x:v>
      </x:c>
      <x:c r="D4" s="310" t="str">
        <x:v>Calculated Result</x:v>
      </x:c>
      <x:c r="E4" s="310" t="str">
        <x:v>Review Status</x:v>
      </x:c>
      <x:c r="F4" s="310" t="str">
        <x:v>Blank Fields to Review</x:v>
      </x:c>
      <x:c r="G4" s="310" t="str">
        <x:v>Notes from Game Records</x:v>
      </x:c>
      <x:c r="H4" s="476"/>
      <x:c r="I4" s="104"/>
      <x:c r="J4" s="104"/>
    </x:row>
    <x:row r="5" ht="24" hidden="0" customHeight="1">
      <x:c r="A5" s="332" t="str">
        <x:f>IF($H5="","",ROWS($A$5:A5))</x:f>
        <x:v/>
      </x:c>
      <x:c r="B5" s="332" t="str">
        <x:f>IF($H5="","","G-"&amp;TEXT($A5,"0000"))</x:f>
        <x:v/>
      </x:c>
      <x:c r="C5" s="331" t="str">
        <x:f>IF($H5="","",IFERROR(INDEX('Game Records'!$A:$A,$H5),""))</x:f>
        <x:v/>
      </x:c>
      <x:c r="D5" s="331" t="str">
        <x:f>IF($H5="","",IFERROR(INDEX('Game Records'!$U:$U,$H5),""))</x:f>
        <x:v/>
      </x:c>
      <x:c r="E5" s="331" t="str">
        <x:f>IF($H5="","",IF($F5="","No Highlighted Fields","Highlighted Fields Present"))</x:f>
        <x:v/>
      </x:c>
      <x:c r="F5" s="331" t="str">
        <x:f>IF($H5="","",IF(INDEX('Game Records'!$B:$B,$H5)="","Start Date; ","")&amp;IF(INDEX('Game Records'!$C:$C,$H5)="","End Date; ","")&amp;IF(AND(INDEX('Game Records'!$U:$U,$H5)&lt;&gt;"Subscription",INDEX('Game Records'!$U:$U,$H5)&lt;&gt;"Free Game",INDEX('Game Records'!$U:$U,$H5)&lt;&gt;"Disqualified — Free Game",OR(INDEX('Game Records'!$D:$D,$H5)="",LOWER(INDEX('Game Records'!$D:$D,$H5)&amp;"")="n/a")),"Entry Mode; ","")&amp;IF(AND(INDEX('Game Records'!$U:$U,$H5)&lt;&gt;"Subscription",INDEX('Game Records'!$U:$U,$H5)&lt;&gt;"Free Game",INDEX('Game Records'!$U:$U,$H5)&lt;&gt;"Disqualified — Free Game",OR(INDEX('Game Records'!$E:$E,$H5)="",LOWER(INDEX('Game Records'!$E:$E,$H5)&amp;"")="n/a")),"Game Type; ","")&amp;IF(INDEX('Game Records'!$F:$F,$H5)="","Payment Type; ","")&amp;IF(AND(INDEX('Game Records'!$U:$U,$H5)&lt;&gt;"Subscription",INDEX('Game Records'!$U:$U,$H5)&lt;&gt;"Free Game",INDEX('Game Records'!$U:$U,$H5)&lt;&gt;"Disqualified — Free Game",INDEX('Game Records'!$G:$G,$H5)=""),"Gross Pot; ","")&amp;IF(AND(INDEX('Game Records'!$U:$U,$H5)&lt;&gt;"Free Game",INDEX('Game Records'!$U:$U,$H5)&lt;&gt;"Disqualified — Free Game",INDEX('Game Records'!$H:$H,$H5)=""),"Entry Fee; ","")&amp;IF(AND(INDEX('Game Records'!$U:$U,$H5)&lt;&gt;"Subscription",INDEX('Game Records'!$U:$U,$H5)&lt;&gt;"Free Game",INDEX('Game Records'!$U:$U,$H5)&lt;&gt;"Disqualified — Free Game",INDEX('Game Records'!$I:$I,$H5)=""),"Eligible Players; ","")&amp;IF(AND(INDEX('Game Records'!$U:$U,$H5)&lt;&gt;"Subscription",INDEX('Game Records'!$U:$U,$H5)&lt;&gt;"Free Game",INDEX('Game Records'!$U:$U,$H5)&lt;&gt;"Disqualified — Free Game",INDEX('Game Records'!$J:$J,$H5)=""),"Total Players; ","")&amp;IF(AND(LOWER(INDEX('Game Records'!$D:$D,$H5)&amp;"")="finalized",LOWER(INDEX('Game Records'!$L:$L,$H5)&amp;"")&lt;&gt;"yes",INDEX('Game Records'!$U:$U,$H5)&lt;&gt;"Subscription",INDEX('Game Records'!$U:$U,$H5)&lt;&gt;"Free Game",INDEX('Game Records'!$U:$U,$H5)&lt;&gt;"Disqualified — Free Game",INDEX('Game Records'!$K:$K,$H5)=""),"Final Earned; ","")&amp;IF(AND(LOWER(INDEX('Game Records'!$D:$D,$H5)&amp;"")="finalized",INDEX('Game Records'!$U:$U,$H5)&lt;&gt;"Subscription",INDEX('Game Records'!$U:$U,$H5)&lt;&gt;"Free Game",INDEX('Game Records'!$U:$U,$H5)&lt;&gt;"Disqualified — Free Game",OR(INDEX('Game Records'!$L:$L,$H5)="",LOWER(INDEX('Game Records'!$L:$L,$H5)&amp;"")="n/a")),"Disqualified Status; ",""))</x:f>
        <x:v/>
      </x:c>
      <x:c r="G5" s="331" t="str">
        <x:f>IF($H5="","",IFERROR(INDEX('Game Records'!$M:$M,$H5),""))</x:f>
        <x:v/>
      </x:c>
      <x:c r="H5" s="104" t="str">
        <x:f>IFERROR(MATCH(1,INDEX((('Game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 s="310" t="str">
        <x:v>Review Totals</x:v>
      </x:c>
      <x:c r="J5" s="310"/>
    </x:row>
    <x:row r="6" ht="24" hidden="0" customHeight="1">
      <x:c r="A6" s="332" t="str">
        <x:f>IF($H6="","",ROWS($A$5:A6))</x:f>
        <x:v/>
      </x:c>
      <x:c r="B6" s="332" t="str">
        <x:f>IF($H6="","","G-"&amp;TEXT($A6,"0000"))</x:f>
        <x:v/>
      </x:c>
      <x:c r="C6" s="331" t="str">
        <x:f>IF($H6="","",IFERROR(INDEX('Game Records'!$A:$A,$H6),""))</x:f>
        <x:v/>
      </x:c>
      <x:c r="D6" s="331" t="str">
        <x:f>IF($H6="","",IFERROR(INDEX('Game Records'!$U:$U,$H6),""))</x:f>
        <x:v/>
      </x:c>
      <x:c r="E6" s="331" t="str">
        <x:f>IF($H6="","",IF($F6="","No Highlighted Fields","Highlighted Fields Present"))</x:f>
        <x:v/>
      </x:c>
      <x:c r="F6" s="331" t="str">
        <x:f>IF($H6="","",IF(INDEX('Game Records'!$B:$B,$H6)="","Start Date; ","")&amp;IF(INDEX('Game Records'!$C:$C,$H6)="","End Date; ","")&amp;IF(AND(INDEX('Game Records'!$U:$U,$H6)&lt;&gt;"Subscription",INDEX('Game Records'!$U:$U,$H6)&lt;&gt;"Free Game",INDEX('Game Records'!$U:$U,$H6)&lt;&gt;"Disqualified — Free Game",OR(INDEX('Game Records'!$D:$D,$H6)="",LOWER(INDEX('Game Records'!$D:$D,$H6)&amp;"")="n/a")),"Entry Mode; ","")&amp;IF(AND(INDEX('Game Records'!$U:$U,$H6)&lt;&gt;"Subscription",INDEX('Game Records'!$U:$U,$H6)&lt;&gt;"Free Game",INDEX('Game Records'!$U:$U,$H6)&lt;&gt;"Disqualified — Free Game",OR(INDEX('Game Records'!$E:$E,$H6)="",LOWER(INDEX('Game Records'!$E:$E,$H6)&amp;"")="n/a")),"Game Type; ","")&amp;IF(INDEX('Game Records'!$F:$F,$H6)="","Payment Type; ","")&amp;IF(AND(INDEX('Game Records'!$U:$U,$H6)&lt;&gt;"Subscription",INDEX('Game Records'!$U:$U,$H6)&lt;&gt;"Free Game",INDEX('Game Records'!$U:$U,$H6)&lt;&gt;"Disqualified — Free Game",INDEX('Game Records'!$G:$G,$H6)=""),"Gross Pot; ","")&amp;IF(AND(INDEX('Game Records'!$U:$U,$H6)&lt;&gt;"Free Game",INDEX('Game Records'!$U:$U,$H6)&lt;&gt;"Disqualified — Free Game",INDEX('Game Records'!$H:$H,$H6)=""),"Entry Fee; ","")&amp;IF(AND(INDEX('Game Records'!$U:$U,$H6)&lt;&gt;"Subscription",INDEX('Game Records'!$U:$U,$H6)&lt;&gt;"Free Game",INDEX('Game Records'!$U:$U,$H6)&lt;&gt;"Disqualified — Free Game",INDEX('Game Records'!$I:$I,$H6)=""),"Eligible Players; ","")&amp;IF(AND(INDEX('Game Records'!$U:$U,$H6)&lt;&gt;"Subscription",INDEX('Game Records'!$U:$U,$H6)&lt;&gt;"Free Game",INDEX('Game Records'!$U:$U,$H6)&lt;&gt;"Disqualified — Free Game",INDEX('Game Records'!$J:$J,$H6)=""),"Total Players; ","")&amp;IF(AND(LOWER(INDEX('Game Records'!$D:$D,$H6)&amp;"")="finalized",LOWER(INDEX('Game Records'!$L:$L,$H6)&amp;"")&lt;&gt;"yes",INDEX('Game Records'!$U:$U,$H6)&lt;&gt;"Subscription",INDEX('Game Records'!$U:$U,$H6)&lt;&gt;"Free Game",INDEX('Game Records'!$U:$U,$H6)&lt;&gt;"Disqualified — Free Game",INDEX('Game Records'!$K:$K,$H6)=""),"Final Earned; ","")&amp;IF(AND(LOWER(INDEX('Game Records'!$D:$D,$H6)&amp;"")="finalized",INDEX('Game Records'!$U:$U,$H6)&lt;&gt;"Subscription",INDEX('Game Records'!$U:$U,$H6)&lt;&gt;"Free Game",INDEX('Game Records'!$U:$U,$H6)&lt;&gt;"Disqualified — Free Game",OR(INDEX('Game Records'!$L:$L,$H6)="",LOWER(INDEX('Game Records'!$L:$L,$H6)&amp;"")="n/a")),"Disqualified Status; ",""))</x:f>
        <x:v/>
      </x:c>
      <x:c r="G6" s="331" t="str">
        <x:f>IF($H6="","",IFERROR(INDEX('Game Records'!$M:$M,$H6),""))</x:f>
        <x:v/>
      </x:c>
      <x:c r="H6" s="104" t="str">
        <x:f>IF($H5="","",IFERROR(MATCH(1,INDEX((ROW('Game Records'!$U$5:$U$504)&gt;$H5)*(('Game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 s="980" t="str">
        <x:v>Total Games</x:v>
      </x:c>
      <x:c r="J6" s="981" t="n">
        <x:f>COUNT($A$5:$A$504)</x:f>
        <x:v>0</x:v>
      </x:c>
    </x:row>
    <x:row r="7" ht="24" hidden="0" customHeight="1">
      <x:c r="A7" s="332" t="str">
        <x:f>IF($H7="","",ROWS($A$5:A7))</x:f>
        <x:v/>
      </x:c>
      <x:c r="B7" s="332" t="str">
        <x:f>IF($H7="","","G-"&amp;TEXT($A7,"0000"))</x:f>
        <x:v/>
      </x:c>
      <x:c r="C7" s="331" t="str">
        <x:f>IF($H7="","",IFERROR(INDEX('Game Records'!$A:$A,$H7),""))</x:f>
        <x:v/>
      </x:c>
      <x:c r="D7" s="331" t="str">
        <x:f>IF($H7="","",IFERROR(INDEX('Game Records'!$U:$U,$H7),""))</x:f>
        <x:v/>
      </x:c>
      <x:c r="E7" s="331" t="str">
        <x:f>IF($H7="","",IF($F7="","No Highlighted Fields","Highlighted Fields Present"))</x:f>
        <x:v/>
      </x:c>
      <x:c r="F7" s="331" t="str">
        <x:f>IF($H7="","",IF(INDEX('Game Records'!$B:$B,$H7)="","Start Date; ","")&amp;IF(INDEX('Game Records'!$C:$C,$H7)="","End Date; ","")&amp;IF(AND(INDEX('Game Records'!$U:$U,$H7)&lt;&gt;"Subscription",INDEX('Game Records'!$U:$U,$H7)&lt;&gt;"Free Game",INDEX('Game Records'!$U:$U,$H7)&lt;&gt;"Disqualified — Free Game",OR(INDEX('Game Records'!$D:$D,$H7)="",LOWER(INDEX('Game Records'!$D:$D,$H7)&amp;"")="n/a")),"Entry Mode; ","")&amp;IF(AND(INDEX('Game Records'!$U:$U,$H7)&lt;&gt;"Subscription",INDEX('Game Records'!$U:$U,$H7)&lt;&gt;"Free Game",INDEX('Game Records'!$U:$U,$H7)&lt;&gt;"Disqualified — Free Game",OR(INDEX('Game Records'!$E:$E,$H7)="",LOWER(INDEX('Game Records'!$E:$E,$H7)&amp;"")="n/a")),"Game Type; ","")&amp;IF(INDEX('Game Records'!$F:$F,$H7)="","Payment Type; ","")&amp;IF(AND(INDEX('Game Records'!$U:$U,$H7)&lt;&gt;"Subscription",INDEX('Game Records'!$U:$U,$H7)&lt;&gt;"Free Game",INDEX('Game Records'!$U:$U,$H7)&lt;&gt;"Disqualified — Free Game",INDEX('Game Records'!$G:$G,$H7)=""),"Gross Pot; ","")&amp;IF(AND(INDEX('Game Records'!$U:$U,$H7)&lt;&gt;"Free Game",INDEX('Game Records'!$U:$U,$H7)&lt;&gt;"Disqualified — Free Game",INDEX('Game Records'!$H:$H,$H7)=""),"Entry Fee; ","")&amp;IF(AND(INDEX('Game Records'!$U:$U,$H7)&lt;&gt;"Subscription",INDEX('Game Records'!$U:$U,$H7)&lt;&gt;"Free Game",INDEX('Game Records'!$U:$U,$H7)&lt;&gt;"Disqualified — Free Game",INDEX('Game Records'!$I:$I,$H7)=""),"Eligible Players; ","")&amp;IF(AND(INDEX('Game Records'!$U:$U,$H7)&lt;&gt;"Subscription",INDEX('Game Records'!$U:$U,$H7)&lt;&gt;"Free Game",INDEX('Game Records'!$U:$U,$H7)&lt;&gt;"Disqualified — Free Game",INDEX('Game Records'!$J:$J,$H7)=""),"Total Players; ","")&amp;IF(AND(LOWER(INDEX('Game Records'!$D:$D,$H7)&amp;"")="finalized",LOWER(INDEX('Game Records'!$L:$L,$H7)&amp;"")&lt;&gt;"yes",INDEX('Game Records'!$U:$U,$H7)&lt;&gt;"Subscription",INDEX('Game Records'!$U:$U,$H7)&lt;&gt;"Free Game",INDEX('Game Records'!$U:$U,$H7)&lt;&gt;"Disqualified — Free Game",INDEX('Game Records'!$K:$K,$H7)=""),"Final Earned; ","")&amp;IF(AND(LOWER(INDEX('Game Records'!$D:$D,$H7)&amp;"")="finalized",INDEX('Game Records'!$U:$U,$H7)&lt;&gt;"Subscription",INDEX('Game Records'!$U:$U,$H7)&lt;&gt;"Free Game",INDEX('Game Records'!$U:$U,$H7)&lt;&gt;"Disqualified — Free Game",OR(INDEX('Game Records'!$L:$L,$H7)="",LOWER(INDEX('Game Records'!$L:$L,$H7)&amp;"")="n/a")),"Disqualified Status; ",""))</x:f>
        <x:v/>
      </x:c>
      <x:c r="G7" s="331" t="str">
        <x:f>IF($H7="","",IFERROR(INDEX('Game Records'!$M:$M,$H7),""))</x:f>
        <x:v/>
      </x:c>
      <x:c r="H7" s="104" t="str">
        <x:f>IF($H6="","",IFERROR(MATCH(1,INDEX((ROW('Game Records'!$U$5:$U$504)&gt;$H6)*(('Game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 s="980" t="str">
        <x:v>Profit Games</x:v>
      </x:c>
      <x:c r="J7" s="981" t="n">
        <x:f>COUNTIF('Game Records'!$U$5:$U$504,"Profit")</x:f>
        <x:v>0</x:v>
      </x:c>
    </x:row>
    <x:row r="8" ht="24" hidden="0" customHeight="1">
      <x:c r="A8" s="332" t="str">
        <x:f>IF($H8="","",ROWS($A$5:A8))</x:f>
        <x:v/>
      </x:c>
      <x:c r="B8" s="332" t="str">
        <x:f>IF($H8="","","G-"&amp;TEXT($A8,"0000"))</x:f>
        <x:v/>
      </x:c>
      <x:c r="C8" s="331" t="str">
        <x:f>IF($H8="","",IFERROR(INDEX('Game Records'!$A:$A,$H8),""))</x:f>
        <x:v/>
      </x:c>
      <x:c r="D8" s="331" t="str">
        <x:f>IF($H8="","",IFERROR(INDEX('Game Records'!$U:$U,$H8),""))</x:f>
        <x:v/>
      </x:c>
      <x:c r="E8" s="331" t="str">
        <x:f>IF($H8="","",IF($F8="","No Highlighted Fields","Highlighted Fields Present"))</x:f>
        <x:v/>
      </x:c>
      <x:c r="F8" s="331" t="str">
        <x:f>IF($H8="","",IF(INDEX('Game Records'!$B:$B,$H8)="","Start Date; ","")&amp;IF(INDEX('Game Records'!$C:$C,$H8)="","End Date; ","")&amp;IF(AND(INDEX('Game Records'!$U:$U,$H8)&lt;&gt;"Subscription",INDEX('Game Records'!$U:$U,$H8)&lt;&gt;"Free Game",INDEX('Game Records'!$U:$U,$H8)&lt;&gt;"Disqualified — Free Game",OR(INDEX('Game Records'!$D:$D,$H8)="",LOWER(INDEX('Game Records'!$D:$D,$H8)&amp;"")="n/a")),"Entry Mode; ","")&amp;IF(AND(INDEX('Game Records'!$U:$U,$H8)&lt;&gt;"Subscription",INDEX('Game Records'!$U:$U,$H8)&lt;&gt;"Free Game",INDEX('Game Records'!$U:$U,$H8)&lt;&gt;"Disqualified — Free Game",OR(INDEX('Game Records'!$E:$E,$H8)="",LOWER(INDEX('Game Records'!$E:$E,$H8)&amp;"")="n/a")),"Game Type; ","")&amp;IF(INDEX('Game Records'!$F:$F,$H8)="","Payment Type; ","")&amp;IF(AND(INDEX('Game Records'!$U:$U,$H8)&lt;&gt;"Subscription",INDEX('Game Records'!$U:$U,$H8)&lt;&gt;"Free Game",INDEX('Game Records'!$U:$U,$H8)&lt;&gt;"Disqualified — Free Game",INDEX('Game Records'!$G:$G,$H8)=""),"Gross Pot; ","")&amp;IF(AND(INDEX('Game Records'!$U:$U,$H8)&lt;&gt;"Free Game",INDEX('Game Records'!$U:$U,$H8)&lt;&gt;"Disqualified — Free Game",INDEX('Game Records'!$H:$H,$H8)=""),"Entry Fee; ","")&amp;IF(AND(INDEX('Game Records'!$U:$U,$H8)&lt;&gt;"Subscription",INDEX('Game Records'!$U:$U,$H8)&lt;&gt;"Free Game",INDEX('Game Records'!$U:$U,$H8)&lt;&gt;"Disqualified — Free Game",INDEX('Game Records'!$I:$I,$H8)=""),"Eligible Players; ","")&amp;IF(AND(INDEX('Game Records'!$U:$U,$H8)&lt;&gt;"Subscription",INDEX('Game Records'!$U:$U,$H8)&lt;&gt;"Free Game",INDEX('Game Records'!$U:$U,$H8)&lt;&gt;"Disqualified — Free Game",INDEX('Game Records'!$J:$J,$H8)=""),"Total Players; ","")&amp;IF(AND(LOWER(INDEX('Game Records'!$D:$D,$H8)&amp;"")="finalized",LOWER(INDEX('Game Records'!$L:$L,$H8)&amp;"")&lt;&gt;"yes",INDEX('Game Records'!$U:$U,$H8)&lt;&gt;"Subscription",INDEX('Game Records'!$U:$U,$H8)&lt;&gt;"Free Game",INDEX('Game Records'!$U:$U,$H8)&lt;&gt;"Disqualified — Free Game",INDEX('Game Records'!$K:$K,$H8)=""),"Final Earned; ","")&amp;IF(AND(LOWER(INDEX('Game Records'!$D:$D,$H8)&amp;"")="finalized",INDEX('Game Records'!$U:$U,$H8)&lt;&gt;"Subscription",INDEX('Game Records'!$U:$U,$H8)&lt;&gt;"Free Game",INDEX('Game Records'!$U:$U,$H8)&lt;&gt;"Disqualified — Free Game",OR(INDEX('Game Records'!$L:$L,$H8)="",LOWER(INDEX('Game Records'!$L:$L,$H8)&amp;"")="n/a")),"Disqualified Status; ",""))</x:f>
        <x:v/>
      </x:c>
      <x:c r="G8" s="331" t="str">
        <x:f>IF($H8="","",IFERROR(INDEX('Game Records'!$M:$M,$H8),""))</x:f>
        <x:v/>
      </x:c>
      <x:c r="H8" s="104" t="str">
        <x:f>IF($H7="","",IFERROR(MATCH(1,INDEX((ROW('Game Records'!$U$5:$U$504)&gt;$H7)*(('Game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 s="980" t="str">
        <x:v>Draw Games</x:v>
      </x:c>
      <x:c r="J8" s="981" t="n">
        <x:f>COUNTIF('Game Records'!$U$5:$U$504,"Draw")</x:f>
        <x:v>0</x:v>
      </x:c>
    </x:row>
    <x:row r="9" ht="24" hidden="0" customHeight="1">
      <x:c r="A9" s="332" t="str">
        <x:f>IF($H9="","",ROWS($A$5:A9))</x:f>
        <x:v/>
      </x:c>
      <x:c r="B9" s="332" t="str">
        <x:f>IF($H9="","","G-"&amp;TEXT($A9,"0000"))</x:f>
        <x:v/>
      </x:c>
      <x:c r="C9" s="331" t="str">
        <x:f>IF($H9="","",IFERROR(INDEX('Game Records'!$A:$A,$H9),""))</x:f>
        <x:v/>
      </x:c>
      <x:c r="D9" s="331" t="str">
        <x:f>IF($H9="","",IFERROR(INDEX('Game Records'!$U:$U,$H9),""))</x:f>
        <x:v/>
      </x:c>
      <x:c r="E9" s="331" t="str">
        <x:f>IF($H9="","",IF($F9="","No Highlighted Fields","Highlighted Fields Present"))</x:f>
        <x:v/>
      </x:c>
      <x:c r="F9" s="331" t="str">
        <x:f>IF($H9="","",IF(INDEX('Game Records'!$B:$B,$H9)="","Start Date; ","")&amp;IF(INDEX('Game Records'!$C:$C,$H9)="","End Date; ","")&amp;IF(AND(INDEX('Game Records'!$U:$U,$H9)&lt;&gt;"Subscription",INDEX('Game Records'!$U:$U,$H9)&lt;&gt;"Free Game",INDEX('Game Records'!$U:$U,$H9)&lt;&gt;"Disqualified — Free Game",OR(INDEX('Game Records'!$D:$D,$H9)="",LOWER(INDEX('Game Records'!$D:$D,$H9)&amp;"")="n/a")),"Entry Mode; ","")&amp;IF(AND(INDEX('Game Records'!$U:$U,$H9)&lt;&gt;"Subscription",INDEX('Game Records'!$U:$U,$H9)&lt;&gt;"Free Game",INDEX('Game Records'!$U:$U,$H9)&lt;&gt;"Disqualified — Free Game",OR(INDEX('Game Records'!$E:$E,$H9)="",LOWER(INDEX('Game Records'!$E:$E,$H9)&amp;"")="n/a")),"Game Type; ","")&amp;IF(INDEX('Game Records'!$F:$F,$H9)="","Payment Type; ","")&amp;IF(AND(INDEX('Game Records'!$U:$U,$H9)&lt;&gt;"Subscription",INDEX('Game Records'!$U:$U,$H9)&lt;&gt;"Free Game",INDEX('Game Records'!$U:$U,$H9)&lt;&gt;"Disqualified — Free Game",INDEX('Game Records'!$G:$G,$H9)=""),"Gross Pot; ","")&amp;IF(AND(INDEX('Game Records'!$U:$U,$H9)&lt;&gt;"Free Game",INDEX('Game Records'!$U:$U,$H9)&lt;&gt;"Disqualified — Free Game",INDEX('Game Records'!$H:$H,$H9)=""),"Entry Fee; ","")&amp;IF(AND(INDEX('Game Records'!$U:$U,$H9)&lt;&gt;"Subscription",INDEX('Game Records'!$U:$U,$H9)&lt;&gt;"Free Game",INDEX('Game Records'!$U:$U,$H9)&lt;&gt;"Disqualified — Free Game",INDEX('Game Records'!$I:$I,$H9)=""),"Eligible Players; ","")&amp;IF(AND(INDEX('Game Records'!$U:$U,$H9)&lt;&gt;"Subscription",INDEX('Game Records'!$U:$U,$H9)&lt;&gt;"Free Game",INDEX('Game Records'!$U:$U,$H9)&lt;&gt;"Disqualified — Free Game",INDEX('Game Records'!$J:$J,$H9)=""),"Total Players; ","")&amp;IF(AND(LOWER(INDEX('Game Records'!$D:$D,$H9)&amp;"")="finalized",LOWER(INDEX('Game Records'!$L:$L,$H9)&amp;"")&lt;&gt;"yes",INDEX('Game Records'!$U:$U,$H9)&lt;&gt;"Subscription",INDEX('Game Records'!$U:$U,$H9)&lt;&gt;"Free Game",INDEX('Game Records'!$U:$U,$H9)&lt;&gt;"Disqualified — Free Game",INDEX('Game Records'!$K:$K,$H9)=""),"Final Earned; ","")&amp;IF(AND(LOWER(INDEX('Game Records'!$D:$D,$H9)&amp;"")="finalized",INDEX('Game Records'!$U:$U,$H9)&lt;&gt;"Subscription",INDEX('Game Records'!$U:$U,$H9)&lt;&gt;"Free Game",INDEX('Game Records'!$U:$U,$H9)&lt;&gt;"Disqualified — Free Game",OR(INDEX('Game Records'!$L:$L,$H9)="",LOWER(INDEX('Game Records'!$L:$L,$H9)&amp;"")="n/a")),"Disqualified Status; ",""))</x:f>
        <x:v/>
      </x:c>
      <x:c r="G9" s="331" t="str">
        <x:f>IF($H9="","",IFERROR(INDEX('Game Records'!$M:$M,$H9),""))</x:f>
        <x:v/>
      </x:c>
      <x:c r="H9" s="104" t="str">
        <x:f>IF($H8="","",IFERROR(MATCH(1,INDEX((ROW('Game Records'!$U$5:$U$504)&gt;$H8)*(('Game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 s="980" t="str">
        <x:v>Disqualified Games</x:v>
      </x:c>
      <x:c r="J9" s="981" t="n">
        <x:f>COUNTIF('Game Records'!$U$5:$U$504,"Disqualified")</x:f>
        <x:v>0</x:v>
      </x:c>
    </x:row>
    <x:row r="10" ht="24" hidden="0" customHeight="1">
      <x:c r="A10" s="332" t="str">
        <x:f>IF($H10="","",ROWS($A$5:A10))</x:f>
        <x:v/>
      </x:c>
      <x:c r="B10" s="332" t="str">
        <x:f>IF($H10="","","G-"&amp;TEXT($A10,"0000"))</x:f>
        <x:v/>
      </x:c>
      <x:c r="C10" s="331" t="str">
        <x:f>IF($H10="","",IFERROR(INDEX('Game Records'!$A:$A,$H10),""))</x:f>
        <x:v/>
      </x:c>
      <x:c r="D10" s="331" t="str">
        <x:f>IF($H10="","",IFERROR(INDEX('Game Records'!$U:$U,$H10),""))</x:f>
        <x:v/>
      </x:c>
      <x:c r="E10" s="331" t="str">
        <x:f>IF($H10="","",IF($F10="","No Highlighted Fields","Highlighted Fields Present"))</x:f>
        <x:v/>
      </x:c>
      <x:c r="F10" s="331" t="str">
        <x:f>IF($H10="","",IF(INDEX('Game Records'!$B:$B,$H10)="","Start Date; ","")&amp;IF(INDEX('Game Records'!$C:$C,$H10)="","End Date; ","")&amp;IF(AND(INDEX('Game Records'!$U:$U,$H10)&lt;&gt;"Subscription",INDEX('Game Records'!$U:$U,$H10)&lt;&gt;"Free Game",INDEX('Game Records'!$U:$U,$H10)&lt;&gt;"Disqualified — Free Game",OR(INDEX('Game Records'!$D:$D,$H10)="",LOWER(INDEX('Game Records'!$D:$D,$H10)&amp;"")="n/a")),"Entry Mode; ","")&amp;IF(AND(INDEX('Game Records'!$U:$U,$H10)&lt;&gt;"Subscription",INDEX('Game Records'!$U:$U,$H10)&lt;&gt;"Free Game",INDEX('Game Records'!$U:$U,$H10)&lt;&gt;"Disqualified — Free Game",OR(INDEX('Game Records'!$E:$E,$H10)="",LOWER(INDEX('Game Records'!$E:$E,$H10)&amp;"")="n/a")),"Game Type; ","")&amp;IF(INDEX('Game Records'!$F:$F,$H10)="","Payment Type; ","")&amp;IF(AND(INDEX('Game Records'!$U:$U,$H10)&lt;&gt;"Subscription",INDEX('Game Records'!$U:$U,$H10)&lt;&gt;"Free Game",INDEX('Game Records'!$U:$U,$H10)&lt;&gt;"Disqualified — Free Game",INDEX('Game Records'!$G:$G,$H10)=""),"Gross Pot; ","")&amp;IF(AND(INDEX('Game Records'!$U:$U,$H10)&lt;&gt;"Free Game",INDEX('Game Records'!$U:$U,$H10)&lt;&gt;"Disqualified — Free Game",INDEX('Game Records'!$H:$H,$H10)=""),"Entry Fee; ","")&amp;IF(AND(INDEX('Game Records'!$U:$U,$H10)&lt;&gt;"Subscription",INDEX('Game Records'!$U:$U,$H10)&lt;&gt;"Free Game",INDEX('Game Records'!$U:$U,$H10)&lt;&gt;"Disqualified — Free Game",INDEX('Game Records'!$I:$I,$H10)=""),"Eligible Players; ","")&amp;IF(AND(INDEX('Game Records'!$U:$U,$H10)&lt;&gt;"Subscription",INDEX('Game Records'!$U:$U,$H10)&lt;&gt;"Free Game",INDEX('Game Records'!$U:$U,$H10)&lt;&gt;"Disqualified — Free Game",INDEX('Game Records'!$J:$J,$H10)=""),"Total Players; ","")&amp;IF(AND(LOWER(INDEX('Game Records'!$D:$D,$H10)&amp;"")="finalized",LOWER(INDEX('Game Records'!$L:$L,$H10)&amp;"")&lt;&gt;"yes",INDEX('Game Records'!$U:$U,$H10)&lt;&gt;"Subscription",INDEX('Game Records'!$U:$U,$H10)&lt;&gt;"Free Game",INDEX('Game Records'!$U:$U,$H10)&lt;&gt;"Disqualified — Free Game",INDEX('Game Records'!$K:$K,$H10)=""),"Final Earned; ","")&amp;IF(AND(LOWER(INDEX('Game Records'!$D:$D,$H10)&amp;"")="finalized",INDEX('Game Records'!$U:$U,$H10)&lt;&gt;"Subscription",INDEX('Game Records'!$U:$U,$H10)&lt;&gt;"Free Game",INDEX('Game Records'!$U:$U,$H10)&lt;&gt;"Disqualified — Free Game",OR(INDEX('Game Records'!$L:$L,$H10)="",LOWER(INDEX('Game Records'!$L:$L,$H10)&amp;"")="n/a")),"Disqualified Status; ",""))</x:f>
        <x:v/>
      </x:c>
      <x:c r="G10" s="331" t="str">
        <x:f>IF($H10="","",IFERROR(INDEX('Game Records'!$M:$M,$H10),""))</x:f>
        <x:v/>
      </x:c>
      <x:c r="H10" s="104" t="str">
        <x:f>IF($H9="","",IFERROR(MATCH(1,INDEX((ROW('Game Records'!$U$5:$U$504)&gt;$H9)*(('Game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 s="980" t="str">
        <x:v>Free Games</x:v>
      </x:c>
      <x:c r="J10" s="981" t="n">
        <x:f>COUNTIF('Game Records'!$U$5:$U$504,"Free Game")+COUNTIF('Game Records'!$U$5:$U$504,"Disqualified — Free Game")</x:f>
        <x:v>0</x:v>
      </x:c>
    </x:row>
    <x:row r="11" ht="24" hidden="0" customHeight="1">
      <x:c r="A11" s="332" t="str">
        <x:f>IF($H11="","",ROWS($A$5:A11))</x:f>
        <x:v/>
      </x:c>
      <x:c r="B11" s="332" t="str">
        <x:f>IF($H11="","","G-"&amp;TEXT($A11,"0000"))</x:f>
        <x:v/>
      </x:c>
      <x:c r="C11" s="331" t="str">
        <x:f>IF($H11="","",IFERROR(INDEX('Game Records'!$A:$A,$H11),""))</x:f>
        <x:v/>
      </x:c>
      <x:c r="D11" s="331" t="str">
        <x:f>IF($H11="","",IFERROR(INDEX('Game Records'!$U:$U,$H11),""))</x:f>
        <x:v/>
      </x:c>
      <x:c r="E11" s="331" t="str">
        <x:f>IF($H11="","",IF($F11="","No Highlighted Fields","Highlighted Fields Present"))</x:f>
        <x:v/>
      </x:c>
      <x:c r="F11" s="331" t="str">
        <x:f>IF($H11="","",IF(INDEX('Game Records'!$B:$B,$H11)="","Start Date; ","")&amp;IF(INDEX('Game Records'!$C:$C,$H11)="","End Date; ","")&amp;IF(AND(INDEX('Game Records'!$U:$U,$H11)&lt;&gt;"Subscription",INDEX('Game Records'!$U:$U,$H11)&lt;&gt;"Free Game",INDEX('Game Records'!$U:$U,$H11)&lt;&gt;"Disqualified — Free Game",OR(INDEX('Game Records'!$D:$D,$H11)="",LOWER(INDEX('Game Records'!$D:$D,$H11)&amp;"")="n/a")),"Entry Mode; ","")&amp;IF(AND(INDEX('Game Records'!$U:$U,$H11)&lt;&gt;"Subscription",INDEX('Game Records'!$U:$U,$H11)&lt;&gt;"Free Game",INDEX('Game Records'!$U:$U,$H11)&lt;&gt;"Disqualified — Free Game",OR(INDEX('Game Records'!$E:$E,$H11)="",LOWER(INDEX('Game Records'!$E:$E,$H11)&amp;"")="n/a")),"Game Type; ","")&amp;IF(INDEX('Game Records'!$F:$F,$H11)="","Payment Type; ","")&amp;IF(AND(INDEX('Game Records'!$U:$U,$H11)&lt;&gt;"Subscription",INDEX('Game Records'!$U:$U,$H11)&lt;&gt;"Free Game",INDEX('Game Records'!$U:$U,$H11)&lt;&gt;"Disqualified — Free Game",INDEX('Game Records'!$G:$G,$H11)=""),"Gross Pot; ","")&amp;IF(AND(INDEX('Game Records'!$U:$U,$H11)&lt;&gt;"Free Game",INDEX('Game Records'!$U:$U,$H11)&lt;&gt;"Disqualified — Free Game",INDEX('Game Records'!$H:$H,$H11)=""),"Entry Fee; ","")&amp;IF(AND(INDEX('Game Records'!$U:$U,$H11)&lt;&gt;"Subscription",INDEX('Game Records'!$U:$U,$H11)&lt;&gt;"Free Game",INDEX('Game Records'!$U:$U,$H11)&lt;&gt;"Disqualified — Free Game",INDEX('Game Records'!$I:$I,$H11)=""),"Eligible Players; ","")&amp;IF(AND(INDEX('Game Records'!$U:$U,$H11)&lt;&gt;"Subscription",INDEX('Game Records'!$U:$U,$H11)&lt;&gt;"Free Game",INDEX('Game Records'!$U:$U,$H11)&lt;&gt;"Disqualified — Free Game",INDEX('Game Records'!$J:$J,$H11)=""),"Total Players; ","")&amp;IF(AND(LOWER(INDEX('Game Records'!$D:$D,$H11)&amp;"")="finalized",LOWER(INDEX('Game Records'!$L:$L,$H11)&amp;"")&lt;&gt;"yes",INDEX('Game Records'!$U:$U,$H11)&lt;&gt;"Subscription",INDEX('Game Records'!$U:$U,$H11)&lt;&gt;"Free Game",INDEX('Game Records'!$U:$U,$H11)&lt;&gt;"Disqualified — Free Game",INDEX('Game Records'!$K:$K,$H11)=""),"Final Earned; ","")&amp;IF(AND(LOWER(INDEX('Game Records'!$D:$D,$H11)&amp;"")="finalized",INDEX('Game Records'!$U:$U,$H11)&lt;&gt;"Subscription",INDEX('Game Records'!$U:$U,$H11)&lt;&gt;"Free Game",INDEX('Game Records'!$U:$U,$H11)&lt;&gt;"Disqualified — Free Game",OR(INDEX('Game Records'!$L:$L,$H11)="",LOWER(INDEX('Game Records'!$L:$L,$H11)&amp;"")="n/a")),"Disqualified Status; ",""))</x:f>
        <x:v/>
      </x:c>
      <x:c r="G11" s="331" t="str">
        <x:f>IF($H11="","",IFERROR(INDEX('Game Records'!$M:$M,$H11),""))</x:f>
        <x:v/>
      </x:c>
      <x:c r="H11" s="104" t="str">
        <x:f>IF($H10="","",IFERROR(MATCH(1,INDEX((ROW('Game Records'!$U$5:$U$504)&gt;$H10)*(('Game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 s="980" t="str">
        <x:v>Points Games</x:v>
      </x:c>
      <x:c r="J11" s="981" t="n">
        <x:f>COUNTIF('Game Records'!$F$5:$F$504,"Points")</x:f>
        <x:v>0</x:v>
      </x:c>
    </x:row>
    <x:row r="12" ht="24" hidden="0" customHeight="1">
      <x:c r="A12" s="332" t="str">
        <x:f>IF($H12="","",ROWS($A$5:A12))</x:f>
        <x:v/>
      </x:c>
      <x:c r="B12" s="332" t="str">
        <x:f>IF($H12="","","G-"&amp;TEXT($A12,"0000"))</x:f>
        <x:v/>
      </x:c>
      <x:c r="C12" s="331" t="str">
        <x:f>IF($H12="","",IFERROR(INDEX('Game Records'!$A:$A,$H12),""))</x:f>
        <x:v/>
      </x:c>
      <x:c r="D12" s="331" t="str">
        <x:f>IF($H12="","",IFERROR(INDEX('Game Records'!$U:$U,$H12),""))</x:f>
        <x:v/>
      </x:c>
      <x:c r="E12" s="331" t="str">
        <x:f>IF($H12="","",IF($F12="","No Highlighted Fields","Highlighted Fields Present"))</x:f>
        <x:v/>
      </x:c>
      <x:c r="F12" s="331" t="str">
        <x:f>IF($H12="","",IF(INDEX('Game Records'!$B:$B,$H12)="","Start Date; ","")&amp;IF(INDEX('Game Records'!$C:$C,$H12)="","End Date; ","")&amp;IF(AND(INDEX('Game Records'!$U:$U,$H12)&lt;&gt;"Subscription",INDEX('Game Records'!$U:$U,$H12)&lt;&gt;"Free Game",INDEX('Game Records'!$U:$U,$H12)&lt;&gt;"Disqualified — Free Game",OR(INDEX('Game Records'!$D:$D,$H12)="",LOWER(INDEX('Game Records'!$D:$D,$H12)&amp;"")="n/a")),"Entry Mode; ","")&amp;IF(AND(INDEX('Game Records'!$U:$U,$H12)&lt;&gt;"Subscription",INDEX('Game Records'!$U:$U,$H12)&lt;&gt;"Free Game",INDEX('Game Records'!$U:$U,$H12)&lt;&gt;"Disqualified — Free Game",OR(INDEX('Game Records'!$E:$E,$H12)="",LOWER(INDEX('Game Records'!$E:$E,$H12)&amp;"")="n/a")),"Game Type; ","")&amp;IF(INDEX('Game Records'!$F:$F,$H12)="","Payment Type; ","")&amp;IF(AND(INDEX('Game Records'!$U:$U,$H12)&lt;&gt;"Subscription",INDEX('Game Records'!$U:$U,$H12)&lt;&gt;"Free Game",INDEX('Game Records'!$U:$U,$H12)&lt;&gt;"Disqualified — Free Game",INDEX('Game Records'!$G:$G,$H12)=""),"Gross Pot; ","")&amp;IF(AND(INDEX('Game Records'!$U:$U,$H12)&lt;&gt;"Free Game",INDEX('Game Records'!$U:$U,$H12)&lt;&gt;"Disqualified — Free Game",INDEX('Game Records'!$H:$H,$H12)=""),"Entry Fee; ","")&amp;IF(AND(INDEX('Game Records'!$U:$U,$H12)&lt;&gt;"Subscription",INDEX('Game Records'!$U:$U,$H12)&lt;&gt;"Free Game",INDEX('Game Records'!$U:$U,$H12)&lt;&gt;"Disqualified — Free Game",INDEX('Game Records'!$I:$I,$H12)=""),"Eligible Players; ","")&amp;IF(AND(INDEX('Game Records'!$U:$U,$H12)&lt;&gt;"Subscription",INDEX('Game Records'!$U:$U,$H12)&lt;&gt;"Free Game",INDEX('Game Records'!$U:$U,$H12)&lt;&gt;"Disqualified — Free Game",INDEX('Game Records'!$J:$J,$H12)=""),"Total Players; ","")&amp;IF(AND(LOWER(INDEX('Game Records'!$D:$D,$H12)&amp;"")="finalized",LOWER(INDEX('Game Records'!$L:$L,$H12)&amp;"")&lt;&gt;"yes",INDEX('Game Records'!$U:$U,$H12)&lt;&gt;"Subscription",INDEX('Game Records'!$U:$U,$H12)&lt;&gt;"Free Game",INDEX('Game Records'!$U:$U,$H12)&lt;&gt;"Disqualified — Free Game",INDEX('Game Records'!$K:$K,$H12)=""),"Final Earned; ","")&amp;IF(AND(LOWER(INDEX('Game Records'!$D:$D,$H12)&amp;"")="finalized",INDEX('Game Records'!$U:$U,$H12)&lt;&gt;"Subscription",INDEX('Game Records'!$U:$U,$H12)&lt;&gt;"Free Game",INDEX('Game Records'!$U:$U,$H12)&lt;&gt;"Disqualified — Free Game",OR(INDEX('Game Records'!$L:$L,$H12)="",LOWER(INDEX('Game Records'!$L:$L,$H12)&amp;"")="n/a")),"Disqualified Status; ",""))</x:f>
        <x:v/>
      </x:c>
      <x:c r="G12" s="331" t="str">
        <x:f>IF($H12="","",IFERROR(INDEX('Game Records'!$M:$M,$H12),""))</x:f>
        <x:v/>
      </x:c>
      <x:c r="H12" s="104" t="str">
        <x:f>IF($H11="","",IFERROR(MATCH(1,INDEX((ROW('Game Records'!$U$5:$U$504)&gt;$H11)*(('Game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 s="980" t="str">
        <x:v>Cash / Hybrid Games</x:v>
      </x:c>
      <x:c r="J12" s="981" t="n">
        <x:f>COUNTIF('Game Records'!$F$5:$F$504,"Cash")+COUNTIF('Game Records'!$F$5:$F$504,"Hybrid")</x:f>
        <x:v>0</x:v>
      </x:c>
    </x:row>
    <x:row r="13" ht="24" hidden="0" customHeight="1">
      <x:c r="A13" s="332" t="str">
        <x:f>IF($H13="","",ROWS($A$5:A13))</x:f>
        <x:v/>
      </x:c>
      <x:c r="B13" s="332" t="str">
        <x:f>IF($H13="","","G-"&amp;TEXT($A13,"0000"))</x:f>
        <x:v/>
      </x:c>
      <x:c r="C13" s="331" t="str">
        <x:f>IF($H13="","",IFERROR(INDEX('Game Records'!$A:$A,$H13),""))</x:f>
        <x:v/>
      </x:c>
      <x:c r="D13" s="331" t="str">
        <x:f>IF($H13="","",IFERROR(INDEX('Game Records'!$U:$U,$H13),""))</x:f>
        <x:v/>
      </x:c>
      <x:c r="E13" s="331" t="str">
        <x:f>IF($H13="","",IF($F13="","No Highlighted Fields","Highlighted Fields Present"))</x:f>
        <x:v/>
      </x:c>
      <x:c r="F13" s="331" t="str">
        <x:f>IF($H13="","",IF(INDEX('Game Records'!$B:$B,$H13)="","Start Date; ","")&amp;IF(INDEX('Game Records'!$C:$C,$H13)="","End Date; ","")&amp;IF(AND(INDEX('Game Records'!$U:$U,$H13)&lt;&gt;"Subscription",INDEX('Game Records'!$U:$U,$H13)&lt;&gt;"Free Game",INDEX('Game Records'!$U:$U,$H13)&lt;&gt;"Disqualified — Free Game",OR(INDEX('Game Records'!$D:$D,$H13)="",LOWER(INDEX('Game Records'!$D:$D,$H13)&amp;"")="n/a")),"Entry Mode; ","")&amp;IF(AND(INDEX('Game Records'!$U:$U,$H13)&lt;&gt;"Subscription",INDEX('Game Records'!$U:$U,$H13)&lt;&gt;"Free Game",INDEX('Game Records'!$U:$U,$H13)&lt;&gt;"Disqualified — Free Game",OR(INDEX('Game Records'!$E:$E,$H13)="",LOWER(INDEX('Game Records'!$E:$E,$H13)&amp;"")="n/a")),"Game Type; ","")&amp;IF(INDEX('Game Records'!$F:$F,$H13)="","Payment Type; ","")&amp;IF(AND(INDEX('Game Records'!$U:$U,$H13)&lt;&gt;"Subscription",INDEX('Game Records'!$U:$U,$H13)&lt;&gt;"Free Game",INDEX('Game Records'!$U:$U,$H13)&lt;&gt;"Disqualified — Free Game",INDEX('Game Records'!$G:$G,$H13)=""),"Gross Pot; ","")&amp;IF(AND(INDEX('Game Records'!$U:$U,$H13)&lt;&gt;"Free Game",INDEX('Game Records'!$U:$U,$H13)&lt;&gt;"Disqualified — Free Game",INDEX('Game Records'!$H:$H,$H13)=""),"Entry Fee; ","")&amp;IF(AND(INDEX('Game Records'!$U:$U,$H13)&lt;&gt;"Subscription",INDEX('Game Records'!$U:$U,$H13)&lt;&gt;"Free Game",INDEX('Game Records'!$U:$U,$H13)&lt;&gt;"Disqualified — Free Game",INDEX('Game Records'!$I:$I,$H13)=""),"Eligible Players; ","")&amp;IF(AND(INDEX('Game Records'!$U:$U,$H13)&lt;&gt;"Subscription",INDEX('Game Records'!$U:$U,$H13)&lt;&gt;"Free Game",INDEX('Game Records'!$U:$U,$H13)&lt;&gt;"Disqualified — Free Game",INDEX('Game Records'!$J:$J,$H13)=""),"Total Players; ","")&amp;IF(AND(LOWER(INDEX('Game Records'!$D:$D,$H13)&amp;"")="finalized",LOWER(INDEX('Game Records'!$L:$L,$H13)&amp;"")&lt;&gt;"yes",INDEX('Game Records'!$U:$U,$H13)&lt;&gt;"Subscription",INDEX('Game Records'!$U:$U,$H13)&lt;&gt;"Free Game",INDEX('Game Records'!$U:$U,$H13)&lt;&gt;"Disqualified — Free Game",INDEX('Game Records'!$K:$K,$H13)=""),"Final Earned; ","")&amp;IF(AND(LOWER(INDEX('Game Records'!$D:$D,$H13)&amp;"")="finalized",INDEX('Game Records'!$U:$U,$H13)&lt;&gt;"Subscription",INDEX('Game Records'!$U:$U,$H13)&lt;&gt;"Free Game",INDEX('Game Records'!$U:$U,$H13)&lt;&gt;"Disqualified — Free Game",OR(INDEX('Game Records'!$L:$L,$H13)="",LOWER(INDEX('Game Records'!$L:$L,$H13)&amp;"")="n/a")),"Disqualified Status; ",""))</x:f>
        <x:v/>
      </x:c>
      <x:c r="G13" s="331" t="str">
        <x:f>IF($H13="","",IFERROR(INDEX('Game Records'!$M:$M,$H13),""))</x:f>
        <x:v/>
      </x:c>
      <x:c r="H13" s="104" t="str">
        <x:f>IF($H12="","",IFERROR(MATCH(1,INDEX((ROW('Game Records'!$U$5:$U$504)&gt;$H12)*(('Game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 s="104"/>
      <x:c r="J13" s="104"/>
    </x:row>
    <x:row r="14" ht="24" hidden="0" customHeight="1">
      <x:c r="A14" s="332" t="str">
        <x:f>IF($H14="","",ROWS($A$5:A14))</x:f>
        <x:v/>
      </x:c>
      <x:c r="B14" s="332" t="str">
        <x:f>IF($H14="","","G-"&amp;TEXT($A14,"0000"))</x:f>
        <x:v/>
      </x:c>
      <x:c r="C14" s="331" t="str">
        <x:f>IF($H14="","",IFERROR(INDEX('Game Records'!$A:$A,$H14),""))</x:f>
        <x:v/>
      </x:c>
      <x:c r="D14" s="331" t="str">
        <x:f>IF($H14="","",IFERROR(INDEX('Game Records'!$U:$U,$H14),""))</x:f>
        <x:v/>
      </x:c>
      <x:c r="E14" s="331" t="str">
        <x:f>IF($H14="","",IF($F14="","No Highlighted Fields","Highlighted Fields Present"))</x:f>
        <x:v/>
      </x:c>
      <x:c r="F14" s="331" t="str">
        <x:f>IF($H14="","",IF(INDEX('Game Records'!$B:$B,$H14)="","Start Date; ","")&amp;IF(INDEX('Game Records'!$C:$C,$H14)="","End Date; ","")&amp;IF(AND(INDEX('Game Records'!$U:$U,$H14)&lt;&gt;"Subscription",INDEX('Game Records'!$U:$U,$H14)&lt;&gt;"Free Game",INDEX('Game Records'!$U:$U,$H14)&lt;&gt;"Disqualified — Free Game",OR(INDEX('Game Records'!$D:$D,$H14)="",LOWER(INDEX('Game Records'!$D:$D,$H14)&amp;"")="n/a")),"Entry Mode; ","")&amp;IF(AND(INDEX('Game Records'!$U:$U,$H14)&lt;&gt;"Subscription",INDEX('Game Records'!$U:$U,$H14)&lt;&gt;"Free Game",INDEX('Game Records'!$U:$U,$H14)&lt;&gt;"Disqualified — Free Game",OR(INDEX('Game Records'!$E:$E,$H14)="",LOWER(INDEX('Game Records'!$E:$E,$H14)&amp;"")="n/a")),"Game Type; ","")&amp;IF(INDEX('Game Records'!$F:$F,$H14)="","Payment Type; ","")&amp;IF(AND(INDEX('Game Records'!$U:$U,$H14)&lt;&gt;"Subscription",INDEX('Game Records'!$U:$U,$H14)&lt;&gt;"Free Game",INDEX('Game Records'!$U:$U,$H14)&lt;&gt;"Disqualified — Free Game",INDEX('Game Records'!$G:$G,$H14)=""),"Gross Pot; ","")&amp;IF(AND(INDEX('Game Records'!$U:$U,$H14)&lt;&gt;"Free Game",INDEX('Game Records'!$U:$U,$H14)&lt;&gt;"Disqualified — Free Game",INDEX('Game Records'!$H:$H,$H14)=""),"Entry Fee; ","")&amp;IF(AND(INDEX('Game Records'!$U:$U,$H14)&lt;&gt;"Subscription",INDEX('Game Records'!$U:$U,$H14)&lt;&gt;"Free Game",INDEX('Game Records'!$U:$U,$H14)&lt;&gt;"Disqualified — Free Game",INDEX('Game Records'!$I:$I,$H14)=""),"Eligible Players; ","")&amp;IF(AND(INDEX('Game Records'!$U:$U,$H14)&lt;&gt;"Subscription",INDEX('Game Records'!$U:$U,$H14)&lt;&gt;"Free Game",INDEX('Game Records'!$U:$U,$H14)&lt;&gt;"Disqualified — Free Game",INDEX('Game Records'!$J:$J,$H14)=""),"Total Players; ","")&amp;IF(AND(LOWER(INDEX('Game Records'!$D:$D,$H14)&amp;"")="finalized",LOWER(INDEX('Game Records'!$L:$L,$H14)&amp;"")&lt;&gt;"yes",INDEX('Game Records'!$U:$U,$H14)&lt;&gt;"Subscription",INDEX('Game Records'!$U:$U,$H14)&lt;&gt;"Free Game",INDEX('Game Records'!$U:$U,$H14)&lt;&gt;"Disqualified — Free Game",INDEX('Game Records'!$K:$K,$H14)=""),"Final Earned; ","")&amp;IF(AND(LOWER(INDEX('Game Records'!$D:$D,$H14)&amp;"")="finalized",INDEX('Game Records'!$U:$U,$H14)&lt;&gt;"Subscription",INDEX('Game Records'!$U:$U,$H14)&lt;&gt;"Free Game",INDEX('Game Records'!$U:$U,$H14)&lt;&gt;"Disqualified — Free Game",OR(INDEX('Game Records'!$L:$L,$H14)="",LOWER(INDEX('Game Records'!$L:$L,$H14)&amp;"")="n/a")),"Disqualified Status; ",""))</x:f>
        <x:v/>
      </x:c>
      <x:c r="G14" s="331" t="str">
        <x:f>IF($H14="","",IFERROR(INDEX('Game Records'!$M:$M,$H14),""))</x:f>
        <x:v/>
      </x:c>
      <x:c r="H14" s="104" t="str">
        <x:f>IF($H13="","",IFERROR(MATCH(1,INDEX((ROW('Game Records'!$U$5:$U$504)&gt;$H13)*(('Game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 s="104"/>
      <x:c r="J14" s="104"/>
    </x:row>
    <x:row r="15" ht="24" hidden="0" customHeight="1">
      <x:c r="A15" s="332" t="str">
        <x:f>IF($H15="","",ROWS($A$5:A15))</x:f>
        <x:v/>
      </x:c>
      <x:c r="B15" s="332" t="str">
        <x:f>IF($H15="","","G-"&amp;TEXT($A15,"0000"))</x:f>
        <x:v/>
      </x:c>
      <x:c r="C15" s="331" t="str">
        <x:f>IF($H15="","",IFERROR(INDEX('Game Records'!$A:$A,$H15),""))</x:f>
        <x:v/>
      </x:c>
      <x:c r="D15" s="331" t="str">
        <x:f>IF($H15="","",IFERROR(INDEX('Game Records'!$U:$U,$H15),""))</x:f>
        <x:v/>
      </x:c>
      <x:c r="E15" s="331" t="str">
        <x:f>IF($H15="","",IF($F15="","No Highlighted Fields","Highlighted Fields Present"))</x:f>
        <x:v/>
      </x:c>
      <x:c r="F15" s="331" t="str">
        <x:f>IF($H15="","",IF(INDEX('Game Records'!$B:$B,$H15)="","Start Date; ","")&amp;IF(INDEX('Game Records'!$C:$C,$H15)="","End Date; ","")&amp;IF(AND(INDEX('Game Records'!$U:$U,$H15)&lt;&gt;"Subscription",INDEX('Game Records'!$U:$U,$H15)&lt;&gt;"Free Game",INDEX('Game Records'!$U:$U,$H15)&lt;&gt;"Disqualified — Free Game",OR(INDEX('Game Records'!$D:$D,$H15)="",LOWER(INDEX('Game Records'!$D:$D,$H15)&amp;"")="n/a")),"Entry Mode; ","")&amp;IF(AND(INDEX('Game Records'!$U:$U,$H15)&lt;&gt;"Subscription",INDEX('Game Records'!$U:$U,$H15)&lt;&gt;"Free Game",INDEX('Game Records'!$U:$U,$H15)&lt;&gt;"Disqualified — Free Game",OR(INDEX('Game Records'!$E:$E,$H15)="",LOWER(INDEX('Game Records'!$E:$E,$H15)&amp;"")="n/a")),"Game Type; ","")&amp;IF(INDEX('Game Records'!$F:$F,$H15)="","Payment Type; ","")&amp;IF(AND(INDEX('Game Records'!$U:$U,$H15)&lt;&gt;"Subscription",INDEX('Game Records'!$U:$U,$H15)&lt;&gt;"Free Game",INDEX('Game Records'!$U:$U,$H15)&lt;&gt;"Disqualified — Free Game",INDEX('Game Records'!$G:$G,$H15)=""),"Gross Pot; ","")&amp;IF(AND(INDEX('Game Records'!$U:$U,$H15)&lt;&gt;"Free Game",INDEX('Game Records'!$U:$U,$H15)&lt;&gt;"Disqualified — Free Game",INDEX('Game Records'!$H:$H,$H15)=""),"Entry Fee; ","")&amp;IF(AND(INDEX('Game Records'!$U:$U,$H15)&lt;&gt;"Subscription",INDEX('Game Records'!$U:$U,$H15)&lt;&gt;"Free Game",INDEX('Game Records'!$U:$U,$H15)&lt;&gt;"Disqualified — Free Game",INDEX('Game Records'!$I:$I,$H15)=""),"Eligible Players; ","")&amp;IF(AND(INDEX('Game Records'!$U:$U,$H15)&lt;&gt;"Subscription",INDEX('Game Records'!$U:$U,$H15)&lt;&gt;"Free Game",INDEX('Game Records'!$U:$U,$H15)&lt;&gt;"Disqualified — Free Game",INDEX('Game Records'!$J:$J,$H15)=""),"Total Players; ","")&amp;IF(AND(LOWER(INDEX('Game Records'!$D:$D,$H15)&amp;"")="finalized",LOWER(INDEX('Game Records'!$L:$L,$H15)&amp;"")&lt;&gt;"yes",INDEX('Game Records'!$U:$U,$H15)&lt;&gt;"Subscription",INDEX('Game Records'!$U:$U,$H15)&lt;&gt;"Free Game",INDEX('Game Records'!$U:$U,$H15)&lt;&gt;"Disqualified — Free Game",INDEX('Game Records'!$K:$K,$H15)=""),"Final Earned; ","")&amp;IF(AND(LOWER(INDEX('Game Records'!$D:$D,$H15)&amp;"")="finalized",INDEX('Game Records'!$U:$U,$H15)&lt;&gt;"Subscription",INDEX('Game Records'!$U:$U,$H15)&lt;&gt;"Free Game",INDEX('Game Records'!$U:$U,$H15)&lt;&gt;"Disqualified — Free Game",OR(INDEX('Game Records'!$L:$L,$H15)="",LOWER(INDEX('Game Records'!$L:$L,$H15)&amp;"")="n/a")),"Disqualified Status; ",""))</x:f>
        <x:v/>
      </x:c>
      <x:c r="G15" s="331" t="str">
        <x:f>IF($H15="","",IFERROR(INDEX('Game Records'!$M:$M,$H15),""))</x:f>
        <x:v/>
      </x:c>
      <x:c r="H15" s="104" t="str">
        <x:f>IF($H14="","",IFERROR(MATCH(1,INDEX((ROW('Game Records'!$U$5:$U$504)&gt;$H14)*(('Game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 s="104"/>
      <x:c r="J15" s="104"/>
    </x:row>
    <x:row r="16" ht="24" hidden="0" customHeight="1">
      <x:c r="A16" s="332" t="str">
        <x:f>IF($H16="","",ROWS($A$5:A16))</x:f>
        <x:v/>
      </x:c>
      <x:c r="B16" s="332" t="str">
        <x:f>IF($H16="","","G-"&amp;TEXT($A16,"0000"))</x:f>
        <x:v/>
      </x:c>
      <x:c r="C16" s="331" t="str">
        <x:f>IF($H16="","",IFERROR(INDEX('Game Records'!$A:$A,$H16),""))</x:f>
        <x:v/>
      </x:c>
      <x:c r="D16" s="331" t="str">
        <x:f>IF($H16="","",IFERROR(INDEX('Game Records'!$U:$U,$H16),""))</x:f>
        <x:v/>
      </x:c>
      <x:c r="E16" s="331" t="str">
        <x:f>IF($H16="","",IF($F16="","No Highlighted Fields","Highlighted Fields Present"))</x:f>
        <x:v/>
      </x:c>
      <x:c r="F16" s="331" t="str">
        <x:f>IF($H16="","",IF(INDEX('Game Records'!$B:$B,$H16)="","Start Date; ","")&amp;IF(INDEX('Game Records'!$C:$C,$H16)="","End Date; ","")&amp;IF(AND(INDEX('Game Records'!$U:$U,$H16)&lt;&gt;"Subscription",INDEX('Game Records'!$U:$U,$H16)&lt;&gt;"Free Game",INDEX('Game Records'!$U:$U,$H16)&lt;&gt;"Disqualified — Free Game",OR(INDEX('Game Records'!$D:$D,$H16)="",LOWER(INDEX('Game Records'!$D:$D,$H16)&amp;"")="n/a")),"Entry Mode; ","")&amp;IF(AND(INDEX('Game Records'!$U:$U,$H16)&lt;&gt;"Subscription",INDEX('Game Records'!$U:$U,$H16)&lt;&gt;"Free Game",INDEX('Game Records'!$U:$U,$H16)&lt;&gt;"Disqualified — Free Game",OR(INDEX('Game Records'!$E:$E,$H16)="",LOWER(INDEX('Game Records'!$E:$E,$H16)&amp;"")="n/a")),"Game Type; ","")&amp;IF(INDEX('Game Records'!$F:$F,$H16)="","Payment Type; ","")&amp;IF(AND(INDEX('Game Records'!$U:$U,$H16)&lt;&gt;"Subscription",INDEX('Game Records'!$U:$U,$H16)&lt;&gt;"Free Game",INDEX('Game Records'!$U:$U,$H16)&lt;&gt;"Disqualified — Free Game",INDEX('Game Records'!$G:$G,$H16)=""),"Gross Pot; ","")&amp;IF(AND(INDEX('Game Records'!$U:$U,$H16)&lt;&gt;"Free Game",INDEX('Game Records'!$U:$U,$H16)&lt;&gt;"Disqualified — Free Game",INDEX('Game Records'!$H:$H,$H16)=""),"Entry Fee; ","")&amp;IF(AND(INDEX('Game Records'!$U:$U,$H16)&lt;&gt;"Subscription",INDEX('Game Records'!$U:$U,$H16)&lt;&gt;"Free Game",INDEX('Game Records'!$U:$U,$H16)&lt;&gt;"Disqualified — Free Game",INDEX('Game Records'!$I:$I,$H16)=""),"Eligible Players; ","")&amp;IF(AND(INDEX('Game Records'!$U:$U,$H16)&lt;&gt;"Subscription",INDEX('Game Records'!$U:$U,$H16)&lt;&gt;"Free Game",INDEX('Game Records'!$U:$U,$H16)&lt;&gt;"Disqualified — Free Game",INDEX('Game Records'!$J:$J,$H16)=""),"Total Players; ","")&amp;IF(AND(LOWER(INDEX('Game Records'!$D:$D,$H16)&amp;"")="finalized",LOWER(INDEX('Game Records'!$L:$L,$H16)&amp;"")&lt;&gt;"yes",INDEX('Game Records'!$U:$U,$H16)&lt;&gt;"Subscription",INDEX('Game Records'!$U:$U,$H16)&lt;&gt;"Free Game",INDEX('Game Records'!$U:$U,$H16)&lt;&gt;"Disqualified — Free Game",INDEX('Game Records'!$K:$K,$H16)=""),"Final Earned; ","")&amp;IF(AND(LOWER(INDEX('Game Records'!$D:$D,$H16)&amp;"")="finalized",INDEX('Game Records'!$U:$U,$H16)&lt;&gt;"Subscription",INDEX('Game Records'!$U:$U,$H16)&lt;&gt;"Free Game",INDEX('Game Records'!$U:$U,$H16)&lt;&gt;"Disqualified — Free Game",OR(INDEX('Game Records'!$L:$L,$H16)="",LOWER(INDEX('Game Records'!$L:$L,$H16)&amp;"")="n/a")),"Disqualified Status; ",""))</x:f>
        <x:v/>
      </x:c>
      <x:c r="G16" s="331" t="str">
        <x:f>IF($H16="","",IFERROR(INDEX('Game Records'!$M:$M,$H16),""))</x:f>
        <x:v/>
      </x:c>
      <x:c r="H16" s="104" t="str">
        <x:f>IF($H15="","",IFERROR(MATCH(1,INDEX((ROW('Game Records'!$U$5:$U$504)&gt;$H15)*(('Game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 s="104"/>
      <x:c r="J16" s="104"/>
    </x:row>
    <x:row r="17" ht="24" hidden="0" customHeight="1">
      <x:c r="A17" s="332" t="str">
        <x:f>IF($H17="","",ROWS($A$5:A17))</x:f>
        <x:v/>
      </x:c>
      <x:c r="B17" s="332" t="str">
        <x:f>IF($H17="","","G-"&amp;TEXT($A17,"0000"))</x:f>
        <x:v/>
      </x:c>
      <x:c r="C17" s="331" t="str">
        <x:f>IF($H17="","",IFERROR(INDEX('Game Records'!$A:$A,$H17),""))</x:f>
        <x:v/>
      </x:c>
      <x:c r="D17" s="331" t="str">
        <x:f>IF($H17="","",IFERROR(INDEX('Game Records'!$U:$U,$H17),""))</x:f>
        <x:v/>
      </x:c>
      <x:c r="E17" s="331" t="str">
        <x:f>IF($H17="","",IF($F17="","No Highlighted Fields","Highlighted Fields Present"))</x:f>
        <x:v/>
      </x:c>
      <x:c r="F17" s="331" t="str">
        <x:f>IF($H17="","",IF(INDEX('Game Records'!$B:$B,$H17)="","Start Date; ","")&amp;IF(INDEX('Game Records'!$C:$C,$H17)="","End Date; ","")&amp;IF(AND(INDEX('Game Records'!$U:$U,$H17)&lt;&gt;"Subscription",INDEX('Game Records'!$U:$U,$H17)&lt;&gt;"Free Game",INDEX('Game Records'!$U:$U,$H17)&lt;&gt;"Disqualified — Free Game",OR(INDEX('Game Records'!$D:$D,$H17)="",LOWER(INDEX('Game Records'!$D:$D,$H17)&amp;"")="n/a")),"Entry Mode; ","")&amp;IF(AND(INDEX('Game Records'!$U:$U,$H17)&lt;&gt;"Subscription",INDEX('Game Records'!$U:$U,$H17)&lt;&gt;"Free Game",INDEX('Game Records'!$U:$U,$H17)&lt;&gt;"Disqualified — Free Game",OR(INDEX('Game Records'!$E:$E,$H17)="",LOWER(INDEX('Game Records'!$E:$E,$H17)&amp;"")="n/a")),"Game Type; ","")&amp;IF(INDEX('Game Records'!$F:$F,$H17)="","Payment Type; ","")&amp;IF(AND(INDEX('Game Records'!$U:$U,$H17)&lt;&gt;"Subscription",INDEX('Game Records'!$U:$U,$H17)&lt;&gt;"Free Game",INDEX('Game Records'!$U:$U,$H17)&lt;&gt;"Disqualified — Free Game",INDEX('Game Records'!$G:$G,$H17)=""),"Gross Pot; ","")&amp;IF(AND(INDEX('Game Records'!$U:$U,$H17)&lt;&gt;"Free Game",INDEX('Game Records'!$U:$U,$H17)&lt;&gt;"Disqualified — Free Game",INDEX('Game Records'!$H:$H,$H17)=""),"Entry Fee; ","")&amp;IF(AND(INDEX('Game Records'!$U:$U,$H17)&lt;&gt;"Subscription",INDEX('Game Records'!$U:$U,$H17)&lt;&gt;"Free Game",INDEX('Game Records'!$U:$U,$H17)&lt;&gt;"Disqualified — Free Game",INDEX('Game Records'!$I:$I,$H17)=""),"Eligible Players; ","")&amp;IF(AND(INDEX('Game Records'!$U:$U,$H17)&lt;&gt;"Subscription",INDEX('Game Records'!$U:$U,$H17)&lt;&gt;"Free Game",INDEX('Game Records'!$U:$U,$H17)&lt;&gt;"Disqualified — Free Game",INDEX('Game Records'!$J:$J,$H17)=""),"Total Players; ","")&amp;IF(AND(LOWER(INDEX('Game Records'!$D:$D,$H17)&amp;"")="finalized",LOWER(INDEX('Game Records'!$L:$L,$H17)&amp;"")&lt;&gt;"yes",INDEX('Game Records'!$U:$U,$H17)&lt;&gt;"Subscription",INDEX('Game Records'!$U:$U,$H17)&lt;&gt;"Free Game",INDEX('Game Records'!$U:$U,$H17)&lt;&gt;"Disqualified — Free Game",INDEX('Game Records'!$K:$K,$H17)=""),"Final Earned; ","")&amp;IF(AND(LOWER(INDEX('Game Records'!$D:$D,$H17)&amp;"")="finalized",INDEX('Game Records'!$U:$U,$H17)&lt;&gt;"Subscription",INDEX('Game Records'!$U:$U,$H17)&lt;&gt;"Free Game",INDEX('Game Records'!$U:$U,$H17)&lt;&gt;"Disqualified — Free Game",OR(INDEX('Game Records'!$L:$L,$H17)="",LOWER(INDEX('Game Records'!$L:$L,$H17)&amp;"")="n/a")),"Disqualified Status; ",""))</x:f>
        <x:v/>
      </x:c>
      <x:c r="G17" s="331" t="str">
        <x:f>IF($H17="","",IFERROR(INDEX('Game Records'!$M:$M,$H17),""))</x:f>
        <x:v/>
      </x:c>
      <x:c r="H17" s="104" t="str">
        <x:f>IF($H16="","",IFERROR(MATCH(1,INDEX((ROW('Game Records'!$U$5:$U$504)&gt;$H16)*(('Game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 s="104"/>
      <x:c r="J17" s="104"/>
    </x:row>
    <x:row r="18" ht="24" hidden="0" customHeight="1">
      <x:c r="A18" s="332" t="str">
        <x:f>IF($H18="","",ROWS($A$5:A18))</x:f>
        <x:v/>
      </x:c>
      <x:c r="B18" s="332" t="str">
        <x:f>IF($H18="","","G-"&amp;TEXT($A18,"0000"))</x:f>
        <x:v/>
      </x:c>
      <x:c r="C18" s="331" t="str">
        <x:f>IF($H18="","",IFERROR(INDEX('Game Records'!$A:$A,$H18),""))</x:f>
        <x:v/>
      </x:c>
      <x:c r="D18" s="331" t="str">
        <x:f>IF($H18="","",IFERROR(INDEX('Game Records'!$U:$U,$H18),""))</x:f>
        <x:v/>
      </x:c>
      <x:c r="E18" s="331" t="str">
        <x:f>IF($H18="","",IF($F18="","No Highlighted Fields","Highlighted Fields Present"))</x:f>
        <x:v/>
      </x:c>
      <x:c r="F18" s="331" t="str">
        <x:f>IF($H18="","",IF(INDEX('Game Records'!$B:$B,$H18)="","Start Date; ","")&amp;IF(INDEX('Game Records'!$C:$C,$H18)="","End Date; ","")&amp;IF(AND(INDEX('Game Records'!$U:$U,$H18)&lt;&gt;"Subscription",INDEX('Game Records'!$U:$U,$H18)&lt;&gt;"Free Game",INDEX('Game Records'!$U:$U,$H18)&lt;&gt;"Disqualified — Free Game",OR(INDEX('Game Records'!$D:$D,$H18)="",LOWER(INDEX('Game Records'!$D:$D,$H18)&amp;"")="n/a")),"Entry Mode; ","")&amp;IF(AND(INDEX('Game Records'!$U:$U,$H18)&lt;&gt;"Subscription",INDEX('Game Records'!$U:$U,$H18)&lt;&gt;"Free Game",INDEX('Game Records'!$U:$U,$H18)&lt;&gt;"Disqualified — Free Game",OR(INDEX('Game Records'!$E:$E,$H18)="",LOWER(INDEX('Game Records'!$E:$E,$H18)&amp;"")="n/a")),"Game Type; ","")&amp;IF(INDEX('Game Records'!$F:$F,$H18)="","Payment Type; ","")&amp;IF(AND(INDEX('Game Records'!$U:$U,$H18)&lt;&gt;"Subscription",INDEX('Game Records'!$U:$U,$H18)&lt;&gt;"Free Game",INDEX('Game Records'!$U:$U,$H18)&lt;&gt;"Disqualified — Free Game",INDEX('Game Records'!$G:$G,$H18)=""),"Gross Pot; ","")&amp;IF(AND(INDEX('Game Records'!$U:$U,$H18)&lt;&gt;"Free Game",INDEX('Game Records'!$U:$U,$H18)&lt;&gt;"Disqualified — Free Game",INDEX('Game Records'!$H:$H,$H18)=""),"Entry Fee; ","")&amp;IF(AND(INDEX('Game Records'!$U:$U,$H18)&lt;&gt;"Subscription",INDEX('Game Records'!$U:$U,$H18)&lt;&gt;"Free Game",INDEX('Game Records'!$U:$U,$H18)&lt;&gt;"Disqualified — Free Game",INDEX('Game Records'!$I:$I,$H18)=""),"Eligible Players; ","")&amp;IF(AND(INDEX('Game Records'!$U:$U,$H18)&lt;&gt;"Subscription",INDEX('Game Records'!$U:$U,$H18)&lt;&gt;"Free Game",INDEX('Game Records'!$U:$U,$H18)&lt;&gt;"Disqualified — Free Game",INDEX('Game Records'!$J:$J,$H18)=""),"Total Players; ","")&amp;IF(AND(LOWER(INDEX('Game Records'!$D:$D,$H18)&amp;"")="finalized",LOWER(INDEX('Game Records'!$L:$L,$H18)&amp;"")&lt;&gt;"yes",INDEX('Game Records'!$U:$U,$H18)&lt;&gt;"Subscription",INDEX('Game Records'!$U:$U,$H18)&lt;&gt;"Free Game",INDEX('Game Records'!$U:$U,$H18)&lt;&gt;"Disqualified — Free Game",INDEX('Game Records'!$K:$K,$H18)=""),"Final Earned; ","")&amp;IF(AND(LOWER(INDEX('Game Records'!$D:$D,$H18)&amp;"")="finalized",INDEX('Game Records'!$U:$U,$H18)&lt;&gt;"Subscription",INDEX('Game Records'!$U:$U,$H18)&lt;&gt;"Free Game",INDEX('Game Records'!$U:$U,$H18)&lt;&gt;"Disqualified — Free Game",OR(INDEX('Game Records'!$L:$L,$H18)="",LOWER(INDEX('Game Records'!$L:$L,$H18)&amp;"")="n/a")),"Disqualified Status; ",""))</x:f>
        <x:v/>
      </x:c>
      <x:c r="G18" s="331" t="str">
        <x:f>IF($H18="","",IFERROR(INDEX('Game Records'!$M:$M,$H18),""))</x:f>
        <x:v/>
      </x:c>
      <x:c r="H18" s="104" t="str">
        <x:f>IF($H17="","",IFERROR(MATCH(1,INDEX((ROW('Game Records'!$U$5:$U$504)&gt;$H17)*(('Game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 s="104"/>
      <x:c r="J18" s="104"/>
    </x:row>
    <x:row r="19" ht="24" hidden="0" customHeight="1">
      <x:c r="A19" s="332" t="str">
        <x:f>IF($H19="","",ROWS($A$5:A19))</x:f>
        <x:v/>
      </x:c>
      <x:c r="B19" s="332" t="str">
        <x:f>IF($H19="","","G-"&amp;TEXT($A19,"0000"))</x:f>
        <x:v/>
      </x:c>
      <x:c r="C19" s="331" t="str">
        <x:f>IF($H19="","",IFERROR(INDEX('Game Records'!$A:$A,$H19),""))</x:f>
        <x:v/>
      </x:c>
      <x:c r="D19" s="331" t="str">
        <x:f>IF($H19="","",IFERROR(INDEX('Game Records'!$U:$U,$H19),""))</x:f>
        <x:v/>
      </x:c>
      <x:c r="E19" s="331" t="str">
        <x:f>IF($H19="","",IF($F19="","No Highlighted Fields","Highlighted Fields Present"))</x:f>
        <x:v/>
      </x:c>
      <x:c r="F19" s="331" t="str">
        <x:f>IF($H19="","",IF(INDEX('Game Records'!$B:$B,$H19)="","Start Date; ","")&amp;IF(INDEX('Game Records'!$C:$C,$H19)="","End Date; ","")&amp;IF(AND(INDEX('Game Records'!$U:$U,$H19)&lt;&gt;"Subscription",INDEX('Game Records'!$U:$U,$H19)&lt;&gt;"Free Game",INDEX('Game Records'!$U:$U,$H19)&lt;&gt;"Disqualified — Free Game",OR(INDEX('Game Records'!$D:$D,$H19)="",LOWER(INDEX('Game Records'!$D:$D,$H19)&amp;"")="n/a")),"Entry Mode; ","")&amp;IF(AND(INDEX('Game Records'!$U:$U,$H19)&lt;&gt;"Subscription",INDEX('Game Records'!$U:$U,$H19)&lt;&gt;"Free Game",INDEX('Game Records'!$U:$U,$H19)&lt;&gt;"Disqualified — Free Game",OR(INDEX('Game Records'!$E:$E,$H19)="",LOWER(INDEX('Game Records'!$E:$E,$H19)&amp;"")="n/a")),"Game Type; ","")&amp;IF(INDEX('Game Records'!$F:$F,$H19)="","Payment Type; ","")&amp;IF(AND(INDEX('Game Records'!$U:$U,$H19)&lt;&gt;"Subscription",INDEX('Game Records'!$U:$U,$H19)&lt;&gt;"Free Game",INDEX('Game Records'!$U:$U,$H19)&lt;&gt;"Disqualified — Free Game",INDEX('Game Records'!$G:$G,$H19)=""),"Gross Pot; ","")&amp;IF(AND(INDEX('Game Records'!$U:$U,$H19)&lt;&gt;"Free Game",INDEX('Game Records'!$U:$U,$H19)&lt;&gt;"Disqualified — Free Game",INDEX('Game Records'!$H:$H,$H19)=""),"Entry Fee; ","")&amp;IF(AND(INDEX('Game Records'!$U:$U,$H19)&lt;&gt;"Subscription",INDEX('Game Records'!$U:$U,$H19)&lt;&gt;"Free Game",INDEX('Game Records'!$U:$U,$H19)&lt;&gt;"Disqualified — Free Game",INDEX('Game Records'!$I:$I,$H19)=""),"Eligible Players; ","")&amp;IF(AND(INDEX('Game Records'!$U:$U,$H19)&lt;&gt;"Subscription",INDEX('Game Records'!$U:$U,$H19)&lt;&gt;"Free Game",INDEX('Game Records'!$U:$U,$H19)&lt;&gt;"Disqualified — Free Game",INDEX('Game Records'!$J:$J,$H19)=""),"Total Players; ","")&amp;IF(AND(LOWER(INDEX('Game Records'!$D:$D,$H19)&amp;"")="finalized",LOWER(INDEX('Game Records'!$L:$L,$H19)&amp;"")&lt;&gt;"yes",INDEX('Game Records'!$U:$U,$H19)&lt;&gt;"Subscription",INDEX('Game Records'!$U:$U,$H19)&lt;&gt;"Free Game",INDEX('Game Records'!$U:$U,$H19)&lt;&gt;"Disqualified — Free Game",INDEX('Game Records'!$K:$K,$H19)=""),"Final Earned; ","")&amp;IF(AND(LOWER(INDEX('Game Records'!$D:$D,$H19)&amp;"")="finalized",INDEX('Game Records'!$U:$U,$H19)&lt;&gt;"Subscription",INDEX('Game Records'!$U:$U,$H19)&lt;&gt;"Free Game",INDEX('Game Records'!$U:$U,$H19)&lt;&gt;"Disqualified — Free Game",OR(INDEX('Game Records'!$L:$L,$H19)="",LOWER(INDEX('Game Records'!$L:$L,$H19)&amp;"")="n/a")),"Disqualified Status; ",""))</x:f>
        <x:v/>
      </x:c>
      <x:c r="G19" s="331" t="str">
        <x:f>IF($H19="","",IFERROR(INDEX('Game Records'!$M:$M,$H19),""))</x:f>
        <x:v/>
      </x:c>
      <x:c r="H19" s="104" t="str">
        <x:f>IF($H18="","",IFERROR(MATCH(1,INDEX((ROW('Game Records'!$U$5:$U$504)&gt;$H18)*(('Game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 s="104"/>
      <x:c r="J19" s="104"/>
    </x:row>
    <x:row r="20" ht="24" hidden="0" customHeight="1">
      <x:c r="A20" s="332" t="str">
        <x:f>IF($H20="","",ROWS($A$5:A20))</x:f>
        <x:v/>
      </x:c>
      <x:c r="B20" s="332" t="str">
        <x:f>IF($H20="","","G-"&amp;TEXT($A20,"0000"))</x:f>
        <x:v/>
      </x:c>
      <x:c r="C20" s="331" t="str">
        <x:f>IF($H20="","",IFERROR(INDEX('Game Records'!$A:$A,$H20),""))</x:f>
        <x:v/>
      </x:c>
      <x:c r="D20" s="331" t="str">
        <x:f>IF($H20="","",IFERROR(INDEX('Game Records'!$U:$U,$H20),""))</x:f>
        <x:v/>
      </x:c>
      <x:c r="E20" s="331" t="str">
        <x:f>IF($H20="","",IF($F20="","No Highlighted Fields","Highlighted Fields Present"))</x:f>
        <x:v/>
      </x:c>
      <x:c r="F20" s="331" t="str">
        <x:f>IF($H20="","",IF(INDEX('Game Records'!$B:$B,$H20)="","Start Date; ","")&amp;IF(INDEX('Game Records'!$C:$C,$H20)="","End Date; ","")&amp;IF(AND(INDEX('Game Records'!$U:$U,$H20)&lt;&gt;"Subscription",INDEX('Game Records'!$U:$U,$H20)&lt;&gt;"Free Game",INDEX('Game Records'!$U:$U,$H20)&lt;&gt;"Disqualified — Free Game",OR(INDEX('Game Records'!$D:$D,$H20)="",LOWER(INDEX('Game Records'!$D:$D,$H20)&amp;"")="n/a")),"Entry Mode; ","")&amp;IF(AND(INDEX('Game Records'!$U:$U,$H20)&lt;&gt;"Subscription",INDEX('Game Records'!$U:$U,$H20)&lt;&gt;"Free Game",INDEX('Game Records'!$U:$U,$H20)&lt;&gt;"Disqualified — Free Game",OR(INDEX('Game Records'!$E:$E,$H20)="",LOWER(INDEX('Game Records'!$E:$E,$H20)&amp;"")="n/a")),"Game Type; ","")&amp;IF(INDEX('Game Records'!$F:$F,$H20)="","Payment Type; ","")&amp;IF(AND(INDEX('Game Records'!$U:$U,$H20)&lt;&gt;"Subscription",INDEX('Game Records'!$U:$U,$H20)&lt;&gt;"Free Game",INDEX('Game Records'!$U:$U,$H20)&lt;&gt;"Disqualified — Free Game",INDEX('Game Records'!$G:$G,$H20)=""),"Gross Pot; ","")&amp;IF(AND(INDEX('Game Records'!$U:$U,$H20)&lt;&gt;"Free Game",INDEX('Game Records'!$U:$U,$H20)&lt;&gt;"Disqualified — Free Game",INDEX('Game Records'!$H:$H,$H20)=""),"Entry Fee; ","")&amp;IF(AND(INDEX('Game Records'!$U:$U,$H20)&lt;&gt;"Subscription",INDEX('Game Records'!$U:$U,$H20)&lt;&gt;"Free Game",INDEX('Game Records'!$U:$U,$H20)&lt;&gt;"Disqualified — Free Game",INDEX('Game Records'!$I:$I,$H20)=""),"Eligible Players; ","")&amp;IF(AND(INDEX('Game Records'!$U:$U,$H20)&lt;&gt;"Subscription",INDEX('Game Records'!$U:$U,$H20)&lt;&gt;"Free Game",INDEX('Game Records'!$U:$U,$H20)&lt;&gt;"Disqualified — Free Game",INDEX('Game Records'!$J:$J,$H20)=""),"Total Players; ","")&amp;IF(AND(LOWER(INDEX('Game Records'!$D:$D,$H20)&amp;"")="finalized",LOWER(INDEX('Game Records'!$L:$L,$H20)&amp;"")&lt;&gt;"yes",INDEX('Game Records'!$U:$U,$H20)&lt;&gt;"Subscription",INDEX('Game Records'!$U:$U,$H20)&lt;&gt;"Free Game",INDEX('Game Records'!$U:$U,$H20)&lt;&gt;"Disqualified — Free Game",INDEX('Game Records'!$K:$K,$H20)=""),"Final Earned; ","")&amp;IF(AND(LOWER(INDEX('Game Records'!$D:$D,$H20)&amp;"")="finalized",INDEX('Game Records'!$U:$U,$H20)&lt;&gt;"Subscription",INDEX('Game Records'!$U:$U,$H20)&lt;&gt;"Free Game",INDEX('Game Records'!$U:$U,$H20)&lt;&gt;"Disqualified — Free Game",OR(INDEX('Game Records'!$L:$L,$H20)="",LOWER(INDEX('Game Records'!$L:$L,$H20)&amp;"")="n/a")),"Disqualified Status; ",""))</x:f>
        <x:v/>
      </x:c>
      <x:c r="G20" s="331" t="str">
        <x:f>IF($H20="","",IFERROR(INDEX('Game Records'!$M:$M,$H20),""))</x:f>
        <x:v/>
      </x:c>
      <x:c r="H20" s="104" t="str">
        <x:f>IF($H19="","",IFERROR(MATCH(1,INDEX((ROW('Game Records'!$U$5:$U$504)&gt;$H19)*(('Game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0" s="104"/>
      <x:c r="J20" s="104"/>
    </x:row>
    <x:row r="21" ht="24" hidden="0" customHeight="1">
      <x:c r="A21" s="332" t="str">
        <x:f>IF($H21="","",ROWS($A$5:A21))</x:f>
        <x:v/>
      </x:c>
      <x:c r="B21" s="332" t="str">
        <x:f>IF($H21="","","G-"&amp;TEXT($A21,"0000"))</x:f>
        <x:v/>
      </x:c>
      <x:c r="C21" s="331" t="str">
        <x:f>IF($H21="","",IFERROR(INDEX('Game Records'!$A:$A,$H21),""))</x:f>
        <x:v/>
      </x:c>
      <x:c r="D21" s="331" t="str">
        <x:f>IF($H21="","",IFERROR(INDEX('Game Records'!$U:$U,$H21),""))</x:f>
        <x:v/>
      </x:c>
      <x:c r="E21" s="331" t="str">
        <x:f>IF($H21="","",IF($F21="","No Highlighted Fields","Highlighted Fields Present"))</x:f>
        <x:v/>
      </x:c>
      <x:c r="F21" s="331" t="str">
        <x:f>IF($H21="","",IF(INDEX('Game Records'!$B:$B,$H21)="","Start Date; ","")&amp;IF(INDEX('Game Records'!$C:$C,$H21)="","End Date; ","")&amp;IF(AND(INDEX('Game Records'!$U:$U,$H21)&lt;&gt;"Subscription",INDEX('Game Records'!$U:$U,$H21)&lt;&gt;"Free Game",INDEX('Game Records'!$U:$U,$H21)&lt;&gt;"Disqualified — Free Game",OR(INDEX('Game Records'!$D:$D,$H21)="",LOWER(INDEX('Game Records'!$D:$D,$H21)&amp;"")="n/a")),"Entry Mode; ","")&amp;IF(AND(INDEX('Game Records'!$U:$U,$H21)&lt;&gt;"Subscription",INDEX('Game Records'!$U:$U,$H21)&lt;&gt;"Free Game",INDEX('Game Records'!$U:$U,$H21)&lt;&gt;"Disqualified — Free Game",OR(INDEX('Game Records'!$E:$E,$H21)="",LOWER(INDEX('Game Records'!$E:$E,$H21)&amp;"")="n/a")),"Game Type; ","")&amp;IF(INDEX('Game Records'!$F:$F,$H21)="","Payment Type; ","")&amp;IF(AND(INDEX('Game Records'!$U:$U,$H21)&lt;&gt;"Subscription",INDEX('Game Records'!$U:$U,$H21)&lt;&gt;"Free Game",INDEX('Game Records'!$U:$U,$H21)&lt;&gt;"Disqualified — Free Game",INDEX('Game Records'!$G:$G,$H21)=""),"Gross Pot; ","")&amp;IF(AND(INDEX('Game Records'!$U:$U,$H21)&lt;&gt;"Free Game",INDEX('Game Records'!$U:$U,$H21)&lt;&gt;"Disqualified — Free Game",INDEX('Game Records'!$H:$H,$H21)=""),"Entry Fee; ","")&amp;IF(AND(INDEX('Game Records'!$U:$U,$H21)&lt;&gt;"Subscription",INDEX('Game Records'!$U:$U,$H21)&lt;&gt;"Free Game",INDEX('Game Records'!$U:$U,$H21)&lt;&gt;"Disqualified — Free Game",INDEX('Game Records'!$I:$I,$H21)=""),"Eligible Players; ","")&amp;IF(AND(INDEX('Game Records'!$U:$U,$H21)&lt;&gt;"Subscription",INDEX('Game Records'!$U:$U,$H21)&lt;&gt;"Free Game",INDEX('Game Records'!$U:$U,$H21)&lt;&gt;"Disqualified — Free Game",INDEX('Game Records'!$J:$J,$H21)=""),"Total Players; ","")&amp;IF(AND(LOWER(INDEX('Game Records'!$D:$D,$H21)&amp;"")="finalized",LOWER(INDEX('Game Records'!$L:$L,$H21)&amp;"")&lt;&gt;"yes",INDEX('Game Records'!$U:$U,$H21)&lt;&gt;"Subscription",INDEX('Game Records'!$U:$U,$H21)&lt;&gt;"Free Game",INDEX('Game Records'!$U:$U,$H21)&lt;&gt;"Disqualified — Free Game",INDEX('Game Records'!$K:$K,$H21)=""),"Final Earned; ","")&amp;IF(AND(LOWER(INDEX('Game Records'!$D:$D,$H21)&amp;"")="finalized",INDEX('Game Records'!$U:$U,$H21)&lt;&gt;"Subscription",INDEX('Game Records'!$U:$U,$H21)&lt;&gt;"Free Game",INDEX('Game Records'!$U:$U,$H21)&lt;&gt;"Disqualified — Free Game",OR(INDEX('Game Records'!$L:$L,$H21)="",LOWER(INDEX('Game Records'!$L:$L,$H21)&amp;"")="n/a")),"Disqualified Status; ",""))</x:f>
        <x:v/>
      </x:c>
      <x:c r="G21" s="331" t="str">
        <x:f>IF($H21="","",IFERROR(INDEX('Game Records'!$M:$M,$H21),""))</x:f>
        <x:v/>
      </x:c>
      <x:c r="H21" s="104" t="str">
        <x:f>IF($H20="","",IFERROR(MATCH(1,INDEX((ROW('Game Records'!$U$5:$U$504)&gt;$H20)*(('Game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1" s="104"/>
      <x:c r="J21" s="104"/>
    </x:row>
    <x:row r="22" ht="24" hidden="0" customHeight="1">
      <x:c r="A22" s="332" t="str">
        <x:f>IF($H22="","",ROWS($A$5:A22))</x:f>
        <x:v/>
      </x:c>
      <x:c r="B22" s="332" t="str">
        <x:f>IF($H22="","","G-"&amp;TEXT($A22,"0000"))</x:f>
        <x:v/>
      </x:c>
      <x:c r="C22" s="331" t="str">
        <x:f>IF($H22="","",IFERROR(INDEX('Game Records'!$A:$A,$H22),""))</x:f>
        <x:v/>
      </x:c>
      <x:c r="D22" s="331" t="str">
        <x:f>IF($H22="","",IFERROR(INDEX('Game Records'!$U:$U,$H22),""))</x:f>
        <x:v/>
      </x:c>
      <x:c r="E22" s="331" t="str">
        <x:f>IF($H22="","",IF($F22="","No Highlighted Fields","Highlighted Fields Present"))</x:f>
        <x:v/>
      </x:c>
      <x:c r="F22" s="331" t="str">
        <x:f>IF($H22="","",IF(INDEX('Game Records'!$B:$B,$H22)="","Start Date; ","")&amp;IF(INDEX('Game Records'!$C:$C,$H22)="","End Date; ","")&amp;IF(AND(INDEX('Game Records'!$U:$U,$H22)&lt;&gt;"Subscription",INDEX('Game Records'!$U:$U,$H22)&lt;&gt;"Free Game",INDEX('Game Records'!$U:$U,$H22)&lt;&gt;"Disqualified — Free Game",OR(INDEX('Game Records'!$D:$D,$H22)="",LOWER(INDEX('Game Records'!$D:$D,$H22)&amp;"")="n/a")),"Entry Mode; ","")&amp;IF(AND(INDEX('Game Records'!$U:$U,$H22)&lt;&gt;"Subscription",INDEX('Game Records'!$U:$U,$H22)&lt;&gt;"Free Game",INDEX('Game Records'!$U:$U,$H22)&lt;&gt;"Disqualified — Free Game",OR(INDEX('Game Records'!$E:$E,$H22)="",LOWER(INDEX('Game Records'!$E:$E,$H22)&amp;"")="n/a")),"Game Type; ","")&amp;IF(INDEX('Game Records'!$F:$F,$H22)="","Payment Type; ","")&amp;IF(AND(INDEX('Game Records'!$U:$U,$H22)&lt;&gt;"Subscription",INDEX('Game Records'!$U:$U,$H22)&lt;&gt;"Free Game",INDEX('Game Records'!$U:$U,$H22)&lt;&gt;"Disqualified — Free Game",INDEX('Game Records'!$G:$G,$H22)=""),"Gross Pot; ","")&amp;IF(AND(INDEX('Game Records'!$U:$U,$H22)&lt;&gt;"Free Game",INDEX('Game Records'!$U:$U,$H22)&lt;&gt;"Disqualified — Free Game",INDEX('Game Records'!$H:$H,$H22)=""),"Entry Fee; ","")&amp;IF(AND(INDEX('Game Records'!$U:$U,$H22)&lt;&gt;"Subscription",INDEX('Game Records'!$U:$U,$H22)&lt;&gt;"Free Game",INDEX('Game Records'!$U:$U,$H22)&lt;&gt;"Disqualified — Free Game",INDEX('Game Records'!$I:$I,$H22)=""),"Eligible Players; ","")&amp;IF(AND(INDEX('Game Records'!$U:$U,$H22)&lt;&gt;"Subscription",INDEX('Game Records'!$U:$U,$H22)&lt;&gt;"Free Game",INDEX('Game Records'!$U:$U,$H22)&lt;&gt;"Disqualified — Free Game",INDEX('Game Records'!$J:$J,$H22)=""),"Total Players; ","")&amp;IF(AND(LOWER(INDEX('Game Records'!$D:$D,$H22)&amp;"")="finalized",LOWER(INDEX('Game Records'!$L:$L,$H22)&amp;"")&lt;&gt;"yes",INDEX('Game Records'!$U:$U,$H22)&lt;&gt;"Subscription",INDEX('Game Records'!$U:$U,$H22)&lt;&gt;"Free Game",INDEX('Game Records'!$U:$U,$H22)&lt;&gt;"Disqualified — Free Game",INDEX('Game Records'!$K:$K,$H22)=""),"Final Earned; ","")&amp;IF(AND(LOWER(INDEX('Game Records'!$D:$D,$H22)&amp;"")="finalized",INDEX('Game Records'!$U:$U,$H22)&lt;&gt;"Subscription",INDEX('Game Records'!$U:$U,$H22)&lt;&gt;"Free Game",INDEX('Game Records'!$U:$U,$H22)&lt;&gt;"Disqualified — Free Game",OR(INDEX('Game Records'!$L:$L,$H22)="",LOWER(INDEX('Game Records'!$L:$L,$H22)&amp;"")="n/a")),"Disqualified Status; ",""))</x:f>
        <x:v/>
      </x:c>
      <x:c r="G22" s="331" t="str">
        <x:f>IF($H22="","",IFERROR(INDEX('Game Records'!$M:$M,$H22),""))</x:f>
        <x:v/>
      </x:c>
      <x:c r="H22" s="104" t="str">
        <x:f>IF($H21="","",IFERROR(MATCH(1,INDEX((ROW('Game Records'!$U$5:$U$504)&gt;$H21)*(('Game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2" s="104"/>
      <x:c r="J22" s="104"/>
    </x:row>
    <x:row r="23" ht="24" hidden="0" customHeight="1">
      <x:c r="A23" s="332" t="str">
        <x:f>IF($H23="","",ROWS($A$5:A23))</x:f>
        <x:v/>
      </x:c>
      <x:c r="B23" s="332" t="str">
        <x:f>IF($H23="","","G-"&amp;TEXT($A23,"0000"))</x:f>
        <x:v/>
      </x:c>
      <x:c r="C23" s="331" t="str">
        <x:f>IF($H23="","",IFERROR(INDEX('Game Records'!$A:$A,$H23),""))</x:f>
        <x:v/>
      </x:c>
      <x:c r="D23" s="331" t="str">
        <x:f>IF($H23="","",IFERROR(INDEX('Game Records'!$U:$U,$H23),""))</x:f>
        <x:v/>
      </x:c>
      <x:c r="E23" s="331" t="str">
        <x:f>IF($H23="","",IF($F23="","No Highlighted Fields","Highlighted Fields Present"))</x:f>
        <x:v/>
      </x:c>
      <x:c r="F23" s="331" t="str">
        <x:f>IF($H23="","",IF(INDEX('Game Records'!$B:$B,$H23)="","Start Date; ","")&amp;IF(INDEX('Game Records'!$C:$C,$H23)="","End Date; ","")&amp;IF(AND(INDEX('Game Records'!$U:$U,$H23)&lt;&gt;"Subscription",INDEX('Game Records'!$U:$U,$H23)&lt;&gt;"Free Game",INDEX('Game Records'!$U:$U,$H23)&lt;&gt;"Disqualified — Free Game",OR(INDEX('Game Records'!$D:$D,$H23)="",LOWER(INDEX('Game Records'!$D:$D,$H23)&amp;"")="n/a")),"Entry Mode; ","")&amp;IF(AND(INDEX('Game Records'!$U:$U,$H23)&lt;&gt;"Subscription",INDEX('Game Records'!$U:$U,$H23)&lt;&gt;"Free Game",INDEX('Game Records'!$U:$U,$H23)&lt;&gt;"Disqualified — Free Game",OR(INDEX('Game Records'!$E:$E,$H23)="",LOWER(INDEX('Game Records'!$E:$E,$H23)&amp;"")="n/a")),"Game Type; ","")&amp;IF(INDEX('Game Records'!$F:$F,$H23)="","Payment Type; ","")&amp;IF(AND(INDEX('Game Records'!$U:$U,$H23)&lt;&gt;"Subscription",INDEX('Game Records'!$U:$U,$H23)&lt;&gt;"Free Game",INDEX('Game Records'!$U:$U,$H23)&lt;&gt;"Disqualified — Free Game",INDEX('Game Records'!$G:$G,$H23)=""),"Gross Pot; ","")&amp;IF(AND(INDEX('Game Records'!$U:$U,$H23)&lt;&gt;"Free Game",INDEX('Game Records'!$U:$U,$H23)&lt;&gt;"Disqualified — Free Game",INDEX('Game Records'!$H:$H,$H23)=""),"Entry Fee; ","")&amp;IF(AND(INDEX('Game Records'!$U:$U,$H23)&lt;&gt;"Subscription",INDEX('Game Records'!$U:$U,$H23)&lt;&gt;"Free Game",INDEX('Game Records'!$U:$U,$H23)&lt;&gt;"Disqualified — Free Game",INDEX('Game Records'!$I:$I,$H23)=""),"Eligible Players; ","")&amp;IF(AND(INDEX('Game Records'!$U:$U,$H23)&lt;&gt;"Subscription",INDEX('Game Records'!$U:$U,$H23)&lt;&gt;"Free Game",INDEX('Game Records'!$U:$U,$H23)&lt;&gt;"Disqualified — Free Game",INDEX('Game Records'!$J:$J,$H23)=""),"Total Players; ","")&amp;IF(AND(LOWER(INDEX('Game Records'!$D:$D,$H23)&amp;"")="finalized",LOWER(INDEX('Game Records'!$L:$L,$H23)&amp;"")&lt;&gt;"yes",INDEX('Game Records'!$U:$U,$H23)&lt;&gt;"Subscription",INDEX('Game Records'!$U:$U,$H23)&lt;&gt;"Free Game",INDEX('Game Records'!$U:$U,$H23)&lt;&gt;"Disqualified — Free Game",INDEX('Game Records'!$K:$K,$H23)=""),"Final Earned; ","")&amp;IF(AND(LOWER(INDEX('Game Records'!$D:$D,$H23)&amp;"")="finalized",INDEX('Game Records'!$U:$U,$H23)&lt;&gt;"Subscription",INDEX('Game Records'!$U:$U,$H23)&lt;&gt;"Free Game",INDEX('Game Records'!$U:$U,$H23)&lt;&gt;"Disqualified — Free Game",OR(INDEX('Game Records'!$L:$L,$H23)="",LOWER(INDEX('Game Records'!$L:$L,$H23)&amp;"")="n/a")),"Disqualified Status; ",""))</x:f>
        <x:v/>
      </x:c>
      <x:c r="G23" s="331" t="str">
        <x:f>IF($H23="","",IFERROR(INDEX('Game Records'!$M:$M,$H23),""))</x:f>
        <x:v/>
      </x:c>
      <x:c r="H23" s="104" t="str">
        <x:f>IF($H22="","",IFERROR(MATCH(1,INDEX((ROW('Game Records'!$U$5:$U$504)&gt;$H22)*(('Game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3" s="104"/>
      <x:c r="J23" s="104"/>
    </x:row>
    <x:row r="24" ht="24" hidden="0" customHeight="1">
      <x:c r="A24" s="332" t="str">
        <x:f>IF($H24="","",ROWS($A$5:A24))</x:f>
        <x:v/>
      </x:c>
      <x:c r="B24" s="332" t="str">
        <x:f>IF($H24="","","G-"&amp;TEXT($A24,"0000"))</x:f>
        <x:v/>
      </x:c>
      <x:c r="C24" s="331" t="str">
        <x:f>IF($H24="","",IFERROR(INDEX('Game Records'!$A:$A,$H24),""))</x:f>
        <x:v/>
      </x:c>
      <x:c r="D24" s="331" t="str">
        <x:f>IF($H24="","",IFERROR(INDEX('Game Records'!$U:$U,$H24),""))</x:f>
        <x:v/>
      </x:c>
      <x:c r="E24" s="331" t="str">
        <x:f>IF($H24="","",IF($F24="","No Highlighted Fields","Highlighted Fields Present"))</x:f>
        <x:v/>
      </x:c>
      <x:c r="F24" s="331" t="str">
        <x:f>IF($H24="","",IF(INDEX('Game Records'!$B:$B,$H24)="","Start Date; ","")&amp;IF(INDEX('Game Records'!$C:$C,$H24)="","End Date; ","")&amp;IF(AND(INDEX('Game Records'!$U:$U,$H24)&lt;&gt;"Subscription",INDEX('Game Records'!$U:$U,$H24)&lt;&gt;"Free Game",INDEX('Game Records'!$U:$U,$H24)&lt;&gt;"Disqualified — Free Game",OR(INDEX('Game Records'!$D:$D,$H24)="",LOWER(INDEX('Game Records'!$D:$D,$H24)&amp;"")="n/a")),"Entry Mode; ","")&amp;IF(AND(INDEX('Game Records'!$U:$U,$H24)&lt;&gt;"Subscription",INDEX('Game Records'!$U:$U,$H24)&lt;&gt;"Free Game",INDEX('Game Records'!$U:$U,$H24)&lt;&gt;"Disqualified — Free Game",OR(INDEX('Game Records'!$E:$E,$H24)="",LOWER(INDEX('Game Records'!$E:$E,$H24)&amp;"")="n/a")),"Game Type; ","")&amp;IF(INDEX('Game Records'!$F:$F,$H24)="","Payment Type; ","")&amp;IF(AND(INDEX('Game Records'!$U:$U,$H24)&lt;&gt;"Subscription",INDEX('Game Records'!$U:$U,$H24)&lt;&gt;"Free Game",INDEX('Game Records'!$U:$U,$H24)&lt;&gt;"Disqualified — Free Game",INDEX('Game Records'!$G:$G,$H24)=""),"Gross Pot; ","")&amp;IF(AND(INDEX('Game Records'!$U:$U,$H24)&lt;&gt;"Free Game",INDEX('Game Records'!$U:$U,$H24)&lt;&gt;"Disqualified — Free Game",INDEX('Game Records'!$H:$H,$H24)=""),"Entry Fee; ","")&amp;IF(AND(INDEX('Game Records'!$U:$U,$H24)&lt;&gt;"Subscription",INDEX('Game Records'!$U:$U,$H24)&lt;&gt;"Free Game",INDEX('Game Records'!$U:$U,$H24)&lt;&gt;"Disqualified — Free Game",INDEX('Game Records'!$I:$I,$H24)=""),"Eligible Players; ","")&amp;IF(AND(INDEX('Game Records'!$U:$U,$H24)&lt;&gt;"Subscription",INDEX('Game Records'!$U:$U,$H24)&lt;&gt;"Free Game",INDEX('Game Records'!$U:$U,$H24)&lt;&gt;"Disqualified — Free Game",INDEX('Game Records'!$J:$J,$H24)=""),"Total Players; ","")&amp;IF(AND(LOWER(INDEX('Game Records'!$D:$D,$H24)&amp;"")="finalized",LOWER(INDEX('Game Records'!$L:$L,$H24)&amp;"")&lt;&gt;"yes",INDEX('Game Records'!$U:$U,$H24)&lt;&gt;"Subscription",INDEX('Game Records'!$U:$U,$H24)&lt;&gt;"Free Game",INDEX('Game Records'!$U:$U,$H24)&lt;&gt;"Disqualified — Free Game",INDEX('Game Records'!$K:$K,$H24)=""),"Final Earned; ","")&amp;IF(AND(LOWER(INDEX('Game Records'!$D:$D,$H24)&amp;"")="finalized",INDEX('Game Records'!$U:$U,$H24)&lt;&gt;"Subscription",INDEX('Game Records'!$U:$U,$H24)&lt;&gt;"Free Game",INDEX('Game Records'!$U:$U,$H24)&lt;&gt;"Disqualified — Free Game",OR(INDEX('Game Records'!$L:$L,$H24)="",LOWER(INDEX('Game Records'!$L:$L,$H24)&amp;"")="n/a")),"Disqualified Status; ",""))</x:f>
        <x:v/>
      </x:c>
      <x:c r="G24" s="331" t="str">
        <x:f>IF($H24="","",IFERROR(INDEX('Game Records'!$M:$M,$H24),""))</x:f>
        <x:v/>
      </x:c>
      <x:c r="H24" s="104" t="str">
        <x:f>IF($H23="","",IFERROR(MATCH(1,INDEX((ROW('Game Records'!$U$5:$U$504)&gt;$H23)*(('Game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4" s="104"/>
      <x:c r="J24" s="104"/>
    </x:row>
    <x:row r="25" ht="24" hidden="0" customHeight="1">
      <x:c r="A25" s="332" t="str">
        <x:f>IF($H25="","",ROWS($A$5:A25))</x:f>
        <x:v/>
      </x:c>
      <x:c r="B25" s="332" t="str">
        <x:f>IF($H25="","","G-"&amp;TEXT($A25,"0000"))</x:f>
        <x:v/>
      </x:c>
      <x:c r="C25" s="331" t="str">
        <x:f>IF($H25="","",IFERROR(INDEX('Game Records'!$A:$A,$H25),""))</x:f>
        <x:v/>
      </x:c>
      <x:c r="D25" s="331" t="str">
        <x:f>IF($H25="","",IFERROR(INDEX('Game Records'!$U:$U,$H25),""))</x:f>
        <x:v/>
      </x:c>
      <x:c r="E25" s="331" t="str">
        <x:f>IF($H25="","",IF($F25="","No Highlighted Fields","Highlighted Fields Present"))</x:f>
        <x:v/>
      </x:c>
      <x:c r="F25" s="331" t="str">
        <x:f>IF($H25="","",IF(INDEX('Game Records'!$B:$B,$H25)="","Start Date; ","")&amp;IF(INDEX('Game Records'!$C:$C,$H25)="","End Date; ","")&amp;IF(AND(INDEX('Game Records'!$U:$U,$H25)&lt;&gt;"Subscription",INDEX('Game Records'!$U:$U,$H25)&lt;&gt;"Free Game",INDEX('Game Records'!$U:$U,$H25)&lt;&gt;"Disqualified — Free Game",OR(INDEX('Game Records'!$D:$D,$H25)="",LOWER(INDEX('Game Records'!$D:$D,$H25)&amp;"")="n/a")),"Entry Mode; ","")&amp;IF(AND(INDEX('Game Records'!$U:$U,$H25)&lt;&gt;"Subscription",INDEX('Game Records'!$U:$U,$H25)&lt;&gt;"Free Game",INDEX('Game Records'!$U:$U,$H25)&lt;&gt;"Disqualified — Free Game",OR(INDEX('Game Records'!$E:$E,$H25)="",LOWER(INDEX('Game Records'!$E:$E,$H25)&amp;"")="n/a")),"Game Type; ","")&amp;IF(INDEX('Game Records'!$F:$F,$H25)="","Payment Type; ","")&amp;IF(AND(INDEX('Game Records'!$U:$U,$H25)&lt;&gt;"Subscription",INDEX('Game Records'!$U:$U,$H25)&lt;&gt;"Free Game",INDEX('Game Records'!$U:$U,$H25)&lt;&gt;"Disqualified — Free Game",INDEX('Game Records'!$G:$G,$H25)=""),"Gross Pot; ","")&amp;IF(AND(INDEX('Game Records'!$U:$U,$H25)&lt;&gt;"Free Game",INDEX('Game Records'!$U:$U,$H25)&lt;&gt;"Disqualified — Free Game",INDEX('Game Records'!$H:$H,$H25)=""),"Entry Fee; ","")&amp;IF(AND(INDEX('Game Records'!$U:$U,$H25)&lt;&gt;"Subscription",INDEX('Game Records'!$U:$U,$H25)&lt;&gt;"Free Game",INDEX('Game Records'!$U:$U,$H25)&lt;&gt;"Disqualified — Free Game",INDEX('Game Records'!$I:$I,$H25)=""),"Eligible Players; ","")&amp;IF(AND(INDEX('Game Records'!$U:$U,$H25)&lt;&gt;"Subscription",INDEX('Game Records'!$U:$U,$H25)&lt;&gt;"Free Game",INDEX('Game Records'!$U:$U,$H25)&lt;&gt;"Disqualified — Free Game",INDEX('Game Records'!$J:$J,$H25)=""),"Total Players; ","")&amp;IF(AND(LOWER(INDEX('Game Records'!$D:$D,$H25)&amp;"")="finalized",LOWER(INDEX('Game Records'!$L:$L,$H25)&amp;"")&lt;&gt;"yes",INDEX('Game Records'!$U:$U,$H25)&lt;&gt;"Subscription",INDEX('Game Records'!$U:$U,$H25)&lt;&gt;"Free Game",INDEX('Game Records'!$U:$U,$H25)&lt;&gt;"Disqualified — Free Game",INDEX('Game Records'!$K:$K,$H25)=""),"Final Earned; ","")&amp;IF(AND(LOWER(INDEX('Game Records'!$D:$D,$H25)&amp;"")="finalized",INDEX('Game Records'!$U:$U,$H25)&lt;&gt;"Subscription",INDEX('Game Records'!$U:$U,$H25)&lt;&gt;"Free Game",INDEX('Game Records'!$U:$U,$H25)&lt;&gt;"Disqualified — Free Game",OR(INDEX('Game Records'!$L:$L,$H25)="",LOWER(INDEX('Game Records'!$L:$L,$H25)&amp;"")="n/a")),"Disqualified Status; ",""))</x:f>
        <x:v/>
      </x:c>
      <x:c r="G25" s="331" t="str">
        <x:f>IF($H25="","",IFERROR(INDEX('Game Records'!$M:$M,$H25),""))</x:f>
        <x:v/>
      </x:c>
      <x:c r="H25" s="104" t="str">
        <x:f>IF($H24="","",IFERROR(MATCH(1,INDEX((ROW('Game Records'!$U$5:$U$504)&gt;$H24)*(('Game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5" s="104"/>
      <x:c r="J25" s="104"/>
    </x:row>
    <x:row r="26" ht="24" hidden="0" customHeight="1">
      <x:c r="A26" s="332" t="str">
        <x:f>IF($H26="","",ROWS($A$5:A26))</x:f>
        <x:v/>
      </x:c>
      <x:c r="B26" s="332" t="str">
        <x:f>IF($H26="","","G-"&amp;TEXT($A26,"0000"))</x:f>
        <x:v/>
      </x:c>
      <x:c r="C26" s="331" t="str">
        <x:f>IF($H26="","",IFERROR(INDEX('Game Records'!$A:$A,$H26),""))</x:f>
        <x:v/>
      </x:c>
      <x:c r="D26" s="331" t="str">
        <x:f>IF($H26="","",IFERROR(INDEX('Game Records'!$U:$U,$H26),""))</x:f>
        <x:v/>
      </x:c>
      <x:c r="E26" s="331" t="str">
        <x:f>IF($H26="","",IF($F26="","No Highlighted Fields","Highlighted Fields Present"))</x:f>
        <x:v/>
      </x:c>
      <x:c r="F26" s="331" t="str">
        <x:f>IF($H26="","",IF(INDEX('Game Records'!$B:$B,$H26)="","Start Date; ","")&amp;IF(INDEX('Game Records'!$C:$C,$H26)="","End Date; ","")&amp;IF(AND(INDEX('Game Records'!$U:$U,$H26)&lt;&gt;"Subscription",INDEX('Game Records'!$U:$U,$H26)&lt;&gt;"Free Game",INDEX('Game Records'!$U:$U,$H26)&lt;&gt;"Disqualified — Free Game",OR(INDEX('Game Records'!$D:$D,$H26)="",LOWER(INDEX('Game Records'!$D:$D,$H26)&amp;"")="n/a")),"Entry Mode; ","")&amp;IF(AND(INDEX('Game Records'!$U:$U,$H26)&lt;&gt;"Subscription",INDEX('Game Records'!$U:$U,$H26)&lt;&gt;"Free Game",INDEX('Game Records'!$U:$U,$H26)&lt;&gt;"Disqualified — Free Game",OR(INDEX('Game Records'!$E:$E,$H26)="",LOWER(INDEX('Game Records'!$E:$E,$H26)&amp;"")="n/a")),"Game Type; ","")&amp;IF(INDEX('Game Records'!$F:$F,$H26)="","Payment Type; ","")&amp;IF(AND(INDEX('Game Records'!$U:$U,$H26)&lt;&gt;"Subscription",INDEX('Game Records'!$U:$U,$H26)&lt;&gt;"Free Game",INDEX('Game Records'!$U:$U,$H26)&lt;&gt;"Disqualified — Free Game",INDEX('Game Records'!$G:$G,$H26)=""),"Gross Pot; ","")&amp;IF(AND(INDEX('Game Records'!$U:$U,$H26)&lt;&gt;"Free Game",INDEX('Game Records'!$U:$U,$H26)&lt;&gt;"Disqualified — Free Game",INDEX('Game Records'!$H:$H,$H26)=""),"Entry Fee; ","")&amp;IF(AND(INDEX('Game Records'!$U:$U,$H26)&lt;&gt;"Subscription",INDEX('Game Records'!$U:$U,$H26)&lt;&gt;"Free Game",INDEX('Game Records'!$U:$U,$H26)&lt;&gt;"Disqualified — Free Game",INDEX('Game Records'!$I:$I,$H26)=""),"Eligible Players; ","")&amp;IF(AND(INDEX('Game Records'!$U:$U,$H26)&lt;&gt;"Subscription",INDEX('Game Records'!$U:$U,$H26)&lt;&gt;"Free Game",INDEX('Game Records'!$U:$U,$H26)&lt;&gt;"Disqualified — Free Game",INDEX('Game Records'!$J:$J,$H26)=""),"Total Players; ","")&amp;IF(AND(LOWER(INDEX('Game Records'!$D:$D,$H26)&amp;"")="finalized",LOWER(INDEX('Game Records'!$L:$L,$H26)&amp;"")&lt;&gt;"yes",INDEX('Game Records'!$U:$U,$H26)&lt;&gt;"Subscription",INDEX('Game Records'!$U:$U,$H26)&lt;&gt;"Free Game",INDEX('Game Records'!$U:$U,$H26)&lt;&gt;"Disqualified — Free Game",INDEX('Game Records'!$K:$K,$H26)=""),"Final Earned; ","")&amp;IF(AND(LOWER(INDEX('Game Records'!$D:$D,$H26)&amp;"")="finalized",INDEX('Game Records'!$U:$U,$H26)&lt;&gt;"Subscription",INDEX('Game Records'!$U:$U,$H26)&lt;&gt;"Free Game",INDEX('Game Records'!$U:$U,$H26)&lt;&gt;"Disqualified — Free Game",OR(INDEX('Game Records'!$L:$L,$H26)="",LOWER(INDEX('Game Records'!$L:$L,$H26)&amp;"")="n/a")),"Disqualified Status; ",""))</x:f>
        <x:v/>
      </x:c>
      <x:c r="G26" s="331" t="str">
        <x:f>IF($H26="","",IFERROR(INDEX('Game Records'!$M:$M,$H26),""))</x:f>
        <x:v/>
      </x:c>
      <x:c r="H26" s="104" t="str">
        <x:f>IF($H25="","",IFERROR(MATCH(1,INDEX((ROW('Game Records'!$U$5:$U$504)&gt;$H25)*(('Game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6" s="104"/>
      <x:c r="J26" s="104"/>
    </x:row>
    <x:row r="27" ht="24" hidden="0" customHeight="1">
      <x:c r="A27" s="332" t="str">
        <x:f>IF($H27="","",ROWS($A$5:A27))</x:f>
        <x:v/>
      </x:c>
      <x:c r="B27" s="332" t="str">
        <x:f>IF($H27="","","G-"&amp;TEXT($A27,"0000"))</x:f>
        <x:v/>
      </x:c>
      <x:c r="C27" s="331" t="str">
        <x:f>IF($H27="","",IFERROR(INDEX('Game Records'!$A:$A,$H27),""))</x:f>
        <x:v/>
      </x:c>
      <x:c r="D27" s="331" t="str">
        <x:f>IF($H27="","",IFERROR(INDEX('Game Records'!$U:$U,$H27),""))</x:f>
        <x:v/>
      </x:c>
      <x:c r="E27" s="331" t="str">
        <x:f>IF($H27="","",IF($F27="","No Highlighted Fields","Highlighted Fields Present"))</x:f>
        <x:v/>
      </x:c>
      <x:c r="F27" s="331" t="str">
        <x:f>IF($H27="","",IF(INDEX('Game Records'!$B:$B,$H27)="","Start Date; ","")&amp;IF(INDEX('Game Records'!$C:$C,$H27)="","End Date; ","")&amp;IF(AND(INDEX('Game Records'!$U:$U,$H27)&lt;&gt;"Subscription",INDEX('Game Records'!$U:$U,$H27)&lt;&gt;"Free Game",INDEX('Game Records'!$U:$U,$H27)&lt;&gt;"Disqualified — Free Game",OR(INDEX('Game Records'!$D:$D,$H27)="",LOWER(INDEX('Game Records'!$D:$D,$H27)&amp;"")="n/a")),"Entry Mode; ","")&amp;IF(AND(INDEX('Game Records'!$U:$U,$H27)&lt;&gt;"Subscription",INDEX('Game Records'!$U:$U,$H27)&lt;&gt;"Free Game",INDEX('Game Records'!$U:$U,$H27)&lt;&gt;"Disqualified — Free Game",OR(INDEX('Game Records'!$E:$E,$H27)="",LOWER(INDEX('Game Records'!$E:$E,$H27)&amp;"")="n/a")),"Game Type; ","")&amp;IF(INDEX('Game Records'!$F:$F,$H27)="","Payment Type; ","")&amp;IF(AND(INDEX('Game Records'!$U:$U,$H27)&lt;&gt;"Subscription",INDEX('Game Records'!$U:$U,$H27)&lt;&gt;"Free Game",INDEX('Game Records'!$U:$U,$H27)&lt;&gt;"Disqualified — Free Game",INDEX('Game Records'!$G:$G,$H27)=""),"Gross Pot; ","")&amp;IF(AND(INDEX('Game Records'!$U:$U,$H27)&lt;&gt;"Free Game",INDEX('Game Records'!$U:$U,$H27)&lt;&gt;"Disqualified — Free Game",INDEX('Game Records'!$H:$H,$H27)=""),"Entry Fee; ","")&amp;IF(AND(INDEX('Game Records'!$U:$U,$H27)&lt;&gt;"Subscription",INDEX('Game Records'!$U:$U,$H27)&lt;&gt;"Free Game",INDEX('Game Records'!$U:$U,$H27)&lt;&gt;"Disqualified — Free Game",INDEX('Game Records'!$I:$I,$H27)=""),"Eligible Players; ","")&amp;IF(AND(INDEX('Game Records'!$U:$U,$H27)&lt;&gt;"Subscription",INDEX('Game Records'!$U:$U,$H27)&lt;&gt;"Free Game",INDEX('Game Records'!$U:$U,$H27)&lt;&gt;"Disqualified — Free Game",INDEX('Game Records'!$J:$J,$H27)=""),"Total Players; ","")&amp;IF(AND(LOWER(INDEX('Game Records'!$D:$D,$H27)&amp;"")="finalized",LOWER(INDEX('Game Records'!$L:$L,$H27)&amp;"")&lt;&gt;"yes",INDEX('Game Records'!$U:$U,$H27)&lt;&gt;"Subscription",INDEX('Game Records'!$U:$U,$H27)&lt;&gt;"Free Game",INDEX('Game Records'!$U:$U,$H27)&lt;&gt;"Disqualified — Free Game",INDEX('Game Records'!$K:$K,$H27)=""),"Final Earned; ","")&amp;IF(AND(LOWER(INDEX('Game Records'!$D:$D,$H27)&amp;"")="finalized",INDEX('Game Records'!$U:$U,$H27)&lt;&gt;"Subscription",INDEX('Game Records'!$U:$U,$H27)&lt;&gt;"Free Game",INDEX('Game Records'!$U:$U,$H27)&lt;&gt;"Disqualified — Free Game",OR(INDEX('Game Records'!$L:$L,$H27)="",LOWER(INDEX('Game Records'!$L:$L,$H27)&amp;"")="n/a")),"Disqualified Status; ",""))</x:f>
        <x:v/>
      </x:c>
      <x:c r="G27" s="331" t="str">
        <x:f>IF($H27="","",IFERROR(INDEX('Game Records'!$M:$M,$H27),""))</x:f>
        <x:v/>
      </x:c>
      <x:c r="H27" s="104" t="str">
        <x:f>IF($H26="","",IFERROR(MATCH(1,INDEX((ROW('Game Records'!$U$5:$U$504)&gt;$H26)*(('Game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7" s="104"/>
      <x:c r="J27" s="104"/>
    </x:row>
    <x:row r="28" ht="24" hidden="0" customHeight="1">
      <x:c r="A28" s="332" t="str">
        <x:f>IF($H28="","",ROWS($A$5:A28))</x:f>
        <x:v/>
      </x:c>
      <x:c r="B28" s="332" t="str">
        <x:f>IF($H28="","","G-"&amp;TEXT($A28,"0000"))</x:f>
        <x:v/>
      </x:c>
      <x:c r="C28" s="331" t="str">
        <x:f>IF($H28="","",IFERROR(INDEX('Game Records'!$A:$A,$H28),""))</x:f>
        <x:v/>
      </x:c>
      <x:c r="D28" s="331" t="str">
        <x:f>IF($H28="","",IFERROR(INDEX('Game Records'!$U:$U,$H28),""))</x:f>
        <x:v/>
      </x:c>
      <x:c r="E28" s="331" t="str">
        <x:f>IF($H28="","",IF($F28="","No Highlighted Fields","Highlighted Fields Present"))</x:f>
        <x:v/>
      </x:c>
      <x:c r="F28" s="331" t="str">
        <x:f>IF($H28="","",IF(INDEX('Game Records'!$B:$B,$H28)="","Start Date; ","")&amp;IF(INDEX('Game Records'!$C:$C,$H28)="","End Date; ","")&amp;IF(AND(INDEX('Game Records'!$U:$U,$H28)&lt;&gt;"Subscription",INDEX('Game Records'!$U:$U,$H28)&lt;&gt;"Free Game",INDEX('Game Records'!$U:$U,$H28)&lt;&gt;"Disqualified — Free Game",OR(INDEX('Game Records'!$D:$D,$H28)="",LOWER(INDEX('Game Records'!$D:$D,$H28)&amp;"")="n/a")),"Entry Mode; ","")&amp;IF(AND(INDEX('Game Records'!$U:$U,$H28)&lt;&gt;"Subscription",INDEX('Game Records'!$U:$U,$H28)&lt;&gt;"Free Game",INDEX('Game Records'!$U:$U,$H28)&lt;&gt;"Disqualified — Free Game",OR(INDEX('Game Records'!$E:$E,$H28)="",LOWER(INDEX('Game Records'!$E:$E,$H28)&amp;"")="n/a")),"Game Type; ","")&amp;IF(INDEX('Game Records'!$F:$F,$H28)="","Payment Type; ","")&amp;IF(AND(INDEX('Game Records'!$U:$U,$H28)&lt;&gt;"Subscription",INDEX('Game Records'!$U:$U,$H28)&lt;&gt;"Free Game",INDEX('Game Records'!$U:$U,$H28)&lt;&gt;"Disqualified — Free Game",INDEX('Game Records'!$G:$G,$H28)=""),"Gross Pot; ","")&amp;IF(AND(INDEX('Game Records'!$U:$U,$H28)&lt;&gt;"Free Game",INDEX('Game Records'!$U:$U,$H28)&lt;&gt;"Disqualified — Free Game",INDEX('Game Records'!$H:$H,$H28)=""),"Entry Fee; ","")&amp;IF(AND(INDEX('Game Records'!$U:$U,$H28)&lt;&gt;"Subscription",INDEX('Game Records'!$U:$U,$H28)&lt;&gt;"Free Game",INDEX('Game Records'!$U:$U,$H28)&lt;&gt;"Disqualified — Free Game",INDEX('Game Records'!$I:$I,$H28)=""),"Eligible Players; ","")&amp;IF(AND(INDEX('Game Records'!$U:$U,$H28)&lt;&gt;"Subscription",INDEX('Game Records'!$U:$U,$H28)&lt;&gt;"Free Game",INDEX('Game Records'!$U:$U,$H28)&lt;&gt;"Disqualified — Free Game",INDEX('Game Records'!$J:$J,$H28)=""),"Total Players; ","")&amp;IF(AND(LOWER(INDEX('Game Records'!$D:$D,$H28)&amp;"")="finalized",LOWER(INDEX('Game Records'!$L:$L,$H28)&amp;"")&lt;&gt;"yes",INDEX('Game Records'!$U:$U,$H28)&lt;&gt;"Subscription",INDEX('Game Records'!$U:$U,$H28)&lt;&gt;"Free Game",INDEX('Game Records'!$U:$U,$H28)&lt;&gt;"Disqualified — Free Game",INDEX('Game Records'!$K:$K,$H28)=""),"Final Earned; ","")&amp;IF(AND(LOWER(INDEX('Game Records'!$D:$D,$H28)&amp;"")="finalized",INDEX('Game Records'!$U:$U,$H28)&lt;&gt;"Subscription",INDEX('Game Records'!$U:$U,$H28)&lt;&gt;"Free Game",INDEX('Game Records'!$U:$U,$H28)&lt;&gt;"Disqualified — Free Game",OR(INDEX('Game Records'!$L:$L,$H28)="",LOWER(INDEX('Game Records'!$L:$L,$H28)&amp;"")="n/a")),"Disqualified Status; ",""))</x:f>
        <x:v/>
      </x:c>
      <x:c r="G28" s="331" t="str">
        <x:f>IF($H28="","",IFERROR(INDEX('Game Records'!$M:$M,$H28),""))</x:f>
        <x:v/>
      </x:c>
      <x:c r="H28" s="104" t="str">
        <x:f>IF($H27="","",IFERROR(MATCH(1,INDEX((ROW('Game Records'!$U$5:$U$504)&gt;$H27)*(('Game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8" s="104"/>
      <x:c r="J28" s="104"/>
    </x:row>
    <x:row r="29" ht="24" hidden="0" customHeight="1">
      <x:c r="A29" s="332" t="str">
        <x:f>IF($H29="","",ROWS($A$5:A29))</x:f>
        <x:v/>
      </x:c>
      <x:c r="B29" s="332" t="str">
        <x:f>IF($H29="","","G-"&amp;TEXT($A29,"0000"))</x:f>
        <x:v/>
      </x:c>
      <x:c r="C29" s="331" t="str">
        <x:f>IF($H29="","",IFERROR(INDEX('Game Records'!$A:$A,$H29),""))</x:f>
        <x:v/>
      </x:c>
      <x:c r="D29" s="331" t="str">
        <x:f>IF($H29="","",IFERROR(INDEX('Game Records'!$U:$U,$H29),""))</x:f>
        <x:v/>
      </x:c>
      <x:c r="E29" s="331" t="str">
        <x:f>IF($H29="","",IF($F29="","No Highlighted Fields","Highlighted Fields Present"))</x:f>
        <x:v/>
      </x:c>
      <x:c r="F29" s="331" t="str">
        <x:f>IF($H29="","",IF(INDEX('Game Records'!$B:$B,$H29)="","Start Date; ","")&amp;IF(INDEX('Game Records'!$C:$C,$H29)="","End Date; ","")&amp;IF(AND(INDEX('Game Records'!$U:$U,$H29)&lt;&gt;"Subscription",INDEX('Game Records'!$U:$U,$H29)&lt;&gt;"Free Game",INDEX('Game Records'!$U:$U,$H29)&lt;&gt;"Disqualified — Free Game",OR(INDEX('Game Records'!$D:$D,$H29)="",LOWER(INDEX('Game Records'!$D:$D,$H29)&amp;"")="n/a")),"Entry Mode; ","")&amp;IF(AND(INDEX('Game Records'!$U:$U,$H29)&lt;&gt;"Subscription",INDEX('Game Records'!$U:$U,$H29)&lt;&gt;"Free Game",INDEX('Game Records'!$U:$U,$H29)&lt;&gt;"Disqualified — Free Game",OR(INDEX('Game Records'!$E:$E,$H29)="",LOWER(INDEX('Game Records'!$E:$E,$H29)&amp;"")="n/a")),"Game Type; ","")&amp;IF(INDEX('Game Records'!$F:$F,$H29)="","Payment Type; ","")&amp;IF(AND(INDEX('Game Records'!$U:$U,$H29)&lt;&gt;"Subscription",INDEX('Game Records'!$U:$U,$H29)&lt;&gt;"Free Game",INDEX('Game Records'!$U:$U,$H29)&lt;&gt;"Disqualified — Free Game",INDEX('Game Records'!$G:$G,$H29)=""),"Gross Pot; ","")&amp;IF(AND(INDEX('Game Records'!$U:$U,$H29)&lt;&gt;"Free Game",INDEX('Game Records'!$U:$U,$H29)&lt;&gt;"Disqualified — Free Game",INDEX('Game Records'!$H:$H,$H29)=""),"Entry Fee; ","")&amp;IF(AND(INDEX('Game Records'!$U:$U,$H29)&lt;&gt;"Subscription",INDEX('Game Records'!$U:$U,$H29)&lt;&gt;"Free Game",INDEX('Game Records'!$U:$U,$H29)&lt;&gt;"Disqualified — Free Game",INDEX('Game Records'!$I:$I,$H29)=""),"Eligible Players; ","")&amp;IF(AND(INDEX('Game Records'!$U:$U,$H29)&lt;&gt;"Subscription",INDEX('Game Records'!$U:$U,$H29)&lt;&gt;"Free Game",INDEX('Game Records'!$U:$U,$H29)&lt;&gt;"Disqualified — Free Game",INDEX('Game Records'!$J:$J,$H29)=""),"Total Players; ","")&amp;IF(AND(LOWER(INDEX('Game Records'!$D:$D,$H29)&amp;"")="finalized",LOWER(INDEX('Game Records'!$L:$L,$H29)&amp;"")&lt;&gt;"yes",INDEX('Game Records'!$U:$U,$H29)&lt;&gt;"Subscription",INDEX('Game Records'!$U:$U,$H29)&lt;&gt;"Free Game",INDEX('Game Records'!$U:$U,$H29)&lt;&gt;"Disqualified — Free Game",INDEX('Game Records'!$K:$K,$H29)=""),"Final Earned; ","")&amp;IF(AND(LOWER(INDEX('Game Records'!$D:$D,$H29)&amp;"")="finalized",INDEX('Game Records'!$U:$U,$H29)&lt;&gt;"Subscription",INDEX('Game Records'!$U:$U,$H29)&lt;&gt;"Free Game",INDEX('Game Records'!$U:$U,$H29)&lt;&gt;"Disqualified — Free Game",OR(INDEX('Game Records'!$L:$L,$H29)="",LOWER(INDEX('Game Records'!$L:$L,$H29)&amp;"")="n/a")),"Disqualified Status; ",""))</x:f>
        <x:v/>
      </x:c>
      <x:c r="G29" s="331" t="str">
        <x:f>IF($H29="","",IFERROR(INDEX('Game Records'!$M:$M,$H29),""))</x:f>
        <x:v/>
      </x:c>
      <x:c r="H29" s="104" t="str">
        <x:f>IF($H28="","",IFERROR(MATCH(1,INDEX((ROW('Game Records'!$U$5:$U$504)&gt;$H28)*(('Game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9" s="104"/>
      <x:c r="J29" s="104"/>
    </x:row>
    <x:row r="30" ht="24" hidden="0" customHeight="1">
      <x:c r="A30" s="332" t="str">
        <x:f>IF($H30="","",ROWS($A$5:A30))</x:f>
        <x:v/>
      </x:c>
      <x:c r="B30" s="332" t="str">
        <x:f>IF($H30="","","G-"&amp;TEXT($A30,"0000"))</x:f>
        <x:v/>
      </x:c>
      <x:c r="C30" s="331" t="str">
        <x:f>IF($H30="","",IFERROR(INDEX('Game Records'!$A:$A,$H30),""))</x:f>
        <x:v/>
      </x:c>
      <x:c r="D30" s="331" t="str">
        <x:f>IF($H30="","",IFERROR(INDEX('Game Records'!$U:$U,$H30),""))</x:f>
        <x:v/>
      </x:c>
      <x:c r="E30" s="331" t="str">
        <x:f>IF($H30="","",IF($F30="","No Highlighted Fields","Highlighted Fields Present"))</x:f>
        <x:v/>
      </x:c>
      <x:c r="F30" s="331" t="str">
        <x:f>IF($H30="","",IF(INDEX('Game Records'!$B:$B,$H30)="","Start Date; ","")&amp;IF(INDEX('Game Records'!$C:$C,$H30)="","End Date; ","")&amp;IF(AND(INDEX('Game Records'!$U:$U,$H30)&lt;&gt;"Subscription",INDEX('Game Records'!$U:$U,$H30)&lt;&gt;"Free Game",INDEX('Game Records'!$U:$U,$H30)&lt;&gt;"Disqualified — Free Game",OR(INDEX('Game Records'!$D:$D,$H30)="",LOWER(INDEX('Game Records'!$D:$D,$H30)&amp;"")="n/a")),"Entry Mode; ","")&amp;IF(AND(INDEX('Game Records'!$U:$U,$H30)&lt;&gt;"Subscription",INDEX('Game Records'!$U:$U,$H30)&lt;&gt;"Free Game",INDEX('Game Records'!$U:$U,$H30)&lt;&gt;"Disqualified — Free Game",OR(INDEX('Game Records'!$E:$E,$H30)="",LOWER(INDEX('Game Records'!$E:$E,$H30)&amp;"")="n/a")),"Game Type; ","")&amp;IF(INDEX('Game Records'!$F:$F,$H30)="","Payment Type; ","")&amp;IF(AND(INDEX('Game Records'!$U:$U,$H30)&lt;&gt;"Subscription",INDEX('Game Records'!$U:$U,$H30)&lt;&gt;"Free Game",INDEX('Game Records'!$U:$U,$H30)&lt;&gt;"Disqualified — Free Game",INDEX('Game Records'!$G:$G,$H30)=""),"Gross Pot; ","")&amp;IF(AND(INDEX('Game Records'!$U:$U,$H30)&lt;&gt;"Free Game",INDEX('Game Records'!$U:$U,$H30)&lt;&gt;"Disqualified — Free Game",INDEX('Game Records'!$H:$H,$H30)=""),"Entry Fee; ","")&amp;IF(AND(INDEX('Game Records'!$U:$U,$H30)&lt;&gt;"Subscription",INDEX('Game Records'!$U:$U,$H30)&lt;&gt;"Free Game",INDEX('Game Records'!$U:$U,$H30)&lt;&gt;"Disqualified — Free Game",INDEX('Game Records'!$I:$I,$H30)=""),"Eligible Players; ","")&amp;IF(AND(INDEX('Game Records'!$U:$U,$H30)&lt;&gt;"Subscription",INDEX('Game Records'!$U:$U,$H30)&lt;&gt;"Free Game",INDEX('Game Records'!$U:$U,$H30)&lt;&gt;"Disqualified — Free Game",INDEX('Game Records'!$J:$J,$H30)=""),"Total Players; ","")&amp;IF(AND(LOWER(INDEX('Game Records'!$D:$D,$H30)&amp;"")="finalized",LOWER(INDEX('Game Records'!$L:$L,$H30)&amp;"")&lt;&gt;"yes",INDEX('Game Records'!$U:$U,$H30)&lt;&gt;"Subscription",INDEX('Game Records'!$U:$U,$H30)&lt;&gt;"Free Game",INDEX('Game Records'!$U:$U,$H30)&lt;&gt;"Disqualified — Free Game",INDEX('Game Records'!$K:$K,$H30)=""),"Final Earned; ","")&amp;IF(AND(LOWER(INDEX('Game Records'!$D:$D,$H30)&amp;"")="finalized",INDEX('Game Records'!$U:$U,$H30)&lt;&gt;"Subscription",INDEX('Game Records'!$U:$U,$H30)&lt;&gt;"Free Game",INDEX('Game Records'!$U:$U,$H30)&lt;&gt;"Disqualified — Free Game",OR(INDEX('Game Records'!$L:$L,$H30)="",LOWER(INDEX('Game Records'!$L:$L,$H30)&amp;"")="n/a")),"Disqualified Status; ",""))</x:f>
        <x:v/>
      </x:c>
      <x:c r="G30" s="331" t="str">
        <x:f>IF($H30="","",IFERROR(INDEX('Game Records'!$M:$M,$H30),""))</x:f>
        <x:v/>
      </x:c>
      <x:c r="H30" s="104" t="str">
        <x:f>IF($H29="","",IFERROR(MATCH(1,INDEX((ROW('Game Records'!$U$5:$U$504)&gt;$H29)*(('Game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0" s="104"/>
      <x:c r="J30" s="104"/>
    </x:row>
    <x:row r="31" ht="24" hidden="0" customHeight="1">
      <x:c r="A31" s="332" t="str">
        <x:f>IF($H31="","",ROWS($A$5:A31))</x:f>
        <x:v/>
      </x:c>
      <x:c r="B31" s="332" t="str">
        <x:f>IF($H31="","","G-"&amp;TEXT($A31,"0000"))</x:f>
        <x:v/>
      </x:c>
      <x:c r="C31" s="331" t="str">
        <x:f>IF($H31="","",IFERROR(INDEX('Game Records'!$A:$A,$H31),""))</x:f>
        <x:v/>
      </x:c>
      <x:c r="D31" s="331" t="str">
        <x:f>IF($H31="","",IFERROR(INDEX('Game Records'!$U:$U,$H31),""))</x:f>
        <x:v/>
      </x:c>
      <x:c r="E31" s="331" t="str">
        <x:f>IF($H31="","",IF($F31="","No Highlighted Fields","Highlighted Fields Present"))</x:f>
        <x:v/>
      </x:c>
      <x:c r="F31" s="331" t="str">
        <x:f>IF($H31="","",IF(INDEX('Game Records'!$B:$B,$H31)="","Start Date; ","")&amp;IF(INDEX('Game Records'!$C:$C,$H31)="","End Date; ","")&amp;IF(AND(INDEX('Game Records'!$U:$U,$H31)&lt;&gt;"Subscription",INDEX('Game Records'!$U:$U,$H31)&lt;&gt;"Free Game",INDEX('Game Records'!$U:$U,$H31)&lt;&gt;"Disqualified — Free Game",OR(INDEX('Game Records'!$D:$D,$H31)="",LOWER(INDEX('Game Records'!$D:$D,$H31)&amp;"")="n/a")),"Entry Mode; ","")&amp;IF(AND(INDEX('Game Records'!$U:$U,$H31)&lt;&gt;"Subscription",INDEX('Game Records'!$U:$U,$H31)&lt;&gt;"Free Game",INDEX('Game Records'!$U:$U,$H31)&lt;&gt;"Disqualified — Free Game",OR(INDEX('Game Records'!$E:$E,$H31)="",LOWER(INDEX('Game Records'!$E:$E,$H31)&amp;"")="n/a")),"Game Type; ","")&amp;IF(INDEX('Game Records'!$F:$F,$H31)="","Payment Type; ","")&amp;IF(AND(INDEX('Game Records'!$U:$U,$H31)&lt;&gt;"Subscription",INDEX('Game Records'!$U:$U,$H31)&lt;&gt;"Free Game",INDEX('Game Records'!$U:$U,$H31)&lt;&gt;"Disqualified — Free Game",INDEX('Game Records'!$G:$G,$H31)=""),"Gross Pot; ","")&amp;IF(AND(INDEX('Game Records'!$U:$U,$H31)&lt;&gt;"Free Game",INDEX('Game Records'!$U:$U,$H31)&lt;&gt;"Disqualified — Free Game",INDEX('Game Records'!$H:$H,$H31)=""),"Entry Fee; ","")&amp;IF(AND(INDEX('Game Records'!$U:$U,$H31)&lt;&gt;"Subscription",INDEX('Game Records'!$U:$U,$H31)&lt;&gt;"Free Game",INDEX('Game Records'!$U:$U,$H31)&lt;&gt;"Disqualified — Free Game",INDEX('Game Records'!$I:$I,$H31)=""),"Eligible Players; ","")&amp;IF(AND(INDEX('Game Records'!$U:$U,$H31)&lt;&gt;"Subscription",INDEX('Game Records'!$U:$U,$H31)&lt;&gt;"Free Game",INDEX('Game Records'!$U:$U,$H31)&lt;&gt;"Disqualified — Free Game",INDEX('Game Records'!$J:$J,$H31)=""),"Total Players; ","")&amp;IF(AND(LOWER(INDEX('Game Records'!$D:$D,$H31)&amp;"")="finalized",LOWER(INDEX('Game Records'!$L:$L,$H31)&amp;"")&lt;&gt;"yes",INDEX('Game Records'!$U:$U,$H31)&lt;&gt;"Subscription",INDEX('Game Records'!$U:$U,$H31)&lt;&gt;"Free Game",INDEX('Game Records'!$U:$U,$H31)&lt;&gt;"Disqualified — Free Game",INDEX('Game Records'!$K:$K,$H31)=""),"Final Earned; ","")&amp;IF(AND(LOWER(INDEX('Game Records'!$D:$D,$H31)&amp;"")="finalized",INDEX('Game Records'!$U:$U,$H31)&lt;&gt;"Subscription",INDEX('Game Records'!$U:$U,$H31)&lt;&gt;"Free Game",INDEX('Game Records'!$U:$U,$H31)&lt;&gt;"Disqualified — Free Game",OR(INDEX('Game Records'!$L:$L,$H31)="",LOWER(INDEX('Game Records'!$L:$L,$H31)&amp;"")="n/a")),"Disqualified Status; ",""))</x:f>
        <x:v/>
      </x:c>
      <x:c r="G31" s="331" t="str">
        <x:f>IF($H31="","",IFERROR(INDEX('Game Records'!$M:$M,$H31),""))</x:f>
        <x:v/>
      </x:c>
      <x:c r="H31" s="104" t="str">
        <x:f>IF($H30="","",IFERROR(MATCH(1,INDEX((ROW('Game Records'!$U$5:$U$504)&gt;$H30)*(('Game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1" s="104"/>
      <x:c r="J31" s="104"/>
    </x:row>
    <x:row r="32" ht="24" hidden="0" customHeight="1">
      <x:c r="A32" s="332" t="str">
        <x:f>IF($H32="","",ROWS($A$5:A32))</x:f>
        <x:v/>
      </x:c>
      <x:c r="B32" s="332" t="str">
        <x:f>IF($H32="","","G-"&amp;TEXT($A32,"0000"))</x:f>
        <x:v/>
      </x:c>
      <x:c r="C32" s="331" t="str">
        <x:f>IF($H32="","",IFERROR(INDEX('Game Records'!$A:$A,$H32),""))</x:f>
        <x:v/>
      </x:c>
      <x:c r="D32" s="331" t="str">
        <x:f>IF($H32="","",IFERROR(INDEX('Game Records'!$U:$U,$H32),""))</x:f>
        <x:v/>
      </x:c>
      <x:c r="E32" s="331" t="str">
        <x:f>IF($H32="","",IF($F32="","No Highlighted Fields","Highlighted Fields Present"))</x:f>
        <x:v/>
      </x:c>
      <x:c r="F32" s="331" t="str">
        <x:f>IF($H32="","",IF(INDEX('Game Records'!$B:$B,$H32)="","Start Date; ","")&amp;IF(INDEX('Game Records'!$C:$C,$H32)="","End Date; ","")&amp;IF(AND(INDEX('Game Records'!$U:$U,$H32)&lt;&gt;"Subscription",INDEX('Game Records'!$U:$U,$H32)&lt;&gt;"Free Game",INDEX('Game Records'!$U:$U,$H32)&lt;&gt;"Disqualified — Free Game",OR(INDEX('Game Records'!$D:$D,$H32)="",LOWER(INDEX('Game Records'!$D:$D,$H32)&amp;"")="n/a")),"Entry Mode; ","")&amp;IF(AND(INDEX('Game Records'!$U:$U,$H32)&lt;&gt;"Subscription",INDEX('Game Records'!$U:$U,$H32)&lt;&gt;"Free Game",INDEX('Game Records'!$U:$U,$H32)&lt;&gt;"Disqualified — Free Game",OR(INDEX('Game Records'!$E:$E,$H32)="",LOWER(INDEX('Game Records'!$E:$E,$H32)&amp;"")="n/a")),"Game Type; ","")&amp;IF(INDEX('Game Records'!$F:$F,$H32)="","Payment Type; ","")&amp;IF(AND(INDEX('Game Records'!$U:$U,$H32)&lt;&gt;"Subscription",INDEX('Game Records'!$U:$U,$H32)&lt;&gt;"Free Game",INDEX('Game Records'!$U:$U,$H32)&lt;&gt;"Disqualified — Free Game",INDEX('Game Records'!$G:$G,$H32)=""),"Gross Pot; ","")&amp;IF(AND(INDEX('Game Records'!$U:$U,$H32)&lt;&gt;"Free Game",INDEX('Game Records'!$U:$U,$H32)&lt;&gt;"Disqualified — Free Game",INDEX('Game Records'!$H:$H,$H32)=""),"Entry Fee; ","")&amp;IF(AND(INDEX('Game Records'!$U:$U,$H32)&lt;&gt;"Subscription",INDEX('Game Records'!$U:$U,$H32)&lt;&gt;"Free Game",INDEX('Game Records'!$U:$U,$H32)&lt;&gt;"Disqualified — Free Game",INDEX('Game Records'!$I:$I,$H32)=""),"Eligible Players; ","")&amp;IF(AND(INDEX('Game Records'!$U:$U,$H32)&lt;&gt;"Subscription",INDEX('Game Records'!$U:$U,$H32)&lt;&gt;"Free Game",INDEX('Game Records'!$U:$U,$H32)&lt;&gt;"Disqualified — Free Game",INDEX('Game Records'!$J:$J,$H32)=""),"Total Players; ","")&amp;IF(AND(LOWER(INDEX('Game Records'!$D:$D,$H32)&amp;"")="finalized",LOWER(INDEX('Game Records'!$L:$L,$H32)&amp;"")&lt;&gt;"yes",INDEX('Game Records'!$U:$U,$H32)&lt;&gt;"Subscription",INDEX('Game Records'!$U:$U,$H32)&lt;&gt;"Free Game",INDEX('Game Records'!$U:$U,$H32)&lt;&gt;"Disqualified — Free Game",INDEX('Game Records'!$K:$K,$H32)=""),"Final Earned; ","")&amp;IF(AND(LOWER(INDEX('Game Records'!$D:$D,$H32)&amp;"")="finalized",INDEX('Game Records'!$U:$U,$H32)&lt;&gt;"Subscription",INDEX('Game Records'!$U:$U,$H32)&lt;&gt;"Free Game",INDEX('Game Records'!$U:$U,$H32)&lt;&gt;"Disqualified — Free Game",OR(INDEX('Game Records'!$L:$L,$H32)="",LOWER(INDEX('Game Records'!$L:$L,$H32)&amp;"")="n/a")),"Disqualified Status; ",""))</x:f>
        <x:v/>
      </x:c>
      <x:c r="G32" s="331" t="str">
        <x:f>IF($H32="","",IFERROR(INDEX('Game Records'!$M:$M,$H32),""))</x:f>
        <x:v/>
      </x:c>
      <x:c r="H32" s="104" t="str">
        <x:f>IF($H31="","",IFERROR(MATCH(1,INDEX((ROW('Game Records'!$U$5:$U$504)&gt;$H31)*(('Game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2" s="104"/>
      <x:c r="J32" s="104"/>
    </x:row>
    <x:row r="33" ht="24" hidden="0" customHeight="1">
      <x:c r="A33" s="332" t="str">
        <x:f>IF($H33="","",ROWS($A$5:A33))</x:f>
        <x:v/>
      </x:c>
      <x:c r="B33" s="332" t="str">
        <x:f>IF($H33="","","G-"&amp;TEXT($A33,"0000"))</x:f>
        <x:v/>
      </x:c>
      <x:c r="C33" s="331" t="str">
        <x:f>IF($H33="","",IFERROR(INDEX('Game Records'!$A:$A,$H33),""))</x:f>
        <x:v/>
      </x:c>
      <x:c r="D33" s="331" t="str">
        <x:f>IF($H33="","",IFERROR(INDEX('Game Records'!$U:$U,$H33),""))</x:f>
        <x:v/>
      </x:c>
      <x:c r="E33" s="331" t="str">
        <x:f>IF($H33="","",IF($F33="","No Highlighted Fields","Highlighted Fields Present"))</x:f>
        <x:v/>
      </x:c>
      <x:c r="F33" s="331" t="str">
        <x:f>IF($H33="","",IF(INDEX('Game Records'!$B:$B,$H33)="","Start Date; ","")&amp;IF(INDEX('Game Records'!$C:$C,$H33)="","End Date; ","")&amp;IF(AND(INDEX('Game Records'!$U:$U,$H33)&lt;&gt;"Subscription",INDEX('Game Records'!$U:$U,$H33)&lt;&gt;"Free Game",INDEX('Game Records'!$U:$U,$H33)&lt;&gt;"Disqualified — Free Game",OR(INDEX('Game Records'!$D:$D,$H33)="",LOWER(INDEX('Game Records'!$D:$D,$H33)&amp;"")="n/a")),"Entry Mode; ","")&amp;IF(AND(INDEX('Game Records'!$U:$U,$H33)&lt;&gt;"Subscription",INDEX('Game Records'!$U:$U,$H33)&lt;&gt;"Free Game",INDEX('Game Records'!$U:$U,$H33)&lt;&gt;"Disqualified — Free Game",OR(INDEX('Game Records'!$E:$E,$H33)="",LOWER(INDEX('Game Records'!$E:$E,$H33)&amp;"")="n/a")),"Game Type; ","")&amp;IF(INDEX('Game Records'!$F:$F,$H33)="","Payment Type; ","")&amp;IF(AND(INDEX('Game Records'!$U:$U,$H33)&lt;&gt;"Subscription",INDEX('Game Records'!$U:$U,$H33)&lt;&gt;"Free Game",INDEX('Game Records'!$U:$U,$H33)&lt;&gt;"Disqualified — Free Game",INDEX('Game Records'!$G:$G,$H33)=""),"Gross Pot; ","")&amp;IF(AND(INDEX('Game Records'!$U:$U,$H33)&lt;&gt;"Free Game",INDEX('Game Records'!$U:$U,$H33)&lt;&gt;"Disqualified — Free Game",INDEX('Game Records'!$H:$H,$H33)=""),"Entry Fee; ","")&amp;IF(AND(INDEX('Game Records'!$U:$U,$H33)&lt;&gt;"Subscription",INDEX('Game Records'!$U:$U,$H33)&lt;&gt;"Free Game",INDEX('Game Records'!$U:$U,$H33)&lt;&gt;"Disqualified — Free Game",INDEX('Game Records'!$I:$I,$H33)=""),"Eligible Players; ","")&amp;IF(AND(INDEX('Game Records'!$U:$U,$H33)&lt;&gt;"Subscription",INDEX('Game Records'!$U:$U,$H33)&lt;&gt;"Free Game",INDEX('Game Records'!$U:$U,$H33)&lt;&gt;"Disqualified — Free Game",INDEX('Game Records'!$J:$J,$H33)=""),"Total Players; ","")&amp;IF(AND(LOWER(INDEX('Game Records'!$D:$D,$H33)&amp;"")="finalized",LOWER(INDEX('Game Records'!$L:$L,$H33)&amp;"")&lt;&gt;"yes",INDEX('Game Records'!$U:$U,$H33)&lt;&gt;"Subscription",INDEX('Game Records'!$U:$U,$H33)&lt;&gt;"Free Game",INDEX('Game Records'!$U:$U,$H33)&lt;&gt;"Disqualified — Free Game",INDEX('Game Records'!$K:$K,$H33)=""),"Final Earned; ","")&amp;IF(AND(LOWER(INDEX('Game Records'!$D:$D,$H33)&amp;"")="finalized",INDEX('Game Records'!$U:$U,$H33)&lt;&gt;"Subscription",INDEX('Game Records'!$U:$U,$H33)&lt;&gt;"Free Game",INDEX('Game Records'!$U:$U,$H33)&lt;&gt;"Disqualified — Free Game",OR(INDEX('Game Records'!$L:$L,$H33)="",LOWER(INDEX('Game Records'!$L:$L,$H33)&amp;"")="n/a")),"Disqualified Status; ",""))</x:f>
        <x:v/>
      </x:c>
      <x:c r="G33" s="331" t="str">
        <x:f>IF($H33="","",IFERROR(INDEX('Game Records'!$M:$M,$H33),""))</x:f>
        <x:v/>
      </x:c>
      <x:c r="H33" s="104" t="str">
        <x:f>IF($H32="","",IFERROR(MATCH(1,INDEX((ROW('Game Records'!$U$5:$U$504)&gt;$H32)*(('Game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3" s="104"/>
      <x:c r="J33" s="104"/>
    </x:row>
    <x:row r="34" ht="24" hidden="0" customHeight="1">
      <x:c r="A34" s="332" t="str">
        <x:f>IF($H34="","",ROWS($A$5:A34))</x:f>
        <x:v/>
      </x:c>
      <x:c r="B34" s="332" t="str">
        <x:f>IF($H34="","","G-"&amp;TEXT($A34,"0000"))</x:f>
        <x:v/>
      </x:c>
      <x:c r="C34" s="331" t="str">
        <x:f>IF($H34="","",IFERROR(INDEX('Game Records'!$A:$A,$H34),""))</x:f>
        <x:v/>
      </x:c>
      <x:c r="D34" s="331" t="str">
        <x:f>IF($H34="","",IFERROR(INDEX('Game Records'!$U:$U,$H34),""))</x:f>
        <x:v/>
      </x:c>
      <x:c r="E34" s="331" t="str">
        <x:f>IF($H34="","",IF($F34="","No Highlighted Fields","Highlighted Fields Present"))</x:f>
        <x:v/>
      </x:c>
      <x:c r="F34" s="331" t="str">
        <x:f>IF($H34="","",IF(INDEX('Game Records'!$B:$B,$H34)="","Start Date; ","")&amp;IF(INDEX('Game Records'!$C:$C,$H34)="","End Date; ","")&amp;IF(AND(INDEX('Game Records'!$U:$U,$H34)&lt;&gt;"Subscription",INDEX('Game Records'!$U:$U,$H34)&lt;&gt;"Free Game",INDEX('Game Records'!$U:$U,$H34)&lt;&gt;"Disqualified — Free Game",OR(INDEX('Game Records'!$D:$D,$H34)="",LOWER(INDEX('Game Records'!$D:$D,$H34)&amp;"")="n/a")),"Entry Mode; ","")&amp;IF(AND(INDEX('Game Records'!$U:$U,$H34)&lt;&gt;"Subscription",INDEX('Game Records'!$U:$U,$H34)&lt;&gt;"Free Game",INDEX('Game Records'!$U:$U,$H34)&lt;&gt;"Disqualified — Free Game",OR(INDEX('Game Records'!$E:$E,$H34)="",LOWER(INDEX('Game Records'!$E:$E,$H34)&amp;"")="n/a")),"Game Type; ","")&amp;IF(INDEX('Game Records'!$F:$F,$H34)="","Payment Type; ","")&amp;IF(AND(INDEX('Game Records'!$U:$U,$H34)&lt;&gt;"Subscription",INDEX('Game Records'!$U:$U,$H34)&lt;&gt;"Free Game",INDEX('Game Records'!$U:$U,$H34)&lt;&gt;"Disqualified — Free Game",INDEX('Game Records'!$G:$G,$H34)=""),"Gross Pot; ","")&amp;IF(AND(INDEX('Game Records'!$U:$U,$H34)&lt;&gt;"Free Game",INDEX('Game Records'!$U:$U,$H34)&lt;&gt;"Disqualified — Free Game",INDEX('Game Records'!$H:$H,$H34)=""),"Entry Fee; ","")&amp;IF(AND(INDEX('Game Records'!$U:$U,$H34)&lt;&gt;"Subscription",INDEX('Game Records'!$U:$U,$H34)&lt;&gt;"Free Game",INDEX('Game Records'!$U:$U,$H34)&lt;&gt;"Disqualified — Free Game",INDEX('Game Records'!$I:$I,$H34)=""),"Eligible Players; ","")&amp;IF(AND(INDEX('Game Records'!$U:$U,$H34)&lt;&gt;"Subscription",INDEX('Game Records'!$U:$U,$H34)&lt;&gt;"Free Game",INDEX('Game Records'!$U:$U,$H34)&lt;&gt;"Disqualified — Free Game",INDEX('Game Records'!$J:$J,$H34)=""),"Total Players; ","")&amp;IF(AND(LOWER(INDEX('Game Records'!$D:$D,$H34)&amp;"")="finalized",LOWER(INDEX('Game Records'!$L:$L,$H34)&amp;"")&lt;&gt;"yes",INDEX('Game Records'!$U:$U,$H34)&lt;&gt;"Subscription",INDEX('Game Records'!$U:$U,$H34)&lt;&gt;"Free Game",INDEX('Game Records'!$U:$U,$H34)&lt;&gt;"Disqualified — Free Game",INDEX('Game Records'!$K:$K,$H34)=""),"Final Earned; ","")&amp;IF(AND(LOWER(INDEX('Game Records'!$D:$D,$H34)&amp;"")="finalized",INDEX('Game Records'!$U:$U,$H34)&lt;&gt;"Subscription",INDEX('Game Records'!$U:$U,$H34)&lt;&gt;"Free Game",INDEX('Game Records'!$U:$U,$H34)&lt;&gt;"Disqualified — Free Game",OR(INDEX('Game Records'!$L:$L,$H34)="",LOWER(INDEX('Game Records'!$L:$L,$H34)&amp;"")="n/a")),"Disqualified Status; ",""))</x:f>
        <x:v/>
      </x:c>
      <x:c r="G34" s="331" t="str">
        <x:f>IF($H34="","",IFERROR(INDEX('Game Records'!$M:$M,$H34),""))</x:f>
        <x:v/>
      </x:c>
      <x:c r="H34" s="104" t="str">
        <x:f>IF($H33="","",IFERROR(MATCH(1,INDEX((ROW('Game Records'!$U$5:$U$504)&gt;$H33)*(('Game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4" s="104"/>
      <x:c r="J34" s="104"/>
    </x:row>
    <x:row r="35" ht="24" hidden="0" customHeight="1">
      <x:c r="A35" s="332" t="str">
        <x:f>IF($H35="","",ROWS($A$5:A35))</x:f>
        <x:v/>
      </x:c>
      <x:c r="B35" s="332" t="str">
        <x:f>IF($H35="","","G-"&amp;TEXT($A35,"0000"))</x:f>
        <x:v/>
      </x:c>
      <x:c r="C35" s="331" t="str">
        <x:f>IF($H35="","",IFERROR(INDEX('Game Records'!$A:$A,$H35),""))</x:f>
        <x:v/>
      </x:c>
      <x:c r="D35" s="331" t="str">
        <x:f>IF($H35="","",IFERROR(INDEX('Game Records'!$U:$U,$H35),""))</x:f>
        <x:v/>
      </x:c>
      <x:c r="E35" s="331" t="str">
        <x:f>IF($H35="","",IF($F35="","No Highlighted Fields","Highlighted Fields Present"))</x:f>
        <x:v/>
      </x:c>
      <x:c r="F35" s="331" t="str">
        <x:f>IF($H35="","",IF(INDEX('Game Records'!$B:$B,$H35)="","Start Date; ","")&amp;IF(INDEX('Game Records'!$C:$C,$H35)="","End Date; ","")&amp;IF(AND(INDEX('Game Records'!$U:$U,$H35)&lt;&gt;"Subscription",INDEX('Game Records'!$U:$U,$H35)&lt;&gt;"Free Game",INDEX('Game Records'!$U:$U,$H35)&lt;&gt;"Disqualified — Free Game",OR(INDEX('Game Records'!$D:$D,$H35)="",LOWER(INDEX('Game Records'!$D:$D,$H35)&amp;"")="n/a")),"Entry Mode; ","")&amp;IF(AND(INDEX('Game Records'!$U:$U,$H35)&lt;&gt;"Subscription",INDEX('Game Records'!$U:$U,$H35)&lt;&gt;"Free Game",INDEX('Game Records'!$U:$U,$H35)&lt;&gt;"Disqualified — Free Game",OR(INDEX('Game Records'!$E:$E,$H35)="",LOWER(INDEX('Game Records'!$E:$E,$H35)&amp;"")="n/a")),"Game Type; ","")&amp;IF(INDEX('Game Records'!$F:$F,$H35)="","Payment Type; ","")&amp;IF(AND(INDEX('Game Records'!$U:$U,$H35)&lt;&gt;"Subscription",INDEX('Game Records'!$U:$U,$H35)&lt;&gt;"Free Game",INDEX('Game Records'!$U:$U,$H35)&lt;&gt;"Disqualified — Free Game",INDEX('Game Records'!$G:$G,$H35)=""),"Gross Pot; ","")&amp;IF(AND(INDEX('Game Records'!$U:$U,$H35)&lt;&gt;"Free Game",INDEX('Game Records'!$U:$U,$H35)&lt;&gt;"Disqualified — Free Game",INDEX('Game Records'!$H:$H,$H35)=""),"Entry Fee; ","")&amp;IF(AND(INDEX('Game Records'!$U:$U,$H35)&lt;&gt;"Subscription",INDEX('Game Records'!$U:$U,$H35)&lt;&gt;"Free Game",INDEX('Game Records'!$U:$U,$H35)&lt;&gt;"Disqualified — Free Game",INDEX('Game Records'!$I:$I,$H35)=""),"Eligible Players; ","")&amp;IF(AND(INDEX('Game Records'!$U:$U,$H35)&lt;&gt;"Subscription",INDEX('Game Records'!$U:$U,$H35)&lt;&gt;"Free Game",INDEX('Game Records'!$U:$U,$H35)&lt;&gt;"Disqualified — Free Game",INDEX('Game Records'!$J:$J,$H35)=""),"Total Players; ","")&amp;IF(AND(LOWER(INDEX('Game Records'!$D:$D,$H35)&amp;"")="finalized",LOWER(INDEX('Game Records'!$L:$L,$H35)&amp;"")&lt;&gt;"yes",INDEX('Game Records'!$U:$U,$H35)&lt;&gt;"Subscription",INDEX('Game Records'!$U:$U,$H35)&lt;&gt;"Free Game",INDEX('Game Records'!$U:$U,$H35)&lt;&gt;"Disqualified — Free Game",INDEX('Game Records'!$K:$K,$H35)=""),"Final Earned; ","")&amp;IF(AND(LOWER(INDEX('Game Records'!$D:$D,$H35)&amp;"")="finalized",INDEX('Game Records'!$U:$U,$H35)&lt;&gt;"Subscription",INDEX('Game Records'!$U:$U,$H35)&lt;&gt;"Free Game",INDEX('Game Records'!$U:$U,$H35)&lt;&gt;"Disqualified — Free Game",OR(INDEX('Game Records'!$L:$L,$H35)="",LOWER(INDEX('Game Records'!$L:$L,$H35)&amp;"")="n/a")),"Disqualified Status; ",""))</x:f>
        <x:v/>
      </x:c>
      <x:c r="G35" s="331" t="str">
        <x:f>IF($H35="","",IFERROR(INDEX('Game Records'!$M:$M,$H35),""))</x:f>
        <x:v/>
      </x:c>
      <x:c r="H35" s="104" t="str">
        <x:f>IF($H34="","",IFERROR(MATCH(1,INDEX((ROW('Game Records'!$U$5:$U$504)&gt;$H34)*(('Game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5" s="104"/>
      <x:c r="J35" s="104"/>
    </x:row>
    <x:row r="36" ht="24" hidden="0" customHeight="1">
      <x:c r="A36" s="332" t="str">
        <x:f>IF($H36="","",ROWS($A$5:A36))</x:f>
        <x:v/>
      </x:c>
      <x:c r="B36" s="332" t="str">
        <x:f>IF($H36="","","G-"&amp;TEXT($A36,"0000"))</x:f>
        <x:v/>
      </x:c>
      <x:c r="C36" s="331" t="str">
        <x:f>IF($H36="","",IFERROR(INDEX('Game Records'!$A:$A,$H36),""))</x:f>
        <x:v/>
      </x:c>
      <x:c r="D36" s="331" t="str">
        <x:f>IF($H36="","",IFERROR(INDEX('Game Records'!$U:$U,$H36),""))</x:f>
        <x:v/>
      </x:c>
      <x:c r="E36" s="331" t="str">
        <x:f>IF($H36="","",IF($F36="","No Highlighted Fields","Highlighted Fields Present"))</x:f>
        <x:v/>
      </x:c>
      <x:c r="F36" s="331" t="str">
        <x:f>IF($H36="","",IF(INDEX('Game Records'!$B:$B,$H36)="","Start Date; ","")&amp;IF(INDEX('Game Records'!$C:$C,$H36)="","End Date; ","")&amp;IF(AND(INDEX('Game Records'!$U:$U,$H36)&lt;&gt;"Subscription",INDEX('Game Records'!$U:$U,$H36)&lt;&gt;"Free Game",INDEX('Game Records'!$U:$U,$H36)&lt;&gt;"Disqualified — Free Game",OR(INDEX('Game Records'!$D:$D,$H36)="",LOWER(INDEX('Game Records'!$D:$D,$H36)&amp;"")="n/a")),"Entry Mode; ","")&amp;IF(AND(INDEX('Game Records'!$U:$U,$H36)&lt;&gt;"Subscription",INDEX('Game Records'!$U:$U,$H36)&lt;&gt;"Free Game",INDEX('Game Records'!$U:$U,$H36)&lt;&gt;"Disqualified — Free Game",OR(INDEX('Game Records'!$E:$E,$H36)="",LOWER(INDEX('Game Records'!$E:$E,$H36)&amp;"")="n/a")),"Game Type; ","")&amp;IF(INDEX('Game Records'!$F:$F,$H36)="","Payment Type; ","")&amp;IF(AND(INDEX('Game Records'!$U:$U,$H36)&lt;&gt;"Subscription",INDEX('Game Records'!$U:$U,$H36)&lt;&gt;"Free Game",INDEX('Game Records'!$U:$U,$H36)&lt;&gt;"Disqualified — Free Game",INDEX('Game Records'!$G:$G,$H36)=""),"Gross Pot; ","")&amp;IF(AND(INDEX('Game Records'!$U:$U,$H36)&lt;&gt;"Free Game",INDEX('Game Records'!$U:$U,$H36)&lt;&gt;"Disqualified — Free Game",INDEX('Game Records'!$H:$H,$H36)=""),"Entry Fee; ","")&amp;IF(AND(INDEX('Game Records'!$U:$U,$H36)&lt;&gt;"Subscription",INDEX('Game Records'!$U:$U,$H36)&lt;&gt;"Free Game",INDEX('Game Records'!$U:$U,$H36)&lt;&gt;"Disqualified — Free Game",INDEX('Game Records'!$I:$I,$H36)=""),"Eligible Players; ","")&amp;IF(AND(INDEX('Game Records'!$U:$U,$H36)&lt;&gt;"Subscription",INDEX('Game Records'!$U:$U,$H36)&lt;&gt;"Free Game",INDEX('Game Records'!$U:$U,$H36)&lt;&gt;"Disqualified — Free Game",INDEX('Game Records'!$J:$J,$H36)=""),"Total Players; ","")&amp;IF(AND(LOWER(INDEX('Game Records'!$D:$D,$H36)&amp;"")="finalized",LOWER(INDEX('Game Records'!$L:$L,$H36)&amp;"")&lt;&gt;"yes",INDEX('Game Records'!$U:$U,$H36)&lt;&gt;"Subscription",INDEX('Game Records'!$U:$U,$H36)&lt;&gt;"Free Game",INDEX('Game Records'!$U:$U,$H36)&lt;&gt;"Disqualified — Free Game",INDEX('Game Records'!$K:$K,$H36)=""),"Final Earned; ","")&amp;IF(AND(LOWER(INDEX('Game Records'!$D:$D,$H36)&amp;"")="finalized",INDEX('Game Records'!$U:$U,$H36)&lt;&gt;"Subscription",INDEX('Game Records'!$U:$U,$H36)&lt;&gt;"Free Game",INDEX('Game Records'!$U:$U,$H36)&lt;&gt;"Disqualified — Free Game",OR(INDEX('Game Records'!$L:$L,$H36)="",LOWER(INDEX('Game Records'!$L:$L,$H36)&amp;"")="n/a")),"Disqualified Status; ",""))</x:f>
        <x:v/>
      </x:c>
      <x:c r="G36" s="331" t="str">
        <x:f>IF($H36="","",IFERROR(INDEX('Game Records'!$M:$M,$H36),""))</x:f>
        <x:v/>
      </x:c>
      <x:c r="H36" s="104" t="str">
        <x:f>IF($H35="","",IFERROR(MATCH(1,INDEX((ROW('Game Records'!$U$5:$U$504)&gt;$H35)*(('Game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6" s="104"/>
      <x:c r="J36" s="104"/>
    </x:row>
    <x:row r="37" ht="24" hidden="0" customHeight="1">
      <x:c r="A37" s="332" t="str">
        <x:f>IF($H37="","",ROWS($A$5:A37))</x:f>
        <x:v/>
      </x:c>
      <x:c r="B37" s="332" t="str">
        <x:f>IF($H37="","","G-"&amp;TEXT($A37,"0000"))</x:f>
        <x:v/>
      </x:c>
      <x:c r="C37" s="331" t="str">
        <x:f>IF($H37="","",IFERROR(INDEX('Game Records'!$A:$A,$H37),""))</x:f>
        <x:v/>
      </x:c>
      <x:c r="D37" s="331" t="str">
        <x:f>IF($H37="","",IFERROR(INDEX('Game Records'!$U:$U,$H37),""))</x:f>
        <x:v/>
      </x:c>
      <x:c r="E37" s="331" t="str">
        <x:f>IF($H37="","",IF($F37="","No Highlighted Fields","Highlighted Fields Present"))</x:f>
        <x:v/>
      </x:c>
      <x:c r="F37" s="331" t="str">
        <x:f>IF($H37="","",IF(INDEX('Game Records'!$B:$B,$H37)="","Start Date; ","")&amp;IF(INDEX('Game Records'!$C:$C,$H37)="","End Date; ","")&amp;IF(AND(INDEX('Game Records'!$U:$U,$H37)&lt;&gt;"Subscription",INDEX('Game Records'!$U:$U,$H37)&lt;&gt;"Free Game",INDEX('Game Records'!$U:$U,$H37)&lt;&gt;"Disqualified — Free Game",OR(INDEX('Game Records'!$D:$D,$H37)="",LOWER(INDEX('Game Records'!$D:$D,$H37)&amp;"")="n/a")),"Entry Mode; ","")&amp;IF(AND(INDEX('Game Records'!$U:$U,$H37)&lt;&gt;"Subscription",INDEX('Game Records'!$U:$U,$H37)&lt;&gt;"Free Game",INDEX('Game Records'!$U:$U,$H37)&lt;&gt;"Disqualified — Free Game",OR(INDEX('Game Records'!$E:$E,$H37)="",LOWER(INDEX('Game Records'!$E:$E,$H37)&amp;"")="n/a")),"Game Type; ","")&amp;IF(INDEX('Game Records'!$F:$F,$H37)="","Payment Type; ","")&amp;IF(AND(INDEX('Game Records'!$U:$U,$H37)&lt;&gt;"Subscription",INDEX('Game Records'!$U:$U,$H37)&lt;&gt;"Free Game",INDEX('Game Records'!$U:$U,$H37)&lt;&gt;"Disqualified — Free Game",INDEX('Game Records'!$G:$G,$H37)=""),"Gross Pot; ","")&amp;IF(AND(INDEX('Game Records'!$U:$U,$H37)&lt;&gt;"Free Game",INDEX('Game Records'!$U:$U,$H37)&lt;&gt;"Disqualified — Free Game",INDEX('Game Records'!$H:$H,$H37)=""),"Entry Fee; ","")&amp;IF(AND(INDEX('Game Records'!$U:$U,$H37)&lt;&gt;"Subscription",INDEX('Game Records'!$U:$U,$H37)&lt;&gt;"Free Game",INDEX('Game Records'!$U:$U,$H37)&lt;&gt;"Disqualified — Free Game",INDEX('Game Records'!$I:$I,$H37)=""),"Eligible Players; ","")&amp;IF(AND(INDEX('Game Records'!$U:$U,$H37)&lt;&gt;"Subscription",INDEX('Game Records'!$U:$U,$H37)&lt;&gt;"Free Game",INDEX('Game Records'!$U:$U,$H37)&lt;&gt;"Disqualified — Free Game",INDEX('Game Records'!$J:$J,$H37)=""),"Total Players; ","")&amp;IF(AND(LOWER(INDEX('Game Records'!$D:$D,$H37)&amp;"")="finalized",LOWER(INDEX('Game Records'!$L:$L,$H37)&amp;"")&lt;&gt;"yes",INDEX('Game Records'!$U:$U,$H37)&lt;&gt;"Subscription",INDEX('Game Records'!$U:$U,$H37)&lt;&gt;"Free Game",INDEX('Game Records'!$U:$U,$H37)&lt;&gt;"Disqualified — Free Game",INDEX('Game Records'!$K:$K,$H37)=""),"Final Earned; ","")&amp;IF(AND(LOWER(INDEX('Game Records'!$D:$D,$H37)&amp;"")="finalized",INDEX('Game Records'!$U:$U,$H37)&lt;&gt;"Subscription",INDEX('Game Records'!$U:$U,$H37)&lt;&gt;"Free Game",INDEX('Game Records'!$U:$U,$H37)&lt;&gt;"Disqualified — Free Game",OR(INDEX('Game Records'!$L:$L,$H37)="",LOWER(INDEX('Game Records'!$L:$L,$H37)&amp;"")="n/a")),"Disqualified Status; ",""))</x:f>
        <x:v/>
      </x:c>
      <x:c r="G37" s="331" t="str">
        <x:f>IF($H37="","",IFERROR(INDEX('Game Records'!$M:$M,$H37),""))</x:f>
        <x:v/>
      </x:c>
      <x:c r="H37" s="104" t="str">
        <x:f>IF($H36="","",IFERROR(MATCH(1,INDEX((ROW('Game Records'!$U$5:$U$504)&gt;$H36)*(('Game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7" s="104"/>
      <x:c r="J37" s="104"/>
    </x:row>
    <x:row r="38" ht="24" hidden="0" customHeight="1">
      <x:c r="A38" s="332" t="str">
        <x:f>IF($H38="","",ROWS($A$5:A38))</x:f>
        <x:v/>
      </x:c>
      <x:c r="B38" s="332" t="str">
        <x:f>IF($H38="","","G-"&amp;TEXT($A38,"0000"))</x:f>
        <x:v/>
      </x:c>
      <x:c r="C38" s="331" t="str">
        <x:f>IF($H38="","",IFERROR(INDEX('Game Records'!$A:$A,$H38),""))</x:f>
        <x:v/>
      </x:c>
      <x:c r="D38" s="331" t="str">
        <x:f>IF($H38="","",IFERROR(INDEX('Game Records'!$U:$U,$H38),""))</x:f>
        <x:v/>
      </x:c>
      <x:c r="E38" s="331" t="str">
        <x:f>IF($H38="","",IF($F38="","No Highlighted Fields","Highlighted Fields Present"))</x:f>
        <x:v/>
      </x:c>
      <x:c r="F38" s="331" t="str">
        <x:f>IF($H38="","",IF(INDEX('Game Records'!$B:$B,$H38)="","Start Date; ","")&amp;IF(INDEX('Game Records'!$C:$C,$H38)="","End Date; ","")&amp;IF(AND(INDEX('Game Records'!$U:$U,$H38)&lt;&gt;"Subscription",INDEX('Game Records'!$U:$U,$H38)&lt;&gt;"Free Game",INDEX('Game Records'!$U:$U,$H38)&lt;&gt;"Disqualified — Free Game",OR(INDEX('Game Records'!$D:$D,$H38)="",LOWER(INDEX('Game Records'!$D:$D,$H38)&amp;"")="n/a")),"Entry Mode; ","")&amp;IF(AND(INDEX('Game Records'!$U:$U,$H38)&lt;&gt;"Subscription",INDEX('Game Records'!$U:$U,$H38)&lt;&gt;"Free Game",INDEX('Game Records'!$U:$U,$H38)&lt;&gt;"Disqualified — Free Game",OR(INDEX('Game Records'!$E:$E,$H38)="",LOWER(INDEX('Game Records'!$E:$E,$H38)&amp;"")="n/a")),"Game Type; ","")&amp;IF(INDEX('Game Records'!$F:$F,$H38)="","Payment Type; ","")&amp;IF(AND(INDEX('Game Records'!$U:$U,$H38)&lt;&gt;"Subscription",INDEX('Game Records'!$U:$U,$H38)&lt;&gt;"Free Game",INDEX('Game Records'!$U:$U,$H38)&lt;&gt;"Disqualified — Free Game",INDEX('Game Records'!$G:$G,$H38)=""),"Gross Pot; ","")&amp;IF(AND(INDEX('Game Records'!$U:$U,$H38)&lt;&gt;"Free Game",INDEX('Game Records'!$U:$U,$H38)&lt;&gt;"Disqualified — Free Game",INDEX('Game Records'!$H:$H,$H38)=""),"Entry Fee; ","")&amp;IF(AND(INDEX('Game Records'!$U:$U,$H38)&lt;&gt;"Subscription",INDEX('Game Records'!$U:$U,$H38)&lt;&gt;"Free Game",INDEX('Game Records'!$U:$U,$H38)&lt;&gt;"Disqualified — Free Game",INDEX('Game Records'!$I:$I,$H38)=""),"Eligible Players; ","")&amp;IF(AND(INDEX('Game Records'!$U:$U,$H38)&lt;&gt;"Subscription",INDEX('Game Records'!$U:$U,$H38)&lt;&gt;"Free Game",INDEX('Game Records'!$U:$U,$H38)&lt;&gt;"Disqualified — Free Game",INDEX('Game Records'!$J:$J,$H38)=""),"Total Players; ","")&amp;IF(AND(LOWER(INDEX('Game Records'!$D:$D,$H38)&amp;"")="finalized",LOWER(INDEX('Game Records'!$L:$L,$H38)&amp;"")&lt;&gt;"yes",INDEX('Game Records'!$U:$U,$H38)&lt;&gt;"Subscription",INDEX('Game Records'!$U:$U,$H38)&lt;&gt;"Free Game",INDEX('Game Records'!$U:$U,$H38)&lt;&gt;"Disqualified — Free Game",INDEX('Game Records'!$K:$K,$H38)=""),"Final Earned; ","")&amp;IF(AND(LOWER(INDEX('Game Records'!$D:$D,$H38)&amp;"")="finalized",INDEX('Game Records'!$U:$U,$H38)&lt;&gt;"Subscription",INDEX('Game Records'!$U:$U,$H38)&lt;&gt;"Free Game",INDEX('Game Records'!$U:$U,$H38)&lt;&gt;"Disqualified — Free Game",OR(INDEX('Game Records'!$L:$L,$H38)="",LOWER(INDEX('Game Records'!$L:$L,$H38)&amp;"")="n/a")),"Disqualified Status; ",""))</x:f>
        <x:v/>
      </x:c>
      <x:c r="G38" s="331" t="str">
        <x:f>IF($H38="","",IFERROR(INDEX('Game Records'!$M:$M,$H38),""))</x:f>
        <x:v/>
      </x:c>
      <x:c r="H38" s="104" t="str">
        <x:f>IF($H37="","",IFERROR(MATCH(1,INDEX((ROW('Game Records'!$U$5:$U$504)&gt;$H37)*(('Game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8" s="104"/>
      <x:c r="J38" s="104"/>
    </x:row>
    <x:row r="39" ht="24" hidden="0" customHeight="1">
      <x:c r="A39" s="332" t="str">
        <x:f>IF($H39="","",ROWS($A$5:A39))</x:f>
        <x:v/>
      </x:c>
      <x:c r="B39" s="332" t="str">
        <x:f>IF($H39="","","G-"&amp;TEXT($A39,"0000"))</x:f>
        <x:v/>
      </x:c>
      <x:c r="C39" s="331" t="str">
        <x:f>IF($H39="","",IFERROR(INDEX('Game Records'!$A:$A,$H39),""))</x:f>
        <x:v/>
      </x:c>
      <x:c r="D39" s="331" t="str">
        <x:f>IF($H39="","",IFERROR(INDEX('Game Records'!$U:$U,$H39),""))</x:f>
        <x:v/>
      </x:c>
      <x:c r="E39" s="331" t="str">
        <x:f>IF($H39="","",IF($F39="","No Highlighted Fields","Highlighted Fields Present"))</x:f>
        <x:v/>
      </x:c>
      <x:c r="F39" s="331" t="str">
        <x:f>IF($H39="","",IF(INDEX('Game Records'!$B:$B,$H39)="","Start Date; ","")&amp;IF(INDEX('Game Records'!$C:$C,$H39)="","End Date; ","")&amp;IF(AND(INDEX('Game Records'!$U:$U,$H39)&lt;&gt;"Subscription",INDEX('Game Records'!$U:$U,$H39)&lt;&gt;"Free Game",INDEX('Game Records'!$U:$U,$H39)&lt;&gt;"Disqualified — Free Game",OR(INDEX('Game Records'!$D:$D,$H39)="",LOWER(INDEX('Game Records'!$D:$D,$H39)&amp;"")="n/a")),"Entry Mode; ","")&amp;IF(AND(INDEX('Game Records'!$U:$U,$H39)&lt;&gt;"Subscription",INDEX('Game Records'!$U:$U,$H39)&lt;&gt;"Free Game",INDEX('Game Records'!$U:$U,$H39)&lt;&gt;"Disqualified — Free Game",OR(INDEX('Game Records'!$E:$E,$H39)="",LOWER(INDEX('Game Records'!$E:$E,$H39)&amp;"")="n/a")),"Game Type; ","")&amp;IF(INDEX('Game Records'!$F:$F,$H39)="","Payment Type; ","")&amp;IF(AND(INDEX('Game Records'!$U:$U,$H39)&lt;&gt;"Subscription",INDEX('Game Records'!$U:$U,$H39)&lt;&gt;"Free Game",INDEX('Game Records'!$U:$U,$H39)&lt;&gt;"Disqualified — Free Game",INDEX('Game Records'!$G:$G,$H39)=""),"Gross Pot; ","")&amp;IF(AND(INDEX('Game Records'!$U:$U,$H39)&lt;&gt;"Free Game",INDEX('Game Records'!$U:$U,$H39)&lt;&gt;"Disqualified — Free Game",INDEX('Game Records'!$H:$H,$H39)=""),"Entry Fee; ","")&amp;IF(AND(INDEX('Game Records'!$U:$U,$H39)&lt;&gt;"Subscription",INDEX('Game Records'!$U:$U,$H39)&lt;&gt;"Free Game",INDEX('Game Records'!$U:$U,$H39)&lt;&gt;"Disqualified — Free Game",INDEX('Game Records'!$I:$I,$H39)=""),"Eligible Players; ","")&amp;IF(AND(INDEX('Game Records'!$U:$U,$H39)&lt;&gt;"Subscription",INDEX('Game Records'!$U:$U,$H39)&lt;&gt;"Free Game",INDEX('Game Records'!$U:$U,$H39)&lt;&gt;"Disqualified — Free Game",INDEX('Game Records'!$J:$J,$H39)=""),"Total Players; ","")&amp;IF(AND(LOWER(INDEX('Game Records'!$D:$D,$H39)&amp;"")="finalized",LOWER(INDEX('Game Records'!$L:$L,$H39)&amp;"")&lt;&gt;"yes",INDEX('Game Records'!$U:$U,$H39)&lt;&gt;"Subscription",INDEX('Game Records'!$U:$U,$H39)&lt;&gt;"Free Game",INDEX('Game Records'!$U:$U,$H39)&lt;&gt;"Disqualified — Free Game",INDEX('Game Records'!$K:$K,$H39)=""),"Final Earned; ","")&amp;IF(AND(LOWER(INDEX('Game Records'!$D:$D,$H39)&amp;"")="finalized",INDEX('Game Records'!$U:$U,$H39)&lt;&gt;"Subscription",INDEX('Game Records'!$U:$U,$H39)&lt;&gt;"Free Game",INDEX('Game Records'!$U:$U,$H39)&lt;&gt;"Disqualified — Free Game",OR(INDEX('Game Records'!$L:$L,$H39)="",LOWER(INDEX('Game Records'!$L:$L,$H39)&amp;"")="n/a")),"Disqualified Status; ",""))</x:f>
        <x:v/>
      </x:c>
      <x:c r="G39" s="331" t="str">
        <x:f>IF($H39="","",IFERROR(INDEX('Game Records'!$M:$M,$H39),""))</x:f>
        <x:v/>
      </x:c>
      <x:c r="H39" s="104" t="str">
        <x:f>IF($H38="","",IFERROR(MATCH(1,INDEX((ROW('Game Records'!$U$5:$U$504)&gt;$H38)*(('Game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39" s="104"/>
      <x:c r="J39" s="104"/>
    </x:row>
    <x:row r="40" ht="24" hidden="0" customHeight="1">
      <x:c r="A40" s="332" t="str">
        <x:f>IF($H40="","",ROWS($A$5:A40))</x:f>
        <x:v/>
      </x:c>
      <x:c r="B40" s="332" t="str">
        <x:f>IF($H40="","","G-"&amp;TEXT($A40,"0000"))</x:f>
        <x:v/>
      </x:c>
      <x:c r="C40" s="331" t="str">
        <x:f>IF($H40="","",IFERROR(INDEX('Game Records'!$A:$A,$H40),""))</x:f>
        <x:v/>
      </x:c>
      <x:c r="D40" s="331" t="str">
        <x:f>IF($H40="","",IFERROR(INDEX('Game Records'!$U:$U,$H40),""))</x:f>
        <x:v/>
      </x:c>
      <x:c r="E40" s="331" t="str">
        <x:f>IF($H40="","",IF($F40="","No Highlighted Fields","Highlighted Fields Present"))</x:f>
        <x:v/>
      </x:c>
      <x:c r="F40" s="331" t="str">
        <x:f>IF($H40="","",IF(INDEX('Game Records'!$B:$B,$H40)="","Start Date; ","")&amp;IF(INDEX('Game Records'!$C:$C,$H40)="","End Date; ","")&amp;IF(AND(INDEX('Game Records'!$U:$U,$H40)&lt;&gt;"Subscription",INDEX('Game Records'!$U:$U,$H40)&lt;&gt;"Free Game",INDEX('Game Records'!$U:$U,$H40)&lt;&gt;"Disqualified — Free Game",OR(INDEX('Game Records'!$D:$D,$H40)="",LOWER(INDEX('Game Records'!$D:$D,$H40)&amp;"")="n/a")),"Entry Mode; ","")&amp;IF(AND(INDEX('Game Records'!$U:$U,$H40)&lt;&gt;"Subscription",INDEX('Game Records'!$U:$U,$H40)&lt;&gt;"Free Game",INDEX('Game Records'!$U:$U,$H40)&lt;&gt;"Disqualified — Free Game",OR(INDEX('Game Records'!$E:$E,$H40)="",LOWER(INDEX('Game Records'!$E:$E,$H40)&amp;"")="n/a")),"Game Type; ","")&amp;IF(INDEX('Game Records'!$F:$F,$H40)="","Payment Type; ","")&amp;IF(AND(INDEX('Game Records'!$U:$U,$H40)&lt;&gt;"Subscription",INDEX('Game Records'!$U:$U,$H40)&lt;&gt;"Free Game",INDEX('Game Records'!$U:$U,$H40)&lt;&gt;"Disqualified — Free Game",INDEX('Game Records'!$G:$G,$H40)=""),"Gross Pot; ","")&amp;IF(AND(INDEX('Game Records'!$U:$U,$H40)&lt;&gt;"Free Game",INDEX('Game Records'!$U:$U,$H40)&lt;&gt;"Disqualified — Free Game",INDEX('Game Records'!$H:$H,$H40)=""),"Entry Fee; ","")&amp;IF(AND(INDEX('Game Records'!$U:$U,$H40)&lt;&gt;"Subscription",INDEX('Game Records'!$U:$U,$H40)&lt;&gt;"Free Game",INDEX('Game Records'!$U:$U,$H40)&lt;&gt;"Disqualified — Free Game",INDEX('Game Records'!$I:$I,$H40)=""),"Eligible Players; ","")&amp;IF(AND(INDEX('Game Records'!$U:$U,$H40)&lt;&gt;"Subscription",INDEX('Game Records'!$U:$U,$H40)&lt;&gt;"Free Game",INDEX('Game Records'!$U:$U,$H40)&lt;&gt;"Disqualified — Free Game",INDEX('Game Records'!$J:$J,$H40)=""),"Total Players; ","")&amp;IF(AND(LOWER(INDEX('Game Records'!$D:$D,$H40)&amp;"")="finalized",LOWER(INDEX('Game Records'!$L:$L,$H40)&amp;"")&lt;&gt;"yes",INDEX('Game Records'!$U:$U,$H40)&lt;&gt;"Subscription",INDEX('Game Records'!$U:$U,$H40)&lt;&gt;"Free Game",INDEX('Game Records'!$U:$U,$H40)&lt;&gt;"Disqualified — Free Game",INDEX('Game Records'!$K:$K,$H40)=""),"Final Earned; ","")&amp;IF(AND(LOWER(INDEX('Game Records'!$D:$D,$H40)&amp;"")="finalized",INDEX('Game Records'!$U:$U,$H40)&lt;&gt;"Subscription",INDEX('Game Records'!$U:$U,$H40)&lt;&gt;"Free Game",INDEX('Game Records'!$U:$U,$H40)&lt;&gt;"Disqualified — Free Game",OR(INDEX('Game Records'!$L:$L,$H40)="",LOWER(INDEX('Game Records'!$L:$L,$H40)&amp;"")="n/a")),"Disqualified Status; ",""))</x:f>
        <x:v/>
      </x:c>
      <x:c r="G40" s="331" t="str">
        <x:f>IF($H40="","",IFERROR(INDEX('Game Records'!$M:$M,$H40),""))</x:f>
        <x:v/>
      </x:c>
      <x:c r="H40" s="104" t="str">
        <x:f>IF($H39="","",IFERROR(MATCH(1,INDEX((ROW('Game Records'!$U$5:$U$504)&gt;$H39)*(('Game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0" s="104"/>
      <x:c r="J40" s="104"/>
    </x:row>
    <x:row r="41" ht="24" hidden="0" customHeight="1">
      <x:c r="A41" s="332" t="str">
        <x:f>IF($H41="","",ROWS($A$5:A41))</x:f>
        <x:v/>
      </x:c>
      <x:c r="B41" s="332" t="str">
        <x:f>IF($H41="","","G-"&amp;TEXT($A41,"0000"))</x:f>
        <x:v/>
      </x:c>
      <x:c r="C41" s="331" t="str">
        <x:f>IF($H41="","",IFERROR(INDEX('Game Records'!$A:$A,$H41),""))</x:f>
        <x:v/>
      </x:c>
      <x:c r="D41" s="331" t="str">
        <x:f>IF($H41="","",IFERROR(INDEX('Game Records'!$U:$U,$H41),""))</x:f>
        <x:v/>
      </x:c>
      <x:c r="E41" s="331" t="str">
        <x:f>IF($H41="","",IF($F41="","No Highlighted Fields","Highlighted Fields Present"))</x:f>
        <x:v/>
      </x:c>
      <x:c r="F41" s="331" t="str">
        <x:f>IF($H41="","",IF(INDEX('Game Records'!$B:$B,$H41)="","Start Date; ","")&amp;IF(INDEX('Game Records'!$C:$C,$H41)="","End Date; ","")&amp;IF(AND(INDEX('Game Records'!$U:$U,$H41)&lt;&gt;"Subscription",INDEX('Game Records'!$U:$U,$H41)&lt;&gt;"Free Game",INDEX('Game Records'!$U:$U,$H41)&lt;&gt;"Disqualified — Free Game",OR(INDEX('Game Records'!$D:$D,$H41)="",LOWER(INDEX('Game Records'!$D:$D,$H41)&amp;"")="n/a")),"Entry Mode; ","")&amp;IF(AND(INDEX('Game Records'!$U:$U,$H41)&lt;&gt;"Subscription",INDEX('Game Records'!$U:$U,$H41)&lt;&gt;"Free Game",INDEX('Game Records'!$U:$U,$H41)&lt;&gt;"Disqualified — Free Game",OR(INDEX('Game Records'!$E:$E,$H41)="",LOWER(INDEX('Game Records'!$E:$E,$H41)&amp;"")="n/a")),"Game Type; ","")&amp;IF(INDEX('Game Records'!$F:$F,$H41)="","Payment Type; ","")&amp;IF(AND(INDEX('Game Records'!$U:$U,$H41)&lt;&gt;"Subscription",INDEX('Game Records'!$U:$U,$H41)&lt;&gt;"Free Game",INDEX('Game Records'!$U:$U,$H41)&lt;&gt;"Disqualified — Free Game",INDEX('Game Records'!$G:$G,$H41)=""),"Gross Pot; ","")&amp;IF(AND(INDEX('Game Records'!$U:$U,$H41)&lt;&gt;"Free Game",INDEX('Game Records'!$U:$U,$H41)&lt;&gt;"Disqualified — Free Game",INDEX('Game Records'!$H:$H,$H41)=""),"Entry Fee; ","")&amp;IF(AND(INDEX('Game Records'!$U:$U,$H41)&lt;&gt;"Subscription",INDEX('Game Records'!$U:$U,$H41)&lt;&gt;"Free Game",INDEX('Game Records'!$U:$U,$H41)&lt;&gt;"Disqualified — Free Game",INDEX('Game Records'!$I:$I,$H41)=""),"Eligible Players; ","")&amp;IF(AND(INDEX('Game Records'!$U:$U,$H41)&lt;&gt;"Subscription",INDEX('Game Records'!$U:$U,$H41)&lt;&gt;"Free Game",INDEX('Game Records'!$U:$U,$H41)&lt;&gt;"Disqualified — Free Game",INDEX('Game Records'!$J:$J,$H41)=""),"Total Players; ","")&amp;IF(AND(LOWER(INDEX('Game Records'!$D:$D,$H41)&amp;"")="finalized",LOWER(INDEX('Game Records'!$L:$L,$H41)&amp;"")&lt;&gt;"yes",INDEX('Game Records'!$U:$U,$H41)&lt;&gt;"Subscription",INDEX('Game Records'!$U:$U,$H41)&lt;&gt;"Free Game",INDEX('Game Records'!$U:$U,$H41)&lt;&gt;"Disqualified — Free Game",INDEX('Game Records'!$K:$K,$H41)=""),"Final Earned; ","")&amp;IF(AND(LOWER(INDEX('Game Records'!$D:$D,$H41)&amp;"")="finalized",INDEX('Game Records'!$U:$U,$H41)&lt;&gt;"Subscription",INDEX('Game Records'!$U:$U,$H41)&lt;&gt;"Free Game",INDEX('Game Records'!$U:$U,$H41)&lt;&gt;"Disqualified — Free Game",OR(INDEX('Game Records'!$L:$L,$H41)="",LOWER(INDEX('Game Records'!$L:$L,$H41)&amp;"")="n/a")),"Disqualified Status; ",""))</x:f>
        <x:v/>
      </x:c>
      <x:c r="G41" s="331" t="str">
        <x:f>IF($H41="","",IFERROR(INDEX('Game Records'!$M:$M,$H41),""))</x:f>
        <x:v/>
      </x:c>
      <x:c r="H41" s="104" t="str">
        <x:f>IF($H40="","",IFERROR(MATCH(1,INDEX((ROW('Game Records'!$U$5:$U$504)&gt;$H40)*(('Game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1" s="104"/>
      <x:c r="J41" s="104"/>
    </x:row>
    <x:row r="42" ht="24" hidden="0" customHeight="1">
      <x:c r="A42" s="332" t="str">
        <x:f>IF($H42="","",ROWS($A$5:A42))</x:f>
        <x:v/>
      </x:c>
      <x:c r="B42" s="332" t="str">
        <x:f>IF($H42="","","G-"&amp;TEXT($A42,"0000"))</x:f>
        <x:v/>
      </x:c>
      <x:c r="C42" s="331" t="str">
        <x:f>IF($H42="","",IFERROR(INDEX('Game Records'!$A:$A,$H42),""))</x:f>
        <x:v/>
      </x:c>
      <x:c r="D42" s="331" t="str">
        <x:f>IF($H42="","",IFERROR(INDEX('Game Records'!$U:$U,$H42),""))</x:f>
        <x:v/>
      </x:c>
      <x:c r="E42" s="331" t="str">
        <x:f>IF($H42="","",IF($F42="","No Highlighted Fields","Highlighted Fields Present"))</x:f>
        <x:v/>
      </x:c>
      <x:c r="F42" s="331" t="str">
        <x:f>IF($H42="","",IF(INDEX('Game Records'!$B:$B,$H42)="","Start Date; ","")&amp;IF(INDEX('Game Records'!$C:$C,$H42)="","End Date; ","")&amp;IF(AND(INDEX('Game Records'!$U:$U,$H42)&lt;&gt;"Subscription",INDEX('Game Records'!$U:$U,$H42)&lt;&gt;"Free Game",INDEX('Game Records'!$U:$U,$H42)&lt;&gt;"Disqualified — Free Game",OR(INDEX('Game Records'!$D:$D,$H42)="",LOWER(INDEX('Game Records'!$D:$D,$H42)&amp;"")="n/a")),"Entry Mode; ","")&amp;IF(AND(INDEX('Game Records'!$U:$U,$H42)&lt;&gt;"Subscription",INDEX('Game Records'!$U:$U,$H42)&lt;&gt;"Free Game",INDEX('Game Records'!$U:$U,$H42)&lt;&gt;"Disqualified — Free Game",OR(INDEX('Game Records'!$E:$E,$H42)="",LOWER(INDEX('Game Records'!$E:$E,$H42)&amp;"")="n/a")),"Game Type; ","")&amp;IF(INDEX('Game Records'!$F:$F,$H42)="","Payment Type; ","")&amp;IF(AND(INDEX('Game Records'!$U:$U,$H42)&lt;&gt;"Subscription",INDEX('Game Records'!$U:$U,$H42)&lt;&gt;"Free Game",INDEX('Game Records'!$U:$U,$H42)&lt;&gt;"Disqualified — Free Game",INDEX('Game Records'!$G:$G,$H42)=""),"Gross Pot; ","")&amp;IF(AND(INDEX('Game Records'!$U:$U,$H42)&lt;&gt;"Free Game",INDEX('Game Records'!$U:$U,$H42)&lt;&gt;"Disqualified — Free Game",INDEX('Game Records'!$H:$H,$H42)=""),"Entry Fee; ","")&amp;IF(AND(INDEX('Game Records'!$U:$U,$H42)&lt;&gt;"Subscription",INDEX('Game Records'!$U:$U,$H42)&lt;&gt;"Free Game",INDEX('Game Records'!$U:$U,$H42)&lt;&gt;"Disqualified — Free Game",INDEX('Game Records'!$I:$I,$H42)=""),"Eligible Players; ","")&amp;IF(AND(INDEX('Game Records'!$U:$U,$H42)&lt;&gt;"Subscription",INDEX('Game Records'!$U:$U,$H42)&lt;&gt;"Free Game",INDEX('Game Records'!$U:$U,$H42)&lt;&gt;"Disqualified — Free Game",INDEX('Game Records'!$J:$J,$H42)=""),"Total Players; ","")&amp;IF(AND(LOWER(INDEX('Game Records'!$D:$D,$H42)&amp;"")="finalized",LOWER(INDEX('Game Records'!$L:$L,$H42)&amp;"")&lt;&gt;"yes",INDEX('Game Records'!$U:$U,$H42)&lt;&gt;"Subscription",INDEX('Game Records'!$U:$U,$H42)&lt;&gt;"Free Game",INDEX('Game Records'!$U:$U,$H42)&lt;&gt;"Disqualified — Free Game",INDEX('Game Records'!$K:$K,$H42)=""),"Final Earned; ","")&amp;IF(AND(LOWER(INDEX('Game Records'!$D:$D,$H42)&amp;"")="finalized",INDEX('Game Records'!$U:$U,$H42)&lt;&gt;"Subscription",INDEX('Game Records'!$U:$U,$H42)&lt;&gt;"Free Game",INDEX('Game Records'!$U:$U,$H42)&lt;&gt;"Disqualified — Free Game",OR(INDEX('Game Records'!$L:$L,$H42)="",LOWER(INDEX('Game Records'!$L:$L,$H42)&amp;"")="n/a")),"Disqualified Status; ",""))</x:f>
        <x:v/>
      </x:c>
      <x:c r="G42" s="331" t="str">
        <x:f>IF($H42="","",IFERROR(INDEX('Game Records'!$M:$M,$H42),""))</x:f>
        <x:v/>
      </x:c>
      <x:c r="H42" s="104" t="str">
        <x:f>IF($H41="","",IFERROR(MATCH(1,INDEX((ROW('Game Records'!$U$5:$U$504)&gt;$H41)*(('Game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2" s="104"/>
      <x:c r="J42" s="104"/>
    </x:row>
    <x:row r="43" ht="24" hidden="0" customHeight="1">
      <x:c r="A43" s="332" t="str">
        <x:f>IF($H43="","",ROWS($A$5:A43))</x:f>
        <x:v/>
      </x:c>
      <x:c r="B43" s="332" t="str">
        <x:f>IF($H43="","","G-"&amp;TEXT($A43,"0000"))</x:f>
        <x:v/>
      </x:c>
      <x:c r="C43" s="331" t="str">
        <x:f>IF($H43="","",IFERROR(INDEX('Game Records'!$A:$A,$H43),""))</x:f>
        <x:v/>
      </x:c>
      <x:c r="D43" s="331" t="str">
        <x:f>IF($H43="","",IFERROR(INDEX('Game Records'!$U:$U,$H43),""))</x:f>
        <x:v/>
      </x:c>
      <x:c r="E43" s="331" t="str">
        <x:f>IF($H43="","",IF($F43="","No Highlighted Fields","Highlighted Fields Present"))</x:f>
        <x:v/>
      </x:c>
      <x:c r="F43" s="331" t="str">
        <x:f>IF($H43="","",IF(INDEX('Game Records'!$B:$B,$H43)="","Start Date; ","")&amp;IF(INDEX('Game Records'!$C:$C,$H43)="","End Date; ","")&amp;IF(AND(INDEX('Game Records'!$U:$U,$H43)&lt;&gt;"Subscription",INDEX('Game Records'!$U:$U,$H43)&lt;&gt;"Free Game",INDEX('Game Records'!$U:$U,$H43)&lt;&gt;"Disqualified — Free Game",OR(INDEX('Game Records'!$D:$D,$H43)="",LOWER(INDEX('Game Records'!$D:$D,$H43)&amp;"")="n/a")),"Entry Mode; ","")&amp;IF(AND(INDEX('Game Records'!$U:$U,$H43)&lt;&gt;"Subscription",INDEX('Game Records'!$U:$U,$H43)&lt;&gt;"Free Game",INDEX('Game Records'!$U:$U,$H43)&lt;&gt;"Disqualified — Free Game",OR(INDEX('Game Records'!$E:$E,$H43)="",LOWER(INDEX('Game Records'!$E:$E,$H43)&amp;"")="n/a")),"Game Type; ","")&amp;IF(INDEX('Game Records'!$F:$F,$H43)="","Payment Type; ","")&amp;IF(AND(INDEX('Game Records'!$U:$U,$H43)&lt;&gt;"Subscription",INDEX('Game Records'!$U:$U,$H43)&lt;&gt;"Free Game",INDEX('Game Records'!$U:$U,$H43)&lt;&gt;"Disqualified — Free Game",INDEX('Game Records'!$G:$G,$H43)=""),"Gross Pot; ","")&amp;IF(AND(INDEX('Game Records'!$U:$U,$H43)&lt;&gt;"Free Game",INDEX('Game Records'!$U:$U,$H43)&lt;&gt;"Disqualified — Free Game",INDEX('Game Records'!$H:$H,$H43)=""),"Entry Fee; ","")&amp;IF(AND(INDEX('Game Records'!$U:$U,$H43)&lt;&gt;"Subscription",INDEX('Game Records'!$U:$U,$H43)&lt;&gt;"Free Game",INDEX('Game Records'!$U:$U,$H43)&lt;&gt;"Disqualified — Free Game",INDEX('Game Records'!$I:$I,$H43)=""),"Eligible Players; ","")&amp;IF(AND(INDEX('Game Records'!$U:$U,$H43)&lt;&gt;"Subscription",INDEX('Game Records'!$U:$U,$H43)&lt;&gt;"Free Game",INDEX('Game Records'!$U:$U,$H43)&lt;&gt;"Disqualified — Free Game",INDEX('Game Records'!$J:$J,$H43)=""),"Total Players; ","")&amp;IF(AND(LOWER(INDEX('Game Records'!$D:$D,$H43)&amp;"")="finalized",LOWER(INDEX('Game Records'!$L:$L,$H43)&amp;"")&lt;&gt;"yes",INDEX('Game Records'!$U:$U,$H43)&lt;&gt;"Subscription",INDEX('Game Records'!$U:$U,$H43)&lt;&gt;"Free Game",INDEX('Game Records'!$U:$U,$H43)&lt;&gt;"Disqualified — Free Game",INDEX('Game Records'!$K:$K,$H43)=""),"Final Earned; ","")&amp;IF(AND(LOWER(INDEX('Game Records'!$D:$D,$H43)&amp;"")="finalized",INDEX('Game Records'!$U:$U,$H43)&lt;&gt;"Subscription",INDEX('Game Records'!$U:$U,$H43)&lt;&gt;"Free Game",INDEX('Game Records'!$U:$U,$H43)&lt;&gt;"Disqualified — Free Game",OR(INDEX('Game Records'!$L:$L,$H43)="",LOWER(INDEX('Game Records'!$L:$L,$H43)&amp;"")="n/a")),"Disqualified Status; ",""))</x:f>
        <x:v/>
      </x:c>
      <x:c r="G43" s="331" t="str">
        <x:f>IF($H43="","",IFERROR(INDEX('Game Records'!$M:$M,$H43),""))</x:f>
        <x:v/>
      </x:c>
      <x:c r="H43" s="104" t="str">
        <x:f>IF($H42="","",IFERROR(MATCH(1,INDEX((ROW('Game Records'!$U$5:$U$504)&gt;$H42)*(('Game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3" s="104"/>
      <x:c r="J43" s="104"/>
    </x:row>
    <x:row r="44" ht="24" hidden="0" customHeight="1">
      <x:c r="A44" s="332" t="str">
        <x:f>IF($H44="","",ROWS($A$5:A44))</x:f>
        <x:v/>
      </x:c>
      <x:c r="B44" s="332" t="str">
        <x:f>IF($H44="","","G-"&amp;TEXT($A44,"0000"))</x:f>
        <x:v/>
      </x:c>
      <x:c r="C44" s="331" t="str">
        <x:f>IF($H44="","",IFERROR(INDEX('Game Records'!$A:$A,$H44),""))</x:f>
        <x:v/>
      </x:c>
      <x:c r="D44" s="331" t="str">
        <x:f>IF($H44="","",IFERROR(INDEX('Game Records'!$U:$U,$H44),""))</x:f>
        <x:v/>
      </x:c>
      <x:c r="E44" s="331" t="str">
        <x:f>IF($H44="","",IF($F44="","No Highlighted Fields","Highlighted Fields Present"))</x:f>
        <x:v/>
      </x:c>
      <x:c r="F44" s="331" t="str">
        <x:f>IF($H44="","",IF(INDEX('Game Records'!$B:$B,$H44)="","Start Date; ","")&amp;IF(INDEX('Game Records'!$C:$C,$H44)="","End Date; ","")&amp;IF(AND(INDEX('Game Records'!$U:$U,$H44)&lt;&gt;"Subscription",INDEX('Game Records'!$U:$U,$H44)&lt;&gt;"Free Game",INDEX('Game Records'!$U:$U,$H44)&lt;&gt;"Disqualified — Free Game",OR(INDEX('Game Records'!$D:$D,$H44)="",LOWER(INDEX('Game Records'!$D:$D,$H44)&amp;"")="n/a")),"Entry Mode; ","")&amp;IF(AND(INDEX('Game Records'!$U:$U,$H44)&lt;&gt;"Subscription",INDEX('Game Records'!$U:$U,$H44)&lt;&gt;"Free Game",INDEX('Game Records'!$U:$U,$H44)&lt;&gt;"Disqualified — Free Game",OR(INDEX('Game Records'!$E:$E,$H44)="",LOWER(INDEX('Game Records'!$E:$E,$H44)&amp;"")="n/a")),"Game Type; ","")&amp;IF(INDEX('Game Records'!$F:$F,$H44)="","Payment Type; ","")&amp;IF(AND(INDEX('Game Records'!$U:$U,$H44)&lt;&gt;"Subscription",INDEX('Game Records'!$U:$U,$H44)&lt;&gt;"Free Game",INDEX('Game Records'!$U:$U,$H44)&lt;&gt;"Disqualified — Free Game",INDEX('Game Records'!$G:$G,$H44)=""),"Gross Pot; ","")&amp;IF(AND(INDEX('Game Records'!$U:$U,$H44)&lt;&gt;"Free Game",INDEX('Game Records'!$U:$U,$H44)&lt;&gt;"Disqualified — Free Game",INDEX('Game Records'!$H:$H,$H44)=""),"Entry Fee; ","")&amp;IF(AND(INDEX('Game Records'!$U:$U,$H44)&lt;&gt;"Subscription",INDEX('Game Records'!$U:$U,$H44)&lt;&gt;"Free Game",INDEX('Game Records'!$U:$U,$H44)&lt;&gt;"Disqualified — Free Game",INDEX('Game Records'!$I:$I,$H44)=""),"Eligible Players; ","")&amp;IF(AND(INDEX('Game Records'!$U:$U,$H44)&lt;&gt;"Subscription",INDEX('Game Records'!$U:$U,$H44)&lt;&gt;"Free Game",INDEX('Game Records'!$U:$U,$H44)&lt;&gt;"Disqualified — Free Game",INDEX('Game Records'!$J:$J,$H44)=""),"Total Players; ","")&amp;IF(AND(LOWER(INDEX('Game Records'!$D:$D,$H44)&amp;"")="finalized",LOWER(INDEX('Game Records'!$L:$L,$H44)&amp;"")&lt;&gt;"yes",INDEX('Game Records'!$U:$U,$H44)&lt;&gt;"Subscription",INDEX('Game Records'!$U:$U,$H44)&lt;&gt;"Free Game",INDEX('Game Records'!$U:$U,$H44)&lt;&gt;"Disqualified — Free Game",INDEX('Game Records'!$K:$K,$H44)=""),"Final Earned; ","")&amp;IF(AND(LOWER(INDEX('Game Records'!$D:$D,$H44)&amp;"")="finalized",INDEX('Game Records'!$U:$U,$H44)&lt;&gt;"Subscription",INDEX('Game Records'!$U:$U,$H44)&lt;&gt;"Free Game",INDEX('Game Records'!$U:$U,$H44)&lt;&gt;"Disqualified — Free Game",OR(INDEX('Game Records'!$L:$L,$H44)="",LOWER(INDEX('Game Records'!$L:$L,$H44)&amp;"")="n/a")),"Disqualified Status; ",""))</x:f>
        <x:v/>
      </x:c>
      <x:c r="G44" s="331" t="str">
        <x:f>IF($H44="","",IFERROR(INDEX('Game Records'!$M:$M,$H44),""))</x:f>
        <x:v/>
      </x:c>
      <x:c r="H44" s="104" t="str">
        <x:f>IF($H43="","",IFERROR(MATCH(1,INDEX((ROW('Game Records'!$U$5:$U$504)&gt;$H43)*(('Game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4" s="104"/>
      <x:c r="J44" s="104"/>
    </x:row>
    <x:row r="45" ht="24" hidden="0" customHeight="1">
      <x:c r="A45" s="332" t="str">
        <x:f>IF($H45="","",ROWS($A$5:A45))</x:f>
        <x:v/>
      </x:c>
      <x:c r="B45" s="332" t="str">
        <x:f>IF($H45="","","G-"&amp;TEXT($A45,"0000"))</x:f>
        <x:v/>
      </x:c>
      <x:c r="C45" s="331" t="str">
        <x:f>IF($H45="","",IFERROR(INDEX('Game Records'!$A:$A,$H45),""))</x:f>
        <x:v/>
      </x:c>
      <x:c r="D45" s="331" t="str">
        <x:f>IF($H45="","",IFERROR(INDEX('Game Records'!$U:$U,$H45),""))</x:f>
        <x:v/>
      </x:c>
      <x:c r="E45" s="331" t="str">
        <x:f>IF($H45="","",IF($F45="","No Highlighted Fields","Highlighted Fields Present"))</x:f>
        <x:v/>
      </x:c>
      <x:c r="F45" s="331" t="str">
        <x:f>IF($H45="","",IF(INDEX('Game Records'!$B:$B,$H45)="","Start Date; ","")&amp;IF(INDEX('Game Records'!$C:$C,$H45)="","End Date; ","")&amp;IF(AND(INDEX('Game Records'!$U:$U,$H45)&lt;&gt;"Subscription",INDEX('Game Records'!$U:$U,$H45)&lt;&gt;"Free Game",INDEX('Game Records'!$U:$U,$H45)&lt;&gt;"Disqualified — Free Game",OR(INDEX('Game Records'!$D:$D,$H45)="",LOWER(INDEX('Game Records'!$D:$D,$H45)&amp;"")="n/a")),"Entry Mode; ","")&amp;IF(AND(INDEX('Game Records'!$U:$U,$H45)&lt;&gt;"Subscription",INDEX('Game Records'!$U:$U,$H45)&lt;&gt;"Free Game",INDEX('Game Records'!$U:$U,$H45)&lt;&gt;"Disqualified — Free Game",OR(INDEX('Game Records'!$E:$E,$H45)="",LOWER(INDEX('Game Records'!$E:$E,$H45)&amp;"")="n/a")),"Game Type; ","")&amp;IF(INDEX('Game Records'!$F:$F,$H45)="","Payment Type; ","")&amp;IF(AND(INDEX('Game Records'!$U:$U,$H45)&lt;&gt;"Subscription",INDEX('Game Records'!$U:$U,$H45)&lt;&gt;"Free Game",INDEX('Game Records'!$U:$U,$H45)&lt;&gt;"Disqualified — Free Game",INDEX('Game Records'!$G:$G,$H45)=""),"Gross Pot; ","")&amp;IF(AND(INDEX('Game Records'!$U:$U,$H45)&lt;&gt;"Free Game",INDEX('Game Records'!$U:$U,$H45)&lt;&gt;"Disqualified — Free Game",INDEX('Game Records'!$H:$H,$H45)=""),"Entry Fee; ","")&amp;IF(AND(INDEX('Game Records'!$U:$U,$H45)&lt;&gt;"Subscription",INDEX('Game Records'!$U:$U,$H45)&lt;&gt;"Free Game",INDEX('Game Records'!$U:$U,$H45)&lt;&gt;"Disqualified — Free Game",INDEX('Game Records'!$I:$I,$H45)=""),"Eligible Players; ","")&amp;IF(AND(INDEX('Game Records'!$U:$U,$H45)&lt;&gt;"Subscription",INDEX('Game Records'!$U:$U,$H45)&lt;&gt;"Free Game",INDEX('Game Records'!$U:$U,$H45)&lt;&gt;"Disqualified — Free Game",INDEX('Game Records'!$J:$J,$H45)=""),"Total Players; ","")&amp;IF(AND(LOWER(INDEX('Game Records'!$D:$D,$H45)&amp;"")="finalized",LOWER(INDEX('Game Records'!$L:$L,$H45)&amp;"")&lt;&gt;"yes",INDEX('Game Records'!$U:$U,$H45)&lt;&gt;"Subscription",INDEX('Game Records'!$U:$U,$H45)&lt;&gt;"Free Game",INDEX('Game Records'!$U:$U,$H45)&lt;&gt;"Disqualified — Free Game",INDEX('Game Records'!$K:$K,$H45)=""),"Final Earned; ","")&amp;IF(AND(LOWER(INDEX('Game Records'!$D:$D,$H45)&amp;"")="finalized",INDEX('Game Records'!$U:$U,$H45)&lt;&gt;"Subscription",INDEX('Game Records'!$U:$U,$H45)&lt;&gt;"Free Game",INDEX('Game Records'!$U:$U,$H45)&lt;&gt;"Disqualified — Free Game",OR(INDEX('Game Records'!$L:$L,$H45)="",LOWER(INDEX('Game Records'!$L:$L,$H45)&amp;"")="n/a")),"Disqualified Status; ",""))</x:f>
        <x:v/>
      </x:c>
      <x:c r="G45" s="331" t="str">
        <x:f>IF($H45="","",IFERROR(INDEX('Game Records'!$M:$M,$H45),""))</x:f>
        <x:v/>
      </x:c>
      <x:c r="H45" s="104" t="str">
        <x:f>IF($H44="","",IFERROR(MATCH(1,INDEX((ROW('Game Records'!$U$5:$U$504)&gt;$H44)*(('Game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5" s="104"/>
      <x:c r="J45" s="104"/>
    </x:row>
    <x:row r="46" ht="24" hidden="0" customHeight="1">
      <x:c r="A46" s="332" t="str">
        <x:f>IF($H46="","",ROWS($A$5:A46))</x:f>
        <x:v/>
      </x:c>
      <x:c r="B46" s="332" t="str">
        <x:f>IF($H46="","","G-"&amp;TEXT($A46,"0000"))</x:f>
        <x:v/>
      </x:c>
      <x:c r="C46" s="331" t="str">
        <x:f>IF($H46="","",IFERROR(INDEX('Game Records'!$A:$A,$H46),""))</x:f>
        <x:v/>
      </x:c>
      <x:c r="D46" s="331" t="str">
        <x:f>IF($H46="","",IFERROR(INDEX('Game Records'!$U:$U,$H46),""))</x:f>
        <x:v/>
      </x:c>
      <x:c r="E46" s="331" t="str">
        <x:f>IF($H46="","",IF($F46="","No Highlighted Fields","Highlighted Fields Present"))</x:f>
        <x:v/>
      </x:c>
      <x:c r="F46" s="331" t="str">
        <x:f>IF($H46="","",IF(INDEX('Game Records'!$B:$B,$H46)="","Start Date; ","")&amp;IF(INDEX('Game Records'!$C:$C,$H46)="","End Date; ","")&amp;IF(AND(INDEX('Game Records'!$U:$U,$H46)&lt;&gt;"Subscription",INDEX('Game Records'!$U:$U,$H46)&lt;&gt;"Free Game",INDEX('Game Records'!$U:$U,$H46)&lt;&gt;"Disqualified — Free Game",OR(INDEX('Game Records'!$D:$D,$H46)="",LOWER(INDEX('Game Records'!$D:$D,$H46)&amp;"")="n/a")),"Entry Mode; ","")&amp;IF(AND(INDEX('Game Records'!$U:$U,$H46)&lt;&gt;"Subscription",INDEX('Game Records'!$U:$U,$H46)&lt;&gt;"Free Game",INDEX('Game Records'!$U:$U,$H46)&lt;&gt;"Disqualified — Free Game",OR(INDEX('Game Records'!$E:$E,$H46)="",LOWER(INDEX('Game Records'!$E:$E,$H46)&amp;"")="n/a")),"Game Type; ","")&amp;IF(INDEX('Game Records'!$F:$F,$H46)="","Payment Type; ","")&amp;IF(AND(INDEX('Game Records'!$U:$U,$H46)&lt;&gt;"Subscription",INDEX('Game Records'!$U:$U,$H46)&lt;&gt;"Free Game",INDEX('Game Records'!$U:$U,$H46)&lt;&gt;"Disqualified — Free Game",INDEX('Game Records'!$G:$G,$H46)=""),"Gross Pot; ","")&amp;IF(AND(INDEX('Game Records'!$U:$U,$H46)&lt;&gt;"Free Game",INDEX('Game Records'!$U:$U,$H46)&lt;&gt;"Disqualified — Free Game",INDEX('Game Records'!$H:$H,$H46)=""),"Entry Fee; ","")&amp;IF(AND(INDEX('Game Records'!$U:$U,$H46)&lt;&gt;"Subscription",INDEX('Game Records'!$U:$U,$H46)&lt;&gt;"Free Game",INDEX('Game Records'!$U:$U,$H46)&lt;&gt;"Disqualified — Free Game",INDEX('Game Records'!$I:$I,$H46)=""),"Eligible Players; ","")&amp;IF(AND(INDEX('Game Records'!$U:$U,$H46)&lt;&gt;"Subscription",INDEX('Game Records'!$U:$U,$H46)&lt;&gt;"Free Game",INDEX('Game Records'!$U:$U,$H46)&lt;&gt;"Disqualified — Free Game",INDEX('Game Records'!$J:$J,$H46)=""),"Total Players; ","")&amp;IF(AND(LOWER(INDEX('Game Records'!$D:$D,$H46)&amp;"")="finalized",LOWER(INDEX('Game Records'!$L:$L,$H46)&amp;"")&lt;&gt;"yes",INDEX('Game Records'!$U:$U,$H46)&lt;&gt;"Subscription",INDEX('Game Records'!$U:$U,$H46)&lt;&gt;"Free Game",INDEX('Game Records'!$U:$U,$H46)&lt;&gt;"Disqualified — Free Game",INDEX('Game Records'!$K:$K,$H46)=""),"Final Earned; ","")&amp;IF(AND(LOWER(INDEX('Game Records'!$D:$D,$H46)&amp;"")="finalized",INDEX('Game Records'!$U:$U,$H46)&lt;&gt;"Subscription",INDEX('Game Records'!$U:$U,$H46)&lt;&gt;"Free Game",INDEX('Game Records'!$U:$U,$H46)&lt;&gt;"Disqualified — Free Game",OR(INDEX('Game Records'!$L:$L,$H46)="",LOWER(INDEX('Game Records'!$L:$L,$H46)&amp;"")="n/a")),"Disqualified Status; ",""))</x:f>
        <x:v/>
      </x:c>
      <x:c r="G46" s="331" t="str">
        <x:f>IF($H46="","",IFERROR(INDEX('Game Records'!$M:$M,$H46),""))</x:f>
        <x:v/>
      </x:c>
      <x:c r="H46" s="104" t="str">
        <x:f>IF($H45="","",IFERROR(MATCH(1,INDEX((ROW('Game Records'!$U$5:$U$504)&gt;$H45)*(('Game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6" s="104"/>
      <x:c r="J46" s="104"/>
    </x:row>
    <x:row r="47" ht="24" hidden="0" customHeight="1">
      <x:c r="A47" s="332" t="str">
        <x:f>IF($H47="","",ROWS($A$5:A47))</x:f>
        <x:v/>
      </x:c>
      <x:c r="B47" s="332" t="str">
        <x:f>IF($H47="","","G-"&amp;TEXT($A47,"0000"))</x:f>
        <x:v/>
      </x:c>
      <x:c r="C47" s="331" t="str">
        <x:f>IF($H47="","",IFERROR(INDEX('Game Records'!$A:$A,$H47),""))</x:f>
        <x:v/>
      </x:c>
      <x:c r="D47" s="331" t="str">
        <x:f>IF($H47="","",IFERROR(INDEX('Game Records'!$U:$U,$H47),""))</x:f>
        <x:v/>
      </x:c>
      <x:c r="E47" s="331" t="str">
        <x:f>IF($H47="","",IF($F47="","No Highlighted Fields","Highlighted Fields Present"))</x:f>
        <x:v/>
      </x:c>
      <x:c r="F47" s="331" t="str">
        <x:f>IF($H47="","",IF(INDEX('Game Records'!$B:$B,$H47)="","Start Date; ","")&amp;IF(INDEX('Game Records'!$C:$C,$H47)="","End Date; ","")&amp;IF(AND(INDEX('Game Records'!$U:$U,$H47)&lt;&gt;"Subscription",INDEX('Game Records'!$U:$U,$H47)&lt;&gt;"Free Game",INDEX('Game Records'!$U:$U,$H47)&lt;&gt;"Disqualified — Free Game",OR(INDEX('Game Records'!$D:$D,$H47)="",LOWER(INDEX('Game Records'!$D:$D,$H47)&amp;"")="n/a")),"Entry Mode; ","")&amp;IF(AND(INDEX('Game Records'!$U:$U,$H47)&lt;&gt;"Subscription",INDEX('Game Records'!$U:$U,$H47)&lt;&gt;"Free Game",INDEX('Game Records'!$U:$U,$H47)&lt;&gt;"Disqualified — Free Game",OR(INDEX('Game Records'!$E:$E,$H47)="",LOWER(INDEX('Game Records'!$E:$E,$H47)&amp;"")="n/a")),"Game Type; ","")&amp;IF(INDEX('Game Records'!$F:$F,$H47)="","Payment Type; ","")&amp;IF(AND(INDEX('Game Records'!$U:$U,$H47)&lt;&gt;"Subscription",INDEX('Game Records'!$U:$U,$H47)&lt;&gt;"Free Game",INDEX('Game Records'!$U:$U,$H47)&lt;&gt;"Disqualified — Free Game",INDEX('Game Records'!$G:$G,$H47)=""),"Gross Pot; ","")&amp;IF(AND(INDEX('Game Records'!$U:$U,$H47)&lt;&gt;"Free Game",INDEX('Game Records'!$U:$U,$H47)&lt;&gt;"Disqualified — Free Game",INDEX('Game Records'!$H:$H,$H47)=""),"Entry Fee; ","")&amp;IF(AND(INDEX('Game Records'!$U:$U,$H47)&lt;&gt;"Subscription",INDEX('Game Records'!$U:$U,$H47)&lt;&gt;"Free Game",INDEX('Game Records'!$U:$U,$H47)&lt;&gt;"Disqualified — Free Game",INDEX('Game Records'!$I:$I,$H47)=""),"Eligible Players; ","")&amp;IF(AND(INDEX('Game Records'!$U:$U,$H47)&lt;&gt;"Subscription",INDEX('Game Records'!$U:$U,$H47)&lt;&gt;"Free Game",INDEX('Game Records'!$U:$U,$H47)&lt;&gt;"Disqualified — Free Game",INDEX('Game Records'!$J:$J,$H47)=""),"Total Players; ","")&amp;IF(AND(LOWER(INDEX('Game Records'!$D:$D,$H47)&amp;"")="finalized",LOWER(INDEX('Game Records'!$L:$L,$H47)&amp;"")&lt;&gt;"yes",INDEX('Game Records'!$U:$U,$H47)&lt;&gt;"Subscription",INDEX('Game Records'!$U:$U,$H47)&lt;&gt;"Free Game",INDEX('Game Records'!$U:$U,$H47)&lt;&gt;"Disqualified — Free Game",INDEX('Game Records'!$K:$K,$H47)=""),"Final Earned; ","")&amp;IF(AND(LOWER(INDEX('Game Records'!$D:$D,$H47)&amp;"")="finalized",INDEX('Game Records'!$U:$U,$H47)&lt;&gt;"Subscription",INDEX('Game Records'!$U:$U,$H47)&lt;&gt;"Free Game",INDEX('Game Records'!$U:$U,$H47)&lt;&gt;"Disqualified — Free Game",OR(INDEX('Game Records'!$L:$L,$H47)="",LOWER(INDEX('Game Records'!$L:$L,$H47)&amp;"")="n/a")),"Disqualified Status; ",""))</x:f>
        <x:v/>
      </x:c>
      <x:c r="G47" s="331" t="str">
        <x:f>IF($H47="","",IFERROR(INDEX('Game Records'!$M:$M,$H47),""))</x:f>
        <x:v/>
      </x:c>
      <x:c r="H47" s="104" t="str">
        <x:f>IF($H46="","",IFERROR(MATCH(1,INDEX((ROW('Game Records'!$U$5:$U$504)&gt;$H46)*(('Game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7" s="104"/>
      <x:c r="J47" s="104"/>
    </x:row>
    <x:row r="48" ht="24" hidden="0" customHeight="1">
      <x:c r="A48" s="332" t="str">
        <x:f>IF($H48="","",ROWS($A$5:A48))</x:f>
        <x:v/>
      </x:c>
      <x:c r="B48" s="332" t="str">
        <x:f>IF($H48="","","G-"&amp;TEXT($A48,"0000"))</x:f>
        <x:v/>
      </x:c>
      <x:c r="C48" s="331" t="str">
        <x:f>IF($H48="","",IFERROR(INDEX('Game Records'!$A:$A,$H48),""))</x:f>
        <x:v/>
      </x:c>
      <x:c r="D48" s="331" t="str">
        <x:f>IF($H48="","",IFERROR(INDEX('Game Records'!$U:$U,$H48),""))</x:f>
        <x:v/>
      </x:c>
      <x:c r="E48" s="331" t="str">
        <x:f>IF($H48="","",IF($F48="","No Highlighted Fields","Highlighted Fields Present"))</x:f>
        <x:v/>
      </x:c>
      <x:c r="F48" s="331" t="str">
        <x:f>IF($H48="","",IF(INDEX('Game Records'!$B:$B,$H48)="","Start Date; ","")&amp;IF(INDEX('Game Records'!$C:$C,$H48)="","End Date; ","")&amp;IF(AND(INDEX('Game Records'!$U:$U,$H48)&lt;&gt;"Subscription",INDEX('Game Records'!$U:$U,$H48)&lt;&gt;"Free Game",INDEX('Game Records'!$U:$U,$H48)&lt;&gt;"Disqualified — Free Game",OR(INDEX('Game Records'!$D:$D,$H48)="",LOWER(INDEX('Game Records'!$D:$D,$H48)&amp;"")="n/a")),"Entry Mode; ","")&amp;IF(AND(INDEX('Game Records'!$U:$U,$H48)&lt;&gt;"Subscription",INDEX('Game Records'!$U:$U,$H48)&lt;&gt;"Free Game",INDEX('Game Records'!$U:$U,$H48)&lt;&gt;"Disqualified — Free Game",OR(INDEX('Game Records'!$E:$E,$H48)="",LOWER(INDEX('Game Records'!$E:$E,$H48)&amp;"")="n/a")),"Game Type; ","")&amp;IF(INDEX('Game Records'!$F:$F,$H48)="","Payment Type; ","")&amp;IF(AND(INDEX('Game Records'!$U:$U,$H48)&lt;&gt;"Subscription",INDEX('Game Records'!$U:$U,$H48)&lt;&gt;"Free Game",INDEX('Game Records'!$U:$U,$H48)&lt;&gt;"Disqualified — Free Game",INDEX('Game Records'!$G:$G,$H48)=""),"Gross Pot; ","")&amp;IF(AND(INDEX('Game Records'!$U:$U,$H48)&lt;&gt;"Free Game",INDEX('Game Records'!$U:$U,$H48)&lt;&gt;"Disqualified — Free Game",INDEX('Game Records'!$H:$H,$H48)=""),"Entry Fee; ","")&amp;IF(AND(INDEX('Game Records'!$U:$U,$H48)&lt;&gt;"Subscription",INDEX('Game Records'!$U:$U,$H48)&lt;&gt;"Free Game",INDEX('Game Records'!$U:$U,$H48)&lt;&gt;"Disqualified — Free Game",INDEX('Game Records'!$I:$I,$H48)=""),"Eligible Players; ","")&amp;IF(AND(INDEX('Game Records'!$U:$U,$H48)&lt;&gt;"Subscription",INDEX('Game Records'!$U:$U,$H48)&lt;&gt;"Free Game",INDEX('Game Records'!$U:$U,$H48)&lt;&gt;"Disqualified — Free Game",INDEX('Game Records'!$J:$J,$H48)=""),"Total Players; ","")&amp;IF(AND(LOWER(INDEX('Game Records'!$D:$D,$H48)&amp;"")="finalized",LOWER(INDEX('Game Records'!$L:$L,$H48)&amp;"")&lt;&gt;"yes",INDEX('Game Records'!$U:$U,$H48)&lt;&gt;"Subscription",INDEX('Game Records'!$U:$U,$H48)&lt;&gt;"Free Game",INDEX('Game Records'!$U:$U,$H48)&lt;&gt;"Disqualified — Free Game",INDEX('Game Records'!$K:$K,$H48)=""),"Final Earned; ","")&amp;IF(AND(LOWER(INDEX('Game Records'!$D:$D,$H48)&amp;"")="finalized",INDEX('Game Records'!$U:$U,$H48)&lt;&gt;"Subscription",INDEX('Game Records'!$U:$U,$H48)&lt;&gt;"Free Game",INDEX('Game Records'!$U:$U,$H48)&lt;&gt;"Disqualified — Free Game",OR(INDEX('Game Records'!$L:$L,$H48)="",LOWER(INDEX('Game Records'!$L:$L,$H48)&amp;"")="n/a")),"Disqualified Status; ",""))</x:f>
        <x:v/>
      </x:c>
      <x:c r="G48" s="331" t="str">
        <x:f>IF($H48="","",IFERROR(INDEX('Game Records'!$M:$M,$H48),""))</x:f>
        <x:v/>
      </x:c>
      <x:c r="H48" s="104" t="str">
        <x:f>IF($H47="","",IFERROR(MATCH(1,INDEX((ROW('Game Records'!$U$5:$U$504)&gt;$H47)*(('Game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8" s="104"/>
      <x:c r="J48" s="104"/>
    </x:row>
    <x:row r="49" ht="24" hidden="0" customHeight="1">
      <x:c r="A49" s="332" t="str">
        <x:f>IF($H49="","",ROWS($A$5:A49))</x:f>
        <x:v/>
      </x:c>
      <x:c r="B49" s="332" t="str">
        <x:f>IF($H49="","","G-"&amp;TEXT($A49,"0000"))</x:f>
        <x:v/>
      </x:c>
      <x:c r="C49" s="331" t="str">
        <x:f>IF($H49="","",IFERROR(INDEX('Game Records'!$A:$A,$H49),""))</x:f>
        <x:v/>
      </x:c>
      <x:c r="D49" s="331" t="str">
        <x:f>IF($H49="","",IFERROR(INDEX('Game Records'!$U:$U,$H49),""))</x:f>
        <x:v/>
      </x:c>
      <x:c r="E49" s="331" t="str">
        <x:f>IF($H49="","",IF($F49="","No Highlighted Fields","Highlighted Fields Present"))</x:f>
        <x:v/>
      </x:c>
      <x:c r="F49" s="331" t="str">
        <x:f>IF($H49="","",IF(INDEX('Game Records'!$B:$B,$H49)="","Start Date; ","")&amp;IF(INDEX('Game Records'!$C:$C,$H49)="","End Date; ","")&amp;IF(AND(INDEX('Game Records'!$U:$U,$H49)&lt;&gt;"Subscription",INDEX('Game Records'!$U:$U,$H49)&lt;&gt;"Free Game",INDEX('Game Records'!$U:$U,$H49)&lt;&gt;"Disqualified — Free Game",OR(INDEX('Game Records'!$D:$D,$H49)="",LOWER(INDEX('Game Records'!$D:$D,$H49)&amp;"")="n/a")),"Entry Mode; ","")&amp;IF(AND(INDEX('Game Records'!$U:$U,$H49)&lt;&gt;"Subscription",INDEX('Game Records'!$U:$U,$H49)&lt;&gt;"Free Game",INDEX('Game Records'!$U:$U,$H49)&lt;&gt;"Disqualified — Free Game",OR(INDEX('Game Records'!$E:$E,$H49)="",LOWER(INDEX('Game Records'!$E:$E,$H49)&amp;"")="n/a")),"Game Type; ","")&amp;IF(INDEX('Game Records'!$F:$F,$H49)="","Payment Type; ","")&amp;IF(AND(INDEX('Game Records'!$U:$U,$H49)&lt;&gt;"Subscription",INDEX('Game Records'!$U:$U,$H49)&lt;&gt;"Free Game",INDEX('Game Records'!$U:$U,$H49)&lt;&gt;"Disqualified — Free Game",INDEX('Game Records'!$G:$G,$H49)=""),"Gross Pot; ","")&amp;IF(AND(INDEX('Game Records'!$U:$U,$H49)&lt;&gt;"Free Game",INDEX('Game Records'!$U:$U,$H49)&lt;&gt;"Disqualified — Free Game",INDEX('Game Records'!$H:$H,$H49)=""),"Entry Fee; ","")&amp;IF(AND(INDEX('Game Records'!$U:$U,$H49)&lt;&gt;"Subscription",INDEX('Game Records'!$U:$U,$H49)&lt;&gt;"Free Game",INDEX('Game Records'!$U:$U,$H49)&lt;&gt;"Disqualified — Free Game",INDEX('Game Records'!$I:$I,$H49)=""),"Eligible Players; ","")&amp;IF(AND(INDEX('Game Records'!$U:$U,$H49)&lt;&gt;"Subscription",INDEX('Game Records'!$U:$U,$H49)&lt;&gt;"Free Game",INDEX('Game Records'!$U:$U,$H49)&lt;&gt;"Disqualified — Free Game",INDEX('Game Records'!$J:$J,$H49)=""),"Total Players; ","")&amp;IF(AND(LOWER(INDEX('Game Records'!$D:$D,$H49)&amp;"")="finalized",LOWER(INDEX('Game Records'!$L:$L,$H49)&amp;"")&lt;&gt;"yes",INDEX('Game Records'!$U:$U,$H49)&lt;&gt;"Subscription",INDEX('Game Records'!$U:$U,$H49)&lt;&gt;"Free Game",INDEX('Game Records'!$U:$U,$H49)&lt;&gt;"Disqualified — Free Game",INDEX('Game Records'!$K:$K,$H49)=""),"Final Earned; ","")&amp;IF(AND(LOWER(INDEX('Game Records'!$D:$D,$H49)&amp;"")="finalized",INDEX('Game Records'!$U:$U,$H49)&lt;&gt;"Subscription",INDEX('Game Records'!$U:$U,$H49)&lt;&gt;"Free Game",INDEX('Game Records'!$U:$U,$H49)&lt;&gt;"Disqualified — Free Game",OR(INDEX('Game Records'!$L:$L,$H49)="",LOWER(INDEX('Game Records'!$L:$L,$H49)&amp;"")="n/a")),"Disqualified Status; ",""))</x:f>
        <x:v/>
      </x:c>
      <x:c r="G49" s="331" t="str">
        <x:f>IF($H49="","",IFERROR(INDEX('Game Records'!$M:$M,$H49),""))</x:f>
        <x:v/>
      </x:c>
      <x:c r="H49" s="104" t="str">
        <x:f>IF($H48="","",IFERROR(MATCH(1,INDEX((ROW('Game Records'!$U$5:$U$504)&gt;$H48)*(('Game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49" s="104"/>
      <x:c r="J49" s="104"/>
    </x:row>
    <x:row r="50" ht="24" hidden="0" customHeight="1">
      <x:c r="A50" s="332" t="str">
        <x:f>IF($H50="","",ROWS($A$5:A50))</x:f>
        <x:v/>
      </x:c>
      <x:c r="B50" s="332" t="str">
        <x:f>IF($H50="","","G-"&amp;TEXT($A50,"0000"))</x:f>
        <x:v/>
      </x:c>
      <x:c r="C50" s="331" t="str">
        <x:f>IF($H50="","",IFERROR(INDEX('Game Records'!$A:$A,$H50),""))</x:f>
        <x:v/>
      </x:c>
      <x:c r="D50" s="331" t="str">
        <x:f>IF($H50="","",IFERROR(INDEX('Game Records'!$U:$U,$H50),""))</x:f>
        <x:v/>
      </x:c>
      <x:c r="E50" s="331" t="str">
        <x:f>IF($H50="","",IF($F50="","No Highlighted Fields","Highlighted Fields Present"))</x:f>
        <x:v/>
      </x:c>
      <x:c r="F50" s="331" t="str">
        <x:f>IF($H50="","",IF(INDEX('Game Records'!$B:$B,$H50)="","Start Date; ","")&amp;IF(INDEX('Game Records'!$C:$C,$H50)="","End Date; ","")&amp;IF(AND(INDEX('Game Records'!$U:$U,$H50)&lt;&gt;"Subscription",INDEX('Game Records'!$U:$U,$H50)&lt;&gt;"Free Game",INDEX('Game Records'!$U:$U,$H50)&lt;&gt;"Disqualified — Free Game",OR(INDEX('Game Records'!$D:$D,$H50)="",LOWER(INDEX('Game Records'!$D:$D,$H50)&amp;"")="n/a")),"Entry Mode; ","")&amp;IF(AND(INDEX('Game Records'!$U:$U,$H50)&lt;&gt;"Subscription",INDEX('Game Records'!$U:$U,$H50)&lt;&gt;"Free Game",INDEX('Game Records'!$U:$U,$H50)&lt;&gt;"Disqualified — Free Game",OR(INDEX('Game Records'!$E:$E,$H50)="",LOWER(INDEX('Game Records'!$E:$E,$H50)&amp;"")="n/a")),"Game Type; ","")&amp;IF(INDEX('Game Records'!$F:$F,$H50)="","Payment Type; ","")&amp;IF(AND(INDEX('Game Records'!$U:$U,$H50)&lt;&gt;"Subscription",INDEX('Game Records'!$U:$U,$H50)&lt;&gt;"Free Game",INDEX('Game Records'!$U:$U,$H50)&lt;&gt;"Disqualified — Free Game",INDEX('Game Records'!$G:$G,$H50)=""),"Gross Pot; ","")&amp;IF(AND(INDEX('Game Records'!$U:$U,$H50)&lt;&gt;"Free Game",INDEX('Game Records'!$U:$U,$H50)&lt;&gt;"Disqualified — Free Game",INDEX('Game Records'!$H:$H,$H50)=""),"Entry Fee; ","")&amp;IF(AND(INDEX('Game Records'!$U:$U,$H50)&lt;&gt;"Subscription",INDEX('Game Records'!$U:$U,$H50)&lt;&gt;"Free Game",INDEX('Game Records'!$U:$U,$H50)&lt;&gt;"Disqualified — Free Game",INDEX('Game Records'!$I:$I,$H50)=""),"Eligible Players; ","")&amp;IF(AND(INDEX('Game Records'!$U:$U,$H50)&lt;&gt;"Subscription",INDEX('Game Records'!$U:$U,$H50)&lt;&gt;"Free Game",INDEX('Game Records'!$U:$U,$H50)&lt;&gt;"Disqualified — Free Game",INDEX('Game Records'!$J:$J,$H50)=""),"Total Players; ","")&amp;IF(AND(LOWER(INDEX('Game Records'!$D:$D,$H50)&amp;"")="finalized",LOWER(INDEX('Game Records'!$L:$L,$H50)&amp;"")&lt;&gt;"yes",INDEX('Game Records'!$U:$U,$H50)&lt;&gt;"Subscription",INDEX('Game Records'!$U:$U,$H50)&lt;&gt;"Free Game",INDEX('Game Records'!$U:$U,$H50)&lt;&gt;"Disqualified — Free Game",INDEX('Game Records'!$K:$K,$H50)=""),"Final Earned; ","")&amp;IF(AND(LOWER(INDEX('Game Records'!$D:$D,$H50)&amp;"")="finalized",INDEX('Game Records'!$U:$U,$H50)&lt;&gt;"Subscription",INDEX('Game Records'!$U:$U,$H50)&lt;&gt;"Free Game",INDEX('Game Records'!$U:$U,$H50)&lt;&gt;"Disqualified — Free Game",OR(INDEX('Game Records'!$L:$L,$H50)="",LOWER(INDEX('Game Records'!$L:$L,$H50)&amp;"")="n/a")),"Disqualified Status; ",""))</x:f>
        <x:v/>
      </x:c>
      <x:c r="G50" s="331" t="str">
        <x:f>IF($H50="","",IFERROR(INDEX('Game Records'!$M:$M,$H50),""))</x:f>
        <x:v/>
      </x:c>
      <x:c r="H50" s="104" t="str">
        <x:f>IF($H49="","",IFERROR(MATCH(1,INDEX((ROW('Game Records'!$U$5:$U$504)&gt;$H49)*(('Game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0" s="104"/>
      <x:c r="J50" s="104"/>
    </x:row>
    <x:row r="51" ht="24" hidden="0" customHeight="1">
      <x:c r="A51" s="332" t="str">
        <x:f>IF($H51="","",ROWS($A$5:A51))</x:f>
        <x:v/>
      </x:c>
      <x:c r="B51" s="332" t="str">
        <x:f>IF($H51="","","G-"&amp;TEXT($A51,"0000"))</x:f>
        <x:v/>
      </x:c>
      <x:c r="C51" s="331" t="str">
        <x:f>IF($H51="","",IFERROR(INDEX('Game Records'!$A:$A,$H51),""))</x:f>
        <x:v/>
      </x:c>
      <x:c r="D51" s="331" t="str">
        <x:f>IF($H51="","",IFERROR(INDEX('Game Records'!$U:$U,$H51),""))</x:f>
        <x:v/>
      </x:c>
      <x:c r="E51" s="331" t="str">
        <x:f>IF($H51="","",IF($F51="","No Highlighted Fields","Highlighted Fields Present"))</x:f>
        <x:v/>
      </x:c>
      <x:c r="F51" s="331" t="str">
        <x:f>IF($H51="","",IF(INDEX('Game Records'!$B:$B,$H51)="","Start Date; ","")&amp;IF(INDEX('Game Records'!$C:$C,$H51)="","End Date; ","")&amp;IF(AND(INDEX('Game Records'!$U:$U,$H51)&lt;&gt;"Subscription",INDEX('Game Records'!$U:$U,$H51)&lt;&gt;"Free Game",INDEX('Game Records'!$U:$U,$H51)&lt;&gt;"Disqualified — Free Game",OR(INDEX('Game Records'!$D:$D,$H51)="",LOWER(INDEX('Game Records'!$D:$D,$H51)&amp;"")="n/a")),"Entry Mode; ","")&amp;IF(AND(INDEX('Game Records'!$U:$U,$H51)&lt;&gt;"Subscription",INDEX('Game Records'!$U:$U,$H51)&lt;&gt;"Free Game",INDEX('Game Records'!$U:$U,$H51)&lt;&gt;"Disqualified — Free Game",OR(INDEX('Game Records'!$E:$E,$H51)="",LOWER(INDEX('Game Records'!$E:$E,$H51)&amp;"")="n/a")),"Game Type; ","")&amp;IF(INDEX('Game Records'!$F:$F,$H51)="","Payment Type; ","")&amp;IF(AND(INDEX('Game Records'!$U:$U,$H51)&lt;&gt;"Subscription",INDEX('Game Records'!$U:$U,$H51)&lt;&gt;"Free Game",INDEX('Game Records'!$U:$U,$H51)&lt;&gt;"Disqualified — Free Game",INDEX('Game Records'!$G:$G,$H51)=""),"Gross Pot; ","")&amp;IF(AND(INDEX('Game Records'!$U:$U,$H51)&lt;&gt;"Free Game",INDEX('Game Records'!$U:$U,$H51)&lt;&gt;"Disqualified — Free Game",INDEX('Game Records'!$H:$H,$H51)=""),"Entry Fee; ","")&amp;IF(AND(INDEX('Game Records'!$U:$U,$H51)&lt;&gt;"Subscription",INDEX('Game Records'!$U:$U,$H51)&lt;&gt;"Free Game",INDEX('Game Records'!$U:$U,$H51)&lt;&gt;"Disqualified — Free Game",INDEX('Game Records'!$I:$I,$H51)=""),"Eligible Players; ","")&amp;IF(AND(INDEX('Game Records'!$U:$U,$H51)&lt;&gt;"Subscription",INDEX('Game Records'!$U:$U,$H51)&lt;&gt;"Free Game",INDEX('Game Records'!$U:$U,$H51)&lt;&gt;"Disqualified — Free Game",INDEX('Game Records'!$J:$J,$H51)=""),"Total Players; ","")&amp;IF(AND(LOWER(INDEX('Game Records'!$D:$D,$H51)&amp;"")="finalized",LOWER(INDEX('Game Records'!$L:$L,$H51)&amp;"")&lt;&gt;"yes",INDEX('Game Records'!$U:$U,$H51)&lt;&gt;"Subscription",INDEX('Game Records'!$U:$U,$H51)&lt;&gt;"Free Game",INDEX('Game Records'!$U:$U,$H51)&lt;&gt;"Disqualified — Free Game",INDEX('Game Records'!$K:$K,$H51)=""),"Final Earned; ","")&amp;IF(AND(LOWER(INDEX('Game Records'!$D:$D,$H51)&amp;"")="finalized",INDEX('Game Records'!$U:$U,$H51)&lt;&gt;"Subscription",INDEX('Game Records'!$U:$U,$H51)&lt;&gt;"Free Game",INDEX('Game Records'!$U:$U,$H51)&lt;&gt;"Disqualified — Free Game",OR(INDEX('Game Records'!$L:$L,$H51)="",LOWER(INDEX('Game Records'!$L:$L,$H51)&amp;"")="n/a")),"Disqualified Status; ",""))</x:f>
        <x:v/>
      </x:c>
      <x:c r="G51" s="331" t="str">
        <x:f>IF($H51="","",IFERROR(INDEX('Game Records'!$M:$M,$H51),""))</x:f>
        <x:v/>
      </x:c>
      <x:c r="H51" s="104" t="str">
        <x:f>IF($H50="","",IFERROR(MATCH(1,INDEX((ROW('Game Records'!$U$5:$U$504)&gt;$H50)*(('Game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1" s="104"/>
      <x:c r="J51" s="104"/>
    </x:row>
    <x:row r="52" ht="24" hidden="0" customHeight="1">
      <x:c r="A52" s="332" t="str">
        <x:f>IF($H52="","",ROWS($A$5:A52))</x:f>
        <x:v/>
      </x:c>
      <x:c r="B52" s="332" t="str">
        <x:f>IF($H52="","","G-"&amp;TEXT($A52,"0000"))</x:f>
        <x:v/>
      </x:c>
      <x:c r="C52" s="331" t="str">
        <x:f>IF($H52="","",IFERROR(INDEX('Game Records'!$A:$A,$H52),""))</x:f>
        <x:v/>
      </x:c>
      <x:c r="D52" s="331" t="str">
        <x:f>IF($H52="","",IFERROR(INDEX('Game Records'!$U:$U,$H52),""))</x:f>
        <x:v/>
      </x:c>
      <x:c r="E52" s="331" t="str">
        <x:f>IF($H52="","",IF($F52="","No Highlighted Fields","Highlighted Fields Present"))</x:f>
        <x:v/>
      </x:c>
      <x:c r="F52" s="331" t="str">
        <x:f>IF($H52="","",IF(INDEX('Game Records'!$B:$B,$H52)="","Start Date; ","")&amp;IF(INDEX('Game Records'!$C:$C,$H52)="","End Date; ","")&amp;IF(AND(INDEX('Game Records'!$U:$U,$H52)&lt;&gt;"Subscription",INDEX('Game Records'!$U:$U,$H52)&lt;&gt;"Free Game",INDEX('Game Records'!$U:$U,$H52)&lt;&gt;"Disqualified — Free Game",OR(INDEX('Game Records'!$D:$D,$H52)="",LOWER(INDEX('Game Records'!$D:$D,$H52)&amp;"")="n/a")),"Entry Mode; ","")&amp;IF(AND(INDEX('Game Records'!$U:$U,$H52)&lt;&gt;"Subscription",INDEX('Game Records'!$U:$U,$H52)&lt;&gt;"Free Game",INDEX('Game Records'!$U:$U,$H52)&lt;&gt;"Disqualified — Free Game",OR(INDEX('Game Records'!$E:$E,$H52)="",LOWER(INDEX('Game Records'!$E:$E,$H52)&amp;"")="n/a")),"Game Type; ","")&amp;IF(INDEX('Game Records'!$F:$F,$H52)="","Payment Type; ","")&amp;IF(AND(INDEX('Game Records'!$U:$U,$H52)&lt;&gt;"Subscription",INDEX('Game Records'!$U:$U,$H52)&lt;&gt;"Free Game",INDEX('Game Records'!$U:$U,$H52)&lt;&gt;"Disqualified — Free Game",INDEX('Game Records'!$G:$G,$H52)=""),"Gross Pot; ","")&amp;IF(AND(INDEX('Game Records'!$U:$U,$H52)&lt;&gt;"Free Game",INDEX('Game Records'!$U:$U,$H52)&lt;&gt;"Disqualified — Free Game",INDEX('Game Records'!$H:$H,$H52)=""),"Entry Fee; ","")&amp;IF(AND(INDEX('Game Records'!$U:$U,$H52)&lt;&gt;"Subscription",INDEX('Game Records'!$U:$U,$H52)&lt;&gt;"Free Game",INDEX('Game Records'!$U:$U,$H52)&lt;&gt;"Disqualified — Free Game",INDEX('Game Records'!$I:$I,$H52)=""),"Eligible Players; ","")&amp;IF(AND(INDEX('Game Records'!$U:$U,$H52)&lt;&gt;"Subscription",INDEX('Game Records'!$U:$U,$H52)&lt;&gt;"Free Game",INDEX('Game Records'!$U:$U,$H52)&lt;&gt;"Disqualified — Free Game",INDEX('Game Records'!$J:$J,$H52)=""),"Total Players; ","")&amp;IF(AND(LOWER(INDEX('Game Records'!$D:$D,$H52)&amp;"")="finalized",LOWER(INDEX('Game Records'!$L:$L,$H52)&amp;"")&lt;&gt;"yes",INDEX('Game Records'!$U:$U,$H52)&lt;&gt;"Subscription",INDEX('Game Records'!$U:$U,$H52)&lt;&gt;"Free Game",INDEX('Game Records'!$U:$U,$H52)&lt;&gt;"Disqualified — Free Game",INDEX('Game Records'!$K:$K,$H52)=""),"Final Earned; ","")&amp;IF(AND(LOWER(INDEX('Game Records'!$D:$D,$H52)&amp;"")="finalized",INDEX('Game Records'!$U:$U,$H52)&lt;&gt;"Subscription",INDEX('Game Records'!$U:$U,$H52)&lt;&gt;"Free Game",INDEX('Game Records'!$U:$U,$H52)&lt;&gt;"Disqualified — Free Game",OR(INDEX('Game Records'!$L:$L,$H52)="",LOWER(INDEX('Game Records'!$L:$L,$H52)&amp;"")="n/a")),"Disqualified Status; ",""))</x:f>
        <x:v/>
      </x:c>
      <x:c r="G52" s="331" t="str">
        <x:f>IF($H52="","",IFERROR(INDEX('Game Records'!$M:$M,$H52),""))</x:f>
        <x:v/>
      </x:c>
      <x:c r="H52" s="104" t="str">
        <x:f>IF($H51="","",IFERROR(MATCH(1,INDEX((ROW('Game Records'!$U$5:$U$504)&gt;$H51)*(('Game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2" s="104"/>
      <x:c r="J52" s="104"/>
    </x:row>
    <x:row r="53" ht="24" hidden="0" customHeight="1">
      <x:c r="A53" s="332" t="str">
        <x:f>IF($H53="","",ROWS($A$5:A53))</x:f>
        <x:v/>
      </x:c>
      <x:c r="B53" s="332" t="str">
        <x:f>IF($H53="","","G-"&amp;TEXT($A53,"0000"))</x:f>
        <x:v/>
      </x:c>
      <x:c r="C53" s="331" t="str">
        <x:f>IF($H53="","",IFERROR(INDEX('Game Records'!$A:$A,$H53),""))</x:f>
        <x:v/>
      </x:c>
      <x:c r="D53" s="331" t="str">
        <x:f>IF($H53="","",IFERROR(INDEX('Game Records'!$U:$U,$H53),""))</x:f>
        <x:v/>
      </x:c>
      <x:c r="E53" s="331" t="str">
        <x:f>IF($H53="","",IF($F53="","No Highlighted Fields","Highlighted Fields Present"))</x:f>
        <x:v/>
      </x:c>
      <x:c r="F53" s="331" t="str">
        <x:f>IF($H53="","",IF(INDEX('Game Records'!$B:$B,$H53)="","Start Date; ","")&amp;IF(INDEX('Game Records'!$C:$C,$H53)="","End Date; ","")&amp;IF(AND(INDEX('Game Records'!$U:$U,$H53)&lt;&gt;"Subscription",INDEX('Game Records'!$U:$U,$H53)&lt;&gt;"Free Game",INDEX('Game Records'!$U:$U,$H53)&lt;&gt;"Disqualified — Free Game",OR(INDEX('Game Records'!$D:$D,$H53)="",LOWER(INDEX('Game Records'!$D:$D,$H53)&amp;"")="n/a")),"Entry Mode; ","")&amp;IF(AND(INDEX('Game Records'!$U:$U,$H53)&lt;&gt;"Subscription",INDEX('Game Records'!$U:$U,$H53)&lt;&gt;"Free Game",INDEX('Game Records'!$U:$U,$H53)&lt;&gt;"Disqualified — Free Game",OR(INDEX('Game Records'!$E:$E,$H53)="",LOWER(INDEX('Game Records'!$E:$E,$H53)&amp;"")="n/a")),"Game Type; ","")&amp;IF(INDEX('Game Records'!$F:$F,$H53)="","Payment Type; ","")&amp;IF(AND(INDEX('Game Records'!$U:$U,$H53)&lt;&gt;"Subscription",INDEX('Game Records'!$U:$U,$H53)&lt;&gt;"Free Game",INDEX('Game Records'!$U:$U,$H53)&lt;&gt;"Disqualified — Free Game",INDEX('Game Records'!$G:$G,$H53)=""),"Gross Pot; ","")&amp;IF(AND(INDEX('Game Records'!$U:$U,$H53)&lt;&gt;"Free Game",INDEX('Game Records'!$U:$U,$H53)&lt;&gt;"Disqualified — Free Game",INDEX('Game Records'!$H:$H,$H53)=""),"Entry Fee; ","")&amp;IF(AND(INDEX('Game Records'!$U:$U,$H53)&lt;&gt;"Subscription",INDEX('Game Records'!$U:$U,$H53)&lt;&gt;"Free Game",INDEX('Game Records'!$U:$U,$H53)&lt;&gt;"Disqualified — Free Game",INDEX('Game Records'!$I:$I,$H53)=""),"Eligible Players; ","")&amp;IF(AND(INDEX('Game Records'!$U:$U,$H53)&lt;&gt;"Subscription",INDEX('Game Records'!$U:$U,$H53)&lt;&gt;"Free Game",INDEX('Game Records'!$U:$U,$H53)&lt;&gt;"Disqualified — Free Game",INDEX('Game Records'!$J:$J,$H53)=""),"Total Players; ","")&amp;IF(AND(LOWER(INDEX('Game Records'!$D:$D,$H53)&amp;"")="finalized",LOWER(INDEX('Game Records'!$L:$L,$H53)&amp;"")&lt;&gt;"yes",INDEX('Game Records'!$U:$U,$H53)&lt;&gt;"Subscription",INDEX('Game Records'!$U:$U,$H53)&lt;&gt;"Free Game",INDEX('Game Records'!$U:$U,$H53)&lt;&gt;"Disqualified — Free Game",INDEX('Game Records'!$K:$K,$H53)=""),"Final Earned; ","")&amp;IF(AND(LOWER(INDEX('Game Records'!$D:$D,$H53)&amp;"")="finalized",INDEX('Game Records'!$U:$U,$H53)&lt;&gt;"Subscription",INDEX('Game Records'!$U:$U,$H53)&lt;&gt;"Free Game",INDEX('Game Records'!$U:$U,$H53)&lt;&gt;"Disqualified — Free Game",OR(INDEX('Game Records'!$L:$L,$H53)="",LOWER(INDEX('Game Records'!$L:$L,$H53)&amp;"")="n/a")),"Disqualified Status; ",""))</x:f>
        <x:v/>
      </x:c>
      <x:c r="G53" s="331" t="str">
        <x:f>IF($H53="","",IFERROR(INDEX('Game Records'!$M:$M,$H53),""))</x:f>
        <x:v/>
      </x:c>
      <x:c r="H53" s="104" t="str">
        <x:f>IF($H52="","",IFERROR(MATCH(1,INDEX((ROW('Game Records'!$U$5:$U$504)&gt;$H52)*(('Game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3" s="104"/>
      <x:c r="J53" s="104"/>
    </x:row>
    <x:row r="54" ht="24" hidden="0" customHeight="1">
      <x:c r="A54" s="332" t="str">
        <x:f>IF($H54="","",ROWS($A$5:A54))</x:f>
        <x:v/>
      </x:c>
      <x:c r="B54" s="332" t="str">
        <x:f>IF($H54="","","G-"&amp;TEXT($A54,"0000"))</x:f>
        <x:v/>
      </x:c>
      <x:c r="C54" s="331" t="str">
        <x:f>IF($H54="","",IFERROR(INDEX('Game Records'!$A:$A,$H54),""))</x:f>
        <x:v/>
      </x:c>
      <x:c r="D54" s="331" t="str">
        <x:f>IF($H54="","",IFERROR(INDEX('Game Records'!$U:$U,$H54),""))</x:f>
        <x:v/>
      </x:c>
      <x:c r="E54" s="331" t="str">
        <x:f>IF($H54="","",IF($F54="","No Highlighted Fields","Highlighted Fields Present"))</x:f>
        <x:v/>
      </x:c>
      <x:c r="F54" s="331" t="str">
        <x:f>IF($H54="","",IF(INDEX('Game Records'!$B:$B,$H54)="","Start Date; ","")&amp;IF(INDEX('Game Records'!$C:$C,$H54)="","End Date; ","")&amp;IF(AND(INDEX('Game Records'!$U:$U,$H54)&lt;&gt;"Subscription",INDEX('Game Records'!$U:$U,$H54)&lt;&gt;"Free Game",INDEX('Game Records'!$U:$U,$H54)&lt;&gt;"Disqualified — Free Game",OR(INDEX('Game Records'!$D:$D,$H54)="",LOWER(INDEX('Game Records'!$D:$D,$H54)&amp;"")="n/a")),"Entry Mode; ","")&amp;IF(AND(INDEX('Game Records'!$U:$U,$H54)&lt;&gt;"Subscription",INDEX('Game Records'!$U:$U,$H54)&lt;&gt;"Free Game",INDEX('Game Records'!$U:$U,$H54)&lt;&gt;"Disqualified — Free Game",OR(INDEX('Game Records'!$E:$E,$H54)="",LOWER(INDEX('Game Records'!$E:$E,$H54)&amp;"")="n/a")),"Game Type; ","")&amp;IF(INDEX('Game Records'!$F:$F,$H54)="","Payment Type; ","")&amp;IF(AND(INDEX('Game Records'!$U:$U,$H54)&lt;&gt;"Subscription",INDEX('Game Records'!$U:$U,$H54)&lt;&gt;"Free Game",INDEX('Game Records'!$U:$U,$H54)&lt;&gt;"Disqualified — Free Game",INDEX('Game Records'!$G:$G,$H54)=""),"Gross Pot; ","")&amp;IF(AND(INDEX('Game Records'!$U:$U,$H54)&lt;&gt;"Free Game",INDEX('Game Records'!$U:$U,$H54)&lt;&gt;"Disqualified — Free Game",INDEX('Game Records'!$H:$H,$H54)=""),"Entry Fee; ","")&amp;IF(AND(INDEX('Game Records'!$U:$U,$H54)&lt;&gt;"Subscription",INDEX('Game Records'!$U:$U,$H54)&lt;&gt;"Free Game",INDEX('Game Records'!$U:$U,$H54)&lt;&gt;"Disqualified — Free Game",INDEX('Game Records'!$I:$I,$H54)=""),"Eligible Players; ","")&amp;IF(AND(INDEX('Game Records'!$U:$U,$H54)&lt;&gt;"Subscription",INDEX('Game Records'!$U:$U,$H54)&lt;&gt;"Free Game",INDEX('Game Records'!$U:$U,$H54)&lt;&gt;"Disqualified — Free Game",INDEX('Game Records'!$J:$J,$H54)=""),"Total Players; ","")&amp;IF(AND(LOWER(INDEX('Game Records'!$D:$D,$H54)&amp;"")="finalized",LOWER(INDEX('Game Records'!$L:$L,$H54)&amp;"")&lt;&gt;"yes",INDEX('Game Records'!$U:$U,$H54)&lt;&gt;"Subscription",INDEX('Game Records'!$U:$U,$H54)&lt;&gt;"Free Game",INDEX('Game Records'!$U:$U,$H54)&lt;&gt;"Disqualified — Free Game",INDEX('Game Records'!$K:$K,$H54)=""),"Final Earned; ","")&amp;IF(AND(LOWER(INDEX('Game Records'!$D:$D,$H54)&amp;"")="finalized",INDEX('Game Records'!$U:$U,$H54)&lt;&gt;"Subscription",INDEX('Game Records'!$U:$U,$H54)&lt;&gt;"Free Game",INDEX('Game Records'!$U:$U,$H54)&lt;&gt;"Disqualified — Free Game",OR(INDEX('Game Records'!$L:$L,$H54)="",LOWER(INDEX('Game Records'!$L:$L,$H54)&amp;"")="n/a")),"Disqualified Status; ",""))</x:f>
        <x:v/>
      </x:c>
      <x:c r="G54" s="331" t="str">
        <x:f>IF($H54="","",IFERROR(INDEX('Game Records'!$M:$M,$H54),""))</x:f>
        <x:v/>
      </x:c>
      <x:c r="H54" s="104" t="str">
        <x:f>IF($H53="","",IFERROR(MATCH(1,INDEX((ROW('Game Records'!$U$5:$U$504)&gt;$H53)*(('Game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4" s="104"/>
      <x:c r="J54" s="104"/>
    </x:row>
    <x:row r="55" ht="24" hidden="0" customHeight="1">
      <x:c r="A55" s="332" t="str">
        <x:f>IF($H55="","",ROWS($A$5:A55))</x:f>
        <x:v/>
      </x:c>
      <x:c r="B55" s="332" t="str">
        <x:f>IF($H55="","","G-"&amp;TEXT($A55,"0000"))</x:f>
        <x:v/>
      </x:c>
      <x:c r="C55" s="331" t="str">
        <x:f>IF($H55="","",IFERROR(INDEX('Game Records'!$A:$A,$H55),""))</x:f>
        <x:v/>
      </x:c>
      <x:c r="D55" s="331" t="str">
        <x:f>IF($H55="","",IFERROR(INDEX('Game Records'!$U:$U,$H55),""))</x:f>
        <x:v/>
      </x:c>
      <x:c r="E55" s="331" t="str">
        <x:f>IF($H55="","",IF($F55="","No Highlighted Fields","Highlighted Fields Present"))</x:f>
        <x:v/>
      </x:c>
      <x:c r="F55" s="331" t="str">
        <x:f>IF($H55="","",IF(INDEX('Game Records'!$B:$B,$H55)="","Start Date; ","")&amp;IF(INDEX('Game Records'!$C:$C,$H55)="","End Date; ","")&amp;IF(AND(INDEX('Game Records'!$U:$U,$H55)&lt;&gt;"Subscription",INDEX('Game Records'!$U:$U,$H55)&lt;&gt;"Free Game",INDEX('Game Records'!$U:$U,$H55)&lt;&gt;"Disqualified — Free Game",OR(INDEX('Game Records'!$D:$D,$H55)="",LOWER(INDEX('Game Records'!$D:$D,$H55)&amp;"")="n/a")),"Entry Mode; ","")&amp;IF(AND(INDEX('Game Records'!$U:$U,$H55)&lt;&gt;"Subscription",INDEX('Game Records'!$U:$U,$H55)&lt;&gt;"Free Game",INDEX('Game Records'!$U:$U,$H55)&lt;&gt;"Disqualified — Free Game",OR(INDEX('Game Records'!$E:$E,$H55)="",LOWER(INDEX('Game Records'!$E:$E,$H55)&amp;"")="n/a")),"Game Type; ","")&amp;IF(INDEX('Game Records'!$F:$F,$H55)="","Payment Type; ","")&amp;IF(AND(INDEX('Game Records'!$U:$U,$H55)&lt;&gt;"Subscription",INDEX('Game Records'!$U:$U,$H55)&lt;&gt;"Free Game",INDEX('Game Records'!$U:$U,$H55)&lt;&gt;"Disqualified — Free Game",INDEX('Game Records'!$G:$G,$H55)=""),"Gross Pot; ","")&amp;IF(AND(INDEX('Game Records'!$U:$U,$H55)&lt;&gt;"Free Game",INDEX('Game Records'!$U:$U,$H55)&lt;&gt;"Disqualified — Free Game",INDEX('Game Records'!$H:$H,$H55)=""),"Entry Fee; ","")&amp;IF(AND(INDEX('Game Records'!$U:$U,$H55)&lt;&gt;"Subscription",INDEX('Game Records'!$U:$U,$H55)&lt;&gt;"Free Game",INDEX('Game Records'!$U:$U,$H55)&lt;&gt;"Disqualified — Free Game",INDEX('Game Records'!$I:$I,$H55)=""),"Eligible Players; ","")&amp;IF(AND(INDEX('Game Records'!$U:$U,$H55)&lt;&gt;"Subscription",INDEX('Game Records'!$U:$U,$H55)&lt;&gt;"Free Game",INDEX('Game Records'!$U:$U,$H55)&lt;&gt;"Disqualified — Free Game",INDEX('Game Records'!$J:$J,$H55)=""),"Total Players; ","")&amp;IF(AND(LOWER(INDEX('Game Records'!$D:$D,$H55)&amp;"")="finalized",LOWER(INDEX('Game Records'!$L:$L,$H55)&amp;"")&lt;&gt;"yes",INDEX('Game Records'!$U:$U,$H55)&lt;&gt;"Subscription",INDEX('Game Records'!$U:$U,$H55)&lt;&gt;"Free Game",INDEX('Game Records'!$U:$U,$H55)&lt;&gt;"Disqualified — Free Game",INDEX('Game Records'!$K:$K,$H55)=""),"Final Earned; ","")&amp;IF(AND(LOWER(INDEX('Game Records'!$D:$D,$H55)&amp;"")="finalized",INDEX('Game Records'!$U:$U,$H55)&lt;&gt;"Subscription",INDEX('Game Records'!$U:$U,$H55)&lt;&gt;"Free Game",INDEX('Game Records'!$U:$U,$H55)&lt;&gt;"Disqualified — Free Game",OR(INDEX('Game Records'!$L:$L,$H55)="",LOWER(INDEX('Game Records'!$L:$L,$H55)&amp;"")="n/a")),"Disqualified Status; ",""))</x:f>
        <x:v/>
      </x:c>
      <x:c r="G55" s="331" t="str">
        <x:f>IF($H55="","",IFERROR(INDEX('Game Records'!$M:$M,$H55),""))</x:f>
        <x:v/>
      </x:c>
      <x:c r="H55" s="104" t="str">
        <x:f>IF($H54="","",IFERROR(MATCH(1,INDEX((ROW('Game Records'!$U$5:$U$504)&gt;$H54)*(('Game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5" s="104"/>
      <x:c r="J55" s="104"/>
    </x:row>
    <x:row r="56" ht="24" hidden="0" customHeight="1">
      <x:c r="A56" s="332" t="str">
        <x:f>IF($H56="","",ROWS($A$5:A56))</x:f>
        <x:v/>
      </x:c>
      <x:c r="B56" s="332" t="str">
        <x:f>IF($H56="","","G-"&amp;TEXT($A56,"0000"))</x:f>
        <x:v/>
      </x:c>
      <x:c r="C56" s="331" t="str">
        <x:f>IF($H56="","",IFERROR(INDEX('Game Records'!$A:$A,$H56),""))</x:f>
        <x:v/>
      </x:c>
      <x:c r="D56" s="331" t="str">
        <x:f>IF($H56="","",IFERROR(INDEX('Game Records'!$U:$U,$H56),""))</x:f>
        <x:v/>
      </x:c>
      <x:c r="E56" s="331" t="str">
        <x:f>IF($H56="","",IF($F56="","No Highlighted Fields","Highlighted Fields Present"))</x:f>
        <x:v/>
      </x:c>
      <x:c r="F56" s="331" t="str">
        <x:f>IF($H56="","",IF(INDEX('Game Records'!$B:$B,$H56)="","Start Date; ","")&amp;IF(INDEX('Game Records'!$C:$C,$H56)="","End Date; ","")&amp;IF(AND(INDEX('Game Records'!$U:$U,$H56)&lt;&gt;"Subscription",INDEX('Game Records'!$U:$U,$H56)&lt;&gt;"Free Game",INDEX('Game Records'!$U:$U,$H56)&lt;&gt;"Disqualified — Free Game",OR(INDEX('Game Records'!$D:$D,$H56)="",LOWER(INDEX('Game Records'!$D:$D,$H56)&amp;"")="n/a")),"Entry Mode; ","")&amp;IF(AND(INDEX('Game Records'!$U:$U,$H56)&lt;&gt;"Subscription",INDEX('Game Records'!$U:$U,$H56)&lt;&gt;"Free Game",INDEX('Game Records'!$U:$U,$H56)&lt;&gt;"Disqualified — Free Game",OR(INDEX('Game Records'!$E:$E,$H56)="",LOWER(INDEX('Game Records'!$E:$E,$H56)&amp;"")="n/a")),"Game Type; ","")&amp;IF(INDEX('Game Records'!$F:$F,$H56)="","Payment Type; ","")&amp;IF(AND(INDEX('Game Records'!$U:$U,$H56)&lt;&gt;"Subscription",INDEX('Game Records'!$U:$U,$H56)&lt;&gt;"Free Game",INDEX('Game Records'!$U:$U,$H56)&lt;&gt;"Disqualified — Free Game",INDEX('Game Records'!$G:$G,$H56)=""),"Gross Pot; ","")&amp;IF(AND(INDEX('Game Records'!$U:$U,$H56)&lt;&gt;"Free Game",INDEX('Game Records'!$U:$U,$H56)&lt;&gt;"Disqualified — Free Game",INDEX('Game Records'!$H:$H,$H56)=""),"Entry Fee; ","")&amp;IF(AND(INDEX('Game Records'!$U:$U,$H56)&lt;&gt;"Subscription",INDEX('Game Records'!$U:$U,$H56)&lt;&gt;"Free Game",INDEX('Game Records'!$U:$U,$H56)&lt;&gt;"Disqualified — Free Game",INDEX('Game Records'!$I:$I,$H56)=""),"Eligible Players; ","")&amp;IF(AND(INDEX('Game Records'!$U:$U,$H56)&lt;&gt;"Subscription",INDEX('Game Records'!$U:$U,$H56)&lt;&gt;"Free Game",INDEX('Game Records'!$U:$U,$H56)&lt;&gt;"Disqualified — Free Game",INDEX('Game Records'!$J:$J,$H56)=""),"Total Players; ","")&amp;IF(AND(LOWER(INDEX('Game Records'!$D:$D,$H56)&amp;"")="finalized",LOWER(INDEX('Game Records'!$L:$L,$H56)&amp;"")&lt;&gt;"yes",INDEX('Game Records'!$U:$U,$H56)&lt;&gt;"Subscription",INDEX('Game Records'!$U:$U,$H56)&lt;&gt;"Free Game",INDEX('Game Records'!$U:$U,$H56)&lt;&gt;"Disqualified — Free Game",INDEX('Game Records'!$K:$K,$H56)=""),"Final Earned; ","")&amp;IF(AND(LOWER(INDEX('Game Records'!$D:$D,$H56)&amp;"")="finalized",INDEX('Game Records'!$U:$U,$H56)&lt;&gt;"Subscription",INDEX('Game Records'!$U:$U,$H56)&lt;&gt;"Free Game",INDEX('Game Records'!$U:$U,$H56)&lt;&gt;"Disqualified — Free Game",OR(INDEX('Game Records'!$L:$L,$H56)="",LOWER(INDEX('Game Records'!$L:$L,$H56)&amp;"")="n/a")),"Disqualified Status; ",""))</x:f>
        <x:v/>
      </x:c>
      <x:c r="G56" s="331" t="str">
        <x:f>IF($H56="","",IFERROR(INDEX('Game Records'!$M:$M,$H56),""))</x:f>
        <x:v/>
      </x:c>
      <x:c r="H56" s="104" t="str">
        <x:f>IF($H55="","",IFERROR(MATCH(1,INDEX((ROW('Game Records'!$U$5:$U$504)&gt;$H55)*(('Game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6" s="104"/>
      <x:c r="J56" s="104"/>
    </x:row>
    <x:row r="57" ht="24" hidden="0" customHeight="1">
      <x:c r="A57" s="332" t="str">
        <x:f>IF($H57="","",ROWS($A$5:A57))</x:f>
        <x:v/>
      </x:c>
      <x:c r="B57" s="332" t="str">
        <x:f>IF($H57="","","G-"&amp;TEXT($A57,"0000"))</x:f>
        <x:v/>
      </x:c>
      <x:c r="C57" s="331" t="str">
        <x:f>IF($H57="","",IFERROR(INDEX('Game Records'!$A:$A,$H57),""))</x:f>
        <x:v/>
      </x:c>
      <x:c r="D57" s="331" t="str">
        <x:f>IF($H57="","",IFERROR(INDEX('Game Records'!$U:$U,$H57),""))</x:f>
        <x:v/>
      </x:c>
      <x:c r="E57" s="331" t="str">
        <x:f>IF($H57="","",IF($F57="","No Highlighted Fields","Highlighted Fields Present"))</x:f>
        <x:v/>
      </x:c>
      <x:c r="F57" s="331" t="str">
        <x:f>IF($H57="","",IF(INDEX('Game Records'!$B:$B,$H57)="","Start Date; ","")&amp;IF(INDEX('Game Records'!$C:$C,$H57)="","End Date; ","")&amp;IF(AND(INDEX('Game Records'!$U:$U,$H57)&lt;&gt;"Subscription",INDEX('Game Records'!$U:$U,$H57)&lt;&gt;"Free Game",INDEX('Game Records'!$U:$U,$H57)&lt;&gt;"Disqualified — Free Game",OR(INDEX('Game Records'!$D:$D,$H57)="",LOWER(INDEX('Game Records'!$D:$D,$H57)&amp;"")="n/a")),"Entry Mode; ","")&amp;IF(AND(INDEX('Game Records'!$U:$U,$H57)&lt;&gt;"Subscription",INDEX('Game Records'!$U:$U,$H57)&lt;&gt;"Free Game",INDEX('Game Records'!$U:$U,$H57)&lt;&gt;"Disqualified — Free Game",OR(INDEX('Game Records'!$E:$E,$H57)="",LOWER(INDEX('Game Records'!$E:$E,$H57)&amp;"")="n/a")),"Game Type; ","")&amp;IF(INDEX('Game Records'!$F:$F,$H57)="","Payment Type; ","")&amp;IF(AND(INDEX('Game Records'!$U:$U,$H57)&lt;&gt;"Subscription",INDEX('Game Records'!$U:$U,$H57)&lt;&gt;"Free Game",INDEX('Game Records'!$U:$U,$H57)&lt;&gt;"Disqualified — Free Game",INDEX('Game Records'!$G:$G,$H57)=""),"Gross Pot; ","")&amp;IF(AND(INDEX('Game Records'!$U:$U,$H57)&lt;&gt;"Free Game",INDEX('Game Records'!$U:$U,$H57)&lt;&gt;"Disqualified — Free Game",INDEX('Game Records'!$H:$H,$H57)=""),"Entry Fee; ","")&amp;IF(AND(INDEX('Game Records'!$U:$U,$H57)&lt;&gt;"Subscription",INDEX('Game Records'!$U:$U,$H57)&lt;&gt;"Free Game",INDEX('Game Records'!$U:$U,$H57)&lt;&gt;"Disqualified — Free Game",INDEX('Game Records'!$I:$I,$H57)=""),"Eligible Players; ","")&amp;IF(AND(INDEX('Game Records'!$U:$U,$H57)&lt;&gt;"Subscription",INDEX('Game Records'!$U:$U,$H57)&lt;&gt;"Free Game",INDEX('Game Records'!$U:$U,$H57)&lt;&gt;"Disqualified — Free Game",INDEX('Game Records'!$J:$J,$H57)=""),"Total Players; ","")&amp;IF(AND(LOWER(INDEX('Game Records'!$D:$D,$H57)&amp;"")="finalized",LOWER(INDEX('Game Records'!$L:$L,$H57)&amp;"")&lt;&gt;"yes",INDEX('Game Records'!$U:$U,$H57)&lt;&gt;"Subscription",INDEX('Game Records'!$U:$U,$H57)&lt;&gt;"Free Game",INDEX('Game Records'!$U:$U,$H57)&lt;&gt;"Disqualified — Free Game",INDEX('Game Records'!$K:$K,$H57)=""),"Final Earned; ","")&amp;IF(AND(LOWER(INDEX('Game Records'!$D:$D,$H57)&amp;"")="finalized",INDEX('Game Records'!$U:$U,$H57)&lt;&gt;"Subscription",INDEX('Game Records'!$U:$U,$H57)&lt;&gt;"Free Game",INDEX('Game Records'!$U:$U,$H57)&lt;&gt;"Disqualified — Free Game",OR(INDEX('Game Records'!$L:$L,$H57)="",LOWER(INDEX('Game Records'!$L:$L,$H57)&amp;"")="n/a")),"Disqualified Status; ",""))</x:f>
        <x:v/>
      </x:c>
      <x:c r="G57" s="331" t="str">
        <x:f>IF($H57="","",IFERROR(INDEX('Game Records'!$M:$M,$H57),""))</x:f>
        <x:v/>
      </x:c>
      <x:c r="H57" s="104" t="str">
        <x:f>IF($H56="","",IFERROR(MATCH(1,INDEX((ROW('Game Records'!$U$5:$U$504)&gt;$H56)*(('Game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7" s="104"/>
      <x:c r="J57" s="104"/>
    </x:row>
    <x:row r="58" ht="24" hidden="0" customHeight="1">
      <x:c r="A58" s="332" t="str">
        <x:f>IF($H58="","",ROWS($A$5:A58))</x:f>
        <x:v/>
      </x:c>
      <x:c r="B58" s="332" t="str">
        <x:f>IF($H58="","","G-"&amp;TEXT($A58,"0000"))</x:f>
        <x:v/>
      </x:c>
      <x:c r="C58" s="331" t="str">
        <x:f>IF($H58="","",IFERROR(INDEX('Game Records'!$A:$A,$H58),""))</x:f>
        <x:v/>
      </x:c>
      <x:c r="D58" s="331" t="str">
        <x:f>IF($H58="","",IFERROR(INDEX('Game Records'!$U:$U,$H58),""))</x:f>
        <x:v/>
      </x:c>
      <x:c r="E58" s="331" t="str">
        <x:f>IF($H58="","",IF($F58="","No Highlighted Fields","Highlighted Fields Present"))</x:f>
        <x:v/>
      </x:c>
      <x:c r="F58" s="331" t="str">
        <x:f>IF($H58="","",IF(INDEX('Game Records'!$B:$B,$H58)="","Start Date; ","")&amp;IF(INDEX('Game Records'!$C:$C,$H58)="","End Date; ","")&amp;IF(AND(INDEX('Game Records'!$U:$U,$H58)&lt;&gt;"Subscription",INDEX('Game Records'!$U:$U,$H58)&lt;&gt;"Free Game",INDEX('Game Records'!$U:$U,$H58)&lt;&gt;"Disqualified — Free Game",OR(INDEX('Game Records'!$D:$D,$H58)="",LOWER(INDEX('Game Records'!$D:$D,$H58)&amp;"")="n/a")),"Entry Mode; ","")&amp;IF(AND(INDEX('Game Records'!$U:$U,$H58)&lt;&gt;"Subscription",INDEX('Game Records'!$U:$U,$H58)&lt;&gt;"Free Game",INDEX('Game Records'!$U:$U,$H58)&lt;&gt;"Disqualified — Free Game",OR(INDEX('Game Records'!$E:$E,$H58)="",LOWER(INDEX('Game Records'!$E:$E,$H58)&amp;"")="n/a")),"Game Type; ","")&amp;IF(INDEX('Game Records'!$F:$F,$H58)="","Payment Type; ","")&amp;IF(AND(INDEX('Game Records'!$U:$U,$H58)&lt;&gt;"Subscription",INDEX('Game Records'!$U:$U,$H58)&lt;&gt;"Free Game",INDEX('Game Records'!$U:$U,$H58)&lt;&gt;"Disqualified — Free Game",INDEX('Game Records'!$G:$G,$H58)=""),"Gross Pot; ","")&amp;IF(AND(INDEX('Game Records'!$U:$U,$H58)&lt;&gt;"Free Game",INDEX('Game Records'!$U:$U,$H58)&lt;&gt;"Disqualified — Free Game",INDEX('Game Records'!$H:$H,$H58)=""),"Entry Fee; ","")&amp;IF(AND(INDEX('Game Records'!$U:$U,$H58)&lt;&gt;"Subscription",INDEX('Game Records'!$U:$U,$H58)&lt;&gt;"Free Game",INDEX('Game Records'!$U:$U,$H58)&lt;&gt;"Disqualified — Free Game",INDEX('Game Records'!$I:$I,$H58)=""),"Eligible Players; ","")&amp;IF(AND(INDEX('Game Records'!$U:$U,$H58)&lt;&gt;"Subscription",INDEX('Game Records'!$U:$U,$H58)&lt;&gt;"Free Game",INDEX('Game Records'!$U:$U,$H58)&lt;&gt;"Disqualified — Free Game",INDEX('Game Records'!$J:$J,$H58)=""),"Total Players; ","")&amp;IF(AND(LOWER(INDEX('Game Records'!$D:$D,$H58)&amp;"")="finalized",LOWER(INDEX('Game Records'!$L:$L,$H58)&amp;"")&lt;&gt;"yes",INDEX('Game Records'!$U:$U,$H58)&lt;&gt;"Subscription",INDEX('Game Records'!$U:$U,$H58)&lt;&gt;"Free Game",INDEX('Game Records'!$U:$U,$H58)&lt;&gt;"Disqualified — Free Game",INDEX('Game Records'!$K:$K,$H58)=""),"Final Earned; ","")&amp;IF(AND(LOWER(INDEX('Game Records'!$D:$D,$H58)&amp;"")="finalized",INDEX('Game Records'!$U:$U,$H58)&lt;&gt;"Subscription",INDEX('Game Records'!$U:$U,$H58)&lt;&gt;"Free Game",INDEX('Game Records'!$U:$U,$H58)&lt;&gt;"Disqualified — Free Game",OR(INDEX('Game Records'!$L:$L,$H58)="",LOWER(INDEX('Game Records'!$L:$L,$H58)&amp;"")="n/a")),"Disqualified Status; ",""))</x:f>
        <x:v/>
      </x:c>
      <x:c r="G58" s="331" t="str">
        <x:f>IF($H58="","",IFERROR(INDEX('Game Records'!$M:$M,$H58),""))</x:f>
        <x:v/>
      </x:c>
      <x:c r="H58" s="104" t="str">
        <x:f>IF($H57="","",IFERROR(MATCH(1,INDEX((ROW('Game Records'!$U$5:$U$504)&gt;$H57)*(('Game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8" s="104"/>
      <x:c r="J58" s="104"/>
    </x:row>
    <x:row r="59" ht="24" hidden="0" customHeight="1">
      <x:c r="A59" s="332" t="str">
        <x:f>IF($H59="","",ROWS($A$5:A59))</x:f>
        <x:v/>
      </x:c>
      <x:c r="B59" s="332" t="str">
        <x:f>IF($H59="","","G-"&amp;TEXT($A59,"0000"))</x:f>
        <x:v/>
      </x:c>
      <x:c r="C59" s="331" t="str">
        <x:f>IF($H59="","",IFERROR(INDEX('Game Records'!$A:$A,$H59),""))</x:f>
        <x:v/>
      </x:c>
      <x:c r="D59" s="331" t="str">
        <x:f>IF($H59="","",IFERROR(INDEX('Game Records'!$U:$U,$H59),""))</x:f>
        <x:v/>
      </x:c>
      <x:c r="E59" s="331" t="str">
        <x:f>IF($H59="","",IF($F59="","No Highlighted Fields","Highlighted Fields Present"))</x:f>
        <x:v/>
      </x:c>
      <x:c r="F59" s="331" t="str">
        <x:f>IF($H59="","",IF(INDEX('Game Records'!$B:$B,$H59)="","Start Date; ","")&amp;IF(INDEX('Game Records'!$C:$C,$H59)="","End Date; ","")&amp;IF(AND(INDEX('Game Records'!$U:$U,$H59)&lt;&gt;"Subscription",INDEX('Game Records'!$U:$U,$H59)&lt;&gt;"Free Game",INDEX('Game Records'!$U:$U,$H59)&lt;&gt;"Disqualified — Free Game",OR(INDEX('Game Records'!$D:$D,$H59)="",LOWER(INDEX('Game Records'!$D:$D,$H59)&amp;"")="n/a")),"Entry Mode; ","")&amp;IF(AND(INDEX('Game Records'!$U:$U,$H59)&lt;&gt;"Subscription",INDEX('Game Records'!$U:$U,$H59)&lt;&gt;"Free Game",INDEX('Game Records'!$U:$U,$H59)&lt;&gt;"Disqualified — Free Game",OR(INDEX('Game Records'!$E:$E,$H59)="",LOWER(INDEX('Game Records'!$E:$E,$H59)&amp;"")="n/a")),"Game Type; ","")&amp;IF(INDEX('Game Records'!$F:$F,$H59)="","Payment Type; ","")&amp;IF(AND(INDEX('Game Records'!$U:$U,$H59)&lt;&gt;"Subscription",INDEX('Game Records'!$U:$U,$H59)&lt;&gt;"Free Game",INDEX('Game Records'!$U:$U,$H59)&lt;&gt;"Disqualified — Free Game",INDEX('Game Records'!$G:$G,$H59)=""),"Gross Pot; ","")&amp;IF(AND(INDEX('Game Records'!$U:$U,$H59)&lt;&gt;"Free Game",INDEX('Game Records'!$U:$U,$H59)&lt;&gt;"Disqualified — Free Game",INDEX('Game Records'!$H:$H,$H59)=""),"Entry Fee; ","")&amp;IF(AND(INDEX('Game Records'!$U:$U,$H59)&lt;&gt;"Subscription",INDEX('Game Records'!$U:$U,$H59)&lt;&gt;"Free Game",INDEX('Game Records'!$U:$U,$H59)&lt;&gt;"Disqualified — Free Game",INDEX('Game Records'!$I:$I,$H59)=""),"Eligible Players; ","")&amp;IF(AND(INDEX('Game Records'!$U:$U,$H59)&lt;&gt;"Subscription",INDEX('Game Records'!$U:$U,$H59)&lt;&gt;"Free Game",INDEX('Game Records'!$U:$U,$H59)&lt;&gt;"Disqualified — Free Game",INDEX('Game Records'!$J:$J,$H59)=""),"Total Players; ","")&amp;IF(AND(LOWER(INDEX('Game Records'!$D:$D,$H59)&amp;"")="finalized",LOWER(INDEX('Game Records'!$L:$L,$H59)&amp;"")&lt;&gt;"yes",INDEX('Game Records'!$U:$U,$H59)&lt;&gt;"Subscription",INDEX('Game Records'!$U:$U,$H59)&lt;&gt;"Free Game",INDEX('Game Records'!$U:$U,$H59)&lt;&gt;"Disqualified — Free Game",INDEX('Game Records'!$K:$K,$H59)=""),"Final Earned; ","")&amp;IF(AND(LOWER(INDEX('Game Records'!$D:$D,$H59)&amp;"")="finalized",INDEX('Game Records'!$U:$U,$H59)&lt;&gt;"Subscription",INDEX('Game Records'!$U:$U,$H59)&lt;&gt;"Free Game",INDEX('Game Records'!$U:$U,$H59)&lt;&gt;"Disqualified — Free Game",OR(INDEX('Game Records'!$L:$L,$H59)="",LOWER(INDEX('Game Records'!$L:$L,$H59)&amp;"")="n/a")),"Disqualified Status; ",""))</x:f>
        <x:v/>
      </x:c>
      <x:c r="G59" s="331" t="str">
        <x:f>IF($H59="","",IFERROR(INDEX('Game Records'!$M:$M,$H59),""))</x:f>
        <x:v/>
      </x:c>
      <x:c r="H59" s="104" t="str">
        <x:f>IF($H58="","",IFERROR(MATCH(1,INDEX((ROW('Game Records'!$U$5:$U$504)&gt;$H58)*(('Game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59" s="104"/>
      <x:c r="J59" s="104"/>
    </x:row>
    <x:row r="60" ht="24" hidden="0" customHeight="1">
      <x:c r="A60" s="332" t="str">
        <x:f>IF($H60="","",ROWS($A$5:A60))</x:f>
        <x:v/>
      </x:c>
      <x:c r="B60" s="332" t="str">
        <x:f>IF($H60="","","G-"&amp;TEXT($A60,"0000"))</x:f>
        <x:v/>
      </x:c>
      <x:c r="C60" s="331" t="str">
        <x:f>IF($H60="","",IFERROR(INDEX('Game Records'!$A:$A,$H60),""))</x:f>
        <x:v/>
      </x:c>
      <x:c r="D60" s="331" t="str">
        <x:f>IF($H60="","",IFERROR(INDEX('Game Records'!$U:$U,$H60),""))</x:f>
        <x:v/>
      </x:c>
      <x:c r="E60" s="331" t="str">
        <x:f>IF($H60="","",IF($F60="","No Highlighted Fields","Highlighted Fields Present"))</x:f>
        <x:v/>
      </x:c>
      <x:c r="F60" s="331" t="str">
        <x:f>IF($H60="","",IF(INDEX('Game Records'!$B:$B,$H60)="","Start Date; ","")&amp;IF(INDEX('Game Records'!$C:$C,$H60)="","End Date; ","")&amp;IF(AND(INDEX('Game Records'!$U:$U,$H60)&lt;&gt;"Subscription",INDEX('Game Records'!$U:$U,$H60)&lt;&gt;"Free Game",INDEX('Game Records'!$U:$U,$H60)&lt;&gt;"Disqualified — Free Game",OR(INDEX('Game Records'!$D:$D,$H60)="",LOWER(INDEX('Game Records'!$D:$D,$H60)&amp;"")="n/a")),"Entry Mode; ","")&amp;IF(AND(INDEX('Game Records'!$U:$U,$H60)&lt;&gt;"Subscription",INDEX('Game Records'!$U:$U,$H60)&lt;&gt;"Free Game",INDEX('Game Records'!$U:$U,$H60)&lt;&gt;"Disqualified — Free Game",OR(INDEX('Game Records'!$E:$E,$H60)="",LOWER(INDEX('Game Records'!$E:$E,$H60)&amp;"")="n/a")),"Game Type; ","")&amp;IF(INDEX('Game Records'!$F:$F,$H60)="","Payment Type; ","")&amp;IF(AND(INDEX('Game Records'!$U:$U,$H60)&lt;&gt;"Subscription",INDEX('Game Records'!$U:$U,$H60)&lt;&gt;"Free Game",INDEX('Game Records'!$U:$U,$H60)&lt;&gt;"Disqualified — Free Game",INDEX('Game Records'!$G:$G,$H60)=""),"Gross Pot; ","")&amp;IF(AND(INDEX('Game Records'!$U:$U,$H60)&lt;&gt;"Free Game",INDEX('Game Records'!$U:$U,$H60)&lt;&gt;"Disqualified — Free Game",INDEX('Game Records'!$H:$H,$H60)=""),"Entry Fee; ","")&amp;IF(AND(INDEX('Game Records'!$U:$U,$H60)&lt;&gt;"Subscription",INDEX('Game Records'!$U:$U,$H60)&lt;&gt;"Free Game",INDEX('Game Records'!$U:$U,$H60)&lt;&gt;"Disqualified — Free Game",INDEX('Game Records'!$I:$I,$H60)=""),"Eligible Players; ","")&amp;IF(AND(INDEX('Game Records'!$U:$U,$H60)&lt;&gt;"Subscription",INDEX('Game Records'!$U:$U,$H60)&lt;&gt;"Free Game",INDEX('Game Records'!$U:$U,$H60)&lt;&gt;"Disqualified — Free Game",INDEX('Game Records'!$J:$J,$H60)=""),"Total Players; ","")&amp;IF(AND(LOWER(INDEX('Game Records'!$D:$D,$H60)&amp;"")="finalized",LOWER(INDEX('Game Records'!$L:$L,$H60)&amp;"")&lt;&gt;"yes",INDEX('Game Records'!$U:$U,$H60)&lt;&gt;"Subscription",INDEX('Game Records'!$U:$U,$H60)&lt;&gt;"Free Game",INDEX('Game Records'!$U:$U,$H60)&lt;&gt;"Disqualified — Free Game",INDEX('Game Records'!$K:$K,$H60)=""),"Final Earned; ","")&amp;IF(AND(LOWER(INDEX('Game Records'!$D:$D,$H60)&amp;"")="finalized",INDEX('Game Records'!$U:$U,$H60)&lt;&gt;"Subscription",INDEX('Game Records'!$U:$U,$H60)&lt;&gt;"Free Game",INDEX('Game Records'!$U:$U,$H60)&lt;&gt;"Disqualified — Free Game",OR(INDEX('Game Records'!$L:$L,$H60)="",LOWER(INDEX('Game Records'!$L:$L,$H60)&amp;"")="n/a")),"Disqualified Status; ",""))</x:f>
        <x:v/>
      </x:c>
      <x:c r="G60" s="331" t="str">
        <x:f>IF($H60="","",IFERROR(INDEX('Game Records'!$M:$M,$H60),""))</x:f>
        <x:v/>
      </x:c>
      <x:c r="H60" s="104" t="str">
        <x:f>IF($H59="","",IFERROR(MATCH(1,INDEX((ROW('Game Records'!$U$5:$U$504)&gt;$H59)*(('Game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0" s="104"/>
      <x:c r="J60" s="104"/>
    </x:row>
    <x:row r="61" ht="24" hidden="0" customHeight="1">
      <x:c r="A61" s="332" t="str">
        <x:f>IF($H61="","",ROWS($A$5:A61))</x:f>
        <x:v/>
      </x:c>
      <x:c r="B61" s="332" t="str">
        <x:f>IF($H61="","","G-"&amp;TEXT($A61,"0000"))</x:f>
        <x:v/>
      </x:c>
      <x:c r="C61" s="331" t="str">
        <x:f>IF($H61="","",IFERROR(INDEX('Game Records'!$A:$A,$H61),""))</x:f>
        <x:v/>
      </x:c>
      <x:c r="D61" s="331" t="str">
        <x:f>IF($H61="","",IFERROR(INDEX('Game Records'!$U:$U,$H61),""))</x:f>
        <x:v/>
      </x:c>
      <x:c r="E61" s="331" t="str">
        <x:f>IF($H61="","",IF($F61="","No Highlighted Fields","Highlighted Fields Present"))</x:f>
        <x:v/>
      </x:c>
      <x:c r="F61" s="331" t="str">
        <x:f>IF($H61="","",IF(INDEX('Game Records'!$B:$B,$H61)="","Start Date; ","")&amp;IF(INDEX('Game Records'!$C:$C,$H61)="","End Date; ","")&amp;IF(AND(INDEX('Game Records'!$U:$U,$H61)&lt;&gt;"Subscription",INDEX('Game Records'!$U:$U,$H61)&lt;&gt;"Free Game",INDEX('Game Records'!$U:$U,$H61)&lt;&gt;"Disqualified — Free Game",OR(INDEX('Game Records'!$D:$D,$H61)="",LOWER(INDEX('Game Records'!$D:$D,$H61)&amp;"")="n/a")),"Entry Mode; ","")&amp;IF(AND(INDEX('Game Records'!$U:$U,$H61)&lt;&gt;"Subscription",INDEX('Game Records'!$U:$U,$H61)&lt;&gt;"Free Game",INDEX('Game Records'!$U:$U,$H61)&lt;&gt;"Disqualified — Free Game",OR(INDEX('Game Records'!$E:$E,$H61)="",LOWER(INDEX('Game Records'!$E:$E,$H61)&amp;"")="n/a")),"Game Type; ","")&amp;IF(INDEX('Game Records'!$F:$F,$H61)="","Payment Type; ","")&amp;IF(AND(INDEX('Game Records'!$U:$U,$H61)&lt;&gt;"Subscription",INDEX('Game Records'!$U:$U,$H61)&lt;&gt;"Free Game",INDEX('Game Records'!$U:$U,$H61)&lt;&gt;"Disqualified — Free Game",INDEX('Game Records'!$G:$G,$H61)=""),"Gross Pot; ","")&amp;IF(AND(INDEX('Game Records'!$U:$U,$H61)&lt;&gt;"Free Game",INDEX('Game Records'!$U:$U,$H61)&lt;&gt;"Disqualified — Free Game",INDEX('Game Records'!$H:$H,$H61)=""),"Entry Fee; ","")&amp;IF(AND(INDEX('Game Records'!$U:$U,$H61)&lt;&gt;"Subscription",INDEX('Game Records'!$U:$U,$H61)&lt;&gt;"Free Game",INDEX('Game Records'!$U:$U,$H61)&lt;&gt;"Disqualified — Free Game",INDEX('Game Records'!$I:$I,$H61)=""),"Eligible Players; ","")&amp;IF(AND(INDEX('Game Records'!$U:$U,$H61)&lt;&gt;"Subscription",INDEX('Game Records'!$U:$U,$H61)&lt;&gt;"Free Game",INDEX('Game Records'!$U:$U,$H61)&lt;&gt;"Disqualified — Free Game",INDEX('Game Records'!$J:$J,$H61)=""),"Total Players; ","")&amp;IF(AND(LOWER(INDEX('Game Records'!$D:$D,$H61)&amp;"")="finalized",LOWER(INDEX('Game Records'!$L:$L,$H61)&amp;"")&lt;&gt;"yes",INDEX('Game Records'!$U:$U,$H61)&lt;&gt;"Subscription",INDEX('Game Records'!$U:$U,$H61)&lt;&gt;"Free Game",INDEX('Game Records'!$U:$U,$H61)&lt;&gt;"Disqualified — Free Game",INDEX('Game Records'!$K:$K,$H61)=""),"Final Earned; ","")&amp;IF(AND(LOWER(INDEX('Game Records'!$D:$D,$H61)&amp;"")="finalized",INDEX('Game Records'!$U:$U,$H61)&lt;&gt;"Subscription",INDEX('Game Records'!$U:$U,$H61)&lt;&gt;"Free Game",INDEX('Game Records'!$U:$U,$H61)&lt;&gt;"Disqualified — Free Game",OR(INDEX('Game Records'!$L:$L,$H61)="",LOWER(INDEX('Game Records'!$L:$L,$H61)&amp;"")="n/a")),"Disqualified Status; ",""))</x:f>
        <x:v/>
      </x:c>
      <x:c r="G61" s="331" t="str">
        <x:f>IF($H61="","",IFERROR(INDEX('Game Records'!$M:$M,$H61),""))</x:f>
        <x:v/>
      </x:c>
      <x:c r="H61" s="104" t="str">
        <x:f>IF($H60="","",IFERROR(MATCH(1,INDEX((ROW('Game Records'!$U$5:$U$504)&gt;$H60)*(('Game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1" s="104"/>
      <x:c r="J61" s="104"/>
    </x:row>
    <x:row r="62" ht="24" hidden="0" customHeight="1">
      <x:c r="A62" s="332" t="str">
        <x:f>IF($H62="","",ROWS($A$5:A62))</x:f>
        <x:v/>
      </x:c>
      <x:c r="B62" s="332" t="str">
        <x:f>IF($H62="","","G-"&amp;TEXT($A62,"0000"))</x:f>
        <x:v/>
      </x:c>
      <x:c r="C62" s="331" t="str">
        <x:f>IF($H62="","",IFERROR(INDEX('Game Records'!$A:$A,$H62),""))</x:f>
        <x:v/>
      </x:c>
      <x:c r="D62" s="331" t="str">
        <x:f>IF($H62="","",IFERROR(INDEX('Game Records'!$U:$U,$H62),""))</x:f>
        <x:v/>
      </x:c>
      <x:c r="E62" s="331" t="str">
        <x:f>IF($H62="","",IF($F62="","No Highlighted Fields","Highlighted Fields Present"))</x:f>
        <x:v/>
      </x:c>
      <x:c r="F62" s="331" t="str">
        <x:f>IF($H62="","",IF(INDEX('Game Records'!$B:$B,$H62)="","Start Date; ","")&amp;IF(INDEX('Game Records'!$C:$C,$H62)="","End Date; ","")&amp;IF(AND(INDEX('Game Records'!$U:$U,$H62)&lt;&gt;"Subscription",INDEX('Game Records'!$U:$U,$H62)&lt;&gt;"Free Game",INDEX('Game Records'!$U:$U,$H62)&lt;&gt;"Disqualified — Free Game",OR(INDEX('Game Records'!$D:$D,$H62)="",LOWER(INDEX('Game Records'!$D:$D,$H62)&amp;"")="n/a")),"Entry Mode; ","")&amp;IF(AND(INDEX('Game Records'!$U:$U,$H62)&lt;&gt;"Subscription",INDEX('Game Records'!$U:$U,$H62)&lt;&gt;"Free Game",INDEX('Game Records'!$U:$U,$H62)&lt;&gt;"Disqualified — Free Game",OR(INDEX('Game Records'!$E:$E,$H62)="",LOWER(INDEX('Game Records'!$E:$E,$H62)&amp;"")="n/a")),"Game Type; ","")&amp;IF(INDEX('Game Records'!$F:$F,$H62)="","Payment Type; ","")&amp;IF(AND(INDEX('Game Records'!$U:$U,$H62)&lt;&gt;"Subscription",INDEX('Game Records'!$U:$U,$H62)&lt;&gt;"Free Game",INDEX('Game Records'!$U:$U,$H62)&lt;&gt;"Disqualified — Free Game",INDEX('Game Records'!$G:$G,$H62)=""),"Gross Pot; ","")&amp;IF(AND(INDEX('Game Records'!$U:$U,$H62)&lt;&gt;"Free Game",INDEX('Game Records'!$U:$U,$H62)&lt;&gt;"Disqualified — Free Game",INDEX('Game Records'!$H:$H,$H62)=""),"Entry Fee; ","")&amp;IF(AND(INDEX('Game Records'!$U:$U,$H62)&lt;&gt;"Subscription",INDEX('Game Records'!$U:$U,$H62)&lt;&gt;"Free Game",INDEX('Game Records'!$U:$U,$H62)&lt;&gt;"Disqualified — Free Game",INDEX('Game Records'!$I:$I,$H62)=""),"Eligible Players; ","")&amp;IF(AND(INDEX('Game Records'!$U:$U,$H62)&lt;&gt;"Subscription",INDEX('Game Records'!$U:$U,$H62)&lt;&gt;"Free Game",INDEX('Game Records'!$U:$U,$H62)&lt;&gt;"Disqualified — Free Game",INDEX('Game Records'!$J:$J,$H62)=""),"Total Players; ","")&amp;IF(AND(LOWER(INDEX('Game Records'!$D:$D,$H62)&amp;"")="finalized",LOWER(INDEX('Game Records'!$L:$L,$H62)&amp;"")&lt;&gt;"yes",INDEX('Game Records'!$U:$U,$H62)&lt;&gt;"Subscription",INDEX('Game Records'!$U:$U,$H62)&lt;&gt;"Free Game",INDEX('Game Records'!$U:$U,$H62)&lt;&gt;"Disqualified — Free Game",INDEX('Game Records'!$K:$K,$H62)=""),"Final Earned; ","")&amp;IF(AND(LOWER(INDEX('Game Records'!$D:$D,$H62)&amp;"")="finalized",INDEX('Game Records'!$U:$U,$H62)&lt;&gt;"Subscription",INDEX('Game Records'!$U:$U,$H62)&lt;&gt;"Free Game",INDEX('Game Records'!$U:$U,$H62)&lt;&gt;"Disqualified — Free Game",OR(INDEX('Game Records'!$L:$L,$H62)="",LOWER(INDEX('Game Records'!$L:$L,$H62)&amp;"")="n/a")),"Disqualified Status; ",""))</x:f>
        <x:v/>
      </x:c>
      <x:c r="G62" s="331" t="str">
        <x:f>IF($H62="","",IFERROR(INDEX('Game Records'!$M:$M,$H62),""))</x:f>
        <x:v/>
      </x:c>
      <x:c r="H62" s="104" t="str">
        <x:f>IF($H61="","",IFERROR(MATCH(1,INDEX((ROW('Game Records'!$U$5:$U$504)&gt;$H61)*(('Game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2" s="104"/>
      <x:c r="J62" s="104"/>
    </x:row>
    <x:row r="63" ht="24" hidden="0" customHeight="1">
      <x:c r="A63" s="332" t="str">
        <x:f>IF($H63="","",ROWS($A$5:A63))</x:f>
        <x:v/>
      </x:c>
      <x:c r="B63" s="332" t="str">
        <x:f>IF($H63="","","G-"&amp;TEXT($A63,"0000"))</x:f>
        <x:v/>
      </x:c>
      <x:c r="C63" s="331" t="str">
        <x:f>IF($H63="","",IFERROR(INDEX('Game Records'!$A:$A,$H63),""))</x:f>
        <x:v/>
      </x:c>
      <x:c r="D63" s="331" t="str">
        <x:f>IF($H63="","",IFERROR(INDEX('Game Records'!$U:$U,$H63),""))</x:f>
        <x:v/>
      </x:c>
      <x:c r="E63" s="331" t="str">
        <x:f>IF($H63="","",IF($F63="","No Highlighted Fields","Highlighted Fields Present"))</x:f>
        <x:v/>
      </x:c>
      <x:c r="F63" s="331" t="str">
        <x:f>IF($H63="","",IF(INDEX('Game Records'!$B:$B,$H63)="","Start Date; ","")&amp;IF(INDEX('Game Records'!$C:$C,$H63)="","End Date; ","")&amp;IF(AND(INDEX('Game Records'!$U:$U,$H63)&lt;&gt;"Subscription",INDEX('Game Records'!$U:$U,$H63)&lt;&gt;"Free Game",INDEX('Game Records'!$U:$U,$H63)&lt;&gt;"Disqualified — Free Game",OR(INDEX('Game Records'!$D:$D,$H63)="",LOWER(INDEX('Game Records'!$D:$D,$H63)&amp;"")="n/a")),"Entry Mode; ","")&amp;IF(AND(INDEX('Game Records'!$U:$U,$H63)&lt;&gt;"Subscription",INDEX('Game Records'!$U:$U,$H63)&lt;&gt;"Free Game",INDEX('Game Records'!$U:$U,$H63)&lt;&gt;"Disqualified — Free Game",OR(INDEX('Game Records'!$E:$E,$H63)="",LOWER(INDEX('Game Records'!$E:$E,$H63)&amp;"")="n/a")),"Game Type; ","")&amp;IF(INDEX('Game Records'!$F:$F,$H63)="","Payment Type; ","")&amp;IF(AND(INDEX('Game Records'!$U:$U,$H63)&lt;&gt;"Subscription",INDEX('Game Records'!$U:$U,$H63)&lt;&gt;"Free Game",INDEX('Game Records'!$U:$U,$H63)&lt;&gt;"Disqualified — Free Game",INDEX('Game Records'!$G:$G,$H63)=""),"Gross Pot; ","")&amp;IF(AND(INDEX('Game Records'!$U:$U,$H63)&lt;&gt;"Free Game",INDEX('Game Records'!$U:$U,$H63)&lt;&gt;"Disqualified — Free Game",INDEX('Game Records'!$H:$H,$H63)=""),"Entry Fee; ","")&amp;IF(AND(INDEX('Game Records'!$U:$U,$H63)&lt;&gt;"Subscription",INDEX('Game Records'!$U:$U,$H63)&lt;&gt;"Free Game",INDEX('Game Records'!$U:$U,$H63)&lt;&gt;"Disqualified — Free Game",INDEX('Game Records'!$I:$I,$H63)=""),"Eligible Players; ","")&amp;IF(AND(INDEX('Game Records'!$U:$U,$H63)&lt;&gt;"Subscription",INDEX('Game Records'!$U:$U,$H63)&lt;&gt;"Free Game",INDEX('Game Records'!$U:$U,$H63)&lt;&gt;"Disqualified — Free Game",INDEX('Game Records'!$J:$J,$H63)=""),"Total Players; ","")&amp;IF(AND(LOWER(INDEX('Game Records'!$D:$D,$H63)&amp;"")="finalized",LOWER(INDEX('Game Records'!$L:$L,$H63)&amp;"")&lt;&gt;"yes",INDEX('Game Records'!$U:$U,$H63)&lt;&gt;"Subscription",INDEX('Game Records'!$U:$U,$H63)&lt;&gt;"Free Game",INDEX('Game Records'!$U:$U,$H63)&lt;&gt;"Disqualified — Free Game",INDEX('Game Records'!$K:$K,$H63)=""),"Final Earned; ","")&amp;IF(AND(LOWER(INDEX('Game Records'!$D:$D,$H63)&amp;"")="finalized",INDEX('Game Records'!$U:$U,$H63)&lt;&gt;"Subscription",INDEX('Game Records'!$U:$U,$H63)&lt;&gt;"Free Game",INDEX('Game Records'!$U:$U,$H63)&lt;&gt;"Disqualified — Free Game",OR(INDEX('Game Records'!$L:$L,$H63)="",LOWER(INDEX('Game Records'!$L:$L,$H63)&amp;"")="n/a")),"Disqualified Status; ",""))</x:f>
        <x:v/>
      </x:c>
      <x:c r="G63" s="331" t="str">
        <x:f>IF($H63="","",IFERROR(INDEX('Game Records'!$M:$M,$H63),""))</x:f>
        <x:v/>
      </x:c>
      <x:c r="H63" s="104" t="str">
        <x:f>IF($H62="","",IFERROR(MATCH(1,INDEX((ROW('Game Records'!$U$5:$U$504)&gt;$H62)*(('Game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3" s="104"/>
      <x:c r="J63" s="104"/>
    </x:row>
    <x:row r="64" ht="24" hidden="0" customHeight="1">
      <x:c r="A64" s="332" t="str">
        <x:f>IF($H64="","",ROWS($A$5:A64))</x:f>
        <x:v/>
      </x:c>
      <x:c r="B64" s="332" t="str">
        <x:f>IF($H64="","","G-"&amp;TEXT($A64,"0000"))</x:f>
        <x:v/>
      </x:c>
      <x:c r="C64" s="331" t="str">
        <x:f>IF($H64="","",IFERROR(INDEX('Game Records'!$A:$A,$H64),""))</x:f>
        <x:v/>
      </x:c>
      <x:c r="D64" s="331" t="str">
        <x:f>IF($H64="","",IFERROR(INDEX('Game Records'!$U:$U,$H64),""))</x:f>
        <x:v/>
      </x:c>
      <x:c r="E64" s="331" t="str">
        <x:f>IF($H64="","",IF($F64="","No Highlighted Fields","Highlighted Fields Present"))</x:f>
        <x:v/>
      </x:c>
      <x:c r="F64" s="331" t="str">
        <x:f>IF($H64="","",IF(INDEX('Game Records'!$B:$B,$H64)="","Start Date; ","")&amp;IF(INDEX('Game Records'!$C:$C,$H64)="","End Date; ","")&amp;IF(AND(INDEX('Game Records'!$U:$U,$H64)&lt;&gt;"Subscription",INDEX('Game Records'!$U:$U,$H64)&lt;&gt;"Free Game",INDEX('Game Records'!$U:$U,$H64)&lt;&gt;"Disqualified — Free Game",OR(INDEX('Game Records'!$D:$D,$H64)="",LOWER(INDEX('Game Records'!$D:$D,$H64)&amp;"")="n/a")),"Entry Mode; ","")&amp;IF(AND(INDEX('Game Records'!$U:$U,$H64)&lt;&gt;"Subscription",INDEX('Game Records'!$U:$U,$H64)&lt;&gt;"Free Game",INDEX('Game Records'!$U:$U,$H64)&lt;&gt;"Disqualified — Free Game",OR(INDEX('Game Records'!$E:$E,$H64)="",LOWER(INDEX('Game Records'!$E:$E,$H64)&amp;"")="n/a")),"Game Type; ","")&amp;IF(INDEX('Game Records'!$F:$F,$H64)="","Payment Type; ","")&amp;IF(AND(INDEX('Game Records'!$U:$U,$H64)&lt;&gt;"Subscription",INDEX('Game Records'!$U:$U,$H64)&lt;&gt;"Free Game",INDEX('Game Records'!$U:$U,$H64)&lt;&gt;"Disqualified — Free Game",INDEX('Game Records'!$G:$G,$H64)=""),"Gross Pot; ","")&amp;IF(AND(INDEX('Game Records'!$U:$U,$H64)&lt;&gt;"Free Game",INDEX('Game Records'!$U:$U,$H64)&lt;&gt;"Disqualified — Free Game",INDEX('Game Records'!$H:$H,$H64)=""),"Entry Fee; ","")&amp;IF(AND(INDEX('Game Records'!$U:$U,$H64)&lt;&gt;"Subscription",INDEX('Game Records'!$U:$U,$H64)&lt;&gt;"Free Game",INDEX('Game Records'!$U:$U,$H64)&lt;&gt;"Disqualified — Free Game",INDEX('Game Records'!$I:$I,$H64)=""),"Eligible Players; ","")&amp;IF(AND(INDEX('Game Records'!$U:$U,$H64)&lt;&gt;"Subscription",INDEX('Game Records'!$U:$U,$H64)&lt;&gt;"Free Game",INDEX('Game Records'!$U:$U,$H64)&lt;&gt;"Disqualified — Free Game",INDEX('Game Records'!$J:$J,$H64)=""),"Total Players; ","")&amp;IF(AND(LOWER(INDEX('Game Records'!$D:$D,$H64)&amp;"")="finalized",LOWER(INDEX('Game Records'!$L:$L,$H64)&amp;"")&lt;&gt;"yes",INDEX('Game Records'!$U:$U,$H64)&lt;&gt;"Subscription",INDEX('Game Records'!$U:$U,$H64)&lt;&gt;"Free Game",INDEX('Game Records'!$U:$U,$H64)&lt;&gt;"Disqualified — Free Game",INDEX('Game Records'!$K:$K,$H64)=""),"Final Earned; ","")&amp;IF(AND(LOWER(INDEX('Game Records'!$D:$D,$H64)&amp;"")="finalized",INDEX('Game Records'!$U:$U,$H64)&lt;&gt;"Subscription",INDEX('Game Records'!$U:$U,$H64)&lt;&gt;"Free Game",INDEX('Game Records'!$U:$U,$H64)&lt;&gt;"Disqualified — Free Game",OR(INDEX('Game Records'!$L:$L,$H64)="",LOWER(INDEX('Game Records'!$L:$L,$H64)&amp;"")="n/a")),"Disqualified Status; ",""))</x:f>
        <x:v/>
      </x:c>
      <x:c r="G64" s="331" t="str">
        <x:f>IF($H64="","",IFERROR(INDEX('Game Records'!$M:$M,$H64),""))</x:f>
        <x:v/>
      </x:c>
      <x:c r="H64" s="104" t="str">
        <x:f>IF($H63="","",IFERROR(MATCH(1,INDEX((ROW('Game Records'!$U$5:$U$504)&gt;$H63)*(('Game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4" s="104"/>
      <x:c r="J64" s="104"/>
    </x:row>
    <x:row r="65" ht="24" hidden="0" customHeight="1">
      <x:c r="A65" s="332" t="str">
        <x:f>IF($H65="","",ROWS($A$5:A65))</x:f>
        <x:v/>
      </x:c>
      <x:c r="B65" s="332" t="str">
        <x:f>IF($H65="","","G-"&amp;TEXT($A65,"0000"))</x:f>
        <x:v/>
      </x:c>
      <x:c r="C65" s="331" t="str">
        <x:f>IF($H65="","",IFERROR(INDEX('Game Records'!$A:$A,$H65),""))</x:f>
        <x:v/>
      </x:c>
      <x:c r="D65" s="331" t="str">
        <x:f>IF($H65="","",IFERROR(INDEX('Game Records'!$U:$U,$H65),""))</x:f>
        <x:v/>
      </x:c>
      <x:c r="E65" s="331" t="str">
        <x:f>IF($H65="","",IF($F65="","No Highlighted Fields","Highlighted Fields Present"))</x:f>
        <x:v/>
      </x:c>
      <x:c r="F65" s="331" t="str">
        <x:f>IF($H65="","",IF(INDEX('Game Records'!$B:$B,$H65)="","Start Date; ","")&amp;IF(INDEX('Game Records'!$C:$C,$H65)="","End Date; ","")&amp;IF(AND(INDEX('Game Records'!$U:$U,$H65)&lt;&gt;"Subscription",INDEX('Game Records'!$U:$U,$H65)&lt;&gt;"Free Game",INDEX('Game Records'!$U:$U,$H65)&lt;&gt;"Disqualified — Free Game",OR(INDEX('Game Records'!$D:$D,$H65)="",LOWER(INDEX('Game Records'!$D:$D,$H65)&amp;"")="n/a")),"Entry Mode; ","")&amp;IF(AND(INDEX('Game Records'!$U:$U,$H65)&lt;&gt;"Subscription",INDEX('Game Records'!$U:$U,$H65)&lt;&gt;"Free Game",INDEX('Game Records'!$U:$U,$H65)&lt;&gt;"Disqualified — Free Game",OR(INDEX('Game Records'!$E:$E,$H65)="",LOWER(INDEX('Game Records'!$E:$E,$H65)&amp;"")="n/a")),"Game Type; ","")&amp;IF(INDEX('Game Records'!$F:$F,$H65)="","Payment Type; ","")&amp;IF(AND(INDEX('Game Records'!$U:$U,$H65)&lt;&gt;"Subscription",INDEX('Game Records'!$U:$U,$H65)&lt;&gt;"Free Game",INDEX('Game Records'!$U:$U,$H65)&lt;&gt;"Disqualified — Free Game",INDEX('Game Records'!$G:$G,$H65)=""),"Gross Pot; ","")&amp;IF(AND(INDEX('Game Records'!$U:$U,$H65)&lt;&gt;"Free Game",INDEX('Game Records'!$U:$U,$H65)&lt;&gt;"Disqualified — Free Game",INDEX('Game Records'!$H:$H,$H65)=""),"Entry Fee; ","")&amp;IF(AND(INDEX('Game Records'!$U:$U,$H65)&lt;&gt;"Subscription",INDEX('Game Records'!$U:$U,$H65)&lt;&gt;"Free Game",INDEX('Game Records'!$U:$U,$H65)&lt;&gt;"Disqualified — Free Game",INDEX('Game Records'!$I:$I,$H65)=""),"Eligible Players; ","")&amp;IF(AND(INDEX('Game Records'!$U:$U,$H65)&lt;&gt;"Subscription",INDEX('Game Records'!$U:$U,$H65)&lt;&gt;"Free Game",INDEX('Game Records'!$U:$U,$H65)&lt;&gt;"Disqualified — Free Game",INDEX('Game Records'!$J:$J,$H65)=""),"Total Players; ","")&amp;IF(AND(LOWER(INDEX('Game Records'!$D:$D,$H65)&amp;"")="finalized",LOWER(INDEX('Game Records'!$L:$L,$H65)&amp;"")&lt;&gt;"yes",INDEX('Game Records'!$U:$U,$H65)&lt;&gt;"Subscription",INDEX('Game Records'!$U:$U,$H65)&lt;&gt;"Free Game",INDEX('Game Records'!$U:$U,$H65)&lt;&gt;"Disqualified — Free Game",INDEX('Game Records'!$K:$K,$H65)=""),"Final Earned; ","")&amp;IF(AND(LOWER(INDEX('Game Records'!$D:$D,$H65)&amp;"")="finalized",INDEX('Game Records'!$U:$U,$H65)&lt;&gt;"Subscription",INDEX('Game Records'!$U:$U,$H65)&lt;&gt;"Free Game",INDEX('Game Records'!$U:$U,$H65)&lt;&gt;"Disqualified — Free Game",OR(INDEX('Game Records'!$L:$L,$H65)="",LOWER(INDEX('Game Records'!$L:$L,$H65)&amp;"")="n/a")),"Disqualified Status; ",""))</x:f>
        <x:v/>
      </x:c>
      <x:c r="G65" s="331" t="str">
        <x:f>IF($H65="","",IFERROR(INDEX('Game Records'!$M:$M,$H65),""))</x:f>
        <x:v/>
      </x:c>
      <x:c r="H65" s="104" t="str">
        <x:f>IF($H64="","",IFERROR(MATCH(1,INDEX((ROW('Game Records'!$U$5:$U$504)&gt;$H64)*(('Game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5" s="104"/>
      <x:c r="J65" s="104"/>
    </x:row>
    <x:row r="66" ht="24" hidden="0" customHeight="1">
      <x:c r="A66" s="332" t="str">
        <x:f>IF($H66="","",ROWS($A$5:A66))</x:f>
        <x:v/>
      </x:c>
      <x:c r="B66" s="332" t="str">
        <x:f>IF($H66="","","G-"&amp;TEXT($A66,"0000"))</x:f>
        <x:v/>
      </x:c>
      <x:c r="C66" s="331" t="str">
        <x:f>IF($H66="","",IFERROR(INDEX('Game Records'!$A:$A,$H66),""))</x:f>
        <x:v/>
      </x:c>
      <x:c r="D66" s="331" t="str">
        <x:f>IF($H66="","",IFERROR(INDEX('Game Records'!$U:$U,$H66),""))</x:f>
        <x:v/>
      </x:c>
      <x:c r="E66" s="331" t="str">
        <x:f>IF($H66="","",IF($F66="","No Highlighted Fields","Highlighted Fields Present"))</x:f>
        <x:v/>
      </x:c>
      <x:c r="F66" s="331" t="str">
        <x:f>IF($H66="","",IF(INDEX('Game Records'!$B:$B,$H66)="","Start Date; ","")&amp;IF(INDEX('Game Records'!$C:$C,$H66)="","End Date; ","")&amp;IF(AND(INDEX('Game Records'!$U:$U,$H66)&lt;&gt;"Subscription",INDEX('Game Records'!$U:$U,$H66)&lt;&gt;"Free Game",INDEX('Game Records'!$U:$U,$H66)&lt;&gt;"Disqualified — Free Game",OR(INDEX('Game Records'!$D:$D,$H66)="",LOWER(INDEX('Game Records'!$D:$D,$H66)&amp;"")="n/a")),"Entry Mode; ","")&amp;IF(AND(INDEX('Game Records'!$U:$U,$H66)&lt;&gt;"Subscription",INDEX('Game Records'!$U:$U,$H66)&lt;&gt;"Free Game",INDEX('Game Records'!$U:$U,$H66)&lt;&gt;"Disqualified — Free Game",OR(INDEX('Game Records'!$E:$E,$H66)="",LOWER(INDEX('Game Records'!$E:$E,$H66)&amp;"")="n/a")),"Game Type; ","")&amp;IF(INDEX('Game Records'!$F:$F,$H66)="","Payment Type; ","")&amp;IF(AND(INDEX('Game Records'!$U:$U,$H66)&lt;&gt;"Subscription",INDEX('Game Records'!$U:$U,$H66)&lt;&gt;"Free Game",INDEX('Game Records'!$U:$U,$H66)&lt;&gt;"Disqualified — Free Game",INDEX('Game Records'!$G:$G,$H66)=""),"Gross Pot; ","")&amp;IF(AND(INDEX('Game Records'!$U:$U,$H66)&lt;&gt;"Free Game",INDEX('Game Records'!$U:$U,$H66)&lt;&gt;"Disqualified — Free Game",INDEX('Game Records'!$H:$H,$H66)=""),"Entry Fee; ","")&amp;IF(AND(INDEX('Game Records'!$U:$U,$H66)&lt;&gt;"Subscription",INDEX('Game Records'!$U:$U,$H66)&lt;&gt;"Free Game",INDEX('Game Records'!$U:$U,$H66)&lt;&gt;"Disqualified — Free Game",INDEX('Game Records'!$I:$I,$H66)=""),"Eligible Players; ","")&amp;IF(AND(INDEX('Game Records'!$U:$U,$H66)&lt;&gt;"Subscription",INDEX('Game Records'!$U:$U,$H66)&lt;&gt;"Free Game",INDEX('Game Records'!$U:$U,$H66)&lt;&gt;"Disqualified — Free Game",INDEX('Game Records'!$J:$J,$H66)=""),"Total Players; ","")&amp;IF(AND(LOWER(INDEX('Game Records'!$D:$D,$H66)&amp;"")="finalized",LOWER(INDEX('Game Records'!$L:$L,$H66)&amp;"")&lt;&gt;"yes",INDEX('Game Records'!$U:$U,$H66)&lt;&gt;"Subscription",INDEX('Game Records'!$U:$U,$H66)&lt;&gt;"Free Game",INDEX('Game Records'!$U:$U,$H66)&lt;&gt;"Disqualified — Free Game",INDEX('Game Records'!$K:$K,$H66)=""),"Final Earned; ","")&amp;IF(AND(LOWER(INDEX('Game Records'!$D:$D,$H66)&amp;"")="finalized",INDEX('Game Records'!$U:$U,$H66)&lt;&gt;"Subscription",INDEX('Game Records'!$U:$U,$H66)&lt;&gt;"Free Game",INDEX('Game Records'!$U:$U,$H66)&lt;&gt;"Disqualified — Free Game",OR(INDEX('Game Records'!$L:$L,$H66)="",LOWER(INDEX('Game Records'!$L:$L,$H66)&amp;"")="n/a")),"Disqualified Status; ",""))</x:f>
        <x:v/>
      </x:c>
      <x:c r="G66" s="331" t="str">
        <x:f>IF($H66="","",IFERROR(INDEX('Game Records'!$M:$M,$H66),""))</x:f>
        <x:v/>
      </x:c>
      <x:c r="H66" s="104" t="str">
        <x:f>IF($H65="","",IFERROR(MATCH(1,INDEX((ROW('Game Records'!$U$5:$U$504)&gt;$H65)*(('Game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6" s="104"/>
      <x:c r="J66" s="104"/>
    </x:row>
    <x:row r="67" ht="24" hidden="0" customHeight="1">
      <x:c r="A67" s="332" t="str">
        <x:f>IF($H67="","",ROWS($A$5:A67))</x:f>
        <x:v/>
      </x:c>
      <x:c r="B67" s="332" t="str">
        <x:f>IF($H67="","","G-"&amp;TEXT($A67,"0000"))</x:f>
        <x:v/>
      </x:c>
      <x:c r="C67" s="331" t="str">
        <x:f>IF($H67="","",IFERROR(INDEX('Game Records'!$A:$A,$H67),""))</x:f>
        <x:v/>
      </x:c>
      <x:c r="D67" s="331" t="str">
        <x:f>IF($H67="","",IFERROR(INDEX('Game Records'!$U:$U,$H67),""))</x:f>
        <x:v/>
      </x:c>
      <x:c r="E67" s="331" t="str">
        <x:f>IF($H67="","",IF($F67="","No Highlighted Fields","Highlighted Fields Present"))</x:f>
        <x:v/>
      </x:c>
      <x:c r="F67" s="331" t="str">
        <x:f>IF($H67="","",IF(INDEX('Game Records'!$B:$B,$H67)="","Start Date; ","")&amp;IF(INDEX('Game Records'!$C:$C,$H67)="","End Date; ","")&amp;IF(AND(INDEX('Game Records'!$U:$U,$H67)&lt;&gt;"Subscription",INDEX('Game Records'!$U:$U,$H67)&lt;&gt;"Free Game",INDEX('Game Records'!$U:$U,$H67)&lt;&gt;"Disqualified — Free Game",OR(INDEX('Game Records'!$D:$D,$H67)="",LOWER(INDEX('Game Records'!$D:$D,$H67)&amp;"")="n/a")),"Entry Mode; ","")&amp;IF(AND(INDEX('Game Records'!$U:$U,$H67)&lt;&gt;"Subscription",INDEX('Game Records'!$U:$U,$H67)&lt;&gt;"Free Game",INDEX('Game Records'!$U:$U,$H67)&lt;&gt;"Disqualified — Free Game",OR(INDEX('Game Records'!$E:$E,$H67)="",LOWER(INDEX('Game Records'!$E:$E,$H67)&amp;"")="n/a")),"Game Type; ","")&amp;IF(INDEX('Game Records'!$F:$F,$H67)="","Payment Type; ","")&amp;IF(AND(INDEX('Game Records'!$U:$U,$H67)&lt;&gt;"Subscription",INDEX('Game Records'!$U:$U,$H67)&lt;&gt;"Free Game",INDEX('Game Records'!$U:$U,$H67)&lt;&gt;"Disqualified — Free Game",INDEX('Game Records'!$G:$G,$H67)=""),"Gross Pot; ","")&amp;IF(AND(INDEX('Game Records'!$U:$U,$H67)&lt;&gt;"Free Game",INDEX('Game Records'!$U:$U,$H67)&lt;&gt;"Disqualified — Free Game",INDEX('Game Records'!$H:$H,$H67)=""),"Entry Fee; ","")&amp;IF(AND(INDEX('Game Records'!$U:$U,$H67)&lt;&gt;"Subscription",INDEX('Game Records'!$U:$U,$H67)&lt;&gt;"Free Game",INDEX('Game Records'!$U:$U,$H67)&lt;&gt;"Disqualified — Free Game",INDEX('Game Records'!$I:$I,$H67)=""),"Eligible Players; ","")&amp;IF(AND(INDEX('Game Records'!$U:$U,$H67)&lt;&gt;"Subscription",INDEX('Game Records'!$U:$U,$H67)&lt;&gt;"Free Game",INDEX('Game Records'!$U:$U,$H67)&lt;&gt;"Disqualified — Free Game",INDEX('Game Records'!$J:$J,$H67)=""),"Total Players; ","")&amp;IF(AND(LOWER(INDEX('Game Records'!$D:$D,$H67)&amp;"")="finalized",LOWER(INDEX('Game Records'!$L:$L,$H67)&amp;"")&lt;&gt;"yes",INDEX('Game Records'!$U:$U,$H67)&lt;&gt;"Subscription",INDEX('Game Records'!$U:$U,$H67)&lt;&gt;"Free Game",INDEX('Game Records'!$U:$U,$H67)&lt;&gt;"Disqualified — Free Game",INDEX('Game Records'!$K:$K,$H67)=""),"Final Earned; ","")&amp;IF(AND(LOWER(INDEX('Game Records'!$D:$D,$H67)&amp;"")="finalized",INDEX('Game Records'!$U:$U,$H67)&lt;&gt;"Subscription",INDEX('Game Records'!$U:$U,$H67)&lt;&gt;"Free Game",INDEX('Game Records'!$U:$U,$H67)&lt;&gt;"Disqualified — Free Game",OR(INDEX('Game Records'!$L:$L,$H67)="",LOWER(INDEX('Game Records'!$L:$L,$H67)&amp;"")="n/a")),"Disqualified Status; ",""))</x:f>
        <x:v/>
      </x:c>
      <x:c r="G67" s="331" t="str">
        <x:f>IF($H67="","",IFERROR(INDEX('Game Records'!$M:$M,$H67),""))</x:f>
        <x:v/>
      </x:c>
      <x:c r="H67" s="104" t="str">
        <x:f>IF($H66="","",IFERROR(MATCH(1,INDEX((ROW('Game Records'!$U$5:$U$504)&gt;$H66)*(('Game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7" s="104"/>
      <x:c r="J67" s="104"/>
    </x:row>
    <x:row r="68" ht="24" hidden="0" customHeight="1">
      <x:c r="A68" s="332" t="str">
        <x:f>IF($H68="","",ROWS($A$5:A68))</x:f>
        <x:v/>
      </x:c>
      <x:c r="B68" s="332" t="str">
        <x:f>IF($H68="","","G-"&amp;TEXT($A68,"0000"))</x:f>
        <x:v/>
      </x:c>
      <x:c r="C68" s="331" t="str">
        <x:f>IF($H68="","",IFERROR(INDEX('Game Records'!$A:$A,$H68),""))</x:f>
        <x:v/>
      </x:c>
      <x:c r="D68" s="331" t="str">
        <x:f>IF($H68="","",IFERROR(INDEX('Game Records'!$U:$U,$H68),""))</x:f>
        <x:v/>
      </x:c>
      <x:c r="E68" s="331" t="str">
        <x:f>IF($H68="","",IF($F68="","No Highlighted Fields","Highlighted Fields Present"))</x:f>
        <x:v/>
      </x:c>
      <x:c r="F68" s="331" t="str">
        <x:f>IF($H68="","",IF(INDEX('Game Records'!$B:$B,$H68)="","Start Date; ","")&amp;IF(INDEX('Game Records'!$C:$C,$H68)="","End Date; ","")&amp;IF(AND(INDEX('Game Records'!$U:$U,$H68)&lt;&gt;"Subscription",INDEX('Game Records'!$U:$U,$H68)&lt;&gt;"Free Game",INDEX('Game Records'!$U:$U,$H68)&lt;&gt;"Disqualified — Free Game",OR(INDEX('Game Records'!$D:$D,$H68)="",LOWER(INDEX('Game Records'!$D:$D,$H68)&amp;"")="n/a")),"Entry Mode; ","")&amp;IF(AND(INDEX('Game Records'!$U:$U,$H68)&lt;&gt;"Subscription",INDEX('Game Records'!$U:$U,$H68)&lt;&gt;"Free Game",INDEX('Game Records'!$U:$U,$H68)&lt;&gt;"Disqualified — Free Game",OR(INDEX('Game Records'!$E:$E,$H68)="",LOWER(INDEX('Game Records'!$E:$E,$H68)&amp;"")="n/a")),"Game Type; ","")&amp;IF(INDEX('Game Records'!$F:$F,$H68)="","Payment Type; ","")&amp;IF(AND(INDEX('Game Records'!$U:$U,$H68)&lt;&gt;"Subscription",INDEX('Game Records'!$U:$U,$H68)&lt;&gt;"Free Game",INDEX('Game Records'!$U:$U,$H68)&lt;&gt;"Disqualified — Free Game",INDEX('Game Records'!$G:$G,$H68)=""),"Gross Pot; ","")&amp;IF(AND(INDEX('Game Records'!$U:$U,$H68)&lt;&gt;"Free Game",INDEX('Game Records'!$U:$U,$H68)&lt;&gt;"Disqualified — Free Game",INDEX('Game Records'!$H:$H,$H68)=""),"Entry Fee; ","")&amp;IF(AND(INDEX('Game Records'!$U:$U,$H68)&lt;&gt;"Subscription",INDEX('Game Records'!$U:$U,$H68)&lt;&gt;"Free Game",INDEX('Game Records'!$U:$U,$H68)&lt;&gt;"Disqualified — Free Game",INDEX('Game Records'!$I:$I,$H68)=""),"Eligible Players; ","")&amp;IF(AND(INDEX('Game Records'!$U:$U,$H68)&lt;&gt;"Subscription",INDEX('Game Records'!$U:$U,$H68)&lt;&gt;"Free Game",INDEX('Game Records'!$U:$U,$H68)&lt;&gt;"Disqualified — Free Game",INDEX('Game Records'!$J:$J,$H68)=""),"Total Players; ","")&amp;IF(AND(LOWER(INDEX('Game Records'!$D:$D,$H68)&amp;"")="finalized",LOWER(INDEX('Game Records'!$L:$L,$H68)&amp;"")&lt;&gt;"yes",INDEX('Game Records'!$U:$U,$H68)&lt;&gt;"Subscription",INDEX('Game Records'!$U:$U,$H68)&lt;&gt;"Free Game",INDEX('Game Records'!$U:$U,$H68)&lt;&gt;"Disqualified — Free Game",INDEX('Game Records'!$K:$K,$H68)=""),"Final Earned; ","")&amp;IF(AND(LOWER(INDEX('Game Records'!$D:$D,$H68)&amp;"")="finalized",INDEX('Game Records'!$U:$U,$H68)&lt;&gt;"Subscription",INDEX('Game Records'!$U:$U,$H68)&lt;&gt;"Free Game",INDEX('Game Records'!$U:$U,$H68)&lt;&gt;"Disqualified — Free Game",OR(INDEX('Game Records'!$L:$L,$H68)="",LOWER(INDEX('Game Records'!$L:$L,$H68)&amp;"")="n/a")),"Disqualified Status; ",""))</x:f>
        <x:v/>
      </x:c>
      <x:c r="G68" s="331" t="str">
        <x:f>IF($H68="","",IFERROR(INDEX('Game Records'!$M:$M,$H68),""))</x:f>
        <x:v/>
      </x:c>
      <x:c r="H68" s="104" t="str">
        <x:f>IF($H67="","",IFERROR(MATCH(1,INDEX((ROW('Game Records'!$U$5:$U$504)&gt;$H67)*(('Game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8" s="104"/>
      <x:c r="J68" s="104"/>
    </x:row>
    <x:row r="69" ht="24" hidden="0" customHeight="1">
      <x:c r="A69" s="332" t="str">
        <x:f>IF($H69="","",ROWS($A$5:A69))</x:f>
        <x:v/>
      </x:c>
      <x:c r="B69" s="332" t="str">
        <x:f>IF($H69="","","G-"&amp;TEXT($A69,"0000"))</x:f>
        <x:v/>
      </x:c>
      <x:c r="C69" s="331" t="str">
        <x:f>IF($H69="","",IFERROR(INDEX('Game Records'!$A:$A,$H69),""))</x:f>
        <x:v/>
      </x:c>
      <x:c r="D69" s="331" t="str">
        <x:f>IF($H69="","",IFERROR(INDEX('Game Records'!$U:$U,$H69),""))</x:f>
        <x:v/>
      </x:c>
      <x:c r="E69" s="331" t="str">
        <x:f>IF($H69="","",IF($F69="","No Highlighted Fields","Highlighted Fields Present"))</x:f>
        <x:v/>
      </x:c>
      <x:c r="F69" s="331" t="str">
        <x:f>IF($H69="","",IF(INDEX('Game Records'!$B:$B,$H69)="","Start Date; ","")&amp;IF(INDEX('Game Records'!$C:$C,$H69)="","End Date; ","")&amp;IF(AND(INDEX('Game Records'!$U:$U,$H69)&lt;&gt;"Subscription",INDEX('Game Records'!$U:$U,$H69)&lt;&gt;"Free Game",INDEX('Game Records'!$U:$U,$H69)&lt;&gt;"Disqualified — Free Game",OR(INDEX('Game Records'!$D:$D,$H69)="",LOWER(INDEX('Game Records'!$D:$D,$H69)&amp;"")="n/a")),"Entry Mode; ","")&amp;IF(AND(INDEX('Game Records'!$U:$U,$H69)&lt;&gt;"Subscription",INDEX('Game Records'!$U:$U,$H69)&lt;&gt;"Free Game",INDEX('Game Records'!$U:$U,$H69)&lt;&gt;"Disqualified — Free Game",OR(INDEX('Game Records'!$E:$E,$H69)="",LOWER(INDEX('Game Records'!$E:$E,$H69)&amp;"")="n/a")),"Game Type; ","")&amp;IF(INDEX('Game Records'!$F:$F,$H69)="","Payment Type; ","")&amp;IF(AND(INDEX('Game Records'!$U:$U,$H69)&lt;&gt;"Subscription",INDEX('Game Records'!$U:$U,$H69)&lt;&gt;"Free Game",INDEX('Game Records'!$U:$U,$H69)&lt;&gt;"Disqualified — Free Game",INDEX('Game Records'!$G:$G,$H69)=""),"Gross Pot; ","")&amp;IF(AND(INDEX('Game Records'!$U:$U,$H69)&lt;&gt;"Free Game",INDEX('Game Records'!$U:$U,$H69)&lt;&gt;"Disqualified — Free Game",INDEX('Game Records'!$H:$H,$H69)=""),"Entry Fee; ","")&amp;IF(AND(INDEX('Game Records'!$U:$U,$H69)&lt;&gt;"Subscription",INDEX('Game Records'!$U:$U,$H69)&lt;&gt;"Free Game",INDEX('Game Records'!$U:$U,$H69)&lt;&gt;"Disqualified — Free Game",INDEX('Game Records'!$I:$I,$H69)=""),"Eligible Players; ","")&amp;IF(AND(INDEX('Game Records'!$U:$U,$H69)&lt;&gt;"Subscription",INDEX('Game Records'!$U:$U,$H69)&lt;&gt;"Free Game",INDEX('Game Records'!$U:$U,$H69)&lt;&gt;"Disqualified — Free Game",INDEX('Game Records'!$J:$J,$H69)=""),"Total Players; ","")&amp;IF(AND(LOWER(INDEX('Game Records'!$D:$D,$H69)&amp;"")="finalized",LOWER(INDEX('Game Records'!$L:$L,$H69)&amp;"")&lt;&gt;"yes",INDEX('Game Records'!$U:$U,$H69)&lt;&gt;"Subscription",INDEX('Game Records'!$U:$U,$H69)&lt;&gt;"Free Game",INDEX('Game Records'!$U:$U,$H69)&lt;&gt;"Disqualified — Free Game",INDEX('Game Records'!$K:$K,$H69)=""),"Final Earned; ","")&amp;IF(AND(LOWER(INDEX('Game Records'!$D:$D,$H69)&amp;"")="finalized",INDEX('Game Records'!$U:$U,$H69)&lt;&gt;"Subscription",INDEX('Game Records'!$U:$U,$H69)&lt;&gt;"Free Game",INDEX('Game Records'!$U:$U,$H69)&lt;&gt;"Disqualified — Free Game",OR(INDEX('Game Records'!$L:$L,$H69)="",LOWER(INDEX('Game Records'!$L:$L,$H69)&amp;"")="n/a")),"Disqualified Status; ",""))</x:f>
        <x:v/>
      </x:c>
      <x:c r="G69" s="331" t="str">
        <x:f>IF($H69="","",IFERROR(INDEX('Game Records'!$M:$M,$H69),""))</x:f>
        <x:v/>
      </x:c>
      <x:c r="H69" s="104" t="str">
        <x:f>IF($H68="","",IFERROR(MATCH(1,INDEX((ROW('Game Records'!$U$5:$U$504)&gt;$H68)*(('Game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69" s="104"/>
      <x:c r="J69" s="104"/>
    </x:row>
    <x:row r="70" ht="24" hidden="0" customHeight="1">
      <x:c r="A70" s="332" t="str">
        <x:f>IF($H70="","",ROWS($A$5:A70))</x:f>
        <x:v/>
      </x:c>
      <x:c r="B70" s="332" t="str">
        <x:f>IF($H70="","","G-"&amp;TEXT($A70,"0000"))</x:f>
        <x:v/>
      </x:c>
      <x:c r="C70" s="331" t="str">
        <x:f>IF($H70="","",IFERROR(INDEX('Game Records'!$A:$A,$H70),""))</x:f>
        <x:v/>
      </x:c>
      <x:c r="D70" s="331" t="str">
        <x:f>IF($H70="","",IFERROR(INDEX('Game Records'!$U:$U,$H70),""))</x:f>
        <x:v/>
      </x:c>
      <x:c r="E70" s="331" t="str">
        <x:f>IF($H70="","",IF($F70="","No Highlighted Fields","Highlighted Fields Present"))</x:f>
        <x:v/>
      </x:c>
      <x:c r="F70" s="331" t="str">
        <x:f>IF($H70="","",IF(INDEX('Game Records'!$B:$B,$H70)="","Start Date; ","")&amp;IF(INDEX('Game Records'!$C:$C,$H70)="","End Date; ","")&amp;IF(AND(INDEX('Game Records'!$U:$U,$H70)&lt;&gt;"Subscription",INDEX('Game Records'!$U:$U,$H70)&lt;&gt;"Free Game",INDEX('Game Records'!$U:$U,$H70)&lt;&gt;"Disqualified — Free Game",OR(INDEX('Game Records'!$D:$D,$H70)="",LOWER(INDEX('Game Records'!$D:$D,$H70)&amp;"")="n/a")),"Entry Mode; ","")&amp;IF(AND(INDEX('Game Records'!$U:$U,$H70)&lt;&gt;"Subscription",INDEX('Game Records'!$U:$U,$H70)&lt;&gt;"Free Game",INDEX('Game Records'!$U:$U,$H70)&lt;&gt;"Disqualified — Free Game",OR(INDEX('Game Records'!$E:$E,$H70)="",LOWER(INDEX('Game Records'!$E:$E,$H70)&amp;"")="n/a")),"Game Type; ","")&amp;IF(INDEX('Game Records'!$F:$F,$H70)="","Payment Type; ","")&amp;IF(AND(INDEX('Game Records'!$U:$U,$H70)&lt;&gt;"Subscription",INDEX('Game Records'!$U:$U,$H70)&lt;&gt;"Free Game",INDEX('Game Records'!$U:$U,$H70)&lt;&gt;"Disqualified — Free Game",INDEX('Game Records'!$G:$G,$H70)=""),"Gross Pot; ","")&amp;IF(AND(INDEX('Game Records'!$U:$U,$H70)&lt;&gt;"Free Game",INDEX('Game Records'!$U:$U,$H70)&lt;&gt;"Disqualified — Free Game",INDEX('Game Records'!$H:$H,$H70)=""),"Entry Fee; ","")&amp;IF(AND(INDEX('Game Records'!$U:$U,$H70)&lt;&gt;"Subscription",INDEX('Game Records'!$U:$U,$H70)&lt;&gt;"Free Game",INDEX('Game Records'!$U:$U,$H70)&lt;&gt;"Disqualified — Free Game",INDEX('Game Records'!$I:$I,$H70)=""),"Eligible Players; ","")&amp;IF(AND(INDEX('Game Records'!$U:$U,$H70)&lt;&gt;"Subscription",INDEX('Game Records'!$U:$U,$H70)&lt;&gt;"Free Game",INDEX('Game Records'!$U:$U,$H70)&lt;&gt;"Disqualified — Free Game",INDEX('Game Records'!$J:$J,$H70)=""),"Total Players; ","")&amp;IF(AND(LOWER(INDEX('Game Records'!$D:$D,$H70)&amp;"")="finalized",LOWER(INDEX('Game Records'!$L:$L,$H70)&amp;"")&lt;&gt;"yes",INDEX('Game Records'!$U:$U,$H70)&lt;&gt;"Subscription",INDEX('Game Records'!$U:$U,$H70)&lt;&gt;"Free Game",INDEX('Game Records'!$U:$U,$H70)&lt;&gt;"Disqualified — Free Game",INDEX('Game Records'!$K:$K,$H70)=""),"Final Earned; ","")&amp;IF(AND(LOWER(INDEX('Game Records'!$D:$D,$H70)&amp;"")="finalized",INDEX('Game Records'!$U:$U,$H70)&lt;&gt;"Subscription",INDEX('Game Records'!$U:$U,$H70)&lt;&gt;"Free Game",INDEX('Game Records'!$U:$U,$H70)&lt;&gt;"Disqualified — Free Game",OR(INDEX('Game Records'!$L:$L,$H70)="",LOWER(INDEX('Game Records'!$L:$L,$H70)&amp;"")="n/a")),"Disqualified Status; ",""))</x:f>
        <x:v/>
      </x:c>
      <x:c r="G70" s="331" t="str">
        <x:f>IF($H70="","",IFERROR(INDEX('Game Records'!$M:$M,$H70),""))</x:f>
        <x:v/>
      </x:c>
      <x:c r="H70" s="104" t="str">
        <x:f>IF($H69="","",IFERROR(MATCH(1,INDEX((ROW('Game Records'!$U$5:$U$504)&gt;$H69)*(('Game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0" s="104"/>
      <x:c r="J70" s="104"/>
    </x:row>
    <x:row r="71" ht="24" hidden="0" customHeight="1">
      <x:c r="A71" s="332" t="str">
        <x:f>IF($H71="","",ROWS($A$5:A71))</x:f>
        <x:v/>
      </x:c>
      <x:c r="B71" s="332" t="str">
        <x:f>IF($H71="","","G-"&amp;TEXT($A71,"0000"))</x:f>
        <x:v/>
      </x:c>
      <x:c r="C71" s="331" t="str">
        <x:f>IF($H71="","",IFERROR(INDEX('Game Records'!$A:$A,$H71),""))</x:f>
        <x:v/>
      </x:c>
      <x:c r="D71" s="331" t="str">
        <x:f>IF($H71="","",IFERROR(INDEX('Game Records'!$U:$U,$H71),""))</x:f>
        <x:v/>
      </x:c>
      <x:c r="E71" s="331" t="str">
        <x:f>IF($H71="","",IF($F71="","No Highlighted Fields","Highlighted Fields Present"))</x:f>
        <x:v/>
      </x:c>
      <x:c r="F71" s="331" t="str">
        <x:f>IF($H71="","",IF(INDEX('Game Records'!$B:$B,$H71)="","Start Date; ","")&amp;IF(INDEX('Game Records'!$C:$C,$H71)="","End Date; ","")&amp;IF(AND(INDEX('Game Records'!$U:$U,$H71)&lt;&gt;"Subscription",INDEX('Game Records'!$U:$U,$H71)&lt;&gt;"Free Game",INDEX('Game Records'!$U:$U,$H71)&lt;&gt;"Disqualified — Free Game",OR(INDEX('Game Records'!$D:$D,$H71)="",LOWER(INDEX('Game Records'!$D:$D,$H71)&amp;"")="n/a")),"Entry Mode; ","")&amp;IF(AND(INDEX('Game Records'!$U:$U,$H71)&lt;&gt;"Subscription",INDEX('Game Records'!$U:$U,$H71)&lt;&gt;"Free Game",INDEX('Game Records'!$U:$U,$H71)&lt;&gt;"Disqualified — Free Game",OR(INDEX('Game Records'!$E:$E,$H71)="",LOWER(INDEX('Game Records'!$E:$E,$H71)&amp;"")="n/a")),"Game Type; ","")&amp;IF(INDEX('Game Records'!$F:$F,$H71)="","Payment Type; ","")&amp;IF(AND(INDEX('Game Records'!$U:$U,$H71)&lt;&gt;"Subscription",INDEX('Game Records'!$U:$U,$H71)&lt;&gt;"Free Game",INDEX('Game Records'!$U:$U,$H71)&lt;&gt;"Disqualified — Free Game",INDEX('Game Records'!$G:$G,$H71)=""),"Gross Pot; ","")&amp;IF(AND(INDEX('Game Records'!$U:$U,$H71)&lt;&gt;"Free Game",INDEX('Game Records'!$U:$U,$H71)&lt;&gt;"Disqualified — Free Game",INDEX('Game Records'!$H:$H,$H71)=""),"Entry Fee; ","")&amp;IF(AND(INDEX('Game Records'!$U:$U,$H71)&lt;&gt;"Subscription",INDEX('Game Records'!$U:$U,$H71)&lt;&gt;"Free Game",INDEX('Game Records'!$U:$U,$H71)&lt;&gt;"Disqualified — Free Game",INDEX('Game Records'!$I:$I,$H71)=""),"Eligible Players; ","")&amp;IF(AND(INDEX('Game Records'!$U:$U,$H71)&lt;&gt;"Subscription",INDEX('Game Records'!$U:$U,$H71)&lt;&gt;"Free Game",INDEX('Game Records'!$U:$U,$H71)&lt;&gt;"Disqualified — Free Game",INDEX('Game Records'!$J:$J,$H71)=""),"Total Players; ","")&amp;IF(AND(LOWER(INDEX('Game Records'!$D:$D,$H71)&amp;"")="finalized",LOWER(INDEX('Game Records'!$L:$L,$H71)&amp;"")&lt;&gt;"yes",INDEX('Game Records'!$U:$U,$H71)&lt;&gt;"Subscription",INDEX('Game Records'!$U:$U,$H71)&lt;&gt;"Free Game",INDEX('Game Records'!$U:$U,$H71)&lt;&gt;"Disqualified — Free Game",INDEX('Game Records'!$K:$K,$H71)=""),"Final Earned; ","")&amp;IF(AND(LOWER(INDEX('Game Records'!$D:$D,$H71)&amp;"")="finalized",INDEX('Game Records'!$U:$U,$H71)&lt;&gt;"Subscription",INDEX('Game Records'!$U:$U,$H71)&lt;&gt;"Free Game",INDEX('Game Records'!$U:$U,$H71)&lt;&gt;"Disqualified — Free Game",OR(INDEX('Game Records'!$L:$L,$H71)="",LOWER(INDEX('Game Records'!$L:$L,$H71)&amp;"")="n/a")),"Disqualified Status; ",""))</x:f>
        <x:v/>
      </x:c>
      <x:c r="G71" s="331" t="str">
        <x:f>IF($H71="","",IFERROR(INDEX('Game Records'!$M:$M,$H71),""))</x:f>
        <x:v/>
      </x:c>
      <x:c r="H71" s="104" t="str">
        <x:f>IF($H70="","",IFERROR(MATCH(1,INDEX((ROW('Game Records'!$U$5:$U$504)&gt;$H70)*(('Game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1" s="104"/>
      <x:c r="J71" s="104"/>
    </x:row>
    <x:row r="72" ht="24" hidden="0" customHeight="1">
      <x:c r="A72" s="332" t="str">
        <x:f>IF($H72="","",ROWS($A$5:A72))</x:f>
        <x:v/>
      </x:c>
      <x:c r="B72" s="332" t="str">
        <x:f>IF($H72="","","G-"&amp;TEXT($A72,"0000"))</x:f>
        <x:v/>
      </x:c>
      <x:c r="C72" s="331" t="str">
        <x:f>IF($H72="","",IFERROR(INDEX('Game Records'!$A:$A,$H72),""))</x:f>
        <x:v/>
      </x:c>
      <x:c r="D72" s="331" t="str">
        <x:f>IF($H72="","",IFERROR(INDEX('Game Records'!$U:$U,$H72),""))</x:f>
        <x:v/>
      </x:c>
      <x:c r="E72" s="331" t="str">
        <x:f>IF($H72="","",IF($F72="","No Highlighted Fields","Highlighted Fields Present"))</x:f>
        <x:v/>
      </x:c>
      <x:c r="F72" s="331" t="str">
        <x:f>IF($H72="","",IF(INDEX('Game Records'!$B:$B,$H72)="","Start Date; ","")&amp;IF(INDEX('Game Records'!$C:$C,$H72)="","End Date; ","")&amp;IF(AND(INDEX('Game Records'!$U:$U,$H72)&lt;&gt;"Subscription",INDEX('Game Records'!$U:$U,$H72)&lt;&gt;"Free Game",INDEX('Game Records'!$U:$U,$H72)&lt;&gt;"Disqualified — Free Game",OR(INDEX('Game Records'!$D:$D,$H72)="",LOWER(INDEX('Game Records'!$D:$D,$H72)&amp;"")="n/a")),"Entry Mode; ","")&amp;IF(AND(INDEX('Game Records'!$U:$U,$H72)&lt;&gt;"Subscription",INDEX('Game Records'!$U:$U,$H72)&lt;&gt;"Free Game",INDEX('Game Records'!$U:$U,$H72)&lt;&gt;"Disqualified — Free Game",OR(INDEX('Game Records'!$E:$E,$H72)="",LOWER(INDEX('Game Records'!$E:$E,$H72)&amp;"")="n/a")),"Game Type; ","")&amp;IF(INDEX('Game Records'!$F:$F,$H72)="","Payment Type; ","")&amp;IF(AND(INDEX('Game Records'!$U:$U,$H72)&lt;&gt;"Subscription",INDEX('Game Records'!$U:$U,$H72)&lt;&gt;"Free Game",INDEX('Game Records'!$U:$U,$H72)&lt;&gt;"Disqualified — Free Game",INDEX('Game Records'!$G:$G,$H72)=""),"Gross Pot; ","")&amp;IF(AND(INDEX('Game Records'!$U:$U,$H72)&lt;&gt;"Free Game",INDEX('Game Records'!$U:$U,$H72)&lt;&gt;"Disqualified — Free Game",INDEX('Game Records'!$H:$H,$H72)=""),"Entry Fee; ","")&amp;IF(AND(INDEX('Game Records'!$U:$U,$H72)&lt;&gt;"Subscription",INDEX('Game Records'!$U:$U,$H72)&lt;&gt;"Free Game",INDEX('Game Records'!$U:$U,$H72)&lt;&gt;"Disqualified — Free Game",INDEX('Game Records'!$I:$I,$H72)=""),"Eligible Players; ","")&amp;IF(AND(INDEX('Game Records'!$U:$U,$H72)&lt;&gt;"Subscription",INDEX('Game Records'!$U:$U,$H72)&lt;&gt;"Free Game",INDEX('Game Records'!$U:$U,$H72)&lt;&gt;"Disqualified — Free Game",INDEX('Game Records'!$J:$J,$H72)=""),"Total Players; ","")&amp;IF(AND(LOWER(INDEX('Game Records'!$D:$D,$H72)&amp;"")="finalized",LOWER(INDEX('Game Records'!$L:$L,$H72)&amp;"")&lt;&gt;"yes",INDEX('Game Records'!$U:$U,$H72)&lt;&gt;"Subscription",INDEX('Game Records'!$U:$U,$H72)&lt;&gt;"Free Game",INDEX('Game Records'!$U:$U,$H72)&lt;&gt;"Disqualified — Free Game",INDEX('Game Records'!$K:$K,$H72)=""),"Final Earned; ","")&amp;IF(AND(LOWER(INDEX('Game Records'!$D:$D,$H72)&amp;"")="finalized",INDEX('Game Records'!$U:$U,$H72)&lt;&gt;"Subscription",INDEX('Game Records'!$U:$U,$H72)&lt;&gt;"Free Game",INDEX('Game Records'!$U:$U,$H72)&lt;&gt;"Disqualified — Free Game",OR(INDEX('Game Records'!$L:$L,$H72)="",LOWER(INDEX('Game Records'!$L:$L,$H72)&amp;"")="n/a")),"Disqualified Status; ",""))</x:f>
        <x:v/>
      </x:c>
      <x:c r="G72" s="331" t="str">
        <x:f>IF($H72="","",IFERROR(INDEX('Game Records'!$M:$M,$H72),""))</x:f>
        <x:v/>
      </x:c>
      <x:c r="H72" s="104" t="str">
        <x:f>IF($H71="","",IFERROR(MATCH(1,INDEX((ROW('Game Records'!$U$5:$U$504)&gt;$H71)*(('Game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2" s="104"/>
      <x:c r="J72" s="104"/>
    </x:row>
    <x:row r="73" ht="24" hidden="0" customHeight="1">
      <x:c r="A73" s="332" t="str">
        <x:f>IF($H73="","",ROWS($A$5:A73))</x:f>
        <x:v/>
      </x:c>
      <x:c r="B73" s="332" t="str">
        <x:f>IF($H73="","","G-"&amp;TEXT($A73,"0000"))</x:f>
        <x:v/>
      </x:c>
      <x:c r="C73" s="331" t="str">
        <x:f>IF($H73="","",IFERROR(INDEX('Game Records'!$A:$A,$H73),""))</x:f>
        <x:v/>
      </x:c>
      <x:c r="D73" s="331" t="str">
        <x:f>IF($H73="","",IFERROR(INDEX('Game Records'!$U:$U,$H73),""))</x:f>
        <x:v/>
      </x:c>
      <x:c r="E73" s="331" t="str">
        <x:f>IF($H73="","",IF($F73="","No Highlighted Fields","Highlighted Fields Present"))</x:f>
        <x:v/>
      </x:c>
      <x:c r="F73" s="331" t="str">
        <x:f>IF($H73="","",IF(INDEX('Game Records'!$B:$B,$H73)="","Start Date; ","")&amp;IF(INDEX('Game Records'!$C:$C,$H73)="","End Date; ","")&amp;IF(AND(INDEX('Game Records'!$U:$U,$H73)&lt;&gt;"Subscription",INDEX('Game Records'!$U:$U,$H73)&lt;&gt;"Free Game",INDEX('Game Records'!$U:$U,$H73)&lt;&gt;"Disqualified — Free Game",OR(INDEX('Game Records'!$D:$D,$H73)="",LOWER(INDEX('Game Records'!$D:$D,$H73)&amp;"")="n/a")),"Entry Mode; ","")&amp;IF(AND(INDEX('Game Records'!$U:$U,$H73)&lt;&gt;"Subscription",INDEX('Game Records'!$U:$U,$H73)&lt;&gt;"Free Game",INDEX('Game Records'!$U:$U,$H73)&lt;&gt;"Disqualified — Free Game",OR(INDEX('Game Records'!$E:$E,$H73)="",LOWER(INDEX('Game Records'!$E:$E,$H73)&amp;"")="n/a")),"Game Type; ","")&amp;IF(INDEX('Game Records'!$F:$F,$H73)="","Payment Type; ","")&amp;IF(AND(INDEX('Game Records'!$U:$U,$H73)&lt;&gt;"Subscription",INDEX('Game Records'!$U:$U,$H73)&lt;&gt;"Free Game",INDEX('Game Records'!$U:$U,$H73)&lt;&gt;"Disqualified — Free Game",INDEX('Game Records'!$G:$G,$H73)=""),"Gross Pot; ","")&amp;IF(AND(INDEX('Game Records'!$U:$U,$H73)&lt;&gt;"Free Game",INDEX('Game Records'!$U:$U,$H73)&lt;&gt;"Disqualified — Free Game",INDEX('Game Records'!$H:$H,$H73)=""),"Entry Fee; ","")&amp;IF(AND(INDEX('Game Records'!$U:$U,$H73)&lt;&gt;"Subscription",INDEX('Game Records'!$U:$U,$H73)&lt;&gt;"Free Game",INDEX('Game Records'!$U:$U,$H73)&lt;&gt;"Disqualified — Free Game",INDEX('Game Records'!$I:$I,$H73)=""),"Eligible Players; ","")&amp;IF(AND(INDEX('Game Records'!$U:$U,$H73)&lt;&gt;"Subscription",INDEX('Game Records'!$U:$U,$H73)&lt;&gt;"Free Game",INDEX('Game Records'!$U:$U,$H73)&lt;&gt;"Disqualified — Free Game",INDEX('Game Records'!$J:$J,$H73)=""),"Total Players; ","")&amp;IF(AND(LOWER(INDEX('Game Records'!$D:$D,$H73)&amp;"")="finalized",LOWER(INDEX('Game Records'!$L:$L,$H73)&amp;"")&lt;&gt;"yes",INDEX('Game Records'!$U:$U,$H73)&lt;&gt;"Subscription",INDEX('Game Records'!$U:$U,$H73)&lt;&gt;"Free Game",INDEX('Game Records'!$U:$U,$H73)&lt;&gt;"Disqualified — Free Game",INDEX('Game Records'!$K:$K,$H73)=""),"Final Earned; ","")&amp;IF(AND(LOWER(INDEX('Game Records'!$D:$D,$H73)&amp;"")="finalized",INDEX('Game Records'!$U:$U,$H73)&lt;&gt;"Subscription",INDEX('Game Records'!$U:$U,$H73)&lt;&gt;"Free Game",INDEX('Game Records'!$U:$U,$H73)&lt;&gt;"Disqualified — Free Game",OR(INDEX('Game Records'!$L:$L,$H73)="",LOWER(INDEX('Game Records'!$L:$L,$H73)&amp;"")="n/a")),"Disqualified Status; ",""))</x:f>
        <x:v/>
      </x:c>
      <x:c r="G73" s="331" t="str">
        <x:f>IF($H73="","",IFERROR(INDEX('Game Records'!$M:$M,$H73),""))</x:f>
        <x:v/>
      </x:c>
      <x:c r="H73" s="104" t="str">
        <x:f>IF($H72="","",IFERROR(MATCH(1,INDEX((ROW('Game Records'!$U$5:$U$504)&gt;$H72)*(('Game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3" s="104"/>
      <x:c r="J73" s="104"/>
    </x:row>
    <x:row r="74" ht="24" hidden="0" customHeight="1">
      <x:c r="A74" s="332" t="str">
        <x:f>IF($H74="","",ROWS($A$5:A74))</x:f>
        <x:v/>
      </x:c>
      <x:c r="B74" s="332" t="str">
        <x:f>IF($H74="","","G-"&amp;TEXT($A74,"0000"))</x:f>
        <x:v/>
      </x:c>
      <x:c r="C74" s="331" t="str">
        <x:f>IF($H74="","",IFERROR(INDEX('Game Records'!$A:$A,$H74),""))</x:f>
        <x:v/>
      </x:c>
      <x:c r="D74" s="331" t="str">
        <x:f>IF($H74="","",IFERROR(INDEX('Game Records'!$U:$U,$H74),""))</x:f>
        <x:v/>
      </x:c>
      <x:c r="E74" s="331" t="str">
        <x:f>IF($H74="","",IF($F74="","No Highlighted Fields","Highlighted Fields Present"))</x:f>
        <x:v/>
      </x:c>
      <x:c r="F74" s="331" t="str">
        <x:f>IF($H74="","",IF(INDEX('Game Records'!$B:$B,$H74)="","Start Date; ","")&amp;IF(INDEX('Game Records'!$C:$C,$H74)="","End Date; ","")&amp;IF(AND(INDEX('Game Records'!$U:$U,$H74)&lt;&gt;"Subscription",INDEX('Game Records'!$U:$U,$H74)&lt;&gt;"Free Game",INDEX('Game Records'!$U:$U,$H74)&lt;&gt;"Disqualified — Free Game",OR(INDEX('Game Records'!$D:$D,$H74)="",LOWER(INDEX('Game Records'!$D:$D,$H74)&amp;"")="n/a")),"Entry Mode; ","")&amp;IF(AND(INDEX('Game Records'!$U:$U,$H74)&lt;&gt;"Subscription",INDEX('Game Records'!$U:$U,$H74)&lt;&gt;"Free Game",INDEX('Game Records'!$U:$U,$H74)&lt;&gt;"Disqualified — Free Game",OR(INDEX('Game Records'!$E:$E,$H74)="",LOWER(INDEX('Game Records'!$E:$E,$H74)&amp;"")="n/a")),"Game Type; ","")&amp;IF(INDEX('Game Records'!$F:$F,$H74)="","Payment Type; ","")&amp;IF(AND(INDEX('Game Records'!$U:$U,$H74)&lt;&gt;"Subscription",INDEX('Game Records'!$U:$U,$H74)&lt;&gt;"Free Game",INDEX('Game Records'!$U:$U,$H74)&lt;&gt;"Disqualified — Free Game",INDEX('Game Records'!$G:$G,$H74)=""),"Gross Pot; ","")&amp;IF(AND(INDEX('Game Records'!$U:$U,$H74)&lt;&gt;"Free Game",INDEX('Game Records'!$U:$U,$H74)&lt;&gt;"Disqualified — Free Game",INDEX('Game Records'!$H:$H,$H74)=""),"Entry Fee; ","")&amp;IF(AND(INDEX('Game Records'!$U:$U,$H74)&lt;&gt;"Subscription",INDEX('Game Records'!$U:$U,$H74)&lt;&gt;"Free Game",INDEX('Game Records'!$U:$U,$H74)&lt;&gt;"Disqualified — Free Game",INDEX('Game Records'!$I:$I,$H74)=""),"Eligible Players; ","")&amp;IF(AND(INDEX('Game Records'!$U:$U,$H74)&lt;&gt;"Subscription",INDEX('Game Records'!$U:$U,$H74)&lt;&gt;"Free Game",INDEX('Game Records'!$U:$U,$H74)&lt;&gt;"Disqualified — Free Game",INDEX('Game Records'!$J:$J,$H74)=""),"Total Players; ","")&amp;IF(AND(LOWER(INDEX('Game Records'!$D:$D,$H74)&amp;"")="finalized",LOWER(INDEX('Game Records'!$L:$L,$H74)&amp;"")&lt;&gt;"yes",INDEX('Game Records'!$U:$U,$H74)&lt;&gt;"Subscription",INDEX('Game Records'!$U:$U,$H74)&lt;&gt;"Free Game",INDEX('Game Records'!$U:$U,$H74)&lt;&gt;"Disqualified — Free Game",INDEX('Game Records'!$K:$K,$H74)=""),"Final Earned; ","")&amp;IF(AND(LOWER(INDEX('Game Records'!$D:$D,$H74)&amp;"")="finalized",INDEX('Game Records'!$U:$U,$H74)&lt;&gt;"Subscription",INDEX('Game Records'!$U:$U,$H74)&lt;&gt;"Free Game",INDEX('Game Records'!$U:$U,$H74)&lt;&gt;"Disqualified — Free Game",OR(INDEX('Game Records'!$L:$L,$H74)="",LOWER(INDEX('Game Records'!$L:$L,$H74)&amp;"")="n/a")),"Disqualified Status; ",""))</x:f>
        <x:v/>
      </x:c>
      <x:c r="G74" s="331" t="str">
        <x:f>IF($H74="","",IFERROR(INDEX('Game Records'!$M:$M,$H74),""))</x:f>
        <x:v/>
      </x:c>
      <x:c r="H74" s="104" t="str">
        <x:f>IF($H73="","",IFERROR(MATCH(1,INDEX((ROW('Game Records'!$U$5:$U$504)&gt;$H73)*(('Game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4" s="104"/>
      <x:c r="J74" s="104"/>
    </x:row>
    <x:row r="75" ht="24" hidden="0" customHeight="1">
      <x:c r="A75" s="332" t="str">
        <x:f>IF($H75="","",ROWS($A$5:A75))</x:f>
        <x:v/>
      </x:c>
      <x:c r="B75" s="332" t="str">
        <x:f>IF($H75="","","G-"&amp;TEXT($A75,"0000"))</x:f>
        <x:v/>
      </x:c>
      <x:c r="C75" s="331" t="str">
        <x:f>IF($H75="","",IFERROR(INDEX('Game Records'!$A:$A,$H75),""))</x:f>
        <x:v/>
      </x:c>
      <x:c r="D75" s="331" t="str">
        <x:f>IF($H75="","",IFERROR(INDEX('Game Records'!$U:$U,$H75),""))</x:f>
        <x:v/>
      </x:c>
      <x:c r="E75" s="331" t="str">
        <x:f>IF($H75="","",IF($F75="","No Highlighted Fields","Highlighted Fields Present"))</x:f>
        <x:v/>
      </x:c>
      <x:c r="F75" s="331" t="str">
        <x:f>IF($H75="","",IF(INDEX('Game Records'!$B:$B,$H75)="","Start Date; ","")&amp;IF(INDEX('Game Records'!$C:$C,$H75)="","End Date; ","")&amp;IF(AND(INDEX('Game Records'!$U:$U,$H75)&lt;&gt;"Subscription",INDEX('Game Records'!$U:$U,$H75)&lt;&gt;"Free Game",INDEX('Game Records'!$U:$U,$H75)&lt;&gt;"Disqualified — Free Game",OR(INDEX('Game Records'!$D:$D,$H75)="",LOWER(INDEX('Game Records'!$D:$D,$H75)&amp;"")="n/a")),"Entry Mode; ","")&amp;IF(AND(INDEX('Game Records'!$U:$U,$H75)&lt;&gt;"Subscription",INDEX('Game Records'!$U:$U,$H75)&lt;&gt;"Free Game",INDEX('Game Records'!$U:$U,$H75)&lt;&gt;"Disqualified — Free Game",OR(INDEX('Game Records'!$E:$E,$H75)="",LOWER(INDEX('Game Records'!$E:$E,$H75)&amp;"")="n/a")),"Game Type; ","")&amp;IF(INDEX('Game Records'!$F:$F,$H75)="","Payment Type; ","")&amp;IF(AND(INDEX('Game Records'!$U:$U,$H75)&lt;&gt;"Subscription",INDEX('Game Records'!$U:$U,$H75)&lt;&gt;"Free Game",INDEX('Game Records'!$U:$U,$H75)&lt;&gt;"Disqualified — Free Game",INDEX('Game Records'!$G:$G,$H75)=""),"Gross Pot; ","")&amp;IF(AND(INDEX('Game Records'!$U:$U,$H75)&lt;&gt;"Free Game",INDEX('Game Records'!$U:$U,$H75)&lt;&gt;"Disqualified — Free Game",INDEX('Game Records'!$H:$H,$H75)=""),"Entry Fee; ","")&amp;IF(AND(INDEX('Game Records'!$U:$U,$H75)&lt;&gt;"Subscription",INDEX('Game Records'!$U:$U,$H75)&lt;&gt;"Free Game",INDEX('Game Records'!$U:$U,$H75)&lt;&gt;"Disqualified — Free Game",INDEX('Game Records'!$I:$I,$H75)=""),"Eligible Players; ","")&amp;IF(AND(INDEX('Game Records'!$U:$U,$H75)&lt;&gt;"Subscription",INDEX('Game Records'!$U:$U,$H75)&lt;&gt;"Free Game",INDEX('Game Records'!$U:$U,$H75)&lt;&gt;"Disqualified — Free Game",INDEX('Game Records'!$J:$J,$H75)=""),"Total Players; ","")&amp;IF(AND(LOWER(INDEX('Game Records'!$D:$D,$H75)&amp;"")="finalized",LOWER(INDEX('Game Records'!$L:$L,$H75)&amp;"")&lt;&gt;"yes",INDEX('Game Records'!$U:$U,$H75)&lt;&gt;"Subscription",INDEX('Game Records'!$U:$U,$H75)&lt;&gt;"Free Game",INDEX('Game Records'!$U:$U,$H75)&lt;&gt;"Disqualified — Free Game",INDEX('Game Records'!$K:$K,$H75)=""),"Final Earned; ","")&amp;IF(AND(LOWER(INDEX('Game Records'!$D:$D,$H75)&amp;"")="finalized",INDEX('Game Records'!$U:$U,$H75)&lt;&gt;"Subscription",INDEX('Game Records'!$U:$U,$H75)&lt;&gt;"Free Game",INDEX('Game Records'!$U:$U,$H75)&lt;&gt;"Disqualified — Free Game",OR(INDEX('Game Records'!$L:$L,$H75)="",LOWER(INDEX('Game Records'!$L:$L,$H75)&amp;"")="n/a")),"Disqualified Status; ",""))</x:f>
        <x:v/>
      </x:c>
      <x:c r="G75" s="331" t="str">
        <x:f>IF($H75="","",IFERROR(INDEX('Game Records'!$M:$M,$H75),""))</x:f>
        <x:v/>
      </x:c>
      <x:c r="H75" s="104" t="str">
        <x:f>IF($H74="","",IFERROR(MATCH(1,INDEX((ROW('Game Records'!$U$5:$U$504)&gt;$H74)*(('Game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5" s="104"/>
      <x:c r="J75" s="104"/>
    </x:row>
    <x:row r="76" ht="24" hidden="0" customHeight="1">
      <x:c r="A76" s="332" t="str">
        <x:f>IF($H76="","",ROWS($A$5:A76))</x:f>
        <x:v/>
      </x:c>
      <x:c r="B76" s="332" t="str">
        <x:f>IF($H76="","","G-"&amp;TEXT($A76,"0000"))</x:f>
        <x:v/>
      </x:c>
      <x:c r="C76" s="331" t="str">
        <x:f>IF($H76="","",IFERROR(INDEX('Game Records'!$A:$A,$H76),""))</x:f>
        <x:v/>
      </x:c>
      <x:c r="D76" s="331" t="str">
        <x:f>IF($H76="","",IFERROR(INDEX('Game Records'!$U:$U,$H76),""))</x:f>
        <x:v/>
      </x:c>
      <x:c r="E76" s="331" t="str">
        <x:f>IF($H76="","",IF($F76="","No Highlighted Fields","Highlighted Fields Present"))</x:f>
        <x:v/>
      </x:c>
      <x:c r="F76" s="331" t="str">
        <x:f>IF($H76="","",IF(INDEX('Game Records'!$B:$B,$H76)="","Start Date; ","")&amp;IF(INDEX('Game Records'!$C:$C,$H76)="","End Date; ","")&amp;IF(AND(INDEX('Game Records'!$U:$U,$H76)&lt;&gt;"Subscription",INDEX('Game Records'!$U:$U,$H76)&lt;&gt;"Free Game",INDEX('Game Records'!$U:$U,$H76)&lt;&gt;"Disqualified — Free Game",OR(INDEX('Game Records'!$D:$D,$H76)="",LOWER(INDEX('Game Records'!$D:$D,$H76)&amp;"")="n/a")),"Entry Mode; ","")&amp;IF(AND(INDEX('Game Records'!$U:$U,$H76)&lt;&gt;"Subscription",INDEX('Game Records'!$U:$U,$H76)&lt;&gt;"Free Game",INDEX('Game Records'!$U:$U,$H76)&lt;&gt;"Disqualified — Free Game",OR(INDEX('Game Records'!$E:$E,$H76)="",LOWER(INDEX('Game Records'!$E:$E,$H76)&amp;"")="n/a")),"Game Type; ","")&amp;IF(INDEX('Game Records'!$F:$F,$H76)="","Payment Type; ","")&amp;IF(AND(INDEX('Game Records'!$U:$U,$H76)&lt;&gt;"Subscription",INDEX('Game Records'!$U:$U,$H76)&lt;&gt;"Free Game",INDEX('Game Records'!$U:$U,$H76)&lt;&gt;"Disqualified — Free Game",INDEX('Game Records'!$G:$G,$H76)=""),"Gross Pot; ","")&amp;IF(AND(INDEX('Game Records'!$U:$U,$H76)&lt;&gt;"Free Game",INDEX('Game Records'!$U:$U,$H76)&lt;&gt;"Disqualified — Free Game",INDEX('Game Records'!$H:$H,$H76)=""),"Entry Fee; ","")&amp;IF(AND(INDEX('Game Records'!$U:$U,$H76)&lt;&gt;"Subscription",INDEX('Game Records'!$U:$U,$H76)&lt;&gt;"Free Game",INDEX('Game Records'!$U:$U,$H76)&lt;&gt;"Disqualified — Free Game",INDEX('Game Records'!$I:$I,$H76)=""),"Eligible Players; ","")&amp;IF(AND(INDEX('Game Records'!$U:$U,$H76)&lt;&gt;"Subscription",INDEX('Game Records'!$U:$U,$H76)&lt;&gt;"Free Game",INDEX('Game Records'!$U:$U,$H76)&lt;&gt;"Disqualified — Free Game",INDEX('Game Records'!$J:$J,$H76)=""),"Total Players; ","")&amp;IF(AND(LOWER(INDEX('Game Records'!$D:$D,$H76)&amp;"")="finalized",LOWER(INDEX('Game Records'!$L:$L,$H76)&amp;"")&lt;&gt;"yes",INDEX('Game Records'!$U:$U,$H76)&lt;&gt;"Subscription",INDEX('Game Records'!$U:$U,$H76)&lt;&gt;"Free Game",INDEX('Game Records'!$U:$U,$H76)&lt;&gt;"Disqualified — Free Game",INDEX('Game Records'!$K:$K,$H76)=""),"Final Earned; ","")&amp;IF(AND(LOWER(INDEX('Game Records'!$D:$D,$H76)&amp;"")="finalized",INDEX('Game Records'!$U:$U,$H76)&lt;&gt;"Subscription",INDEX('Game Records'!$U:$U,$H76)&lt;&gt;"Free Game",INDEX('Game Records'!$U:$U,$H76)&lt;&gt;"Disqualified — Free Game",OR(INDEX('Game Records'!$L:$L,$H76)="",LOWER(INDEX('Game Records'!$L:$L,$H76)&amp;"")="n/a")),"Disqualified Status; ",""))</x:f>
        <x:v/>
      </x:c>
      <x:c r="G76" s="331" t="str">
        <x:f>IF($H76="","",IFERROR(INDEX('Game Records'!$M:$M,$H76),""))</x:f>
        <x:v/>
      </x:c>
      <x:c r="H76" s="104" t="str">
        <x:f>IF($H75="","",IFERROR(MATCH(1,INDEX((ROW('Game Records'!$U$5:$U$504)&gt;$H75)*(('Game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6" s="104"/>
      <x:c r="J76" s="104"/>
    </x:row>
    <x:row r="77" ht="24" hidden="0" customHeight="1">
      <x:c r="A77" s="332" t="str">
        <x:f>IF($H77="","",ROWS($A$5:A77))</x:f>
        <x:v/>
      </x:c>
      <x:c r="B77" s="332" t="str">
        <x:f>IF($H77="","","G-"&amp;TEXT($A77,"0000"))</x:f>
        <x:v/>
      </x:c>
      <x:c r="C77" s="331" t="str">
        <x:f>IF($H77="","",IFERROR(INDEX('Game Records'!$A:$A,$H77),""))</x:f>
        <x:v/>
      </x:c>
      <x:c r="D77" s="331" t="str">
        <x:f>IF($H77="","",IFERROR(INDEX('Game Records'!$U:$U,$H77),""))</x:f>
        <x:v/>
      </x:c>
      <x:c r="E77" s="331" t="str">
        <x:f>IF($H77="","",IF($F77="","No Highlighted Fields","Highlighted Fields Present"))</x:f>
        <x:v/>
      </x:c>
      <x:c r="F77" s="331" t="str">
        <x:f>IF($H77="","",IF(INDEX('Game Records'!$B:$B,$H77)="","Start Date; ","")&amp;IF(INDEX('Game Records'!$C:$C,$H77)="","End Date; ","")&amp;IF(AND(INDEX('Game Records'!$U:$U,$H77)&lt;&gt;"Subscription",INDEX('Game Records'!$U:$U,$H77)&lt;&gt;"Free Game",INDEX('Game Records'!$U:$U,$H77)&lt;&gt;"Disqualified — Free Game",OR(INDEX('Game Records'!$D:$D,$H77)="",LOWER(INDEX('Game Records'!$D:$D,$H77)&amp;"")="n/a")),"Entry Mode; ","")&amp;IF(AND(INDEX('Game Records'!$U:$U,$H77)&lt;&gt;"Subscription",INDEX('Game Records'!$U:$U,$H77)&lt;&gt;"Free Game",INDEX('Game Records'!$U:$U,$H77)&lt;&gt;"Disqualified — Free Game",OR(INDEX('Game Records'!$E:$E,$H77)="",LOWER(INDEX('Game Records'!$E:$E,$H77)&amp;"")="n/a")),"Game Type; ","")&amp;IF(INDEX('Game Records'!$F:$F,$H77)="","Payment Type; ","")&amp;IF(AND(INDEX('Game Records'!$U:$U,$H77)&lt;&gt;"Subscription",INDEX('Game Records'!$U:$U,$H77)&lt;&gt;"Free Game",INDEX('Game Records'!$U:$U,$H77)&lt;&gt;"Disqualified — Free Game",INDEX('Game Records'!$G:$G,$H77)=""),"Gross Pot; ","")&amp;IF(AND(INDEX('Game Records'!$U:$U,$H77)&lt;&gt;"Free Game",INDEX('Game Records'!$U:$U,$H77)&lt;&gt;"Disqualified — Free Game",INDEX('Game Records'!$H:$H,$H77)=""),"Entry Fee; ","")&amp;IF(AND(INDEX('Game Records'!$U:$U,$H77)&lt;&gt;"Subscription",INDEX('Game Records'!$U:$U,$H77)&lt;&gt;"Free Game",INDEX('Game Records'!$U:$U,$H77)&lt;&gt;"Disqualified — Free Game",INDEX('Game Records'!$I:$I,$H77)=""),"Eligible Players; ","")&amp;IF(AND(INDEX('Game Records'!$U:$U,$H77)&lt;&gt;"Subscription",INDEX('Game Records'!$U:$U,$H77)&lt;&gt;"Free Game",INDEX('Game Records'!$U:$U,$H77)&lt;&gt;"Disqualified — Free Game",INDEX('Game Records'!$J:$J,$H77)=""),"Total Players; ","")&amp;IF(AND(LOWER(INDEX('Game Records'!$D:$D,$H77)&amp;"")="finalized",LOWER(INDEX('Game Records'!$L:$L,$H77)&amp;"")&lt;&gt;"yes",INDEX('Game Records'!$U:$U,$H77)&lt;&gt;"Subscription",INDEX('Game Records'!$U:$U,$H77)&lt;&gt;"Free Game",INDEX('Game Records'!$U:$U,$H77)&lt;&gt;"Disqualified — Free Game",INDEX('Game Records'!$K:$K,$H77)=""),"Final Earned; ","")&amp;IF(AND(LOWER(INDEX('Game Records'!$D:$D,$H77)&amp;"")="finalized",INDEX('Game Records'!$U:$U,$H77)&lt;&gt;"Subscription",INDEX('Game Records'!$U:$U,$H77)&lt;&gt;"Free Game",INDEX('Game Records'!$U:$U,$H77)&lt;&gt;"Disqualified — Free Game",OR(INDEX('Game Records'!$L:$L,$H77)="",LOWER(INDEX('Game Records'!$L:$L,$H77)&amp;"")="n/a")),"Disqualified Status; ",""))</x:f>
        <x:v/>
      </x:c>
      <x:c r="G77" s="331" t="str">
        <x:f>IF($H77="","",IFERROR(INDEX('Game Records'!$M:$M,$H77),""))</x:f>
        <x:v/>
      </x:c>
      <x:c r="H77" s="104" t="str">
        <x:f>IF($H76="","",IFERROR(MATCH(1,INDEX((ROW('Game Records'!$U$5:$U$504)&gt;$H76)*(('Game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7" s="104"/>
      <x:c r="J77" s="104"/>
    </x:row>
    <x:row r="78" ht="24" hidden="0" customHeight="1">
      <x:c r="A78" s="332" t="str">
        <x:f>IF($H78="","",ROWS($A$5:A78))</x:f>
        <x:v/>
      </x:c>
      <x:c r="B78" s="332" t="str">
        <x:f>IF($H78="","","G-"&amp;TEXT($A78,"0000"))</x:f>
        <x:v/>
      </x:c>
      <x:c r="C78" s="331" t="str">
        <x:f>IF($H78="","",IFERROR(INDEX('Game Records'!$A:$A,$H78),""))</x:f>
        <x:v/>
      </x:c>
      <x:c r="D78" s="331" t="str">
        <x:f>IF($H78="","",IFERROR(INDEX('Game Records'!$U:$U,$H78),""))</x:f>
        <x:v/>
      </x:c>
      <x:c r="E78" s="331" t="str">
        <x:f>IF($H78="","",IF($F78="","No Highlighted Fields","Highlighted Fields Present"))</x:f>
        <x:v/>
      </x:c>
      <x:c r="F78" s="331" t="str">
        <x:f>IF($H78="","",IF(INDEX('Game Records'!$B:$B,$H78)="","Start Date; ","")&amp;IF(INDEX('Game Records'!$C:$C,$H78)="","End Date; ","")&amp;IF(AND(INDEX('Game Records'!$U:$U,$H78)&lt;&gt;"Subscription",INDEX('Game Records'!$U:$U,$H78)&lt;&gt;"Free Game",INDEX('Game Records'!$U:$U,$H78)&lt;&gt;"Disqualified — Free Game",OR(INDEX('Game Records'!$D:$D,$H78)="",LOWER(INDEX('Game Records'!$D:$D,$H78)&amp;"")="n/a")),"Entry Mode; ","")&amp;IF(AND(INDEX('Game Records'!$U:$U,$H78)&lt;&gt;"Subscription",INDEX('Game Records'!$U:$U,$H78)&lt;&gt;"Free Game",INDEX('Game Records'!$U:$U,$H78)&lt;&gt;"Disqualified — Free Game",OR(INDEX('Game Records'!$E:$E,$H78)="",LOWER(INDEX('Game Records'!$E:$E,$H78)&amp;"")="n/a")),"Game Type; ","")&amp;IF(INDEX('Game Records'!$F:$F,$H78)="","Payment Type; ","")&amp;IF(AND(INDEX('Game Records'!$U:$U,$H78)&lt;&gt;"Subscription",INDEX('Game Records'!$U:$U,$H78)&lt;&gt;"Free Game",INDEX('Game Records'!$U:$U,$H78)&lt;&gt;"Disqualified — Free Game",INDEX('Game Records'!$G:$G,$H78)=""),"Gross Pot; ","")&amp;IF(AND(INDEX('Game Records'!$U:$U,$H78)&lt;&gt;"Free Game",INDEX('Game Records'!$U:$U,$H78)&lt;&gt;"Disqualified — Free Game",INDEX('Game Records'!$H:$H,$H78)=""),"Entry Fee; ","")&amp;IF(AND(INDEX('Game Records'!$U:$U,$H78)&lt;&gt;"Subscription",INDEX('Game Records'!$U:$U,$H78)&lt;&gt;"Free Game",INDEX('Game Records'!$U:$U,$H78)&lt;&gt;"Disqualified — Free Game",INDEX('Game Records'!$I:$I,$H78)=""),"Eligible Players; ","")&amp;IF(AND(INDEX('Game Records'!$U:$U,$H78)&lt;&gt;"Subscription",INDEX('Game Records'!$U:$U,$H78)&lt;&gt;"Free Game",INDEX('Game Records'!$U:$U,$H78)&lt;&gt;"Disqualified — Free Game",INDEX('Game Records'!$J:$J,$H78)=""),"Total Players; ","")&amp;IF(AND(LOWER(INDEX('Game Records'!$D:$D,$H78)&amp;"")="finalized",LOWER(INDEX('Game Records'!$L:$L,$H78)&amp;"")&lt;&gt;"yes",INDEX('Game Records'!$U:$U,$H78)&lt;&gt;"Subscription",INDEX('Game Records'!$U:$U,$H78)&lt;&gt;"Free Game",INDEX('Game Records'!$U:$U,$H78)&lt;&gt;"Disqualified — Free Game",INDEX('Game Records'!$K:$K,$H78)=""),"Final Earned; ","")&amp;IF(AND(LOWER(INDEX('Game Records'!$D:$D,$H78)&amp;"")="finalized",INDEX('Game Records'!$U:$U,$H78)&lt;&gt;"Subscription",INDEX('Game Records'!$U:$U,$H78)&lt;&gt;"Free Game",INDEX('Game Records'!$U:$U,$H78)&lt;&gt;"Disqualified — Free Game",OR(INDEX('Game Records'!$L:$L,$H78)="",LOWER(INDEX('Game Records'!$L:$L,$H78)&amp;"")="n/a")),"Disqualified Status; ",""))</x:f>
        <x:v/>
      </x:c>
      <x:c r="G78" s="331" t="str">
        <x:f>IF($H78="","",IFERROR(INDEX('Game Records'!$M:$M,$H78),""))</x:f>
        <x:v/>
      </x:c>
      <x:c r="H78" s="104" t="str">
        <x:f>IF($H77="","",IFERROR(MATCH(1,INDEX((ROW('Game Records'!$U$5:$U$504)&gt;$H77)*(('Game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8" s="104"/>
      <x:c r="J78" s="104"/>
    </x:row>
    <x:row r="79" ht="24" hidden="0" customHeight="1">
      <x:c r="A79" s="332" t="str">
        <x:f>IF($H79="","",ROWS($A$5:A79))</x:f>
        <x:v/>
      </x:c>
      <x:c r="B79" s="332" t="str">
        <x:f>IF($H79="","","G-"&amp;TEXT($A79,"0000"))</x:f>
        <x:v/>
      </x:c>
      <x:c r="C79" s="331" t="str">
        <x:f>IF($H79="","",IFERROR(INDEX('Game Records'!$A:$A,$H79),""))</x:f>
        <x:v/>
      </x:c>
      <x:c r="D79" s="331" t="str">
        <x:f>IF($H79="","",IFERROR(INDEX('Game Records'!$U:$U,$H79),""))</x:f>
        <x:v/>
      </x:c>
      <x:c r="E79" s="331" t="str">
        <x:f>IF($H79="","",IF($F79="","No Highlighted Fields","Highlighted Fields Present"))</x:f>
        <x:v/>
      </x:c>
      <x:c r="F79" s="331" t="str">
        <x:f>IF($H79="","",IF(INDEX('Game Records'!$B:$B,$H79)="","Start Date; ","")&amp;IF(INDEX('Game Records'!$C:$C,$H79)="","End Date; ","")&amp;IF(AND(INDEX('Game Records'!$U:$U,$H79)&lt;&gt;"Subscription",INDEX('Game Records'!$U:$U,$H79)&lt;&gt;"Free Game",INDEX('Game Records'!$U:$U,$H79)&lt;&gt;"Disqualified — Free Game",OR(INDEX('Game Records'!$D:$D,$H79)="",LOWER(INDEX('Game Records'!$D:$D,$H79)&amp;"")="n/a")),"Entry Mode; ","")&amp;IF(AND(INDEX('Game Records'!$U:$U,$H79)&lt;&gt;"Subscription",INDEX('Game Records'!$U:$U,$H79)&lt;&gt;"Free Game",INDEX('Game Records'!$U:$U,$H79)&lt;&gt;"Disqualified — Free Game",OR(INDEX('Game Records'!$E:$E,$H79)="",LOWER(INDEX('Game Records'!$E:$E,$H79)&amp;"")="n/a")),"Game Type; ","")&amp;IF(INDEX('Game Records'!$F:$F,$H79)="","Payment Type; ","")&amp;IF(AND(INDEX('Game Records'!$U:$U,$H79)&lt;&gt;"Subscription",INDEX('Game Records'!$U:$U,$H79)&lt;&gt;"Free Game",INDEX('Game Records'!$U:$U,$H79)&lt;&gt;"Disqualified — Free Game",INDEX('Game Records'!$G:$G,$H79)=""),"Gross Pot; ","")&amp;IF(AND(INDEX('Game Records'!$U:$U,$H79)&lt;&gt;"Free Game",INDEX('Game Records'!$U:$U,$H79)&lt;&gt;"Disqualified — Free Game",INDEX('Game Records'!$H:$H,$H79)=""),"Entry Fee; ","")&amp;IF(AND(INDEX('Game Records'!$U:$U,$H79)&lt;&gt;"Subscription",INDEX('Game Records'!$U:$U,$H79)&lt;&gt;"Free Game",INDEX('Game Records'!$U:$U,$H79)&lt;&gt;"Disqualified — Free Game",INDEX('Game Records'!$I:$I,$H79)=""),"Eligible Players; ","")&amp;IF(AND(INDEX('Game Records'!$U:$U,$H79)&lt;&gt;"Subscription",INDEX('Game Records'!$U:$U,$H79)&lt;&gt;"Free Game",INDEX('Game Records'!$U:$U,$H79)&lt;&gt;"Disqualified — Free Game",INDEX('Game Records'!$J:$J,$H79)=""),"Total Players; ","")&amp;IF(AND(LOWER(INDEX('Game Records'!$D:$D,$H79)&amp;"")="finalized",LOWER(INDEX('Game Records'!$L:$L,$H79)&amp;"")&lt;&gt;"yes",INDEX('Game Records'!$U:$U,$H79)&lt;&gt;"Subscription",INDEX('Game Records'!$U:$U,$H79)&lt;&gt;"Free Game",INDEX('Game Records'!$U:$U,$H79)&lt;&gt;"Disqualified — Free Game",INDEX('Game Records'!$K:$K,$H79)=""),"Final Earned; ","")&amp;IF(AND(LOWER(INDEX('Game Records'!$D:$D,$H79)&amp;"")="finalized",INDEX('Game Records'!$U:$U,$H79)&lt;&gt;"Subscription",INDEX('Game Records'!$U:$U,$H79)&lt;&gt;"Free Game",INDEX('Game Records'!$U:$U,$H79)&lt;&gt;"Disqualified — Free Game",OR(INDEX('Game Records'!$L:$L,$H79)="",LOWER(INDEX('Game Records'!$L:$L,$H79)&amp;"")="n/a")),"Disqualified Status; ",""))</x:f>
        <x:v/>
      </x:c>
      <x:c r="G79" s="331" t="str">
        <x:f>IF($H79="","",IFERROR(INDEX('Game Records'!$M:$M,$H79),""))</x:f>
        <x:v/>
      </x:c>
      <x:c r="H79" s="104" t="str">
        <x:f>IF($H78="","",IFERROR(MATCH(1,INDEX((ROW('Game Records'!$U$5:$U$504)&gt;$H78)*(('Game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79" s="104"/>
      <x:c r="J79" s="104"/>
    </x:row>
    <x:row r="80" ht="24" hidden="0" customHeight="1">
      <x:c r="A80" s="332" t="str">
        <x:f>IF($H80="","",ROWS($A$5:A80))</x:f>
        <x:v/>
      </x:c>
      <x:c r="B80" s="332" t="str">
        <x:f>IF($H80="","","G-"&amp;TEXT($A80,"0000"))</x:f>
        <x:v/>
      </x:c>
      <x:c r="C80" s="331" t="str">
        <x:f>IF($H80="","",IFERROR(INDEX('Game Records'!$A:$A,$H80),""))</x:f>
        <x:v/>
      </x:c>
      <x:c r="D80" s="331" t="str">
        <x:f>IF($H80="","",IFERROR(INDEX('Game Records'!$U:$U,$H80),""))</x:f>
        <x:v/>
      </x:c>
      <x:c r="E80" s="331" t="str">
        <x:f>IF($H80="","",IF($F80="","No Highlighted Fields","Highlighted Fields Present"))</x:f>
        <x:v/>
      </x:c>
      <x:c r="F80" s="331" t="str">
        <x:f>IF($H80="","",IF(INDEX('Game Records'!$B:$B,$H80)="","Start Date; ","")&amp;IF(INDEX('Game Records'!$C:$C,$H80)="","End Date; ","")&amp;IF(AND(INDEX('Game Records'!$U:$U,$H80)&lt;&gt;"Subscription",INDEX('Game Records'!$U:$U,$H80)&lt;&gt;"Free Game",INDEX('Game Records'!$U:$U,$H80)&lt;&gt;"Disqualified — Free Game",OR(INDEX('Game Records'!$D:$D,$H80)="",LOWER(INDEX('Game Records'!$D:$D,$H80)&amp;"")="n/a")),"Entry Mode; ","")&amp;IF(AND(INDEX('Game Records'!$U:$U,$H80)&lt;&gt;"Subscription",INDEX('Game Records'!$U:$U,$H80)&lt;&gt;"Free Game",INDEX('Game Records'!$U:$U,$H80)&lt;&gt;"Disqualified — Free Game",OR(INDEX('Game Records'!$E:$E,$H80)="",LOWER(INDEX('Game Records'!$E:$E,$H80)&amp;"")="n/a")),"Game Type; ","")&amp;IF(INDEX('Game Records'!$F:$F,$H80)="","Payment Type; ","")&amp;IF(AND(INDEX('Game Records'!$U:$U,$H80)&lt;&gt;"Subscription",INDEX('Game Records'!$U:$U,$H80)&lt;&gt;"Free Game",INDEX('Game Records'!$U:$U,$H80)&lt;&gt;"Disqualified — Free Game",INDEX('Game Records'!$G:$G,$H80)=""),"Gross Pot; ","")&amp;IF(AND(INDEX('Game Records'!$U:$U,$H80)&lt;&gt;"Free Game",INDEX('Game Records'!$U:$U,$H80)&lt;&gt;"Disqualified — Free Game",INDEX('Game Records'!$H:$H,$H80)=""),"Entry Fee; ","")&amp;IF(AND(INDEX('Game Records'!$U:$U,$H80)&lt;&gt;"Subscription",INDEX('Game Records'!$U:$U,$H80)&lt;&gt;"Free Game",INDEX('Game Records'!$U:$U,$H80)&lt;&gt;"Disqualified — Free Game",INDEX('Game Records'!$I:$I,$H80)=""),"Eligible Players; ","")&amp;IF(AND(INDEX('Game Records'!$U:$U,$H80)&lt;&gt;"Subscription",INDEX('Game Records'!$U:$U,$H80)&lt;&gt;"Free Game",INDEX('Game Records'!$U:$U,$H80)&lt;&gt;"Disqualified — Free Game",INDEX('Game Records'!$J:$J,$H80)=""),"Total Players; ","")&amp;IF(AND(LOWER(INDEX('Game Records'!$D:$D,$H80)&amp;"")="finalized",LOWER(INDEX('Game Records'!$L:$L,$H80)&amp;"")&lt;&gt;"yes",INDEX('Game Records'!$U:$U,$H80)&lt;&gt;"Subscription",INDEX('Game Records'!$U:$U,$H80)&lt;&gt;"Free Game",INDEX('Game Records'!$U:$U,$H80)&lt;&gt;"Disqualified — Free Game",INDEX('Game Records'!$K:$K,$H80)=""),"Final Earned; ","")&amp;IF(AND(LOWER(INDEX('Game Records'!$D:$D,$H80)&amp;"")="finalized",INDEX('Game Records'!$U:$U,$H80)&lt;&gt;"Subscription",INDEX('Game Records'!$U:$U,$H80)&lt;&gt;"Free Game",INDEX('Game Records'!$U:$U,$H80)&lt;&gt;"Disqualified — Free Game",OR(INDEX('Game Records'!$L:$L,$H80)="",LOWER(INDEX('Game Records'!$L:$L,$H80)&amp;"")="n/a")),"Disqualified Status; ",""))</x:f>
        <x:v/>
      </x:c>
      <x:c r="G80" s="331" t="str">
        <x:f>IF($H80="","",IFERROR(INDEX('Game Records'!$M:$M,$H80),""))</x:f>
        <x:v/>
      </x:c>
      <x:c r="H80" s="104" t="str">
        <x:f>IF($H79="","",IFERROR(MATCH(1,INDEX((ROW('Game Records'!$U$5:$U$504)&gt;$H79)*(('Game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0" s="104"/>
      <x:c r="J80" s="104"/>
    </x:row>
    <x:row r="81" ht="24" hidden="0" customHeight="1">
      <x:c r="A81" s="332" t="str">
        <x:f>IF($H81="","",ROWS($A$5:A81))</x:f>
        <x:v/>
      </x:c>
      <x:c r="B81" s="332" t="str">
        <x:f>IF($H81="","","G-"&amp;TEXT($A81,"0000"))</x:f>
        <x:v/>
      </x:c>
      <x:c r="C81" s="331" t="str">
        <x:f>IF($H81="","",IFERROR(INDEX('Game Records'!$A:$A,$H81),""))</x:f>
        <x:v/>
      </x:c>
      <x:c r="D81" s="331" t="str">
        <x:f>IF($H81="","",IFERROR(INDEX('Game Records'!$U:$U,$H81),""))</x:f>
        <x:v/>
      </x:c>
      <x:c r="E81" s="331" t="str">
        <x:f>IF($H81="","",IF($F81="","No Highlighted Fields","Highlighted Fields Present"))</x:f>
        <x:v/>
      </x:c>
      <x:c r="F81" s="331" t="str">
        <x:f>IF($H81="","",IF(INDEX('Game Records'!$B:$B,$H81)="","Start Date; ","")&amp;IF(INDEX('Game Records'!$C:$C,$H81)="","End Date; ","")&amp;IF(AND(INDEX('Game Records'!$U:$U,$H81)&lt;&gt;"Subscription",INDEX('Game Records'!$U:$U,$H81)&lt;&gt;"Free Game",INDEX('Game Records'!$U:$U,$H81)&lt;&gt;"Disqualified — Free Game",OR(INDEX('Game Records'!$D:$D,$H81)="",LOWER(INDEX('Game Records'!$D:$D,$H81)&amp;"")="n/a")),"Entry Mode; ","")&amp;IF(AND(INDEX('Game Records'!$U:$U,$H81)&lt;&gt;"Subscription",INDEX('Game Records'!$U:$U,$H81)&lt;&gt;"Free Game",INDEX('Game Records'!$U:$U,$H81)&lt;&gt;"Disqualified — Free Game",OR(INDEX('Game Records'!$E:$E,$H81)="",LOWER(INDEX('Game Records'!$E:$E,$H81)&amp;"")="n/a")),"Game Type; ","")&amp;IF(INDEX('Game Records'!$F:$F,$H81)="","Payment Type; ","")&amp;IF(AND(INDEX('Game Records'!$U:$U,$H81)&lt;&gt;"Subscription",INDEX('Game Records'!$U:$U,$H81)&lt;&gt;"Free Game",INDEX('Game Records'!$U:$U,$H81)&lt;&gt;"Disqualified — Free Game",INDEX('Game Records'!$G:$G,$H81)=""),"Gross Pot; ","")&amp;IF(AND(INDEX('Game Records'!$U:$U,$H81)&lt;&gt;"Free Game",INDEX('Game Records'!$U:$U,$H81)&lt;&gt;"Disqualified — Free Game",INDEX('Game Records'!$H:$H,$H81)=""),"Entry Fee; ","")&amp;IF(AND(INDEX('Game Records'!$U:$U,$H81)&lt;&gt;"Subscription",INDEX('Game Records'!$U:$U,$H81)&lt;&gt;"Free Game",INDEX('Game Records'!$U:$U,$H81)&lt;&gt;"Disqualified — Free Game",INDEX('Game Records'!$I:$I,$H81)=""),"Eligible Players; ","")&amp;IF(AND(INDEX('Game Records'!$U:$U,$H81)&lt;&gt;"Subscription",INDEX('Game Records'!$U:$U,$H81)&lt;&gt;"Free Game",INDEX('Game Records'!$U:$U,$H81)&lt;&gt;"Disqualified — Free Game",INDEX('Game Records'!$J:$J,$H81)=""),"Total Players; ","")&amp;IF(AND(LOWER(INDEX('Game Records'!$D:$D,$H81)&amp;"")="finalized",LOWER(INDEX('Game Records'!$L:$L,$H81)&amp;"")&lt;&gt;"yes",INDEX('Game Records'!$U:$U,$H81)&lt;&gt;"Subscription",INDEX('Game Records'!$U:$U,$H81)&lt;&gt;"Free Game",INDEX('Game Records'!$U:$U,$H81)&lt;&gt;"Disqualified — Free Game",INDEX('Game Records'!$K:$K,$H81)=""),"Final Earned; ","")&amp;IF(AND(LOWER(INDEX('Game Records'!$D:$D,$H81)&amp;"")="finalized",INDEX('Game Records'!$U:$U,$H81)&lt;&gt;"Subscription",INDEX('Game Records'!$U:$U,$H81)&lt;&gt;"Free Game",INDEX('Game Records'!$U:$U,$H81)&lt;&gt;"Disqualified — Free Game",OR(INDEX('Game Records'!$L:$L,$H81)="",LOWER(INDEX('Game Records'!$L:$L,$H81)&amp;"")="n/a")),"Disqualified Status; ",""))</x:f>
        <x:v/>
      </x:c>
      <x:c r="G81" s="331" t="str">
        <x:f>IF($H81="","",IFERROR(INDEX('Game Records'!$M:$M,$H81),""))</x:f>
        <x:v/>
      </x:c>
      <x:c r="H81" s="104" t="str">
        <x:f>IF($H80="","",IFERROR(MATCH(1,INDEX((ROW('Game Records'!$U$5:$U$504)&gt;$H80)*(('Game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1" s="104"/>
      <x:c r="J81" s="104"/>
    </x:row>
    <x:row r="82" ht="24" hidden="0" customHeight="1">
      <x:c r="A82" s="332" t="str">
        <x:f>IF($H82="","",ROWS($A$5:A82))</x:f>
        <x:v/>
      </x:c>
      <x:c r="B82" s="332" t="str">
        <x:f>IF($H82="","","G-"&amp;TEXT($A82,"0000"))</x:f>
        <x:v/>
      </x:c>
      <x:c r="C82" s="331" t="str">
        <x:f>IF($H82="","",IFERROR(INDEX('Game Records'!$A:$A,$H82),""))</x:f>
        <x:v/>
      </x:c>
      <x:c r="D82" s="331" t="str">
        <x:f>IF($H82="","",IFERROR(INDEX('Game Records'!$U:$U,$H82),""))</x:f>
        <x:v/>
      </x:c>
      <x:c r="E82" s="331" t="str">
        <x:f>IF($H82="","",IF($F82="","No Highlighted Fields","Highlighted Fields Present"))</x:f>
        <x:v/>
      </x:c>
      <x:c r="F82" s="331" t="str">
        <x:f>IF($H82="","",IF(INDEX('Game Records'!$B:$B,$H82)="","Start Date; ","")&amp;IF(INDEX('Game Records'!$C:$C,$H82)="","End Date; ","")&amp;IF(AND(INDEX('Game Records'!$U:$U,$H82)&lt;&gt;"Subscription",INDEX('Game Records'!$U:$U,$H82)&lt;&gt;"Free Game",INDEX('Game Records'!$U:$U,$H82)&lt;&gt;"Disqualified — Free Game",OR(INDEX('Game Records'!$D:$D,$H82)="",LOWER(INDEX('Game Records'!$D:$D,$H82)&amp;"")="n/a")),"Entry Mode; ","")&amp;IF(AND(INDEX('Game Records'!$U:$U,$H82)&lt;&gt;"Subscription",INDEX('Game Records'!$U:$U,$H82)&lt;&gt;"Free Game",INDEX('Game Records'!$U:$U,$H82)&lt;&gt;"Disqualified — Free Game",OR(INDEX('Game Records'!$E:$E,$H82)="",LOWER(INDEX('Game Records'!$E:$E,$H82)&amp;"")="n/a")),"Game Type; ","")&amp;IF(INDEX('Game Records'!$F:$F,$H82)="","Payment Type; ","")&amp;IF(AND(INDEX('Game Records'!$U:$U,$H82)&lt;&gt;"Subscription",INDEX('Game Records'!$U:$U,$H82)&lt;&gt;"Free Game",INDEX('Game Records'!$U:$U,$H82)&lt;&gt;"Disqualified — Free Game",INDEX('Game Records'!$G:$G,$H82)=""),"Gross Pot; ","")&amp;IF(AND(INDEX('Game Records'!$U:$U,$H82)&lt;&gt;"Free Game",INDEX('Game Records'!$U:$U,$H82)&lt;&gt;"Disqualified — Free Game",INDEX('Game Records'!$H:$H,$H82)=""),"Entry Fee; ","")&amp;IF(AND(INDEX('Game Records'!$U:$U,$H82)&lt;&gt;"Subscription",INDEX('Game Records'!$U:$U,$H82)&lt;&gt;"Free Game",INDEX('Game Records'!$U:$U,$H82)&lt;&gt;"Disqualified — Free Game",INDEX('Game Records'!$I:$I,$H82)=""),"Eligible Players; ","")&amp;IF(AND(INDEX('Game Records'!$U:$U,$H82)&lt;&gt;"Subscription",INDEX('Game Records'!$U:$U,$H82)&lt;&gt;"Free Game",INDEX('Game Records'!$U:$U,$H82)&lt;&gt;"Disqualified — Free Game",INDEX('Game Records'!$J:$J,$H82)=""),"Total Players; ","")&amp;IF(AND(LOWER(INDEX('Game Records'!$D:$D,$H82)&amp;"")="finalized",LOWER(INDEX('Game Records'!$L:$L,$H82)&amp;"")&lt;&gt;"yes",INDEX('Game Records'!$U:$U,$H82)&lt;&gt;"Subscription",INDEX('Game Records'!$U:$U,$H82)&lt;&gt;"Free Game",INDEX('Game Records'!$U:$U,$H82)&lt;&gt;"Disqualified — Free Game",INDEX('Game Records'!$K:$K,$H82)=""),"Final Earned; ","")&amp;IF(AND(LOWER(INDEX('Game Records'!$D:$D,$H82)&amp;"")="finalized",INDEX('Game Records'!$U:$U,$H82)&lt;&gt;"Subscription",INDEX('Game Records'!$U:$U,$H82)&lt;&gt;"Free Game",INDEX('Game Records'!$U:$U,$H82)&lt;&gt;"Disqualified — Free Game",OR(INDEX('Game Records'!$L:$L,$H82)="",LOWER(INDEX('Game Records'!$L:$L,$H82)&amp;"")="n/a")),"Disqualified Status; ",""))</x:f>
        <x:v/>
      </x:c>
      <x:c r="G82" s="331" t="str">
        <x:f>IF($H82="","",IFERROR(INDEX('Game Records'!$M:$M,$H82),""))</x:f>
        <x:v/>
      </x:c>
      <x:c r="H82" s="104" t="str">
        <x:f>IF($H81="","",IFERROR(MATCH(1,INDEX((ROW('Game Records'!$U$5:$U$504)&gt;$H81)*(('Game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2" s="104"/>
      <x:c r="J82" s="104"/>
    </x:row>
    <x:row r="83" ht="24" hidden="0" customHeight="1">
      <x:c r="A83" s="332" t="str">
        <x:f>IF($H83="","",ROWS($A$5:A83))</x:f>
        <x:v/>
      </x:c>
      <x:c r="B83" s="332" t="str">
        <x:f>IF($H83="","","G-"&amp;TEXT($A83,"0000"))</x:f>
        <x:v/>
      </x:c>
      <x:c r="C83" s="331" t="str">
        <x:f>IF($H83="","",IFERROR(INDEX('Game Records'!$A:$A,$H83),""))</x:f>
        <x:v/>
      </x:c>
      <x:c r="D83" s="331" t="str">
        <x:f>IF($H83="","",IFERROR(INDEX('Game Records'!$U:$U,$H83),""))</x:f>
        <x:v/>
      </x:c>
      <x:c r="E83" s="331" t="str">
        <x:f>IF($H83="","",IF($F83="","No Highlighted Fields","Highlighted Fields Present"))</x:f>
        <x:v/>
      </x:c>
      <x:c r="F83" s="331" t="str">
        <x:f>IF($H83="","",IF(INDEX('Game Records'!$B:$B,$H83)="","Start Date; ","")&amp;IF(INDEX('Game Records'!$C:$C,$H83)="","End Date; ","")&amp;IF(AND(INDEX('Game Records'!$U:$U,$H83)&lt;&gt;"Subscription",INDEX('Game Records'!$U:$U,$H83)&lt;&gt;"Free Game",INDEX('Game Records'!$U:$U,$H83)&lt;&gt;"Disqualified — Free Game",OR(INDEX('Game Records'!$D:$D,$H83)="",LOWER(INDEX('Game Records'!$D:$D,$H83)&amp;"")="n/a")),"Entry Mode; ","")&amp;IF(AND(INDEX('Game Records'!$U:$U,$H83)&lt;&gt;"Subscription",INDEX('Game Records'!$U:$U,$H83)&lt;&gt;"Free Game",INDEX('Game Records'!$U:$U,$H83)&lt;&gt;"Disqualified — Free Game",OR(INDEX('Game Records'!$E:$E,$H83)="",LOWER(INDEX('Game Records'!$E:$E,$H83)&amp;"")="n/a")),"Game Type; ","")&amp;IF(INDEX('Game Records'!$F:$F,$H83)="","Payment Type; ","")&amp;IF(AND(INDEX('Game Records'!$U:$U,$H83)&lt;&gt;"Subscription",INDEX('Game Records'!$U:$U,$H83)&lt;&gt;"Free Game",INDEX('Game Records'!$U:$U,$H83)&lt;&gt;"Disqualified — Free Game",INDEX('Game Records'!$G:$G,$H83)=""),"Gross Pot; ","")&amp;IF(AND(INDEX('Game Records'!$U:$U,$H83)&lt;&gt;"Free Game",INDEX('Game Records'!$U:$U,$H83)&lt;&gt;"Disqualified — Free Game",INDEX('Game Records'!$H:$H,$H83)=""),"Entry Fee; ","")&amp;IF(AND(INDEX('Game Records'!$U:$U,$H83)&lt;&gt;"Subscription",INDEX('Game Records'!$U:$U,$H83)&lt;&gt;"Free Game",INDEX('Game Records'!$U:$U,$H83)&lt;&gt;"Disqualified — Free Game",INDEX('Game Records'!$I:$I,$H83)=""),"Eligible Players; ","")&amp;IF(AND(INDEX('Game Records'!$U:$U,$H83)&lt;&gt;"Subscription",INDEX('Game Records'!$U:$U,$H83)&lt;&gt;"Free Game",INDEX('Game Records'!$U:$U,$H83)&lt;&gt;"Disqualified — Free Game",INDEX('Game Records'!$J:$J,$H83)=""),"Total Players; ","")&amp;IF(AND(LOWER(INDEX('Game Records'!$D:$D,$H83)&amp;"")="finalized",LOWER(INDEX('Game Records'!$L:$L,$H83)&amp;"")&lt;&gt;"yes",INDEX('Game Records'!$U:$U,$H83)&lt;&gt;"Subscription",INDEX('Game Records'!$U:$U,$H83)&lt;&gt;"Free Game",INDEX('Game Records'!$U:$U,$H83)&lt;&gt;"Disqualified — Free Game",INDEX('Game Records'!$K:$K,$H83)=""),"Final Earned; ","")&amp;IF(AND(LOWER(INDEX('Game Records'!$D:$D,$H83)&amp;"")="finalized",INDEX('Game Records'!$U:$U,$H83)&lt;&gt;"Subscription",INDEX('Game Records'!$U:$U,$H83)&lt;&gt;"Free Game",INDEX('Game Records'!$U:$U,$H83)&lt;&gt;"Disqualified — Free Game",OR(INDEX('Game Records'!$L:$L,$H83)="",LOWER(INDEX('Game Records'!$L:$L,$H83)&amp;"")="n/a")),"Disqualified Status; ",""))</x:f>
        <x:v/>
      </x:c>
      <x:c r="G83" s="331" t="str">
        <x:f>IF($H83="","",IFERROR(INDEX('Game Records'!$M:$M,$H83),""))</x:f>
        <x:v/>
      </x:c>
      <x:c r="H83" s="104" t="str">
        <x:f>IF($H82="","",IFERROR(MATCH(1,INDEX((ROW('Game Records'!$U$5:$U$504)&gt;$H82)*(('Game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3" s="104"/>
      <x:c r="J83" s="104"/>
    </x:row>
    <x:row r="84" ht="24" hidden="0" customHeight="1">
      <x:c r="A84" s="332" t="str">
        <x:f>IF($H84="","",ROWS($A$5:A84))</x:f>
        <x:v/>
      </x:c>
      <x:c r="B84" s="332" t="str">
        <x:f>IF($H84="","","G-"&amp;TEXT($A84,"0000"))</x:f>
        <x:v/>
      </x:c>
      <x:c r="C84" s="331" t="str">
        <x:f>IF($H84="","",IFERROR(INDEX('Game Records'!$A:$A,$H84),""))</x:f>
        <x:v/>
      </x:c>
      <x:c r="D84" s="331" t="str">
        <x:f>IF($H84="","",IFERROR(INDEX('Game Records'!$U:$U,$H84),""))</x:f>
        <x:v/>
      </x:c>
      <x:c r="E84" s="331" t="str">
        <x:f>IF($H84="","",IF($F84="","No Highlighted Fields","Highlighted Fields Present"))</x:f>
        <x:v/>
      </x:c>
      <x:c r="F84" s="331" t="str">
        <x:f>IF($H84="","",IF(INDEX('Game Records'!$B:$B,$H84)="","Start Date; ","")&amp;IF(INDEX('Game Records'!$C:$C,$H84)="","End Date; ","")&amp;IF(AND(INDEX('Game Records'!$U:$U,$H84)&lt;&gt;"Subscription",INDEX('Game Records'!$U:$U,$H84)&lt;&gt;"Free Game",INDEX('Game Records'!$U:$U,$H84)&lt;&gt;"Disqualified — Free Game",OR(INDEX('Game Records'!$D:$D,$H84)="",LOWER(INDEX('Game Records'!$D:$D,$H84)&amp;"")="n/a")),"Entry Mode; ","")&amp;IF(AND(INDEX('Game Records'!$U:$U,$H84)&lt;&gt;"Subscription",INDEX('Game Records'!$U:$U,$H84)&lt;&gt;"Free Game",INDEX('Game Records'!$U:$U,$H84)&lt;&gt;"Disqualified — Free Game",OR(INDEX('Game Records'!$E:$E,$H84)="",LOWER(INDEX('Game Records'!$E:$E,$H84)&amp;"")="n/a")),"Game Type; ","")&amp;IF(INDEX('Game Records'!$F:$F,$H84)="","Payment Type; ","")&amp;IF(AND(INDEX('Game Records'!$U:$U,$H84)&lt;&gt;"Subscription",INDEX('Game Records'!$U:$U,$H84)&lt;&gt;"Free Game",INDEX('Game Records'!$U:$U,$H84)&lt;&gt;"Disqualified — Free Game",INDEX('Game Records'!$G:$G,$H84)=""),"Gross Pot; ","")&amp;IF(AND(INDEX('Game Records'!$U:$U,$H84)&lt;&gt;"Free Game",INDEX('Game Records'!$U:$U,$H84)&lt;&gt;"Disqualified — Free Game",INDEX('Game Records'!$H:$H,$H84)=""),"Entry Fee; ","")&amp;IF(AND(INDEX('Game Records'!$U:$U,$H84)&lt;&gt;"Subscription",INDEX('Game Records'!$U:$U,$H84)&lt;&gt;"Free Game",INDEX('Game Records'!$U:$U,$H84)&lt;&gt;"Disqualified — Free Game",INDEX('Game Records'!$I:$I,$H84)=""),"Eligible Players; ","")&amp;IF(AND(INDEX('Game Records'!$U:$U,$H84)&lt;&gt;"Subscription",INDEX('Game Records'!$U:$U,$H84)&lt;&gt;"Free Game",INDEX('Game Records'!$U:$U,$H84)&lt;&gt;"Disqualified — Free Game",INDEX('Game Records'!$J:$J,$H84)=""),"Total Players; ","")&amp;IF(AND(LOWER(INDEX('Game Records'!$D:$D,$H84)&amp;"")="finalized",LOWER(INDEX('Game Records'!$L:$L,$H84)&amp;"")&lt;&gt;"yes",INDEX('Game Records'!$U:$U,$H84)&lt;&gt;"Subscription",INDEX('Game Records'!$U:$U,$H84)&lt;&gt;"Free Game",INDEX('Game Records'!$U:$U,$H84)&lt;&gt;"Disqualified — Free Game",INDEX('Game Records'!$K:$K,$H84)=""),"Final Earned; ","")&amp;IF(AND(LOWER(INDEX('Game Records'!$D:$D,$H84)&amp;"")="finalized",INDEX('Game Records'!$U:$U,$H84)&lt;&gt;"Subscription",INDEX('Game Records'!$U:$U,$H84)&lt;&gt;"Free Game",INDEX('Game Records'!$U:$U,$H84)&lt;&gt;"Disqualified — Free Game",OR(INDEX('Game Records'!$L:$L,$H84)="",LOWER(INDEX('Game Records'!$L:$L,$H84)&amp;"")="n/a")),"Disqualified Status; ",""))</x:f>
        <x:v/>
      </x:c>
      <x:c r="G84" s="331" t="str">
        <x:f>IF($H84="","",IFERROR(INDEX('Game Records'!$M:$M,$H84),""))</x:f>
        <x:v/>
      </x:c>
      <x:c r="H84" s="104" t="str">
        <x:f>IF($H83="","",IFERROR(MATCH(1,INDEX((ROW('Game Records'!$U$5:$U$504)&gt;$H83)*(('Game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4" s="104"/>
      <x:c r="J84" s="104"/>
    </x:row>
    <x:row r="85" ht="24" hidden="0" customHeight="1">
      <x:c r="A85" s="332" t="str">
        <x:f>IF($H85="","",ROWS($A$5:A85))</x:f>
        <x:v/>
      </x:c>
      <x:c r="B85" s="332" t="str">
        <x:f>IF($H85="","","G-"&amp;TEXT($A85,"0000"))</x:f>
        <x:v/>
      </x:c>
      <x:c r="C85" s="331" t="str">
        <x:f>IF($H85="","",IFERROR(INDEX('Game Records'!$A:$A,$H85),""))</x:f>
        <x:v/>
      </x:c>
      <x:c r="D85" s="331" t="str">
        <x:f>IF($H85="","",IFERROR(INDEX('Game Records'!$U:$U,$H85),""))</x:f>
        <x:v/>
      </x:c>
      <x:c r="E85" s="331" t="str">
        <x:f>IF($H85="","",IF($F85="","No Highlighted Fields","Highlighted Fields Present"))</x:f>
        <x:v/>
      </x:c>
      <x:c r="F85" s="331" t="str">
        <x:f>IF($H85="","",IF(INDEX('Game Records'!$B:$B,$H85)="","Start Date; ","")&amp;IF(INDEX('Game Records'!$C:$C,$H85)="","End Date; ","")&amp;IF(AND(INDEX('Game Records'!$U:$U,$H85)&lt;&gt;"Subscription",INDEX('Game Records'!$U:$U,$H85)&lt;&gt;"Free Game",INDEX('Game Records'!$U:$U,$H85)&lt;&gt;"Disqualified — Free Game",OR(INDEX('Game Records'!$D:$D,$H85)="",LOWER(INDEX('Game Records'!$D:$D,$H85)&amp;"")="n/a")),"Entry Mode; ","")&amp;IF(AND(INDEX('Game Records'!$U:$U,$H85)&lt;&gt;"Subscription",INDEX('Game Records'!$U:$U,$H85)&lt;&gt;"Free Game",INDEX('Game Records'!$U:$U,$H85)&lt;&gt;"Disqualified — Free Game",OR(INDEX('Game Records'!$E:$E,$H85)="",LOWER(INDEX('Game Records'!$E:$E,$H85)&amp;"")="n/a")),"Game Type; ","")&amp;IF(INDEX('Game Records'!$F:$F,$H85)="","Payment Type; ","")&amp;IF(AND(INDEX('Game Records'!$U:$U,$H85)&lt;&gt;"Subscription",INDEX('Game Records'!$U:$U,$H85)&lt;&gt;"Free Game",INDEX('Game Records'!$U:$U,$H85)&lt;&gt;"Disqualified — Free Game",INDEX('Game Records'!$G:$G,$H85)=""),"Gross Pot; ","")&amp;IF(AND(INDEX('Game Records'!$U:$U,$H85)&lt;&gt;"Free Game",INDEX('Game Records'!$U:$U,$H85)&lt;&gt;"Disqualified — Free Game",INDEX('Game Records'!$H:$H,$H85)=""),"Entry Fee; ","")&amp;IF(AND(INDEX('Game Records'!$U:$U,$H85)&lt;&gt;"Subscription",INDEX('Game Records'!$U:$U,$H85)&lt;&gt;"Free Game",INDEX('Game Records'!$U:$U,$H85)&lt;&gt;"Disqualified — Free Game",INDEX('Game Records'!$I:$I,$H85)=""),"Eligible Players; ","")&amp;IF(AND(INDEX('Game Records'!$U:$U,$H85)&lt;&gt;"Subscription",INDEX('Game Records'!$U:$U,$H85)&lt;&gt;"Free Game",INDEX('Game Records'!$U:$U,$H85)&lt;&gt;"Disqualified — Free Game",INDEX('Game Records'!$J:$J,$H85)=""),"Total Players; ","")&amp;IF(AND(LOWER(INDEX('Game Records'!$D:$D,$H85)&amp;"")="finalized",LOWER(INDEX('Game Records'!$L:$L,$H85)&amp;"")&lt;&gt;"yes",INDEX('Game Records'!$U:$U,$H85)&lt;&gt;"Subscription",INDEX('Game Records'!$U:$U,$H85)&lt;&gt;"Free Game",INDEX('Game Records'!$U:$U,$H85)&lt;&gt;"Disqualified — Free Game",INDEX('Game Records'!$K:$K,$H85)=""),"Final Earned; ","")&amp;IF(AND(LOWER(INDEX('Game Records'!$D:$D,$H85)&amp;"")="finalized",INDEX('Game Records'!$U:$U,$H85)&lt;&gt;"Subscription",INDEX('Game Records'!$U:$U,$H85)&lt;&gt;"Free Game",INDEX('Game Records'!$U:$U,$H85)&lt;&gt;"Disqualified — Free Game",OR(INDEX('Game Records'!$L:$L,$H85)="",LOWER(INDEX('Game Records'!$L:$L,$H85)&amp;"")="n/a")),"Disqualified Status; ",""))</x:f>
        <x:v/>
      </x:c>
      <x:c r="G85" s="331" t="str">
        <x:f>IF($H85="","",IFERROR(INDEX('Game Records'!$M:$M,$H85),""))</x:f>
        <x:v/>
      </x:c>
      <x:c r="H85" s="104" t="str">
        <x:f>IF($H84="","",IFERROR(MATCH(1,INDEX((ROW('Game Records'!$U$5:$U$504)&gt;$H84)*(('Game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5" s="104"/>
      <x:c r="J85" s="104"/>
    </x:row>
    <x:row r="86" ht="24" hidden="0" customHeight="1">
      <x:c r="A86" s="332" t="str">
        <x:f>IF($H86="","",ROWS($A$5:A86))</x:f>
        <x:v/>
      </x:c>
      <x:c r="B86" s="332" t="str">
        <x:f>IF($H86="","","G-"&amp;TEXT($A86,"0000"))</x:f>
        <x:v/>
      </x:c>
      <x:c r="C86" s="331" t="str">
        <x:f>IF($H86="","",IFERROR(INDEX('Game Records'!$A:$A,$H86),""))</x:f>
        <x:v/>
      </x:c>
      <x:c r="D86" s="331" t="str">
        <x:f>IF($H86="","",IFERROR(INDEX('Game Records'!$U:$U,$H86),""))</x:f>
        <x:v/>
      </x:c>
      <x:c r="E86" s="331" t="str">
        <x:f>IF($H86="","",IF($F86="","No Highlighted Fields","Highlighted Fields Present"))</x:f>
        <x:v/>
      </x:c>
      <x:c r="F86" s="331" t="str">
        <x:f>IF($H86="","",IF(INDEX('Game Records'!$B:$B,$H86)="","Start Date; ","")&amp;IF(INDEX('Game Records'!$C:$C,$H86)="","End Date; ","")&amp;IF(AND(INDEX('Game Records'!$U:$U,$H86)&lt;&gt;"Subscription",INDEX('Game Records'!$U:$U,$H86)&lt;&gt;"Free Game",INDEX('Game Records'!$U:$U,$H86)&lt;&gt;"Disqualified — Free Game",OR(INDEX('Game Records'!$D:$D,$H86)="",LOWER(INDEX('Game Records'!$D:$D,$H86)&amp;"")="n/a")),"Entry Mode; ","")&amp;IF(AND(INDEX('Game Records'!$U:$U,$H86)&lt;&gt;"Subscription",INDEX('Game Records'!$U:$U,$H86)&lt;&gt;"Free Game",INDEX('Game Records'!$U:$U,$H86)&lt;&gt;"Disqualified — Free Game",OR(INDEX('Game Records'!$E:$E,$H86)="",LOWER(INDEX('Game Records'!$E:$E,$H86)&amp;"")="n/a")),"Game Type; ","")&amp;IF(INDEX('Game Records'!$F:$F,$H86)="","Payment Type; ","")&amp;IF(AND(INDEX('Game Records'!$U:$U,$H86)&lt;&gt;"Subscription",INDEX('Game Records'!$U:$U,$H86)&lt;&gt;"Free Game",INDEX('Game Records'!$U:$U,$H86)&lt;&gt;"Disqualified — Free Game",INDEX('Game Records'!$G:$G,$H86)=""),"Gross Pot; ","")&amp;IF(AND(INDEX('Game Records'!$U:$U,$H86)&lt;&gt;"Free Game",INDEX('Game Records'!$U:$U,$H86)&lt;&gt;"Disqualified — Free Game",INDEX('Game Records'!$H:$H,$H86)=""),"Entry Fee; ","")&amp;IF(AND(INDEX('Game Records'!$U:$U,$H86)&lt;&gt;"Subscription",INDEX('Game Records'!$U:$U,$H86)&lt;&gt;"Free Game",INDEX('Game Records'!$U:$U,$H86)&lt;&gt;"Disqualified — Free Game",INDEX('Game Records'!$I:$I,$H86)=""),"Eligible Players; ","")&amp;IF(AND(INDEX('Game Records'!$U:$U,$H86)&lt;&gt;"Subscription",INDEX('Game Records'!$U:$U,$H86)&lt;&gt;"Free Game",INDEX('Game Records'!$U:$U,$H86)&lt;&gt;"Disqualified — Free Game",INDEX('Game Records'!$J:$J,$H86)=""),"Total Players; ","")&amp;IF(AND(LOWER(INDEX('Game Records'!$D:$D,$H86)&amp;"")="finalized",LOWER(INDEX('Game Records'!$L:$L,$H86)&amp;"")&lt;&gt;"yes",INDEX('Game Records'!$U:$U,$H86)&lt;&gt;"Subscription",INDEX('Game Records'!$U:$U,$H86)&lt;&gt;"Free Game",INDEX('Game Records'!$U:$U,$H86)&lt;&gt;"Disqualified — Free Game",INDEX('Game Records'!$K:$K,$H86)=""),"Final Earned; ","")&amp;IF(AND(LOWER(INDEX('Game Records'!$D:$D,$H86)&amp;"")="finalized",INDEX('Game Records'!$U:$U,$H86)&lt;&gt;"Subscription",INDEX('Game Records'!$U:$U,$H86)&lt;&gt;"Free Game",INDEX('Game Records'!$U:$U,$H86)&lt;&gt;"Disqualified — Free Game",OR(INDEX('Game Records'!$L:$L,$H86)="",LOWER(INDEX('Game Records'!$L:$L,$H86)&amp;"")="n/a")),"Disqualified Status; ",""))</x:f>
        <x:v/>
      </x:c>
      <x:c r="G86" s="331" t="str">
        <x:f>IF($H86="","",IFERROR(INDEX('Game Records'!$M:$M,$H86),""))</x:f>
        <x:v/>
      </x:c>
      <x:c r="H86" s="104" t="str">
        <x:f>IF($H85="","",IFERROR(MATCH(1,INDEX((ROW('Game Records'!$U$5:$U$504)&gt;$H85)*(('Game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6" s="104"/>
      <x:c r="J86" s="104"/>
    </x:row>
    <x:row r="87" ht="24" hidden="0" customHeight="1">
      <x:c r="A87" s="332" t="str">
        <x:f>IF($H87="","",ROWS($A$5:A87))</x:f>
        <x:v/>
      </x:c>
      <x:c r="B87" s="332" t="str">
        <x:f>IF($H87="","","G-"&amp;TEXT($A87,"0000"))</x:f>
        <x:v/>
      </x:c>
      <x:c r="C87" s="331" t="str">
        <x:f>IF($H87="","",IFERROR(INDEX('Game Records'!$A:$A,$H87),""))</x:f>
        <x:v/>
      </x:c>
      <x:c r="D87" s="331" t="str">
        <x:f>IF($H87="","",IFERROR(INDEX('Game Records'!$U:$U,$H87),""))</x:f>
        <x:v/>
      </x:c>
      <x:c r="E87" s="331" t="str">
        <x:f>IF($H87="","",IF($F87="","No Highlighted Fields","Highlighted Fields Present"))</x:f>
        <x:v/>
      </x:c>
      <x:c r="F87" s="331" t="str">
        <x:f>IF($H87="","",IF(INDEX('Game Records'!$B:$B,$H87)="","Start Date; ","")&amp;IF(INDEX('Game Records'!$C:$C,$H87)="","End Date; ","")&amp;IF(AND(INDEX('Game Records'!$U:$U,$H87)&lt;&gt;"Subscription",INDEX('Game Records'!$U:$U,$H87)&lt;&gt;"Free Game",INDEX('Game Records'!$U:$U,$H87)&lt;&gt;"Disqualified — Free Game",OR(INDEX('Game Records'!$D:$D,$H87)="",LOWER(INDEX('Game Records'!$D:$D,$H87)&amp;"")="n/a")),"Entry Mode; ","")&amp;IF(AND(INDEX('Game Records'!$U:$U,$H87)&lt;&gt;"Subscription",INDEX('Game Records'!$U:$U,$H87)&lt;&gt;"Free Game",INDEX('Game Records'!$U:$U,$H87)&lt;&gt;"Disqualified — Free Game",OR(INDEX('Game Records'!$E:$E,$H87)="",LOWER(INDEX('Game Records'!$E:$E,$H87)&amp;"")="n/a")),"Game Type; ","")&amp;IF(INDEX('Game Records'!$F:$F,$H87)="","Payment Type; ","")&amp;IF(AND(INDEX('Game Records'!$U:$U,$H87)&lt;&gt;"Subscription",INDEX('Game Records'!$U:$U,$H87)&lt;&gt;"Free Game",INDEX('Game Records'!$U:$U,$H87)&lt;&gt;"Disqualified — Free Game",INDEX('Game Records'!$G:$G,$H87)=""),"Gross Pot; ","")&amp;IF(AND(INDEX('Game Records'!$U:$U,$H87)&lt;&gt;"Free Game",INDEX('Game Records'!$U:$U,$H87)&lt;&gt;"Disqualified — Free Game",INDEX('Game Records'!$H:$H,$H87)=""),"Entry Fee; ","")&amp;IF(AND(INDEX('Game Records'!$U:$U,$H87)&lt;&gt;"Subscription",INDEX('Game Records'!$U:$U,$H87)&lt;&gt;"Free Game",INDEX('Game Records'!$U:$U,$H87)&lt;&gt;"Disqualified — Free Game",INDEX('Game Records'!$I:$I,$H87)=""),"Eligible Players; ","")&amp;IF(AND(INDEX('Game Records'!$U:$U,$H87)&lt;&gt;"Subscription",INDEX('Game Records'!$U:$U,$H87)&lt;&gt;"Free Game",INDEX('Game Records'!$U:$U,$H87)&lt;&gt;"Disqualified — Free Game",INDEX('Game Records'!$J:$J,$H87)=""),"Total Players; ","")&amp;IF(AND(LOWER(INDEX('Game Records'!$D:$D,$H87)&amp;"")="finalized",LOWER(INDEX('Game Records'!$L:$L,$H87)&amp;"")&lt;&gt;"yes",INDEX('Game Records'!$U:$U,$H87)&lt;&gt;"Subscription",INDEX('Game Records'!$U:$U,$H87)&lt;&gt;"Free Game",INDEX('Game Records'!$U:$U,$H87)&lt;&gt;"Disqualified — Free Game",INDEX('Game Records'!$K:$K,$H87)=""),"Final Earned; ","")&amp;IF(AND(LOWER(INDEX('Game Records'!$D:$D,$H87)&amp;"")="finalized",INDEX('Game Records'!$U:$U,$H87)&lt;&gt;"Subscription",INDEX('Game Records'!$U:$U,$H87)&lt;&gt;"Free Game",INDEX('Game Records'!$U:$U,$H87)&lt;&gt;"Disqualified — Free Game",OR(INDEX('Game Records'!$L:$L,$H87)="",LOWER(INDEX('Game Records'!$L:$L,$H87)&amp;"")="n/a")),"Disqualified Status; ",""))</x:f>
        <x:v/>
      </x:c>
      <x:c r="G87" s="331" t="str">
        <x:f>IF($H87="","",IFERROR(INDEX('Game Records'!$M:$M,$H87),""))</x:f>
        <x:v/>
      </x:c>
      <x:c r="H87" s="104" t="str">
        <x:f>IF($H86="","",IFERROR(MATCH(1,INDEX((ROW('Game Records'!$U$5:$U$504)&gt;$H86)*(('Game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7" s="104"/>
      <x:c r="J87" s="104"/>
    </x:row>
    <x:row r="88" ht="24" hidden="0" customHeight="1">
      <x:c r="A88" s="332" t="str">
        <x:f>IF($H88="","",ROWS($A$5:A88))</x:f>
        <x:v/>
      </x:c>
      <x:c r="B88" s="332" t="str">
        <x:f>IF($H88="","","G-"&amp;TEXT($A88,"0000"))</x:f>
        <x:v/>
      </x:c>
      <x:c r="C88" s="331" t="str">
        <x:f>IF($H88="","",IFERROR(INDEX('Game Records'!$A:$A,$H88),""))</x:f>
        <x:v/>
      </x:c>
      <x:c r="D88" s="331" t="str">
        <x:f>IF($H88="","",IFERROR(INDEX('Game Records'!$U:$U,$H88),""))</x:f>
        <x:v/>
      </x:c>
      <x:c r="E88" s="331" t="str">
        <x:f>IF($H88="","",IF($F88="","No Highlighted Fields","Highlighted Fields Present"))</x:f>
        <x:v/>
      </x:c>
      <x:c r="F88" s="331" t="str">
        <x:f>IF($H88="","",IF(INDEX('Game Records'!$B:$B,$H88)="","Start Date; ","")&amp;IF(INDEX('Game Records'!$C:$C,$H88)="","End Date; ","")&amp;IF(AND(INDEX('Game Records'!$U:$U,$H88)&lt;&gt;"Subscription",INDEX('Game Records'!$U:$U,$H88)&lt;&gt;"Free Game",INDEX('Game Records'!$U:$U,$H88)&lt;&gt;"Disqualified — Free Game",OR(INDEX('Game Records'!$D:$D,$H88)="",LOWER(INDEX('Game Records'!$D:$D,$H88)&amp;"")="n/a")),"Entry Mode; ","")&amp;IF(AND(INDEX('Game Records'!$U:$U,$H88)&lt;&gt;"Subscription",INDEX('Game Records'!$U:$U,$H88)&lt;&gt;"Free Game",INDEX('Game Records'!$U:$U,$H88)&lt;&gt;"Disqualified — Free Game",OR(INDEX('Game Records'!$E:$E,$H88)="",LOWER(INDEX('Game Records'!$E:$E,$H88)&amp;"")="n/a")),"Game Type; ","")&amp;IF(INDEX('Game Records'!$F:$F,$H88)="","Payment Type; ","")&amp;IF(AND(INDEX('Game Records'!$U:$U,$H88)&lt;&gt;"Subscription",INDEX('Game Records'!$U:$U,$H88)&lt;&gt;"Free Game",INDEX('Game Records'!$U:$U,$H88)&lt;&gt;"Disqualified — Free Game",INDEX('Game Records'!$G:$G,$H88)=""),"Gross Pot; ","")&amp;IF(AND(INDEX('Game Records'!$U:$U,$H88)&lt;&gt;"Free Game",INDEX('Game Records'!$U:$U,$H88)&lt;&gt;"Disqualified — Free Game",INDEX('Game Records'!$H:$H,$H88)=""),"Entry Fee; ","")&amp;IF(AND(INDEX('Game Records'!$U:$U,$H88)&lt;&gt;"Subscription",INDEX('Game Records'!$U:$U,$H88)&lt;&gt;"Free Game",INDEX('Game Records'!$U:$U,$H88)&lt;&gt;"Disqualified — Free Game",INDEX('Game Records'!$I:$I,$H88)=""),"Eligible Players; ","")&amp;IF(AND(INDEX('Game Records'!$U:$U,$H88)&lt;&gt;"Subscription",INDEX('Game Records'!$U:$U,$H88)&lt;&gt;"Free Game",INDEX('Game Records'!$U:$U,$H88)&lt;&gt;"Disqualified — Free Game",INDEX('Game Records'!$J:$J,$H88)=""),"Total Players; ","")&amp;IF(AND(LOWER(INDEX('Game Records'!$D:$D,$H88)&amp;"")="finalized",LOWER(INDEX('Game Records'!$L:$L,$H88)&amp;"")&lt;&gt;"yes",INDEX('Game Records'!$U:$U,$H88)&lt;&gt;"Subscription",INDEX('Game Records'!$U:$U,$H88)&lt;&gt;"Free Game",INDEX('Game Records'!$U:$U,$H88)&lt;&gt;"Disqualified — Free Game",INDEX('Game Records'!$K:$K,$H88)=""),"Final Earned; ","")&amp;IF(AND(LOWER(INDEX('Game Records'!$D:$D,$H88)&amp;"")="finalized",INDEX('Game Records'!$U:$U,$H88)&lt;&gt;"Subscription",INDEX('Game Records'!$U:$U,$H88)&lt;&gt;"Free Game",INDEX('Game Records'!$U:$U,$H88)&lt;&gt;"Disqualified — Free Game",OR(INDEX('Game Records'!$L:$L,$H88)="",LOWER(INDEX('Game Records'!$L:$L,$H88)&amp;"")="n/a")),"Disqualified Status; ",""))</x:f>
        <x:v/>
      </x:c>
      <x:c r="G88" s="331" t="str">
        <x:f>IF($H88="","",IFERROR(INDEX('Game Records'!$M:$M,$H88),""))</x:f>
        <x:v/>
      </x:c>
      <x:c r="H88" s="104" t="str">
        <x:f>IF($H87="","",IFERROR(MATCH(1,INDEX((ROW('Game Records'!$U$5:$U$504)&gt;$H87)*(('Game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8" s="104"/>
      <x:c r="J88" s="104"/>
    </x:row>
    <x:row r="89" ht="24" hidden="0" customHeight="1">
      <x:c r="A89" s="332" t="str">
        <x:f>IF($H89="","",ROWS($A$5:A89))</x:f>
        <x:v/>
      </x:c>
      <x:c r="B89" s="332" t="str">
        <x:f>IF($H89="","","G-"&amp;TEXT($A89,"0000"))</x:f>
        <x:v/>
      </x:c>
      <x:c r="C89" s="331" t="str">
        <x:f>IF($H89="","",IFERROR(INDEX('Game Records'!$A:$A,$H89),""))</x:f>
        <x:v/>
      </x:c>
      <x:c r="D89" s="331" t="str">
        <x:f>IF($H89="","",IFERROR(INDEX('Game Records'!$U:$U,$H89),""))</x:f>
        <x:v/>
      </x:c>
      <x:c r="E89" s="331" t="str">
        <x:f>IF($H89="","",IF($F89="","No Highlighted Fields","Highlighted Fields Present"))</x:f>
        <x:v/>
      </x:c>
      <x:c r="F89" s="331" t="str">
        <x:f>IF($H89="","",IF(INDEX('Game Records'!$B:$B,$H89)="","Start Date; ","")&amp;IF(INDEX('Game Records'!$C:$C,$H89)="","End Date; ","")&amp;IF(AND(INDEX('Game Records'!$U:$U,$H89)&lt;&gt;"Subscription",INDEX('Game Records'!$U:$U,$H89)&lt;&gt;"Free Game",INDEX('Game Records'!$U:$U,$H89)&lt;&gt;"Disqualified — Free Game",OR(INDEX('Game Records'!$D:$D,$H89)="",LOWER(INDEX('Game Records'!$D:$D,$H89)&amp;"")="n/a")),"Entry Mode; ","")&amp;IF(AND(INDEX('Game Records'!$U:$U,$H89)&lt;&gt;"Subscription",INDEX('Game Records'!$U:$U,$H89)&lt;&gt;"Free Game",INDEX('Game Records'!$U:$U,$H89)&lt;&gt;"Disqualified — Free Game",OR(INDEX('Game Records'!$E:$E,$H89)="",LOWER(INDEX('Game Records'!$E:$E,$H89)&amp;"")="n/a")),"Game Type; ","")&amp;IF(INDEX('Game Records'!$F:$F,$H89)="","Payment Type; ","")&amp;IF(AND(INDEX('Game Records'!$U:$U,$H89)&lt;&gt;"Subscription",INDEX('Game Records'!$U:$U,$H89)&lt;&gt;"Free Game",INDEX('Game Records'!$U:$U,$H89)&lt;&gt;"Disqualified — Free Game",INDEX('Game Records'!$G:$G,$H89)=""),"Gross Pot; ","")&amp;IF(AND(INDEX('Game Records'!$U:$U,$H89)&lt;&gt;"Free Game",INDEX('Game Records'!$U:$U,$H89)&lt;&gt;"Disqualified — Free Game",INDEX('Game Records'!$H:$H,$H89)=""),"Entry Fee; ","")&amp;IF(AND(INDEX('Game Records'!$U:$U,$H89)&lt;&gt;"Subscription",INDEX('Game Records'!$U:$U,$H89)&lt;&gt;"Free Game",INDEX('Game Records'!$U:$U,$H89)&lt;&gt;"Disqualified — Free Game",INDEX('Game Records'!$I:$I,$H89)=""),"Eligible Players; ","")&amp;IF(AND(INDEX('Game Records'!$U:$U,$H89)&lt;&gt;"Subscription",INDEX('Game Records'!$U:$U,$H89)&lt;&gt;"Free Game",INDEX('Game Records'!$U:$U,$H89)&lt;&gt;"Disqualified — Free Game",INDEX('Game Records'!$J:$J,$H89)=""),"Total Players; ","")&amp;IF(AND(LOWER(INDEX('Game Records'!$D:$D,$H89)&amp;"")="finalized",LOWER(INDEX('Game Records'!$L:$L,$H89)&amp;"")&lt;&gt;"yes",INDEX('Game Records'!$U:$U,$H89)&lt;&gt;"Subscription",INDEX('Game Records'!$U:$U,$H89)&lt;&gt;"Free Game",INDEX('Game Records'!$U:$U,$H89)&lt;&gt;"Disqualified — Free Game",INDEX('Game Records'!$K:$K,$H89)=""),"Final Earned; ","")&amp;IF(AND(LOWER(INDEX('Game Records'!$D:$D,$H89)&amp;"")="finalized",INDEX('Game Records'!$U:$U,$H89)&lt;&gt;"Subscription",INDEX('Game Records'!$U:$U,$H89)&lt;&gt;"Free Game",INDEX('Game Records'!$U:$U,$H89)&lt;&gt;"Disqualified — Free Game",OR(INDEX('Game Records'!$L:$L,$H89)="",LOWER(INDEX('Game Records'!$L:$L,$H89)&amp;"")="n/a")),"Disqualified Status; ",""))</x:f>
        <x:v/>
      </x:c>
      <x:c r="G89" s="331" t="str">
        <x:f>IF($H89="","",IFERROR(INDEX('Game Records'!$M:$M,$H89),""))</x:f>
        <x:v/>
      </x:c>
      <x:c r="H89" s="104" t="str">
        <x:f>IF($H88="","",IFERROR(MATCH(1,INDEX((ROW('Game Records'!$U$5:$U$504)&gt;$H88)*(('Game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89" s="104"/>
      <x:c r="J89" s="104"/>
    </x:row>
    <x:row r="90" ht="24" hidden="0" customHeight="1">
      <x:c r="A90" s="332" t="str">
        <x:f>IF($H90="","",ROWS($A$5:A90))</x:f>
        <x:v/>
      </x:c>
      <x:c r="B90" s="332" t="str">
        <x:f>IF($H90="","","G-"&amp;TEXT($A90,"0000"))</x:f>
        <x:v/>
      </x:c>
      <x:c r="C90" s="331" t="str">
        <x:f>IF($H90="","",IFERROR(INDEX('Game Records'!$A:$A,$H90),""))</x:f>
        <x:v/>
      </x:c>
      <x:c r="D90" s="331" t="str">
        <x:f>IF($H90="","",IFERROR(INDEX('Game Records'!$U:$U,$H90),""))</x:f>
        <x:v/>
      </x:c>
      <x:c r="E90" s="331" t="str">
        <x:f>IF($H90="","",IF($F90="","No Highlighted Fields","Highlighted Fields Present"))</x:f>
        <x:v/>
      </x:c>
      <x:c r="F90" s="331" t="str">
        <x:f>IF($H90="","",IF(INDEX('Game Records'!$B:$B,$H90)="","Start Date; ","")&amp;IF(INDEX('Game Records'!$C:$C,$H90)="","End Date; ","")&amp;IF(AND(INDEX('Game Records'!$U:$U,$H90)&lt;&gt;"Subscription",INDEX('Game Records'!$U:$U,$H90)&lt;&gt;"Free Game",INDEX('Game Records'!$U:$U,$H90)&lt;&gt;"Disqualified — Free Game",OR(INDEX('Game Records'!$D:$D,$H90)="",LOWER(INDEX('Game Records'!$D:$D,$H90)&amp;"")="n/a")),"Entry Mode; ","")&amp;IF(AND(INDEX('Game Records'!$U:$U,$H90)&lt;&gt;"Subscription",INDEX('Game Records'!$U:$U,$H90)&lt;&gt;"Free Game",INDEX('Game Records'!$U:$U,$H90)&lt;&gt;"Disqualified — Free Game",OR(INDEX('Game Records'!$E:$E,$H90)="",LOWER(INDEX('Game Records'!$E:$E,$H90)&amp;"")="n/a")),"Game Type; ","")&amp;IF(INDEX('Game Records'!$F:$F,$H90)="","Payment Type; ","")&amp;IF(AND(INDEX('Game Records'!$U:$U,$H90)&lt;&gt;"Subscription",INDEX('Game Records'!$U:$U,$H90)&lt;&gt;"Free Game",INDEX('Game Records'!$U:$U,$H90)&lt;&gt;"Disqualified — Free Game",INDEX('Game Records'!$G:$G,$H90)=""),"Gross Pot; ","")&amp;IF(AND(INDEX('Game Records'!$U:$U,$H90)&lt;&gt;"Free Game",INDEX('Game Records'!$U:$U,$H90)&lt;&gt;"Disqualified — Free Game",INDEX('Game Records'!$H:$H,$H90)=""),"Entry Fee; ","")&amp;IF(AND(INDEX('Game Records'!$U:$U,$H90)&lt;&gt;"Subscription",INDEX('Game Records'!$U:$U,$H90)&lt;&gt;"Free Game",INDEX('Game Records'!$U:$U,$H90)&lt;&gt;"Disqualified — Free Game",INDEX('Game Records'!$I:$I,$H90)=""),"Eligible Players; ","")&amp;IF(AND(INDEX('Game Records'!$U:$U,$H90)&lt;&gt;"Subscription",INDEX('Game Records'!$U:$U,$H90)&lt;&gt;"Free Game",INDEX('Game Records'!$U:$U,$H90)&lt;&gt;"Disqualified — Free Game",INDEX('Game Records'!$J:$J,$H90)=""),"Total Players; ","")&amp;IF(AND(LOWER(INDEX('Game Records'!$D:$D,$H90)&amp;"")="finalized",LOWER(INDEX('Game Records'!$L:$L,$H90)&amp;"")&lt;&gt;"yes",INDEX('Game Records'!$U:$U,$H90)&lt;&gt;"Subscription",INDEX('Game Records'!$U:$U,$H90)&lt;&gt;"Free Game",INDEX('Game Records'!$U:$U,$H90)&lt;&gt;"Disqualified — Free Game",INDEX('Game Records'!$K:$K,$H90)=""),"Final Earned; ","")&amp;IF(AND(LOWER(INDEX('Game Records'!$D:$D,$H90)&amp;"")="finalized",INDEX('Game Records'!$U:$U,$H90)&lt;&gt;"Subscription",INDEX('Game Records'!$U:$U,$H90)&lt;&gt;"Free Game",INDEX('Game Records'!$U:$U,$H90)&lt;&gt;"Disqualified — Free Game",OR(INDEX('Game Records'!$L:$L,$H90)="",LOWER(INDEX('Game Records'!$L:$L,$H90)&amp;"")="n/a")),"Disqualified Status; ",""))</x:f>
        <x:v/>
      </x:c>
      <x:c r="G90" s="331" t="str">
        <x:f>IF($H90="","",IFERROR(INDEX('Game Records'!$M:$M,$H90),""))</x:f>
        <x:v/>
      </x:c>
      <x:c r="H90" s="104" t="str">
        <x:f>IF($H89="","",IFERROR(MATCH(1,INDEX((ROW('Game Records'!$U$5:$U$504)&gt;$H89)*(('Game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0" s="104"/>
      <x:c r="J90" s="104"/>
    </x:row>
    <x:row r="91" ht="24" hidden="0" customHeight="1">
      <x:c r="A91" s="332" t="str">
        <x:f>IF($H91="","",ROWS($A$5:A91))</x:f>
        <x:v/>
      </x:c>
      <x:c r="B91" s="332" t="str">
        <x:f>IF($H91="","","G-"&amp;TEXT($A91,"0000"))</x:f>
        <x:v/>
      </x:c>
      <x:c r="C91" s="331" t="str">
        <x:f>IF($H91="","",IFERROR(INDEX('Game Records'!$A:$A,$H91),""))</x:f>
        <x:v/>
      </x:c>
      <x:c r="D91" s="331" t="str">
        <x:f>IF($H91="","",IFERROR(INDEX('Game Records'!$U:$U,$H91),""))</x:f>
        <x:v/>
      </x:c>
      <x:c r="E91" s="331" t="str">
        <x:f>IF($H91="","",IF($F91="","No Highlighted Fields","Highlighted Fields Present"))</x:f>
        <x:v/>
      </x:c>
      <x:c r="F91" s="331" t="str">
        <x:f>IF($H91="","",IF(INDEX('Game Records'!$B:$B,$H91)="","Start Date; ","")&amp;IF(INDEX('Game Records'!$C:$C,$H91)="","End Date; ","")&amp;IF(AND(INDEX('Game Records'!$U:$U,$H91)&lt;&gt;"Subscription",INDEX('Game Records'!$U:$U,$H91)&lt;&gt;"Free Game",INDEX('Game Records'!$U:$U,$H91)&lt;&gt;"Disqualified — Free Game",OR(INDEX('Game Records'!$D:$D,$H91)="",LOWER(INDEX('Game Records'!$D:$D,$H91)&amp;"")="n/a")),"Entry Mode; ","")&amp;IF(AND(INDEX('Game Records'!$U:$U,$H91)&lt;&gt;"Subscription",INDEX('Game Records'!$U:$U,$H91)&lt;&gt;"Free Game",INDEX('Game Records'!$U:$U,$H91)&lt;&gt;"Disqualified — Free Game",OR(INDEX('Game Records'!$E:$E,$H91)="",LOWER(INDEX('Game Records'!$E:$E,$H91)&amp;"")="n/a")),"Game Type; ","")&amp;IF(INDEX('Game Records'!$F:$F,$H91)="","Payment Type; ","")&amp;IF(AND(INDEX('Game Records'!$U:$U,$H91)&lt;&gt;"Subscription",INDEX('Game Records'!$U:$U,$H91)&lt;&gt;"Free Game",INDEX('Game Records'!$U:$U,$H91)&lt;&gt;"Disqualified — Free Game",INDEX('Game Records'!$G:$G,$H91)=""),"Gross Pot; ","")&amp;IF(AND(INDEX('Game Records'!$U:$U,$H91)&lt;&gt;"Free Game",INDEX('Game Records'!$U:$U,$H91)&lt;&gt;"Disqualified — Free Game",INDEX('Game Records'!$H:$H,$H91)=""),"Entry Fee; ","")&amp;IF(AND(INDEX('Game Records'!$U:$U,$H91)&lt;&gt;"Subscription",INDEX('Game Records'!$U:$U,$H91)&lt;&gt;"Free Game",INDEX('Game Records'!$U:$U,$H91)&lt;&gt;"Disqualified — Free Game",INDEX('Game Records'!$I:$I,$H91)=""),"Eligible Players; ","")&amp;IF(AND(INDEX('Game Records'!$U:$U,$H91)&lt;&gt;"Subscription",INDEX('Game Records'!$U:$U,$H91)&lt;&gt;"Free Game",INDEX('Game Records'!$U:$U,$H91)&lt;&gt;"Disqualified — Free Game",INDEX('Game Records'!$J:$J,$H91)=""),"Total Players; ","")&amp;IF(AND(LOWER(INDEX('Game Records'!$D:$D,$H91)&amp;"")="finalized",LOWER(INDEX('Game Records'!$L:$L,$H91)&amp;"")&lt;&gt;"yes",INDEX('Game Records'!$U:$U,$H91)&lt;&gt;"Subscription",INDEX('Game Records'!$U:$U,$H91)&lt;&gt;"Free Game",INDEX('Game Records'!$U:$U,$H91)&lt;&gt;"Disqualified — Free Game",INDEX('Game Records'!$K:$K,$H91)=""),"Final Earned; ","")&amp;IF(AND(LOWER(INDEX('Game Records'!$D:$D,$H91)&amp;"")="finalized",INDEX('Game Records'!$U:$U,$H91)&lt;&gt;"Subscription",INDEX('Game Records'!$U:$U,$H91)&lt;&gt;"Free Game",INDEX('Game Records'!$U:$U,$H91)&lt;&gt;"Disqualified — Free Game",OR(INDEX('Game Records'!$L:$L,$H91)="",LOWER(INDEX('Game Records'!$L:$L,$H91)&amp;"")="n/a")),"Disqualified Status; ",""))</x:f>
        <x:v/>
      </x:c>
      <x:c r="G91" s="331" t="str">
        <x:f>IF($H91="","",IFERROR(INDEX('Game Records'!$M:$M,$H91),""))</x:f>
        <x:v/>
      </x:c>
      <x:c r="H91" s="104" t="str">
        <x:f>IF($H90="","",IFERROR(MATCH(1,INDEX((ROW('Game Records'!$U$5:$U$504)&gt;$H90)*(('Game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1" s="104"/>
      <x:c r="J91" s="104"/>
    </x:row>
    <x:row r="92" ht="24" hidden="0" customHeight="1">
      <x:c r="A92" s="332" t="str">
        <x:f>IF($H92="","",ROWS($A$5:A92))</x:f>
        <x:v/>
      </x:c>
      <x:c r="B92" s="332" t="str">
        <x:f>IF($H92="","","G-"&amp;TEXT($A92,"0000"))</x:f>
        <x:v/>
      </x:c>
      <x:c r="C92" s="331" t="str">
        <x:f>IF($H92="","",IFERROR(INDEX('Game Records'!$A:$A,$H92),""))</x:f>
        <x:v/>
      </x:c>
      <x:c r="D92" s="331" t="str">
        <x:f>IF($H92="","",IFERROR(INDEX('Game Records'!$U:$U,$H92),""))</x:f>
        <x:v/>
      </x:c>
      <x:c r="E92" s="331" t="str">
        <x:f>IF($H92="","",IF($F92="","No Highlighted Fields","Highlighted Fields Present"))</x:f>
        <x:v/>
      </x:c>
      <x:c r="F92" s="331" t="str">
        <x:f>IF($H92="","",IF(INDEX('Game Records'!$B:$B,$H92)="","Start Date; ","")&amp;IF(INDEX('Game Records'!$C:$C,$H92)="","End Date; ","")&amp;IF(AND(INDEX('Game Records'!$U:$U,$H92)&lt;&gt;"Subscription",INDEX('Game Records'!$U:$U,$H92)&lt;&gt;"Free Game",INDEX('Game Records'!$U:$U,$H92)&lt;&gt;"Disqualified — Free Game",OR(INDEX('Game Records'!$D:$D,$H92)="",LOWER(INDEX('Game Records'!$D:$D,$H92)&amp;"")="n/a")),"Entry Mode; ","")&amp;IF(AND(INDEX('Game Records'!$U:$U,$H92)&lt;&gt;"Subscription",INDEX('Game Records'!$U:$U,$H92)&lt;&gt;"Free Game",INDEX('Game Records'!$U:$U,$H92)&lt;&gt;"Disqualified — Free Game",OR(INDEX('Game Records'!$E:$E,$H92)="",LOWER(INDEX('Game Records'!$E:$E,$H92)&amp;"")="n/a")),"Game Type; ","")&amp;IF(INDEX('Game Records'!$F:$F,$H92)="","Payment Type; ","")&amp;IF(AND(INDEX('Game Records'!$U:$U,$H92)&lt;&gt;"Subscription",INDEX('Game Records'!$U:$U,$H92)&lt;&gt;"Free Game",INDEX('Game Records'!$U:$U,$H92)&lt;&gt;"Disqualified — Free Game",INDEX('Game Records'!$G:$G,$H92)=""),"Gross Pot; ","")&amp;IF(AND(INDEX('Game Records'!$U:$U,$H92)&lt;&gt;"Free Game",INDEX('Game Records'!$U:$U,$H92)&lt;&gt;"Disqualified — Free Game",INDEX('Game Records'!$H:$H,$H92)=""),"Entry Fee; ","")&amp;IF(AND(INDEX('Game Records'!$U:$U,$H92)&lt;&gt;"Subscription",INDEX('Game Records'!$U:$U,$H92)&lt;&gt;"Free Game",INDEX('Game Records'!$U:$U,$H92)&lt;&gt;"Disqualified — Free Game",INDEX('Game Records'!$I:$I,$H92)=""),"Eligible Players; ","")&amp;IF(AND(INDEX('Game Records'!$U:$U,$H92)&lt;&gt;"Subscription",INDEX('Game Records'!$U:$U,$H92)&lt;&gt;"Free Game",INDEX('Game Records'!$U:$U,$H92)&lt;&gt;"Disqualified — Free Game",INDEX('Game Records'!$J:$J,$H92)=""),"Total Players; ","")&amp;IF(AND(LOWER(INDEX('Game Records'!$D:$D,$H92)&amp;"")="finalized",LOWER(INDEX('Game Records'!$L:$L,$H92)&amp;"")&lt;&gt;"yes",INDEX('Game Records'!$U:$U,$H92)&lt;&gt;"Subscription",INDEX('Game Records'!$U:$U,$H92)&lt;&gt;"Free Game",INDEX('Game Records'!$U:$U,$H92)&lt;&gt;"Disqualified — Free Game",INDEX('Game Records'!$K:$K,$H92)=""),"Final Earned; ","")&amp;IF(AND(LOWER(INDEX('Game Records'!$D:$D,$H92)&amp;"")="finalized",INDEX('Game Records'!$U:$U,$H92)&lt;&gt;"Subscription",INDEX('Game Records'!$U:$U,$H92)&lt;&gt;"Free Game",INDEX('Game Records'!$U:$U,$H92)&lt;&gt;"Disqualified — Free Game",OR(INDEX('Game Records'!$L:$L,$H92)="",LOWER(INDEX('Game Records'!$L:$L,$H92)&amp;"")="n/a")),"Disqualified Status; ",""))</x:f>
        <x:v/>
      </x:c>
      <x:c r="G92" s="331" t="str">
        <x:f>IF($H92="","",IFERROR(INDEX('Game Records'!$M:$M,$H92),""))</x:f>
        <x:v/>
      </x:c>
      <x:c r="H92" s="104" t="str">
        <x:f>IF($H91="","",IFERROR(MATCH(1,INDEX((ROW('Game Records'!$U$5:$U$504)&gt;$H91)*(('Game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2" s="104"/>
      <x:c r="J92" s="104"/>
    </x:row>
    <x:row r="93" ht="24" hidden="0" customHeight="1">
      <x:c r="A93" s="332" t="str">
        <x:f>IF($H93="","",ROWS($A$5:A93))</x:f>
        <x:v/>
      </x:c>
      <x:c r="B93" s="332" t="str">
        <x:f>IF($H93="","","G-"&amp;TEXT($A93,"0000"))</x:f>
        <x:v/>
      </x:c>
      <x:c r="C93" s="331" t="str">
        <x:f>IF($H93="","",IFERROR(INDEX('Game Records'!$A:$A,$H93),""))</x:f>
        <x:v/>
      </x:c>
      <x:c r="D93" s="331" t="str">
        <x:f>IF($H93="","",IFERROR(INDEX('Game Records'!$U:$U,$H93),""))</x:f>
        <x:v/>
      </x:c>
      <x:c r="E93" s="331" t="str">
        <x:f>IF($H93="","",IF($F93="","No Highlighted Fields","Highlighted Fields Present"))</x:f>
        <x:v/>
      </x:c>
      <x:c r="F93" s="331" t="str">
        <x:f>IF($H93="","",IF(INDEX('Game Records'!$B:$B,$H93)="","Start Date; ","")&amp;IF(INDEX('Game Records'!$C:$C,$H93)="","End Date; ","")&amp;IF(AND(INDEX('Game Records'!$U:$U,$H93)&lt;&gt;"Subscription",INDEX('Game Records'!$U:$U,$H93)&lt;&gt;"Free Game",INDEX('Game Records'!$U:$U,$H93)&lt;&gt;"Disqualified — Free Game",OR(INDEX('Game Records'!$D:$D,$H93)="",LOWER(INDEX('Game Records'!$D:$D,$H93)&amp;"")="n/a")),"Entry Mode; ","")&amp;IF(AND(INDEX('Game Records'!$U:$U,$H93)&lt;&gt;"Subscription",INDEX('Game Records'!$U:$U,$H93)&lt;&gt;"Free Game",INDEX('Game Records'!$U:$U,$H93)&lt;&gt;"Disqualified — Free Game",OR(INDEX('Game Records'!$E:$E,$H93)="",LOWER(INDEX('Game Records'!$E:$E,$H93)&amp;"")="n/a")),"Game Type; ","")&amp;IF(INDEX('Game Records'!$F:$F,$H93)="","Payment Type; ","")&amp;IF(AND(INDEX('Game Records'!$U:$U,$H93)&lt;&gt;"Subscription",INDEX('Game Records'!$U:$U,$H93)&lt;&gt;"Free Game",INDEX('Game Records'!$U:$U,$H93)&lt;&gt;"Disqualified — Free Game",INDEX('Game Records'!$G:$G,$H93)=""),"Gross Pot; ","")&amp;IF(AND(INDEX('Game Records'!$U:$U,$H93)&lt;&gt;"Free Game",INDEX('Game Records'!$U:$U,$H93)&lt;&gt;"Disqualified — Free Game",INDEX('Game Records'!$H:$H,$H93)=""),"Entry Fee; ","")&amp;IF(AND(INDEX('Game Records'!$U:$U,$H93)&lt;&gt;"Subscription",INDEX('Game Records'!$U:$U,$H93)&lt;&gt;"Free Game",INDEX('Game Records'!$U:$U,$H93)&lt;&gt;"Disqualified — Free Game",INDEX('Game Records'!$I:$I,$H93)=""),"Eligible Players; ","")&amp;IF(AND(INDEX('Game Records'!$U:$U,$H93)&lt;&gt;"Subscription",INDEX('Game Records'!$U:$U,$H93)&lt;&gt;"Free Game",INDEX('Game Records'!$U:$U,$H93)&lt;&gt;"Disqualified — Free Game",INDEX('Game Records'!$J:$J,$H93)=""),"Total Players; ","")&amp;IF(AND(LOWER(INDEX('Game Records'!$D:$D,$H93)&amp;"")="finalized",LOWER(INDEX('Game Records'!$L:$L,$H93)&amp;"")&lt;&gt;"yes",INDEX('Game Records'!$U:$U,$H93)&lt;&gt;"Subscription",INDEX('Game Records'!$U:$U,$H93)&lt;&gt;"Free Game",INDEX('Game Records'!$U:$U,$H93)&lt;&gt;"Disqualified — Free Game",INDEX('Game Records'!$K:$K,$H93)=""),"Final Earned; ","")&amp;IF(AND(LOWER(INDEX('Game Records'!$D:$D,$H93)&amp;"")="finalized",INDEX('Game Records'!$U:$U,$H93)&lt;&gt;"Subscription",INDEX('Game Records'!$U:$U,$H93)&lt;&gt;"Free Game",INDEX('Game Records'!$U:$U,$H93)&lt;&gt;"Disqualified — Free Game",OR(INDEX('Game Records'!$L:$L,$H93)="",LOWER(INDEX('Game Records'!$L:$L,$H93)&amp;"")="n/a")),"Disqualified Status; ",""))</x:f>
        <x:v/>
      </x:c>
      <x:c r="G93" s="331" t="str">
        <x:f>IF($H93="","",IFERROR(INDEX('Game Records'!$M:$M,$H93),""))</x:f>
        <x:v/>
      </x:c>
      <x:c r="H93" s="104" t="str">
        <x:f>IF($H92="","",IFERROR(MATCH(1,INDEX((ROW('Game Records'!$U$5:$U$504)&gt;$H92)*(('Game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3" s="104"/>
      <x:c r="J93" s="104"/>
    </x:row>
    <x:row r="94" ht="24" hidden="0" customHeight="1">
      <x:c r="A94" s="332" t="str">
        <x:f>IF($H94="","",ROWS($A$5:A94))</x:f>
        <x:v/>
      </x:c>
      <x:c r="B94" s="332" t="str">
        <x:f>IF($H94="","","G-"&amp;TEXT($A94,"0000"))</x:f>
        <x:v/>
      </x:c>
      <x:c r="C94" s="331" t="str">
        <x:f>IF($H94="","",IFERROR(INDEX('Game Records'!$A:$A,$H94),""))</x:f>
        <x:v/>
      </x:c>
      <x:c r="D94" s="331" t="str">
        <x:f>IF($H94="","",IFERROR(INDEX('Game Records'!$U:$U,$H94),""))</x:f>
        <x:v/>
      </x:c>
      <x:c r="E94" s="331" t="str">
        <x:f>IF($H94="","",IF($F94="","No Highlighted Fields","Highlighted Fields Present"))</x:f>
        <x:v/>
      </x:c>
      <x:c r="F94" s="331" t="str">
        <x:f>IF($H94="","",IF(INDEX('Game Records'!$B:$B,$H94)="","Start Date; ","")&amp;IF(INDEX('Game Records'!$C:$C,$H94)="","End Date; ","")&amp;IF(AND(INDEX('Game Records'!$U:$U,$H94)&lt;&gt;"Subscription",INDEX('Game Records'!$U:$U,$H94)&lt;&gt;"Free Game",INDEX('Game Records'!$U:$U,$H94)&lt;&gt;"Disqualified — Free Game",OR(INDEX('Game Records'!$D:$D,$H94)="",LOWER(INDEX('Game Records'!$D:$D,$H94)&amp;"")="n/a")),"Entry Mode; ","")&amp;IF(AND(INDEX('Game Records'!$U:$U,$H94)&lt;&gt;"Subscription",INDEX('Game Records'!$U:$U,$H94)&lt;&gt;"Free Game",INDEX('Game Records'!$U:$U,$H94)&lt;&gt;"Disqualified — Free Game",OR(INDEX('Game Records'!$E:$E,$H94)="",LOWER(INDEX('Game Records'!$E:$E,$H94)&amp;"")="n/a")),"Game Type; ","")&amp;IF(INDEX('Game Records'!$F:$F,$H94)="","Payment Type; ","")&amp;IF(AND(INDEX('Game Records'!$U:$U,$H94)&lt;&gt;"Subscription",INDEX('Game Records'!$U:$U,$H94)&lt;&gt;"Free Game",INDEX('Game Records'!$U:$U,$H94)&lt;&gt;"Disqualified — Free Game",INDEX('Game Records'!$G:$G,$H94)=""),"Gross Pot; ","")&amp;IF(AND(INDEX('Game Records'!$U:$U,$H94)&lt;&gt;"Free Game",INDEX('Game Records'!$U:$U,$H94)&lt;&gt;"Disqualified — Free Game",INDEX('Game Records'!$H:$H,$H94)=""),"Entry Fee; ","")&amp;IF(AND(INDEX('Game Records'!$U:$U,$H94)&lt;&gt;"Subscription",INDEX('Game Records'!$U:$U,$H94)&lt;&gt;"Free Game",INDEX('Game Records'!$U:$U,$H94)&lt;&gt;"Disqualified — Free Game",INDEX('Game Records'!$I:$I,$H94)=""),"Eligible Players; ","")&amp;IF(AND(INDEX('Game Records'!$U:$U,$H94)&lt;&gt;"Subscription",INDEX('Game Records'!$U:$U,$H94)&lt;&gt;"Free Game",INDEX('Game Records'!$U:$U,$H94)&lt;&gt;"Disqualified — Free Game",INDEX('Game Records'!$J:$J,$H94)=""),"Total Players; ","")&amp;IF(AND(LOWER(INDEX('Game Records'!$D:$D,$H94)&amp;"")="finalized",LOWER(INDEX('Game Records'!$L:$L,$H94)&amp;"")&lt;&gt;"yes",INDEX('Game Records'!$U:$U,$H94)&lt;&gt;"Subscription",INDEX('Game Records'!$U:$U,$H94)&lt;&gt;"Free Game",INDEX('Game Records'!$U:$U,$H94)&lt;&gt;"Disqualified — Free Game",INDEX('Game Records'!$K:$K,$H94)=""),"Final Earned; ","")&amp;IF(AND(LOWER(INDEX('Game Records'!$D:$D,$H94)&amp;"")="finalized",INDEX('Game Records'!$U:$U,$H94)&lt;&gt;"Subscription",INDEX('Game Records'!$U:$U,$H94)&lt;&gt;"Free Game",INDEX('Game Records'!$U:$U,$H94)&lt;&gt;"Disqualified — Free Game",OR(INDEX('Game Records'!$L:$L,$H94)="",LOWER(INDEX('Game Records'!$L:$L,$H94)&amp;"")="n/a")),"Disqualified Status; ",""))</x:f>
        <x:v/>
      </x:c>
      <x:c r="G94" s="331" t="str">
        <x:f>IF($H94="","",IFERROR(INDEX('Game Records'!$M:$M,$H94),""))</x:f>
        <x:v/>
      </x:c>
      <x:c r="H94" s="104" t="str">
        <x:f>IF($H93="","",IFERROR(MATCH(1,INDEX((ROW('Game Records'!$U$5:$U$504)&gt;$H93)*(('Game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4" s="104"/>
      <x:c r="J94" s="104"/>
    </x:row>
    <x:row r="95" ht="24" hidden="0" customHeight="1">
      <x:c r="A95" s="332" t="str">
        <x:f>IF($H95="","",ROWS($A$5:A95))</x:f>
        <x:v/>
      </x:c>
      <x:c r="B95" s="332" t="str">
        <x:f>IF($H95="","","G-"&amp;TEXT($A95,"0000"))</x:f>
        <x:v/>
      </x:c>
      <x:c r="C95" s="331" t="str">
        <x:f>IF($H95="","",IFERROR(INDEX('Game Records'!$A:$A,$H95),""))</x:f>
        <x:v/>
      </x:c>
      <x:c r="D95" s="331" t="str">
        <x:f>IF($H95="","",IFERROR(INDEX('Game Records'!$U:$U,$H95),""))</x:f>
        <x:v/>
      </x:c>
      <x:c r="E95" s="331" t="str">
        <x:f>IF($H95="","",IF($F95="","No Highlighted Fields","Highlighted Fields Present"))</x:f>
        <x:v/>
      </x:c>
      <x:c r="F95" s="331" t="str">
        <x:f>IF($H95="","",IF(INDEX('Game Records'!$B:$B,$H95)="","Start Date; ","")&amp;IF(INDEX('Game Records'!$C:$C,$H95)="","End Date; ","")&amp;IF(AND(INDEX('Game Records'!$U:$U,$H95)&lt;&gt;"Subscription",INDEX('Game Records'!$U:$U,$H95)&lt;&gt;"Free Game",INDEX('Game Records'!$U:$U,$H95)&lt;&gt;"Disqualified — Free Game",OR(INDEX('Game Records'!$D:$D,$H95)="",LOWER(INDEX('Game Records'!$D:$D,$H95)&amp;"")="n/a")),"Entry Mode; ","")&amp;IF(AND(INDEX('Game Records'!$U:$U,$H95)&lt;&gt;"Subscription",INDEX('Game Records'!$U:$U,$H95)&lt;&gt;"Free Game",INDEX('Game Records'!$U:$U,$H95)&lt;&gt;"Disqualified — Free Game",OR(INDEX('Game Records'!$E:$E,$H95)="",LOWER(INDEX('Game Records'!$E:$E,$H95)&amp;"")="n/a")),"Game Type; ","")&amp;IF(INDEX('Game Records'!$F:$F,$H95)="","Payment Type; ","")&amp;IF(AND(INDEX('Game Records'!$U:$U,$H95)&lt;&gt;"Subscription",INDEX('Game Records'!$U:$U,$H95)&lt;&gt;"Free Game",INDEX('Game Records'!$U:$U,$H95)&lt;&gt;"Disqualified — Free Game",INDEX('Game Records'!$G:$G,$H95)=""),"Gross Pot; ","")&amp;IF(AND(INDEX('Game Records'!$U:$U,$H95)&lt;&gt;"Free Game",INDEX('Game Records'!$U:$U,$H95)&lt;&gt;"Disqualified — Free Game",INDEX('Game Records'!$H:$H,$H95)=""),"Entry Fee; ","")&amp;IF(AND(INDEX('Game Records'!$U:$U,$H95)&lt;&gt;"Subscription",INDEX('Game Records'!$U:$U,$H95)&lt;&gt;"Free Game",INDEX('Game Records'!$U:$U,$H95)&lt;&gt;"Disqualified — Free Game",INDEX('Game Records'!$I:$I,$H95)=""),"Eligible Players; ","")&amp;IF(AND(INDEX('Game Records'!$U:$U,$H95)&lt;&gt;"Subscription",INDEX('Game Records'!$U:$U,$H95)&lt;&gt;"Free Game",INDEX('Game Records'!$U:$U,$H95)&lt;&gt;"Disqualified — Free Game",INDEX('Game Records'!$J:$J,$H95)=""),"Total Players; ","")&amp;IF(AND(LOWER(INDEX('Game Records'!$D:$D,$H95)&amp;"")="finalized",LOWER(INDEX('Game Records'!$L:$L,$H95)&amp;"")&lt;&gt;"yes",INDEX('Game Records'!$U:$U,$H95)&lt;&gt;"Subscription",INDEX('Game Records'!$U:$U,$H95)&lt;&gt;"Free Game",INDEX('Game Records'!$U:$U,$H95)&lt;&gt;"Disqualified — Free Game",INDEX('Game Records'!$K:$K,$H95)=""),"Final Earned; ","")&amp;IF(AND(LOWER(INDEX('Game Records'!$D:$D,$H95)&amp;"")="finalized",INDEX('Game Records'!$U:$U,$H95)&lt;&gt;"Subscription",INDEX('Game Records'!$U:$U,$H95)&lt;&gt;"Free Game",INDEX('Game Records'!$U:$U,$H95)&lt;&gt;"Disqualified — Free Game",OR(INDEX('Game Records'!$L:$L,$H95)="",LOWER(INDEX('Game Records'!$L:$L,$H95)&amp;"")="n/a")),"Disqualified Status; ",""))</x:f>
        <x:v/>
      </x:c>
      <x:c r="G95" s="331" t="str">
        <x:f>IF($H95="","",IFERROR(INDEX('Game Records'!$M:$M,$H95),""))</x:f>
        <x:v/>
      </x:c>
      <x:c r="H95" s="104" t="str">
        <x:f>IF($H94="","",IFERROR(MATCH(1,INDEX((ROW('Game Records'!$U$5:$U$504)&gt;$H94)*(('Game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5" s="104"/>
      <x:c r="J95" s="104"/>
    </x:row>
    <x:row r="96" ht="24" hidden="0" customHeight="1">
      <x:c r="A96" s="332" t="str">
        <x:f>IF($H96="","",ROWS($A$5:A96))</x:f>
        <x:v/>
      </x:c>
      <x:c r="B96" s="332" t="str">
        <x:f>IF($H96="","","G-"&amp;TEXT($A96,"0000"))</x:f>
        <x:v/>
      </x:c>
      <x:c r="C96" s="331" t="str">
        <x:f>IF($H96="","",IFERROR(INDEX('Game Records'!$A:$A,$H96),""))</x:f>
        <x:v/>
      </x:c>
      <x:c r="D96" s="331" t="str">
        <x:f>IF($H96="","",IFERROR(INDEX('Game Records'!$U:$U,$H96),""))</x:f>
        <x:v/>
      </x:c>
      <x:c r="E96" s="331" t="str">
        <x:f>IF($H96="","",IF($F96="","No Highlighted Fields","Highlighted Fields Present"))</x:f>
        <x:v/>
      </x:c>
      <x:c r="F96" s="331" t="str">
        <x:f>IF($H96="","",IF(INDEX('Game Records'!$B:$B,$H96)="","Start Date; ","")&amp;IF(INDEX('Game Records'!$C:$C,$H96)="","End Date; ","")&amp;IF(AND(INDEX('Game Records'!$U:$U,$H96)&lt;&gt;"Subscription",INDEX('Game Records'!$U:$U,$H96)&lt;&gt;"Free Game",INDEX('Game Records'!$U:$U,$H96)&lt;&gt;"Disqualified — Free Game",OR(INDEX('Game Records'!$D:$D,$H96)="",LOWER(INDEX('Game Records'!$D:$D,$H96)&amp;"")="n/a")),"Entry Mode; ","")&amp;IF(AND(INDEX('Game Records'!$U:$U,$H96)&lt;&gt;"Subscription",INDEX('Game Records'!$U:$U,$H96)&lt;&gt;"Free Game",INDEX('Game Records'!$U:$U,$H96)&lt;&gt;"Disqualified — Free Game",OR(INDEX('Game Records'!$E:$E,$H96)="",LOWER(INDEX('Game Records'!$E:$E,$H96)&amp;"")="n/a")),"Game Type; ","")&amp;IF(INDEX('Game Records'!$F:$F,$H96)="","Payment Type; ","")&amp;IF(AND(INDEX('Game Records'!$U:$U,$H96)&lt;&gt;"Subscription",INDEX('Game Records'!$U:$U,$H96)&lt;&gt;"Free Game",INDEX('Game Records'!$U:$U,$H96)&lt;&gt;"Disqualified — Free Game",INDEX('Game Records'!$G:$G,$H96)=""),"Gross Pot; ","")&amp;IF(AND(INDEX('Game Records'!$U:$U,$H96)&lt;&gt;"Free Game",INDEX('Game Records'!$U:$U,$H96)&lt;&gt;"Disqualified — Free Game",INDEX('Game Records'!$H:$H,$H96)=""),"Entry Fee; ","")&amp;IF(AND(INDEX('Game Records'!$U:$U,$H96)&lt;&gt;"Subscription",INDEX('Game Records'!$U:$U,$H96)&lt;&gt;"Free Game",INDEX('Game Records'!$U:$U,$H96)&lt;&gt;"Disqualified — Free Game",INDEX('Game Records'!$I:$I,$H96)=""),"Eligible Players; ","")&amp;IF(AND(INDEX('Game Records'!$U:$U,$H96)&lt;&gt;"Subscription",INDEX('Game Records'!$U:$U,$H96)&lt;&gt;"Free Game",INDEX('Game Records'!$U:$U,$H96)&lt;&gt;"Disqualified — Free Game",INDEX('Game Records'!$J:$J,$H96)=""),"Total Players; ","")&amp;IF(AND(LOWER(INDEX('Game Records'!$D:$D,$H96)&amp;"")="finalized",LOWER(INDEX('Game Records'!$L:$L,$H96)&amp;"")&lt;&gt;"yes",INDEX('Game Records'!$U:$U,$H96)&lt;&gt;"Subscription",INDEX('Game Records'!$U:$U,$H96)&lt;&gt;"Free Game",INDEX('Game Records'!$U:$U,$H96)&lt;&gt;"Disqualified — Free Game",INDEX('Game Records'!$K:$K,$H96)=""),"Final Earned; ","")&amp;IF(AND(LOWER(INDEX('Game Records'!$D:$D,$H96)&amp;"")="finalized",INDEX('Game Records'!$U:$U,$H96)&lt;&gt;"Subscription",INDEX('Game Records'!$U:$U,$H96)&lt;&gt;"Free Game",INDEX('Game Records'!$U:$U,$H96)&lt;&gt;"Disqualified — Free Game",OR(INDEX('Game Records'!$L:$L,$H96)="",LOWER(INDEX('Game Records'!$L:$L,$H96)&amp;"")="n/a")),"Disqualified Status; ",""))</x:f>
        <x:v/>
      </x:c>
      <x:c r="G96" s="331" t="str">
        <x:f>IF($H96="","",IFERROR(INDEX('Game Records'!$M:$M,$H96),""))</x:f>
        <x:v/>
      </x:c>
      <x:c r="H96" s="104" t="str">
        <x:f>IF($H95="","",IFERROR(MATCH(1,INDEX((ROW('Game Records'!$U$5:$U$504)&gt;$H95)*(('Game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6" s="104"/>
      <x:c r="J96" s="104"/>
    </x:row>
    <x:row r="97" ht="24" hidden="0" customHeight="1">
      <x:c r="A97" s="332" t="str">
        <x:f>IF($H97="","",ROWS($A$5:A97))</x:f>
        <x:v/>
      </x:c>
      <x:c r="B97" s="332" t="str">
        <x:f>IF($H97="","","G-"&amp;TEXT($A97,"0000"))</x:f>
        <x:v/>
      </x:c>
      <x:c r="C97" s="331" t="str">
        <x:f>IF($H97="","",IFERROR(INDEX('Game Records'!$A:$A,$H97),""))</x:f>
        <x:v/>
      </x:c>
      <x:c r="D97" s="331" t="str">
        <x:f>IF($H97="","",IFERROR(INDEX('Game Records'!$U:$U,$H97),""))</x:f>
        <x:v/>
      </x:c>
      <x:c r="E97" s="331" t="str">
        <x:f>IF($H97="","",IF($F97="","No Highlighted Fields","Highlighted Fields Present"))</x:f>
        <x:v/>
      </x:c>
      <x:c r="F97" s="331" t="str">
        <x:f>IF($H97="","",IF(INDEX('Game Records'!$B:$B,$H97)="","Start Date; ","")&amp;IF(INDEX('Game Records'!$C:$C,$H97)="","End Date; ","")&amp;IF(AND(INDEX('Game Records'!$U:$U,$H97)&lt;&gt;"Subscription",INDEX('Game Records'!$U:$U,$H97)&lt;&gt;"Free Game",INDEX('Game Records'!$U:$U,$H97)&lt;&gt;"Disqualified — Free Game",OR(INDEX('Game Records'!$D:$D,$H97)="",LOWER(INDEX('Game Records'!$D:$D,$H97)&amp;"")="n/a")),"Entry Mode; ","")&amp;IF(AND(INDEX('Game Records'!$U:$U,$H97)&lt;&gt;"Subscription",INDEX('Game Records'!$U:$U,$H97)&lt;&gt;"Free Game",INDEX('Game Records'!$U:$U,$H97)&lt;&gt;"Disqualified — Free Game",OR(INDEX('Game Records'!$E:$E,$H97)="",LOWER(INDEX('Game Records'!$E:$E,$H97)&amp;"")="n/a")),"Game Type; ","")&amp;IF(INDEX('Game Records'!$F:$F,$H97)="","Payment Type; ","")&amp;IF(AND(INDEX('Game Records'!$U:$U,$H97)&lt;&gt;"Subscription",INDEX('Game Records'!$U:$U,$H97)&lt;&gt;"Free Game",INDEX('Game Records'!$U:$U,$H97)&lt;&gt;"Disqualified — Free Game",INDEX('Game Records'!$G:$G,$H97)=""),"Gross Pot; ","")&amp;IF(AND(INDEX('Game Records'!$U:$U,$H97)&lt;&gt;"Free Game",INDEX('Game Records'!$U:$U,$H97)&lt;&gt;"Disqualified — Free Game",INDEX('Game Records'!$H:$H,$H97)=""),"Entry Fee; ","")&amp;IF(AND(INDEX('Game Records'!$U:$U,$H97)&lt;&gt;"Subscription",INDEX('Game Records'!$U:$U,$H97)&lt;&gt;"Free Game",INDEX('Game Records'!$U:$U,$H97)&lt;&gt;"Disqualified — Free Game",INDEX('Game Records'!$I:$I,$H97)=""),"Eligible Players; ","")&amp;IF(AND(INDEX('Game Records'!$U:$U,$H97)&lt;&gt;"Subscription",INDEX('Game Records'!$U:$U,$H97)&lt;&gt;"Free Game",INDEX('Game Records'!$U:$U,$H97)&lt;&gt;"Disqualified — Free Game",INDEX('Game Records'!$J:$J,$H97)=""),"Total Players; ","")&amp;IF(AND(LOWER(INDEX('Game Records'!$D:$D,$H97)&amp;"")="finalized",LOWER(INDEX('Game Records'!$L:$L,$H97)&amp;"")&lt;&gt;"yes",INDEX('Game Records'!$U:$U,$H97)&lt;&gt;"Subscription",INDEX('Game Records'!$U:$U,$H97)&lt;&gt;"Free Game",INDEX('Game Records'!$U:$U,$H97)&lt;&gt;"Disqualified — Free Game",INDEX('Game Records'!$K:$K,$H97)=""),"Final Earned; ","")&amp;IF(AND(LOWER(INDEX('Game Records'!$D:$D,$H97)&amp;"")="finalized",INDEX('Game Records'!$U:$U,$H97)&lt;&gt;"Subscription",INDEX('Game Records'!$U:$U,$H97)&lt;&gt;"Free Game",INDEX('Game Records'!$U:$U,$H97)&lt;&gt;"Disqualified — Free Game",OR(INDEX('Game Records'!$L:$L,$H97)="",LOWER(INDEX('Game Records'!$L:$L,$H97)&amp;"")="n/a")),"Disqualified Status; ",""))</x:f>
        <x:v/>
      </x:c>
      <x:c r="G97" s="331" t="str">
        <x:f>IF($H97="","",IFERROR(INDEX('Game Records'!$M:$M,$H97),""))</x:f>
        <x:v/>
      </x:c>
      <x:c r="H97" s="104" t="str">
        <x:f>IF($H96="","",IFERROR(MATCH(1,INDEX((ROW('Game Records'!$U$5:$U$504)&gt;$H96)*(('Game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7" s="104"/>
      <x:c r="J97" s="104"/>
    </x:row>
    <x:row r="98" ht="24" hidden="0" customHeight="1">
      <x:c r="A98" s="332" t="str">
        <x:f>IF($H98="","",ROWS($A$5:A98))</x:f>
        <x:v/>
      </x:c>
      <x:c r="B98" s="332" t="str">
        <x:f>IF($H98="","","G-"&amp;TEXT($A98,"0000"))</x:f>
        <x:v/>
      </x:c>
      <x:c r="C98" s="331" t="str">
        <x:f>IF($H98="","",IFERROR(INDEX('Game Records'!$A:$A,$H98),""))</x:f>
        <x:v/>
      </x:c>
      <x:c r="D98" s="331" t="str">
        <x:f>IF($H98="","",IFERROR(INDEX('Game Records'!$U:$U,$H98),""))</x:f>
        <x:v/>
      </x:c>
      <x:c r="E98" s="331" t="str">
        <x:f>IF($H98="","",IF($F98="","No Highlighted Fields","Highlighted Fields Present"))</x:f>
        <x:v/>
      </x:c>
      <x:c r="F98" s="331" t="str">
        <x:f>IF($H98="","",IF(INDEX('Game Records'!$B:$B,$H98)="","Start Date; ","")&amp;IF(INDEX('Game Records'!$C:$C,$H98)="","End Date; ","")&amp;IF(AND(INDEX('Game Records'!$U:$U,$H98)&lt;&gt;"Subscription",INDEX('Game Records'!$U:$U,$H98)&lt;&gt;"Free Game",INDEX('Game Records'!$U:$U,$H98)&lt;&gt;"Disqualified — Free Game",OR(INDEX('Game Records'!$D:$D,$H98)="",LOWER(INDEX('Game Records'!$D:$D,$H98)&amp;"")="n/a")),"Entry Mode; ","")&amp;IF(AND(INDEX('Game Records'!$U:$U,$H98)&lt;&gt;"Subscription",INDEX('Game Records'!$U:$U,$H98)&lt;&gt;"Free Game",INDEX('Game Records'!$U:$U,$H98)&lt;&gt;"Disqualified — Free Game",OR(INDEX('Game Records'!$E:$E,$H98)="",LOWER(INDEX('Game Records'!$E:$E,$H98)&amp;"")="n/a")),"Game Type; ","")&amp;IF(INDEX('Game Records'!$F:$F,$H98)="","Payment Type; ","")&amp;IF(AND(INDEX('Game Records'!$U:$U,$H98)&lt;&gt;"Subscription",INDEX('Game Records'!$U:$U,$H98)&lt;&gt;"Free Game",INDEX('Game Records'!$U:$U,$H98)&lt;&gt;"Disqualified — Free Game",INDEX('Game Records'!$G:$G,$H98)=""),"Gross Pot; ","")&amp;IF(AND(INDEX('Game Records'!$U:$U,$H98)&lt;&gt;"Free Game",INDEX('Game Records'!$U:$U,$H98)&lt;&gt;"Disqualified — Free Game",INDEX('Game Records'!$H:$H,$H98)=""),"Entry Fee; ","")&amp;IF(AND(INDEX('Game Records'!$U:$U,$H98)&lt;&gt;"Subscription",INDEX('Game Records'!$U:$U,$H98)&lt;&gt;"Free Game",INDEX('Game Records'!$U:$U,$H98)&lt;&gt;"Disqualified — Free Game",INDEX('Game Records'!$I:$I,$H98)=""),"Eligible Players; ","")&amp;IF(AND(INDEX('Game Records'!$U:$U,$H98)&lt;&gt;"Subscription",INDEX('Game Records'!$U:$U,$H98)&lt;&gt;"Free Game",INDEX('Game Records'!$U:$U,$H98)&lt;&gt;"Disqualified — Free Game",INDEX('Game Records'!$J:$J,$H98)=""),"Total Players; ","")&amp;IF(AND(LOWER(INDEX('Game Records'!$D:$D,$H98)&amp;"")="finalized",LOWER(INDEX('Game Records'!$L:$L,$H98)&amp;"")&lt;&gt;"yes",INDEX('Game Records'!$U:$U,$H98)&lt;&gt;"Subscription",INDEX('Game Records'!$U:$U,$H98)&lt;&gt;"Free Game",INDEX('Game Records'!$U:$U,$H98)&lt;&gt;"Disqualified — Free Game",INDEX('Game Records'!$K:$K,$H98)=""),"Final Earned; ","")&amp;IF(AND(LOWER(INDEX('Game Records'!$D:$D,$H98)&amp;"")="finalized",INDEX('Game Records'!$U:$U,$H98)&lt;&gt;"Subscription",INDEX('Game Records'!$U:$U,$H98)&lt;&gt;"Free Game",INDEX('Game Records'!$U:$U,$H98)&lt;&gt;"Disqualified — Free Game",OR(INDEX('Game Records'!$L:$L,$H98)="",LOWER(INDEX('Game Records'!$L:$L,$H98)&amp;"")="n/a")),"Disqualified Status; ",""))</x:f>
        <x:v/>
      </x:c>
      <x:c r="G98" s="331" t="str">
        <x:f>IF($H98="","",IFERROR(INDEX('Game Records'!$M:$M,$H98),""))</x:f>
        <x:v/>
      </x:c>
      <x:c r="H98" s="104" t="str">
        <x:f>IF($H97="","",IFERROR(MATCH(1,INDEX((ROW('Game Records'!$U$5:$U$504)&gt;$H97)*(('Game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8" s="104"/>
      <x:c r="J98" s="104"/>
    </x:row>
    <x:row r="99" ht="24" hidden="0" customHeight="1">
      <x:c r="A99" s="332" t="str">
        <x:f>IF($H99="","",ROWS($A$5:A99))</x:f>
        <x:v/>
      </x:c>
      <x:c r="B99" s="332" t="str">
        <x:f>IF($H99="","","G-"&amp;TEXT($A99,"0000"))</x:f>
        <x:v/>
      </x:c>
      <x:c r="C99" s="331" t="str">
        <x:f>IF($H99="","",IFERROR(INDEX('Game Records'!$A:$A,$H99),""))</x:f>
        <x:v/>
      </x:c>
      <x:c r="D99" s="331" t="str">
        <x:f>IF($H99="","",IFERROR(INDEX('Game Records'!$U:$U,$H99),""))</x:f>
        <x:v/>
      </x:c>
      <x:c r="E99" s="331" t="str">
        <x:f>IF($H99="","",IF($F99="","No Highlighted Fields","Highlighted Fields Present"))</x:f>
        <x:v/>
      </x:c>
      <x:c r="F99" s="331" t="str">
        <x:f>IF($H99="","",IF(INDEX('Game Records'!$B:$B,$H99)="","Start Date; ","")&amp;IF(INDEX('Game Records'!$C:$C,$H99)="","End Date; ","")&amp;IF(AND(INDEX('Game Records'!$U:$U,$H99)&lt;&gt;"Subscription",INDEX('Game Records'!$U:$U,$H99)&lt;&gt;"Free Game",INDEX('Game Records'!$U:$U,$H99)&lt;&gt;"Disqualified — Free Game",OR(INDEX('Game Records'!$D:$D,$H99)="",LOWER(INDEX('Game Records'!$D:$D,$H99)&amp;"")="n/a")),"Entry Mode; ","")&amp;IF(AND(INDEX('Game Records'!$U:$U,$H99)&lt;&gt;"Subscription",INDEX('Game Records'!$U:$U,$H99)&lt;&gt;"Free Game",INDEX('Game Records'!$U:$U,$H99)&lt;&gt;"Disqualified — Free Game",OR(INDEX('Game Records'!$E:$E,$H99)="",LOWER(INDEX('Game Records'!$E:$E,$H99)&amp;"")="n/a")),"Game Type; ","")&amp;IF(INDEX('Game Records'!$F:$F,$H99)="","Payment Type; ","")&amp;IF(AND(INDEX('Game Records'!$U:$U,$H99)&lt;&gt;"Subscription",INDEX('Game Records'!$U:$U,$H99)&lt;&gt;"Free Game",INDEX('Game Records'!$U:$U,$H99)&lt;&gt;"Disqualified — Free Game",INDEX('Game Records'!$G:$G,$H99)=""),"Gross Pot; ","")&amp;IF(AND(INDEX('Game Records'!$U:$U,$H99)&lt;&gt;"Free Game",INDEX('Game Records'!$U:$U,$H99)&lt;&gt;"Disqualified — Free Game",INDEX('Game Records'!$H:$H,$H99)=""),"Entry Fee; ","")&amp;IF(AND(INDEX('Game Records'!$U:$U,$H99)&lt;&gt;"Subscription",INDEX('Game Records'!$U:$U,$H99)&lt;&gt;"Free Game",INDEX('Game Records'!$U:$U,$H99)&lt;&gt;"Disqualified — Free Game",INDEX('Game Records'!$I:$I,$H99)=""),"Eligible Players; ","")&amp;IF(AND(INDEX('Game Records'!$U:$U,$H99)&lt;&gt;"Subscription",INDEX('Game Records'!$U:$U,$H99)&lt;&gt;"Free Game",INDEX('Game Records'!$U:$U,$H99)&lt;&gt;"Disqualified — Free Game",INDEX('Game Records'!$J:$J,$H99)=""),"Total Players; ","")&amp;IF(AND(LOWER(INDEX('Game Records'!$D:$D,$H99)&amp;"")="finalized",LOWER(INDEX('Game Records'!$L:$L,$H99)&amp;"")&lt;&gt;"yes",INDEX('Game Records'!$U:$U,$H99)&lt;&gt;"Subscription",INDEX('Game Records'!$U:$U,$H99)&lt;&gt;"Free Game",INDEX('Game Records'!$U:$U,$H99)&lt;&gt;"Disqualified — Free Game",INDEX('Game Records'!$K:$K,$H99)=""),"Final Earned; ","")&amp;IF(AND(LOWER(INDEX('Game Records'!$D:$D,$H99)&amp;"")="finalized",INDEX('Game Records'!$U:$U,$H99)&lt;&gt;"Subscription",INDEX('Game Records'!$U:$U,$H99)&lt;&gt;"Free Game",INDEX('Game Records'!$U:$U,$H99)&lt;&gt;"Disqualified — Free Game",OR(INDEX('Game Records'!$L:$L,$H99)="",LOWER(INDEX('Game Records'!$L:$L,$H99)&amp;"")="n/a")),"Disqualified Status; ",""))</x:f>
        <x:v/>
      </x:c>
      <x:c r="G99" s="331" t="str">
        <x:f>IF($H99="","",IFERROR(INDEX('Game Records'!$M:$M,$H99),""))</x:f>
        <x:v/>
      </x:c>
      <x:c r="H99" s="104" t="str">
        <x:f>IF($H98="","",IFERROR(MATCH(1,INDEX((ROW('Game Records'!$U$5:$U$504)&gt;$H98)*(('Game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99" s="104"/>
      <x:c r="J99" s="104"/>
    </x:row>
    <x:row r="100" ht="24" hidden="0" customHeight="1">
      <x:c r="A100" s="332" t="str">
        <x:f>IF($H100="","",ROWS($A$5:A100))</x:f>
        <x:v/>
      </x:c>
      <x:c r="B100" s="332" t="str">
        <x:f>IF($H100="","","G-"&amp;TEXT($A100,"0000"))</x:f>
        <x:v/>
      </x:c>
      <x:c r="C100" s="331" t="str">
        <x:f>IF($H100="","",IFERROR(INDEX('Game Records'!$A:$A,$H100),""))</x:f>
        <x:v/>
      </x:c>
      <x:c r="D100" s="331" t="str">
        <x:f>IF($H100="","",IFERROR(INDEX('Game Records'!$U:$U,$H100),""))</x:f>
        <x:v/>
      </x:c>
      <x:c r="E100" s="331" t="str">
        <x:f>IF($H100="","",IF($F100="","No Highlighted Fields","Highlighted Fields Present"))</x:f>
        <x:v/>
      </x:c>
      <x:c r="F100" s="331" t="str">
        <x:f>IF($H100="","",IF(INDEX('Game Records'!$B:$B,$H100)="","Start Date; ","")&amp;IF(INDEX('Game Records'!$C:$C,$H100)="","End Date; ","")&amp;IF(AND(INDEX('Game Records'!$U:$U,$H100)&lt;&gt;"Subscription",INDEX('Game Records'!$U:$U,$H100)&lt;&gt;"Free Game",INDEX('Game Records'!$U:$U,$H100)&lt;&gt;"Disqualified — Free Game",OR(INDEX('Game Records'!$D:$D,$H100)="",LOWER(INDEX('Game Records'!$D:$D,$H100)&amp;"")="n/a")),"Entry Mode; ","")&amp;IF(AND(INDEX('Game Records'!$U:$U,$H100)&lt;&gt;"Subscription",INDEX('Game Records'!$U:$U,$H100)&lt;&gt;"Free Game",INDEX('Game Records'!$U:$U,$H100)&lt;&gt;"Disqualified — Free Game",OR(INDEX('Game Records'!$E:$E,$H100)="",LOWER(INDEX('Game Records'!$E:$E,$H100)&amp;"")="n/a")),"Game Type; ","")&amp;IF(INDEX('Game Records'!$F:$F,$H100)="","Payment Type; ","")&amp;IF(AND(INDEX('Game Records'!$U:$U,$H100)&lt;&gt;"Subscription",INDEX('Game Records'!$U:$U,$H100)&lt;&gt;"Free Game",INDEX('Game Records'!$U:$U,$H100)&lt;&gt;"Disqualified — Free Game",INDEX('Game Records'!$G:$G,$H100)=""),"Gross Pot; ","")&amp;IF(AND(INDEX('Game Records'!$U:$U,$H100)&lt;&gt;"Free Game",INDEX('Game Records'!$U:$U,$H100)&lt;&gt;"Disqualified — Free Game",INDEX('Game Records'!$H:$H,$H100)=""),"Entry Fee; ","")&amp;IF(AND(INDEX('Game Records'!$U:$U,$H100)&lt;&gt;"Subscription",INDEX('Game Records'!$U:$U,$H100)&lt;&gt;"Free Game",INDEX('Game Records'!$U:$U,$H100)&lt;&gt;"Disqualified — Free Game",INDEX('Game Records'!$I:$I,$H100)=""),"Eligible Players; ","")&amp;IF(AND(INDEX('Game Records'!$U:$U,$H100)&lt;&gt;"Subscription",INDEX('Game Records'!$U:$U,$H100)&lt;&gt;"Free Game",INDEX('Game Records'!$U:$U,$H100)&lt;&gt;"Disqualified — Free Game",INDEX('Game Records'!$J:$J,$H100)=""),"Total Players; ","")&amp;IF(AND(LOWER(INDEX('Game Records'!$D:$D,$H100)&amp;"")="finalized",LOWER(INDEX('Game Records'!$L:$L,$H100)&amp;"")&lt;&gt;"yes",INDEX('Game Records'!$U:$U,$H100)&lt;&gt;"Subscription",INDEX('Game Records'!$U:$U,$H100)&lt;&gt;"Free Game",INDEX('Game Records'!$U:$U,$H100)&lt;&gt;"Disqualified — Free Game",INDEX('Game Records'!$K:$K,$H100)=""),"Final Earned; ","")&amp;IF(AND(LOWER(INDEX('Game Records'!$D:$D,$H100)&amp;"")="finalized",INDEX('Game Records'!$U:$U,$H100)&lt;&gt;"Subscription",INDEX('Game Records'!$U:$U,$H100)&lt;&gt;"Free Game",INDEX('Game Records'!$U:$U,$H100)&lt;&gt;"Disqualified — Free Game",OR(INDEX('Game Records'!$L:$L,$H100)="",LOWER(INDEX('Game Records'!$L:$L,$H100)&amp;"")="n/a")),"Disqualified Status; ",""))</x:f>
        <x:v/>
      </x:c>
      <x:c r="G100" s="331" t="str">
        <x:f>IF($H100="","",IFERROR(INDEX('Game Records'!$M:$M,$H100),""))</x:f>
        <x:v/>
      </x:c>
      <x:c r="H100" s="104" t="str">
        <x:f>IF($H99="","",IFERROR(MATCH(1,INDEX((ROW('Game Records'!$U$5:$U$504)&gt;$H99)*(('Game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0" s="104"/>
      <x:c r="J100" s="104"/>
    </x:row>
    <x:row r="101" ht="24" hidden="0" customHeight="1">
      <x:c r="A101" s="332" t="str">
        <x:f>IF($H101="","",ROWS($A$5:A101))</x:f>
        <x:v/>
      </x:c>
      <x:c r="B101" s="332" t="str">
        <x:f>IF($H101="","","G-"&amp;TEXT($A101,"0000"))</x:f>
        <x:v/>
      </x:c>
      <x:c r="C101" s="331" t="str">
        <x:f>IF($H101="","",IFERROR(INDEX('Game Records'!$A:$A,$H101),""))</x:f>
        <x:v/>
      </x:c>
      <x:c r="D101" s="331" t="str">
        <x:f>IF($H101="","",IFERROR(INDEX('Game Records'!$U:$U,$H101),""))</x:f>
        <x:v/>
      </x:c>
      <x:c r="E101" s="331" t="str">
        <x:f>IF($H101="","",IF($F101="","No Highlighted Fields","Highlighted Fields Present"))</x:f>
        <x:v/>
      </x:c>
      <x:c r="F101" s="331" t="str">
        <x:f>IF($H101="","",IF(INDEX('Game Records'!$B:$B,$H101)="","Start Date; ","")&amp;IF(INDEX('Game Records'!$C:$C,$H101)="","End Date; ","")&amp;IF(AND(INDEX('Game Records'!$U:$U,$H101)&lt;&gt;"Subscription",INDEX('Game Records'!$U:$U,$H101)&lt;&gt;"Free Game",INDEX('Game Records'!$U:$U,$H101)&lt;&gt;"Disqualified — Free Game",OR(INDEX('Game Records'!$D:$D,$H101)="",LOWER(INDEX('Game Records'!$D:$D,$H101)&amp;"")="n/a")),"Entry Mode; ","")&amp;IF(AND(INDEX('Game Records'!$U:$U,$H101)&lt;&gt;"Subscription",INDEX('Game Records'!$U:$U,$H101)&lt;&gt;"Free Game",INDEX('Game Records'!$U:$U,$H101)&lt;&gt;"Disqualified — Free Game",OR(INDEX('Game Records'!$E:$E,$H101)="",LOWER(INDEX('Game Records'!$E:$E,$H101)&amp;"")="n/a")),"Game Type; ","")&amp;IF(INDEX('Game Records'!$F:$F,$H101)="","Payment Type; ","")&amp;IF(AND(INDEX('Game Records'!$U:$U,$H101)&lt;&gt;"Subscription",INDEX('Game Records'!$U:$U,$H101)&lt;&gt;"Free Game",INDEX('Game Records'!$U:$U,$H101)&lt;&gt;"Disqualified — Free Game",INDEX('Game Records'!$G:$G,$H101)=""),"Gross Pot; ","")&amp;IF(AND(INDEX('Game Records'!$U:$U,$H101)&lt;&gt;"Free Game",INDEX('Game Records'!$U:$U,$H101)&lt;&gt;"Disqualified — Free Game",INDEX('Game Records'!$H:$H,$H101)=""),"Entry Fee; ","")&amp;IF(AND(INDEX('Game Records'!$U:$U,$H101)&lt;&gt;"Subscription",INDEX('Game Records'!$U:$U,$H101)&lt;&gt;"Free Game",INDEX('Game Records'!$U:$U,$H101)&lt;&gt;"Disqualified — Free Game",INDEX('Game Records'!$I:$I,$H101)=""),"Eligible Players; ","")&amp;IF(AND(INDEX('Game Records'!$U:$U,$H101)&lt;&gt;"Subscription",INDEX('Game Records'!$U:$U,$H101)&lt;&gt;"Free Game",INDEX('Game Records'!$U:$U,$H101)&lt;&gt;"Disqualified — Free Game",INDEX('Game Records'!$J:$J,$H101)=""),"Total Players; ","")&amp;IF(AND(LOWER(INDEX('Game Records'!$D:$D,$H101)&amp;"")="finalized",LOWER(INDEX('Game Records'!$L:$L,$H101)&amp;"")&lt;&gt;"yes",INDEX('Game Records'!$U:$U,$H101)&lt;&gt;"Subscription",INDEX('Game Records'!$U:$U,$H101)&lt;&gt;"Free Game",INDEX('Game Records'!$U:$U,$H101)&lt;&gt;"Disqualified — Free Game",INDEX('Game Records'!$K:$K,$H101)=""),"Final Earned; ","")&amp;IF(AND(LOWER(INDEX('Game Records'!$D:$D,$H101)&amp;"")="finalized",INDEX('Game Records'!$U:$U,$H101)&lt;&gt;"Subscription",INDEX('Game Records'!$U:$U,$H101)&lt;&gt;"Free Game",INDEX('Game Records'!$U:$U,$H101)&lt;&gt;"Disqualified — Free Game",OR(INDEX('Game Records'!$L:$L,$H101)="",LOWER(INDEX('Game Records'!$L:$L,$H101)&amp;"")="n/a")),"Disqualified Status; ",""))</x:f>
        <x:v/>
      </x:c>
      <x:c r="G101" s="331" t="str">
        <x:f>IF($H101="","",IFERROR(INDEX('Game Records'!$M:$M,$H101),""))</x:f>
        <x:v/>
      </x:c>
      <x:c r="H101" s="104" t="str">
        <x:f>IF($H100="","",IFERROR(MATCH(1,INDEX((ROW('Game Records'!$U$5:$U$504)&gt;$H100)*(('Game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1" s="104"/>
      <x:c r="J101" s="104"/>
    </x:row>
    <x:row r="102" ht="24" hidden="0" customHeight="1">
      <x:c r="A102" s="332" t="str">
        <x:f>IF($H102="","",ROWS($A$5:A102))</x:f>
        <x:v/>
      </x:c>
      <x:c r="B102" s="332" t="str">
        <x:f>IF($H102="","","G-"&amp;TEXT($A102,"0000"))</x:f>
        <x:v/>
      </x:c>
      <x:c r="C102" s="331" t="str">
        <x:f>IF($H102="","",IFERROR(INDEX('Game Records'!$A:$A,$H102),""))</x:f>
        <x:v/>
      </x:c>
      <x:c r="D102" s="331" t="str">
        <x:f>IF($H102="","",IFERROR(INDEX('Game Records'!$U:$U,$H102),""))</x:f>
        <x:v/>
      </x:c>
      <x:c r="E102" s="331" t="str">
        <x:f>IF($H102="","",IF($F102="","No Highlighted Fields","Highlighted Fields Present"))</x:f>
        <x:v/>
      </x:c>
      <x:c r="F102" s="331" t="str">
        <x:f>IF($H102="","",IF(INDEX('Game Records'!$B:$B,$H102)="","Start Date; ","")&amp;IF(INDEX('Game Records'!$C:$C,$H102)="","End Date; ","")&amp;IF(AND(INDEX('Game Records'!$U:$U,$H102)&lt;&gt;"Subscription",INDEX('Game Records'!$U:$U,$H102)&lt;&gt;"Free Game",INDEX('Game Records'!$U:$U,$H102)&lt;&gt;"Disqualified — Free Game",OR(INDEX('Game Records'!$D:$D,$H102)="",LOWER(INDEX('Game Records'!$D:$D,$H102)&amp;"")="n/a")),"Entry Mode; ","")&amp;IF(AND(INDEX('Game Records'!$U:$U,$H102)&lt;&gt;"Subscription",INDEX('Game Records'!$U:$U,$H102)&lt;&gt;"Free Game",INDEX('Game Records'!$U:$U,$H102)&lt;&gt;"Disqualified — Free Game",OR(INDEX('Game Records'!$E:$E,$H102)="",LOWER(INDEX('Game Records'!$E:$E,$H102)&amp;"")="n/a")),"Game Type; ","")&amp;IF(INDEX('Game Records'!$F:$F,$H102)="","Payment Type; ","")&amp;IF(AND(INDEX('Game Records'!$U:$U,$H102)&lt;&gt;"Subscription",INDEX('Game Records'!$U:$U,$H102)&lt;&gt;"Free Game",INDEX('Game Records'!$U:$U,$H102)&lt;&gt;"Disqualified — Free Game",INDEX('Game Records'!$G:$G,$H102)=""),"Gross Pot; ","")&amp;IF(AND(INDEX('Game Records'!$U:$U,$H102)&lt;&gt;"Free Game",INDEX('Game Records'!$U:$U,$H102)&lt;&gt;"Disqualified — Free Game",INDEX('Game Records'!$H:$H,$H102)=""),"Entry Fee; ","")&amp;IF(AND(INDEX('Game Records'!$U:$U,$H102)&lt;&gt;"Subscription",INDEX('Game Records'!$U:$U,$H102)&lt;&gt;"Free Game",INDEX('Game Records'!$U:$U,$H102)&lt;&gt;"Disqualified — Free Game",INDEX('Game Records'!$I:$I,$H102)=""),"Eligible Players; ","")&amp;IF(AND(INDEX('Game Records'!$U:$U,$H102)&lt;&gt;"Subscription",INDEX('Game Records'!$U:$U,$H102)&lt;&gt;"Free Game",INDEX('Game Records'!$U:$U,$H102)&lt;&gt;"Disqualified — Free Game",INDEX('Game Records'!$J:$J,$H102)=""),"Total Players; ","")&amp;IF(AND(LOWER(INDEX('Game Records'!$D:$D,$H102)&amp;"")="finalized",LOWER(INDEX('Game Records'!$L:$L,$H102)&amp;"")&lt;&gt;"yes",INDEX('Game Records'!$U:$U,$H102)&lt;&gt;"Subscription",INDEX('Game Records'!$U:$U,$H102)&lt;&gt;"Free Game",INDEX('Game Records'!$U:$U,$H102)&lt;&gt;"Disqualified — Free Game",INDEX('Game Records'!$K:$K,$H102)=""),"Final Earned; ","")&amp;IF(AND(LOWER(INDEX('Game Records'!$D:$D,$H102)&amp;"")="finalized",INDEX('Game Records'!$U:$U,$H102)&lt;&gt;"Subscription",INDEX('Game Records'!$U:$U,$H102)&lt;&gt;"Free Game",INDEX('Game Records'!$U:$U,$H102)&lt;&gt;"Disqualified — Free Game",OR(INDEX('Game Records'!$L:$L,$H102)="",LOWER(INDEX('Game Records'!$L:$L,$H102)&amp;"")="n/a")),"Disqualified Status; ",""))</x:f>
        <x:v/>
      </x:c>
      <x:c r="G102" s="331" t="str">
        <x:f>IF($H102="","",IFERROR(INDEX('Game Records'!$M:$M,$H102),""))</x:f>
        <x:v/>
      </x:c>
      <x:c r="H102" s="104" t="str">
        <x:f>IF($H101="","",IFERROR(MATCH(1,INDEX((ROW('Game Records'!$U$5:$U$504)&gt;$H101)*(('Game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2" s="104"/>
      <x:c r="J102" s="104"/>
    </x:row>
    <x:row r="103" ht="24" hidden="0" customHeight="1">
      <x:c r="A103" s="332" t="str">
        <x:f>IF($H103="","",ROWS($A$5:A103))</x:f>
        <x:v/>
      </x:c>
      <x:c r="B103" s="332" t="str">
        <x:f>IF($H103="","","G-"&amp;TEXT($A103,"0000"))</x:f>
        <x:v/>
      </x:c>
      <x:c r="C103" s="331" t="str">
        <x:f>IF($H103="","",IFERROR(INDEX('Game Records'!$A:$A,$H103),""))</x:f>
        <x:v/>
      </x:c>
      <x:c r="D103" s="331" t="str">
        <x:f>IF($H103="","",IFERROR(INDEX('Game Records'!$U:$U,$H103),""))</x:f>
        <x:v/>
      </x:c>
      <x:c r="E103" s="331" t="str">
        <x:f>IF($H103="","",IF($F103="","No Highlighted Fields","Highlighted Fields Present"))</x:f>
        <x:v/>
      </x:c>
      <x:c r="F103" s="331" t="str">
        <x:f>IF($H103="","",IF(INDEX('Game Records'!$B:$B,$H103)="","Start Date; ","")&amp;IF(INDEX('Game Records'!$C:$C,$H103)="","End Date; ","")&amp;IF(AND(INDEX('Game Records'!$U:$U,$H103)&lt;&gt;"Subscription",INDEX('Game Records'!$U:$U,$H103)&lt;&gt;"Free Game",INDEX('Game Records'!$U:$U,$H103)&lt;&gt;"Disqualified — Free Game",OR(INDEX('Game Records'!$D:$D,$H103)="",LOWER(INDEX('Game Records'!$D:$D,$H103)&amp;"")="n/a")),"Entry Mode; ","")&amp;IF(AND(INDEX('Game Records'!$U:$U,$H103)&lt;&gt;"Subscription",INDEX('Game Records'!$U:$U,$H103)&lt;&gt;"Free Game",INDEX('Game Records'!$U:$U,$H103)&lt;&gt;"Disqualified — Free Game",OR(INDEX('Game Records'!$E:$E,$H103)="",LOWER(INDEX('Game Records'!$E:$E,$H103)&amp;"")="n/a")),"Game Type; ","")&amp;IF(INDEX('Game Records'!$F:$F,$H103)="","Payment Type; ","")&amp;IF(AND(INDEX('Game Records'!$U:$U,$H103)&lt;&gt;"Subscription",INDEX('Game Records'!$U:$U,$H103)&lt;&gt;"Free Game",INDEX('Game Records'!$U:$U,$H103)&lt;&gt;"Disqualified — Free Game",INDEX('Game Records'!$G:$G,$H103)=""),"Gross Pot; ","")&amp;IF(AND(INDEX('Game Records'!$U:$U,$H103)&lt;&gt;"Free Game",INDEX('Game Records'!$U:$U,$H103)&lt;&gt;"Disqualified — Free Game",INDEX('Game Records'!$H:$H,$H103)=""),"Entry Fee; ","")&amp;IF(AND(INDEX('Game Records'!$U:$U,$H103)&lt;&gt;"Subscription",INDEX('Game Records'!$U:$U,$H103)&lt;&gt;"Free Game",INDEX('Game Records'!$U:$U,$H103)&lt;&gt;"Disqualified — Free Game",INDEX('Game Records'!$I:$I,$H103)=""),"Eligible Players; ","")&amp;IF(AND(INDEX('Game Records'!$U:$U,$H103)&lt;&gt;"Subscription",INDEX('Game Records'!$U:$U,$H103)&lt;&gt;"Free Game",INDEX('Game Records'!$U:$U,$H103)&lt;&gt;"Disqualified — Free Game",INDEX('Game Records'!$J:$J,$H103)=""),"Total Players; ","")&amp;IF(AND(LOWER(INDEX('Game Records'!$D:$D,$H103)&amp;"")="finalized",LOWER(INDEX('Game Records'!$L:$L,$H103)&amp;"")&lt;&gt;"yes",INDEX('Game Records'!$U:$U,$H103)&lt;&gt;"Subscription",INDEX('Game Records'!$U:$U,$H103)&lt;&gt;"Free Game",INDEX('Game Records'!$U:$U,$H103)&lt;&gt;"Disqualified — Free Game",INDEX('Game Records'!$K:$K,$H103)=""),"Final Earned; ","")&amp;IF(AND(LOWER(INDEX('Game Records'!$D:$D,$H103)&amp;"")="finalized",INDEX('Game Records'!$U:$U,$H103)&lt;&gt;"Subscription",INDEX('Game Records'!$U:$U,$H103)&lt;&gt;"Free Game",INDEX('Game Records'!$U:$U,$H103)&lt;&gt;"Disqualified — Free Game",OR(INDEX('Game Records'!$L:$L,$H103)="",LOWER(INDEX('Game Records'!$L:$L,$H103)&amp;"")="n/a")),"Disqualified Status; ",""))</x:f>
        <x:v/>
      </x:c>
      <x:c r="G103" s="331" t="str">
        <x:f>IF($H103="","",IFERROR(INDEX('Game Records'!$M:$M,$H103),""))</x:f>
        <x:v/>
      </x:c>
      <x:c r="H103" s="104" t="str">
        <x:f>IF($H102="","",IFERROR(MATCH(1,INDEX((ROW('Game Records'!$U$5:$U$504)&gt;$H102)*(('Game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3" s="104"/>
      <x:c r="J103" s="104"/>
    </x:row>
    <x:row r="104" ht="24" hidden="0" customHeight="1">
      <x:c r="A104" s="332" t="str">
        <x:f>IF($H104="","",ROWS($A$5:A104))</x:f>
        <x:v/>
      </x:c>
      <x:c r="B104" s="332" t="str">
        <x:f>IF($H104="","","G-"&amp;TEXT($A104,"0000"))</x:f>
        <x:v/>
      </x:c>
      <x:c r="C104" s="331" t="str">
        <x:f>IF($H104="","",IFERROR(INDEX('Game Records'!$A:$A,$H104),""))</x:f>
        <x:v/>
      </x:c>
      <x:c r="D104" s="331" t="str">
        <x:f>IF($H104="","",IFERROR(INDEX('Game Records'!$U:$U,$H104),""))</x:f>
        <x:v/>
      </x:c>
      <x:c r="E104" s="331" t="str">
        <x:f>IF($H104="","",IF($F104="","No Highlighted Fields","Highlighted Fields Present"))</x:f>
        <x:v/>
      </x:c>
      <x:c r="F104" s="331" t="str">
        <x:f>IF($H104="","",IF(INDEX('Game Records'!$B:$B,$H104)="","Start Date; ","")&amp;IF(INDEX('Game Records'!$C:$C,$H104)="","End Date; ","")&amp;IF(AND(INDEX('Game Records'!$U:$U,$H104)&lt;&gt;"Subscription",INDEX('Game Records'!$U:$U,$H104)&lt;&gt;"Free Game",INDEX('Game Records'!$U:$U,$H104)&lt;&gt;"Disqualified — Free Game",OR(INDEX('Game Records'!$D:$D,$H104)="",LOWER(INDEX('Game Records'!$D:$D,$H104)&amp;"")="n/a")),"Entry Mode; ","")&amp;IF(AND(INDEX('Game Records'!$U:$U,$H104)&lt;&gt;"Subscription",INDEX('Game Records'!$U:$U,$H104)&lt;&gt;"Free Game",INDEX('Game Records'!$U:$U,$H104)&lt;&gt;"Disqualified — Free Game",OR(INDEX('Game Records'!$E:$E,$H104)="",LOWER(INDEX('Game Records'!$E:$E,$H104)&amp;"")="n/a")),"Game Type; ","")&amp;IF(INDEX('Game Records'!$F:$F,$H104)="","Payment Type; ","")&amp;IF(AND(INDEX('Game Records'!$U:$U,$H104)&lt;&gt;"Subscription",INDEX('Game Records'!$U:$U,$H104)&lt;&gt;"Free Game",INDEX('Game Records'!$U:$U,$H104)&lt;&gt;"Disqualified — Free Game",INDEX('Game Records'!$G:$G,$H104)=""),"Gross Pot; ","")&amp;IF(AND(INDEX('Game Records'!$U:$U,$H104)&lt;&gt;"Free Game",INDEX('Game Records'!$U:$U,$H104)&lt;&gt;"Disqualified — Free Game",INDEX('Game Records'!$H:$H,$H104)=""),"Entry Fee; ","")&amp;IF(AND(INDEX('Game Records'!$U:$U,$H104)&lt;&gt;"Subscription",INDEX('Game Records'!$U:$U,$H104)&lt;&gt;"Free Game",INDEX('Game Records'!$U:$U,$H104)&lt;&gt;"Disqualified — Free Game",INDEX('Game Records'!$I:$I,$H104)=""),"Eligible Players; ","")&amp;IF(AND(INDEX('Game Records'!$U:$U,$H104)&lt;&gt;"Subscription",INDEX('Game Records'!$U:$U,$H104)&lt;&gt;"Free Game",INDEX('Game Records'!$U:$U,$H104)&lt;&gt;"Disqualified — Free Game",INDEX('Game Records'!$J:$J,$H104)=""),"Total Players; ","")&amp;IF(AND(LOWER(INDEX('Game Records'!$D:$D,$H104)&amp;"")="finalized",LOWER(INDEX('Game Records'!$L:$L,$H104)&amp;"")&lt;&gt;"yes",INDEX('Game Records'!$U:$U,$H104)&lt;&gt;"Subscription",INDEX('Game Records'!$U:$U,$H104)&lt;&gt;"Free Game",INDEX('Game Records'!$U:$U,$H104)&lt;&gt;"Disqualified — Free Game",INDEX('Game Records'!$K:$K,$H104)=""),"Final Earned; ","")&amp;IF(AND(LOWER(INDEX('Game Records'!$D:$D,$H104)&amp;"")="finalized",INDEX('Game Records'!$U:$U,$H104)&lt;&gt;"Subscription",INDEX('Game Records'!$U:$U,$H104)&lt;&gt;"Free Game",INDEX('Game Records'!$U:$U,$H104)&lt;&gt;"Disqualified — Free Game",OR(INDEX('Game Records'!$L:$L,$H104)="",LOWER(INDEX('Game Records'!$L:$L,$H104)&amp;"")="n/a")),"Disqualified Status; ",""))</x:f>
        <x:v/>
      </x:c>
      <x:c r="G104" s="331" t="str">
        <x:f>IF($H104="","",IFERROR(INDEX('Game Records'!$M:$M,$H104),""))</x:f>
        <x:v/>
      </x:c>
      <x:c r="H104" s="104" t="str">
        <x:f>IF($H103="","",IFERROR(MATCH(1,INDEX((ROW('Game Records'!$U$5:$U$504)&gt;$H103)*(('Game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4" s="104"/>
      <x:c r="J104" s="104"/>
    </x:row>
    <x:row r="105" ht="24" hidden="0" customHeight="1">
      <x:c r="A105" s="332" t="str">
        <x:f>IF($H105="","",ROWS($A$5:A105))</x:f>
        <x:v/>
      </x:c>
      <x:c r="B105" s="332" t="str">
        <x:f>IF($H105="","","G-"&amp;TEXT($A105,"0000"))</x:f>
        <x:v/>
      </x:c>
      <x:c r="C105" s="331" t="str">
        <x:f>IF($H105="","",IFERROR(INDEX('Game Records'!$A:$A,$H105),""))</x:f>
        <x:v/>
      </x:c>
      <x:c r="D105" s="331" t="str">
        <x:f>IF($H105="","",IFERROR(INDEX('Game Records'!$U:$U,$H105),""))</x:f>
        <x:v/>
      </x:c>
      <x:c r="E105" s="331" t="str">
        <x:f>IF($H105="","",IF($F105="","No Highlighted Fields","Highlighted Fields Present"))</x:f>
        <x:v/>
      </x:c>
      <x:c r="F105" s="331" t="str">
        <x:f>IF($H105="","",IF(INDEX('Game Records'!$B:$B,$H105)="","Start Date; ","")&amp;IF(INDEX('Game Records'!$C:$C,$H105)="","End Date; ","")&amp;IF(AND(INDEX('Game Records'!$U:$U,$H105)&lt;&gt;"Subscription",INDEX('Game Records'!$U:$U,$H105)&lt;&gt;"Free Game",INDEX('Game Records'!$U:$U,$H105)&lt;&gt;"Disqualified — Free Game",OR(INDEX('Game Records'!$D:$D,$H105)="",LOWER(INDEX('Game Records'!$D:$D,$H105)&amp;"")="n/a")),"Entry Mode; ","")&amp;IF(AND(INDEX('Game Records'!$U:$U,$H105)&lt;&gt;"Subscription",INDEX('Game Records'!$U:$U,$H105)&lt;&gt;"Free Game",INDEX('Game Records'!$U:$U,$H105)&lt;&gt;"Disqualified — Free Game",OR(INDEX('Game Records'!$E:$E,$H105)="",LOWER(INDEX('Game Records'!$E:$E,$H105)&amp;"")="n/a")),"Game Type; ","")&amp;IF(INDEX('Game Records'!$F:$F,$H105)="","Payment Type; ","")&amp;IF(AND(INDEX('Game Records'!$U:$U,$H105)&lt;&gt;"Subscription",INDEX('Game Records'!$U:$U,$H105)&lt;&gt;"Free Game",INDEX('Game Records'!$U:$U,$H105)&lt;&gt;"Disqualified — Free Game",INDEX('Game Records'!$G:$G,$H105)=""),"Gross Pot; ","")&amp;IF(AND(INDEX('Game Records'!$U:$U,$H105)&lt;&gt;"Free Game",INDEX('Game Records'!$U:$U,$H105)&lt;&gt;"Disqualified — Free Game",INDEX('Game Records'!$H:$H,$H105)=""),"Entry Fee; ","")&amp;IF(AND(INDEX('Game Records'!$U:$U,$H105)&lt;&gt;"Subscription",INDEX('Game Records'!$U:$U,$H105)&lt;&gt;"Free Game",INDEX('Game Records'!$U:$U,$H105)&lt;&gt;"Disqualified — Free Game",INDEX('Game Records'!$I:$I,$H105)=""),"Eligible Players; ","")&amp;IF(AND(INDEX('Game Records'!$U:$U,$H105)&lt;&gt;"Subscription",INDEX('Game Records'!$U:$U,$H105)&lt;&gt;"Free Game",INDEX('Game Records'!$U:$U,$H105)&lt;&gt;"Disqualified — Free Game",INDEX('Game Records'!$J:$J,$H105)=""),"Total Players; ","")&amp;IF(AND(LOWER(INDEX('Game Records'!$D:$D,$H105)&amp;"")="finalized",LOWER(INDEX('Game Records'!$L:$L,$H105)&amp;"")&lt;&gt;"yes",INDEX('Game Records'!$U:$U,$H105)&lt;&gt;"Subscription",INDEX('Game Records'!$U:$U,$H105)&lt;&gt;"Free Game",INDEX('Game Records'!$U:$U,$H105)&lt;&gt;"Disqualified — Free Game",INDEX('Game Records'!$K:$K,$H105)=""),"Final Earned; ","")&amp;IF(AND(LOWER(INDEX('Game Records'!$D:$D,$H105)&amp;"")="finalized",INDEX('Game Records'!$U:$U,$H105)&lt;&gt;"Subscription",INDEX('Game Records'!$U:$U,$H105)&lt;&gt;"Free Game",INDEX('Game Records'!$U:$U,$H105)&lt;&gt;"Disqualified — Free Game",OR(INDEX('Game Records'!$L:$L,$H105)="",LOWER(INDEX('Game Records'!$L:$L,$H105)&amp;"")="n/a")),"Disqualified Status; ",""))</x:f>
        <x:v/>
      </x:c>
      <x:c r="G105" s="331" t="str">
        <x:f>IF($H105="","",IFERROR(INDEX('Game Records'!$M:$M,$H105),""))</x:f>
        <x:v/>
      </x:c>
      <x:c r="H105" s="104" t="str">
        <x:f>IF($H104="","",IFERROR(MATCH(1,INDEX((ROW('Game Records'!$U$5:$U$504)&gt;$H104)*(('Game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5" s="104"/>
      <x:c r="J105" s="104"/>
    </x:row>
    <x:row r="106" ht="24" hidden="0" customHeight="1">
      <x:c r="A106" s="332" t="str">
        <x:f>IF($H106="","",ROWS($A$5:A106))</x:f>
        <x:v/>
      </x:c>
      <x:c r="B106" s="332" t="str">
        <x:f>IF($H106="","","G-"&amp;TEXT($A106,"0000"))</x:f>
        <x:v/>
      </x:c>
      <x:c r="C106" s="331" t="str">
        <x:f>IF($H106="","",IFERROR(INDEX('Game Records'!$A:$A,$H106),""))</x:f>
        <x:v/>
      </x:c>
      <x:c r="D106" s="331" t="str">
        <x:f>IF($H106="","",IFERROR(INDEX('Game Records'!$U:$U,$H106),""))</x:f>
        <x:v/>
      </x:c>
      <x:c r="E106" s="331" t="str">
        <x:f>IF($H106="","",IF($F106="","No Highlighted Fields","Highlighted Fields Present"))</x:f>
        <x:v/>
      </x:c>
      <x:c r="F106" s="331" t="str">
        <x:f>IF($H106="","",IF(INDEX('Game Records'!$B:$B,$H106)="","Start Date; ","")&amp;IF(INDEX('Game Records'!$C:$C,$H106)="","End Date; ","")&amp;IF(AND(INDEX('Game Records'!$U:$U,$H106)&lt;&gt;"Subscription",INDEX('Game Records'!$U:$U,$H106)&lt;&gt;"Free Game",INDEX('Game Records'!$U:$U,$H106)&lt;&gt;"Disqualified — Free Game",OR(INDEX('Game Records'!$D:$D,$H106)="",LOWER(INDEX('Game Records'!$D:$D,$H106)&amp;"")="n/a")),"Entry Mode; ","")&amp;IF(AND(INDEX('Game Records'!$U:$U,$H106)&lt;&gt;"Subscription",INDEX('Game Records'!$U:$U,$H106)&lt;&gt;"Free Game",INDEX('Game Records'!$U:$U,$H106)&lt;&gt;"Disqualified — Free Game",OR(INDEX('Game Records'!$E:$E,$H106)="",LOWER(INDEX('Game Records'!$E:$E,$H106)&amp;"")="n/a")),"Game Type; ","")&amp;IF(INDEX('Game Records'!$F:$F,$H106)="","Payment Type; ","")&amp;IF(AND(INDEX('Game Records'!$U:$U,$H106)&lt;&gt;"Subscription",INDEX('Game Records'!$U:$U,$H106)&lt;&gt;"Free Game",INDEX('Game Records'!$U:$U,$H106)&lt;&gt;"Disqualified — Free Game",INDEX('Game Records'!$G:$G,$H106)=""),"Gross Pot; ","")&amp;IF(AND(INDEX('Game Records'!$U:$U,$H106)&lt;&gt;"Free Game",INDEX('Game Records'!$U:$U,$H106)&lt;&gt;"Disqualified — Free Game",INDEX('Game Records'!$H:$H,$H106)=""),"Entry Fee; ","")&amp;IF(AND(INDEX('Game Records'!$U:$U,$H106)&lt;&gt;"Subscription",INDEX('Game Records'!$U:$U,$H106)&lt;&gt;"Free Game",INDEX('Game Records'!$U:$U,$H106)&lt;&gt;"Disqualified — Free Game",INDEX('Game Records'!$I:$I,$H106)=""),"Eligible Players; ","")&amp;IF(AND(INDEX('Game Records'!$U:$U,$H106)&lt;&gt;"Subscription",INDEX('Game Records'!$U:$U,$H106)&lt;&gt;"Free Game",INDEX('Game Records'!$U:$U,$H106)&lt;&gt;"Disqualified — Free Game",INDEX('Game Records'!$J:$J,$H106)=""),"Total Players; ","")&amp;IF(AND(LOWER(INDEX('Game Records'!$D:$D,$H106)&amp;"")="finalized",LOWER(INDEX('Game Records'!$L:$L,$H106)&amp;"")&lt;&gt;"yes",INDEX('Game Records'!$U:$U,$H106)&lt;&gt;"Subscription",INDEX('Game Records'!$U:$U,$H106)&lt;&gt;"Free Game",INDEX('Game Records'!$U:$U,$H106)&lt;&gt;"Disqualified — Free Game",INDEX('Game Records'!$K:$K,$H106)=""),"Final Earned; ","")&amp;IF(AND(LOWER(INDEX('Game Records'!$D:$D,$H106)&amp;"")="finalized",INDEX('Game Records'!$U:$U,$H106)&lt;&gt;"Subscription",INDEX('Game Records'!$U:$U,$H106)&lt;&gt;"Free Game",INDEX('Game Records'!$U:$U,$H106)&lt;&gt;"Disqualified — Free Game",OR(INDEX('Game Records'!$L:$L,$H106)="",LOWER(INDEX('Game Records'!$L:$L,$H106)&amp;"")="n/a")),"Disqualified Status; ",""))</x:f>
        <x:v/>
      </x:c>
      <x:c r="G106" s="331" t="str">
        <x:f>IF($H106="","",IFERROR(INDEX('Game Records'!$M:$M,$H106),""))</x:f>
        <x:v/>
      </x:c>
      <x:c r="H106" s="104" t="str">
        <x:f>IF($H105="","",IFERROR(MATCH(1,INDEX((ROW('Game Records'!$U$5:$U$504)&gt;$H105)*(('Game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6" s="104"/>
      <x:c r="J106" s="104"/>
    </x:row>
    <x:row r="107" ht="24" hidden="0" customHeight="1">
      <x:c r="A107" s="332" t="str">
        <x:f>IF($H107="","",ROWS($A$5:A107))</x:f>
        <x:v/>
      </x:c>
      <x:c r="B107" s="332" t="str">
        <x:f>IF($H107="","","G-"&amp;TEXT($A107,"0000"))</x:f>
        <x:v/>
      </x:c>
      <x:c r="C107" s="331" t="str">
        <x:f>IF($H107="","",IFERROR(INDEX('Game Records'!$A:$A,$H107),""))</x:f>
        <x:v/>
      </x:c>
      <x:c r="D107" s="331" t="str">
        <x:f>IF($H107="","",IFERROR(INDEX('Game Records'!$U:$U,$H107),""))</x:f>
        <x:v/>
      </x:c>
      <x:c r="E107" s="331" t="str">
        <x:f>IF($H107="","",IF($F107="","No Highlighted Fields","Highlighted Fields Present"))</x:f>
        <x:v/>
      </x:c>
      <x:c r="F107" s="331" t="str">
        <x:f>IF($H107="","",IF(INDEX('Game Records'!$B:$B,$H107)="","Start Date; ","")&amp;IF(INDEX('Game Records'!$C:$C,$H107)="","End Date; ","")&amp;IF(AND(INDEX('Game Records'!$U:$U,$H107)&lt;&gt;"Subscription",INDEX('Game Records'!$U:$U,$H107)&lt;&gt;"Free Game",INDEX('Game Records'!$U:$U,$H107)&lt;&gt;"Disqualified — Free Game",OR(INDEX('Game Records'!$D:$D,$H107)="",LOWER(INDEX('Game Records'!$D:$D,$H107)&amp;"")="n/a")),"Entry Mode; ","")&amp;IF(AND(INDEX('Game Records'!$U:$U,$H107)&lt;&gt;"Subscription",INDEX('Game Records'!$U:$U,$H107)&lt;&gt;"Free Game",INDEX('Game Records'!$U:$U,$H107)&lt;&gt;"Disqualified — Free Game",OR(INDEX('Game Records'!$E:$E,$H107)="",LOWER(INDEX('Game Records'!$E:$E,$H107)&amp;"")="n/a")),"Game Type; ","")&amp;IF(INDEX('Game Records'!$F:$F,$H107)="","Payment Type; ","")&amp;IF(AND(INDEX('Game Records'!$U:$U,$H107)&lt;&gt;"Subscription",INDEX('Game Records'!$U:$U,$H107)&lt;&gt;"Free Game",INDEX('Game Records'!$U:$U,$H107)&lt;&gt;"Disqualified — Free Game",INDEX('Game Records'!$G:$G,$H107)=""),"Gross Pot; ","")&amp;IF(AND(INDEX('Game Records'!$U:$U,$H107)&lt;&gt;"Free Game",INDEX('Game Records'!$U:$U,$H107)&lt;&gt;"Disqualified — Free Game",INDEX('Game Records'!$H:$H,$H107)=""),"Entry Fee; ","")&amp;IF(AND(INDEX('Game Records'!$U:$U,$H107)&lt;&gt;"Subscription",INDEX('Game Records'!$U:$U,$H107)&lt;&gt;"Free Game",INDEX('Game Records'!$U:$U,$H107)&lt;&gt;"Disqualified — Free Game",INDEX('Game Records'!$I:$I,$H107)=""),"Eligible Players; ","")&amp;IF(AND(INDEX('Game Records'!$U:$U,$H107)&lt;&gt;"Subscription",INDEX('Game Records'!$U:$U,$H107)&lt;&gt;"Free Game",INDEX('Game Records'!$U:$U,$H107)&lt;&gt;"Disqualified — Free Game",INDEX('Game Records'!$J:$J,$H107)=""),"Total Players; ","")&amp;IF(AND(LOWER(INDEX('Game Records'!$D:$D,$H107)&amp;"")="finalized",LOWER(INDEX('Game Records'!$L:$L,$H107)&amp;"")&lt;&gt;"yes",INDEX('Game Records'!$U:$U,$H107)&lt;&gt;"Subscription",INDEX('Game Records'!$U:$U,$H107)&lt;&gt;"Free Game",INDEX('Game Records'!$U:$U,$H107)&lt;&gt;"Disqualified — Free Game",INDEX('Game Records'!$K:$K,$H107)=""),"Final Earned; ","")&amp;IF(AND(LOWER(INDEX('Game Records'!$D:$D,$H107)&amp;"")="finalized",INDEX('Game Records'!$U:$U,$H107)&lt;&gt;"Subscription",INDEX('Game Records'!$U:$U,$H107)&lt;&gt;"Free Game",INDEX('Game Records'!$U:$U,$H107)&lt;&gt;"Disqualified — Free Game",OR(INDEX('Game Records'!$L:$L,$H107)="",LOWER(INDEX('Game Records'!$L:$L,$H107)&amp;"")="n/a")),"Disqualified Status; ",""))</x:f>
        <x:v/>
      </x:c>
      <x:c r="G107" s="331" t="str">
        <x:f>IF($H107="","",IFERROR(INDEX('Game Records'!$M:$M,$H107),""))</x:f>
        <x:v/>
      </x:c>
      <x:c r="H107" s="104" t="str">
        <x:f>IF($H106="","",IFERROR(MATCH(1,INDEX((ROW('Game Records'!$U$5:$U$504)&gt;$H106)*(('Game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7" s="104"/>
      <x:c r="J107" s="104"/>
    </x:row>
    <x:row r="108" ht="24" hidden="0" customHeight="1">
      <x:c r="A108" s="332" t="str">
        <x:f>IF($H108="","",ROWS($A$5:A108))</x:f>
        <x:v/>
      </x:c>
      <x:c r="B108" s="332" t="str">
        <x:f>IF($H108="","","G-"&amp;TEXT($A108,"0000"))</x:f>
        <x:v/>
      </x:c>
      <x:c r="C108" s="331" t="str">
        <x:f>IF($H108="","",IFERROR(INDEX('Game Records'!$A:$A,$H108),""))</x:f>
        <x:v/>
      </x:c>
      <x:c r="D108" s="331" t="str">
        <x:f>IF($H108="","",IFERROR(INDEX('Game Records'!$U:$U,$H108),""))</x:f>
        <x:v/>
      </x:c>
      <x:c r="E108" s="331" t="str">
        <x:f>IF($H108="","",IF($F108="","No Highlighted Fields","Highlighted Fields Present"))</x:f>
        <x:v/>
      </x:c>
      <x:c r="F108" s="331" t="str">
        <x:f>IF($H108="","",IF(INDEX('Game Records'!$B:$B,$H108)="","Start Date; ","")&amp;IF(INDEX('Game Records'!$C:$C,$H108)="","End Date; ","")&amp;IF(AND(INDEX('Game Records'!$U:$U,$H108)&lt;&gt;"Subscription",INDEX('Game Records'!$U:$U,$H108)&lt;&gt;"Free Game",INDEX('Game Records'!$U:$U,$H108)&lt;&gt;"Disqualified — Free Game",OR(INDEX('Game Records'!$D:$D,$H108)="",LOWER(INDEX('Game Records'!$D:$D,$H108)&amp;"")="n/a")),"Entry Mode; ","")&amp;IF(AND(INDEX('Game Records'!$U:$U,$H108)&lt;&gt;"Subscription",INDEX('Game Records'!$U:$U,$H108)&lt;&gt;"Free Game",INDEX('Game Records'!$U:$U,$H108)&lt;&gt;"Disqualified — Free Game",OR(INDEX('Game Records'!$E:$E,$H108)="",LOWER(INDEX('Game Records'!$E:$E,$H108)&amp;"")="n/a")),"Game Type; ","")&amp;IF(INDEX('Game Records'!$F:$F,$H108)="","Payment Type; ","")&amp;IF(AND(INDEX('Game Records'!$U:$U,$H108)&lt;&gt;"Subscription",INDEX('Game Records'!$U:$U,$H108)&lt;&gt;"Free Game",INDEX('Game Records'!$U:$U,$H108)&lt;&gt;"Disqualified — Free Game",INDEX('Game Records'!$G:$G,$H108)=""),"Gross Pot; ","")&amp;IF(AND(INDEX('Game Records'!$U:$U,$H108)&lt;&gt;"Free Game",INDEX('Game Records'!$U:$U,$H108)&lt;&gt;"Disqualified — Free Game",INDEX('Game Records'!$H:$H,$H108)=""),"Entry Fee; ","")&amp;IF(AND(INDEX('Game Records'!$U:$U,$H108)&lt;&gt;"Subscription",INDEX('Game Records'!$U:$U,$H108)&lt;&gt;"Free Game",INDEX('Game Records'!$U:$U,$H108)&lt;&gt;"Disqualified — Free Game",INDEX('Game Records'!$I:$I,$H108)=""),"Eligible Players; ","")&amp;IF(AND(INDEX('Game Records'!$U:$U,$H108)&lt;&gt;"Subscription",INDEX('Game Records'!$U:$U,$H108)&lt;&gt;"Free Game",INDEX('Game Records'!$U:$U,$H108)&lt;&gt;"Disqualified — Free Game",INDEX('Game Records'!$J:$J,$H108)=""),"Total Players; ","")&amp;IF(AND(LOWER(INDEX('Game Records'!$D:$D,$H108)&amp;"")="finalized",LOWER(INDEX('Game Records'!$L:$L,$H108)&amp;"")&lt;&gt;"yes",INDEX('Game Records'!$U:$U,$H108)&lt;&gt;"Subscription",INDEX('Game Records'!$U:$U,$H108)&lt;&gt;"Free Game",INDEX('Game Records'!$U:$U,$H108)&lt;&gt;"Disqualified — Free Game",INDEX('Game Records'!$K:$K,$H108)=""),"Final Earned; ","")&amp;IF(AND(LOWER(INDEX('Game Records'!$D:$D,$H108)&amp;"")="finalized",INDEX('Game Records'!$U:$U,$H108)&lt;&gt;"Subscription",INDEX('Game Records'!$U:$U,$H108)&lt;&gt;"Free Game",INDEX('Game Records'!$U:$U,$H108)&lt;&gt;"Disqualified — Free Game",OR(INDEX('Game Records'!$L:$L,$H108)="",LOWER(INDEX('Game Records'!$L:$L,$H108)&amp;"")="n/a")),"Disqualified Status; ",""))</x:f>
        <x:v/>
      </x:c>
      <x:c r="G108" s="331" t="str">
        <x:f>IF($H108="","",IFERROR(INDEX('Game Records'!$M:$M,$H108),""))</x:f>
        <x:v/>
      </x:c>
      <x:c r="H108" s="104" t="str">
        <x:f>IF($H107="","",IFERROR(MATCH(1,INDEX((ROW('Game Records'!$U$5:$U$504)&gt;$H107)*(('Game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8" s="104"/>
      <x:c r="J108" s="104"/>
    </x:row>
    <x:row r="109" ht="24" hidden="0" customHeight="1">
      <x:c r="A109" s="332" t="str">
        <x:f>IF($H109="","",ROWS($A$5:A109))</x:f>
        <x:v/>
      </x:c>
      <x:c r="B109" s="332" t="str">
        <x:f>IF($H109="","","G-"&amp;TEXT($A109,"0000"))</x:f>
        <x:v/>
      </x:c>
      <x:c r="C109" s="331" t="str">
        <x:f>IF($H109="","",IFERROR(INDEX('Game Records'!$A:$A,$H109),""))</x:f>
        <x:v/>
      </x:c>
      <x:c r="D109" s="331" t="str">
        <x:f>IF($H109="","",IFERROR(INDEX('Game Records'!$U:$U,$H109),""))</x:f>
        <x:v/>
      </x:c>
      <x:c r="E109" s="331" t="str">
        <x:f>IF($H109="","",IF($F109="","No Highlighted Fields","Highlighted Fields Present"))</x:f>
        <x:v/>
      </x:c>
      <x:c r="F109" s="331" t="str">
        <x:f>IF($H109="","",IF(INDEX('Game Records'!$B:$B,$H109)="","Start Date; ","")&amp;IF(INDEX('Game Records'!$C:$C,$H109)="","End Date; ","")&amp;IF(AND(INDEX('Game Records'!$U:$U,$H109)&lt;&gt;"Subscription",INDEX('Game Records'!$U:$U,$H109)&lt;&gt;"Free Game",INDEX('Game Records'!$U:$U,$H109)&lt;&gt;"Disqualified — Free Game",OR(INDEX('Game Records'!$D:$D,$H109)="",LOWER(INDEX('Game Records'!$D:$D,$H109)&amp;"")="n/a")),"Entry Mode; ","")&amp;IF(AND(INDEX('Game Records'!$U:$U,$H109)&lt;&gt;"Subscription",INDEX('Game Records'!$U:$U,$H109)&lt;&gt;"Free Game",INDEX('Game Records'!$U:$U,$H109)&lt;&gt;"Disqualified — Free Game",OR(INDEX('Game Records'!$E:$E,$H109)="",LOWER(INDEX('Game Records'!$E:$E,$H109)&amp;"")="n/a")),"Game Type; ","")&amp;IF(INDEX('Game Records'!$F:$F,$H109)="","Payment Type; ","")&amp;IF(AND(INDEX('Game Records'!$U:$U,$H109)&lt;&gt;"Subscription",INDEX('Game Records'!$U:$U,$H109)&lt;&gt;"Free Game",INDEX('Game Records'!$U:$U,$H109)&lt;&gt;"Disqualified — Free Game",INDEX('Game Records'!$G:$G,$H109)=""),"Gross Pot; ","")&amp;IF(AND(INDEX('Game Records'!$U:$U,$H109)&lt;&gt;"Free Game",INDEX('Game Records'!$U:$U,$H109)&lt;&gt;"Disqualified — Free Game",INDEX('Game Records'!$H:$H,$H109)=""),"Entry Fee; ","")&amp;IF(AND(INDEX('Game Records'!$U:$U,$H109)&lt;&gt;"Subscription",INDEX('Game Records'!$U:$U,$H109)&lt;&gt;"Free Game",INDEX('Game Records'!$U:$U,$H109)&lt;&gt;"Disqualified — Free Game",INDEX('Game Records'!$I:$I,$H109)=""),"Eligible Players; ","")&amp;IF(AND(INDEX('Game Records'!$U:$U,$H109)&lt;&gt;"Subscription",INDEX('Game Records'!$U:$U,$H109)&lt;&gt;"Free Game",INDEX('Game Records'!$U:$U,$H109)&lt;&gt;"Disqualified — Free Game",INDEX('Game Records'!$J:$J,$H109)=""),"Total Players; ","")&amp;IF(AND(LOWER(INDEX('Game Records'!$D:$D,$H109)&amp;"")="finalized",LOWER(INDEX('Game Records'!$L:$L,$H109)&amp;"")&lt;&gt;"yes",INDEX('Game Records'!$U:$U,$H109)&lt;&gt;"Subscription",INDEX('Game Records'!$U:$U,$H109)&lt;&gt;"Free Game",INDEX('Game Records'!$U:$U,$H109)&lt;&gt;"Disqualified — Free Game",INDEX('Game Records'!$K:$K,$H109)=""),"Final Earned; ","")&amp;IF(AND(LOWER(INDEX('Game Records'!$D:$D,$H109)&amp;"")="finalized",INDEX('Game Records'!$U:$U,$H109)&lt;&gt;"Subscription",INDEX('Game Records'!$U:$U,$H109)&lt;&gt;"Free Game",INDEX('Game Records'!$U:$U,$H109)&lt;&gt;"Disqualified — Free Game",OR(INDEX('Game Records'!$L:$L,$H109)="",LOWER(INDEX('Game Records'!$L:$L,$H109)&amp;"")="n/a")),"Disqualified Status; ",""))</x:f>
        <x:v/>
      </x:c>
      <x:c r="G109" s="331" t="str">
        <x:f>IF($H109="","",IFERROR(INDEX('Game Records'!$M:$M,$H109),""))</x:f>
        <x:v/>
      </x:c>
      <x:c r="H109" s="104" t="str">
        <x:f>IF($H108="","",IFERROR(MATCH(1,INDEX((ROW('Game Records'!$U$5:$U$504)&gt;$H108)*(('Game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09" s="104"/>
      <x:c r="J109" s="104"/>
    </x:row>
    <x:row r="110" ht="24" hidden="0" customHeight="1">
      <x:c r="A110" s="332" t="str">
        <x:f>IF($H110="","",ROWS($A$5:A110))</x:f>
        <x:v/>
      </x:c>
      <x:c r="B110" s="332" t="str">
        <x:f>IF($H110="","","G-"&amp;TEXT($A110,"0000"))</x:f>
        <x:v/>
      </x:c>
      <x:c r="C110" s="331" t="str">
        <x:f>IF($H110="","",IFERROR(INDEX('Game Records'!$A:$A,$H110),""))</x:f>
        <x:v/>
      </x:c>
      <x:c r="D110" s="331" t="str">
        <x:f>IF($H110="","",IFERROR(INDEX('Game Records'!$U:$U,$H110),""))</x:f>
        <x:v/>
      </x:c>
      <x:c r="E110" s="331" t="str">
        <x:f>IF($H110="","",IF($F110="","No Highlighted Fields","Highlighted Fields Present"))</x:f>
        <x:v/>
      </x:c>
      <x:c r="F110" s="331" t="str">
        <x:f>IF($H110="","",IF(INDEX('Game Records'!$B:$B,$H110)="","Start Date; ","")&amp;IF(INDEX('Game Records'!$C:$C,$H110)="","End Date; ","")&amp;IF(AND(INDEX('Game Records'!$U:$U,$H110)&lt;&gt;"Subscription",INDEX('Game Records'!$U:$U,$H110)&lt;&gt;"Free Game",INDEX('Game Records'!$U:$U,$H110)&lt;&gt;"Disqualified — Free Game",OR(INDEX('Game Records'!$D:$D,$H110)="",LOWER(INDEX('Game Records'!$D:$D,$H110)&amp;"")="n/a")),"Entry Mode; ","")&amp;IF(AND(INDEX('Game Records'!$U:$U,$H110)&lt;&gt;"Subscription",INDEX('Game Records'!$U:$U,$H110)&lt;&gt;"Free Game",INDEX('Game Records'!$U:$U,$H110)&lt;&gt;"Disqualified — Free Game",OR(INDEX('Game Records'!$E:$E,$H110)="",LOWER(INDEX('Game Records'!$E:$E,$H110)&amp;"")="n/a")),"Game Type; ","")&amp;IF(INDEX('Game Records'!$F:$F,$H110)="","Payment Type; ","")&amp;IF(AND(INDEX('Game Records'!$U:$U,$H110)&lt;&gt;"Subscription",INDEX('Game Records'!$U:$U,$H110)&lt;&gt;"Free Game",INDEX('Game Records'!$U:$U,$H110)&lt;&gt;"Disqualified — Free Game",INDEX('Game Records'!$G:$G,$H110)=""),"Gross Pot; ","")&amp;IF(AND(INDEX('Game Records'!$U:$U,$H110)&lt;&gt;"Free Game",INDEX('Game Records'!$U:$U,$H110)&lt;&gt;"Disqualified — Free Game",INDEX('Game Records'!$H:$H,$H110)=""),"Entry Fee; ","")&amp;IF(AND(INDEX('Game Records'!$U:$U,$H110)&lt;&gt;"Subscription",INDEX('Game Records'!$U:$U,$H110)&lt;&gt;"Free Game",INDEX('Game Records'!$U:$U,$H110)&lt;&gt;"Disqualified — Free Game",INDEX('Game Records'!$I:$I,$H110)=""),"Eligible Players; ","")&amp;IF(AND(INDEX('Game Records'!$U:$U,$H110)&lt;&gt;"Subscription",INDEX('Game Records'!$U:$U,$H110)&lt;&gt;"Free Game",INDEX('Game Records'!$U:$U,$H110)&lt;&gt;"Disqualified — Free Game",INDEX('Game Records'!$J:$J,$H110)=""),"Total Players; ","")&amp;IF(AND(LOWER(INDEX('Game Records'!$D:$D,$H110)&amp;"")="finalized",LOWER(INDEX('Game Records'!$L:$L,$H110)&amp;"")&lt;&gt;"yes",INDEX('Game Records'!$U:$U,$H110)&lt;&gt;"Subscription",INDEX('Game Records'!$U:$U,$H110)&lt;&gt;"Free Game",INDEX('Game Records'!$U:$U,$H110)&lt;&gt;"Disqualified — Free Game",INDEX('Game Records'!$K:$K,$H110)=""),"Final Earned; ","")&amp;IF(AND(LOWER(INDEX('Game Records'!$D:$D,$H110)&amp;"")="finalized",INDEX('Game Records'!$U:$U,$H110)&lt;&gt;"Subscription",INDEX('Game Records'!$U:$U,$H110)&lt;&gt;"Free Game",INDEX('Game Records'!$U:$U,$H110)&lt;&gt;"Disqualified — Free Game",OR(INDEX('Game Records'!$L:$L,$H110)="",LOWER(INDEX('Game Records'!$L:$L,$H110)&amp;"")="n/a")),"Disqualified Status; ",""))</x:f>
        <x:v/>
      </x:c>
      <x:c r="G110" s="331" t="str">
        <x:f>IF($H110="","",IFERROR(INDEX('Game Records'!$M:$M,$H110),""))</x:f>
        <x:v/>
      </x:c>
      <x:c r="H110" s="104" t="str">
        <x:f>IF($H109="","",IFERROR(MATCH(1,INDEX((ROW('Game Records'!$U$5:$U$504)&gt;$H109)*(('Game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0" s="104"/>
      <x:c r="J110" s="104"/>
    </x:row>
    <x:row r="111" ht="24" hidden="0" customHeight="1">
      <x:c r="A111" s="332" t="str">
        <x:f>IF($H111="","",ROWS($A$5:A111))</x:f>
        <x:v/>
      </x:c>
      <x:c r="B111" s="332" t="str">
        <x:f>IF($H111="","","G-"&amp;TEXT($A111,"0000"))</x:f>
        <x:v/>
      </x:c>
      <x:c r="C111" s="331" t="str">
        <x:f>IF($H111="","",IFERROR(INDEX('Game Records'!$A:$A,$H111),""))</x:f>
        <x:v/>
      </x:c>
      <x:c r="D111" s="331" t="str">
        <x:f>IF($H111="","",IFERROR(INDEX('Game Records'!$U:$U,$H111),""))</x:f>
        <x:v/>
      </x:c>
      <x:c r="E111" s="331" t="str">
        <x:f>IF($H111="","",IF($F111="","No Highlighted Fields","Highlighted Fields Present"))</x:f>
        <x:v/>
      </x:c>
      <x:c r="F111" s="331" t="str">
        <x:f>IF($H111="","",IF(INDEX('Game Records'!$B:$B,$H111)="","Start Date; ","")&amp;IF(INDEX('Game Records'!$C:$C,$H111)="","End Date; ","")&amp;IF(AND(INDEX('Game Records'!$U:$U,$H111)&lt;&gt;"Subscription",INDEX('Game Records'!$U:$U,$H111)&lt;&gt;"Free Game",INDEX('Game Records'!$U:$U,$H111)&lt;&gt;"Disqualified — Free Game",OR(INDEX('Game Records'!$D:$D,$H111)="",LOWER(INDEX('Game Records'!$D:$D,$H111)&amp;"")="n/a")),"Entry Mode; ","")&amp;IF(AND(INDEX('Game Records'!$U:$U,$H111)&lt;&gt;"Subscription",INDEX('Game Records'!$U:$U,$H111)&lt;&gt;"Free Game",INDEX('Game Records'!$U:$U,$H111)&lt;&gt;"Disqualified — Free Game",OR(INDEX('Game Records'!$E:$E,$H111)="",LOWER(INDEX('Game Records'!$E:$E,$H111)&amp;"")="n/a")),"Game Type; ","")&amp;IF(INDEX('Game Records'!$F:$F,$H111)="","Payment Type; ","")&amp;IF(AND(INDEX('Game Records'!$U:$U,$H111)&lt;&gt;"Subscription",INDEX('Game Records'!$U:$U,$H111)&lt;&gt;"Free Game",INDEX('Game Records'!$U:$U,$H111)&lt;&gt;"Disqualified — Free Game",INDEX('Game Records'!$G:$G,$H111)=""),"Gross Pot; ","")&amp;IF(AND(INDEX('Game Records'!$U:$U,$H111)&lt;&gt;"Free Game",INDEX('Game Records'!$U:$U,$H111)&lt;&gt;"Disqualified — Free Game",INDEX('Game Records'!$H:$H,$H111)=""),"Entry Fee; ","")&amp;IF(AND(INDEX('Game Records'!$U:$U,$H111)&lt;&gt;"Subscription",INDEX('Game Records'!$U:$U,$H111)&lt;&gt;"Free Game",INDEX('Game Records'!$U:$U,$H111)&lt;&gt;"Disqualified — Free Game",INDEX('Game Records'!$I:$I,$H111)=""),"Eligible Players; ","")&amp;IF(AND(INDEX('Game Records'!$U:$U,$H111)&lt;&gt;"Subscription",INDEX('Game Records'!$U:$U,$H111)&lt;&gt;"Free Game",INDEX('Game Records'!$U:$U,$H111)&lt;&gt;"Disqualified — Free Game",INDEX('Game Records'!$J:$J,$H111)=""),"Total Players; ","")&amp;IF(AND(LOWER(INDEX('Game Records'!$D:$D,$H111)&amp;"")="finalized",LOWER(INDEX('Game Records'!$L:$L,$H111)&amp;"")&lt;&gt;"yes",INDEX('Game Records'!$U:$U,$H111)&lt;&gt;"Subscription",INDEX('Game Records'!$U:$U,$H111)&lt;&gt;"Free Game",INDEX('Game Records'!$U:$U,$H111)&lt;&gt;"Disqualified — Free Game",INDEX('Game Records'!$K:$K,$H111)=""),"Final Earned; ","")&amp;IF(AND(LOWER(INDEX('Game Records'!$D:$D,$H111)&amp;"")="finalized",INDEX('Game Records'!$U:$U,$H111)&lt;&gt;"Subscription",INDEX('Game Records'!$U:$U,$H111)&lt;&gt;"Free Game",INDEX('Game Records'!$U:$U,$H111)&lt;&gt;"Disqualified — Free Game",OR(INDEX('Game Records'!$L:$L,$H111)="",LOWER(INDEX('Game Records'!$L:$L,$H111)&amp;"")="n/a")),"Disqualified Status; ",""))</x:f>
        <x:v/>
      </x:c>
      <x:c r="G111" s="331" t="str">
        <x:f>IF($H111="","",IFERROR(INDEX('Game Records'!$M:$M,$H111),""))</x:f>
        <x:v/>
      </x:c>
      <x:c r="H111" s="104" t="str">
        <x:f>IF($H110="","",IFERROR(MATCH(1,INDEX((ROW('Game Records'!$U$5:$U$504)&gt;$H110)*(('Game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1" s="104"/>
      <x:c r="J111" s="104"/>
    </x:row>
    <x:row r="112" ht="24" hidden="0" customHeight="1">
      <x:c r="A112" s="332" t="str">
        <x:f>IF($H112="","",ROWS($A$5:A112))</x:f>
        <x:v/>
      </x:c>
      <x:c r="B112" s="332" t="str">
        <x:f>IF($H112="","","G-"&amp;TEXT($A112,"0000"))</x:f>
        <x:v/>
      </x:c>
      <x:c r="C112" s="331" t="str">
        <x:f>IF($H112="","",IFERROR(INDEX('Game Records'!$A:$A,$H112),""))</x:f>
        <x:v/>
      </x:c>
      <x:c r="D112" s="331" t="str">
        <x:f>IF($H112="","",IFERROR(INDEX('Game Records'!$U:$U,$H112),""))</x:f>
        <x:v/>
      </x:c>
      <x:c r="E112" s="331" t="str">
        <x:f>IF($H112="","",IF($F112="","No Highlighted Fields","Highlighted Fields Present"))</x:f>
        <x:v/>
      </x:c>
      <x:c r="F112" s="331" t="str">
        <x:f>IF($H112="","",IF(INDEX('Game Records'!$B:$B,$H112)="","Start Date; ","")&amp;IF(INDEX('Game Records'!$C:$C,$H112)="","End Date; ","")&amp;IF(AND(INDEX('Game Records'!$U:$U,$H112)&lt;&gt;"Subscription",INDEX('Game Records'!$U:$U,$H112)&lt;&gt;"Free Game",INDEX('Game Records'!$U:$U,$H112)&lt;&gt;"Disqualified — Free Game",OR(INDEX('Game Records'!$D:$D,$H112)="",LOWER(INDEX('Game Records'!$D:$D,$H112)&amp;"")="n/a")),"Entry Mode; ","")&amp;IF(AND(INDEX('Game Records'!$U:$U,$H112)&lt;&gt;"Subscription",INDEX('Game Records'!$U:$U,$H112)&lt;&gt;"Free Game",INDEX('Game Records'!$U:$U,$H112)&lt;&gt;"Disqualified — Free Game",OR(INDEX('Game Records'!$E:$E,$H112)="",LOWER(INDEX('Game Records'!$E:$E,$H112)&amp;"")="n/a")),"Game Type; ","")&amp;IF(INDEX('Game Records'!$F:$F,$H112)="","Payment Type; ","")&amp;IF(AND(INDEX('Game Records'!$U:$U,$H112)&lt;&gt;"Subscription",INDEX('Game Records'!$U:$U,$H112)&lt;&gt;"Free Game",INDEX('Game Records'!$U:$U,$H112)&lt;&gt;"Disqualified — Free Game",INDEX('Game Records'!$G:$G,$H112)=""),"Gross Pot; ","")&amp;IF(AND(INDEX('Game Records'!$U:$U,$H112)&lt;&gt;"Free Game",INDEX('Game Records'!$U:$U,$H112)&lt;&gt;"Disqualified — Free Game",INDEX('Game Records'!$H:$H,$H112)=""),"Entry Fee; ","")&amp;IF(AND(INDEX('Game Records'!$U:$U,$H112)&lt;&gt;"Subscription",INDEX('Game Records'!$U:$U,$H112)&lt;&gt;"Free Game",INDEX('Game Records'!$U:$U,$H112)&lt;&gt;"Disqualified — Free Game",INDEX('Game Records'!$I:$I,$H112)=""),"Eligible Players; ","")&amp;IF(AND(INDEX('Game Records'!$U:$U,$H112)&lt;&gt;"Subscription",INDEX('Game Records'!$U:$U,$H112)&lt;&gt;"Free Game",INDEX('Game Records'!$U:$U,$H112)&lt;&gt;"Disqualified — Free Game",INDEX('Game Records'!$J:$J,$H112)=""),"Total Players; ","")&amp;IF(AND(LOWER(INDEX('Game Records'!$D:$D,$H112)&amp;"")="finalized",LOWER(INDEX('Game Records'!$L:$L,$H112)&amp;"")&lt;&gt;"yes",INDEX('Game Records'!$U:$U,$H112)&lt;&gt;"Subscription",INDEX('Game Records'!$U:$U,$H112)&lt;&gt;"Free Game",INDEX('Game Records'!$U:$U,$H112)&lt;&gt;"Disqualified — Free Game",INDEX('Game Records'!$K:$K,$H112)=""),"Final Earned; ","")&amp;IF(AND(LOWER(INDEX('Game Records'!$D:$D,$H112)&amp;"")="finalized",INDEX('Game Records'!$U:$U,$H112)&lt;&gt;"Subscription",INDEX('Game Records'!$U:$U,$H112)&lt;&gt;"Free Game",INDEX('Game Records'!$U:$U,$H112)&lt;&gt;"Disqualified — Free Game",OR(INDEX('Game Records'!$L:$L,$H112)="",LOWER(INDEX('Game Records'!$L:$L,$H112)&amp;"")="n/a")),"Disqualified Status; ",""))</x:f>
        <x:v/>
      </x:c>
      <x:c r="G112" s="331" t="str">
        <x:f>IF($H112="","",IFERROR(INDEX('Game Records'!$M:$M,$H112),""))</x:f>
        <x:v/>
      </x:c>
      <x:c r="H112" s="104" t="str">
        <x:f>IF($H111="","",IFERROR(MATCH(1,INDEX((ROW('Game Records'!$U$5:$U$504)&gt;$H111)*(('Game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2" s="104"/>
      <x:c r="J112" s="104"/>
    </x:row>
    <x:row r="113" ht="24" hidden="0" customHeight="1">
      <x:c r="A113" s="332" t="str">
        <x:f>IF($H113="","",ROWS($A$5:A113))</x:f>
        <x:v/>
      </x:c>
      <x:c r="B113" s="332" t="str">
        <x:f>IF($H113="","","G-"&amp;TEXT($A113,"0000"))</x:f>
        <x:v/>
      </x:c>
      <x:c r="C113" s="331" t="str">
        <x:f>IF($H113="","",IFERROR(INDEX('Game Records'!$A:$A,$H113),""))</x:f>
        <x:v/>
      </x:c>
      <x:c r="D113" s="331" t="str">
        <x:f>IF($H113="","",IFERROR(INDEX('Game Records'!$U:$U,$H113),""))</x:f>
        <x:v/>
      </x:c>
      <x:c r="E113" s="331" t="str">
        <x:f>IF($H113="","",IF($F113="","No Highlighted Fields","Highlighted Fields Present"))</x:f>
        <x:v/>
      </x:c>
      <x:c r="F113" s="331" t="str">
        <x:f>IF($H113="","",IF(INDEX('Game Records'!$B:$B,$H113)="","Start Date; ","")&amp;IF(INDEX('Game Records'!$C:$C,$H113)="","End Date; ","")&amp;IF(AND(INDEX('Game Records'!$U:$U,$H113)&lt;&gt;"Subscription",INDEX('Game Records'!$U:$U,$H113)&lt;&gt;"Free Game",INDEX('Game Records'!$U:$U,$H113)&lt;&gt;"Disqualified — Free Game",OR(INDEX('Game Records'!$D:$D,$H113)="",LOWER(INDEX('Game Records'!$D:$D,$H113)&amp;"")="n/a")),"Entry Mode; ","")&amp;IF(AND(INDEX('Game Records'!$U:$U,$H113)&lt;&gt;"Subscription",INDEX('Game Records'!$U:$U,$H113)&lt;&gt;"Free Game",INDEX('Game Records'!$U:$U,$H113)&lt;&gt;"Disqualified — Free Game",OR(INDEX('Game Records'!$E:$E,$H113)="",LOWER(INDEX('Game Records'!$E:$E,$H113)&amp;"")="n/a")),"Game Type; ","")&amp;IF(INDEX('Game Records'!$F:$F,$H113)="","Payment Type; ","")&amp;IF(AND(INDEX('Game Records'!$U:$U,$H113)&lt;&gt;"Subscription",INDEX('Game Records'!$U:$U,$H113)&lt;&gt;"Free Game",INDEX('Game Records'!$U:$U,$H113)&lt;&gt;"Disqualified — Free Game",INDEX('Game Records'!$G:$G,$H113)=""),"Gross Pot; ","")&amp;IF(AND(INDEX('Game Records'!$U:$U,$H113)&lt;&gt;"Free Game",INDEX('Game Records'!$U:$U,$H113)&lt;&gt;"Disqualified — Free Game",INDEX('Game Records'!$H:$H,$H113)=""),"Entry Fee; ","")&amp;IF(AND(INDEX('Game Records'!$U:$U,$H113)&lt;&gt;"Subscription",INDEX('Game Records'!$U:$U,$H113)&lt;&gt;"Free Game",INDEX('Game Records'!$U:$U,$H113)&lt;&gt;"Disqualified — Free Game",INDEX('Game Records'!$I:$I,$H113)=""),"Eligible Players; ","")&amp;IF(AND(INDEX('Game Records'!$U:$U,$H113)&lt;&gt;"Subscription",INDEX('Game Records'!$U:$U,$H113)&lt;&gt;"Free Game",INDEX('Game Records'!$U:$U,$H113)&lt;&gt;"Disqualified — Free Game",INDEX('Game Records'!$J:$J,$H113)=""),"Total Players; ","")&amp;IF(AND(LOWER(INDEX('Game Records'!$D:$D,$H113)&amp;"")="finalized",LOWER(INDEX('Game Records'!$L:$L,$H113)&amp;"")&lt;&gt;"yes",INDEX('Game Records'!$U:$U,$H113)&lt;&gt;"Subscription",INDEX('Game Records'!$U:$U,$H113)&lt;&gt;"Free Game",INDEX('Game Records'!$U:$U,$H113)&lt;&gt;"Disqualified — Free Game",INDEX('Game Records'!$K:$K,$H113)=""),"Final Earned; ","")&amp;IF(AND(LOWER(INDEX('Game Records'!$D:$D,$H113)&amp;"")="finalized",INDEX('Game Records'!$U:$U,$H113)&lt;&gt;"Subscription",INDEX('Game Records'!$U:$U,$H113)&lt;&gt;"Free Game",INDEX('Game Records'!$U:$U,$H113)&lt;&gt;"Disqualified — Free Game",OR(INDEX('Game Records'!$L:$L,$H113)="",LOWER(INDEX('Game Records'!$L:$L,$H113)&amp;"")="n/a")),"Disqualified Status; ",""))</x:f>
        <x:v/>
      </x:c>
      <x:c r="G113" s="331" t="str">
        <x:f>IF($H113="","",IFERROR(INDEX('Game Records'!$M:$M,$H113),""))</x:f>
        <x:v/>
      </x:c>
      <x:c r="H113" s="104" t="str">
        <x:f>IF($H112="","",IFERROR(MATCH(1,INDEX((ROW('Game Records'!$U$5:$U$504)&gt;$H112)*(('Game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3" s="104"/>
      <x:c r="J113" s="104"/>
    </x:row>
    <x:row r="114" ht="24" hidden="0" customHeight="1">
      <x:c r="A114" s="332" t="str">
        <x:f>IF($H114="","",ROWS($A$5:A114))</x:f>
        <x:v/>
      </x:c>
      <x:c r="B114" s="332" t="str">
        <x:f>IF($H114="","","G-"&amp;TEXT($A114,"0000"))</x:f>
        <x:v/>
      </x:c>
      <x:c r="C114" s="331" t="str">
        <x:f>IF($H114="","",IFERROR(INDEX('Game Records'!$A:$A,$H114),""))</x:f>
        <x:v/>
      </x:c>
      <x:c r="D114" s="331" t="str">
        <x:f>IF($H114="","",IFERROR(INDEX('Game Records'!$U:$U,$H114),""))</x:f>
        <x:v/>
      </x:c>
      <x:c r="E114" s="331" t="str">
        <x:f>IF($H114="","",IF($F114="","No Highlighted Fields","Highlighted Fields Present"))</x:f>
        <x:v/>
      </x:c>
      <x:c r="F114" s="331" t="str">
        <x:f>IF($H114="","",IF(INDEX('Game Records'!$B:$B,$H114)="","Start Date; ","")&amp;IF(INDEX('Game Records'!$C:$C,$H114)="","End Date; ","")&amp;IF(AND(INDEX('Game Records'!$U:$U,$H114)&lt;&gt;"Subscription",INDEX('Game Records'!$U:$U,$H114)&lt;&gt;"Free Game",INDEX('Game Records'!$U:$U,$H114)&lt;&gt;"Disqualified — Free Game",OR(INDEX('Game Records'!$D:$D,$H114)="",LOWER(INDEX('Game Records'!$D:$D,$H114)&amp;"")="n/a")),"Entry Mode; ","")&amp;IF(AND(INDEX('Game Records'!$U:$U,$H114)&lt;&gt;"Subscription",INDEX('Game Records'!$U:$U,$H114)&lt;&gt;"Free Game",INDEX('Game Records'!$U:$U,$H114)&lt;&gt;"Disqualified — Free Game",OR(INDEX('Game Records'!$E:$E,$H114)="",LOWER(INDEX('Game Records'!$E:$E,$H114)&amp;"")="n/a")),"Game Type; ","")&amp;IF(INDEX('Game Records'!$F:$F,$H114)="","Payment Type; ","")&amp;IF(AND(INDEX('Game Records'!$U:$U,$H114)&lt;&gt;"Subscription",INDEX('Game Records'!$U:$U,$H114)&lt;&gt;"Free Game",INDEX('Game Records'!$U:$U,$H114)&lt;&gt;"Disqualified — Free Game",INDEX('Game Records'!$G:$G,$H114)=""),"Gross Pot; ","")&amp;IF(AND(INDEX('Game Records'!$U:$U,$H114)&lt;&gt;"Free Game",INDEX('Game Records'!$U:$U,$H114)&lt;&gt;"Disqualified — Free Game",INDEX('Game Records'!$H:$H,$H114)=""),"Entry Fee; ","")&amp;IF(AND(INDEX('Game Records'!$U:$U,$H114)&lt;&gt;"Subscription",INDEX('Game Records'!$U:$U,$H114)&lt;&gt;"Free Game",INDEX('Game Records'!$U:$U,$H114)&lt;&gt;"Disqualified — Free Game",INDEX('Game Records'!$I:$I,$H114)=""),"Eligible Players; ","")&amp;IF(AND(INDEX('Game Records'!$U:$U,$H114)&lt;&gt;"Subscription",INDEX('Game Records'!$U:$U,$H114)&lt;&gt;"Free Game",INDEX('Game Records'!$U:$U,$H114)&lt;&gt;"Disqualified — Free Game",INDEX('Game Records'!$J:$J,$H114)=""),"Total Players; ","")&amp;IF(AND(LOWER(INDEX('Game Records'!$D:$D,$H114)&amp;"")="finalized",LOWER(INDEX('Game Records'!$L:$L,$H114)&amp;"")&lt;&gt;"yes",INDEX('Game Records'!$U:$U,$H114)&lt;&gt;"Subscription",INDEX('Game Records'!$U:$U,$H114)&lt;&gt;"Free Game",INDEX('Game Records'!$U:$U,$H114)&lt;&gt;"Disqualified — Free Game",INDEX('Game Records'!$K:$K,$H114)=""),"Final Earned; ","")&amp;IF(AND(LOWER(INDEX('Game Records'!$D:$D,$H114)&amp;"")="finalized",INDEX('Game Records'!$U:$U,$H114)&lt;&gt;"Subscription",INDEX('Game Records'!$U:$U,$H114)&lt;&gt;"Free Game",INDEX('Game Records'!$U:$U,$H114)&lt;&gt;"Disqualified — Free Game",OR(INDEX('Game Records'!$L:$L,$H114)="",LOWER(INDEX('Game Records'!$L:$L,$H114)&amp;"")="n/a")),"Disqualified Status; ",""))</x:f>
        <x:v/>
      </x:c>
      <x:c r="G114" s="331" t="str">
        <x:f>IF($H114="","",IFERROR(INDEX('Game Records'!$M:$M,$H114),""))</x:f>
        <x:v/>
      </x:c>
      <x:c r="H114" s="104" t="str">
        <x:f>IF($H113="","",IFERROR(MATCH(1,INDEX((ROW('Game Records'!$U$5:$U$504)&gt;$H113)*(('Game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4" s="104"/>
      <x:c r="J114" s="104"/>
    </x:row>
    <x:row r="115" ht="24" hidden="0" customHeight="1">
      <x:c r="A115" s="332" t="str">
        <x:f>IF($H115="","",ROWS($A$5:A115))</x:f>
        <x:v/>
      </x:c>
      <x:c r="B115" s="332" t="str">
        <x:f>IF($H115="","","G-"&amp;TEXT($A115,"0000"))</x:f>
        <x:v/>
      </x:c>
      <x:c r="C115" s="331" t="str">
        <x:f>IF($H115="","",IFERROR(INDEX('Game Records'!$A:$A,$H115),""))</x:f>
        <x:v/>
      </x:c>
      <x:c r="D115" s="331" t="str">
        <x:f>IF($H115="","",IFERROR(INDEX('Game Records'!$U:$U,$H115),""))</x:f>
        <x:v/>
      </x:c>
      <x:c r="E115" s="331" t="str">
        <x:f>IF($H115="","",IF($F115="","No Highlighted Fields","Highlighted Fields Present"))</x:f>
        <x:v/>
      </x:c>
      <x:c r="F115" s="331" t="str">
        <x:f>IF($H115="","",IF(INDEX('Game Records'!$B:$B,$H115)="","Start Date; ","")&amp;IF(INDEX('Game Records'!$C:$C,$H115)="","End Date; ","")&amp;IF(AND(INDEX('Game Records'!$U:$U,$H115)&lt;&gt;"Subscription",INDEX('Game Records'!$U:$U,$H115)&lt;&gt;"Free Game",INDEX('Game Records'!$U:$U,$H115)&lt;&gt;"Disqualified — Free Game",OR(INDEX('Game Records'!$D:$D,$H115)="",LOWER(INDEX('Game Records'!$D:$D,$H115)&amp;"")="n/a")),"Entry Mode; ","")&amp;IF(AND(INDEX('Game Records'!$U:$U,$H115)&lt;&gt;"Subscription",INDEX('Game Records'!$U:$U,$H115)&lt;&gt;"Free Game",INDEX('Game Records'!$U:$U,$H115)&lt;&gt;"Disqualified — Free Game",OR(INDEX('Game Records'!$E:$E,$H115)="",LOWER(INDEX('Game Records'!$E:$E,$H115)&amp;"")="n/a")),"Game Type; ","")&amp;IF(INDEX('Game Records'!$F:$F,$H115)="","Payment Type; ","")&amp;IF(AND(INDEX('Game Records'!$U:$U,$H115)&lt;&gt;"Subscription",INDEX('Game Records'!$U:$U,$H115)&lt;&gt;"Free Game",INDEX('Game Records'!$U:$U,$H115)&lt;&gt;"Disqualified — Free Game",INDEX('Game Records'!$G:$G,$H115)=""),"Gross Pot; ","")&amp;IF(AND(INDEX('Game Records'!$U:$U,$H115)&lt;&gt;"Free Game",INDEX('Game Records'!$U:$U,$H115)&lt;&gt;"Disqualified — Free Game",INDEX('Game Records'!$H:$H,$H115)=""),"Entry Fee; ","")&amp;IF(AND(INDEX('Game Records'!$U:$U,$H115)&lt;&gt;"Subscription",INDEX('Game Records'!$U:$U,$H115)&lt;&gt;"Free Game",INDEX('Game Records'!$U:$U,$H115)&lt;&gt;"Disqualified — Free Game",INDEX('Game Records'!$I:$I,$H115)=""),"Eligible Players; ","")&amp;IF(AND(INDEX('Game Records'!$U:$U,$H115)&lt;&gt;"Subscription",INDEX('Game Records'!$U:$U,$H115)&lt;&gt;"Free Game",INDEX('Game Records'!$U:$U,$H115)&lt;&gt;"Disqualified — Free Game",INDEX('Game Records'!$J:$J,$H115)=""),"Total Players; ","")&amp;IF(AND(LOWER(INDEX('Game Records'!$D:$D,$H115)&amp;"")="finalized",LOWER(INDEX('Game Records'!$L:$L,$H115)&amp;"")&lt;&gt;"yes",INDEX('Game Records'!$U:$U,$H115)&lt;&gt;"Subscription",INDEX('Game Records'!$U:$U,$H115)&lt;&gt;"Free Game",INDEX('Game Records'!$U:$U,$H115)&lt;&gt;"Disqualified — Free Game",INDEX('Game Records'!$K:$K,$H115)=""),"Final Earned; ","")&amp;IF(AND(LOWER(INDEX('Game Records'!$D:$D,$H115)&amp;"")="finalized",INDEX('Game Records'!$U:$U,$H115)&lt;&gt;"Subscription",INDEX('Game Records'!$U:$U,$H115)&lt;&gt;"Free Game",INDEX('Game Records'!$U:$U,$H115)&lt;&gt;"Disqualified — Free Game",OR(INDEX('Game Records'!$L:$L,$H115)="",LOWER(INDEX('Game Records'!$L:$L,$H115)&amp;"")="n/a")),"Disqualified Status; ",""))</x:f>
        <x:v/>
      </x:c>
      <x:c r="G115" s="331" t="str">
        <x:f>IF($H115="","",IFERROR(INDEX('Game Records'!$M:$M,$H115),""))</x:f>
        <x:v/>
      </x:c>
      <x:c r="H115" s="104" t="str">
        <x:f>IF($H114="","",IFERROR(MATCH(1,INDEX((ROW('Game Records'!$U$5:$U$504)&gt;$H114)*(('Game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5" s="104"/>
      <x:c r="J115" s="104"/>
    </x:row>
    <x:row r="116" ht="24" hidden="0" customHeight="1">
      <x:c r="A116" s="332" t="str">
        <x:f>IF($H116="","",ROWS($A$5:A116))</x:f>
        <x:v/>
      </x:c>
      <x:c r="B116" s="332" t="str">
        <x:f>IF($H116="","","G-"&amp;TEXT($A116,"0000"))</x:f>
        <x:v/>
      </x:c>
      <x:c r="C116" s="331" t="str">
        <x:f>IF($H116="","",IFERROR(INDEX('Game Records'!$A:$A,$H116),""))</x:f>
        <x:v/>
      </x:c>
      <x:c r="D116" s="331" t="str">
        <x:f>IF($H116="","",IFERROR(INDEX('Game Records'!$U:$U,$H116),""))</x:f>
        <x:v/>
      </x:c>
      <x:c r="E116" s="331" t="str">
        <x:f>IF($H116="","",IF($F116="","No Highlighted Fields","Highlighted Fields Present"))</x:f>
        <x:v/>
      </x:c>
      <x:c r="F116" s="331" t="str">
        <x:f>IF($H116="","",IF(INDEX('Game Records'!$B:$B,$H116)="","Start Date; ","")&amp;IF(INDEX('Game Records'!$C:$C,$H116)="","End Date; ","")&amp;IF(AND(INDEX('Game Records'!$U:$U,$H116)&lt;&gt;"Subscription",INDEX('Game Records'!$U:$U,$H116)&lt;&gt;"Free Game",INDEX('Game Records'!$U:$U,$H116)&lt;&gt;"Disqualified — Free Game",OR(INDEX('Game Records'!$D:$D,$H116)="",LOWER(INDEX('Game Records'!$D:$D,$H116)&amp;"")="n/a")),"Entry Mode; ","")&amp;IF(AND(INDEX('Game Records'!$U:$U,$H116)&lt;&gt;"Subscription",INDEX('Game Records'!$U:$U,$H116)&lt;&gt;"Free Game",INDEX('Game Records'!$U:$U,$H116)&lt;&gt;"Disqualified — Free Game",OR(INDEX('Game Records'!$E:$E,$H116)="",LOWER(INDEX('Game Records'!$E:$E,$H116)&amp;"")="n/a")),"Game Type; ","")&amp;IF(INDEX('Game Records'!$F:$F,$H116)="","Payment Type; ","")&amp;IF(AND(INDEX('Game Records'!$U:$U,$H116)&lt;&gt;"Subscription",INDEX('Game Records'!$U:$U,$H116)&lt;&gt;"Free Game",INDEX('Game Records'!$U:$U,$H116)&lt;&gt;"Disqualified — Free Game",INDEX('Game Records'!$G:$G,$H116)=""),"Gross Pot; ","")&amp;IF(AND(INDEX('Game Records'!$U:$U,$H116)&lt;&gt;"Free Game",INDEX('Game Records'!$U:$U,$H116)&lt;&gt;"Disqualified — Free Game",INDEX('Game Records'!$H:$H,$H116)=""),"Entry Fee; ","")&amp;IF(AND(INDEX('Game Records'!$U:$U,$H116)&lt;&gt;"Subscription",INDEX('Game Records'!$U:$U,$H116)&lt;&gt;"Free Game",INDEX('Game Records'!$U:$U,$H116)&lt;&gt;"Disqualified — Free Game",INDEX('Game Records'!$I:$I,$H116)=""),"Eligible Players; ","")&amp;IF(AND(INDEX('Game Records'!$U:$U,$H116)&lt;&gt;"Subscription",INDEX('Game Records'!$U:$U,$H116)&lt;&gt;"Free Game",INDEX('Game Records'!$U:$U,$H116)&lt;&gt;"Disqualified — Free Game",INDEX('Game Records'!$J:$J,$H116)=""),"Total Players; ","")&amp;IF(AND(LOWER(INDEX('Game Records'!$D:$D,$H116)&amp;"")="finalized",LOWER(INDEX('Game Records'!$L:$L,$H116)&amp;"")&lt;&gt;"yes",INDEX('Game Records'!$U:$U,$H116)&lt;&gt;"Subscription",INDEX('Game Records'!$U:$U,$H116)&lt;&gt;"Free Game",INDEX('Game Records'!$U:$U,$H116)&lt;&gt;"Disqualified — Free Game",INDEX('Game Records'!$K:$K,$H116)=""),"Final Earned; ","")&amp;IF(AND(LOWER(INDEX('Game Records'!$D:$D,$H116)&amp;"")="finalized",INDEX('Game Records'!$U:$U,$H116)&lt;&gt;"Subscription",INDEX('Game Records'!$U:$U,$H116)&lt;&gt;"Free Game",INDEX('Game Records'!$U:$U,$H116)&lt;&gt;"Disqualified — Free Game",OR(INDEX('Game Records'!$L:$L,$H116)="",LOWER(INDEX('Game Records'!$L:$L,$H116)&amp;"")="n/a")),"Disqualified Status; ",""))</x:f>
        <x:v/>
      </x:c>
      <x:c r="G116" s="331" t="str">
        <x:f>IF($H116="","",IFERROR(INDEX('Game Records'!$M:$M,$H116),""))</x:f>
        <x:v/>
      </x:c>
      <x:c r="H116" s="104" t="str">
        <x:f>IF($H115="","",IFERROR(MATCH(1,INDEX((ROW('Game Records'!$U$5:$U$504)&gt;$H115)*(('Game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6" s="104"/>
      <x:c r="J116" s="104"/>
    </x:row>
    <x:row r="117" ht="24" hidden="0" customHeight="1">
      <x:c r="A117" s="332" t="str">
        <x:f>IF($H117="","",ROWS($A$5:A117))</x:f>
        <x:v/>
      </x:c>
      <x:c r="B117" s="332" t="str">
        <x:f>IF($H117="","","G-"&amp;TEXT($A117,"0000"))</x:f>
        <x:v/>
      </x:c>
      <x:c r="C117" s="331" t="str">
        <x:f>IF($H117="","",IFERROR(INDEX('Game Records'!$A:$A,$H117),""))</x:f>
        <x:v/>
      </x:c>
      <x:c r="D117" s="331" t="str">
        <x:f>IF($H117="","",IFERROR(INDEX('Game Records'!$U:$U,$H117),""))</x:f>
        <x:v/>
      </x:c>
      <x:c r="E117" s="331" t="str">
        <x:f>IF($H117="","",IF($F117="","No Highlighted Fields","Highlighted Fields Present"))</x:f>
        <x:v/>
      </x:c>
      <x:c r="F117" s="331" t="str">
        <x:f>IF($H117="","",IF(INDEX('Game Records'!$B:$B,$H117)="","Start Date; ","")&amp;IF(INDEX('Game Records'!$C:$C,$H117)="","End Date; ","")&amp;IF(AND(INDEX('Game Records'!$U:$U,$H117)&lt;&gt;"Subscription",INDEX('Game Records'!$U:$U,$H117)&lt;&gt;"Free Game",INDEX('Game Records'!$U:$U,$H117)&lt;&gt;"Disqualified — Free Game",OR(INDEX('Game Records'!$D:$D,$H117)="",LOWER(INDEX('Game Records'!$D:$D,$H117)&amp;"")="n/a")),"Entry Mode; ","")&amp;IF(AND(INDEX('Game Records'!$U:$U,$H117)&lt;&gt;"Subscription",INDEX('Game Records'!$U:$U,$H117)&lt;&gt;"Free Game",INDEX('Game Records'!$U:$U,$H117)&lt;&gt;"Disqualified — Free Game",OR(INDEX('Game Records'!$E:$E,$H117)="",LOWER(INDEX('Game Records'!$E:$E,$H117)&amp;"")="n/a")),"Game Type; ","")&amp;IF(INDEX('Game Records'!$F:$F,$H117)="","Payment Type; ","")&amp;IF(AND(INDEX('Game Records'!$U:$U,$H117)&lt;&gt;"Subscription",INDEX('Game Records'!$U:$U,$H117)&lt;&gt;"Free Game",INDEX('Game Records'!$U:$U,$H117)&lt;&gt;"Disqualified — Free Game",INDEX('Game Records'!$G:$G,$H117)=""),"Gross Pot; ","")&amp;IF(AND(INDEX('Game Records'!$U:$U,$H117)&lt;&gt;"Free Game",INDEX('Game Records'!$U:$U,$H117)&lt;&gt;"Disqualified — Free Game",INDEX('Game Records'!$H:$H,$H117)=""),"Entry Fee; ","")&amp;IF(AND(INDEX('Game Records'!$U:$U,$H117)&lt;&gt;"Subscription",INDEX('Game Records'!$U:$U,$H117)&lt;&gt;"Free Game",INDEX('Game Records'!$U:$U,$H117)&lt;&gt;"Disqualified — Free Game",INDEX('Game Records'!$I:$I,$H117)=""),"Eligible Players; ","")&amp;IF(AND(INDEX('Game Records'!$U:$U,$H117)&lt;&gt;"Subscription",INDEX('Game Records'!$U:$U,$H117)&lt;&gt;"Free Game",INDEX('Game Records'!$U:$U,$H117)&lt;&gt;"Disqualified — Free Game",INDEX('Game Records'!$J:$J,$H117)=""),"Total Players; ","")&amp;IF(AND(LOWER(INDEX('Game Records'!$D:$D,$H117)&amp;"")="finalized",LOWER(INDEX('Game Records'!$L:$L,$H117)&amp;"")&lt;&gt;"yes",INDEX('Game Records'!$U:$U,$H117)&lt;&gt;"Subscription",INDEX('Game Records'!$U:$U,$H117)&lt;&gt;"Free Game",INDEX('Game Records'!$U:$U,$H117)&lt;&gt;"Disqualified — Free Game",INDEX('Game Records'!$K:$K,$H117)=""),"Final Earned; ","")&amp;IF(AND(LOWER(INDEX('Game Records'!$D:$D,$H117)&amp;"")="finalized",INDEX('Game Records'!$U:$U,$H117)&lt;&gt;"Subscription",INDEX('Game Records'!$U:$U,$H117)&lt;&gt;"Free Game",INDEX('Game Records'!$U:$U,$H117)&lt;&gt;"Disqualified — Free Game",OR(INDEX('Game Records'!$L:$L,$H117)="",LOWER(INDEX('Game Records'!$L:$L,$H117)&amp;"")="n/a")),"Disqualified Status; ",""))</x:f>
        <x:v/>
      </x:c>
      <x:c r="G117" s="331" t="str">
        <x:f>IF($H117="","",IFERROR(INDEX('Game Records'!$M:$M,$H117),""))</x:f>
        <x:v/>
      </x:c>
      <x:c r="H117" s="104" t="str">
        <x:f>IF($H116="","",IFERROR(MATCH(1,INDEX((ROW('Game Records'!$U$5:$U$504)&gt;$H116)*(('Game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7" s="104"/>
      <x:c r="J117" s="104"/>
    </x:row>
    <x:row r="118" ht="24" hidden="0" customHeight="1">
      <x:c r="A118" s="332" t="str">
        <x:f>IF($H118="","",ROWS($A$5:A118))</x:f>
        <x:v/>
      </x:c>
      <x:c r="B118" s="332" t="str">
        <x:f>IF($H118="","","G-"&amp;TEXT($A118,"0000"))</x:f>
        <x:v/>
      </x:c>
      <x:c r="C118" s="331" t="str">
        <x:f>IF($H118="","",IFERROR(INDEX('Game Records'!$A:$A,$H118),""))</x:f>
        <x:v/>
      </x:c>
      <x:c r="D118" s="331" t="str">
        <x:f>IF($H118="","",IFERROR(INDEX('Game Records'!$U:$U,$H118),""))</x:f>
        <x:v/>
      </x:c>
      <x:c r="E118" s="331" t="str">
        <x:f>IF($H118="","",IF($F118="","No Highlighted Fields","Highlighted Fields Present"))</x:f>
        <x:v/>
      </x:c>
      <x:c r="F118" s="331" t="str">
        <x:f>IF($H118="","",IF(INDEX('Game Records'!$B:$B,$H118)="","Start Date; ","")&amp;IF(INDEX('Game Records'!$C:$C,$H118)="","End Date; ","")&amp;IF(AND(INDEX('Game Records'!$U:$U,$H118)&lt;&gt;"Subscription",INDEX('Game Records'!$U:$U,$H118)&lt;&gt;"Free Game",INDEX('Game Records'!$U:$U,$H118)&lt;&gt;"Disqualified — Free Game",OR(INDEX('Game Records'!$D:$D,$H118)="",LOWER(INDEX('Game Records'!$D:$D,$H118)&amp;"")="n/a")),"Entry Mode; ","")&amp;IF(AND(INDEX('Game Records'!$U:$U,$H118)&lt;&gt;"Subscription",INDEX('Game Records'!$U:$U,$H118)&lt;&gt;"Free Game",INDEX('Game Records'!$U:$U,$H118)&lt;&gt;"Disqualified — Free Game",OR(INDEX('Game Records'!$E:$E,$H118)="",LOWER(INDEX('Game Records'!$E:$E,$H118)&amp;"")="n/a")),"Game Type; ","")&amp;IF(INDEX('Game Records'!$F:$F,$H118)="","Payment Type; ","")&amp;IF(AND(INDEX('Game Records'!$U:$U,$H118)&lt;&gt;"Subscription",INDEX('Game Records'!$U:$U,$H118)&lt;&gt;"Free Game",INDEX('Game Records'!$U:$U,$H118)&lt;&gt;"Disqualified — Free Game",INDEX('Game Records'!$G:$G,$H118)=""),"Gross Pot; ","")&amp;IF(AND(INDEX('Game Records'!$U:$U,$H118)&lt;&gt;"Free Game",INDEX('Game Records'!$U:$U,$H118)&lt;&gt;"Disqualified — Free Game",INDEX('Game Records'!$H:$H,$H118)=""),"Entry Fee; ","")&amp;IF(AND(INDEX('Game Records'!$U:$U,$H118)&lt;&gt;"Subscription",INDEX('Game Records'!$U:$U,$H118)&lt;&gt;"Free Game",INDEX('Game Records'!$U:$U,$H118)&lt;&gt;"Disqualified — Free Game",INDEX('Game Records'!$I:$I,$H118)=""),"Eligible Players; ","")&amp;IF(AND(INDEX('Game Records'!$U:$U,$H118)&lt;&gt;"Subscription",INDEX('Game Records'!$U:$U,$H118)&lt;&gt;"Free Game",INDEX('Game Records'!$U:$U,$H118)&lt;&gt;"Disqualified — Free Game",INDEX('Game Records'!$J:$J,$H118)=""),"Total Players; ","")&amp;IF(AND(LOWER(INDEX('Game Records'!$D:$D,$H118)&amp;"")="finalized",LOWER(INDEX('Game Records'!$L:$L,$H118)&amp;"")&lt;&gt;"yes",INDEX('Game Records'!$U:$U,$H118)&lt;&gt;"Subscription",INDEX('Game Records'!$U:$U,$H118)&lt;&gt;"Free Game",INDEX('Game Records'!$U:$U,$H118)&lt;&gt;"Disqualified — Free Game",INDEX('Game Records'!$K:$K,$H118)=""),"Final Earned; ","")&amp;IF(AND(LOWER(INDEX('Game Records'!$D:$D,$H118)&amp;"")="finalized",INDEX('Game Records'!$U:$U,$H118)&lt;&gt;"Subscription",INDEX('Game Records'!$U:$U,$H118)&lt;&gt;"Free Game",INDEX('Game Records'!$U:$U,$H118)&lt;&gt;"Disqualified — Free Game",OR(INDEX('Game Records'!$L:$L,$H118)="",LOWER(INDEX('Game Records'!$L:$L,$H118)&amp;"")="n/a")),"Disqualified Status; ",""))</x:f>
        <x:v/>
      </x:c>
      <x:c r="G118" s="331" t="str">
        <x:f>IF($H118="","",IFERROR(INDEX('Game Records'!$M:$M,$H118),""))</x:f>
        <x:v/>
      </x:c>
      <x:c r="H118" s="104" t="str">
        <x:f>IF($H117="","",IFERROR(MATCH(1,INDEX((ROW('Game Records'!$U$5:$U$504)&gt;$H117)*(('Game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8" s="104"/>
      <x:c r="J118" s="104"/>
    </x:row>
    <x:row r="119" ht="24" hidden="0" customHeight="1">
      <x:c r="A119" s="332" t="str">
        <x:f>IF($H119="","",ROWS($A$5:A119))</x:f>
        <x:v/>
      </x:c>
      <x:c r="B119" s="332" t="str">
        <x:f>IF($H119="","","G-"&amp;TEXT($A119,"0000"))</x:f>
        <x:v/>
      </x:c>
      <x:c r="C119" s="331" t="str">
        <x:f>IF($H119="","",IFERROR(INDEX('Game Records'!$A:$A,$H119),""))</x:f>
        <x:v/>
      </x:c>
      <x:c r="D119" s="331" t="str">
        <x:f>IF($H119="","",IFERROR(INDEX('Game Records'!$U:$U,$H119),""))</x:f>
        <x:v/>
      </x:c>
      <x:c r="E119" s="331" t="str">
        <x:f>IF($H119="","",IF($F119="","No Highlighted Fields","Highlighted Fields Present"))</x:f>
        <x:v/>
      </x:c>
      <x:c r="F119" s="331" t="str">
        <x:f>IF($H119="","",IF(INDEX('Game Records'!$B:$B,$H119)="","Start Date; ","")&amp;IF(INDEX('Game Records'!$C:$C,$H119)="","End Date; ","")&amp;IF(AND(INDEX('Game Records'!$U:$U,$H119)&lt;&gt;"Subscription",INDEX('Game Records'!$U:$U,$H119)&lt;&gt;"Free Game",INDEX('Game Records'!$U:$U,$H119)&lt;&gt;"Disqualified — Free Game",OR(INDEX('Game Records'!$D:$D,$H119)="",LOWER(INDEX('Game Records'!$D:$D,$H119)&amp;"")="n/a")),"Entry Mode; ","")&amp;IF(AND(INDEX('Game Records'!$U:$U,$H119)&lt;&gt;"Subscription",INDEX('Game Records'!$U:$U,$H119)&lt;&gt;"Free Game",INDEX('Game Records'!$U:$U,$H119)&lt;&gt;"Disqualified — Free Game",OR(INDEX('Game Records'!$E:$E,$H119)="",LOWER(INDEX('Game Records'!$E:$E,$H119)&amp;"")="n/a")),"Game Type; ","")&amp;IF(INDEX('Game Records'!$F:$F,$H119)="","Payment Type; ","")&amp;IF(AND(INDEX('Game Records'!$U:$U,$H119)&lt;&gt;"Subscription",INDEX('Game Records'!$U:$U,$H119)&lt;&gt;"Free Game",INDEX('Game Records'!$U:$U,$H119)&lt;&gt;"Disqualified — Free Game",INDEX('Game Records'!$G:$G,$H119)=""),"Gross Pot; ","")&amp;IF(AND(INDEX('Game Records'!$U:$U,$H119)&lt;&gt;"Free Game",INDEX('Game Records'!$U:$U,$H119)&lt;&gt;"Disqualified — Free Game",INDEX('Game Records'!$H:$H,$H119)=""),"Entry Fee; ","")&amp;IF(AND(INDEX('Game Records'!$U:$U,$H119)&lt;&gt;"Subscription",INDEX('Game Records'!$U:$U,$H119)&lt;&gt;"Free Game",INDEX('Game Records'!$U:$U,$H119)&lt;&gt;"Disqualified — Free Game",INDEX('Game Records'!$I:$I,$H119)=""),"Eligible Players; ","")&amp;IF(AND(INDEX('Game Records'!$U:$U,$H119)&lt;&gt;"Subscription",INDEX('Game Records'!$U:$U,$H119)&lt;&gt;"Free Game",INDEX('Game Records'!$U:$U,$H119)&lt;&gt;"Disqualified — Free Game",INDEX('Game Records'!$J:$J,$H119)=""),"Total Players; ","")&amp;IF(AND(LOWER(INDEX('Game Records'!$D:$D,$H119)&amp;"")="finalized",LOWER(INDEX('Game Records'!$L:$L,$H119)&amp;"")&lt;&gt;"yes",INDEX('Game Records'!$U:$U,$H119)&lt;&gt;"Subscription",INDEX('Game Records'!$U:$U,$H119)&lt;&gt;"Free Game",INDEX('Game Records'!$U:$U,$H119)&lt;&gt;"Disqualified — Free Game",INDEX('Game Records'!$K:$K,$H119)=""),"Final Earned; ","")&amp;IF(AND(LOWER(INDEX('Game Records'!$D:$D,$H119)&amp;"")="finalized",INDEX('Game Records'!$U:$U,$H119)&lt;&gt;"Subscription",INDEX('Game Records'!$U:$U,$H119)&lt;&gt;"Free Game",INDEX('Game Records'!$U:$U,$H119)&lt;&gt;"Disqualified — Free Game",OR(INDEX('Game Records'!$L:$L,$H119)="",LOWER(INDEX('Game Records'!$L:$L,$H119)&amp;"")="n/a")),"Disqualified Status; ",""))</x:f>
        <x:v/>
      </x:c>
      <x:c r="G119" s="331" t="str">
        <x:f>IF($H119="","",IFERROR(INDEX('Game Records'!$M:$M,$H119),""))</x:f>
        <x:v/>
      </x:c>
      <x:c r="H119" s="104" t="str">
        <x:f>IF($H118="","",IFERROR(MATCH(1,INDEX((ROW('Game Records'!$U$5:$U$504)&gt;$H118)*(('Game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19" s="104"/>
      <x:c r="J119" s="104"/>
    </x:row>
    <x:row r="120" ht="24" hidden="0" customHeight="1">
      <x:c r="A120" s="332" t="str">
        <x:f>IF($H120="","",ROWS($A$5:A120))</x:f>
        <x:v/>
      </x:c>
      <x:c r="B120" s="332" t="str">
        <x:f>IF($H120="","","G-"&amp;TEXT($A120,"0000"))</x:f>
        <x:v/>
      </x:c>
      <x:c r="C120" s="331" t="str">
        <x:f>IF($H120="","",IFERROR(INDEX('Game Records'!$A:$A,$H120),""))</x:f>
        <x:v/>
      </x:c>
      <x:c r="D120" s="331" t="str">
        <x:f>IF($H120="","",IFERROR(INDEX('Game Records'!$U:$U,$H120),""))</x:f>
        <x:v/>
      </x:c>
      <x:c r="E120" s="331" t="str">
        <x:f>IF($H120="","",IF($F120="","No Highlighted Fields","Highlighted Fields Present"))</x:f>
        <x:v/>
      </x:c>
      <x:c r="F120" s="331" t="str">
        <x:f>IF($H120="","",IF(INDEX('Game Records'!$B:$B,$H120)="","Start Date; ","")&amp;IF(INDEX('Game Records'!$C:$C,$H120)="","End Date; ","")&amp;IF(AND(INDEX('Game Records'!$U:$U,$H120)&lt;&gt;"Subscription",INDEX('Game Records'!$U:$U,$H120)&lt;&gt;"Free Game",INDEX('Game Records'!$U:$U,$H120)&lt;&gt;"Disqualified — Free Game",OR(INDEX('Game Records'!$D:$D,$H120)="",LOWER(INDEX('Game Records'!$D:$D,$H120)&amp;"")="n/a")),"Entry Mode; ","")&amp;IF(AND(INDEX('Game Records'!$U:$U,$H120)&lt;&gt;"Subscription",INDEX('Game Records'!$U:$U,$H120)&lt;&gt;"Free Game",INDEX('Game Records'!$U:$U,$H120)&lt;&gt;"Disqualified — Free Game",OR(INDEX('Game Records'!$E:$E,$H120)="",LOWER(INDEX('Game Records'!$E:$E,$H120)&amp;"")="n/a")),"Game Type; ","")&amp;IF(INDEX('Game Records'!$F:$F,$H120)="","Payment Type; ","")&amp;IF(AND(INDEX('Game Records'!$U:$U,$H120)&lt;&gt;"Subscription",INDEX('Game Records'!$U:$U,$H120)&lt;&gt;"Free Game",INDEX('Game Records'!$U:$U,$H120)&lt;&gt;"Disqualified — Free Game",INDEX('Game Records'!$G:$G,$H120)=""),"Gross Pot; ","")&amp;IF(AND(INDEX('Game Records'!$U:$U,$H120)&lt;&gt;"Free Game",INDEX('Game Records'!$U:$U,$H120)&lt;&gt;"Disqualified — Free Game",INDEX('Game Records'!$H:$H,$H120)=""),"Entry Fee; ","")&amp;IF(AND(INDEX('Game Records'!$U:$U,$H120)&lt;&gt;"Subscription",INDEX('Game Records'!$U:$U,$H120)&lt;&gt;"Free Game",INDEX('Game Records'!$U:$U,$H120)&lt;&gt;"Disqualified — Free Game",INDEX('Game Records'!$I:$I,$H120)=""),"Eligible Players; ","")&amp;IF(AND(INDEX('Game Records'!$U:$U,$H120)&lt;&gt;"Subscription",INDEX('Game Records'!$U:$U,$H120)&lt;&gt;"Free Game",INDEX('Game Records'!$U:$U,$H120)&lt;&gt;"Disqualified — Free Game",INDEX('Game Records'!$J:$J,$H120)=""),"Total Players; ","")&amp;IF(AND(LOWER(INDEX('Game Records'!$D:$D,$H120)&amp;"")="finalized",LOWER(INDEX('Game Records'!$L:$L,$H120)&amp;"")&lt;&gt;"yes",INDEX('Game Records'!$U:$U,$H120)&lt;&gt;"Subscription",INDEX('Game Records'!$U:$U,$H120)&lt;&gt;"Free Game",INDEX('Game Records'!$U:$U,$H120)&lt;&gt;"Disqualified — Free Game",INDEX('Game Records'!$K:$K,$H120)=""),"Final Earned; ","")&amp;IF(AND(LOWER(INDEX('Game Records'!$D:$D,$H120)&amp;"")="finalized",INDEX('Game Records'!$U:$U,$H120)&lt;&gt;"Subscription",INDEX('Game Records'!$U:$U,$H120)&lt;&gt;"Free Game",INDEX('Game Records'!$U:$U,$H120)&lt;&gt;"Disqualified — Free Game",OR(INDEX('Game Records'!$L:$L,$H120)="",LOWER(INDEX('Game Records'!$L:$L,$H120)&amp;"")="n/a")),"Disqualified Status; ",""))</x:f>
        <x:v/>
      </x:c>
      <x:c r="G120" s="331" t="str">
        <x:f>IF($H120="","",IFERROR(INDEX('Game Records'!$M:$M,$H120),""))</x:f>
        <x:v/>
      </x:c>
      <x:c r="H120" s="104" t="str">
        <x:f>IF($H119="","",IFERROR(MATCH(1,INDEX((ROW('Game Records'!$U$5:$U$504)&gt;$H119)*(('Game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0" s="104"/>
      <x:c r="J120" s="104"/>
    </x:row>
    <x:row r="121" ht="24" hidden="0" customHeight="1">
      <x:c r="A121" s="332" t="str">
        <x:f>IF($H121="","",ROWS($A$5:A121))</x:f>
        <x:v/>
      </x:c>
      <x:c r="B121" s="332" t="str">
        <x:f>IF($H121="","","G-"&amp;TEXT($A121,"0000"))</x:f>
        <x:v/>
      </x:c>
      <x:c r="C121" s="331" t="str">
        <x:f>IF($H121="","",IFERROR(INDEX('Game Records'!$A:$A,$H121),""))</x:f>
        <x:v/>
      </x:c>
      <x:c r="D121" s="331" t="str">
        <x:f>IF($H121="","",IFERROR(INDEX('Game Records'!$U:$U,$H121),""))</x:f>
        <x:v/>
      </x:c>
      <x:c r="E121" s="331" t="str">
        <x:f>IF($H121="","",IF($F121="","No Highlighted Fields","Highlighted Fields Present"))</x:f>
        <x:v/>
      </x:c>
      <x:c r="F121" s="331" t="str">
        <x:f>IF($H121="","",IF(INDEX('Game Records'!$B:$B,$H121)="","Start Date; ","")&amp;IF(INDEX('Game Records'!$C:$C,$H121)="","End Date; ","")&amp;IF(AND(INDEX('Game Records'!$U:$U,$H121)&lt;&gt;"Subscription",INDEX('Game Records'!$U:$U,$H121)&lt;&gt;"Free Game",INDEX('Game Records'!$U:$U,$H121)&lt;&gt;"Disqualified — Free Game",OR(INDEX('Game Records'!$D:$D,$H121)="",LOWER(INDEX('Game Records'!$D:$D,$H121)&amp;"")="n/a")),"Entry Mode; ","")&amp;IF(AND(INDEX('Game Records'!$U:$U,$H121)&lt;&gt;"Subscription",INDEX('Game Records'!$U:$U,$H121)&lt;&gt;"Free Game",INDEX('Game Records'!$U:$U,$H121)&lt;&gt;"Disqualified — Free Game",OR(INDEX('Game Records'!$E:$E,$H121)="",LOWER(INDEX('Game Records'!$E:$E,$H121)&amp;"")="n/a")),"Game Type; ","")&amp;IF(INDEX('Game Records'!$F:$F,$H121)="","Payment Type; ","")&amp;IF(AND(INDEX('Game Records'!$U:$U,$H121)&lt;&gt;"Subscription",INDEX('Game Records'!$U:$U,$H121)&lt;&gt;"Free Game",INDEX('Game Records'!$U:$U,$H121)&lt;&gt;"Disqualified — Free Game",INDEX('Game Records'!$G:$G,$H121)=""),"Gross Pot; ","")&amp;IF(AND(INDEX('Game Records'!$U:$U,$H121)&lt;&gt;"Free Game",INDEX('Game Records'!$U:$U,$H121)&lt;&gt;"Disqualified — Free Game",INDEX('Game Records'!$H:$H,$H121)=""),"Entry Fee; ","")&amp;IF(AND(INDEX('Game Records'!$U:$U,$H121)&lt;&gt;"Subscription",INDEX('Game Records'!$U:$U,$H121)&lt;&gt;"Free Game",INDEX('Game Records'!$U:$U,$H121)&lt;&gt;"Disqualified — Free Game",INDEX('Game Records'!$I:$I,$H121)=""),"Eligible Players; ","")&amp;IF(AND(INDEX('Game Records'!$U:$U,$H121)&lt;&gt;"Subscription",INDEX('Game Records'!$U:$U,$H121)&lt;&gt;"Free Game",INDEX('Game Records'!$U:$U,$H121)&lt;&gt;"Disqualified — Free Game",INDEX('Game Records'!$J:$J,$H121)=""),"Total Players; ","")&amp;IF(AND(LOWER(INDEX('Game Records'!$D:$D,$H121)&amp;"")="finalized",LOWER(INDEX('Game Records'!$L:$L,$H121)&amp;"")&lt;&gt;"yes",INDEX('Game Records'!$U:$U,$H121)&lt;&gt;"Subscription",INDEX('Game Records'!$U:$U,$H121)&lt;&gt;"Free Game",INDEX('Game Records'!$U:$U,$H121)&lt;&gt;"Disqualified — Free Game",INDEX('Game Records'!$K:$K,$H121)=""),"Final Earned; ","")&amp;IF(AND(LOWER(INDEX('Game Records'!$D:$D,$H121)&amp;"")="finalized",INDEX('Game Records'!$U:$U,$H121)&lt;&gt;"Subscription",INDEX('Game Records'!$U:$U,$H121)&lt;&gt;"Free Game",INDEX('Game Records'!$U:$U,$H121)&lt;&gt;"Disqualified — Free Game",OR(INDEX('Game Records'!$L:$L,$H121)="",LOWER(INDEX('Game Records'!$L:$L,$H121)&amp;"")="n/a")),"Disqualified Status; ",""))</x:f>
        <x:v/>
      </x:c>
      <x:c r="G121" s="331" t="str">
        <x:f>IF($H121="","",IFERROR(INDEX('Game Records'!$M:$M,$H121),""))</x:f>
        <x:v/>
      </x:c>
      <x:c r="H121" s="104" t="str">
        <x:f>IF($H120="","",IFERROR(MATCH(1,INDEX((ROW('Game Records'!$U$5:$U$504)&gt;$H120)*(('Game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1" s="104"/>
      <x:c r="J121" s="104"/>
    </x:row>
    <x:row r="122" ht="24" hidden="0" customHeight="1">
      <x:c r="A122" s="332" t="str">
        <x:f>IF($H122="","",ROWS($A$5:A122))</x:f>
        <x:v/>
      </x:c>
      <x:c r="B122" s="332" t="str">
        <x:f>IF($H122="","","G-"&amp;TEXT($A122,"0000"))</x:f>
        <x:v/>
      </x:c>
      <x:c r="C122" s="331" t="str">
        <x:f>IF($H122="","",IFERROR(INDEX('Game Records'!$A:$A,$H122),""))</x:f>
        <x:v/>
      </x:c>
      <x:c r="D122" s="331" t="str">
        <x:f>IF($H122="","",IFERROR(INDEX('Game Records'!$U:$U,$H122),""))</x:f>
        <x:v/>
      </x:c>
      <x:c r="E122" s="331" t="str">
        <x:f>IF($H122="","",IF($F122="","No Highlighted Fields","Highlighted Fields Present"))</x:f>
        <x:v/>
      </x:c>
      <x:c r="F122" s="331" t="str">
        <x:f>IF($H122="","",IF(INDEX('Game Records'!$B:$B,$H122)="","Start Date; ","")&amp;IF(INDEX('Game Records'!$C:$C,$H122)="","End Date; ","")&amp;IF(AND(INDEX('Game Records'!$U:$U,$H122)&lt;&gt;"Subscription",INDEX('Game Records'!$U:$U,$H122)&lt;&gt;"Free Game",INDEX('Game Records'!$U:$U,$H122)&lt;&gt;"Disqualified — Free Game",OR(INDEX('Game Records'!$D:$D,$H122)="",LOWER(INDEX('Game Records'!$D:$D,$H122)&amp;"")="n/a")),"Entry Mode; ","")&amp;IF(AND(INDEX('Game Records'!$U:$U,$H122)&lt;&gt;"Subscription",INDEX('Game Records'!$U:$U,$H122)&lt;&gt;"Free Game",INDEX('Game Records'!$U:$U,$H122)&lt;&gt;"Disqualified — Free Game",OR(INDEX('Game Records'!$E:$E,$H122)="",LOWER(INDEX('Game Records'!$E:$E,$H122)&amp;"")="n/a")),"Game Type; ","")&amp;IF(INDEX('Game Records'!$F:$F,$H122)="","Payment Type; ","")&amp;IF(AND(INDEX('Game Records'!$U:$U,$H122)&lt;&gt;"Subscription",INDEX('Game Records'!$U:$U,$H122)&lt;&gt;"Free Game",INDEX('Game Records'!$U:$U,$H122)&lt;&gt;"Disqualified — Free Game",INDEX('Game Records'!$G:$G,$H122)=""),"Gross Pot; ","")&amp;IF(AND(INDEX('Game Records'!$U:$U,$H122)&lt;&gt;"Free Game",INDEX('Game Records'!$U:$U,$H122)&lt;&gt;"Disqualified — Free Game",INDEX('Game Records'!$H:$H,$H122)=""),"Entry Fee; ","")&amp;IF(AND(INDEX('Game Records'!$U:$U,$H122)&lt;&gt;"Subscription",INDEX('Game Records'!$U:$U,$H122)&lt;&gt;"Free Game",INDEX('Game Records'!$U:$U,$H122)&lt;&gt;"Disqualified — Free Game",INDEX('Game Records'!$I:$I,$H122)=""),"Eligible Players; ","")&amp;IF(AND(INDEX('Game Records'!$U:$U,$H122)&lt;&gt;"Subscription",INDEX('Game Records'!$U:$U,$H122)&lt;&gt;"Free Game",INDEX('Game Records'!$U:$U,$H122)&lt;&gt;"Disqualified — Free Game",INDEX('Game Records'!$J:$J,$H122)=""),"Total Players; ","")&amp;IF(AND(LOWER(INDEX('Game Records'!$D:$D,$H122)&amp;"")="finalized",LOWER(INDEX('Game Records'!$L:$L,$H122)&amp;"")&lt;&gt;"yes",INDEX('Game Records'!$U:$U,$H122)&lt;&gt;"Subscription",INDEX('Game Records'!$U:$U,$H122)&lt;&gt;"Free Game",INDEX('Game Records'!$U:$U,$H122)&lt;&gt;"Disqualified — Free Game",INDEX('Game Records'!$K:$K,$H122)=""),"Final Earned; ","")&amp;IF(AND(LOWER(INDEX('Game Records'!$D:$D,$H122)&amp;"")="finalized",INDEX('Game Records'!$U:$U,$H122)&lt;&gt;"Subscription",INDEX('Game Records'!$U:$U,$H122)&lt;&gt;"Free Game",INDEX('Game Records'!$U:$U,$H122)&lt;&gt;"Disqualified — Free Game",OR(INDEX('Game Records'!$L:$L,$H122)="",LOWER(INDEX('Game Records'!$L:$L,$H122)&amp;"")="n/a")),"Disqualified Status; ",""))</x:f>
        <x:v/>
      </x:c>
      <x:c r="G122" s="331" t="str">
        <x:f>IF($H122="","",IFERROR(INDEX('Game Records'!$M:$M,$H122),""))</x:f>
        <x:v/>
      </x:c>
      <x:c r="H122" s="104" t="str">
        <x:f>IF($H121="","",IFERROR(MATCH(1,INDEX((ROW('Game Records'!$U$5:$U$504)&gt;$H121)*(('Game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2" s="104"/>
      <x:c r="J122" s="104"/>
    </x:row>
    <x:row r="123" ht="24" hidden="0" customHeight="1">
      <x:c r="A123" s="332" t="str">
        <x:f>IF($H123="","",ROWS($A$5:A123))</x:f>
        <x:v/>
      </x:c>
      <x:c r="B123" s="332" t="str">
        <x:f>IF($H123="","","G-"&amp;TEXT($A123,"0000"))</x:f>
        <x:v/>
      </x:c>
      <x:c r="C123" s="331" t="str">
        <x:f>IF($H123="","",IFERROR(INDEX('Game Records'!$A:$A,$H123),""))</x:f>
        <x:v/>
      </x:c>
      <x:c r="D123" s="331" t="str">
        <x:f>IF($H123="","",IFERROR(INDEX('Game Records'!$U:$U,$H123),""))</x:f>
        <x:v/>
      </x:c>
      <x:c r="E123" s="331" t="str">
        <x:f>IF($H123="","",IF($F123="","No Highlighted Fields","Highlighted Fields Present"))</x:f>
        <x:v/>
      </x:c>
      <x:c r="F123" s="331" t="str">
        <x:f>IF($H123="","",IF(INDEX('Game Records'!$B:$B,$H123)="","Start Date; ","")&amp;IF(INDEX('Game Records'!$C:$C,$H123)="","End Date; ","")&amp;IF(AND(INDEX('Game Records'!$U:$U,$H123)&lt;&gt;"Subscription",INDEX('Game Records'!$U:$U,$H123)&lt;&gt;"Free Game",INDEX('Game Records'!$U:$U,$H123)&lt;&gt;"Disqualified — Free Game",OR(INDEX('Game Records'!$D:$D,$H123)="",LOWER(INDEX('Game Records'!$D:$D,$H123)&amp;"")="n/a")),"Entry Mode; ","")&amp;IF(AND(INDEX('Game Records'!$U:$U,$H123)&lt;&gt;"Subscription",INDEX('Game Records'!$U:$U,$H123)&lt;&gt;"Free Game",INDEX('Game Records'!$U:$U,$H123)&lt;&gt;"Disqualified — Free Game",OR(INDEX('Game Records'!$E:$E,$H123)="",LOWER(INDEX('Game Records'!$E:$E,$H123)&amp;"")="n/a")),"Game Type; ","")&amp;IF(INDEX('Game Records'!$F:$F,$H123)="","Payment Type; ","")&amp;IF(AND(INDEX('Game Records'!$U:$U,$H123)&lt;&gt;"Subscription",INDEX('Game Records'!$U:$U,$H123)&lt;&gt;"Free Game",INDEX('Game Records'!$U:$U,$H123)&lt;&gt;"Disqualified — Free Game",INDEX('Game Records'!$G:$G,$H123)=""),"Gross Pot; ","")&amp;IF(AND(INDEX('Game Records'!$U:$U,$H123)&lt;&gt;"Free Game",INDEX('Game Records'!$U:$U,$H123)&lt;&gt;"Disqualified — Free Game",INDEX('Game Records'!$H:$H,$H123)=""),"Entry Fee; ","")&amp;IF(AND(INDEX('Game Records'!$U:$U,$H123)&lt;&gt;"Subscription",INDEX('Game Records'!$U:$U,$H123)&lt;&gt;"Free Game",INDEX('Game Records'!$U:$U,$H123)&lt;&gt;"Disqualified — Free Game",INDEX('Game Records'!$I:$I,$H123)=""),"Eligible Players; ","")&amp;IF(AND(INDEX('Game Records'!$U:$U,$H123)&lt;&gt;"Subscription",INDEX('Game Records'!$U:$U,$H123)&lt;&gt;"Free Game",INDEX('Game Records'!$U:$U,$H123)&lt;&gt;"Disqualified — Free Game",INDEX('Game Records'!$J:$J,$H123)=""),"Total Players; ","")&amp;IF(AND(LOWER(INDEX('Game Records'!$D:$D,$H123)&amp;"")="finalized",LOWER(INDEX('Game Records'!$L:$L,$H123)&amp;"")&lt;&gt;"yes",INDEX('Game Records'!$U:$U,$H123)&lt;&gt;"Subscription",INDEX('Game Records'!$U:$U,$H123)&lt;&gt;"Free Game",INDEX('Game Records'!$U:$U,$H123)&lt;&gt;"Disqualified — Free Game",INDEX('Game Records'!$K:$K,$H123)=""),"Final Earned; ","")&amp;IF(AND(LOWER(INDEX('Game Records'!$D:$D,$H123)&amp;"")="finalized",INDEX('Game Records'!$U:$U,$H123)&lt;&gt;"Subscription",INDEX('Game Records'!$U:$U,$H123)&lt;&gt;"Free Game",INDEX('Game Records'!$U:$U,$H123)&lt;&gt;"Disqualified — Free Game",OR(INDEX('Game Records'!$L:$L,$H123)="",LOWER(INDEX('Game Records'!$L:$L,$H123)&amp;"")="n/a")),"Disqualified Status; ",""))</x:f>
        <x:v/>
      </x:c>
      <x:c r="G123" s="331" t="str">
        <x:f>IF($H123="","",IFERROR(INDEX('Game Records'!$M:$M,$H123),""))</x:f>
        <x:v/>
      </x:c>
      <x:c r="H123" s="104" t="str">
        <x:f>IF($H122="","",IFERROR(MATCH(1,INDEX((ROW('Game Records'!$U$5:$U$504)&gt;$H122)*(('Game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3" s="104"/>
      <x:c r="J123" s="104"/>
    </x:row>
    <x:row r="124" ht="24" hidden="0" customHeight="1">
      <x:c r="A124" s="332" t="str">
        <x:f>IF($H124="","",ROWS($A$5:A124))</x:f>
        <x:v/>
      </x:c>
      <x:c r="B124" s="332" t="str">
        <x:f>IF($H124="","","G-"&amp;TEXT($A124,"0000"))</x:f>
        <x:v/>
      </x:c>
      <x:c r="C124" s="331" t="str">
        <x:f>IF($H124="","",IFERROR(INDEX('Game Records'!$A:$A,$H124),""))</x:f>
        <x:v/>
      </x:c>
      <x:c r="D124" s="331" t="str">
        <x:f>IF($H124="","",IFERROR(INDEX('Game Records'!$U:$U,$H124),""))</x:f>
        <x:v/>
      </x:c>
      <x:c r="E124" s="331" t="str">
        <x:f>IF($H124="","",IF($F124="","No Highlighted Fields","Highlighted Fields Present"))</x:f>
        <x:v/>
      </x:c>
      <x:c r="F124" s="331" t="str">
        <x:f>IF($H124="","",IF(INDEX('Game Records'!$B:$B,$H124)="","Start Date; ","")&amp;IF(INDEX('Game Records'!$C:$C,$H124)="","End Date; ","")&amp;IF(AND(INDEX('Game Records'!$U:$U,$H124)&lt;&gt;"Subscription",INDEX('Game Records'!$U:$U,$H124)&lt;&gt;"Free Game",INDEX('Game Records'!$U:$U,$H124)&lt;&gt;"Disqualified — Free Game",OR(INDEX('Game Records'!$D:$D,$H124)="",LOWER(INDEX('Game Records'!$D:$D,$H124)&amp;"")="n/a")),"Entry Mode; ","")&amp;IF(AND(INDEX('Game Records'!$U:$U,$H124)&lt;&gt;"Subscription",INDEX('Game Records'!$U:$U,$H124)&lt;&gt;"Free Game",INDEX('Game Records'!$U:$U,$H124)&lt;&gt;"Disqualified — Free Game",OR(INDEX('Game Records'!$E:$E,$H124)="",LOWER(INDEX('Game Records'!$E:$E,$H124)&amp;"")="n/a")),"Game Type; ","")&amp;IF(INDEX('Game Records'!$F:$F,$H124)="","Payment Type; ","")&amp;IF(AND(INDEX('Game Records'!$U:$U,$H124)&lt;&gt;"Subscription",INDEX('Game Records'!$U:$U,$H124)&lt;&gt;"Free Game",INDEX('Game Records'!$U:$U,$H124)&lt;&gt;"Disqualified — Free Game",INDEX('Game Records'!$G:$G,$H124)=""),"Gross Pot; ","")&amp;IF(AND(INDEX('Game Records'!$U:$U,$H124)&lt;&gt;"Free Game",INDEX('Game Records'!$U:$U,$H124)&lt;&gt;"Disqualified — Free Game",INDEX('Game Records'!$H:$H,$H124)=""),"Entry Fee; ","")&amp;IF(AND(INDEX('Game Records'!$U:$U,$H124)&lt;&gt;"Subscription",INDEX('Game Records'!$U:$U,$H124)&lt;&gt;"Free Game",INDEX('Game Records'!$U:$U,$H124)&lt;&gt;"Disqualified — Free Game",INDEX('Game Records'!$I:$I,$H124)=""),"Eligible Players; ","")&amp;IF(AND(INDEX('Game Records'!$U:$U,$H124)&lt;&gt;"Subscription",INDEX('Game Records'!$U:$U,$H124)&lt;&gt;"Free Game",INDEX('Game Records'!$U:$U,$H124)&lt;&gt;"Disqualified — Free Game",INDEX('Game Records'!$J:$J,$H124)=""),"Total Players; ","")&amp;IF(AND(LOWER(INDEX('Game Records'!$D:$D,$H124)&amp;"")="finalized",LOWER(INDEX('Game Records'!$L:$L,$H124)&amp;"")&lt;&gt;"yes",INDEX('Game Records'!$U:$U,$H124)&lt;&gt;"Subscription",INDEX('Game Records'!$U:$U,$H124)&lt;&gt;"Free Game",INDEX('Game Records'!$U:$U,$H124)&lt;&gt;"Disqualified — Free Game",INDEX('Game Records'!$K:$K,$H124)=""),"Final Earned; ","")&amp;IF(AND(LOWER(INDEX('Game Records'!$D:$D,$H124)&amp;"")="finalized",INDEX('Game Records'!$U:$U,$H124)&lt;&gt;"Subscription",INDEX('Game Records'!$U:$U,$H124)&lt;&gt;"Free Game",INDEX('Game Records'!$U:$U,$H124)&lt;&gt;"Disqualified — Free Game",OR(INDEX('Game Records'!$L:$L,$H124)="",LOWER(INDEX('Game Records'!$L:$L,$H124)&amp;"")="n/a")),"Disqualified Status; ",""))</x:f>
        <x:v/>
      </x:c>
      <x:c r="G124" s="331" t="str">
        <x:f>IF($H124="","",IFERROR(INDEX('Game Records'!$M:$M,$H124),""))</x:f>
        <x:v/>
      </x:c>
      <x:c r="H124" s="104" t="str">
        <x:f>IF($H123="","",IFERROR(MATCH(1,INDEX((ROW('Game Records'!$U$5:$U$504)&gt;$H123)*(('Game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4" s="104"/>
      <x:c r="J124" s="104"/>
    </x:row>
    <x:row r="125" ht="24" hidden="0" customHeight="1">
      <x:c r="A125" s="332" t="str">
        <x:f>IF($H125="","",ROWS($A$5:A125))</x:f>
        <x:v/>
      </x:c>
      <x:c r="B125" s="332" t="str">
        <x:f>IF($H125="","","G-"&amp;TEXT($A125,"0000"))</x:f>
        <x:v/>
      </x:c>
      <x:c r="C125" s="331" t="str">
        <x:f>IF($H125="","",IFERROR(INDEX('Game Records'!$A:$A,$H125),""))</x:f>
        <x:v/>
      </x:c>
      <x:c r="D125" s="331" t="str">
        <x:f>IF($H125="","",IFERROR(INDEX('Game Records'!$U:$U,$H125),""))</x:f>
        <x:v/>
      </x:c>
      <x:c r="E125" s="331" t="str">
        <x:f>IF($H125="","",IF($F125="","No Highlighted Fields","Highlighted Fields Present"))</x:f>
        <x:v/>
      </x:c>
      <x:c r="F125" s="331" t="str">
        <x:f>IF($H125="","",IF(INDEX('Game Records'!$B:$B,$H125)="","Start Date; ","")&amp;IF(INDEX('Game Records'!$C:$C,$H125)="","End Date; ","")&amp;IF(AND(INDEX('Game Records'!$U:$U,$H125)&lt;&gt;"Subscription",INDEX('Game Records'!$U:$U,$H125)&lt;&gt;"Free Game",INDEX('Game Records'!$U:$U,$H125)&lt;&gt;"Disqualified — Free Game",OR(INDEX('Game Records'!$D:$D,$H125)="",LOWER(INDEX('Game Records'!$D:$D,$H125)&amp;"")="n/a")),"Entry Mode; ","")&amp;IF(AND(INDEX('Game Records'!$U:$U,$H125)&lt;&gt;"Subscription",INDEX('Game Records'!$U:$U,$H125)&lt;&gt;"Free Game",INDEX('Game Records'!$U:$U,$H125)&lt;&gt;"Disqualified — Free Game",OR(INDEX('Game Records'!$E:$E,$H125)="",LOWER(INDEX('Game Records'!$E:$E,$H125)&amp;"")="n/a")),"Game Type; ","")&amp;IF(INDEX('Game Records'!$F:$F,$H125)="","Payment Type; ","")&amp;IF(AND(INDEX('Game Records'!$U:$U,$H125)&lt;&gt;"Subscription",INDEX('Game Records'!$U:$U,$H125)&lt;&gt;"Free Game",INDEX('Game Records'!$U:$U,$H125)&lt;&gt;"Disqualified — Free Game",INDEX('Game Records'!$G:$G,$H125)=""),"Gross Pot; ","")&amp;IF(AND(INDEX('Game Records'!$U:$U,$H125)&lt;&gt;"Free Game",INDEX('Game Records'!$U:$U,$H125)&lt;&gt;"Disqualified — Free Game",INDEX('Game Records'!$H:$H,$H125)=""),"Entry Fee; ","")&amp;IF(AND(INDEX('Game Records'!$U:$U,$H125)&lt;&gt;"Subscription",INDEX('Game Records'!$U:$U,$H125)&lt;&gt;"Free Game",INDEX('Game Records'!$U:$U,$H125)&lt;&gt;"Disqualified — Free Game",INDEX('Game Records'!$I:$I,$H125)=""),"Eligible Players; ","")&amp;IF(AND(INDEX('Game Records'!$U:$U,$H125)&lt;&gt;"Subscription",INDEX('Game Records'!$U:$U,$H125)&lt;&gt;"Free Game",INDEX('Game Records'!$U:$U,$H125)&lt;&gt;"Disqualified — Free Game",INDEX('Game Records'!$J:$J,$H125)=""),"Total Players; ","")&amp;IF(AND(LOWER(INDEX('Game Records'!$D:$D,$H125)&amp;"")="finalized",LOWER(INDEX('Game Records'!$L:$L,$H125)&amp;"")&lt;&gt;"yes",INDEX('Game Records'!$U:$U,$H125)&lt;&gt;"Subscription",INDEX('Game Records'!$U:$U,$H125)&lt;&gt;"Free Game",INDEX('Game Records'!$U:$U,$H125)&lt;&gt;"Disqualified — Free Game",INDEX('Game Records'!$K:$K,$H125)=""),"Final Earned; ","")&amp;IF(AND(LOWER(INDEX('Game Records'!$D:$D,$H125)&amp;"")="finalized",INDEX('Game Records'!$U:$U,$H125)&lt;&gt;"Subscription",INDEX('Game Records'!$U:$U,$H125)&lt;&gt;"Free Game",INDEX('Game Records'!$U:$U,$H125)&lt;&gt;"Disqualified — Free Game",OR(INDEX('Game Records'!$L:$L,$H125)="",LOWER(INDEX('Game Records'!$L:$L,$H125)&amp;"")="n/a")),"Disqualified Status; ",""))</x:f>
        <x:v/>
      </x:c>
      <x:c r="G125" s="331" t="str">
        <x:f>IF($H125="","",IFERROR(INDEX('Game Records'!$M:$M,$H125),""))</x:f>
        <x:v/>
      </x:c>
      <x:c r="H125" s="104" t="str">
        <x:f>IF($H124="","",IFERROR(MATCH(1,INDEX((ROW('Game Records'!$U$5:$U$504)&gt;$H124)*(('Game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5" s="104"/>
      <x:c r="J125" s="104"/>
    </x:row>
    <x:row r="126" ht="24" hidden="0" customHeight="1">
      <x:c r="A126" s="332" t="str">
        <x:f>IF($H126="","",ROWS($A$5:A126))</x:f>
        <x:v/>
      </x:c>
      <x:c r="B126" s="332" t="str">
        <x:f>IF($H126="","","G-"&amp;TEXT($A126,"0000"))</x:f>
        <x:v/>
      </x:c>
      <x:c r="C126" s="331" t="str">
        <x:f>IF($H126="","",IFERROR(INDEX('Game Records'!$A:$A,$H126),""))</x:f>
        <x:v/>
      </x:c>
      <x:c r="D126" s="331" t="str">
        <x:f>IF($H126="","",IFERROR(INDEX('Game Records'!$U:$U,$H126),""))</x:f>
        <x:v/>
      </x:c>
      <x:c r="E126" s="331" t="str">
        <x:f>IF($H126="","",IF($F126="","No Highlighted Fields","Highlighted Fields Present"))</x:f>
        <x:v/>
      </x:c>
      <x:c r="F126" s="331" t="str">
        <x:f>IF($H126="","",IF(INDEX('Game Records'!$B:$B,$H126)="","Start Date; ","")&amp;IF(INDEX('Game Records'!$C:$C,$H126)="","End Date; ","")&amp;IF(AND(INDEX('Game Records'!$U:$U,$H126)&lt;&gt;"Subscription",INDEX('Game Records'!$U:$U,$H126)&lt;&gt;"Free Game",INDEX('Game Records'!$U:$U,$H126)&lt;&gt;"Disqualified — Free Game",OR(INDEX('Game Records'!$D:$D,$H126)="",LOWER(INDEX('Game Records'!$D:$D,$H126)&amp;"")="n/a")),"Entry Mode; ","")&amp;IF(AND(INDEX('Game Records'!$U:$U,$H126)&lt;&gt;"Subscription",INDEX('Game Records'!$U:$U,$H126)&lt;&gt;"Free Game",INDEX('Game Records'!$U:$U,$H126)&lt;&gt;"Disqualified — Free Game",OR(INDEX('Game Records'!$E:$E,$H126)="",LOWER(INDEX('Game Records'!$E:$E,$H126)&amp;"")="n/a")),"Game Type; ","")&amp;IF(INDEX('Game Records'!$F:$F,$H126)="","Payment Type; ","")&amp;IF(AND(INDEX('Game Records'!$U:$U,$H126)&lt;&gt;"Subscription",INDEX('Game Records'!$U:$U,$H126)&lt;&gt;"Free Game",INDEX('Game Records'!$U:$U,$H126)&lt;&gt;"Disqualified — Free Game",INDEX('Game Records'!$G:$G,$H126)=""),"Gross Pot; ","")&amp;IF(AND(INDEX('Game Records'!$U:$U,$H126)&lt;&gt;"Free Game",INDEX('Game Records'!$U:$U,$H126)&lt;&gt;"Disqualified — Free Game",INDEX('Game Records'!$H:$H,$H126)=""),"Entry Fee; ","")&amp;IF(AND(INDEX('Game Records'!$U:$U,$H126)&lt;&gt;"Subscription",INDEX('Game Records'!$U:$U,$H126)&lt;&gt;"Free Game",INDEX('Game Records'!$U:$U,$H126)&lt;&gt;"Disqualified — Free Game",INDEX('Game Records'!$I:$I,$H126)=""),"Eligible Players; ","")&amp;IF(AND(INDEX('Game Records'!$U:$U,$H126)&lt;&gt;"Subscription",INDEX('Game Records'!$U:$U,$H126)&lt;&gt;"Free Game",INDEX('Game Records'!$U:$U,$H126)&lt;&gt;"Disqualified — Free Game",INDEX('Game Records'!$J:$J,$H126)=""),"Total Players; ","")&amp;IF(AND(LOWER(INDEX('Game Records'!$D:$D,$H126)&amp;"")="finalized",LOWER(INDEX('Game Records'!$L:$L,$H126)&amp;"")&lt;&gt;"yes",INDEX('Game Records'!$U:$U,$H126)&lt;&gt;"Subscription",INDEX('Game Records'!$U:$U,$H126)&lt;&gt;"Free Game",INDEX('Game Records'!$U:$U,$H126)&lt;&gt;"Disqualified — Free Game",INDEX('Game Records'!$K:$K,$H126)=""),"Final Earned; ","")&amp;IF(AND(LOWER(INDEX('Game Records'!$D:$D,$H126)&amp;"")="finalized",INDEX('Game Records'!$U:$U,$H126)&lt;&gt;"Subscription",INDEX('Game Records'!$U:$U,$H126)&lt;&gt;"Free Game",INDEX('Game Records'!$U:$U,$H126)&lt;&gt;"Disqualified — Free Game",OR(INDEX('Game Records'!$L:$L,$H126)="",LOWER(INDEX('Game Records'!$L:$L,$H126)&amp;"")="n/a")),"Disqualified Status; ",""))</x:f>
        <x:v/>
      </x:c>
      <x:c r="G126" s="331" t="str">
        <x:f>IF($H126="","",IFERROR(INDEX('Game Records'!$M:$M,$H126),""))</x:f>
        <x:v/>
      </x:c>
      <x:c r="H126" s="104" t="str">
        <x:f>IF($H125="","",IFERROR(MATCH(1,INDEX((ROW('Game Records'!$U$5:$U$504)&gt;$H125)*(('Game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6" s="104"/>
      <x:c r="J126" s="104"/>
    </x:row>
    <x:row r="127" ht="24" hidden="0" customHeight="1">
      <x:c r="A127" s="332" t="str">
        <x:f>IF($H127="","",ROWS($A$5:A127))</x:f>
        <x:v/>
      </x:c>
      <x:c r="B127" s="332" t="str">
        <x:f>IF($H127="","","G-"&amp;TEXT($A127,"0000"))</x:f>
        <x:v/>
      </x:c>
      <x:c r="C127" s="331" t="str">
        <x:f>IF($H127="","",IFERROR(INDEX('Game Records'!$A:$A,$H127),""))</x:f>
        <x:v/>
      </x:c>
      <x:c r="D127" s="331" t="str">
        <x:f>IF($H127="","",IFERROR(INDEX('Game Records'!$U:$U,$H127),""))</x:f>
        <x:v/>
      </x:c>
      <x:c r="E127" s="331" t="str">
        <x:f>IF($H127="","",IF($F127="","No Highlighted Fields","Highlighted Fields Present"))</x:f>
        <x:v/>
      </x:c>
      <x:c r="F127" s="331" t="str">
        <x:f>IF($H127="","",IF(INDEX('Game Records'!$B:$B,$H127)="","Start Date; ","")&amp;IF(INDEX('Game Records'!$C:$C,$H127)="","End Date; ","")&amp;IF(AND(INDEX('Game Records'!$U:$U,$H127)&lt;&gt;"Subscription",INDEX('Game Records'!$U:$U,$H127)&lt;&gt;"Free Game",INDEX('Game Records'!$U:$U,$H127)&lt;&gt;"Disqualified — Free Game",OR(INDEX('Game Records'!$D:$D,$H127)="",LOWER(INDEX('Game Records'!$D:$D,$H127)&amp;"")="n/a")),"Entry Mode; ","")&amp;IF(AND(INDEX('Game Records'!$U:$U,$H127)&lt;&gt;"Subscription",INDEX('Game Records'!$U:$U,$H127)&lt;&gt;"Free Game",INDEX('Game Records'!$U:$U,$H127)&lt;&gt;"Disqualified — Free Game",OR(INDEX('Game Records'!$E:$E,$H127)="",LOWER(INDEX('Game Records'!$E:$E,$H127)&amp;"")="n/a")),"Game Type; ","")&amp;IF(INDEX('Game Records'!$F:$F,$H127)="","Payment Type; ","")&amp;IF(AND(INDEX('Game Records'!$U:$U,$H127)&lt;&gt;"Subscription",INDEX('Game Records'!$U:$U,$H127)&lt;&gt;"Free Game",INDEX('Game Records'!$U:$U,$H127)&lt;&gt;"Disqualified — Free Game",INDEX('Game Records'!$G:$G,$H127)=""),"Gross Pot; ","")&amp;IF(AND(INDEX('Game Records'!$U:$U,$H127)&lt;&gt;"Free Game",INDEX('Game Records'!$U:$U,$H127)&lt;&gt;"Disqualified — Free Game",INDEX('Game Records'!$H:$H,$H127)=""),"Entry Fee; ","")&amp;IF(AND(INDEX('Game Records'!$U:$U,$H127)&lt;&gt;"Subscription",INDEX('Game Records'!$U:$U,$H127)&lt;&gt;"Free Game",INDEX('Game Records'!$U:$U,$H127)&lt;&gt;"Disqualified — Free Game",INDEX('Game Records'!$I:$I,$H127)=""),"Eligible Players; ","")&amp;IF(AND(INDEX('Game Records'!$U:$U,$H127)&lt;&gt;"Subscription",INDEX('Game Records'!$U:$U,$H127)&lt;&gt;"Free Game",INDEX('Game Records'!$U:$U,$H127)&lt;&gt;"Disqualified — Free Game",INDEX('Game Records'!$J:$J,$H127)=""),"Total Players; ","")&amp;IF(AND(LOWER(INDEX('Game Records'!$D:$D,$H127)&amp;"")="finalized",LOWER(INDEX('Game Records'!$L:$L,$H127)&amp;"")&lt;&gt;"yes",INDEX('Game Records'!$U:$U,$H127)&lt;&gt;"Subscription",INDEX('Game Records'!$U:$U,$H127)&lt;&gt;"Free Game",INDEX('Game Records'!$U:$U,$H127)&lt;&gt;"Disqualified — Free Game",INDEX('Game Records'!$K:$K,$H127)=""),"Final Earned; ","")&amp;IF(AND(LOWER(INDEX('Game Records'!$D:$D,$H127)&amp;"")="finalized",INDEX('Game Records'!$U:$U,$H127)&lt;&gt;"Subscription",INDEX('Game Records'!$U:$U,$H127)&lt;&gt;"Free Game",INDEX('Game Records'!$U:$U,$H127)&lt;&gt;"Disqualified — Free Game",OR(INDEX('Game Records'!$L:$L,$H127)="",LOWER(INDEX('Game Records'!$L:$L,$H127)&amp;"")="n/a")),"Disqualified Status; ",""))</x:f>
        <x:v/>
      </x:c>
      <x:c r="G127" s="331" t="str">
        <x:f>IF($H127="","",IFERROR(INDEX('Game Records'!$M:$M,$H127),""))</x:f>
        <x:v/>
      </x:c>
      <x:c r="H127" s="104" t="str">
        <x:f>IF($H126="","",IFERROR(MATCH(1,INDEX((ROW('Game Records'!$U$5:$U$504)&gt;$H126)*(('Game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7" s="104"/>
      <x:c r="J127" s="104"/>
    </x:row>
    <x:row r="128" ht="24" hidden="0" customHeight="1">
      <x:c r="A128" s="332" t="str">
        <x:f>IF($H128="","",ROWS($A$5:A128))</x:f>
        <x:v/>
      </x:c>
      <x:c r="B128" s="332" t="str">
        <x:f>IF($H128="","","G-"&amp;TEXT($A128,"0000"))</x:f>
        <x:v/>
      </x:c>
      <x:c r="C128" s="331" t="str">
        <x:f>IF($H128="","",IFERROR(INDEX('Game Records'!$A:$A,$H128),""))</x:f>
        <x:v/>
      </x:c>
      <x:c r="D128" s="331" t="str">
        <x:f>IF($H128="","",IFERROR(INDEX('Game Records'!$U:$U,$H128),""))</x:f>
        <x:v/>
      </x:c>
      <x:c r="E128" s="331" t="str">
        <x:f>IF($H128="","",IF($F128="","No Highlighted Fields","Highlighted Fields Present"))</x:f>
        <x:v/>
      </x:c>
      <x:c r="F128" s="331" t="str">
        <x:f>IF($H128="","",IF(INDEX('Game Records'!$B:$B,$H128)="","Start Date; ","")&amp;IF(INDEX('Game Records'!$C:$C,$H128)="","End Date; ","")&amp;IF(AND(INDEX('Game Records'!$U:$U,$H128)&lt;&gt;"Subscription",INDEX('Game Records'!$U:$U,$H128)&lt;&gt;"Free Game",INDEX('Game Records'!$U:$U,$H128)&lt;&gt;"Disqualified — Free Game",OR(INDEX('Game Records'!$D:$D,$H128)="",LOWER(INDEX('Game Records'!$D:$D,$H128)&amp;"")="n/a")),"Entry Mode; ","")&amp;IF(AND(INDEX('Game Records'!$U:$U,$H128)&lt;&gt;"Subscription",INDEX('Game Records'!$U:$U,$H128)&lt;&gt;"Free Game",INDEX('Game Records'!$U:$U,$H128)&lt;&gt;"Disqualified — Free Game",OR(INDEX('Game Records'!$E:$E,$H128)="",LOWER(INDEX('Game Records'!$E:$E,$H128)&amp;"")="n/a")),"Game Type; ","")&amp;IF(INDEX('Game Records'!$F:$F,$H128)="","Payment Type; ","")&amp;IF(AND(INDEX('Game Records'!$U:$U,$H128)&lt;&gt;"Subscription",INDEX('Game Records'!$U:$U,$H128)&lt;&gt;"Free Game",INDEX('Game Records'!$U:$U,$H128)&lt;&gt;"Disqualified — Free Game",INDEX('Game Records'!$G:$G,$H128)=""),"Gross Pot; ","")&amp;IF(AND(INDEX('Game Records'!$U:$U,$H128)&lt;&gt;"Free Game",INDEX('Game Records'!$U:$U,$H128)&lt;&gt;"Disqualified — Free Game",INDEX('Game Records'!$H:$H,$H128)=""),"Entry Fee; ","")&amp;IF(AND(INDEX('Game Records'!$U:$U,$H128)&lt;&gt;"Subscription",INDEX('Game Records'!$U:$U,$H128)&lt;&gt;"Free Game",INDEX('Game Records'!$U:$U,$H128)&lt;&gt;"Disqualified — Free Game",INDEX('Game Records'!$I:$I,$H128)=""),"Eligible Players; ","")&amp;IF(AND(INDEX('Game Records'!$U:$U,$H128)&lt;&gt;"Subscription",INDEX('Game Records'!$U:$U,$H128)&lt;&gt;"Free Game",INDEX('Game Records'!$U:$U,$H128)&lt;&gt;"Disqualified — Free Game",INDEX('Game Records'!$J:$J,$H128)=""),"Total Players; ","")&amp;IF(AND(LOWER(INDEX('Game Records'!$D:$D,$H128)&amp;"")="finalized",LOWER(INDEX('Game Records'!$L:$L,$H128)&amp;"")&lt;&gt;"yes",INDEX('Game Records'!$U:$U,$H128)&lt;&gt;"Subscription",INDEX('Game Records'!$U:$U,$H128)&lt;&gt;"Free Game",INDEX('Game Records'!$U:$U,$H128)&lt;&gt;"Disqualified — Free Game",INDEX('Game Records'!$K:$K,$H128)=""),"Final Earned; ","")&amp;IF(AND(LOWER(INDEX('Game Records'!$D:$D,$H128)&amp;"")="finalized",INDEX('Game Records'!$U:$U,$H128)&lt;&gt;"Subscription",INDEX('Game Records'!$U:$U,$H128)&lt;&gt;"Free Game",INDEX('Game Records'!$U:$U,$H128)&lt;&gt;"Disqualified — Free Game",OR(INDEX('Game Records'!$L:$L,$H128)="",LOWER(INDEX('Game Records'!$L:$L,$H128)&amp;"")="n/a")),"Disqualified Status; ",""))</x:f>
        <x:v/>
      </x:c>
      <x:c r="G128" s="331" t="str">
        <x:f>IF($H128="","",IFERROR(INDEX('Game Records'!$M:$M,$H128),""))</x:f>
        <x:v/>
      </x:c>
      <x:c r="H128" s="104" t="str">
        <x:f>IF($H127="","",IFERROR(MATCH(1,INDEX((ROW('Game Records'!$U$5:$U$504)&gt;$H127)*(('Game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8" s="104"/>
      <x:c r="J128" s="104"/>
    </x:row>
    <x:row r="129" ht="24" hidden="0" customHeight="1">
      <x:c r="A129" s="332" t="str">
        <x:f>IF($H129="","",ROWS($A$5:A129))</x:f>
        <x:v/>
      </x:c>
      <x:c r="B129" s="332" t="str">
        <x:f>IF($H129="","","G-"&amp;TEXT($A129,"0000"))</x:f>
        <x:v/>
      </x:c>
      <x:c r="C129" s="331" t="str">
        <x:f>IF($H129="","",IFERROR(INDEX('Game Records'!$A:$A,$H129),""))</x:f>
        <x:v/>
      </x:c>
      <x:c r="D129" s="331" t="str">
        <x:f>IF($H129="","",IFERROR(INDEX('Game Records'!$U:$U,$H129),""))</x:f>
        <x:v/>
      </x:c>
      <x:c r="E129" s="331" t="str">
        <x:f>IF($H129="","",IF($F129="","No Highlighted Fields","Highlighted Fields Present"))</x:f>
        <x:v/>
      </x:c>
      <x:c r="F129" s="331" t="str">
        <x:f>IF($H129="","",IF(INDEX('Game Records'!$B:$B,$H129)="","Start Date; ","")&amp;IF(INDEX('Game Records'!$C:$C,$H129)="","End Date; ","")&amp;IF(AND(INDEX('Game Records'!$U:$U,$H129)&lt;&gt;"Subscription",INDEX('Game Records'!$U:$U,$H129)&lt;&gt;"Free Game",INDEX('Game Records'!$U:$U,$H129)&lt;&gt;"Disqualified — Free Game",OR(INDEX('Game Records'!$D:$D,$H129)="",LOWER(INDEX('Game Records'!$D:$D,$H129)&amp;"")="n/a")),"Entry Mode; ","")&amp;IF(AND(INDEX('Game Records'!$U:$U,$H129)&lt;&gt;"Subscription",INDEX('Game Records'!$U:$U,$H129)&lt;&gt;"Free Game",INDEX('Game Records'!$U:$U,$H129)&lt;&gt;"Disqualified — Free Game",OR(INDEX('Game Records'!$E:$E,$H129)="",LOWER(INDEX('Game Records'!$E:$E,$H129)&amp;"")="n/a")),"Game Type; ","")&amp;IF(INDEX('Game Records'!$F:$F,$H129)="","Payment Type; ","")&amp;IF(AND(INDEX('Game Records'!$U:$U,$H129)&lt;&gt;"Subscription",INDEX('Game Records'!$U:$U,$H129)&lt;&gt;"Free Game",INDEX('Game Records'!$U:$U,$H129)&lt;&gt;"Disqualified — Free Game",INDEX('Game Records'!$G:$G,$H129)=""),"Gross Pot; ","")&amp;IF(AND(INDEX('Game Records'!$U:$U,$H129)&lt;&gt;"Free Game",INDEX('Game Records'!$U:$U,$H129)&lt;&gt;"Disqualified — Free Game",INDEX('Game Records'!$H:$H,$H129)=""),"Entry Fee; ","")&amp;IF(AND(INDEX('Game Records'!$U:$U,$H129)&lt;&gt;"Subscription",INDEX('Game Records'!$U:$U,$H129)&lt;&gt;"Free Game",INDEX('Game Records'!$U:$U,$H129)&lt;&gt;"Disqualified — Free Game",INDEX('Game Records'!$I:$I,$H129)=""),"Eligible Players; ","")&amp;IF(AND(INDEX('Game Records'!$U:$U,$H129)&lt;&gt;"Subscription",INDEX('Game Records'!$U:$U,$H129)&lt;&gt;"Free Game",INDEX('Game Records'!$U:$U,$H129)&lt;&gt;"Disqualified — Free Game",INDEX('Game Records'!$J:$J,$H129)=""),"Total Players; ","")&amp;IF(AND(LOWER(INDEX('Game Records'!$D:$D,$H129)&amp;"")="finalized",LOWER(INDEX('Game Records'!$L:$L,$H129)&amp;"")&lt;&gt;"yes",INDEX('Game Records'!$U:$U,$H129)&lt;&gt;"Subscription",INDEX('Game Records'!$U:$U,$H129)&lt;&gt;"Free Game",INDEX('Game Records'!$U:$U,$H129)&lt;&gt;"Disqualified — Free Game",INDEX('Game Records'!$K:$K,$H129)=""),"Final Earned; ","")&amp;IF(AND(LOWER(INDEX('Game Records'!$D:$D,$H129)&amp;"")="finalized",INDEX('Game Records'!$U:$U,$H129)&lt;&gt;"Subscription",INDEX('Game Records'!$U:$U,$H129)&lt;&gt;"Free Game",INDEX('Game Records'!$U:$U,$H129)&lt;&gt;"Disqualified — Free Game",OR(INDEX('Game Records'!$L:$L,$H129)="",LOWER(INDEX('Game Records'!$L:$L,$H129)&amp;"")="n/a")),"Disqualified Status; ",""))</x:f>
        <x:v/>
      </x:c>
      <x:c r="G129" s="331" t="str">
        <x:f>IF($H129="","",IFERROR(INDEX('Game Records'!$M:$M,$H129),""))</x:f>
        <x:v/>
      </x:c>
      <x:c r="H129" s="104" t="str">
        <x:f>IF($H128="","",IFERROR(MATCH(1,INDEX((ROW('Game Records'!$U$5:$U$504)&gt;$H128)*(('Game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29" s="104"/>
      <x:c r="J129" s="104"/>
    </x:row>
    <x:row r="130" ht="24" hidden="0" customHeight="1">
      <x:c r="A130" s="332" t="str">
        <x:f>IF($H130="","",ROWS($A$5:A130))</x:f>
        <x:v/>
      </x:c>
      <x:c r="B130" s="332" t="str">
        <x:f>IF($H130="","","G-"&amp;TEXT($A130,"0000"))</x:f>
        <x:v/>
      </x:c>
      <x:c r="C130" s="331" t="str">
        <x:f>IF($H130="","",IFERROR(INDEX('Game Records'!$A:$A,$H130),""))</x:f>
        <x:v/>
      </x:c>
      <x:c r="D130" s="331" t="str">
        <x:f>IF($H130="","",IFERROR(INDEX('Game Records'!$U:$U,$H130),""))</x:f>
        <x:v/>
      </x:c>
      <x:c r="E130" s="331" t="str">
        <x:f>IF($H130="","",IF($F130="","No Highlighted Fields","Highlighted Fields Present"))</x:f>
        <x:v/>
      </x:c>
      <x:c r="F130" s="331" t="str">
        <x:f>IF($H130="","",IF(INDEX('Game Records'!$B:$B,$H130)="","Start Date; ","")&amp;IF(INDEX('Game Records'!$C:$C,$H130)="","End Date; ","")&amp;IF(AND(INDEX('Game Records'!$U:$U,$H130)&lt;&gt;"Subscription",INDEX('Game Records'!$U:$U,$H130)&lt;&gt;"Free Game",INDEX('Game Records'!$U:$U,$H130)&lt;&gt;"Disqualified — Free Game",OR(INDEX('Game Records'!$D:$D,$H130)="",LOWER(INDEX('Game Records'!$D:$D,$H130)&amp;"")="n/a")),"Entry Mode; ","")&amp;IF(AND(INDEX('Game Records'!$U:$U,$H130)&lt;&gt;"Subscription",INDEX('Game Records'!$U:$U,$H130)&lt;&gt;"Free Game",INDEX('Game Records'!$U:$U,$H130)&lt;&gt;"Disqualified — Free Game",OR(INDEX('Game Records'!$E:$E,$H130)="",LOWER(INDEX('Game Records'!$E:$E,$H130)&amp;"")="n/a")),"Game Type; ","")&amp;IF(INDEX('Game Records'!$F:$F,$H130)="","Payment Type; ","")&amp;IF(AND(INDEX('Game Records'!$U:$U,$H130)&lt;&gt;"Subscription",INDEX('Game Records'!$U:$U,$H130)&lt;&gt;"Free Game",INDEX('Game Records'!$U:$U,$H130)&lt;&gt;"Disqualified — Free Game",INDEX('Game Records'!$G:$G,$H130)=""),"Gross Pot; ","")&amp;IF(AND(INDEX('Game Records'!$U:$U,$H130)&lt;&gt;"Free Game",INDEX('Game Records'!$U:$U,$H130)&lt;&gt;"Disqualified — Free Game",INDEX('Game Records'!$H:$H,$H130)=""),"Entry Fee; ","")&amp;IF(AND(INDEX('Game Records'!$U:$U,$H130)&lt;&gt;"Subscription",INDEX('Game Records'!$U:$U,$H130)&lt;&gt;"Free Game",INDEX('Game Records'!$U:$U,$H130)&lt;&gt;"Disqualified — Free Game",INDEX('Game Records'!$I:$I,$H130)=""),"Eligible Players; ","")&amp;IF(AND(INDEX('Game Records'!$U:$U,$H130)&lt;&gt;"Subscription",INDEX('Game Records'!$U:$U,$H130)&lt;&gt;"Free Game",INDEX('Game Records'!$U:$U,$H130)&lt;&gt;"Disqualified — Free Game",INDEX('Game Records'!$J:$J,$H130)=""),"Total Players; ","")&amp;IF(AND(LOWER(INDEX('Game Records'!$D:$D,$H130)&amp;"")="finalized",LOWER(INDEX('Game Records'!$L:$L,$H130)&amp;"")&lt;&gt;"yes",INDEX('Game Records'!$U:$U,$H130)&lt;&gt;"Subscription",INDEX('Game Records'!$U:$U,$H130)&lt;&gt;"Free Game",INDEX('Game Records'!$U:$U,$H130)&lt;&gt;"Disqualified — Free Game",INDEX('Game Records'!$K:$K,$H130)=""),"Final Earned; ","")&amp;IF(AND(LOWER(INDEX('Game Records'!$D:$D,$H130)&amp;"")="finalized",INDEX('Game Records'!$U:$U,$H130)&lt;&gt;"Subscription",INDEX('Game Records'!$U:$U,$H130)&lt;&gt;"Free Game",INDEX('Game Records'!$U:$U,$H130)&lt;&gt;"Disqualified — Free Game",OR(INDEX('Game Records'!$L:$L,$H130)="",LOWER(INDEX('Game Records'!$L:$L,$H130)&amp;"")="n/a")),"Disqualified Status; ",""))</x:f>
        <x:v/>
      </x:c>
      <x:c r="G130" s="331" t="str">
        <x:f>IF($H130="","",IFERROR(INDEX('Game Records'!$M:$M,$H130),""))</x:f>
        <x:v/>
      </x:c>
      <x:c r="H130" s="104" t="str">
        <x:f>IF($H129="","",IFERROR(MATCH(1,INDEX((ROW('Game Records'!$U$5:$U$504)&gt;$H129)*(('Game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0" s="104"/>
      <x:c r="J130" s="104"/>
    </x:row>
    <x:row r="131" ht="24" hidden="0" customHeight="1">
      <x:c r="A131" s="332" t="str">
        <x:f>IF($H131="","",ROWS($A$5:A131))</x:f>
        <x:v/>
      </x:c>
      <x:c r="B131" s="332" t="str">
        <x:f>IF($H131="","","G-"&amp;TEXT($A131,"0000"))</x:f>
        <x:v/>
      </x:c>
      <x:c r="C131" s="331" t="str">
        <x:f>IF($H131="","",IFERROR(INDEX('Game Records'!$A:$A,$H131),""))</x:f>
        <x:v/>
      </x:c>
      <x:c r="D131" s="331" t="str">
        <x:f>IF($H131="","",IFERROR(INDEX('Game Records'!$U:$U,$H131),""))</x:f>
        <x:v/>
      </x:c>
      <x:c r="E131" s="331" t="str">
        <x:f>IF($H131="","",IF($F131="","No Highlighted Fields","Highlighted Fields Present"))</x:f>
        <x:v/>
      </x:c>
      <x:c r="F131" s="331" t="str">
        <x:f>IF($H131="","",IF(INDEX('Game Records'!$B:$B,$H131)="","Start Date; ","")&amp;IF(INDEX('Game Records'!$C:$C,$H131)="","End Date; ","")&amp;IF(AND(INDEX('Game Records'!$U:$U,$H131)&lt;&gt;"Subscription",INDEX('Game Records'!$U:$U,$H131)&lt;&gt;"Free Game",INDEX('Game Records'!$U:$U,$H131)&lt;&gt;"Disqualified — Free Game",OR(INDEX('Game Records'!$D:$D,$H131)="",LOWER(INDEX('Game Records'!$D:$D,$H131)&amp;"")="n/a")),"Entry Mode; ","")&amp;IF(AND(INDEX('Game Records'!$U:$U,$H131)&lt;&gt;"Subscription",INDEX('Game Records'!$U:$U,$H131)&lt;&gt;"Free Game",INDEX('Game Records'!$U:$U,$H131)&lt;&gt;"Disqualified — Free Game",OR(INDEX('Game Records'!$E:$E,$H131)="",LOWER(INDEX('Game Records'!$E:$E,$H131)&amp;"")="n/a")),"Game Type; ","")&amp;IF(INDEX('Game Records'!$F:$F,$H131)="","Payment Type; ","")&amp;IF(AND(INDEX('Game Records'!$U:$U,$H131)&lt;&gt;"Subscription",INDEX('Game Records'!$U:$U,$H131)&lt;&gt;"Free Game",INDEX('Game Records'!$U:$U,$H131)&lt;&gt;"Disqualified — Free Game",INDEX('Game Records'!$G:$G,$H131)=""),"Gross Pot; ","")&amp;IF(AND(INDEX('Game Records'!$U:$U,$H131)&lt;&gt;"Free Game",INDEX('Game Records'!$U:$U,$H131)&lt;&gt;"Disqualified — Free Game",INDEX('Game Records'!$H:$H,$H131)=""),"Entry Fee; ","")&amp;IF(AND(INDEX('Game Records'!$U:$U,$H131)&lt;&gt;"Subscription",INDEX('Game Records'!$U:$U,$H131)&lt;&gt;"Free Game",INDEX('Game Records'!$U:$U,$H131)&lt;&gt;"Disqualified — Free Game",INDEX('Game Records'!$I:$I,$H131)=""),"Eligible Players; ","")&amp;IF(AND(INDEX('Game Records'!$U:$U,$H131)&lt;&gt;"Subscription",INDEX('Game Records'!$U:$U,$H131)&lt;&gt;"Free Game",INDEX('Game Records'!$U:$U,$H131)&lt;&gt;"Disqualified — Free Game",INDEX('Game Records'!$J:$J,$H131)=""),"Total Players; ","")&amp;IF(AND(LOWER(INDEX('Game Records'!$D:$D,$H131)&amp;"")="finalized",LOWER(INDEX('Game Records'!$L:$L,$H131)&amp;"")&lt;&gt;"yes",INDEX('Game Records'!$U:$U,$H131)&lt;&gt;"Subscription",INDEX('Game Records'!$U:$U,$H131)&lt;&gt;"Free Game",INDEX('Game Records'!$U:$U,$H131)&lt;&gt;"Disqualified — Free Game",INDEX('Game Records'!$K:$K,$H131)=""),"Final Earned; ","")&amp;IF(AND(LOWER(INDEX('Game Records'!$D:$D,$H131)&amp;"")="finalized",INDEX('Game Records'!$U:$U,$H131)&lt;&gt;"Subscription",INDEX('Game Records'!$U:$U,$H131)&lt;&gt;"Free Game",INDEX('Game Records'!$U:$U,$H131)&lt;&gt;"Disqualified — Free Game",OR(INDEX('Game Records'!$L:$L,$H131)="",LOWER(INDEX('Game Records'!$L:$L,$H131)&amp;"")="n/a")),"Disqualified Status; ",""))</x:f>
        <x:v/>
      </x:c>
      <x:c r="G131" s="331" t="str">
        <x:f>IF($H131="","",IFERROR(INDEX('Game Records'!$M:$M,$H131),""))</x:f>
        <x:v/>
      </x:c>
      <x:c r="H131" s="104" t="str">
        <x:f>IF($H130="","",IFERROR(MATCH(1,INDEX((ROW('Game Records'!$U$5:$U$504)&gt;$H130)*(('Game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1" s="104"/>
      <x:c r="J131" s="104"/>
    </x:row>
    <x:row r="132" ht="24" hidden="0" customHeight="1">
      <x:c r="A132" s="332" t="str">
        <x:f>IF($H132="","",ROWS($A$5:A132))</x:f>
        <x:v/>
      </x:c>
      <x:c r="B132" s="332" t="str">
        <x:f>IF($H132="","","G-"&amp;TEXT($A132,"0000"))</x:f>
        <x:v/>
      </x:c>
      <x:c r="C132" s="331" t="str">
        <x:f>IF($H132="","",IFERROR(INDEX('Game Records'!$A:$A,$H132),""))</x:f>
        <x:v/>
      </x:c>
      <x:c r="D132" s="331" t="str">
        <x:f>IF($H132="","",IFERROR(INDEX('Game Records'!$U:$U,$H132),""))</x:f>
        <x:v/>
      </x:c>
      <x:c r="E132" s="331" t="str">
        <x:f>IF($H132="","",IF($F132="","No Highlighted Fields","Highlighted Fields Present"))</x:f>
        <x:v/>
      </x:c>
      <x:c r="F132" s="331" t="str">
        <x:f>IF($H132="","",IF(INDEX('Game Records'!$B:$B,$H132)="","Start Date; ","")&amp;IF(INDEX('Game Records'!$C:$C,$H132)="","End Date; ","")&amp;IF(AND(INDEX('Game Records'!$U:$U,$H132)&lt;&gt;"Subscription",INDEX('Game Records'!$U:$U,$H132)&lt;&gt;"Free Game",INDEX('Game Records'!$U:$U,$H132)&lt;&gt;"Disqualified — Free Game",OR(INDEX('Game Records'!$D:$D,$H132)="",LOWER(INDEX('Game Records'!$D:$D,$H132)&amp;"")="n/a")),"Entry Mode; ","")&amp;IF(AND(INDEX('Game Records'!$U:$U,$H132)&lt;&gt;"Subscription",INDEX('Game Records'!$U:$U,$H132)&lt;&gt;"Free Game",INDEX('Game Records'!$U:$U,$H132)&lt;&gt;"Disqualified — Free Game",OR(INDEX('Game Records'!$E:$E,$H132)="",LOWER(INDEX('Game Records'!$E:$E,$H132)&amp;"")="n/a")),"Game Type; ","")&amp;IF(INDEX('Game Records'!$F:$F,$H132)="","Payment Type; ","")&amp;IF(AND(INDEX('Game Records'!$U:$U,$H132)&lt;&gt;"Subscription",INDEX('Game Records'!$U:$U,$H132)&lt;&gt;"Free Game",INDEX('Game Records'!$U:$U,$H132)&lt;&gt;"Disqualified — Free Game",INDEX('Game Records'!$G:$G,$H132)=""),"Gross Pot; ","")&amp;IF(AND(INDEX('Game Records'!$U:$U,$H132)&lt;&gt;"Free Game",INDEX('Game Records'!$U:$U,$H132)&lt;&gt;"Disqualified — Free Game",INDEX('Game Records'!$H:$H,$H132)=""),"Entry Fee; ","")&amp;IF(AND(INDEX('Game Records'!$U:$U,$H132)&lt;&gt;"Subscription",INDEX('Game Records'!$U:$U,$H132)&lt;&gt;"Free Game",INDEX('Game Records'!$U:$U,$H132)&lt;&gt;"Disqualified — Free Game",INDEX('Game Records'!$I:$I,$H132)=""),"Eligible Players; ","")&amp;IF(AND(INDEX('Game Records'!$U:$U,$H132)&lt;&gt;"Subscription",INDEX('Game Records'!$U:$U,$H132)&lt;&gt;"Free Game",INDEX('Game Records'!$U:$U,$H132)&lt;&gt;"Disqualified — Free Game",INDEX('Game Records'!$J:$J,$H132)=""),"Total Players; ","")&amp;IF(AND(LOWER(INDEX('Game Records'!$D:$D,$H132)&amp;"")="finalized",LOWER(INDEX('Game Records'!$L:$L,$H132)&amp;"")&lt;&gt;"yes",INDEX('Game Records'!$U:$U,$H132)&lt;&gt;"Subscription",INDEX('Game Records'!$U:$U,$H132)&lt;&gt;"Free Game",INDEX('Game Records'!$U:$U,$H132)&lt;&gt;"Disqualified — Free Game",INDEX('Game Records'!$K:$K,$H132)=""),"Final Earned; ","")&amp;IF(AND(LOWER(INDEX('Game Records'!$D:$D,$H132)&amp;"")="finalized",INDEX('Game Records'!$U:$U,$H132)&lt;&gt;"Subscription",INDEX('Game Records'!$U:$U,$H132)&lt;&gt;"Free Game",INDEX('Game Records'!$U:$U,$H132)&lt;&gt;"Disqualified — Free Game",OR(INDEX('Game Records'!$L:$L,$H132)="",LOWER(INDEX('Game Records'!$L:$L,$H132)&amp;"")="n/a")),"Disqualified Status; ",""))</x:f>
        <x:v/>
      </x:c>
      <x:c r="G132" s="331" t="str">
        <x:f>IF($H132="","",IFERROR(INDEX('Game Records'!$M:$M,$H132),""))</x:f>
        <x:v/>
      </x:c>
      <x:c r="H132" s="104" t="str">
        <x:f>IF($H131="","",IFERROR(MATCH(1,INDEX((ROW('Game Records'!$U$5:$U$504)&gt;$H131)*(('Game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2" s="104"/>
      <x:c r="J132" s="104"/>
    </x:row>
    <x:row r="133" ht="24" hidden="0" customHeight="1">
      <x:c r="A133" s="332" t="str">
        <x:f>IF($H133="","",ROWS($A$5:A133))</x:f>
        <x:v/>
      </x:c>
      <x:c r="B133" s="332" t="str">
        <x:f>IF($H133="","","G-"&amp;TEXT($A133,"0000"))</x:f>
        <x:v/>
      </x:c>
      <x:c r="C133" s="331" t="str">
        <x:f>IF($H133="","",IFERROR(INDEX('Game Records'!$A:$A,$H133),""))</x:f>
        <x:v/>
      </x:c>
      <x:c r="D133" s="331" t="str">
        <x:f>IF($H133="","",IFERROR(INDEX('Game Records'!$U:$U,$H133),""))</x:f>
        <x:v/>
      </x:c>
      <x:c r="E133" s="331" t="str">
        <x:f>IF($H133="","",IF($F133="","No Highlighted Fields","Highlighted Fields Present"))</x:f>
        <x:v/>
      </x:c>
      <x:c r="F133" s="331" t="str">
        <x:f>IF($H133="","",IF(INDEX('Game Records'!$B:$B,$H133)="","Start Date; ","")&amp;IF(INDEX('Game Records'!$C:$C,$H133)="","End Date; ","")&amp;IF(AND(INDEX('Game Records'!$U:$U,$H133)&lt;&gt;"Subscription",INDEX('Game Records'!$U:$U,$H133)&lt;&gt;"Free Game",INDEX('Game Records'!$U:$U,$H133)&lt;&gt;"Disqualified — Free Game",OR(INDEX('Game Records'!$D:$D,$H133)="",LOWER(INDEX('Game Records'!$D:$D,$H133)&amp;"")="n/a")),"Entry Mode; ","")&amp;IF(AND(INDEX('Game Records'!$U:$U,$H133)&lt;&gt;"Subscription",INDEX('Game Records'!$U:$U,$H133)&lt;&gt;"Free Game",INDEX('Game Records'!$U:$U,$H133)&lt;&gt;"Disqualified — Free Game",OR(INDEX('Game Records'!$E:$E,$H133)="",LOWER(INDEX('Game Records'!$E:$E,$H133)&amp;"")="n/a")),"Game Type; ","")&amp;IF(INDEX('Game Records'!$F:$F,$H133)="","Payment Type; ","")&amp;IF(AND(INDEX('Game Records'!$U:$U,$H133)&lt;&gt;"Subscription",INDEX('Game Records'!$U:$U,$H133)&lt;&gt;"Free Game",INDEX('Game Records'!$U:$U,$H133)&lt;&gt;"Disqualified — Free Game",INDEX('Game Records'!$G:$G,$H133)=""),"Gross Pot; ","")&amp;IF(AND(INDEX('Game Records'!$U:$U,$H133)&lt;&gt;"Free Game",INDEX('Game Records'!$U:$U,$H133)&lt;&gt;"Disqualified — Free Game",INDEX('Game Records'!$H:$H,$H133)=""),"Entry Fee; ","")&amp;IF(AND(INDEX('Game Records'!$U:$U,$H133)&lt;&gt;"Subscription",INDEX('Game Records'!$U:$U,$H133)&lt;&gt;"Free Game",INDEX('Game Records'!$U:$U,$H133)&lt;&gt;"Disqualified — Free Game",INDEX('Game Records'!$I:$I,$H133)=""),"Eligible Players; ","")&amp;IF(AND(INDEX('Game Records'!$U:$U,$H133)&lt;&gt;"Subscription",INDEX('Game Records'!$U:$U,$H133)&lt;&gt;"Free Game",INDEX('Game Records'!$U:$U,$H133)&lt;&gt;"Disqualified — Free Game",INDEX('Game Records'!$J:$J,$H133)=""),"Total Players; ","")&amp;IF(AND(LOWER(INDEX('Game Records'!$D:$D,$H133)&amp;"")="finalized",LOWER(INDEX('Game Records'!$L:$L,$H133)&amp;"")&lt;&gt;"yes",INDEX('Game Records'!$U:$U,$H133)&lt;&gt;"Subscription",INDEX('Game Records'!$U:$U,$H133)&lt;&gt;"Free Game",INDEX('Game Records'!$U:$U,$H133)&lt;&gt;"Disqualified — Free Game",INDEX('Game Records'!$K:$K,$H133)=""),"Final Earned; ","")&amp;IF(AND(LOWER(INDEX('Game Records'!$D:$D,$H133)&amp;"")="finalized",INDEX('Game Records'!$U:$U,$H133)&lt;&gt;"Subscription",INDEX('Game Records'!$U:$U,$H133)&lt;&gt;"Free Game",INDEX('Game Records'!$U:$U,$H133)&lt;&gt;"Disqualified — Free Game",OR(INDEX('Game Records'!$L:$L,$H133)="",LOWER(INDEX('Game Records'!$L:$L,$H133)&amp;"")="n/a")),"Disqualified Status; ",""))</x:f>
        <x:v/>
      </x:c>
      <x:c r="G133" s="331" t="str">
        <x:f>IF($H133="","",IFERROR(INDEX('Game Records'!$M:$M,$H133),""))</x:f>
        <x:v/>
      </x:c>
      <x:c r="H133" s="104" t="str">
        <x:f>IF($H132="","",IFERROR(MATCH(1,INDEX((ROW('Game Records'!$U$5:$U$504)&gt;$H132)*(('Game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3" s="104"/>
      <x:c r="J133" s="104"/>
    </x:row>
    <x:row r="134" ht="24" hidden="0" customHeight="1">
      <x:c r="A134" s="332" t="str">
        <x:f>IF($H134="","",ROWS($A$5:A134))</x:f>
        <x:v/>
      </x:c>
      <x:c r="B134" s="332" t="str">
        <x:f>IF($H134="","","G-"&amp;TEXT($A134,"0000"))</x:f>
        <x:v/>
      </x:c>
      <x:c r="C134" s="331" t="str">
        <x:f>IF($H134="","",IFERROR(INDEX('Game Records'!$A:$A,$H134),""))</x:f>
        <x:v/>
      </x:c>
      <x:c r="D134" s="331" t="str">
        <x:f>IF($H134="","",IFERROR(INDEX('Game Records'!$U:$U,$H134),""))</x:f>
        <x:v/>
      </x:c>
      <x:c r="E134" s="331" t="str">
        <x:f>IF($H134="","",IF($F134="","No Highlighted Fields","Highlighted Fields Present"))</x:f>
        <x:v/>
      </x:c>
      <x:c r="F134" s="331" t="str">
        <x:f>IF($H134="","",IF(INDEX('Game Records'!$B:$B,$H134)="","Start Date; ","")&amp;IF(INDEX('Game Records'!$C:$C,$H134)="","End Date; ","")&amp;IF(AND(INDEX('Game Records'!$U:$U,$H134)&lt;&gt;"Subscription",INDEX('Game Records'!$U:$U,$H134)&lt;&gt;"Free Game",INDEX('Game Records'!$U:$U,$H134)&lt;&gt;"Disqualified — Free Game",OR(INDEX('Game Records'!$D:$D,$H134)="",LOWER(INDEX('Game Records'!$D:$D,$H134)&amp;"")="n/a")),"Entry Mode; ","")&amp;IF(AND(INDEX('Game Records'!$U:$U,$H134)&lt;&gt;"Subscription",INDEX('Game Records'!$U:$U,$H134)&lt;&gt;"Free Game",INDEX('Game Records'!$U:$U,$H134)&lt;&gt;"Disqualified — Free Game",OR(INDEX('Game Records'!$E:$E,$H134)="",LOWER(INDEX('Game Records'!$E:$E,$H134)&amp;"")="n/a")),"Game Type; ","")&amp;IF(INDEX('Game Records'!$F:$F,$H134)="","Payment Type; ","")&amp;IF(AND(INDEX('Game Records'!$U:$U,$H134)&lt;&gt;"Subscription",INDEX('Game Records'!$U:$U,$H134)&lt;&gt;"Free Game",INDEX('Game Records'!$U:$U,$H134)&lt;&gt;"Disqualified — Free Game",INDEX('Game Records'!$G:$G,$H134)=""),"Gross Pot; ","")&amp;IF(AND(INDEX('Game Records'!$U:$U,$H134)&lt;&gt;"Free Game",INDEX('Game Records'!$U:$U,$H134)&lt;&gt;"Disqualified — Free Game",INDEX('Game Records'!$H:$H,$H134)=""),"Entry Fee; ","")&amp;IF(AND(INDEX('Game Records'!$U:$U,$H134)&lt;&gt;"Subscription",INDEX('Game Records'!$U:$U,$H134)&lt;&gt;"Free Game",INDEX('Game Records'!$U:$U,$H134)&lt;&gt;"Disqualified — Free Game",INDEX('Game Records'!$I:$I,$H134)=""),"Eligible Players; ","")&amp;IF(AND(INDEX('Game Records'!$U:$U,$H134)&lt;&gt;"Subscription",INDEX('Game Records'!$U:$U,$H134)&lt;&gt;"Free Game",INDEX('Game Records'!$U:$U,$H134)&lt;&gt;"Disqualified — Free Game",INDEX('Game Records'!$J:$J,$H134)=""),"Total Players; ","")&amp;IF(AND(LOWER(INDEX('Game Records'!$D:$D,$H134)&amp;"")="finalized",LOWER(INDEX('Game Records'!$L:$L,$H134)&amp;"")&lt;&gt;"yes",INDEX('Game Records'!$U:$U,$H134)&lt;&gt;"Subscription",INDEX('Game Records'!$U:$U,$H134)&lt;&gt;"Free Game",INDEX('Game Records'!$U:$U,$H134)&lt;&gt;"Disqualified — Free Game",INDEX('Game Records'!$K:$K,$H134)=""),"Final Earned; ","")&amp;IF(AND(LOWER(INDEX('Game Records'!$D:$D,$H134)&amp;"")="finalized",INDEX('Game Records'!$U:$U,$H134)&lt;&gt;"Subscription",INDEX('Game Records'!$U:$U,$H134)&lt;&gt;"Free Game",INDEX('Game Records'!$U:$U,$H134)&lt;&gt;"Disqualified — Free Game",OR(INDEX('Game Records'!$L:$L,$H134)="",LOWER(INDEX('Game Records'!$L:$L,$H134)&amp;"")="n/a")),"Disqualified Status; ",""))</x:f>
        <x:v/>
      </x:c>
      <x:c r="G134" s="331" t="str">
        <x:f>IF($H134="","",IFERROR(INDEX('Game Records'!$M:$M,$H134),""))</x:f>
        <x:v/>
      </x:c>
      <x:c r="H134" s="104" t="str">
        <x:f>IF($H133="","",IFERROR(MATCH(1,INDEX((ROW('Game Records'!$U$5:$U$504)&gt;$H133)*(('Game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4" s="104"/>
      <x:c r="J134" s="104"/>
    </x:row>
    <x:row r="135" ht="24" hidden="0" customHeight="1">
      <x:c r="A135" s="332" t="str">
        <x:f>IF($H135="","",ROWS($A$5:A135))</x:f>
        <x:v/>
      </x:c>
      <x:c r="B135" s="332" t="str">
        <x:f>IF($H135="","","G-"&amp;TEXT($A135,"0000"))</x:f>
        <x:v/>
      </x:c>
      <x:c r="C135" s="331" t="str">
        <x:f>IF($H135="","",IFERROR(INDEX('Game Records'!$A:$A,$H135),""))</x:f>
        <x:v/>
      </x:c>
      <x:c r="D135" s="331" t="str">
        <x:f>IF($H135="","",IFERROR(INDEX('Game Records'!$U:$U,$H135),""))</x:f>
        <x:v/>
      </x:c>
      <x:c r="E135" s="331" t="str">
        <x:f>IF($H135="","",IF($F135="","No Highlighted Fields","Highlighted Fields Present"))</x:f>
        <x:v/>
      </x:c>
      <x:c r="F135" s="331" t="str">
        <x:f>IF($H135="","",IF(INDEX('Game Records'!$B:$B,$H135)="","Start Date; ","")&amp;IF(INDEX('Game Records'!$C:$C,$H135)="","End Date; ","")&amp;IF(AND(INDEX('Game Records'!$U:$U,$H135)&lt;&gt;"Subscription",INDEX('Game Records'!$U:$U,$H135)&lt;&gt;"Free Game",INDEX('Game Records'!$U:$U,$H135)&lt;&gt;"Disqualified — Free Game",OR(INDEX('Game Records'!$D:$D,$H135)="",LOWER(INDEX('Game Records'!$D:$D,$H135)&amp;"")="n/a")),"Entry Mode; ","")&amp;IF(AND(INDEX('Game Records'!$U:$U,$H135)&lt;&gt;"Subscription",INDEX('Game Records'!$U:$U,$H135)&lt;&gt;"Free Game",INDEX('Game Records'!$U:$U,$H135)&lt;&gt;"Disqualified — Free Game",OR(INDEX('Game Records'!$E:$E,$H135)="",LOWER(INDEX('Game Records'!$E:$E,$H135)&amp;"")="n/a")),"Game Type; ","")&amp;IF(INDEX('Game Records'!$F:$F,$H135)="","Payment Type; ","")&amp;IF(AND(INDEX('Game Records'!$U:$U,$H135)&lt;&gt;"Subscription",INDEX('Game Records'!$U:$U,$H135)&lt;&gt;"Free Game",INDEX('Game Records'!$U:$U,$H135)&lt;&gt;"Disqualified — Free Game",INDEX('Game Records'!$G:$G,$H135)=""),"Gross Pot; ","")&amp;IF(AND(INDEX('Game Records'!$U:$U,$H135)&lt;&gt;"Free Game",INDEX('Game Records'!$U:$U,$H135)&lt;&gt;"Disqualified — Free Game",INDEX('Game Records'!$H:$H,$H135)=""),"Entry Fee; ","")&amp;IF(AND(INDEX('Game Records'!$U:$U,$H135)&lt;&gt;"Subscription",INDEX('Game Records'!$U:$U,$H135)&lt;&gt;"Free Game",INDEX('Game Records'!$U:$U,$H135)&lt;&gt;"Disqualified — Free Game",INDEX('Game Records'!$I:$I,$H135)=""),"Eligible Players; ","")&amp;IF(AND(INDEX('Game Records'!$U:$U,$H135)&lt;&gt;"Subscription",INDEX('Game Records'!$U:$U,$H135)&lt;&gt;"Free Game",INDEX('Game Records'!$U:$U,$H135)&lt;&gt;"Disqualified — Free Game",INDEX('Game Records'!$J:$J,$H135)=""),"Total Players; ","")&amp;IF(AND(LOWER(INDEX('Game Records'!$D:$D,$H135)&amp;"")="finalized",LOWER(INDEX('Game Records'!$L:$L,$H135)&amp;"")&lt;&gt;"yes",INDEX('Game Records'!$U:$U,$H135)&lt;&gt;"Subscription",INDEX('Game Records'!$U:$U,$H135)&lt;&gt;"Free Game",INDEX('Game Records'!$U:$U,$H135)&lt;&gt;"Disqualified — Free Game",INDEX('Game Records'!$K:$K,$H135)=""),"Final Earned; ","")&amp;IF(AND(LOWER(INDEX('Game Records'!$D:$D,$H135)&amp;"")="finalized",INDEX('Game Records'!$U:$U,$H135)&lt;&gt;"Subscription",INDEX('Game Records'!$U:$U,$H135)&lt;&gt;"Free Game",INDEX('Game Records'!$U:$U,$H135)&lt;&gt;"Disqualified — Free Game",OR(INDEX('Game Records'!$L:$L,$H135)="",LOWER(INDEX('Game Records'!$L:$L,$H135)&amp;"")="n/a")),"Disqualified Status; ",""))</x:f>
        <x:v/>
      </x:c>
      <x:c r="G135" s="331" t="str">
        <x:f>IF($H135="","",IFERROR(INDEX('Game Records'!$M:$M,$H135),""))</x:f>
        <x:v/>
      </x:c>
      <x:c r="H135" s="104" t="str">
        <x:f>IF($H134="","",IFERROR(MATCH(1,INDEX((ROW('Game Records'!$U$5:$U$504)&gt;$H134)*(('Game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5" s="104"/>
      <x:c r="J135" s="104"/>
    </x:row>
    <x:row r="136" ht="24" hidden="0" customHeight="1">
      <x:c r="A136" s="332" t="str">
        <x:f>IF($H136="","",ROWS($A$5:A136))</x:f>
        <x:v/>
      </x:c>
      <x:c r="B136" s="332" t="str">
        <x:f>IF($H136="","","G-"&amp;TEXT($A136,"0000"))</x:f>
        <x:v/>
      </x:c>
      <x:c r="C136" s="331" t="str">
        <x:f>IF($H136="","",IFERROR(INDEX('Game Records'!$A:$A,$H136),""))</x:f>
        <x:v/>
      </x:c>
      <x:c r="D136" s="331" t="str">
        <x:f>IF($H136="","",IFERROR(INDEX('Game Records'!$U:$U,$H136),""))</x:f>
        <x:v/>
      </x:c>
      <x:c r="E136" s="331" t="str">
        <x:f>IF($H136="","",IF($F136="","No Highlighted Fields","Highlighted Fields Present"))</x:f>
        <x:v/>
      </x:c>
      <x:c r="F136" s="331" t="str">
        <x:f>IF($H136="","",IF(INDEX('Game Records'!$B:$B,$H136)="","Start Date; ","")&amp;IF(INDEX('Game Records'!$C:$C,$H136)="","End Date; ","")&amp;IF(AND(INDEX('Game Records'!$U:$U,$H136)&lt;&gt;"Subscription",INDEX('Game Records'!$U:$U,$H136)&lt;&gt;"Free Game",INDEX('Game Records'!$U:$U,$H136)&lt;&gt;"Disqualified — Free Game",OR(INDEX('Game Records'!$D:$D,$H136)="",LOWER(INDEX('Game Records'!$D:$D,$H136)&amp;"")="n/a")),"Entry Mode; ","")&amp;IF(AND(INDEX('Game Records'!$U:$U,$H136)&lt;&gt;"Subscription",INDEX('Game Records'!$U:$U,$H136)&lt;&gt;"Free Game",INDEX('Game Records'!$U:$U,$H136)&lt;&gt;"Disqualified — Free Game",OR(INDEX('Game Records'!$E:$E,$H136)="",LOWER(INDEX('Game Records'!$E:$E,$H136)&amp;"")="n/a")),"Game Type; ","")&amp;IF(INDEX('Game Records'!$F:$F,$H136)="","Payment Type; ","")&amp;IF(AND(INDEX('Game Records'!$U:$U,$H136)&lt;&gt;"Subscription",INDEX('Game Records'!$U:$U,$H136)&lt;&gt;"Free Game",INDEX('Game Records'!$U:$U,$H136)&lt;&gt;"Disqualified — Free Game",INDEX('Game Records'!$G:$G,$H136)=""),"Gross Pot; ","")&amp;IF(AND(INDEX('Game Records'!$U:$U,$H136)&lt;&gt;"Free Game",INDEX('Game Records'!$U:$U,$H136)&lt;&gt;"Disqualified — Free Game",INDEX('Game Records'!$H:$H,$H136)=""),"Entry Fee; ","")&amp;IF(AND(INDEX('Game Records'!$U:$U,$H136)&lt;&gt;"Subscription",INDEX('Game Records'!$U:$U,$H136)&lt;&gt;"Free Game",INDEX('Game Records'!$U:$U,$H136)&lt;&gt;"Disqualified — Free Game",INDEX('Game Records'!$I:$I,$H136)=""),"Eligible Players; ","")&amp;IF(AND(INDEX('Game Records'!$U:$U,$H136)&lt;&gt;"Subscription",INDEX('Game Records'!$U:$U,$H136)&lt;&gt;"Free Game",INDEX('Game Records'!$U:$U,$H136)&lt;&gt;"Disqualified — Free Game",INDEX('Game Records'!$J:$J,$H136)=""),"Total Players; ","")&amp;IF(AND(LOWER(INDEX('Game Records'!$D:$D,$H136)&amp;"")="finalized",LOWER(INDEX('Game Records'!$L:$L,$H136)&amp;"")&lt;&gt;"yes",INDEX('Game Records'!$U:$U,$H136)&lt;&gt;"Subscription",INDEX('Game Records'!$U:$U,$H136)&lt;&gt;"Free Game",INDEX('Game Records'!$U:$U,$H136)&lt;&gt;"Disqualified — Free Game",INDEX('Game Records'!$K:$K,$H136)=""),"Final Earned; ","")&amp;IF(AND(LOWER(INDEX('Game Records'!$D:$D,$H136)&amp;"")="finalized",INDEX('Game Records'!$U:$U,$H136)&lt;&gt;"Subscription",INDEX('Game Records'!$U:$U,$H136)&lt;&gt;"Free Game",INDEX('Game Records'!$U:$U,$H136)&lt;&gt;"Disqualified — Free Game",OR(INDEX('Game Records'!$L:$L,$H136)="",LOWER(INDEX('Game Records'!$L:$L,$H136)&amp;"")="n/a")),"Disqualified Status; ",""))</x:f>
        <x:v/>
      </x:c>
      <x:c r="G136" s="331" t="str">
        <x:f>IF($H136="","",IFERROR(INDEX('Game Records'!$M:$M,$H136),""))</x:f>
        <x:v/>
      </x:c>
      <x:c r="H136" s="104" t="str">
        <x:f>IF($H135="","",IFERROR(MATCH(1,INDEX((ROW('Game Records'!$U$5:$U$504)&gt;$H135)*(('Game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6" s="104"/>
      <x:c r="J136" s="104"/>
    </x:row>
    <x:row r="137" ht="24" hidden="0" customHeight="1">
      <x:c r="A137" s="332" t="str">
        <x:f>IF($H137="","",ROWS($A$5:A137))</x:f>
        <x:v/>
      </x:c>
      <x:c r="B137" s="332" t="str">
        <x:f>IF($H137="","","G-"&amp;TEXT($A137,"0000"))</x:f>
        <x:v/>
      </x:c>
      <x:c r="C137" s="331" t="str">
        <x:f>IF($H137="","",IFERROR(INDEX('Game Records'!$A:$A,$H137),""))</x:f>
        <x:v/>
      </x:c>
      <x:c r="D137" s="331" t="str">
        <x:f>IF($H137="","",IFERROR(INDEX('Game Records'!$U:$U,$H137),""))</x:f>
        <x:v/>
      </x:c>
      <x:c r="E137" s="331" t="str">
        <x:f>IF($H137="","",IF($F137="","No Highlighted Fields","Highlighted Fields Present"))</x:f>
        <x:v/>
      </x:c>
      <x:c r="F137" s="331" t="str">
        <x:f>IF($H137="","",IF(INDEX('Game Records'!$B:$B,$H137)="","Start Date; ","")&amp;IF(INDEX('Game Records'!$C:$C,$H137)="","End Date; ","")&amp;IF(AND(INDEX('Game Records'!$U:$U,$H137)&lt;&gt;"Subscription",INDEX('Game Records'!$U:$U,$H137)&lt;&gt;"Free Game",INDEX('Game Records'!$U:$U,$H137)&lt;&gt;"Disqualified — Free Game",OR(INDEX('Game Records'!$D:$D,$H137)="",LOWER(INDEX('Game Records'!$D:$D,$H137)&amp;"")="n/a")),"Entry Mode; ","")&amp;IF(AND(INDEX('Game Records'!$U:$U,$H137)&lt;&gt;"Subscription",INDEX('Game Records'!$U:$U,$H137)&lt;&gt;"Free Game",INDEX('Game Records'!$U:$U,$H137)&lt;&gt;"Disqualified — Free Game",OR(INDEX('Game Records'!$E:$E,$H137)="",LOWER(INDEX('Game Records'!$E:$E,$H137)&amp;"")="n/a")),"Game Type; ","")&amp;IF(INDEX('Game Records'!$F:$F,$H137)="","Payment Type; ","")&amp;IF(AND(INDEX('Game Records'!$U:$U,$H137)&lt;&gt;"Subscription",INDEX('Game Records'!$U:$U,$H137)&lt;&gt;"Free Game",INDEX('Game Records'!$U:$U,$H137)&lt;&gt;"Disqualified — Free Game",INDEX('Game Records'!$G:$G,$H137)=""),"Gross Pot; ","")&amp;IF(AND(INDEX('Game Records'!$U:$U,$H137)&lt;&gt;"Free Game",INDEX('Game Records'!$U:$U,$H137)&lt;&gt;"Disqualified — Free Game",INDEX('Game Records'!$H:$H,$H137)=""),"Entry Fee; ","")&amp;IF(AND(INDEX('Game Records'!$U:$U,$H137)&lt;&gt;"Subscription",INDEX('Game Records'!$U:$U,$H137)&lt;&gt;"Free Game",INDEX('Game Records'!$U:$U,$H137)&lt;&gt;"Disqualified — Free Game",INDEX('Game Records'!$I:$I,$H137)=""),"Eligible Players; ","")&amp;IF(AND(INDEX('Game Records'!$U:$U,$H137)&lt;&gt;"Subscription",INDEX('Game Records'!$U:$U,$H137)&lt;&gt;"Free Game",INDEX('Game Records'!$U:$U,$H137)&lt;&gt;"Disqualified — Free Game",INDEX('Game Records'!$J:$J,$H137)=""),"Total Players; ","")&amp;IF(AND(LOWER(INDEX('Game Records'!$D:$D,$H137)&amp;"")="finalized",LOWER(INDEX('Game Records'!$L:$L,$H137)&amp;"")&lt;&gt;"yes",INDEX('Game Records'!$U:$U,$H137)&lt;&gt;"Subscription",INDEX('Game Records'!$U:$U,$H137)&lt;&gt;"Free Game",INDEX('Game Records'!$U:$U,$H137)&lt;&gt;"Disqualified — Free Game",INDEX('Game Records'!$K:$K,$H137)=""),"Final Earned; ","")&amp;IF(AND(LOWER(INDEX('Game Records'!$D:$D,$H137)&amp;"")="finalized",INDEX('Game Records'!$U:$U,$H137)&lt;&gt;"Subscription",INDEX('Game Records'!$U:$U,$H137)&lt;&gt;"Free Game",INDEX('Game Records'!$U:$U,$H137)&lt;&gt;"Disqualified — Free Game",OR(INDEX('Game Records'!$L:$L,$H137)="",LOWER(INDEX('Game Records'!$L:$L,$H137)&amp;"")="n/a")),"Disqualified Status; ",""))</x:f>
        <x:v/>
      </x:c>
      <x:c r="G137" s="331" t="str">
        <x:f>IF($H137="","",IFERROR(INDEX('Game Records'!$M:$M,$H137),""))</x:f>
        <x:v/>
      </x:c>
      <x:c r="H137" s="104" t="str">
        <x:f>IF($H136="","",IFERROR(MATCH(1,INDEX((ROW('Game Records'!$U$5:$U$504)&gt;$H136)*(('Game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7" s="104"/>
      <x:c r="J137" s="104"/>
    </x:row>
    <x:row r="138" ht="24" hidden="0" customHeight="1">
      <x:c r="A138" s="332" t="str">
        <x:f>IF($H138="","",ROWS($A$5:A138))</x:f>
        <x:v/>
      </x:c>
      <x:c r="B138" s="332" t="str">
        <x:f>IF($H138="","","G-"&amp;TEXT($A138,"0000"))</x:f>
        <x:v/>
      </x:c>
      <x:c r="C138" s="331" t="str">
        <x:f>IF($H138="","",IFERROR(INDEX('Game Records'!$A:$A,$H138),""))</x:f>
        <x:v/>
      </x:c>
      <x:c r="D138" s="331" t="str">
        <x:f>IF($H138="","",IFERROR(INDEX('Game Records'!$U:$U,$H138),""))</x:f>
        <x:v/>
      </x:c>
      <x:c r="E138" s="331" t="str">
        <x:f>IF($H138="","",IF($F138="","No Highlighted Fields","Highlighted Fields Present"))</x:f>
        <x:v/>
      </x:c>
      <x:c r="F138" s="331" t="str">
        <x:f>IF($H138="","",IF(INDEX('Game Records'!$B:$B,$H138)="","Start Date; ","")&amp;IF(INDEX('Game Records'!$C:$C,$H138)="","End Date; ","")&amp;IF(AND(INDEX('Game Records'!$U:$U,$H138)&lt;&gt;"Subscription",INDEX('Game Records'!$U:$U,$H138)&lt;&gt;"Free Game",INDEX('Game Records'!$U:$U,$H138)&lt;&gt;"Disqualified — Free Game",OR(INDEX('Game Records'!$D:$D,$H138)="",LOWER(INDEX('Game Records'!$D:$D,$H138)&amp;"")="n/a")),"Entry Mode; ","")&amp;IF(AND(INDEX('Game Records'!$U:$U,$H138)&lt;&gt;"Subscription",INDEX('Game Records'!$U:$U,$H138)&lt;&gt;"Free Game",INDEX('Game Records'!$U:$U,$H138)&lt;&gt;"Disqualified — Free Game",OR(INDEX('Game Records'!$E:$E,$H138)="",LOWER(INDEX('Game Records'!$E:$E,$H138)&amp;"")="n/a")),"Game Type; ","")&amp;IF(INDEX('Game Records'!$F:$F,$H138)="","Payment Type; ","")&amp;IF(AND(INDEX('Game Records'!$U:$U,$H138)&lt;&gt;"Subscription",INDEX('Game Records'!$U:$U,$H138)&lt;&gt;"Free Game",INDEX('Game Records'!$U:$U,$H138)&lt;&gt;"Disqualified — Free Game",INDEX('Game Records'!$G:$G,$H138)=""),"Gross Pot; ","")&amp;IF(AND(INDEX('Game Records'!$U:$U,$H138)&lt;&gt;"Free Game",INDEX('Game Records'!$U:$U,$H138)&lt;&gt;"Disqualified — Free Game",INDEX('Game Records'!$H:$H,$H138)=""),"Entry Fee; ","")&amp;IF(AND(INDEX('Game Records'!$U:$U,$H138)&lt;&gt;"Subscription",INDEX('Game Records'!$U:$U,$H138)&lt;&gt;"Free Game",INDEX('Game Records'!$U:$U,$H138)&lt;&gt;"Disqualified — Free Game",INDEX('Game Records'!$I:$I,$H138)=""),"Eligible Players; ","")&amp;IF(AND(INDEX('Game Records'!$U:$U,$H138)&lt;&gt;"Subscription",INDEX('Game Records'!$U:$U,$H138)&lt;&gt;"Free Game",INDEX('Game Records'!$U:$U,$H138)&lt;&gt;"Disqualified — Free Game",INDEX('Game Records'!$J:$J,$H138)=""),"Total Players; ","")&amp;IF(AND(LOWER(INDEX('Game Records'!$D:$D,$H138)&amp;"")="finalized",LOWER(INDEX('Game Records'!$L:$L,$H138)&amp;"")&lt;&gt;"yes",INDEX('Game Records'!$U:$U,$H138)&lt;&gt;"Subscription",INDEX('Game Records'!$U:$U,$H138)&lt;&gt;"Free Game",INDEX('Game Records'!$U:$U,$H138)&lt;&gt;"Disqualified — Free Game",INDEX('Game Records'!$K:$K,$H138)=""),"Final Earned; ","")&amp;IF(AND(LOWER(INDEX('Game Records'!$D:$D,$H138)&amp;"")="finalized",INDEX('Game Records'!$U:$U,$H138)&lt;&gt;"Subscription",INDEX('Game Records'!$U:$U,$H138)&lt;&gt;"Free Game",INDEX('Game Records'!$U:$U,$H138)&lt;&gt;"Disqualified — Free Game",OR(INDEX('Game Records'!$L:$L,$H138)="",LOWER(INDEX('Game Records'!$L:$L,$H138)&amp;"")="n/a")),"Disqualified Status; ",""))</x:f>
        <x:v/>
      </x:c>
      <x:c r="G138" s="331" t="str">
        <x:f>IF($H138="","",IFERROR(INDEX('Game Records'!$M:$M,$H138),""))</x:f>
        <x:v/>
      </x:c>
      <x:c r="H138" s="104" t="str">
        <x:f>IF($H137="","",IFERROR(MATCH(1,INDEX((ROW('Game Records'!$U$5:$U$504)&gt;$H137)*(('Game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8" s="104"/>
      <x:c r="J138" s="104"/>
    </x:row>
    <x:row r="139" ht="24" hidden="0" customHeight="1">
      <x:c r="A139" s="332" t="str">
        <x:f>IF($H139="","",ROWS($A$5:A139))</x:f>
        <x:v/>
      </x:c>
      <x:c r="B139" s="332" t="str">
        <x:f>IF($H139="","","G-"&amp;TEXT($A139,"0000"))</x:f>
        <x:v/>
      </x:c>
      <x:c r="C139" s="331" t="str">
        <x:f>IF($H139="","",IFERROR(INDEX('Game Records'!$A:$A,$H139),""))</x:f>
        <x:v/>
      </x:c>
      <x:c r="D139" s="331" t="str">
        <x:f>IF($H139="","",IFERROR(INDEX('Game Records'!$U:$U,$H139),""))</x:f>
        <x:v/>
      </x:c>
      <x:c r="E139" s="331" t="str">
        <x:f>IF($H139="","",IF($F139="","No Highlighted Fields","Highlighted Fields Present"))</x:f>
        <x:v/>
      </x:c>
      <x:c r="F139" s="331" t="str">
        <x:f>IF($H139="","",IF(INDEX('Game Records'!$B:$B,$H139)="","Start Date; ","")&amp;IF(INDEX('Game Records'!$C:$C,$H139)="","End Date; ","")&amp;IF(AND(INDEX('Game Records'!$U:$U,$H139)&lt;&gt;"Subscription",INDEX('Game Records'!$U:$U,$H139)&lt;&gt;"Free Game",INDEX('Game Records'!$U:$U,$H139)&lt;&gt;"Disqualified — Free Game",OR(INDEX('Game Records'!$D:$D,$H139)="",LOWER(INDEX('Game Records'!$D:$D,$H139)&amp;"")="n/a")),"Entry Mode; ","")&amp;IF(AND(INDEX('Game Records'!$U:$U,$H139)&lt;&gt;"Subscription",INDEX('Game Records'!$U:$U,$H139)&lt;&gt;"Free Game",INDEX('Game Records'!$U:$U,$H139)&lt;&gt;"Disqualified — Free Game",OR(INDEX('Game Records'!$E:$E,$H139)="",LOWER(INDEX('Game Records'!$E:$E,$H139)&amp;"")="n/a")),"Game Type; ","")&amp;IF(INDEX('Game Records'!$F:$F,$H139)="","Payment Type; ","")&amp;IF(AND(INDEX('Game Records'!$U:$U,$H139)&lt;&gt;"Subscription",INDEX('Game Records'!$U:$U,$H139)&lt;&gt;"Free Game",INDEX('Game Records'!$U:$U,$H139)&lt;&gt;"Disqualified — Free Game",INDEX('Game Records'!$G:$G,$H139)=""),"Gross Pot; ","")&amp;IF(AND(INDEX('Game Records'!$U:$U,$H139)&lt;&gt;"Free Game",INDEX('Game Records'!$U:$U,$H139)&lt;&gt;"Disqualified — Free Game",INDEX('Game Records'!$H:$H,$H139)=""),"Entry Fee; ","")&amp;IF(AND(INDEX('Game Records'!$U:$U,$H139)&lt;&gt;"Subscription",INDEX('Game Records'!$U:$U,$H139)&lt;&gt;"Free Game",INDEX('Game Records'!$U:$U,$H139)&lt;&gt;"Disqualified — Free Game",INDEX('Game Records'!$I:$I,$H139)=""),"Eligible Players; ","")&amp;IF(AND(INDEX('Game Records'!$U:$U,$H139)&lt;&gt;"Subscription",INDEX('Game Records'!$U:$U,$H139)&lt;&gt;"Free Game",INDEX('Game Records'!$U:$U,$H139)&lt;&gt;"Disqualified — Free Game",INDEX('Game Records'!$J:$J,$H139)=""),"Total Players; ","")&amp;IF(AND(LOWER(INDEX('Game Records'!$D:$D,$H139)&amp;"")="finalized",LOWER(INDEX('Game Records'!$L:$L,$H139)&amp;"")&lt;&gt;"yes",INDEX('Game Records'!$U:$U,$H139)&lt;&gt;"Subscription",INDEX('Game Records'!$U:$U,$H139)&lt;&gt;"Free Game",INDEX('Game Records'!$U:$U,$H139)&lt;&gt;"Disqualified — Free Game",INDEX('Game Records'!$K:$K,$H139)=""),"Final Earned; ","")&amp;IF(AND(LOWER(INDEX('Game Records'!$D:$D,$H139)&amp;"")="finalized",INDEX('Game Records'!$U:$U,$H139)&lt;&gt;"Subscription",INDEX('Game Records'!$U:$U,$H139)&lt;&gt;"Free Game",INDEX('Game Records'!$U:$U,$H139)&lt;&gt;"Disqualified — Free Game",OR(INDEX('Game Records'!$L:$L,$H139)="",LOWER(INDEX('Game Records'!$L:$L,$H139)&amp;"")="n/a")),"Disqualified Status; ",""))</x:f>
        <x:v/>
      </x:c>
      <x:c r="G139" s="331" t="str">
        <x:f>IF($H139="","",IFERROR(INDEX('Game Records'!$M:$M,$H139),""))</x:f>
        <x:v/>
      </x:c>
      <x:c r="H139" s="104" t="str">
        <x:f>IF($H138="","",IFERROR(MATCH(1,INDEX((ROW('Game Records'!$U$5:$U$504)&gt;$H138)*(('Game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39" s="104"/>
      <x:c r="J139" s="104"/>
    </x:row>
    <x:row r="140" ht="24" hidden="0" customHeight="1">
      <x:c r="A140" s="332" t="str">
        <x:f>IF($H140="","",ROWS($A$5:A140))</x:f>
        <x:v/>
      </x:c>
      <x:c r="B140" s="332" t="str">
        <x:f>IF($H140="","","G-"&amp;TEXT($A140,"0000"))</x:f>
        <x:v/>
      </x:c>
      <x:c r="C140" s="331" t="str">
        <x:f>IF($H140="","",IFERROR(INDEX('Game Records'!$A:$A,$H140),""))</x:f>
        <x:v/>
      </x:c>
      <x:c r="D140" s="331" t="str">
        <x:f>IF($H140="","",IFERROR(INDEX('Game Records'!$U:$U,$H140),""))</x:f>
        <x:v/>
      </x:c>
      <x:c r="E140" s="331" t="str">
        <x:f>IF($H140="","",IF($F140="","No Highlighted Fields","Highlighted Fields Present"))</x:f>
        <x:v/>
      </x:c>
      <x:c r="F140" s="331" t="str">
        <x:f>IF($H140="","",IF(INDEX('Game Records'!$B:$B,$H140)="","Start Date; ","")&amp;IF(INDEX('Game Records'!$C:$C,$H140)="","End Date; ","")&amp;IF(AND(INDEX('Game Records'!$U:$U,$H140)&lt;&gt;"Subscription",INDEX('Game Records'!$U:$U,$H140)&lt;&gt;"Free Game",INDEX('Game Records'!$U:$U,$H140)&lt;&gt;"Disqualified — Free Game",OR(INDEX('Game Records'!$D:$D,$H140)="",LOWER(INDEX('Game Records'!$D:$D,$H140)&amp;"")="n/a")),"Entry Mode; ","")&amp;IF(AND(INDEX('Game Records'!$U:$U,$H140)&lt;&gt;"Subscription",INDEX('Game Records'!$U:$U,$H140)&lt;&gt;"Free Game",INDEX('Game Records'!$U:$U,$H140)&lt;&gt;"Disqualified — Free Game",OR(INDEX('Game Records'!$E:$E,$H140)="",LOWER(INDEX('Game Records'!$E:$E,$H140)&amp;"")="n/a")),"Game Type; ","")&amp;IF(INDEX('Game Records'!$F:$F,$H140)="","Payment Type; ","")&amp;IF(AND(INDEX('Game Records'!$U:$U,$H140)&lt;&gt;"Subscription",INDEX('Game Records'!$U:$U,$H140)&lt;&gt;"Free Game",INDEX('Game Records'!$U:$U,$H140)&lt;&gt;"Disqualified — Free Game",INDEX('Game Records'!$G:$G,$H140)=""),"Gross Pot; ","")&amp;IF(AND(INDEX('Game Records'!$U:$U,$H140)&lt;&gt;"Free Game",INDEX('Game Records'!$U:$U,$H140)&lt;&gt;"Disqualified — Free Game",INDEX('Game Records'!$H:$H,$H140)=""),"Entry Fee; ","")&amp;IF(AND(INDEX('Game Records'!$U:$U,$H140)&lt;&gt;"Subscription",INDEX('Game Records'!$U:$U,$H140)&lt;&gt;"Free Game",INDEX('Game Records'!$U:$U,$H140)&lt;&gt;"Disqualified — Free Game",INDEX('Game Records'!$I:$I,$H140)=""),"Eligible Players; ","")&amp;IF(AND(INDEX('Game Records'!$U:$U,$H140)&lt;&gt;"Subscription",INDEX('Game Records'!$U:$U,$H140)&lt;&gt;"Free Game",INDEX('Game Records'!$U:$U,$H140)&lt;&gt;"Disqualified — Free Game",INDEX('Game Records'!$J:$J,$H140)=""),"Total Players; ","")&amp;IF(AND(LOWER(INDEX('Game Records'!$D:$D,$H140)&amp;"")="finalized",LOWER(INDEX('Game Records'!$L:$L,$H140)&amp;"")&lt;&gt;"yes",INDEX('Game Records'!$U:$U,$H140)&lt;&gt;"Subscription",INDEX('Game Records'!$U:$U,$H140)&lt;&gt;"Free Game",INDEX('Game Records'!$U:$U,$H140)&lt;&gt;"Disqualified — Free Game",INDEX('Game Records'!$K:$K,$H140)=""),"Final Earned; ","")&amp;IF(AND(LOWER(INDEX('Game Records'!$D:$D,$H140)&amp;"")="finalized",INDEX('Game Records'!$U:$U,$H140)&lt;&gt;"Subscription",INDEX('Game Records'!$U:$U,$H140)&lt;&gt;"Free Game",INDEX('Game Records'!$U:$U,$H140)&lt;&gt;"Disqualified — Free Game",OR(INDEX('Game Records'!$L:$L,$H140)="",LOWER(INDEX('Game Records'!$L:$L,$H140)&amp;"")="n/a")),"Disqualified Status; ",""))</x:f>
        <x:v/>
      </x:c>
      <x:c r="G140" s="331" t="str">
        <x:f>IF($H140="","",IFERROR(INDEX('Game Records'!$M:$M,$H140),""))</x:f>
        <x:v/>
      </x:c>
      <x:c r="H140" s="104" t="str">
        <x:f>IF($H139="","",IFERROR(MATCH(1,INDEX((ROW('Game Records'!$U$5:$U$504)&gt;$H139)*(('Game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0" s="104"/>
      <x:c r="J140" s="104"/>
    </x:row>
    <x:row r="141" ht="24" hidden="0" customHeight="1">
      <x:c r="A141" s="332" t="str">
        <x:f>IF($H141="","",ROWS($A$5:A141))</x:f>
        <x:v/>
      </x:c>
      <x:c r="B141" s="332" t="str">
        <x:f>IF($H141="","","G-"&amp;TEXT($A141,"0000"))</x:f>
        <x:v/>
      </x:c>
      <x:c r="C141" s="331" t="str">
        <x:f>IF($H141="","",IFERROR(INDEX('Game Records'!$A:$A,$H141),""))</x:f>
        <x:v/>
      </x:c>
      <x:c r="D141" s="331" t="str">
        <x:f>IF($H141="","",IFERROR(INDEX('Game Records'!$U:$U,$H141),""))</x:f>
        <x:v/>
      </x:c>
      <x:c r="E141" s="331" t="str">
        <x:f>IF($H141="","",IF($F141="","No Highlighted Fields","Highlighted Fields Present"))</x:f>
        <x:v/>
      </x:c>
      <x:c r="F141" s="331" t="str">
        <x:f>IF($H141="","",IF(INDEX('Game Records'!$B:$B,$H141)="","Start Date; ","")&amp;IF(INDEX('Game Records'!$C:$C,$H141)="","End Date; ","")&amp;IF(AND(INDEX('Game Records'!$U:$U,$H141)&lt;&gt;"Subscription",INDEX('Game Records'!$U:$U,$H141)&lt;&gt;"Free Game",INDEX('Game Records'!$U:$U,$H141)&lt;&gt;"Disqualified — Free Game",OR(INDEX('Game Records'!$D:$D,$H141)="",LOWER(INDEX('Game Records'!$D:$D,$H141)&amp;"")="n/a")),"Entry Mode; ","")&amp;IF(AND(INDEX('Game Records'!$U:$U,$H141)&lt;&gt;"Subscription",INDEX('Game Records'!$U:$U,$H141)&lt;&gt;"Free Game",INDEX('Game Records'!$U:$U,$H141)&lt;&gt;"Disqualified — Free Game",OR(INDEX('Game Records'!$E:$E,$H141)="",LOWER(INDEX('Game Records'!$E:$E,$H141)&amp;"")="n/a")),"Game Type; ","")&amp;IF(INDEX('Game Records'!$F:$F,$H141)="","Payment Type; ","")&amp;IF(AND(INDEX('Game Records'!$U:$U,$H141)&lt;&gt;"Subscription",INDEX('Game Records'!$U:$U,$H141)&lt;&gt;"Free Game",INDEX('Game Records'!$U:$U,$H141)&lt;&gt;"Disqualified — Free Game",INDEX('Game Records'!$G:$G,$H141)=""),"Gross Pot; ","")&amp;IF(AND(INDEX('Game Records'!$U:$U,$H141)&lt;&gt;"Free Game",INDEX('Game Records'!$U:$U,$H141)&lt;&gt;"Disqualified — Free Game",INDEX('Game Records'!$H:$H,$H141)=""),"Entry Fee; ","")&amp;IF(AND(INDEX('Game Records'!$U:$U,$H141)&lt;&gt;"Subscription",INDEX('Game Records'!$U:$U,$H141)&lt;&gt;"Free Game",INDEX('Game Records'!$U:$U,$H141)&lt;&gt;"Disqualified — Free Game",INDEX('Game Records'!$I:$I,$H141)=""),"Eligible Players; ","")&amp;IF(AND(INDEX('Game Records'!$U:$U,$H141)&lt;&gt;"Subscription",INDEX('Game Records'!$U:$U,$H141)&lt;&gt;"Free Game",INDEX('Game Records'!$U:$U,$H141)&lt;&gt;"Disqualified — Free Game",INDEX('Game Records'!$J:$J,$H141)=""),"Total Players; ","")&amp;IF(AND(LOWER(INDEX('Game Records'!$D:$D,$H141)&amp;"")="finalized",LOWER(INDEX('Game Records'!$L:$L,$H141)&amp;"")&lt;&gt;"yes",INDEX('Game Records'!$U:$U,$H141)&lt;&gt;"Subscription",INDEX('Game Records'!$U:$U,$H141)&lt;&gt;"Free Game",INDEX('Game Records'!$U:$U,$H141)&lt;&gt;"Disqualified — Free Game",INDEX('Game Records'!$K:$K,$H141)=""),"Final Earned; ","")&amp;IF(AND(LOWER(INDEX('Game Records'!$D:$D,$H141)&amp;"")="finalized",INDEX('Game Records'!$U:$U,$H141)&lt;&gt;"Subscription",INDEX('Game Records'!$U:$U,$H141)&lt;&gt;"Free Game",INDEX('Game Records'!$U:$U,$H141)&lt;&gt;"Disqualified — Free Game",OR(INDEX('Game Records'!$L:$L,$H141)="",LOWER(INDEX('Game Records'!$L:$L,$H141)&amp;"")="n/a")),"Disqualified Status; ",""))</x:f>
        <x:v/>
      </x:c>
      <x:c r="G141" s="331" t="str">
        <x:f>IF($H141="","",IFERROR(INDEX('Game Records'!$M:$M,$H141),""))</x:f>
        <x:v/>
      </x:c>
      <x:c r="H141" s="104" t="str">
        <x:f>IF($H140="","",IFERROR(MATCH(1,INDEX((ROW('Game Records'!$U$5:$U$504)&gt;$H140)*(('Game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1" s="104"/>
      <x:c r="J141" s="104"/>
    </x:row>
    <x:row r="142" ht="24" hidden="0" customHeight="1">
      <x:c r="A142" s="332" t="str">
        <x:f>IF($H142="","",ROWS($A$5:A142))</x:f>
        <x:v/>
      </x:c>
      <x:c r="B142" s="332" t="str">
        <x:f>IF($H142="","","G-"&amp;TEXT($A142,"0000"))</x:f>
        <x:v/>
      </x:c>
      <x:c r="C142" s="331" t="str">
        <x:f>IF($H142="","",IFERROR(INDEX('Game Records'!$A:$A,$H142),""))</x:f>
        <x:v/>
      </x:c>
      <x:c r="D142" s="331" t="str">
        <x:f>IF($H142="","",IFERROR(INDEX('Game Records'!$U:$U,$H142),""))</x:f>
        <x:v/>
      </x:c>
      <x:c r="E142" s="331" t="str">
        <x:f>IF($H142="","",IF($F142="","No Highlighted Fields","Highlighted Fields Present"))</x:f>
        <x:v/>
      </x:c>
      <x:c r="F142" s="331" t="str">
        <x:f>IF($H142="","",IF(INDEX('Game Records'!$B:$B,$H142)="","Start Date; ","")&amp;IF(INDEX('Game Records'!$C:$C,$H142)="","End Date; ","")&amp;IF(AND(INDEX('Game Records'!$U:$U,$H142)&lt;&gt;"Subscription",INDEX('Game Records'!$U:$U,$H142)&lt;&gt;"Free Game",INDEX('Game Records'!$U:$U,$H142)&lt;&gt;"Disqualified — Free Game",OR(INDEX('Game Records'!$D:$D,$H142)="",LOWER(INDEX('Game Records'!$D:$D,$H142)&amp;"")="n/a")),"Entry Mode; ","")&amp;IF(AND(INDEX('Game Records'!$U:$U,$H142)&lt;&gt;"Subscription",INDEX('Game Records'!$U:$U,$H142)&lt;&gt;"Free Game",INDEX('Game Records'!$U:$U,$H142)&lt;&gt;"Disqualified — Free Game",OR(INDEX('Game Records'!$E:$E,$H142)="",LOWER(INDEX('Game Records'!$E:$E,$H142)&amp;"")="n/a")),"Game Type; ","")&amp;IF(INDEX('Game Records'!$F:$F,$H142)="","Payment Type; ","")&amp;IF(AND(INDEX('Game Records'!$U:$U,$H142)&lt;&gt;"Subscription",INDEX('Game Records'!$U:$U,$H142)&lt;&gt;"Free Game",INDEX('Game Records'!$U:$U,$H142)&lt;&gt;"Disqualified — Free Game",INDEX('Game Records'!$G:$G,$H142)=""),"Gross Pot; ","")&amp;IF(AND(INDEX('Game Records'!$U:$U,$H142)&lt;&gt;"Free Game",INDEX('Game Records'!$U:$U,$H142)&lt;&gt;"Disqualified — Free Game",INDEX('Game Records'!$H:$H,$H142)=""),"Entry Fee; ","")&amp;IF(AND(INDEX('Game Records'!$U:$U,$H142)&lt;&gt;"Subscription",INDEX('Game Records'!$U:$U,$H142)&lt;&gt;"Free Game",INDEX('Game Records'!$U:$U,$H142)&lt;&gt;"Disqualified — Free Game",INDEX('Game Records'!$I:$I,$H142)=""),"Eligible Players; ","")&amp;IF(AND(INDEX('Game Records'!$U:$U,$H142)&lt;&gt;"Subscription",INDEX('Game Records'!$U:$U,$H142)&lt;&gt;"Free Game",INDEX('Game Records'!$U:$U,$H142)&lt;&gt;"Disqualified — Free Game",INDEX('Game Records'!$J:$J,$H142)=""),"Total Players; ","")&amp;IF(AND(LOWER(INDEX('Game Records'!$D:$D,$H142)&amp;"")="finalized",LOWER(INDEX('Game Records'!$L:$L,$H142)&amp;"")&lt;&gt;"yes",INDEX('Game Records'!$U:$U,$H142)&lt;&gt;"Subscription",INDEX('Game Records'!$U:$U,$H142)&lt;&gt;"Free Game",INDEX('Game Records'!$U:$U,$H142)&lt;&gt;"Disqualified — Free Game",INDEX('Game Records'!$K:$K,$H142)=""),"Final Earned; ","")&amp;IF(AND(LOWER(INDEX('Game Records'!$D:$D,$H142)&amp;"")="finalized",INDEX('Game Records'!$U:$U,$H142)&lt;&gt;"Subscription",INDEX('Game Records'!$U:$U,$H142)&lt;&gt;"Free Game",INDEX('Game Records'!$U:$U,$H142)&lt;&gt;"Disqualified — Free Game",OR(INDEX('Game Records'!$L:$L,$H142)="",LOWER(INDEX('Game Records'!$L:$L,$H142)&amp;"")="n/a")),"Disqualified Status; ",""))</x:f>
        <x:v/>
      </x:c>
      <x:c r="G142" s="331" t="str">
        <x:f>IF($H142="","",IFERROR(INDEX('Game Records'!$M:$M,$H142),""))</x:f>
        <x:v/>
      </x:c>
      <x:c r="H142" s="104" t="str">
        <x:f>IF($H141="","",IFERROR(MATCH(1,INDEX((ROW('Game Records'!$U$5:$U$504)&gt;$H141)*(('Game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2" s="104"/>
      <x:c r="J142" s="104"/>
    </x:row>
    <x:row r="143" ht="24" hidden="0" customHeight="1">
      <x:c r="A143" s="332" t="str">
        <x:f>IF($H143="","",ROWS($A$5:A143))</x:f>
        <x:v/>
      </x:c>
      <x:c r="B143" s="332" t="str">
        <x:f>IF($H143="","","G-"&amp;TEXT($A143,"0000"))</x:f>
        <x:v/>
      </x:c>
      <x:c r="C143" s="331" t="str">
        <x:f>IF($H143="","",IFERROR(INDEX('Game Records'!$A:$A,$H143),""))</x:f>
        <x:v/>
      </x:c>
      <x:c r="D143" s="331" t="str">
        <x:f>IF($H143="","",IFERROR(INDEX('Game Records'!$U:$U,$H143),""))</x:f>
        <x:v/>
      </x:c>
      <x:c r="E143" s="331" t="str">
        <x:f>IF($H143="","",IF($F143="","No Highlighted Fields","Highlighted Fields Present"))</x:f>
        <x:v/>
      </x:c>
      <x:c r="F143" s="331" t="str">
        <x:f>IF($H143="","",IF(INDEX('Game Records'!$B:$B,$H143)="","Start Date; ","")&amp;IF(INDEX('Game Records'!$C:$C,$H143)="","End Date; ","")&amp;IF(AND(INDEX('Game Records'!$U:$U,$H143)&lt;&gt;"Subscription",INDEX('Game Records'!$U:$U,$H143)&lt;&gt;"Free Game",INDEX('Game Records'!$U:$U,$H143)&lt;&gt;"Disqualified — Free Game",OR(INDEX('Game Records'!$D:$D,$H143)="",LOWER(INDEX('Game Records'!$D:$D,$H143)&amp;"")="n/a")),"Entry Mode; ","")&amp;IF(AND(INDEX('Game Records'!$U:$U,$H143)&lt;&gt;"Subscription",INDEX('Game Records'!$U:$U,$H143)&lt;&gt;"Free Game",INDEX('Game Records'!$U:$U,$H143)&lt;&gt;"Disqualified — Free Game",OR(INDEX('Game Records'!$E:$E,$H143)="",LOWER(INDEX('Game Records'!$E:$E,$H143)&amp;"")="n/a")),"Game Type; ","")&amp;IF(INDEX('Game Records'!$F:$F,$H143)="","Payment Type; ","")&amp;IF(AND(INDEX('Game Records'!$U:$U,$H143)&lt;&gt;"Subscription",INDEX('Game Records'!$U:$U,$H143)&lt;&gt;"Free Game",INDEX('Game Records'!$U:$U,$H143)&lt;&gt;"Disqualified — Free Game",INDEX('Game Records'!$G:$G,$H143)=""),"Gross Pot; ","")&amp;IF(AND(INDEX('Game Records'!$U:$U,$H143)&lt;&gt;"Free Game",INDEX('Game Records'!$U:$U,$H143)&lt;&gt;"Disqualified — Free Game",INDEX('Game Records'!$H:$H,$H143)=""),"Entry Fee; ","")&amp;IF(AND(INDEX('Game Records'!$U:$U,$H143)&lt;&gt;"Subscription",INDEX('Game Records'!$U:$U,$H143)&lt;&gt;"Free Game",INDEX('Game Records'!$U:$U,$H143)&lt;&gt;"Disqualified — Free Game",INDEX('Game Records'!$I:$I,$H143)=""),"Eligible Players; ","")&amp;IF(AND(INDEX('Game Records'!$U:$U,$H143)&lt;&gt;"Subscription",INDEX('Game Records'!$U:$U,$H143)&lt;&gt;"Free Game",INDEX('Game Records'!$U:$U,$H143)&lt;&gt;"Disqualified — Free Game",INDEX('Game Records'!$J:$J,$H143)=""),"Total Players; ","")&amp;IF(AND(LOWER(INDEX('Game Records'!$D:$D,$H143)&amp;"")="finalized",LOWER(INDEX('Game Records'!$L:$L,$H143)&amp;"")&lt;&gt;"yes",INDEX('Game Records'!$U:$U,$H143)&lt;&gt;"Subscription",INDEX('Game Records'!$U:$U,$H143)&lt;&gt;"Free Game",INDEX('Game Records'!$U:$U,$H143)&lt;&gt;"Disqualified — Free Game",INDEX('Game Records'!$K:$K,$H143)=""),"Final Earned; ","")&amp;IF(AND(LOWER(INDEX('Game Records'!$D:$D,$H143)&amp;"")="finalized",INDEX('Game Records'!$U:$U,$H143)&lt;&gt;"Subscription",INDEX('Game Records'!$U:$U,$H143)&lt;&gt;"Free Game",INDEX('Game Records'!$U:$U,$H143)&lt;&gt;"Disqualified — Free Game",OR(INDEX('Game Records'!$L:$L,$H143)="",LOWER(INDEX('Game Records'!$L:$L,$H143)&amp;"")="n/a")),"Disqualified Status; ",""))</x:f>
        <x:v/>
      </x:c>
      <x:c r="G143" s="331" t="str">
        <x:f>IF($H143="","",IFERROR(INDEX('Game Records'!$M:$M,$H143),""))</x:f>
        <x:v/>
      </x:c>
      <x:c r="H143" s="104" t="str">
        <x:f>IF($H142="","",IFERROR(MATCH(1,INDEX((ROW('Game Records'!$U$5:$U$504)&gt;$H142)*(('Game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3" s="104"/>
      <x:c r="J143" s="104"/>
    </x:row>
    <x:row r="144" ht="24" hidden="0" customHeight="1">
      <x:c r="A144" s="332" t="str">
        <x:f>IF($H144="","",ROWS($A$5:A144))</x:f>
        <x:v/>
      </x:c>
      <x:c r="B144" s="332" t="str">
        <x:f>IF($H144="","","G-"&amp;TEXT($A144,"0000"))</x:f>
        <x:v/>
      </x:c>
      <x:c r="C144" s="331" t="str">
        <x:f>IF($H144="","",IFERROR(INDEX('Game Records'!$A:$A,$H144),""))</x:f>
        <x:v/>
      </x:c>
      <x:c r="D144" s="331" t="str">
        <x:f>IF($H144="","",IFERROR(INDEX('Game Records'!$U:$U,$H144),""))</x:f>
        <x:v/>
      </x:c>
      <x:c r="E144" s="331" t="str">
        <x:f>IF($H144="","",IF($F144="","No Highlighted Fields","Highlighted Fields Present"))</x:f>
        <x:v/>
      </x:c>
      <x:c r="F144" s="331" t="str">
        <x:f>IF($H144="","",IF(INDEX('Game Records'!$B:$B,$H144)="","Start Date; ","")&amp;IF(INDEX('Game Records'!$C:$C,$H144)="","End Date; ","")&amp;IF(AND(INDEX('Game Records'!$U:$U,$H144)&lt;&gt;"Subscription",INDEX('Game Records'!$U:$U,$H144)&lt;&gt;"Free Game",INDEX('Game Records'!$U:$U,$H144)&lt;&gt;"Disqualified — Free Game",OR(INDEX('Game Records'!$D:$D,$H144)="",LOWER(INDEX('Game Records'!$D:$D,$H144)&amp;"")="n/a")),"Entry Mode; ","")&amp;IF(AND(INDEX('Game Records'!$U:$U,$H144)&lt;&gt;"Subscription",INDEX('Game Records'!$U:$U,$H144)&lt;&gt;"Free Game",INDEX('Game Records'!$U:$U,$H144)&lt;&gt;"Disqualified — Free Game",OR(INDEX('Game Records'!$E:$E,$H144)="",LOWER(INDEX('Game Records'!$E:$E,$H144)&amp;"")="n/a")),"Game Type; ","")&amp;IF(INDEX('Game Records'!$F:$F,$H144)="","Payment Type; ","")&amp;IF(AND(INDEX('Game Records'!$U:$U,$H144)&lt;&gt;"Subscription",INDEX('Game Records'!$U:$U,$H144)&lt;&gt;"Free Game",INDEX('Game Records'!$U:$U,$H144)&lt;&gt;"Disqualified — Free Game",INDEX('Game Records'!$G:$G,$H144)=""),"Gross Pot; ","")&amp;IF(AND(INDEX('Game Records'!$U:$U,$H144)&lt;&gt;"Free Game",INDEX('Game Records'!$U:$U,$H144)&lt;&gt;"Disqualified — Free Game",INDEX('Game Records'!$H:$H,$H144)=""),"Entry Fee; ","")&amp;IF(AND(INDEX('Game Records'!$U:$U,$H144)&lt;&gt;"Subscription",INDEX('Game Records'!$U:$U,$H144)&lt;&gt;"Free Game",INDEX('Game Records'!$U:$U,$H144)&lt;&gt;"Disqualified — Free Game",INDEX('Game Records'!$I:$I,$H144)=""),"Eligible Players; ","")&amp;IF(AND(INDEX('Game Records'!$U:$U,$H144)&lt;&gt;"Subscription",INDEX('Game Records'!$U:$U,$H144)&lt;&gt;"Free Game",INDEX('Game Records'!$U:$U,$H144)&lt;&gt;"Disqualified — Free Game",INDEX('Game Records'!$J:$J,$H144)=""),"Total Players; ","")&amp;IF(AND(LOWER(INDEX('Game Records'!$D:$D,$H144)&amp;"")="finalized",LOWER(INDEX('Game Records'!$L:$L,$H144)&amp;"")&lt;&gt;"yes",INDEX('Game Records'!$U:$U,$H144)&lt;&gt;"Subscription",INDEX('Game Records'!$U:$U,$H144)&lt;&gt;"Free Game",INDEX('Game Records'!$U:$U,$H144)&lt;&gt;"Disqualified — Free Game",INDEX('Game Records'!$K:$K,$H144)=""),"Final Earned; ","")&amp;IF(AND(LOWER(INDEX('Game Records'!$D:$D,$H144)&amp;"")="finalized",INDEX('Game Records'!$U:$U,$H144)&lt;&gt;"Subscription",INDEX('Game Records'!$U:$U,$H144)&lt;&gt;"Free Game",INDEX('Game Records'!$U:$U,$H144)&lt;&gt;"Disqualified — Free Game",OR(INDEX('Game Records'!$L:$L,$H144)="",LOWER(INDEX('Game Records'!$L:$L,$H144)&amp;"")="n/a")),"Disqualified Status; ",""))</x:f>
        <x:v/>
      </x:c>
      <x:c r="G144" s="331" t="str">
        <x:f>IF($H144="","",IFERROR(INDEX('Game Records'!$M:$M,$H144),""))</x:f>
        <x:v/>
      </x:c>
      <x:c r="H144" s="104" t="str">
        <x:f>IF($H143="","",IFERROR(MATCH(1,INDEX((ROW('Game Records'!$U$5:$U$504)&gt;$H143)*(('Game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4" s="104"/>
      <x:c r="J144" s="104"/>
    </x:row>
    <x:row r="145" ht="24" hidden="0" customHeight="1">
      <x:c r="A145" s="332" t="str">
        <x:f>IF($H145="","",ROWS($A$5:A145))</x:f>
        <x:v/>
      </x:c>
      <x:c r="B145" s="332" t="str">
        <x:f>IF($H145="","","G-"&amp;TEXT($A145,"0000"))</x:f>
        <x:v/>
      </x:c>
      <x:c r="C145" s="331" t="str">
        <x:f>IF($H145="","",IFERROR(INDEX('Game Records'!$A:$A,$H145),""))</x:f>
        <x:v/>
      </x:c>
      <x:c r="D145" s="331" t="str">
        <x:f>IF($H145="","",IFERROR(INDEX('Game Records'!$U:$U,$H145),""))</x:f>
        <x:v/>
      </x:c>
      <x:c r="E145" s="331" t="str">
        <x:f>IF($H145="","",IF($F145="","No Highlighted Fields","Highlighted Fields Present"))</x:f>
        <x:v/>
      </x:c>
      <x:c r="F145" s="331" t="str">
        <x:f>IF($H145="","",IF(INDEX('Game Records'!$B:$B,$H145)="","Start Date; ","")&amp;IF(INDEX('Game Records'!$C:$C,$H145)="","End Date; ","")&amp;IF(AND(INDEX('Game Records'!$U:$U,$H145)&lt;&gt;"Subscription",INDEX('Game Records'!$U:$U,$H145)&lt;&gt;"Free Game",INDEX('Game Records'!$U:$U,$H145)&lt;&gt;"Disqualified — Free Game",OR(INDEX('Game Records'!$D:$D,$H145)="",LOWER(INDEX('Game Records'!$D:$D,$H145)&amp;"")="n/a")),"Entry Mode; ","")&amp;IF(AND(INDEX('Game Records'!$U:$U,$H145)&lt;&gt;"Subscription",INDEX('Game Records'!$U:$U,$H145)&lt;&gt;"Free Game",INDEX('Game Records'!$U:$U,$H145)&lt;&gt;"Disqualified — Free Game",OR(INDEX('Game Records'!$E:$E,$H145)="",LOWER(INDEX('Game Records'!$E:$E,$H145)&amp;"")="n/a")),"Game Type; ","")&amp;IF(INDEX('Game Records'!$F:$F,$H145)="","Payment Type; ","")&amp;IF(AND(INDEX('Game Records'!$U:$U,$H145)&lt;&gt;"Subscription",INDEX('Game Records'!$U:$U,$H145)&lt;&gt;"Free Game",INDEX('Game Records'!$U:$U,$H145)&lt;&gt;"Disqualified — Free Game",INDEX('Game Records'!$G:$G,$H145)=""),"Gross Pot; ","")&amp;IF(AND(INDEX('Game Records'!$U:$U,$H145)&lt;&gt;"Free Game",INDEX('Game Records'!$U:$U,$H145)&lt;&gt;"Disqualified — Free Game",INDEX('Game Records'!$H:$H,$H145)=""),"Entry Fee; ","")&amp;IF(AND(INDEX('Game Records'!$U:$U,$H145)&lt;&gt;"Subscription",INDEX('Game Records'!$U:$U,$H145)&lt;&gt;"Free Game",INDEX('Game Records'!$U:$U,$H145)&lt;&gt;"Disqualified — Free Game",INDEX('Game Records'!$I:$I,$H145)=""),"Eligible Players; ","")&amp;IF(AND(INDEX('Game Records'!$U:$U,$H145)&lt;&gt;"Subscription",INDEX('Game Records'!$U:$U,$H145)&lt;&gt;"Free Game",INDEX('Game Records'!$U:$U,$H145)&lt;&gt;"Disqualified — Free Game",INDEX('Game Records'!$J:$J,$H145)=""),"Total Players; ","")&amp;IF(AND(LOWER(INDEX('Game Records'!$D:$D,$H145)&amp;"")="finalized",LOWER(INDEX('Game Records'!$L:$L,$H145)&amp;"")&lt;&gt;"yes",INDEX('Game Records'!$U:$U,$H145)&lt;&gt;"Subscription",INDEX('Game Records'!$U:$U,$H145)&lt;&gt;"Free Game",INDEX('Game Records'!$U:$U,$H145)&lt;&gt;"Disqualified — Free Game",INDEX('Game Records'!$K:$K,$H145)=""),"Final Earned; ","")&amp;IF(AND(LOWER(INDEX('Game Records'!$D:$D,$H145)&amp;"")="finalized",INDEX('Game Records'!$U:$U,$H145)&lt;&gt;"Subscription",INDEX('Game Records'!$U:$U,$H145)&lt;&gt;"Free Game",INDEX('Game Records'!$U:$U,$H145)&lt;&gt;"Disqualified — Free Game",OR(INDEX('Game Records'!$L:$L,$H145)="",LOWER(INDEX('Game Records'!$L:$L,$H145)&amp;"")="n/a")),"Disqualified Status; ",""))</x:f>
        <x:v/>
      </x:c>
      <x:c r="G145" s="331" t="str">
        <x:f>IF($H145="","",IFERROR(INDEX('Game Records'!$M:$M,$H145),""))</x:f>
        <x:v/>
      </x:c>
      <x:c r="H145" s="104" t="str">
        <x:f>IF($H144="","",IFERROR(MATCH(1,INDEX((ROW('Game Records'!$U$5:$U$504)&gt;$H144)*(('Game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5" s="104"/>
      <x:c r="J145" s="104"/>
    </x:row>
    <x:row r="146" ht="24" hidden="0" customHeight="1">
      <x:c r="A146" s="332" t="str">
        <x:f>IF($H146="","",ROWS($A$5:A146))</x:f>
        <x:v/>
      </x:c>
      <x:c r="B146" s="332" t="str">
        <x:f>IF($H146="","","G-"&amp;TEXT($A146,"0000"))</x:f>
        <x:v/>
      </x:c>
      <x:c r="C146" s="331" t="str">
        <x:f>IF($H146="","",IFERROR(INDEX('Game Records'!$A:$A,$H146),""))</x:f>
        <x:v/>
      </x:c>
      <x:c r="D146" s="331" t="str">
        <x:f>IF($H146="","",IFERROR(INDEX('Game Records'!$U:$U,$H146),""))</x:f>
        <x:v/>
      </x:c>
      <x:c r="E146" s="331" t="str">
        <x:f>IF($H146="","",IF($F146="","No Highlighted Fields","Highlighted Fields Present"))</x:f>
        <x:v/>
      </x:c>
      <x:c r="F146" s="331" t="str">
        <x:f>IF($H146="","",IF(INDEX('Game Records'!$B:$B,$H146)="","Start Date; ","")&amp;IF(INDEX('Game Records'!$C:$C,$H146)="","End Date; ","")&amp;IF(AND(INDEX('Game Records'!$U:$U,$H146)&lt;&gt;"Subscription",INDEX('Game Records'!$U:$U,$H146)&lt;&gt;"Free Game",INDEX('Game Records'!$U:$U,$H146)&lt;&gt;"Disqualified — Free Game",OR(INDEX('Game Records'!$D:$D,$H146)="",LOWER(INDEX('Game Records'!$D:$D,$H146)&amp;"")="n/a")),"Entry Mode; ","")&amp;IF(AND(INDEX('Game Records'!$U:$U,$H146)&lt;&gt;"Subscription",INDEX('Game Records'!$U:$U,$H146)&lt;&gt;"Free Game",INDEX('Game Records'!$U:$U,$H146)&lt;&gt;"Disqualified — Free Game",OR(INDEX('Game Records'!$E:$E,$H146)="",LOWER(INDEX('Game Records'!$E:$E,$H146)&amp;"")="n/a")),"Game Type; ","")&amp;IF(INDEX('Game Records'!$F:$F,$H146)="","Payment Type; ","")&amp;IF(AND(INDEX('Game Records'!$U:$U,$H146)&lt;&gt;"Subscription",INDEX('Game Records'!$U:$U,$H146)&lt;&gt;"Free Game",INDEX('Game Records'!$U:$U,$H146)&lt;&gt;"Disqualified — Free Game",INDEX('Game Records'!$G:$G,$H146)=""),"Gross Pot; ","")&amp;IF(AND(INDEX('Game Records'!$U:$U,$H146)&lt;&gt;"Free Game",INDEX('Game Records'!$U:$U,$H146)&lt;&gt;"Disqualified — Free Game",INDEX('Game Records'!$H:$H,$H146)=""),"Entry Fee; ","")&amp;IF(AND(INDEX('Game Records'!$U:$U,$H146)&lt;&gt;"Subscription",INDEX('Game Records'!$U:$U,$H146)&lt;&gt;"Free Game",INDEX('Game Records'!$U:$U,$H146)&lt;&gt;"Disqualified — Free Game",INDEX('Game Records'!$I:$I,$H146)=""),"Eligible Players; ","")&amp;IF(AND(INDEX('Game Records'!$U:$U,$H146)&lt;&gt;"Subscription",INDEX('Game Records'!$U:$U,$H146)&lt;&gt;"Free Game",INDEX('Game Records'!$U:$U,$H146)&lt;&gt;"Disqualified — Free Game",INDEX('Game Records'!$J:$J,$H146)=""),"Total Players; ","")&amp;IF(AND(LOWER(INDEX('Game Records'!$D:$D,$H146)&amp;"")="finalized",LOWER(INDEX('Game Records'!$L:$L,$H146)&amp;"")&lt;&gt;"yes",INDEX('Game Records'!$U:$U,$H146)&lt;&gt;"Subscription",INDEX('Game Records'!$U:$U,$H146)&lt;&gt;"Free Game",INDEX('Game Records'!$U:$U,$H146)&lt;&gt;"Disqualified — Free Game",INDEX('Game Records'!$K:$K,$H146)=""),"Final Earned; ","")&amp;IF(AND(LOWER(INDEX('Game Records'!$D:$D,$H146)&amp;"")="finalized",INDEX('Game Records'!$U:$U,$H146)&lt;&gt;"Subscription",INDEX('Game Records'!$U:$U,$H146)&lt;&gt;"Free Game",INDEX('Game Records'!$U:$U,$H146)&lt;&gt;"Disqualified — Free Game",OR(INDEX('Game Records'!$L:$L,$H146)="",LOWER(INDEX('Game Records'!$L:$L,$H146)&amp;"")="n/a")),"Disqualified Status; ",""))</x:f>
        <x:v/>
      </x:c>
      <x:c r="G146" s="331" t="str">
        <x:f>IF($H146="","",IFERROR(INDEX('Game Records'!$M:$M,$H146),""))</x:f>
        <x:v/>
      </x:c>
      <x:c r="H146" s="104" t="str">
        <x:f>IF($H145="","",IFERROR(MATCH(1,INDEX((ROW('Game Records'!$U$5:$U$504)&gt;$H145)*(('Game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6" s="104"/>
      <x:c r="J146" s="104"/>
    </x:row>
    <x:row r="147" ht="24" hidden="0" customHeight="1">
      <x:c r="A147" s="332" t="str">
        <x:f>IF($H147="","",ROWS($A$5:A147))</x:f>
        <x:v/>
      </x:c>
      <x:c r="B147" s="332" t="str">
        <x:f>IF($H147="","","G-"&amp;TEXT($A147,"0000"))</x:f>
        <x:v/>
      </x:c>
      <x:c r="C147" s="331" t="str">
        <x:f>IF($H147="","",IFERROR(INDEX('Game Records'!$A:$A,$H147),""))</x:f>
        <x:v/>
      </x:c>
      <x:c r="D147" s="331" t="str">
        <x:f>IF($H147="","",IFERROR(INDEX('Game Records'!$U:$U,$H147),""))</x:f>
        <x:v/>
      </x:c>
      <x:c r="E147" s="331" t="str">
        <x:f>IF($H147="","",IF($F147="","No Highlighted Fields","Highlighted Fields Present"))</x:f>
        <x:v/>
      </x:c>
      <x:c r="F147" s="331" t="str">
        <x:f>IF($H147="","",IF(INDEX('Game Records'!$B:$B,$H147)="","Start Date; ","")&amp;IF(INDEX('Game Records'!$C:$C,$H147)="","End Date; ","")&amp;IF(AND(INDEX('Game Records'!$U:$U,$H147)&lt;&gt;"Subscription",INDEX('Game Records'!$U:$U,$H147)&lt;&gt;"Free Game",INDEX('Game Records'!$U:$U,$H147)&lt;&gt;"Disqualified — Free Game",OR(INDEX('Game Records'!$D:$D,$H147)="",LOWER(INDEX('Game Records'!$D:$D,$H147)&amp;"")="n/a")),"Entry Mode; ","")&amp;IF(AND(INDEX('Game Records'!$U:$U,$H147)&lt;&gt;"Subscription",INDEX('Game Records'!$U:$U,$H147)&lt;&gt;"Free Game",INDEX('Game Records'!$U:$U,$H147)&lt;&gt;"Disqualified — Free Game",OR(INDEX('Game Records'!$E:$E,$H147)="",LOWER(INDEX('Game Records'!$E:$E,$H147)&amp;"")="n/a")),"Game Type; ","")&amp;IF(INDEX('Game Records'!$F:$F,$H147)="","Payment Type; ","")&amp;IF(AND(INDEX('Game Records'!$U:$U,$H147)&lt;&gt;"Subscription",INDEX('Game Records'!$U:$U,$H147)&lt;&gt;"Free Game",INDEX('Game Records'!$U:$U,$H147)&lt;&gt;"Disqualified — Free Game",INDEX('Game Records'!$G:$G,$H147)=""),"Gross Pot; ","")&amp;IF(AND(INDEX('Game Records'!$U:$U,$H147)&lt;&gt;"Free Game",INDEX('Game Records'!$U:$U,$H147)&lt;&gt;"Disqualified — Free Game",INDEX('Game Records'!$H:$H,$H147)=""),"Entry Fee; ","")&amp;IF(AND(INDEX('Game Records'!$U:$U,$H147)&lt;&gt;"Subscription",INDEX('Game Records'!$U:$U,$H147)&lt;&gt;"Free Game",INDEX('Game Records'!$U:$U,$H147)&lt;&gt;"Disqualified — Free Game",INDEX('Game Records'!$I:$I,$H147)=""),"Eligible Players; ","")&amp;IF(AND(INDEX('Game Records'!$U:$U,$H147)&lt;&gt;"Subscription",INDEX('Game Records'!$U:$U,$H147)&lt;&gt;"Free Game",INDEX('Game Records'!$U:$U,$H147)&lt;&gt;"Disqualified — Free Game",INDEX('Game Records'!$J:$J,$H147)=""),"Total Players; ","")&amp;IF(AND(LOWER(INDEX('Game Records'!$D:$D,$H147)&amp;"")="finalized",LOWER(INDEX('Game Records'!$L:$L,$H147)&amp;"")&lt;&gt;"yes",INDEX('Game Records'!$U:$U,$H147)&lt;&gt;"Subscription",INDEX('Game Records'!$U:$U,$H147)&lt;&gt;"Free Game",INDEX('Game Records'!$U:$U,$H147)&lt;&gt;"Disqualified — Free Game",INDEX('Game Records'!$K:$K,$H147)=""),"Final Earned; ","")&amp;IF(AND(LOWER(INDEX('Game Records'!$D:$D,$H147)&amp;"")="finalized",INDEX('Game Records'!$U:$U,$H147)&lt;&gt;"Subscription",INDEX('Game Records'!$U:$U,$H147)&lt;&gt;"Free Game",INDEX('Game Records'!$U:$U,$H147)&lt;&gt;"Disqualified — Free Game",OR(INDEX('Game Records'!$L:$L,$H147)="",LOWER(INDEX('Game Records'!$L:$L,$H147)&amp;"")="n/a")),"Disqualified Status; ",""))</x:f>
        <x:v/>
      </x:c>
      <x:c r="G147" s="331" t="str">
        <x:f>IF($H147="","",IFERROR(INDEX('Game Records'!$M:$M,$H147),""))</x:f>
        <x:v/>
      </x:c>
      <x:c r="H147" s="104" t="str">
        <x:f>IF($H146="","",IFERROR(MATCH(1,INDEX((ROW('Game Records'!$U$5:$U$504)&gt;$H146)*(('Game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7" s="104"/>
      <x:c r="J147" s="104"/>
    </x:row>
    <x:row r="148" ht="24" hidden="0" customHeight="1">
      <x:c r="A148" s="332" t="str">
        <x:f>IF($H148="","",ROWS($A$5:A148))</x:f>
        <x:v/>
      </x:c>
      <x:c r="B148" s="332" t="str">
        <x:f>IF($H148="","","G-"&amp;TEXT($A148,"0000"))</x:f>
        <x:v/>
      </x:c>
      <x:c r="C148" s="331" t="str">
        <x:f>IF($H148="","",IFERROR(INDEX('Game Records'!$A:$A,$H148),""))</x:f>
        <x:v/>
      </x:c>
      <x:c r="D148" s="331" t="str">
        <x:f>IF($H148="","",IFERROR(INDEX('Game Records'!$U:$U,$H148),""))</x:f>
        <x:v/>
      </x:c>
      <x:c r="E148" s="331" t="str">
        <x:f>IF($H148="","",IF($F148="","No Highlighted Fields","Highlighted Fields Present"))</x:f>
        <x:v/>
      </x:c>
      <x:c r="F148" s="331" t="str">
        <x:f>IF($H148="","",IF(INDEX('Game Records'!$B:$B,$H148)="","Start Date; ","")&amp;IF(INDEX('Game Records'!$C:$C,$H148)="","End Date; ","")&amp;IF(AND(INDEX('Game Records'!$U:$U,$H148)&lt;&gt;"Subscription",INDEX('Game Records'!$U:$U,$H148)&lt;&gt;"Free Game",INDEX('Game Records'!$U:$U,$H148)&lt;&gt;"Disqualified — Free Game",OR(INDEX('Game Records'!$D:$D,$H148)="",LOWER(INDEX('Game Records'!$D:$D,$H148)&amp;"")="n/a")),"Entry Mode; ","")&amp;IF(AND(INDEX('Game Records'!$U:$U,$H148)&lt;&gt;"Subscription",INDEX('Game Records'!$U:$U,$H148)&lt;&gt;"Free Game",INDEX('Game Records'!$U:$U,$H148)&lt;&gt;"Disqualified — Free Game",OR(INDEX('Game Records'!$E:$E,$H148)="",LOWER(INDEX('Game Records'!$E:$E,$H148)&amp;"")="n/a")),"Game Type; ","")&amp;IF(INDEX('Game Records'!$F:$F,$H148)="","Payment Type; ","")&amp;IF(AND(INDEX('Game Records'!$U:$U,$H148)&lt;&gt;"Subscription",INDEX('Game Records'!$U:$U,$H148)&lt;&gt;"Free Game",INDEX('Game Records'!$U:$U,$H148)&lt;&gt;"Disqualified — Free Game",INDEX('Game Records'!$G:$G,$H148)=""),"Gross Pot; ","")&amp;IF(AND(INDEX('Game Records'!$U:$U,$H148)&lt;&gt;"Free Game",INDEX('Game Records'!$U:$U,$H148)&lt;&gt;"Disqualified — Free Game",INDEX('Game Records'!$H:$H,$H148)=""),"Entry Fee; ","")&amp;IF(AND(INDEX('Game Records'!$U:$U,$H148)&lt;&gt;"Subscription",INDEX('Game Records'!$U:$U,$H148)&lt;&gt;"Free Game",INDEX('Game Records'!$U:$U,$H148)&lt;&gt;"Disqualified — Free Game",INDEX('Game Records'!$I:$I,$H148)=""),"Eligible Players; ","")&amp;IF(AND(INDEX('Game Records'!$U:$U,$H148)&lt;&gt;"Subscription",INDEX('Game Records'!$U:$U,$H148)&lt;&gt;"Free Game",INDEX('Game Records'!$U:$U,$H148)&lt;&gt;"Disqualified — Free Game",INDEX('Game Records'!$J:$J,$H148)=""),"Total Players; ","")&amp;IF(AND(LOWER(INDEX('Game Records'!$D:$D,$H148)&amp;"")="finalized",LOWER(INDEX('Game Records'!$L:$L,$H148)&amp;"")&lt;&gt;"yes",INDEX('Game Records'!$U:$U,$H148)&lt;&gt;"Subscription",INDEX('Game Records'!$U:$U,$H148)&lt;&gt;"Free Game",INDEX('Game Records'!$U:$U,$H148)&lt;&gt;"Disqualified — Free Game",INDEX('Game Records'!$K:$K,$H148)=""),"Final Earned; ","")&amp;IF(AND(LOWER(INDEX('Game Records'!$D:$D,$H148)&amp;"")="finalized",INDEX('Game Records'!$U:$U,$H148)&lt;&gt;"Subscription",INDEX('Game Records'!$U:$U,$H148)&lt;&gt;"Free Game",INDEX('Game Records'!$U:$U,$H148)&lt;&gt;"Disqualified — Free Game",OR(INDEX('Game Records'!$L:$L,$H148)="",LOWER(INDEX('Game Records'!$L:$L,$H148)&amp;"")="n/a")),"Disqualified Status; ",""))</x:f>
        <x:v/>
      </x:c>
      <x:c r="G148" s="331" t="str">
        <x:f>IF($H148="","",IFERROR(INDEX('Game Records'!$M:$M,$H148),""))</x:f>
        <x:v/>
      </x:c>
      <x:c r="H148" s="104" t="str">
        <x:f>IF($H147="","",IFERROR(MATCH(1,INDEX((ROW('Game Records'!$U$5:$U$504)&gt;$H147)*(('Game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8" s="104"/>
      <x:c r="J148" s="104"/>
    </x:row>
    <x:row r="149" ht="24" hidden="0" customHeight="1">
      <x:c r="A149" s="332" t="str">
        <x:f>IF($H149="","",ROWS($A$5:A149))</x:f>
        <x:v/>
      </x:c>
      <x:c r="B149" s="332" t="str">
        <x:f>IF($H149="","","G-"&amp;TEXT($A149,"0000"))</x:f>
        <x:v/>
      </x:c>
      <x:c r="C149" s="331" t="str">
        <x:f>IF($H149="","",IFERROR(INDEX('Game Records'!$A:$A,$H149),""))</x:f>
        <x:v/>
      </x:c>
      <x:c r="D149" s="331" t="str">
        <x:f>IF($H149="","",IFERROR(INDEX('Game Records'!$U:$U,$H149),""))</x:f>
        <x:v/>
      </x:c>
      <x:c r="E149" s="331" t="str">
        <x:f>IF($H149="","",IF($F149="","No Highlighted Fields","Highlighted Fields Present"))</x:f>
        <x:v/>
      </x:c>
      <x:c r="F149" s="331" t="str">
        <x:f>IF($H149="","",IF(INDEX('Game Records'!$B:$B,$H149)="","Start Date; ","")&amp;IF(INDEX('Game Records'!$C:$C,$H149)="","End Date; ","")&amp;IF(AND(INDEX('Game Records'!$U:$U,$H149)&lt;&gt;"Subscription",INDEX('Game Records'!$U:$U,$H149)&lt;&gt;"Free Game",INDEX('Game Records'!$U:$U,$H149)&lt;&gt;"Disqualified — Free Game",OR(INDEX('Game Records'!$D:$D,$H149)="",LOWER(INDEX('Game Records'!$D:$D,$H149)&amp;"")="n/a")),"Entry Mode; ","")&amp;IF(AND(INDEX('Game Records'!$U:$U,$H149)&lt;&gt;"Subscription",INDEX('Game Records'!$U:$U,$H149)&lt;&gt;"Free Game",INDEX('Game Records'!$U:$U,$H149)&lt;&gt;"Disqualified — Free Game",OR(INDEX('Game Records'!$E:$E,$H149)="",LOWER(INDEX('Game Records'!$E:$E,$H149)&amp;"")="n/a")),"Game Type; ","")&amp;IF(INDEX('Game Records'!$F:$F,$H149)="","Payment Type; ","")&amp;IF(AND(INDEX('Game Records'!$U:$U,$H149)&lt;&gt;"Subscription",INDEX('Game Records'!$U:$U,$H149)&lt;&gt;"Free Game",INDEX('Game Records'!$U:$U,$H149)&lt;&gt;"Disqualified — Free Game",INDEX('Game Records'!$G:$G,$H149)=""),"Gross Pot; ","")&amp;IF(AND(INDEX('Game Records'!$U:$U,$H149)&lt;&gt;"Free Game",INDEX('Game Records'!$U:$U,$H149)&lt;&gt;"Disqualified — Free Game",INDEX('Game Records'!$H:$H,$H149)=""),"Entry Fee; ","")&amp;IF(AND(INDEX('Game Records'!$U:$U,$H149)&lt;&gt;"Subscription",INDEX('Game Records'!$U:$U,$H149)&lt;&gt;"Free Game",INDEX('Game Records'!$U:$U,$H149)&lt;&gt;"Disqualified — Free Game",INDEX('Game Records'!$I:$I,$H149)=""),"Eligible Players; ","")&amp;IF(AND(INDEX('Game Records'!$U:$U,$H149)&lt;&gt;"Subscription",INDEX('Game Records'!$U:$U,$H149)&lt;&gt;"Free Game",INDEX('Game Records'!$U:$U,$H149)&lt;&gt;"Disqualified — Free Game",INDEX('Game Records'!$J:$J,$H149)=""),"Total Players; ","")&amp;IF(AND(LOWER(INDEX('Game Records'!$D:$D,$H149)&amp;"")="finalized",LOWER(INDEX('Game Records'!$L:$L,$H149)&amp;"")&lt;&gt;"yes",INDEX('Game Records'!$U:$U,$H149)&lt;&gt;"Subscription",INDEX('Game Records'!$U:$U,$H149)&lt;&gt;"Free Game",INDEX('Game Records'!$U:$U,$H149)&lt;&gt;"Disqualified — Free Game",INDEX('Game Records'!$K:$K,$H149)=""),"Final Earned; ","")&amp;IF(AND(LOWER(INDEX('Game Records'!$D:$D,$H149)&amp;"")="finalized",INDEX('Game Records'!$U:$U,$H149)&lt;&gt;"Subscription",INDEX('Game Records'!$U:$U,$H149)&lt;&gt;"Free Game",INDEX('Game Records'!$U:$U,$H149)&lt;&gt;"Disqualified — Free Game",OR(INDEX('Game Records'!$L:$L,$H149)="",LOWER(INDEX('Game Records'!$L:$L,$H149)&amp;"")="n/a")),"Disqualified Status; ",""))</x:f>
        <x:v/>
      </x:c>
      <x:c r="G149" s="331" t="str">
        <x:f>IF($H149="","",IFERROR(INDEX('Game Records'!$M:$M,$H149),""))</x:f>
        <x:v/>
      </x:c>
      <x:c r="H149" s="104" t="str">
        <x:f>IF($H148="","",IFERROR(MATCH(1,INDEX((ROW('Game Records'!$U$5:$U$504)&gt;$H148)*(('Game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49" s="104"/>
      <x:c r="J149" s="104"/>
    </x:row>
    <x:row r="150" ht="24" hidden="0" customHeight="1">
      <x:c r="A150" s="332" t="str">
        <x:f>IF($H150="","",ROWS($A$5:A150))</x:f>
        <x:v/>
      </x:c>
      <x:c r="B150" s="332" t="str">
        <x:f>IF($H150="","","G-"&amp;TEXT($A150,"0000"))</x:f>
        <x:v/>
      </x:c>
      <x:c r="C150" s="331" t="str">
        <x:f>IF($H150="","",IFERROR(INDEX('Game Records'!$A:$A,$H150),""))</x:f>
        <x:v/>
      </x:c>
      <x:c r="D150" s="331" t="str">
        <x:f>IF($H150="","",IFERROR(INDEX('Game Records'!$U:$U,$H150),""))</x:f>
        <x:v/>
      </x:c>
      <x:c r="E150" s="331" t="str">
        <x:f>IF($H150="","",IF($F150="","No Highlighted Fields","Highlighted Fields Present"))</x:f>
        <x:v/>
      </x:c>
      <x:c r="F150" s="331" t="str">
        <x:f>IF($H150="","",IF(INDEX('Game Records'!$B:$B,$H150)="","Start Date; ","")&amp;IF(INDEX('Game Records'!$C:$C,$H150)="","End Date; ","")&amp;IF(AND(INDEX('Game Records'!$U:$U,$H150)&lt;&gt;"Subscription",INDEX('Game Records'!$U:$U,$H150)&lt;&gt;"Free Game",INDEX('Game Records'!$U:$U,$H150)&lt;&gt;"Disqualified — Free Game",OR(INDEX('Game Records'!$D:$D,$H150)="",LOWER(INDEX('Game Records'!$D:$D,$H150)&amp;"")="n/a")),"Entry Mode; ","")&amp;IF(AND(INDEX('Game Records'!$U:$U,$H150)&lt;&gt;"Subscription",INDEX('Game Records'!$U:$U,$H150)&lt;&gt;"Free Game",INDEX('Game Records'!$U:$U,$H150)&lt;&gt;"Disqualified — Free Game",OR(INDEX('Game Records'!$E:$E,$H150)="",LOWER(INDEX('Game Records'!$E:$E,$H150)&amp;"")="n/a")),"Game Type; ","")&amp;IF(INDEX('Game Records'!$F:$F,$H150)="","Payment Type; ","")&amp;IF(AND(INDEX('Game Records'!$U:$U,$H150)&lt;&gt;"Subscription",INDEX('Game Records'!$U:$U,$H150)&lt;&gt;"Free Game",INDEX('Game Records'!$U:$U,$H150)&lt;&gt;"Disqualified — Free Game",INDEX('Game Records'!$G:$G,$H150)=""),"Gross Pot; ","")&amp;IF(AND(INDEX('Game Records'!$U:$U,$H150)&lt;&gt;"Free Game",INDEX('Game Records'!$U:$U,$H150)&lt;&gt;"Disqualified — Free Game",INDEX('Game Records'!$H:$H,$H150)=""),"Entry Fee; ","")&amp;IF(AND(INDEX('Game Records'!$U:$U,$H150)&lt;&gt;"Subscription",INDEX('Game Records'!$U:$U,$H150)&lt;&gt;"Free Game",INDEX('Game Records'!$U:$U,$H150)&lt;&gt;"Disqualified — Free Game",INDEX('Game Records'!$I:$I,$H150)=""),"Eligible Players; ","")&amp;IF(AND(INDEX('Game Records'!$U:$U,$H150)&lt;&gt;"Subscription",INDEX('Game Records'!$U:$U,$H150)&lt;&gt;"Free Game",INDEX('Game Records'!$U:$U,$H150)&lt;&gt;"Disqualified — Free Game",INDEX('Game Records'!$J:$J,$H150)=""),"Total Players; ","")&amp;IF(AND(LOWER(INDEX('Game Records'!$D:$D,$H150)&amp;"")="finalized",LOWER(INDEX('Game Records'!$L:$L,$H150)&amp;"")&lt;&gt;"yes",INDEX('Game Records'!$U:$U,$H150)&lt;&gt;"Subscription",INDEX('Game Records'!$U:$U,$H150)&lt;&gt;"Free Game",INDEX('Game Records'!$U:$U,$H150)&lt;&gt;"Disqualified — Free Game",INDEX('Game Records'!$K:$K,$H150)=""),"Final Earned; ","")&amp;IF(AND(LOWER(INDEX('Game Records'!$D:$D,$H150)&amp;"")="finalized",INDEX('Game Records'!$U:$U,$H150)&lt;&gt;"Subscription",INDEX('Game Records'!$U:$U,$H150)&lt;&gt;"Free Game",INDEX('Game Records'!$U:$U,$H150)&lt;&gt;"Disqualified — Free Game",OR(INDEX('Game Records'!$L:$L,$H150)="",LOWER(INDEX('Game Records'!$L:$L,$H150)&amp;"")="n/a")),"Disqualified Status; ",""))</x:f>
        <x:v/>
      </x:c>
      <x:c r="G150" s="331" t="str">
        <x:f>IF($H150="","",IFERROR(INDEX('Game Records'!$M:$M,$H150),""))</x:f>
        <x:v/>
      </x:c>
      <x:c r="H150" s="104" t="str">
        <x:f>IF($H149="","",IFERROR(MATCH(1,INDEX((ROW('Game Records'!$U$5:$U$504)&gt;$H149)*(('Game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0" s="104"/>
      <x:c r="J150" s="104"/>
    </x:row>
    <x:row r="151" ht="24" hidden="0" customHeight="1">
      <x:c r="A151" s="332" t="str">
        <x:f>IF($H151="","",ROWS($A$5:A151))</x:f>
        <x:v/>
      </x:c>
      <x:c r="B151" s="332" t="str">
        <x:f>IF($H151="","","G-"&amp;TEXT($A151,"0000"))</x:f>
        <x:v/>
      </x:c>
      <x:c r="C151" s="331" t="str">
        <x:f>IF($H151="","",IFERROR(INDEX('Game Records'!$A:$A,$H151),""))</x:f>
        <x:v/>
      </x:c>
      <x:c r="D151" s="331" t="str">
        <x:f>IF($H151="","",IFERROR(INDEX('Game Records'!$U:$U,$H151),""))</x:f>
        <x:v/>
      </x:c>
      <x:c r="E151" s="331" t="str">
        <x:f>IF($H151="","",IF($F151="","No Highlighted Fields","Highlighted Fields Present"))</x:f>
        <x:v/>
      </x:c>
      <x:c r="F151" s="331" t="str">
        <x:f>IF($H151="","",IF(INDEX('Game Records'!$B:$B,$H151)="","Start Date; ","")&amp;IF(INDEX('Game Records'!$C:$C,$H151)="","End Date; ","")&amp;IF(AND(INDEX('Game Records'!$U:$U,$H151)&lt;&gt;"Subscription",INDEX('Game Records'!$U:$U,$H151)&lt;&gt;"Free Game",INDEX('Game Records'!$U:$U,$H151)&lt;&gt;"Disqualified — Free Game",OR(INDEX('Game Records'!$D:$D,$H151)="",LOWER(INDEX('Game Records'!$D:$D,$H151)&amp;"")="n/a")),"Entry Mode; ","")&amp;IF(AND(INDEX('Game Records'!$U:$U,$H151)&lt;&gt;"Subscription",INDEX('Game Records'!$U:$U,$H151)&lt;&gt;"Free Game",INDEX('Game Records'!$U:$U,$H151)&lt;&gt;"Disqualified — Free Game",OR(INDEX('Game Records'!$E:$E,$H151)="",LOWER(INDEX('Game Records'!$E:$E,$H151)&amp;"")="n/a")),"Game Type; ","")&amp;IF(INDEX('Game Records'!$F:$F,$H151)="","Payment Type; ","")&amp;IF(AND(INDEX('Game Records'!$U:$U,$H151)&lt;&gt;"Subscription",INDEX('Game Records'!$U:$U,$H151)&lt;&gt;"Free Game",INDEX('Game Records'!$U:$U,$H151)&lt;&gt;"Disqualified — Free Game",INDEX('Game Records'!$G:$G,$H151)=""),"Gross Pot; ","")&amp;IF(AND(INDEX('Game Records'!$U:$U,$H151)&lt;&gt;"Free Game",INDEX('Game Records'!$U:$U,$H151)&lt;&gt;"Disqualified — Free Game",INDEX('Game Records'!$H:$H,$H151)=""),"Entry Fee; ","")&amp;IF(AND(INDEX('Game Records'!$U:$U,$H151)&lt;&gt;"Subscription",INDEX('Game Records'!$U:$U,$H151)&lt;&gt;"Free Game",INDEX('Game Records'!$U:$U,$H151)&lt;&gt;"Disqualified — Free Game",INDEX('Game Records'!$I:$I,$H151)=""),"Eligible Players; ","")&amp;IF(AND(INDEX('Game Records'!$U:$U,$H151)&lt;&gt;"Subscription",INDEX('Game Records'!$U:$U,$H151)&lt;&gt;"Free Game",INDEX('Game Records'!$U:$U,$H151)&lt;&gt;"Disqualified — Free Game",INDEX('Game Records'!$J:$J,$H151)=""),"Total Players; ","")&amp;IF(AND(LOWER(INDEX('Game Records'!$D:$D,$H151)&amp;"")="finalized",LOWER(INDEX('Game Records'!$L:$L,$H151)&amp;"")&lt;&gt;"yes",INDEX('Game Records'!$U:$U,$H151)&lt;&gt;"Subscription",INDEX('Game Records'!$U:$U,$H151)&lt;&gt;"Free Game",INDEX('Game Records'!$U:$U,$H151)&lt;&gt;"Disqualified — Free Game",INDEX('Game Records'!$K:$K,$H151)=""),"Final Earned; ","")&amp;IF(AND(LOWER(INDEX('Game Records'!$D:$D,$H151)&amp;"")="finalized",INDEX('Game Records'!$U:$U,$H151)&lt;&gt;"Subscription",INDEX('Game Records'!$U:$U,$H151)&lt;&gt;"Free Game",INDEX('Game Records'!$U:$U,$H151)&lt;&gt;"Disqualified — Free Game",OR(INDEX('Game Records'!$L:$L,$H151)="",LOWER(INDEX('Game Records'!$L:$L,$H151)&amp;"")="n/a")),"Disqualified Status; ",""))</x:f>
        <x:v/>
      </x:c>
      <x:c r="G151" s="331" t="str">
        <x:f>IF($H151="","",IFERROR(INDEX('Game Records'!$M:$M,$H151),""))</x:f>
        <x:v/>
      </x:c>
      <x:c r="H151" s="104" t="str">
        <x:f>IF($H150="","",IFERROR(MATCH(1,INDEX((ROW('Game Records'!$U$5:$U$504)&gt;$H150)*(('Game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1" s="104"/>
      <x:c r="J151" s="104"/>
    </x:row>
    <x:row r="152" ht="24" hidden="0" customHeight="1">
      <x:c r="A152" s="332" t="str">
        <x:f>IF($H152="","",ROWS($A$5:A152))</x:f>
        <x:v/>
      </x:c>
      <x:c r="B152" s="332" t="str">
        <x:f>IF($H152="","","G-"&amp;TEXT($A152,"0000"))</x:f>
        <x:v/>
      </x:c>
      <x:c r="C152" s="331" t="str">
        <x:f>IF($H152="","",IFERROR(INDEX('Game Records'!$A:$A,$H152),""))</x:f>
        <x:v/>
      </x:c>
      <x:c r="D152" s="331" t="str">
        <x:f>IF($H152="","",IFERROR(INDEX('Game Records'!$U:$U,$H152),""))</x:f>
        <x:v/>
      </x:c>
      <x:c r="E152" s="331" t="str">
        <x:f>IF($H152="","",IF($F152="","No Highlighted Fields","Highlighted Fields Present"))</x:f>
        <x:v/>
      </x:c>
      <x:c r="F152" s="331" t="str">
        <x:f>IF($H152="","",IF(INDEX('Game Records'!$B:$B,$H152)="","Start Date; ","")&amp;IF(INDEX('Game Records'!$C:$C,$H152)="","End Date; ","")&amp;IF(AND(INDEX('Game Records'!$U:$U,$H152)&lt;&gt;"Subscription",INDEX('Game Records'!$U:$U,$H152)&lt;&gt;"Free Game",INDEX('Game Records'!$U:$U,$H152)&lt;&gt;"Disqualified — Free Game",OR(INDEX('Game Records'!$D:$D,$H152)="",LOWER(INDEX('Game Records'!$D:$D,$H152)&amp;"")="n/a")),"Entry Mode; ","")&amp;IF(AND(INDEX('Game Records'!$U:$U,$H152)&lt;&gt;"Subscription",INDEX('Game Records'!$U:$U,$H152)&lt;&gt;"Free Game",INDEX('Game Records'!$U:$U,$H152)&lt;&gt;"Disqualified — Free Game",OR(INDEX('Game Records'!$E:$E,$H152)="",LOWER(INDEX('Game Records'!$E:$E,$H152)&amp;"")="n/a")),"Game Type; ","")&amp;IF(INDEX('Game Records'!$F:$F,$H152)="","Payment Type; ","")&amp;IF(AND(INDEX('Game Records'!$U:$U,$H152)&lt;&gt;"Subscription",INDEX('Game Records'!$U:$U,$H152)&lt;&gt;"Free Game",INDEX('Game Records'!$U:$U,$H152)&lt;&gt;"Disqualified — Free Game",INDEX('Game Records'!$G:$G,$H152)=""),"Gross Pot; ","")&amp;IF(AND(INDEX('Game Records'!$U:$U,$H152)&lt;&gt;"Free Game",INDEX('Game Records'!$U:$U,$H152)&lt;&gt;"Disqualified — Free Game",INDEX('Game Records'!$H:$H,$H152)=""),"Entry Fee; ","")&amp;IF(AND(INDEX('Game Records'!$U:$U,$H152)&lt;&gt;"Subscription",INDEX('Game Records'!$U:$U,$H152)&lt;&gt;"Free Game",INDEX('Game Records'!$U:$U,$H152)&lt;&gt;"Disqualified — Free Game",INDEX('Game Records'!$I:$I,$H152)=""),"Eligible Players; ","")&amp;IF(AND(INDEX('Game Records'!$U:$U,$H152)&lt;&gt;"Subscription",INDEX('Game Records'!$U:$U,$H152)&lt;&gt;"Free Game",INDEX('Game Records'!$U:$U,$H152)&lt;&gt;"Disqualified — Free Game",INDEX('Game Records'!$J:$J,$H152)=""),"Total Players; ","")&amp;IF(AND(LOWER(INDEX('Game Records'!$D:$D,$H152)&amp;"")="finalized",LOWER(INDEX('Game Records'!$L:$L,$H152)&amp;"")&lt;&gt;"yes",INDEX('Game Records'!$U:$U,$H152)&lt;&gt;"Subscription",INDEX('Game Records'!$U:$U,$H152)&lt;&gt;"Free Game",INDEX('Game Records'!$U:$U,$H152)&lt;&gt;"Disqualified — Free Game",INDEX('Game Records'!$K:$K,$H152)=""),"Final Earned; ","")&amp;IF(AND(LOWER(INDEX('Game Records'!$D:$D,$H152)&amp;"")="finalized",INDEX('Game Records'!$U:$U,$H152)&lt;&gt;"Subscription",INDEX('Game Records'!$U:$U,$H152)&lt;&gt;"Free Game",INDEX('Game Records'!$U:$U,$H152)&lt;&gt;"Disqualified — Free Game",OR(INDEX('Game Records'!$L:$L,$H152)="",LOWER(INDEX('Game Records'!$L:$L,$H152)&amp;"")="n/a")),"Disqualified Status; ",""))</x:f>
        <x:v/>
      </x:c>
      <x:c r="G152" s="331" t="str">
        <x:f>IF($H152="","",IFERROR(INDEX('Game Records'!$M:$M,$H152),""))</x:f>
        <x:v/>
      </x:c>
      <x:c r="H152" s="104" t="str">
        <x:f>IF($H151="","",IFERROR(MATCH(1,INDEX((ROW('Game Records'!$U$5:$U$504)&gt;$H151)*(('Game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2" s="104"/>
      <x:c r="J152" s="104"/>
    </x:row>
    <x:row r="153" ht="24" hidden="0" customHeight="1">
      <x:c r="A153" s="332" t="str">
        <x:f>IF($H153="","",ROWS($A$5:A153))</x:f>
        <x:v/>
      </x:c>
      <x:c r="B153" s="332" t="str">
        <x:f>IF($H153="","","G-"&amp;TEXT($A153,"0000"))</x:f>
        <x:v/>
      </x:c>
      <x:c r="C153" s="331" t="str">
        <x:f>IF($H153="","",IFERROR(INDEX('Game Records'!$A:$A,$H153),""))</x:f>
        <x:v/>
      </x:c>
      <x:c r="D153" s="331" t="str">
        <x:f>IF($H153="","",IFERROR(INDEX('Game Records'!$U:$U,$H153),""))</x:f>
        <x:v/>
      </x:c>
      <x:c r="E153" s="331" t="str">
        <x:f>IF($H153="","",IF($F153="","No Highlighted Fields","Highlighted Fields Present"))</x:f>
        <x:v/>
      </x:c>
      <x:c r="F153" s="331" t="str">
        <x:f>IF($H153="","",IF(INDEX('Game Records'!$B:$B,$H153)="","Start Date; ","")&amp;IF(INDEX('Game Records'!$C:$C,$H153)="","End Date; ","")&amp;IF(AND(INDEX('Game Records'!$U:$U,$H153)&lt;&gt;"Subscription",INDEX('Game Records'!$U:$U,$H153)&lt;&gt;"Free Game",INDEX('Game Records'!$U:$U,$H153)&lt;&gt;"Disqualified — Free Game",OR(INDEX('Game Records'!$D:$D,$H153)="",LOWER(INDEX('Game Records'!$D:$D,$H153)&amp;"")="n/a")),"Entry Mode; ","")&amp;IF(AND(INDEX('Game Records'!$U:$U,$H153)&lt;&gt;"Subscription",INDEX('Game Records'!$U:$U,$H153)&lt;&gt;"Free Game",INDEX('Game Records'!$U:$U,$H153)&lt;&gt;"Disqualified — Free Game",OR(INDEX('Game Records'!$E:$E,$H153)="",LOWER(INDEX('Game Records'!$E:$E,$H153)&amp;"")="n/a")),"Game Type; ","")&amp;IF(INDEX('Game Records'!$F:$F,$H153)="","Payment Type; ","")&amp;IF(AND(INDEX('Game Records'!$U:$U,$H153)&lt;&gt;"Subscription",INDEX('Game Records'!$U:$U,$H153)&lt;&gt;"Free Game",INDEX('Game Records'!$U:$U,$H153)&lt;&gt;"Disqualified — Free Game",INDEX('Game Records'!$G:$G,$H153)=""),"Gross Pot; ","")&amp;IF(AND(INDEX('Game Records'!$U:$U,$H153)&lt;&gt;"Free Game",INDEX('Game Records'!$U:$U,$H153)&lt;&gt;"Disqualified — Free Game",INDEX('Game Records'!$H:$H,$H153)=""),"Entry Fee; ","")&amp;IF(AND(INDEX('Game Records'!$U:$U,$H153)&lt;&gt;"Subscription",INDEX('Game Records'!$U:$U,$H153)&lt;&gt;"Free Game",INDEX('Game Records'!$U:$U,$H153)&lt;&gt;"Disqualified — Free Game",INDEX('Game Records'!$I:$I,$H153)=""),"Eligible Players; ","")&amp;IF(AND(INDEX('Game Records'!$U:$U,$H153)&lt;&gt;"Subscription",INDEX('Game Records'!$U:$U,$H153)&lt;&gt;"Free Game",INDEX('Game Records'!$U:$U,$H153)&lt;&gt;"Disqualified — Free Game",INDEX('Game Records'!$J:$J,$H153)=""),"Total Players; ","")&amp;IF(AND(LOWER(INDEX('Game Records'!$D:$D,$H153)&amp;"")="finalized",LOWER(INDEX('Game Records'!$L:$L,$H153)&amp;"")&lt;&gt;"yes",INDEX('Game Records'!$U:$U,$H153)&lt;&gt;"Subscription",INDEX('Game Records'!$U:$U,$H153)&lt;&gt;"Free Game",INDEX('Game Records'!$U:$U,$H153)&lt;&gt;"Disqualified — Free Game",INDEX('Game Records'!$K:$K,$H153)=""),"Final Earned; ","")&amp;IF(AND(LOWER(INDEX('Game Records'!$D:$D,$H153)&amp;"")="finalized",INDEX('Game Records'!$U:$U,$H153)&lt;&gt;"Subscription",INDEX('Game Records'!$U:$U,$H153)&lt;&gt;"Free Game",INDEX('Game Records'!$U:$U,$H153)&lt;&gt;"Disqualified — Free Game",OR(INDEX('Game Records'!$L:$L,$H153)="",LOWER(INDEX('Game Records'!$L:$L,$H153)&amp;"")="n/a")),"Disqualified Status; ",""))</x:f>
        <x:v/>
      </x:c>
      <x:c r="G153" s="331" t="str">
        <x:f>IF($H153="","",IFERROR(INDEX('Game Records'!$M:$M,$H153),""))</x:f>
        <x:v/>
      </x:c>
      <x:c r="H153" s="104" t="str">
        <x:f>IF($H152="","",IFERROR(MATCH(1,INDEX((ROW('Game Records'!$U$5:$U$504)&gt;$H152)*(('Game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3" s="104"/>
      <x:c r="J153" s="104"/>
    </x:row>
    <x:row r="154" ht="24" hidden="0" customHeight="1">
      <x:c r="A154" s="332" t="str">
        <x:f>IF($H154="","",ROWS($A$5:A154))</x:f>
        <x:v/>
      </x:c>
      <x:c r="B154" s="332" t="str">
        <x:f>IF($H154="","","G-"&amp;TEXT($A154,"0000"))</x:f>
        <x:v/>
      </x:c>
      <x:c r="C154" s="331" t="str">
        <x:f>IF($H154="","",IFERROR(INDEX('Game Records'!$A:$A,$H154),""))</x:f>
        <x:v/>
      </x:c>
      <x:c r="D154" s="331" t="str">
        <x:f>IF($H154="","",IFERROR(INDEX('Game Records'!$U:$U,$H154),""))</x:f>
        <x:v/>
      </x:c>
      <x:c r="E154" s="331" t="str">
        <x:f>IF($H154="","",IF($F154="","No Highlighted Fields","Highlighted Fields Present"))</x:f>
        <x:v/>
      </x:c>
      <x:c r="F154" s="331" t="str">
        <x:f>IF($H154="","",IF(INDEX('Game Records'!$B:$B,$H154)="","Start Date; ","")&amp;IF(INDEX('Game Records'!$C:$C,$H154)="","End Date; ","")&amp;IF(AND(INDEX('Game Records'!$U:$U,$H154)&lt;&gt;"Subscription",INDEX('Game Records'!$U:$U,$H154)&lt;&gt;"Free Game",INDEX('Game Records'!$U:$U,$H154)&lt;&gt;"Disqualified — Free Game",OR(INDEX('Game Records'!$D:$D,$H154)="",LOWER(INDEX('Game Records'!$D:$D,$H154)&amp;"")="n/a")),"Entry Mode; ","")&amp;IF(AND(INDEX('Game Records'!$U:$U,$H154)&lt;&gt;"Subscription",INDEX('Game Records'!$U:$U,$H154)&lt;&gt;"Free Game",INDEX('Game Records'!$U:$U,$H154)&lt;&gt;"Disqualified — Free Game",OR(INDEX('Game Records'!$E:$E,$H154)="",LOWER(INDEX('Game Records'!$E:$E,$H154)&amp;"")="n/a")),"Game Type; ","")&amp;IF(INDEX('Game Records'!$F:$F,$H154)="","Payment Type; ","")&amp;IF(AND(INDEX('Game Records'!$U:$U,$H154)&lt;&gt;"Subscription",INDEX('Game Records'!$U:$U,$H154)&lt;&gt;"Free Game",INDEX('Game Records'!$U:$U,$H154)&lt;&gt;"Disqualified — Free Game",INDEX('Game Records'!$G:$G,$H154)=""),"Gross Pot; ","")&amp;IF(AND(INDEX('Game Records'!$U:$U,$H154)&lt;&gt;"Free Game",INDEX('Game Records'!$U:$U,$H154)&lt;&gt;"Disqualified — Free Game",INDEX('Game Records'!$H:$H,$H154)=""),"Entry Fee; ","")&amp;IF(AND(INDEX('Game Records'!$U:$U,$H154)&lt;&gt;"Subscription",INDEX('Game Records'!$U:$U,$H154)&lt;&gt;"Free Game",INDEX('Game Records'!$U:$U,$H154)&lt;&gt;"Disqualified — Free Game",INDEX('Game Records'!$I:$I,$H154)=""),"Eligible Players; ","")&amp;IF(AND(INDEX('Game Records'!$U:$U,$H154)&lt;&gt;"Subscription",INDEX('Game Records'!$U:$U,$H154)&lt;&gt;"Free Game",INDEX('Game Records'!$U:$U,$H154)&lt;&gt;"Disqualified — Free Game",INDEX('Game Records'!$J:$J,$H154)=""),"Total Players; ","")&amp;IF(AND(LOWER(INDEX('Game Records'!$D:$D,$H154)&amp;"")="finalized",LOWER(INDEX('Game Records'!$L:$L,$H154)&amp;"")&lt;&gt;"yes",INDEX('Game Records'!$U:$U,$H154)&lt;&gt;"Subscription",INDEX('Game Records'!$U:$U,$H154)&lt;&gt;"Free Game",INDEX('Game Records'!$U:$U,$H154)&lt;&gt;"Disqualified — Free Game",INDEX('Game Records'!$K:$K,$H154)=""),"Final Earned; ","")&amp;IF(AND(LOWER(INDEX('Game Records'!$D:$D,$H154)&amp;"")="finalized",INDEX('Game Records'!$U:$U,$H154)&lt;&gt;"Subscription",INDEX('Game Records'!$U:$U,$H154)&lt;&gt;"Free Game",INDEX('Game Records'!$U:$U,$H154)&lt;&gt;"Disqualified — Free Game",OR(INDEX('Game Records'!$L:$L,$H154)="",LOWER(INDEX('Game Records'!$L:$L,$H154)&amp;"")="n/a")),"Disqualified Status; ",""))</x:f>
        <x:v/>
      </x:c>
      <x:c r="G154" s="331" t="str">
        <x:f>IF($H154="","",IFERROR(INDEX('Game Records'!$M:$M,$H154),""))</x:f>
        <x:v/>
      </x:c>
      <x:c r="H154" s="104" t="str">
        <x:f>IF($H153="","",IFERROR(MATCH(1,INDEX((ROW('Game Records'!$U$5:$U$504)&gt;$H153)*(('Game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4" s="104"/>
      <x:c r="J154" s="104"/>
    </x:row>
    <x:row r="155" ht="24" hidden="0" customHeight="1">
      <x:c r="A155" s="332" t="str">
        <x:f>IF($H155="","",ROWS($A$5:A155))</x:f>
        <x:v/>
      </x:c>
      <x:c r="B155" s="332" t="str">
        <x:f>IF($H155="","","G-"&amp;TEXT($A155,"0000"))</x:f>
        <x:v/>
      </x:c>
      <x:c r="C155" s="331" t="str">
        <x:f>IF($H155="","",IFERROR(INDEX('Game Records'!$A:$A,$H155),""))</x:f>
        <x:v/>
      </x:c>
      <x:c r="D155" s="331" t="str">
        <x:f>IF($H155="","",IFERROR(INDEX('Game Records'!$U:$U,$H155),""))</x:f>
        <x:v/>
      </x:c>
      <x:c r="E155" s="331" t="str">
        <x:f>IF($H155="","",IF($F155="","No Highlighted Fields","Highlighted Fields Present"))</x:f>
        <x:v/>
      </x:c>
      <x:c r="F155" s="331" t="str">
        <x:f>IF($H155="","",IF(INDEX('Game Records'!$B:$B,$H155)="","Start Date; ","")&amp;IF(INDEX('Game Records'!$C:$C,$H155)="","End Date; ","")&amp;IF(AND(INDEX('Game Records'!$U:$U,$H155)&lt;&gt;"Subscription",INDEX('Game Records'!$U:$U,$H155)&lt;&gt;"Free Game",INDEX('Game Records'!$U:$U,$H155)&lt;&gt;"Disqualified — Free Game",OR(INDEX('Game Records'!$D:$D,$H155)="",LOWER(INDEX('Game Records'!$D:$D,$H155)&amp;"")="n/a")),"Entry Mode; ","")&amp;IF(AND(INDEX('Game Records'!$U:$U,$H155)&lt;&gt;"Subscription",INDEX('Game Records'!$U:$U,$H155)&lt;&gt;"Free Game",INDEX('Game Records'!$U:$U,$H155)&lt;&gt;"Disqualified — Free Game",OR(INDEX('Game Records'!$E:$E,$H155)="",LOWER(INDEX('Game Records'!$E:$E,$H155)&amp;"")="n/a")),"Game Type; ","")&amp;IF(INDEX('Game Records'!$F:$F,$H155)="","Payment Type; ","")&amp;IF(AND(INDEX('Game Records'!$U:$U,$H155)&lt;&gt;"Subscription",INDEX('Game Records'!$U:$U,$H155)&lt;&gt;"Free Game",INDEX('Game Records'!$U:$U,$H155)&lt;&gt;"Disqualified — Free Game",INDEX('Game Records'!$G:$G,$H155)=""),"Gross Pot; ","")&amp;IF(AND(INDEX('Game Records'!$U:$U,$H155)&lt;&gt;"Free Game",INDEX('Game Records'!$U:$U,$H155)&lt;&gt;"Disqualified — Free Game",INDEX('Game Records'!$H:$H,$H155)=""),"Entry Fee; ","")&amp;IF(AND(INDEX('Game Records'!$U:$U,$H155)&lt;&gt;"Subscription",INDEX('Game Records'!$U:$U,$H155)&lt;&gt;"Free Game",INDEX('Game Records'!$U:$U,$H155)&lt;&gt;"Disqualified — Free Game",INDEX('Game Records'!$I:$I,$H155)=""),"Eligible Players; ","")&amp;IF(AND(INDEX('Game Records'!$U:$U,$H155)&lt;&gt;"Subscription",INDEX('Game Records'!$U:$U,$H155)&lt;&gt;"Free Game",INDEX('Game Records'!$U:$U,$H155)&lt;&gt;"Disqualified — Free Game",INDEX('Game Records'!$J:$J,$H155)=""),"Total Players; ","")&amp;IF(AND(LOWER(INDEX('Game Records'!$D:$D,$H155)&amp;"")="finalized",LOWER(INDEX('Game Records'!$L:$L,$H155)&amp;"")&lt;&gt;"yes",INDEX('Game Records'!$U:$U,$H155)&lt;&gt;"Subscription",INDEX('Game Records'!$U:$U,$H155)&lt;&gt;"Free Game",INDEX('Game Records'!$U:$U,$H155)&lt;&gt;"Disqualified — Free Game",INDEX('Game Records'!$K:$K,$H155)=""),"Final Earned; ","")&amp;IF(AND(LOWER(INDEX('Game Records'!$D:$D,$H155)&amp;"")="finalized",INDEX('Game Records'!$U:$U,$H155)&lt;&gt;"Subscription",INDEX('Game Records'!$U:$U,$H155)&lt;&gt;"Free Game",INDEX('Game Records'!$U:$U,$H155)&lt;&gt;"Disqualified — Free Game",OR(INDEX('Game Records'!$L:$L,$H155)="",LOWER(INDEX('Game Records'!$L:$L,$H155)&amp;"")="n/a")),"Disqualified Status; ",""))</x:f>
        <x:v/>
      </x:c>
      <x:c r="G155" s="331" t="str">
        <x:f>IF($H155="","",IFERROR(INDEX('Game Records'!$M:$M,$H155),""))</x:f>
        <x:v/>
      </x:c>
      <x:c r="H155" s="104" t="str">
        <x:f>IF($H154="","",IFERROR(MATCH(1,INDEX((ROW('Game Records'!$U$5:$U$504)&gt;$H154)*(('Game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5" s="104"/>
      <x:c r="J155" s="104"/>
    </x:row>
    <x:row r="156" ht="24" hidden="0" customHeight="1">
      <x:c r="A156" s="332" t="str">
        <x:f>IF($H156="","",ROWS($A$5:A156))</x:f>
        <x:v/>
      </x:c>
      <x:c r="B156" s="332" t="str">
        <x:f>IF($H156="","","G-"&amp;TEXT($A156,"0000"))</x:f>
        <x:v/>
      </x:c>
      <x:c r="C156" s="331" t="str">
        <x:f>IF($H156="","",IFERROR(INDEX('Game Records'!$A:$A,$H156),""))</x:f>
        <x:v/>
      </x:c>
      <x:c r="D156" s="331" t="str">
        <x:f>IF($H156="","",IFERROR(INDEX('Game Records'!$U:$U,$H156),""))</x:f>
        <x:v/>
      </x:c>
      <x:c r="E156" s="331" t="str">
        <x:f>IF($H156="","",IF($F156="","No Highlighted Fields","Highlighted Fields Present"))</x:f>
        <x:v/>
      </x:c>
      <x:c r="F156" s="331" t="str">
        <x:f>IF($H156="","",IF(INDEX('Game Records'!$B:$B,$H156)="","Start Date; ","")&amp;IF(INDEX('Game Records'!$C:$C,$H156)="","End Date; ","")&amp;IF(AND(INDEX('Game Records'!$U:$U,$H156)&lt;&gt;"Subscription",INDEX('Game Records'!$U:$U,$H156)&lt;&gt;"Free Game",INDEX('Game Records'!$U:$U,$H156)&lt;&gt;"Disqualified — Free Game",OR(INDEX('Game Records'!$D:$D,$H156)="",LOWER(INDEX('Game Records'!$D:$D,$H156)&amp;"")="n/a")),"Entry Mode; ","")&amp;IF(AND(INDEX('Game Records'!$U:$U,$H156)&lt;&gt;"Subscription",INDEX('Game Records'!$U:$U,$H156)&lt;&gt;"Free Game",INDEX('Game Records'!$U:$U,$H156)&lt;&gt;"Disqualified — Free Game",OR(INDEX('Game Records'!$E:$E,$H156)="",LOWER(INDEX('Game Records'!$E:$E,$H156)&amp;"")="n/a")),"Game Type; ","")&amp;IF(INDEX('Game Records'!$F:$F,$H156)="","Payment Type; ","")&amp;IF(AND(INDEX('Game Records'!$U:$U,$H156)&lt;&gt;"Subscription",INDEX('Game Records'!$U:$U,$H156)&lt;&gt;"Free Game",INDEX('Game Records'!$U:$U,$H156)&lt;&gt;"Disqualified — Free Game",INDEX('Game Records'!$G:$G,$H156)=""),"Gross Pot; ","")&amp;IF(AND(INDEX('Game Records'!$U:$U,$H156)&lt;&gt;"Free Game",INDEX('Game Records'!$U:$U,$H156)&lt;&gt;"Disqualified — Free Game",INDEX('Game Records'!$H:$H,$H156)=""),"Entry Fee; ","")&amp;IF(AND(INDEX('Game Records'!$U:$U,$H156)&lt;&gt;"Subscription",INDEX('Game Records'!$U:$U,$H156)&lt;&gt;"Free Game",INDEX('Game Records'!$U:$U,$H156)&lt;&gt;"Disqualified — Free Game",INDEX('Game Records'!$I:$I,$H156)=""),"Eligible Players; ","")&amp;IF(AND(INDEX('Game Records'!$U:$U,$H156)&lt;&gt;"Subscription",INDEX('Game Records'!$U:$U,$H156)&lt;&gt;"Free Game",INDEX('Game Records'!$U:$U,$H156)&lt;&gt;"Disqualified — Free Game",INDEX('Game Records'!$J:$J,$H156)=""),"Total Players; ","")&amp;IF(AND(LOWER(INDEX('Game Records'!$D:$D,$H156)&amp;"")="finalized",LOWER(INDEX('Game Records'!$L:$L,$H156)&amp;"")&lt;&gt;"yes",INDEX('Game Records'!$U:$U,$H156)&lt;&gt;"Subscription",INDEX('Game Records'!$U:$U,$H156)&lt;&gt;"Free Game",INDEX('Game Records'!$U:$U,$H156)&lt;&gt;"Disqualified — Free Game",INDEX('Game Records'!$K:$K,$H156)=""),"Final Earned; ","")&amp;IF(AND(LOWER(INDEX('Game Records'!$D:$D,$H156)&amp;"")="finalized",INDEX('Game Records'!$U:$U,$H156)&lt;&gt;"Subscription",INDEX('Game Records'!$U:$U,$H156)&lt;&gt;"Free Game",INDEX('Game Records'!$U:$U,$H156)&lt;&gt;"Disqualified — Free Game",OR(INDEX('Game Records'!$L:$L,$H156)="",LOWER(INDEX('Game Records'!$L:$L,$H156)&amp;"")="n/a")),"Disqualified Status; ",""))</x:f>
        <x:v/>
      </x:c>
      <x:c r="G156" s="331" t="str">
        <x:f>IF($H156="","",IFERROR(INDEX('Game Records'!$M:$M,$H156),""))</x:f>
        <x:v/>
      </x:c>
      <x:c r="H156" s="104" t="str">
        <x:f>IF($H155="","",IFERROR(MATCH(1,INDEX((ROW('Game Records'!$U$5:$U$504)&gt;$H155)*(('Game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6" s="104"/>
      <x:c r="J156" s="104"/>
    </x:row>
    <x:row r="157" ht="24" hidden="0" customHeight="1">
      <x:c r="A157" s="332" t="str">
        <x:f>IF($H157="","",ROWS($A$5:A157))</x:f>
        <x:v/>
      </x:c>
      <x:c r="B157" s="332" t="str">
        <x:f>IF($H157="","","G-"&amp;TEXT($A157,"0000"))</x:f>
        <x:v/>
      </x:c>
      <x:c r="C157" s="331" t="str">
        <x:f>IF($H157="","",IFERROR(INDEX('Game Records'!$A:$A,$H157),""))</x:f>
        <x:v/>
      </x:c>
      <x:c r="D157" s="331" t="str">
        <x:f>IF($H157="","",IFERROR(INDEX('Game Records'!$U:$U,$H157),""))</x:f>
        <x:v/>
      </x:c>
      <x:c r="E157" s="331" t="str">
        <x:f>IF($H157="","",IF($F157="","No Highlighted Fields","Highlighted Fields Present"))</x:f>
        <x:v/>
      </x:c>
      <x:c r="F157" s="331" t="str">
        <x:f>IF($H157="","",IF(INDEX('Game Records'!$B:$B,$H157)="","Start Date; ","")&amp;IF(INDEX('Game Records'!$C:$C,$H157)="","End Date; ","")&amp;IF(AND(INDEX('Game Records'!$U:$U,$H157)&lt;&gt;"Subscription",INDEX('Game Records'!$U:$U,$H157)&lt;&gt;"Free Game",INDEX('Game Records'!$U:$U,$H157)&lt;&gt;"Disqualified — Free Game",OR(INDEX('Game Records'!$D:$D,$H157)="",LOWER(INDEX('Game Records'!$D:$D,$H157)&amp;"")="n/a")),"Entry Mode; ","")&amp;IF(AND(INDEX('Game Records'!$U:$U,$H157)&lt;&gt;"Subscription",INDEX('Game Records'!$U:$U,$H157)&lt;&gt;"Free Game",INDEX('Game Records'!$U:$U,$H157)&lt;&gt;"Disqualified — Free Game",OR(INDEX('Game Records'!$E:$E,$H157)="",LOWER(INDEX('Game Records'!$E:$E,$H157)&amp;"")="n/a")),"Game Type; ","")&amp;IF(INDEX('Game Records'!$F:$F,$H157)="","Payment Type; ","")&amp;IF(AND(INDEX('Game Records'!$U:$U,$H157)&lt;&gt;"Subscription",INDEX('Game Records'!$U:$U,$H157)&lt;&gt;"Free Game",INDEX('Game Records'!$U:$U,$H157)&lt;&gt;"Disqualified — Free Game",INDEX('Game Records'!$G:$G,$H157)=""),"Gross Pot; ","")&amp;IF(AND(INDEX('Game Records'!$U:$U,$H157)&lt;&gt;"Free Game",INDEX('Game Records'!$U:$U,$H157)&lt;&gt;"Disqualified — Free Game",INDEX('Game Records'!$H:$H,$H157)=""),"Entry Fee; ","")&amp;IF(AND(INDEX('Game Records'!$U:$U,$H157)&lt;&gt;"Subscription",INDEX('Game Records'!$U:$U,$H157)&lt;&gt;"Free Game",INDEX('Game Records'!$U:$U,$H157)&lt;&gt;"Disqualified — Free Game",INDEX('Game Records'!$I:$I,$H157)=""),"Eligible Players; ","")&amp;IF(AND(INDEX('Game Records'!$U:$U,$H157)&lt;&gt;"Subscription",INDEX('Game Records'!$U:$U,$H157)&lt;&gt;"Free Game",INDEX('Game Records'!$U:$U,$H157)&lt;&gt;"Disqualified — Free Game",INDEX('Game Records'!$J:$J,$H157)=""),"Total Players; ","")&amp;IF(AND(LOWER(INDEX('Game Records'!$D:$D,$H157)&amp;"")="finalized",LOWER(INDEX('Game Records'!$L:$L,$H157)&amp;"")&lt;&gt;"yes",INDEX('Game Records'!$U:$U,$H157)&lt;&gt;"Subscription",INDEX('Game Records'!$U:$U,$H157)&lt;&gt;"Free Game",INDEX('Game Records'!$U:$U,$H157)&lt;&gt;"Disqualified — Free Game",INDEX('Game Records'!$K:$K,$H157)=""),"Final Earned; ","")&amp;IF(AND(LOWER(INDEX('Game Records'!$D:$D,$H157)&amp;"")="finalized",INDEX('Game Records'!$U:$U,$H157)&lt;&gt;"Subscription",INDEX('Game Records'!$U:$U,$H157)&lt;&gt;"Free Game",INDEX('Game Records'!$U:$U,$H157)&lt;&gt;"Disqualified — Free Game",OR(INDEX('Game Records'!$L:$L,$H157)="",LOWER(INDEX('Game Records'!$L:$L,$H157)&amp;"")="n/a")),"Disqualified Status; ",""))</x:f>
        <x:v/>
      </x:c>
      <x:c r="G157" s="331" t="str">
        <x:f>IF($H157="","",IFERROR(INDEX('Game Records'!$M:$M,$H157),""))</x:f>
        <x:v/>
      </x:c>
      <x:c r="H157" s="104" t="str">
        <x:f>IF($H156="","",IFERROR(MATCH(1,INDEX((ROW('Game Records'!$U$5:$U$504)&gt;$H156)*(('Game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7" s="104"/>
      <x:c r="J157" s="104"/>
    </x:row>
    <x:row r="158" ht="24" hidden="0" customHeight="1">
      <x:c r="A158" s="332" t="str">
        <x:f>IF($H158="","",ROWS($A$5:A158))</x:f>
        <x:v/>
      </x:c>
      <x:c r="B158" s="332" t="str">
        <x:f>IF($H158="","","G-"&amp;TEXT($A158,"0000"))</x:f>
        <x:v/>
      </x:c>
      <x:c r="C158" s="331" t="str">
        <x:f>IF($H158="","",IFERROR(INDEX('Game Records'!$A:$A,$H158),""))</x:f>
        <x:v/>
      </x:c>
      <x:c r="D158" s="331" t="str">
        <x:f>IF($H158="","",IFERROR(INDEX('Game Records'!$U:$U,$H158),""))</x:f>
        <x:v/>
      </x:c>
      <x:c r="E158" s="331" t="str">
        <x:f>IF($H158="","",IF($F158="","No Highlighted Fields","Highlighted Fields Present"))</x:f>
        <x:v/>
      </x:c>
      <x:c r="F158" s="331" t="str">
        <x:f>IF($H158="","",IF(INDEX('Game Records'!$B:$B,$H158)="","Start Date; ","")&amp;IF(INDEX('Game Records'!$C:$C,$H158)="","End Date; ","")&amp;IF(AND(INDEX('Game Records'!$U:$U,$H158)&lt;&gt;"Subscription",INDEX('Game Records'!$U:$U,$H158)&lt;&gt;"Free Game",INDEX('Game Records'!$U:$U,$H158)&lt;&gt;"Disqualified — Free Game",OR(INDEX('Game Records'!$D:$D,$H158)="",LOWER(INDEX('Game Records'!$D:$D,$H158)&amp;"")="n/a")),"Entry Mode; ","")&amp;IF(AND(INDEX('Game Records'!$U:$U,$H158)&lt;&gt;"Subscription",INDEX('Game Records'!$U:$U,$H158)&lt;&gt;"Free Game",INDEX('Game Records'!$U:$U,$H158)&lt;&gt;"Disqualified — Free Game",OR(INDEX('Game Records'!$E:$E,$H158)="",LOWER(INDEX('Game Records'!$E:$E,$H158)&amp;"")="n/a")),"Game Type; ","")&amp;IF(INDEX('Game Records'!$F:$F,$H158)="","Payment Type; ","")&amp;IF(AND(INDEX('Game Records'!$U:$U,$H158)&lt;&gt;"Subscription",INDEX('Game Records'!$U:$U,$H158)&lt;&gt;"Free Game",INDEX('Game Records'!$U:$U,$H158)&lt;&gt;"Disqualified — Free Game",INDEX('Game Records'!$G:$G,$H158)=""),"Gross Pot; ","")&amp;IF(AND(INDEX('Game Records'!$U:$U,$H158)&lt;&gt;"Free Game",INDEX('Game Records'!$U:$U,$H158)&lt;&gt;"Disqualified — Free Game",INDEX('Game Records'!$H:$H,$H158)=""),"Entry Fee; ","")&amp;IF(AND(INDEX('Game Records'!$U:$U,$H158)&lt;&gt;"Subscription",INDEX('Game Records'!$U:$U,$H158)&lt;&gt;"Free Game",INDEX('Game Records'!$U:$U,$H158)&lt;&gt;"Disqualified — Free Game",INDEX('Game Records'!$I:$I,$H158)=""),"Eligible Players; ","")&amp;IF(AND(INDEX('Game Records'!$U:$U,$H158)&lt;&gt;"Subscription",INDEX('Game Records'!$U:$U,$H158)&lt;&gt;"Free Game",INDEX('Game Records'!$U:$U,$H158)&lt;&gt;"Disqualified — Free Game",INDEX('Game Records'!$J:$J,$H158)=""),"Total Players; ","")&amp;IF(AND(LOWER(INDEX('Game Records'!$D:$D,$H158)&amp;"")="finalized",LOWER(INDEX('Game Records'!$L:$L,$H158)&amp;"")&lt;&gt;"yes",INDEX('Game Records'!$U:$U,$H158)&lt;&gt;"Subscription",INDEX('Game Records'!$U:$U,$H158)&lt;&gt;"Free Game",INDEX('Game Records'!$U:$U,$H158)&lt;&gt;"Disqualified — Free Game",INDEX('Game Records'!$K:$K,$H158)=""),"Final Earned; ","")&amp;IF(AND(LOWER(INDEX('Game Records'!$D:$D,$H158)&amp;"")="finalized",INDEX('Game Records'!$U:$U,$H158)&lt;&gt;"Subscription",INDEX('Game Records'!$U:$U,$H158)&lt;&gt;"Free Game",INDEX('Game Records'!$U:$U,$H158)&lt;&gt;"Disqualified — Free Game",OR(INDEX('Game Records'!$L:$L,$H158)="",LOWER(INDEX('Game Records'!$L:$L,$H158)&amp;"")="n/a")),"Disqualified Status; ",""))</x:f>
        <x:v/>
      </x:c>
      <x:c r="G158" s="331" t="str">
        <x:f>IF($H158="","",IFERROR(INDEX('Game Records'!$M:$M,$H158),""))</x:f>
        <x:v/>
      </x:c>
      <x:c r="H158" s="104" t="str">
        <x:f>IF($H157="","",IFERROR(MATCH(1,INDEX((ROW('Game Records'!$U$5:$U$504)&gt;$H157)*(('Game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8" s="104"/>
      <x:c r="J158" s="104"/>
    </x:row>
    <x:row r="159" ht="24" hidden="0" customHeight="1">
      <x:c r="A159" s="332" t="str">
        <x:f>IF($H159="","",ROWS($A$5:A159))</x:f>
        <x:v/>
      </x:c>
      <x:c r="B159" s="332" t="str">
        <x:f>IF($H159="","","G-"&amp;TEXT($A159,"0000"))</x:f>
        <x:v/>
      </x:c>
      <x:c r="C159" s="331" t="str">
        <x:f>IF($H159="","",IFERROR(INDEX('Game Records'!$A:$A,$H159),""))</x:f>
        <x:v/>
      </x:c>
      <x:c r="D159" s="331" t="str">
        <x:f>IF($H159="","",IFERROR(INDEX('Game Records'!$U:$U,$H159),""))</x:f>
        <x:v/>
      </x:c>
      <x:c r="E159" s="331" t="str">
        <x:f>IF($H159="","",IF($F159="","No Highlighted Fields","Highlighted Fields Present"))</x:f>
        <x:v/>
      </x:c>
      <x:c r="F159" s="331" t="str">
        <x:f>IF($H159="","",IF(INDEX('Game Records'!$B:$B,$H159)="","Start Date; ","")&amp;IF(INDEX('Game Records'!$C:$C,$H159)="","End Date; ","")&amp;IF(AND(INDEX('Game Records'!$U:$U,$H159)&lt;&gt;"Subscription",INDEX('Game Records'!$U:$U,$H159)&lt;&gt;"Free Game",INDEX('Game Records'!$U:$U,$H159)&lt;&gt;"Disqualified — Free Game",OR(INDEX('Game Records'!$D:$D,$H159)="",LOWER(INDEX('Game Records'!$D:$D,$H159)&amp;"")="n/a")),"Entry Mode; ","")&amp;IF(AND(INDEX('Game Records'!$U:$U,$H159)&lt;&gt;"Subscription",INDEX('Game Records'!$U:$U,$H159)&lt;&gt;"Free Game",INDEX('Game Records'!$U:$U,$H159)&lt;&gt;"Disqualified — Free Game",OR(INDEX('Game Records'!$E:$E,$H159)="",LOWER(INDEX('Game Records'!$E:$E,$H159)&amp;"")="n/a")),"Game Type; ","")&amp;IF(INDEX('Game Records'!$F:$F,$H159)="","Payment Type; ","")&amp;IF(AND(INDEX('Game Records'!$U:$U,$H159)&lt;&gt;"Subscription",INDEX('Game Records'!$U:$U,$H159)&lt;&gt;"Free Game",INDEX('Game Records'!$U:$U,$H159)&lt;&gt;"Disqualified — Free Game",INDEX('Game Records'!$G:$G,$H159)=""),"Gross Pot; ","")&amp;IF(AND(INDEX('Game Records'!$U:$U,$H159)&lt;&gt;"Free Game",INDEX('Game Records'!$U:$U,$H159)&lt;&gt;"Disqualified — Free Game",INDEX('Game Records'!$H:$H,$H159)=""),"Entry Fee; ","")&amp;IF(AND(INDEX('Game Records'!$U:$U,$H159)&lt;&gt;"Subscription",INDEX('Game Records'!$U:$U,$H159)&lt;&gt;"Free Game",INDEX('Game Records'!$U:$U,$H159)&lt;&gt;"Disqualified — Free Game",INDEX('Game Records'!$I:$I,$H159)=""),"Eligible Players; ","")&amp;IF(AND(INDEX('Game Records'!$U:$U,$H159)&lt;&gt;"Subscription",INDEX('Game Records'!$U:$U,$H159)&lt;&gt;"Free Game",INDEX('Game Records'!$U:$U,$H159)&lt;&gt;"Disqualified — Free Game",INDEX('Game Records'!$J:$J,$H159)=""),"Total Players; ","")&amp;IF(AND(LOWER(INDEX('Game Records'!$D:$D,$H159)&amp;"")="finalized",LOWER(INDEX('Game Records'!$L:$L,$H159)&amp;"")&lt;&gt;"yes",INDEX('Game Records'!$U:$U,$H159)&lt;&gt;"Subscription",INDEX('Game Records'!$U:$U,$H159)&lt;&gt;"Free Game",INDEX('Game Records'!$U:$U,$H159)&lt;&gt;"Disqualified — Free Game",INDEX('Game Records'!$K:$K,$H159)=""),"Final Earned; ","")&amp;IF(AND(LOWER(INDEX('Game Records'!$D:$D,$H159)&amp;"")="finalized",INDEX('Game Records'!$U:$U,$H159)&lt;&gt;"Subscription",INDEX('Game Records'!$U:$U,$H159)&lt;&gt;"Free Game",INDEX('Game Records'!$U:$U,$H159)&lt;&gt;"Disqualified — Free Game",OR(INDEX('Game Records'!$L:$L,$H159)="",LOWER(INDEX('Game Records'!$L:$L,$H159)&amp;"")="n/a")),"Disqualified Status; ",""))</x:f>
        <x:v/>
      </x:c>
      <x:c r="G159" s="331" t="str">
        <x:f>IF($H159="","",IFERROR(INDEX('Game Records'!$M:$M,$H159),""))</x:f>
        <x:v/>
      </x:c>
      <x:c r="H159" s="104" t="str">
        <x:f>IF($H158="","",IFERROR(MATCH(1,INDEX((ROW('Game Records'!$U$5:$U$504)&gt;$H158)*(('Game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59" s="104"/>
      <x:c r="J159" s="104"/>
    </x:row>
    <x:row r="160" ht="24" hidden="0" customHeight="1">
      <x:c r="A160" s="332" t="str">
        <x:f>IF($H160="","",ROWS($A$5:A160))</x:f>
        <x:v/>
      </x:c>
      <x:c r="B160" s="332" t="str">
        <x:f>IF($H160="","","G-"&amp;TEXT($A160,"0000"))</x:f>
        <x:v/>
      </x:c>
      <x:c r="C160" s="331" t="str">
        <x:f>IF($H160="","",IFERROR(INDEX('Game Records'!$A:$A,$H160),""))</x:f>
        <x:v/>
      </x:c>
      <x:c r="D160" s="331" t="str">
        <x:f>IF($H160="","",IFERROR(INDEX('Game Records'!$U:$U,$H160),""))</x:f>
        <x:v/>
      </x:c>
      <x:c r="E160" s="331" t="str">
        <x:f>IF($H160="","",IF($F160="","No Highlighted Fields","Highlighted Fields Present"))</x:f>
        <x:v/>
      </x:c>
      <x:c r="F160" s="331" t="str">
        <x:f>IF($H160="","",IF(INDEX('Game Records'!$B:$B,$H160)="","Start Date; ","")&amp;IF(INDEX('Game Records'!$C:$C,$H160)="","End Date; ","")&amp;IF(AND(INDEX('Game Records'!$U:$U,$H160)&lt;&gt;"Subscription",INDEX('Game Records'!$U:$U,$H160)&lt;&gt;"Free Game",INDEX('Game Records'!$U:$U,$H160)&lt;&gt;"Disqualified — Free Game",OR(INDEX('Game Records'!$D:$D,$H160)="",LOWER(INDEX('Game Records'!$D:$D,$H160)&amp;"")="n/a")),"Entry Mode; ","")&amp;IF(AND(INDEX('Game Records'!$U:$U,$H160)&lt;&gt;"Subscription",INDEX('Game Records'!$U:$U,$H160)&lt;&gt;"Free Game",INDEX('Game Records'!$U:$U,$H160)&lt;&gt;"Disqualified — Free Game",OR(INDEX('Game Records'!$E:$E,$H160)="",LOWER(INDEX('Game Records'!$E:$E,$H160)&amp;"")="n/a")),"Game Type; ","")&amp;IF(INDEX('Game Records'!$F:$F,$H160)="","Payment Type; ","")&amp;IF(AND(INDEX('Game Records'!$U:$U,$H160)&lt;&gt;"Subscription",INDEX('Game Records'!$U:$U,$H160)&lt;&gt;"Free Game",INDEX('Game Records'!$U:$U,$H160)&lt;&gt;"Disqualified — Free Game",INDEX('Game Records'!$G:$G,$H160)=""),"Gross Pot; ","")&amp;IF(AND(INDEX('Game Records'!$U:$U,$H160)&lt;&gt;"Free Game",INDEX('Game Records'!$U:$U,$H160)&lt;&gt;"Disqualified — Free Game",INDEX('Game Records'!$H:$H,$H160)=""),"Entry Fee; ","")&amp;IF(AND(INDEX('Game Records'!$U:$U,$H160)&lt;&gt;"Subscription",INDEX('Game Records'!$U:$U,$H160)&lt;&gt;"Free Game",INDEX('Game Records'!$U:$U,$H160)&lt;&gt;"Disqualified — Free Game",INDEX('Game Records'!$I:$I,$H160)=""),"Eligible Players; ","")&amp;IF(AND(INDEX('Game Records'!$U:$U,$H160)&lt;&gt;"Subscription",INDEX('Game Records'!$U:$U,$H160)&lt;&gt;"Free Game",INDEX('Game Records'!$U:$U,$H160)&lt;&gt;"Disqualified — Free Game",INDEX('Game Records'!$J:$J,$H160)=""),"Total Players; ","")&amp;IF(AND(LOWER(INDEX('Game Records'!$D:$D,$H160)&amp;"")="finalized",LOWER(INDEX('Game Records'!$L:$L,$H160)&amp;"")&lt;&gt;"yes",INDEX('Game Records'!$U:$U,$H160)&lt;&gt;"Subscription",INDEX('Game Records'!$U:$U,$H160)&lt;&gt;"Free Game",INDEX('Game Records'!$U:$U,$H160)&lt;&gt;"Disqualified — Free Game",INDEX('Game Records'!$K:$K,$H160)=""),"Final Earned; ","")&amp;IF(AND(LOWER(INDEX('Game Records'!$D:$D,$H160)&amp;"")="finalized",INDEX('Game Records'!$U:$U,$H160)&lt;&gt;"Subscription",INDEX('Game Records'!$U:$U,$H160)&lt;&gt;"Free Game",INDEX('Game Records'!$U:$U,$H160)&lt;&gt;"Disqualified — Free Game",OR(INDEX('Game Records'!$L:$L,$H160)="",LOWER(INDEX('Game Records'!$L:$L,$H160)&amp;"")="n/a")),"Disqualified Status; ",""))</x:f>
        <x:v/>
      </x:c>
      <x:c r="G160" s="331" t="str">
        <x:f>IF($H160="","",IFERROR(INDEX('Game Records'!$M:$M,$H160),""))</x:f>
        <x:v/>
      </x:c>
      <x:c r="H160" s="104" t="str">
        <x:f>IF($H159="","",IFERROR(MATCH(1,INDEX((ROW('Game Records'!$U$5:$U$504)&gt;$H159)*(('Game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0" s="104"/>
      <x:c r="J160" s="104"/>
    </x:row>
    <x:row r="161" ht="24" hidden="0" customHeight="1">
      <x:c r="A161" s="332" t="str">
        <x:f>IF($H161="","",ROWS($A$5:A161))</x:f>
        <x:v/>
      </x:c>
      <x:c r="B161" s="332" t="str">
        <x:f>IF($H161="","","G-"&amp;TEXT($A161,"0000"))</x:f>
        <x:v/>
      </x:c>
      <x:c r="C161" s="331" t="str">
        <x:f>IF($H161="","",IFERROR(INDEX('Game Records'!$A:$A,$H161),""))</x:f>
        <x:v/>
      </x:c>
      <x:c r="D161" s="331" t="str">
        <x:f>IF($H161="","",IFERROR(INDEX('Game Records'!$U:$U,$H161),""))</x:f>
        <x:v/>
      </x:c>
      <x:c r="E161" s="331" t="str">
        <x:f>IF($H161="","",IF($F161="","No Highlighted Fields","Highlighted Fields Present"))</x:f>
        <x:v/>
      </x:c>
      <x:c r="F161" s="331" t="str">
        <x:f>IF($H161="","",IF(INDEX('Game Records'!$B:$B,$H161)="","Start Date; ","")&amp;IF(INDEX('Game Records'!$C:$C,$H161)="","End Date; ","")&amp;IF(AND(INDEX('Game Records'!$U:$U,$H161)&lt;&gt;"Subscription",INDEX('Game Records'!$U:$U,$H161)&lt;&gt;"Free Game",INDEX('Game Records'!$U:$U,$H161)&lt;&gt;"Disqualified — Free Game",OR(INDEX('Game Records'!$D:$D,$H161)="",LOWER(INDEX('Game Records'!$D:$D,$H161)&amp;"")="n/a")),"Entry Mode; ","")&amp;IF(AND(INDEX('Game Records'!$U:$U,$H161)&lt;&gt;"Subscription",INDEX('Game Records'!$U:$U,$H161)&lt;&gt;"Free Game",INDEX('Game Records'!$U:$U,$H161)&lt;&gt;"Disqualified — Free Game",OR(INDEX('Game Records'!$E:$E,$H161)="",LOWER(INDEX('Game Records'!$E:$E,$H161)&amp;"")="n/a")),"Game Type; ","")&amp;IF(INDEX('Game Records'!$F:$F,$H161)="","Payment Type; ","")&amp;IF(AND(INDEX('Game Records'!$U:$U,$H161)&lt;&gt;"Subscription",INDEX('Game Records'!$U:$U,$H161)&lt;&gt;"Free Game",INDEX('Game Records'!$U:$U,$H161)&lt;&gt;"Disqualified — Free Game",INDEX('Game Records'!$G:$G,$H161)=""),"Gross Pot; ","")&amp;IF(AND(INDEX('Game Records'!$U:$U,$H161)&lt;&gt;"Free Game",INDEX('Game Records'!$U:$U,$H161)&lt;&gt;"Disqualified — Free Game",INDEX('Game Records'!$H:$H,$H161)=""),"Entry Fee; ","")&amp;IF(AND(INDEX('Game Records'!$U:$U,$H161)&lt;&gt;"Subscription",INDEX('Game Records'!$U:$U,$H161)&lt;&gt;"Free Game",INDEX('Game Records'!$U:$U,$H161)&lt;&gt;"Disqualified — Free Game",INDEX('Game Records'!$I:$I,$H161)=""),"Eligible Players; ","")&amp;IF(AND(INDEX('Game Records'!$U:$U,$H161)&lt;&gt;"Subscription",INDEX('Game Records'!$U:$U,$H161)&lt;&gt;"Free Game",INDEX('Game Records'!$U:$U,$H161)&lt;&gt;"Disqualified — Free Game",INDEX('Game Records'!$J:$J,$H161)=""),"Total Players; ","")&amp;IF(AND(LOWER(INDEX('Game Records'!$D:$D,$H161)&amp;"")="finalized",LOWER(INDEX('Game Records'!$L:$L,$H161)&amp;"")&lt;&gt;"yes",INDEX('Game Records'!$U:$U,$H161)&lt;&gt;"Subscription",INDEX('Game Records'!$U:$U,$H161)&lt;&gt;"Free Game",INDEX('Game Records'!$U:$U,$H161)&lt;&gt;"Disqualified — Free Game",INDEX('Game Records'!$K:$K,$H161)=""),"Final Earned; ","")&amp;IF(AND(LOWER(INDEX('Game Records'!$D:$D,$H161)&amp;"")="finalized",INDEX('Game Records'!$U:$U,$H161)&lt;&gt;"Subscription",INDEX('Game Records'!$U:$U,$H161)&lt;&gt;"Free Game",INDEX('Game Records'!$U:$U,$H161)&lt;&gt;"Disqualified — Free Game",OR(INDEX('Game Records'!$L:$L,$H161)="",LOWER(INDEX('Game Records'!$L:$L,$H161)&amp;"")="n/a")),"Disqualified Status; ",""))</x:f>
        <x:v/>
      </x:c>
      <x:c r="G161" s="331" t="str">
        <x:f>IF($H161="","",IFERROR(INDEX('Game Records'!$M:$M,$H161),""))</x:f>
        <x:v/>
      </x:c>
      <x:c r="H161" s="104" t="str">
        <x:f>IF($H160="","",IFERROR(MATCH(1,INDEX((ROW('Game Records'!$U$5:$U$504)&gt;$H160)*(('Game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1" s="104"/>
      <x:c r="J161" s="104"/>
    </x:row>
    <x:row r="162" ht="24" hidden="0" customHeight="1">
      <x:c r="A162" s="332" t="str">
        <x:f>IF($H162="","",ROWS($A$5:A162))</x:f>
        <x:v/>
      </x:c>
      <x:c r="B162" s="332" t="str">
        <x:f>IF($H162="","","G-"&amp;TEXT($A162,"0000"))</x:f>
        <x:v/>
      </x:c>
      <x:c r="C162" s="331" t="str">
        <x:f>IF($H162="","",IFERROR(INDEX('Game Records'!$A:$A,$H162),""))</x:f>
        <x:v/>
      </x:c>
      <x:c r="D162" s="331" t="str">
        <x:f>IF($H162="","",IFERROR(INDEX('Game Records'!$U:$U,$H162),""))</x:f>
        <x:v/>
      </x:c>
      <x:c r="E162" s="331" t="str">
        <x:f>IF($H162="","",IF($F162="","No Highlighted Fields","Highlighted Fields Present"))</x:f>
        <x:v/>
      </x:c>
      <x:c r="F162" s="331" t="str">
        <x:f>IF($H162="","",IF(INDEX('Game Records'!$B:$B,$H162)="","Start Date; ","")&amp;IF(INDEX('Game Records'!$C:$C,$H162)="","End Date; ","")&amp;IF(AND(INDEX('Game Records'!$U:$U,$H162)&lt;&gt;"Subscription",INDEX('Game Records'!$U:$U,$H162)&lt;&gt;"Free Game",INDEX('Game Records'!$U:$U,$H162)&lt;&gt;"Disqualified — Free Game",OR(INDEX('Game Records'!$D:$D,$H162)="",LOWER(INDEX('Game Records'!$D:$D,$H162)&amp;"")="n/a")),"Entry Mode; ","")&amp;IF(AND(INDEX('Game Records'!$U:$U,$H162)&lt;&gt;"Subscription",INDEX('Game Records'!$U:$U,$H162)&lt;&gt;"Free Game",INDEX('Game Records'!$U:$U,$H162)&lt;&gt;"Disqualified — Free Game",OR(INDEX('Game Records'!$E:$E,$H162)="",LOWER(INDEX('Game Records'!$E:$E,$H162)&amp;"")="n/a")),"Game Type; ","")&amp;IF(INDEX('Game Records'!$F:$F,$H162)="","Payment Type; ","")&amp;IF(AND(INDEX('Game Records'!$U:$U,$H162)&lt;&gt;"Subscription",INDEX('Game Records'!$U:$U,$H162)&lt;&gt;"Free Game",INDEX('Game Records'!$U:$U,$H162)&lt;&gt;"Disqualified — Free Game",INDEX('Game Records'!$G:$G,$H162)=""),"Gross Pot; ","")&amp;IF(AND(INDEX('Game Records'!$U:$U,$H162)&lt;&gt;"Free Game",INDEX('Game Records'!$U:$U,$H162)&lt;&gt;"Disqualified — Free Game",INDEX('Game Records'!$H:$H,$H162)=""),"Entry Fee; ","")&amp;IF(AND(INDEX('Game Records'!$U:$U,$H162)&lt;&gt;"Subscription",INDEX('Game Records'!$U:$U,$H162)&lt;&gt;"Free Game",INDEX('Game Records'!$U:$U,$H162)&lt;&gt;"Disqualified — Free Game",INDEX('Game Records'!$I:$I,$H162)=""),"Eligible Players; ","")&amp;IF(AND(INDEX('Game Records'!$U:$U,$H162)&lt;&gt;"Subscription",INDEX('Game Records'!$U:$U,$H162)&lt;&gt;"Free Game",INDEX('Game Records'!$U:$U,$H162)&lt;&gt;"Disqualified — Free Game",INDEX('Game Records'!$J:$J,$H162)=""),"Total Players; ","")&amp;IF(AND(LOWER(INDEX('Game Records'!$D:$D,$H162)&amp;"")="finalized",LOWER(INDEX('Game Records'!$L:$L,$H162)&amp;"")&lt;&gt;"yes",INDEX('Game Records'!$U:$U,$H162)&lt;&gt;"Subscription",INDEX('Game Records'!$U:$U,$H162)&lt;&gt;"Free Game",INDEX('Game Records'!$U:$U,$H162)&lt;&gt;"Disqualified — Free Game",INDEX('Game Records'!$K:$K,$H162)=""),"Final Earned; ","")&amp;IF(AND(LOWER(INDEX('Game Records'!$D:$D,$H162)&amp;"")="finalized",INDEX('Game Records'!$U:$U,$H162)&lt;&gt;"Subscription",INDEX('Game Records'!$U:$U,$H162)&lt;&gt;"Free Game",INDEX('Game Records'!$U:$U,$H162)&lt;&gt;"Disqualified — Free Game",OR(INDEX('Game Records'!$L:$L,$H162)="",LOWER(INDEX('Game Records'!$L:$L,$H162)&amp;"")="n/a")),"Disqualified Status; ",""))</x:f>
        <x:v/>
      </x:c>
      <x:c r="G162" s="331" t="str">
        <x:f>IF($H162="","",IFERROR(INDEX('Game Records'!$M:$M,$H162),""))</x:f>
        <x:v/>
      </x:c>
      <x:c r="H162" s="104" t="str">
        <x:f>IF($H161="","",IFERROR(MATCH(1,INDEX((ROW('Game Records'!$U$5:$U$504)&gt;$H161)*(('Game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2" s="104"/>
      <x:c r="J162" s="104"/>
    </x:row>
    <x:row r="163" ht="24" hidden="0" customHeight="1">
      <x:c r="A163" s="332" t="str">
        <x:f>IF($H163="","",ROWS($A$5:A163))</x:f>
        <x:v/>
      </x:c>
      <x:c r="B163" s="332" t="str">
        <x:f>IF($H163="","","G-"&amp;TEXT($A163,"0000"))</x:f>
        <x:v/>
      </x:c>
      <x:c r="C163" s="331" t="str">
        <x:f>IF($H163="","",IFERROR(INDEX('Game Records'!$A:$A,$H163),""))</x:f>
        <x:v/>
      </x:c>
      <x:c r="D163" s="331" t="str">
        <x:f>IF($H163="","",IFERROR(INDEX('Game Records'!$U:$U,$H163),""))</x:f>
        <x:v/>
      </x:c>
      <x:c r="E163" s="331" t="str">
        <x:f>IF($H163="","",IF($F163="","No Highlighted Fields","Highlighted Fields Present"))</x:f>
        <x:v/>
      </x:c>
      <x:c r="F163" s="331" t="str">
        <x:f>IF($H163="","",IF(INDEX('Game Records'!$B:$B,$H163)="","Start Date; ","")&amp;IF(INDEX('Game Records'!$C:$C,$H163)="","End Date; ","")&amp;IF(AND(INDEX('Game Records'!$U:$U,$H163)&lt;&gt;"Subscription",INDEX('Game Records'!$U:$U,$H163)&lt;&gt;"Free Game",INDEX('Game Records'!$U:$U,$H163)&lt;&gt;"Disqualified — Free Game",OR(INDEX('Game Records'!$D:$D,$H163)="",LOWER(INDEX('Game Records'!$D:$D,$H163)&amp;"")="n/a")),"Entry Mode; ","")&amp;IF(AND(INDEX('Game Records'!$U:$U,$H163)&lt;&gt;"Subscription",INDEX('Game Records'!$U:$U,$H163)&lt;&gt;"Free Game",INDEX('Game Records'!$U:$U,$H163)&lt;&gt;"Disqualified — Free Game",OR(INDEX('Game Records'!$E:$E,$H163)="",LOWER(INDEX('Game Records'!$E:$E,$H163)&amp;"")="n/a")),"Game Type; ","")&amp;IF(INDEX('Game Records'!$F:$F,$H163)="","Payment Type; ","")&amp;IF(AND(INDEX('Game Records'!$U:$U,$H163)&lt;&gt;"Subscription",INDEX('Game Records'!$U:$U,$H163)&lt;&gt;"Free Game",INDEX('Game Records'!$U:$U,$H163)&lt;&gt;"Disqualified — Free Game",INDEX('Game Records'!$G:$G,$H163)=""),"Gross Pot; ","")&amp;IF(AND(INDEX('Game Records'!$U:$U,$H163)&lt;&gt;"Free Game",INDEX('Game Records'!$U:$U,$H163)&lt;&gt;"Disqualified — Free Game",INDEX('Game Records'!$H:$H,$H163)=""),"Entry Fee; ","")&amp;IF(AND(INDEX('Game Records'!$U:$U,$H163)&lt;&gt;"Subscription",INDEX('Game Records'!$U:$U,$H163)&lt;&gt;"Free Game",INDEX('Game Records'!$U:$U,$H163)&lt;&gt;"Disqualified — Free Game",INDEX('Game Records'!$I:$I,$H163)=""),"Eligible Players; ","")&amp;IF(AND(INDEX('Game Records'!$U:$U,$H163)&lt;&gt;"Subscription",INDEX('Game Records'!$U:$U,$H163)&lt;&gt;"Free Game",INDEX('Game Records'!$U:$U,$H163)&lt;&gt;"Disqualified — Free Game",INDEX('Game Records'!$J:$J,$H163)=""),"Total Players; ","")&amp;IF(AND(LOWER(INDEX('Game Records'!$D:$D,$H163)&amp;"")="finalized",LOWER(INDEX('Game Records'!$L:$L,$H163)&amp;"")&lt;&gt;"yes",INDEX('Game Records'!$U:$U,$H163)&lt;&gt;"Subscription",INDEX('Game Records'!$U:$U,$H163)&lt;&gt;"Free Game",INDEX('Game Records'!$U:$U,$H163)&lt;&gt;"Disqualified — Free Game",INDEX('Game Records'!$K:$K,$H163)=""),"Final Earned; ","")&amp;IF(AND(LOWER(INDEX('Game Records'!$D:$D,$H163)&amp;"")="finalized",INDEX('Game Records'!$U:$U,$H163)&lt;&gt;"Subscription",INDEX('Game Records'!$U:$U,$H163)&lt;&gt;"Free Game",INDEX('Game Records'!$U:$U,$H163)&lt;&gt;"Disqualified — Free Game",OR(INDEX('Game Records'!$L:$L,$H163)="",LOWER(INDEX('Game Records'!$L:$L,$H163)&amp;"")="n/a")),"Disqualified Status; ",""))</x:f>
        <x:v/>
      </x:c>
      <x:c r="G163" s="331" t="str">
        <x:f>IF($H163="","",IFERROR(INDEX('Game Records'!$M:$M,$H163),""))</x:f>
        <x:v/>
      </x:c>
      <x:c r="H163" s="104" t="str">
        <x:f>IF($H162="","",IFERROR(MATCH(1,INDEX((ROW('Game Records'!$U$5:$U$504)&gt;$H162)*(('Game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3" s="104"/>
      <x:c r="J163" s="104"/>
    </x:row>
    <x:row r="164" ht="24" hidden="0" customHeight="1">
      <x:c r="A164" s="332" t="str">
        <x:f>IF($H164="","",ROWS($A$5:A164))</x:f>
        <x:v/>
      </x:c>
      <x:c r="B164" s="332" t="str">
        <x:f>IF($H164="","","G-"&amp;TEXT($A164,"0000"))</x:f>
        <x:v/>
      </x:c>
      <x:c r="C164" s="331" t="str">
        <x:f>IF($H164="","",IFERROR(INDEX('Game Records'!$A:$A,$H164),""))</x:f>
        <x:v/>
      </x:c>
      <x:c r="D164" s="331" t="str">
        <x:f>IF($H164="","",IFERROR(INDEX('Game Records'!$U:$U,$H164),""))</x:f>
        <x:v/>
      </x:c>
      <x:c r="E164" s="331" t="str">
        <x:f>IF($H164="","",IF($F164="","No Highlighted Fields","Highlighted Fields Present"))</x:f>
        <x:v/>
      </x:c>
      <x:c r="F164" s="331" t="str">
        <x:f>IF($H164="","",IF(INDEX('Game Records'!$B:$B,$H164)="","Start Date; ","")&amp;IF(INDEX('Game Records'!$C:$C,$H164)="","End Date; ","")&amp;IF(AND(INDEX('Game Records'!$U:$U,$H164)&lt;&gt;"Subscription",INDEX('Game Records'!$U:$U,$H164)&lt;&gt;"Free Game",INDEX('Game Records'!$U:$U,$H164)&lt;&gt;"Disqualified — Free Game",OR(INDEX('Game Records'!$D:$D,$H164)="",LOWER(INDEX('Game Records'!$D:$D,$H164)&amp;"")="n/a")),"Entry Mode; ","")&amp;IF(AND(INDEX('Game Records'!$U:$U,$H164)&lt;&gt;"Subscription",INDEX('Game Records'!$U:$U,$H164)&lt;&gt;"Free Game",INDEX('Game Records'!$U:$U,$H164)&lt;&gt;"Disqualified — Free Game",OR(INDEX('Game Records'!$E:$E,$H164)="",LOWER(INDEX('Game Records'!$E:$E,$H164)&amp;"")="n/a")),"Game Type; ","")&amp;IF(INDEX('Game Records'!$F:$F,$H164)="","Payment Type; ","")&amp;IF(AND(INDEX('Game Records'!$U:$U,$H164)&lt;&gt;"Subscription",INDEX('Game Records'!$U:$U,$H164)&lt;&gt;"Free Game",INDEX('Game Records'!$U:$U,$H164)&lt;&gt;"Disqualified — Free Game",INDEX('Game Records'!$G:$G,$H164)=""),"Gross Pot; ","")&amp;IF(AND(INDEX('Game Records'!$U:$U,$H164)&lt;&gt;"Free Game",INDEX('Game Records'!$U:$U,$H164)&lt;&gt;"Disqualified — Free Game",INDEX('Game Records'!$H:$H,$H164)=""),"Entry Fee; ","")&amp;IF(AND(INDEX('Game Records'!$U:$U,$H164)&lt;&gt;"Subscription",INDEX('Game Records'!$U:$U,$H164)&lt;&gt;"Free Game",INDEX('Game Records'!$U:$U,$H164)&lt;&gt;"Disqualified — Free Game",INDEX('Game Records'!$I:$I,$H164)=""),"Eligible Players; ","")&amp;IF(AND(INDEX('Game Records'!$U:$U,$H164)&lt;&gt;"Subscription",INDEX('Game Records'!$U:$U,$H164)&lt;&gt;"Free Game",INDEX('Game Records'!$U:$U,$H164)&lt;&gt;"Disqualified — Free Game",INDEX('Game Records'!$J:$J,$H164)=""),"Total Players; ","")&amp;IF(AND(LOWER(INDEX('Game Records'!$D:$D,$H164)&amp;"")="finalized",LOWER(INDEX('Game Records'!$L:$L,$H164)&amp;"")&lt;&gt;"yes",INDEX('Game Records'!$U:$U,$H164)&lt;&gt;"Subscription",INDEX('Game Records'!$U:$U,$H164)&lt;&gt;"Free Game",INDEX('Game Records'!$U:$U,$H164)&lt;&gt;"Disqualified — Free Game",INDEX('Game Records'!$K:$K,$H164)=""),"Final Earned; ","")&amp;IF(AND(LOWER(INDEX('Game Records'!$D:$D,$H164)&amp;"")="finalized",INDEX('Game Records'!$U:$U,$H164)&lt;&gt;"Subscription",INDEX('Game Records'!$U:$U,$H164)&lt;&gt;"Free Game",INDEX('Game Records'!$U:$U,$H164)&lt;&gt;"Disqualified — Free Game",OR(INDEX('Game Records'!$L:$L,$H164)="",LOWER(INDEX('Game Records'!$L:$L,$H164)&amp;"")="n/a")),"Disqualified Status; ",""))</x:f>
        <x:v/>
      </x:c>
      <x:c r="G164" s="331" t="str">
        <x:f>IF($H164="","",IFERROR(INDEX('Game Records'!$M:$M,$H164),""))</x:f>
        <x:v/>
      </x:c>
      <x:c r="H164" s="104" t="str">
        <x:f>IF($H163="","",IFERROR(MATCH(1,INDEX((ROW('Game Records'!$U$5:$U$504)&gt;$H163)*(('Game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4" s="104"/>
      <x:c r="J164" s="104"/>
    </x:row>
    <x:row r="165" ht="24" hidden="0" customHeight="1">
      <x:c r="A165" s="332" t="str">
        <x:f>IF($H165="","",ROWS($A$5:A165))</x:f>
        <x:v/>
      </x:c>
      <x:c r="B165" s="332" t="str">
        <x:f>IF($H165="","","G-"&amp;TEXT($A165,"0000"))</x:f>
        <x:v/>
      </x:c>
      <x:c r="C165" s="331" t="str">
        <x:f>IF($H165="","",IFERROR(INDEX('Game Records'!$A:$A,$H165),""))</x:f>
        <x:v/>
      </x:c>
      <x:c r="D165" s="331" t="str">
        <x:f>IF($H165="","",IFERROR(INDEX('Game Records'!$U:$U,$H165),""))</x:f>
        <x:v/>
      </x:c>
      <x:c r="E165" s="331" t="str">
        <x:f>IF($H165="","",IF($F165="","No Highlighted Fields","Highlighted Fields Present"))</x:f>
        <x:v/>
      </x:c>
      <x:c r="F165" s="331" t="str">
        <x:f>IF($H165="","",IF(INDEX('Game Records'!$B:$B,$H165)="","Start Date; ","")&amp;IF(INDEX('Game Records'!$C:$C,$H165)="","End Date; ","")&amp;IF(AND(INDEX('Game Records'!$U:$U,$H165)&lt;&gt;"Subscription",INDEX('Game Records'!$U:$U,$H165)&lt;&gt;"Free Game",INDEX('Game Records'!$U:$U,$H165)&lt;&gt;"Disqualified — Free Game",OR(INDEX('Game Records'!$D:$D,$H165)="",LOWER(INDEX('Game Records'!$D:$D,$H165)&amp;"")="n/a")),"Entry Mode; ","")&amp;IF(AND(INDEX('Game Records'!$U:$U,$H165)&lt;&gt;"Subscription",INDEX('Game Records'!$U:$U,$H165)&lt;&gt;"Free Game",INDEX('Game Records'!$U:$U,$H165)&lt;&gt;"Disqualified — Free Game",OR(INDEX('Game Records'!$E:$E,$H165)="",LOWER(INDEX('Game Records'!$E:$E,$H165)&amp;"")="n/a")),"Game Type; ","")&amp;IF(INDEX('Game Records'!$F:$F,$H165)="","Payment Type; ","")&amp;IF(AND(INDEX('Game Records'!$U:$U,$H165)&lt;&gt;"Subscription",INDEX('Game Records'!$U:$U,$H165)&lt;&gt;"Free Game",INDEX('Game Records'!$U:$U,$H165)&lt;&gt;"Disqualified — Free Game",INDEX('Game Records'!$G:$G,$H165)=""),"Gross Pot; ","")&amp;IF(AND(INDEX('Game Records'!$U:$U,$H165)&lt;&gt;"Free Game",INDEX('Game Records'!$U:$U,$H165)&lt;&gt;"Disqualified — Free Game",INDEX('Game Records'!$H:$H,$H165)=""),"Entry Fee; ","")&amp;IF(AND(INDEX('Game Records'!$U:$U,$H165)&lt;&gt;"Subscription",INDEX('Game Records'!$U:$U,$H165)&lt;&gt;"Free Game",INDEX('Game Records'!$U:$U,$H165)&lt;&gt;"Disqualified — Free Game",INDEX('Game Records'!$I:$I,$H165)=""),"Eligible Players; ","")&amp;IF(AND(INDEX('Game Records'!$U:$U,$H165)&lt;&gt;"Subscription",INDEX('Game Records'!$U:$U,$H165)&lt;&gt;"Free Game",INDEX('Game Records'!$U:$U,$H165)&lt;&gt;"Disqualified — Free Game",INDEX('Game Records'!$J:$J,$H165)=""),"Total Players; ","")&amp;IF(AND(LOWER(INDEX('Game Records'!$D:$D,$H165)&amp;"")="finalized",LOWER(INDEX('Game Records'!$L:$L,$H165)&amp;"")&lt;&gt;"yes",INDEX('Game Records'!$U:$U,$H165)&lt;&gt;"Subscription",INDEX('Game Records'!$U:$U,$H165)&lt;&gt;"Free Game",INDEX('Game Records'!$U:$U,$H165)&lt;&gt;"Disqualified — Free Game",INDEX('Game Records'!$K:$K,$H165)=""),"Final Earned; ","")&amp;IF(AND(LOWER(INDEX('Game Records'!$D:$D,$H165)&amp;"")="finalized",INDEX('Game Records'!$U:$U,$H165)&lt;&gt;"Subscription",INDEX('Game Records'!$U:$U,$H165)&lt;&gt;"Free Game",INDEX('Game Records'!$U:$U,$H165)&lt;&gt;"Disqualified — Free Game",OR(INDEX('Game Records'!$L:$L,$H165)="",LOWER(INDEX('Game Records'!$L:$L,$H165)&amp;"")="n/a")),"Disqualified Status; ",""))</x:f>
        <x:v/>
      </x:c>
      <x:c r="G165" s="331" t="str">
        <x:f>IF($H165="","",IFERROR(INDEX('Game Records'!$M:$M,$H165),""))</x:f>
        <x:v/>
      </x:c>
      <x:c r="H165" s="104" t="str">
        <x:f>IF($H164="","",IFERROR(MATCH(1,INDEX((ROW('Game Records'!$U$5:$U$504)&gt;$H164)*(('Game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5" s="104"/>
      <x:c r="J165" s="104"/>
    </x:row>
    <x:row r="166" ht="24" hidden="0" customHeight="1">
      <x:c r="A166" s="332" t="str">
        <x:f>IF($H166="","",ROWS($A$5:A166))</x:f>
        <x:v/>
      </x:c>
      <x:c r="B166" s="332" t="str">
        <x:f>IF($H166="","","G-"&amp;TEXT($A166,"0000"))</x:f>
        <x:v/>
      </x:c>
      <x:c r="C166" s="331" t="str">
        <x:f>IF($H166="","",IFERROR(INDEX('Game Records'!$A:$A,$H166),""))</x:f>
        <x:v/>
      </x:c>
      <x:c r="D166" s="331" t="str">
        <x:f>IF($H166="","",IFERROR(INDEX('Game Records'!$U:$U,$H166),""))</x:f>
        <x:v/>
      </x:c>
      <x:c r="E166" s="331" t="str">
        <x:f>IF($H166="","",IF($F166="","No Highlighted Fields","Highlighted Fields Present"))</x:f>
        <x:v/>
      </x:c>
      <x:c r="F166" s="331" t="str">
        <x:f>IF($H166="","",IF(INDEX('Game Records'!$B:$B,$H166)="","Start Date; ","")&amp;IF(INDEX('Game Records'!$C:$C,$H166)="","End Date; ","")&amp;IF(AND(INDEX('Game Records'!$U:$U,$H166)&lt;&gt;"Subscription",INDEX('Game Records'!$U:$U,$H166)&lt;&gt;"Free Game",INDEX('Game Records'!$U:$U,$H166)&lt;&gt;"Disqualified — Free Game",OR(INDEX('Game Records'!$D:$D,$H166)="",LOWER(INDEX('Game Records'!$D:$D,$H166)&amp;"")="n/a")),"Entry Mode; ","")&amp;IF(AND(INDEX('Game Records'!$U:$U,$H166)&lt;&gt;"Subscription",INDEX('Game Records'!$U:$U,$H166)&lt;&gt;"Free Game",INDEX('Game Records'!$U:$U,$H166)&lt;&gt;"Disqualified — Free Game",OR(INDEX('Game Records'!$E:$E,$H166)="",LOWER(INDEX('Game Records'!$E:$E,$H166)&amp;"")="n/a")),"Game Type; ","")&amp;IF(INDEX('Game Records'!$F:$F,$H166)="","Payment Type; ","")&amp;IF(AND(INDEX('Game Records'!$U:$U,$H166)&lt;&gt;"Subscription",INDEX('Game Records'!$U:$U,$H166)&lt;&gt;"Free Game",INDEX('Game Records'!$U:$U,$H166)&lt;&gt;"Disqualified — Free Game",INDEX('Game Records'!$G:$G,$H166)=""),"Gross Pot; ","")&amp;IF(AND(INDEX('Game Records'!$U:$U,$H166)&lt;&gt;"Free Game",INDEX('Game Records'!$U:$U,$H166)&lt;&gt;"Disqualified — Free Game",INDEX('Game Records'!$H:$H,$H166)=""),"Entry Fee; ","")&amp;IF(AND(INDEX('Game Records'!$U:$U,$H166)&lt;&gt;"Subscription",INDEX('Game Records'!$U:$U,$H166)&lt;&gt;"Free Game",INDEX('Game Records'!$U:$U,$H166)&lt;&gt;"Disqualified — Free Game",INDEX('Game Records'!$I:$I,$H166)=""),"Eligible Players; ","")&amp;IF(AND(INDEX('Game Records'!$U:$U,$H166)&lt;&gt;"Subscription",INDEX('Game Records'!$U:$U,$H166)&lt;&gt;"Free Game",INDEX('Game Records'!$U:$U,$H166)&lt;&gt;"Disqualified — Free Game",INDEX('Game Records'!$J:$J,$H166)=""),"Total Players; ","")&amp;IF(AND(LOWER(INDEX('Game Records'!$D:$D,$H166)&amp;"")="finalized",LOWER(INDEX('Game Records'!$L:$L,$H166)&amp;"")&lt;&gt;"yes",INDEX('Game Records'!$U:$U,$H166)&lt;&gt;"Subscription",INDEX('Game Records'!$U:$U,$H166)&lt;&gt;"Free Game",INDEX('Game Records'!$U:$U,$H166)&lt;&gt;"Disqualified — Free Game",INDEX('Game Records'!$K:$K,$H166)=""),"Final Earned; ","")&amp;IF(AND(LOWER(INDEX('Game Records'!$D:$D,$H166)&amp;"")="finalized",INDEX('Game Records'!$U:$U,$H166)&lt;&gt;"Subscription",INDEX('Game Records'!$U:$U,$H166)&lt;&gt;"Free Game",INDEX('Game Records'!$U:$U,$H166)&lt;&gt;"Disqualified — Free Game",OR(INDEX('Game Records'!$L:$L,$H166)="",LOWER(INDEX('Game Records'!$L:$L,$H166)&amp;"")="n/a")),"Disqualified Status; ",""))</x:f>
        <x:v/>
      </x:c>
      <x:c r="G166" s="331" t="str">
        <x:f>IF($H166="","",IFERROR(INDEX('Game Records'!$M:$M,$H166),""))</x:f>
        <x:v/>
      </x:c>
      <x:c r="H166" s="104" t="str">
        <x:f>IF($H165="","",IFERROR(MATCH(1,INDEX((ROW('Game Records'!$U$5:$U$504)&gt;$H165)*(('Game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6" s="104"/>
      <x:c r="J166" s="104"/>
    </x:row>
    <x:row r="167" ht="24" hidden="0" customHeight="1">
      <x:c r="A167" s="332" t="str">
        <x:f>IF($H167="","",ROWS($A$5:A167))</x:f>
        <x:v/>
      </x:c>
      <x:c r="B167" s="332" t="str">
        <x:f>IF($H167="","","G-"&amp;TEXT($A167,"0000"))</x:f>
        <x:v/>
      </x:c>
      <x:c r="C167" s="331" t="str">
        <x:f>IF($H167="","",IFERROR(INDEX('Game Records'!$A:$A,$H167),""))</x:f>
        <x:v/>
      </x:c>
      <x:c r="D167" s="331" t="str">
        <x:f>IF($H167="","",IFERROR(INDEX('Game Records'!$U:$U,$H167),""))</x:f>
        <x:v/>
      </x:c>
      <x:c r="E167" s="331" t="str">
        <x:f>IF($H167="","",IF($F167="","No Highlighted Fields","Highlighted Fields Present"))</x:f>
        <x:v/>
      </x:c>
      <x:c r="F167" s="331" t="str">
        <x:f>IF($H167="","",IF(INDEX('Game Records'!$B:$B,$H167)="","Start Date; ","")&amp;IF(INDEX('Game Records'!$C:$C,$H167)="","End Date; ","")&amp;IF(AND(INDEX('Game Records'!$U:$U,$H167)&lt;&gt;"Subscription",INDEX('Game Records'!$U:$U,$H167)&lt;&gt;"Free Game",INDEX('Game Records'!$U:$U,$H167)&lt;&gt;"Disqualified — Free Game",OR(INDEX('Game Records'!$D:$D,$H167)="",LOWER(INDEX('Game Records'!$D:$D,$H167)&amp;"")="n/a")),"Entry Mode; ","")&amp;IF(AND(INDEX('Game Records'!$U:$U,$H167)&lt;&gt;"Subscription",INDEX('Game Records'!$U:$U,$H167)&lt;&gt;"Free Game",INDEX('Game Records'!$U:$U,$H167)&lt;&gt;"Disqualified — Free Game",OR(INDEX('Game Records'!$E:$E,$H167)="",LOWER(INDEX('Game Records'!$E:$E,$H167)&amp;"")="n/a")),"Game Type; ","")&amp;IF(INDEX('Game Records'!$F:$F,$H167)="","Payment Type; ","")&amp;IF(AND(INDEX('Game Records'!$U:$U,$H167)&lt;&gt;"Subscription",INDEX('Game Records'!$U:$U,$H167)&lt;&gt;"Free Game",INDEX('Game Records'!$U:$U,$H167)&lt;&gt;"Disqualified — Free Game",INDEX('Game Records'!$G:$G,$H167)=""),"Gross Pot; ","")&amp;IF(AND(INDEX('Game Records'!$U:$U,$H167)&lt;&gt;"Free Game",INDEX('Game Records'!$U:$U,$H167)&lt;&gt;"Disqualified — Free Game",INDEX('Game Records'!$H:$H,$H167)=""),"Entry Fee; ","")&amp;IF(AND(INDEX('Game Records'!$U:$U,$H167)&lt;&gt;"Subscription",INDEX('Game Records'!$U:$U,$H167)&lt;&gt;"Free Game",INDEX('Game Records'!$U:$U,$H167)&lt;&gt;"Disqualified — Free Game",INDEX('Game Records'!$I:$I,$H167)=""),"Eligible Players; ","")&amp;IF(AND(INDEX('Game Records'!$U:$U,$H167)&lt;&gt;"Subscription",INDEX('Game Records'!$U:$U,$H167)&lt;&gt;"Free Game",INDEX('Game Records'!$U:$U,$H167)&lt;&gt;"Disqualified — Free Game",INDEX('Game Records'!$J:$J,$H167)=""),"Total Players; ","")&amp;IF(AND(LOWER(INDEX('Game Records'!$D:$D,$H167)&amp;"")="finalized",LOWER(INDEX('Game Records'!$L:$L,$H167)&amp;"")&lt;&gt;"yes",INDEX('Game Records'!$U:$U,$H167)&lt;&gt;"Subscription",INDEX('Game Records'!$U:$U,$H167)&lt;&gt;"Free Game",INDEX('Game Records'!$U:$U,$H167)&lt;&gt;"Disqualified — Free Game",INDEX('Game Records'!$K:$K,$H167)=""),"Final Earned; ","")&amp;IF(AND(LOWER(INDEX('Game Records'!$D:$D,$H167)&amp;"")="finalized",INDEX('Game Records'!$U:$U,$H167)&lt;&gt;"Subscription",INDEX('Game Records'!$U:$U,$H167)&lt;&gt;"Free Game",INDEX('Game Records'!$U:$U,$H167)&lt;&gt;"Disqualified — Free Game",OR(INDEX('Game Records'!$L:$L,$H167)="",LOWER(INDEX('Game Records'!$L:$L,$H167)&amp;"")="n/a")),"Disqualified Status; ",""))</x:f>
        <x:v/>
      </x:c>
      <x:c r="G167" s="331" t="str">
        <x:f>IF($H167="","",IFERROR(INDEX('Game Records'!$M:$M,$H167),""))</x:f>
        <x:v/>
      </x:c>
      <x:c r="H167" s="104" t="str">
        <x:f>IF($H166="","",IFERROR(MATCH(1,INDEX((ROW('Game Records'!$U$5:$U$504)&gt;$H166)*(('Game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7" s="104"/>
      <x:c r="J167" s="104"/>
    </x:row>
    <x:row r="168" ht="24" hidden="0" customHeight="1">
      <x:c r="A168" s="332" t="str">
        <x:f>IF($H168="","",ROWS($A$5:A168))</x:f>
        <x:v/>
      </x:c>
      <x:c r="B168" s="332" t="str">
        <x:f>IF($H168="","","G-"&amp;TEXT($A168,"0000"))</x:f>
        <x:v/>
      </x:c>
      <x:c r="C168" s="331" t="str">
        <x:f>IF($H168="","",IFERROR(INDEX('Game Records'!$A:$A,$H168),""))</x:f>
        <x:v/>
      </x:c>
      <x:c r="D168" s="331" t="str">
        <x:f>IF($H168="","",IFERROR(INDEX('Game Records'!$U:$U,$H168),""))</x:f>
        <x:v/>
      </x:c>
      <x:c r="E168" s="331" t="str">
        <x:f>IF($H168="","",IF($F168="","No Highlighted Fields","Highlighted Fields Present"))</x:f>
        <x:v/>
      </x:c>
      <x:c r="F168" s="331" t="str">
        <x:f>IF($H168="","",IF(INDEX('Game Records'!$B:$B,$H168)="","Start Date; ","")&amp;IF(INDEX('Game Records'!$C:$C,$H168)="","End Date; ","")&amp;IF(AND(INDEX('Game Records'!$U:$U,$H168)&lt;&gt;"Subscription",INDEX('Game Records'!$U:$U,$H168)&lt;&gt;"Free Game",INDEX('Game Records'!$U:$U,$H168)&lt;&gt;"Disqualified — Free Game",OR(INDEX('Game Records'!$D:$D,$H168)="",LOWER(INDEX('Game Records'!$D:$D,$H168)&amp;"")="n/a")),"Entry Mode; ","")&amp;IF(AND(INDEX('Game Records'!$U:$U,$H168)&lt;&gt;"Subscription",INDEX('Game Records'!$U:$U,$H168)&lt;&gt;"Free Game",INDEX('Game Records'!$U:$U,$H168)&lt;&gt;"Disqualified — Free Game",OR(INDEX('Game Records'!$E:$E,$H168)="",LOWER(INDEX('Game Records'!$E:$E,$H168)&amp;"")="n/a")),"Game Type; ","")&amp;IF(INDEX('Game Records'!$F:$F,$H168)="","Payment Type; ","")&amp;IF(AND(INDEX('Game Records'!$U:$U,$H168)&lt;&gt;"Subscription",INDEX('Game Records'!$U:$U,$H168)&lt;&gt;"Free Game",INDEX('Game Records'!$U:$U,$H168)&lt;&gt;"Disqualified — Free Game",INDEX('Game Records'!$G:$G,$H168)=""),"Gross Pot; ","")&amp;IF(AND(INDEX('Game Records'!$U:$U,$H168)&lt;&gt;"Free Game",INDEX('Game Records'!$U:$U,$H168)&lt;&gt;"Disqualified — Free Game",INDEX('Game Records'!$H:$H,$H168)=""),"Entry Fee; ","")&amp;IF(AND(INDEX('Game Records'!$U:$U,$H168)&lt;&gt;"Subscription",INDEX('Game Records'!$U:$U,$H168)&lt;&gt;"Free Game",INDEX('Game Records'!$U:$U,$H168)&lt;&gt;"Disqualified — Free Game",INDEX('Game Records'!$I:$I,$H168)=""),"Eligible Players; ","")&amp;IF(AND(INDEX('Game Records'!$U:$U,$H168)&lt;&gt;"Subscription",INDEX('Game Records'!$U:$U,$H168)&lt;&gt;"Free Game",INDEX('Game Records'!$U:$U,$H168)&lt;&gt;"Disqualified — Free Game",INDEX('Game Records'!$J:$J,$H168)=""),"Total Players; ","")&amp;IF(AND(LOWER(INDEX('Game Records'!$D:$D,$H168)&amp;"")="finalized",LOWER(INDEX('Game Records'!$L:$L,$H168)&amp;"")&lt;&gt;"yes",INDEX('Game Records'!$U:$U,$H168)&lt;&gt;"Subscription",INDEX('Game Records'!$U:$U,$H168)&lt;&gt;"Free Game",INDEX('Game Records'!$U:$U,$H168)&lt;&gt;"Disqualified — Free Game",INDEX('Game Records'!$K:$K,$H168)=""),"Final Earned; ","")&amp;IF(AND(LOWER(INDEX('Game Records'!$D:$D,$H168)&amp;"")="finalized",INDEX('Game Records'!$U:$U,$H168)&lt;&gt;"Subscription",INDEX('Game Records'!$U:$U,$H168)&lt;&gt;"Free Game",INDEX('Game Records'!$U:$U,$H168)&lt;&gt;"Disqualified — Free Game",OR(INDEX('Game Records'!$L:$L,$H168)="",LOWER(INDEX('Game Records'!$L:$L,$H168)&amp;"")="n/a")),"Disqualified Status; ",""))</x:f>
        <x:v/>
      </x:c>
      <x:c r="G168" s="331" t="str">
        <x:f>IF($H168="","",IFERROR(INDEX('Game Records'!$M:$M,$H168),""))</x:f>
        <x:v/>
      </x:c>
      <x:c r="H168" s="104" t="str">
        <x:f>IF($H167="","",IFERROR(MATCH(1,INDEX((ROW('Game Records'!$U$5:$U$504)&gt;$H167)*(('Game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8" s="104"/>
      <x:c r="J168" s="104"/>
    </x:row>
    <x:row r="169" ht="24" hidden="0" customHeight="1">
      <x:c r="A169" s="332" t="str">
        <x:f>IF($H169="","",ROWS($A$5:A169))</x:f>
        <x:v/>
      </x:c>
      <x:c r="B169" s="332" t="str">
        <x:f>IF($H169="","","G-"&amp;TEXT($A169,"0000"))</x:f>
        <x:v/>
      </x:c>
      <x:c r="C169" s="331" t="str">
        <x:f>IF($H169="","",IFERROR(INDEX('Game Records'!$A:$A,$H169),""))</x:f>
        <x:v/>
      </x:c>
      <x:c r="D169" s="331" t="str">
        <x:f>IF($H169="","",IFERROR(INDEX('Game Records'!$U:$U,$H169),""))</x:f>
        <x:v/>
      </x:c>
      <x:c r="E169" s="331" t="str">
        <x:f>IF($H169="","",IF($F169="","No Highlighted Fields","Highlighted Fields Present"))</x:f>
        <x:v/>
      </x:c>
      <x:c r="F169" s="331" t="str">
        <x:f>IF($H169="","",IF(INDEX('Game Records'!$B:$B,$H169)="","Start Date; ","")&amp;IF(INDEX('Game Records'!$C:$C,$H169)="","End Date; ","")&amp;IF(AND(INDEX('Game Records'!$U:$U,$H169)&lt;&gt;"Subscription",INDEX('Game Records'!$U:$U,$H169)&lt;&gt;"Free Game",INDEX('Game Records'!$U:$U,$H169)&lt;&gt;"Disqualified — Free Game",OR(INDEX('Game Records'!$D:$D,$H169)="",LOWER(INDEX('Game Records'!$D:$D,$H169)&amp;"")="n/a")),"Entry Mode; ","")&amp;IF(AND(INDEX('Game Records'!$U:$U,$H169)&lt;&gt;"Subscription",INDEX('Game Records'!$U:$U,$H169)&lt;&gt;"Free Game",INDEX('Game Records'!$U:$U,$H169)&lt;&gt;"Disqualified — Free Game",OR(INDEX('Game Records'!$E:$E,$H169)="",LOWER(INDEX('Game Records'!$E:$E,$H169)&amp;"")="n/a")),"Game Type; ","")&amp;IF(INDEX('Game Records'!$F:$F,$H169)="","Payment Type; ","")&amp;IF(AND(INDEX('Game Records'!$U:$U,$H169)&lt;&gt;"Subscription",INDEX('Game Records'!$U:$U,$H169)&lt;&gt;"Free Game",INDEX('Game Records'!$U:$U,$H169)&lt;&gt;"Disqualified — Free Game",INDEX('Game Records'!$G:$G,$H169)=""),"Gross Pot; ","")&amp;IF(AND(INDEX('Game Records'!$U:$U,$H169)&lt;&gt;"Free Game",INDEX('Game Records'!$U:$U,$H169)&lt;&gt;"Disqualified — Free Game",INDEX('Game Records'!$H:$H,$H169)=""),"Entry Fee; ","")&amp;IF(AND(INDEX('Game Records'!$U:$U,$H169)&lt;&gt;"Subscription",INDEX('Game Records'!$U:$U,$H169)&lt;&gt;"Free Game",INDEX('Game Records'!$U:$U,$H169)&lt;&gt;"Disqualified — Free Game",INDEX('Game Records'!$I:$I,$H169)=""),"Eligible Players; ","")&amp;IF(AND(INDEX('Game Records'!$U:$U,$H169)&lt;&gt;"Subscription",INDEX('Game Records'!$U:$U,$H169)&lt;&gt;"Free Game",INDEX('Game Records'!$U:$U,$H169)&lt;&gt;"Disqualified — Free Game",INDEX('Game Records'!$J:$J,$H169)=""),"Total Players; ","")&amp;IF(AND(LOWER(INDEX('Game Records'!$D:$D,$H169)&amp;"")="finalized",LOWER(INDEX('Game Records'!$L:$L,$H169)&amp;"")&lt;&gt;"yes",INDEX('Game Records'!$U:$U,$H169)&lt;&gt;"Subscription",INDEX('Game Records'!$U:$U,$H169)&lt;&gt;"Free Game",INDEX('Game Records'!$U:$U,$H169)&lt;&gt;"Disqualified — Free Game",INDEX('Game Records'!$K:$K,$H169)=""),"Final Earned; ","")&amp;IF(AND(LOWER(INDEX('Game Records'!$D:$D,$H169)&amp;"")="finalized",INDEX('Game Records'!$U:$U,$H169)&lt;&gt;"Subscription",INDEX('Game Records'!$U:$U,$H169)&lt;&gt;"Free Game",INDEX('Game Records'!$U:$U,$H169)&lt;&gt;"Disqualified — Free Game",OR(INDEX('Game Records'!$L:$L,$H169)="",LOWER(INDEX('Game Records'!$L:$L,$H169)&amp;"")="n/a")),"Disqualified Status; ",""))</x:f>
        <x:v/>
      </x:c>
      <x:c r="G169" s="331" t="str">
        <x:f>IF($H169="","",IFERROR(INDEX('Game Records'!$M:$M,$H169),""))</x:f>
        <x:v/>
      </x:c>
      <x:c r="H169" s="104" t="str">
        <x:f>IF($H168="","",IFERROR(MATCH(1,INDEX((ROW('Game Records'!$U$5:$U$504)&gt;$H168)*(('Game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69" s="104"/>
      <x:c r="J169" s="104"/>
    </x:row>
    <x:row r="170" ht="24" hidden="0" customHeight="1">
      <x:c r="A170" s="332" t="str">
        <x:f>IF($H170="","",ROWS($A$5:A170))</x:f>
        <x:v/>
      </x:c>
      <x:c r="B170" s="332" t="str">
        <x:f>IF($H170="","","G-"&amp;TEXT($A170,"0000"))</x:f>
        <x:v/>
      </x:c>
      <x:c r="C170" s="331" t="str">
        <x:f>IF($H170="","",IFERROR(INDEX('Game Records'!$A:$A,$H170),""))</x:f>
        <x:v/>
      </x:c>
      <x:c r="D170" s="331" t="str">
        <x:f>IF($H170="","",IFERROR(INDEX('Game Records'!$U:$U,$H170),""))</x:f>
        <x:v/>
      </x:c>
      <x:c r="E170" s="331" t="str">
        <x:f>IF($H170="","",IF($F170="","No Highlighted Fields","Highlighted Fields Present"))</x:f>
        <x:v/>
      </x:c>
      <x:c r="F170" s="331" t="str">
        <x:f>IF($H170="","",IF(INDEX('Game Records'!$B:$B,$H170)="","Start Date; ","")&amp;IF(INDEX('Game Records'!$C:$C,$H170)="","End Date; ","")&amp;IF(AND(INDEX('Game Records'!$U:$U,$H170)&lt;&gt;"Subscription",INDEX('Game Records'!$U:$U,$H170)&lt;&gt;"Free Game",INDEX('Game Records'!$U:$U,$H170)&lt;&gt;"Disqualified — Free Game",OR(INDEX('Game Records'!$D:$D,$H170)="",LOWER(INDEX('Game Records'!$D:$D,$H170)&amp;"")="n/a")),"Entry Mode; ","")&amp;IF(AND(INDEX('Game Records'!$U:$U,$H170)&lt;&gt;"Subscription",INDEX('Game Records'!$U:$U,$H170)&lt;&gt;"Free Game",INDEX('Game Records'!$U:$U,$H170)&lt;&gt;"Disqualified — Free Game",OR(INDEX('Game Records'!$E:$E,$H170)="",LOWER(INDEX('Game Records'!$E:$E,$H170)&amp;"")="n/a")),"Game Type; ","")&amp;IF(INDEX('Game Records'!$F:$F,$H170)="","Payment Type; ","")&amp;IF(AND(INDEX('Game Records'!$U:$U,$H170)&lt;&gt;"Subscription",INDEX('Game Records'!$U:$U,$H170)&lt;&gt;"Free Game",INDEX('Game Records'!$U:$U,$H170)&lt;&gt;"Disqualified — Free Game",INDEX('Game Records'!$G:$G,$H170)=""),"Gross Pot; ","")&amp;IF(AND(INDEX('Game Records'!$U:$U,$H170)&lt;&gt;"Free Game",INDEX('Game Records'!$U:$U,$H170)&lt;&gt;"Disqualified — Free Game",INDEX('Game Records'!$H:$H,$H170)=""),"Entry Fee; ","")&amp;IF(AND(INDEX('Game Records'!$U:$U,$H170)&lt;&gt;"Subscription",INDEX('Game Records'!$U:$U,$H170)&lt;&gt;"Free Game",INDEX('Game Records'!$U:$U,$H170)&lt;&gt;"Disqualified — Free Game",INDEX('Game Records'!$I:$I,$H170)=""),"Eligible Players; ","")&amp;IF(AND(INDEX('Game Records'!$U:$U,$H170)&lt;&gt;"Subscription",INDEX('Game Records'!$U:$U,$H170)&lt;&gt;"Free Game",INDEX('Game Records'!$U:$U,$H170)&lt;&gt;"Disqualified — Free Game",INDEX('Game Records'!$J:$J,$H170)=""),"Total Players; ","")&amp;IF(AND(LOWER(INDEX('Game Records'!$D:$D,$H170)&amp;"")="finalized",LOWER(INDEX('Game Records'!$L:$L,$H170)&amp;"")&lt;&gt;"yes",INDEX('Game Records'!$U:$U,$H170)&lt;&gt;"Subscription",INDEX('Game Records'!$U:$U,$H170)&lt;&gt;"Free Game",INDEX('Game Records'!$U:$U,$H170)&lt;&gt;"Disqualified — Free Game",INDEX('Game Records'!$K:$K,$H170)=""),"Final Earned; ","")&amp;IF(AND(LOWER(INDEX('Game Records'!$D:$D,$H170)&amp;"")="finalized",INDEX('Game Records'!$U:$U,$H170)&lt;&gt;"Subscription",INDEX('Game Records'!$U:$U,$H170)&lt;&gt;"Free Game",INDEX('Game Records'!$U:$U,$H170)&lt;&gt;"Disqualified — Free Game",OR(INDEX('Game Records'!$L:$L,$H170)="",LOWER(INDEX('Game Records'!$L:$L,$H170)&amp;"")="n/a")),"Disqualified Status; ",""))</x:f>
        <x:v/>
      </x:c>
      <x:c r="G170" s="331" t="str">
        <x:f>IF($H170="","",IFERROR(INDEX('Game Records'!$M:$M,$H170),""))</x:f>
        <x:v/>
      </x:c>
      <x:c r="H170" s="104" t="str">
        <x:f>IF($H169="","",IFERROR(MATCH(1,INDEX((ROW('Game Records'!$U$5:$U$504)&gt;$H169)*(('Game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0" s="104"/>
      <x:c r="J170" s="104"/>
    </x:row>
    <x:row r="171" ht="24" hidden="0" customHeight="1">
      <x:c r="A171" s="332" t="str">
        <x:f>IF($H171="","",ROWS($A$5:A171))</x:f>
        <x:v/>
      </x:c>
      <x:c r="B171" s="332" t="str">
        <x:f>IF($H171="","","G-"&amp;TEXT($A171,"0000"))</x:f>
        <x:v/>
      </x:c>
      <x:c r="C171" s="331" t="str">
        <x:f>IF($H171="","",IFERROR(INDEX('Game Records'!$A:$A,$H171),""))</x:f>
        <x:v/>
      </x:c>
      <x:c r="D171" s="331" t="str">
        <x:f>IF($H171="","",IFERROR(INDEX('Game Records'!$U:$U,$H171),""))</x:f>
        <x:v/>
      </x:c>
      <x:c r="E171" s="331" t="str">
        <x:f>IF($H171="","",IF($F171="","No Highlighted Fields","Highlighted Fields Present"))</x:f>
        <x:v/>
      </x:c>
      <x:c r="F171" s="331" t="str">
        <x:f>IF($H171="","",IF(INDEX('Game Records'!$B:$B,$H171)="","Start Date; ","")&amp;IF(INDEX('Game Records'!$C:$C,$H171)="","End Date; ","")&amp;IF(AND(INDEX('Game Records'!$U:$U,$H171)&lt;&gt;"Subscription",INDEX('Game Records'!$U:$U,$H171)&lt;&gt;"Free Game",INDEX('Game Records'!$U:$U,$H171)&lt;&gt;"Disqualified — Free Game",OR(INDEX('Game Records'!$D:$D,$H171)="",LOWER(INDEX('Game Records'!$D:$D,$H171)&amp;"")="n/a")),"Entry Mode; ","")&amp;IF(AND(INDEX('Game Records'!$U:$U,$H171)&lt;&gt;"Subscription",INDEX('Game Records'!$U:$U,$H171)&lt;&gt;"Free Game",INDEX('Game Records'!$U:$U,$H171)&lt;&gt;"Disqualified — Free Game",OR(INDEX('Game Records'!$E:$E,$H171)="",LOWER(INDEX('Game Records'!$E:$E,$H171)&amp;"")="n/a")),"Game Type; ","")&amp;IF(INDEX('Game Records'!$F:$F,$H171)="","Payment Type; ","")&amp;IF(AND(INDEX('Game Records'!$U:$U,$H171)&lt;&gt;"Subscription",INDEX('Game Records'!$U:$U,$H171)&lt;&gt;"Free Game",INDEX('Game Records'!$U:$U,$H171)&lt;&gt;"Disqualified — Free Game",INDEX('Game Records'!$G:$G,$H171)=""),"Gross Pot; ","")&amp;IF(AND(INDEX('Game Records'!$U:$U,$H171)&lt;&gt;"Free Game",INDEX('Game Records'!$U:$U,$H171)&lt;&gt;"Disqualified — Free Game",INDEX('Game Records'!$H:$H,$H171)=""),"Entry Fee; ","")&amp;IF(AND(INDEX('Game Records'!$U:$U,$H171)&lt;&gt;"Subscription",INDEX('Game Records'!$U:$U,$H171)&lt;&gt;"Free Game",INDEX('Game Records'!$U:$U,$H171)&lt;&gt;"Disqualified — Free Game",INDEX('Game Records'!$I:$I,$H171)=""),"Eligible Players; ","")&amp;IF(AND(INDEX('Game Records'!$U:$U,$H171)&lt;&gt;"Subscription",INDEX('Game Records'!$U:$U,$H171)&lt;&gt;"Free Game",INDEX('Game Records'!$U:$U,$H171)&lt;&gt;"Disqualified — Free Game",INDEX('Game Records'!$J:$J,$H171)=""),"Total Players; ","")&amp;IF(AND(LOWER(INDEX('Game Records'!$D:$D,$H171)&amp;"")="finalized",LOWER(INDEX('Game Records'!$L:$L,$H171)&amp;"")&lt;&gt;"yes",INDEX('Game Records'!$U:$U,$H171)&lt;&gt;"Subscription",INDEX('Game Records'!$U:$U,$H171)&lt;&gt;"Free Game",INDEX('Game Records'!$U:$U,$H171)&lt;&gt;"Disqualified — Free Game",INDEX('Game Records'!$K:$K,$H171)=""),"Final Earned; ","")&amp;IF(AND(LOWER(INDEX('Game Records'!$D:$D,$H171)&amp;"")="finalized",INDEX('Game Records'!$U:$U,$H171)&lt;&gt;"Subscription",INDEX('Game Records'!$U:$U,$H171)&lt;&gt;"Free Game",INDEX('Game Records'!$U:$U,$H171)&lt;&gt;"Disqualified — Free Game",OR(INDEX('Game Records'!$L:$L,$H171)="",LOWER(INDEX('Game Records'!$L:$L,$H171)&amp;"")="n/a")),"Disqualified Status; ",""))</x:f>
        <x:v/>
      </x:c>
      <x:c r="G171" s="331" t="str">
        <x:f>IF($H171="","",IFERROR(INDEX('Game Records'!$M:$M,$H171),""))</x:f>
        <x:v/>
      </x:c>
      <x:c r="H171" s="104" t="str">
        <x:f>IF($H170="","",IFERROR(MATCH(1,INDEX((ROW('Game Records'!$U$5:$U$504)&gt;$H170)*(('Game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1" s="104"/>
      <x:c r="J171" s="104"/>
    </x:row>
    <x:row r="172" ht="24" hidden="0" customHeight="1">
      <x:c r="A172" s="332" t="str">
        <x:f>IF($H172="","",ROWS($A$5:A172))</x:f>
        <x:v/>
      </x:c>
      <x:c r="B172" s="332" t="str">
        <x:f>IF($H172="","","G-"&amp;TEXT($A172,"0000"))</x:f>
        <x:v/>
      </x:c>
      <x:c r="C172" s="331" t="str">
        <x:f>IF($H172="","",IFERROR(INDEX('Game Records'!$A:$A,$H172),""))</x:f>
        <x:v/>
      </x:c>
      <x:c r="D172" s="331" t="str">
        <x:f>IF($H172="","",IFERROR(INDEX('Game Records'!$U:$U,$H172),""))</x:f>
        <x:v/>
      </x:c>
      <x:c r="E172" s="331" t="str">
        <x:f>IF($H172="","",IF($F172="","No Highlighted Fields","Highlighted Fields Present"))</x:f>
        <x:v/>
      </x:c>
      <x:c r="F172" s="331" t="str">
        <x:f>IF($H172="","",IF(INDEX('Game Records'!$B:$B,$H172)="","Start Date; ","")&amp;IF(INDEX('Game Records'!$C:$C,$H172)="","End Date; ","")&amp;IF(AND(INDEX('Game Records'!$U:$U,$H172)&lt;&gt;"Subscription",INDEX('Game Records'!$U:$U,$H172)&lt;&gt;"Free Game",INDEX('Game Records'!$U:$U,$H172)&lt;&gt;"Disqualified — Free Game",OR(INDEX('Game Records'!$D:$D,$H172)="",LOWER(INDEX('Game Records'!$D:$D,$H172)&amp;"")="n/a")),"Entry Mode; ","")&amp;IF(AND(INDEX('Game Records'!$U:$U,$H172)&lt;&gt;"Subscription",INDEX('Game Records'!$U:$U,$H172)&lt;&gt;"Free Game",INDEX('Game Records'!$U:$U,$H172)&lt;&gt;"Disqualified — Free Game",OR(INDEX('Game Records'!$E:$E,$H172)="",LOWER(INDEX('Game Records'!$E:$E,$H172)&amp;"")="n/a")),"Game Type; ","")&amp;IF(INDEX('Game Records'!$F:$F,$H172)="","Payment Type; ","")&amp;IF(AND(INDEX('Game Records'!$U:$U,$H172)&lt;&gt;"Subscription",INDEX('Game Records'!$U:$U,$H172)&lt;&gt;"Free Game",INDEX('Game Records'!$U:$U,$H172)&lt;&gt;"Disqualified — Free Game",INDEX('Game Records'!$G:$G,$H172)=""),"Gross Pot; ","")&amp;IF(AND(INDEX('Game Records'!$U:$U,$H172)&lt;&gt;"Free Game",INDEX('Game Records'!$U:$U,$H172)&lt;&gt;"Disqualified — Free Game",INDEX('Game Records'!$H:$H,$H172)=""),"Entry Fee; ","")&amp;IF(AND(INDEX('Game Records'!$U:$U,$H172)&lt;&gt;"Subscription",INDEX('Game Records'!$U:$U,$H172)&lt;&gt;"Free Game",INDEX('Game Records'!$U:$U,$H172)&lt;&gt;"Disqualified — Free Game",INDEX('Game Records'!$I:$I,$H172)=""),"Eligible Players; ","")&amp;IF(AND(INDEX('Game Records'!$U:$U,$H172)&lt;&gt;"Subscription",INDEX('Game Records'!$U:$U,$H172)&lt;&gt;"Free Game",INDEX('Game Records'!$U:$U,$H172)&lt;&gt;"Disqualified — Free Game",INDEX('Game Records'!$J:$J,$H172)=""),"Total Players; ","")&amp;IF(AND(LOWER(INDEX('Game Records'!$D:$D,$H172)&amp;"")="finalized",LOWER(INDEX('Game Records'!$L:$L,$H172)&amp;"")&lt;&gt;"yes",INDEX('Game Records'!$U:$U,$H172)&lt;&gt;"Subscription",INDEX('Game Records'!$U:$U,$H172)&lt;&gt;"Free Game",INDEX('Game Records'!$U:$U,$H172)&lt;&gt;"Disqualified — Free Game",INDEX('Game Records'!$K:$K,$H172)=""),"Final Earned; ","")&amp;IF(AND(LOWER(INDEX('Game Records'!$D:$D,$H172)&amp;"")="finalized",INDEX('Game Records'!$U:$U,$H172)&lt;&gt;"Subscription",INDEX('Game Records'!$U:$U,$H172)&lt;&gt;"Free Game",INDEX('Game Records'!$U:$U,$H172)&lt;&gt;"Disqualified — Free Game",OR(INDEX('Game Records'!$L:$L,$H172)="",LOWER(INDEX('Game Records'!$L:$L,$H172)&amp;"")="n/a")),"Disqualified Status; ",""))</x:f>
        <x:v/>
      </x:c>
      <x:c r="G172" s="331" t="str">
        <x:f>IF($H172="","",IFERROR(INDEX('Game Records'!$M:$M,$H172),""))</x:f>
        <x:v/>
      </x:c>
      <x:c r="H172" s="104" t="str">
        <x:f>IF($H171="","",IFERROR(MATCH(1,INDEX((ROW('Game Records'!$U$5:$U$504)&gt;$H171)*(('Game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2" s="104"/>
      <x:c r="J172" s="104"/>
    </x:row>
    <x:row r="173" ht="24" hidden="0" customHeight="1">
      <x:c r="A173" s="332" t="str">
        <x:f>IF($H173="","",ROWS($A$5:A173))</x:f>
        <x:v/>
      </x:c>
      <x:c r="B173" s="332" t="str">
        <x:f>IF($H173="","","G-"&amp;TEXT($A173,"0000"))</x:f>
        <x:v/>
      </x:c>
      <x:c r="C173" s="331" t="str">
        <x:f>IF($H173="","",IFERROR(INDEX('Game Records'!$A:$A,$H173),""))</x:f>
        <x:v/>
      </x:c>
      <x:c r="D173" s="331" t="str">
        <x:f>IF($H173="","",IFERROR(INDEX('Game Records'!$U:$U,$H173),""))</x:f>
        <x:v/>
      </x:c>
      <x:c r="E173" s="331" t="str">
        <x:f>IF($H173="","",IF($F173="","No Highlighted Fields","Highlighted Fields Present"))</x:f>
        <x:v/>
      </x:c>
      <x:c r="F173" s="331" t="str">
        <x:f>IF($H173="","",IF(INDEX('Game Records'!$B:$B,$H173)="","Start Date; ","")&amp;IF(INDEX('Game Records'!$C:$C,$H173)="","End Date; ","")&amp;IF(AND(INDEX('Game Records'!$U:$U,$H173)&lt;&gt;"Subscription",INDEX('Game Records'!$U:$U,$H173)&lt;&gt;"Free Game",INDEX('Game Records'!$U:$U,$H173)&lt;&gt;"Disqualified — Free Game",OR(INDEX('Game Records'!$D:$D,$H173)="",LOWER(INDEX('Game Records'!$D:$D,$H173)&amp;"")="n/a")),"Entry Mode; ","")&amp;IF(AND(INDEX('Game Records'!$U:$U,$H173)&lt;&gt;"Subscription",INDEX('Game Records'!$U:$U,$H173)&lt;&gt;"Free Game",INDEX('Game Records'!$U:$U,$H173)&lt;&gt;"Disqualified — Free Game",OR(INDEX('Game Records'!$E:$E,$H173)="",LOWER(INDEX('Game Records'!$E:$E,$H173)&amp;"")="n/a")),"Game Type; ","")&amp;IF(INDEX('Game Records'!$F:$F,$H173)="","Payment Type; ","")&amp;IF(AND(INDEX('Game Records'!$U:$U,$H173)&lt;&gt;"Subscription",INDEX('Game Records'!$U:$U,$H173)&lt;&gt;"Free Game",INDEX('Game Records'!$U:$U,$H173)&lt;&gt;"Disqualified — Free Game",INDEX('Game Records'!$G:$G,$H173)=""),"Gross Pot; ","")&amp;IF(AND(INDEX('Game Records'!$U:$U,$H173)&lt;&gt;"Free Game",INDEX('Game Records'!$U:$U,$H173)&lt;&gt;"Disqualified — Free Game",INDEX('Game Records'!$H:$H,$H173)=""),"Entry Fee; ","")&amp;IF(AND(INDEX('Game Records'!$U:$U,$H173)&lt;&gt;"Subscription",INDEX('Game Records'!$U:$U,$H173)&lt;&gt;"Free Game",INDEX('Game Records'!$U:$U,$H173)&lt;&gt;"Disqualified — Free Game",INDEX('Game Records'!$I:$I,$H173)=""),"Eligible Players; ","")&amp;IF(AND(INDEX('Game Records'!$U:$U,$H173)&lt;&gt;"Subscription",INDEX('Game Records'!$U:$U,$H173)&lt;&gt;"Free Game",INDEX('Game Records'!$U:$U,$H173)&lt;&gt;"Disqualified — Free Game",INDEX('Game Records'!$J:$J,$H173)=""),"Total Players; ","")&amp;IF(AND(LOWER(INDEX('Game Records'!$D:$D,$H173)&amp;"")="finalized",LOWER(INDEX('Game Records'!$L:$L,$H173)&amp;"")&lt;&gt;"yes",INDEX('Game Records'!$U:$U,$H173)&lt;&gt;"Subscription",INDEX('Game Records'!$U:$U,$H173)&lt;&gt;"Free Game",INDEX('Game Records'!$U:$U,$H173)&lt;&gt;"Disqualified — Free Game",INDEX('Game Records'!$K:$K,$H173)=""),"Final Earned; ","")&amp;IF(AND(LOWER(INDEX('Game Records'!$D:$D,$H173)&amp;"")="finalized",INDEX('Game Records'!$U:$U,$H173)&lt;&gt;"Subscription",INDEX('Game Records'!$U:$U,$H173)&lt;&gt;"Free Game",INDEX('Game Records'!$U:$U,$H173)&lt;&gt;"Disqualified — Free Game",OR(INDEX('Game Records'!$L:$L,$H173)="",LOWER(INDEX('Game Records'!$L:$L,$H173)&amp;"")="n/a")),"Disqualified Status; ",""))</x:f>
        <x:v/>
      </x:c>
      <x:c r="G173" s="331" t="str">
        <x:f>IF($H173="","",IFERROR(INDEX('Game Records'!$M:$M,$H173),""))</x:f>
        <x:v/>
      </x:c>
      <x:c r="H173" s="104" t="str">
        <x:f>IF($H172="","",IFERROR(MATCH(1,INDEX((ROW('Game Records'!$U$5:$U$504)&gt;$H172)*(('Game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3" s="104"/>
      <x:c r="J173" s="104"/>
    </x:row>
    <x:row r="174" ht="24" hidden="0" customHeight="1">
      <x:c r="A174" s="332" t="str">
        <x:f>IF($H174="","",ROWS($A$5:A174))</x:f>
        <x:v/>
      </x:c>
      <x:c r="B174" s="332" t="str">
        <x:f>IF($H174="","","G-"&amp;TEXT($A174,"0000"))</x:f>
        <x:v/>
      </x:c>
      <x:c r="C174" s="331" t="str">
        <x:f>IF($H174="","",IFERROR(INDEX('Game Records'!$A:$A,$H174),""))</x:f>
        <x:v/>
      </x:c>
      <x:c r="D174" s="331" t="str">
        <x:f>IF($H174="","",IFERROR(INDEX('Game Records'!$U:$U,$H174),""))</x:f>
        <x:v/>
      </x:c>
      <x:c r="E174" s="331" t="str">
        <x:f>IF($H174="","",IF($F174="","No Highlighted Fields","Highlighted Fields Present"))</x:f>
        <x:v/>
      </x:c>
      <x:c r="F174" s="331" t="str">
        <x:f>IF($H174="","",IF(INDEX('Game Records'!$B:$B,$H174)="","Start Date; ","")&amp;IF(INDEX('Game Records'!$C:$C,$H174)="","End Date; ","")&amp;IF(AND(INDEX('Game Records'!$U:$U,$H174)&lt;&gt;"Subscription",INDEX('Game Records'!$U:$U,$H174)&lt;&gt;"Free Game",INDEX('Game Records'!$U:$U,$H174)&lt;&gt;"Disqualified — Free Game",OR(INDEX('Game Records'!$D:$D,$H174)="",LOWER(INDEX('Game Records'!$D:$D,$H174)&amp;"")="n/a")),"Entry Mode; ","")&amp;IF(AND(INDEX('Game Records'!$U:$U,$H174)&lt;&gt;"Subscription",INDEX('Game Records'!$U:$U,$H174)&lt;&gt;"Free Game",INDEX('Game Records'!$U:$U,$H174)&lt;&gt;"Disqualified — Free Game",OR(INDEX('Game Records'!$E:$E,$H174)="",LOWER(INDEX('Game Records'!$E:$E,$H174)&amp;"")="n/a")),"Game Type; ","")&amp;IF(INDEX('Game Records'!$F:$F,$H174)="","Payment Type; ","")&amp;IF(AND(INDEX('Game Records'!$U:$U,$H174)&lt;&gt;"Subscription",INDEX('Game Records'!$U:$U,$H174)&lt;&gt;"Free Game",INDEX('Game Records'!$U:$U,$H174)&lt;&gt;"Disqualified — Free Game",INDEX('Game Records'!$G:$G,$H174)=""),"Gross Pot; ","")&amp;IF(AND(INDEX('Game Records'!$U:$U,$H174)&lt;&gt;"Free Game",INDEX('Game Records'!$U:$U,$H174)&lt;&gt;"Disqualified — Free Game",INDEX('Game Records'!$H:$H,$H174)=""),"Entry Fee; ","")&amp;IF(AND(INDEX('Game Records'!$U:$U,$H174)&lt;&gt;"Subscription",INDEX('Game Records'!$U:$U,$H174)&lt;&gt;"Free Game",INDEX('Game Records'!$U:$U,$H174)&lt;&gt;"Disqualified — Free Game",INDEX('Game Records'!$I:$I,$H174)=""),"Eligible Players; ","")&amp;IF(AND(INDEX('Game Records'!$U:$U,$H174)&lt;&gt;"Subscription",INDEX('Game Records'!$U:$U,$H174)&lt;&gt;"Free Game",INDEX('Game Records'!$U:$U,$H174)&lt;&gt;"Disqualified — Free Game",INDEX('Game Records'!$J:$J,$H174)=""),"Total Players; ","")&amp;IF(AND(LOWER(INDEX('Game Records'!$D:$D,$H174)&amp;"")="finalized",LOWER(INDEX('Game Records'!$L:$L,$H174)&amp;"")&lt;&gt;"yes",INDEX('Game Records'!$U:$U,$H174)&lt;&gt;"Subscription",INDEX('Game Records'!$U:$U,$H174)&lt;&gt;"Free Game",INDEX('Game Records'!$U:$U,$H174)&lt;&gt;"Disqualified — Free Game",INDEX('Game Records'!$K:$K,$H174)=""),"Final Earned; ","")&amp;IF(AND(LOWER(INDEX('Game Records'!$D:$D,$H174)&amp;"")="finalized",INDEX('Game Records'!$U:$U,$H174)&lt;&gt;"Subscription",INDEX('Game Records'!$U:$U,$H174)&lt;&gt;"Free Game",INDEX('Game Records'!$U:$U,$H174)&lt;&gt;"Disqualified — Free Game",OR(INDEX('Game Records'!$L:$L,$H174)="",LOWER(INDEX('Game Records'!$L:$L,$H174)&amp;"")="n/a")),"Disqualified Status; ",""))</x:f>
        <x:v/>
      </x:c>
      <x:c r="G174" s="331" t="str">
        <x:f>IF($H174="","",IFERROR(INDEX('Game Records'!$M:$M,$H174),""))</x:f>
        <x:v/>
      </x:c>
      <x:c r="H174" s="104" t="str">
        <x:f>IF($H173="","",IFERROR(MATCH(1,INDEX((ROW('Game Records'!$U$5:$U$504)&gt;$H173)*(('Game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4" s="104"/>
      <x:c r="J174" s="104"/>
    </x:row>
    <x:row r="175" ht="24" hidden="0" customHeight="1">
      <x:c r="A175" s="332" t="str">
        <x:f>IF($H175="","",ROWS($A$5:A175))</x:f>
        <x:v/>
      </x:c>
      <x:c r="B175" s="332" t="str">
        <x:f>IF($H175="","","G-"&amp;TEXT($A175,"0000"))</x:f>
        <x:v/>
      </x:c>
      <x:c r="C175" s="331" t="str">
        <x:f>IF($H175="","",IFERROR(INDEX('Game Records'!$A:$A,$H175),""))</x:f>
        <x:v/>
      </x:c>
      <x:c r="D175" s="331" t="str">
        <x:f>IF($H175="","",IFERROR(INDEX('Game Records'!$U:$U,$H175),""))</x:f>
        <x:v/>
      </x:c>
      <x:c r="E175" s="331" t="str">
        <x:f>IF($H175="","",IF($F175="","No Highlighted Fields","Highlighted Fields Present"))</x:f>
        <x:v/>
      </x:c>
      <x:c r="F175" s="331" t="str">
        <x:f>IF($H175="","",IF(INDEX('Game Records'!$B:$B,$H175)="","Start Date; ","")&amp;IF(INDEX('Game Records'!$C:$C,$H175)="","End Date; ","")&amp;IF(AND(INDEX('Game Records'!$U:$U,$H175)&lt;&gt;"Subscription",INDEX('Game Records'!$U:$U,$H175)&lt;&gt;"Free Game",INDEX('Game Records'!$U:$U,$H175)&lt;&gt;"Disqualified — Free Game",OR(INDEX('Game Records'!$D:$D,$H175)="",LOWER(INDEX('Game Records'!$D:$D,$H175)&amp;"")="n/a")),"Entry Mode; ","")&amp;IF(AND(INDEX('Game Records'!$U:$U,$H175)&lt;&gt;"Subscription",INDEX('Game Records'!$U:$U,$H175)&lt;&gt;"Free Game",INDEX('Game Records'!$U:$U,$H175)&lt;&gt;"Disqualified — Free Game",OR(INDEX('Game Records'!$E:$E,$H175)="",LOWER(INDEX('Game Records'!$E:$E,$H175)&amp;"")="n/a")),"Game Type; ","")&amp;IF(INDEX('Game Records'!$F:$F,$H175)="","Payment Type; ","")&amp;IF(AND(INDEX('Game Records'!$U:$U,$H175)&lt;&gt;"Subscription",INDEX('Game Records'!$U:$U,$H175)&lt;&gt;"Free Game",INDEX('Game Records'!$U:$U,$H175)&lt;&gt;"Disqualified — Free Game",INDEX('Game Records'!$G:$G,$H175)=""),"Gross Pot; ","")&amp;IF(AND(INDEX('Game Records'!$U:$U,$H175)&lt;&gt;"Free Game",INDEX('Game Records'!$U:$U,$H175)&lt;&gt;"Disqualified — Free Game",INDEX('Game Records'!$H:$H,$H175)=""),"Entry Fee; ","")&amp;IF(AND(INDEX('Game Records'!$U:$U,$H175)&lt;&gt;"Subscription",INDEX('Game Records'!$U:$U,$H175)&lt;&gt;"Free Game",INDEX('Game Records'!$U:$U,$H175)&lt;&gt;"Disqualified — Free Game",INDEX('Game Records'!$I:$I,$H175)=""),"Eligible Players; ","")&amp;IF(AND(INDEX('Game Records'!$U:$U,$H175)&lt;&gt;"Subscription",INDEX('Game Records'!$U:$U,$H175)&lt;&gt;"Free Game",INDEX('Game Records'!$U:$U,$H175)&lt;&gt;"Disqualified — Free Game",INDEX('Game Records'!$J:$J,$H175)=""),"Total Players; ","")&amp;IF(AND(LOWER(INDEX('Game Records'!$D:$D,$H175)&amp;"")="finalized",LOWER(INDEX('Game Records'!$L:$L,$H175)&amp;"")&lt;&gt;"yes",INDEX('Game Records'!$U:$U,$H175)&lt;&gt;"Subscription",INDEX('Game Records'!$U:$U,$H175)&lt;&gt;"Free Game",INDEX('Game Records'!$U:$U,$H175)&lt;&gt;"Disqualified — Free Game",INDEX('Game Records'!$K:$K,$H175)=""),"Final Earned; ","")&amp;IF(AND(LOWER(INDEX('Game Records'!$D:$D,$H175)&amp;"")="finalized",INDEX('Game Records'!$U:$U,$H175)&lt;&gt;"Subscription",INDEX('Game Records'!$U:$U,$H175)&lt;&gt;"Free Game",INDEX('Game Records'!$U:$U,$H175)&lt;&gt;"Disqualified — Free Game",OR(INDEX('Game Records'!$L:$L,$H175)="",LOWER(INDEX('Game Records'!$L:$L,$H175)&amp;"")="n/a")),"Disqualified Status; ",""))</x:f>
        <x:v/>
      </x:c>
      <x:c r="G175" s="331" t="str">
        <x:f>IF($H175="","",IFERROR(INDEX('Game Records'!$M:$M,$H175),""))</x:f>
        <x:v/>
      </x:c>
      <x:c r="H175" s="104" t="str">
        <x:f>IF($H174="","",IFERROR(MATCH(1,INDEX((ROW('Game Records'!$U$5:$U$504)&gt;$H174)*(('Game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5" s="104"/>
      <x:c r="J175" s="104"/>
    </x:row>
    <x:row r="176" ht="24" hidden="0" customHeight="1">
      <x:c r="A176" s="332" t="str">
        <x:f>IF($H176="","",ROWS($A$5:A176))</x:f>
        <x:v/>
      </x:c>
      <x:c r="B176" s="332" t="str">
        <x:f>IF($H176="","","G-"&amp;TEXT($A176,"0000"))</x:f>
        <x:v/>
      </x:c>
      <x:c r="C176" s="331" t="str">
        <x:f>IF($H176="","",IFERROR(INDEX('Game Records'!$A:$A,$H176),""))</x:f>
        <x:v/>
      </x:c>
      <x:c r="D176" s="331" t="str">
        <x:f>IF($H176="","",IFERROR(INDEX('Game Records'!$U:$U,$H176),""))</x:f>
        <x:v/>
      </x:c>
      <x:c r="E176" s="331" t="str">
        <x:f>IF($H176="","",IF($F176="","No Highlighted Fields","Highlighted Fields Present"))</x:f>
        <x:v/>
      </x:c>
      <x:c r="F176" s="331" t="str">
        <x:f>IF($H176="","",IF(INDEX('Game Records'!$B:$B,$H176)="","Start Date; ","")&amp;IF(INDEX('Game Records'!$C:$C,$H176)="","End Date; ","")&amp;IF(AND(INDEX('Game Records'!$U:$U,$H176)&lt;&gt;"Subscription",INDEX('Game Records'!$U:$U,$H176)&lt;&gt;"Free Game",INDEX('Game Records'!$U:$U,$H176)&lt;&gt;"Disqualified — Free Game",OR(INDEX('Game Records'!$D:$D,$H176)="",LOWER(INDEX('Game Records'!$D:$D,$H176)&amp;"")="n/a")),"Entry Mode; ","")&amp;IF(AND(INDEX('Game Records'!$U:$U,$H176)&lt;&gt;"Subscription",INDEX('Game Records'!$U:$U,$H176)&lt;&gt;"Free Game",INDEX('Game Records'!$U:$U,$H176)&lt;&gt;"Disqualified — Free Game",OR(INDEX('Game Records'!$E:$E,$H176)="",LOWER(INDEX('Game Records'!$E:$E,$H176)&amp;"")="n/a")),"Game Type; ","")&amp;IF(INDEX('Game Records'!$F:$F,$H176)="","Payment Type; ","")&amp;IF(AND(INDEX('Game Records'!$U:$U,$H176)&lt;&gt;"Subscription",INDEX('Game Records'!$U:$U,$H176)&lt;&gt;"Free Game",INDEX('Game Records'!$U:$U,$H176)&lt;&gt;"Disqualified — Free Game",INDEX('Game Records'!$G:$G,$H176)=""),"Gross Pot; ","")&amp;IF(AND(INDEX('Game Records'!$U:$U,$H176)&lt;&gt;"Free Game",INDEX('Game Records'!$U:$U,$H176)&lt;&gt;"Disqualified — Free Game",INDEX('Game Records'!$H:$H,$H176)=""),"Entry Fee; ","")&amp;IF(AND(INDEX('Game Records'!$U:$U,$H176)&lt;&gt;"Subscription",INDEX('Game Records'!$U:$U,$H176)&lt;&gt;"Free Game",INDEX('Game Records'!$U:$U,$H176)&lt;&gt;"Disqualified — Free Game",INDEX('Game Records'!$I:$I,$H176)=""),"Eligible Players; ","")&amp;IF(AND(INDEX('Game Records'!$U:$U,$H176)&lt;&gt;"Subscription",INDEX('Game Records'!$U:$U,$H176)&lt;&gt;"Free Game",INDEX('Game Records'!$U:$U,$H176)&lt;&gt;"Disqualified — Free Game",INDEX('Game Records'!$J:$J,$H176)=""),"Total Players; ","")&amp;IF(AND(LOWER(INDEX('Game Records'!$D:$D,$H176)&amp;"")="finalized",LOWER(INDEX('Game Records'!$L:$L,$H176)&amp;"")&lt;&gt;"yes",INDEX('Game Records'!$U:$U,$H176)&lt;&gt;"Subscription",INDEX('Game Records'!$U:$U,$H176)&lt;&gt;"Free Game",INDEX('Game Records'!$U:$U,$H176)&lt;&gt;"Disqualified — Free Game",INDEX('Game Records'!$K:$K,$H176)=""),"Final Earned; ","")&amp;IF(AND(LOWER(INDEX('Game Records'!$D:$D,$H176)&amp;"")="finalized",INDEX('Game Records'!$U:$U,$H176)&lt;&gt;"Subscription",INDEX('Game Records'!$U:$U,$H176)&lt;&gt;"Free Game",INDEX('Game Records'!$U:$U,$H176)&lt;&gt;"Disqualified — Free Game",OR(INDEX('Game Records'!$L:$L,$H176)="",LOWER(INDEX('Game Records'!$L:$L,$H176)&amp;"")="n/a")),"Disqualified Status; ",""))</x:f>
        <x:v/>
      </x:c>
      <x:c r="G176" s="331" t="str">
        <x:f>IF($H176="","",IFERROR(INDEX('Game Records'!$M:$M,$H176),""))</x:f>
        <x:v/>
      </x:c>
      <x:c r="H176" s="104" t="str">
        <x:f>IF($H175="","",IFERROR(MATCH(1,INDEX((ROW('Game Records'!$U$5:$U$504)&gt;$H175)*(('Game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6" s="104"/>
      <x:c r="J176" s="104"/>
    </x:row>
    <x:row r="177" ht="24" hidden="0" customHeight="1">
      <x:c r="A177" s="332" t="str">
        <x:f>IF($H177="","",ROWS($A$5:A177))</x:f>
        <x:v/>
      </x:c>
      <x:c r="B177" s="332" t="str">
        <x:f>IF($H177="","","G-"&amp;TEXT($A177,"0000"))</x:f>
        <x:v/>
      </x:c>
      <x:c r="C177" s="331" t="str">
        <x:f>IF($H177="","",IFERROR(INDEX('Game Records'!$A:$A,$H177),""))</x:f>
        <x:v/>
      </x:c>
      <x:c r="D177" s="331" t="str">
        <x:f>IF($H177="","",IFERROR(INDEX('Game Records'!$U:$U,$H177),""))</x:f>
        <x:v/>
      </x:c>
      <x:c r="E177" s="331" t="str">
        <x:f>IF($H177="","",IF($F177="","No Highlighted Fields","Highlighted Fields Present"))</x:f>
        <x:v/>
      </x:c>
      <x:c r="F177" s="331" t="str">
        <x:f>IF($H177="","",IF(INDEX('Game Records'!$B:$B,$H177)="","Start Date; ","")&amp;IF(INDEX('Game Records'!$C:$C,$H177)="","End Date; ","")&amp;IF(AND(INDEX('Game Records'!$U:$U,$H177)&lt;&gt;"Subscription",INDEX('Game Records'!$U:$U,$H177)&lt;&gt;"Free Game",INDEX('Game Records'!$U:$U,$H177)&lt;&gt;"Disqualified — Free Game",OR(INDEX('Game Records'!$D:$D,$H177)="",LOWER(INDEX('Game Records'!$D:$D,$H177)&amp;"")="n/a")),"Entry Mode; ","")&amp;IF(AND(INDEX('Game Records'!$U:$U,$H177)&lt;&gt;"Subscription",INDEX('Game Records'!$U:$U,$H177)&lt;&gt;"Free Game",INDEX('Game Records'!$U:$U,$H177)&lt;&gt;"Disqualified — Free Game",OR(INDEX('Game Records'!$E:$E,$H177)="",LOWER(INDEX('Game Records'!$E:$E,$H177)&amp;"")="n/a")),"Game Type; ","")&amp;IF(INDEX('Game Records'!$F:$F,$H177)="","Payment Type; ","")&amp;IF(AND(INDEX('Game Records'!$U:$U,$H177)&lt;&gt;"Subscription",INDEX('Game Records'!$U:$U,$H177)&lt;&gt;"Free Game",INDEX('Game Records'!$U:$U,$H177)&lt;&gt;"Disqualified — Free Game",INDEX('Game Records'!$G:$G,$H177)=""),"Gross Pot; ","")&amp;IF(AND(INDEX('Game Records'!$U:$U,$H177)&lt;&gt;"Free Game",INDEX('Game Records'!$U:$U,$H177)&lt;&gt;"Disqualified — Free Game",INDEX('Game Records'!$H:$H,$H177)=""),"Entry Fee; ","")&amp;IF(AND(INDEX('Game Records'!$U:$U,$H177)&lt;&gt;"Subscription",INDEX('Game Records'!$U:$U,$H177)&lt;&gt;"Free Game",INDEX('Game Records'!$U:$U,$H177)&lt;&gt;"Disqualified — Free Game",INDEX('Game Records'!$I:$I,$H177)=""),"Eligible Players; ","")&amp;IF(AND(INDEX('Game Records'!$U:$U,$H177)&lt;&gt;"Subscription",INDEX('Game Records'!$U:$U,$H177)&lt;&gt;"Free Game",INDEX('Game Records'!$U:$U,$H177)&lt;&gt;"Disqualified — Free Game",INDEX('Game Records'!$J:$J,$H177)=""),"Total Players; ","")&amp;IF(AND(LOWER(INDEX('Game Records'!$D:$D,$H177)&amp;"")="finalized",LOWER(INDEX('Game Records'!$L:$L,$H177)&amp;"")&lt;&gt;"yes",INDEX('Game Records'!$U:$U,$H177)&lt;&gt;"Subscription",INDEX('Game Records'!$U:$U,$H177)&lt;&gt;"Free Game",INDEX('Game Records'!$U:$U,$H177)&lt;&gt;"Disqualified — Free Game",INDEX('Game Records'!$K:$K,$H177)=""),"Final Earned; ","")&amp;IF(AND(LOWER(INDEX('Game Records'!$D:$D,$H177)&amp;"")="finalized",INDEX('Game Records'!$U:$U,$H177)&lt;&gt;"Subscription",INDEX('Game Records'!$U:$U,$H177)&lt;&gt;"Free Game",INDEX('Game Records'!$U:$U,$H177)&lt;&gt;"Disqualified — Free Game",OR(INDEX('Game Records'!$L:$L,$H177)="",LOWER(INDEX('Game Records'!$L:$L,$H177)&amp;"")="n/a")),"Disqualified Status; ",""))</x:f>
        <x:v/>
      </x:c>
      <x:c r="G177" s="331" t="str">
        <x:f>IF($H177="","",IFERROR(INDEX('Game Records'!$M:$M,$H177),""))</x:f>
        <x:v/>
      </x:c>
      <x:c r="H177" s="104" t="str">
        <x:f>IF($H176="","",IFERROR(MATCH(1,INDEX((ROW('Game Records'!$U$5:$U$504)&gt;$H176)*(('Game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7" s="104"/>
      <x:c r="J177" s="104"/>
    </x:row>
    <x:row r="178" ht="24" hidden="0" customHeight="1">
      <x:c r="A178" s="332" t="str">
        <x:f>IF($H178="","",ROWS($A$5:A178))</x:f>
        <x:v/>
      </x:c>
      <x:c r="B178" s="332" t="str">
        <x:f>IF($H178="","","G-"&amp;TEXT($A178,"0000"))</x:f>
        <x:v/>
      </x:c>
      <x:c r="C178" s="331" t="str">
        <x:f>IF($H178="","",IFERROR(INDEX('Game Records'!$A:$A,$H178),""))</x:f>
        <x:v/>
      </x:c>
      <x:c r="D178" s="331" t="str">
        <x:f>IF($H178="","",IFERROR(INDEX('Game Records'!$U:$U,$H178),""))</x:f>
        <x:v/>
      </x:c>
      <x:c r="E178" s="331" t="str">
        <x:f>IF($H178="","",IF($F178="","No Highlighted Fields","Highlighted Fields Present"))</x:f>
        <x:v/>
      </x:c>
      <x:c r="F178" s="331" t="str">
        <x:f>IF($H178="","",IF(INDEX('Game Records'!$B:$B,$H178)="","Start Date; ","")&amp;IF(INDEX('Game Records'!$C:$C,$H178)="","End Date; ","")&amp;IF(AND(INDEX('Game Records'!$U:$U,$H178)&lt;&gt;"Subscription",INDEX('Game Records'!$U:$U,$H178)&lt;&gt;"Free Game",INDEX('Game Records'!$U:$U,$H178)&lt;&gt;"Disqualified — Free Game",OR(INDEX('Game Records'!$D:$D,$H178)="",LOWER(INDEX('Game Records'!$D:$D,$H178)&amp;"")="n/a")),"Entry Mode; ","")&amp;IF(AND(INDEX('Game Records'!$U:$U,$H178)&lt;&gt;"Subscription",INDEX('Game Records'!$U:$U,$H178)&lt;&gt;"Free Game",INDEX('Game Records'!$U:$U,$H178)&lt;&gt;"Disqualified — Free Game",OR(INDEX('Game Records'!$E:$E,$H178)="",LOWER(INDEX('Game Records'!$E:$E,$H178)&amp;"")="n/a")),"Game Type; ","")&amp;IF(INDEX('Game Records'!$F:$F,$H178)="","Payment Type; ","")&amp;IF(AND(INDEX('Game Records'!$U:$U,$H178)&lt;&gt;"Subscription",INDEX('Game Records'!$U:$U,$H178)&lt;&gt;"Free Game",INDEX('Game Records'!$U:$U,$H178)&lt;&gt;"Disqualified — Free Game",INDEX('Game Records'!$G:$G,$H178)=""),"Gross Pot; ","")&amp;IF(AND(INDEX('Game Records'!$U:$U,$H178)&lt;&gt;"Free Game",INDEX('Game Records'!$U:$U,$H178)&lt;&gt;"Disqualified — Free Game",INDEX('Game Records'!$H:$H,$H178)=""),"Entry Fee; ","")&amp;IF(AND(INDEX('Game Records'!$U:$U,$H178)&lt;&gt;"Subscription",INDEX('Game Records'!$U:$U,$H178)&lt;&gt;"Free Game",INDEX('Game Records'!$U:$U,$H178)&lt;&gt;"Disqualified — Free Game",INDEX('Game Records'!$I:$I,$H178)=""),"Eligible Players; ","")&amp;IF(AND(INDEX('Game Records'!$U:$U,$H178)&lt;&gt;"Subscription",INDEX('Game Records'!$U:$U,$H178)&lt;&gt;"Free Game",INDEX('Game Records'!$U:$U,$H178)&lt;&gt;"Disqualified — Free Game",INDEX('Game Records'!$J:$J,$H178)=""),"Total Players; ","")&amp;IF(AND(LOWER(INDEX('Game Records'!$D:$D,$H178)&amp;"")="finalized",LOWER(INDEX('Game Records'!$L:$L,$H178)&amp;"")&lt;&gt;"yes",INDEX('Game Records'!$U:$U,$H178)&lt;&gt;"Subscription",INDEX('Game Records'!$U:$U,$H178)&lt;&gt;"Free Game",INDEX('Game Records'!$U:$U,$H178)&lt;&gt;"Disqualified — Free Game",INDEX('Game Records'!$K:$K,$H178)=""),"Final Earned; ","")&amp;IF(AND(LOWER(INDEX('Game Records'!$D:$D,$H178)&amp;"")="finalized",INDEX('Game Records'!$U:$U,$H178)&lt;&gt;"Subscription",INDEX('Game Records'!$U:$U,$H178)&lt;&gt;"Free Game",INDEX('Game Records'!$U:$U,$H178)&lt;&gt;"Disqualified — Free Game",OR(INDEX('Game Records'!$L:$L,$H178)="",LOWER(INDEX('Game Records'!$L:$L,$H178)&amp;"")="n/a")),"Disqualified Status; ",""))</x:f>
        <x:v/>
      </x:c>
      <x:c r="G178" s="331" t="str">
        <x:f>IF($H178="","",IFERROR(INDEX('Game Records'!$M:$M,$H178),""))</x:f>
        <x:v/>
      </x:c>
      <x:c r="H178" s="104" t="str">
        <x:f>IF($H177="","",IFERROR(MATCH(1,INDEX((ROW('Game Records'!$U$5:$U$504)&gt;$H177)*(('Game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8" s="104"/>
      <x:c r="J178" s="104"/>
    </x:row>
    <x:row r="179" ht="24" hidden="0" customHeight="1">
      <x:c r="A179" s="332" t="str">
        <x:f>IF($H179="","",ROWS($A$5:A179))</x:f>
        <x:v/>
      </x:c>
      <x:c r="B179" s="332" t="str">
        <x:f>IF($H179="","","G-"&amp;TEXT($A179,"0000"))</x:f>
        <x:v/>
      </x:c>
      <x:c r="C179" s="331" t="str">
        <x:f>IF($H179="","",IFERROR(INDEX('Game Records'!$A:$A,$H179),""))</x:f>
        <x:v/>
      </x:c>
      <x:c r="D179" s="331" t="str">
        <x:f>IF($H179="","",IFERROR(INDEX('Game Records'!$U:$U,$H179),""))</x:f>
        <x:v/>
      </x:c>
      <x:c r="E179" s="331" t="str">
        <x:f>IF($H179="","",IF($F179="","No Highlighted Fields","Highlighted Fields Present"))</x:f>
        <x:v/>
      </x:c>
      <x:c r="F179" s="331" t="str">
        <x:f>IF($H179="","",IF(INDEX('Game Records'!$B:$B,$H179)="","Start Date; ","")&amp;IF(INDEX('Game Records'!$C:$C,$H179)="","End Date; ","")&amp;IF(AND(INDEX('Game Records'!$U:$U,$H179)&lt;&gt;"Subscription",INDEX('Game Records'!$U:$U,$H179)&lt;&gt;"Free Game",INDEX('Game Records'!$U:$U,$H179)&lt;&gt;"Disqualified — Free Game",OR(INDEX('Game Records'!$D:$D,$H179)="",LOWER(INDEX('Game Records'!$D:$D,$H179)&amp;"")="n/a")),"Entry Mode; ","")&amp;IF(AND(INDEX('Game Records'!$U:$U,$H179)&lt;&gt;"Subscription",INDEX('Game Records'!$U:$U,$H179)&lt;&gt;"Free Game",INDEX('Game Records'!$U:$U,$H179)&lt;&gt;"Disqualified — Free Game",OR(INDEX('Game Records'!$E:$E,$H179)="",LOWER(INDEX('Game Records'!$E:$E,$H179)&amp;"")="n/a")),"Game Type; ","")&amp;IF(INDEX('Game Records'!$F:$F,$H179)="","Payment Type; ","")&amp;IF(AND(INDEX('Game Records'!$U:$U,$H179)&lt;&gt;"Subscription",INDEX('Game Records'!$U:$U,$H179)&lt;&gt;"Free Game",INDEX('Game Records'!$U:$U,$H179)&lt;&gt;"Disqualified — Free Game",INDEX('Game Records'!$G:$G,$H179)=""),"Gross Pot; ","")&amp;IF(AND(INDEX('Game Records'!$U:$U,$H179)&lt;&gt;"Free Game",INDEX('Game Records'!$U:$U,$H179)&lt;&gt;"Disqualified — Free Game",INDEX('Game Records'!$H:$H,$H179)=""),"Entry Fee; ","")&amp;IF(AND(INDEX('Game Records'!$U:$U,$H179)&lt;&gt;"Subscription",INDEX('Game Records'!$U:$U,$H179)&lt;&gt;"Free Game",INDEX('Game Records'!$U:$U,$H179)&lt;&gt;"Disqualified — Free Game",INDEX('Game Records'!$I:$I,$H179)=""),"Eligible Players; ","")&amp;IF(AND(INDEX('Game Records'!$U:$U,$H179)&lt;&gt;"Subscription",INDEX('Game Records'!$U:$U,$H179)&lt;&gt;"Free Game",INDEX('Game Records'!$U:$U,$H179)&lt;&gt;"Disqualified — Free Game",INDEX('Game Records'!$J:$J,$H179)=""),"Total Players; ","")&amp;IF(AND(LOWER(INDEX('Game Records'!$D:$D,$H179)&amp;"")="finalized",LOWER(INDEX('Game Records'!$L:$L,$H179)&amp;"")&lt;&gt;"yes",INDEX('Game Records'!$U:$U,$H179)&lt;&gt;"Subscription",INDEX('Game Records'!$U:$U,$H179)&lt;&gt;"Free Game",INDEX('Game Records'!$U:$U,$H179)&lt;&gt;"Disqualified — Free Game",INDEX('Game Records'!$K:$K,$H179)=""),"Final Earned; ","")&amp;IF(AND(LOWER(INDEX('Game Records'!$D:$D,$H179)&amp;"")="finalized",INDEX('Game Records'!$U:$U,$H179)&lt;&gt;"Subscription",INDEX('Game Records'!$U:$U,$H179)&lt;&gt;"Free Game",INDEX('Game Records'!$U:$U,$H179)&lt;&gt;"Disqualified — Free Game",OR(INDEX('Game Records'!$L:$L,$H179)="",LOWER(INDEX('Game Records'!$L:$L,$H179)&amp;"")="n/a")),"Disqualified Status; ",""))</x:f>
        <x:v/>
      </x:c>
      <x:c r="G179" s="331" t="str">
        <x:f>IF($H179="","",IFERROR(INDEX('Game Records'!$M:$M,$H179),""))</x:f>
        <x:v/>
      </x:c>
      <x:c r="H179" s="104" t="str">
        <x:f>IF($H178="","",IFERROR(MATCH(1,INDEX((ROW('Game Records'!$U$5:$U$504)&gt;$H178)*(('Game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79" s="104"/>
      <x:c r="J179" s="104"/>
    </x:row>
    <x:row r="180" ht="24" hidden="0" customHeight="1">
      <x:c r="A180" s="332" t="str">
        <x:f>IF($H180="","",ROWS($A$5:A180))</x:f>
        <x:v/>
      </x:c>
      <x:c r="B180" s="332" t="str">
        <x:f>IF($H180="","","G-"&amp;TEXT($A180,"0000"))</x:f>
        <x:v/>
      </x:c>
      <x:c r="C180" s="331" t="str">
        <x:f>IF($H180="","",IFERROR(INDEX('Game Records'!$A:$A,$H180),""))</x:f>
        <x:v/>
      </x:c>
      <x:c r="D180" s="331" t="str">
        <x:f>IF($H180="","",IFERROR(INDEX('Game Records'!$U:$U,$H180),""))</x:f>
        <x:v/>
      </x:c>
      <x:c r="E180" s="331" t="str">
        <x:f>IF($H180="","",IF($F180="","No Highlighted Fields","Highlighted Fields Present"))</x:f>
        <x:v/>
      </x:c>
      <x:c r="F180" s="331" t="str">
        <x:f>IF($H180="","",IF(INDEX('Game Records'!$B:$B,$H180)="","Start Date; ","")&amp;IF(INDEX('Game Records'!$C:$C,$H180)="","End Date; ","")&amp;IF(AND(INDEX('Game Records'!$U:$U,$H180)&lt;&gt;"Subscription",INDEX('Game Records'!$U:$U,$H180)&lt;&gt;"Free Game",INDEX('Game Records'!$U:$U,$H180)&lt;&gt;"Disqualified — Free Game",OR(INDEX('Game Records'!$D:$D,$H180)="",LOWER(INDEX('Game Records'!$D:$D,$H180)&amp;"")="n/a")),"Entry Mode; ","")&amp;IF(AND(INDEX('Game Records'!$U:$U,$H180)&lt;&gt;"Subscription",INDEX('Game Records'!$U:$U,$H180)&lt;&gt;"Free Game",INDEX('Game Records'!$U:$U,$H180)&lt;&gt;"Disqualified — Free Game",OR(INDEX('Game Records'!$E:$E,$H180)="",LOWER(INDEX('Game Records'!$E:$E,$H180)&amp;"")="n/a")),"Game Type; ","")&amp;IF(INDEX('Game Records'!$F:$F,$H180)="","Payment Type; ","")&amp;IF(AND(INDEX('Game Records'!$U:$U,$H180)&lt;&gt;"Subscription",INDEX('Game Records'!$U:$U,$H180)&lt;&gt;"Free Game",INDEX('Game Records'!$U:$U,$H180)&lt;&gt;"Disqualified — Free Game",INDEX('Game Records'!$G:$G,$H180)=""),"Gross Pot; ","")&amp;IF(AND(INDEX('Game Records'!$U:$U,$H180)&lt;&gt;"Free Game",INDEX('Game Records'!$U:$U,$H180)&lt;&gt;"Disqualified — Free Game",INDEX('Game Records'!$H:$H,$H180)=""),"Entry Fee; ","")&amp;IF(AND(INDEX('Game Records'!$U:$U,$H180)&lt;&gt;"Subscription",INDEX('Game Records'!$U:$U,$H180)&lt;&gt;"Free Game",INDEX('Game Records'!$U:$U,$H180)&lt;&gt;"Disqualified — Free Game",INDEX('Game Records'!$I:$I,$H180)=""),"Eligible Players; ","")&amp;IF(AND(INDEX('Game Records'!$U:$U,$H180)&lt;&gt;"Subscription",INDEX('Game Records'!$U:$U,$H180)&lt;&gt;"Free Game",INDEX('Game Records'!$U:$U,$H180)&lt;&gt;"Disqualified — Free Game",INDEX('Game Records'!$J:$J,$H180)=""),"Total Players; ","")&amp;IF(AND(LOWER(INDEX('Game Records'!$D:$D,$H180)&amp;"")="finalized",LOWER(INDEX('Game Records'!$L:$L,$H180)&amp;"")&lt;&gt;"yes",INDEX('Game Records'!$U:$U,$H180)&lt;&gt;"Subscription",INDEX('Game Records'!$U:$U,$H180)&lt;&gt;"Free Game",INDEX('Game Records'!$U:$U,$H180)&lt;&gt;"Disqualified — Free Game",INDEX('Game Records'!$K:$K,$H180)=""),"Final Earned; ","")&amp;IF(AND(LOWER(INDEX('Game Records'!$D:$D,$H180)&amp;"")="finalized",INDEX('Game Records'!$U:$U,$H180)&lt;&gt;"Subscription",INDEX('Game Records'!$U:$U,$H180)&lt;&gt;"Free Game",INDEX('Game Records'!$U:$U,$H180)&lt;&gt;"Disqualified — Free Game",OR(INDEX('Game Records'!$L:$L,$H180)="",LOWER(INDEX('Game Records'!$L:$L,$H180)&amp;"")="n/a")),"Disqualified Status; ",""))</x:f>
        <x:v/>
      </x:c>
      <x:c r="G180" s="331" t="str">
        <x:f>IF($H180="","",IFERROR(INDEX('Game Records'!$M:$M,$H180),""))</x:f>
        <x:v/>
      </x:c>
      <x:c r="H180" s="104" t="str">
        <x:f>IF($H179="","",IFERROR(MATCH(1,INDEX((ROW('Game Records'!$U$5:$U$504)&gt;$H179)*(('Game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0" s="104"/>
      <x:c r="J180" s="104"/>
    </x:row>
    <x:row r="181" ht="24" hidden="0" customHeight="1">
      <x:c r="A181" s="332" t="str">
        <x:f>IF($H181="","",ROWS($A$5:A181))</x:f>
        <x:v/>
      </x:c>
      <x:c r="B181" s="332" t="str">
        <x:f>IF($H181="","","G-"&amp;TEXT($A181,"0000"))</x:f>
        <x:v/>
      </x:c>
      <x:c r="C181" s="331" t="str">
        <x:f>IF($H181="","",IFERROR(INDEX('Game Records'!$A:$A,$H181),""))</x:f>
        <x:v/>
      </x:c>
      <x:c r="D181" s="331" t="str">
        <x:f>IF($H181="","",IFERROR(INDEX('Game Records'!$U:$U,$H181),""))</x:f>
        <x:v/>
      </x:c>
      <x:c r="E181" s="331" t="str">
        <x:f>IF($H181="","",IF($F181="","No Highlighted Fields","Highlighted Fields Present"))</x:f>
        <x:v/>
      </x:c>
      <x:c r="F181" s="331" t="str">
        <x:f>IF($H181="","",IF(INDEX('Game Records'!$B:$B,$H181)="","Start Date; ","")&amp;IF(INDEX('Game Records'!$C:$C,$H181)="","End Date; ","")&amp;IF(AND(INDEX('Game Records'!$U:$U,$H181)&lt;&gt;"Subscription",INDEX('Game Records'!$U:$U,$H181)&lt;&gt;"Free Game",INDEX('Game Records'!$U:$U,$H181)&lt;&gt;"Disqualified — Free Game",OR(INDEX('Game Records'!$D:$D,$H181)="",LOWER(INDEX('Game Records'!$D:$D,$H181)&amp;"")="n/a")),"Entry Mode; ","")&amp;IF(AND(INDEX('Game Records'!$U:$U,$H181)&lt;&gt;"Subscription",INDEX('Game Records'!$U:$U,$H181)&lt;&gt;"Free Game",INDEX('Game Records'!$U:$U,$H181)&lt;&gt;"Disqualified — Free Game",OR(INDEX('Game Records'!$E:$E,$H181)="",LOWER(INDEX('Game Records'!$E:$E,$H181)&amp;"")="n/a")),"Game Type; ","")&amp;IF(INDEX('Game Records'!$F:$F,$H181)="","Payment Type; ","")&amp;IF(AND(INDEX('Game Records'!$U:$U,$H181)&lt;&gt;"Subscription",INDEX('Game Records'!$U:$U,$H181)&lt;&gt;"Free Game",INDEX('Game Records'!$U:$U,$H181)&lt;&gt;"Disqualified — Free Game",INDEX('Game Records'!$G:$G,$H181)=""),"Gross Pot; ","")&amp;IF(AND(INDEX('Game Records'!$U:$U,$H181)&lt;&gt;"Free Game",INDEX('Game Records'!$U:$U,$H181)&lt;&gt;"Disqualified — Free Game",INDEX('Game Records'!$H:$H,$H181)=""),"Entry Fee; ","")&amp;IF(AND(INDEX('Game Records'!$U:$U,$H181)&lt;&gt;"Subscription",INDEX('Game Records'!$U:$U,$H181)&lt;&gt;"Free Game",INDEX('Game Records'!$U:$U,$H181)&lt;&gt;"Disqualified — Free Game",INDEX('Game Records'!$I:$I,$H181)=""),"Eligible Players; ","")&amp;IF(AND(INDEX('Game Records'!$U:$U,$H181)&lt;&gt;"Subscription",INDEX('Game Records'!$U:$U,$H181)&lt;&gt;"Free Game",INDEX('Game Records'!$U:$U,$H181)&lt;&gt;"Disqualified — Free Game",INDEX('Game Records'!$J:$J,$H181)=""),"Total Players; ","")&amp;IF(AND(LOWER(INDEX('Game Records'!$D:$D,$H181)&amp;"")="finalized",LOWER(INDEX('Game Records'!$L:$L,$H181)&amp;"")&lt;&gt;"yes",INDEX('Game Records'!$U:$U,$H181)&lt;&gt;"Subscription",INDEX('Game Records'!$U:$U,$H181)&lt;&gt;"Free Game",INDEX('Game Records'!$U:$U,$H181)&lt;&gt;"Disqualified — Free Game",INDEX('Game Records'!$K:$K,$H181)=""),"Final Earned; ","")&amp;IF(AND(LOWER(INDEX('Game Records'!$D:$D,$H181)&amp;"")="finalized",INDEX('Game Records'!$U:$U,$H181)&lt;&gt;"Subscription",INDEX('Game Records'!$U:$U,$H181)&lt;&gt;"Free Game",INDEX('Game Records'!$U:$U,$H181)&lt;&gt;"Disqualified — Free Game",OR(INDEX('Game Records'!$L:$L,$H181)="",LOWER(INDEX('Game Records'!$L:$L,$H181)&amp;"")="n/a")),"Disqualified Status; ",""))</x:f>
        <x:v/>
      </x:c>
      <x:c r="G181" s="331" t="str">
        <x:f>IF($H181="","",IFERROR(INDEX('Game Records'!$M:$M,$H181),""))</x:f>
        <x:v/>
      </x:c>
      <x:c r="H181" s="104" t="str">
        <x:f>IF($H180="","",IFERROR(MATCH(1,INDEX((ROW('Game Records'!$U$5:$U$504)&gt;$H180)*(('Game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1" s="104"/>
      <x:c r="J181" s="104"/>
    </x:row>
    <x:row r="182" ht="24" hidden="0" customHeight="1">
      <x:c r="A182" s="332" t="str">
        <x:f>IF($H182="","",ROWS($A$5:A182))</x:f>
        <x:v/>
      </x:c>
      <x:c r="B182" s="332" t="str">
        <x:f>IF($H182="","","G-"&amp;TEXT($A182,"0000"))</x:f>
        <x:v/>
      </x:c>
      <x:c r="C182" s="331" t="str">
        <x:f>IF($H182="","",IFERROR(INDEX('Game Records'!$A:$A,$H182),""))</x:f>
        <x:v/>
      </x:c>
      <x:c r="D182" s="331" t="str">
        <x:f>IF($H182="","",IFERROR(INDEX('Game Records'!$U:$U,$H182),""))</x:f>
        <x:v/>
      </x:c>
      <x:c r="E182" s="331" t="str">
        <x:f>IF($H182="","",IF($F182="","No Highlighted Fields","Highlighted Fields Present"))</x:f>
        <x:v/>
      </x:c>
      <x:c r="F182" s="331" t="str">
        <x:f>IF($H182="","",IF(INDEX('Game Records'!$B:$B,$H182)="","Start Date; ","")&amp;IF(INDEX('Game Records'!$C:$C,$H182)="","End Date; ","")&amp;IF(AND(INDEX('Game Records'!$U:$U,$H182)&lt;&gt;"Subscription",INDEX('Game Records'!$U:$U,$H182)&lt;&gt;"Free Game",INDEX('Game Records'!$U:$U,$H182)&lt;&gt;"Disqualified — Free Game",OR(INDEX('Game Records'!$D:$D,$H182)="",LOWER(INDEX('Game Records'!$D:$D,$H182)&amp;"")="n/a")),"Entry Mode; ","")&amp;IF(AND(INDEX('Game Records'!$U:$U,$H182)&lt;&gt;"Subscription",INDEX('Game Records'!$U:$U,$H182)&lt;&gt;"Free Game",INDEX('Game Records'!$U:$U,$H182)&lt;&gt;"Disqualified — Free Game",OR(INDEX('Game Records'!$E:$E,$H182)="",LOWER(INDEX('Game Records'!$E:$E,$H182)&amp;"")="n/a")),"Game Type; ","")&amp;IF(INDEX('Game Records'!$F:$F,$H182)="","Payment Type; ","")&amp;IF(AND(INDEX('Game Records'!$U:$U,$H182)&lt;&gt;"Subscription",INDEX('Game Records'!$U:$U,$H182)&lt;&gt;"Free Game",INDEX('Game Records'!$U:$U,$H182)&lt;&gt;"Disqualified — Free Game",INDEX('Game Records'!$G:$G,$H182)=""),"Gross Pot; ","")&amp;IF(AND(INDEX('Game Records'!$U:$U,$H182)&lt;&gt;"Free Game",INDEX('Game Records'!$U:$U,$H182)&lt;&gt;"Disqualified — Free Game",INDEX('Game Records'!$H:$H,$H182)=""),"Entry Fee; ","")&amp;IF(AND(INDEX('Game Records'!$U:$U,$H182)&lt;&gt;"Subscription",INDEX('Game Records'!$U:$U,$H182)&lt;&gt;"Free Game",INDEX('Game Records'!$U:$U,$H182)&lt;&gt;"Disqualified — Free Game",INDEX('Game Records'!$I:$I,$H182)=""),"Eligible Players; ","")&amp;IF(AND(INDEX('Game Records'!$U:$U,$H182)&lt;&gt;"Subscription",INDEX('Game Records'!$U:$U,$H182)&lt;&gt;"Free Game",INDEX('Game Records'!$U:$U,$H182)&lt;&gt;"Disqualified — Free Game",INDEX('Game Records'!$J:$J,$H182)=""),"Total Players; ","")&amp;IF(AND(LOWER(INDEX('Game Records'!$D:$D,$H182)&amp;"")="finalized",LOWER(INDEX('Game Records'!$L:$L,$H182)&amp;"")&lt;&gt;"yes",INDEX('Game Records'!$U:$U,$H182)&lt;&gt;"Subscription",INDEX('Game Records'!$U:$U,$H182)&lt;&gt;"Free Game",INDEX('Game Records'!$U:$U,$H182)&lt;&gt;"Disqualified — Free Game",INDEX('Game Records'!$K:$K,$H182)=""),"Final Earned; ","")&amp;IF(AND(LOWER(INDEX('Game Records'!$D:$D,$H182)&amp;"")="finalized",INDEX('Game Records'!$U:$U,$H182)&lt;&gt;"Subscription",INDEX('Game Records'!$U:$U,$H182)&lt;&gt;"Free Game",INDEX('Game Records'!$U:$U,$H182)&lt;&gt;"Disqualified — Free Game",OR(INDEX('Game Records'!$L:$L,$H182)="",LOWER(INDEX('Game Records'!$L:$L,$H182)&amp;"")="n/a")),"Disqualified Status; ",""))</x:f>
        <x:v/>
      </x:c>
      <x:c r="G182" s="331" t="str">
        <x:f>IF($H182="","",IFERROR(INDEX('Game Records'!$M:$M,$H182),""))</x:f>
        <x:v/>
      </x:c>
      <x:c r="H182" s="104" t="str">
        <x:f>IF($H181="","",IFERROR(MATCH(1,INDEX((ROW('Game Records'!$U$5:$U$504)&gt;$H181)*(('Game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2" s="104"/>
      <x:c r="J182" s="104"/>
    </x:row>
    <x:row r="183" ht="24" hidden="0" customHeight="1">
      <x:c r="A183" s="332" t="str">
        <x:f>IF($H183="","",ROWS($A$5:A183))</x:f>
        <x:v/>
      </x:c>
      <x:c r="B183" s="332" t="str">
        <x:f>IF($H183="","","G-"&amp;TEXT($A183,"0000"))</x:f>
        <x:v/>
      </x:c>
      <x:c r="C183" s="331" t="str">
        <x:f>IF($H183="","",IFERROR(INDEX('Game Records'!$A:$A,$H183),""))</x:f>
        <x:v/>
      </x:c>
      <x:c r="D183" s="331" t="str">
        <x:f>IF($H183="","",IFERROR(INDEX('Game Records'!$U:$U,$H183),""))</x:f>
        <x:v/>
      </x:c>
      <x:c r="E183" s="331" t="str">
        <x:f>IF($H183="","",IF($F183="","No Highlighted Fields","Highlighted Fields Present"))</x:f>
        <x:v/>
      </x:c>
      <x:c r="F183" s="331" t="str">
        <x:f>IF($H183="","",IF(INDEX('Game Records'!$B:$B,$H183)="","Start Date; ","")&amp;IF(INDEX('Game Records'!$C:$C,$H183)="","End Date; ","")&amp;IF(AND(INDEX('Game Records'!$U:$U,$H183)&lt;&gt;"Subscription",INDEX('Game Records'!$U:$U,$H183)&lt;&gt;"Free Game",INDEX('Game Records'!$U:$U,$H183)&lt;&gt;"Disqualified — Free Game",OR(INDEX('Game Records'!$D:$D,$H183)="",LOWER(INDEX('Game Records'!$D:$D,$H183)&amp;"")="n/a")),"Entry Mode; ","")&amp;IF(AND(INDEX('Game Records'!$U:$U,$H183)&lt;&gt;"Subscription",INDEX('Game Records'!$U:$U,$H183)&lt;&gt;"Free Game",INDEX('Game Records'!$U:$U,$H183)&lt;&gt;"Disqualified — Free Game",OR(INDEX('Game Records'!$E:$E,$H183)="",LOWER(INDEX('Game Records'!$E:$E,$H183)&amp;"")="n/a")),"Game Type; ","")&amp;IF(INDEX('Game Records'!$F:$F,$H183)="","Payment Type; ","")&amp;IF(AND(INDEX('Game Records'!$U:$U,$H183)&lt;&gt;"Subscription",INDEX('Game Records'!$U:$U,$H183)&lt;&gt;"Free Game",INDEX('Game Records'!$U:$U,$H183)&lt;&gt;"Disqualified — Free Game",INDEX('Game Records'!$G:$G,$H183)=""),"Gross Pot; ","")&amp;IF(AND(INDEX('Game Records'!$U:$U,$H183)&lt;&gt;"Free Game",INDEX('Game Records'!$U:$U,$H183)&lt;&gt;"Disqualified — Free Game",INDEX('Game Records'!$H:$H,$H183)=""),"Entry Fee; ","")&amp;IF(AND(INDEX('Game Records'!$U:$U,$H183)&lt;&gt;"Subscription",INDEX('Game Records'!$U:$U,$H183)&lt;&gt;"Free Game",INDEX('Game Records'!$U:$U,$H183)&lt;&gt;"Disqualified — Free Game",INDEX('Game Records'!$I:$I,$H183)=""),"Eligible Players; ","")&amp;IF(AND(INDEX('Game Records'!$U:$U,$H183)&lt;&gt;"Subscription",INDEX('Game Records'!$U:$U,$H183)&lt;&gt;"Free Game",INDEX('Game Records'!$U:$U,$H183)&lt;&gt;"Disqualified — Free Game",INDEX('Game Records'!$J:$J,$H183)=""),"Total Players; ","")&amp;IF(AND(LOWER(INDEX('Game Records'!$D:$D,$H183)&amp;"")="finalized",LOWER(INDEX('Game Records'!$L:$L,$H183)&amp;"")&lt;&gt;"yes",INDEX('Game Records'!$U:$U,$H183)&lt;&gt;"Subscription",INDEX('Game Records'!$U:$U,$H183)&lt;&gt;"Free Game",INDEX('Game Records'!$U:$U,$H183)&lt;&gt;"Disqualified — Free Game",INDEX('Game Records'!$K:$K,$H183)=""),"Final Earned; ","")&amp;IF(AND(LOWER(INDEX('Game Records'!$D:$D,$H183)&amp;"")="finalized",INDEX('Game Records'!$U:$U,$H183)&lt;&gt;"Subscription",INDEX('Game Records'!$U:$U,$H183)&lt;&gt;"Free Game",INDEX('Game Records'!$U:$U,$H183)&lt;&gt;"Disqualified — Free Game",OR(INDEX('Game Records'!$L:$L,$H183)="",LOWER(INDEX('Game Records'!$L:$L,$H183)&amp;"")="n/a")),"Disqualified Status; ",""))</x:f>
        <x:v/>
      </x:c>
      <x:c r="G183" s="331" t="str">
        <x:f>IF($H183="","",IFERROR(INDEX('Game Records'!$M:$M,$H183),""))</x:f>
        <x:v/>
      </x:c>
      <x:c r="H183" s="104" t="str">
        <x:f>IF($H182="","",IFERROR(MATCH(1,INDEX((ROW('Game Records'!$U$5:$U$504)&gt;$H182)*(('Game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3" s="104"/>
      <x:c r="J183" s="104"/>
    </x:row>
    <x:row r="184" ht="24" hidden="0" customHeight="1">
      <x:c r="A184" s="332" t="str">
        <x:f>IF($H184="","",ROWS($A$5:A184))</x:f>
        <x:v/>
      </x:c>
      <x:c r="B184" s="332" t="str">
        <x:f>IF($H184="","","G-"&amp;TEXT($A184,"0000"))</x:f>
        <x:v/>
      </x:c>
      <x:c r="C184" s="331" t="str">
        <x:f>IF($H184="","",IFERROR(INDEX('Game Records'!$A:$A,$H184),""))</x:f>
        <x:v/>
      </x:c>
      <x:c r="D184" s="331" t="str">
        <x:f>IF($H184="","",IFERROR(INDEX('Game Records'!$U:$U,$H184),""))</x:f>
        <x:v/>
      </x:c>
      <x:c r="E184" s="331" t="str">
        <x:f>IF($H184="","",IF($F184="","No Highlighted Fields","Highlighted Fields Present"))</x:f>
        <x:v/>
      </x:c>
      <x:c r="F184" s="331" t="str">
        <x:f>IF($H184="","",IF(INDEX('Game Records'!$B:$B,$H184)="","Start Date; ","")&amp;IF(INDEX('Game Records'!$C:$C,$H184)="","End Date; ","")&amp;IF(AND(INDEX('Game Records'!$U:$U,$H184)&lt;&gt;"Subscription",INDEX('Game Records'!$U:$U,$H184)&lt;&gt;"Free Game",INDEX('Game Records'!$U:$U,$H184)&lt;&gt;"Disqualified — Free Game",OR(INDEX('Game Records'!$D:$D,$H184)="",LOWER(INDEX('Game Records'!$D:$D,$H184)&amp;"")="n/a")),"Entry Mode; ","")&amp;IF(AND(INDEX('Game Records'!$U:$U,$H184)&lt;&gt;"Subscription",INDEX('Game Records'!$U:$U,$H184)&lt;&gt;"Free Game",INDEX('Game Records'!$U:$U,$H184)&lt;&gt;"Disqualified — Free Game",OR(INDEX('Game Records'!$E:$E,$H184)="",LOWER(INDEX('Game Records'!$E:$E,$H184)&amp;"")="n/a")),"Game Type; ","")&amp;IF(INDEX('Game Records'!$F:$F,$H184)="","Payment Type; ","")&amp;IF(AND(INDEX('Game Records'!$U:$U,$H184)&lt;&gt;"Subscription",INDEX('Game Records'!$U:$U,$H184)&lt;&gt;"Free Game",INDEX('Game Records'!$U:$U,$H184)&lt;&gt;"Disqualified — Free Game",INDEX('Game Records'!$G:$G,$H184)=""),"Gross Pot; ","")&amp;IF(AND(INDEX('Game Records'!$U:$U,$H184)&lt;&gt;"Free Game",INDEX('Game Records'!$U:$U,$H184)&lt;&gt;"Disqualified — Free Game",INDEX('Game Records'!$H:$H,$H184)=""),"Entry Fee; ","")&amp;IF(AND(INDEX('Game Records'!$U:$U,$H184)&lt;&gt;"Subscription",INDEX('Game Records'!$U:$U,$H184)&lt;&gt;"Free Game",INDEX('Game Records'!$U:$U,$H184)&lt;&gt;"Disqualified — Free Game",INDEX('Game Records'!$I:$I,$H184)=""),"Eligible Players; ","")&amp;IF(AND(INDEX('Game Records'!$U:$U,$H184)&lt;&gt;"Subscription",INDEX('Game Records'!$U:$U,$H184)&lt;&gt;"Free Game",INDEX('Game Records'!$U:$U,$H184)&lt;&gt;"Disqualified — Free Game",INDEX('Game Records'!$J:$J,$H184)=""),"Total Players; ","")&amp;IF(AND(LOWER(INDEX('Game Records'!$D:$D,$H184)&amp;"")="finalized",LOWER(INDEX('Game Records'!$L:$L,$H184)&amp;"")&lt;&gt;"yes",INDEX('Game Records'!$U:$U,$H184)&lt;&gt;"Subscription",INDEX('Game Records'!$U:$U,$H184)&lt;&gt;"Free Game",INDEX('Game Records'!$U:$U,$H184)&lt;&gt;"Disqualified — Free Game",INDEX('Game Records'!$K:$K,$H184)=""),"Final Earned; ","")&amp;IF(AND(LOWER(INDEX('Game Records'!$D:$D,$H184)&amp;"")="finalized",INDEX('Game Records'!$U:$U,$H184)&lt;&gt;"Subscription",INDEX('Game Records'!$U:$U,$H184)&lt;&gt;"Free Game",INDEX('Game Records'!$U:$U,$H184)&lt;&gt;"Disqualified — Free Game",OR(INDEX('Game Records'!$L:$L,$H184)="",LOWER(INDEX('Game Records'!$L:$L,$H184)&amp;"")="n/a")),"Disqualified Status; ",""))</x:f>
        <x:v/>
      </x:c>
      <x:c r="G184" s="331" t="str">
        <x:f>IF($H184="","",IFERROR(INDEX('Game Records'!$M:$M,$H184),""))</x:f>
        <x:v/>
      </x:c>
      <x:c r="H184" s="104" t="str">
        <x:f>IF($H183="","",IFERROR(MATCH(1,INDEX((ROW('Game Records'!$U$5:$U$504)&gt;$H183)*(('Game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4" s="104"/>
      <x:c r="J184" s="104"/>
    </x:row>
    <x:row r="185" ht="24" hidden="0" customHeight="1">
      <x:c r="A185" s="332" t="str">
        <x:f>IF($H185="","",ROWS($A$5:A185))</x:f>
        <x:v/>
      </x:c>
      <x:c r="B185" s="332" t="str">
        <x:f>IF($H185="","","G-"&amp;TEXT($A185,"0000"))</x:f>
        <x:v/>
      </x:c>
      <x:c r="C185" s="331" t="str">
        <x:f>IF($H185="","",IFERROR(INDEX('Game Records'!$A:$A,$H185),""))</x:f>
        <x:v/>
      </x:c>
      <x:c r="D185" s="331" t="str">
        <x:f>IF($H185="","",IFERROR(INDEX('Game Records'!$U:$U,$H185),""))</x:f>
        <x:v/>
      </x:c>
      <x:c r="E185" s="331" t="str">
        <x:f>IF($H185="","",IF($F185="","No Highlighted Fields","Highlighted Fields Present"))</x:f>
        <x:v/>
      </x:c>
      <x:c r="F185" s="331" t="str">
        <x:f>IF($H185="","",IF(INDEX('Game Records'!$B:$B,$H185)="","Start Date; ","")&amp;IF(INDEX('Game Records'!$C:$C,$H185)="","End Date; ","")&amp;IF(AND(INDEX('Game Records'!$U:$U,$H185)&lt;&gt;"Subscription",INDEX('Game Records'!$U:$U,$H185)&lt;&gt;"Free Game",INDEX('Game Records'!$U:$U,$H185)&lt;&gt;"Disqualified — Free Game",OR(INDEX('Game Records'!$D:$D,$H185)="",LOWER(INDEX('Game Records'!$D:$D,$H185)&amp;"")="n/a")),"Entry Mode; ","")&amp;IF(AND(INDEX('Game Records'!$U:$U,$H185)&lt;&gt;"Subscription",INDEX('Game Records'!$U:$U,$H185)&lt;&gt;"Free Game",INDEX('Game Records'!$U:$U,$H185)&lt;&gt;"Disqualified — Free Game",OR(INDEX('Game Records'!$E:$E,$H185)="",LOWER(INDEX('Game Records'!$E:$E,$H185)&amp;"")="n/a")),"Game Type; ","")&amp;IF(INDEX('Game Records'!$F:$F,$H185)="","Payment Type; ","")&amp;IF(AND(INDEX('Game Records'!$U:$U,$H185)&lt;&gt;"Subscription",INDEX('Game Records'!$U:$U,$H185)&lt;&gt;"Free Game",INDEX('Game Records'!$U:$U,$H185)&lt;&gt;"Disqualified — Free Game",INDEX('Game Records'!$G:$G,$H185)=""),"Gross Pot; ","")&amp;IF(AND(INDEX('Game Records'!$U:$U,$H185)&lt;&gt;"Free Game",INDEX('Game Records'!$U:$U,$H185)&lt;&gt;"Disqualified — Free Game",INDEX('Game Records'!$H:$H,$H185)=""),"Entry Fee; ","")&amp;IF(AND(INDEX('Game Records'!$U:$U,$H185)&lt;&gt;"Subscription",INDEX('Game Records'!$U:$U,$H185)&lt;&gt;"Free Game",INDEX('Game Records'!$U:$U,$H185)&lt;&gt;"Disqualified — Free Game",INDEX('Game Records'!$I:$I,$H185)=""),"Eligible Players; ","")&amp;IF(AND(INDEX('Game Records'!$U:$U,$H185)&lt;&gt;"Subscription",INDEX('Game Records'!$U:$U,$H185)&lt;&gt;"Free Game",INDEX('Game Records'!$U:$U,$H185)&lt;&gt;"Disqualified — Free Game",INDEX('Game Records'!$J:$J,$H185)=""),"Total Players; ","")&amp;IF(AND(LOWER(INDEX('Game Records'!$D:$D,$H185)&amp;"")="finalized",LOWER(INDEX('Game Records'!$L:$L,$H185)&amp;"")&lt;&gt;"yes",INDEX('Game Records'!$U:$U,$H185)&lt;&gt;"Subscription",INDEX('Game Records'!$U:$U,$H185)&lt;&gt;"Free Game",INDEX('Game Records'!$U:$U,$H185)&lt;&gt;"Disqualified — Free Game",INDEX('Game Records'!$K:$K,$H185)=""),"Final Earned; ","")&amp;IF(AND(LOWER(INDEX('Game Records'!$D:$D,$H185)&amp;"")="finalized",INDEX('Game Records'!$U:$U,$H185)&lt;&gt;"Subscription",INDEX('Game Records'!$U:$U,$H185)&lt;&gt;"Free Game",INDEX('Game Records'!$U:$U,$H185)&lt;&gt;"Disqualified — Free Game",OR(INDEX('Game Records'!$L:$L,$H185)="",LOWER(INDEX('Game Records'!$L:$L,$H185)&amp;"")="n/a")),"Disqualified Status; ",""))</x:f>
        <x:v/>
      </x:c>
      <x:c r="G185" s="331" t="str">
        <x:f>IF($H185="","",IFERROR(INDEX('Game Records'!$M:$M,$H185),""))</x:f>
        <x:v/>
      </x:c>
      <x:c r="H185" s="104" t="str">
        <x:f>IF($H184="","",IFERROR(MATCH(1,INDEX((ROW('Game Records'!$U$5:$U$504)&gt;$H184)*(('Game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5" s="104"/>
      <x:c r="J185" s="104"/>
    </x:row>
    <x:row r="186" ht="24" hidden="0" customHeight="1">
      <x:c r="A186" s="332" t="str">
        <x:f>IF($H186="","",ROWS($A$5:A186))</x:f>
        <x:v/>
      </x:c>
      <x:c r="B186" s="332" t="str">
        <x:f>IF($H186="","","G-"&amp;TEXT($A186,"0000"))</x:f>
        <x:v/>
      </x:c>
      <x:c r="C186" s="331" t="str">
        <x:f>IF($H186="","",IFERROR(INDEX('Game Records'!$A:$A,$H186),""))</x:f>
        <x:v/>
      </x:c>
      <x:c r="D186" s="331" t="str">
        <x:f>IF($H186="","",IFERROR(INDEX('Game Records'!$U:$U,$H186),""))</x:f>
        <x:v/>
      </x:c>
      <x:c r="E186" s="331" t="str">
        <x:f>IF($H186="","",IF($F186="","No Highlighted Fields","Highlighted Fields Present"))</x:f>
        <x:v/>
      </x:c>
      <x:c r="F186" s="331" t="str">
        <x:f>IF($H186="","",IF(INDEX('Game Records'!$B:$B,$H186)="","Start Date; ","")&amp;IF(INDEX('Game Records'!$C:$C,$H186)="","End Date; ","")&amp;IF(AND(INDEX('Game Records'!$U:$U,$H186)&lt;&gt;"Subscription",INDEX('Game Records'!$U:$U,$H186)&lt;&gt;"Free Game",INDEX('Game Records'!$U:$U,$H186)&lt;&gt;"Disqualified — Free Game",OR(INDEX('Game Records'!$D:$D,$H186)="",LOWER(INDEX('Game Records'!$D:$D,$H186)&amp;"")="n/a")),"Entry Mode; ","")&amp;IF(AND(INDEX('Game Records'!$U:$U,$H186)&lt;&gt;"Subscription",INDEX('Game Records'!$U:$U,$H186)&lt;&gt;"Free Game",INDEX('Game Records'!$U:$U,$H186)&lt;&gt;"Disqualified — Free Game",OR(INDEX('Game Records'!$E:$E,$H186)="",LOWER(INDEX('Game Records'!$E:$E,$H186)&amp;"")="n/a")),"Game Type; ","")&amp;IF(INDEX('Game Records'!$F:$F,$H186)="","Payment Type; ","")&amp;IF(AND(INDEX('Game Records'!$U:$U,$H186)&lt;&gt;"Subscription",INDEX('Game Records'!$U:$U,$H186)&lt;&gt;"Free Game",INDEX('Game Records'!$U:$U,$H186)&lt;&gt;"Disqualified — Free Game",INDEX('Game Records'!$G:$G,$H186)=""),"Gross Pot; ","")&amp;IF(AND(INDEX('Game Records'!$U:$U,$H186)&lt;&gt;"Free Game",INDEX('Game Records'!$U:$U,$H186)&lt;&gt;"Disqualified — Free Game",INDEX('Game Records'!$H:$H,$H186)=""),"Entry Fee; ","")&amp;IF(AND(INDEX('Game Records'!$U:$U,$H186)&lt;&gt;"Subscription",INDEX('Game Records'!$U:$U,$H186)&lt;&gt;"Free Game",INDEX('Game Records'!$U:$U,$H186)&lt;&gt;"Disqualified — Free Game",INDEX('Game Records'!$I:$I,$H186)=""),"Eligible Players; ","")&amp;IF(AND(INDEX('Game Records'!$U:$U,$H186)&lt;&gt;"Subscription",INDEX('Game Records'!$U:$U,$H186)&lt;&gt;"Free Game",INDEX('Game Records'!$U:$U,$H186)&lt;&gt;"Disqualified — Free Game",INDEX('Game Records'!$J:$J,$H186)=""),"Total Players; ","")&amp;IF(AND(LOWER(INDEX('Game Records'!$D:$D,$H186)&amp;"")="finalized",LOWER(INDEX('Game Records'!$L:$L,$H186)&amp;"")&lt;&gt;"yes",INDEX('Game Records'!$U:$U,$H186)&lt;&gt;"Subscription",INDEX('Game Records'!$U:$U,$H186)&lt;&gt;"Free Game",INDEX('Game Records'!$U:$U,$H186)&lt;&gt;"Disqualified — Free Game",INDEX('Game Records'!$K:$K,$H186)=""),"Final Earned; ","")&amp;IF(AND(LOWER(INDEX('Game Records'!$D:$D,$H186)&amp;"")="finalized",INDEX('Game Records'!$U:$U,$H186)&lt;&gt;"Subscription",INDEX('Game Records'!$U:$U,$H186)&lt;&gt;"Free Game",INDEX('Game Records'!$U:$U,$H186)&lt;&gt;"Disqualified — Free Game",OR(INDEX('Game Records'!$L:$L,$H186)="",LOWER(INDEX('Game Records'!$L:$L,$H186)&amp;"")="n/a")),"Disqualified Status; ",""))</x:f>
        <x:v/>
      </x:c>
      <x:c r="G186" s="331" t="str">
        <x:f>IF($H186="","",IFERROR(INDEX('Game Records'!$M:$M,$H186),""))</x:f>
        <x:v/>
      </x:c>
      <x:c r="H186" s="104" t="str">
        <x:f>IF($H185="","",IFERROR(MATCH(1,INDEX((ROW('Game Records'!$U$5:$U$504)&gt;$H185)*(('Game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6" s="104"/>
      <x:c r="J186" s="104"/>
    </x:row>
    <x:row r="187" ht="24" hidden="0" customHeight="1">
      <x:c r="A187" s="332" t="str">
        <x:f>IF($H187="","",ROWS($A$5:A187))</x:f>
        <x:v/>
      </x:c>
      <x:c r="B187" s="332" t="str">
        <x:f>IF($H187="","","G-"&amp;TEXT($A187,"0000"))</x:f>
        <x:v/>
      </x:c>
      <x:c r="C187" s="331" t="str">
        <x:f>IF($H187="","",IFERROR(INDEX('Game Records'!$A:$A,$H187),""))</x:f>
        <x:v/>
      </x:c>
      <x:c r="D187" s="331" t="str">
        <x:f>IF($H187="","",IFERROR(INDEX('Game Records'!$U:$U,$H187),""))</x:f>
        <x:v/>
      </x:c>
      <x:c r="E187" s="331" t="str">
        <x:f>IF($H187="","",IF($F187="","No Highlighted Fields","Highlighted Fields Present"))</x:f>
        <x:v/>
      </x:c>
      <x:c r="F187" s="331" t="str">
        <x:f>IF($H187="","",IF(INDEX('Game Records'!$B:$B,$H187)="","Start Date; ","")&amp;IF(INDEX('Game Records'!$C:$C,$H187)="","End Date; ","")&amp;IF(AND(INDEX('Game Records'!$U:$U,$H187)&lt;&gt;"Subscription",INDEX('Game Records'!$U:$U,$H187)&lt;&gt;"Free Game",INDEX('Game Records'!$U:$U,$H187)&lt;&gt;"Disqualified — Free Game",OR(INDEX('Game Records'!$D:$D,$H187)="",LOWER(INDEX('Game Records'!$D:$D,$H187)&amp;"")="n/a")),"Entry Mode; ","")&amp;IF(AND(INDEX('Game Records'!$U:$U,$H187)&lt;&gt;"Subscription",INDEX('Game Records'!$U:$U,$H187)&lt;&gt;"Free Game",INDEX('Game Records'!$U:$U,$H187)&lt;&gt;"Disqualified — Free Game",OR(INDEX('Game Records'!$E:$E,$H187)="",LOWER(INDEX('Game Records'!$E:$E,$H187)&amp;"")="n/a")),"Game Type; ","")&amp;IF(INDEX('Game Records'!$F:$F,$H187)="","Payment Type; ","")&amp;IF(AND(INDEX('Game Records'!$U:$U,$H187)&lt;&gt;"Subscription",INDEX('Game Records'!$U:$U,$H187)&lt;&gt;"Free Game",INDEX('Game Records'!$U:$U,$H187)&lt;&gt;"Disqualified — Free Game",INDEX('Game Records'!$G:$G,$H187)=""),"Gross Pot; ","")&amp;IF(AND(INDEX('Game Records'!$U:$U,$H187)&lt;&gt;"Free Game",INDEX('Game Records'!$U:$U,$H187)&lt;&gt;"Disqualified — Free Game",INDEX('Game Records'!$H:$H,$H187)=""),"Entry Fee; ","")&amp;IF(AND(INDEX('Game Records'!$U:$U,$H187)&lt;&gt;"Subscription",INDEX('Game Records'!$U:$U,$H187)&lt;&gt;"Free Game",INDEX('Game Records'!$U:$U,$H187)&lt;&gt;"Disqualified — Free Game",INDEX('Game Records'!$I:$I,$H187)=""),"Eligible Players; ","")&amp;IF(AND(INDEX('Game Records'!$U:$U,$H187)&lt;&gt;"Subscription",INDEX('Game Records'!$U:$U,$H187)&lt;&gt;"Free Game",INDEX('Game Records'!$U:$U,$H187)&lt;&gt;"Disqualified — Free Game",INDEX('Game Records'!$J:$J,$H187)=""),"Total Players; ","")&amp;IF(AND(LOWER(INDEX('Game Records'!$D:$D,$H187)&amp;"")="finalized",LOWER(INDEX('Game Records'!$L:$L,$H187)&amp;"")&lt;&gt;"yes",INDEX('Game Records'!$U:$U,$H187)&lt;&gt;"Subscription",INDEX('Game Records'!$U:$U,$H187)&lt;&gt;"Free Game",INDEX('Game Records'!$U:$U,$H187)&lt;&gt;"Disqualified — Free Game",INDEX('Game Records'!$K:$K,$H187)=""),"Final Earned; ","")&amp;IF(AND(LOWER(INDEX('Game Records'!$D:$D,$H187)&amp;"")="finalized",INDEX('Game Records'!$U:$U,$H187)&lt;&gt;"Subscription",INDEX('Game Records'!$U:$U,$H187)&lt;&gt;"Free Game",INDEX('Game Records'!$U:$U,$H187)&lt;&gt;"Disqualified — Free Game",OR(INDEX('Game Records'!$L:$L,$H187)="",LOWER(INDEX('Game Records'!$L:$L,$H187)&amp;"")="n/a")),"Disqualified Status; ",""))</x:f>
        <x:v/>
      </x:c>
      <x:c r="G187" s="331" t="str">
        <x:f>IF($H187="","",IFERROR(INDEX('Game Records'!$M:$M,$H187),""))</x:f>
        <x:v/>
      </x:c>
      <x:c r="H187" s="104" t="str">
        <x:f>IF($H186="","",IFERROR(MATCH(1,INDEX((ROW('Game Records'!$U$5:$U$504)&gt;$H186)*(('Game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7" s="104"/>
      <x:c r="J187" s="104"/>
    </x:row>
    <x:row r="188" ht="24" hidden="0" customHeight="1">
      <x:c r="A188" s="332" t="str">
        <x:f>IF($H188="","",ROWS($A$5:A188))</x:f>
        <x:v/>
      </x:c>
      <x:c r="B188" s="332" t="str">
        <x:f>IF($H188="","","G-"&amp;TEXT($A188,"0000"))</x:f>
        <x:v/>
      </x:c>
      <x:c r="C188" s="331" t="str">
        <x:f>IF($H188="","",IFERROR(INDEX('Game Records'!$A:$A,$H188),""))</x:f>
        <x:v/>
      </x:c>
      <x:c r="D188" s="331" t="str">
        <x:f>IF($H188="","",IFERROR(INDEX('Game Records'!$U:$U,$H188),""))</x:f>
        <x:v/>
      </x:c>
      <x:c r="E188" s="331" t="str">
        <x:f>IF($H188="","",IF($F188="","No Highlighted Fields","Highlighted Fields Present"))</x:f>
        <x:v/>
      </x:c>
      <x:c r="F188" s="331" t="str">
        <x:f>IF($H188="","",IF(INDEX('Game Records'!$B:$B,$H188)="","Start Date; ","")&amp;IF(INDEX('Game Records'!$C:$C,$H188)="","End Date; ","")&amp;IF(AND(INDEX('Game Records'!$U:$U,$H188)&lt;&gt;"Subscription",INDEX('Game Records'!$U:$U,$H188)&lt;&gt;"Free Game",INDEX('Game Records'!$U:$U,$H188)&lt;&gt;"Disqualified — Free Game",OR(INDEX('Game Records'!$D:$D,$H188)="",LOWER(INDEX('Game Records'!$D:$D,$H188)&amp;"")="n/a")),"Entry Mode; ","")&amp;IF(AND(INDEX('Game Records'!$U:$U,$H188)&lt;&gt;"Subscription",INDEX('Game Records'!$U:$U,$H188)&lt;&gt;"Free Game",INDEX('Game Records'!$U:$U,$H188)&lt;&gt;"Disqualified — Free Game",OR(INDEX('Game Records'!$E:$E,$H188)="",LOWER(INDEX('Game Records'!$E:$E,$H188)&amp;"")="n/a")),"Game Type; ","")&amp;IF(INDEX('Game Records'!$F:$F,$H188)="","Payment Type; ","")&amp;IF(AND(INDEX('Game Records'!$U:$U,$H188)&lt;&gt;"Subscription",INDEX('Game Records'!$U:$U,$H188)&lt;&gt;"Free Game",INDEX('Game Records'!$U:$U,$H188)&lt;&gt;"Disqualified — Free Game",INDEX('Game Records'!$G:$G,$H188)=""),"Gross Pot; ","")&amp;IF(AND(INDEX('Game Records'!$U:$U,$H188)&lt;&gt;"Free Game",INDEX('Game Records'!$U:$U,$H188)&lt;&gt;"Disqualified — Free Game",INDEX('Game Records'!$H:$H,$H188)=""),"Entry Fee; ","")&amp;IF(AND(INDEX('Game Records'!$U:$U,$H188)&lt;&gt;"Subscription",INDEX('Game Records'!$U:$U,$H188)&lt;&gt;"Free Game",INDEX('Game Records'!$U:$U,$H188)&lt;&gt;"Disqualified — Free Game",INDEX('Game Records'!$I:$I,$H188)=""),"Eligible Players; ","")&amp;IF(AND(INDEX('Game Records'!$U:$U,$H188)&lt;&gt;"Subscription",INDEX('Game Records'!$U:$U,$H188)&lt;&gt;"Free Game",INDEX('Game Records'!$U:$U,$H188)&lt;&gt;"Disqualified — Free Game",INDEX('Game Records'!$J:$J,$H188)=""),"Total Players; ","")&amp;IF(AND(LOWER(INDEX('Game Records'!$D:$D,$H188)&amp;"")="finalized",LOWER(INDEX('Game Records'!$L:$L,$H188)&amp;"")&lt;&gt;"yes",INDEX('Game Records'!$U:$U,$H188)&lt;&gt;"Subscription",INDEX('Game Records'!$U:$U,$H188)&lt;&gt;"Free Game",INDEX('Game Records'!$U:$U,$H188)&lt;&gt;"Disqualified — Free Game",INDEX('Game Records'!$K:$K,$H188)=""),"Final Earned; ","")&amp;IF(AND(LOWER(INDEX('Game Records'!$D:$D,$H188)&amp;"")="finalized",INDEX('Game Records'!$U:$U,$H188)&lt;&gt;"Subscription",INDEX('Game Records'!$U:$U,$H188)&lt;&gt;"Free Game",INDEX('Game Records'!$U:$U,$H188)&lt;&gt;"Disqualified — Free Game",OR(INDEX('Game Records'!$L:$L,$H188)="",LOWER(INDEX('Game Records'!$L:$L,$H188)&amp;"")="n/a")),"Disqualified Status; ",""))</x:f>
        <x:v/>
      </x:c>
      <x:c r="G188" s="331" t="str">
        <x:f>IF($H188="","",IFERROR(INDEX('Game Records'!$M:$M,$H188),""))</x:f>
        <x:v/>
      </x:c>
      <x:c r="H188" s="104" t="str">
        <x:f>IF($H187="","",IFERROR(MATCH(1,INDEX((ROW('Game Records'!$U$5:$U$504)&gt;$H187)*(('Game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8" s="104"/>
      <x:c r="J188" s="104"/>
    </x:row>
    <x:row r="189" ht="24" hidden="0" customHeight="1">
      <x:c r="A189" s="332" t="str">
        <x:f>IF($H189="","",ROWS($A$5:A189))</x:f>
        <x:v/>
      </x:c>
      <x:c r="B189" s="332" t="str">
        <x:f>IF($H189="","","G-"&amp;TEXT($A189,"0000"))</x:f>
        <x:v/>
      </x:c>
      <x:c r="C189" s="331" t="str">
        <x:f>IF($H189="","",IFERROR(INDEX('Game Records'!$A:$A,$H189),""))</x:f>
        <x:v/>
      </x:c>
      <x:c r="D189" s="331" t="str">
        <x:f>IF($H189="","",IFERROR(INDEX('Game Records'!$U:$U,$H189),""))</x:f>
        <x:v/>
      </x:c>
      <x:c r="E189" s="331" t="str">
        <x:f>IF($H189="","",IF($F189="","No Highlighted Fields","Highlighted Fields Present"))</x:f>
        <x:v/>
      </x:c>
      <x:c r="F189" s="331" t="str">
        <x:f>IF($H189="","",IF(INDEX('Game Records'!$B:$B,$H189)="","Start Date; ","")&amp;IF(INDEX('Game Records'!$C:$C,$H189)="","End Date; ","")&amp;IF(AND(INDEX('Game Records'!$U:$U,$H189)&lt;&gt;"Subscription",INDEX('Game Records'!$U:$U,$H189)&lt;&gt;"Free Game",INDEX('Game Records'!$U:$U,$H189)&lt;&gt;"Disqualified — Free Game",OR(INDEX('Game Records'!$D:$D,$H189)="",LOWER(INDEX('Game Records'!$D:$D,$H189)&amp;"")="n/a")),"Entry Mode; ","")&amp;IF(AND(INDEX('Game Records'!$U:$U,$H189)&lt;&gt;"Subscription",INDEX('Game Records'!$U:$U,$H189)&lt;&gt;"Free Game",INDEX('Game Records'!$U:$U,$H189)&lt;&gt;"Disqualified — Free Game",OR(INDEX('Game Records'!$E:$E,$H189)="",LOWER(INDEX('Game Records'!$E:$E,$H189)&amp;"")="n/a")),"Game Type; ","")&amp;IF(INDEX('Game Records'!$F:$F,$H189)="","Payment Type; ","")&amp;IF(AND(INDEX('Game Records'!$U:$U,$H189)&lt;&gt;"Subscription",INDEX('Game Records'!$U:$U,$H189)&lt;&gt;"Free Game",INDEX('Game Records'!$U:$U,$H189)&lt;&gt;"Disqualified — Free Game",INDEX('Game Records'!$G:$G,$H189)=""),"Gross Pot; ","")&amp;IF(AND(INDEX('Game Records'!$U:$U,$H189)&lt;&gt;"Free Game",INDEX('Game Records'!$U:$U,$H189)&lt;&gt;"Disqualified — Free Game",INDEX('Game Records'!$H:$H,$H189)=""),"Entry Fee; ","")&amp;IF(AND(INDEX('Game Records'!$U:$U,$H189)&lt;&gt;"Subscription",INDEX('Game Records'!$U:$U,$H189)&lt;&gt;"Free Game",INDEX('Game Records'!$U:$U,$H189)&lt;&gt;"Disqualified — Free Game",INDEX('Game Records'!$I:$I,$H189)=""),"Eligible Players; ","")&amp;IF(AND(INDEX('Game Records'!$U:$U,$H189)&lt;&gt;"Subscription",INDEX('Game Records'!$U:$U,$H189)&lt;&gt;"Free Game",INDEX('Game Records'!$U:$U,$H189)&lt;&gt;"Disqualified — Free Game",INDEX('Game Records'!$J:$J,$H189)=""),"Total Players; ","")&amp;IF(AND(LOWER(INDEX('Game Records'!$D:$D,$H189)&amp;"")="finalized",LOWER(INDEX('Game Records'!$L:$L,$H189)&amp;"")&lt;&gt;"yes",INDEX('Game Records'!$U:$U,$H189)&lt;&gt;"Subscription",INDEX('Game Records'!$U:$U,$H189)&lt;&gt;"Free Game",INDEX('Game Records'!$U:$U,$H189)&lt;&gt;"Disqualified — Free Game",INDEX('Game Records'!$K:$K,$H189)=""),"Final Earned; ","")&amp;IF(AND(LOWER(INDEX('Game Records'!$D:$D,$H189)&amp;"")="finalized",INDEX('Game Records'!$U:$U,$H189)&lt;&gt;"Subscription",INDEX('Game Records'!$U:$U,$H189)&lt;&gt;"Free Game",INDEX('Game Records'!$U:$U,$H189)&lt;&gt;"Disqualified — Free Game",OR(INDEX('Game Records'!$L:$L,$H189)="",LOWER(INDEX('Game Records'!$L:$L,$H189)&amp;"")="n/a")),"Disqualified Status; ",""))</x:f>
        <x:v/>
      </x:c>
      <x:c r="G189" s="331" t="str">
        <x:f>IF($H189="","",IFERROR(INDEX('Game Records'!$M:$M,$H189),""))</x:f>
        <x:v/>
      </x:c>
      <x:c r="H189" s="104" t="str">
        <x:f>IF($H188="","",IFERROR(MATCH(1,INDEX((ROW('Game Records'!$U$5:$U$504)&gt;$H188)*(('Game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89" s="104"/>
      <x:c r="J189" s="104"/>
    </x:row>
    <x:row r="190" ht="24" hidden="0" customHeight="1">
      <x:c r="A190" s="332" t="str">
        <x:f>IF($H190="","",ROWS($A$5:A190))</x:f>
        <x:v/>
      </x:c>
      <x:c r="B190" s="332" t="str">
        <x:f>IF($H190="","","G-"&amp;TEXT($A190,"0000"))</x:f>
        <x:v/>
      </x:c>
      <x:c r="C190" s="331" t="str">
        <x:f>IF($H190="","",IFERROR(INDEX('Game Records'!$A:$A,$H190),""))</x:f>
        <x:v/>
      </x:c>
      <x:c r="D190" s="331" t="str">
        <x:f>IF($H190="","",IFERROR(INDEX('Game Records'!$U:$U,$H190),""))</x:f>
        <x:v/>
      </x:c>
      <x:c r="E190" s="331" t="str">
        <x:f>IF($H190="","",IF($F190="","No Highlighted Fields","Highlighted Fields Present"))</x:f>
        <x:v/>
      </x:c>
      <x:c r="F190" s="331" t="str">
        <x:f>IF($H190="","",IF(INDEX('Game Records'!$B:$B,$H190)="","Start Date; ","")&amp;IF(INDEX('Game Records'!$C:$C,$H190)="","End Date; ","")&amp;IF(AND(INDEX('Game Records'!$U:$U,$H190)&lt;&gt;"Subscription",INDEX('Game Records'!$U:$U,$H190)&lt;&gt;"Free Game",INDEX('Game Records'!$U:$U,$H190)&lt;&gt;"Disqualified — Free Game",OR(INDEX('Game Records'!$D:$D,$H190)="",LOWER(INDEX('Game Records'!$D:$D,$H190)&amp;"")="n/a")),"Entry Mode; ","")&amp;IF(AND(INDEX('Game Records'!$U:$U,$H190)&lt;&gt;"Subscription",INDEX('Game Records'!$U:$U,$H190)&lt;&gt;"Free Game",INDEX('Game Records'!$U:$U,$H190)&lt;&gt;"Disqualified — Free Game",OR(INDEX('Game Records'!$E:$E,$H190)="",LOWER(INDEX('Game Records'!$E:$E,$H190)&amp;"")="n/a")),"Game Type; ","")&amp;IF(INDEX('Game Records'!$F:$F,$H190)="","Payment Type; ","")&amp;IF(AND(INDEX('Game Records'!$U:$U,$H190)&lt;&gt;"Subscription",INDEX('Game Records'!$U:$U,$H190)&lt;&gt;"Free Game",INDEX('Game Records'!$U:$U,$H190)&lt;&gt;"Disqualified — Free Game",INDEX('Game Records'!$G:$G,$H190)=""),"Gross Pot; ","")&amp;IF(AND(INDEX('Game Records'!$U:$U,$H190)&lt;&gt;"Free Game",INDEX('Game Records'!$U:$U,$H190)&lt;&gt;"Disqualified — Free Game",INDEX('Game Records'!$H:$H,$H190)=""),"Entry Fee; ","")&amp;IF(AND(INDEX('Game Records'!$U:$U,$H190)&lt;&gt;"Subscription",INDEX('Game Records'!$U:$U,$H190)&lt;&gt;"Free Game",INDEX('Game Records'!$U:$U,$H190)&lt;&gt;"Disqualified — Free Game",INDEX('Game Records'!$I:$I,$H190)=""),"Eligible Players; ","")&amp;IF(AND(INDEX('Game Records'!$U:$U,$H190)&lt;&gt;"Subscription",INDEX('Game Records'!$U:$U,$H190)&lt;&gt;"Free Game",INDEX('Game Records'!$U:$U,$H190)&lt;&gt;"Disqualified — Free Game",INDEX('Game Records'!$J:$J,$H190)=""),"Total Players; ","")&amp;IF(AND(LOWER(INDEX('Game Records'!$D:$D,$H190)&amp;"")="finalized",LOWER(INDEX('Game Records'!$L:$L,$H190)&amp;"")&lt;&gt;"yes",INDEX('Game Records'!$U:$U,$H190)&lt;&gt;"Subscription",INDEX('Game Records'!$U:$U,$H190)&lt;&gt;"Free Game",INDEX('Game Records'!$U:$U,$H190)&lt;&gt;"Disqualified — Free Game",INDEX('Game Records'!$K:$K,$H190)=""),"Final Earned; ","")&amp;IF(AND(LOWER(INDEX('Game Records'!$D:$D,$H190)&amp;"")="finalized",INDEX('Game Records'!$U:$U,$H190)&lt;&gt;"Subscription",INDEX('Game Records'!$U:$U,$H190)&lt;&gt;"Free Game",INDEX('Game Records'!$U:$U,$H190)&lt;&gt;"Disqualified — Free Game",OR(INDEX('Game Records'!$L:$L,$H190)="",LOWER(INDEX('Game Records'!$L:$L,$H190)&amp;"")="n/a")),"Disqualified Status; ",""))</x:f>
        <x:v/>
      </x:c>
      <x:c r="G190" s="331" t="str">
        <x:f>IF($H190="","",IFERROR(INDEX('Game Records'!$M:$M,$H190),""))</x:f>
        <x:v/>
      </x:c>
      <x:c r="H190" s="104" t="str">
        <x:f>IF($H189="","",IFERROR(MATCH(1,INDEX((ROW('Game Records'!$U$5:$U$504)&gt;$H189)*(('Game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0" s="104"/>
      <x:c r="J190" s="104"/>
    </x:row>
    <x:row r="191" ht="24" hidden="0" customHeight="1">
      <x:c r="A191" s="332" t="str">
        <x:f>IF($H191="","",ROWS($A$5:A191))</x:f>
        <x:v/>
      </x:c>
      <x:c r="B191" s="332" t="str">
        <x:f>IF($H191="","","G-"&amp;TEXT($A191,"0000"))</x:f>
        <x:v/>
      </x:c>
      <x:c r="C191" s="331" t="str">
        <x:f>IF($H191="","",IFERROR(INDEX('Game Records'!$A:$A,$H191),""))</x:f>
        <x:v/>
      </x:c>
      <x:c r="D191" s="331" t="str">
        <x:f>IF($H191="","",IFERROR(INDEX('Game Records'!$U:$U,$H191),""))</x:f>
        <x:v/>
      </x:c>
      <x:c r="E191" s="331" t="str">
        <x:f>IF($H191="","",IF($F191="","No Highlighted Fields","Highlighted Fields Present"))</x:f>
        <x:v/>
      </x:c>
      <x:c r="F191" s="331" t="str">
        <x:f>IF($H191="","",IF(INDEX('Game Records'!$B:$B,$H191)="","Start Date; ","")&amp;IF(INDEX('Game Records'!$C:$C,$H191)="","End Date; ","")&amp;IF(AND(INDEX('Game Records'!$U:$U,$H191)&lt;&gt;"Subscription",INDEX('Game Records'!$U:$U,$H191)&lt;&gt;"Free Game",INDEX('Game Records'!$U:$U,$H191)&lt;&gt;"Disqualified — Free Game",OR(INDEX('Game Records'!$D:$D,$H191)="",LOWER(INDEX('Game Records'!$D:$D,$H191)&amp;"")="n/a")),"Entry Mode; ","")&amp;IF(AND(INDEX('Game Records'!$U:$U,$H191)&lt;&gt;"Subscription",INDEX('Game Records'!$U:$U,$H191)&lt;&gt;"Free Game",INDEX('Game Records'!$U:$U,$H191)&lt;&gt;"Disqualified — Free Game",OR(INDEX('Game Records'!$E:$E,$H191)="",LOWER(INDEX('Game Records'!$E:$E,$H191)&amp;"")="n/a")),"Game Type; ","")&amp;IF(INDEX('Game Records'!$F:$F,$H191)="","Payment Type; ","")&amp;IF(AND(INDEX('Game Records'!$U:$U,$H191)&lt;&gt;"Subscription",INDEX('Game Records'!$U:$U,$H191)&lt;&gt;"Free Game",INDEX('Game Records'!$U:$U,$H191)&lt;&gt;"Disqualified — Free Game",INDEX('Game Records'!$G:$G,$H191)=""),"Gross Pot; ","")&amp;IF(AND(INDEX('Game Records'!$U:$U,$H191)&lt;&gt;"Free Game",INDEX('Game Records'!$U:$U,$H191)&lt;&gt;"Disqualified — Free Game",INDEX('Game Records'!$H:$H,$H191)=""),"Entry Fee; ","")&amp;IF(AND(INDEX('Game Records'!$U:$U,$H191)&lt;&gt;"Subscription",INDEX('Game Records'!$U:$U,$H191)&lt;&gt;"Free Game",INDEX('Game Records'!$U:$U,$H191)&lt;&gt;"Disqualified — Free Game",INDEX('Game Records'!$I:$I,$H191)=""),"Eligible Players; ","")&amp;IF(AND(INDEX('Game Records'!$U:$U,$H191)&lt;&gt;"Subscription",INDEX('Game Records'!$U:$U,$H191)&lt;&gt;"Free Game",INDEX('Game Records'!$U:$U,$H191)&lt;&gt;"Disqualified — Free Game",INDEX('Game Records'!$J:$J,$H191)=""),"Total Players; ","")&amp;IF(AND(LOWER(INDEX('Game Records'!$D:$D,$H191)&amp;"")="finalized",LOWER(INDEX('Game Records'!$L:$L,$H191)&amp;"")&lt;&gt;"yes",INDEX('Game Records'!$U:$U,$H191)&lt;&gt;"Subscription",INDEX('Game Records'!$U:$U,$H191)&lt;&gt;"Free Game",INDEX('Game Records'!$U:$U,$H191)&lt;&gt;"Disqualified — Free Game",INDEX('Game Records'!$K:$K,$H191)=""),"Final Earned; ","")&amp;IF(AND(LOWER(INDEX('Game Records'!$D:$D,$H191)&amp;"")="finalized",INDEX('Game Records'!$U:$U,$H191)&lt;&gt;"Subscription",INDEX('Game Records'!$U:$U,$H191)&lt;&gt;"Free Game",INDEX('Game Records'!$U:$U,$H191)&lt;&gt;"Disqualified — Free Game",OR(INDEX('Game Records'!$L:$L,$H191)="",LOWER(INDEX('Game Records'!$L:$L,$H191)&amp;"")="n/a")),"Disqualified Status; ",""))</x:f>
        <x:v/>
      </x:c>
      <x:c r="G191" s="331" t="str">
        <x:f>IF($H191="","",IFERROR(INDEX('Game Records'!$M:$M,$H191),""))</x:f>
        <x:v/>
      </x:c>
      <x:c r="H191" s="104" t="str">
        <x:f>IF($H190="","",IFERROR(MATCH(1,INDEX((ROW('Game Records'!$U$5:$U$504)&gt;$H190)*(('Game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1" s="104"/>
      <x:c r="J191" s="104"/>
    </x:row>
    <x:row r="192" ht="24" hidden="0" customHeight="1">
      <x:c r="A192" s="332" t="str">
        <x:f>IF($H192="","",ROWS($A$5:A192))</x:f>
        <x:v/>
      </x:c>
      <x:c r="B192" s="332" t="str">
        <x:f>IF($H192="","","G-"&amp;TEXT($A192,"0000"))</x:f>
        <x:v/>
      </x:c>
      <x:c r="C192" s="331" t="str">
        <x:f>IF($H192="","",IFERROR(INDEX('Game Records'!$A:$A,$H192),""))</x:f>
        <x:v/>
      </x:c>
      <x:c r="D192" s="331" t="str">
        <x:f>IF($H192="","",IFERROR(INDEX('Game Records'!$U:$U,$H192),""))</x:f>
        <x:v/>
      </x:c>
      <x:c r="E192" s="331" t="str">
        <x:f>IF($H192="","",IF($F192="","No Highlighted Fields","Highlighted Fields Present"))</x:f>
        <x:v/>
      </x:c>
      <x:c r="F192" s="331" t="str">
        <x:f>IF($H192="","",IF(INDEX('Game Records'!$B:$B,$H192)="","Start Date; ","")&amp;IF(INDEX('Game Records'!$C:$C,$H192)="","End Date; ","")&amp;IF(AND(INDEX('Game Records'!$U:$U,$H192)&lt;&gt;"Subscription",INDEX('Game Records'!$U:$U,$H192)&lt;&gt;"Free Game",INDEX('Game Records'!$U:$U,$H192)&lt;&gt;"Disqualified — Free Game",OR(INDEX('Game Records'!$D:$D,$H192)="",LOWER(INDEX('Game Records'!$D:$D,$H192)&amp;"")="n/a")),"Entry Mode; ","")&amp;IF(AND(INDEX('Game Records'!$U:$U,$H192)&lt;&gt;"Subscription",INDEX('Game Records'!$U:$U,$H192)&lt;&gt;"Free Game",INDEX('Game Records'!$U:$U,$H192)&lt;&gt;"Disqualified — Free Game",OR(INDEX('Game Records'!$E:$E,$H192)="",LOWER(INDEX('Game Records'!$E:$E,$H192)&amp;"")="n/a")),"Game Type; ","")&amp;IF(INDEX('Game Records'!$F:$F,$H192)="","Payment Type; ","")&amp;IF(AND(INDEX('Game Records'!$U:$U,$H192)&lt;&gt;"Subscription",INDEX('Game Records'!$U:$U,$H192)&lt;&gt;"Free Game",INDEX('Game Records'!$U:$U,$H192)&lt;&gt;"Disqualified — Free Game",INDEX('Game Records'!$G:$G,$H192)=""),"Gross Pot; ","")&amp;IF(AND(INDEX('Game Records'!$U:$U,$H192)&lt;&gt;"Free Game",INDEX('Game Records'!$U:$U,$H192)&lt;&gt;"Disqualified — Free Game",INDEX('Game Records'!$H:$H,$H192)=""),"Entry Fee; ","")&amp;IF(AND(INDEX('Game Records'!$U:$U,$H192)&lt;&gt;"Subscription",INDEX('Game Records'!$U:$U,$H192)&lt;&gt;"Free Game",INDEX('Game Records'!$U:$U,$H192)&lt;&gt;"Disqualified — Free Game",INDEX('Game Records'!$I:$I,$H192)=""),"Eligible Players; ","")&amp;IF(AND(INDEX('Game Records'!$U:$U,$H192)&lt;&gt;"Subscription",INDEX('Game Records'!$U:$U,$H192)&lt;&gt;"Free Game",INDEX('Game Records'!$U:$U,$H192)&lt;&gt;"Disqualified — Free Game",INDEX('Game Records'!$J:$J,$H192)=""),"Total Players; ","")&amp;IF(AND(LOWER(INDEX('Game Records'!$D:$D,$H192)&amp;"")="finalized",LOWER(INDEX('Game Records'!$L:$L,$H192)&amp;"")&lt;&gt;"yes",INDEX('Game Records'!$U:$U,$H192)&lt;&gt;"Subscription",INDEX('Game Records'!$U:$U,$H192)&lt;&gt;"Free Game",INDEX('Game Records'!$U:$U,$H192)&lt;&gt;"Disqualified — Free Game",INDEX('Game Records'!$K:$K,$H192)=""),"Final Earned; ","")&amp;IF(AND(LOWER(INDEX('Game Records'!$D:$D,$H192)&amp;"")="finalized",INDEX('Game Records'!$U:$U,$H192)&lt;&gt;"Subscription",INDEX('Game Records'!$U:$U,$H192)&lt;&gt;"Free Game",INDEX('Game Records'!$U:$U,$H192)&lt;&gt;"Disqualified — Free Game",OR(INDEX('Game Records'!$L:$L,$H192)="",LOWER(INDEX('Game Records'!$L:$L,$H192)&amp;"")="n/a")),"Disqualified Status; ",""))</x:f>
        <x:v/>
      </x:c>
      <x:c r="G192" s="331" t="str">
        <x:f>IF($H192="","",IFERROR(INDEX('Game Records'!$M:$M,$H192),""))</x:f>
        <x:v/>
      </x:c>
      <x:c r="H192" s="104" t="str">
        <x:f>IF($H191="","",IFERROR(MATCH(1,INDEX((ROW('Game Records'!$U$5:$U$504)&gt;$H191)*(('Game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2" s="104"/>
      <x:c r="J192" s="104"/>
    </x:row>
    <x:row r="193" ht="24" hidden="0" customHeight="1">
      <x:c r="A193" s="332" t="str">
        <x:f>IF($H193="","",ROWS($A$5:A193))</x:f>
        <x:v/>
      </x:c>
      <x:c r="B193" s="332" t="str">
        <x:f>IF($H193="","","G-"&amp;TEXT($A193,"0000"))</x:f>
        <x:v/>
      </x:c>
      <x:c r="C193" s="331" t="str">
        <x:f>IF($H193="","",IFERROR(INDEX('Game Records'!$A:$A,$H193),""))</x:f>
        <x:v/>
      </x:c>
      <x:c r="D193" s="331" t="str">
        <x:f>IF($H193="","",IFERROR(INDEX('Game Records'!$U:$U,$H193),""))</x:f>
        <x:v/>
      </x:c>
      <x:c r="E193" s="331" t="str">
        <x:f>IF($H193="","",IF($F193="","No Highlighted Fields","Highlighted Fields Present"))</x:f>
        <x:v/>
      </x:c>
      <x:c r="F193" s="331" t="str">
        <x:f>IF($H193="","",IF(INDEX('Game Records'!$B:$B,$H193)="","Start Date; ","")&amp;IF(INDEX('Game Records'!$C:$C,$H193)="","End Date; ","")&amp;IF(AND(INDEX('Game Records'!$U:$U,$H193)&lt;&gt;"Subscription",INDEX('Game Records'!$U:$U,$H193)&lt;&gt;"Free Game",INDEX('Game Records'!$U:$U,$H193)&lt;&gt;"Disqualified — Free Game",OR(INDEX('Game Records'!$D:$D,$H193)="",LOWER(INDEX('Game Records'!$D:$D,$H193)&amp;"")="n/a")),"Entry Mode; ","")&amp;IF(AND(INDEX('Game Records'!$U:$U,$H193)&lt;&gt;"Subscription",INDEX('Game Records'!$U:$U,$H193)&lt;&gt;"Free Game",INDEX('Game Records'!$U:$U,$H193)&lt;&gt;"Disqualified — Free Game",OR(INDEX('Game Records'!$E:$E,$H193)="",LOWER(INDEX('Game Records'!$E:$E,$H193)&amp;"")="n/a")),"Game Type; ","")&amp;IF(INDEX('Game Records'!$F:$F,$H193)="","Payment Type; ","")&amp;IF(AND(INDEX('Game Records'!$U:$U,$H193)&lt;&gt;"Subscription",INDEX('Game Records'!$U:$U,$H193)&lt;&gt;"Free Game",INDEX('Game Records'!$U:$U,$H193)&lt;&gt;"Disqualified — Free Game",INDEX('Game Records'!$G:$G,$H193)=""),"Gross Pot; ","")&amp;IF(AND(INDEX('Game Records'!$U:$U,$H193)&lt;&gt;"Free Game",INDEX('Game Records'!$U:$U,$H193)&lt;&gt;"Disqualified — Free Game",INDEX('Game Records'!$H:$H,$H193)=""),"Entry Fee; ","")&amp;IF(AND(INDEX('Game Records'!$U:$U,$H193)&lt;&gt;"Subscription",INDEX('Game Records'!$U:$U,$H193)&lt;&gt;"Free Game",INDEX('Game Records'!$U:$U,$H193)&lt;&gt;"Disqualified — Free Game",INDEX('Game Records'!$I:$I,$H193)=""),"Eligible Players; ","")&amp;IF(AND(INDEX('Game Records'!$U:$U,$H193)&lt;&gt;"Subscription",INDEX('Game Records'!$U:$U,$H193)&lt;&gt;"Free Game",INDEX('Game Records'!$U:$U,$H193)&lt;&gt;"Disqualified — Free Game",INDEX('Game Records'!$J:$J,$H193)=""),"Total Players; ","")&amp;IF(AND(LOWER(INDEX('Game Records'!$D:$D,$H193)&amp;"")="finalized",LOWER(INDEX('Game Records'!$L:$L,$H193)&amp;"")&lt;&gt;"yes",INDEX('Game Records'!$U:$U,$H193)&lt;&gt;"Subscription",INDEX('Game Records'!$U:$U,$H193)&lt;&gt;"Free Game",INDEX('Game Records'!$U:$U,$H193)&lt;&gt;"Disqualified — Free Game",INDEX('Game Records'!$K:$K,$H193)=""),"Final Earned; ","")&amp;IF(AND(LOWER(INDEX('Game Records'!$D:$D,$H193)&amp;"")="finalized",INDEX('Game Records'!$U:$U,$H193)&lt;&gt;"Subscription",INDEX('Game Records'!$U:$U,$H193)&lt;&gt;"Free Game",INDEX('Game Records'!$U:$U,$H193)&lt;&gt;"Disqualified — Free Game",OR(INDEX('Game Records'!$L:$L,$H193)="",LOWER(INDEX('Game Records'!$L:$L,$H193)&amp;"")="n/a")),"Disqualified Status; ",""))</x:f>
        <x:v/>
      </x:c>
      <x:c r="G193" s="331" t="str">
        <x:f>IF($H193="","",IFERROR(INDEX('Game Records'!$M:$M,$H193),""))</x:f>
        <x:v/>
      </x:c>
      <x:c r="H193" s="104" t="str">
        <x:f>IF($H192="","",IFERROR(MATCH(1,INDEX((ROW('Game Records'!$U$5:$U$504)&gt;$H192)*(('Game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3" s="104"/>
      <x:c r="J193" s="104"/>
    </x:row>
    <x:row r="194" ht="24" hidden="0" customHeight="1">
      <x:c r="A194" s="332" t="str">
        <x:f>IF($H194="","",ROWS($A$5:A194))</x:f>
        <x:v/>
      </x:c>
      <x:c r="B194" s="332" t="str">
        <x:f>IF($H194="","","G-"&amp;TEXT($A194,"0000"))</x:f>
        <x:v/>
      </x:c>
      <x:c r="C194" s="331" t="str">
        <x:f>IF($H194="","",IFERROR(INDEX('Game Records'!$A:$A,$H194),""))</x:f>
        <x:v/>
      </x:c>
      <x:c r="D194" s="331" t="str">
        <x:f>IF($H194="","",IFERROR(INDEX('Game Records'!$U:$U,$H194),""))</x:f>
        <x:v/>
      </x:c>
      <x:c r="E194" s="331" t="str">
        <x:f>IF($H194="","",IF($F194="","No Highlighted Fields","Highlighted Fields Present"))</x:f>
        <x:v/>
      </x:c>
      <x:c r="F194" s="331" t="str">
        <x:f>IF($H194="","",IF(INDEX('Game Records'!$B:$B,$H194)="","Start Date; ","")&amp;IF(INDEX('Game Records'!$C:$C,$H194)="","End Date; ","")&amp;IF(AND(INDEX('Game Records'!$U:$U,$H194)&lt;&gt;"Subscription",INDEX('Game Records'!$U:$U,$H194)&lt;&gt;"Free Game",INDEX('Game Records'!$U:$U,$H194)&lt;&gt;"Disqualified — Free Game",OR(INDEX('Game Records'!$D:$D,$H194)="",LOWER(INDEX('Game Records'!$D:$D,$H194)&amp;"")="n/a")),"Entry Mode; ","")&amp;IF(AND(INDEX('Game Records'!$U:$U,$H194)&lt;&gt;"Subscription",INDEX('Game Records'!$U:$U,$H194)&lt;&gt;"Free Game",INDEX('Game Records'!$U:$U,$H194)&lt;&gt;"Disqualified — Free Game",OR(INDEX('Game Records'!$E:$E,$H194)="",LOWER(INDEX('Game Records'!$E:$E,$H194)&amp;"")="n/a")),"Game Type; ","")&amp;IF(INDEX('Game Records'!$F:$F,$H194)="","Payment Type; ","")&amp;IF(AND(INDEX('Game Records'!$U:$U,$H194)&lt;&gt;"Subscription",INDEX('Game Records'!$U:$U,$H194)&lt;&gt;"Free Game",INDEX('Game Records'!$U:$U,$H194)&lt;&gt;"Disqualified — Free Game",INDEX('Game Records'!$G:$G,$H194)=""),"Gross Pot; ","")&amp;IF(AND(INDEX('Game Records'!$U:$U,$H194)&lt;&gt;"Free Game",INDEX('Game Records'!$U:$U,$H194)&lt;&gt;"Disqualified — Free Game",INDEX('Game Records'!$H:$H,$H194)=""),"Entry Fee; ","")&amp;IF(AND(INDEX('Game Records'!$U:$U,$H194)&lt;&gt;"Subscription",INDEX('Game Records'!$U:$U,$H194)&lt;&gt;"Free Game",INDEX('Game Records'!$U:$U,$H194)&lt;&gt;"Disqualified — Free Game",INDEX('Game Records'!$I:$I,$H194)=""),"Eligible Players; ","")&amp;IF(AND(INDEX('Game Records'!$U:$U,$H194)&lt;&gt;"Subscription",INDEX('Game Records'!$U:$U,$H194)&lt;&gt;"Free Game",INDEX('Game Records'!$U:$U,$H194)&lt;&gt;"Disqualified — Free Game",INDEX('Game Records'!$J:$J,$H194)=""),"Total Players; ","")&amp;IF(AND(LOWER(INDEX('Game Records'!$D:$D,$H194)&amp;"")="finalized",LOWER(INDEX('Game Records'!$L:$L,$H194)&amp;"")&lt;&gt;"yes",INDEX('Game Records'!$U:$U,$H194)&lt;&gt;"Subscription",INDEX('Game Records'!$U:$U,$H194)&lt;&gt;"Free Game",INDEX('Game Records'!$U:$U,$H194)&lt;&gt;"Disqualified — Free Game",INDEX('Game Records'!$K:$K,$H194)=""),"Final Earned; ","")&amp;IF(AND(LOWER(INDEX('Game Records'!$D:$D,$H194)&amp;"")="finalized",INDEX('Game Records'!$U:$U,$H194)&lt;&gt;"Subscription",INDEX('Game Records'!$U:$U,$H194)&lt;&gt;"Free Game",INDEX('Game Records'!$U:$U,$H194)&lt;&gt;"Disqualified — Free Game",OR(INDEX('Game Records'!$L:$L,$H194)="",LOWER(INDEX('Game Records'!$L:$L,$H194)&amp;"")="n/a")),"Disqualified Status; ",""))</x:f>
        <x:v/>
      </x:c>
      <x:c r="G194" s="331" t="str">
        <x:f>IF($H194="","",IFERROR(INDEX('Game Records'!$M:$M,$H194),""))</x:f>
        <x:v/>
      </x:c>
      <x:c r="H194" s="104" t="str">
        <x:f>IF($H193="","",IFERROR(MATCH(1,INDEX((ROW('Game Records'!$U$5:$U$504)&gt;$H193)*(('Game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4" s="104"/>
      <x:c r="J194" s="104"/>
    </x:row>
    <x:row r="195" ht="24" hidden="0" customHeight="1">
      <x:c r="A195" s="332" t="str">
        <x:f>IF($H195="","",ROWS($A$5:A195))</x:f>
        <x:v/>
      </x:c>
      <x:c r="B195" s="332" t="str">
        <x:f>IF($H195="","","G-"&amp;TEXT($A195,"0000"))</x:f>
        <x:v/>
      </x:c>
      <x:c r="C195" s="331" t="str">
        <x:f>IF($H195="","",IFERROR(INDEX('Game Records'!$A:$A,$H195),""))</x:f>
        <x:v/>
      </x:c>
      <x:c r="D195" s="331" t="str">
        <x:f>IF($H195="","",IFERROR(INDEX('Game Records'!$U:$U,$H195),""))</x:f>
        <x:v/>
      </x:c>
      <x:c r="E195" s="331" t="str">
        <x:f>IF($H195="","",IF($F195="","No Highlighted Fields","Highlighted Fields Present"))</x:f>
        <x:v/>
      </x:c>
      <x:c r="F195" s="331" t="str">
        <x:f>IF($H195="","",IF(INDEX('Game Records'!$B:$B,$H195)="","Start Date; ","")&amp;IF(INDEX('Game Records'!$C:$C,$H195)="","End Date; ","")&amp;IF(AND(INDEX('Game Records'!$U:$U,$H195)&lt;&gt;"Subscription",INDEX('Game Records'!$U:$U,$H195)&lt;&gt;"Free Game",INDEX('Game Records'!$U:$U,$H195)&lt;&gt;"Disqualified — Free Game",OR(INDEX('Game Records'!$D:$D,$H195)="",LOWER(INDEX('Game Records'!$D:$D,$H195)&amp;"")="n/a")),"Entry Mode; ","")&amp;IF(AND(INDEX('Game Records'!$U:$U,$H195)&lt;&gt;"Subscription",INDEX('Game Records'!$U:$U,$H195)&lt;&gt;"Free Game",INDEX('Game Records'!$U:$U,$H195)&lt;&gt;"Disqualified — Free Game",OR(INDEX('Game Records'!$E:$E,$H195)="",LOWER(INDEX('Game Records'!$E:$E,$H195)&amp;"")="n/a")),"Game Type; ","")&amp;IF(INDEX('Game Records'!$F:$F,$H195)="","Payment Type; ","")&amp;IF(AND(INDEX('Game Records'!$U:$U,$H195)&lt;&gt;"Subscription",INDEX('Game Records'!$U:$U,$H195)&lt;&gt;"Free Game",INDEX('Game Records'!$U:$U,$H195)&lt;&gt;"Disqualified — Free Game",INDEX('Game Records'!$G:$G,$H195)=""),"Gross Pot; ","")&amp;IF(AND(INDEX('Game Records'!$U:$U,$H195)&lt;&gt;"Free Game",INDEX('Game Records'!$U:$U,$H195)&lt;&gt;"Disqualified — Free Game",INDEX('Game Records'!$H:$H,$H195)=""),"Entry Fee; ","")&amp;IF(AND(INDEX('Game Records'!$U:$U,$H195)&lt;&gt;"Subscription",INDEX('Game Records'!$U:$U,$H195)&lt;&gt;"Free Game",INDEX('Game Records'!$U:$U,$H195)&lt;&gt;"Disqualified — Free Game",INDEX('Game Records'!$I:$I,$H195)=""),"Eligible Players; ","")&amp;IF(AND(INDEX('Game Records'!$U:$U,$H195)&lt;&gt;"Subscription",INDEX('Game Records'!$U:$U,$H195)&lt;&gt;"Free Game",INDEX('Game Records'!$U:$U,$H195)&lt;&gt;"Disqualified — Free Game",INDEX('Game Records'!$J:$J,$H195)=""),"Total Players; ","")&amp;IF(AND(LOWER(INDEX('Game Records'!$D:$D,$H195)&amp;"")="finalized",LOWER(INDEX('Game Records'!$L:$L,$H195)&amp;"")&lt;&gt;"yes",INDEX('Game Records'!$U:$U,$H195)&lt;&gt;"Subscription",INDEX('Game Records'!$U:$U,$H195)&lt;&gt;"Free Game",INDEX('Game Records'!$U:$U,$H195)&lt;&gt;"Disqualified — Free Game",INDEX('Game Records'!$K:$K,$H195)=""),"Final Earned; ","")&amp;IF(AND(LOWER(INDEX('Game Records'!$D:$D,$H195)&amp;"")="finalized",INDEX('Game Records'!$U:$U,$H195)&lt;&gt;"Subscription",INDEX('Game Records'!$U:$U,$H195)&lt;&gt;"Free Game",INDEX('Game Records'!$U:$U,$H195)&lt;&gt;"Disqualified — Free Game",OR(INDEX('Game Records'!$L:$L,$H195)="",LOWER(INDEX('Game Records'!$L:$L,$H195)&amp;"")="n/a")),"Disqualified Status; ",""))</x:f>
        <x:v/>
      </x:c>
      <x:c r="G195" s="331" t="str">
        <x:f>IF($H195="","",IFERROR(INDEX('Game Records'!$M:$M,$H195),""))</x:f>
        <x:v/>
      </x:c>
      <x:c r="H195" s="104" t="str">
        <x:f>IF($H194="","",IFERROR(MATCH(1,INDEX((ROW('Game Records'!$U$5:$U$504)&gt;$H194)*(('Game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5" s="104"/>
      <x:c r="J195" s="104"/>
    </x:row>
    <x:row r="196" ht="24" hidden="0" customHeight="1">
      <x:c r="A196" s="332" t="str">
        <x:f>IF($H196="","",ROWS($A$5:A196))</x:f>
        <x:v/>
      </x:c>
      <x:c r="B196" s="332" t="str">
        <x:f>IF($H196="","","G-"&amp;TEXT($A196,"0000"))</x:f>
        <x:v/>
      </x:c>
      <x:c r="C196" s="331" t="str">
        <x:f>IF($H196="","",IFERROR(INDEX('Game Records'!$A:$A,$H196),""))</x:f>
        <x:v/>
      </x:c>
      <x:c r="D196" s="331" t="str">
        <x:f>IF($H196="","",IFERROR(INDEX('Game Records'!$U:$U,$H196),""))</x:f>
        <x:v/>
      </x:c>
      <x:c r="E196" s="331" t="str">
        <x:f>IF($H196="","",IF($F196="","No Highlighted Fields","Highlighted Fields Present"))</x:f>
        <x:v/>
      </x:c>
      <x:c r="F196" s="331" t="str">
        <x:f>IF($H196="","",IF(INDEX('Game Records'!$B:$B,$H196)="","Start Date; ","")&amp;IF(INDEX('Game Records'!$C:$C,$H196)="","End Date; ","")&amp;IF(AND(INDEX('Game Records'!$U:$U,$H196)&lt;&gt;"Subscription",INDEX('Game Records'!$U:$U,$H196)&lt;&gt;"Free Game",INDEX('Game Records'!$U:$U,$H196)&lt;&gt;"Disqualified — Free Game",OR(INDEX('Game Records'!$D:$D,$H196)="",LOWER(INDEX('Game Records'!$D:$D,$H196)&amp;"")="n/a")),"Entry Mode; ","")&amp;IF(AND(INDEX('Game Records'!$U:$U,$H196)&lt;&gt;"Subscription",INDEX('Game Records'!$U:$U,$H196)&lt;&gt;"Free Game",INDEX('Game Records'!$U:$U,$H196)&lt;&gt;"Disqualified — Free Game",OR(INDEX('Game Records'!$E:$E,$H196)="",LOWER(INDEX('Game Records'!$E:$E,$H196)&amp;"")="n/a")),"Game Type; ","")&amp;IF(INDEX('Game Records'!$F:$F,$H196)="","Payment Type; ","")&amp;IF(AND(INDEX('Game Records'!$U:$U,$H196)&lt;&gt;"Subscription",INDEX('Game Records'!$U:$U,$H196)&lt;&gt;"Free Game",INDEX('Game Records'!$U:$U,$H196)&lt;&gt;"Disqualified — Free Game",INDEX('Game Records'!$G:$G,$H196)=""),"Gross Pot; ","")&amp;IF(AND(INDEX('Game Records'!$U:$U,$H196)&lt;&gt;"Free Game",INDEX('Game Records'!$U:$U,$H196)&lt;&gt;"Disqualified — Free Game",INDEX('Game Records'!$H:$H,$H196)=""),"Entry Fee; ","")&amp;IF(AND(INDEX('Game Records'!$U:$U,$H196)&lt;&gt;"Subscription",INDEX('Game Records'!$U:$U,$H196)&lt;&gt;"Free Game",INDEX('Game Records'!$U:$U,$H196)&lt;&gt;"Disqualified — Free Game",INDEX('Game Records'!$I:$I,$H196)=""),"Eligible Players; ","")&amp;IF(AND(INDEX('Game Records'!$U:$U,$H196)&lt;&gt;"Subscription",INDEX('Game Records'!$U:$U,$H196)&lt;&gt;"Free Game",INDEX('Game Records'!$U:$U,$H196)&lt;&gt;"Disqualified — Free Game",INDEX('Game Records'!$J:$J,$H196)=""),"Total Players; ","")&amp;IF(AND(LOWER(INDEX('Game Records'!$D:$D,$H196)&amp;"")="finalized",LOWER(INDEX('Game Records'!$L:$L,$H196)&amp;"")&lt;&gt;"yes",INDEX('Game Records'!$U:$U,$H196)&lt;&gt;"Subscription",INDEX('Game Records'!$U:$U,$H196)&lt;&gt;"Free Game",INDEX('Game Records'!$U:$U,$H196)&lt;&gt;"Disqualified — Free Game",INDEX('Game Records'!$K:$K,$H196)=""),"Final Earned; ","")&amp;IF(AND(LOWER(INDEX('Game Records'!$D:$D,$H196)&amp;"")="finalized",INDEX('Game Records'!$U:$U,$H196)&lt;&gt;"Subscription",INDEX('Game Records'!$U:$U,$H196)&lt;&gt;"Free Game",INDEX('Game Records'!$U:$U,$H196)&lt;&gt;"Disqualified — Free Game",OR(INDEX('Game Records'!$L:$L,$H196)="",LOWER(INDEX('Game Records'!$L:$L,$H196)&amp;"")="n/a")),"Disqualified Status; ",""))</x:f>
        <x:v/>
      </x:c>
      <x:c r="G196" s="331" t="str">
        <x:f>IF($H196="","",IFERROR(INDEX('Game Records'!$M:$M,$H196),""))</x:f>
        <x:v/>
      </x:c>
      <x:c r="H196" s="104" t="str">
        <x:f>IF($H195="","",IFERROR(MATCH(1,INDEX((ROW('Game Records'!$U$5:$U$504)&gt;$H195)*(('Game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6" s="104"/>
      <x:c r="J196" s="104"/>
    </x:row>
    <x:row r="197" ht="24" hidden="0" customHeight="1">
      <x:c r="A197" s="332" t="str">
        <x:f>IF($H197="","",ROWS($A$5:A197))</x:f>
        <x:v/>
      </x:c>
      <x:c r="B197" s="332" t="str">
        <x:f>IF($H197="","","G-"&amp;TEXT($A197,"0000"))</x:f>
        <x:v/>
      </x:c>
      <x:c r="C197" s="331" t="str">
        <x:f>IF($H197="","",IFERROR(INDEX('Game Records'!$A:$A,$H197),""))</x:f>
        <x:v/>
      </x:c>
      <x:c r="D197" s="331" t="str">
        <x:f>IF($H197="","",IFERROR(INDEX('Game Records'!$U:$U,$H197),""))</x:f>
        <x:v/>
      </x:c>
      <x:c r="E197" s="331" t="str">
        <x:f>IF($H197="","",IF($F197="","No Highlighted Fields","Highlighted Fields Present"))</x:f>
        <x:v/>
      </x:c>
      <x:c r="F197" s="331" t="str">
        <x:f>IF($H197="","",IF(INDEX('Game Records'!$B:$B,$H197)="","Start Date; ","")&amp;IF(INDEX('Game Records'!$C:$C,$H197)="","End Date; ","")&amp;IF(AND(INDEX('Game Records'!$U:$U,$H197)&lt;&gt;"Subscription",INDEX('Game Records'!$U:$U,$H197)&lt;&gt;"Free Game",INDEX('Game Records'!$U:$U,$H197)&lt;&gt;"Disqualified — Free Game",OR(INDEX('Game Records'!$D:$D,$H197)="",LOWER(INDEX('Game Records'!$D:$D,$H197)&amp;"")="n/a")),"Entry Mode; ","")&amp;IF(AND(INDEX('Game Records'!$U:$U,$H197)&lt;&gt;"Subscription",INDEX('Game Records'!$U:$U,$H197)&lt;&gt;"Free Game",INDEX('Game Records'!$U:$U,$H197)&lt;&gt;"Disqualified — Free Game",OR(INDEX('Game Records'!$E:$E,$H197)="",LOWER(INDEX('Game Records'!$E:$E,$H197)&amp;"")="n/a")),"Game Type; ","")&amp;IF(INDEX('Game Records'!$F:$F,$H197)="","Payment Type; ","")&amp;IF(AND(INDEX('Game Records'!$U:$U,$H197)&lt;&gt;"Subscription",INDEX('Game Records'!$U:$U,$H197)&lt;&gt;"Free Game",INDEX('Game Records'!$U:$U,$H197)&lt;&gt;"Disqualified — Free Game",INDEX('Game Records'!$G:$G,$H197)=""),"Gross Pot; ","")&amp;IF(AND(INDEX('Game Records'!$U:$U,$H197)&lt;&gt;"Free Game",INDEX('Game Records'!$U:$U,$H197)&lt;&gt;"Disqualified — Free Game",INDEX('Game Records'!$H:$H,$H197)=""),"Entry Fee; ","")&amp;IF(AND(INDEX('Game Records'!$U:$U,$H197)&lt;&gt;"Subscription",INDEX('Game Records'!$U:$U,$H197)&lt;&gt;"Free Game",INDEX('Game Records'!$U:$U,$H197)&lt;&gt;"Disqualified — Free Game",INDEX('Game Records'!$I:$I,$H197)=""),"Eligible Players; ","")&amp;IF(AND(INDEX('Game Records'!$U:$U,$H197)&lt;&gt;"Subscription",INDEX('Game Records'!$U:$U,$H197)&lt;&gt;"Free Game",INDEX('Game Records'!$U:$U,$H197)&lt;&gt;"Disqualified — Free Game",INDEX('Game Records'!$J:$J,$H197)=""),"Total Players; ","")&amp;IF(AND(LOWER(INDEX('Game Records'!$D:$D,$H197)&amp;"")="finalized",LOWER(INDEX('Game Records'!$L:$L,$H197)&amp;"")&lt;&gt;"yes",INDEX('Game Records'!$U:$U,$H197)&lt;&gt;"Subscription",INDEX('Game Records'!$U:$U,$H197)&lt;&gt;"Free Game",INDEX('Game Records'!$U:$U,$H197)&lt;&gt;"Disqualified — Free Game",INDEX('Game Records'!$K:$K,$H197)=""),"Final Earned; ","")&amp;IF(AND(LOWER(INDEX('Game Records'!$D:$D,$H197)&amp;"")="finalized",INDEX('Game Records'!$U:$U,$H197)&lt;&gt;"Subscription",INDEX('Game Records'!$U:$U,$H197)&lt;&gt;"Free Game",INDEX('Game Records'!$U:$U,$H197)&lt;&gt;"Disqualified — Free Game",OR(INDEX('Game Records'!$L:$L,$H197)="",LOWER(INDEX('Game Records'!$L:$L,$H197)&amp;"")="n/a")),"Disqualified Status; ",""))</x:f>
        <x:v/>
      </x:c>
      <x:c r="G197" s="331" t="str">
        <x:f>IF($H197="","",IFERROR(INDEX('Game Records'!$M:$M,$H197),""))</x:f>
        <x:v/>
      </x:c>
      <x:c r="H197" s="104" t="str">
        <x:f>IF($H196="","",IFERROR(MATCH(1,INDEX((ROW('Game Records'!$U$5:$U$504)&gt;$H196)*(('Game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7" s="104"/>
      <x:c r="J197" s="104"/>
    </x:row>
    <x:row r="198" ht="24" hidden="0" customHeight="1">
      <x:c r="A198" s="332" t="str">
        <x:f>IF($H198="","",ROWS($A$5:A198))</x:f>
        <x:v/>
      </x:c>
      <x:c r="B198" s="332" t="str">
        <x:f>IF($H198="","","G-"&amp;TEXT($A198,"0000"))</x:f>
        <x:v/>
      </x:c>
      <x:c r="C198" s="331" t="str">
        <x:f>IF($H198="","",IFERROR(INDEX('Game Records'!$A:$A,$H198),""))</x:f>
        <x:v/>
      </x:c>
      <x:c r="D198" s="331" t="str">
        <x:f>IF($H198="","",IFERROR(INDEX('Game Records'!$U:$U,$H198),""))</x:f>
        <x:v/>
      </x:c>
      <x:c r="E198" s="331" t="str">
        <x:f>IF($H198="","",IF($F198="","No Highlighted Fields","Highlighted Fields Present"))</x:f>
        <x:v/>
      </x:c>
      <x:c r="F198" s="331" t="str">
        <x:f>IF($H198="","",IF(INDEX('Game Records'!$B:$B,$H198)="","Start Date; ","")&amp;IF(INDEX('Game Records'!$C:$C,$H198)="","End Date; ","")&amp;IF(AND(INDEX('Game Records'!$U:$U,$H198)&lt;&gt;"Subscription",INDEX('Game Records'!$U:$U,$H198)&lt;&gt;"Free Game",INDEX('Game Records'!$U:$U,$H198)&lt;&gt;"Disqualified — Free Game",OR(INDEX('Game Records'!$D:$D,$H198)="",LOWER(INDEX('Game Records'!$D:$D,$H198)&amp;"")="n/a")),"Entry Mode; ","")&amp;IF(AND(INDEX('Game Records'!$U:$U,$H198)&lt;&gt;"Subscription",INDEX('Game Records'!$U:$U,$H198)&lt;&gt;"Free Game",INDEX('Game Records'!$U:$U,$H198)&lt;&gt;"Disqualified — Free Game",OR(INDEX('Game Records'!$E:$E,$H198)="",LOWER(INDEX('Game Records'!$E:$E,$H198)&amp;"")="n/a")),"Game Type; ","")&amp;IF(INDEX('Game Records'!$F:$F,$H198)="","Payment Type; ","")&amp;IF(AND(INDEX('Game Records'!$U:$U,$H198)&lt;&gt;"Subscription",INDEX('Game Records'!$U:$U,$H198)&lt;&gt;"Free Game",INDEX('Game Records'!$U:$U,$H198)&lt;&gt;"Disqualified — Free Game",INDEX('Game Records'!$G:$G,$H198)=""),"Gross Pot; ","")&amp;IF(AND(INDEX('Game Records'!$U:$U,$H198)&lt;&gt;"Free Game",INDEX('Game Records'!$U:$U,$H198)&lt;&gt;"Disqualified — Free Game",INDEX('Game Records'!$H:$H,$H198)=""),"Entry Fee; ","")&amp;IF(AND(INDEX('Game Records'!$U:$U,$H198)&lt;&gt;"Subscription",INDEX('Game Records'!$U:$U,$H198)&lt;&gt;"Free Game",INDEX('Game Records'!$U:$U,$H198)&lt;&gt;"Disqualified — Free Game",INDEX('Game Records'!$I:$I,$H198)=""),"Eligible Players; ","")&amp;IF(AND(INDEX('Game Records'!$U:$U,$H198)&lt;&gt;"Subscription",INDEX('Game Records'!$U:$U,$H198)&lt;&gt;"Free Game",INDEX('Game Records'!$U:$U,$H198)&lt;&gt;"Disqualified — Free Game",INDEX('Game Records'!$J:$J,$H198)=""),"Total Players; ","")&amp;IF(AND(LOWER(INDEX('Game Records'!$D:$D,$H198)&amp;"")="finalized",LOWER(INDEX('Game Records'!$L:$L,$H198)&amp;"")&lt;&gt;"yes",INDEX('Game Records'!$U:$U,$H198)&lt;&gt;"Subscription",INDEX('Game Records'!$U:$U,$H198)&lt;&gt;"Free Game",INDEX('Game Records'!$U:$U,$H198)&lt;&gt;"Disqualified — Free Game",INDEX('Game Records'!$K:$K,$H198)=""),"Final Earned; ","")&amp;IF(AND(LOWER(INDEX('Game Records'!$D:$D,$H198)&amp;"")="finalized",INDEX('Game Records'!$U:$U,$H198)&lt;&gt;"Subscription",INDEX('Game Records'!$U:$U,$H198)&lt;&gt;"Free Game",INDEX('Game Records'!$U:$U,$H198)&lt;&gt;"Disqualified — Free Game",OR(INDEX('Game Records'!$L:$L,$H198)="",LOWER(INDEX('Game Records'!$L:$L,$H198)&amp;"")="n/a")),"Disqualified Status; ",""))</x:f>
        <x:v/>
      </x:c>
      <x:c r="G198" s="331" t="str">
        <x:f>IF($H198="","",IFERROR(INDEX('Game Records'!$M:$M,$H198),""))</x:f>
        <x:v/>
      </x:c>
      <x:c r="H198" s="104" t="str">
        <x:f>IF($H197="","",IFERROR(MATCH(1,INDEX((ROW('Game Records'!$U$5:$U$504)&gt;$H197)*(('Game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8" s="104"/>
      <x:c r="J198" s="104"/>
    </x:row>
    <x:row r="199" ht="24" hidden="0" customHeight="1">
      <x:c r="A199" s="332" t="str">
        <x:f>IF($H199="","",ROWS($A$5:A199))</x:f>
        <x:v/>
      </x:c>
      <x:c r="B199" s="332" t="str">
        <x:f>IF($H199="","","G-"&amp;TEXT($A199,"0000"))</x:f>
        <x:v/>
      </x:c>
      <x:c r="C199" s="331" t="str">
        <x:f>IF($H199="","",IFERROR(INDEX('Game Records'!$A:$A,$H199),""))</x:f>
        <x:v/>
      </x:c>
      <x:c r="D199" s="331" t="str">
        <x:f>IF($H199="","",IFERROR(INDEX('Game Records'!$U:$U,$H199),""))</x:f>
        <x:v/>
      </x:c>
      <x:c r="E199" s="331" t="str">
        <x:f>IF($H199="","",IF($F199="","No Highlighted Fields","Highlighted Fields Present"))</x:f>
        <x:v/>
      </x:c>
      <x:c r="F199" s="331" t="str">
        <x:f>IF($H199="","",IF(INDEX('Game Records'!$B:$B,$H199)="","Start Date; ","")&amp;IF(INDEX('Game Records'!$C:$C,$H199)="","End Date; ","")&amp;IF(AND(INDEX('Game Records'!$U:$U,$H199)&lt;&gt;"Subscription",INDEX('Game Records'!$U:$U,$H199)&lt;&gt;"Free Game",INDEX('Game Records'!$U:$U,$H199)&lt;&gt;"Disqualified — Free Game",OR(INDEX('Game Records'!$D:$D,$H199)="",LOWER(INDEX('Game Records'!$D:$D,$H199)&amp;"")="n/a")),"Entry Mode; ","")&amp;IF(AND(INDEX('Game Records'!$U:$U,$H199)&lt;&gt;"Subscription",INDEX('Game Records'!$U:$U,$H199)&lt;&gt;"Free Game",INDEX('Game Records'!$U:$U,$H199)&lt;&gt;"Disqualified — Free Game",OR(INDEX('Game Records'!$E:$E,$H199)="",LOWER(INDEX('Game Records'!$E:$E,$H199)&amp;"")="n/a")),"Game Type; ","")&amp;IF(INDEX('Game Records'!$F:$F,$H199)="","Payment Type; ","")&amp;IF(AND(INDEX('Game Records'!$U:$U,$H199)&lt;&gt;"Subscription",INDEX('Game Records'!$U:$U,$H199)&lt;&gt;"Free Game",INDEX('Game Records'!$U:$U,$H199)&lt;&gt;"Disqualified — Free Game",INDEX('Game Records'!$G:$G,$H199)=""),"Gross Pot; ","")&amp;IF(AND(INDEX('Game Records'!$U:$U,$H199)&lt;&gt;"Free Game",INDEX('Game Records'!$U:$U,$H199)&lt;&gt;"Disqualified — Free Game",INDEX('Game Records'!$H:$H,$H199)=""),"Entry Fee; ","")&amp;IF(AND(INDEX('Game Records'!$U:$U,$H199)&lt;&gt;"Subscription",INDEX('Game Records'!$U:$U,$H199)&lt;&gt;"Free Game",INDEX('Game Records'!$U:$U,$H199)&lt;&gt;"Disqualified — Free Game",INDEX('Game Records'!$I:$I,$H199)=""),"Eligible Players; ","")&amp;IF(AND(INDEX('Game Records'!$U:$U,$H199)&lt;&gt;"Subscription",INDEX('Game Records'!$U:$U,$H199)&lt;&gt;"Free Game",INDEX('Game Records'!$U:$U,$H199)&lt;&gt;"Disqualified — Free Game",INDEX('Game Records'!$J:$J,$H199)=""),"Total Players; ","")&amp;IF(AND(LOWER(INDEX('Game Records'!$D:$D,$H199)&amp;"")="finalized",LOWER(INDEX('Game Records'!$L:$L,$H199)&amp;"")&lt;&gt;"yes",INDEX('Game Records'!$U:$U,$H199)&lt;&gt;"Subscription",INDEX('Game Records'!$U:$U,$H199)&lt;&gt;"Free Game",INDEX('Game Records'!$U:$U,$H199)&lt;&gt;"Disqualified — Free Game",INDEX('Game Records'!$K:$K,$H199)=""),"Final Earned; ","")&amp;IF(AND(LOWER(INDEX('Game Records'!$D:$D,$H199)&amp;"")="finalized",INDEX('Game Records'!$U:$U,$H199)&lt;&gt;"Subscription",INDEX('Game Records'!$U:$U,$H199)&lt;&gt;"Free Game",INDEX('Game Records'!$U:$U,$H199)&lt;&gt;"Disqualified — Free Game",OR(INDEX('Game Records'!$L:$L,$H199)="",LOWER(INDEX('Game Records'!$L:$L,$H199)&amp;"")="n/a")),"Disqualified Status; ",""))</x:f>
        <x:v/>
      </x:c>
      <x:c r="G199" s="331" t="str">
        <x:f>IF($H199="","",IFERROR(INDEX('Game Records'!$M:$M,$H199),""))</x:f>
        <x:v/>
      </x:c>
      <x:c r="H199" s="104" t="str">
        <x:f>IF($H198="","",IFERROR(MATCH(1,INDEX((ROW('Game Records'!$U$5:$U$504)&gt;$H198)*(('Game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199" s="104"/>
      <x:c r="J199" s="104"/>
    </x:row>
    <x:row r="200" ht="24" hidden="0" customHeight="1">
      <x:c r="A200" s="332" t="str">
        <x:f>IF($H200="","",ROWS($A$5:A200))</x:f>
        <x:v/>
      </x:c>
      <x:c r="B200" s="332" t="str">
        <x:f>IF($H200="","","G-"&amp;TEXT($A200,"0000"))</x:f>
        <x:v/>
      </x:c>
      <x:c r="C200" s="331" t="str">
        <x:f>IF($H200="","",IFERROR(INDEX('Game Records'!$A:$A,$H200),""))</x:f>
        <x:v/>
      </x:c>
      <x:c r="D200" s="331" t="str">
        <x:f>IF($H200="","",IFERROR(INDEX('Game Records'!$U:$U,$H200),""))</x:f>
        <x:v/>
      </x:c>
      <x:c r="E200" s="331" t="str">
        <x:f>IF($H200="","",IF($F200="","No Highlighted Fields","Highlighted Fields Present"))</x:f>
        <x:v/>
      </x:c>
      <x:c r="F200" s="331" t="str">
        <x:f>IF($H200="","",IF(INDEX('Game Records'!$B:$B,$H200)="","Start Date; ","")&amp;IF(INDEX('Game Records'!$C:$C,$H200)="","End Date; ","")&amp;IF(AND(INDEX('Game Records'!$U:$U,$H200)&lt;&gt;"Subscription",INDEX('Game Records'!$U:$U,$H200)&lt;&gt;"Free Game",INDEX('Game Records'!$U:$U,$H200)&lt;&gt;"Disqualified — Free Game",OR(INDEX('Game Records'!$D:$D,$H200)="",LOWER(INDEX('Game Records'!$D:$D,$H200)&amp;"")="n/a")),"Entry Mode; ","")&amp;IF(AND(INDEX('Game Records'!$U:$U,$H200)&lt;&gt;"Subscription",INDEX('Game Records'!$U:$U,$H200)&lt;&gt;"Free Game",INDEX('Game Records'!$U:$U,$H200)&lt;&gt;"Disqualified — Free Game",OR(INDEX('Game Records'!$E:$E,$H200)="",LOWER(INDEX('Game Records'!$E:$E,$H200)&amp;"")="n/a")),"Game Type; ","")&amp;IF(INDEX('Game Records'!$F:$F,$H200)="","Payment Type; ","")&amp;IF(AND(INDEX('Game Records'!$U:$U,$H200)&lt;&gt;"Subscription",INDEX('Game Records'!$U:$U,$H200)&lt;&gt;"Free Game",INDEX('Game Records'!$U:$U,$H200)&lt;&gt;"Disqualified — Free Game",INDEX('Game Records'!$G:$G,$H200)=""),"Gross Pot; ","")&amp;IF(AND(INDEX('Game Records'!$U:$U,$H200)&lt;&gt;"Free Game",INDEX('Game Records'!$U:$U,$H200)&lt;&gt;"Disqualified — Free Game",INDEX('Game Records'!$H:$H,$H200)=""),"Entry Fee; ","")&amp;IF(AND(INDEX('Game Records'!$U:$U,$H200)&lt;&gt;"Subscription",INDEX('Game Records'!$U:$U,$H200)&lt;&gt;"Free Game",INDEX('Game Records'!$U:$U,$H200)&lt;&gt;"Disqualified — Free Game",INDEX('Game Records'!$I:$I,$H200)=""),"Eligible Players; ","")&amp;IF(AND(INDEX('Game Records'!$U:$U,$H200)&lt;&gt;"Subscription",INDEX('Game Records'!$U:$U,$H200)&lt;&gt;"Free Game",INDEX('Game Records'!$U:$U,$H200)&lt;&gt;"Disqualified — Free Game",INDEX('Game Records'!$J:$J,$H200)=""),"Total Players; ","")&amp;IF(AND(LOWER(INDEX('Game Records'!$D:$D,$H200)&amp;"")="finalized",LOWER(INDEX('Game Records'!$L:$L,$H200)&amp;"")&lt;&gt;"yes",INDEX('Game Records'!$U:$U,$H200)&lt;&gt;"Subscription",INDEX('Game Records'!$U:$U,$H200)&lt;&gt;"Free Game",INDEX('Game Records'!$U:$U,$H200)&lt;&gt;"Disqualified — Free Game",INDEX('Game Records'!$K:$K,$H200)=""),"Final Earned; ","")&amp;IF(AND(LOWER(INDEX('Game Records'!$D:$D,$H200)&amp;"")="finalized",INDEX('Game Records'!$U:$U,$H200)&lt;&gt;"Subscription",INDEX('Game Records'!$U:$U,$H200)&lt;&gt;"Free Game",INDEX('Game Records'!$U:$U,$H200)&lt;&gt;"Disqualified — Free Game",OR(INDEX('Game Records'!$L:$L,$H200)="",LOWER(INDEX('Game Records'!$L:$L,$H200)&amp;"")="n/a")),"Disqualified Status; ",""))</x:f>
        <x:v/>
      </x:c>
      <x:c r="G200" s="331" t="str">
        <x:f>IF($H200="","",IFERROR(INDEX('Game Records'!$M:$M,$H200),""))</x:f>
        <x:v/>
      </x:c>
      <x:c r="H200" s="104" t="str">
        <x:f>IF($H199="","",IFERROR(MATCH(1,INDEX((ROW('Game Records'!$U$5:$U$504)&gt;$H199)*(('Game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c r="I200" s="104"/>
      <x:c r="J200" s="104"/>
    </x:row>
    <x:row r="201" ht="24" customHeight="1">
      <x:c r="A201" s="332" t="str">
        <x:f>IF($H201="","",ROWS($A$5:A201))</x:f>
        <x:v/>
      </x:c>
      <x:c r="B201" s="332" t="str">
        <x:f>IF($H201="","","G-"&amp;TEXT($A201,"0000"))</x:f>
        <x:v/>
      </x:c>
      <x:c r="C201" s="331" t="str">
        <x:f>IF($H201="","",IFERROR(INDEX('Game Records'!$A:$A,$H201),""))</x:f>
        <x:v/>
      </x:c>
      <x:c r="D201" s="331" t="str">
        <x:f>IF($H201="","",IFERROR(INDEX('Game Records'!$U:$U,$H201),""))</x:f>
        <x:v/>
      </x:c>
      <x:c r="E201" s="331" t="str">
        <x:f>IF($H201="","",IF($F201="","No Highlighted Fields","Highlighted Fields Present"))</x:f>
        <x:v/>
      </x:c>
      <x:c r="F201" s="331" t="str">
        <x:f>IF($H201="","",IF(INDEX('Game Records'!$B:$B,$H201)="","Start Date; ","")&amp;IF(INDEX('Game Records'!$C:$C,$H201)="","End Date; ","")&amp;IF(AND(INDEX('Game Records'!$U:$U,$H201)&lt;&gt;"Subscription",INDEX('Game Records'!$U:$U,$H201)&lt;&gt;"Free Game",INDEX('Game Records'!$U:$U,$H201)&lt;&gt;"Disqualified — Free Game",OR(INDEX('Game Records'!$D:$D,$H201)="",LOWER(INDEX('Game Records'!$D:$D,$H201)&amp;"")="n/a")),"Entry Mode; ","")&amp;IF(AND(INDEX('Game Records'!$U:$U,$H201)&lt;&gt;"Subscription",INDEX('Game Records'!$U:$U,$H201)&lt;&gt;"Free Game",INDEX('Game Records'!$U:$U,$H201)&lt;&gt;"Disqualified — Free Game",OR(INDEX('Game Records'!$E:$E,$H201)="",LOWER(INDEX('Game Records'!$E:$E,$H201)&amp;"")="n/a")),"Game Type; ","")&amp;IF(INDEX('Game Records'!$F:$F,$H201)="","Payment Type; ","")&amp;IF(AND(INDEX('Game Records'!$U:$U,$H201)&lt;&gt;"Subscription",INDEX('Game Records'!$U:$U,$H201)&lt;&gt;"Free Game",INDEX('Game Records'!$U:$U,$H201)&lt;&gt;"Disqualified — Free Game",INDEX('Game Records'!$G:$G,$H201)=""),"Gross Pot; ","")&amp;IF(AND(INDEX('Game Records'!$U:$U,$H201)&lt;&gt;"Free Game",INDEX('Game Records'!$U:$U,$H201)&lt;&gt;"Disqualified — Free Game",INDEX('Game Records'!$H:$H,$H201)=""),"Entry Fee; ","")&amp;IF(AND(INDEX('Game Records'!$U:$U,$H201)&lt;&gt;"Subscription",INDEX('Game Records'!$U:$U,$H201)&lt;&gt;"Free Game",INDEX('Game Records'!$U:$U,$H201)&lt;&gt;"Disqualified — Free Game",INDEX('Game Records'!$I:$I,$H201)=""),"Eligible Players; ","")&amp;IF(AND(INDEX('Game Records'!$U:$U,$H201)&lt;&gt;"Subscription",INDEX('Game Records'!$U:$U,$H201)&lt;&gt;"Free Game",INDEX('Game Records'!$U:$U,$H201)&lt;&gt;"Disqualified — Free Game",INDEX('Game Records'!$J:$J,$H201)=""),"Total Players; ","")&amp;IF(AND(LOWER(INDEX('Game Records'!$D:$D,$H201)&amp;"")="finalized",LOWER(INDEX('Game Records'!$L:$L,$H201)&amp;"")&lt;&gt;"yes",INDEX('Game Records'!$U:$U,$H201)&lt;&gt;"Subscription",INDEX('Game Records'!$U:$U,$H201)&lt;&gt;"Free Game",INDEX('Game Records'!$U:$U,$H201)&lt;&gt;"Disqualified — Free Game",INDEX('Game Records'!$K:$K,$H201)=""),"Final Earned; ","")&amp;IF(AND(LOWER(INDEX('Game Records'!$D:$D,$H201)&amp;"")="finalized",INDEX('Game Records'!$U:$U,$H201)&lt;&gt;"Subscription",INDEX('Game Records'!$U:$U,$H201)&lt;&gt;"Free Game",INDEX('Game Records'!$U:$U,$H201)&lt;&gt;"Disqualified — Free Game",OR(INDEX('Game Records'!$L:$L,$H201)="",LOWER(INDEX('Game Records'!$L:$L,$H201)&amp;"")="n/a")),"Disqualified Status; ",""))</x:f>
        <x:v/>
      </x:c>
      <x:c r="G201" s="331" t="str">
        <x:f>IF($H201="","",IFERROR(INDEX('Game Records'!$M:$M,$H201),""))</x:f>
        <x:v/>
      </x:c>
      <x:c r="H201" s="104" t="str">
        <x:f>IF($H200="","",IFERROR(MATCH(1,INDEX((ROW('Game Records'!$U$5:$U$504)&gt;$H200)*(('Game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2" ht="24" customHeight="1">
      <x:c r="A202" s="332" t="str">
        <x:f>IF($H202="","",ROWS($A$5:A202))</x:f>
        <x:v/>
      </x:c>
      <x:c r="B202" s="332" t="str">
        <x:f>IF($H202="","","G-"&amp;TEXT($A202,"0000"))</x:f>
        <x:v/>
      </x:c>
      <x:c r="C202" s="331" t="str">
        <x:f>IF($H202="","",IFERROR(INDEX('Game Records'!$A:$A,$H202),""))</x:f>
        <x:v/>
      </x:c>
      <x:c r="D202" s="331" t="str">
        <x:f>IF($H202="","",IFERROR(INDEX('Game Records'!$U:$U,$H202),""))</x:f>
        <x:v/>
      </x:c>
      <x:c r="E202" s="331" t="str">
        <x:f>IF($H202="","",IF($F202="","No Highlighted Fields","Highlighted Fields Present"))</x:f>
        <x:v/>
      </x:c>
      <x:c r="F202" s="331" t="str">
        <x:f>IF($H202="","",IF(INDEX('Game Records'!$B:$B,$H202)="","Start Date; ","")&amp;IF(INDEX('Game Records'!$C:$C,$H202)="","End Date; ","")&amp;IF(AND(INDEX('Game Records'!$U:$U,$H202)&lt;&gt;"Subscription",INDEX('Game Records'!$U:$U,$H202)&lt;&gt;"Free Game",INDEX('Game Records'!$U:$U,$H202)&lt;&gt;"Disqualified — Free Game",OR(INDEX('Game Records'!$D:$D,$H202)="",LOWER(INDEX('Game Records'!$D:$D,$H202)&amp;"")="n/a")),"Entry Mode; ","")&amp;IF(AND(INDEX('Game Records'!$U:$U,$H202)&lt;&gt;"Subscription",INDEX('Game Records'!$U:$U,$H202)&lt;&gt;"Free Game",INDEX('Game Records'!$U:$U,$H202)&lt;&gt;"Disqualified — Free Game",OR(INDEX('Game Records'!$E:$E,$H202)="",LOWER(INDEX('Game Records'!$E:$E,$H202)&amp;"")="n/a")),"Game Type; ","")&amp;IF(INDEX('Game Records'!$F:$F,$H202)="","Payment Type; ","")&amp;IF(AND(INDEX('Game Records'!$U:$U,$H202)&lt;&gt;"Subscription",INDEX('Game Records'!$U:$U,$H202)&lt;&gt;"Free Game",INDEX('Game Records'!$U:$U,$H202)&lt;&gt;"Disqualified — Free Game",INDEX('Game Records'!$G:$G,$H202)=""),"Gross Pot; ","")&amp;IF(AND(INDEX('Game Records'!$U:$U,$H202)&lt;&gt;"Free Game",INDEX('Game Records'!$U:$U,$H202)&lt;&gt;"Disqualified — Free Game",INDEX('Game Records'!$H:$H,$H202)=""),"Entry Fee; ","")&amp;IF(AND(INDEX('Game Records'!$U:$U,$H202)&lt;&gt;"Subscription",INDEX('Game Records'!$U:$U,$H202)&lt;&gt;"Free Game",INDEX('Game Records'!$U:$U,$H202)&lt;&gt;"Disqualified — Free Game",INDEX('Game Records'!$I:$I,$H202)=""),"Eligible Players; ","")&amp;IF(AND(INDEX('Game Records'!$U:$U,$H202)&lt;&gt;"Subscription",INDEX('Game Records'!$U:$U,$H202)&lt;&gt;"Free Game",INDEX('Game Records'!$U:$U,$H202)&lt;&gt;"Disqualified — Free Game",INDEX('Game Records'!$J:$J,$H202)=""),"Total Players; ","")&amp;IF(AND(LOWER(INDEX('Game Records'!$D:$D,$H202)&amp;"")="finalized",LOWER(INDEX('Game Records'!$L:$L,$H202)&amp;"")&lt;&gt;"yes",INDEX('Game Records'!$U:$U,$H202)&lt;&gt;"Subscription",INDEX('Game Records'!$U:$U,$H202)&lt;&gt;"Free Game",INDEX('Game Records'!$U:$U,$H202)&lt;&gt;"Disqualified — Free Game",INDEX('Game Records'!$K:$K,$H202)=""),"Final Earned; ","")&amp;IF(AND(LOWER(INDEX('Game Records'!$D:$D,$H202)&amp;"")="finalized",INDEX('Game Records'!$U:$U,$H202)&lt;&gt;"Subscription",INDEX('Game Records'!$U:$U,$H202)&lt;&gt;"Free Game",INDEX('Game Records'!$U:$U,$H202)&lt;&gt;"Disqualified — Free Game",OR(INDEX('Game Records'!$L:$L,$H202)="",LOWER(INDEX('Game Records'!$L:$L,$H202)&amp;"")="n/a")),"Disqualified Status; ",""))</x:f>
        <x:v/>
      </x:c>
      <x:c r="G202" s="331" t="str">
        <x:f>IF($H202="","",IFERROR(INDEX('Game Records'!$M:$M,$H202),""))</x:f>
        <x:v/>
      </x:c>
      <x:c r="H202" s="104" t="str">
        <x:f>IF($H201="","",IFERROR(MATCH(1,INDEX((ROW('Game Records'!$U$5:$U$504)&gt;$H201)*(('Game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3" ht="24" customHeight="1">
      <x:c r="A203" s="332" t="str">
        <x:f>IF($H203="","",ROWS($A$5:A203))</x:f>
        <x:v/>
      </x:c>
      <x:c r="B203" s="332" t="str">
        <x:f>IF($H203="","","G-"&amp;TEXT($A203,"0000"))</x:f>
        <x:v/>
      </x:c>
      <x:c r="C203" s="331" t="str">
        <x:f>IF($H203="","",IFERROR(INDEX('Game Records'!$A:$A,$H203),""))</x:f>
        <x:v/>
      </x:c>
      <x:c r="D203" s="331" t="str">
        <x:f>IF($H203="","",IFERROR(INDEX('Game Records'!$U:$U,$H203),""))</x:f>
        <x:v/>
      </x:c>
      <x:c r="E203" s="331" t="str">
        <x:f>IF($H203="","",IF($F203="","No Highlighted Fields","Highlighted Fields Present"))</x:f>
        <x:v/>
      </x:c>
      <x:c r="F203" s="331" t="str">
        <x:f>IF($H203="","",IF(INDEX('Game Records'!$B:$B,$H203)="","Start Date; ","")&amp;IF(INDEX('Game Records'!$C:$C,$H203)="","End Date; ","")&amp;IF(AND(INDEX('Game Records'!$U:$U,$H203)&lt;&gt;"Subscription",INDEX('Game Records'!$U:$U,$H203)&lt;&gt;"Free Game",INDEX('Game Records'!$U:$U,$H203)&lt;&gt;"Disqualified — Free Game",OR(INDEX('Game Records'!$D:$D,$H203)="",LOWER(INDEX('Game Records'!$D:$D,$H203)&amp;"")="n/a")),"Entry Mode; ","")&amp;IF(AND(INDEX('Game Records'!$U:$U,$H203)&lt;&gt;"Subscription",INDEX('Game Records'!$U:$U,$H203)&lt;&gt;"Free Game",INDEX('Game Records'!$U:$U,$H203)&lt;&gt;"Disqualified — Free Game",OR(INDEX('Game Records'!$E:$E,$H203)="",LOWER(INDEX('Game Records'!$E:$E,$H203)&amp;"")="n/a")),"Game Type; ","")&amp;IF(INDEX('Game Records'!$F:$F,$H203)="","Payment Type; ","")&amp;IF(AND(INDEX('Game Records'!$U:$U,$H203)&lt;&gt;"Subscription",INDEX('Game Records'!$U:$U,$H203)&lt;&gt;"Free Game",INDEX('Game Records'!$U:$U,$H203)&lt;&gt;"Disqualified — Free Game",INDEX('Game Records'!$G:$G,$H203)=""),"Gross Pot; ","")&amp;IF(AND(INDEX('Game Records'!$U:$U,$H203)&lt;&gt;"Free Game",INDEX('Game Records'!$U:$U,$H203)&lt;&gt;"Disqualified — Free Game",INDEX('Game Records'!$H:$H,$H203)=""),"Entry Fee; ","")&amp;IF(AND(INDEX('Game Records'!$U:$U,$H203)&lt;&gt;"Subscription",INDEX('Game Records'!$U:$U,$H203)&lt;&gt;"Free Game",INDEX('Game Records'!$U:$U,$H203)&lt;&gt;"Disqualified — Free Game",INDEX('Game Records'!$I:$I,$H203)=""),"Eligible Players; ","")&amp;IF(AND(INDEX('Game Records'!$U:$U,$H203)&lt;&gt;"Subscription",INDEX('Game Records'!$U:$U,$H203)&lt;&gt;"Free Game",INDEX('Game Records'!$U:$U,$H203)&lt;&gt;"Disqualified — Free Game",INDEX('Game Records'!$J:$J,$H203)=""),"Total Players; ","")&amp;IF(AND(LOWER(INDEX('Game Records'!$D:$D,$H203)&amp;"")="finalized",LOWER(INDEX('Game Records'!$L:$L,$H203)&amp;"")&lt;&gt;"yes",INDEX('Game Records'!$U:$U,$H203)&lt;&gt;"Subscription",INDEX('Game Records'!$U:$U,$H203)&lt;&gt;"Free Game",INDEX('Game Records'!$U:$U,$H203)&lt;&gt;"Disqualified — Free Game",INDEX('Game Records'!$K:$K,$H203)=""),"Final Earned; ","")&amp;IF(AND(LOWER(INDEX('Game Records'!$D:$D,$H203)&amp;"")="finalized",INDEX('Game Records'!$U:$U,$H203)&lt;&gt;"Subscription",INDEX('Game Records'!$U:$U,$H203)&lt;&gt;"Free Game",INDEX('Game Records'!$U:$U,$H203)&lt;&gt;"Disqualified — Free Game",OR(INDEX('Game Records'!$L:$L,$H203)="",LOWER(INDEX('Game Records'!$L:$L,$H203)&amp;"")="n/a")),"Disqualified Status; ",""))</x:f>
        <x:v/>
      </x:c>
      <x:c r="G203" s="331" t="str">
        <x:f>IF($H203="","",IFERROR(INDEX('Game Records'!$M:$M,$H203),""))</x:f>
        <x:v/>
      </x:c>
      <x:c r="H203" s="104" t="str">
        <x:f>IF($H202="","",IFERROR(MATCH(1,INDEX((ROW('Game Records'!$U$5:$U$504)&gt;$H202)*(('Game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4" ht="24" customHeight="1">
      <x:c r="A204" s="332" t="str">
        <x:f>IF($H204="","",ROWS($A$5:A204))</x:f>
        <x:v/>
      </x:c>
      <x:c r="B204" s="332" t="str">
        <x:f>IF($H204="","","G-"&amp;TEXT($A204,"0000"))</x:f>
        <x:v/>
      </x:c>
      <x:c r="C204" s="331" t="str">
        <x:f>IF($H204="","",IFERROR(INDEX('Game Records'!$A:$A,$H204),""))</x:f>
        <x:v/>
      </x:c>
      <x:c r="D204" s="331" t="str">
        <x:f>IF($H204="","",IFERROR(INDEX('Game Records'!$U:$U,$H204),""))</x:f>
        <x:v/>
      </x:c>
      <x:c r="E204" s="331" t="str">
        <x:f>IF($H204="","",IF($F204="","No Highlighted Fields","Highlighted Fields Present"))</x:f>
        <x:v/>
      </x:c>
      <x:c r="F204" s="331" t="str">
        <x:f>IF($H204="","",IF(INDEX('Game Records'!$B:$B,$H204)="","Start Date; ","")&amp;IF(INDEX('Game Records'!$C:$C,$H204)="","End Date; ","")&amp;IF(AND(INDEX('Game Records'!$U:$U,$H204)&lt;&gt;"Subscription",INDEX('Game Records'!$U:$U,$H204)&lt;&gt;"Free Game",INDEX('Game Records'!$U:$U,$H204)&lt;&gt;"Disqualified — Free Game",OR(INDEX('Game Records'!$D:$D,$H204)="",LOWER(INDEX('Game Records'!$D:$D,$H204)&amp;"")="n/a")),"Entry Mode; ","")&amp;IF(AND(INDEX('Game Records'!$U:$U,$H204)&lt;&gt;"Subscription",INDEX('Game Records'!$U:$U,$H204)&lt;&gt;"Free Game",INDEX('Game Records'!$U:$U,$H204)&lt;&gt;"Disqualified — Free Game",OR(INDEX('Game Records'!$E:$E,$H204)="",LOWER(INDEX('Game Records'!$E:$E,$H204)&amp;"")="n/a")),"Game Type; ","")&amp;IF(INDEX('Game Records'!$F:$F,$H204)="","Payment Type; ","")&amp;IF(AND(INDEX('Game Records'!$U:$U,$H204)&lt;&gt;"Subscription",INDEX('Game Records'!$U:$U,$H204)&lt;&gt;"Free Game",INDEX('Game Records'!$U:$U,$H204)&lt;&gt;"Disqualified — Free Game",INDEX('Game Records'!$G:$G,$H204)=""),"Gross Pot; ","")&amp;IF(AND(INDEX('Game Records'!$U:$U,$H204)&lt;&gt;"Free Game",INDEX('Game Records'!$U:$U,$H204)&lt;&gt;"Disqualified — Free Game",INDEX('Game Records'!$H:$H,$H204)=""),"Entry Fee; ","")&amp;IF(AND(INDEX('Game Records'!$U:$U,$H204)&lt;&gt;"Subscription",INDEX('Game Records'!$U:$U,$H204)&lt;&gt;"Free Game",INDEX('Game Records'!$U:$U,$H204)&lt;&gt;"Disqualified — Free Game",INDEX('Game Records'!$I:$I,$H204)=""),"Eligible Players; ","")&amp;IF(AND(INDEX('Game Records'!$U:$U,$H204)&lt;&gt;"Subscription",INDEX('Game Records'!$U:$U,$H204)&lt;&gt;"Free Game",INDEX('Game Records'!$U:$U,$H204)&lt;&gt;"Disqualified — Free Game",INDEX('Game Records'!$J:$J,$H204)=""),"Total Players; ","")&amp;IF(AND(LOWER(INDEX('Game Records'!$D:$D,$H204)&amp;"")="finalized",LOWER(INDEX('Game Records'!$L:$L,$H204)&amp;"")&lt;&gt;"yes",INDEX('Game Records'!$U:$U,$H204)&lt;&gt;"Subscription",INDEX('Game Records'!$U:$U,$H204)&lt;&gt;"Free Game",INDEX('Game Records'!$U:$U,$H204)&lt;&gt;"Disqualified — Free Game",INDEX('Game Records'!$K:$K,$H204)=""),"Final Earned; ","")&amp;IF(AND(LOWER(INDEX('Game Records'!$D:$D,$H204)&amp;"")="finalized",INDEX('Game Records'!$U:$U,$H204)&lt;&gt;"Subscription",INDEX('Game Records'!$U:$U,$H204)&lt;&gt;"Free Game",INDEX('Game Records'!$U:$U,$H204)&lt;&gt;"Disqualified — Free Game",OR(INDEX('Game Records'!$L:$L,$H204)="",LOWER(INDEX('Game Records'!$L:$L,$H204)&amp;"")="n/a")),"Disqualified Status; ",""))</x:f>
        <x:v/>
      </x:c>
      <x:c r="G204" s="331" t="str">
        <x:f>IF($H204="","",IFERROR(INDEX('Game Records'!$M:$M,$H204),""))</x:f>
        <x:v/>
      </x:c>
      <x:c r="H204" s="104" t="str">
        <x:f>IF($H203="","",IFERROR(MATCH(1,INDEX((ROW('Game Records'!$U$5:$U$504)&gt;$H203)*(('Game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5" ht="24" customHeight="1">
      <x:c r="A205" s="332" t="str">
        <x:f>IF($H205="","",ROWS($A$5:A205))</x:f>
        <x:v/>
      </x:c>
      <x:c r="B205" s="332" t="str">
        <x:f>IF($H205="","","G-"&amp;TEXT($A205,"0000"))</x:f>
        <x:v/>
      </x:c>
      <x:c r="C205" s="331" t="str">
        <x:f>IF($H205="","",IFERROR(INDEX('Game Records'!$A:$A,$H205),""))</x:f>
        <x:v/>
      </x:c>
      <x:c r="D205" s="331" t="str">
        <x:f>IF($H205="","",IFERROR(INDEX('Game Records'!$U:$U,$H205),""))</x:f>
        <x:v/>
      </x:c>
      <x:c r="E205" s="331" t="str">
        <x:f>IF($H205="","",IF($F205="","No Highlighted Fields","Highlighted Fields Present"))</x:f>
        <x:v/>
      </x:c>
      <x:c r="F205" s="331" t="str">
        <x:f>IF($H205="","",IF(INDEX('Game Records'!$B:$B,$H205)="","Start Date; ","")&amp;IF(INDEX('Game Records'!$C:$C,$H205)="","End Date; ","")&amp;IF(AND(INDEX('Game Records'!$U:$U,$H205)&lt;&gt;"Subscription",INDEX('Game Records'!$U:$U,$H205)&lt;&gt;"Free Game",INDEX('Game Records'!$U:$U,$H205)&lt;&gt;"Disqualified — Free Game",OR(INDEX('Game Records'!$D:$D,$H205)="",LOWER(INDEX('Game Records'!$D:$D,$H205)&amp;"")="n/a")),"Entry Mode; ","")&amp;IF(AND(INDEX('Game Records'!$U:$U,$H205)&lt;&gt;"Subscription",INDEX('Game Records'!$U:$U,$H205)&lt;&gt;"Free Game",INDEX('Game Records'!$U:$U,$H205)&lt;&gt;"Disqualified — Free Game",OR(INDEX('Game Records'!$E:$E,$H205)="",LOWER(INDEX('Game Records'!$E:$E,$H205)&amp;"")="n/a")),"Game Type; ","")&amp;IF(INDEX('Game Records'!$F:$F,$H205)="","Payment Type; ","")&amp;IF(AND(INDEX('Game Records'!$U:$U,$H205)&lt;&gt;"Subscription",INDEX('Game Records'!$U:$U,$H205)&lt;&gt;"Free Game",INDEX('Game Records'!$U:$U,$H205)&lt;&gt;"Disqualified — Free Game",INDEX('Game Records'!$G:$G,$H205)=""),"Gross Pot; ","")&amp;IF(AND(INDEX('Game Records'!$U:$U,$H205)&lt;&gt;"Free Game",INDEX('Game Records'!$U:$U,$H205)&lt;&gt;"Disqualified — Free Game",INDEX('Game Records'!$H:$H,$H205)=""),"Entry Fee; ","")&amp;IF(AND(INDEX('Game Records'!$U:$U,$H205)&lt;&gt;"Subscription",INDEX('Game Records'!$U:$U,$H205)&lt;&gt;"Free Game",INDEX('Game Records'!$U:$U,$H205)&lt;&gt;"Disqualified — Free Game",INDEX('Game Records'!$I:$I,$H205)=""),"Eligible Players; ","")&amp;IF(AND(INDEX('Game Records'!$U:$U,$H205)&lt;&gt;"Subscription",INDEX('Game Records'!$U:$U,$H205)&lt;&gt;"Free Game",INDEX('Game Records'!$U:$U,$H205)&lt;&gt;"Disqualified — Free Game",INDEX('Game Records'!$J:$J,$H205)=""),"Total Players; ","")&amp;IF(AND(LOWER(INDEX('Game Records'!$D:$D,$H205)&amp;"")="finalized",LOWER(INDEX('Game Records'!$L:$L,$H205)&amp;"")&lt;&gt;"yes",INDEX('Game Records'!$U:$U,$H205)&lt;&gt;"Subscription",INDEX('Game Records'!$U:$U,$H205)&lt;&gt;"Free Game",INDEX('Game Records'!$U:$U,$H205)&lt;&gt;"Disqualified — Free Game",INDEX('Game Records'!$K:$K,$H205)=""),"Final Earned; ","")&amp;IF(AND(LOWER(INDEX('Game Records'!$D:$D,$H205)&amp;"")="finalized",INDEX('Game Records'!$U:$U,$H205)&lt;&gt;"Subscription",INDEX('Game Records'!$U:$U,$H205)&lt;&gt;"Free Game",INDEX('Game Records'!$U:$U,$H205)&lt;&gt;"Disqualified — Free Game",OR(INDEX('Game Records'!$L:$L,$H205)="",LOWER(INDEX('Game Records'!$L:$L,$H205)&amp;"")="n/a")),"Disqualified Status; ",""))</x:f>
        <x:v/>
      </x:c>
      <x:c r="G205" s="331" t="str">
        <x:f>IF($H205="","",IFERROR(INDEX('Game Records'!$M:$M,$H205),""))</x:f>
        <x:v/>
      </x:c>
      <x:c r="H205" s="104" t="str">
        <x:f>IF($H204="","",IFERROR(MATCH(1,INDEX((ROW('Game Records'!$U$5:$U$504)&gt;$H204)*(('Game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6" ht="24" customHeight="1">
      <x:c r="A206" s="332" t="str">
        <x:f>IF($H206="","",ROWS($A$5:A206))</x:f>
        <x:v/>
      </x:c>
      <x:c r="B206" s="332" t="str">
        <x:f>IF($H206="","","G-"&amp;TEXT($A206,"0000"))</x:f>
        <x:v/>
      </x:c>
      <x:c r="C206" s="331" t="str">
        <x:f>IF($H206="","",IFERROR(INDEX('Game Records'!$A:$A,$H206),""))</x:f>
        <x:v/>
      </x:c>
      <x:c r="D206" s="331" t="str">
        <x:f>IF($H206="","",IFERROR(INDEX('Game Records'!$U:$U,$H206),""))</x:f>
        <x:v/>
      </x:c>
      <x:c r="E206" s="331" t="str">
        <x:f>IF($H206="","",IF($F206="","No Highlighted Fields","Highlighted Fields Present"))</x:f>
        <x:v/>
      </x:c>
      <x:c r="F206" s="331" t="str">
        <x:f>IF($H206="","",IF(INDEX('Game Records'!$B:$B,$H206)="","Start Date; ","")&amp;IF(INDEX('Game Records'!$C:$C,$H206)="","End Date; ","")&amp;IF(AND(INDEX('Game Records'!$U:$U,$H206)&lt;&gt;"Subscription",INDEX('Game Records'!$U:$U,$H206)&lt;&gt;"Free Game",INDEX('Game Records'!$U:$U,$H206)&lt;&gt;"Disqualified — Free Game",OR(INDEX('Game Records'!$D:$D,$H206)="",LOWER(INDEX('Game Records'!$D:$D,$H206)&amp;"")="n/a")),"Entry Mode; ","")&amp;IF(AND(INDEX('Game Records'!$U:$U,$H206)&lt;&gt;"Subscription",INDEX('Game Records'!$U:$U,$H206)&lt;&gt;"Free Game",INDEX('Game Records'!$U:$U,$H206)&lt;&gt;"Disqualified — Free Game",OR(INDEX('Game Records'!$E:$E,$H206)="",LOWER(INDEX('Game Records'!$E:$E,$H206)&amp;"")="n/a")),"Game Type; ","")&amp;IF(INDEX('Game Records'!$F:$F,$H206)="","Payment Type; ","")&amp;IF(AND(INDEX('Game Records'!$U:$U,$H206)&lt;&gt;"Subscription",INDEX('Game Records'!$U:$U,$H206)&lt;&gt;"Free Game",INDEX('Game Records'!$U:$U,$H206)&lt;&gt;"Disqualified — Free Game",INDEX('Game Records'!$G:$G,$H206)=""),"Gross Pot; ","")&amp;IF(AND(INDEX('Game Records'!$U:$U,$H206)&lt;&gt;"Free Game",INDEX('Game Records'!$U:$U,$H206)&lt;&gt;"Disqualified — Free Game",INDEX('Game Records'!$H:$H,$H206)=""),"Entry Fee; ","")&amp;IF(AND(INDEX('Game Records'!$U:$U,$H206)&lt;&gt;"Subscription",INDEX('Game Records'!$U:$U,$H206)&lt;&gt;"Free Game",INDEX('Game Records'!$U:$U,$H206)&lt;&gt;"Disqualified — Free Game",INDEX('Game Records'!$I:$I,$H206)=""),"Eligible Players; ","")&amp;IF(AND(INDEX('Game Records'!$U:$U,$H206)&lt;&gt;"Subscription",INDEX('Game Records'!$U:$U,$H206)&lt;&gt;"Free Game",INDEX('Game Records'!$U:$U,$H206)&lt;&gt;"Disqualified — Free Game",INDEX('Game Records'!$J:$J,$H206)=""),"Total Players; ","")&amp;IF(AND(LOWER(INDEX('Game Records'!$D:$D,$H206)&amp;"")="finalized",LOWER(INDEX('Game Records'!$L:$L,$H206)&amp;"")&lt;&gt;"yes",INDEX('Game Records'!$U:$U,$H206)&lt;&gt;"Subscription",INDEX('Game Records'!$U:$U,$H206)&lt;&gt;"Free Game",INDEX('Game Records'!$U:$U,$H206)&lt;&gt;"Disqualified — Free Game",INDEX('Game Records'!$K:$K,$H206)=""),"Final Earned; ","")&amp;IF(AND(LOWER(INDEX('Game Records'!$D:$D,$H206)&amp;"")="finalized",INDEX('Game Records'!$U:$U,$H206)&lt;&gt;"Subscription",INDEX('Game Records'!$U:$U,$H206)&lt;&gt;"Free Game",INDEX('Game Records'!$U:$U,$H206)&lt;&gt;"Disqualified — Free Game",OR(INDEX('Game Records'!$L:$L,$H206)="",LOWER(INDEX('Game Records'!$L:$L,$H206)&amp;"")="n/a")),"Disqualified Status; ",""))</x:f>
        <x:v/>
      </x:c>
      <x:c r="G206" s="331" t="str">
        <x:f>IF($H206="","",IFERROR(INDEX('Game Records'!$M:$M,$H206),""))</x:f>
        <x:v/>
      </x:c>
      <x:c r="H206" s="104" t="str">
        <x:f>IF($H205="","",IFERROR(MATCH(1,INDEX((ROW('Game Records'!$U$5:$U$504)&gt;$H205)*(('Game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7" ht="24" customHeight="1">
      <x:c r="A207" s="332" t="str">
        <x:f>IF($H207="","",ROWS($A$5:A207))</x:f>
        <x:v/>
      </x:c>
      <x:c r="B207" s="332" t="str">
        <x:f>IF($H207="","","G-"&amp;TEXT($A207,"0000"))</x:f>
        <x:v/>
      </x:c>
      <x:c r="C207" s="331" t="str">
        <x:f>IF($H207="","",IFERROR(INDEX('Game Records'!$A:$A,$H207),""))</x:f>
        <x:v/>
      </x:c>
      <x:c r="D207" s="331" t="str">
        <x:f>IF($H207="","",IFERROR(INDEX('Game Records'!$U:$U,$H207),""))</x:f>
        <x:v/>
      </x:c>
      <x:c r="E207" s="331" t="str">
        <x:f>IF($H207="","",IF($F207="","No Highlighted Fields","Highlighted Fields Present"))</x:f>
        <x:v/>
      </x:c>
      <x:c r="F207" s="331" t="str">
        <x:f>IF($H207="","",IF(INDEX('Game Records'!$B:$B,$H207)="","Start Date; ","")&amp;IF(INDEX('Game Records'!$C:$C,$H207)="","End Date; ","")&amp;IF(AND(INDEX('Game Records'!$U:$U,$H207)&lt;&gt;"Subscription",INDEX('Game Records'!$U:$U,$H207)&lt;&gt;"Free Game",INDEX('Game Records'!$U:$U,$H207)&lt;&gt;"Disqualified — Free Game",OR(INDEX('Game Records'!$D:$D,$H207)="",LOWER(INDEX('Game Records'!$D:$D,$H207)&amp;"")="n/a")),"Entry Mode; ","")&amp;IF(AND(INDEX('Game Records'!$U:$U,$H207)&lt;&gt;"Subscription",INDEX('Game Records'!$U:$U,$H207)&lt;&gt;"Free Game",INDEX('Game Records'!$U:$U,$H207)&lt;&gt;"Disqualified — Free Game",OR(INDEX('Game Records'!$E:$E,$H207)="",LOWER(INDEX('Game Records'!$E:$E,$H207)&amp;"")="n/a")),"Game Type; ","")&amp;IF(INDEX('Game Records'!$F:$F,$H207)="","Payment Type; ","")&amp;IF(AND(INDEX('Game Records'!$U:$U,$H207)&lt;&gt;"Subscription",INDEX('Game Records'!$U:$U,$H207)&lt;&gt;"Free Game",INDEX('Game Records'!$U:$U,$H207)&lt;&gt;"Disqualified — Free Game",INDEX('Game Records'!$G:$G,$H207)=""),"Gross Pot; ","")&amp;IF(AND(INDEX('Game Records'!$U:$U,$H207)&lt;&gt;"Free Game",INDEX('Game Records'!$U:$U,$H207)&lt;&gt;"Disqualified — Free Game",INDEX('Game Records'!$H:$H,$H207)=""),"Entry Fee; ","")&amp;IF(AND(INDEX('Game Records'!$U:$U,$H207)&lt;&gt;"Subscription",INDEX('Game Records'!$U:$U,$H207)&lt;&gt;"Free Game",INDEX('Game Records'!$U:$U,$H207)&lt;&gt;"Disqualified — Free Game",INDEX('Game Records'!$I:$I,$H207)=""),"Eligible Players; ","")&amp;IF(AND(INDEX('Game Records'!$U:$U,$H207)&lt;&gt;"Subscription",INDEX('Game Records'!$U:$U,$H207)&lt;&gt;"Free Game",INDEX('Game Records'!$U:$U,$H207)&lt;&gt;"Disqualified — Free Game",INDEX('Game Records'!$J:$J,$H207)=""),"Total Players; ","")&amp;IF(AND(LOWER(INDEX('Game Records'!$D:$D,$H207)&amp;"")="finalized",LOWER(INDEX('Game Records'!$L:$L,$H207)&amp;"")&lt;&gt;"yes",INDEX('Game Records'!$U:$U,$H207)&lt;&gt;"Subscription",INDEX('Game Records'!$U:$U,$H207)&lt;&gt;"Free Game",INDEX('Game Records'!$U:$U,$H207)&lt;&gt;"Disqualified — Free Game",INDEX('Game Records'!$K:$K,$H207)=""),"Final Earned; ","")&amp;IF(AND(LOWER(INDEX('Game Records'!$D:$D,$H207)&amp;"")="finalized",INDEX('Game Records'!$U:$U,$H207)&lt;&gt;"Subscription",INDEX('Game Records'!$U:$U,$H207)&lt;&gt;"Free Game",INDEX('Game Records'!$U:$U,$H207)&lt;&gt;"Disqualified — Free Game",OR(INDEX('Game Records'!$L:$L,$H207)="",LOWER(INDEX('Game Records'!$L:$L,$H207)&amp;"")="n/a")),"Disqualified Status; ",""))</x:f>
        <x:v/>
      </x:c>
      <x:c r="G207" s="331" t="str">
        <x:f>IF($H207="","",IFERROR(INDEX('Game Records'!$M:$M,$H207),""))</x:f>
        <x:v/>
      </x:c>
      <x:c r="H207" s="104" t="str">
        <x:f>IF($H206="","",IFERROR(MATCH(1,INDEX((ROW('Game Records'!$U$5:$U$504)&gt;$H206)*(('Game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8" ht="24" customHeight="1">
      <x:c r="A208" s="332" t="str">
        <x:f>IF($H208="","",ROWS($A$5:A208))</x:f>
        <x:v/>
      </x:c>
      <x:c r="B208" s="332" t="str">
        <x:f>IF($H208="","","G-"&amp;TEXT($A208,"0000"))</x:f>
        <x:v/>
      </x:c>
      <x:c r="C208" s="331" t="str">
        <x:f>IF($H208="","",IFERROR(INDEX('Game Records'!$A:$A,$H208),""))</x:f>
        <x:v/>
      </x:c>
      <x:c r="D208" s="331" t="str">
        <x:f>IF($H208="","",IFERROR(INDEX('Game Records'!$U:$U,$H208),""))</x:f>
        <x:v/>
      </x:c>
      <x:c r="E208" s="331" t="str">
        <x:f>IF($H208="","",IF($F208="","No Highlighted Fields","Highlighted Fields Present"))</x:f>
        <x:v/>
      </x:c>
      <x:c r="F208" s="331" t="str">
        <x:f>IF($H208="","",IF(INDEX('Game Records'!$B:$B,$H208)="","Start Date; ","")&amp;IF(INDEX('Game Records'!$C:$C,$H208)="","End Date; ","")&amp;IF(AND(INDEX('Game Records'!$U:$U,$H208)&lt;&gt;"Subscription",INDEX('Game Records'!$U:$U,$H208)&lt;&gt;"Free Game",INDEX('Game Records'!$U:$U,$H208)&lt;&gt;"Disqualified — Free Game",OR(INDEX('Game Records'!$D:$D,$H208)="",LOWER(INDEX('Game Records'!$D:$D,$H208)&amp;"")="n/a")),"Entry Mode; ","")&amp;IF(AND(INDEX('Game Records'!$U:$U,$H208)&lt;&gt;"Subscription",INDEX('Game Records'!$U:$U,$H208)&lt;&gt;"Free Game",INDEX('Game Records'!$U:$U,$H208)&lt;&gt;"Disqualified — Free Game",OR(INDEX('Game Records'!$E:$E,$H208)="",LOWER(INDEX('Game Records'!$E:$E,$H208)&amp;"")="n/a")),"Game Type; ","")&amp;IF(INDEX('Game Records'!$F:$F,$H208)="","Payment Type; ","")&amp;IF(AND(INDEX('Game Records'!$U:$U,$H208)&lt;&gt;"Subscription",INDEX('Game Records'!$U:$U,$H208)&lt;&gt;"Free Game",INDEX('Game Records'!$U:$U,$H208)&lt;&gt;"Disqualified — Free Game",INDEX('Game Records'!$G:$G,$H208)=""),"Gross Pot; ","")&amp;IF(AND(INDEX('Game Records'!$U:$U,$H208)&lt;&gt;"Free Game",INDEX('Game Records'!$U:$U,$H208)&lt;&gt;"Disqualified — Free Game",INDEX('Game Records'!$H:$H,$H208)=""),"Entry Fee; ","")&amp;IF(AND(INDEX('Game Records'!$U:$U,$H208)&lt;&gt;"Subscription",INDEX('Game Records'!$U:$U,$H208)&lt;&gt;"Free Game",INDEX('Game Records'!$U:$U,$H208)&lt;&gt;"Disqualified — Free Game",INDEX('Game Records'!$I:$I,$H208)=""),"Eligible Players; ","")&amp;IF(AND(INDEX('Game Records'!$U:$U,$H208)&lt;&gt;"Subscription",INDEX('Game Records'!$U:$U,$H208)&lt;&gt;"Free Game",INDEX('Game Records'!$U:$U,$H208)&lt;&gt;"Disqualified — Free Game",INDEX('Game Records'!$J:$J,$H208)=""),"Total Players; ","")&amp;IF(AND(LOWER(INDEX('Game Records'!$D:$D,$H208)&amp;"")="finalized",LOWER(INDEX('Game Records'!$L:$L,$H208)&amp;"")&lt;&gt;"yes",INDEX('Game Records'!$U:$U,$H208)&lt;&gt;"Subscription",INDEX('Game Records'!$U:$U,$H208)&lt;&gt;"Free Game",INDEX('Game Records'!$U:$U,$H208)&lt;&gt;"Disqualified — Free Game",INDEX('Game Records'!$K:$K,$H208)=""),"Final Earned; ","")&amp;IF(AND(LOWER(INDEX('Game Records'!$D:$D,$H208)&amp;"")="finalized",INDEX('Game Records'!$U:$U,$H208)&lt;&gt;"Subscription",INDEX('Game Records'!$U:$U,$H208)&lt;&gt;"Free Game",INDEX('Game Records'!$U:$U,$H208)&lt;&gt;"Disqualified — Free Game",OR(INDEX('Game Records'!$L:$L,$H208)="",LOWER(INDEX('Game Records'!$L:$L,$H208)&amp;"")="n/a")),"Disqualified Status; ",""))</x:f>
        <x:v/>
      </x:c>
      <x:c r="G208" s="331" t="str">
        <x:f>IF($H208="","",IFERROR(INDEX('Game Records'!$M:$M,$H208),""))</x:f>
        <x:v/>
      </x:c>
      <x:c r="H208" s="104" t="str">
        <x:f>IF($H207="","",IFERROR(MATCH(1,INDEX((ROW('Game Records'!$U$5:$U$504)&gt;$H207)*(('Game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09" ht="24" customHeight="1">
      <x:c r="A209" s="332" t="str">
        <x:f>IF($H209="","",ROWS($A$5:A209))</x:f>
        <x:v/>
      </x:c>
      <x:c r="B209" s="332" t="str">
        <x:f>IF($H209="","","G-"&amp;TEXT($A209,"0000"))</x:f>
        <x:v/>
      </x:c>
      <x:c r="C209" s="331" t="str">
        <x:f>IF($H209="","",IFERROR(INDEX('Game Records'!$A:$A,$H209),""))</x:f>
        <x:v/>
      </x:c>
      <x:c r="D209" s="331" t="str">
        <x:f>IF($H209="","",IFERROR(INDEX('Game Records'!$U:$U,$H209),""))</x:f>
        <x:v/>
      </x:c>
      <x:c r="E209" s="331" t="str">
        <x:f>IF($H209="","",IF($F209="","No Highlighted Fields","Highlighted Fields Present"))</x:f>
        <x:v/>
      </x:c>
      <x:c r="F209" s="331" t="str">
        <x:f>IF($H209="","",IF(INDEX('Game Records'!$B:$B,$H209)="","Start Date; ","")&amp;IF(INDEX('Game Records'!$C:$C,$H209)="","End Date; ","")&amp;IF(AND(INDEX('Game Records'!$U:$U,$H209)&lt;&gt;"Subscription",INDEX('Game Records'!$U:$U,$H209)&lt;&gt;"Free Game",INDEX('Game Records'!$U:$U,$H209)&lt;&gt;"Disqualified — Free Game",OR(INDEX('Game Records'!$D:$D,$H209)="",LOWER(INDEX('Game Records'!$D:$D,$H209)&amp;"")="n/a")),"Entry Mode; ","")&amp;IF(AND(INDEX('Game Records'!$U:$U,$H209)&lt;&gt;"Subscription",INDEX('Game Records'!$U:$U,$H209)&lt;&gt;"Free Game",INDEX('Game Records'!$U:$U,$H209)&lt;&gt;"Disqualified — Free Game",OR(INDEX('Game Records'!$E:$E,$H209)="",LOWER(INDEX('Game Records'!$E:$E,$H209)&amp;"")="n/a")),"Game Type; ","")&amp;IF(INDEX('Game Records'!$F:$F,$H209)="","Payment Type; ","")&amp;IF(AND(INDEX('Game Records'!$U:$U,$H209)&lt;&gt;"Subscription",INDEX('Game Records'!$U:$U,$H209)&lt;&gt;"Free Game",INDEX('Game Records'!$U:$U,$H209)&lt;&gt;"Disqualified — Free Game",INDEX('Game Records'!$G:$G,$H209)=""),"Gross Pot; ","")&amp;IF(AND(INDEX('Game Records'!$U:$U,$H209)&lt;&gt;"Free Game",INDEX('Game Records'!$U:$U,$H209)&lt;&gt;"Disqualified — Free Game",INDEX('Game Records'!$H:$H,$H209)=""),"Entry Fee; ","")&amp;IF(AND(INDEX('Game Records'!$U:$U,$H209)&lt;&gt;"Subscription",INDEX('Game Records'!$U:$U,$H209)&lt;&gt;"Free Game",INDEX('Game Records'!$U:$U,$H209)&lt;&gt;"Disqualified — Free Game",INDEX('Game Records'!$I:$I,$H209)=""),"Eligible Players; ","")&amp;IF(AND(INDEX('Game Records'!$U:$U,$H209)&lt;&gt;"Subscription",INDEX('Game Records'!$U:$U,$H209)&lt;&gt;"Free Game",INDEX('Game Records'!$U:$U,$H209)&lt;&gt;"Disqualified — Free Game",INDEX('Game Records'!$J:$J,$H209)=""),"Total Players; ","")&amp;IF(AND(LOWER(INDEX('Game Records'!$D:$D,$H209)&amp;"")="finalized",LOWER(INDEX('Game Records'!$L:$L,$H209)&amp;"")&lt;&gt;"yes",INDEX('Game Records'!$U:$U,$H209)&lt;&gt;"Subscription",INDEX('Game Records'!$U:$U,$H209)&lt;&gt;"Free Game",INDEX('Game Records'!$U:$U,$H209)&lt;&gt;"Disqualified — Free Game",INDEX('Game Records'!$K:$K,$H209)=""),"Final Earned; ","")&amp;IF(AND(LOWER(INDEX('Game Records'!$D:$D,$H209)&amp;"")="finalized",INDEX('Game Records'!$U:$U,$H209)&lt;&gt;"Subscription",INDEX('Game Records'!$U:$U,$H209)&lt;&gt;"Free Game",INDEX('Game Records'!$U:$U,$H209)&lt;&gt;"Disqualified — Free Game",OR(INDEX('Game Records'!$L:$L,$H209)="",LOWER(INDEX('Game Records'!$L:$L,$H209)&amp;"")="n/a")),"Disqualified Status; ",""))</x:f>
        <x:v/>
      </x:c>
      <x:c r="G209" s="331" t="str">
        <x:f>IF($H209="","",IFERROR(INDEX('Game Records'!$M:$M,$H209),""))</x:f>
        <x:v/>
      </x:c>
      <x:c r="H209" s="104" t="str">
        <x:f>IF($H208="","",IFERROR(MATCH(1,INDEX((ROW('Game Records'!$U$5:$U$504)&gt;$H208)*(('Game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0" ht="24" customHeight="1">
      <x:c r="A210" s="332" t="str">
        <x:f>IF($H210="","",ROWS($A$5:A210))</x:f>
        <x:v/>
      </x:c>
      <x:c r="B210" s="332" t="str">
        <x:f>IF($H210="","","G-"&amp;TEXT($A210,"0000"))</x:f>
        <x:v/>
      </x:c>
      <x:c r="C210" s="331" t="str">
        <x:f>IF($H210="","",IFERROR(INDEX('Game Records'!$A:$A,$H210),""))</x:f>
        <x:v/>
      </x:c>
      <x:c r="D210" s="331" t="str">
        <x:f>IF($H210="","",IFERROR(INDEX('Game Records'!$U:$U,$H210),""))</x:f>
        <x:v/>
      </x:c>
      <x:c r="E210" s="331" t="str">
        <x:f>IF($H210="","",IF($F210="","No Highlighted Fields","Highlighted Fields Present"))</x:f>
        <x:v/>
      </x:c>
      <x:c r="F210" s="331" t="str">
        <x:f>IF($H210="","",IF(INDEX('Game Records'!$B:$B,$H210)="","Start Date; ","")&amp;IF(INDEX('Game Records'!$C:$C,$H210)="","End Date; ","")&amp;IF(AND(INDEX('Game Records'!$U:$U,$H210)&lt;&gt;"Subscription",INDEX('Game Records'!$U:$U,$H210)&lt;&gt;"Free Game",INDEX('Game Records'!$U:$U,$H210)&lt;&gt;"Disqualified — Free Game",OR(INDEX('Game Records'!$D:$D,$H210)="",LOWER(INDEX('Game Records'!$D:$D,$H210)&amp;"")="n/a")),"Entry Mode; ","")&amp;IF(AND(INDEX('Game Records'!$U:$U,$H210)&lt;&gt;"Subscription",INDEX('Game Records'!$U:$U,$H210)&lt;&gt;"Free Game",INDEX('Game Records'!$U:$U,$H210)&lt;&gt;"Disqualified — Free Game",OR(INDEX('Game Records'!$E:$E,$H210)="",LOWER(INDEX('Game Records'!$E:$E,$H210)&amp;"")="n/a")),"Game Type; ","")&amp;IF(INDEX('Game Records'!$F:$F,$H210)="","Payment Type; ","")&amp;IF(AND(INDEX('Game Records'!$U:$U,$H210)&lt;&gt;"Subscription",INDEX('Game Records'!$U:$U,$H210)&lt;&gt;"Free Game",INDEX('Game Records'!$U:$U,$H210)&lt;&gt;"Disqualified — Free Game",INDEX('Game Records'!$G:$G,$H210)=""),"Gross Pot; ","")&amp;IF(AND(INDEX('Game Records'!$U:$U,$H210)&lt;&gt;"Free Game",INDEX('Game Records'!$U:$U,$H210)&lt;&gt;"Disqualified — Free Game",INDEX('Game Records'!$H:$H,$H210)=""),"Entry Fee; ","")&amp;IF(AND(INDEX('Game Records'!$U:$U,$H210)&lt;&gt;"Subscription",INDEX('Game Records'!$U:$U,$H210)&lt;&gt;"Free Game",INDEX('Game Records'!$U:$U,$H210)&lt;&gt;"Disqualified — Free Game",INDEX('Game Records'!$I:$I,$H210)=""),"Eligible Players; ","")&amp;IF(AND(INDEX('Game Records'!$U:$U,$H210)&lt;&gt;"Subscription",INDEX('Game Records'!$U:$U,$H210)&lt;&gt;"Free Game",INDEX('Game Records'!$U:$U,$H210)&lt;&gt;"Disqualified — Free Game",INDEX('Game Records'!$J:$J,$H210)=""),"Total Players; ","")&amp;IF(AND(LOWER(INDEX('Game Records'!$D:$D,$H210)&amp;"")="finalized",LOWER(INDEX('Game Records'!$L:$L,$H210)&amp;"")&lt;&gt;"yes",INDEX('Game Records'!$U:$U,$H210)&lt;&gt;"Subscription",INDEX('Game Records'!$U:$U,$H210)&lt;&gt;"Free Game",INDEX('Game Records'!$U:$U,$H210)&lt;&gt;"Disqualified — Free Game",INDEX('Game Records'!$K:$K,$H210)=""),"Final Earned; ","")&amp;IF(AND(LOWER(INDEX('Game Records'!$D:$D,$H210)&amp;"")="finalized",INDEX('Game Records'!$U:$U,$H210)&lt;&gt;"Subscription",INDEX('Game Records'!$U:$U,$H210)&lt;&gt;"Free Game",INDEX('Game Records'!$U:$U,$H210)&lt;&gt;"Disqualified — Free Game",OR(INDEX('Game Records'!$L:$L,$H210)="",LOWER(INDEX('Game Records'!$L:$L,$H210)&amp;"")="n/a")),"Disqualified Status; ",""))</x:f>
        <x:v/>
      </x:c>
      <x:c r="G210" s="331" t="str">
        <x:f>IF($H210="","",IFERROR(INDEX('Game Records'!$M:$M,$H210),""))</x:f>
        <x:v/>
      </x:c>
      <x:c r="H210" s="104" t="str">
        <x:f>IF($H209="","",IFERROR(MATCH(1,INDEX((ROW('Game Records'!$U$5:$U$504)&gt;$H209)*(('Game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1" ht="24" customHeight="1">
      <x:c r="A211" s="332" t="str">
        <x:f>IF($H211="","",ROWS($A$5:A211))</x:f>
        <x:v/>
      </x:c>
      <x:c r="B211" s="332" t="str">
        <x:f>IF($H211="","","G-"&amp;TEXT($A211,"0000"))</x:f>
        <x:v/>
      </x:c>
      <x:c r="C211" s="331" t="str">
        <x:f>IF($H211="","",IFERROR(INDEX('Game Records'!$A:$A,$H211),""))</x:f>
        <x:v/>
      </x:c>
      <x:c r="D211" s="331" t="str">
        <x:f>IF($H211="","",IFERROR(INDEX('Game Records'!$U:$U,$H211),""))</x:f>
        <x:v/>
      </x:c>
      <x:c r="E211" s="331" t="str">
        <x:f>IF($H211="","",IF($F211="","No Highlighted Fields","Highlighted Fields Present"))</x:f>
        <x:v/>
      </x:c>
      <x:c r="F211" s="331" t="str">
        <x:f>IF($H211="","",IF(INDEX('Game Records'!$B:$B,$H211)="","Start Date; ","")&amp;IF(INDEX('Game Records'!$C:$C,$H211)="","End Date; ","")&amp;IF(AND(INDEX('Game Records'!$U:$U,$H211)&lt;&gt;"Subscription",INDEX('Game Records'!$U:$U,$H211)&lt;&gt;"Free Game",INDEX('Game Records'!$U:$U,$H211)&lt;&gt;"Disqualified — Free Game",OR(INDEX('Game Records'!$D:$D,$H211)="",LOWER(INDEX('Game Records'!$D:$D,$H211)&amp;"")="n/a")),"Entry Mode; ","")&amp;IF(AND(INDEX('Game Records'!$U:$U,$H211)&lt;&gt;"Subscription",INDEX('Game Records'!$U:$U,$H211)&lt;&gt;"Free Game",INDEX('Game Records'!$U:$U,$H211)&lt;&gt;"Disqualified — Free Game",OR(INDEX('Game Records'!$E:$E,$H211)="",LOWER(INDEX('Game Records'!$E:$E,$H211)&amp;"")="n/a")),"Game Type; ","")&amp;IF(INDEX('Game Records'!$F:$F,$H211)="","Payment Type; ","")&amp;IF(AND(INDEX('Game Records'!$U:$U,$H211)&lt;&gt;"Subscription",INDEX('Game Records'!$U:$U,$H211)&lt;&gt;"Free Game",INDEX('Game Records'!$U:$U,$H211)&lt;&gt;"Disqualified — Free Game",INDEX('Game Records'!$G:$G,$H211)=""),"Gross Pot; ","")&amp;IF(AND(INDEX('Game Records'!$U:$U,$H211)&lt;&gt;"Free Game",INDEX('Game Records'!$U:$U,$H211)&lt;&gt;"Disqualified — Free Game",INDEX('Game Records'!$H:$H,$H211)=""),"Entry Fee; ","")&amp;IF(AND(INDEX('Game Records'!$U:$U,$H211)&lt;&gt;"Subscription",INDEX('Game Records'!$U:$U,$H211)&lt;&gt;"Free Game",INDEX('Game Records'!$U:$U,$H211)&lt;&gt;"Disqualified — Free Game",INDEX('Game Records'!$I:$I,$H211)=""),"Eligible Players; ","")&amp;IF(AND(INDEX('Game Records'!$U:$U,$H211)&lt;&gt;"Subscription",INDEX('Game Records'!$U:$U,$H211)&lt;&gt;"Free Game",INDEX('Game Records'!$U:$U,$H211)&lt;&gt;"Disqualified — Free Game",INDEX('Game Records'!$J:$J,$H211)=""),"Total Players; ","")&amp;IF(AND(LOWER(INDEX('Game Records'!$D:$D,$H211)&amp;"")="finalized",LOWER(INDEX('Game Records'!$L:$L,$H211)&amp;"")&lt;&gt;"yes",INDEX('Game Records'!$U:$U,$H211)&lt;&gt;"Subscription",INDEX('Game Records'!$U:$U,$H211)&lt;&gt;"Free Game",INDEX('Game Records'!$U:$U,$H211)&lt;&gt;"Disqualified — Free Game",INDEX('Game Records'!$K:$K,$H211)=""),"Final Earned; ","")&amp;IF(AND(LOWER(INDEX('Game Records'!$D:$D,$H211)&amp;"")="finalized",INDEX('Game Records'!$U:$U,$H211)&lt;&gt;"Subscription",INDEX('Game Records'!$U:$U,$H211)&lt;&gt;"Free Game",INDEX('Game Records'!$U:$U,$H211)&lt;&gt;"Disqualified — Free Game",OR(INDEX('Game Records'!$L:$L,$H211)="",LOWER(INDEX('Game Records'!$L:$L,$H211)&amp;"")="n/a")),"Disqualified Status; ",""))</x:f>
        <x:v/>
      </x:c>
      <x:c r="G211" s="331" t="str">
        <x:f>IF($H211="","",IFERROR(INDEX('Game Records'!$M:$M,$H211),""))</x:f>
        <x:v/>
      </x:c>
      <x:c r="H211" s="104" t="str">
        <x:f>IF($H210="","",IFERROR(MATCH(1,INDEX((ROW('Game Records'!$U$5:$U$504)&gt;$H210)*(('Game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2" ht="24" customHeight="1">
      <x:c r="A212" s="332" t="str">
        <x:f>IF($H212="","",ROWS($A$5:A212))</x:f>
        <x:v/>
      </x:c>
      <x:c r="B212" s="332" t="str">
        <x:f>IF($H212="","","G-"&amp;TEXT($A212,"0000"))</x:f>
        <x:v/>
      </x:c>
      <x:c r="C212" s="331" t="str">
        <x:f>IF($H212="","",IFERROR(INDEX('Game Records'!$A:$A,$H212),""))</x:f>
        <x:v/>
      </x:c>
      <x:c r="D212" s="331" t="str">
        <x:f>IF($H212="","",IFERROR(INDEX('Game Records'!$U:$U,$H212),""))</x:f>
        <x:v/>
      </x:c>
      <x:c r="E212" s="331" t="str">
        <x:f>IF($H212="","",IF($F212="","No Highlighted Fields","Highlighted Fields Present"))</x:f>
        <x:v/>
      </x:c>
      <x:c r="F212" s="331" t="str">
        <x:f>IF($H212="","",IF(INDEX('Game Records'!$B:$B,$H212)="","Start Date; ","")&amp;IF(INDEX('Game Records'!$C:$C,$H212)="","End Date; ","")&amp;IF(AND(INDEX('Game Records'!$U:$U,$H212)&lt;&gt;"Subscription",INDEX('Game Records'!$U:$U,$H212)&lt;&gt;"Free Game",INDEX('Game Records'!$U:$U,$H212)&lt;&gt;"Disqualified — Free Game",OR(INDEX('Game Records'!$D:$D,$H212)="",LOWER(INDEX('Game Records'!$D:$D,$H212)&amp;"")="n/a")),"Entry Mode; ","")&amp;IF(AND(INDEX('Game Records'!$U:$U,$H212)&lt;&gt;"Subscription",INDEX('Game Records'!$U:$U,$H212)&lt;&gt;"Free Game",INDEX('Game Records'!$U:$U,$H212)&lt;&gt;"Disqualified — Free Game",OR(INDEX('Game Records'!$E:$E,$H212)="",LOWER(INDEX('Game Records'!$E:$E,$H212)&amp;"")="n/a")),"Game Type; ","")&amp;IF(INDEX('Game Records'!$F:$F,$H212)="","Payment Type; ","")&amp;IF(AND(INDEX('Game Records'!$U:$U,$H212)&lt;&gt;"Subscription",INDEX('Game Records'!$U:$U,$H212)&lt;&gt;"Free Game",INDEX('Game Records'!$U:$U,$H212)&lt;&gt;"Disqualified — Free Game",INDEX('Game Records'!$G:$G,$H212)=""),"Gross Pot; ","")&amp;IF(AND(INDEX('Game Records'!$U:$U,$H212)&lt;&gt;"Free Game",INDEX('Game Records'!$U:$U,$H212)&lt;&gt;"Disqualified — Free Game",INDEX('Game Records'!$H:$H,$H212)=""),"Entry Fee; ","")&amp;IF(AND(INDEX('Game Records'!$U:$U,$H212)&lt;&gt;"Subscription",INDEX('Game Records'!$U:$U,$H212)&lt;&gt;"Free Game",INDEX('Game Records'!$U:$U,$H212)&lt;&gt;"Disqualified — Free Game",INDEX('Game Records'!$I:$I,$H212)=""),"Eligible Players; ","")&amp;IF(AND(INDEX('Game Records'!$U:$U,$H212)&lt;&gt;"Subscription",INDEX('Game Records'!$U:$U,$H212)&lt;&gt;"Free Game",INDEX('Game Records'!$U:$U,$H212)&lt;&gt;"Disqualified — Free Game",INDEX('Game Records'!$J:$J,$H212)=""),"Total Players; ","")&amp;IF(AND(LOWER(INDEX('Game Records'!$D:$D,$H212)&amp;"")="finalized",LOWER(INDEX('Game Records'!$L:$L,$H212)&amp;"")&lt;&gt;"yes",INDEX('Game Records'!$U:$U,$H212)&lt;&gt;"Subscription",INDEX('Game Records'!$U:$U,$H212)&lt;&gt;"Free Game",INDEX('Game Records'!$U:$U,$H212)&lt;&gt;"Disqualified — Free Game",INDEX('Game Records'!$K:$K,$H212)=""),"Final Earned; ","")&amp;IF(AND(LOWER(INDEX('Game Records'!$D:$D,$H212)&amp;"")="finalized",INDEX('Game Records'!$U:$U,$H212)&lt;&gt;"Subscription",INDEX('Game Records'!$U:$U,$H212)&lt;&gt;"Free Game",INDEX('Game Records'!$U:$U,$H212)&lt;&gt;"Disqualified — Free Game",OR(INDEX('Game Records'!$L:$L,$H212)="",LOWER(INDEX('Game Records'!$L:$L,$H212)&amp;"")="n/a")),"Disqualified Status; ",""))</x:f>
        <x:v/>
      </x:c>
      <x:c r="G212" s="331" t="str">
        <x:f>IF($H212="","",IFERROR(INDEX('Game Records'!$M:$M,$H212),""))</x:f>
        <x:v/>
      </x:c>
      <x:c r="H212" s="104" t="str">
        <x:f>IF($H211="","",IFERROR(MATCH(1,INDEX((ROW('Game Records'!$U$5:$U$504)&gt;$H211)*(('Game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3" ht="24" customHeight="1">
      <x:c r="A213" s="332" t="str">
        <x:f>IF($H213="","",ROWS($A$5:A213))</x:f>
        <x:v/>
      </x:c>
      <x:c r="B213" s="332" t="str">
        <x:f>IF($H213="","","G-"&amp;TEXT($A213,"0000"))</x:f>
        <x:v/>
      </x:c>
      <x:c r="C213" s="331" t="str">
        <x:f>IF($H213="","",IFERROR(INDEX('Game Records'!$A:$A,$H213),""))</x:f>
        <x:v/>
      </x:c>
      <x:c r="D213" s="331" t="str">
        <x:f>IF($H213="","",IFERROR(INDEX('Game Records'!$U:$U,$H213),""))</x:f>
        <x:v/>
      </x:c>
      <x:c r="E213" s="331" t="str">
        <x:f>IF($H213="","",IF($F213="","No Highlighted Fields","Highlighted Fields Present"))</x:f>
        <x:v/>
      </x:c>
      <x:c r="F213" s="331" t="str">
        <x:f>IF($H213="","",IF(INDEX('Game Records'!$B:$B,$H213)="","Start Date; ","")&amp;IF(INDEX('Game Records'!$C:$C,$H213)="","End Date; ","")&amp;IF(AND(INDEX('Game Records'!$U:$U,$H213)&lt;&gt;"Subscription",INDEX('Game Records'!$U:$U,$H213)&lt;&gt;"Free Game",INDEX('Game Records'!$U:$U,$H213)&lt;&gt;"Disqualified — Free Game",OR(INDEX('Game Records'!$D:$D,$H213)="",LOWER(INDEX('Game Records'!$D:$D,$H213)&amp;"")="n/a")),"Entry Mode; ","")&amp;IF(AND(INDEX('Game Records'!$U:$U,$H213)&lt;&gt;"Subscription",INDEX('Game Records'!$U:$U,$H213)&lt;&gt;"Free Game",INDEX('Game Records'!$U:$U,$H213)&lt;&gt;"Disqualified — Free Game",OR(INDEX('Game Records'!$E:$E,$H213)="",LOWER(INDEX('Game Records'!$E:$E,$H213)&amp;"")="n/a")),"Game Type; ","")&amp;IF(INDEX('Game Records'!$F:$F,$H213)="","Payment Type; ","")&amp;IF(AND(INDEX('Game Records'!$U:$U,$H213)&lt;&gt;"Subscription",INDEX('Game Records'!$U:$U,$H213)&lt;&gt;"Free Game",INDEX('Game Records'!$U:$U,$H213)&lt;&gt;"Disqualified — Free Game",INDEX('Game Records'!$G:$G,$H213)=""),"Gross Pot; ","")&amp;IF(AND(INDEX('Game Records'!$U:$U,$H213)&lt;&gt;"Free Game",INDEX('Game Records'!$U:$U,$H213)&lt;&gt;"Disqualified — Free Game",INDEX('Game Records'!$H:$H,$H213)=""),"Entry Fee; ","")&amp;IF(AND(INDEX('Game Records'!$U:$U,$H213)&lt;&gt;"Subscription",INDEX('Game Records'!$U:$U,$H213)&lt;&gt;"Free Game",INDEX('Game Records'!$U:$U,$H213)&lt;&gt;"Disqualified — Free Game",INDEX('Game Records'!$I:$I,$H213)=""),"Eligible Players; ","")&amp;IF(AND(INDEX('Game Records'!$U:$U,$H213)&lt;&gt;"Subscription",INDEX('Game Records'!$U:$U,$H213)&lt;&gt;"Free Game",INDEX('Game Records'!$U:$U,$H213)&lt;&gt;"Disqualified — Free Game",INDEX('Game Records'!$J:$J,$H213)=""),"Total Players; ","")&amp;IF(AND(LOWER(INDEX('Game Records'!$D:$D,$H213)&amp;"")="finalized",LOWER(INDEX('Game Records'!$L:$L,$H213)&amp;"")&lt;&gt;"yes",INDEX('Game Records'!$U:$U,$H213)&lt;&gt;"Subscription",INDEX('Game Records'!$U:$U,$H213)&lt;&gt;"Free Game",INDEX('Game Records'!$U:$U,$H213)&lt;&gt;"Disqualified — Free Game",INDEX('Game Records'!$K:$K,$H213)=""),"Final Earned; ","")&amp;IF(AND(LOWER(INDEX('Game Records'!$D:$D,$H213)&amp;"")="finalized",INDEX('Game Records'!$U:$U,$H213)&lt;&gt;"Subscription",INDEX('Game Records'!$U:$U,$H213)&lt;&gt;"Free Game",INDEX('Game Records'!$U:$U,$H213)&lt;&gt;"Disqualified — Free Game",OR(INDEX('Game Records'!$L:$L,$H213)="",LOWER(INDEX('Game Records'!$L:$L,$H213)&amp;"")="n/a")),"Disqualified Status; ",""))</x:f>
        <x:v/>
      </x:c>
      <x:c r="G213" s="331" t="str">
        <x:f>IF($H213="","",IFERROR(INDEX('Game Records'!$M:$M,$H213),""))</x:f>
        <x:v/>
      </x:c>
      <x:c r="H213" s="104" t="str">
        <x:f>IF($H212="","",IFERROR(MATCH(1,INDEX((ROW('Game Records'!$U$5:$U$504)&gt;$H212)*(('Game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4" ht="24" customHeight="1">
      <x:c r="A214" s="332" t="str">
        <x:f>IF($H214="","",ROWS($A$5:A214))</x:f>
        <x:v/>
      </x:c>
      <x:c r="B214" s="332" t="str">
        <x:f>IF($H214="","","G-"&amp;TEXT($A214,"0000"))</x:f>
        <x:v/>
      </x:c>
      <x:c r="C214" s="331" t="str">
        <x:f>IF($H214="","",IFERROR(INDEX('Game Records'!$A:$A,$H214),""))</x:f>
        <x:v/>
      </x:c>
      <x:c r="D214" s="331" t="str">
        <x:f>IF($H214="","",IFERROR(INDEX('Game Records'!$U:$U,$H214),""))</x:f>
        <x:v/>
      </x:c>
      <x:c r="E214" s="331" t="str">
        <x:f>IF($H214="","",IF($F214="","No Highlighted Fields","Highlighted Fields Present"))</x:f>
        <x:v/>
      </x:c>
      <x:c r="F214" s="331" t="str">
        <x:f>IF($H214="","",IF(INDEX('Game Records'!$B:$B,$H214)="","Start Date; ","")&amp;IF(INDEX('Game Records'!$C:$C,$H214)="","End Date; ","")&amp;IF(AND(INDEX('Game Records'!$U:$U,$H214)&lt;&gt;"Subscription",INDEX('Game Records'!$U:$U,$H214)&lt;&gt;"Free Game",INDEX('Game Records'!$U:$U,$H214)&lt;&gt;"Disqualified — Free Game",OR(INDEX('Game Records'!$D:$D,$H214)="",LOWER(INDEX('Game Records'!$D:$D,$H214)&amp;"")="n/a")),"Entry Mode; ","")&amp;IF(AND(INDEX('Game Records'!$U:$U,$H214)&lt;&gt;"Subscription",INDEX('Game Records'!$U:$U,$H214)&lt;&gt;"Free Game",INDEX('Game Records'!$U:$U,$H214)&lt;&gt;"Disqualified — Free Game",OR(INDEX('Game Records'!$E:$E,$H214)="",LOWER(INDEX('Game Records'!$E:$E,$H214)&amp;"")="n/a")),"Game Type; ","")&amp;IF(INDEX('Game Records'!$F:$F,$H214)="","Payment Type; ","")&amp;IF(AND(INDEX('Game Records'!$U:$U,$H214)&lt;&gt;"Subscription",INDEX('Game Records'!$U:$U,$H214)&lt;&gt;"Free Game",INDEX('Game Records'!$U:$U,$H214)&lt;&gt;"Disqualified — Free Game",INDEX('Game Records'!$G:$G,$H214)=""),"Gross Pot; ","")&amp;IF(AND(INDEX('Game Records'!$U:$U,$H214)&lt;&gt;"Free Game",INDEX('Game Records'!$U:$U,$H214)&lt;&gt;"Disqualified — Free Game",INDEX('Game Records'!$H:$H,$H214)=""),"Entry Fee; ","")&amp;IF(AND(INDEX('Game Records'!$U:$U,$H214)&lt;&gt;"Subscription",INDEX('Game Records'!$U:$U,$H214)&lt;&gt;"Free Game",INDEX('Game Records'!$U:$U,$H214)&lt;&gt;"Disqualified — Free Game",INDEX('Game Records'!$I:$I,$H214)=""),"Eligible Players; ","")&amp;IF(AND(INDEX('Game Records'!$U:$U,$H214)&lt;&gt;"Subscription",INDEX('Game Records'!$U:$U,$H214)&lt;&gt;"Free Game",INDEX('Game Records'!$U:$U,$H214)&lt;&gt;"Disqualified — Free Game",INDEX('Game Records'!$J:$J,$H214)=""),"Total Players; ","")&amp;IF(AND(LOWER(INDEX('Game Records'!$D:$D,$H214)&amp;"")="finalized",LOWER(INDEX('Game Records'!$L:$L,$H214)&amp;"")&lt;&gt;"yes",INDEX('Game Records'!$U:$U,$H214)&lt;&gt;"Subscription",INDEX('Game Records'!$U:$U,$H214)&lt;&gt;"Free Game",INDEX('Game Records'!$U:$U,$H214)&lt;&gt;"Disqualified — Free Game",INDEX('Game Records'!$K:$K,$H214)=""),"Final Earned; ","")&amp;IF(AND(LOWER(INDEX('Game Records'!$D:$D,$H214)&amp;"")="finalized",INDEX('Game Records'!$U:$U,$H214)&lt;&gt;"Subscription",INDEX('Game Records'!$U:$U,$H214)&lt;&gt;"Free Game",INDEX('Game Records'!$U:$U,$H214)&lt;&gt;"Disqualified — Free Game",OR(INDEX('Game Records'!$L:$L,$H214)="",LOWER(INDEX('Game Records'!$L:$L,$H214)&amp;"")="n/a")),"Disqualified Status; ",""))</x:f>
        <x:v/>
      </x:c>
      <x:c r="G214" s="331" t="str">
        <x:f>IF($H214="","",IFERROR(INDEX('Game Records'!$M:$M,$H214),""))</x:f>
        <x:v/>
      </x:c>
      <x:c r="H214" s="104" t="str">
        <x:f>IF($H213="","",IFERROR(MATCH(1,INDEX((ROW('Game Records'!$U$5:$U$504)&gt;$H213)*(('Game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5" ht="24" customHeight="1">
      <x:c r="A215" s="332" t="str">
        <x:f>IF($H215="","",ROWS($A$5:A215))</x:f>
        <x:v/>
      </x:c>
      <x:c r="B215" s="332" t="str">
        <x:f>IF($H215="","","G-"&amp;TEXT($A215,"0000"))</x:f>
        <x:v/>
      </x:c>
      <x:c r="C215" s="331" t="str">
        <x:f>IF($H215="","",IFERROR(INDEX('Game Records'!$A:$A,$H215),""))</x:f>
        <x:v/>
      </x:c>
      <x:c r="D215" s="331" t="str">
        <x:f>IF($H215="","",IFERROR(INDEX('Game Records'!$U:$U,$H215),""))</x:f>
        <x:v/>
      </x:c>
      <x:c r="E215" s="331" t="str">
        <x:f>IF($H215="","",IF($F215="","No Highlighted Fields","Highlighted Fields Present"))</x:f>
        <x:v/>
      </x:c>
      <x:c r="F215" s="331" t="str">
        <x:f>IF($H215="","",IF(INDEX('Game Records'!$B:$B,$H215)="","Start Date; ","")&amp;IF(INDEX('Game Records'!$C:$C,$H215)="","End Date; ","")&amp;IF(AND(INDEX('Game Records'!$U:$U,$H215)&lt;&gt;"Subscription",INDEX('Game Records'!$U:$U,$H215)&lt;&gt;"Free Game",INDEX('Game Records'!$U:$U,$H215)&lt;&gt;"Disqualified — Free Game",OR(INDEX('Game Records'!$D:$D,$H215)="",LOWER(INDEX('Game Records'!$D:$D,$H215)&amp;"")="n/a")),"Entry Mode; ","")&amp;IF(AND(INDEX('Game Records'!$U:$U,$H215)&lt;&gt;"Subscription",INDEX('Game Records'!$U:$U,$H215)&lt;&gt;"Free Game",INDEX('Game Records'!$U:$U,$H215)&lt;&gt;"Disqualified — Free Game",OR(INDEX('Game Records'!$E:$E,$H215)="",LOWER(INDEX('Game Records'!$E:$E,$H215)&amp;"")="n/a")),"Game Type; ","")&amp;IF(INDEX('Game Records'!$F:$F,$H215)="","Payment Type; ","")&amp;IF(AND(INDEX('Game Records'!$U:$U,$H215)&lt;&gt;"Subscription",INDEX('Game Records'!$U:$U,$H215)&lt;&gt;"Free Game",INDEX('Game Records'!$U:$U,$H215)&lt;&gt;"Disqualified — Free Game",INDEX('Game Records'!$G:$G,$H215)=""),"Gross Pot; ","")&amp;IF(AND(INDEX('Game Records'!$U:$U,$H215)&lt;&gt;"Free Game",INDEX('Game Records'!$U:$U,$H215)&lt;&gt;"Disqualified — Free Game",INDEX('Game Records'!$H:$H,$H215)=""),"Entry Fee; ","")&amp;IF(AND(INDEX('Game Records'!$U:$U,$H215)&lt;&gt;"Subscription",INDEX('Game Records'!$U:$U,$H215)&lt;&gt;"Free Game",INDEX('Game Records'!$U:$U,$H215)&lt;&gt;"Disqualified — Free Game",INDEX('Game Records'!$I:$I,$H215)=""),"Eligible Players; ","")&amp;IF(AND(INDEX('Game Records'!$U:$U,$H215)&lt;&gt;"Subscription",INDEX('Game Records'!$U:$U,$H215)&lt;&gt;"Free Game",INDEX('Game Records'!$U:$U,$H215)&lt;&gt;"Disqualified — Free Game",INDEX('Game Records'!$J:$J,$H215)=""),"Total Players; ","")&amp;IF(AND(LOWER(INDEX('Game Records'!$D:$D,$H215)&amp;"")="finalized",LOWER(INDEX('Game Records'!$L:$L,$H215)&amp;"")&lt;&gt;"yes",INDEX('Game Records'!$U:$U,$H215)&lt;&gt;"Subscription",INDEX('Game Records'!$U:$U,$H215)&lt;&gt;"Free Game",INDEX('Game Records'!$U:$U,$H215)&lt;&gt;"Disqualified — Free Game",INDEX('Game Records'!$K:$K,$H215)=""),"Final Earned; ","")&amp;IF(AND(LOWER(INDEX('Game Records'!$D:$D,$H215)&amp;"")="finalized",INDEX('Game Records'!$U:$U,$H215)&lt;&gt;"Subscription",INDEX('Game Records'!$U:$U,$H215)&lt;&gt;"Free Game",INDEX('Game Records'!$U:$U,$H215)&lt;&gt;"Disqualified — Free Game",OR(INDEX('Game Records'!$L:$L,$H215)="",LOWER(INDEX('Game Records'!$L:$L,$H215)&amp;"")="n/a")),"Disqualified Status; ",""))</x:f>
        <x:v/>
      </x:c>
      <x:c r="G215" s="331" t="str">
        <x:f>IF($H215="","",IFERROR(INDEX('Game Records'!$M:$M,$H215),""))</x:f>
        <x:v/>
      </x:c>
      <x:c r="H215" s="104" t="str">
        <x:f>IF($H214="","",IFERROR(MATCH(1,INDEX((ROW('Game Records'!$U$5:$U$504)&gt;$H214)*(('Game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6" ht="24" customHeight="1">
      <x:c r="A216" s="332" t="str">
        <x:f>IF($H216="","",ROWS($A$5:A216))</x:f>
        <x:v/>
      </x:c>
      <x:c r="B216" s="332" t="str">
        <x:f>IF($H216="","","G-"&amp;TEXT($A216,"0000"))</x:f>
        <x:v/>
      </x:c>
      <x:c r="C216" s="331" t="str">
        <x:f>IF($H216="","",IFERROR(INDEX('Game Records'!$A:$A,$H216),""))</x:f>
        <x:v/>
      </x:c>
      <x:c r="D216" s="331" t="str">
        <x:f>IF($H216="","",IFERROR(INDEX('Game Records'!$U:$U,$H216),""))</x:f>
        <x:v/>
      </x:c>
      <x:c r="E216" s="331" t="str">
        <x:f>IF($H216="","",IF($F216="","No Highlighted Fields","Highlighted Fields Present"))</x:f>
        <x:v/>
      </x:c>
      <x:c r="F216" s="331" t="str">
        <x:f>IF($H216="","",IF(INDEX('Game Records'!$B:$B,$H216)="","Start Date; ","")&amp;IF(INDEX('Game Records'!$C:$C,$H216)="","End Date; ","")&amp;IF(AND(INDEX('Game Records'!$U:$U,$H216)&lt;&gt;"Subscription",INDEX('Game Records'!$U:$U,$H216)&lt;&gt;"Free Game",INDEX('Game Records'!$U:$U,$H216)&lt;&gt;"Disqualified — Free Game",OR(INDEX('Game Records'!$D:$D,$H216)="",LOWER(INDEX('Game Records'!$D:$D,$H216)&amp;"")="n/a")),"Entry Mode; ","")&amp;IF(AND(INDEX('Game Records'!$U:$U,$H216)&lt;&gt;"Subscription",INDEX('Game Records'!$U:$U,$H216)&lt;&gt;"Free Game",INDEX('Game Records'!$U:$U,$H216)&lt;&gt;"Disqualified — Free Game",OR(INDEX('Game Records'!$E:$E,$H216)="",LOWER(INDEX('Game Records'!$E:$E,$H216)&amp;"")="n/a")),"Game Type; ","")&amp;IF(INDEX('Game Records'!$F:$F,$H216)="","Payment Type; ","")&amp;IF(AND(INDEX('Game Records'!$U:$U,$H216)&lt;&gt;"Subscription",INDEX('Game Records'!$U:$U,$H216)&lt;&gt;"Free Game",INDEX('Game Records'!$U:$U,$H216)&lt;&gt;"Disqualified — Free Game",INDEX('Game Records'!$G:$G,$H216)=""),"Gross Pot; ","")&amp;IF(AND(INDEX('Game Records'!$U:$U,$H216)&lt;&gt;"Free Game",INDEX('Game Records'!$U:$U,$H216)&lt;&gt;"Disqualified — Free Game",INDEX('Game Records'!$H:$H,$H216)=""),"Entry Fee; ","")&amp;IF(AND(INDEX('Game Records'!$U:$U,$H216)&lt;&gt;"Subscription",INDEX('Game Records'!$U:$U,$H216)&lt;&gt;"Free Game",INDEX('Game Records'!$U:$U,$H216)&lt;&gt;"Disqualified — Free Game",INDEX('Game Records'!$I:$I,$H216)=""),"Eligible Players; ","")&amp;IF(AND(INDEX('Game Records'!$U:$U,$H216)&lt;&gt;"Subscription",INDEX('Game Records'!$U:$U,$H216)&lt;&gt;"Free Game",INDEX('Game Records'!$U:$U,$H216)&lt;&gt;"Disqualified — Free Game",INDEX('Game Records'!$J:$J,$H216)=""),"Total Players; ","")&amp;IF(AND(LOWER(INDEX('Game Records'!$D:$D,$H216)&amp;"")="finalized",LOWER(INDEX('Game Records'!$L:$L,$H216)&amp;"")&lt;&gt;"yes",INDEX('Game Records'!$U:$U,$H216)&lt;&gt;"Subscription",INDEX('Game Records'!$U:$U,$H216)&lt;&gt;"Free Game",INDEX('Game Records'!$U:$U,$H216)&lt;&gt;"Disqualified — Free Game",INDEX('Game Records'!$K:$K,$H216)=""),"Final Earned; ","")&amp;IF(AND(LOWER(INDEX('Game Records'!$D:$D,$H216)&amp;"")="finalized",INDEX('Game Records'!$U:$U,$H216)&lt;&gt;"Subscription",INDEX('Game Records'!$U:$U,$H216)&lt;&gt;"Free Game",INDEX('Game Records'!$U:$U,$H216)&lt;&gt;"Disqualified — Free Game",OR(INDEX('Game Records'!$L:$L,$H216)="",LOWER(INDEX('Game Records'!$L:$L,$H216)&amp;"")="n/a")),"Disqualified Status; ",""))</x:f>
        <x:v/>
      </x:c>
      <x:c r="G216" s="331" t="str">
        <x:f>IF($H216="","",IFERROR(INDEX('Game Records'!$M:$M,$H216),""))</x:f>
        <x:v/>
      </x:c>
      <x:c r="H216" s="104" t="str">
        <x:f>IF($H215="","",IFERROR(MATCH(1,INDEX((ROW('Game Records'!$U$5:$U$504)&gt;$H215)*(('Game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7" ht="24" customHeight="1">
      <x:c r="A217" s="332" t="str">
        <x:f>IF($H217="","",ROWS($A$5:A217))</x:f>
        <x:v/>
      </x:c>
      <x:c r="B217" s="332" t="str">
        <x:f>IF($H217="","","G-"&amp;TEXT($A217,"0000"))</x:f>
        <x:v/>
      </x:c>
      <x:c r="C217" s="331" t="str">
        <x:f>IF($H217="","",IFERROR(INDEX('Game Records'!$A:$A,$H217),""))</x:f>
        <x:v/>
      </x:c>
      <x:c r="D217" s="331" t="str">
        <x:f>IF($H217="","",IFERROR(INDEX('Game Records'!$U:$U,$H217),""))</x:f>
        <x:v/>
      </x:c>
      <x:c r="E217" s="331" t="str">
        <x:f>IF($H217="","",IF($F217="","No Highlighted Fields","Highlighted Fields Present"))</x:f>
        <x:v/>
      </x:c>
      <x:c r="F217" s="331" t="str">
        <x:f>IF($H217="","",IF(INDEX('Game Records'!$B:$B,$H217)="","Start Date; ","")&amp;IF(INDEX('Game Records'!$C:$C,$H217)="","End Date; ","")&amp;IF(AND(INDEX('Game Records'!$U:$U,$H217)&lt;&gt;"Subscription",INDEX('Game Records'!$U:$U,$H217)&lt;&gt;"Free Game",INDEX('Game Records'!$U:$U,$H217)&lt;&gt;"Disqualified — Free Game",OR(INDEX('Game Records'!$D:$D,$H217)="",LOWER(INDEX('Game Records'!$D:$D,$H217)&amp;"")="n/a")),"Entry Mode; ","")&amp;IF(AND(INDEX('Game Records'!$U:$U,$H217)&lt;&gt;"Subscription",INDEX('Game Records'!$U:$U,$H217)&lt;&gt;"Free Game",INDEX('Game Records'!$U:$U,$H217)&lt;&gt;"Disqualified — Free Game",OR(INDEX('Game Records'!$E:$E,$H217)="",LOWER(INDEX('Game Records'!$E:$E,$H217)&amp;"")="n/a")),"Game Type; ","")&amp;IF(INDEX('Game Records'!$F:$F,$H217)="","Payment Type; ","")&amp;IF(AND(INDEX('Game Records'!$U:$U,$H217)&lt;&gt;"Subscription",INDEX('Game Records'!$U:$U,$H217)&lt;&gt;"Free Game",INDEX('Game Records'!$U:$U,$H217)&lt;&gt;"Disqualified — Free Game",INDEX('Game Records'!$G:$G,$H217)=""),"Gross Pot; ","")&amp;IF(AND(INDEX('Game Records'!$U:$U,$H217)&lt;&gt;"Free Game",INDEX('Game Records'!$U:$U,$H217)&lt;&gt;"Disqualified — Free Game",INDEX('Game Records'!$H:$H,$H217)=""),"Entry Fee; ","")&amp;IF(AND(INDEX('Game Records'!$U:$U,$H217)&lt;&gt;"Subscription",INDEX('Game Records'!$U:$U,$H217)&lt;&gt;"Free Game",INDEX('Game Records'!$U:$U,$H217)&lt;&gt;"Disqualified — Free Game",INDEX('Game Records'!$I:$I,$H217)=""),"Eligible Players; ","")&amp;IF(AND(INDEX('Game Records'!$U:$U,$H217)&lt;&gt;"Subscription",INDEX('Game Records'!$U:$U,$H217)&lt;&gt;"Free Game",INDEX('Game Records'!$U:$U,$H217)&lt;&gt;"Disqualified — Free Game",INDEX('Game Records'!$J:$J,$H217)=""),"Total Players; ","")&amp;IF(AND(LOWER(INDEX('Game Records'!$D:$D,$H217)&amp;"")="finalized",LOWER(INDEX('Game Records'!$L:$L,$H217)&amp;"")&lt;&gt;"yes",INDEX('Game Records'!$U:$U,$H217)&lt;&gt;"Subscription",INDEX('Game Records'!$U:$U,$H217)&lt;&gt;"Free Game",INDEX('Game Records'!$U:$U,$H217)&lt;&gt;"Disqualified — Free Game",INDEX('Game Records'!$K:$K,$H217)=""),"Final Earned; ","")&amp;IF(AND(LOWER(INDEX('Game Records'!$D:$D,$H217)&amp;"")="finalized",INDEX('Game Records'!$U:$U,$H217)&lt;&gt;"Subscription",INDEX('Game Records'!$U:$U,$H217)&lt;&gt;"Free Game",INDEX('Game Records'!$U:$U,$H217)&lt;&gt;"Disqualified — Free Game",OR(INDEX('Game Records'!$L:$L,$H217)="",LOWER(INDEX('Game Records'!$L:$L,$H217)&amp;"")="n/a")),"Disqualified Status; ",""))</x:f>
        <x:v/>
      </x:c>
      <x:c r="G217" s="331" t="str">
        <x:f>IF($H217="","",IFERROR(INDEX('Game Records'!$M:$M,$H217),""))</x:f>
        <x:v/>
      </x:c>
      <x:c r="H217" s="104" t="str">
        <x:f>IF($H216="","",IFERROR(MATCH(1,INDEX((ROW('Game Records'!$U$5:$U$504)&gt;$H216)*(('Game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8" ht="24" customHeight="1">
      <x:c r="A218" s="332" t="str">
        <x:f>IF($H218="","",ROWS($A$5:A218))</x:f>
        <x:v/>
      </x:c>
      <x:c r="B218" s="332" t="str">
        <x:f>IF($H218="","","G-"&amp;TEXT($A218,"0000"))</x:f>
        <x:v/>
      </x:c>
      <x:c r="C218" s="331" t="str">
        <x:f>IF($H218="","",IFERROR(INDEX('Game Records'!$A:$A,$H218),""))</x:f>
        <x:v/>
      </x:c>
      <x:c r="D218" s="331" t="str">
        <x:f>IF($H218="","",IFERROR(INDEX('Game Records'!$U:$U,$H218),""))</x:f>
        <x:v/>
      </x:c>
      <x:c r="E218" s="331" t="str">
        <x:f>IF($H218="","",IF($F218="","No Highlighted Fields","Highlighted Fields Present"))</x:f>
        <x:v/>
      </x:c>
      <x:c r="F218" s="331" t="str">
        <x:f>IF($H218="","",IF(INDEX('Game Records'!$B:$B,$H218)="","Start Date; ","")&amp;IF(INDEX('Game Records'!$C:$C,$H218)="","End Date; ","")&amp;IF(AND(INDEX('Game Records'!$U:$U,$H218)&lt;&gt;"Subscription",INDEX('Game Records'!$U:$U,$H218)&lt;&gt;"Free Game",INDEX('Game Records'!$U:$U,$H218)&lt;&gt;"Disqualified — Free Game",OR(INDEX('Game Records'!$D:$D,$H218)="",LOWER(INDEX('Game Records'!$D:$D,$H218)&amp;"")="n/a")),"Entry Mode; ","")&amp;IF(AND(INDEX('Game Records'!$U:$U,$H218)&lt;&gt;"Subscription",INDEX('Game Records'!$U:$U,$H218)&lt;&gt;"Free Game",INDEX('Game Records'!$U:$U,$H218)&lt;&gt;"Disqualified — Free Game",OR(INDEX('Game Records'!$E:$E,$H218)="",LOWER(INDEX('Game Records'!$E:$E,$H218)&amp;"")="n/a")),"Game Type; ","")&amp;IF(INDEX('Game Records'!$F:$F,$H218)="","Payment Type; ","")&amp;IF(AND(INDEX('Game Records'!$U:$U,$H218)&lt;&gt;"Subscription",INDEX('Game Records'!$U:$U,$H218)&lt;&gt;"Free Game",INDEX('Game Records'!$U:$U,$H218)&lt;&gt;"Disqualified — Free Game",INDEX('Game Records'!$G:$G,$H218)=""),"Gross Pot; ","")&amp;IF(AND(INDEX('Game Records'!$U:$U,$H218)&lt;&gt;"Free Game",INDEX('Game Records'!$U:$U,$H218)&lt;&gt;"Disqualified — Free Game",INDEX('Game Records'!$H:$H,$H218)=""),"Entry Fee; ","")&amp;IF(AND(INDEX('Game Records'!$U:$U,$H218)&lt;&gt;"Subscription",INDEX('Game Records'!$U:$U,$H218)&lt;&gt;"Free Game",INDEX('Game Records'!$U:$U,$H218)&lt;&gt;"Disqualified — Free Game",INDEX('Game Records'!$I:$I,$H218)=""),"Eligible Players; ","")&amp;IF(AND(INDEX('Game Records'!$U:$U,$H218)&lt;&gt;"Subscription",INDEX('Game Records'!$U:$U,$H218)&lt;&gt;"Free Game",INDEX('Game Records'!$U:$U,$H218)&lt;&gt;"Disqualified — Free Game",INDEX('Game Records'!$J:$J,$H218)=""),"Total Players; ","")&amp;IF(AND(LOWER(INDEX('Game Records'!$D:$D,$H218)&amp;"")="finalized",LOWER(INDEX('Game Records'!$L:$L,$H218)&amp;"")&lt;&gt;"yes",INDEX('Game Records'!$U:$U,$H218)&lt;&gt;"Subscription",INDEX('Game Records'!$U:$U,$H218)&lt;&gt;"Free Game",INDEX('Game Records'!$U:$U,$H218)&lt;&gt;"Disqualified — Free Game",INDEX('Game Records'!$K:$K,$H218)=""),"Final Earned; ","")&amp;IF(AND(LOWER(INDEX('Game Records'!$D:$D,$H218)&amp;"")="finalized",INDEX('Game Records'!$U:$U,$H218)&lt;&gt;"Subscription",INDEX('Game Records'!$U:$U,$H218)&lt;&gt;"Free Game",INDEX('Game Records'!$U:$U,$H218)&lt;&gt;"Disqualified — Free Game",OR(INDEX('Game Records'!$L:$L,$H218)="",LOWER(INDEX('Game Records'!$L:$L,$H218)&amp;"")="n/a")),"Disqualified Status; ",""))</x:f>
        <x:v/>
      </x:c>
      <x:c r="G218" s="331" t="str">
        <x:f>IF($H218="","",IFERROR(INDEX('Game Records'!$M:$M,$H218),""))</x:f>
        <x:v/>
      </x:c>
      <x:c r="H218" s="104" t="str">
        <x:f>IF($H217="","",IFERROR(MATCH(1,INDEX((ROW('Game Records'!$U$5:$U$504)&gt;$H217)*(('Game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19" ht="24" customHeight="1">
      <x:c r="A219" s="332" t="str">
        <x:f>IF($H219="","",ROWS($A$5:A219))</x:f>
        <x:v/>
      </x:c>
      <x:c r="B219" s="332" t="str">
        <x:f>IF($H219="","","G-"&amp;TEXT($A219,"0000"))</x:f>
        <x:v/>
      </x:c>
      <x:c r="C219" s="331" t="str">
        <x:f>IF($H219="","",IFERROR(INDEX('Game Records'!$A:$A,$H219),""))</x:f>
        <x:v/>
      </x:c>
      <x:c r="D219" s="331" t="str">
        <x:f>IF($H219="","",IFERROR(INDEX('Game Records'!$U:$U,$H219),""))</x:f>
        <x:v/>
      </x:c>
      <x:c r="E219" s="331" t="str">
        <x:f>IF($H219="","",IF($F219="","No Highlighted Fields","Highlighted Fields Present"))</x:f>
        <x:v/>
      </x:c>
      <x:c r="F219" s="331" t="str">
        <x:f>IF($H219="","",IF(INDEX('Game Records'!$B:$B,$H219)="","Start Date; ","")&amp;IF(INDEX('Game Records'!$C:$C,$H219)="","End Date; ","")&amp;IF(AND(INDEX('Game Records'!$U:$U,$H219)&lt;&gt;"Subscription",INDEX('Game Records'!$U:$U,$H219)&lt;&gt;"Free Game",INDEX('Game Records'!$U:$U,$H219)&lt;&gt;"Disqualified — Free Game",OR(INDEX('Game Records'!$D:$D,$H219)="",LOWER(INDEX('Game Records'!$D:$D,$H219)&amp;"")="n/a")),"Entry Mode; ","")&amp;IF(AND(INDEX('Game Records'!$U:$U,$H219)&lt;&gt;"Subscription",INDEX('Game Records'!$U:$U,$H219)&lt;&gt;"Free Game",INDEX('Game Records'!$U:$U,$H219)&lt;&gt;"Disqualified — Free Game",OR(INDEX('Game Records'!$E:$E,$H219)="",LOWER(INDEX('Game Records'!$E:$E,$H219)&amp;"")="n/a")),"Game Type; ","")&amp;IF(INDEX('Game Records'!$F:$F,$H219)="","Payment Type; ","")&amp;IF(AND(INDEX('Game Records'!$U:$U,$H219)&lt;&gt;"Subscription",INDEX('Game Records'!$U:$U,$H219)&lt;&gt;"Free Game",INDEX('Game Records'!$U:$U,$H219)&lt;&gt;"Disqualified — Free Game",INDEX('Game Records'!$G:$G,$H219)=""),"Gross Pot; ","")&amp;IF(AND(INDEX('Game Records'!$U:$U,$H219)&lt;&gt;"Free Game",INDEX('Game Records'!$U:$U,$H219)&lt;&gt;"Disqualified — Free Game",INDEX('Game Records'!$H:$H,$H219)=""),"Entry Fee; ","")&amp;IF(AND(INDEX('Game Records'!$U:$U,$H219)&lt;&gt;"Subscription",INDEX('Game Records'!$U:$U,$H219)&lt;&gt;"Free Game",INDEX('Game Records'!$U:$U,$H219)&lt;&gt;"Disqualified — Free Game",INDEX('Game Records'!$I:$I,$H219)=""),"Eligible Players; ","")&amp;IF(AND(INDEX('Game Records'!$U:$U,$H219)&lt;&gt;"Subscription",INDEX('Game Records'!$U:$U,$H219)&lt;&gt;"Free Game",INDEX('Game Records'!$U:$U,$H219)&lt;&gt;"Disqualified — Free Game",INDEX('Game Records'!$J:$J,$H219)=""),"Total Players; ","")&amp;IF(AND(LOWER(INDEX('Game Records'!$D:$D,$H219)&amp;"")="finalized",LOWER(INDEX('Game Records'!$L:$L,$H219)&amp;"")&lt;&gt;"yes",INDEX('Game Records'!$U:$U,$H219)&lt;&gt;"Subscription",INDEX('Game Records'!$U:$U,$H219)&lt;&gt;"Free Game",INDEX('Game Records'!$U:$U,$H219)&lt;&gt;"Disqualified — Free Game",INDEX('Game Records'!$K:$K,$H219)=""),"Final Earned; ","")&amp;IF(AND(LOWER(INDEX('Game Records'!$D:$D,$H219)&amp;"")="finalized",INDEX('Game Records'!$U:$U,$H219)&lt;&gt;"Subscription",INDEX('Game Records'!$U:$U,$H219)&lt;&gt;"Free Game",INDEX('Game Records'!$U:$U,$H219)&lt;&gt;"Disqualified — Free Game",OR(INDEX('Game Records'!$L:$L,$H219)="",LOWER(INDEX('Game Records'!$L:$L,$H219)&amp;"")="n/a")),"Disqualified Status; ",""))</x:f>
        <x:v/>
      </x:c>
      <x:c r="G219" s="331" t="str">
        <x:f>IF($H219="","",IFERROR(INDEX('Game Records'!$M:$M,$H219),""))</x:f>
        <x:v/>
      </x:c>
      <x:c r="H219" s="104" t="str">
        <x:f>IF($H218="","",IFERROR(MATCH(1,INDEX((ROW('Game Records'!$U$5:$U$504)&gt;$H218)*(('Game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0" ht="24" customHeight="1">
      <x:c r="A220" s="332" t="str">
        <x:f>IF($H220="","",ROWS($A$5:A220))</x:f>
        <x:v/>
      </x:c>
      <x:c r="B220" s="332" t="str">
        <x:f>IF($H220="","","G-"&amp;TEXT($A220,"0000"))</x:f>
        <x:v/>
      </x:c>
      <x:c r="C220" s="331" t="str">
        <x:f>IF($H220="","",IFERROR(INDEX('Game Records'!$A:$A,$H220),""))</x:f>
        <x:v/>
      </x:c>
      <x:c r="D220" s="331" t="str">
        <x:f>IF($H220="","",IFERROR(INDEX('Game Records'!$U:$U,$H220),""))</x:f>
        <x:v/>
      </x:c>
      <x:c r="E220" s="331" t="str">
        <x:f>IF($H220="","",IF($F220="","No Highlighted Fields","Highlighted Fields Present"))</x:f>
        <x:v/>
      </x:c>
      <x:c r="F220" s="331" t="str">
        <x:f>IF($H220="","",IF(INDEX('Game Records'!$B:$B,$H220)="","Start Date; ","")&amp;IF(INDEX('Game Records'!$C:$C,$H220)="","End Date; ","")&amp;IF(AND(INDEX('Game Records'!$U:$U,$H220)&lt;&gt;"Subscription",INDEX('Game Records'!$U:$U,$H220)&lt;&gt;"Free Game",INDEX('Game Records'!$U:$U,$H220)&lt;&gt;"Disqualified — Free Game",OR(INDEX('Game Records'!$D:$D,$H220)="",LOWER(INDEX('Game Records'!$D:$D,$H220)&amp;"")="n/a")),"Entry Mode; ","")&amp;IF(AND(INDEX('Game Records'!$U:$U,$H220)&lt;&gt;"Subscription",INDEX('Game Records'!$U:$U,$H220)&lt;&gt;"Free Game",INDEX('Game Records'!$U:$U,$H220)&lt;&gt;"Disqualified — Free Game",OR(INDEX('Game Records'!$E:$E,$H220)="",LOWER(INDEX('Game Records'!$E:$E,$H220)&amp;"")="n/a")),"Game Type; ","")&amp;IF(INDEX('Game Records'!$F:$F,$H220)="","Payment Type; ","")&amp;IF(AND(INDEX('Game Records'!$U:$U,$H220)&lt;&gt;"Subscription",INDEX('Game Records'!$U:$U,$H220)&lt;&gt;"Free Game",INDEX('Game Records'!$U:$U,$H220)&lt;&gt;"Disqualified — Free Game",INDEX('Game Records'!$G:$G,$H220)=""),"Gross Pot; ","")&amp;IF(AND(INDEX('Game Records'!$U:$U,$H220)&lt;&gt;"Free Game",INDEX('Game Records'!$U:$U,$H220)&lt;&gt;"Disqualified — Free Game",INDEX('Game Records'!$H:$H,$H220)=""),"Entry Fee; ","")&amp;IF(AND(INDEX('Game Records'!$U:$U,$H220)&lt;&gt;"Subscription",INDEX('Game Records'!$U:$U,$H220)&lt;&gt;"Free Game",INDEX('Game Records'!$U:$U,$H220)&lt;&gt;"Disqualified — Free Game",INDEX('Game Records'!$I:$I,$H220)=""),"Eligible Players; ","")&amp;IF(AND(INDEX('Game Records'!$U:$U,$H220)&lt;&gt;"Subscription",INDEX('Game Records'!$U:$U,$H220)&lt;&gt;"Free Game",INDEX('Game Records'!$U:$U,$H220)&lt;&gt;"Disqualified — Free Game",INDEX('Game Records'!$J:$J,$H220)=""),"Total Players; ","")&amp;IF(AND(LOWER(INDEX('Game Records'!$D:$D,$H220)&amp;"")="finalized",LOWER(INDEX('Game Records'!$L:$L,$H220)&amp;"")&lt;&gt;"yes",INDEX('Game Records'!$U:$U,$H220)&lt;&gt;"Subscription",INDEX('Game Records'!$U:$U,$H220)&lt;&gt;"Free Game",INDEX('Game Records'!$U:$U,$H220)&lt;&gt;"Disqualified — Free Game",INDEX('Game Records'!$K:$K,$H220)=""),"Final Earned; ","")&amp;IF(AND(LOWER(INDEX('Game Records'!$D:$D,$H220)&amp;"")="finalized",INDEX('Game Records'!$U:$U,$H220)&lt;&gt;"Subscription",INDEX('Game Records'!$U:$U,$H220)&lt;&gt;"Free Game",INDEX('Game Records'!$U:$U,$H220)&lt;&gt;"Disqualified — Free Game",OR(INDEX('Game Records'!$L:$L,$H220)="",LOWER(INDEX('Game Records'!$L:$L,$H220)&amp;"")="n/a")),"Disqualified Status; ",""))</x:f>
        <x:v/>
      </x:c>
      <x:c r="G220" s="331" t="str">
        <x:f>IF($H220="","",IFERROR(INDEX('Game Records'!$M:$M,$H220),""))</x:f>
        <x:v/>
      </x:c>
      <x:c r="H220" s="104" t="str">
        <x:f>IF($H219="","",IFERROR(MATCH(1,INDEX((ROW('Game Records'!$U$5:$U$504)&gt;$H219)*(('Game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1" ht="24" customHeight="1">
      <x:c r="A221" s="332" t="str">
        <x:f>IF($H221="","",ROWS($A$5:A221))</x:f>
        <x:v/>
      </x:c>
      <x:c r="B221" s="332" t="str">
        <x:f>IF($H221="","","G-"&amp;TEXT($A221,"0000"))</x:f>
        <x:v/>
      </x:c>
      <x:c r="C221" s="331" t="str">
        <x:f>IF($H221="","",IFERROR(INDEX('Game Records'!$A:$A,$H221),""))</x:f>
        <x:v/>
      </x:c>
      <x:c r="D221" s="331" t="str">
        <x:f>IF($H221="","",IFERROR(INDEX('Game Records'!$U:$U,$H221),""))</x:f>
        <x:v/>
      </x:c>
      <x:c r="E221" s="331" t="str">
        <x:f>IF($H221="","",IF($F221="","No Highlighted Fields","Highlighted Fields Present"))</x:f>
        <x:v/>
      </x:c>
      <x:c r="F221" s="331" t="str">
        <x:f>IF($H221="","",IF(INDEX('Game Records'!$B:$B,$H221)="","Start Date; ","")&amp;IF(INDEX('Game Records'!$C:$C,$H221)="","End Date; ","")&amp;IF(AND(INDEX('Game Records'!$U:$U,$H221)&lt;&gt;"Subscription",INDEX('Game Records'!$U:$U,$H221)&lt;&gt;"Free Game",INDEX('Game Records'!$U:$U,$H221)&lt;&gt;"Disqualified — Free Game",OR(INDEX('Game Records'!$D:$D,$H221)="",LOWER(INDEX('Game Records'!$D:$D,$H221)&amp;"")="n/a")),"Entry Mode; ","")&amp;IF(AND(INDEX('Game Records'!$U:$U,$H221)&lt;&gt;"Subscription",INDEX('Game Records'!$U:$U,$H221)&lt;&gt;"Free Game",INDEX('Game Records'!$U:$U,$H221)&lt;&gt;"Disqualified — Free Game",OR(INDEX('Game Records'!$E:$E,$H221)="",LOWER(INDEX('Game Records'!$E:$E,$H221)&amp;"")="n/a")),"Game Type; ","")&amp;IF(INDEX('Game Records'!$F:$F,$H221)="","Payment Type; ","")&amp;IF(AND(INDEX('Game Records'!$U:$U,$H221)&lt;&gt;"Subscription",INDEX('Game Records'!$U:$U,$H221)&lt;&gt;"Free Game",INDEX('Game Records'!$U:$U,$H221)&lt;&gt;"Disqualified — Free Game",INDEX('Game Records'!$G:$G,$H221)=""),"Gross Pot; ","")&amp;IF(AND(INDEX('Game Records'!$U:$U,$H221)&lt;&gt;"Free Game",INDEX('Game Records'!$U:$U,$H221)&lt;&gt;"Disqualified — Free Game",INDEX('Game Records'!$H:$H,$H221)=""),"Entry Fee; ","")&amp;IF(AND(INDEX('Game Records'!$U:$U,$H221)&lt;&gt;"Subscription",INDEX('Game Records'!$U:$U,$H221)&lt;&gt;"Free Game",INDEX('Game Records'!$U:$U,$H221)&lt;&gt;"Disqualified — Free Game",INDEX('Game Records'!$I:$I,$H221)=""),"Eligible Players; ","")&amp;IF(AND(INDEX('Game Records'!$U:$U,$H221)&lt;&gt;"Subscription",INDEX('Game Records'!$U:$U,$H221)&lt;&gt;"Free Game",INDEX('Game Records'!$U:$U,$H221)&lt;&gt;"Disqualified — Free Game",INDEX('Game Records'!$J:$J,$H221)=""),"Total Players; ","")&amp;IF(AND(LOWER(INDEX('Game Records'!$D:$D,$H221)&amp;"")="finalized",LOWER(INDEX('Game Records'!$L:$L,$H221)&amp;"")&lt;&gt;"yes",INDEX('Game Records'!$U:$U,$H221)&lt;&gt;"Subscription",INDEX('Game Records'!$U:$U,$H221)&lt;&gt;"Free Game",INDEX('Game Records'!$U:$U,$H221)&lt;&gt;"Disqualified — Free Game",INDEX('Game Records'!$K:$K,$H221)=""),"Final Earned; ","")&amp;IF(AND(LOWER(INDEX('Game Records'!$D:$D,$H221)&amp;"")="finalized",INDEX('Game Records'!$U:$U,$H221)&lt;&gt;"Subscription",INDEX('Game Records'!$U:$U,$H221)&lt;&gt;"Free Game",INDEX('Game Records'!$U:$U,$H221)&lt;&gt;"Disqualified — Free Game",OR(INDEX('Game Records'!$L:$L,$H221)="",LOWER(INDEX('Game Records'!$L:$L,$H221)&amp;"")="n/a")),"Disqualified Status; ",""))</x:f>
        <x:v/>
      </x:c>
      <x:c r="G221" s="331" t="str">
        <x:f>IF($H221="","",IFERROR(INDEX('Game Records'!$M:$M,$H221),""))</x:f>
        <x:v/>
      </x:c>
      <x:c r="H221" s="104" t="str">
        <x:f>IF($H220="","",IFERROR(MATCH(1,INDEX((ROW('Game Records'!$U$5:$U$504)&gt;$H220)*(('Game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2" ht="24" customHeight="1">
      <x:c r="A222" s="332" t="str">
        <x:f>IF($H222="","",ROWS($A$5:A222))</x:f>
        <x:v/>
      </x:c>
      <x:c r="B222" s="332" t="str">
        <x:f>IF($H222="","","G-"&amp;TEXT($A222,"0000"))</x:f>
        <x:v/>
      </x:c>
      <x:c r="C222" s="331" t="str">
        <x:f>IF($H222="","",IFERROR(INDEX('Game Records'!$A:$A,$H222),""))</x:f>
        <x:v/>
      </x:c>
      <x:c r="D222" s="331" t="str">
        <x:f>IF($H222="","",IFERROR(INDEX('Game Records'!$U:$U,$H222),""))</x:f>
        <x:v/>
      </x:c>
      <x:c r="E222" s="331" t="str">
        <x:f>IF($H222="","",IF($F222="","No Highlighted Fields","Highlighted Fields Present"))</x:f>
        <x:v/>
      </x:c>
      <x:c r="F222" s="331" t="str">
        <x:f>IF($H222="","",IF(INDEX('Game Records'!$B:$B,$H222)="","Start Date; ","")&amp;IF(INDEX('Game Records'!$C:$C,$H222)="","End Date; ","")&amp;IF(AND(INDEX('Game Records'!$U:$U,$H222)&lt;&gt;"Subscription",INDEX('Game Records'!$U:$U,$H222)&lt;&gt;"Free Game",INDEX('Game Records'!$U:$U,$H222)&lt;&gt;"Disqualified — Free Game",OR(INDEX('Game Records'!$D:$D,$H222)="",LOWER(INDEX('Game Records'!$D:$D,$H222)&amp;"")="n/a")),"Entry Mode; ","")&amp;IF(AND(INDEX('Game Records'!$U:$U,$H222)&lt;&gt;"Subscription",INDEX('Game Records'!$U:$U,$H222)&lt;&gt;"Free Game",INDEX('Game Records'!$U:$U,$H222)&lt;&gt;"Disqualified — Free Game",OR(INDEX('Game Records'!$E:$E,$H222)="",LOWER(INDEX('Game Records'!$E:$E,$H222)&amp;"")="n/a")),"Game Type; ","")&amp;IF(INDEX('Game Records'!$F:$F,$H222)="","Payment Type; ","")&amp;IF(AND(INDEX('Game Records'!$U:$U,$H222)&lt;&gt;"Subscription",INDEX('Game Records'!$U:$U,$H222)&lt;&gt;"Free Game",INDEX('Game Records'!$U:$U,$H222)&lt;&gt;"Disqualified — Free Game",INDEX('Game Records'!$G:$G,$H222)=""),"Gross Pot; ","")&amp;IF(AND(INDEX('Game Records'!$U:$U,$H222)&lt;&gt;"Free Game",INDEX('Game Records'!$U:$U,$H222)&lt;&gt;"Disqualified — Free Game",INDEX('Game Records'!$H:$H,$H222)=""),"Entry Fee; ","")&amp;IF(AND(INDEX('Game Records'!$U:$U,$H222)&lt;&gt;"Subscription",INDEX('Game Records'!$U:$U,$H222)&lt;&gt;"Free Game",INDEX('Game Records'!$U:$U,$H222)&lt;&gt;"Disqualified — Free Game",INDEX('Game Records'!$I:$I,$H222)=""),"Eligible Players; ","")&amp;IF(AND(INDEX('Game Records'!$U:$U,$H222)&lt;&gt;"Subscription",INDEX('Game Records'!$U:$U,$H222)&lt;&gt;"Free Game",INDEX('Game Records'!$U:$U,$H222)&lt;&gt;"Disqualified — Free Game",INDEX('Game Records'!$J:$J,$H222)=""),"Total Players; ","")&amp;IF(AND(LOWER(INDEX('Game Records'!$D:$D,$H222)&amp;"")="finalized",LOWER(INDEX('Game Records'!$L:$L,$H222)&amp;"")&lt;&gt;"yes",INDEX('Game Records'!$U:$U,$H222)&lt;&gt;"Subscription",INDEX('Game Records'!$U:$U,$H222)&lt;&gt;"Free Game",INDEX('Game Records'!$U:$U,$H222)&lt;&gt;"Disqualified — Free Game",INDEX('Game Records'!$K:$K,$H222)=""),"Final Earned; ","")&amp;IF(AND(LOWER(INDEX('Game Records'!$D:$D,$H222)&amp;"")="finalized",INDEX('Game Records'!$U:$U,$H222)&lt;&gt;"Subscription",INDEX('Game Records'!$U:$U,$H222)&lt;&gt;"Free Game",INDEX('Game Records'!$U:$U,$H222)&lt;&gt;"Disqualified — Free Game",OR(INDEX('Game Records'!$L:$L,$H222)="",LOWER(INDEX('Game Records'!$L:$L,$H222)&amp;"")="n/a")),"Disqualified Status; ",""))</x:f>
        <x:v/>
      </x:c>
      <x:c r="G222" s="331" t="str">
        <x:f>IF($H222="","",IFERROR(INDEX('Game Records'!$M:$M,$H222),""))</x:f>
        <x:v/>
      </x:c>
      <x:c r="H222" s="104" t="str">
        <x:f>IF($H221="","",IFERROR(MATCH(1,INDEX((ROW('Game Records'!$U$5:$U$504)&gt;$H221)*(('Game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3" ht="24" customHeight="1">
      <x:c r="A223" s="332" t="str">
        <x:f>IF($H223="","",ROWS($A$5:A223))</x:f>
        <x:v/>
      </x:c>
      <x:c r="B223" s="332" t="str">
        <x:f>IF($H223="","","G-"&amp;TEXT($A223,"0000"))</x:f>
        <x:v/>
      </x:c>
      <x:c r="C223" s="331" t="str">
        <x:f>IF($H223="","",IFERROR(INDEX('Game Records'!$A:$A,$H223),""))</x:f>
        <x:v/>
      </x:c>
      <x:c r="D223" s="331" t="str">
        <x:f>IF($H223="","",IFERROR(INDEX('Game Records'!$U:$U,$H223),""))</x:f>
        <x:v/>
      </x:c>
      <x:c r="E223" s="331" t="str">
        <x:f>IF($H223="","",IF($F223="","No Highlighted Fields","Highlighted Fields Present"))</x:f>
        <x:v/>
      </x:c>
      <x:c r="F223" s="331" t="str">
        <x:f>IF($H223="","",IF(INDEX('Game Records'!$B:$B,$H223)="","Start Date; ","")&amp;IF(INDEX('Game Records'!$C:$C,$H223)="","End Date; ","")&amp;IF(AND(INDEX('Game Records'!$U:$U,$H223)&lt;&gt;"Subscription",INDEX('Game Records'!$U:$U,$H223)&lt;&gt;"Free Game",INDEX('Game Records'!$U:$U,$H223)&lt;&gt;"Disqualified — Free Game",OR(INDEX('Game Records'!$D:$D,$H223)="",LOWER(INDEX('Game Records'!$D:$D,$H223)&amp;"")="n/a")),"Entry Mode; ","")&amp;IF(AND(INDEX('Game Records'!$U:$U,$H223)&lt;&gt;"Subscription",INDEX('Game Records'!$U:$U,$H223)&lt;&gt;"Free Game",INDEX('Game Records'!$U:$U,$H223)&lt;&gt;"Disqualified — Free Game",OR(INDEX('Game Records'!$E:$E,$H223)="",LOWER(INDEX('Game Records'!$E:$E,$H223)&amp;"")="n/a")),"Game Type; ","")&amp;IF(INDEX('Game Records'!$F:$F,$H223)="","Payment Type; ","")&amp;IF(AND(INDEX('Game Records'!$U:$U,$H223)&lt;&gt;"Subscription",INDEX('Game Records'!$U:$U,$H223)&lt;&gt;"Free Game",INDEX('Game Records'!$U:$U,$H223)&lt;&gt;"Disqualified — Free Game",INDEX('Game Records'!$G:$G,$H223)=""),"Gross Pot; ","")&amp;IF(AND(INDEX('Game Records'!$U:$U,$H223)&lt;&gt;"Free Game",INDEX('Game Records'!$U:$U,$H223)&lt;&gt;"Disqualified — Free Game",INDEX('Game Records'!$H:$H,$H223)=""),"Entry Fee; ","")&amp;IF(AND(INDEX('Game Records'!$U:$U,$H223)&lt;&gt;"Subscription",INDEX('Game Records'!$U:$U,$H223)&lt;&gt;"Free Game",INDEX('Game Records'!$U:$U,$H223)&lt;&gt;"Disqualified — Free Game",INDEX('Game Records'!$I:$I,$H223)=""),"Eligible Players; ","")&amp;IF(AND(INDEX('Game Records'!$U:$U,$H223)&lt;&gt;"Subscription",INDEX('Game Records'!$U:$U,$H223)&lt;&gt;"Free Game",INDEX('Game Records'!$U:$U,$H223)&lt;&gt;"Disqualified — Free Game",INDEX('Game Records'!$J:$J,$H223)=""),"Total Players; ","")&amp;IF(AND(LOWER(INDEX('Game Records'!$D:$D,$H223)&amp;"")="finalized",LOWER(INDEX('Game Records'!$L:$L,$H223)&amp;"")&lt;&gt;"yes",INDEX('Game Records'!$U:$U,$H223)&lt;&gt;"Subscription",INDEX('Game Records'!$U:$U,$H223)&lt;&gt;"Free Game",INDEX('Game Records'!$U:$U,$H223)&lt;&gt;"Disqualified — Free Game",INDEX('Game Records'!$K:$K,$H223)=""),"Final Earned; ","")&amp;IF(AND(LOWER(INDEX('Game Records'!$D:$D,$H223)&amp;"")="finalized",INDEX('Game Records'!$U:$U,$H223)&lt;&gt;"Subscription",INDEX('Game Records'!$U:$U,$H223)&lt;&gt;"Free Game",INDEX('Game Records'!$U:$U,$H223)&lt;&gt;"Disqualified — Free Game",OR(INDEX('Game Records'!$L:$L,$H223)="",LOWER(INDEX('Game Records'!$L:$L,$H223)&amp;"")="n/a")),"Disqualified Status; ",""))</x:f>
        <x:v/>
      </x:c>
      <x:c r="G223" s="331" t="str">
        <x:f>IF($H223="","",IFERROR(INDEX('Game Records'!$M:$M,$H223),""))</x:f>
        <x:v/>
      </x:c>
      <x:c r="H223" s="104" t="str">
        <x:f>IF($H222="","",IFERROR(MATCH(1,INDEX((ROW('Game Records'!$U$5:$U$504)&gt;$H222)*(('Game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4" ht="24" customHeight="1">
      <x:c r="A224" s="332" t="str">
        <x:f>IF($H224="","",ROWS($A$5:A224))</x:f>
        <x:v/>
      </x:c>
      <x:c r="B224" s="332" t="str">
        <x:f>IF($H224="","","G-"&amp;TEXT($A224,"0000"))</x:f>
        <x:v/>
      </x:c>
      <x:c r="C224" s="331" t="str">
        <x:f>IF($H224="","",IFERROR(INDEX('Game Records'!$A:$A,$H224),""))</x:f>
        <x:v/>
      </x:c>
      <x:c r="D224" s="331" t="str">
        <x:f>IF($H224="","",IFERROR(INDEX('Game Records'!$U:$U,$H224),""))</x:f>
        <x:v/>
      </x:c>
      <x:c r="E224" s="331" t="str">
        <x:f>IF($H224="","",IF($F224="","No Highlighted Fields","Highlighted Fields Present"))</x:f>
        <x:v/>
      </x:c>
      <x:c r="F224" s="331" t="str">
        <x:f>IF($H224="","",IF(INDEX('Game Records'!$B:$B,$H224)="","Start Date; ","")&amp;IF(INDEX('Game Records'!$C:$C,$H224)="","End Date; ","")&amp;IF(AND(INDEX('Game Records'!$U:$U,$H224)&lt;&gt;"Subscription",INDEX('Game Records'!$U:$U,$H224)&lt;&gt;"Free Game",INDEX('Game Records'!$U:$U,$H224)&lt;&gt;"Disqualified — Free Game",OR(INDEX('Game Records'!$D:$D,$H224)="",LOWER(INDEX('Game Records'!$D:$D,$H224)&amp;"")="n/a")),"Entry Mode; ","")&amp;IF(AND(INDEX('Game Records'!$U:$U,$H224)&lt;&gt;"Subscription",INDEX('Game Records'!$U:$U,$H224)&lt;&gt;"Free Game",INDEX('Game Records'!$U:$U,$H224)&lt;&gt;"Disqualified — Free Game",OR(INDEX('Game Records'!$E:$E,$H224)="",LOWER(INDEX('Game Records'!$E:$E,$H224)&amp;"")="n/a")),"Game Type; ","")&amp;IF(INDEX('Game Records'!$F:$F,$H224)="","Payment Type; ","")&amp;IF(AND(INDEX('Game Records'!$U:$U,$H224)&lt;&gt;"Subscription",INDEX('Game Records'!$U:$U,$H224)&lt;&gt;"Free Game",INDEX('Game Records'!$U:$U,$H224)&lt;&gt;"Disqualified — Free Game",INDEX('Game Records'!$G:$G,$H224)=""),"Gross Pot; ","")&amp;IF(AND(INDEX('Game Records'!$U:$U,$H224)&lt;&gt;"Free Game",INDEX('Game Records'!$U:$U,$H224)&lt;&gt;"Disqualified — Free Game",INDEX('Game Records'!$H:$H,$H224)=""),"Entry Fee; ","")&amp;IF(AND(INDEX('Game Records'!$U:$U,$H224)&lt;&gt;"Subscription",INDEX('Game Records'!$U:$U,$H224)&lt;&gt;"Free Game",INDEX('Game Records'!$U:$U,$H224)&lt;&gt;"Disqualified — Free Game",INDEX('Game Records'!$I:$I,$H224)=""),"Eligible Players; ","")&amp;IF(AND(INDEX('Game Records'!$U:$U,$H224)&lt;&gt;"Subscription",INDEX('Game Records'!$U:$U,$H224)&lt;&gt;"Free Game",INDEX('Game Records'!$U:$U,$H224)&lt;&gt;"Disqualified — Free Game",INDEX('Game Records'!$J:$J,$H224)=""),"Total Players; ","")&amp;IF(AND(LOWER(INDEX('Game Records'!$D:$D,$H224)&amp;"")="finalized",LOWER(INDEX('Game Records'!$L:$L,$H224)&amp;"")&lt;&gt;"yes",INDEX('Game Records'!$U:$U,$H224)&lt;&gt;"Subscription",INDEX('Game Records'!$U:$U,$H224)&lt;&gt;"Free Game",INDEX('Game Records'!$U:$U,$H224)&lt;&gt;"Disqualified — Free Game",INDEX('Game Records'!$K:$K,$H224)=""),"Final Earned; ","")&amp;IF(AND(LOWER(INDEX('Game Records'!$D:$D,$H224)&amp;"")="finalized",INDEX('Game Records'!$U:$U,$H224)&lt;&gt;"Subscription",INDEX('Game Records'!$U:$U,$H224)&lt;&gt;"Free Game",INDEX('Game Records'!$U:$U,$H224)&lt;&gt;"Disqualified — Free Game",OR(INDEX('Game Records'!$L:$L,$H224)="",LOWER(INDEX('Game Records'!$L:$L,$H224)&amp;"")="n/a")),"Disqualified Status; ",""))</x:f>
        <x:v/>
      </x:c>
      <x:c r="G224" s="331" t="str">
        <x:f>IF($H224="","",IFERROR(INDEX('Game Records'!$M:$M,$H224),""))</x:f>
        <x:v/>
      </x:c>
      <x:c r="H224" s="104" t="str">
        <x:f>IF($H223="","",IFERROR(MATCH(1,INDEX((ROW('Game Records'!$U$5:$U$504)&gt;$H223)*(('Game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5" ht="24" customHeight="1">
      <x:c r="A225" s="332" t="str">
        <x:f>IF($H225="","",ROWS($A$5:A225))</x:f>
        <x:v/>
      </x:c>
      <x:c r="B225" s="332" t="str">
        <x:f>IF($H225="","","G-"&amp;TEXT($A225,"0000"))</x:f>
        <x:v/>
      </x:c>
      <x:c r="C225" s="331" t="str">
        <x:f>IF($H225="","",IFERROR(INDEX('Game Records'!$A:$A,$H225),""))</x:f>
        <x:v/>
      </x:c>
      <x:c r="D225" s="331" t="str">
        <x:f>IF($H225="","",IFERROR(INDEX('Game Records'!$U:$U,$H225),""))</x:f>
        <x:v/>
      </x:c>
      <x:c r="E225" s="331" t="str">
        <x:f>IF($H225="","",IF($F225="","No Highlighted Fields","Highlighted Fields Present"))</x:f>
        <x:v/>
      </x:c>
      <x:c r="F225" s="331" t="str">
        <x:f>IF($H225="","",IF(INDEX('Game Records'!$B:$B,$H225)="","Start Date; ","")&amp;IF(INDEX('Game Records'!$C:$C,$H225)="","End Date; ","")&amp;IF(AND(INDEX('Game Records'!$U:$U,$H225)&lt;&gt;"Subscription",INDEX('Game Records'!$U:$U,$H225)&lt;&gt;"Free Game",INDEX('Game Records'!$U:$U,$H225)&lt;&gt;"Disqualified — Free Game",OR(INDEX('Game Records'!$D:$D,$H225)="",LOWER(INDEX('Game Records'!$D:$D,$H225)&amp;"")="n/a")),"Entry Mode; ","")&amp;IF(AND(INDEX('Game Records'!$U:$U,$H225)&lt;&gt;"Subscription",INDEX('Game Records'!$U:$U,$H225)&lt;&gt;"Free Game",INDEX('Game Records'!$U:$U,$H225)&lt;&gt;"Disqualified — Free Game",OR(INDEX('Game Records'!$E:$E,$H225)="",LOWER(INDEX('Game Records'!$E:$E,$H225)&amp;"")="n/a")),"Game Type; ","")&amp;IF(INDEX('Game Records'!$F:$F,$H225)="","Payment Type; ","")&amp;IF(AND(INDEX('Game Records'!$U:$U,$H225)&lt;&gt;"Subscription",INDEX('Game Records'!$U:$U,$H225)&lt;&gt;"Free Game",INDEX('Game Records'!$U:$U,$H225)&lt;&gt;"Disqualified — Free Game",INDEX('Game Records'!$G:$G,$H225)=""),"Gross Pot; ","")&amp;IF(AND(INDEX('Game Records'!$U:$U,$H225)&lt;&gt;"Free Game",INDEX('Game Records'!$U:$U,$H225)&lt;&gt;"Disqualified — Free Game",INDEX('Game Records'!$H:$H,$H225)=""),"Entry Fee; ","")&amp;IF(AND(INDEX('Game Records'!$U:$U,$H225)&lt;&gt;"Subscription",INDEX('Game Records'!$U:$U,$H225)&lt;&gt;"Free Game",INDEX('Game Records'!$U:$U,$H225)&lt;&gt;"Disqualified — Free Game",INDEX('Game Records'!$I:$I,$H225)=""),"Eligible Players; ","")&amp;IF(AND(INDEX('Game Records'!$U:$U,$H225)&lt;&gt;"Subscription",INDEX('Game Records'!$U:$U,$H225)&lt;&gt;"Free Game",INDEX('Game Records'!$U:$U,$H225)&lt;&gt;"Disqualified — Free Game",INDEX('Game Records'!$J:$J,$H225)=""),"Total Players; ","")&amp;IF(AND(LOWER(INDEX('Game Records'!$D:$D,$H225)&amp;"")="finalized",LOWER(INDEX('Game Records'!$L:$L,$H225)&amp;"")&lt;&gt;"yes",INDEX('Game Records'!$U:$U,$H225)&lt;&gt;"Subscription",INDEX('Game Records'!$U:$U,$H225)&lt;&gt;"Free Game",INDEX('Game Records'!$U:$U,$H225)&lt;&gt;"Disqualified — Free Game",INDEX('Game Records'!$K:$K,$H225)=""),"Final Earned; ","")&amp;IF(AND(LOWER(INDEX('Game Records'!$D:$D,$H225)&amp;"")="finalized",INDEX('Game Records'!$U:$U,$H225)&lt;&gt;"Subscription",INDEX('Game Records'!$U:$U,$H225)&lt;&gt;"Free Game",INDEX('Game Records'!$U:$U,$H225)&lt;&gt;"Disqualified — Free Game",OR(INDEX('Game Records'!$L:$L,$H225)="",LOWER(INDEX('Game Records'!$L:$L,$H225)&amp;"")="n/a")),"Disqualified Status; ",""))</x:f>
        <x:v/>
      </x:c>
      <x:c r="G225" s="331" t="str">
        <x:f>IF($H225="","",IFERROR(INDEX('Game Records'!$M:$M,$H225),""))</x:f>
        <x:v/>
      </x:c>
      <x:c r="H225" s="104" t="str">
        <x:f>IF($H224="","",IFERROR(MATCH(1,INDEX((ROW('Game Records'!$U$5:$U$504)&gt;$H224)*(('Game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6" ht="24" customHeight="1">
      <x:c r="A226" s="332" t="str">
        <x:f>IF($H226="","",ROWS($A$5:A226))</x:f>
        <x:v/>
      </x:c>
      <x:c r="B226" s="332" t="str">
        <x:f>IF($H226="","","G-"&amp;TEXT($A226,"0000"))</x:f>
        <x:v/>
      </x:c>
      <x:c r="C226" s="331" t="str">
        <x:f>IF($H226="","",IFERROR(INDEX('Game Records'!$A:$A,$H226),""))</x:f>
        <x:v/>
      </x:c>
      <x:c r="D226" s="331" t="str">
        <x:f>IF($H226="","",IFERROR(INDEX('Game Records'!$U:$U,$H226),""))</x:f>
        <x:v/>
      </x:c>
      <x:c r="E226" s="331" t="str">
        <x:f>IF($H226="","",IF($F226="","No Highlighted Fields","Highlighted Fields Present"))</x:f>
        <x:v/>
      </x:c>
      <x:c r="F226" s="331" t="str">
        <x:f>IF($H226="","",IF(INDEX('Game Records'!$B:$B,$H226)="","Start Date; ","")&amp;IF(INDEX('Game Records'!$C:$C,$H226)="","End Date; ","")&amp;IF(AND(INDEX('Game Records'!$U:$U,$H226)&lt;&gt;"Subscription",INDEX('Game Records'!$U:$U,$H226)&lt;&gt;"Free Game",INDEX('Game Records'!$U:$U,$H226)&lt;&gt;"Disqualified — Free Game",OR(INDEX('Game Records'!$D:$D,$H226)="",LOWER(INDEX('Game Records'!$D:$D,$H226)&amp;"")="n/a")),"Entry Mode; ","")&amp;IF(AND(INDEX('Game Records'!$U:$U,$H226)&lt;&gt;"Subscription",INDEX('Game Records'!$U:$U,$H226)&lt;&gt;"Free Game",INDEX('Game Records'!$U:$U,$H226)&lt;&gt;"Disqualified — Free Game",OR(INDEX('Game Records'!$E:$E,$H226)="",LOWER(INDEX('Game Records'!$E:$E,$H226)&amp;"")="n/a")),"Game Type; ","")&amp;IF(INDEX('Game Records'!$F:$F,$H226)="","Payment Type; ","")&amp;IF(AND(INDEX('Game Records'!$U:$U,$H226)&lt;&gt;"Subscription",INDEX('Game Records'!$U:$U,$H226)&lt;&gt;"Free Game",INDEX('Game Records'!$U:$U,$H226)&lt;&gt;"Disqualified — Free Game",INDEX('Game Records'!$G:$G,$H226)=""),"Gross Pot; ","")&amp;IF(AND(INDEX('Game Records'!$U:$U,$H226)&lt;&gt;"Free Game",INDEX('Game Records'!$U:$U,$H226)&lt;&gt;"Disqualified — Free Game",INDEX('Game Records'!$H:$H,$H226)=""),"Entry Fee; ","")&amp;IF(AND(INDEX('Game Records'!$U:$U,$H226)&lt;&gt;"Subscription",INDEX('Game Records'!$U:$U,$H226)&lt;&gt;"Free Game",INDEX('Game Records'!$U:$U,$H226)&lt;&gt;"Disqualified — Free Game",INDEX('Game Records'!$I:$I,$H226)=""),"Eligible Players; ","")&amp;IF(AND(INDEX('Game Records'!$U:$U,$H226)&lt;&gt;"Subscription",INDEX('Game Records'!$U:$U,$H226)&lt;&gt;"Free Game",INDEX('Game Records'!$U:$U,$H226)&lt;&gt;"Disqualified — Free Game",INDEX('Game Records'!$J:$J,$H226)=""),"Total Players; ","")&amp;IF(AND(LOWER(INDEX('Game Records'!$D:$D,$H226)&amp;"")="finalized",LOWER(INDEX('Game Records'!$L:$L,$H226)&amp;"")&lt;&gt;"yes",INDEX('Game Records'!$U:$U,$H226)&lt;&gt;"Subscription",INDEX('Game Records'!$U:$U,$H226)&lt;&gt;"Free Game",INDEX('Game Records'!$U:$U,$H226)&lt;&gt;"Disqualified — Free Game",INDEX('Game Records'!$K:$K,$H226)=""),"Final Earned; ","")&amp;IF(AND(LOWER(INDEX('Game Records'!$D:$D,$H226)&amp;"")="finalized",INDEX('Game Records'!$U:$U,$H226)&lt;&gt;"Subscription",INDEX('Game Records'!$U:$U,$H226)&lt;&gt;"Free Game",INDEX('Game Records'!$U:$U,$H226)&lt;&gt;"Disqualified — Free Game",OR(INDEX('Game Records'!$L:$L,$H226)="",LOWER(INDEX('Game Records'!$L:$L,$H226)&amp;"")="n/a")),"Disqualified Status; ",""))</x:f>
        <x:v/>
      </x:c>
      <x:c r="G226" s="331" t="str">
        <x:f>IF($H226="","",IFERROR(INDEX('Game Records'!$M:$M,$H226),""))</x:f>
        <x:v/>
      </x:c>
      <x:c r="H226" s="104" t="str">
        <x:f>IF($H225="","",IFERROR(MATCH(1,INDEX((ROW('Game Records'!$U$5:$U$504)&gt;$H225)*(('Game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7" ht="24" customHeight="1">
      <x:c r="A227" s="332" t="str">
        <x:f>IF($H227="","",ROWS($A$5:A227))</x:f>
        <x:v/>
      </x:c>
      <x:c r="B227" s="332" t="str">
        <x:f>IF($H227="","","G-"&amp;TEXT($A227,"0000"))</x:f>
        <x:v/>
      </x:c>
      <x:c r="C227" s="331" t="str">
        <x:f>IF($H227="","",IFERROR(INDEX('Game Records'!$A:$A,$H227),""))</x:f>
        <x:v/>
      </x:c>
      <x:c r="D227" s="331" t="str">
        <x:f>IF($H227="","",IFERROR(INDEX('Game Records'!$U:$U,$H227),""))</x:f>
        <x:v/>
      </x:c>
      <x:c r="E227" s="331" t="str">
        <x:f>IF($H227="","",IF($F227="","No Highlighted Fields","Highlighted Fields Present"))</x:f>
        <x:v/>
      </x:c>
      <x:c r="F227" s="331" t="str">
        <x:f>IF($H227="","",IF(INDEX('Game Records'!$B:$B,$H227)="","Start Date; ","")&amp;IF(INDEX('Game Records'!$C:$C,$H227)="","End Date; ","")&amp;IF(AND(INDEX('Game Records'!$U:$U,$H227)&lt;&gt;"Subscription",INDEX('Game Records'!$U:$U,$H227)&lt;&gt;"Free Game",INDEX('Game Records'!$U:$U,$H227)&lt;&gt;"Disqualified — Free Game",OR(INDEX('Game Records'!$D:$D,$H227)="",LOWER(INDEX('Game Records'!$D:$D,$H227)&amp;"")="n/a")),"Entry Mode; ","")&amp;IF(AND(INDEX('Game Records'!$U:$U,$H227)&lt;&gt;"Subscription",INDEX('Game Records'!$U:$U,$H227)&lt;&gt;"Free Game",INDEX('Game Records'!$U:$U,$H227)&lt;&gt;"Disqualified — Free Game",OR(INDEX('Game Records'!$E:$E,$H227)="",LOWER(INDEX('Game Records'!$E:$E,$H227)&amp;"")="n/a")),"Game Type; ","")&amp;IF(INDEX('Game Records'!$F:$F,$H227)="","Payment Type; ","")&amp;IF(AND(INDEX('Game Records'!$U:$U,$H227)&lt;&gt;"Subscription",INDEX('Game Records'!$U:$U,$H227)&lt;&gt;"Free Game",INDEX('Game Records'!$U:$U,$H227)&lt;&gt;"Disqualified — Free Game",INDEX('Game Records'!$G:$G,$H227)=""),"Gross Pot; ","")&amp;IF(AND(INDEX('Game Records'!$U:$U,$H227)&lt;&gt;"Free Game",INDEX('Game Records'!$U:$U,$H227)&lt;&gt;"Disqualified — Free Game",INDEX('Game Records'!$H:$H,$H227)=""),"Entry Fee; ","")&amp;IF(AND(INDEX('Game Records'!$U:$U,$H227)&lt;&gt;"Subscription",INDEX('Game Records'!$U:$U,$H227)&lt;&gt;"Free Game",INDEX('Game Records'!$U:$U,$H227)&lt;&gt;"Disqualified — Free Game",INDEX('Game Records'!$I:$I,$H227)=""),"Eligible Players; ","")&amp;IF(AND(INDEX('Game Records'!$U:$U,$H227)&lt;&gt;"Subscription",INDEX('Game Records'!$U:$U,$H227)&lt;&gt;"Free Game",INDEX('Game Records'!$U:$U,$H227)&lt;&gt;"Disqualified — Free Game",INDEX('Game Records'!$J:$J,$H227)=""),"Total Players; ","")&amp;IF(AND(LOWER(INDEX('Game Records'!$D:$D,$H227)&amp;"")="finalized",LOWER(INDEX('Game Records'!$L:$L,$H227)&amp;"")&lt;&gt;"yes",INDEX('Game Records'!$U:$U,$H227)&lt;&gt;"Subscription",INDEX('Game Records'!$U:$U,$H227)&lt;&gt;"Free Game",INDEX('Game Records'!$U:$U,$H227)&lt;&gt;"Disqualified — Free Game",INDEX('Game Records'!$K:$K,$H227)=""),"Final Earned; ","")&amp;IF(AND(LOWER(INDEX('Game Records'!$D:$D,$H227)&amp;"")="finalized",INDEX('Game Records'!$U:$U,$H227)&lt;&gt;"Subscription",INDEX('Game Records'!$U:$U,$H227)&lt;&gt;"Free Game",INDEX('Game Records'!$U:$U,$H227)&lt;&gt;"Disqualified — Free Game",OR(INDEX('Game Records'!$L:$L,$H227)="",LOWER(INDEX('Game Records'!$L:$L,$H227)&amp;"")="n/a")),"Disqualified Status; ",""))</x:f>
        <x:v/>
      </x:c>
      <x:c r="G227" s="331" t="str">
        <x:f>IF($H227="","",IFERROR(INDEX('Game Records'!$M:$M,$H227),""))</x:f>
        <x:v/>
      </x:c>
      <x:c r="H227" s="104" t="str">
        <x:f>IF($H226="","",IFERROR(MATCH(1,INDEX((ROW('Game Records'!$U$5:$U$504)&gt;$H226)*(('Game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8" ht="24" customHeight="1">
      <x:c r="A228" s="332" t="str">
        <x:f>IF($H228="","",ROWS($A$5:A228))</x:f>
        <x:v/>
      </x:c>
      <x:c r="B228" s="332" t="str">
        <x:f>IF($H228="","","G-"&amp;TEXT($A228,"0000"))</x:f>
        <x:v/>
      </x:c>
      <x:c r="C228" s="331" t="str">
        <x:f>IF($H228="","",IFERROR(INDEX('Game Records'!$A:$A,$H228),""))</x:f>
        <x:v/>
      </x:c>
      <x:c r="D228" s="331" t="str">
        <x:f>IF($H228="","",IFERROR(INDEX('Game Records'!$U:$U,$H228),""))</x:f>
        <x:v/>
      </x:c>
      <x:c r="E228" s="331" t="str">
        <x:f>IF($H228="","",IF($F228="","No Highlighted Fields","Highlighted Fields Present"))</x:f>
        <x:v/>
      </x:c>
      <x:c r="F228" s="331" t="str">
        <x:f>IF($H228="","",IF(INDEX('Game Records'!$B:$B,$H228)="","Start Date; ","")&amp;IF(INDEX('Game Records'!$C:$C,$H228)="","End Date; ","")&amp;IF(AND(INDEX('Game Records'!$U:$U,$H228)&lt;&gt;"Subscription",INDEX('Game Records'!$U:$U,$H228)&lt;&gt;"Free Game",INDEX('Game Records'!$U:$U,$H228)&lt;&gt;"Disqualified — Free Game",OR(INDEX('Game Records'!$D:$D,$H228)="",LOWER(INDEX('Game Records'!$D:$D,$H228)&amp;"")="n/a")),"Entry Mode; ","")&amp;IF(AND(INDEX('Game Records'!$U:$U,$H228)&lt;&gt;"Subscription",INDEX('Game Records'!$U:$U,$H228)&lt;&gt;"Free Game",INDEX('Game Records'!$U:$U,$H228)&lt;&gt;"Disqualified — Free Game",OR(INDEX('Game Records'!$E:$E,$H228)="",LOWER(INDEX('Game Records'!$E:$E,$H228)&amp;"")="n/a")),"Game Type; ","")&amp;IF(INDEX('Game Records'!$F:$F,$H228)="","Payment Type; ","")&amp;IF(AND(INDEX('Game Records'!$U:$U,$H228)&lt;&gt;"Subscription",INDEX('Game Records'!$U:$U,$H228)&lt;&gt;"Free Game",INDEX('Game Records'!$U:$U,$H228)&lt;&gt;"Disqualified — Free Game",INDEX('Game Records'!$G:$G,$H228)=""),"Gross Pot; ","")&amp;IF(AND(INDEX('Game Records'!$U:$U,$H228)&lt;&gt;"Free Game",INDEX('Game Records'!$U:$U,$H228)&lt;&gt;"Disqualified — Free Game",INDEX('Game Records'!$H:$H,$H228)=""),"Entry Fee; ","")&amp;IF(AND(INDEX('Game Records'!$U:$U,$H228)&lt;&gt;"Subscription",INDEX('Game Records'!$U:$U,$H228)&lt;&gt;"Free Game",INDEX('Game Records'!$U:$U,$H228)&lt;&gt;"Disqualified — Free Game",INDEX('Game Records'!$I:$I,$H228)=""),"Eligible Players; ","")&amp;IF(AND(INDEX('Game Records'!$U:$U,$H228)&lt;&gt;"Subscription",INDEX('Game Records'!$U:$U,$H228)&lt;&gt;"Free Game",INDEX('Game Records'!$U:$U,$H228)&lt;&gt;"Disqualified — Free Game",INDEX('Game Records'!$J:$J,$H228)=""),"Total Players; ","")&amp;IF(AND(LOWER(INDEX('Game Records'!$D:$D,$H228)&amp;"")="finalized",LOWER(INDEX('Game Records'!$L:$L,$H228)&amp;"")&lt;&gt;"yes",INDEX('Game Records'!$U:$U,$H228)&lt;&gt;"Subscription",INDEX('Game Records'!$U:$U,$H228)&lt;&gt;"Free Game",INDEX('Game Records'!$U:$U,$H228)&lt;&gt;"Disqualified — Free Game",INDEX('Game Records'!$K:$K,$H228)=""),"Final Earned; ","")&amp;IF(AND(LOWER(INDEX('Game Records'!$D:$D,$H228)&amp;"")="finalized",INDEX('Game Records'!$U:$U,$H228)&lt;&gt;"Subscription",INDEX('Game Records'!$U:$U,$H228)&lt;&gt;"Free Game",INDEX('Game Records'!$U:$U,$H228)&lt;&gt;"Disqualified — Free Game",OR(INDEX('Game Records'!$L:$L,$H228)="",LOWER(INDEX('Game Records'!$L:$L,$H228)&amp;"")="n/a")),"Disqualified Status; ",""))</x:f>
        <x:v/>
      </x:c>
      <x:c r="G228" s="331" t="str">
        <x:f>IF($H228="","",IFERROR(INDEX('Game Records'!$M:$M,$H228),""))</x:f>
        <x:v/>
      </x:c>
      <x:c r="H228" s="104" t="str">
        <x:f>IF($H227="","",IFERROR(MATCH(1,INDEX((ROW('Game Records'!$U$5:$U$504)&gt;$H227)*(('Game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29" ht="24" customHeight="1">
      <x:c r="A229" s="332" t="str">
        <x:f>IF($H229="","",ROWS($A$5:A229))</x:f>
        <x:v/>
      </x:c>
      <x:c r="B229" s="332" t="str">
        <x:f>IF($H229="","","G-"&amp;TEXT($A229,"0000"))</x:f>
        <x:v/>
      </x:c>
      <x:c r="C229" s="331" t="str">
        <x:f>IF($H229="","",IFERROR(INDEX('Game Records'!$A:$A,$H229),""))</x:f>
        <x:v/>
      </x:c>
      <x:c r="D229" s="331" t="str">
        <x:f>IF($H229="","",IFERROR(INDEX('Game Records'!$U:$U,$H229),""))</x:f>
        <x:v/>
      </x:c>
      <x:c r="E229" s="331" t="str">
        <x:f>IF($H229="","",IF($F229="","No Highlighted Fields","Highlighted Fields Present"))</x:f>
        <x:v/>
      </x:c>
      <x:c r="F229" s="331" t="str">
        <x:f>IF($H229="","",IF(INDEX('Game Records'!$B:$B,$H229)="","Start Date; ","")&amp;IF(INDEX('Game Records'!$C:$C,$H229)="","End Date; ","")&amp;IF(AND(INDEX('Game Records'!$U:$U,$H229)&lt;&gt;"Subscription",INDEX('Game Records'!$U:$U,$H229)&lt;&gt;"Free Game",INDEX('Game Records'!$U:$U,$H229)&lt;&gt;"Disqualified — Free Game",OR(INDEX('Game Records'!$D:$D,$H229)="",LOWER(INDEX('Game Records'!$D:$D,$H229)&amp;"")="n/a")),"Entry Mode; ","")&amp;IF(AND(INDEX('Game Records'!$U:$U,$H229)&lt;&gt;"Subscription",INDEX('Game Records'!$U:$U,$H229)&lt;&gt;"Free Game",INDEX('Game Records'!$U:$U,$H229)&lt;&gt;"Disqualified — Free Game",OR(INDEX('Game Records'!$E:$E,$H229)="",LOWER(INDEX('Game Records'!$E:$E,$H229)&amp;"")="n/a")),"Game Type; ","")&amp;IF(INDEX('Game Records'!$F:$F,$H229)="","Payment Type; ","")&amp;IF(AND(INDEX('Game Records'!$U:$U,$H229)&lt;&gt;"Subscription",INDEX('Game Records'!$U:$U,$H229)&lt;&gt;"Free Game",INDEX('Game Records'!$U:$U,$H229)&lt;&gt;"Disqualified — Free Game",INDEX('Game Records'!$G:$G,$H229)=""),"Gross Pot; ","")&amp;IF(AND(INDEX('Game Records'!$U:$U,$H229)&lt;&gt;"Free Game",INDEX('Game Records'!$U:$U,$H229)&lt;&gt;"Disqualified — Free Game",INDEX('Game Records'!$H:$H,$H229)=""),"Entry Fee; ","")&amp;IF(AND(INDEX('Game Records'!$U:$U,$H229)&lt;&gt;"Subscription",INDEX('Game Records'!$U:$U,$H229)&lt;&gt;"Free Game",INDEX('Game Records'!$U:$U,$H229)&lt;&gt;"Disqualified — Free Game",INDEX('Game Records'!$I:$I,$H229)=""),"Eligible Players; ","")&amp;IF(AND(INDEX('Game Records'!$U:$U,$H229)&lt;&gt;"Subscription",INDEX('Game Records'!$U:$U,$H229)&lt;&gt;"Free Game",INDEX('Game Records'!$U:$U,$H229)&lt;&gt;"Disqualified — Free Game",INDEX('Game Records'!$J:$J,$H229)=""),"Total Players; ","")&amp;IF(AND(LOWER(INDEX('Game Records'!$D:$D,$H229)&amp;"")="finalized",LOWER(INDEX('Game Records'!$L:$L,$H229)&amp;"")&lt;&gt;"yes",INDEX('Game Records'!$U:$U,$H229)&lt;&gt;"Subscription",INDEX('Game Records'!$U:$U,$H229)&lt;&gt;"Free Game",INDEX('Game Records'!$U:$U,$H229)&lt;&gt;"Disqualified — Free Game",INDEX('Game Records'!$K:$K,$H229)=""),"Final Earned; ","")&amp;IF(AND(LOWER(INDEX('Game Records'!$D:$D,$H229)&amp;"")="finalized",INDEX('Game Records'!$U:$U,$H229)&lt;&gt;"Subscription",INDEX('Game Records'!$U:$U,$H229)&lt;&gt;"Free Game",INDEX('Game Records'!$U:$U,$H229)&lt;&gt;"Disqualified — Free Game",OR(INDEX('Game Records'!$L:$L,$H229)="",LOWER(INDEX('Game Records'!$L:$L,$H229)&amp;"")="n/a")),"Disqualified Status; ",""))</x:f>
        <x:v/>
      </x:c>
      <x:c r="G229" s="331" t="str">
        <x:f>IF($H229="","",IFERROR(INDEX('Game Records'!$M:$M,$H229),""))</x:f>
        <x:v/>
      </x:c>
      <x:c r="H229" s="104" t="str">
        <x:f>IF($H228="","",IFERROR(MATCH(1,INDEX((ROW('Game Records'!$U$5:$U$504)&gt;$H228)*(('Game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0" ht="24" customHeight="1">
      <x:c r="A230" s="332" t="str">
        <x:f>IF($H230="","",ROWS($A$5:A230))</x:f>
        <x:v/>
      </x:c>
      <x:c r="B230" s="332" t="str">
        <x:f>IF($H230="","","G-"&amp;TEXT($A230,"0000"))</x:f>
        <x:v/>
      </x:c>
      <x:c r="C230" s="331" t="str">
        <x:f>IF($H230="","",IFERROR(INDEX('Game Records'!$A:$A,$H230),""))</x:f>
        <x:v/>
      </x:c>
      <x:c r="D230" s="331" t="str">
        <x:f>IF($H230="","",IFERROR(INDEX('Game Records'!$U:$U,$H230),""))</x:f>
        <x:v/>
      </x:c>
      <x:c r="E230" s="331" t="str">
        <x:f>IF($H230="","",IF($F230="","No Highlighted Fields","Highlighted Fields Present"))</x:f>
        <x:v/>
      </x:c>
      <x:c r="F230" s="331" t="str">
        <x:f>IF($H230="","",IF(INDEX('Game Records'!$B:$B,$H230)="","Start Date; ","")&amp;IF(INDEX('Game Records'!$C:$C,$H230)="","End Date; ","")&amp;IF(AND(INDEX('Game Records'!$U:$U,$H230)&lt;&gt;"Subscription",INDEX('Game Records'!$U:$U,$H230)&lt;&gt;"Free Game",INDEX('Game Records'!$U:$U,$H230)&lt;&gt;"Disqualified — Free Game",OR(INDEX('Game Records'!$D:$D,$H230)="",LOWER(INDEX('Game Records'!$D:$D,$H230)&amp;"")="n/a")),"Entry Mode; ","")&amp;IF(AND(INDEX('Game Records'!$U:$U,$H230)&lt;&gt;"Subscription",INDEX('Game Records'!$U:$U,$H230)&lt;&gt;"Free Game",INDEX('Game Records'!$U:$U,$H230)&lt;&gt;"Disqualified — Free Game",OR(INDEX('Game Records'!$E:$E,$H230)="",LOWER(INDEX('Game Records'!$E:$E,$H230)&amp;"")="n/a")),"Game Type; ","")&amp;IF(INDEX('Game Records'!$F:$F,$H230)="","Payment Type; ","")&amp;IF(AND(INDEX('Game Records'!$U:$U,$H230)&lt;&gt;"Subscription",INDEX('Game Records'!$U:$U,$H230)&lt;&gt;"Free Game",INDEX('Game Records'!$U:$U,$H230)&lt;&gt;"Disqualified — Free Game",INDEX('Game Records'!$G:$G,$H230)=""),"Gross Pot; ","")&amp;IF(AND(INDEX('Game Records'!$U:$U,$H230)&lt;&gt;"Free Game",INDEX('Game Records'!$U:$U,$H230)&lt;&gt;"Disqualified — Free Game",INDEX('Game Records'!$H:$H,$H230)=""),"Entry Fee; ","")&amp;IF(AND(INDEX('Game Records'!$U:$U,$H230)&lt;&gt;"Subscription",INDEX('Game Records'!$U:$U,$H230)&lt;&gt;"Free Game",INDEX('Game Records'!$U:$U,$H230)&lt;&gt;"Disqualified — Free Game",INDEX('Game Records'!$I:$I,$H230)=""),"Eligible Players; ","")&amp;IF(AND(INDEX('Game Records'!$U:$U,$H230)&lt;&gt;"Subscription",INDEX('Game Records'!$U:$U,$H230)&lt;&gt;"Free Game",INDEX('Game Records'!$U:$U,$H230)&lt;&gt;"Disqualified — Free Game",INDEX('Game Records'!$J:$J,$H230)=""),"Total Players; ","")&amp;IF(AND(LOWER(INDEX('Game Records'!$D:$D,$H230)&amp;"")="finalized",LOWER(INDEX('Game Records'!$L:$L,$H230)&amp;"")&lt;&gt;"yes",INDEX('Game Records'!$U:$U,$H230)&lt;&gt;"Subscription",INDEX('Game Records'!$U:$U,$H230)&lt;&gt;"Free Game",INDEX('Game Records'!$U:$U,$H230)&lt;&gt;"Disqualified — Free Game",INDEX('Game Records'!$K:$K,$H230)=""),"Final Earned; ","")&amp;IF(AND(LOWER(INDEX('Game Records'!$D:$D,$H230)&amp;"")="finalized",INDEX('Game Records'!$U:$U,$H230)&lt;&gt;"Subscription",INDEX('Game Records'!$U:$U,$H230)&lt;&gt;"Free Game",INDEX('Game Records'!$U:$U,$H230)&lt;&gt;"Disqualified — Free Game",OR(INDEX('Game Records'!$L:$L,$H230)="",LOWER(INDEX('Game Records'!$L:$L,$H230)&amp;"")="n/a")),"Disqualified Status; ",""))</x:f>
        <x:v/>
      </x:c>
      <x:c r="G230" s="331" t="str">
        <x:f>IF($H230="","",IFERROR(INDEX('Game Records'!$M:$M,$H230),""))</x:f>
        <x:v/>
      </x:c>
      <x:c r="H230" s="104" t="str">
        <x:f>IF($H229="","",IFERROR(MATCH(1,INDEX((ROW('Game Records'!$U$5:$U$504)&gt;$H229)*(('Game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1" ht="24" customHeight="1">
      <x:c r="A231" s="332" t="str">
        <x:f>IF($H231="","",ROWS($A$5:A231))</x:f>
        <x:v/>
      </x:c>
      <x:c r="B231" s="332" t="str">
        <x:f>IF($H231="","","G-"&amp;TEXT($A231,"0000"))</x:f>
        <x:v/>
      </x:c>
      <x:c r="C231" s="331" t="str">
        <x:f>IF($H231="","",IFERROR(INDEX('Game Records'!$A:$A,$H231),""))</x:f>
        <x:v/>
      </x:c>
      <x:c r="D231" s="331" t="str">
        <x:f>IF($H231="","",IFERROR(INDEX('Game Records'!$U:$U,$H231),""))</x:f>
        <x:v/>
      </x:c>
      <x:c r="E231" s="331" t="str">
        <x:f>IF($H231="","",IF($F231="","No Highlighted Fields","Highlighted Fields Present"))</x:f>
        <x:v/>
      </x:c>
      <x:c r="F231" s="331" t="str">
        <x:f>IF($H231="","",IF(INDEX('Game Records'!$B:$B,$H231)="","Start Date; ","")&amp;IF(INDEX('Game Records'!$C:$C,$H231)="","End Date; ","")&amp;IF(AND(INDEX('Game Records'!$U:$U,$H231)&lt;&gt;"Subscription",INDEX('Game Records'!$U:$U,$H231)&lt;&gt;"Free Game",INDEX('Game Records'!$U:$U,$H231)&lt;&gt;"Disqualified — Free Game",OR(INDEX('Game Records'!$D:$D,$H231)="",LOWER(INDEX('Game Records'!$D:$D,$H231)&amp;"")="n/a")),"Entry Mode; ","")&amp;IF(AND(INDEX('Game Records'!$U:$U,$H231)&lt;&gt;"Subscription",INDEX('Game Records'!$U:$U,$H231)&lt;&gt;"Free Game",INDEX('Game Records'!$U:$U,$H231)&lt;&gt;"Disqualified — Free Game",OR(INDEX('Game Records'!$E:$E,$H231)="",LOWER(INDEX('Game Records'!$E:$E,$H231)&amp;"")="n/a")),"Game Type; ","")&amp;IF(INDEX('Game Records'!$F:$F,$H231)="","Payment Type; ","")&amp;IF(AND(INDEX('Game Records'!$U:$U,$H231)&lt;&gt;"Subscription",INDEX('Game Records'!$U:$U,$H231)&lt;&gt;"Free Game",INDEX('Game Records'!$U:$U,$H231)&lt;&gt;"Disqualified — Free Game",INDEX('Game Records'!$G:$G,$H231)=""),"Gross Pot; ","")&amp;IF(AND(INDEX('Game Records'!$U:$U,$H231)&lt;&gt;"Free Game",INDEX('Game Records'!$U:$U,$H231)&lt;&gt;"Disqualified — Free Game",INDEX('Game Records'!$H:$H,$H231)=""),"Entry Fee; ","")&amp;IF(AND(INDEX('Game Records'!$U:$U,$H231)&lt;&gt;"Subscription",INDEX('Game Records'!$U:$U,$H231)&lt;&gt;"Free Game",INDEX('Game Records'!$U:$U,$H231)&lt;&gt;"Disqualified — Free Game",INDEX('Game Records'!$I:$I,$H231)=""),"Eligible Players; ","")&amp;IF(AND(INDEX('Game Records'!$U:$U,$H231)&lt;&gt;"Subscription",INDEX('Game Records'!$U:$U,$H231)&lt;&gt;"Free Game",INDEX('Game Records'!$U:$U,$H231)&lt;&gt;"Disqualified — Free Game",INDEX('Game Records'!$J:$J,$H231)=""),"Total Players; ","")&amp;IF(AND(LOWER(INDEX('Game Records'!$D:$D,$H231)&amp;"")="finalized",LOWER(INDEX('Game Records'!$L:$L,$H231)&amp;"")&lt;&gt;"yes",INDEX('Game Records'!$U:$U,$H231)&lt;&gt;"Subscription",INDEX('Game Records'!$U:$U,$H231)&lt;&gt;"Free Game",INDEX('Game Records'!$U:$U,$H231)&lt;&gt;"Disqualified — Free Game",INDEX('Game Records'!$K:$K,$H231)=""),"Final Earned; ","")&amp;IF(AND(LOWER(INDEX('Game Records'!$D:$D,$H231)&amp;"")="finalized",INDEX('Game Records'!$U:$U,$H231)&lt;&gt;"Subscription",INDEX('Game Records'!$U:$U,$H231)&lt;&gt;"Free Game",INDEX('Game Records'!$U:$U,$H231)&lt;&gt;"Disqualified — Free Game",OR(INDEX('Game Records'!$L:$L,$H231)="",LOWER(INDEX('Game Records'!$L:$L,$H231)&amp;"")="n/a")),"Disqualified Status; ",""))</x:f>
        <x:v/>
      </x:c>
      <x:c r="G231" s="331" t="str">
        <x:f>IF($H231="","",IFERROR(INDEX('Game Records'!$M:$M,$H231),""))</x:f>
        <x:v/>
      </x:c>
      <x:c r="H231" s="104" t="str">
        <x:f>IF($H230="","",IFERROR(MATCH(1,INDEX((ROW('Game Records'!$U$5:$U$504)&gt;$H230)*(('Game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2" ht="24" customHeight="1">
      <x:c r="A232" s="332" t="str">
        <x:f>IF($H232="","",ROWS($A$5:A232))</x:f>
        <x:v/>
      </x:c>
      <x:c r="B232" s="332" t="str">
        <x:f>IF($H232="","","G-"&amp;TEXT($A232,"0000"))</x:f>
        <x:v/>
      </x:c>
      <x:c r="C232" s="331" t="str">
        <x:f>IF($H232="","",IFERROR(INDEX('Game Records'!$A:$A,$H232),""))</x:f>
        <x:v/>
      </x:c>
      <x:c r="D232" s="331" t="str">
        <x:f>IF($H232="","",IFERROR(INDEX('Game Records'!$U:$U,$H232),""))</x:f>
        <x:v/>
      </x:c>
      <x:c r="E232" s="331" t="str">
        <x:f>IF($H232="","",IF($F232="","No Highlighted Fields","Highlighted Fields Present"))</x:f>
        <x:v/>
      </x:c>
      <x:c r="F232" s="331" t="str">
        <x:f>IF($H232="","",IF(INDEX('Game Records'!$B:$B,$H232)="","Start Date; ","")&amp;IF(INDEX('Game Records'!$C:$C,$H232)="","End Date; ","")&amp;IF(AND(INDEX('Game Records'!$U:$U,$H232)&lt;&gt;"Subscription",INDEX('Game Records'!$U:$U,$H232)&lt;&gt;"Free Game",INDEX('Game Records'!$U:$U,$H232)&lt;&gt;"Disqualified — Free Game",OR(INDEX('Game Records'!$D:$D,$H232)="",LOWER(INDEX('Game Records'!$D:$D,$H232)&amp;"")="n/a")),"Entry Mode; ","")&amp;IF(AND(INDEX('Game Records'!$U:$U,$H232)&lt;&gt;"Subscription",INDEX('Game Records'!$U:$U,$H232)&lt;&gt;"Free Game",INDEX('Game Records'!$U:$U,$H232)&lt;&gt;"Disqualified — Free Game",OR(INDEX('Game Records'!$E:$E,$H232)="",LOWER(INDEX('Game Records'!$E:$E,$H232)&amp;"")="n/a")),"Game Type; ","")&amp;IF(INDEX('Game Records'!$F:$F,$H232)="","Payment Type; ","")&amp;IF(AND(INDEX('Game Records'!$U:$U,$H232)&lt;&gt;"Subscription",INDEX('Game Records'!$U:$U,$H232)&lt;&gt;"Free Game",INDEX('Game Records'!$U:$U,$H232)&lt;&gt;"Disqualified — Free Game",INDEX('Game Records'!$G:$G,$H232)=""),"Gross Pot; ","")&amp;IF(AND(INDEX('Game Records'!$U:$U,$H232)&lt;&gt;"Free Game",INDEX('Game Records'!$U:$U,$H232)&lt;&gt;"Disqualified — Free Game",INDEX('Game Records'!$H:$H,$H232)=""),"Entry Fee; ","")&amp;IF(AND(INDEX('Game Records'!$U:$U,$H232)&lt;&gt;"Subscription",INDEX('Game Records'!$U:$U,$H232)&lt;&gt;"Free Game",INDEX('Game Records'!$U:$U,$H232)&lt;&gt;"Disqualified — Free Game",INDEX('Game Records'!$I:$I,$H232)=""),"Eligible Players; ","")&amp;IF(AND(INDEX('Game Records'!$U:$U,$H232)&lt;&gt;"Subscription",INDEX('Game Records'!$U:$U,$H232)&lt;&gt;"Free Game",INDEX('Game Records'!$U:$U,$H232)&lt;&gt;"Disqualified — Free Game",INDEX('Game Records'!$J:$J,$H232)=""),"Total Players; ","")&amp;IF(AND(LOWER(INDEX('Game Records'!$D:$D,$H232)&amp;"")="finalized",LOWER(INDEX('Game Records'!$L:$L,$H232)&amp;"")&lt;&gt;"yes",INDEX('Game Records'!$U:$U,$H232)&lt;&gt;"Subscription",INDEX('Game Records'!$U:$U,$H232)&lt;&gt;"Free Game",INDEX('Game Records'!$U:$U,$H232)&lt;&gt;"Disqualified — Free Game",INDEX('Game Records'!$K:$K,$H232)=""),"Final Earned; ","")&amp;IF(AND(LOWER(INDEX('Game Records'!$D:$D,$H232)&amp;"")="finalized",INDEX('Game Records'!$U:$U,$H232)&lt;&gt;"Subscription",INDEX('Game Records'!$U:$U,$H232)&lt;&gt;"Free Game",INDEX('Game Records'!$U:$U,$H232)&lt;&gt;"Disqualified — Free Game",OR(INDEX('Game Records'!$L:$L,$H232)="",LOWER(INDEX('Game Records'!$L:$L,$H232)&amp;"")="n/a")),"Disqualified Status; ",""))</x:f>
        <x:v/>
      </x:c>
      <x:c r="G232" s="331" t="str">
        <x:f>IF($H232="","",IFERROR(INDEX('Game Records'!$M:$M,$H232),""))</x:f>
        <x:v/>
      </x:c>
      <x:c r="H232" s="104" t="str">
        <x:f>IF($H231="","",IFERROR(MATCH(1,INDEX((ROW('Game Records'!$U$5:$U$504)&gt;$H231)*(('Game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3" ht="24" customHeight="1">
      <x:c r="A233" s="332" t="str">
        <x:f>IF($H233="","",ROWS($A$5:A233))</x:f>
        <x:v/>
      </x:c>
      <x:c r="B233" s="332" t="str">
        <x:f>IF($H233="","","G-"&amp;TEXT($A233,"0000"))</x:f>
        <x:v/>
      </x:c>
      <x:c r="C233" s="331" t="str">
        <x:f>IF($H233="","",IFERROR(INDEX('Game Records'!$A:$A,$H233),""))</x:f>
        <x:v/>
      </x:c>
      <x:c r="D233" s="331" t="str">
        <x:f>IF($H233="","",IFERROR(INDEX('Game Records'!$U:$U,$H233),""))</x:f>
        <x:v/>
      </x:c>
      <x:c r="E233" s="331" t="str">
        <x:f>IF($H233="","",IF($F233="","No Highlighted Fields","Highlighted Fields Present"))</x:f>
        <x:v/>
      </x:c>
      <x:c r="F233" s="331" t="str">
        <x:f>IF($H233="","",IF(INDEX('Game Records'!$B:$B,$H233)="","Start Date; ","")&amp;IF(INDEX('Game Records'!$C:$C,$H233)="","End Date; ","")&amp;IF(AND(INDEX('Game Records'!$U:$U,$H233)&lt;&gt;"Subscription",INDEX('Game Records'!$U:$U,$H233)&lt;&gt;"Free Game",INDEX('Game Records'!$U:$U,$H233)&lt;&gt;"Disqualified — Free Game",OR(INDEX('Game Records'!$D:$D,$H233)="",LOWER(INDEX('Game Records'!$D:$D,$H233)&amp;"")="n/a")),"Entry Mode; ","")&amp;IF(AND(INDEX('Game Records'!$U:$U,$H233)&lt;&gt;"Subscription",INDEX('Game Records'!$U:$U,$H233)&lt;&gt;"Free Game",INDEX('Game Records'!$U:$U,$H233)&lt;&gt;"Disqualified — Free Game",OR(INDEX('Game Records'!$E:$E,$H233)="",LOWER(INDEX('Game Records'!$E:$E,$H233)&amp;"")="n/a")),"Game Type; ","")&amp;IF(INDEX('Game Records'!$F:$F,$H233)="","Payment Type; ","")&amp;IF(AND(INDEX('Game Records'!$U:$U,$H233)&lt;&gt;"Subscription",INDEX('Game Records'!$U:$U,$H233)&lt;&gt;"Free Game",INDEX('Game Records'!$U:$U,$H233)&lt;&gt;"Disqualified — Free Game",INDEX('Game Records'!$G:$G,$H233)=""),"Gross Pot; ","")&amp;IF(AND(INDEX('Game Records'!$U:$U,$H233)&lt;&gt;"Free Game",INDEX('Game Records'!$U:$U,$H233)&lt;&gt;"Disqualified — Free Game",INDEX('Game Records'!$H:$H,$H233)=""),"Entry Fee; ","")&amp;IF(AND(INDEX('Game Records'!$U:$U,$H233)&lt;&gt;"Subscription",INDEX('Game Records'!$U:$U,$H233)&lt;&gt;"Free Game",INDEX('Game Records'!$U:$U,$H233)&lt;&gt;"Disqualified — Free Game",INDEX('Game Records'!$I:$I,$H233)=""),"Eligible Players; ","")&amp;IF(AND(INDEX('Game Records'!$U:$U,$H233)&lt;&gt;"Subscription",INDEX('Game Records'!$U:$U,$H233)&lt;&gt;"Free Game",INDEX('Game Records'!$U:$U,$H233)&lt;&gt;"Disqualified — Free Game",INDEX('Game Records'!$J:$J,$H233)=""),"Total Players; ","")&amp;IF(AND(LOWER(INDEX('Game Records'!$D:$D,$H233)&amp;"")="finalized",LOWER(INDEX('Game Records'!$L:$L,$H233)&amp;"")&lt;&gt;"yes",INDEX('Game Records'!$U:$U,$H233)&lt;&gt;"Subscription",INDEX('Game Records'!$U:$U,$H233)&lt;&gt;"Free Game",INDEX('Game Records'!$U:$U,$H233)&lt;&gt;"Disqualified — Free Game",INDEX('Game Records'!$K:$K,$H233)=""),"Final Earned; ","")&amp;IF(AND(LOWER(INDEX('Game Records'!$D:$D,$H233)&amp;"")="finalized",INDEX('Game Records'!$U:$U,$H233)&lt;&gt;"Subscription",INDEX('Game Records'!$U:$U,$H233)&lt;&gt;"Free Game",INDEX('Game Records'!$U:$U,$H233)&lt;&gt;"Disqualified — Free Game",OR(INDEX('Game Records'!$L:$L,$H233)="",LOWER(INDEX('Game Records'!$L:$L,$H233)&amp;"")="n/a")),"Disqualified Status; ",""))</x:f>
        <x:v/>
      </x:c>
      <x:c r="G233" s="331" t="str">
        <x:f>IF($H233="","",IFERROR(INDEX('Game Records'!$M:$M,$H233),""))</x:f>
        <x:v/>
      </x:c>
      <x:c r="H233" s="104" t="str">
        <x:f>IF($H232="","",IFERROR(MATCH(1,INDEX((ROW('Game Records'!$U$5:$U$504)&gt;$H232)*(('Game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4" ht="24" customHeight="1">
      <x:c r="A234" s="332" t="str">
        <x:f>IF($H234="","",ROWS($A$5:A234))</x:f>
        <x:v/>
      </x:c>
      <x:c r="B234" s="332" t="str">
        <x:f>IF($H234="","","G-"&amp;TEXT($A234,"0000"))</x:f>
        <x:v/>
      </x:c>
      <x:c r="C234" s="331" t="str">
        <x:f>IF($H234="","",IFERROR(INDEX('Game Records'!$A:$A,$H234),""))</x:f>
        <x:v/>
      </x:c>
      <x:c r="D234" s="331" t="str">
        <x:f>IF($H234="","",IFERROR(INDEX('Game Records'!$U:$U,$H234),""))</x:f>
        <x:v/>
      </x:c>
      <x:c r="E234" s="331" t="str">
        <x:f>IF($H234="","",IF($F234="","No Highlighted Fields","Highlighted Fields Present"))</x:f>
        <x:v/>
      </x:c>
      <x:c r="F234" s="331" t="str">
        <x:f>IF($H234="","",IF(INDEX('Game Records'!$B:$B,$H234)="","Start Date; ","")&amp;IF(INDEX('Game Records'!$C:$C,$H234)="","End Date; ","")&amp;IF(AND(INDEX('Game Records'!$U:$U,$H234)&lt;&gt;"Subscription",INDEX('Game Records'!$U:$U,$H234)&lt;&gt;"Free Game",INDEX('Game Records'!$U:$U,$H234)&lt;&gt;"Disqualified — Free Game",OR(INDEX('Game Records'!$D:$D,$H234)="",LOWER(INDEX('Game Records'!$D:$D,$H234)&amp;"")="n/a")),"Entry Mode; ","")&amp;IF(AND(INDEX('Game Records'!$U:$U,$H234)&lt;&gt;"Subscription",INDEX('Game Records'!$U:$U,$H234)&lt;&gt;"Free Game",INDEX('Game Records'!$U:$U,$H234)&lt;&gt;"Disqualified — Free Game",OR(INDEX('Game Records'!$E:$E,$H234)="",LOWER(INDEX('Game Records'!$E:$E,$H234)&amp;"")="n/a")),"Game Type; ","")&amp;IF(INDEX('Game Records'!$F:$F,$H234)="","Payment Type; ","")&amp;IF(AND(INDEX('Game Records'!$U:$U,$H234)&lt;&gt;"Subscription",INDEX('Game Records'!$U:$U,$H234)&lt;&gt;"Free Game",INDEX('Game Records'!$U:$U,$H234)&lt;&gt;"Disqualified — Free Game",INDEX('Game Records'!$G:$G,$H234)=""),"Gross Pot; ","")&amp;IF(AND(INDEX('Game Records'!$U:$U,$H234)&lt;&gt;"Free Game",INDEX('Game Records'!$U:$U,$H234)&lt;&gt;"Disqualified — Free Game",INDEX('Game Records'!$H:$H,$H234)=""),"Entry Fee; ","")&amp;IF(AND(INDEX('Game Records'!$U:$U,$H234)&lt;&gt;"Subscription",INDEX('Game Records'!$U:$U,$H234)&lt;&gt;"Free Game",INDEX('Game Records'!$U:$U,$H234)&lt;&gt;"Disqualified — Free Game",INDEX('Game Records'!$I:$I,$H234)=""),"Eligible Players; ","")&amp;IF(AND(INDEX('Game Records'!$U:$U,$H234)&lt;&gt;"Subscription",INDEX('Game Records'!$U:$U,$H234)&lt;&gt;"Free Game",INDEX('Game Records'!$U:$U,$H234)&lt;&gt;"Disqualified — Free Game",INDEX('Game Records'!$J:$J,$H234)=""),"Total Players; ","")&amp;IF(AND(LOWER(INDEX('Game Records'!$D:$D,$H234)&amp;"")="finalized",LOWER(INDEX('Game Records'!$L:$L,$H234)&amp;"")&lt;&gt;"yes",INDEX('Game Records'!$U:$U,$H234)&lt;&gt;"Subscription",INDEX('Game Records'!$U:$U,$H234)&lt;&gt;"Free Game",INDEX('Game Records'!$U:$U,$H234)&lt;&gt;"Disqualified — Free Game",INDEX('Game Records'!$K:$K,$H234)=""),"Final Earned; ","")&amp;IF(AND(LOWER(INDEX('Game Records'!$D:$D,$H234)&amp;"")="finalized",INDEX('Game Records'!$U:$U,$H234)&lt;&gt;"Subscription",INDEX('Game Records'!$U:$U,$H234)&lt;&gt;"Free Game",INDEX('Game Records'!$U:$U,$H234)&lt;&gt;"Disqualified — Free Game",OR(INDEX('Game Records'!$L:$L,$H234)="",LOWER(INDEX('Game Records'!$L:$L,$H234)&amp;"")="n/a")),"Disqualified Status; ",""))</x:f>
        <x:v/>
      </x:c>
      <x:c r="G234" s="331" t="str">
        <x:f>IF($H234="","",IFERROR(INDEX('Game Records'!$M:$M,$H234),""))</x:f>
        <x:v/>
      </x:c>
      <x:c r="H234" s="104" t="str">
        <x:f>IF($H233="","",IFERROR(MATCH(1,INDEX((ROW('Game Records'!$U$5:$U$504)&gt;$H233)*(('Game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5" ht="24" customHeight="1">
      <x:c r="A235" s="332" t="str">
        <x:f>IF($H235="","",ROWS($A$5:A235))</x:f>
        <x:v/>
      </x:c>
      <x:c r="B235" s="332" t="str">
        <x:f>IF($H235="","","G-"&amp;TEXT($A235,"0000"))</x:f>
        <x:v/>
      </x:c>
      <x:c r="C235" s="331" t="str">
        <x:f>IF($H235="","",IFERROR(INDEX('Game Records'!$A:$A,$H235),""))</x:f>
        <x:v/>
      </x:c>
      <x:c r="D235" s="331" t="str">
        <x:f>IF($H235="","",IFERROR(INDEX('Game Records'!$U:$U,$H235),""))</x:f>
        <x:v/>
      </x:c>
      <x:c r="E235" s="331" t="str">
        <x:f>IF($H235="","",IF($F235="","No Highlighted Fields","Highlighted Fields Present"))</x:f>
        <x:v/>
      </x:c>
      <x:c r="F235" s="331" t="str">
        <x:f>IF($H235="","",IF(INDEX('Game Records'!$B:$B,$H235)="","Start Date; ","")&amp;IF(INDEX('Game Records'!$C:$C,$H235)="","End Date; ","")&amp;IF(AND(INDEX('Game Records'!$U:$U,$H235)&lt;&gt;"Subscription",INDEX('Game Records'!$U:$U,$H235)&lt;&gt;"Free Game",INDEX('Game Records'!$U:$U,$H235)&lt;&gt;"Disqualified — Free Game",OR(INDEX('Game Records'!$D:$D,$H235)="",LOWER(INDEX('Game Records'!$D:$D,$H235)&amp;"")="n/a")),"Entry Mode; ","")&amp;IF(AND(INDEX('Game Records'!$U:$U,$H235)&lt;&gt;"Subscription",INDEX('Game Records'!$U:$U,$H235)&lt;&gt;"Free Game",INDEX('Game Records'!$U:$U,$H235)&lt;&gt;"Disqualified — Free Game",OR(INDEX('Game Records'!$E:$E,$H235)="",LOWER(INDEX('Game Records'!$E:$E,$H235)&amp;"")="n/a")),"Game Type; ","")&amp;IF(INDEX('Game Records'!$F:$F,$H235)="","Payment Type; ","")&amp;IF(AND(INDEX('Game Records'!$U:$U,$H235)&lt;&gt;"Subscription",INDEX('Game Records'!$U:$U,$H235)&lt;&gt;"Free Game",INDEX('Game Records'!$U:$U,$H235)&lt;&gt;"Disqualified — Free Game",INDEX('Game Records'!$G:$G,$H235)=""),"Gross Pot; ","")&amp;IF(AND(INDEX('Game Records'!$U:$U,$H235)&lt;&gt;"Free Game",INDEX('Game Records'!$U:$U,$H235)&lt;&gt;"Disqualified — Free Game",INDEX('Game Records'!$H:$H,$H235)=""),"Entry Fee; ","")&amp;IF(AND(INDEX('Game Records'!$U:$U,$H235)&lt;&gt;"Subscription",INDEX('Game Records'!$U:$U,$H235)&lt;&gt;"Free Game",INDEX('Game Records'!$U:$U,$H235)&lt;&gt;"Disqualified — Free Game",INDEX('Game Records'!$I:$I,$H235)=""),"Eligible Players; ","")&amp;IF(AND(INDEX('Game Records'!$U:$U,$H235)&lt;&gt;"Subscription",INDEX('Game Records'!$U:$U,$H235)&lt;&gt;"Free Game",INDEX('Game Records'!$U:$U,$H235)&lt;&gt;"Disqualified — Free Game",INDEX('Game Records'!$J:$J,$H235)=""),"Total Players; ","")&amp;IF(AND(LOWER(INDEX('Game Records'!$D:$D,$H235)&amp;"")="finalized",LOWER(INDEX('Game Records'!$L:$L,$H235)&amp;"")&lt;&gt;"yes",INDEX('Game Records'!$U:$U,$H235)&lt;&gt;"Subscription",INDEX('Game Records'!$U:$U,$H235)&lt;&gt;"Free Game",INDEX('Game Records'!$U:$U,$H235)&lt;&gt;"Disqualified — Free Game",INDEX('Game Records'!$K:$K,$H235)=""),"Final Earned; ","")&amp;IF(AND(LOWER(INDEX('Game Records'!$D:$D,$H235)&amp;"")="finalized",INDEX('Game Records'!$U:$U,$H235)&lt;&gt;"Subscription",INDEX('Game Records'!$U:$U,$H235)&lt;&gt;"Free Game",INDEX('Game Records'!$U:$U,$H235)&lt;&gt;"Disqualified — Free Game",OR(INDEX('Game Records'!$L:$L,$H235)="",LOWER(INDEX('Game Records'!$L:$L,$H235)&amp;"")="n/a")),"Disqualified Status; ",""))</x:f>
        <x:v/>
      </x:c>
      <x:c r="G235" s="331" t="str">
        <x:f>IF($H235="","",IFERROR(INDEX('Game Records'!$M:$M,$H235),""))</x:f>
        <x:v/>
      </x:c>
      <x:c r="H235" s="104" t="str">
        <x:f>IF($H234="","",IFERROR(MATCH(1,INDEX((ROW('Game Records'!$U$5:$U$504)&gt;$H234)*(('Game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6" ht="24" customHeight="1">
      <x:c r="A236" s="332" t="str">
        <x:f>IF($H236="","",ROWS($A$5:A236))</x:f>
        <x:v/>
      </x:c>
      <x:c r="B236" s="332" t="str">
        <x:f>IF($H236="","","G-"&amp;TEXT($A236,"0000"))</x:f>
        <x:v/>
      </x:c>
      <x:c r="C236" s="331" t="str">
        <x:f>IF($H236="","",IFERROR(INDEX('Game Records'!$A:$A,$H236),""))</x:f>
        <x:v/>
      </x:c>
      <x:c r="D236" s="331" t="str">
        <x:f>IF($H236="","",IFERROR(INDEX('Game Records'!$U:$U,$H236),""))</x:f>
        <x:v/>
      </x:c>
      <x:c r="E236" s="331" t="str">
        <x:f>IF($H236="","",IF($F236="","No Highlighted Fields","Highlighted Fields Present"))</x:f>
        <x:v/>
      </x:c>
      <x:c r="F236" s="331" t="str">
        <x:f>IF($H236="","",IF(INDEX('Game Records'!$B:$B,$H236)="","Start Date; ","")&amp;IF(INDEX('Game Records'!$C:$C,$H236)="","End Date; ","")&amp;IF(AND(INDEX('Game Records'!$U:$U,$H236)&lt;&gt;"Subscription",INDEX('Game Records'!$U:$U,$H236)&lt;&gt;"Free Game",INDEX('Game Records'!$U:$U,$H236)&lt;&gt;"Disqualified — Free Game",OR(INDEX('Game Records'!$D:$D,$H236)="",LOWER(INDEX('Game Records'!$D:$D,$H236)&amp;"")="n/a")),"Entry Mode; ","")&amp;IF(AND(INDEX('Game Records'!$U:$U,$H236)&lt;&gt;"Subscription",INDEX('Game Records'!$U:$U,$H236)&lt;&gt;"Free Game",INDEX('Game Records'!$U:$U,$H236)&lt;&gt;"Disqualified — Free Game",OR(INDEX('Game Records'!$E:$E,$H236)="",LOWER(INDEX('Game Records'!$E:$E,$H236)&amp;"")="n/a")),"Game Type; ","")&amp;IF(INDEX('Game Records'!$F:$F,$H236)="","Payment Type; ","")&amp;IF(AND(INDEX('Game Records'!$U:$U,$H236)&lt;&gt;"Subscription",INDEX('Game Records'!$U:$U,$H236)&lt;&gt;"Free Game",INDEX('Game Records'!$U:$U,$H236)&lt;&gt;"Disqualified — Free Game",INDEX('Game Records'!$G:$G,$H236)=""),"Gross Pot; ","")&amp;IF(AND(INDEX('Game Records'!$U:$U,$H236)&lt;&gt;"Free Game",INDEX('Game Records'!$U:$U,$H236)&lt;&gt;"Disqualified — Free Game",INDEX('Game Records'!$H:$H,$H236)=""),"Entry Fee; ","")&amp;IF(AND(INDEX('Game Records'!$U:$U,$H236)&lt;&gt;"Subscription",INDEX('Game Records'!$U:$U,$H236)&lt;&gt;"Free Game",INDEX('Game Records'!$U:$U,$H236)&lt;&gt;"Disqualified — Free Game",INDEX('Game Records'!$I:$I,$H236)=""),"Eligible Players; ","")&amp;IF(AND(INDEX('Game Records'!$U:$U,$H236)&lt;&gt;"Subscription",INDEX('Game Records'!$U:$U,$H236)&lt;&gt;"Free Game",INDEX('Game Records'!$U:$U,$H236)&lt;&gt;"Disqualified — Free Game",INDEX('Game Records'!$J:$J,$H236)=""),"Total Players; ","")&amp;IF(AND(LOWER(INDEX('Game Records'!$D:$D,$H236)&amp;"")="finalized",LOWER(INDEX('Game Records'!$L:$L,$H236)&amp;"")&lt;&gt;"yes",INDEX('Game Records'!$U:$U,$H236)&lt;&gt;"Subscription",INDEX('Game Records'!$U:$U,$H236)&lt;&gt;"Free Game",INDEX('Game Records'!$U:$U,$H236)&lt;&gt;"Disqualified — Free Game",INDEX('Game Records'!$K:$K,$H236)=""),"Final Earned; ","")&amp;IF(AND(LOWER(INDEX('Game Records'!$D:$D,$H236)&amp;"")="finalized",INDEX('Game Records'!$U:$U,$H236)&lt;&gt;"Subscription",INDEX('Game Records'!$U:$U,$H236)&lt;&gt;"Free Game",INDEX('Game Records'!$U:$U,$H236)&lt;&gt;"Disqualified — Free Game",OR(INDEX('Game Records'!$L:$L,$H236)="",LOWER(INDEX('Game Records'!$L:$L,$H236)&amp;"")="n/a")),"Disqualified Status; ",""))</x:f>
        <x:v/>
      </x:c>
      <x:c r="G236" s="331" t="str">
        <x:f>IF($H236="","",IFERROR(INDEX('Game Records'!$M:$M,$H236),""))</x:f>
        <x:v/>
      </x:c>
      <x:c r="H236" s="104" t="str">
        <x:f>IF($H235="","",IFERROR(MATCH(1,INDEX((ROW('Game Records'!$U$5:$U$504)&gt;$H235)*(('Game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7" ht="24" customHeight="1">
      <x:c r="A237" s="332" t="str">
        <x:f>IF($H237="","",ROWS($A$5:A237))</x:f>
        <x:v/>
      </x:c>
      <x:c r="B237" s="332" t="str">
        <x:f>IF($H237="","","G-"&amp;TEXT($A237,"0000"))</x:f>
        <x:v/>
      </x:c>
      <x:c r="C237" s="331" t="str">
        <x:f>IF($H237="","",IFERROR(INDEX('Game Records'!$A:$A,$H237),""))</x:f>
        <x:v/>
      </x:c>
      <x:c r="D237" s="331" t="str">
        <x:f>IF($H237="","",IFERROR(INDEX('Game Records'!$U:$U,$H237),""))</x:f>
        <x:v/>
      </x:c>
      <x:c r="E237" s="331" t="str">
        <x:f>IF($H237="","",IF($F237="","No Highlighted Fields","Highlighted Fields Present"))</x:f>
        <x:v/>
      </x:c>
      <x:c r="F237" s="331" t="str">
        <x:f>IF($H237="","",IF(INDEX('Game Records'!$B:$B,$H237)="","Start Date; ","")&amp;IF(INDEX('Game Records'!$C:$C,$H237)="","End Date; ","")&amp;IF(AND(INDEX('Game Records'!$U:$U,$H237)&lt;&gt;"Subscription",INDEX('Game Records'!$U:$U,$H237)&lt;&gt;"Free Game",INDEX('Game Records'!$U:$U,$H237)&lt;&gt;"Disqualified — Free Game",OR(INDEX('Game Records'!$D:$D,$H237)="",LOWER(INDEX('Game Records'!$D:$D,$H237)&amp;"")="n/a")),"Entry Mode; ","")&amp;IF(AND(INDEX('Game Records'!$U:$U,$H237)&lt;&gt;"Subscription",INDEX('Game Records'!$U:$U,$H237)&lt;&gt;"Free Game",INDEX('Game Records'!$U:$U,$H237)&lt;&gt;"Disqualified — Free Game",OR(INDEX('Game Records'!$E:$E,$H237)="",LOWER(INDEX('Game Records'!$E:$E,$H237)&amp;"")="n/a")),"Game Type; ","")&amp;IF(INDEX('Game Records'!$F:$F,$H237)="","Payment Type; ","")&amp;IF(AND(INDEX('Game Records'!$U:$U,$H237)&lt;&gt;"Subscription",INDEX('Game Records'!$U:$U,$H237)&lt;&gt;"Free Game",INDEX('Game Records'!$U:$U,$H237)&lt;&gt;"Disqualified — Free Game",INDEX('Game Records'!$G:$G,$H237)=""),"Gross Pot; ","")&amp;IF(AND(INDEX('Game Records'!$U:$U,$H237)&lt;&gt;"Free Game",INDEX('Game Records'!$U:$U,$H237)&lt;&gt;"Disqualified — Free Game",INDEX('Game Records'!$H:$H,$H237)=""),"Entry Fee; ","")&amp;IF(AND(INDEX('Game Records'!$U:$U,$H237)&lt;&gt;"Subscription",INDEX('Game Records'!$U:$U,$H237)&lt;&gt;"Free Game",INDEX('Game Records'!$U:$U,$H237)&lt;&gt;"Disqualified — Free Game",INDEX('Game Records'!$I:$I,$H237)=""),"Eligible Players; ","")&amp;IF(AND(INDEX('Game Records'!$U:$U,$H237)&lt;&gt;"Subscription",INDEX('Game Records'!$U:$U,$H237)&lt;&gt;"Free Game",INDEX('Game Records'!$U:$U,$H237)&lt;&gt;"Disqualified — Free Game",INDEX('Game Records'!$J:$J,$H237)=""),"Total Players; ","")&amp;IF(AND(LOWER(INDEX('Game Records'!$D:$D,$H237)&amp;"")="finalized",LOWER(INDEX('Game Records'!$L:$L,$H237)&amp;"")&lt;&gt;"yes",INDEX('Game Records'!$U:$U,$H237)&lt;&gt;"Subscription",INDEX('Game Records'!$U:$U,$H237)&lt;&gt;"Free Game",INDEX('Game Records'!$U:$U,$H237)&lt;&gt;"Disqualified — Free Game",INDEX('Game Records'!$K:$K,$H237)=""),"Final Earned; ","")&amp;IF(AND(LOWER(INDEX('Game Records'!$D:$D,$H237)&amp;"")="finalized",INDEX('Game Records'!$U:$U,$H237)&lt;&gt;"Subscription",INDEX('Game Records'!$U:$U,$H237)&lt;&gt;"Free Game",INDEX('Game Records'!$U:$U,$H237)&lt;&gt;"Disqualified — Free Game",OR(INDEX('Game Records'!$L:$L,$H237)="",LOWER(INDEX('Game Records'!$L:$L,$H237)&amp;"")="n/a")),"Disqualified Status; ",""))</x:f>
        <x:v/>
      </x:c>
      <x:c r="G237" s="331" t="str">
        <x:f>IF($H237="","",IFERROR(INDEX('Game Records'!$M:$M,$H237),""))</x:f>
        <x:v/>
      </x:c>
      <x:c r="H237" s="104" t="str">
        <x:f>IF($H236="","",IFERROR(MATCH(1,INDEX((ROW('Game Records'!$U$5:$U$504)&gt;$H236)*(('Game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8" ht="24" customHeight="1">
      <x:c r="A238" s="332" t="str">
        <x:f>IF($H238="","",ROWS($A$5:A238))</x:f>
        <x:v/>
      </x:c>
      <x:c r="B238" s="332" t="str">
        <x:f>IF($H238="","","G-"&amp;TEXT($A238,"0000"))</x:f>
        <x:v/>
      </x:c>
      <x:c r="C238" s="331" t="str">
        <x:f>IF($H238="","",IFERROR(INDEX('Game Records'!$A:$A,$H238),""))</x:f>
        <x:v/>
      </x:c>
      <x:c r="D238" s="331" t="str">
        <x:f>IF($H238="","",IFERROR(INDEX('Game Records'!$U:$U,$H238),""))</x:f>
        <x:v/>
      </x:c>
      <x:c r="E238" s="331" t="str">
        <x:f>IF($H238="","",IF($F238="","No Highlighted Fields","Highlighted Fields Present"))</x:f>
        <x:v/>
      </x:c>
      <x:c r="F238" s="331" t="str">
        <x:f>IF($H238="","",IF(INDEX('Game Records'!$B:$B,$H238)="","Start Date; ","")&amp;IF(INDEX('Game Records'!$C:$C,$H238)="","End Date; ","")&amp;IF(AND(INDEX('Game Records'!$U:$U,$H238)&lt;&gt;"Subscription",INDEX('Game Records'!$U:$U,$H238)&lt;&gt;"Free Game",INDEX('Game Records'!$U:$U,$H238)&lt;&gt;"Disqualified — Free Game",OR(INDEX('Game Records'!$D:$D,$H238)="",LOWER(INDEX('Game Records'!$D:$D,$H238)&amp;"")="n/a")),"Entry Mode; ","")&amp;IF(AND(INDEX('Game Records'!$U:$U,$H238)&lt;&gt;"Subscription",INDEX('Game Records'!$U:$U,$H238)&lt;&gt;"Free Game",INDEX('Game Records'!$U:$U,$H238)&lt;&gt;"Disqualified — Free Game",OR(INDEX('Game Records'!$E:$E,$H238)="",LOWER(INDEX('Game Records'!$E:$E,$H238)&amp;"")="n/a")),"Game Type; ","")&amp;IF(INDEX('Game Records'!$F:$F,$H238)="","Payment Type; ","")&amp;IF(AND(INDEX('Game Records'!$U:$U,$H238)&lt;&gt;"Subscription",INDEX('Game Records'!$U:$U,$H238)&lt;&gt;"Free Game",INDEX('Game Records'!$U:$U,$H238)&lt;&gt;"Disqualified — Free Game",INDEX('Game Records'!$G:$G,$H238)=""),"Gross Pot; ","")&amp;IF(AND(INDEX('Game Records'!$U:$U,$H238)&lt;&gt;"Free Game",INDEX('Game Records'!$U:$U,$H238)&lt;&gt;"Disqualified — Free Game",INDEX('Game Records'!$H:$H,$H238)=""),"Entry Fee; ","")&amp;IF(AND(INDEX('Game Records'!$U:$U,$H238)&lt;&gt;"Subscription",INDEX('Game Records'!$U:$U,$H238)&lt;&gt;"Free Game",INDEX('Game Records'!$U:$U,$H238)&lt;&gt;"Disqualified — Free Game",INDEX('Game Records'!$I:$I,$H238)=""),"Eligible Players; ","")&amp;IF(AND(INDEX('Game Records'!$U:$U,$H238)&lt;&gt;"Subscription",INDEX('Game Records'!$U:$U,$H238)&lt;&gt;"Free Game",INDEX('Game Records'!$U:$U,$H238)&lt;&gt;"Disqualified — Free Game",INDEX('Game Records'!$J:$J,$H238)=""),"Total Players; ","")&amp;IF(AND(LOWER(INDEX('Game Records'!$D:$D,$H238)&amp;"")="finalized",LOWER(INDEX('Game Records'!$L:$L,$H238)&amp;"")&lt;&gt;"yes",INDEX('Game Records'!$U:$U,$H238)&lt;&gt;"Subscription",INDEX('Game Records'!$U:$U,$H238)&lt;&gt;"Free Game",INDEX('Game Records'!$U:$U,$H238)&lt;&gt;"Disqualified — Free Game",INDEX('Game Records'!$K:$K,$H238)=""),"Final Earned; ","")&amp;IF(AND(LOWER(INDEX('Game Records'!$D:$D,$H238)&amp;"")="finalized",INDEX('Game Records'!$U:$U,$H238)&lt;&gt;"Subscription",INDEX('Game Records'!$U:$U,$H238)&lt;&gt;"Free Game",INDEX('Game Records'!$U:$U,$H238)&lt;&gt;"Disqualified — Free Game",OR(INDEX('Game Records'!$L:$L,$H238)="",LOWER(INDEX('Game Records'!$L:$L,$H238)&amp;"")="n/a")),"Disqualified Status; ",""))</x:f>
        <x:v/>
      </x:c>
      <x:c r="G238" s="331" t="str">
        <x:f>IF($H238="","",IFERROR(INDEX('Game Records'!$M:$M,$H238),""))</x:f>
        <x:v/>
      </x:c>
      <x:c r="H238" s="104" t="str">
        <x:f>IF($H237="","",IFERROR(MATCH(1,INDEX((ROW('Game Records'!$U$5:$U$504)&gt;$H237)*(('Game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39" ht="24" customHeight="1">
      <x:c r="A239" s="332" t="str">
        <x:f>IF($H239="","",ROWS($A$5:A239))</x:f>
        <x:v/>
      </x:c>
      <x:c r="B239" s="332" t="str">
        <x:f>IF($H239="","","G-"&amp;TEXT($A239,"0000"))</x:f>
        <x:v/>
      </x:c>
      <x:c r="C239" s="331" t="str">
        <x:f>IF($H239="","",IFERROR(INDEX('Game Records'!$A:$A,$H239),""))</x:f>
        <x:v/>
      </x:c>
      <x:c r="D239" s="331" t="str">
        <x:f>IF($H239="","",IFERROR(INDEX('Game Records'!$U:$U,$H239),""))</x:f>
        <x:v/>
      </x:c>
      <x:c r="E239" s="331" t="str">
        <x:f>IF($H239="","",IF($F239="","No Highlighted Fields","Highlighted Fields Present"))</x:f>
        <x:v/>
      </x:c>
      <x:c r="F239" s="331" t="str">
        <x:f>IF($H239="","",IF(INDEX('Game Records'!$B:$B,$H239)="","Start Date; ","")&amp;IF(INDEX('Game Records'!$C:$C,$H239)="","End Date; ","")&amp;IF(AND(INDEX('Game Records'!$U:$U,$H239)&lt;&gt;"Subscription",INDEX('Game Records'!$U:$U,$H239)&lt;&gt;"Free Game",INDEX('Game Records'!$U:$U,$H239)&lt;&gt;"Disqualified — Free Game",OR(INDEX('Game Records'!$D:$D,$H239)="",LOWER(INDEX('Game Records'!$D:$D,$H239)&amp;"")="n/a")),"Entry Mode; ","")&amp;IF(AND(INDEX('Game Records'!$U:$U,$H239)&lt;&gt;"Subscription",INDEX('Game Records'!$U:$U,$H239)&lt;&gt;"Free Game",INDEX('Game Records'!$U:$U,$H239)&lt;&gt;"Disqualified — Free Game",OR(INDEX('Game Records'!$E:$E,$H239)="",LOWER(INDEX('Game Records'!$E:$E,$H239)&amp;"")="n/a")),"Game Type; ","")&amp;IF(INDEX('Game Records'!$F:$F,$H239)="","Payment Type; ","")&amp;IF(AND(INDEX('Game Records'!$U:$U,$H239)&lt;&gt;"Subscription",INDEX('Game Records'!$U:$U,$H239)&lt;&gt;"Free Game",INDEX('Game Records'!$U:$U,$H239)&lt;&gt;"Disqualified — Free Game",INDEX('Game Records'!$G:$G,$H239)=""),"Gross Pot; ","")&amp;IF(AND(INDEX('Game Records'!$U:$U,$H239)&lt;&gt;"Free Game",INDEX('Game Records'!$U:$U,$H239)&lt;&gt;"Disqualified — Free Game",INDEX('Game Records'!$H:$H,$H239)=""),"Entry Fee; ","")&amp;IF(AND(INDEX('Game Records'!$U:$U,$H239)&lt;&gt;"Subscription",INDEX('Game Records'!$U:$U,$H239)&lt;&gt;"Free Game",INDEX('Game Records'!$U:$U,$H239)&lt;&gt;"Disqualified — Free Game",INDEX('Game Records'!$I:$I,$H239)=""),"Eligible Players; ","")&amp;IF(AND(INDEX('Game Records'!$U:$U,$H239)&lt;&gt;"Subscription",INDEX('Game Records'!$U:$U,$H239)&lt;&gt;"Free Game",INDEX('Game Records'!$U:$U,$H239)&lt;&gt;"Disqualified — Free Game",INDEX('Game Records'!$J:$J,$H239)=""),"Total Players; ","")&amp;IF(AND(LOWER(INDEX('Game Records'!$D:$D,$H239)&amp;"")="finalized",LOWER(INDEX('Game Records'!$L:$L,$H239)&amp;"")&lt;&gt;"yes",INDEX('Game Records'!$U:$U,$H239)&lt;&gt;"Subscription",INDEX('Game Records'!$U:$U,$H239)&lt;&gt;"Free Game",INDEX('Game Records'!$U:$U,$H239)&lt;&gt;"Disqualified — Free Game",INDEX('Game Records'!$K:$K,$H239)=""),"Final Earned; ","")&amp;IF(AND(LOWER(INDEX('Game Records'!$D:$D,$H239)&amp;"")="finalized",INDEX('Game Records'!$U:$U,$H239)&lt;&gt;"Subscription",INDEX('Game Records'!$U:$U,$H239)&lt;&gt;"Free Game",INDEX('Game Records'!$U:$U,$H239)&lt;&gt;"Disqualified — Free Game",OR(INDEX('Game Records'!$L:$L,$H239)="",LOWER(INDEX('Game Records'!$L:$L,$H239)&amp;"")="n/a")),"Disqualified Status; ",""))</x:f>
        <x:v/>
      </x:c>
      <x:c r="G239" s="331" t="str">
        <x:f>IF($H239="","",IFERROR(INDEX('Game Records'!$M:$M,$H239),""))</x:f>
        <x:v/>
      </x:c>
      <x:c r="H239" s="104" t="str">
        <x:f>IF($H238="","",IFERROR(MATCH(1,INDEX((ROW('Game Records'!$U$5:$U$504)&gt;$H238)*(('Game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0" ht="24" customHeight="1">
      <x:c r="A240" s="332" t="str">
        <x:f>IF($H240="","",ROWS($A$5:A240))</x:f>
        <x:v/>
      </x:c>
      <x:c r="B240" s="332" t="str">
        <x:f>IF($H240="","","G-"&amp;TEXT($A240,"0000"))</x:f>
        <x:v/>
      </x:c>
      <x:c r="C240" s="331" t="str">
        <x:f>IF($H240="","",IFERROR(INDEX('Game Records'!$A:$A,$H240),""))</x:f>
        <x:v/>
      </x:c>
      <x:c r="D240" s="331" t="str">
        <x:f>IF($H240="","",IFERROR(INDEX('Game Records'!$U:$U,$H240),""))</x:f>
        <x:v/>
      </x:c>
      <x:c r="E240" s="331" t="str">
        <x:f>IF($H240="","",IF($F240="","No Highlighted Fields","Highlighted Fields Present"))</x:f>
        <x:v/>
      </x:c>
      <x:c r="F240" s="331" t="str">
        <x:f>IF($H240="","",IF(INDEX('Game Records'!$B:$B,$H240)="","Start Date; ","")&amp;IF(INDEX('Game Records'!$C:$C,$H240)="","End Date; ","")&amp;IF(AND(INDEX('Game Records'!$U:$U,$H240)&lt;&gt;"Subscription",INDEX('Game Records'!$U:$U,$H240)&lt;&gt;"Free Game",INDEX('Game Records'!$U:$U,$H240)&lt;&gt;"Disqualified — Free Game",OR(INDEX('Game Records'!$D:$D,$H240)="",LOWER(INDEX('Game Records'!$D:$D,$H240)&amp;"")="n/a")),"Entry Mode; ","")&amp;IF(AND(INDEX('Game Records'!$U:$U,$H240)&lt;&gt;"Subscription",INDEX('Game Records'!$U:$U,$H240)&lt;&gt;"Free Game",INDEX('Game Records'!$U:$U,$H240)&lt;&gt;"Disqualified — Free Game",OR(INDEX('Game Records'!$E:$E,$H240)="",LOWER(INDEX('Game Records'!$E:$E,$H240)&amp;"")="n/a")),"Game Type; ","")&amp;IF(INDEX('Game Records'!$F:$F,$H240)="","Payment Type; ","")&amp;IF(AND(INDEX('Game Records'!$U:$U,$H240)&lt;&gt;"Subscription",INDEX('Game Records'!$U:$U,$H240)&lt;&gt;"Free Game",INDEX('Game Records'!$U:$U,$H240)&lt;&gt;"Disqualified — Free Game",INDEX('Game Records'!$G:$G,$H240)=""),"Gross Pot; ","")&amp;IF(AND(INDEX('Game Records'!$U:$U,$H240)&lt;&gt;"Free Game",INDEX('Game Records'!$U:$U,$H240)&lt;&gt;"Disqualified — Free Game",INDEX('Game Records'!$H:$H,$H240)=""),"Entry Fee; ","")&amp;IF(AND(INDEX('Game Records'!$U:$U,$H240)&lt;&gt;"Subscription",INDEX('Game Records'!$U:$U,$H240)&lt;&gt;"Free Game",INDEX('Game Records'!$U:$U,$H240)&lt;&gt;"Disqualified — Free Game",INDEX('Game Records'!$I:$I,$H240)=""),"Eligible Players; ","")&amp;IF(AND(INDEX('Game Records'!$U:$U,$H240)&lt;&gt;"Subscription",INDEX('Game Records'!$U:$U,$H240)&lt;&gt;"Free Game",INDEX('Game Records'!$U:$U,$H240)&lt;&gt;"Disqualified — Free Game",INDEX('Game Records'!$J:$J,$H240)=""),"Total Players; ","")&amp;IF(AND(LOWER(INDEX('Game Records'!$D:$D,$H240)&amp;"")="finalized",LOWER(INDEX('Game Records'!$L:$L,$H240)&amp;"")&lt;&gt;"yes",INDEX('Game Records'!$U:$U,$H240)&lt;&gt;"Subscription",INDEX('Game Records'!$U:$U,$H240)&lt;&gt;"Free Game",INDEX('Game Records'!$U:$U,$H240)&lt;&gt;"Disqualified — Free Game",INDEX('Game Records'!$K:$K,$H240)=""),"Final Earned; ","")&amp;IF(AND(LOWER(INDEX('Game Records'!$D:$D,$H240)&amp;"")="finalized",INDEX('Game Records'!$U:$U,$H240)&lt;&gt;"Subscription",INDEX('Game Records'!$U:$U,$H240)&lt;&gt;"Free Game",INDEX('Game Records'!$U:$U,$H240)&lt;&gt;"Disqualified — Free Game",OR(INDEX('Game Records'!$L:$L,$H240)="",LOWER(INDEX('Game Records'!$L:$L,$H240)&amp;"")="n/a")),"Disqualified Status; ",""))</x:f>
        <x:v/>
      </x:c>
      <x:c r="G240" s="331" t="str">
        <x:f>IF($H240="","",IFERROR(INDEX('Game Records'!$M:$M,$H240),""))</x:f>
        <x:v/>
      </x:c>
      <x:c r="H240" s="104" t="str">
        <x:f>IF($H239="","",IFERROR(MATCH(1,INDEX((ROW('Game Records'!$U$5:$U$504)&gt;$H239)*(('Game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1" ht="24" customHeight="1">
      <x:c r="A241" s="332" t="str">
        <x:f>IF($H241="","",ROWS($A$5:A241))</x:f>
        <x:v/>
      </x:c>
      <x:c r="B241" s="332" t="str">
        <x:f>IF($H241="","","G-"&amp;TEXT($A241,"0000"))</x:f>
        <x:v/>
      </x:c>
      <x:c r="C241" s="331" t="str">
        <x:f>IF($H241="","",IFERROR(INDEX('Game Records'!$A:$A,$H241),""))</x:f>
        <x:v/>
      </x:c>
      <x:c r="D241" s="331" t="str">
        <x:f>IF($H241="","",IFERROR(INDEX('Game Records'!$U:$U,$H241),""))</x:f>
        <x:v/>
      </x:c>
      <x:c r="E241" s="331" t="str">
        <x:f>IF($H241="","",IF($F241="","No Highlighted Fields","Highlighted Fields Present"))</x:f>
        <x:v/>
      </x:c>
      <x:c r="F241" s="331" t="str">
        <x:f>IF($H241="","",IF(INDEX('Game Records'!$B:$B,$H241)="","Start Date; ","")&amp;IF(INDEX('Game Records'!$C:$C,$H241)="","End Date; ","")&amp;IF(AND(INDEX('Game Records'!$U:$U,$H241)&lt;&gt;"Subscription",INDEX('Game Records'!$U:$U,$H241)&lt;&gt;"Free Game",INDEX('Game Records'!$U:$U,$H241)&lt;&gt;"Disqualified — Free Game",OR(INDEX('Game Records'!$D:$D,$H241)="",LOWER(INDEX('Game Records'!$D:$D,$H241)&amp;"")="n/a")),"Entry Mode; ","")&amp;IF(AND(INDEX('Game Records'!$U:$U,$H241)&lt;&gt;"Subscription",INDEX('Game Records'!$U:$U,$H241)&lt;&gt;"Free Game",INDEX('Game Records'!$U:$U,$H241)&lt;&gt;"Disqualified — Free Game",OR(INDEX('Game Records'!$E:$E,$H241)="",LOWER(INDEX('Game Records'!$E:$E,$H241)&amp;"")="n/a")),"Game Type; ","")&amp;IF(INDEX('Game Records'!$F:$F,$H241)="","Payment Type; ","")&amp;IF(AND(INDEX('Game Records'!$U:$U,$H241)&lt;&gt;"Subscription",INDEX('Game Records'!$U:$U,$H241)&lt;&gt;"Free Game",INDEX('Game Records'!$U:$U,$H241)&lt;&gt;"Disqualified — Free Game",INDEX('Game Records'!$G:$G,$H241)=""),"Gross Pot; ","")&amp;IF(AND(INDEX('Game Records'!$U:$U,$H241)&lt;&gt;"Free Game",INDEX('Game Records'!$U:$U,$H241)&lt;&gt;"Disqualified — Free Game",INDEX('Game Records'!$H:$H,$H241)=""),"Entry Fee; ","")&amp;IF(AND(INDEX('Game Records'!$U:$U,$H241)&lt;&gt;"Subscription",INDEX('Game Records'!$U:$U,$H241)&lt;&gt;"Free Game",INDEX('Game Records'!$U:$U,$H241)&lt;&gt;"Disqualified — Free Game",INDEX('Game Records'!$I:$I,$H241)=""),"Eligible Players; ","")&amp;IF(AND(INDEX('Game Records'!$U:$U,$H241)&lt;&gt;"Subscription",INDEX('Game Records'!$U:$U,$H241)&lt;&gt;"Free Game",INDEX('Game Records'!$U:$U,$H241)&lt;&gt;"Disqualified — Free Game",INDEX('Game Records'!$J:$J,$H241)=""),"Total Players; ","")&amp;IF(AND(LOWER(INDEX('Game Records'!$D:$D,$H241)&amp;"")="finalized",LOWER(INDEX('Game Records'!$L:$L,$H241)&amp;"")&lt;&gt;"yes",INDEX('Game Records'!$U:$U,$H241)&lt;&gt;"Subscription",INDEX('Game Records'!$U:$U,$H241)&lt;&gt;"Free Game",INDEX('Game Records'!$U:$U,$H241)&lt;&gt;"Disqualified — Free Game",INDEX('Game Records'!$K:$K,$H241)=""),"Final Earned; ","")&amp;IF(AND(LOWER(INDEX('Game Records'!$D:$D,$H241)&amp;"")="finalized",INDEX('Game Records'!$U:$U,$H241)&lt;&gt;"Subscription",INDEX('Game Records'!$U:$U,$H241)&lt;&gt;"Free Game",INDEX('Game Records'!$U:$U,$H241)&lt;&gt;"Disqualified — Free Game",OR(INDEX('Game Records'!$L:$L,$H241)="",LOWER(INDEX('Game Records'!$L:$L,$H241)&amp;"")="n/a")),"Disqualified Status; ",""))</x:f>
        <x:v/>
      </x:c>
      <x:c r="G241" s="331" t="str">
        <x:f>IF($H241="","",IFERROR(INDEX('Game Records'!$M:$M,$H241),""))</x:f>
        <x:v/>
      </x:c>
      <x:c r="H241" s="104" t="str">
        <x:f>IF($H240="","",IFERROR(MATCH(1,INDEX((ROW('Game Records'!$U$5:$U$504)&gt;$H240)*(('Game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2" ht="24" customHeight="1">
      <x:c r="A242" s="332" t="str">
        <x:f>IF($H242="","",ROWS($A$5:A242))</x:f>
        <x:v/>
      </x:c>
      <x:c r="B242" s="332" t="str">
        <x:f>IF($H242="","","G-"&amp;TEXT($A242,"0000"))</x:f>
        <x:v/>
      </x:c>
      <x:c r="C242" s="331" t="str">
        <x:f>IF($H242="","",IFERROR(INDEX('Game Records'!$A:$A,$H242),""))</x:f>
        <x:v/>
      </x:c>
      <x:c r="D242" s="331" t="str">
        <x:f>IF($H242="","",IFERROR(INDEX('Game Records'!$U:$U,$H242),""))</x:f>
        <x:v/>
      </x:c>
      <x:c r="E242" s="331" t="str">
        <x:f>IF($H242="","",IF($F242="","No Highlighted Fields","Highlighted Fields Present"))</x:f>
        <x:v/>
      </x:c>
      <x:c r="F242" s="331" t="str">
        <x:f>IF($H242="","",IF(INDEX('Game Records'!$B:$B,$H242)="","Start Date; ","")&amp;IF(INDEX('Game Records'!$C:$C,$H242)="","End Date; ","")&amp;IF(AND(INDEX('Game Records'!$U:$U,$H242)&lt;&gt;"Subscription",INDEX('Game Records'!$U:$U,$H242)&lt;&gt;"Free Game",INDEX('Game Records'!$U:$U,$H242)&lt;&gt;"Disqualified — Free Game",OR(INDEX('Game Records'!$D:$D,$H242)="",LOWER(INDEX('Game Records'!$D:$D,$H242)&amp;"")="n/a")),"Entry Mode; ","")&amp;IF(AND(INDEX('Game Records'!$U:$U,$H242)&lt;&gt;"Subscription",INDEX('Game Records'!$U:$U,$H242)&lt;&gt;"Free Game",INDEX('Game Records'!$U:$U,$H242)&lt;&gt;"Disqualified — Free Game",OR(INDEX('Game Records'!$E:$E,$H242)="",LOWER(INDEX('Game Records'!$E:$E,$H242)&amp;"")="n/a")),"Game Type; ","")&amp;IF(INDEX('Game Records'!$F:$F,$H242)="","Payment Type; ","")&amp;IF(AND(INDEX('Game Records'!$U:$U,$H242)&lt;&gt;"Subscription",INDEX('Game Records'!$U:$U,$H242)&lt;&gt;"Free Game",INDEX('Game Records'!$U:$U,$H242)&lt;&gt;"Disqualified — Free Game",INDEX('Game Records'!$G:$G,$H242)=""),"Gross Pot; ","")&amp;IF(AND(INDEX('Game Records'!$U:$U,$H242)&lt;&gt;"Free Game",INDEX('Game Records'!$U:$U,$H242)&lt;&gt;"Disqualified — Free Game",INDEX('Game Records'!$H:$H,$H242)=""),"Entry Fee; ","")&amp;IF(AND(INDEX('Game Records'!$U:$U,$H242)&lt;&gt;"Subscription",INDEX('Game Records'!$U:$U,$H242)&lt;&gt;"Free Game",INDEX('Game Records'!$U:$U,$H242)&lt;&gt;"Disqualified — Free Game",INDEX('Game Records'!$I:$I,$H242)=""),"Eligible Players; ","")&amp;IF(AND(INDEX('Game Records'!$U:$U,$H242)&lt;&gt;"Subscription",INDEX('Game Records'!$U:$U,$H242)&lt;&gt;"Free Game",INDEX('Game Records'!$U:$U,$H242)&lt;&gt;"Disqualified — Free Game",INDEX('Game Records'!$J:$J,$H242)=""),"Total Players; ","")&amp;IF(AND(LOWER(INDEX('Game Records'!$D:$D,$H242)&amp;"")="finalized",LOWER(INDEX('Game Records'!$L:$L,$H242)&amp;"")&lt;&gt;"yes",INDEX('Game Records'!$U:$U,$H242)&lt;&gt;"Subscription",INDEX('Game Records'!$U:$U,$H242)&lt;&gt;"Free Game",INDEX('Game Records'!$U:$U,$H242)&lt;&gt;"Disqualified — Free Game",INDEX('Game Records'!$K:$K,$H242)=""),"Final Earned; ","")&amp;IF(AND(LOWER(INDEX('Game Records'!$D:$D,$H242)&amp;"")="finalized",INDEX('Game Records'!$U:$U,$H242)&lt;&gt;"Subscription",INDEX('Game Records'!$U:$U,$H242)&lt;&gt;"Free Game",INDEX('Game Records'!$U:$U,$H242)&lt;&gt;"Disqualified — Free Game",OR(INDEX('Game Records'!$L:$L,$H242)="",LOWER(INDEX('Game Records'!$L:$L,$H242)&amp;"")="n/a")),"Disqualified Status; ",""))</x:f>
        <x:v/>
      </x:c>
      <x:c r="G242" s="331" t="str">
        <x:f>IF($H242="","",IFERROR(INDEX('Game Records'!$M:$M,$H242),""))</x:f>
        <x:v/>
      </x:c>
      <x:c r="H242" s="104" t="str">
        <x:f>IF($H241="","",IFERROR(MATCH(1,INDEX((ROW('Game Records'!$U$5:$U$504)&gt;$H241)*(('Game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3" ht="24" customHeight="1">
      <x:c r="A243" s="332" t="str">
        <x:f>IF($H243="","",ROWS($A$5:A243))</x:f>
        <x:v/>
      </x:c>
      <x:c r="B243" s="332" t="str">
        <x:f>IF($H243="","","G-"&amp;TEXT($A243,"0000"))</x:f>
        <x:v/>
      </x:c>
      <x:c r="C243" s="331" t="str">
        <x:f>IF($H243="","",IFERROR(INDEX('Game Records'!$A:$A,$H243),""))</x:f>
        <x:v/>
      </x:c>
      <x:c r="D243" s="331" t="str">
        <x:f>IF($H243="","",IFERROR(INDEX('Game Records'!$U:$U,$H243),""))</x:f>
        <x:v/>
      </x:c>
      <x:c r="E243" s="331" t="str">
        <x:f>IF($H243="","",IF($F243="","No Highlighted Fields","Highlighted Fields Present"))</x:f>
        <x:v/>
      </x:c>
      <x:c r="F243" s="331" t="str">
        <x:f>IF($H243="","",IF(INDEX('Game Records'!$B:$B,$H243)="","Start Date; ","")&amp;IF(INDEX('Game Records'!$C:$C,$H243)="","End Date; ","")&amp;IF(AND(INDEX('Game Records'!$U:$U,$H243)&lt;&gt;"Subscription",INDEX('Game Records'!$U:$U,$H243)&lt;&gt;"Free Game",INDEX('Game Records'!$U:$U,$H243)&lt;&gt;"Disqualified — Free Game",OR(INDEX('Game Records'!$D:$D,$H243)="",LOWER(INDEX('Game Records'!$D:$D,$H243)&amp;"")="n/a")),"Entry Mode; ","")&amp;IF(AND(INDEX('Game Records'!$U:$U,$H243)&lt;&gt;"Subscription",INDEX('Game Records'!$U:$U,$H243)&lt;&gt;"Free Game",INDEX('Game Records'!$U:$U,$H243)&lt;&gt;"Disqualified — Free Game",OR(INDEX('Game Records'!$E:$E,$H243)="",LOWER(INDEX('Game Records'!$E:$E,$H243)&amp;"")="n/a")),"Game Type; ","")&amp;IF(INDEX('Game Records'!$F:$F,$H243)="","Payment Type; ","")&amp;IF(AND(INDEX('Game Records'!$U:$U,$H243)&lt;&gt;"Subscription",INDEX('Game Records'!$U:$U,$H243)&lt;&gt;"Free Game",INDEX('Game Records'!$U:$U,$H243)&lt;&gt;"Disqualified — Free Game",INDEX('Game Records'!$G:$G,$H243)=""),"Gross Pot; ","")&amp;IF(AND(INDEX('Game Records'!$U:$U,$H243)&lt;&gt;"Free Game",INDEX('Game Records'!$U:$U,$H243)&lt;&gt;"Disqualified — Free Game",INDEX('Game Records'!$H:$H,$H243)=""),"Entry Fee; ","")&amp;IF(AND(INDEX('Game Records'!$U:$U,$H243)&lt;&gt;"Subscription",INDEX('Game Records'!$U:$U,$H243)&lt;&gt;"Free Game",INDEX('Game Records'!$U:$U,$H243)&lt;&gt;"Disqualified — Free Game",INDEX('Game Records'!$I:$I,$H243)=""),"Eligible Players; ","")&amp;IF(AND(INDEX('Game Records'!$U:$U,$H243)&lt;&gt;"Subscription",INDEX('Game Records'!$U:$U,$H243)&lt;&gt;"Free Game",INDEX('Game Records'!$U:$U,$H243)&lt;&gt;"Disqualified — Free Game",INDEX('Game Records'!$J:$J,$H243)=""),"Total Players; ","")&amp;IF(AND(LOWER(INDEX('Game Records'!$D:$D,$H243)&amp;"")="finalized",LOWER(INDEX('Game Records'!$L:$L,$H243)&amp;"")&lt;&gt;"yes",INDEX('Game Records'!$U:$U,$H243)&lt;&gt;"Subscription",INDEX('Game Records'!$U:$U,$H243)&lt;&gt;"Free Game",INDEX('Game Records'!$U:$U,$H243)&lt;&gt;"Disqualified — Free Game",INDEX('Game Records'!$K:$K,$H243)=""),"Final Earned; ","")&amp;IF(AND(LOWER(INDEX('Game Records'!$D:$D,$H243)&amp;"")="finalized",INDEX('Game Records'!$U:$U,$H243)&lt;&gt;"Subscription",INDEX('Game Records'!$U:$U,$H243)&lt;&gt;"Free Game",INDEX('Game Records'!$U:$U,$H243)&lt;&gt;"Disqualified — Free Game",OR(INDEX('Game Records'!$L:$L,$H243)="",LOWER(INDEX('Game Records'!$L:$L,$H243)&amp;"")="n/a")),"Disqualified Status; ",""))</x:f>
        <x:v/>
      </x:c>
      <x:c r="G243" s="331" t="str">
        <x:f>IF($H243="","",IFERROR(INDEX('Game Records'!$M:$M,$H243),""))</x:f>
        <x:v/>
      </x:c>
      <x:c r="H243" s="104" t="str">
        <x:f>IF($H242="","",IFERROR(MATCH(1,INDEX((ROW('Game Records'!$U$5:$U$504)&gt;$H242)*(('Game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4" ht="24" customHeight="1">
      <x:c r="A244" s="332" t="str">
        <x:f>IF($H244="","",ROWS($A$5:A244))</x:f>
        <x:v/>
      </x:c>
      <x:c r="B244" s="332" t="str">
        <x:f>IF($H244="","","G-"&amp;TEXT($A244,"0000"))</x:f>
        <x:v/>
      </x:c>
      <x:c r="C244" s="331" t="str">
        <x:f>IF($H244="","",IFERROR(INDEX('Game Records'!$A:$A,$H244),""))</x:f>
        <x:v/>
      </x:c>
      <x:c r="D244" s="331" t="str">
        <x:f>IF($H244="","",IFERROR(INDEX('Game Records'!$U:$U,$H244),""))</x:f>
        <x:v/>
      </x:c>
      <x:c r="E244" s="331" t="str">
        <x:f>IF($H244="","",IF($F244="","No Highlighted Fields","Highlighted Fields Present"))</x:f>
        <x:v/>
      </x:c>
      <x:c r="F244" s="331" t="str">
        <x:f>IF($H244="","",IF(INDEX('Game Records'!$B:$B,$H244)="","Start Date; ","")&amp;IF(INDEX('Game Records'!$C:$C,$H244)="","End Date; ","")&amp;IF(AND(INDEX('Game Records'!$U:$U,$H244)&lt;&gt;"Subscription",INDEX('Game Records'!$U:$U,$H244)&lt;&gt;"Free Game",INDEX('Game Records'!$U:$U,$H244)&lt;&gt;"Disqualified — Free Game",OR(INDEX('Game Records'!$D:$D,$H244)="",LOWER(INDEX('Game Records'!$D:$D,$H244)&amp;"")="n/a")),"Entry Mode; ","")&amp;IF(AND(INDEX('Game Records'!$U:$U,$H244)&lt;&gt;"Subscription",INDEX('Game Records'!$U:$U,$H244)&lt;&gt;"Free Game",INDEX('Game Records'!$U:$U,$H244)&lt;&gt;"Disqualified — Free Game",OR(INDEX('Game Records'!$E:$E,$H244)="",LOWER(INDEX('Game Records'!$E:$E,$H244)&amp;"")="n/a")),"Game Type; ","")&amp;IF(INDEX('Game Records'!$F:$F,$H244)="","Payment Type; ","")&amp;IF(AND(INDEX('Game Records'!$U:$U,$H244)&lt;&gt;"Subscription",INDEX('Game Records'!$U:$U,$H244)&lt;&gt;"Free Game",INDEX('Game Records'!$U:$U,$H244)&lt;&gt;"Disqualified — Free Game",INDEX('Game Records'!$G:$G,$H244)=""),"Gross Pot; ","")&amp;IF(AND(INDEX('Game Records'!$U:$U,$H244)&lt;&gt;"Free Game",INDEX('Game Records'!$U:$U,$H244)&lt;&gt;"Disqualified — Free Game",INDEX('Game Records'!$H:$H,$H244)=""),"Entry Fee; ","")&amp;IF(AND(INDEX('Game Records'!$U:$U,$H244)&lt;&gt;"Subscription",INDEX('Game Records'!$U:$U,$H244)&lt;&gt;"Free Game",INDEX('Game Records'!$U:$U,$H244)&lt;&gt;"Disqualified — Free Game",INDEX('Game Records'!$I:$I,$H244)=""),"Eligible Players; ","")&amp;IF(AND(INDEX('Game Records'!$U:$U,$H244)&lt;&gt;"Subscription",INDEX('Game Records'!$U:$U,$H244)&lt;&gt;"Free Game",INDEX('Game Records'!$U:$U,$H244)&lt;&gt;"Disqualified — Free Game",INDEX('Game Records'!$J:$J,$H244)=""),"Total Players; ","")&amp;IF(AND(LOWER(INDEX('Game Records'!$D:$D,$H244)&amp;"")="finalized",LOWER(INDEX('Game Records'!$L:$L,$H244)&amp;"")&lt;&gt;"yes",INDEX('Game Records'!$U:$U,$H244)&lt;&gt;"Subscription",INDEX('Game Records'!$U:$U,$H244)&lt;&gt;"Free Game",INDEX('Game Records'!$U:$U,$H244)&lt;&gt;"Disqualified — Free Game",INDEX('Game Records'!$K:$K,$H244)=""),"Final Earned; ","")&amp;IF(AND(LOWER(INDEX('Game Records'!$D:$D,$H244)&amp;"")="finalized",INDEX('Game Records'!$U:$U,$H244)&lt;&gt;"Subscription",INDEX('Game Records'!$U:$U,$H244)&lt;&gt;"Free Game",INDEX('Game Records'!$U:$U,$H244)&lt;&gt;"Disqualified — Free Game",OR(INDEX('Game Records'!$L:$L,$H244)="",LOWER(INDEX('Game Records'!$L:$L,$H244)&amp;"")="n/a")),"Disqualified Status; ",""))</x:f>
        <x:v/>
      </x:c>
      <x:c r="G244" s="331" t="str">
        <x:f>IF($H244="","",IFERROR(INDEX('Game Records'!$M:$M,$H244),""))</x:f>
        <x:v/>
      </x:c>
      <x:c r="H244" s="104" t="str">
        <x:f>IF($H243="","",IFERROR(MATCH(1,INDEX((ROW('Game Records'!$U$5:$U$504)&gt;$H243)*(('Game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5" ht="24" customHeight="1">
      <x:c r="A245" s="332" t="str">
        <x:f>IF($H245="","",ROWS($A$5:A245))</x:f>
        <x:v/>
      </x:c>
      <x:c r="B245" s="332" t="str">
        <x:f>IF($H245="","","G-"&amp;TEXT($A245,"0000"))</x:f>
        <x:v/>
      </x:c>
      <x:c r="C245" s="331" t="str">
        <x:f>IF($H245="","",IFERROR(INDEX('Game Records'!$A:$A,$H245),""))</x:f>
        <x:v/>
      </x:c>
      <x:c r="D245" s="331" t="str">
        <x:f>IF($H245="","",IFERROR(INDEX('Game Records'!$U:$U,$H245),""))</x:f>
        <x:v/>
      </x:c>
      <x:c r="E245" s="331" t="str">
        <x:f>IF($H245="","",IF($F245="","No Highlighted Fields","Highlighted Fields Present"))</x:f>
        <x:v/>
      </x:c>
      <x:c r="F245" s="331" t="str">
        <x:f>IF($H245="","",IF(INDEX('Game Records'!$B:$B,$H245)="","Start Date; ","")&amp;IF(INDEX('Game Records'!$C:$C,$H245)="","End Date; ","")&amp;IF(AND(INDEX('Game Records'!$U:$U,$H245)&lt;&gt;"Subscription",INDEX('Game Records'!$U:$U,$H245)&lt;&gt;"Free Game",INDEX('Game Records'!$U:$U,$H245)&lt;&gt;"Disqualified — Free Game",OR(INDEX('Game Records'!$D:$D,$H245)="",LOWER(INDEX('Game Records'!$D:$D,$H245)&amp;"")="n/a")),"Entry Mode; ","")&amp;IF(AND(INDEX('Game Records'!$U:$U,$H245)&lt;&gt;"Subscription",INDEX('Game Records'!$U:$U,$H245)&lt;&gt;"Free Game",INDEX('Game Records'!$U:$U,$H245)&lt;&gt;"Disqualified — Free Game",OR(INDEX('Game Records'!$E:$E,$H245)="",LOWER(INDEX('Game Records'!$E:$E,$H245)&amp;"")="n/a")),"Game Type; ","")&amp;IF(INDEX('Game Records'!$F:$F,$H245)="","Payment Type; ","")&amp;IF(AND(INDEX('Game Records'!$U:$U,$H245)&lt;&gt;"Subscription",INDEX('Game Records'!$U:$U,$H245)&lt;&gt;"Free Game",INDEX('Game Records'!$U:$U,$H245)&lt;&gt;"Disqualified — Free Game",INDEX('Game Records'!$G:$G,$H245)=""),"Gross Pot; ","")&amp;IF(AND(INDEX('Game Records'!$U:$U,$H245)&lt;&gt;"Free Game",INDEX('Game Records'!$U:$U,$H245)&lt;&gt;"Disqualified — Free Game",INDEX('Game Records'!$H:$H,$H245)=""),"Entry Fee; ","")&amp;IF(AND(INDEX('Game Records'!$U:$U,$H245)&lt;&gt;"Subscription",INDEX('Game Records'!$U:$U,$H245)&lt;&gt;"Free Game",INDEX('Game Records'!$U:$U,$H245)&lt;&gt;"Disqualified — Free Game",INDEX('Game Records'!$I:$I,$H245)=""),"Eligible Players; ","")&amp;IF(AND(INDEX('Game Records'!$U:$U,$H245)&lt;&gt;"Subscription",INDEX('Game Records'!$U:$U,$H245)&lt;&gt;"Free Game",INDEX('Game Records'!$U:$U,$H245)&lt;&gt;"Disqualified — Free Game",INDEX('Game Records'!$J:$J,$H245)=""),"Total Players; ","")&amp;IF(AND(LOWER(INDEX('Game Records'!$D:$D,$H245)&amp;"")="finalized",LOWER(INDEX('Game Records'!$L:$L,$H245)&amp;"")&lt;&gt;"yes",INDEX('Game Records'!$U:$U,$H245)&lt;&gt;"Subscription",INDEX('Game Records'!$U:$U,$H245)&lt;&gt;"Free Game",INDEX('Game Records'!$U:$U,$H245)&lt;&gt;"Disqualified — Free Game",INDEX('Game Records'!$K:$K,$H245)=""),"Final Earned; ","")&amp;IF(AND(LOWER(INDEX('Game Records'!$D:$D,$H245)&amp;"")="finalized",INDEX('Game Records'!$U:$U,$H245)&lt;&gt;"Subscription",INDEX('Game Records'!$U:$U,$H245)&lt;&gt;"Free Game",INDEX('Game Records'!$U:$U,$H245)&lt;&gt;"Disqualified — Free Game",OR(INDEX('Game Records'!$L:$L,$H245)="",LOWER(INDEX('Game Records'!$L:$L,$H245)&amp;"")="n/a")),"Disqualified Status; ",""))</x:f>
        <x:v/>
      </x:c>
      <x:c r="G245" s="331" t="str">
        <x:f>IF($H245="","",IFERROR(INDEX('Game Records'!$M:$M,$H245),""))</x:f>
        <x:v/>
      </x:c>
      <x:c r="H245" s="104" t="str">
        <x:f>IF($H244="","",IFERROR(MATCH(1,INDEX((ROW('Game Records'!$U$5:$U$504)&gt;$H244)*(('Game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6" ht="24" customHeight="1">
      <x:c r="A246" s="332" t="str">
        <x:f>IF($H246="","",ROWS($A$5:A246))</x:f>
        <x:v/>
      </x:c>
      <x:c r="B246" s="332" t="str">
        <x:f>IF($H246="","","G-"&amp;TEXT($A246,"0000"))</x:f>
        <x:v/>
      </x:c>
      <x:c r="C246" s="331" t="str">
        <x:f>IF($H246="","",IFERROR(INDEX('Game Records'!$A:$A,$H246),""))</x:f>
        <x:v/>
      </x:c>
      <x:c r="D246" s="331" t="str">
        <x:f>IF($H246="","",IFERROR(INDEX('Game Records'!$U:$U,$H246),""))</x:f>
        <x:v/>
      </x:c>
      <x:c r="E246" s="331" t="str">
        <x:f>IF($H246="","",IF($F246="","No Highlighted Fields","Highlighted Fields Present"))</x:f>
        <x:v/>
      </x:c>
      <x:c r="F246" s="331" t="str">
        <x:f>IF($H246="","",IF(INDEX('Game Records'!$B:$B,$H246)="","Start Date; ","")&amp;IF(INDEX('Game Records'!$C:$C,$H246)="","End Date; ","")&amp;IF(AND(INDEX('Game Records'!$U:$U,$H246)&lt;&gt;"Subscription",INDEX('Game Records'!$U:$U,$H246)&lt;&gt;"Free Game",INDEX('Game Records'!$U:$U,$H246)&lt;&gt;"Disqualified — Free Game",OR(INDEX('Game Records'!$D:$D,$H246)="",LOWER(INDEX('Game Records'!$D:$D,$H246)&amp;"")="n/a")),"Entry Mode; ","")&amp;IF(AND(INDEX('Game Records'!$U:$U,$H246)&lt;&gt;"Subscription",INDEX('Game Records'!$U:$U,$H246)&lt;&gt;"Free Game",INDEX('Game Records'!$U:$U,$H246)&lt;&gt;"Disqualified — Free Game",OR(INDEX('Game Records'!$E:$E,$H246)="",LOWER(INDEX('Game Records'!$E:$E,$H246)&amp;"")="n/a")),"Game Type; ","")&amp;IF(INDEX('Game Records'!$F:$F,$H246)="","Payment Type; ","")&amp;IF(AND(INDEX('Game Records'!$U:$U,$H246)&lt;&gt;"Subscription",INDEX('Game Records'!$U:$U,$H246)&lt;&gt;"Free Game",INDEX('Game Records'!$U:$U,$H246)&lt;&gt;"Disqualified — Free Game",INDEX('Game Records'!$G:$G,$H246)=""),"Gross Pot; ","")&amp;IF(AND(INDEX('Game Records'!$U:$U,$H246)&lt;&gt;"Free Game",INDEX('Game Records'!$U:$U,$H246)&lt;&gt;"Disqualified — Free Game",INDEX('Game Records'!$H:$H,$H246)=""),"Entry Fee; ","")&amp;IF(AND(INDEX('Game Records'!$U:$U,$H246)&lt;&gt;"Subscription",INDEX('Game Records'!$U:$U,$H246)&lt;&gt;"Free Game",INDEX('Game Records'!$U:$U,$H246)&lt;&gt;"Disqualified — Free Game",INDEX('Game Records'!$I:$I,$H246)=""),"Eligible Players; ","")&amp;IF(AND(INDEX('Game Records'!$U:$U,$H246)&lt;&gt;"Subscription",INDEX('Game Records'!$U:$U,$H246)&lt;&gt;"Free Game",INDEX('Game Records'!$U:$U,$H246)&lt;&gt;"Disqualified — Free Game",INDEX('Game Records'!$J:$J,$H246)=""),"Total Players; ","")&amp;IF(AND(LOWER(INDEX('Game Records'!$D:$D,$H246)&amp;"")="finalized",LOWER(INDEX('Game Records'!$L:$L,$H246)&amp;"")&lt;&gt;"yes",INDEX('Game Records'!$U:$U,$H246)&lt;&gt;"Subscription",INDEX('Game Records'!$U:$U,$H246)&lt;&gt;"Free Game",INDEX('Game Records'!$U:$U,$H246)&lt;&gt;"Disqualified — Free Game",INDEX('Game Records'!$K:$K,$H246)=""),"Final Earned; ","")&amp;IF(AND(LOWER(INDEX('Game Records'!$D:$D,$H246)&amp;"")="finalized",INDEX('Game Records'!$U:$U,$H246)&lt;&gt;"Subscription",INDEX('Game Records'!$U:$U,$H246)&lt;&gt;"Free Game",INDEX('Game Records'!$U:$U,$H246)&lt;&gt;"Disqualified — Free Game",OR(INDEX('Game Records'!$L:$L,$H246)="",LOWER(INDEX('Game Records'!$L:$L,$H246)&amp;"")="n/a")),"Disqualified Status; ",""))</x:f>
        <x:v/>
      </x:c>
      <x:c r="G246" s="331" t="str">
        <x:f>IF($H246="","",IFERROR(INDEX('Game Records'!$M:$M,$H246),""))</x:f>
        <x:v/>
      </x:c>
      <x:c r="H246" s="104" t="str">
        <x:f>IF($H245="","",IFERROR(MATCH(1,INDEX((ROW('Game Records'!$U$5:$U$504)&gt;$H245)*(('Game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7" ht="24" customHeight="1">
      <x:c r="A247" s="332" t="str">
        <x:f>IF($H247="","",ROWS($A$5:A247))</x:f>
        <x:v/>
      </x:c>
      <x:c r="B247" s="332" t="str">
        <x:f>IF($H247="","","G-"&amp;TEXT($A247,"0000"))</x:f>
        <x:v/>
      </x:c>
      <x:c r="C247" s="331" t="str">
        <x:f>IF($H247="","",IFERROR(INDEX('Game Records'!$A:$A,$H247),""))</x:f>
        <x:v/>
      </x:c>
      <x:c r="D247" s="331" t="str">
        <x:f>IF($H247="","",IFERROR(INDEX('Game Records'!$U:$U,$H247),""))</x:f>
        <x:v/>
      </x:c>
      <x:c r="E247" s="331" t="str">
        <x:f>IF($H247="","",IF($F247="","No Highlighted Fields","Highlighted Fields Present"))</x:f>
        <x:v/>
      </x:c>
      <x:c r="F247" s="331" t="str">
        <x:f>IF($H247="","",IF(INDEX('Game Records'!$B:$B,$H247)="","Start Date; ","")&amp;IF(INDEX('Game Records'!$C:$C,$H247)="","End Date; ","")&amp;IF(AND(INDEX('Game Records'!$U:$U,$H247)&lt;&gt;"Subscription",INDEX('Game Records'!$U:$U,$H247)&lt;&gt;"Free Game",INDEX('Game Records'!$U:$U,$H247)&lt;&gt;"Disqualified — Free Game",OR(INDEX('Game Records'!$D:$D,$H247)="",LOWER(INDEX('Game Records'!$D:$D,$H247)&amp;"")="n/a")),"Entry Mode; ","")&amp;IF(AND(INDEX('Game Records'!$U:$U,$H247)&lt;&gt;"Subscription",INDEX('Game Records'!$U:$U,$H247)&lt;&gt;"Free Game",INDEX('Game Records'!$U:$U,$H247)&lt;&gt;"Disqualified — Free Game",OR(INDEX('Game Records'!$E:$E,$H247)="",LOWER(INDEX('Game Records'!$E:$E,$H247)&amp;"")="n/a")),"Game Type; ","")&amp;IF(INDEX('Game Records'!$F:$F,$H247)="","Payment Type; ","")&amp;IF(AND(INDEX('Game Records'!$U:$U,$H247)&lt;&gt;"Subscription",INDEX('Game Records'!$U:$U,$H247)&lt;&gt;"Free Game",INDEX('Game Records'!$U:$U,$H247)&lt;&gt;"Disqualified — Free Game",INDEX('Game Records'!$G:$G,$H247)=""),"Gross Pot; ","")&amp;IF(AND(INDEX('Game Records'!$U:$U,$H247)&lt;&gt;"Free Game",INDEX('Game Records'!$U:$U,$H247)&lt;&gt;"Disqualified — Free Game",INDEX('Game Records'!$H:$H,$H247)=""),"Entry Fee; ","")&amp;IF(AND(INDEX('Game Records'!$U:$U,$H247)&lt;&gt;"Subscription",INDEX('Game Records'!$U:$U,$H247)&lt;&gt;"Free Game",INDEX('Game Records'!$U:$U,$H247)&lt;&gt;"Disqualified — Free Game",INDEX('Game Records'!$I:$I,$H247)=""),"Eligible Players; ","")&amp;IF(AND(INDEX('Game Records'!$U:$U,$H247)&lt;&gt;"Subscription",INDEX('Game Records'!$U:$U,$H247)&lt;&gt;"Free Game",INDEX('Game Records'!$U:$U,$H247)&lt;&gt;"Disqualified — Free Game",INDEX('Game Records'!$J:$J,$H247)=""),"Total Players; ","")&amp;IF(AND(LOWER(INDEX('Game Records'!$D:$D,$H247)&amp;"")="finalized",LOWER(INDEX('Game Records'!$L:$L,$H247)&amp;"")&lt;&gt;"yes",INDEX('Game Records'!$U:$U,$H247)&lt;&gt;"Subscription",INDEX('Game Records'!$U:$U,$H247)&lt;&gt;"Free Game",INDEX('Game Records'!$U:$U,$H247)&lt;&gt;"Disqualified — Free Game",INDEX('Game Records'!$K:$K,$H247)=""),"Final Earned; ","")&amp;IF(AND(LOWER(INDEX('Game Records'!$D:$D,$H247)&amp;"")="finalized",INDEX('Game Records'!$U:$U,$H247)&lt;&gt;"Subscription",INDEX('Game Records'!$U:$U,$H247)&lt;&gt;"Free Game",INDEX('Game Records'!$U:$U,$H247)&lt;&gt;"Disqualified — Free Game",OR(INDEX('Game Records'!$L:$L,$H247)="",LOWER(INDEX('Game Records'!$L:$L,$H247)&amp;"")="n/a")),"Disqualified Status; ",""))</x:f>
        <x:v/>
      </x:c>
      <x:c r="G247" s="331" t="str">
        <x:f>IF($H247="","",IFERROR(INDEX('Game Records'!$M:$M,$H247),""))</x:f>
        <x:v/>
      </x:c>
      <x:c r="H247" s="104" t="str">
        <x:f>IF($H246="","",IFERROR(MATCH(1,INDEX((ROW('Game Records'!$U$5:$U$504)&gt;$H246)*(('Game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8" ht="24" customHeight="1">
      <x:c r="A248" s="332" t="str">
        <x:f>IF($H248="","",ROWS($A$5:A248))</x:f>
        <x:v/>
      </x:c>
      <x:c r="B248" s="332" t="str">
        <x:f>IF($H248="","","G-"&amp;TEXT($A248,"0000"))</x:f>
        <x:v/>
      </x:c>
      <x:c r="C248" s="331" t="str">
        <x:f>IF($H248="","",IFERROR(INDEX('Game Records'!$A:$A,$H248),""))</x:f>
        <x:v/>
      </x:c>
      <x:c r="D248" s="331" t="str">
        <x:f>IF($H248="","",IFERROR(INDEX('Game Records'!$U:$U,$H248),""))</x:f>
        <x:v/>
      </x:c>
      <x:c r="E248" s="331" t="str">
        <x:f>IF($H248="","",IF($F248="","No Highlighted Fields","Highlighted Fields Present"))</x:f>
        <x:v/>
      </x:c>
      <x:c r="F248" s="331" t="str">
        <x:f>IF($H248="","",IF(INDEX('Game Records'!$B:$B,$H248)="","Start Date; ","")&amp;IF(INDEX('Game Records'!$C:$C,$H248)="","End Date; ","")&amp;IF(AND(INDEX('Game Records'!$U:$U,$H248)&lt;&gt;"Subscription",INDEX('Game Records'!$U:$U,$H248)&lt;&gt;"Free Game",INDEX('Game Records'!$U:$U,$H248)&lt;&gt;"Disqualified — Free Game",OR(INDEX('Game Records'!$D:$D,$H248)="",LOWER(INDEX('Game Records'!$D:$D,$H248)&amp;"")="n/a")),"Entry Mode; ","")&amp;IF(AND(INDEX('Game Records'!$U:$U,$H248)&lt;&gt;"Subscription",INDEX('Game Records'!$U:$U,$H248)&lt;&gt;"Free Game",INDEX('Game Records'!$U:$U,$H248)&lt;&gt;"Disqualified — Free Game",OR(INDEX('Game Records'!$E:$E,$H248)="",LOWER(INDEX('Game Records'!$E:$E,$H248)&amp;"")="n/a")),"Game Type; ","")&amp;IF(INDEX('Game Records'!$F:$F,$H248)="","Payment Type; ","")&amp;IF(AND(INDEX('Game Records'!$U:$U,$H248)&lt;&gt;"Subscription",INDEX('Game Records'!$U:$U,$H248)&lt;&gt;"Free Game",INDEX('Game Records'!$U:$U,$H248)&lt;&gt;"Disqualified — Free Game",INDEX('Game Records'!$G:$G,$H248)=""),"Gross Pot; ","")&amp;IF(AND(INDEX('Game Records'!$U:$U,$H248)&lt;&gt;"Free Game",INDEX('Game Records'!$U:$U,$H248)&lt;&gt;"Disqualified — Free Game",INDEX('Game Records'!$H:$H,$H248)=""),"Entry Fee; ","")&amp;IF(AND(INDEX('Game Records'!$U:$U,$H248)&lt;&gt;"Subscription",INDEX('Game Records'!$U:$U,$H248)&lt;&gt;"Free Game",INDEX('Game Records'!$U:$U,$H248)&lt;&gt;"Disqualified — Free Game",INDEX('Game Records'!$I:$I,$H248)=""),"Eligible Players; ","")&amp;IF(AND(INDEX('Game Records'!$U:$U,$H248)&lt;&gt;"Subscription",INDEX('Game Records'!$U:$U,$H248)&lt;&gt;"Free Game",INDEX('Game Records'!$U:$U,$H248)&lt;&gt;"Disqualified — Free Game",INDEX('Game Records'!$J:$J,$H248)=""),"Total Players; ","")&amp;IF(AND(LOWER(INDEX('Game Records'!$D:$D,$H248)&amp;"")="finalized",LOWER(INDEX('Game Records'!$L:$L,$H248)&amp;"")&lt;&gt;"yes",INDEX('Game Records'!$U:$U,$H248)&lt;&gt;"Subscription",INDEX('Game Records'!$U:$U,$H248)&lt;&gt;"Free Game",INDEX('Game Records'!$U:$U,$H248)&lt;&gt;"Disqualified — Free Game",INDEX('Game Records'!$K:$K,$H248)=""),"Final Earned; ","")&amp;IF(AND(LOWER(INDEX('Game Records'!$D:$D,$H248)&amp;"")="finalized",INDEX('Game Records'!$U:$U,$H248)&lt;&gt;"Subscription",INDEX('Game Records'!$U:$U,$H248)&lt;&gt;"Free Game",INDEX('Game Records'!$U:$U,$H248)&lt;&gt;"Disqualified — Free Game",OR(INDEX('Game Records'!$L:$L,$H248)="",LOWER(INDEX('Game Records'!$L:$L,$H248)&amp;"")="n/a")),"Disqualified Status; ",""))</x:f>
        <x:v/>
      </x:c>
      <x:c r="G248" s="331" t="str">
        <x:f>IF($H248="","",IFERROR(INDEX('Game Records'!$M:$M,$H248),""))</x:f>
        <x:v/>
      </x:c>
      <x:c r="H248" s="104" t="str">
        <x:f>IF($H247="","",IFERROR(MATCH(1,INDEX((ROW('Game Records'!$U$5:$U$504)&gt;$H247)*(('Game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49" ht="24" customHeight="1">
      <x:c r="A249" s="332" t="str">
        <x:f>IF($H249="","",ROWS($A$5:A249))</x:f>
        <x:v/>
      </x:c>
      <x:c r="B249" s="332" t="str">
        <x:f>IF($H249="","","G-"&amp;TEXT($A249,"0000"))</x:f>
        <x:v/>
      </x:c>
      <x:c r="C249" s="331" t="str">
        <x:f>IF($H249="","",IFERROR(INDEX('Game Records'!$A:$A,$H249),""))</x:f>
        <x:v/>
      </x:c>
      <x:c r="D249" s="331" t="str">
        <x:f>IF($H249="","",IFERROR(INDEX('Game Records'!$U:$U,$H249),""))</x:f>
        <x:v/>
      </x:c>
      <x:c r="E249" s="331" t="str">
        <x:f>IF($H249="","",IF($F249="","No Highlighted Fields","Highlighted Fields Present"))</x:f>
        <x:v/>
      </x:c>
      <x:c r="F249" s="331" t="str">
        <x:f>IF($H249="","",IF(INDEX('Game Records'!$B:$B,$H249)="","Start Date; ","")&amp;IF(INDEX('Game Records'!$C:$C,$H249)="","End Date; ","")&amp;IF(AND(INDEX('Game Records'!$U:$U,$H249)&lt;&gt;"Subscription",INDEX('Game Records'!$U:$U,$H249)&lt;&gt;"Free Game",INDEX('Game Records'!$U:$U,$H249)&lt;&gt;"Disqualified — Free Game",OR(INDEX('Game Records'!$D:$D,$H249)="",LOWER(INDEX('Game Records'!$D:$D,$H249)&amp;"")="n/a")),"Entry Mode; ","")&amp;IF(AND(INDEX('Game Records'!$U:$U,$H249)&lt;&gt;"Subscription",INDEX('Game Records'!$U:$U,$H249)&lt;&gt;"Free Game",INDEX('Game Records'!$U:$U,$H249)&lt;&gt;"Disqualified — Free Game",OR(INDEX('Game Records'!$E:$E,$H249)="",LOWER(INDEX('Game Records'!$E:$E,$H249)&amp;"")="n/a")),"Game Type; ","")&amp;IF(INDEX('Game Records'!$F:$F,$H249)="","Payment Type; ","")&amp;IF(AND(INDEX('Game Records'!$U:$U,$H249)&lt;&gt;"Subscription",INDEX('Game Records'!$U:$U,$H249)&lt;&gt;"Free Game",INDEX('Game Records'!$U:$U,$H249)&lt;&gt;"Disqualified — Free Game",INDEX('Game Records'!$G:$G,$H249)=""),"Gross Pot; ","")&amp;IF(AND(INDEX('Game Records'!$U:$U,$H249)&lt;&gt;"Free Game",INDEX('Game Records'!$U:$U,$H249)&lt;&gt;"Disqualified — Free Game",INDEX('Game Records'!$H:$H,$H249)=""),"Entry Fee; ","")&amp;IF(AND(INDEX('Game Records'!$U:$U,$H249)&lt;&gt;"Subscription",INDEX('Game Records'!$U:$U,$H249)&lt;&gt;"Free Game",INDEX('Game Records'!$U:$U,$H249)&lt;&gt;"Disqualified — Free Game",INDEX('Game Records'!$I:$I,$H249)=""),"Eligible Players; ","")&amp;IF(AND(INDEX('Game Records'!$U:$U,$H249)&lt;&gt;"Subscription",INDEX('Game Records'!$U:$U,$H249)&lt;&gt;"Free Game",INDEX('Game Records'!$U:$U,$H249)&lt;&gt;"Disqualified — Free Game",INDEX('Game Records'!$J:$J,$H249)=""),"Total Players; ","")&amp;IF(AND(LOWER(INDEX('Game Records'!$D:$D,$H249)&amp;"")="finalized",LOWER(INDEX('Game Records'!$L:$L,$H249)&amp;"")&lt;&gt;"yes",INDEX('Game Records'!$U:$U,$H249)&lt;&gt;"Subscription",INDEX('Game Records'!$U:$U,$H249)&lt;&gt;"Free Game",INDEX('Game Records'!$U:$U,$H249)&lt;&gt;"Disqualified — Free Game",INDEX('Game Records'!$K:$K,$H249)=""),"Final Earned; ","")&amp;IF(AND(LOWER(INDEX('Game Records'!$D:$D,$H249)&amp;"")="finalized",INDEX('Game Records'!$U:$U,$H249)&lt;&gt;"Subscription",INDEX('Game Records'!$U:$U,$H249)&lt;&gt;"Free Game",INDEX('Game Records'!$U:$U,$H249)&lt;&gt;"Disqualified — Free Game",OR(INDEX('Game Records'!$L:$L,$H249)="",LOWER(INDEX('Game Records'!$L:$L,$H249)&amp;"")="n/a")),"Disqualified Status; ",""))</x:f>
        <x:v/>
      </x:c>
      <x:c r="G249" s="331" t="str">
        <x:f>IF($H249="","",IFERROR(INDEX('Game Records'!$M:$M,$H249),""))</x:f>
        <x:v/>
      </x:c>
      <x:c r="H249" s="104" t="str">
        <x:f>IF($H248="","",IFERROR(MATCH(1,INDEX((ROW('Game Records'!$U$5:$U$504)&gt;$H248)*(('Game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0" ht="24" customHeight="1">
      <x:c r="A250" s="332" t="str">
        <x:f>IF($H250="","",ROWS($A$5:A250))</x:f>
        <x:v/>
      </x:c>
      <x:c r="B250" s="332" t="str">
        <x:f>IF($H250="","","G-"&amp;TEXT($A250,"0000"))</x:f>
        <x:v/>
      </x:c>
      <x:c r="C250" s="331" t="str">
        <x:f>IF($H250="","",IFERROR(INDEX('Game Records'!$A:$A,$H250),""))</x:f>
        <x:v/>
      </x:c>
      <x:c r="D250" s="331" t="str">
        <x:f>IF($H250="","",IFERROR(INDEX('Game Records'!$U:$U,$H250),""))</x:f>
        <x:v/>
      </x:c>
      <x:c r="E250" s="331" t="str">
        <x:f>IF($H250="","",IF($F250="","No Highlighted Fields","Highlighted Fields Present"))</x:f>
        <x:v/>
      </x:c>
      <x:c r="F250" s="331" t="str">
        <x:f>IF($H250="","",IF(INDEX('Game Records'!$B:$B,$H250)="","Start Date; ","")&amp;IF(INDEX('Game Records'!$C:$C,$H250)="","End Date; ","")&amp;IF(AND(INDEX('Game Records'!$U:$U,$H250)&lt;&gt;"Subscription",INDEX('Game Records'!$U:$U,$H250)&lt;&gt;"Free Game",INDEX('Game Records'!$U:$U,$H250)&lt;&gt;"Disqualified — Free Game",OR(INDEX('Game Records'!$D:$D,$H250)="",LOWER(INDEX('Game Records'!$D:$D,$H250)&amp;"")="n/a")),"Entry Mode; ","")&amp;IF(AND(INDEX('Game Records'!$U:$U,$H250)&lt;&gt;"Subscription",INDEX('Game Records'!$U:$U,$H250)&lt;&gt;"Free Game",INDEX('Game Records'!$U:$U,$H250)&lt;&gt;"Disqualified — Free Game",OR(INDEX('Game Records'!$E:$E,$H250)="",LOWER(INDEX('Game Records'!$E:$E,$H250)&amp;"")="n/a")),"Game Type; ","")&amp;IF(INDEX('Game Records'!$F:$F,$H250)="","Payment Type; ","")&amp;IF(AND(INDEX('Game Records'!$U:$U,$H250)&lt;&gt;"Subscription",INDEX('Game Records'!$U:$U,$H250)&lt;&gt;"Free Game",INDEX('Game Records'!$U:$U,$H250)&lt;&gt;"Disqualified — Free Game",INDEX('Game Records'!$G:$G,$H250)=""),"Gross Pot; ","")&amp;IF(AND(INDEX('Game Records'!$U:$U,$H250)&lt;&gt;"Free Game",INDEX('Game Records'!$U:$U,$H250)&lt;&gt;"Disqualified — Free Game",INDEX('Game Records'!$H:$H,$H250)=""),"Entry Fee; ","")&amp;IF(AND(INDEX('Game Records'!$U:$U,$H250)&lt;&gt;"Subscription",INDEX('Game Records'!$U:$U,$H250)&lt;&gt;"Free Game",INDEX('Game Records'!$U:$U,$H250)&lt;&gt;"Disqualified — Free Game",INDEX('Game Records'!$I:$I,$H250)=""),"Eligible Players; ","")&amp;IF(AND(INDEX('Game Records'!$U:$U,$H250)&lt;&gt;"Subscription",INDEX('Game Records'!$U:$U,$H250)&lt;&gt;"Free Game",INDEX('Game Records'!$U:$U,$H250)&lt;&gt;"Disqualified — Free Game",INDEX('Game Records'!$J:$J,$H250)=""),"Total Players; ","")&amp;IF(AND(LOWER(INDEX('Game Records'!$D:$D,$H250)&amp;"")="finalized",LOWER(INDEX('Game Records'!$L:$L,$H250)&amp;"")&lt;&gt;"yes",INDEX('Game Records'!$U:$U,$H250)&lt;&gt;"Subscription",INDEX('Game Records'!$U:$U,$H250)&lt;&gt;"Free Game",INDEX('Game Records'!$U:$U,$H250)&lt;&gt;"Disqualified — Free Game",INDEX('Game Records'!$K:$K,$H250)=""),"Final Earned; ","")&amp;IF(AND(LOWER(INDEX('Game Records'!$D:$D,$H250)&amp;"")="finalized",INDEX('Game Records'!$U:$U,$H250)&lt;&gt;"Subscription",INDEX('Game Records'!$U:$U,$H250)&lt;&gt;"Free Game",INDEX('Game Records'!$U:$U,$H250)&lt;&gt;"Disqualified — Free Game",OR(INDEX('Game Records'!$L:$L,$H250)="",LOWER(INDEX('Game Records'!$L:$L,$H250)&amp;"")="n/a")),"Disqualified Status; ",""))</x:f>
        <x:v/>
      </x:c>
      <x:c r="G250" s="331" t="str">
        <x:f>IF($H250="","",IFERROR(INDEX('Game Records'!$M:$M,$H250),""))</x:f>
        <x:v/>
      </x:c>
      <x:c r="H250" s="104" t="str">
        <x:f>IF($H249="","",IFERROR(MATCH(1,INDEX((ROW('Game Records'!$U$5:$U$504)&gt;$H249)*(('Game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1" ht="24" customHeight="1">
      <x:c r="A251" s="332" t="str">
        <x:f>IF($H251="","",ROWS($A$5:A251))</x:f>
        <x:v/>
      </x:c>
      <x:c r="B251" s="332" t="str">
        <x:f>IF($H251="","","G-"&amp;TEXT($A251,"0000"))</x:f>
        <x:v/>
      </x:c>
      <x:c r="C251" s="331" t="str">
        <x:f>IF($H251="","",IFERROR(INDEX('Game Records'!$A:$A,$H251),""))</x:f>
        <x:v/>
      </x:c>
      <x:c r="D251" s="331" t="str">
        <x:f>IF($H251="","",IFERROR(INDEX('Game Records'!$U:$U,$H251),""))</x:f>
        <x:v/>
      </x:c>
      <x:c r="E251" s="331" t="str">
        <x:f>IF($H251="","",IF($F251="","No Highlighted Fields","Highlighted Fields Present"))</x:f>
        <x:v/>
      </x:c>
      <x:c r="F251" s="331" t="str">
        <x:f>IF($H251="","",IF(INDEX('Game Records'!$B:$B,$H251)="","Start Date; ","")&amp;IF(INDEX('Game Records'!$C:$C,$H251)="","End Date; ","")&amp;IF(AND(INDEX('Game Records'!$U:$U,$H251)&lt;&gt;"Subscription",INDEX('Game Records'!$U:$U,$H251)&lt;&gt;"Free Game",INDEX('Game Records'!$U:$U,$H251)&lt;&gt;"Disqualified — Free Game",OR(INDEX('Game Records'!$D:$D,$H251)="",LOWER(INDEX('Game Records'!$D:$D,$H251)&amp;"")="n/a")),"Entry Mode; ","")&amp;IF(AND(INDEX('Game Records'!$U:$U,$H251)&lt;&gt;"Subscription",INDEX('Game Records'!$U:$U,$H251)&lt;&gt;"Free Game",INDEX('Game Records'!$U:$U,$H251)&lt;&gt;"Disqualified — Free Game",OR(INDEX('Game Records'!$E:$E,$H251)="",LOWER(INDEX('Game Records'!$E:$E,$H251)&amp;"")="n/a")),"Game Type; ","")&amp;IF(INDEX('Game Records'!$F:$F,$H251)="","Payment Type; ","")&amp;IF(AND(INDEX('Game Records'!$U:$U,$H251)&lt;&gt;"Subscription",INDEX('Game Records'!$U:$U,$H251)&lt;&gt;"Free Game",INDEX('Game Records'!$U:$U,$H251)&lt;&gt;"Disqualified — Free Game",INDEX('Game Records'!$G:$G,$H251)=""),"Gross Pot; ","")&amp;IF(AND(INDEX('Game Records'!$U:$U,$H251)&lt;&gt;"Free Game",INDEX('Game Records'!$U:$U,$H251)&lt;&gt;"Disqualified — Free Game",INDEX('Game Records'!$H:$H,$H251)=""),"Entry Fee; ","")&amp;IF(AND(INDEX('Game Records'!$U:$U,$H251)&lt;&gt;"Subscription",INDEX('Game Records'!$U:$U,$H251)&lt;&gt;"Free Game",INDEX('Game Records'!$U:$U,$H251)&lt;&gt;"Disqualified — Free Game",INDEX('Game Records'!$I:$I,$H251)=""),"Eligible Players; ","")&amp;IF(AND(INDEX('Game Records'!$U:$U,$H251)&lt;&gt;"Subscription",INDEX('Game Records'!$U:$U,$H251)&lt;&gt;"Free Game",INDEX('Game Records'!$U:$U,$H251)&lt;&gt;"Disqualified — Free Game",INDEX('Game Records'!$J:$J,$H251)=""),"Total Players; ","")&amp;IF(AND(LOWER(INDEX('Game Records'!$D:$D,$H251)&amp;"")="finalized",LOWER(INDEX('Game Records'!$L:$L,$H251)&amp;"")&lt;&gt;"yes",INDEX('Game Records'!$U:$U,$H251)&lt;&gt;"Subscription",INDEX('Game Records'!$U:$U,$H251)&lt;&gt;"Free Game",INDEX('Game Records'!$U:$U,$H251)&lt;&gt;"Disqualified — Free Game",INDEX('Game Records'!$K:$K,$H251)=""),"Final Earned; ","")&amp;IF(AND(LOWER(INDEX('Game Records'!$D:$D,$H251)&amp;"")="finalized",INDEX('Game Records'!$U:$U,$H251)&lt;&gt;"Subscription",INDEX('Game Records'!$U:$U,$H251)&lt;&gt;"Free Game",INDEX('Game Records'!$U:$U,$H251)&lt;&gt;"Disqualified — Free Game",OR(INDEX('Game Records'!$L:$L,$H251)="",LOWER(INDEX('Game Records'!$L:$L,$H251)&amp;"")="n/a")),"Disqualified Status; ",""))</x:f>
        <x:v/>
      </x:c>
      <x:c r="G251" s="331" t="str">
        <x:f>IF($H251="","",IFERROR(INDEX('Game Records'!$M:$M,$H251),""))</x:f>
        <x:v/>
      </x:c>
      <x:c r="H251" s="104" t="str">
        <x:f>IF($H250="","",IFERROR(MATCH(1,INDEX((ROW('Game Records'!$U$5:$U$504)&gt;$H250)*(('Game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2" ht="24" customHeight="1">
      <x:c r="A252" s="332" t="str">
        <x:f>IF($H252="","",ROWS($A$5:A252))</x:f>
        <x:v/>
      </x:c>
      <x:c r="B252" s="332" t="str">
        <x:f>IF($H252="","","G-"&amp;TEXT($A252,"0000"))</x:f>
        <x:v/>
      </x:c>
      <x:c r="C252" s="331" t="str">
        <x:f>IF($H252="","",IFERROR(INDEX('Game Records'!$A:$A,$H252),""))</x:f>
        <x:v/>
      </x:c>
      <x:c r="D252" s="331" t="str">
        <x:f>IF($H252="","",IFERROR(INDEX('Game Records'!$U:$U,$H252),""))</x:f>
        <x:v/>
      </x:c>
      <x:c r="E252" s="331" t="str">
        <x:f>IF($H252="","",IF($F252="","No Highlighted Fields","Highlighted Fields Present"))</x:f>
        <x:v/>
      </x:c>
      <x:c r="F252" s="331" t="str">
        <x:f>IF($H252="","",IF(INDEX('Game Records'!$B:$B,$H252)="","Start Date; ","")&amp;IF(INDEX('Game Records'!$C:$C,$H252)="","End Date; ","")&amp;IF(AND(INDEX('Game Records'!$U:$U,$H252)&lt;&gt;"Subscription",INDEX('Game Records'!$U:$U,$H252)&lt;&gt;"Free Game",INDEX('Game Records'!$U:$U,$H252)&lt;&gt;"Disqualified — Free Game",OR(INDEX('Game Records'!$D:$D,$H252)="",LOWER(INDEX('Game Records'!$D:$D,$H252)&amp;"")="n/a")),"Entry Mode; ","")&amp;IF(AND(INDEX('Game Records'!$U:$U,$H252)&lt;&gt;"Subscription",INDEX('Game Records'!$U:$U,$H252)&lt;&gt;"Free Game",INDEX('Game Records'!$U:$U,$H252)&lt;&gt;"Disqualified — Free Game",OR(INDEX('Game Records'!$E:$E,$H252)="",LOWER(INDEX('Game Records'!$E:$E,$H252)&amp;"")="n/a")),"Game Type; ","")&amp;IF(INDEX('Game Records'!$F:$F,$H252)="","Payment Type; ","")&amp;IF(AND(INDEX('Game Records'!$U:$U,$H252)&lt;&gt;"Subscription",INDEX('Game Records'!$U:$U,$H252)&lt;&gt;"Free Game",INDEX('Game Records'!$U:$U,$H252)&lt;&gt;"Disqualified — Free Game",INDEX('Game Records'!$G:$G,$H252)=""),"Gross Pot; ","")&amp;IF(AND(INDEX('Game Records'!$U:$U,$H252)&lt;&gt;"Free Game",INDEX('Game Records'!$U:$U,$H252)&lt;&gt;"Disqualified — Free Game",INDEX('Game Records'!$H:$H,$H252)=""),"Entry Fee; ","")&amp;IF(AND(INDEX('Game Records'!$U:$U,$H252)&lt;&gt;"Subscription",INDEX('Game Records'!$U:$U,$H252)&lt;&gt;"Free Game",INDEX('Game Records'!$U:$U,$H252)&lt;&gt;"Disqualified — Free Game",INDEX('Game Records'!$I:$I,$H252)=""),"Eligible Players; ","")&amp;IF(AND(INDEX('Game Records'!$U:$U,$H252)&lt;&gt;"Subscription",INDEX('Game Records'!$U:$U,$H252)&lt;&gt;"Free Game",INDEX('Game Records'!$U:$U,$H252)&lt;&gt;"Disqualified — Free Game",INDEX('Game Records'!$J:$J,$H252)=""),"Total Players; ","")&amp;IF(AND(LOWER(INDEX('Game Records'!$D:$D,$H252)&amp;"")="finalized",LOWER(INDEX('Game Records'!$L:$L,$H252)&amp;"")&lt;&gt;"yes",INDEX('Game Records'!$U:$U,$H252)&lt;&gt;"Subscription",INDEX('Game Records'!$U:$U,$H252)&lt;&gt;"Free Game",INDEX('Game Records'!$U:$U,$H252)&lt;&gt;"Disqualified — Free Game",INDEX('Game Records'!$K:$K,$H252)=""),"Final Earned; ","")&amp;IF(AND(LOWER(INDEX('Game Records'!$D:$D,$H252)&amp;"")="finalized",INDEX('Game Records'!$U:$U,$H252)&lt;&gt;"Subscription",INDEX('Game Records'!$U:$U,$H252)&lt;&gt;"Free Game",INDEX('Game Records'!$U:$U,$H252)&lt;&gt;"Disqualified — Free Game",OR(INDEX('Game Records'!$L:$L,$H252)="",LOWER(INDEX('Game Records'!$L:$L,$H252)&amp;"")="n/a")),"Disqualified Status; ",""))</x:f>
        <x:v/>
      </x:c>
      <x:c r="G252" s="331" t="str">
        <x:f>IF($H252="","",IFERROR(INDEX('Game Records'!$M:$M,$H252),""))</x:f>
        <x:v/>
      </x:c>
      <x:c r="H252" s="104" t="str">
        <x:f>IF($H251="","",IFERROR(MATCH(1,INDEX((ROW('Game Records'!$U$5:$U$504)&gt;$H251)*(('Game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3" ht="24" customHeight="1">
      <x:c r="A253" s="332" t="str">
        <x:f>IF($H253="","",ROWS($A$5:A253))</x:f>
        <x:v/>
      </x:c>
      <x:c r="B253" s="332" t="str">
        <x:f>IF($H253="","","G-"&amp;TEXT($A253,"0000"))</x:f>
        <x:v/>
      </x:c>
      <x:c r="C253" s="331" t="str">
        <x:f>IF($H253="","",IFERROR(INDEX('Game Records'!$A:$A,$H253),""))</x:f>
        <x:v/>
      </x:c>
      <x:c r="D253" s="331" t="str">
        <x:f>IF($H253="","",IFERROR(INDEX('Game Records'!$U:$U,$H253),""))</x:f>
        <x:v/>
      </x:c>
      <x:c r="E253" s="331" t="str">
        <x:f>IF($H253="","",IF($F253="","No Highlighted Fields","Highlighted Fields Present"))</x:f>
        <x:v/>
      </x:c>
      <x:c r="F253" s="331" t="str">
        <x:f>IF($H253="","",IF(INDEX('Game Records'!$B:$B,$H253)="","Start Date; ","")&amp;IF(INDEX('Game Records'!$C:$C,$H253)="","End Date; ","")&amp;IF(AND(INDEX('Game Records'!$U:$U,$H253)&lt;&gt;"Subscription",INDEX('Game Records'!$U:$U,$H253)&lt;&gt;"Free Game",INDEX('Game Records'!$U:$U,$H253)&lt;&gt;"Disqualified — Free Game",OR(INDEX('Game Records'!$D:$D,$H253)="",LOWER(INDEX('Game Records'!$D:$D,$H253)&amp;"")="n/a")),"Entry Mode; ","")&amp;IF(AND(INDEX('Game Records'!$U:$U,$H253)&lt;&gt;"Subscription",INDEX('Game Records'!$U:$U,$H253)&lt;&gt;"Free Game",INDEX('Game Records'!$U:$U,$H253)&lt;&gt;"Disqualified — Free Game",OR(INDEX('Game Records'!$E:$E,$H253)="",LOWER(INDEX('Game Records'!$E:$E,$H253)&amp;"")="n/a")),"Game Type; ","")&amp;IF(INDEX('Game Records'!$F:$F,$H253)="","Payment Type; ","")&amp;IF(AND(INDEX('Game Records'!$U:$U,$H253)&lt;&gt;"Subscription",INDEX('Game Records'!$U:$U,$H253)&lt;&gt;"Free Game",INDEX('Game Records'!$U:$U,$H253)&lt;&gt;"Disqualified — Free Game",INDEX('Game Records'!$G:$G,$H253)=""),"Gross Pot; ","")&amp;IF(AND(INDEX('Game Records'!$U:$U,$H253)&lt;&gt;"Free Game",INDEX('Game Records'!$U:$U,$H253)&lt;&gt;"Disqualified — Free Game",INDEX('Game Records'!$H:$H,$H253)=""),"Entry Fee; ","")&amp;IF(AND(INDEX('Game Records'!$U:$U,$H253)&lt;&gt;"Subscription",INDEX('Game Records'!$U:$U,$H253)&lt;&gt;"Free Game",INDEX('Game Records'!$U:$U,$H253)&lt;&gt;"Disqualified — Free Game",INDEX('Game Records'!$I:$I,$H253)=""),"Eligible Players; ","")&amp;IF(AND(INDEX('Game Records'!$U:$U,$H253)&lt;&gt;"Subscription",INDEX('Game Records'!$U:$U,$H253)&lt;&gt;"Free Game",INDEX('Game Records'!$U:$U,$H253)&lt;&gt;"Disqualified — Free Game",INDEX('Game Records'!$J:$J,$H253)=""),"Total Players; ","")&amp;IF(AND(LOWER(INDEX('Game Records'!$D:$D,$H253)&amp;"")="finalized",LOWER(INDEX('Game Records'!$L:$L,$H253)&amp;"")&lt;&gt;"yes",INDEX('Game Records'!$U:$U,$H253)&lt;&gt;"Subscription",INDEX('Game Records'!$U:$U,$H253)&lt;&gt;"Free Game",INDEX('Game Records'!$U:$U,$H253)&lt;&gt;"Disqualified — Free Game",INDEX('Game Records'!$K:$K,$H253)=""),"Final Earned; ","")&amp;IF(AND(LOWER(INDEX('Game Records'!$D:$D,$H253)&amp;"")="finalized",INDEX('Game Records'!$U:$U,$H253)&lt;&gt;"Subscription",INDEX('Game Records'!$U:$U,$H253)&lt;&gt;"Free Game",INDEX('Game Records'!$U:$U,$H253)&lt;&gt;"Disqualified — Free Game",OR(INDEX('Game Records'!$L:$L,$H253)="",LOWER(INDEX('Game Records'!$L:$L,$H253)&amp;"")="n/a")),"Disqualified Status; ",""))</x:f>
        <x:v/>
      </x:c>
      <x:c r="G253" s="331" t="str">
        <x:f>IF($H253="","",IFERROR(INDEX('Game Records'!$M:$M,$H253),""))</x:f>
        <x:v/>
      </x:c>
      <x:c r="H253" s="104" t="str">
        <x:f>IF($H252="","",IFERROR(MATCH(1,INDEX((ROW('Game Records'!$U$5:$U$504)&gt;$H252)*(('Game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4" ht="24" customHeight="1">
      <x:c r="A254" s="332" t="str">
        <x:f>IF($H254="","",ROWS($A$5:A254))</x:f>
        <x:v/>
      </x:c>
      <x:c r="B254" s="332" t="str">
        <x:f>IF($H254="","","G-"&amp;TEXT($A254,"0000"))</x:f>
        <x:v/>
      </x:c>
      <x:c r="C254" s="331" t="str">
        <x:f>IF($H254="","",IFERROR(INDEX('Game Records'!$A:$A,$H254),""))</x:f>
        <x:v/>
      </x:c>
      <x:c r="D254" s="331" t="str">
        <x:f>IF($H254="","",IFERROR(INDEX('Game Records'!$U:$U,$H254),""))</x:f>
        <x:v/>
      </x:c>
      <x:c r="E254" s="331" t="str">
        <x:f>IF($H254="","",IF($F254="","No Highlighted Fields","Highlighted Fields Present"))</x:f>
        <x:v/>
      </x:c>
      <x:c r="F254" s="331" t="str">
        <x:f>IF($H254="","",IF(INDEX('Game Records'!$B:$B,$H254)="","Start Date; ","")&amp;IF(INDEX('Game Records'!$C:$C,$H254)="","End Date; ","")&amp;IF(AND(INDEX('Game Records'!$U:$U,$H254)&lt;&gt;"Subscription",INDEX('Game Records'!$U:$U,$H254)&lt;&gt;"Free Game",INDEX('Game Records'!$U:$U,$H254)&lt;&gt;"Disqualified — Free Game",OR(INDEX('Game Records'!$D:$D,$H254)="",LOWER(INDEX('Game Records'!$D:$D,$H254)&amp;"")="n/a")),"Entry Mode; ","")&amp;IF(AND(INDEX('Game Records'!$U:$U,$H254)&lt;&gt;"Subscription",INDEX('Game Records'!$U:$U,$H254)&lt;&gt;"Free Game",INDEX('Game Records'!$U:$U,$H254)&lt;&gt;"Disqualified — Free Game",OR(INDEX('Game Records'!$E:$E,$H254)="",LOWER(INDEX('Game Records'!$E:$E,$H254)&amp;"")="n/a")),"Game Type; ","")&amp;IF(INDEX('Game Records'!$F:$F,$H254)="","Payment Type; ","")&amp;IF(AND(INDEX('Game Records'!$U:$U,$H254)&lt;&gt;"Subscription",INDEX('Game Records'!$U:$U,$H254)&lt;&gt;"Free Game",INDEX('Game Records'!$U:$U,$H254)&lt;&gt;"Disqualified — Free Game",INDEX('Game Records'!$G:$G,$H254)=""),"Gross Pot; ","")&amp;IF(AND(INDEX('Game Records'!$U:$U,$H254)&lt;&gt;"Free Game",INDEX('Game Records'!$U:$U,$H254)&lt;&gt;"Disqualified — Free Game",INDEX('Game Records'!$H:$H,$H254)=""),"Entry Fee; ","")&amp;IF(AND(INDEX('Game Records'!$U:$U,$H254)&lt;&gt;"Subscription",INDEX('Game Records'!$U:$U,$H254)&lt;&gt;"Free Game",INDEX('Game Records'!$U:$U,$H254)&lt;&gt;"Disqualified — Free Game",INDEX('Game Records'!$I:$I,$H254)=""),"Eligible Players; ","")&amp;IF(AND(INDEX('Game Records'!$U:$U,$H254)&lt;&gt;"Subscription",INDEX('Game Records'!$U:$U,$H254)&lt;&gt;"Free Game",INDEX('Game Records'!$U:$U,$H254)&lt;&gt;"Disqualified — Free Game",INDEX('Game Records'!$J:$J,$H254)=""),"Total Players; ","")&amp;IF(AND(LOWER(INDEX('Game Records'!$D:$D,$H254)&amp;"")="finalized",LOWER(INDEX('Game Records'!$L:$L,$H254)&amp;"")&lt;&gt;"yes",INDEX('Game Records'!$U:$U,$H254)&lt;&gt;"Subscription",INDEX('Game Records'!$U:$U,$H254)&lt;&gt;"Free Game",INDEX('Game Records'!$U:$U,$H254)&lt;&gt;"Disqualified — Free Game",INDEX('Game Records'!$K:$K,$H254)=""),"Final Earned; ","")&amp;IF(AND(LOWER(INDEX('Game Records'!$D:$D,$H254)&amp;"")="finalized",INDEX('Game Records'!$U:$U,$H254)&lt;&gt;"Subscription",INDEX('Game Records'!$U:$U,$H254)&lt;&gt;"Free Game",INDEX('Game Records'!$U:$U,$H254)&lt;&gt;"Disqualified — Free Game",OR(INDEX('Game Records'!$L:$L,$H254)="",LOWER(INDEX('Game Records'!$L:$L,$H254)&amp;"")="n/a")),"Disqualified Status; ",""))</x:f>
        <x:v/>
      </x:c>
      <x:c r="G254" s="331" t="str">
        <x:f>IF($H254="","",IFERROR(INDEX('Game Records'!$M:$M,$H254),""))</x:f>
        <x:v/>
      </x:c>
      <x:c r="H254" s="104" t="str">
        <x:f>IF($H253="","",IFERROR(MATCH(1,INDEX((ROW('Game Records'!$U$5:$U$504)&gt;$H253)*(('Game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5" ht="24" customHeight="1">
      <x:c r="A255" s="332" t="str">
        <x:f>IF($H255="","",ROWS($A$5:A255))</x:f>
        <x:v/>
      </x:c>
      <x:c r="B255" s="332" t="str">
        <x:f>IF($H255="","","G-"&amp;TEXT($A255,"0000"))</x:f>
        <x:v/>
      </x:c>
      <x:c r="C255" s="331" t="str">
        <x:f>IF($H255="","",IFERROR(INDEX('Game Records'!$A:$A,$H255),""))</x:f>
        <x:v/>
      </x:c>
      <x:c r="D255" s="331" t="str">
        <x:f>IF($H255="","",IFERROR(INDEX('Game Records'!$U:$U,$H255),""))</x:f>
        <x:v/>
      </x:c>
      <x:c r="E255" s="331" t="str">
        <x:f>IF($H255="","",IF($F255="","No Highlighted Fields","Highlighted Fields Present"))</x:f>
        <x:v/>
      </x:c>
      <x:c r="F255" s="331" t="str">
        <x:f>IF($H255="","",IF(INDEX('Game Records'!$B:$B,$H255)="","Start Date; ","")&amp;IF(INDEX('Game Records'!$C:$C,$H255)="","End Date; ","")&amp;IF(AND(INDEX('Game Records'!$U:$U,$H255)&lt;&gt;"Subscription",INDEX('Game Records'!$U:$U,$H255)&lt;&gt;"Free Game",INDEX('Game Records'!$U:$U,$H255)&lt;&gt;"Disqualified — Free Game",OR(INDEX('Game Records'!$D:$D,$H255)="",LOWER(INDEX('Game Records'!$D:$D,$H255)&amp;"")="n/a")),"Entry Mode; ","")&amp;IF(AND(INDEX('Game Records'!$U:$U,$H255)&lt;&gt;"Subscription",INDEX('Game Records'!$U:$U,$H255)&lt;&gt;"Free Game",INDEX('Game Records'!$U:$U,$H255)&lt;&gt;"Disqualified — Free Game",OR(INDEX('Game Records'!$E:$E,$H255)="",LOWER(INDEX('Game Records'!$E:$E,$H255)&amp;"")="n/a")),"Game Type; ","")&amp;IF(INDEX('Game Records'!$F:$F,$H255)="","Payment Type; ","")&amp;IF(AND(INDEX('Game Records'!$U:$U,$H255)&lt;&gt;"Subscription",INDEX('Game Records'!$U:$U,$H255)&lt;&gt;"Free Game",INDEX('Game Records'!$U:$U,$H255)&lt;&gt;"Disqualified — Free Game",INDEX('Game Records'!$G:$G,$H255)=""),"Gross Pot; ","")&amp;IF(AND(INDEX('Game Records'!$U:$U,$H255)&lt;&gt;"Free Game",INDEX('Game Records'!$U:$U,$H255)&lt;&gt;"Disqualified — Free Game",INDEX('Game Records'!$H:$H,$H255)=""),"Entry Fee; ","")&amp;IF(AND(INDEX('Game Records'!$U:$U,$H255)&lt;&gt;"Subscription",INDEX('Game Records'!$U:$U,$H255)&lt;&gt;"Free Game",INDEX('Game Records'!$U:$U,$H255)&lt;&gt;"Disqualified — Free Game",INDEX('Game Records'!$I:$I,$H255)=""),"Eligible Players; ","")&amp;IF(AND(INDEX('Game Records'!$U:$U,$H255)&lt;&gt;"Subscription",INDEX('Game Records'!$U:$U,$H255)&lt;&gt;"Free Game",INDEX('Game Records'!$U:$U,$H255)&lt;&gt;"Disqualified — Free Game",INDEX('Game Records'!$J:$J,$H255)=""),"Total Players; ","")&amp;IF(AND(LOWER(INDEX('Game Records'!$D:$D,$H255)&amp;"")="finalized",LOWER(INDEX('Game Records'!$L:$L,$H255)&amp;"")&lt;&gt;"yes",INDEX('Game Records'!$U:$U,$H255)&lt;&gt;"Subscription",INDEX('Game Records'!$U:$U,$H255)&lt;&gt;"Free Game",INDEX('Game Records'!$U:$U,$H255)&lt;&gt;"Disqualified — Free Game",INDEX('Game Records'!$K:$K,$H255)=""),"Final Earned; ","")&amp;IF(AND(LOWER(INDEX('Game Records'!$D:$D,$H255)&amp;"")="finalized",INDEX('Game Records'!$U:$U,$H255)&lt;&gt;"Subscription",INDEX('Game Records'!$U:$U,$H255)&lt;&gt;"Free Game",INDEX('Game Records'!$U:$U,$H255)&lt;&gt;"Disqualified — Free Game",OR(INDEX('Game Records'!$L:$L,$H255)="",LOWER(INDEX('Game Records'!$L:$L,$H255)&amp;"")="n/a")),"Disqualified Status; ",""))</x:f>
        <x:v/>
      </x:c>
      <x:c r="G255" s="331" t="str">
        <x:f>IF($H255="","",IFERROR(INDEX('Game Records'!$M:$M,$H255),""))</x:f>
        <x:v/>
      </x:c>
      <x:c r="H255" s="104" t="str">
        <x:f>IF($H254="","",IFERROR(MATCH(1,INDEX((ROW('Game Records'!$U$5:$U$504)&gt;$H254)*(('Game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6" ht="24" customHeight="1">
      <x:c r="A256" s="332" t="str">
        <x:f>IF($H256="","",ROWS($A$5:A256))</x:f>
        <x:v/>
      </x:c>
      <x:c r="B256" s="332" t="str">
        <x:f>IF($H256="","","G-"&amp;TEXT($A256,"0000"))</x:f>
        <x:v/>
      </x:c>
      <x:c r="C256" s="331" t="str">
        <x:f>IF($H256="","",IFERROR(INDEX('Game Records'!$A:$A,$H256),""))</x:f>
        <x:v/>
      </x:c>
      <x:c r="D256" s="331" t="str">
        <x:f>IF($H256="","",IFERROR(INDEX('Game Records'!$U:$U,$H256),""))</x:f>
        <x:v/>
      </x:c>
      <x:c r="E256" s="331" t="str">
        <x:f>IF($H256="","",IF($F256="","No Highlighted Fields","Highlighted Fields Present"))</x:f>
        <x:v/>
      </x:c>
      <x:c r="F256" s="331" t="str">
        <x:f>IF($H256="","",IF(INDEX('Game Records'!$B:$B,$H256)="","Start Date; ","")&amp;IF(INDEX('Game Records'!$C:$C,$H256)="","End Date; ","")&amp;IF(AND(INDEX('Game Records'!$U:$U,$H256)&lt;&gt;"Subscription",INDEX('Game Records'!$U:$U,$H256)&lt;&gt;"Free Game",INDEX('Game Records'!$U:$U,$H256)&lt;&gt;"Disqualified — Free Game",OR(INDEX('Game Records'!$D:$D,$H256)="",LOWER(INDEX('Game Records'!$D:$D,$H256)&amp;"")="n/a")),"Entry Mode; ","")&amp;IF(AND(INDEX('Game Records'!$U:$U,$H256)&lt;&gt;"Subscription",INDEX('Game Records'!$U:$U,$H256)&lt;&gt;"Free Game",INDEX('Game Records'!$U:$U,$H256)&lt;&gt;"Disqualified — Free Game",OR(INDEX('Game Records'!$E:$E,$H256)="",LOWER(INDEX('Game Records'!$E:$E,$H256)&amp;"")="n/a")),"Game Type; ","")&amp;IF(INDEX('Game Records'!$F:$F,$H256)="","Payment Type; ","")&amp;IF(AND(INDEX('Game Records'!$U:$U,$H256)&lt;&gt;"Subscription",INDEX('Game Records'!$U:$U,$H256)&lt;&gt;"Free Game",INDEX('Game Records'!$U:$U,$H256)&lt;&gt;"Disqualified — Free Game",INDEX('Game Records'!$G:$G,$H256)=""),"Gross Pot; ","")&amp;IF(AND(INDEX('Game Records'!$U:$U,$H256)&lt;&gt;"Free Game",INDEX('Game Records'!$U:$U,$H256)&lt;&gt;"Disqualified — Free Game",INDEX('Game Records'!$H:$H,$H256)=""),"Entry Fee; ","")&amp;IF(AND(INDEX('Game Records'!$U:$U,$H256)&lt;&gt;"Subscription",INDEX('Game Records'!$U:$U,$H256)&lt;&gt;"Free Game",INDEX('Game Records'!$U:$U,$H256)&lt;&gt;"Disqualified — Free Game",INDEX('Game Records'!$I:$I,$H256)=""),"Eligible Players; ","")&amp;IF(AND(INDEX('Game Records'!$U:$U,$H256)&lt;&gt;"Subscription",INDEX('Game Records'!$U:$U,$H256)&lt;&gt;"Free Game",INDEX('Game Records'!$U:$U,$H256)&lt;&gt;"Disqualified — Free Game",INDEX('Game Records'!$J:$J,$H256)=""),"Total Players; ","")&amp;IF(AND(LOWER(INDEX('Game Records'!$D:$D,$H256)&amp;"")="finalized",LOWER(INDEX('Game Records'!$L:$L,$H256)&amp;"")&lt;&gt;"yes",INDEX('Game Records'!$U:$U,$H256)&lt;&gt;"Subscription",INDEX('Game Records'!$U:$U,$H256)&lt;&gt;"Free Game",INDEX('Game Records'!$U:$U,$H256)&lt;&gt;"Disqualified — Free Game",INDEX('Game Records'!$K:$K,$H256)=""),"Final Earned; ","")&amp;IF(AND(LOWER(INDEX('Game Records'!$D:$D,$H256)&amp;"")="finalized",INDEX('Game Records'!$U:$U,$H256)&lt;&gt;"Subscription",INDEX('Game Records'!$U:$U,$H256)&lt;&gt;"Free Game",INDEX('Game Records'!$U:$U,$H256)&lt;&gt;"Disqualified — Free Game",OR(INDEX('Game Records'!$L:$L,$H256)="",LOWER(INDEX('Game Records'!$L:$L,$H256)&amp;"")="n/a")),"Disqualified Status; ",""))</x:f>
        <x:v/>
      </x:c>
      <x:c r="G256" s="331" t="str">
        <x:f>IF($H256="","",IFERROR(INDEX('Game Records'!$M:$M,$H256),""))</x:f>
        <x:v/>
      </x:c>
      <x:c r="H256" s="104" t="str">
        <x:f>IF($H255="","",IFERROR(MATCH(1,INDEX((ROW('Game Records'!$U$5:$U$504)&gt;$H255)*(('Game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7" ht="24" customHeight="1">
      <x:c r="A257" s="332" t="str">
        <x:f>IF($H257="","",ROWS($A$5:A257))</x:f>
        <x:v/>
      </x:c>
      <x:c r="B257" s="332" t="str">
        <x:f>IF($H257="","","G-"&amp;TEXT($A257,"0000"))</x:f>
        <x:v/>
      </x:c>
      <x:c r="C257" s="331" t="str">
        <x:f>IF($H257="","",IFERROR(INDEX('Game Records'!$A:$A,$H257),""))</x:f>
        <x:v/>
      </x:c>
      <x:c r="D257" s="331" t="str">
        <x:f>IF($H257="","",IFERROR(INDEX('Game Records'!$U:$U,$H257),""))</x:f>
        <x:v/>
      </x:c>
      <x:c r="E257" s="331" t="str">
        <x:f>IF($H257="","",IF($F257="","No Highlighted Fields","Highlighted Fields Present"))</x:f>
        <x:v/>
      </x:c>
      <x:c r="F257" s="331" t="str">
        <x:f>IF($H257="","",IF(INDEX('Game Records'!$B:$B,$H257)="","Start Date; ","")&amp;IF(INDEX('Game Records'!$C:$C,$H257)="","End Date; ","")&amp;IF(AND(INDEX('Game Records'!$U:$U,$H257)&lt;&gt;"Subscription",INDEX('Game Records'!$U:$U,$H257)&lt;&gt;"Free Game",INDEX('Game Records'!$U:$U,$H257)&lt;&gt;"Disqualified — Free Game",OR(INDEX('Game Records'!$D:$D,$H257)="",LOWER(INDEX('Game Records'!$D:$D,$H257)&amp;"")="n/a")),"Entry Mode; ","")&amp;IF(AND(INDEX('Game Records'!$U:$U,$H257)&lt;&gt;"Subscription",INDEX('Game Records'!$U:$U,$H257)&lt;&gt;"Free Game",INDEX('Game Records'!$U:$U,$H257)&lt;&gt;"Disqualified — Free Game",OR(INDEX('Game Records'!$E:$E,$H257)="",LOWER(INDEX('Game Records'!$E:$E,$H257)&amp;"")="n/a")),"Game Type; ","")&amp;IF(INDEX('Game Records'!$F:$F,$H257)="","Payment Type; ","")&amp;IF(AND(INDEX('Game Records'!$U:$U,$H257)&lt;&gt;"Subscription",INDEX('Game Records'!$U:$U,$H257)&lt;&gt;"Free Game",INDEX('Game Records'!$U:$U,$H257)&lt;&gt;"Disqualified — Free Game",INDEX('Game Records'!$G:$G,$H257)=""),"Gross Pot; ","")&amp;IF(AND(INDEX('Game Records'!$U:$U,$H257)&lt;&gt;"Free Game",INDEX('Game Records'!$U:$U,$H257)&lt;&gt;"Disqualified — Free Game",INDEX('Game Records'!$H:$H,$H257)=""),"Entry Fee; ","")&amp;IF(AND(INDEX('Game Records'!$U:$U,$H257)&lt;&gt;"Subscription",INDEX('Game Records'!$U:$U,$H257)&lt;&gt;"Free Game",INDEX('Game Records'!$U:$U,$H257)&lt;&gt;"Disqualified — Free Game",INDEX('Game Records'!$I:$I,$H257)=""),"Eligible Players; ","")&amp;IF(AND(INDEX('Game Records'!$U:$U,$H257)&lt;&gt;"Subscription",INDEX('Game Records'!$U:$U,$H257)&lt;&gt;"Free Game",INDEX('Game Records'!$U:$U,$H257)&lt;&gt;"Disqualified — Free Game",INDEX('Game Records'!$J:$J,$H257)=""),"Total Players; ","")&amp;IF(AND(LOWER(INDEX('Game Records'!$D:$D,$H257)&amp;"")="finalized",LOWER(INDEX('Game Records'!$L:$L,$H257)&amp;"")&lt;&gt;"yes",INDEX('Game Records'!$U:$U,$H257)&lt;&gt;"Subscription",INDEX('Game Records'!$U:$U,$H257)&lt;&gt;"Free Game",INDEX('Game Records'!$U:$U,$H257)&lt;&gt;"Disqualified — Free Game",INDEX('Game Records'!$K:$K,$H257)=""),"Final Earned; ","")&amp;IF(AND(LOWER(INDEX('Game Records'!$D:$D,$H257)&amp;"")="finalized",INDEX('Game Records'!$U:$U,$H257)&lt;&gt;"Subscription",INDEX('Game Records'!$U:$U,$H257)&lt;&gt;"Free Game",INDEX('Game Records'!$U:$U,$H257)&lt;&gt;"Disqualified — Free Game",OR(INDEX('Game Records'!$L:$L,$H257)="",LOWER(INDEX('Game Records'!$L:$L,$H257)&amp;"")="n/a")),"Disqualified Status; ",""))</x:f>
        <x:v/>
      </x:c>
      <x:c r="G257" s="331" t="str">
        <x:f>IF($H257="","",IFERROR(INDEX('Game Records'!$M:$M,$H257),""))</x:f>
        <x:v/>
      </x:c>
      <x:c r="H257" s="104" t="str">
        <x:f>IF($H256="","",IFERROR(MATCH(1,INDEX((ROW('Game Records'!$U$5:$U$504)&gt;$H256)*(('Game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8" ht="24" customHeight="1">
      <x:c r="A258" s="332" t="str">
        <x:f>IF($H258="","",ROWS($A$5:A258))</x:f>
        <x:v/>
      </x:c>
      <x:c r="B258" s="332" t="str">
        <x:f>IF($H258="","","G-"&amp;TEXT($A258,"0000"))</x:f>
        <x:v/>
      </x:c>
      <x:c r="C258" s="331" t="str">
        <x:f>IF($H258="","",IFERROR(INDEX('Game Records'!$A:$A,$H258),""))</x:f>
        <x:v/>
      </x:c>
      <x:c r="D258" s="331" t="str">
        <x:f>IF($H258="","",IFERROR(INDEX('Game Records'!$U:$U,$H258),""))</x:f>
        <x:v/>
      </x:c>
      <x:c r="E258" s="331" t="str">
        <x:f>IF($H258="","",IF($F258="","No Highlighted Fields","Highlighted Fields Present"))</x:f>
        <x:v/>
      </x:c>
      <x:c r="F258" s="331" t="str">
        <x:f>IF($H258="","",IF(INDEX('Game Records'!$B:$B,$H258)="","Start Date; ","")&amp;IF(INDEX('Game Records'!$C:$C,$H258)="","End Date; ","")&amp;IF(AND(INDEX('Game Records'!$U:$U,$H258)&lt;&gt;"Subscription",INDEX('Game Records'!$U:$U,$H258)&lt;&gt;"Free Game",INDEX('Game Records'!$U:$U,$H258)&lt;&gt;"Disqualified — Free Game",OR(INDEX('Game Records'!$D:$D,$H258)="",LOWER(INDEX('Game Records'!$D:$D,$H258)&amp;"")="n/a")),"Entry Mode; ","")&amp;IF(AND(INDEX('Game Records'!$U:$U,$H258)&lt;&gt;"Subscription",INDEX('Game Records'!$U:$U,$H258)&lt;&gt;"Free Game",INDEX('Game Records'!$U:$U,$H258)&lt;&gt;"Disqualified — Free Game",OR(INDEX('Game Records'!$E:$E,$H258)="",LOWER(INDEX('Game Records'!$E:$E,$H258)&amp;"")="n/a")),"Game Type; ","")&amp;IF(INDEX('Game Records'!$F:$F,$H258)="","Payment Type; ","")&amp;IF(AND(INDEX('Game Records'!$U:$U,$H258)&lt;&gt;"Subscription",INDEX('Game Records'!$U:$U,$H258)&lt;&gt;"Free Game",INDEX('Game Records'!$U:$U,$H258)&lt;&gt;"Disqualified — Free Game",INDEX('Game Records'!$G:$G,$H258)=""),"Gross Pot; ","")&amp;IF(AND(INDEX('Game Records'!$U:$U,$H258)&lt;&gt;"Free Game",INDEX('Game Records'!$U:$U,$H258)&lt;&gt;"Disqualified — Free Game",INDEX('Game Records'!$H:$H,$H258)=""),"Entry Fee; ","")&amp;IF(AND(INDEX('Game Records'!$U:$U,$H258)&lt;&gt;"Subscription",INDEX('Game Records'!$U:$U,$H258)&lt;&gt;"Free Game",INDEX('Game Records'!$U:$U,$H258)&lt;&gt;"Disqualified — Free Game",INDEX('Game Records'!$I:$I,$H258)=""),"Eligible Players; ","")&amp;IF(AND(INDEX('Game Records'!$U:$U,$H258)&lt;&gt;"Subscription",INDEX('Game Records'!$U:$U,$H258)&lt;&gt;"Free Game",INDEX('Game Records'!$U:$U,$H258)&lt;&gt;"Disqualified — Free Game",INDEX('Game Records'!$J:$J,$H258)=""),"Total Players; ","")&amp;IF(AND(LOWER(INDEX('Game Records'!$D:$D,$H258)&amp;"")="finalized",LOWER(INDEX('Game Records'!$L:$L,$H258)&amp;"")&lt;&gt;"yes",INDEX('Game Records'!$U:$U,$H258)&lt;&gt;"Subscription",INDEX('Game Records'!$U:$U,$H258)&lt;&gt;"Free Game",INDEX('Game Records'!$U:$U,$H258)&lt;&gt;"Disqualified — Free Game",INDEX('Game Records'!$K:$K,$H258)=""),"Final Earned; ","")&amp;IF(AND(LOWER(INDEX('Game Records'!$D:$D,$H258)&amp;"")="finalized",INDEX('Game Records'!$U:$U,$H258)&lt;&gt;"Subscription",INDEX('Game Records'!$U:$U,$H258)&lt;&gt;"Free Game",INDEX('Game Records'!$U:$U,$H258)&lt;&gt;"Disqualified — Free Game",OR(INDEX('Game Records'!$L:$L,$H258)="",LOWER(INDEX('Game Records'!$L:$L,$H258)&amp;"")="n/a")),"Disqualified Status; ",""))</x:f>
        <x:v/>
      </x:c>
      <x:c r="G258" s="331" t="str">
        <x:f>IF($H258="","",IFERROR(INDEX('Game Records'!$M:$M,$H258),""))</x:f>
        <x:v/>
      </x:c>
      <x:c r="H258" s="104" t="str">
        <x:f>IF($H257="","",IFERROR(MATCH(1,INDEX((ROW('Game Records'!$U$5:$U$504)&gt;$H257)*(('Game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59" ht="24" customHeight="1">
      <x:c r="A259" s="332" t="str">
        <x:f>IF($H259="","",ROWS($A$5:A259))</x:f>
        <x:v/>
      </x:c>
      <x:c r="B259" s="332" t="str">
        <x:f>IF($H259="","","G-"&amp;TEXT($A259,"0000"))</x:f>
        <x:v/>
      </x:c>
      <x:c r="C259" s="331" t="str">
        <x:f>IF($H259="","",IFERROR(INDEX('Game Records'!$A:$A,$H259),""))</x:f>
        <x:v/>
      </x:c>
      <x:c r="D259" s="331" t="str">
        <x:f>IF($H259="","",IFERROR(INDEX('Game Records'!$U:$U,$H259),""))</x:f>
        <x:v/>
      </x:c>
      <x:c r="E259" s="331" t="str">
        <x:f>IF($H259="","",IF($F259="","No Highlighted Fields","Highlighted Fields Present"))</x:f>
        <x:v/>
      </x:c>
      <x:c r="F259" s="331" t="str">
        <x:f>IF($H259="","",IF(INDEX('Game Records'!$B:$B,$H259)="","Start Date; ","")&amp;IF(INDEX('Game Records'!$C:$C,$H259)="","End Date; ","")&amp;IF(AND(INDEX('Game Records'!$U:$U,$H259)&lt;&gt;"Subscription",INDEX('Game Records'!$U:$U,$H259)&lt;&gt;"Free Game",INDEX('Game Records'!$U:$U,$H259)&lt;&gt;"Disqualified — Free Game",OR(INDEX('Game Records'!$D:$D,$H259)="",LOWER(INDEX('Game Records'!$D:$D,$H259)&amp;"")="n/a")),"Entry Mode; ","")&amp;IF(AND(INDEX('Game Records'!$U:$U,$H259)&lt;&gt;"Subscription",INDEX('Game Records'!$U:$U,$H259)&lt;&gt;"Free Game",INDEX('Game Records'!$U:$U,$H259)&lt;&gt;"Disqualified — Free Game",OR(INDEX('Game Records'!$E:$E,$H259)="",LOWER(INDEX('Game Records'!$E:$E,$H259)&amp;"")="n/a")),"Game Type; ","")&amp;IF(INDEX('Game Records'!$F:$F,$H259)="","Payment Type; ","")&amp;IF(AND(INDEX('Game Records'!$U:$U,$H259)&lt;&gt;"Subscription",INDEX('Game Records'!$U:$U,$H259)&lt;&gt;"Free Game",INDEX('Game Records'!$U:$U,$H259)&lt;&gt;"Disqualified — Free Game",INDEX('Game Records'!$G:$G,$H259)=""),"Gross Pot; ","")&amp;IF(AND(INDEX('Game Records'!$U:$U,$H259)&lt;&gt;"Free Game",INDEX('Game Records'!$U:$U,$H259)&lt;&gt;"Disqualified — Free Game",INDEX('Game Records'!$H:$H,$H259)=""),"Entry Fee; ","")&amp;IF(AND(INDEX('Game Records'!$U:$U,$H259)&lt;&gt;"Subscription",INDEX('Game Records'!$U:$U,$H259)&lt;&gt;"Free Game",INDEX('Game Records'!$U:$U,$H259)&lt;&gt;"Disqualified — Free Game",INDEX('Game Records'!$I:$I,$H259)=""),"Eligible Players; ","")&amp;IF(AND(INDEX('Game Records'!$U:$U,$H259)&lt;&gt;"Subscription",INDEX('Game Records'!$U:$U,$H259)&lt;&gt;"Free Game",INDEX('Game Records'!$U:$U,$H259)&lt;&gt;"Disqualified — Free Game",INDEX('Game Records'!$J:$J,$H259)=""),"Total Players; ","")&amp;IF(AND(LOWER(INDEX('Game Records'!$D:$D,$H259)&amp;"")="finalized",LOWER(INDEX('Game Records'!$L:$L,$H259)&amp;"")&lt;&gt;"yes",INDEX('Game Records'!$U:$U,$H259)&lt;&gt;"Subscription",INDEX('Game Records'!$U:$U,$H259)&lt;&gt;"Free Game",INDEX('Game Records'!$U:$U,$H259)&lt;&gt;"Disqualified — Free Game",INDEX('Game Records'!$K:$K,$H259)=""),"Final Earned; ","")&amp;IF(AND(LOWER(INDEX('Game Records'!$D:$D,$H259)&amp;"")="finalized",INDEX('Game Records'!$U:$U,$H259)&lt;&gt;"Subscription",INDEX('Game Records'!$U:$U,$H259)&lt;&gt;"Free Game",INDEX('Game Records'!$U:$U,$H259)&lt;&gt;"Disqualified — Free Game",OR(INDEX('Game Records'!$L:$L,$H259)="",LOWER(INDEX('Game Records'!$L:$L,$H259)&amp;"")="n/a")),"Disqualified Status; ",""))</x:f>
        <x:v/>
      </x:c>
      <x:c r="G259" s="331" t="str">
        <x:f>IF($H259="","",IFERROR(INDEX('Game Records'!$M:$M,$H259),""))</x:f>
        <x:v/>
      </x:c>
      <x:c r="H259" s="104" t="str">
        <x:f>IF($H258="","",IFERROR(MATCH(1,INDEX((ROW('Game Records'!$U$5:$U$504)&gt;$H258)*(('Game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0" ht="24" customHeight="1">
      <x:c r="A260" s="332" t="str">
        <x:f>IF($H260="","",ROWS($A$5:A260))</x:f>
        <x:v/>
      </x:c>
      <x:c r="B260" s="332" t="str">
        <x:f>IF($H260="","","G-"&amp;TEXT($A260,"0000"))</x:f>
        <x:v/>
      </x:c>
      <x:c r="C260" s="331" t="str">
        <x:f>IF($H260="","",IFERROR(INDEX('Game Records'!$A:$A,$H260),""))</x:f>
        <x:v/>
      </x:c>
      <x:c r="D260" s="331" t="str">
        <x:f>IF($H260="","",IFERROR(INDEX('Game Records'!$U:$U,$H260),""))</x:f>
        <x:v/>
      </x:c>
      <x:c r="E260" s="331" t="str">
        <x:f>IF($H260="","",IF($F260="","No Highlighted Fields","Highlighted Fields Present"))</x:f>
        <x:v/>
      </x:c>
      <x:c r="F260" s="331" t="str">
        <x:f>IF($H260="","",IF(INDEX('Game Records'!$B:$B,$H260)="","Start Date; ","")&amp;IF(INDEX('Game Records'!$C:$C,$H260)="","End Date; ","")&amp;IF(AND(INDEX('Game Records'!$U:$U,$H260)&lt;&gt;"Subscription",INDEX('Game Records'!$U:$U,$H260)&lt;&gt;"Free Game",INDEX('Game Records'!$U:$U,$H260)&lt;&gt;"Disqualified — Free Game",OR(INDEX('Game Records'!$D:$D,$H260)="",LOWER(INDEX('Game Records'!$D:$D,$H260)&amp;"")="n/a")),"Entry Mode; ","")&amp;IF(AND(INDEX('Game Records'!$U:$U,$H260)&lt;&gt;"Subscription",INDEX('Game Records'!$U:$U,$H260)&lt;&gt;"Free Game",INDEX('Game Records'!$U:$U,$H260)&lt;&gt;"Disqualified — Free Game",OR(INDEX('Game Records'!$E:$E,$H260)="",LOWER(INDEX('Game Records'!$E:$E,$H260)&amp;"")="n/a")),"Game Type; ","")&amp;IF(INDEX('Game Records'!$F:$F,$H260)="","Payment Type; ","")&amp;IF(AND(INDEX('Game Records'!$U:$U,$H260)&lt;&gt;"Subscription",INDEX('Game Records'!$U:$U,$H260)&lt;&gt;"Free Game",INDEX('Game Records'!$U:$U,$H260)&lt;&gt;"Disqualified — Free Game",INDEX('Game Records'!$G:$G,$H260)=""),"Gross Pot; ","")&amp;IF(AND(INDEX('Game Records'!$U:$U,$H260)&lt;&gt;"Free Game",INDEX('Game Records'!$U:$U,$H260)&lt;&gt;"Disqualified — Free Game",INDEX('Game Records'!$H:$H,$H260)=""),"Entry Fee; ","")&amp;IF(AND(INDEX('Game Records'!$U:$U,$H260)&lt;&gt;"Subscription",INDEX('Game Records'!$U:$U,$H260)&lt;&gt;"Free Game",INDEX('Game Records'!$U:$U,$H260)&lt;&gt;"Disqualified — Free Game",INDEX('Game Records'!$I:$I,$H260)=""),"Eligible Players; ","")&amp;IF(AND(INDEX('Game Records'!$U:$U,$H260)&lt;&gt;"Subscription",INDEX('Game Records'!$U:$U,$H260)&lt;&gt;"Free Game",INDEX('Game Records'!$U:$U,$H260)&lt;&gt;"Disqualified — Free Game",INDEX('Game Records'!$J:$J,$H260)=""),"Total Players; ","")&amp;IF(AND(LOWER(INDEX('Game Records'!$D:$D,$H260)&amp;"")="finalized",LOWER(INDEX('Game Records'!$L:$L,$H260)&amp;"")&lt;&gt;"yes",INDEX('Game Records'!$U:$U,$H260)&lt;&gt;"Subscription",INDEX('Game Records'!$U:$U,$H260)&lt;&gt;"Free Game",INDEX('Game Records'!$U:$U,$H260)&lt;&gt;"Disqualified — Free Game",INDEX('Game Records'!$K:$K,$H260)=""),"Final Earned; ","")&amp;IF(AND(LOWER(INDEX('Game Records'!$D:$D,$H260)&amp;"")="finalized",INDEX('Game Records'!$U:$U,$H260)&lt;&gt;"Subscription",INDEX('Game Records'!$U:$U,$H260)&lt;&gt;"Free Game",INDEX('Game Records'!$U:$U,$H260)&lt;&gt;"Disqualified — Free Game",OR(INDEX('Game Records'!$L:$L,$H260)="",LOWER(INDEX('Game Records'!$L:$L,$H260)&amp;"")="n/a")),"Disqualified Status; ",""))</x:f>
        <x:v/>
      </x:c>
      <x:c r="G260" s="331" t="str">
        <x:f>IF($H260="","",IFERROR(INDEX('Game Records'!$M:$M,$H260),""))</x:f>
        <x:v/>
      </x:c>
      <x:c r="H260" s="104" t="str">
        <x:f>IF($H259="","",IFERROR(MATCH(1,INDEX((ROW('Game Records'!$U$5:$U$504)&gt;$H259)*(('Game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1" ht="24" customHeight="1">
      <x:c r="A261" s="332" t="str">
        <x:f>IF($H261="","",ROWS($A$5:A261))</x:f>
        <x:v/>
      </x:c>
      <x:c r="B261" s="332" t="str">
        <x:f>IF($H261="","","G-"&amp;TEXT($A261,"0000"))</x:f>
        <x:v/>
      </x:c>
      <x:c r="C261" s="331" t="str">
        <x:f>IF($H261="","",IFERROR(INDEX('Game Records'!$A:$A,$H261),""))</x:f>
        <x:v/>
      </x:c>
      <x:c r="D261" s="331" t="str">
        <x:f>IF($H261="","",IFERROR(INDEX('Game Records'!$U:$U,$H261),""))</x:f>
        <x:v/>
      </x:c>
      <x:c r="E261" s="331" t="str">
        <x:f>IF($H261="","",IF($F261="","No Highlighted Fields","Highlighted Fields Present"))</x:f>
        <x:v/>
      </x:c>
      <x:c r="F261" s="331" t="str">
        <x:f>IF($H261="","",IF(INDEX('Game Records'!$B:$B,$H261)="","Start Date; ","")&amp;IF(INDEX('Game Records'!$C:$C,$H261)="","End Date; ","")&amp;IF(AND(INDEX('Game Records'!$U:$U,$H261)&lt;&gt;"Subscription",INDEX('Game Records'!$U:$U,$H261)&lt;&gt;"Free Game",INDEX('Game Records'!$U:$U,$H261)&lt;&gt;"Disqualified — Free Game",OR(INDEX('Game Records'!$D:$D,$H261)="",LOWER(INDEX('Game Records'!$D:$D,$H261)&amp;"")="n/a")),"Entry Mode; ","")&amp;IF(AND(INDEX('Game Records'!$U:$U,$H261)&lt;&gt;"Subscription",INDEX('Game Records'!$U:$U,$H261)&lt;&gt;"Free Game",INDEX('Game Records'!$U:$U,$H261)&lt;&gt;"Disqualified — Free Game",OR(INDEX('Game Records'!$E:$E,$H261)="",LOWER(INDEX('Game Records'!$E:$E,$H261)&amp;"")="n/a")),"Game Type; ","")&amp;IF(INDEX('Game Records'!$F:$F,$H261)="","Payment Type; ","")&amp;IF(AND(INDEX('Game Records'!$U:$U,$H261)&lt;&gt;"Subscription",INDEX('Game Records'!$U:$U,$H261)&lt;&gt;"Free Game",INDEX('Game Records'!$U:$U,$H261)&lt;&gt;"Disqualified — Free Game",INDEX('Game Records'!$G:$G,$H261)=""),"Gross Pot; ","")&amp;IF(AND(INDEX('Game Records'!$U:$U,$H261)&lt;&gt;"Free Game",INDEX('Game Records'!$U:$U,$H261)&lt;&gt;"Disqualified — Free Game",INDEX('Game Records'!$H:$H,$H261)=""),"Entry Fee; ","")&amp;IF(AND(INDEX('Game Records'!$U:$U,$H261)&lt;&gt;"Subscription",INDEX('Game Records'!$U:$U,$H261)&lt;&gt;"Free Game",INDEX('Game Records'!$U:$U,$H261)&lt;&gt;"Disqualified — Free Game",INDEX('Game Records'!$I:$I,$H261)=""),"Eligible Players; ","")&amp;IF(AND(INDEX('Game Records'!$U:$U,$H261)&lt;&gt;"Subscription",INDEX('Game Records'!$U:$U,$H261)&lt;&gt;"Free Game",INDEX('Game Records'!$U:$U,$H261)&lt;&gt;"Disqualified — Free Game",INDEX('Game Records'!$J:$J,$H261)=""),"Total Players; ","")&amp;IF(AND(LOWER(INDEX('Game Records'!$D:$D,$H261)&amp;"")="finalized",LOWER(INDEX('Game Records'!$L:$L,$H261)&amp;"")&lt;&gt;"yes",INDEX('Game Records'!$U:$U,$H261)&lt;&gt;"Subscription",INDEX('Game Records'!$U:$U,$H261)&lt;&gt;"Free Game",INDEX('Game Records'!$U:$U,$H261)&lt;&gt;"Disqualified — Free Game",INDEX('Game Records'!$K:$K,$H261)=""),"Final Earned; ","")&amp;IF(AND(LOWER(INDEX('Game Records'!$D:$D,$H261)&amp;"")="finalized",INDEX('Game Records'!$U:$U,$H261)&lt;&gt;"Subscription",INDEX('Game Records'!$U:$U,$H261)&lt;&gt;"Free Game",INDEX('Game Records'!$U:$U,$H261)&lt;&gt;"Disqualified — Free Game",OR(INDEX('Game Records'!$L:$L,$H261)="",LOWER(INDEX('Game Records'!$L:$L,$H261)&amp;"")="n/a")),"Disqualified Status; ",""))</x:f>
        <x:v/>
      </x:c>
      <x:c r="G261" s="331" t="str">
        <x:f>IF($H261="","",IFERROR(INDEX('Game Records'!$M:$M,$H261),""))</x:f>
        <x:v/>
      </x:c>
      <x:c r="H261" s="104" t="str">
        <x:f>IF($H260="","",IFERROR(MATCH(1,INDEX((ROW('Game Records'!$U$5:$U$504)&gt;$H260)*(('Game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2" ht="24" customHeight="1">
      <x:c r="A262" s="332" t="str">
        <x:f>IF($H262="","",ROWS($A$5:A262))</x:f>
        <x:v/>
      </x:c>
      <x:c r="B262" s="332" t="str">
        <x:f>IF($H262="","","G-"&amp;TEXT($A262,"0000"))</x:f>
        <x:v/>
      </x:c>
      <x:c r="C262" s="331" t="str">
        <x:f>IF($H262="","",IFERROR(INDEX('Game Records'!$A:$A,$H262),""))</x:f>
        <x:v/>
      </x:c>
      <x:c r="D262" s="331" t="str">
        <x:f>IF($H262="","",IFERROR(INDEX('Game Records'!$U:$U,$H262),""))</x:f>
        <x:v/>
      </x:c>
      <x:c r="E262" s="331" t="str">
        <x:f>IF($H262="","",IF($F262="","No Highlighted Fields","Highlighted Fields Present"))</x:f>
        <x:v/>
      </x:c>
      <x:c r="F262" s="331" t="str">
        <x:f>IF($H262="","",IF(INDEX('Game Records'!$B:$B,$H262)="","Start Date; ","")&amp;IF(INDEX('Game Records'!$C:$C,$H262)="","End Date; ","")&amp;IF(AND(INDEX('Game Records'!$U:$U,$H262)&lt;&gt;"Subscription",INDEX('Game Records'!$U:$U,$H262)&lt;&gt;"Free Game",INDEX('Game Records'!$U:$U,$H262)&lt;&gt;"Disqualified — Free Game",OR(INDEX('Game Records'!$D:$D,$H262)="",LOWER(INDEX('Game Records'!$D:$D,$H262)&amp;"")="n/a")),"Entry Mode; ","")&amp;IF(AND(INDEX('Game Records'!$U:$U,$H262)&lt;&gt;"Subscription",INDEX('Game Records'!$U:$U,$H262)&lt;&gt;"Free Game",INDEX('Game Records'!$U:$U,$H262)&lt;&gt;"Disqualified — Free Game",OR(INDEX('Game Records'!$E:$E,$H262)="",LOWER(INDEX('Game Records'!$E:$E,$H262)&amp;"")="n/a")),"Game Type; ","")&amp;IF(INDEX('Game Records'!$F:$F,$H262)="","Payment Type; ","")&amp;IF(AND(INDEX('Game Records'!$U:$U,$H262)&lt;&gt;"Subscription",INDEX('Game Records'!$U:$U,$H262)&lt;&gt;"Free Game",INDEX('Game Records'!$U:$U,$H262)&lt;&gt;"Disqualified — Free Game",INDEX('Game Records'!$G:$G,$H262)=""),"Gross Pot; ","")&amp;IF(AND(INDEX('Game Records'!$U:$U,$H262)&lt;&gt;"Free Game",INDEX('Game Records'!$U:$U,$H262)&lt;&gt;"Disqualified — Free Game",INDEX('Game Records'!$H:$H,$H262)=""),"Entry Fee; ","")&amp;IF(AND(INDEX('Game Records'!$U:$U,$H262)&lt;&gt;"Subscription",INDEX('Game Records'!$U:$U,$H262)&lt;&gt;"Free Game",INDEX('Game Records'!$U:$U,$H262)&lt;&gt;"Disqualified — Free Game",INDEX('Game Records'!$I:$I,$H262)=""),"Eligible Players; ","")&amp;IF(AND(INDEX('Game Records'!$U:$U,$H262)&lt;&gt;"Subscription",INDEX('Game Records'!$U:$U,$H262)&lt;&gt;"Free Game",INDEX('Game Records'!$U:$U,$H262)&lt;&gt;"Disqualified — Free Game",INDEX('Game Records'!$J:$J,$H262)=""),"Total Players; ","")&amp;IF(AND(LOWER(INDEX('Game Records'!$D:$D,$H262)&amp;"")="finalized",LOWER(INDEX('Game Records'!$L:$L,$H262)&amp;"")&lt;&gt;"yes",INDEX('Game Records'!$U:$U,$H262)&lt;&gt;"Subscription",INDEX('Game Records'!$U:$U,$H262)&lt;&gt;"Free Game",INDEX('Game Records'!$U:$U,$H262)&lt;&gt;"Disqualified — Free Game",INDEX('Game Records'!$K:$K,$H262)=""),"Final Earned; ","")&amp;IF(AND(LOWER(INDEX('Game Records'!$D:$D,$H262)&amp;"")="finalized",INDEX('Game Records'!$U:$U,$H262)&lt;&gt;"Subscription",INDEX('Game Records'!$U:$U,$H262)&lt;&gt;"Free Game",INDEX('Game Records'!$U:$U,$H262)&lt;&gt;"Disqualified — Free Game",OR(INDEX('Game Records'!$L:$L,$H262)="",LOWER(INDEX('Game Records'!$L:$L,$H262)&amp;"")="n/a")),"Disqualified Status; ",""))</x:f>
        <x:v/>
      </x:c>
      <x:c r="G262" s="331" t="str">
        <x:f>IF($H262="","",IFERROR(INDEX('Game Records'!$M:$M,$H262),""))</x:f>
        <x:v/>
      </x:c>
      <x:c r="H262" s="104" t="str">
        <x:f>IF($H261="","",IFERROR(MATCH(1,INDEX((ROW('Game Records'!$U$5:$U$504)&gt;$H261)*(('Game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3" ht="24" customHeight="1">
      <x:c r="A263" s="332" t="str">
        <x:f>IF($H263="","",ROWS($A$5:A263))</x:f>
        <x:v/>
      </x:c>
      <x:c r="B263" s="332" t="str">
        <x:f>IF($H263="","","G-"&amp;TEXT($A263,"0000"))</x:f>
        <x:v/>
      </x:c>
      <x:c r="C263" s="331" t="str">
        <x:f>IF($H263="","",IFERROR(INDEX('Game Records'!$A:$A,$H263),""))</x:f>
        <x:v/>
      </x:c>
      <x:c r="D263" s="331" t="str">
        <x:f>IF($H263="","",IFERROR(INDEX('Game Records'!$U:$U,$H263),""))</x:f>
        <x:v/>
      </x:c>
      <x:c r="E263" s="331" t="str">
        <x:f>IF($H263="","",IF($F263="","No Highlighted Fields","Highlighted Fields Present"))</x:f>
        <x:v/>
      </x:c>
      <x:c r="F263" s="331" t="str">
        <x:f>IF($H263="","",IF(INDEX('Game Records'!$B:$B,$H263)="","Start Date; ","")&amp;IF(INDEX('Game Records'!$C:$C,$H263)="","End Date; ","")&amp;IF(AND(INDEX('Game Records'!$U:$U,$H263)&lt;&gt;"Subscription",INDEX('Game Records'!$U:$U,$H263)&lt;&gt;"Free Game",INDEX('Game Records'!$U:$U,$H263)&lt;&gt;"Disqualified — Free Game",OR(INDEX('Game Records'!$D:$D,$H263)="",LOWER(INDEX('Game Records'!$D:$D,$H263)&amp;"")="n/a")),"Entry Mode; ","")&amp;IF(AND(INDEX('Game Records'!$U:$U,$H263)&lt;&gt;"Subscription",INDEX('Game Records'!$U:$U,$H263)&lt;&gt;"Free Game",INDEX('Game Records'!$U:$U,$H263)&lt;&gt;"Disqualified — Free Game",OR(INDEX('Game Records'!$E:$E,$H263)="",LOWER(INDEX('Game Records'!$E:$E,$H263)&amp;"")="n/a")),"Game Type; ","")&amp;IF(INDEX('Game Records'!$F:$F,$H263)="","Payment Type; ","")&amp;IF(AND(INDEX('Game Records'!$U:$U,$H263)&lt;&gt;"Subscription",INDEX('Game Records'!$U:$U,$H263)&lt;&gt;"Free Game",INDEX('Game Records'!$U:$U,$H263)&lt;&gt;"Disqualified — Free Game",INDEX('Game Records'!$G:$G,$H263)=""),"Gross Pot; ","")&amp;IF(AND(INDEX('Game Records'!$U:$U,$H263)&lt;&gt;"Free Game",INDEX('Game Records'!$U:$U,$H263)&lt;&gt;"Disqualified — Free Game",INDEX('Game Records'!$H:$H,$H263)=""),"Entry Fee; ","")&amp;IF(AND(INDEX('Game Records'!$U:$U,$H263)&lt;&gt;"Subscription",INDEX('Game Records'!$U:$U,$H263)&lt;&gt;"Free Game",INDEX('Game Records'!$U:$U,$H263)&lt;&gt;"Disqualified — Free Game",INDEX('Game Records'!$I:$I,$H263)=""),"Eligible Players; ","")&amp;IF(AND(INDEX('Game Records'!$U:$U,$H263)&lt;&gt;"Subscription",INDEX('Game Records'!$U:$U,$H263)&lt;&gt;"Free Game",INDEX('Game Records'!$U:$U,$H263)&lt;&gt;"Disqualified — Free Game",INDEX('Game Records'!$J:$J,$H263)=""),"Total Players; ","")&amp;IF(AND(LOWER(INDEX('Game Records'!$D:$D,$H263)&amp;"")="finalized",LOWER(INDEX('Game Records'!$L:$L,$H263)&amp;"")&lt;&gt;"yes",INDEX('Game Records'!$U:$U,$H263)&lt;&gt;"Subscription",INDEX('Game Records'!$U:$U,$H263)&lt;&gt;"Free Game",INDEX('Game Records'!$U:$U,$H263)&lt;&gt;"Disqualified — Free Game",INDEX('Game Records'!$K:$K,$H263)=""),"Final Earned; ","")&amp;IF(AND(LOWER(INDEX('Game Records'!$D:$D,$H263)&amp;"")="finalized",INDEX('Game Records'!$U:$U,$H263)&lt;&gt;"Subscription",INDEX('Game Records'!$U:$U,$H263)&lt;&gt;"Free Game",INDEX('Game Records'!$U:$U,$H263)&lt;&gt;"Disqualified — Free Game",OR(INDEX('Game Records'!$L:$L,$H263)="",LOWER(INDEX('Game Records'!$L:$L,$H263)&amp;"")="n/a")),"Disqualified Status; ",""))</x:f>
        <x:v/>
      </x:c>
      <x:c r="G263" s="331" t="str">
        <x:f>IF($H263="","",IFERROR(INDEX('Game Records'!$M:$M,$H263),""))</x:f>
        <x:v/>
      </x:c>
      <x:c r="H263" s="104" t="str">
        <x:f>IF($H262="","",IFERROR(MATCH(1,INDEX((ROW('Game Records'!$U$5:$U$504)&gt;$H262)*(('Game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4" ht="24" customHeight="1">
      <x:c r="A264" s="332" t="str">
        <x:f>IF($H264="","",ROWS($A$5:A264))</x:f>
        <x:v/>
      </x:c>
      <x:c r="B264" s="332" t="str">
        <x:f>IF($H264="","","G-"&amp;TEXT($A264,"0000"))</x:f>
        <x:v/>
      </x:c>
      <x:c r="C264" s="331" t="str">
        <x:f>IF($H264="","",IFERROR(INDEX('Game Records'!$A:$A,$H264),""))</x:f>
        <x:v/>
      </x:c>
      <x:c r="D264" s="331" t="str">
        <x:f>IF($H264="","",IFERROR(INDEX('Game Records'!$U:$U,$H264),""))</x:f>
        <x:v/>
      </x:c>
      <x:c r="E264" s="331" t="str">
        <x:f>IF($H264="","",IF($F264="","No Highlighted Fields","Highlighted Fields Present"))</x:f>
        <x:v/>
      </x:c>
      <x:c r="F264" s="331" t="str">
        <x:f>IF($H264="","",IF(INDEX('Game Records'!$B:$B,$H264)="","Start Date; ","")&amp;IF(INDEX('Game Records'!$C:$C,$H264)="","End Date; ","")&amp;IF(AND(INDEX('Game Records'!$U:$U,$H264)&lt;&gt;"Subscription",INDEX('Game Records'!$U:$U,$H264)&lt;&gt;"Free Game",INDEX('Game Records'!$U:$U,$H264)&lt;&gt;"Disqualified — Free Game",OR(INDEX('Game Records'!$D:$D,$H264)="",LOWER(INDEX('Game Records'!$D:$D,$H264)&amp;"")="n/a")),"Entry Mode; ","")&amp;IF(AND(INDEX('Game Records'!$U:$U,$H264)&lt;&gt;"Subscription",INDEX('Game Records'!$U:$U,$H264)&lt;&gt;"Free Game",INDEX('Game Records'!$U:$U,$H264)&lt;&gt;"Disqualified — Free Game",OR(INDEX('Game Records'!$E:$E,$H264)="",LOWER(INDEX('Game Records'!$E:$E,$H264)&amp;"")="n/a")),"Game Type; ","")&amp;IF(INDEX('Game Records'!$F:$F,$H264)="","Payment Type; ","")&amp;IF(AND(INDEX('Game Records'!$U:$U,$H264)&lt;&gt;"Subscription",INDEX('Game Records'!$U:$U,$H264)&lt;&gt;"Free Game",INDEX('Game Records'!$U:$U,$H264)&lt;&gt;"Disqualified — Free Game",INDEX('Game Records'!$G:$G,$H264)=""),"Gross Pot; ","")&amp;IF(AND(INDEX('Game Records'!$U:$U,$H264)&lt;&gt;"Free Game",INDEX('Game Records'!$U:$U,$H264)&lt;&gt;"Disqualified — Free Game",INDEX('Game Records'!$H:$H,$H264)=""),"Entry Fee; ","")&amp;IF(AND(INDEX('Game Records'!$U:$U,$H264)&lt;&gt;"Subscription",INDEX('Game Records'!$U:$U,$H264)&lt;&gt;"Free Game",INDEX('Game Records'!$U:$U,$H264)&lt;&gt;"Disqualified — Free Game",INDEX('Game Records'!$I:$I,$H264)=""),"Eligible Players; ","")&amp;IF(AND(INDEX('Game Records'!$U:$U,$H264)&lt;&gt;"Subscription",INDEX('Game Records'!$U:$U,$H264)&lt;&gt;"Free Game",INDEX('Game Records'!$U:$U,$H264)&lt;&gt;"Disqualified — Free Game",INDEX('Game Records'!$J:$J,$H264)=""),"Total Players; ","")&amp;IF(AND(LOWER(INDEX('Game Records'!$D:$D,$H264)&amp;"")="finalized",LOWER(INDEX('Game Records'!$L:$L,$H264)&amp;"")&lt;&gt;"yes",INDEX('Game Records'!$U:$U,$H264)&lt;&gt;"Subscription",INDEX('Game Records'!$U:$U,$H264)&lt;&gt;"Free Game",INDEX('Game Records'!$U:$U,$H264)&lt;&gt;"Disqualified — Free Game",INDEX('Game Records'!$K:$K,$H264)=""),"Final Earned; ","")&amp;IF(AND(LOWER(INDEX('Game Records'!$D:$D,$H264)&amp;"")="finalized",INDEX('Game Records'!$U:$U,$H264)&lt;&gt;"Subscription",INDEX('Game Records'!$U:$U,$H264)&lt;&gt;"Free Game",INDEX('Game Records'!$U:$U,$H264)&lt;&gt;"Disqualified — Free Game",OR(INDEX('Game Records'!$L:$L,$H264)="",LOWER(INDEX('Game Records'!$L:$L,$H264)&amp;"")="n/a")),"Disqualified Status; ",""))</x:f>
        <x:v/>
      </x:c>
      <x:c r="G264" s="331" t="str">
        <x:f>IF($H264="","",IFERROR(INDEX('Game Records'!$M:$M,$H264),""))</x:f>
        <x:v/>
      </x:c>
      <x:c r="H264" s="104" t="str">
        <x:f>IF($H263="","",IFERROR(MATCH(1,INDEX((ROW('Game Records'!$U$5:$U$504)&gt;$H263)*(('Game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5" ht="24" customHeight="1">
      <x:c r="A265" s="332" t="str">
        <x:f>IF($H265="","",ROWS($A$5:A265))</x:f>
        <x:v/>
      </x:c>
      <x:c r="B265" s="332" t="str">
        <x:f>IF($H265="","","G-"&amp;TEXT($A265,"0000"))</x:f>
        <x:v/>
      </x:c>
      <x:c r="C265" s="331" t="str">
        <x:f>IF($H265="","",IFERROR(INDEX('Game Records'!$A:$A,$H265),""))</x:f>
        <x:v/>
      </x:c>
      <x:c r="D265" s="331" t="str">
        <x:f>IF($H265="","",IFERROR(INDEX('Game Records'!$U:$U,$H265),""))</x:f>
        <x:v/>
      </x:c>
      <x:c r="E265" s="331" t="str">
        <x:f>IF($H265="","",IF($F265="","No Highlighted Fields","Highlighted Fields Present"))</x:f>
        <x:v/>
      </x:c>
      <x:c r="F265" s="331" t="str">
        <x:f>IF($H265="","",IF(INDEX('Game Records'!$B:$B,$H265)="","Start Date; ","")&amp;IF(INDEX('Game Records'!$C:$C,$H265)="","End Date; ","")&amp;IF(AND(INDEX('Game Records'!$U:$U,$H265)&lt;&gt;"Subscription",INDEX('Game Records'!$U:$U,$H265)&lt;&gt;"Free Game",INDEX('Game Records'!$U:$U,$H265)&lt;&gt;"Disqualified — Free Game",OR(INDEX('Game Records'!$D:$D,$H265)="",LOWER(INDEX('Game Records'!$D:$D,$H265)&amp;"")="n/a")),"Entry Mode; ","")&amp;IF(AND(INDEX('Game Records'!$U:$U,$H265)&lt;&gt;"Subscription",INDEX('Game Records'!$U:$U,$H265)&lt;&gt;"Free Game",INDEX('Game Records'!$U:$U,$H265)&lt;&gt;"Disqualified — Free Game",OR(INDEX('Game Records'!$E:$E,$H265)="",LOWER(INDEX('Game Records'!$E:$E,$H265)&amp;"")="n/a")),"Game Type; ","")&amp;IF(INDEX('Game Records'!$F:$F,$H265)="","Payment Type; ","")&amp;IF(AND(INDEX('Game Records'!$U:$U,$H265)&lt;&gt;"Subscription",INDEX('Game Records'!$U:$U,$H265)&lt;&gt;"Free Game",INDEX('Game Records'!$U:$U,$H265)&lt;&gt;"Disqualified — Free Game",INDEX('Game Records'!$G:$G,$H265)=""),"Gross Pot; ","")&amp;IF(AND(INDEX('Game Records'!$U:$U,$H265)&lt;&gt;"Free Game",INDEX('Game Records'!$U:$U,$H265)&lt;&gt;"Disqualified — Free Game",INDEX('Game Records'!$H:$H,$H265)=""),"Entry Fee; ","")&amp;IF(AND(INDEX('Game Records'!$U:$U,$H265)&lt;&gt;"Subscription",INDEX('Game Records'!$U:$U,$H265)&lt;&gt;"Free Game",INDEX('Game Records'!$U:$U,$H265)&lt;&gt;"Disqualified — Free Game",INDEX('Game Records'!$I:$I,$H265)=""),"Eligible Players; ","")&amp;IF(AND(INDEX('Game Records'!$U:$U,$H265)&lt;&gt;"Subscription",INDEX('Game Records'!$U:$U,$H265)&lt;&gt;"Free Game",INDEX('Game Records'!$U:$U,$H265)&lt;&gt;"Disqualified — Free Game",INDEX('Game Records'!$J:$J,$H265)=""),"Total Players; ","")&amp;IF(AND(LOWER(INDEX('Game Records'!$D:$D,$H265)&amp;"")="finalized",LOWER(INDEX('Game Records'!$L:$L,$H265)&amp;"")&lt;&gt;"yes",INDEX('Game Records'!$U:$U,$H265)&lt;&gt;"Subscription",INDEX('Game Records'!$U:$U,$H265)&lt;&gt;"Free Game",INDEX('Game Records'!$U:$U,$H265)&lt;&gt;"Disqualified — Free Game",INDEX('Game Records'!$K:$K,$H265)=""),"Final Earned; ","")&amp;IF(AND(LOWER(INDEX('Game Records'!$D:$D,$H265)&amp;"")="finalized",INDEX('Game Records'!$U:$U,$H265)&lt;&gt;"Subscription",INDEX('Game Records'!$U:$U,$H265)&lt;&gt;"Free Game",INDEX('Game Records'!$U:$U,$H265)&lt;&gt;"Disqualified — Free Game",OR(INDEX('Game Records'!$L:$L,$H265)="",LOWER(INDEX('Game Records'!$L:$L,$H265)&amp;"")="n/a")),"Disqualified Status; ",""))</x:f>
        <x:v/>
      </x:c>
      <x:c r="G265" s="331" t="str">
        <x:f>IF($H265="","",IFERROR(INDEX('Game Records'!$M:$M,$H265),""))</x:f>
        <x:v/>
      </x:c>
      <x:c r="H265" s="104" t="str">
        <x:f>IF($H264="","",IFERROR(MATCH(1,INDEX((ROW('Game Records'!$U$5:$U$504)&gt;$H264)*(('Game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6" ht="24" customHeight="1">
      <x:c r="A266" s="332" t="str">
        <x:f>IF($H266="","",ROWS($A$5:A266))</x:f>
        <x:v/>
      </x:c>
      <x:c r="B266" s="332" t="str">
        <x:f>IF($H266="","","G-"&amp;TEXT($A266,"0000"))</x:f>
        <x:v/>
      </x:c>
      <x:c r="C266" s="331" t="str">
        <x:f>IF($H266="","",IFERROR(INDEX('Game Records'!$A:$A,$H266),""))</x:f>
        <x:v/>
      </x:c>
      <x:c r="D266" s="331" t="str">
        <x:f>IF($H266="","",IFERROR(INDEX('Game Records'!$U:$U,$H266),""))</x:f>
        <x:v/>
      </x:c>
      <x:c r="E266" s="331" t="str">
        <x:f>IF($H266="","",IF($F266="","No Highlighted Fields","Highlighted Fields Present"))</x:f>
        <x:v/>
      </x:c>
      <x:c r="F266" s="331" t="str">
        <x:f>IF($H266="","",IF(INDEX('Game Records'!$B:$B,$H266)="","Start Date; ","")&amp;IF(INDEX('Game Records'!$C:$C,$H266)="","End Date; ","")&amp;IF(AND(INDEX('Game Records'!$U:$U,$H266)&lt;&gt;"Subscription",INDEX('Game Records'!$U:$U,$H266)&lt;&gt;"Free Game",INDEX('Game Records'!$U:$U,$H266)&lt;&gt;"Disqualified — Free Game",OR(INDEX('Game Records'!$D:$D,$H266)="",LOWER(INDEX('Game Records'!$D:$D,$H266)&amp;"")="n/a")),"Entry Mode; ","")&amp;IF(AND(INDEX('Game Records'!$U:$U,$H266)&lt;&gt;"Subscription",INDEX('Game Records'!$U:$U,$H266)&lt;&gt;"Free Game",INDEX('Game Records'!$U:$U,$H266)&lt;&gt;"Disqualified — Free Game",OR(INDEX('Game Records'!$E:$E,$H266)="",LOWER(INDEX('Game Records'!$E:$E,$H266)&amp;"")="n/a")),"Game Type; ","")&amp;IF(INDEX('Game Records'!$F:$F,$H266)="","Payment Type; ","")&amp;IF(AND(INDEX('Game Records'!$U:$U,$H266)&lt;&gt;"Subscription",INDEX('Game Records'!$U:$U,$H266)&lt;&gt;"Free Game",INDEX('Game Records'!$U:$U,$H266)&lt;&gt;"Disqualified — Free Game",INDEX('Game Records'!$G:$G,$H266)=""),"Gross Pot; ","")&amp;IF(AND(INDEX('Game Records'!$U:$U,$H266)&lt;&gt;"Free Game",INDEX('Game Records'!$U:$U,$H266)&lt;&gt;"Disqualified — Free Game",INDEX('Game Records'!$H:$H,$H266)=""),"Entry Fee; ","")&amp;IF(AND(INDEX('Game Records'!$U:$U,$H266)&lt;&gt;"Subscription",INDEX('Game Records'!$U:$U,$H266)&lt;&gt;"Free Game",INDEX('Game Records'!$U:$U,$H266)&lt;&gt;"Disqualified — Free Game",INDEX('Game Records'!$I:$I,$H266)=""),"Eligible Players; ","")&amp;IF(AND(INDEX('Game Records'!$U:$U,$H266)&lt;&gt;"Subscription",INDEX('Game Records'!$U:$U,$H266)&lt;&gt;"Free Game",INDEX('Game Records'!$U:$U,$H266)&lt;&gt;"Disqualified — Free Game",INDEX('Game Records'!$J:$J,$H266)=""),"Total Players; ","")&amp;IF(AND(LOWER(INDEX('Game Records'!$D:$D,$H266)&amp;"")="finalized",LOWER(INDEX('Game Records'!$L:$L,$H266)&amp;"")&lt;&gt;"yes",INDEX('Game Records'!$U:$U,$H266)&lt;&gt;"Subscription",INDEX('Game Records'!$U:$U,$H266)&lt;&gt;"Free Game",INDEX('Game Records'!$U:$U,$H266)&lt;&gt;"Disqualified — Free Game",INDEX('Game Records'!$K:$K,$H266)=""),"Final Earned; ","")&amp;IF(AND(LOWER(INDEX('Game Records'!$D:$D,$H266)&amp;"")="finalized",INDEX('Game Records'!$U:$U,$H266)&lt;&gt;"Subscription",INDEX('Game Records'!$U:$U,$H266)&lt;&gt;"Free Game",INDEX('Game Records'!$U:$U,$H266)&lt;&gt;"Disqualified — Free Game",OR(INDEX('Game Records'!$L:$L,$H266)="",LOWER(INDEX('Game Records'!$L:$L,$H266)&amp;"")="n/a")),"Disqualified Status; ",""))</x:f>
        <x:v/>
      </x:c>
      <x:c r="G266" s="331" t="str">
        <x:f>IF($H266="","",IFERROR(INDEX('Game Records'!$M:$M,$H266),""))</x:f>
        <x:v/>
      </x:c>
      <x:c r="H266" s="104" t="str">
        <x:f>IF($H265="","",IFERROR(MATCH(1,INDEX((ROW('Game Records'!$U$5:$U$504)&gt;$H265)*(('Game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7" ht="24" customHeight="1">
      <x:c r="A267" s="332" t="str">
        <x:f>IF($H267="","",ROWS($A$5:A267))</x:f>
        <x:v/>
      </x:c>
      <x:c r="B267" s="332" t="str">
        <x:f>IF($H267="","","G-"&amp;TEXT($A267,"0000"))</x:f>
        <x:v/>
      </x:c>
      <x:c r="C267" s="331" t="str">
        <x:f>IF($H267="","",IFERROR(INDEX('Game Records'!$A:$A,$H267),""))</x:f>
        <x:v/>
      </x:c>
      <x:c r="D267" s="331" t="str">
        <x:f>IF($H267="","",IFERROR(INDEX('Game Records'!$U:$U,$H267),""))</x:f>
        <x:v/>
      </x:c>
      <x:c r="E267" s="331" t="str">
        <x:f>IF($H267="","",IF($F267="","No Highlighted Fields","Highlighted Fields Present"))</x:f>
        <x:v/>
      </x:c>
      <x:c r="F267" s="331" t="str">
        <x:f>IF($H267="","",IF(INDEX('Game Records'!$B:$B,$H267)="","Start Date; ","")&amp;IF(INDEX('Game Records'!$C:$C,$H267)="","End Date; ","")&amp;IF(AND(INDEX('Game Records'!$U:$U,$H267)&lt;&gt;"Subscription",INDEX('Game Records'!$U:$U,$H267)&lt;&gt;"Free Game",INDEX('Game Records'!$U:$U,$H267)&lt;&gt;"Disqualified — Free Game",OR(INDEX('Game Records'!$D:$D,$H267)="",LOWER(INDEX('Game Records'!$D:$D,$H267)&amp;"")="n/a")),"Entry Mode; ","")&amp;IF(AND(INDEX('Game Records'!$U:$U,$H267)&lt;&gt;"Subscription",INDEX('Game Records'!$U:$U,$H267)&lt;&gt;"Free Game",INDEX('Game Records'!$U:$U,$H267)&lt;&gt;"Disqualified — Free Game",OR(INDEX('Game Records'!$E:$E,$H267)="",LOWER(INDEX('Game Records'!$E:$E,$H267)&amp;"")="n/a")),"Game Type; ","")&amp;IF(INDEX('Game Records'!$F:$F,$H267)="","Payment Type; ","")&amp;IF(AND(INDEX('Game Records'!$U:$U,$H267)&lt;&gt;"Subscription",INDEX('Game Records'!$U:$U,$H267)&lt;&gt;"Free Game",INDEX('Game Records'!$U:$U,$H267)&lt;&gt;"Disqualified — Free Game",INDEX('Game Records'!$G:$G,$H267)=""),"Gross Pot; ","")&amp;IF(AND(INDEX('Game Records'!$U:$U,$H267)&lt;&gt;"Free Game",INDEX('Game Records'!$U:$U,$H267)&lt;&gt;"Disqualified — Free Game",INDEX('Game Records'!$H:$H,$H267)=""),"Entry Fee; ","")&amp;IF(AND(INDEX('Game Records'!$U:$U,$H267)&lt;&gt;"Subscription",INDEX('Game Records'!$U:$U,$H267)&lt;&gt;"Free Game",INDEX('Game Records'!$U:$U,$H267)&lt;&gt;"Disqualified — Free Game",INDEX('Game Records'!$I:$I,$H267)=""),"Eligible Players; ","")&amp;IF(AND(INDEX('Game Records'!$U:$U,$H267)&lt;&gt;"Subscription",INDEX('Game Records'!$U:$U,$H267)&lt;&gt;"Free Game",INDEX('Game Records'!$U:$U,$H267)&lt;&gt;"Disqualified — Free Game",INDEX('Game Records'!$J:$J,$H267)=""),"Total Players; ","")&amp;IF(AND(LOWER(INDEX('Game Records'!$D:$D,$H267)&amp;"")="finalized",LOWER(INDEX('Game Records'!$L:$L,$H267)&amp;"")&lt;&gt;"yes",INDEX('Game Records'!$U:$U,$H267)&lt;&gt;"Subscription",INDEX('Game Records'!$U:$U,$H267)&lt;&gt;"Free Game",INDEX('Game Records'!$U:$U,$H267)&lt;&gt;"Disqualified — Free Game",INDEX('Game Records'!$K:$K,$H267)=""),"Final Earned; ","")&amp;IF(AND(LOWER(INDEX('Game Records'!$D:$D,$H267)&amp;"")="finalized",INDEX('Game Records'!$U:$U,$H267)&lt;&gt;"Subscription",INDEX('Game Records'!$U:$U,$H267)&lt;&gt;"Free Game",INDEX('Game Records'!$U:$U,$H267)&lt;&gt;"Disqualified — Free Game",OR(INDEX('Game Records'!$L:$L,$H267)="",LOWER(INDEX('Game Records'!$L:$L,$H267)&amp;"")="n/a")),"Disqualified Status; ",""))</x:f>
        <x:v/>
      </x:c>
      <x:c r="G267" s="331" t="str">
        <x:f>IF($H267="","",IFERROR(INDEX('Game Records'!$M:$M,$H267),""))</x:f>
        <x:v/>
      </x:c>
      <x:c r="H267" s="104" t="str">
        <x:f>IF($H266="","",IFERROR(MATCH(1,INDEX((ROW('Game Records'!$U$5:$U$504)&gt;$H266)*(('Game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8" ht="24" customHeight="1">
      <x:c r="A268" s="332" t="str">
        <x:f>IF($H268="","",ROWS($A$5:A268))</x:f>
        <x:v/>
      </x:c>
      <x:c r="B268" s="332" t="str">
        <x:f>IF($H268="","","G-"&amp;TEXT($A268,"0000"))</x:f>
        <x:v/>
      </x:c>
      <x:c r="C268" s="331" t="str">
        <x:f>IF($H268="","",IFERROR(INDEX('Game Records'!$A:$A,$H268),""))</x:f>
        <x:v/>
      </x:c>
      <x:c r="D268" s="331" t="str">
        <x:f>IF($H268="","",IFERROR(INDEX('Game Records'!$U:$U,$H268),""))</x:f>
        <x:v/>
      </x:c>
      <x:c r="E268" s="331" t="str">
        <x:f>IF($H268="","",IF($F268="","No Highlighted Fields","Highlighted Fields Present"))</x:f>
        <x:v/>
      </x:c>
      <x:c r="F268" s="331" t="str">
        <x:f>IF($H268="","",IF(INDEX('Game Records'!$B:$B,$H268)="","Start Date; ","")&amp;IF(INDEX('Game Records'!$C:$C,$H268)="","End Date; ","")&amp;IF(AND(INDEX('Game Records'!$U:$U,$H268)&lt;&gt;"Subscription",INDEX('Game Records'!$U:$U,$H268)&lt;&gt;"Free Game",INDEX('Game Records'!$U:$U,$H268)&lt;&gt;"Disqualified — Free Game",OR(INDEX('Game Records'!$D:$D,$H268)="",LOWER(INDEX('Game Records'!$D:$D,$H268)&amp;"")="n/a")),"Entry Mode; ","")&amp;IF(AND(INDEX('Game Records'!$U:$U,$H268)&lt;&gt;"Subscription",INDEX('Game Records'!$U:$U,$H268)&lt;&gt;"Free Game",INDEX('Game Records'!$U:$U,$H268)&lt;&gt;"Disqualified — Free Game",OR(INDEX('Game Records'!$E:$E,$H268)="",LOWER(INDEX('Game Records'!$E:$E,$H268)&amp;"")="n/a")),"Game Type; ","")&amp;IF(INDEX('Game Records'!$F:$F,$H268)="","Payment Type; ","")&amp;IF(AND(INDEX('Game Records'!$U:$U,$H268)&lt;&gt;"Subscription",INDEX('Game Records'!$U:$U,$H268)&lt;&gt;"Free Game",INDEX('Game Records'!$U:$U,$H268)&lt;&gt;"Disqualified — Free Game",INDEX('Game Records'!$G:$G,$H268)=""),"Gross Pot; ","")&amp;IF(AND(INDEX('Game Records'!$U:$U,$H268)&lt;&gt;"Free Game",INDEX('Game Records'!$U:$U,$H268)&lt;&gt;"Disqualified — Free Game",INDEX('Game Records'!$H:$H,$H268)=""),"Entry Fee; ","")&amp;IF(AND(INDEX('Game Records'!$U:$U,$H268)&lt;&gt;"Subscription",INDEX('Game Records'!$U:$U,$H268)&lt;&gt;"Free Game",INDEX('Game Records'!$U:$U,$H268)&lt;&gt;"Disqualified — Free Game",INDEX('Game Records'!$I:$I,$H268)=""),"Eligible Players; ","")&amp;IF(AND(INDEX('Game Records'!$U:$U,$H268)&lt;&gt;"Subscription",INDEX('Game Records'!$U:$U,$H268)&lt;&gt;"Free Game",INDEX('Game Records'!$U:$U,$H268)&lt;&gt;"Disqualified — Free Game",INDEX('Game Records'!$J:$J,$H268)=""),"Total Players; ","")&amp;IF(AND(LOWER(INDEX('Game Records'!$D:$D,$H268)&amp;"")="finalized",LOWER(INDEX('Game Records'!$L:$L,$H268)&amp;"")&lt;&gt;"yes",INDEX('Game Records'!$U:$U,$H268)&lt;&gt;"Subscription",INDEX('Game Records'!$U:$U,$H268)&lt;&gt;"Free Game",INDEX('Game Records'!$U:$U,$H268)&lt;&gt;"Disqualified — Free Game",INDEX('Game Records'!$K:$K,$H268)=""),"Final Earned; ","")&amp;IF(AND(LOWER(INDEX('Game Records'!$D:$D,$H268)&amp;"")="finalized",INDEX('Game Records'!$U:$U,$H268)&lt;&gt;"Subscription",INDEX('Game Records'!$U:$U,$H268)&lt;&gt;"Free Game",INDEX('Game Records'!$U:$U,$H268)&lt;&gt;"Disqualified — Free Game",OR(INDEX('Game Records'!$L:$L,$H268)="",LOWER(INDEX('Game Records'!$L:$L,$H268)&amp;"")="n/a")),"Disqualified Status; ",""))</x:f>
        <x:v/>
      </x:c>
      <x:c r="G268" s="331" t="str">
        <x:f>IF($H268="","",IFERROR(INDEX('Game Records'!$M:$M,$H268),""))</x:f>
        <x:v/>
      </x:c>
      <x:c r="H268" s="104" t="str">
        <x:f>IF($H267="","",IFERROR(MATCH(1,INDEX((ROW('Game Records'!$U$5:$U$504)&gt;$H267)*(('Game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69" ht="24" customHeight="1">
      <x:c r="A269" s="332" t="str">
        <x:f>IF($H269="","",ROWS($A$5:A269))</x:f>
        <x:v/>
      </x:c>
      <x:c r="B269" s="332" t="str">
        <x:f>IF($H269="","","G-"&amp;TEXT($A269,"0000"))</x:f>
        <x:v/>
      </x:c>
      <x:c r="C269" s="331" t="str">
        <x:f>IF($H269="","",IFERROR(INDEX('Game Records'!$A:$A,$H269),""))</x:f>
        <x:v/>
      </x:c>
      <x:c r="D269" s="331" t="str">
        <x:f>IF($H269="","",IFERROR(INDEX('Game Records'!$U:$U,$H269),""))</x:f>
        <x:v/>
      </x:c>
      <x:c r="E269" s="331" t="str">
        <x:f>IF($H269="","",IF($F269="","No Highlighted Fields","Highlighted Fields Present"))</x:f>
        <x:v/>
      </x:c>
      <x:c r="F269" s="331" t="str">
        <x:f>IF($H269="","",IF(INDEX('Game Records'!$B:$B,$H269)="","Start Date; ","")&amp;IF(INDEX('Game Records'!$C:$C,$H269)="","End Date; ","")&amp;IF(AND(INDEX('Game Records'!$U:$U,$H269)&lt;&gt;"Subscription",INDEX('Game Records'!$U:$U,$H269)&lt;&gt;"Free Game",INDEX('Game Records'!$U:$U,$H269)&lt;&gt;"Disqualified — Free Game",OR(INDEX('Game Records'!$D:$D,$H269)="",LOWER(INDEX('Game Records'!$D:$D,$H269)&amp;"")="n/a")),"Entry Mode; ","")&amp;IF(AND(INDEX('Game Records'!$U:$U,$H269)&lt;&gt;"Subscription",INDEX('Game Records'!$U:$U,$H269)&lt;&gt;"Free Game",INDEX('Game Records'!$U:$U,$H269)&lt;&gt;"Disqualified — Free Game",OR(INDEX('Game Records'!$E:$E,$H269)="",LOWER(INDEX('Game Records'!$E:$E,$H269)&amp;"")="n/a")),"Game Type; ","")&amp;IF(INDEX('Game Records'!$F:$F,$H269)="","Payment Type; ","")&amp;IF(AND(INDEX('Game Records'!$U:$U,$H269)&lt;&gt;"Subscription",INDEX('Game Records'!$U:$U,$H269)&lt;&gt;"Free Game",INDEX('Game Records'!$U:$U,$H269)&lt;&gt;"Disqualified — Free Game",INDEX('Game Records'!$G:$G,$H269)=""),"Gross Pot; ","")&amp;IF(AND(INDEX('Game Records'!$U:$U,$H269)&lt;&gt;"Free Game",INDEX('Game Records'!$U:$U,$H269)&lt;&gt;"Disqualified — Free Game",INDEX('Game Records'!$H:$H,$H269)=""),"Entry Fee; ","")&amp;IF(AND(INDEX('Game Records'!$U:$U,$H269)&lt;&gt;"Subscription",INDEX('Game Records'!$U:$U,$H269)&lt;&gt;"Free Game",INDEX('Game Records'!$U:$U,$H269)&lt;&gt;"Disqualified — Free Game",INDEX('Game Records'!$I:$I,$H269)=""),"Eligible Players; ","")&amp;IF(AND(INDEX('Game Records'!$U:$U,$H269)&lt;&gt;"Subscription",INDEX('Game Records'!$U:$U,$H269)&lt;&gt;"Free Game",INDEX('Game Records'!$U:$U,$H269)&lt;&gt;"Disqualified — Free Game",INDEX('Game Records'!$J:$J,$H269)=""),"Total Players; ","")&amp;IF(AND(LOWER(INDEX('Game Records'!$D:$D,$H269)&amp;"")="finalized",LOWER(INDEX('Game Records'!$L:$L,$H269)&amp;"")&lt;&gt;"yes",INDEX('Game Records'!$U:$U,$H269)&lt;&gt;"Subscription",INDEX('Game Records'!$U:$U,$H269)&lt;&gt;"Free Game",INDEX('Game Records'!$U:$U,$H269)&lt;&gt;"Disqualified — Free Game",INDEX('Game Records'!$K:$K,$H269)=""),"Final Earned; ","")&amp;IF(AND(LOWER(INDEX('Game Records'!$D:$D,$H269)&amp;"")="finalized",INDEX('Game Records'!$U:$U,$H269)&lt;&gt;"Subscription",INDEX('Game Records'!$U:$U,$H269)&lt;&gt;"Free Game",INDEX('Game Records'!$U:$U,$H269)&lt;&gt;"Disqualified — Free Game",OR(INDEX('Game Records'!$L:$L,$H269)="",LOWER(INDEX('Game Records'!$L:$L,$H269)&amp;"")="n/a")),"Disqualified Status; ",""))</x:f>
        <x:v/>
      </x:c>
      <x:c r="G269" s="331" t="str">
        <x:f>IF($H269="","",IFERROR(INDEX('Game Records'!$M:$M,$H269),""))</x:f>
        <x:v/>
      </x:c>
      <x:c r="H269" s="104" t="str">
        <x:f>IF($H268="","",IFERROR(MATCH(1,INDEX((ROW('Game Records'!$U$5:$U$504)&gt;$H268)*(('Game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0" ht="24" customHeight="1">
      <x:c r="A270" s="332" t="str">
        <x:f>IF($H270="","",ROWS($A$5:A270))</x:f>
        <x:v/>
      </x:c>
      <x:c r="B270" s="332" t="str">
        <x:f>IF($H270="","","G-"&amp;TEXT($A270,"0000"))</x:f>
        <x:v/>
      </x:c>
      <x:c r="C270" s="331" t="str">
        <x:f>IF($H270="","",IFERROR(INDEX('Game Records'!$A:$A,$H270),""))</x:f>
        <x:v/>
      </x:c>
      <x:c r="D270" s="331" t="str">
        <x:f>IF($H270="","",IFERROR(INDEX('Game Records'!$U:$U,$H270),""))</x:f>
        <x:v/>
      </x:c>
      <x:c r="E270" s="331" t="str">
        <x:f>IF($H270="","",IF($F270="","No Highlighted Fields","Highlighted Fields Present"))</x:f>
        <x:v/>
      </x:c>
      <x:c r="F270" s="331" t="str">
        <x:f>IF($H270="","",IF(INDEX('Game Records'!$B:$B,$H270)="","Start Date; ","")&amp;IF(INDEX('Game Records'!$C:$C,$H270)="","End Date; ","")&amp;IF(AND(INDEX('Game Records'!$U:$U,$H270)&lt;&gt;"Subscription",INDEX('Game Records'!$U:$U,$H270)&lt;&gt;"Free Game",INDEX('Game Records'!$U:$U,$H270)&lt;&gt;"Disqualified — Free Game",OR(INDEX('Game Records'!$D:$D,$H270)="",LOWER(INDEX('Game Records'!$D:$D,$H270)&amp;"")="n/a")),"Entry Mode; ","")&amp;IF(AND(INDEX('Game Records'!$U:$U,$H270)&lt;&gt;"Subscription",INDEX('Game Records'!$U:$U,$H270)&lt;&gt;"Free Game",INDEX('Game Records'!$U:$U,$H270)&lt;&gt;"Disqualified — Free Game",OR(INDEX('Game Records'!$E:$E,$H270)="",LOWER(INDEX('Game Records'!$E:$E,$H270)&amp;"")="n/a")),"Game Type; ","")&amp;IF(INDEX('Game Records'!$F:$F,$H270)="","Payment Type; ","")&amp;IF(AND(INDEX('Game Records'!$U:$U,$H270)&lt;&gt;"Subscription",INDEX('Game Records'!$U:$U,$H270)&lt;&gt;"Free Game",INDEX('Game Records'!$U:$U,$H270)&lt;&gt;"Disqualified — Free Game",INDEX('Game Records'!$G:$G,$H270)=""),"Gross Pot; ","")&amp;IF(AND(INDEX('Game Records'!$U:$U,$H270)&lt;&gt;"Free Game",INDEX('Game Records'!$U:$U,$H270)&lt;&gt;"Disqualified — Free Game",INDEX('Game Records'!$H:$H,$H270)=""),"Entry Fee; ","")&amp;IF(AND(INDEX('Game Records'!$U:$U,$H270)&lt;&gt;"Subscription",INDEX('Game Records'!$U:$U,$H270)&lt;&gt;"Free Game",INDEX('Game Records'!$U:$U,$H270)&lt;&gt;"Disqualified — Free Game",INDEX('Game Records'!$I:$I,$H270)=""),"Eligible Players; ","")&amp;IF(AND(INDEX('Game Records'!$U:$U,$H270)&lt;&gt;"Subscription",INDEX('Game Records'!$U:$U,$H270)&lt;&gt;"Free Game",INDEX('Game Records'!$U:$U,$H270)&lt;&gt;"Disqualified — Free Game",INDEX('Game Records'!$J:$J,$H270)=""),"Total Players; ","")&amp;IF(AND(LOWER(INDEX('Game Records'!$D:$D,$H270)&amp;"")="finalized",LOWER(INDEX('Game Records'!$L:$L,$H270)&amp;"")&lt;&gt;"yes",INDEX('Game Records'!$U:$U,$H270)&lt;&gt;"Subscription",INDEX('Game Records'!$U:$U,$H270)&lt;&gt;"Free Game",INDEX('Game Records'!$U:$U,$H270)&lt;&gt;"Disqualified — Free Game",INDEX('Game Records'!$K:$K,$H270)=""),"Final Earned; ","")&amp;IF(AND(LOWER(INDEX('Game Records'!$D:$D,$H270)&amp;"")="finalized",INDEX('Game Records'!$U:$U,$H270)&lt;&gt;"Subscription",INDEX('Game Records'!$U:$U,$H270)&lt;&gt;"Free Game",INDEX('Game Records'!$U:$U,$H270)&lt;&gt;"Disqualified — Free Game",OR(INDEX('Game Records'!$L:$L,$H270)="",LOWER(INDEX('Game Records'!$L:$L,$H270)&amp;"")="n/a")),"Disqualified Status; ",""))</x:f>
        <x:v/>
      </x:c>
      <x:c r="G270" s="331" t="str">
        <x:f>IF($H270="","",IFERROR(INDEX('Game Records'!$M:$M,$H270),""))</x:f>
        <x:v/>
      </x:c>
      <x:c r="H270" s="104" t="str">
        <x:f>IF($H269="","",IFERROR(MATCH(1,INDEX((ROW('Game Records'!$U$5:$U$504)&gt;$H269)*(('Game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1" ht="24" customHeight="1">
      <x:c r="A271" s="332" t="str">
        <x:f>IF($H271="","",ROWS($A$5:A271))</x:f>
        <x:v/>
      </x:c>
      <x:c r="B271" s="332" t="str">
        <x:f>IF($H271="","","G-"&amp;TEXT($A271,"0000"))</x:f>
        <x:v/>
      </x:c>
      <x:c r="C271" s="331" t="str">
        <x:f>IF($H271="","",IFERROR(INDEX('Game Records'!$A:$A,$H271),""))</x:f>
        <x:v/>
      </x:c>
      <x:c r="D271" s="331" t="str">
        <x:f>IF($H271="","",IFERROR(INDEX('Game Records'!$U:$U,$H271),""))</x:f>
        <x:v/>
      </x:c>
      <x:c r="E271" s="331" t="str">
        <x:f>IF($H271="","",IF($F271="","No Highlighted Fields","Highlighted Fields Present"))</x:f>
        <x:v/>
      </x:c>
      <x:c r="F271" s="331" t="str">
        <x:f>IF($H271="","",IF(INDEX('Game Records'!$B:$B,$H271)="","Start Date; ","")&amp;IF(INDEX('Game Records'!$C:$C,$H271)="","End Date; ","")&amp;IF(AND(INDEX('Game Records'!$U:$U,$H271)&lt;&gt;"Subscription",INDEX('Game Records'!$U:$U,$H271)&lt;&gt;"Free Game",INDEX('Game Records'!$U:$U,$H271)&lt;&gt;"Disqualified — Free Game",OR(INDEX('Game Records'!$D:$D,$H271)="",LOWER(INDEX('Game Records'!$D:$D,$H271)&amp;"")="n/a")),"Entry Mode; ","")&amp;IF(AND(INDEX('Game Records'!$U:$U,$H271)&lt;&gt;"Subscription",INDEX('Game Records'!$U:$U,$H271)&lt;&gt;"Free Game",INDEX('Game Records'!$U:$U,$H271)&lt;&gt;"Disqualified — Free Game",OR(INDEX('Game Records'!$E:$E,$H271)="",LOWER(INDEX('Game Records'!$E:$E,$H271)&amp;"")="n/a")),"Game Type; ","")&amp;IF(INDEX('Game Records'!$F:$F,$H271)="","Payment Type; ","")&amp;IF(AND(INDEX('Game Records'!$U:$U,$H271)&lt;&gt;"Subscription",INDEX('Game Records'!$U:$U,$H271)&lt;&gt;"Free Game",INDEX('Game Records'!$U:$U,$H271)&lt;&gt;"Disqualified — Free Game",INDEX('Game Records'!$G:$G,$H271)=""),"Gross Pot; ","")&amp;IF(AND(INDEX('Game Records'!$U:$U,$H271)&lt;&gt;"Free Game",INDEX('Game Records'!$U:$U,$H271)&lt;&gt;"Disqualified — Free Game",INDEX('Game Records'!$H:$H,$H271)=""),"Entry Fee; ","")&amp;IF(AND(INDEX('Game Records'!$U:$U,$H271)&lt;&gt;"Subscription",INDEX('Game Records'!$U:$U,$H271)&lt;&gt;"Free Game",INDEX('Game Records'!$U:$U,$H271)&lt;&gt;"Disqualified — Free Game",INDEX('Game Records'!$I:$I,$H271)=""),"Eligible Players; ","")&amp;IF(AND(INDEX('Game Records'!$U:$U,$H271)&lt;&gt;"Subscription",INDEX('Game Records'!$U:$U,$H271)&lt;&gt;"Free Game",INDEX('Game Records'!$U:$U,$H271)&lt;&gt;"Disqualified — Free Game",INDEX('Game Records'!$J:$J,$H271)=""),"Total Players; ","")&amp;IF(AND(LOWER(INDEX('Game Records'!$D:$D,$H271)&amp;"")="finalized",LOWER(INDEX('Game Records'!$L:$L,$H271)&amp;"")&lt;&gt;"yes",INDEX('Game Records'!$U:$U,$H271)&lt;&gt;"Subscription",INDEX('Game Records'!$U:$U,$H271)&lt;&gt;"Free Game",INDEX('Game Records'!$U:$U,$H271)&lt;&gt;"Disqualified — Free Game",INDEX('Game Records'!$K:$K,$H271)=""),"Final Earned; ","")&amp;IF(AND(LOWER(INDEX('Game Records'!$D:$D,$H271)&amp;"")="finalized",INDEX('Game Records'!$U:$U,$H271)&lt;&gt;"Subscription",INDEX('Game Records'!$U:$U,$H271)&lt;&gt;"Free Game",INDEX('Game Records'!$U:$U,$H271)&lt;&gt;"Disqualified — Free Game",OR(INDEX('Game Records'!$L:$L,$H271)="",LOWER(INDEX('Game Records'!$L:$L,$H271)&amp;"")="n/a")),"Disqualified Status; ",""))</x:f>
        <x:v/>
      </x:c>
      <x:c r="G271" s="331" t="str">
        <x:f>IF($H271="","",IFERROR(INDEX('Game Records'!$M:$M,$H271),""))</x:f>
        <x:v/>
      </x:c>
      <x:c r="H271" s="104" t="str">
        <x:f>IF($H270="","",IFERROR(MATCH(1,INDEX((ROW('Game Records'!$U$5:$U$504)&gt;$H270)*(('Game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2" ht="24" customHeight="1">
      <x:c r="A272" s="332" t="str">
        <x:f>IF($H272="","",ROWS($A$5:A272))</x:f>
        <x:v/>
      </x:c>
      <x:c r="B272" s="332" t="str">
        <x:f>IF($H272="","","G-"&amp;TEXT($A272,"0000"))</x:f>
        <x:v/>
      </x:c>
      <x:c r="C272" s="331" t="str">
        <x:f>IF($H272="","",IFERROR(INDEX('Game Records'!$A:$A,$H272),""))</x:f>
        <x:v/>
      </x:c>
      <x:c r="D272" s="331" t="str">
        <x:f>IF($H272="","",IFERROR(INDEX('Game Records'!$U:$U,$H272),""))</x:f>
        <x:v/>
      </x:c>
      <x:c r="E272" s="331" t="str">
        <x:f>IF($H272="","",IF($F272="","No Highlighted Fields","Highlighted Fields Present"))</x:f>
        <x:v/>
      </x:c>
      <x:c r="F272" s="331" t="str">
        <x:f>IF($H272="","",IF(INDEX('Game Records'!$B:$B,$H272)="","Start Date; ","")&amp;IF(INDEX('Game Records'!$C:$C,$H272)="","End Date; ","")&amp;IF(AND(INDEX('Game Records'!$U:$U,$H272)&lt;&gt;"Subscription",INDEX('Game Records'!$U:$U,$H272)&lt;&gt;"Free Game",INDEX('Game Records'!$U:$U,$H272)&lt;&gt;"Disqualified — Free Game",OR(INDEX('Game Records'!$D:$D,$H272)="",LOWER(INDEX('Game Records'!$D:$D,$H272)&amp;"")="n/a")),"Entry Mode; ","")&amp;IF(AND(INDEX('Game Records'!$U:$U,$H272)&lt;&gt;"Subscription",INDEX('Game Records'!$U:$U,$H272)&lt;&gt;"Free Game",INDEX('Game Records'!$U:$U,$H272)&lt;&gt;"Disqualified — Free Game",OR(INDEX('Game Records'!$E:$E,$H272)="",LOWER(INDEX('Game Records'!$E:$E,$H272)&amp;"")="n/a")),"Game Type; ","")&amp;IF(INDEX('Game Records'!$F:$F,$H272)="","Payment Type; ","")&amp;IF(AND(INDEX('Game Records'!$U:$U,$H272)&lt;&gt;"Subscription",INDEX('Game Records'!$U:$U,$H272)&lt;&gt;"Free Game",INDEX('Game Records'!$U:$U,$H272)&lt;&gt;"Disqualified — Free Game",INDEX('Game Records'!$G:$G,$H272)=""),"Gross Pot; ","")&amp;IF(AND(INDEX('Game Records'!$U:$U,$H272)&lt;&gt;"Free Game",INDEX('Game Records'!$U:$U,$H272)&lt;&gt;"Disqualified — Free Game",INDEX('Game Records'!$H:$H,$H272)=""),"Entry Fee; ","")&amp;IF(AND(INDEX('Game Records'!$U:$U,$H272)&lt;&gt;"Subscription",INDEX('Game Records'!$U:$U,$H272)&lt;&gt;"Free Game",INDEX('Game Records'!$U:$U,$H272)&lt;&gt;"Disqualified — Free Game",INDEX('Game Records'!$I:$I,$H272)=""),"Eligible Players; ","")&amp;IF(AND(INDEX('Game Records'!$U:$U,$H272)&lt;&gt;"Subscription",INDEX('Game Records'!$U:$U,$H272)&lt;&gt;"Free Game",INDEX('Game Records'!$U:$U,$H272)&lt;&gt;"Disqualified — Free Game",INDEX('Game Records'!$J:$J,$H272)=""),"Total Players; ","")&amp;IF(AND(LOWER(INDEX('Game Records'!$D:$D,$H272)&amp;"")="finalized",LOWER(INDEX('Game Records'!$L:$L,$H272)&amp;"")&lt;&gt;"yes",INDEX('Game Records'!$U:$U,$H272)&lt;&gt;"Subscription",INDEX('Game Records'!$U:$U,$H272)&lt;&gt;"Free Game",INDEX('Game Records'!$U:$U,$H272)&lt;&gt;"Disqualified — Free Game",INDEX('Game Records'!$K:$K,$H272)=""),"Final Earned; ","")&amp;IF(AND(LOWER(INDEX('Game Records'!$D:$D,$H272)&amp;"")="finalized",INDEX('Game Records'!$U:$U,$H272)&lt;&gt;"Subscription",INDEX('Game Records'!$U:$U,$H272)&lt;&gt;"Free Game",INDEX('Game Records'!$U:$U,$H272)&lt;&gt;"Disqualified — Free Game",OR(INDEX('Game Records'!$L:$L,$H272)="",LOWER(INDEX('Game Records'!$L:$L,$H272)&amp;"")="n/a")),"Disqualified Status; ",""))</x:f>
        <x:v/>
      </x:c>
      <x:c r="G272" s="331" t="str">
        <x:f>IF($H272="","",IFERROR(INDEX('Game Records'!$M:$M,$H272),""))</x:f>
        <x:v/>
      </x:c>
      <x:c r="H272" s="104" t="str">
        <x:f>IF($H271="","",IFERROR(MATCH(1,INDEX((ROW('Game Records'!$U$5:$U$504)&gt;$H271)*(('Game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3" ht="24" customHeight="1">
      <x:c r="A273" s="332" t="str">
        <x:f>IF($H273="","",ROWS($A$5:A273))</x:f>
        <x:v/>
      </x:c>
      <x:c r="B273" s="332" t="str">
        <x:f>IF($H273="","","G-"&amp;TEXT($A273,"0000"))</x:f>
        <x:v/>
      </x:c>
      <x:c r="C273" s="331" t="str">
        <x:f>IF($H273="","",IFERROR(INDEX('Game Records'!$A:$A,$H273),""))</x:f>
        <x:v/>
      </x:c>
      <x:c r="D273" s="331" t="str">
        <x:f>IF($H273="","",IFERROR(INDEX('Game Records'!$U:$U,$H273),""))</x:f>
        <x:v/>
      </x:c>
      <x:c r="E273" s="331" t="str">
        <x:f>IF($H273="","",IF($F273="","No Highlighted Fields","Highlighted Fields Present"))</x:f>
        <x:v/>
      </x:c>
      <x:c r="F273" s="331" t="str">
        <x:f>IF($H273="","",IF(INDEX('Game Records'!$B:$B,$H273)="","Start Date; ","")&amp;IF(INDEX('Game Records'!$C:$C,$H273)="","End Date; ","")&amp;IF(AND(INDEX('Game Records'!$U:$U,$H273)&lt;&gt;"Subscription",INDEX('Game Records'!$U:$U,$H273)&lt;&gt;"Free Game",INDEX('Game Records'!$U:$U,$H273)&lt;&gt;"Disqualified — Free Game",OR(INDEX('Game Records'!$D:$D,$H273)="",LOWER(INDEX('Game Records'!$D:$D,$H273)&amp;"")="n/a")),"Entry Mode; ","")&amp;IF(AND(INDEX('Game Records'!$U:$U,$H273)&lt;&gt;"Subscription",INDEX('Game Records'!$U:$U,$H273)&lt;&gt;"Free Game",INDEX('Game Records'!$U:$U,$H273)&lt;&gt;"Disqualified — Free Game",OR(INDEX('Game Records'!$E:$E,$H273)="",LOWER(INDEX('Game Records'!$E:$E,$H273)&amp;"")="n/a")),"Game Type; ","")&amp;IF(INDEX('Game Records'!$F:$F,$H273)="","Payment Type; ","")&amp;IF(AND(INDEX('Game Records'!$U:$U,$H273)&lt;&gt;"Subscription",INDEX('Game Records'!$U:$U,$H273)&lt;&gt;"Free Game",INDEX('Game Records'!$U:$U,$H273)&lt;&gt;"Disqualified — Free Game",INDEX('Game Records'!$G:$G,$H273)=""),"Gross Pot; ","")&amp;IF(AND(INDEX('Game Records'!$U:$U,$H273)&lt;&gt;"Free Game",INDEX('Game Records'!$U:$U,$H273)&lt;&gt;"Disqualified — Free Game",INDEX('Game Records'!$H:$H,$H273)=""),"Entry Fee; ","")&amp;IF(AND(INDEX('Game Records'!$U:$U,$H273)&lt;&gt;"Subscription",INDEX('Game Records'!$U:$U,$H273)&lt;&gt;"Free Game",INDEX('Game Records'!$U:$U,$H273)&lt;&gt;"Disqualified — Free Game",INDEX('Game Records'!$I:$I,$H273)=""),"Eligible Players; ","")&amp;IF(AND(INDEX('Game Records'!$U:$U,$H273)&lt;&gt;"Subscription",INDEX('Game Records'!$U:$U,$H273)&lt;&gt;"Free Game",INDEX('Game Records'!$U:$U,$H273)&lt;&gt;"Disqualified — Free Game",INDEX('Game Records'!$J:$J,$H273)=""),"Total Players; ","")&amp;IF(AND(LOWER(INDEX('Game Records'!$D:$D,$H273)&amp;"")="finalized",LOWER(INDEX('Game Records'!$L:$L,$H273)&amp;"")&lt;&gt;"yes",INDEX('Game Records'!$U:$U,$H273)&lt;&gt;"Subscription",INDEX('Game Records'!$U:$U,$H273)&lt;&gt;"Free Game",INDEX('Game Records'!$U:$U,$H273)&lt;&gt;"Disqualified — Free Game",INDEX('Game Records'!$K:$K,$H273)=""),"Final Earned; ","")&amp;IF(AND(LOWER(INDEX('Game Records'!$D:$D,$H273)&amp;"")="finalized",INDEX('Game Records'!$U:$U,$H273)&lt;&gt;"Subscription",INDEX('Game Records'!$U:$U,$H273)&lt;&gt;"Free Game",INDEX('Game Records'!$U:$U,$H273)&lt;&gt;"Disqualified — Free Game",OR(INDEX('Game Records'!$L:$L,$H273)="",LOWER(INDEX('Game Records'!$L:$L,$H273)&amp;"")="n/a")),"Disqualified Status; ",""))</x:f>
        <x:v/>
      </x:c>
      <x:c r="G273" s="331" t="str">
        <x:f>IF($H273="","",IFERROR(INDEX('Game Records'!$M:$M,$H273),""))</x:f>
        <x:v/>
      </x:c>
      <x:c r="H273" s="104" t="str">
        <x:f>IF($H272="","",IFERROR(MATCH(1,INDEX((ROW('Game Records'!$U$5:$U$504)&gt;$H272)*(('Game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4" ht="24" customHeight="1">
      <x:c r="A274" s="332" t="str">
        <x:f>IF($H274="","",ROWS($A$5:A274))</x:f>
        <x:v/>
      </x:c>
      <x:c r="B274" s="332" t="str">
        <x:f>IF($H274="","","G-"&amp;TEXT($A274,"0000"))</x:f>
        <x:v/>
      </x:c>
      <x:c r="C274" s="331" t="str">
        <x:f>IF($H274="","",IFERROR(INDEX('Game Records'!$A:$A,$H274),""))</x:f>
        <x:v/>
      </x:c>
      <x:c r="D274" s="331" t="str">
        <x:f>IF($H274="","",IFERROR(INDEX('Game Records'!$U:$U,$H274),""))</x:f>
        <x:v/>
      </x:c>
      <x:c r="E274" s="331" t="str">
        <x:f>IF($H274="","",IF($F274="","No Highlighted Fields","Highlighted Fields Present"))</x:f>
        <x:v/>
      </x:c>
      <x:c r="F274" s="331" t="str">
        <x:f>IF($H274="","",IF(INDEX('Game Records'!$B:$B,$H274)="","Start Date; ","")&amp;IF(INDEX('Game Records'!$C:$C,$H274)="","End Date; ","")&amp;IF(AND(INDEX('Game Records'!$U:$U,$H274)&lt;&gt;"Subscription",INDEX('Game Records'!$U:$U,$H274)&lt;&gt;"Free Game",INDEX('Game Records'!$U:$U,$H274)&lt;&gt;"Disqualified — Free Game",OR(INDEX('Game Records'!$D:$D,$H274)="",LOWER(INDEX('Game Records'!$D:$D,$H274)&amp;"")="n/a")),"Entry Mode; ","")&amp;IF(AND(INDEX('Game Records'!$U:$U,$H274)&lt;&gt;"Subscription",INDEX('Game Records'!$U:$U,$H274)&lt;&gt;"Free Game",INDEX('Game Records'!$U:$U,$H274)&lt;&gt;"Disqualified — Free Game",OR(INDEX('Game Records'!$E:$E,$H274)="",LOWER(INDEX('Game Records'!$E:$E,$H274)&amp;"")="n/a")),"Game Type; ","")&amp;IF(INDEX('Game Records'!$F:$F,$H274)="","Payment Type; ","")&amp;IF(AND(INDEX('Game Records'!$U:$U,$H274)&lt;&gt;"Subscription",INDEX('Game Records'!$U:$U,$H274)&lt;&gt;"Free Game",INDEX('Game Records'!$U:$U,$H274)&lt;&gt;"Disqualified — Free Game",INDEX('Game Records'!$G:$G,$H274)=""),"Gross Pot; ","")&amp;IF(AND(INDEX('Game Records'!$U:$U,$H274)&lt;&gt;"Free Game",INDEX('Game Records'!$U:$U,$H274)&lt;&gt;"Disqualified — Free Game",INDEX('Game Records'!$H:$H,$H274)=""),"Entry Fee; ","")&amp;IF(AND(INDEX('Game Records'!$U:$U,$H274)&lt;&gt;"Subscription",INDEX('Game Records'!$U:$U,$H274)&lt;&gt;"Free Game",INDEX('Game Records'!$U:$U,$H274)&lt;&gt;"Disqualified — Free Game",INDEX('Game Records'!$I:$I,$H274)=""),"Eligible Players; ","")&amp;IF(AND(INDEX('Game Records'!$U:$U,$H274)&lt;&gt;"Subscription",INDEX('Game Records'!$U:$U,$H274)&lt;&gt;"Free Game",INDEX('Game Records'!$U:$U,$H274)&lt;&gt;"Disqualified — Free Game",INDEX('Game Records'!$J:$J,$H274)=""),"Total Players; ","")&amp;IF(AND(LOWER(INDEX('Game Records'!$D:$D,$H274)&amp;"")="finalized",LOWER(INDEX('Game Records'!$L:$L,$H274)&amp;"")&lt;&gt;"yes",INDEX('Game Records'!$U:$U,$H274)&lt;&gt;"Subscription",INDEX('Game Records'!$U:$U,$H274)&lt;&gt;"Free Game",INDEX('Game Records'!$U:$U,$H274)&lt;&gt;"Disqualified — Free Game",INDEX('Game Records'!$K:$K,$H274)=""),"Final Earned; ","")&amp;IF(AND(LOWER(INDEX('Game Records'!$D:$D,$H274)&amp;"")="finalized",INDEX('Game Records'!$U:$U,$H274)&lt;&gt;"Subscription",INDEX('Game Records'!$U:$U,$H274)&lt;&gt;"Free Game",INDEX('Game Records'!$U:$U,$H274)&lt;&gt;"Disqualified — Free Game",OR(INDEX('Game Records'!$L:$L,$H274)="",LOWER(INDEX('Game Records'!$L:$L,$H274)&amp;"")="n/a")),"Disqualified Status; ",""))</x:f>
        <x:v/>
      </x:c>
      <x:c r="G274" s="331" t="str">
        <x:f>IF($H274="","",IFERROR(INDEX('Game Records'!$M:$M,$H274),""))</x:f>
        <x:v/>
      </x:c>
      <x:c r="H274" s="104" t="str">
        <x:f>IF($H273="","",IFERROR(MATCH(1,INDEX((ROW('Game Records'!$U$5:$U$504)&gt;$H273)*(('Game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5" ht="24" customHeight="1">
      <x:c r="A275" s="332" t="str">
        <x:f>IF($H275="","",ROWS($A$5:A275))</x:f>
        <x:v/>
      </x:c>
      <x:c r="B275" s="332" t="str">
        <x:f>IF($H275="","","G-"&amp;TEXT($A275,"0000"))</x:f>
        <x:v/>
      </x:c>
      <x:c r="C275" s="331" t="str">
        <x:f>IF($H275="","",IFERROR(INDEX('Game Records'!$A:$A,$H275),""))</x:f>
        <x:v/>
      </x:c>
      <x:c r="D275" s="331" t="str">
        <x:f>IF($H275="","",IFERROR(INDEX('Game Records'!$U:$U,$H275),""))</x:f>
        <x:v/>
      </x:c>
      <x:c r="E275" s="331" t="str">
        <x:f>IF($H275="","",IF($F275="","No Highlighted Fields","Highlighted Fields Present"))</x:f>
        <x:v/>
      </x:c>
      <x:c r="F275" s="331" t="str">
        <x:f>IF($H275="","",IF(INDEX('Game Records'!$B:$B,$H275)="","Start Date; ","")&amp;IF(INDEX('Game Records'!$C:$C,$H275)="","End Date; ","")&amp;IF(AND(INDEX('Game Records'!$U:$U,$H275)&lt;&gt;"Subscription",INDEX('Game Records'!$U:$U,$H275)&lt;&gt;"Free Game",INDEX('Game Records'!$U:$U,$H275)&lt;&gt;"Disqualified — Free Game",OR(INDEX('Game Records'!$D:$D,$H275)="",LOWER(INDEX('Game Records'!$D:$D,$H275)&amp;"")="n/a")),"Entry Mode; ","")&amp;IF(AND(INDEX('Game Records'!$U:$U,$H275)&lt;&gt;"Subscription",INDEX('Game Records'!$U:$U,$H275)&lt;&gt;"Free Game",INDEX('Game Records'!$U:$U,$H275)&lt;&gt;"Disqualified — Free Game",OR(INDEX('Game Records'!$E:$E,$H275)="",LOWER(INDEX('Game Records'!$E:$E,$H275)&amp;"")="n/a")),"Game Type; ","")&amp;IF(INDEX('Game Records'!$F:$F,$H275)="","Payment Type; ","")&amp;IF(AND(INDEX('Game Records'!$U:$U,$H275)&lt;&gt;"Subscription",INDEX('Game Records'!$U:$U,$H275)&lt;&gt;"Free Game",INDEX('Game Records'!$U:$U,$H275)&lt;&gt;"Disqualified — Free Game",INDEX('Game Records'!$G:$G,$H275)=""),"Gross Pot; ","")&amp;IF(AND(INDEX('Game Records'!$U:$U,$H275)&lt;&gt;"Free Game",INDEX('Game Records'!$U:$U,$H275)&lt;&gt;"Disqualified — Free Game",INDEX('Game Records'!$H:$H,$H275)=""),"Entry Fee; ","")&amp;IF(AND(INDEX('Game Records'!$U:$U,$H275)&lt;&gt;"Subscription",INDEX('Game Records'!$U:$U,$H275)&lt;&gt;"Free Game",INDEX('Game Records'!$U:$U,$H275)&lt;&gt;"Disqualified — Free Game",INDEX('Game Records'!$I:$I,$H275)=""),"Eligible Players; ","")&amp;IF(AND(INDEX('Game Records'!$U:$U,$H275)&lt;&gt;"Subscription",INDEX('Game Records'!$U:$U,$H275)&lt;&gt;"Free Game",INDEX('Game Records'!$U:$U,$H275)&lt;&gt;"Disqualified — Free Game",INDEX('Game Records'!$J:$J,$H275)=""),"Total Players; ","")&amp;IF(AND(LOWER(INDEX('Game Records'!$D:$D,$H275)&amp;"")="finalized",LOWER(INDEX('Game Records'!$L:$L,$H275)&amp;"")&lt;&gt;"yes",INDEX('Game Records'!$U:$U,$H275)&lt;&gt;"Subscription",INDEX('Game Records'!$U:$U,$H275)&lt;&gt;"Free Game",INDEX('Game Records'!$U:$U,$H275)&lt;&gt;"Disqualified — Free Game",INDEX('Game Records'!$K:$K,$H275)=""),"Final Earned; ","")&amp;IF(AND(LOWER(INDEX('Game Records'!$D:$D,$H275)&amp;"")="finalized",INDEX('Game Records'!$U:$U,$H275)&lt;&gt;"Subscription",INDEX('Game Records'!$U:$U,$H275)&lt;&gt;"Free Game",INDEX('Game Records'!$U:$U,$H275)&lt;&gt;"Disqualified — Free Game",OR(INDEX('Game Records'!$L:$L,$H275)="",LOWER(INDEX('Game Records'!$L:$L,$H275)&amp;"")="n/a")),"Disqualified Status; ",""))</x:f>
        <x:v/>
      </x:c>
      <x:c r="G275" s="331" t="str">
        <x:f>IF($H275="","",IFERROR(INDEX('Game Records'!$M:$M,$H275),""))</x:f>
        <x:v/>
      </x:c>
      <x:c r="H275" s="104" t="str">
        <x:f>IF($H274="","",IFERROR(MATCH(1,INDEX((ROW('Game Records'!$U$5:$U$504)&gt;$H274)*(('Game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6" ht="24" customHeight="1">
      <x:c r="A276" s="332" t="str">
        <x:f>IF($H276="","",ROWS($A$5:A276))</x:f>
        <x:v/>
      </x:c>
      <x:c r="B276" s="332" t="str">
        <x:f>IF($H276="","","G-"&amp;TEXT($A276,"0000"))</x:f>
        <x:v/>
      </x:c>
      <x:c r="C276" s="331" t="str">
        <x:f>IF($H276="","",IFERROR(INDEX('Game Records'!$A:$A,$H276),""))</x:f>
        <x:v/>
      </x:c>
      <x:c r="D276" s="331" t="str">
        <x:f>IF($H276="","",IFERROR(INDEX('Game Records'!$U:$U,$H276),""))</x:f>
        <x:v/>
      </x:c>
      <x:c r="E276" s="331" t="str">
        <x:f>IF($H276="","",IF($F276="","No Highlighted Fields","Highlighted Fields Present"))</x:f>
        <x:v/>
      </x:c>
      <x:c r="F276" s="331" t="str">
        <x:f>IF($H276="","",IF(INDEX('Game Records'!$B:$B,$H276)="","Start Date; ","")&amp;IF(INDEX('Game Records'!$C:$C,$H276)="","End Date; ","")&amp;IF(AND(INDEX('Game Records'!$U:$U,$H276)&lt;&gt;"Subscription",INDEX('Game Records'!$U:$U,$H276)&lt;&gt;"Free Game",INDEX('Game Records'!$U:$U,$H276)&lt;&gt;"Disqualified — Free Game",OR(INDEX('Game Records'!$D:$D,$H276)="",LOWER(INDEX('Game Records'!$D:$D,$H276)&amp;"")="n/a")),"Entry Mode; ","")&amp;IF(AND(INDEX('Game Records'!$U:$U,$H276)&lt;&gt;"Subscription",INDEX('Game Records'!$U:$U,$H276)&lt;&gt;"Free Game",INDEX('Game Records'!$U:$U,$H276)&lt;&gt;"Disqualified — Free Game",OR(INDEX('Game Records'!$E:$E,$H276)="",LOWER(INDEX('Game Records'!$E:$E,$H276)&amp;"")="n/a")),"Game Type; ","")&amp;IF(INDEX('Game Records'!$F:$F,$H276)="","Payment Type; ","")&amp;IF(AND(INDEX('Game Records'!$U:$U,$H276)&lt;&gt;"Subscription",INDEX('Game Records'!$U:$U,$H276)&lt;&gt;"Free Game",INDEX('Game Records'!$U:$U,$H276)&lt;&gt;"Disqualified — Free Game",INDEX('Game Records'!$G:$G,$H276)=""),"Gross Pot; ","")&amp;IF(AND(INDEX('Game Records'!$U:$U,$H276)&lt;&gt;"Free Game",INDEX('Game Records'!$U:$U,$H276)&lt;&gt;"Disqualified — Free Game",INDEX('Game Records'!$H:$H,$H276)=""),"Entry Fee; ","")&amp;IF(AND(INDEX('Game Records'!$U:$U,$H276)&lt;&gt;"Subscription",INDEX('Game Records'!$U:$U,$H276)&lt;&gt;"Free Game",INDEX('Game Records'!$U:$U,$H276)&lt;&gt;"Disqualified — Free Game",INDEX('Game Records'!$I:$I,$H276)=""),"Eligible Players; ","")&amp;IF(AND(INDEX('Game Records'!$U:$U,$H276)&lt;&gt;"Subscription",INDEX('Game Records'!$U:$U,$H276)&lt;&gt;"Free Game",INDEX('Game Records'!$U:$U,$H276)&lt;&gt;"Disqualified — Free Game",INDEX('Game Records'!$J:$J,$H276)=""),"Total Players; ","")&amp;IF(AND(LOWER(INDEX('Game Records'!$D:$D,$H276)&amp;"")="finalized",LOWER(INDEX('Game Records'!$L:$L,$H276)&amp;"")&lt;&gt;"yes",INDEX('Game Records'!$U:$U,$H276)&lt;&gt;"Subscription",INDEX('Game Records'!$U:$U,$H276)&lt;&gt;"Free Game",INDEX('Game Records'!$U:$U,$H276)&lt;&gt;"Disqualified — Free Game",INDEX('Game Records'!$K:$K,$H276)=""),"Final Earned; ","")&amp;IF(AND(LOWER(INDEX('Game Records'!$D:$D,$H276)&amp;"")="finalized",INDEX('Game Records'!$U:$U,$H276)&lt;&gt;"Subscription",INDEX('Game Records'!$U:$U,$H276)&lt;&gt;"Free Game",INDEX('Game Records'!$U:$U,$H276)&lt;&gt;"Disqualified — Free Game",OR(INDEX('Game Records'!$L:$L,$H276)="",LOWER(INDEX('Game Records'!$L:$L,$H276)&amp;"")="n/a")),"Disqualified Status; ",""))</x:f>
        <x:v/>
      </x:c>
      <x:c r="G276" s="331" t="str">
        <x:f>IF($H276="","",IFERROR(INDEX('Game Records'!$M:$M,$H276),""))</x:f>
        <x:v/>
      </x:c>
      <x:c r="H276" s="104" t="str">
        <x:f>IF($H275="","",IFERROR(MATCH(1,INDEX((ROW('Game Records'!$U$5:$U$504)&gt;$H275)*(('Game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7" ht="24" customHeight="1">
      <x:c r="A277" s="332" t="str">
        <x:f>IF($H277="","",ROWS($A$5:A277))</x:f>
        <x:v/>
      </x:c>
      <x:c r="B277" s="332" t="str">
        <x:f>IF($H277="","","G-"&amp;TEXT($A277,"0000"))</x:f>
        <x:v/>
      </x:c>
      <x:c r="C277" s="331" t="str">
        <x:f>IF($H277="","",IFERROR(INDEX('Game Records'!$A:$A,$H277),""))</x:f>
        <x:v/>
      </x:c>
      <x:c r="D277" s="331" t="str">
        <x:f>IF($H277="","",IFERROR(INDEX('Game Records'!$U:$U,$H277),""))</x:f>
        <x:v/>
      </x:c>
      <x:c r="E277" s="331" t="str">
        <x:f>IF($H277="","",IF($F277="","No Highlighted Fields","Highlighted Fields Present"))</x:f>
        <x:v/>
      </x:c>
      <x:c r="F277" s="331" t="str">
        <x:f>IF($H277="","",IF(INDEX('Game Records'!$B:$B,$H277)="","Start Date; ","")&amp;IF(INDEX('Game Records'!$C:$C,$H277)="","End Date; ","")&amp;IF(AND(INDEX('Game Records'!$U:$U,$H277)&lt;&gt;"Subscription",INDEX('Game Records'!$U:$U,$H277)&lt;&gt;"Free Game",INDEX('Game Records'!$U:$U,$H277)&lt;&gt;"Disqualified — Free Game",OR(INDEX('Game Records'!$D:$D,$H277)="",LOWER(INDEX('Game Records'!$D:$D,$H277)&amp;"")="n/a")),"Entry Mode; ","")&amp;IF(AND(INDEX('Game Records'!$U:$U,$H277)&lt;&gt;"Subscription",INDEX('Game Records'!$U:$U,$H277)&lt;&gt;"Free Game",INDEX('Game Records'!$U:$U,$H277)&lt;&gt;"Disqualified — Free Game",OR(INDEX('Game Records'!$E:$E,$H277)="",LOWER(INDEX('Game Records'!$E:$E,$H277)&amp;"")="n/a")),"Game Type; ","")&amp;IF(INDEX('Game Records'!$F:$F,$H277)="","Payment Type; ","")&amp;IF(AND(INDEX('Game Records'!$U:$U,$H277)&lt;&gt;"Subscription",INDEX('Game Records'!$U:$U,$H277)&lt;&gt;"Free Game",INDEX('Game Records'!$U:$U,$H277)&lt;&gt;"Disqualified — Free Game",INDEX('Game Records'!$G:$G,$H277)=""),"Gross Pot; ","")&amp;IF(AND(INDEX('Game Records'!$U:$U,$H277)&lt;&gt;"Free Game",INDEX('Game Records'!$U:$U,$H277)&lt;&gt;"Disqualified — Free Game",INDEX('Game Records'!$H:$H,$H277)=""),"Entry Fee; ","")&amp;IF(AND(INDEX('Game Records'!$U:$U,$H277)&lt;&gt;"Subscription",INDEX('Game Records'!$U:$U,$H277)&lt;&gt;"Free Game",INDEX('Game Records'!$U:$U,$H277)&lt;&gt;"Disqualified — Free Game",INDEX('Game Records'!$I:$I,$H277)=""),"Eligible Players; ","")&amp;IF(AND(INDEX('Game Records'!$U:$U,$H277)&lt;&gt;"Subscription",INDEX('Game Records'!$U:$U,$H277)&lt;&gt;"Free Game",INDEX('Game Records'!$U:$U,$H277)&lt;&gt;"Disqualified — Free Game",INDEX('Game Records'!$J:$J,$H277)=""),"Total Players; ","")&amp;IF(AND(LOWER(INDEX('Game Records'!$D:$D,$H277)&amp;"")="finalized",LOWER(INDEX('Game Records'!$L:$L,$H277)&amp;"")&lt;&gt;"yes",INDEX('Game Records'!$U:$U,$H277)&lt;&gt;"Subscription",INDEX('Game Records'!$U:$U,$H277)&lt;&gt;"Free Game",INDEX('Game Records'!$U:$U,$H277)&lt;&gt;"Disqualified — Free Game",INDEX('Game Records'!$K:$K,$H277)=""),"Final Earned; ","")&amp;IF(AND(LOWER(INDEX('Game Records'!$D:$D,$H277)&amp;"")="finalized",INDEX('Game Records'!$U:$U,$H277)&lt;&gt;"Subscription",INDEX('Game Records'!$U:$U,$H277)&lt;&gt;"Free Game",INDEX('Game Records'!$U:$U,$H277)&lt;&gt;"Disqualified — Free Game",OR(INDEX('Game Records'!$L:$L,$H277)="",LOWER(INDEX('Game Records'!$L:$L,$H277)&amp;"")="n/a")),"Disqualified Status; ",""))</x:f>
        <x:v/>
      </x:c>
      <x:c r="G277" s="331" t="str">
        <x:f>IF($H277="","",IFERROR(INDEX('Game Records'!$M:$M,$H277),""))</x:f>
        <x:v/>
      </x:c>
      <x:c r="H277" s="104" t="str">
        <x:f>IF($H276="","",IFERROR(MATCH(1,INDEX((ROW('Game Records'!$U$5:$U$504)&gt;$H276)*(('Game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8" ht="24" customHeight="1">
      <x:c r="A278" s="332" t="str">
        <x:f>IF($H278="","",ROWS($A$5:A278))</x:f>
        <x:v/>
      </x:c>
      <x:c r="B278" s="332" t="str">
        <x:f>IF($H278="","","G-"&amp;TEXT($A278,"0000"))</x:f>
        <x:v/>
      </x:c>
      <x:c r="C278" s="331" t="str">
        <x:f>IF($H278="","",IFERROR(INDEX('Game Records'!$A:$A,$H278),""))</x:f>
        <x:v/>
      </x:c>
      <x:c r="D278" s="331" t="str">
        <x:f>IF($H278="","",IFERROR(INDEX('Game Records'!$U:$U,$H278),""))</x:f>
        <x:v/>
      </x:c>
      <x:c r="E278" s="331" t="str">
        <x:f>IF($H278="","",IF($F278="","No Highlighted Fields","Highlighted Fields Present"))</x:f>
        <x:v/>
      </x:c>
      <x:c r="F278" s="331" t="str">
        <x:f>IF($H278="","",IF(INDEX('Game Records'!$B:$B,$H278)="","Start Date; ","")&amp;IF(INDEX('Game Records'!$C:$C,$H278)="","End Date; ","")&amp;IF(AND(INDEX('Game Records'!$U:$U,$H278)&lt;&gt;"Subscription",INDEX('Game Records'!$U:$U,$H278)&lt;&gt;"Free Game",INDEX('Game Records'!$U:$U,$H278)&lt;&gt;"Disqualified — Free Game",OR(INDEX('Game Records'!$D:$D,$H278)="",LOWER(INDEX('Game Records'!$D:$D,$H278)&amp;"")="n/a")),"Entry Mode; ","")&amp;IF(AND(INDEX('Game Records'!$U:$U,$H278)&lt;&gt;"Subscription",INDEX('Game Records'!$U:$U,$H278)&lt;&gt;"Free Game",INDEX('Game Records'!$U:$U,$H278)&lt;&gt;"Disqualified — Free Game",OR(INDEX('Game Records'!$E:$E,$H278)="",LOWER(INDEX('Game Records'!$E:$E,$H278)&amp;"")="n/a")),"Game Type; ","")&amp;IF(INDEX('Game Records'!$F:$F,$H278)="","Payment Type; ","")&amp;IF(AND(INDEX('Game Records'!$U:$U,$H278)&lt;&gt;"Subscription",INDEX('Game Records'!$U:$U,$H278)&lt;&gt;"Free Game",INDEX('Game Records'!$U:$U,$H278)&lt;&gt;"Disqualified — Free Game",INDEX('Game Records'!$G:$G,$H278)=""),"Gross Pot; ","")&amp;IF(AND(INDEX('Game Records'!$U:$U,$H278)&lt;&gt;"Free Game",INDEX('Game Records'!$U:$U,$H278)&lt;&gt;"Disqualified — Free Game",INDEX('Game Records'!$H:$H,$H278)=""),"Entry Fee; ","")&amp;IF(AND(INDEX('Game Records'!$U:$U,$H278)&lt;&gt;"Subscription",INDEX('Game Records'!$U:$U,$H278)&lt;&gt;"Free Game",INDEX('Game Records'!$U:$U,$H278)&lt;&gt;"Disqualified — Free Game",INDEX('Game Records'!$I:$I,$H278)=""),"Eligible Players; ","")&amp;IF(AND(INDEX('Game Records'!$U:$U,$H278)&lt;&gt;"Subscription",INDEX('Game Records'!$U:$U,$H278)&lt;&gt;"Free Game",INDEX('Game Records'!$U:$U,$H278)&lt;&gt;"Disqualified — Free Game",INDEX('Game Records'!$J:$J,$H278)=""),"Total Players; ","")&amp;IF(AND(LOWER(INDEX('Game Records'!$D:$D,$H278)&amp;"")="finalized",LOWER(INDEX('Game Records'!$L:$L,$H278)&amp;"")&lt;&gt;"yes",INDEX('Game Records'!$U:$U,$H278)&lt;&gt;"Subscription",INDEX('Game Records'!$U:$U,$H278)&lt;&gt;"Free Game",INDEX('Game Records'!$U:$U,$H278)&lt;&gt;"Disqualified — Free Game",INDEX('Game Records'!$K:$K,$H278)=""),"Final Earned; ","")&amp;IF(AND(LOWER(INDEX('Game Records'!$D:$D,$H278)&amp;"")="finalized",INDEX('Game Records'!$U:$U,$H278)&lt;&gt;"Subscription",INDEX('Game Records'!$U:$U,$H278)&lt;&gt;"Free Game",INDEX('Game Records'!$U:$U,$H278)&lt;&gt;"Disqualified — Free Game",OR(INDEX('Game Records'!$L:$L,$H278)="",LOWER(INDEX('Game Records'!$L:$L,$H278)&amp;"")="n/a")),"Disqualified Status; ",""))</x:f>
        <x:v/>
      </x:c>
      <x:c r="G278" s="331" t="str">
        <x:f>IF($H278="","",IFERROR(INDEX('Game Records'!$M:$M,$H278),""))</x:f>
        <x:v/>
      </x:c>
      <x:c r="H278" s="104" t="str">
        <x:f>IF($H277="","",IFERROR(MATCH(1,INDEX((ROW('Game Records'!$U$5:$U$504)&gt;$H277)*(('Game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79" ht="24" customHeight="1">
      <x:c r="A279" s="332" t="str">
        <x:f>IF($H279="","",ROWS($A$5:A279))</x:f>
        <x:v/>
      </x:c>
      <x:c r="B279" s="332" t="str">
        <x:f>IF($H279="","","G-"&amp;TEXT($A279,"0000"))</x:f>
        <x:v/>
      </x:c>
      <x:c r="C279" s="331" t="str">
        <x:f>IF($H279="","",IFERROR(INDEX('Game Records'!$A:$A,$H279),""))</x:f>
        <x:v/>
      </x:c>
      <x:c r="D279" s="331" t="str">
        <x:f>IF($H279="","",IFERROR(INDEX('Game Records'!$U:$U,$H279),""))</x:f>
        <x:v/>
      </x:c>
      <x:c r="E279" s="331" t="str">
        <x:f>IF($H279="","",IF($F279="","No Highlighted Fields","Highlighted Fields Present"))</x:f>
        <x:v/>
      </x:c>
      <x:c r="F279" s="331" t="str">
        <x:f>IF($H279="","",IF(INDEX('Game Records'!$B:$B,$H279)="","Start Date; ","")&amp;IF(INDEX('Game Records'!$C:$C,$H279)="","End Date; ","")&amp;IF(AND(INDEX('Game Records'!$U:$U,$H279)&lt;&gt;"Subscription",INDEX('Game Records'!$U:$U,$H279)&lt;&gt;"Free Game",INDEX('Game Records'!$U:$U,$H279)&lt;&gt;"Disqualified — Free Game",OR(INDEX('Game Records'!$D:$D,$H279)="",LOWER(INDEX('Game Records'!$D:$D,$H279)&amp;"")="n/a")),"Entry Mode; ","")&amp;IF(AND(INDEX('Game Records'!$U:$U,$H279)&lt;&gt;"Subscription",INDEX('Game Records'!$U:$U,$H279)&lt;&gt;"Free Game",INDEX('Game Records'!$U:$U,$H279)&lt;&gt;"Disqualified — Free Game",OR(INDEX('Game Records'!$E:$E,$H279)="",LOWER(INDEX('Game Records'!$E:$E,$H279)&amp;"")="n/a")),"Game Type; ","")&amp;IF(INDEX('Game Records'!$F:$F,$H279)="","Payment Type; ","")&amp;IF(AND(INDEX('Game Records'!$U:$U,$H279)&lt;&gt;"Subscription",INDEX('Game Records'!$U:$U,$H279)&lt;&gt;"Free Game",INDEX('Game Records'!$U:$U,$H279)&lt;&gt;"Disqualified — Free Game",INDEX('Game Records'!$G:$G,$H279)=""),"Gross Pot; ","")&amp;IF(AND(INDEX('Game Records'!$U:$U,$H279)&lt;&gt;"Free Game",INDEX('Game Records'!$U:$U,$H279)&lt;&gt;"Disqualified — Free Game",INDEX('Game Records'!$H:$H,$H279)=""),"Entry Fee; ","")&amp;IF(AND(INDEX('Game Records'!$U:$U,$H279)&lt;&gt;"Subscription",INDEX('Game Records'!$U:$U,$H279)&lt;&gt;"Free Game",INDEX('Game Records'!$U:$U,$H279)&lt;&gt;"Disqualified — Free Game",INDEX('Game Records'!$I:$I,$H279)=""),"Eligible Players; ","")&amp;IF(AND(INDEX('Game Records'!$U:$U,$H279)&lt;&gt;"Subscription",INDEX('Game Records'!$U:$U,$H279)&lt;&gt;"Free Game",INDEX('Game Records'!$U:$U,$H279)&lt;&gt;"Disqualified — Free Game",INDEX('Game Records'!$J:$J,$H279)=""),"Total Players; ","")&amp;IF(AND(LOWER(INDEX('Game Records'!$D:$D,$H279)&amp;"")="finalized",LOWER(INDEX('Game Records'!$L:$L,$H279)&amp;"")&lt;&gt;"yes",INDEX('Game Records'!$U:$U,$H279)&lt;&gt;"Subscription",INDEX('Game Records'!$U:$U,$H279)&lt;&gt;"Free Game",INDEX('Game Records'!$U:$U,$H279)&lt;&gt;"Disqualified — Free Game",INDEX('Game Records'!$K:$K,$H279)=""),"Final Earned; ","")&amp;IF(AND(LOWER(INDEX('Game Records'!$D:$D,$H279)&amp;"")="finalized",INDEX('Game Records'!$U:$U,$H279)&lt;&gt;"Subscription",INDEX('Game Records'!$U:$U,$H279)&lt;&gt;"Free Game",INDEX('Game Records'!$U:$U,$H279)&lt;&gt;"Disqualified — Free Game",OR(INDEX('Game Records'!$L:$L,$H279)="",LOWER(INDEX('Game Records'!$L:$L,$H279)&amp;"")="n/a")),"Disqualified Status; ",""))</x:f>
        <x:v/>
      </x:c>
      <x:c r="G279" s="331" t="str">
        <x:f>IF($H279="","",IFERROR(INDEX('Game Records'!$M:$M,$H279),""))</x:f>
        <x:v/>
      </x:c>
      <x:c r="H279" s="104" t="str">
        <x:f>IF($H278="","",IFERROR(MATCH(1,INDEX((ROW('Game Records'!$U$5:$U$504)&gt;$H278)*(('Game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0" ht="24" customHeight="1">
      <x:c r="A280" s="332" t="str">
        <x:f>IF($H280="","",ROWS($A$5:A280))</x:f>
        <x:v/>
      </x:c>
      <x:c r="B280" s="332" t="str">
        <x:f>IF($H280="","","G-"&amp;TEXT($A280,"0000"))</x:f>
        <x:v/>
      </x:c>
      <x:c r="C280" s="331" t="str">
        <x:f>IF($H280="","",IFERROR(INDEX('Game Records'!$A:$A,$H280),""))</x:f>
        <x:v/>
      </x:c>
      <x:c r="D280" s="331" t="str">
        <x:f>IF($H280="","",IFERROR(INDEX('Game Records'!$U:$U,$H280),""))</x:f>
        <x:v/>
      </x:c>
      <x:c r="E280" s="331" t="str">
        <x:f>IF($H280="","",IF($F280="","No Highlighted Fields","Highlighted Fields Present"))</x:f>
        <x:v/>
      </x:c>
      <x:c r="F280" s="331" t="str">
        <x:f>IF($H280="","",IF(INDEX('Game Records'!$B:$B,$H280)="","Start Date; ","")&amp;IF(INDEX('Game Records'!$C:$C,$H280)="","End Date; ","")&amp;IF(AND(INDEX('Game Records'!$U:$U,$H280)&lt;&gt;"Subscription",INDEX('Game Records'!$U:$U,$H280)&lt;&gt;"Free Game",INDEX('Game Records'!$U:$U,$H280)&lt;&gt;"Disqualified — Free Game",OR(INDEX('Game Records'!$D:$D,$H280)="",LOWER(INDEX('Game Records'!$D:$D,$H280)&amp;"")="n/a")),"Entry Mode; ","")&amp;IF(AND(INDEX('Game Records'!$U:$U,$H280)&lt;&gt;"Subscription",INDEX('Game Records'!$U:$U,$H280)&lt;&gt;"Free Game",INDEX('Game Records'!$U:$U,$H280)&lt;&gt;"Disqualified — Free Game",OR(INDEX('Game Records'!$E:$E,$H280)="",LOWER(INDEX('Game Records'!$E:$E,$H280)&amp;"")="n/a")),"Game Type; ","")&amp;IF(INDEX('Game Records'!$F:$F,$H280)="","Payment Type; ","")&amp;IF(AND(INDEX('Game Records'!$U:$U,$H280)&lt;&gt;"Subscription",INDEX('Game Records'!$U:$U,$H280)&lt;&gt;"Free Game",INDEX('Game Records'!$U:$U,$H280)&lt;&gt;"Disqualified — Free Game",INDEX('Game Records'!$G:$G,$H280)=""),"Gross Pot; ","")&amp;IF(AND(INDEX('Game Records'!$U:$U,$H280)&lt;&gt;"Free Game",INDEX('Game Records'!$U:$U,$H280)&lt;&gt;"Disqualified — Free Game",INDEX('Game Records'!$H:$H,$H280)=""),"Entry Fee; ","")&amp;IF(AND(INDEX('Game Records'!$U:$U,$H280)&lt;&gt;"Subscription",INDEX('Game Records'!$U:$U,$H280)&lt;&gt;"Free Game",INDEX('Game Records'!$U:$U,$H280)&lt;&gt;"Disqualified — Free Game",INDEX('Game Records'!$I:$I,$H280)=""),"Eligible Players; ","")&amp;IF(AND(INDEX('Game Records'!$U:$U,$H280)&lt;&gt;"Subscription",INDEX('Game Records'!$U:$U,$H280)&lt;&gt;"Free Game",INDEX('Game Records'!$U:$U,$H280)&lt;&gt;"Disqualified — Free Game",INDEX('Game Records'!$J:$J,$H280)=""),"Total Players; ","")&amp;IF(AND(LOWER(INDEX('Game Records'!$D:$D,$H280)&amp;"")="finalized",LOWER(INDEX('Game Records'!$L:$L,$H280)&amp;"")&lt;&gt;"yes",INDEX('Game Records'!$U:$U,$H280)&lt;&gt;"Subscription",INDEX('Game Records'!$U:$U,$H280)&lt;&gt;"Free Game",INDEX('Game Records'!$U:$U,$H280)&lt;&gt;"Disqualified — Free Game",INDEX('Game Records'!$K:$K,$H280)=""),"Final Earned; ","")&amp;IF(AND(LOWER(INDEX('Game Records'!$D:$D,$H280)&amp;"")="finalized",INDEX('Game Records'!$U:$U,$H280)&lt;&gt;"Subscription",INDEX('Game Records'!$U:$U,$H280)&lt;&gt;"Free Game",INDEX('Game Records'!$U:$U,$H280)&lt;&gt;"Disqualified — Free Game",OR(INDEX('Game Records'!$L:$L,$H280)="",LOWER(INDEX('Game Records'!$L:$L,$H280)&amp;"")="n/a")),"Disqualified Status; ",""))</x:f>
        <x:v/>
      </x:c>
      <x:c r="G280" s="331" t="str">
        <x:f>IF($H280="","",IFERROR(INDEX('Game Records'!$M:$M,$H280),""))</x:f>
        <x:v/>
      </x:c>
      <x:c r="H280" s="104" t="str">
        <x:f>IF($H279="","",IFERROR(MATCH(1,INDEX((ROW('Game Records'!$U$5:$U$504)&gt;$H279)*(('Game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1" ht="24" customHeight="1">
      <x:c r="A281" s="332" t="str">
        <x:f>IF($H281="","",ROWS($A$5:A281))</x:f>
        <x:v/>
      </x:c>
      <x:c r="B281" s="332" t="str">
        <x:f>IF($H281="","","G-"&amp;TEXT($A281,"0000"))</x:f>
        <x:v/>
      </x:c>
      <x:c r="C281" s="331" t="str">
        <x:f>IF($H281="","",IFERROR(INDEX('Game Records'!$A:$A,$H281),""))</x:f>
        <x:v/>
      </x:c>
      <x:c r="D281" s="331" t="str">
        <x:f>IF($H281="","",IFERROR(INDEX('Game Records'!$U:$U,$H281),""))</x:f>
        <x:v/>
      </x:c>
      <x:c r="E281" s="331" t="str">
        <x:f>IF($H281="","",IF($F281="","No Highlighted Fields","Highlighted Fields Present"))</x:f>
        <x:v/>
      </x:c>
      <x:c r="F281" s="331" t="str">
        <x:f>IF($H281="","",IF(INDEX('Game Records'!$B:$B,$H281)="","Start Date; ","")&amp;IF(INDEX('Game Records'!$C:$C,$H281)="","End Date; ","")&amp;IF(AND(INDEX('Game Records'!$U:$U,$H281)&lt;&gt;"Subscription",INDEX('Game Records'!$U:$U,$H281)&lt;&gt;"Free Game",INDEX('Game Records'!$U:$U,$H281)&lt;&gt;"Disqualified — Free Game",OR(INDEX('Game Records'!$D:$D,$H281)="",LOWER(INDEX('Game Records'!$D:$D,$H281)&amp;"")="n/a")),"Entry Mode; ","")&amp;IF(AND(INDEX('Game Records'!$U:$U,$H281)&lt;&gt;"Subscription",INDEX('Game Records'!$U:$U,$H281)&lt;&gt;"Free Game",INDEX('Game Records'!$U:$U,$H281)&lt;&gt;"Disqualified — Free Game",OR(INDEX('Game Records'!$E:$E,$H281)="",LOWER(INDEX('Game Records'!$E:$E,$H281)&amp;"")="n/a")),"Game Type; ","")&amp;IF(INDEX('Game Records'!$F:$F,$H281)="","Payment Type; ","")&amp;IF(AND(INDEX('Game Records'!$U:$U,$H281)&lt;&gt;"Subscription",INDEX('Game Records'!$U:$U,$H281)&lt;&gt;"Free Game",INDEX('Game Records'!$U:$U,$H281)&lt;&gt;"Disqualified — Free Game",INDEX('Game Records'!$G:$G,$H281)=""),"Gross Pot; ","")&amp;IF(AND(INDEX('Game Records'!$U:$U,$H281)&lt;&gt;"Free Game",INDEX('Game Records'!$U:$U,$H281)&lt;&gt;"Disqualified — Free Game",INDEX('Game Records'!$H:$H,$H281)=""),"Entry Fee; ","")&amp;IF(AND(INDEX('Game Records'!$U:$U,$H281)&lt;&gt;"Subscription",INDEX('Game Records'!$U:$U,$H281)&lt;&gt;"Free Game",INDEX('Game Records'!$U:$U,$H281)&lt;&gt;"Disqualified — Free Game",INDEX('Game Records'!$I:$I,$H281)=""),"Eligible Players; ","")&amp;IF(AND(INDEX('Game Records'!$U:$U,$H281)&lt;&gt;"Subscription",INDEX('Game Records'!$U:$U,$H281)&lt;&gt;"Free Game",INDEX('Game Records'!$U:$U,$H281)&lt;&gt;"Disqualified — Free Game",INDEX('Game Records'!$J:$J,$H281)=""),"Total Players; ","")&amp;IF(AND(LOWER(INDEX('Game Records'!$D:$D,$H281)&amp;"")="finalized",LOWER(INDEX('Game Records'!$L:$L,$H281)&amp;"")&lt;&gt;"yes",INDEX('Game Records'!$U:$U,$H281)&lt;&gt;"Subscription",INDEX('Game Records'!$U:$U,$H281)&lt;&gt;"Free Game",INDEX('Game Records'!$U:$U,$H281)&lt;&gt;"Disqualified — Free Game",INDEX('Game Records'!$K:$K,$H281)=""),"Final Earned; ","")&amp;IF(AND(LOWER(INDEX('Game Records'!$D:$D,$H281)&amp;"")="finalized",INDEX('Game Records'!$U:$U,$H281)&lt;&gt;"Subscription",INDEX('Game Records'!$U:$U,$H281)&lt;&gt;"Free Game",INDEX('Game Records'!$U:$U,$H281)&lt;&gt;"Disqualified — Free Game",OR(INDEX('Game Records'!$L:$L,$H281)="",LOWER(INDEX('Game Records'!$L:$L,$H281)&amp;"")="n/a")),"Disqualified Status; ",""))</x:f>
        <x:v/>
      </x:c>
      <x:c r="G281" s="331" t="str">
        <x:f>IF($H281="","",IFERROR(INDEX('Game Records'!$M:$M,$H281),""))</x:f>
        <x:v/>
      </x:c>
      <x:c r="H281" s="104" t="str">
        <x:f>IF($H280="","",IFERROR(MATCH(1,INDEX((ROW('Game Records'!$U$5:$U$504)&gt;$H280)*(('Game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2" ht="24" customHeight="1">
      <x:c r="A282" s="332" t="str">
        <x:f>IF($H282="","",ROWS($A$5:A282))</x:f>
        <x:v/>
      </x:c>
      <x:c r="B282" s="332" t="str">
        <x:f>IF($H282="","","G-"&amp;TEXT($A282,"0000"))</x:f>
        <x:v/>
      </x:c>
      <x:c r="C282" s="331" t="str">
        <x:f>IF($H282="","",IFERROR(INDEX('Game Records'!$A:$A,$H282),""))</x:f>
        <x:v/>
      </x:c>
      <x:c r="D282" s="331" t="str">
        <x:f>IF($H282="","",IFERROR(INDEX('Game Records'!$U:$U,$H282),""))</x:f>
        <x:v/>
      </x:c>
      <x:c r="E282" s="331" t="str">
        <x:f>IF($H282="","",IF($F282="","No Highlighted Fields","Highlighted Fields Present"))</x:f>
        <x:v/>
      </x:c>
      <x:c r="F282" s="331" t="str">
        <x:f>IF($H282="","",IF(INDEX('Game Records'!$B:$B,$H282)="","Start Date; ","")&amp;IF(INDEX('Game Records'!$C:$C,$H282)="","End Date; ","")&amp;IF(AND(INDEX('Game Records'!$U:$U,$H282)&lt;&gt;"Subscription",INDEX('Game Records'!$U:$U,$H282)&lt;&gt;"Free Game",INDEX('Game Records'!$U:$U,$H282)&lt;&gt;"Disqualified — Free Game",OR(INDEX('Game Records'!$D:$D,$H282)="",LOWER(INDEX('Game Records'!$D:$D,$H282)&amp;"")="n/a")),"Entry Mode; ","")&amp;IF(AND(INDEX('Game Records'!$U:$U,$H282)&lt;&gt;"Subscription",INDEX('Game Records'!$U:$U,$H282)&lt;&gt;"Free Game",INDEX('Game Records'!$U:$U,$H282)&lt;&gt;"Disqualified — Free Game",OR(INDEX('Game Records'!$E:$E,$H282)="",LOWER(INDEX('Game Records'!$E:$E,$H282)&amp;"")="n/a")),"Game Type; ","")&amp;IF(INDEX('Game Records'!$F:$F,$H282)="","Payment Type; ","")&amp;IF(AND(INDEX('Game Records'!$U:$U,$H282)&lt;&gt;"Subscription",INDEX('Game Records'!$U:$U,$H282)&lt;&gt;"Free Game",INDEX('Game Records'!$U:$U,$H282)&lt;&gt;"Disqualified — Free Game",INDEX('Game Records'!$G:$G,$H282)=""),"Gross Pot; ","")&amp;IF(AND(INDEX('Game Records'!$U:$U,$H282)&lt;&gt;"Free Game",INDEX('Game Records'!$U:$U,$H282)&lt;&gt;"Disqualified — Free Game",INDEX('Game Records'!$H:$H,$H282)=""),"Entry Fee; ","")&amp;IF(AND(INDEX('Game Records'!$U:$U,$H282)&lt;&gt;"Subscription",INDEX('Game Records'!$U:$U,$H282)&lt;&gt;"Free Game",INDEX('Game Records'!$U:$U,$H282)&lt;&gt;"Disqualified — Free Game",INDEX('Game Records'!$I:$I,$H282)=""),"Eligible Players; ","")&amp;IF(AND(INDEX('Game Records'!$U:$U,$H282)&lt;&gt;"Subscription",INDEX('Game Records'!$U:$U,$H282)&lt;&gt;"Free Game",INDEX('Game Records'!$U:$U,$H282)&lt;&gt;"Disqualified — Free Game",INDEX('Game Records'!$J:$J,$H282)=""),"Total Players; ","")&amp;IF(AND(LOWER(INDEX('Game Records'!$D:$D,$H282)&amp;"")="finalized",LOWER(INDEX('Game Records'!$L:$L,$H282)&amp;"")&lt;&gt;"yes",INDEX('Game Records'!$U:$U,$H282)&lt;&gt;"Subscription",INDEX('Game Records'!$U:$U,$H282)&lt;&gt;"Free Game",INDEX('Game Records'!$U:$U,$H282)&lt;&gt;"Disqualified — Free Game",INDEX('Game Records'!$K:$K,$H282)=""),"Final Earned; ","")&amp;IF(AND(LOWER(INDEX('Game Records'!$D:$D,$H282)&amp;"")="finalized",INDEX('Game Records'!$U:$U,$H282)&lt;&gt;"Subscription",INDEX('Game Records'!$U:$U,$H282)&lt;&gt;"Free Game",INDEX('Game Records'!$U:$U,$H282)&lt;&gt;"Disqualified — Free Game",OR(INDEX('Game Records'!$L:$L,$H282)="",LOWER(INDEX('Game Records'!$L:$L,$H282)&amp;"")="n/a")),"Disqualified Status; ",""))</x:f>
        <x:v/>
      </x:c>
      <x:c r="G282" s="331" t="str">
        <x:f>IF($H282="","",IFERROR(INDEX('Game Records'!$M:$M,$H282),""))</x:f>
        <x:v/>
      </x:c>
      <x:c r="H282" s="104" t="str">
        <x:f>IF($H281="","",IFERROR(MATCH(1,INDEX((ROW('Game Records'!$U$5:$U$504)&gt;$H281)*(('Game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3" ht="24" customHeight="1">
      <x:c r="A283" s="332" t="str">
        <x:f>IF($H283="","",ROWS($A$5:A283))</x:f>
        <x:v/>
      </x:c>
      <x:c r="B283" s="332" t="str">
        <x:f>IF($H283="","","G-"&amp;TEXT($A283,"0000"))</x:f>
        <x:v/>
      </x:c>
      <x:c r="C283" s="331" t="str">
        <x:f>IF($H283="","",IFERROR(INDEX('Game Records'!$A:$A,$H283),""))</x:f>
        <x:v/>
      </x:c>
      <x:c r="D283" s="331" t="str">
        <x:f>IF($H283="","",IFERROR(INDEX('Game Records'!$U:$U,$H283),""))</x:f>
        <x:v/>
      </x:c>
      <x:c r="E283" s="331" t="str">
        <x:f>IF($H283="","",IF($F283="","No Highlighted Fields","Highlighted Fields Present"))</x:f>
        <x:v/>
      </x:c>
      <x:c r="F283" s="331" t="str">
        <x:f>IF($H283="","",IF(INDEX('Game Records'!$B:$B,$H283)="","Start Date; ","")&amp;IF(INDEX('Game Records'!$C:$C,$H283)="","End Date; ","")&amp;IF(AND(INDEX('Game Records'!$U:$U,$H283)&lt;&gt;"Subscription",INDEX('Game Records'!$U:$U,$H283)&lt;&gt;"Free Game",INDEX('Game Records'!$U:$U,$H283)&lt;&gt;"Disqualified — Free Game",OR(INDEX('Game Records'!$D:$D,$H283)="",LOWER(INDEX('Game Records'!$D:$D,$H283)&amp;"")="n/a")),"Entry Mode; ","")&amp;IF(AND(INDEX('Game Records'!$U:$U,$H283)&lt;&gt;"Subscription",INDEX('Game Records'!$U:$U,$H283)&lt;&gt;"Free Game",INDEX('Game Records'!$U:$U,$H283)&lt;&gt;"Disqualified — Free Game",OR(INDEX('Game Records'!$E:$E,$H283)="",LOWER(INDEX('Game Records'!$E:$E,$H283)&amp;"")="n/a")),"Game Type; ","")&amp;IF(INDEX('Game Records'!$F:$F,$H283)="","Payment Type; ","")&amp;IF(AND(INDEX('Game Records'!$U:$U,$H283)&lt;&gt;"Subscription",INDEX('Game Records'!$U:$U,$H283)&lt;&gt;"Free Game",INDEX('Game Records'!$U:$U,$H283)&lt;&gt;"Disqualified — Free Game",INDEX('Game Records'!$G:$G,$H283)=""),"Gross Pot; ","")&amp;IF(AND(INDEX('Game Records'!$U:$U,$H283)&lt;&gt;"Free Game",INDEX('Game Records'!$U:$U,$H283)&lt;&gt;"Disqualified — Free Game",INDEX('Game Records'!$H:$H,$H283)=""),"Entry Fee; ","")&amp;IF(AND(INDEX('Game Records'!$U:$U,$H283)&lt;&gt;"Subscription",INDEX('Game Records'!$U:$U,$H283)&lt;&gt;"Free Game",INDEX('Game Records'!$U:$U,$H283)&lt;&gt;"Disqualified — Free Game",INDEX('Game Records'!$I:$I,$H283)=""),"Eligible Players; ","")&amp;IF(AND(INDEX('Game Records'!$U:$U,$H283)&lt;&gt;"Subscription",INDEX('Game Records'!$U:$U,$H283)&lt;&gt;"Free Game",INDEX('Game Records'!$U:$U,$H283)&lt;&gt;"Disqualified — Free Game",INDEX('Game Records'!$J:$J,$H283)=""),"Total Players; ","")&amp;IF(AND(LOWER(INDEX('Game Records'!$D:$D,$H283)&amp;"")="finalized",LOWER(INDEX('Game Records'!$L:$L,$H283)&amp;"")&lt;&gt;"yes",INDEX('Game Records'!$U:$U,$H283)&lt;&gt;"Subscription",INDEX('Game Records'!$U:$U,$H283)&lt;&gt;"Free Game",INDEX('Game Records'!$U:$U,$H283)&lt;&gt;"Disqualified — Free Game",INDEX('Game Records'!$K:$K,$H283)=""),"Final Earned; ","")&amp;IF(AND(LOWER(INDEX('Game Records'!$D:$D,$H283)&amp;"")="finalized",INDEX('Game Records'!$U:$U,$H283)&lt;&gt;"Subscription",INDEX('Game Records'!$U:$U,$H283)&lt;&gt;"Free Game",INDEX('Game Records'!$U:$U,$H283)&lt;&gt;"Disqualified — Free Game",OR(INDEX('Game Records'!$L:$L,$H283)="",LOWER(INDEX('Game Records'!$L:$L,$H283)&amp;"")="n/a")),"Disqualified Status; ",""))</x:f>
        <x:v/>
      </x:c>
      <x:c r="G283" s="331" t="str">
        <x:f>IF($H283="","",IFERROR(INDEX('Game Records'!$M:$M,$H283),""))</x:f>
        <x:v/>
      </x:c>
      <x:c r="H283" s="104" t="str">
        <x:f>IF($H282="","",IFERROR(MATCH(1,INDEX((ROW('Game Records'!$U$5:$U$504)&gt;$H282)*(('Game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4" ht="24" customHeight="1">
      <x:c r="A284" s="332" t="str">
        <x:f>IF($H284="","",ROWS($A$5:A284))</x:f>
        <x:v/>
      </x:c>
      <x:c r="B284" s="332" t="str">
        <x:f>IF($H284="","","G-"&amp;TEXT($A284,"0000"))</x:f>
        <x:v/>
      </x:c>
      <x:c r="C284" s="331" t="str">
        <x:f>IF($H284="","",IFERROR(INDEX('Game Records'!$A:$A,$H284),""))</x:f>
        <x:v/>
      </x:c>
      <x:c r="D284" s="331" t="str">
        <x:f>IF($H284="","",IFERROR(INDEX('Game Records'!$U:$U,$H284),""))</x:f>
        <x:v/>
      </x:c>
      <x:c r="E284" s="331" t="str">
        <x:f>IF($H284="","",IF($F284="","No Highlighted Fields","Highlighted Fields Present"))</x:f>
        <x:v/>
      </x:c>
      <x:c r="F284" s="331" t="str">
        <x:f>IF($H284="","",IF(INDEX('Game Records'!$B:$B,$H284)="","Start Date; ","")&amp;IF(INDEX('Game Records'!$C:$C,$H284)="","End Date; ","")&amp;IF(AND(INDEX('Game Records'!$U:$U,$H284)&lt;&gt;"Subscription",INDEX('Game Records'!$U:$U,$H284)&lt;&gt;"Free Game",INDEX('Game Records'!$U:$U,$H284)&lt;&gt;"Disqualified — Free Game",OR(INDEX('Game Records'!$D:$D,$H284)="",LOWER(INDEX('Game Records'!$D:$D,$H284)&amp;"")="n/a")),"Entry Mode; ","")&amp;IF(AND(INDEX('Game Records'!$U:$U,$H284)&lt;&gt;"Subscription",INDEX('Game Records'!$U:$U,$H284)&lt;&gt;"Free Game",INDEX('Game Records'!$U:$U,$H284)&lt;&gt;"Disqualified — Free Game",OR(INDEX('Game Records'!$E:$E,$H284)="",LOWER(INDEX('Game Records'!$E:$E,$H284)&amp;"")="n/a")),"Game Type; ","")&amp;IF(INDEX('Game Records'!$F:$F,$H284)="","Payment Type; ","")&amp;IF(AND(INDEX('Game Records'!$U:$U,$H284)&lt;&gt;"Subscription",INDEX('Game Records'!$U:$U,$H284)&lt;&gt;"Free Game",INDEX('Game Records'!$U:$U,$H284)&lt;&gt;"Disqualified — Free Game",INDEX('Game Records'!$G:$G,$H284)=""),"Gross Pot; ","")&amp;IF(AND(INDEX('Game Records'!$U:$U,$H284)&lt;&gt;"Free Game",INDEX('Game Records'!$U:$U,$H284)&lt;&gt;"Disqualified — Free Game",INDEX('Game Records'!$H:$H,$H284)=""),"Entry Fee; ","")&amp;IF(AND(INDEX('Game Records'!$U:$U,$H284)&lt;&gt;"Subscription",INDEX('Game Records'!$U:$U,$H284)&lt;&gt;"Free Game",INDEX('Game Records'!$U:$U,$H284)&lt;&gt;"Disqualified — Free Game",INDEX('Game Records'!$I:$I,$H284)=""),"Eligible Players; ","")&amp;IF(AND(INDEX('Game Records'!$U:$U,$H284)&lt;&gt;"Subscription",INDEX('Game Records'!$U:$U,$H284)&lt;&gt;"Free Game",INDEX('Game Records'!$U:$U,$H284)&lt;&gt;"Disqualified — Free Game",INDEX('Game Records'!$J:$J,$H284)=""),"Total Players; ","")&amp;IF(AND(LOWER(INDEX('Game Records'!$D:$D,$H284)&amp;"")="finalized",LOWER(INDEX('Game Records'!$L:$L,$H284)&amp;"")&lt;&gt;"yes",INDEX('Game Records'!$U:$U,$H284)&lt;&gt;"Subscription",INDEX('Game Records'!$U:$U,$H284)&lt;&gt;"Free Game",INDEX('Game Records'!$U:$U,$H284)&lt;&gt;"Disqualified — Free Game",INDEX('Game Records'!$K:$K,$H284)=""),"Final Earned; ","")&amp;IF(AND(LOWER(INDEX('Game Records'!$D:$D,$H284)&amp;"")="finalized",INDEX('Game Records'!$U:$U,$H284)&lt;&gt;"Subscription",INDEX('Game Records'!$U:$U,$H284)&lt;&gt;"Free Game",INDEX('Game Records'!$U:$U,$H284)&lt;&gt;"Disqualified — Free Game",OR(INDEX('Game Records'!$L:$L,$H284)="",LOWER(INDEX('Game Records'!$L:$L,$H284)&amp;"")="n/a")),"Disqualified Status; ",""))</x:f>
        <x:v/>
      </x:c>
      <x:c r="G284" s="331" t="str">
        <x:f>IF($H284="","",IFERROR(INDEX('Game Records'!$M:$M,$H284),""))</x:f>
        <x:v/>
      </x:c>
      <x:c r="H284" s="104" t="str">
        <x:f>IF($H283="","",IFERROR(MATCH(1,INDEX((ROW('Game Records'!$U$5:$U$504)&gt;$H283)*(('Game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5" ht="24" customHeight="1">
      <x:c r="A285" s="332" t="str">
        <x:f>IF($H285="","",ROWS($A$5:A285))</x:f>
        <x:v/>
      </x:c>
      <x:c r="B285" s="332" t="str">
        <x:f>IF($H285="","","G-"&amp;TEXT($A285,"0000"))</x:f>
        <x:v/>
      </x:c>
      <x:c r="C285" s="331" t="str">
        <x:f>IF($H285="","",IFERROR(INDEX('Game Records'!$A:$A,$H285),""))</x:f>
        <x:v/>
      </x:c>
      <x:c r="D285" s="331" t="str">
        <x:f>IF($H285="","",IFERROR(INDEX('Game Records'!$U:$U,$H285),""))</x:f>
        <x:v/>
      </x:c>
      <x:c r="E285" s="331" t="str">
        <x:f>IF($H285="","",IF($F285="","No Highlighted Fields","Highlighted Fields Present"))</x:f>
        <x:v/>
      </x:c>
      <x:c r="F285" s="331" t="str">
        <x:f>IF($H285="","",IF(INDEX('Game Records'!$B:$B,$H285)="","Start Date; ","")&amp;IF(INDEX('Game Records'!$C:$C,$H285)="","End Date; ","")&amp;IF(AND(INDEX('Game Records'!$U:$U,$H285)&lt;&gt;"Subscription",INDEX('Game Records'!$U:$U,$H285)&lt;&gt;"Free Game",INDEX('Game Records'!$U:$U,$H285)&lt;&gt;"Disqualified — Free Game",OR(INDEX('Game Records'!$D:$D,$H285)="",LOWER(INDEX('Game Records'!$D:$D,$H285)&amp;"")="n/a")),"Entry Mode; ","")&amp;IF(AND(INDEX('Game Records'!$U:$U,$H285)&lt;&gt;"Subscription",INDEX('Game Records'!$U:$U,$H285)&lt;&gt;"Free Game",INDEX('Game Records'!$U:$U,$H285)&lt;&gt;"Disqualified — Free Game",OR(INDEX('Game Records'!$E:$E,$H285)="",LOWER(INDEX('Game Records'!$E:$E,$H285)&amp;"")="n/a")),"Game Type; ","")&amp;IF(INDEX('Game Records'!$F:$F,$H285)="","Payment Type; ","")&amp;IF(AND(INDEX('Game Records'!$U:$U,$H285)&lt;&gt;"Subscription",INDEX('Game Records'!$U:$U,$H285)&lt;&gt;"Free Game",INDEX('Game Records'!$U:$U,$H285)&lt;&gt;"Disqualified — Free Game",INDEX('Game Records'!$G:$G,$H285)=""),"Gross Pot; ","")&amp;IF(AND(INDEX('Game Records'!$U:$U,$H285)&lt;&gt;"Free Game",INDEX('Game Records'!$U:$U,$H285)&lt;&gt;"Disqualified — Free Game",INDEX('Game Records'!$H:$H,$H285)=""),"Entry Fee; ","")&amp;IF(AND(INDEX('Game Records'!$U:$U,$H285)&lt;&gt;"Subscription",INDEX('Game Records'!$U:$U,$H285)&lt;&gt;"Free Game",INDEX('Game Records'!$U:$U,$H285)&lt;&gt;"Disqualified — Free Game",INDEX('Game Records'!$I:$I,$H285)=""),"Eligible Players; ","")&amp;IF(AND(INDEX('Game Records'!$U:$U,$H285)&lt;&gt;"Subscription",INDEX('Game Records'!$U:$U,$H285)&lt;&gt;"Free Game",INDEX('Game Records'!$U:$U,$H285)&lt;&gt;"Disqualified — Free Game",INDEX('Game Records'!$J:$J,$H285)=""),"Total Players; ","")&amp;IF(AND(LOWER(INDEX('Game Records'!$D:$D,$H285)&amp;"")="finalized",LOWER(INDEX('Game Records'!$L:$L,$H285)&amp;"")&lt;&gt;"yes",INDEX('Game Records'!$U:$U,$H285)&lt;&gt;"Subscription",INDEX('Game Records'!$U:$U,$H285)&lt;&gt;"Free Game",INDEX('Game Records'!$U:$U,$H285)&lt;&gt;"Disqualified — Free Game",INDEX('Game Records'!$K:$K,$H285)=""),"Final Earned; ","")&amp;IF(AND(LOWER(INDEX('Game Records'!$D:$D,$H285)&amp;"")="finalized",INDEX('Game Records'!$U:$U,$H285)&lt;&gt;"Subscription",INDEX('Game Records'!$U:$U,$H285)&lt;&gt;"Free Game",INDEX('Game Records'!$U:$U,$H285)&lt;&gt;"Disqualified — Free Game",OR(INDEX('Game Records'!$L:$L,$H285)="",LOWER(INDEX('Game Records'!$L:$L,$H285)&amp;"")="n/a")),"Disqualified Status; ",""))</x:f>
        <x:v/>
      </x:c>
      <x:c r="G285" s="331" t="str">
        <x:f>IF($H285="","",IFERROR(INDEX('Game Records'!$M:$M,$H285),""))</x:f>
        <x:v/>
      </x:c>
      <x:c r="H285" s="104" t="str">
        <x:f>IF($H284="","",IFERROR(MATCH(1,INDEX((ROW('Game Records'!$U$5:$U$504)&gt;$H284)*(('Game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6" ht="24" customHeight="1">
      <x:c r="A286" s="332" t="str">
        <x:f>IF($H286="","",ROWS($A$5:A286))</x:f>
        <x:v/>
      </x:c>
      <x:c r="B286" s="332" t="str">
        <x:f>IF($H286="","","G-"&amp;TEXT($A286,"0000"))</x:f>
        <x:v/>
      </x:c>
      <x:c r="C286" s="331" t="str">
        <x:f>IF($H286="","",IFERROR(INDEX('Game Records'!$A:$A,$H286),""))</x:f>
        <x:v/>
      </x:c>
      <x:c r="D286" s="331" t="str">
        <x:f>IF($H286="","",IFERROR(INDEX('Game Records'!$U:$U,$H286),""))</x:f>
        <x:v/>
      </x:c>
      <x:c r="E286" s="331" t="str">
        <x:f>IF($H286="","",IF($F286="","No Highlighted Fields","Highlighted Fields Present"))</x:f>
        <x:v/>
      </x:c>
      <x:c r="F286" s="331" t="str">
        <x:f>IF($H286="","",IF(INDEX('Game Records'!$B:$B,$H286)="","Start Date; ","")&amp;IF(INDEX('Game Records'!$C:$C,$H286)="","End Date; ","")&amp;IF(AND(INDEX('Game Records'!$U:$U,$H286)&lt;&gt;"Subscription",INDEX('Game Records'!$U:$U,$H286)&lt;&gt;"Free Game",INDEX('Game Records'!$U:$U,$H286)&lt;&gt;"Disqualified — Free Game",OR(INDEX('Game Records'!$D:$D,$H286)="",LOWER(INDEX('Game Records'!$D:$D,$H286)&amp;"")="n/a")),"Entry Mode; ","")&amp;IF(AND(INDEX('Game Records'!$U:$U,$H286)&lt;&gt;"Subscription",INDEX('Game Records'!$U:$U,$H286)&lt;&gt;"Free Game",INDEX('Game Records'!$U:$U,$H286)&lt;&gt;"Disqualified — Free Game",OR(INDEX('Game Records'!$E:$E,$H286)="",LOWER(INDEX('Game Records'!$E:$E,$H286)&amp;"")="n/a")),"Game Type; ","")&amp;IF(INDEX('Game Records'!$F:$F,$H286)="","Payment Type; ","")&amp;IF(AND(INDEX('Game Records'!$U:$U,$H286)&lt;&gt;"Subscription",INDEX('Game Records'!$U:$U,$H286)&lt;&gt;"Free Game",INDEX('Game Records'!$U:$U,$H286)&lt;&gt;"Disqualified — Free Game",INDEX('Game Records'!$G:$G,$H286)=""),"Gross Pot; ","")&amp;IF(AND(INDEX('Game Records'!$U:$U,$H286)&lt;&gt;"Free Game",INDEX('Game Records'!$U:$U,$H286)&lt;&gt;"Disqualified — Free Game",INDEX('Game Records'!$H:$H,$H286)=""),"Entry Fee; ","")&amp;IF(AND(INDEX('Game Records'!$U:$U,$H286)&lt;&gt;"Subscription",INDEX('Game Records'!$U:$U,$H286)&lt;&gt;"Free Game",INDEX('Game Records'!$U:$U,$H286)&lt;&gt;"Disqualified — Free Game",INDEX('Game Records'!$I:$I,$H286)=""),"Eligible Players; ","")&amp;IF(AND(INDEX('Game Records'!$U:$U,$H286)&lt;&gt;"Subscription",INDEX('Game Records'!$U:$U,$H286)&lt;&gt;"Free Game",INDEX('Game Records'!$U:$U,$H286)&lt;&gt;"Disqualified — Free Game",INDEX('Game Records'!$J:$J,$H286)=""),"Total Players; ","")&amp;IF(AND(LOWER(INDEX('Game Records'!$D:$D,$H286)&amp;"")="finalized",LOWER(INDEX('Game Records'!$L:$L,$H286)&amp;"")&lt;&gt;"yes",INDEX('Game Records'!$U:$U,$H286)&lt;&gt;"Subscription",INDEX('Game Records'!$U:$U,$H286)&lt;&gt;"Free Game",INDEX('Game Records'!$U:$U,$H286)&lt;&gt;"Disqualified — Free Game",INDEX('Game Records'!$K:$K,$H286)=""),"Final Earned; ","")&amp;IF(AND(LOWER(INDEX('Game Records'!$D:$D,$H286)&amp;"")="finalized",INDEX('Game Records'!$U:$U,$H286)&lt;&gt;"Subscription",INDEX('Game Records'!$U:$U,$H286)&lt;&gt;"Free Game",INDEX('Game Records'!$U:$U,$H286)&lt;&gt;"Disqualified — Free Game",OR(INDEX('Game Records'!$L:$L,$H286)="",LOWER(INDEX('Game Records'!$L:$L,$H286)&amp;"")="n/a")),"Disqualified Status; ",""))</x:f>
        <x:v/>
      </x:c>
      <x:c r="G286" s="331" t="str">
        <x:f>IF($H286="","",IFERROR(INDEX('Game Records'!$M:$M,$H286),""))</x:f>
        <x:v/>
      </x:c>
      <x:c r="H286" s="104" t="str">
        <x:f>IF($H285="","",IFERROR(MATCH(1,INDEX((ROW('Game Records'!$U$5:$U$504)&gt;$H285)*(('Game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7" ht="24" customHeight="1">
      <x:c r="A287" s="332" t="str">
        <x:f>IF($H287="","",ROWS($A$5:A287))</x:f>
        <x:v/>
      </x:c>
      <x:c r="B287" s="332" t="str">
        <x:f>IF($H287="","","G-"&amp;TEXT($A287,"0000"))</x:f>
        <x:v/>
      </x:c>
      <x:c r="C287" s="331" t="str">
        <x:f>IF($H287="","",IFERROR(INDEX('Game Records'!$A:$A,$H287),""))</x:f>
        <x:v/>
      </x:c>
      <x:c r="D287" s="331" t="str">
        <x:f>IF($H287="","",IFERROR(INDEX('Game Records'!$U:$U,$H287),""))</x:f>
        <x:v/>
      </x:c>
      <x:c r="E287" s="331" t="str">
        <x:f>IF($H287="","",IF($F287="","No Highlighted Fields","Highlighted Fields Present"))</x:f>
        <x:v/>
      </x:c>
      <x:c r="F287" s="331" t="str">
        <x:f>IF($H287="","",IF(INDEX('Game Records'!$B:$B,$H287)="","Start Date; ","")&amp;IF(INDEX('Game Records'!$C:$C,$H287)="","End Date; ","")&amp;IF(AND(INDEX('Game Records'!$U:$U,$H287)&lt;&gt;"Subscription",INDEX('Game Records'!$U:$U,$H287)&lt;&gt;"Free Game",INDEX('Game Records'!$U:$U,$H287)&lt;&gt;"Disqualified — Free Game",OR(INDEX('Game Records'!$D:$D,$H287)="",LOWER(INDEX('Game Records'!$D:$D,$H287)&amp;"")="n/a")),"Entry Mode; ","")&amp;IF(AND(INDEX('Game Records'!$U:$U,$H287)&lt;&gt;"Subscription",INDEX('Game Records'!$U:$U,$H287)&lt;&gt;"Free Game",INDEX('Game Records'!$U:$U,$H287)&lt;&gt;"Disqualified — Free Game",OR(INDEX('Game Records'!$E:$E,$H287)="",LOWER(INDEX('Game Records'!$E:$E,$H287)&amp;"")="n/a")),"Game Type; ","")&amp;IF(INDEX('Game Records'!$F:$F,$H287)="","Payment Type; ","")&amp;IF(AND(INDEX('Game Records'!$U:$U,$H287)&lt;&gt;"Subscription",INDEX('Game Records'!$U:$U,$H287)&lt;&gt;"Free Game",INDEX('Game Records'!$U:$U,$H287)&lt;&gt;"Disqualified — Free Game",INDEX('Game Records'!$G:$G,$H287)=""),"Gross Pot; ","")&amp;IF(AND(INDEX('Game Records'!$U:$U,$H287)&lt;&gt;"Free Game",INDEX('Game Records'!$U:$U,$H287)&lt;&gt;"Disqualified — Free Game",INDEX('Game Records'!$H:$H,$H287)=""),"Entry Fee; ","")&amp;IF(AND(INDEX('Game Records'!$U:$U,$H287)&lt;&gt;"Subscription",INDEX('Game Records'!$U:$U,$H287)&lt;&gt;"Free Game",INDEX('Game Records'!$U:$U,$H287)&lt;&gt;"Disqualified — Free Game",INDEX('Game Records'!$I:$I,$H287)=""),"Eligible Players; ","")&amp;IF(AND(INDEX('Game Records'!$U:$U,$H287)&lt;&gt;"Subscription",INDEX('Game Records'!$U:$U,$H287)&lt;&gt;"Free Game",INDEX('Game Records'!$U:$U,$H287)&lt;&gt;"Disqualified — Free Game",INDEX('Game Records'!$J:$J,$H287)=""),"Total Players; ","")&amp;IF(AND(LOWER(INDEX('Game Records'!$D:$D,$H287)&amp;"")="finalized",LOWER(INDEX('Game Records'!$L:$L,$H287)&amp;"")&lt;&gt;"yes",INDEX('Game Records'!$U:$U,$H287)&lt;&gt;"Subscription",INDEX('Game Records'!$U:$U,$H287)&lt;&gt;"Free Game",INDEX('Game Records'!$U:$U,$H287)&lt;&gt;"Disqualified — Free Game",INDEX('Game Records'!$K:$K,$H287)=""),"Final Earned; ","")&amp;IF(AND(LOWER(INDEX('Game Records'!$D:$D,$H287)&amp;"")="finalized",INDEX('Game Records'!$U:$U,$H287)&lt;&gt;"Subscription",INDEX('Game Records'!$U:$U,$H287)&lt;&gt;"Free Game",INDEX('Game Records'!$U:$U,$H287)&lt;&gt;"Disqualified — Free Game",OR(INDEX('Game Records'!$L:$L,$H287)="",LOWER(INDEX('Game Records'!$L:$L,$H287)&amp;"")="n/a")),"Disqualified Status; ",""))</x:f>
        <x:v/>
      </x:c>
      <x:c r="G287" s="331" t="str">
        <x:f>IF($H287="","",IFERROR(INDEX('Game Records'!$M:$M,$H287),""))</x:f>
        <x:v/>
      </x:c>
      <x:c r="H287" s="104" t="str">
        <x:f>IF($H286="","",IFERROR(MATCH(1,INDEX((ROW('Game Records'!$U$5:$U$504)&gt;$H286)*(('Game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8" ht="24" customHeight="1">
      <x:c r="A288" s="332" t="str">
        <x:f>IF($H288="","",ROWS($A$5:A288))</x:f>
        <x:v/>
      </x:c>
      <x:c r="B288" s="332" t="str">
        <x:f>IF($H288="","","G-"&amp;TEXT($A288,"0000"))</x:f>
        <x:v/>
      </x:c>
      <x:c r="C288" s="331" t="str">
        <x:f>IF($H288="","",IFERROR(INDEX('Game Records'!$A:$A,$H288),""))</x:f>
        <x:v/>
      </x:c>
      <x:c r="D288" s="331" t="str">
        <x:f>IF($H288="","",IFERROR(INDEX('Game Records'!$U:$U,$H288),""))</x:f>
        <x:v/>
      </x:c>
      <x:c r="E288" s="331" t="str">
        <x:f>IF($H288="","",IF($F288="","No Highlighted Fields","Highlighted Fields Present"))</x:f>
        <x:v/>
      </x:c>
      <x:c r="F288" s="331" t="str">
        <x:f>IF($H288="","",IF(INDEX('Game Records'!$B:$B,$H288)="","Start Date; ","")&amp;IF(INDEX('Game Records'!$C:$C,$H288)="","End Date; ","")&amp;IF(AND(INDEX('Game Records'!$U:$U,$H288)&lt;&gt;"Subscription",INDEX('Game Records'!$U:$U,$H288)&lt;&gt;"Free Game",INDEX('Game Records'!$U:$U,$H288)&lt;&gt;"Disqualified — Free Game",OR(INDEX('Game Records'!$D:$D,$H288)="",LOWER(INDEX('Game Records'!$D:$D,$H288)&amp;"")="n/a")),"Entry Mode; ","")&amp;IF(AND(INDEX('Game Records'!$U:$U,$H288)&lt;&gt;"Subscription",INDEX('Game Records'!$U:$U,$H288)&lt;&gt;"Free Game",INDEX('Game Records'!$U:$U,$H288)&lt;&gt;"Disqualified — Free Game",OR(INDEX('Game Records'!$E:$E,$H288)="",LOWER(INDEX('Game Records'!$E:$E,$H288)&amp;"")="n/a")),"Game Type; ","")&amp;IF(INDEX('Game Records'!$F:$F,$H288)="","Payment Type; ","")&amp;IF(AND(INDEX('Game Records'!$U:$U,$H288)&lt;&gt;"Subscription",INDEX('Game Records'!$U:$U,$H288)&lt;&gt;"Free Game",INDEX('Game Records'!$U:$U,$H288)&lt;&gt;"Disqualified — Free Game",INDEX('Game Records'!$G:$G,$H288)=""),"Gross Pot; ","")&amp;IF(AND(INDEX('Game Records'!$U:$U,$H288)&lt;&gt;"Free Game",INDEX('Game Records'!$U:$U,$H288)&lt;&gt;"Disqualified — Free Game",INDEX('Game Records'!$H:$H,$H288)=""),"Entry Fee; ","")&amp;IF(AND(INDEX('Game Records'!$U:$U,$H288)&lt;&gt;"Subscription",INDEX('Game Records'!$U:$U,$H288)&lt;&gt;"Free Game",INDEX('Game Records'!$U:$U,$H288)&lt;&gt;"Disqualified — Free Game",INDEX('Game Records'!$I:$I,$H288)=""),"Eligible Players; ","")&amp;IF(AND(INDEX('Game Records'!$U:$U,$H288)&lt;&gt;"Subscription",INDEX('Game Records'!$U:$U,$H288)&lt;&gt;"Free Game",INDEX('Game Records'!$U:$U,$H288)&lt;&gt;"Disqualified — Free Game",INDEX('Game Records'!$J:$J,$H288)=""),"Total Players; ","")&amp;IF(AND(LOWER(INDEX('Game Records'!$D:$D,$H288)&amp;"")="finalized",LOWER(INDEX('Game Records'!$L:$L,$H288)&amp;"")&lt;&gt;"yes",INDEX('Game Records'!$U:$U,$H288)&lt;&gt;"Subscription",INDEX('Game Records'!$U:$U,$H288)&lt;&gt;"Free Game",INDEX('Game Records'!$U:$U,$H288)&lt;&gt;"Disqualified — Free Game",INDEX('Game Records'!$K:$K,$H288)=""),"Final Earned; ","")&amp;IF(AND(LOWER(INDEX('Game Records'!$D:$D,$H288)&amp;"")="finalized",INDEX('Game Records'!$U:$U,$H288)&lt;&gt;"Subscription",INDEX('Game Records'!$U:$U,$H288)&lt;&gt;"Free Game",INDEX('Game Records'!$U:$U,$H288)&lt;&gt;"Disqualified — Free Game",OR(INDEX('Game Records'!$L:$L,$H288)="",LOWER(INDEX('Game Records'!$L:$L,$H288)&amp;"")="n/a")),"Disqualified Status; ",""))</x:f>
        <x:v/>
      </x:c>
      <x:c r="G288" s="331" t="str">
        <x:f>IF($H288="","",IFERROR(INDEX('Game Records'!$M:$M,$H288),""))</x:f>
        <x:v/>
      </x:c>
      <x:c r="H288" s="104" t="str">
        <x:f>IF($H287="","",IFERROR(MATCH(1,INDEX((ROW('Game Records'!$U$5:$U$504)&gt;$H287)*(('Game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89" ht="24" customHeight="1">
      <x:c r="A289" s="332" t="str">
        <x:f>IF($H289="","",ROWS($A$5:A289))</x:f>
        <x:v/>
      </x:c>
      <x:c r="B289" s="332" t="str">
        <x:f>IF($H289="","","G-"&amp;TEXT($A289,"0000"))</x:f>
        <x:v/>
      </x:c>
      <x:c r="C289" s="331" t="str">
        <x:f>IF($H289="","",IFERROR(INDEX('Game Records'!$A:$A,$H289),""))</x:f>
        <x:v/>
      </x:c>
      <x:c r="D289" s="331" t="str">
        <x:f>IF($H289="","",IFERROR(INDEX('Game Records'!$U:$U,$H289),""))</x:f>
        <x:v/>
      </x:c>
      <x:c r="E289" s="331" t="str">
        <x:f>IF($H289="","",IF($F289="","No Highlighted Fields","Highlighted Fields Present"))</x:f>
        <x:v/>
      </x:c>
      <x:c r="F289" s="331" t="str">
        <x:f>IF($H289="","",IF(INDEX('Game Records'!$B:$B,$H289)="","Start Date; ","")&amp;IF(INDEX('Game Records'!$C:$C,$H289)="","End Date; ","")&amp;IF(AND(INDEX('Game Records'!$U:$U,$H289)&lt;&gt;"Subscription",INDEX('Game Records'!$U:$U,$H289)&lt;&gt;"Free Game",INDEX('Game Records'!$U:$U,$H289)&lt;&gt;"Disqualified — Free Game",OR(INDEX('Game Records'!$D:$D,$H289)="",LOWER(INDEX('Game Records'!$D:$D,$H289)&amp;"")="n/a")),"Entry Mode; ","")&amp;IF(AND(INDEX('Game Records'!$U:$U,$H289)&lt;&gt;"Subscription",INDEX('Game Records'!$U:$U,$H289)&lt;&gt;"Free Game",INDEX('Game Records'!$U:$U,$H289)&lt;&gt;"Disqualified — Free Game",OR(INDEX('Game Records'!$E:$E,$H289)="",LOWER(INDEX('Game Records'!$E:$E,$H289)&amp;"")="n/a")),"Game Type; ","")&amp;IF(INDEX('Game Records'!$F:$F,$H289)="","Payment Type; ","")&amp;IF(AND(INDEX('Game Records'!$U:$U,$H289)&lt;&gt;"Subscription",INDEX('Game Records'!$U:$U,$H289)&lt;&gt;"Free Game",INDEX('Game Records'!$U:$U,$H289)&lt;&gt;"Disqualified — Free Game",INDEX('Game Records'!$G:$G,$H289)=""),"Gross Pot; ","")&amp;IF(AND(INDEX('Game Records'!$U:$U,$H289)&lt;&gt;"Free Game",INDEX('Game Records'!$U:$U,$H289)&lt;&gt;"Disqualified — Free Game",INDEX('Game Records'!$H:$H,$H289)=""),"Entry Fee; ","")&amp;IF(AND(INDEX('Game Records'!$U:$U,$H289)&lt;&gt;"Subscription",INDEX('Game Records'!$U:$U,$H289)&lt;&gt;"Free Game",INDEX('Game Records'!$U:$U,$H289)&lt;&gt;"Disqualified — Free Game",INDEX('Game Records'!$I:$I,$H289)=""),"Eligible Players; ","")&amp;IF(AND(INDEX('Game Records'!$U:$U,$H289)&lt;&gt;"Subscription",INDEX('Game Records'!$U:$U,$H289)&lt;&gt;"Free Game",INDEX('Game Records'!$U:$U,$H289)&lt;&gt;"Disqualified — Free Game",INDEX('Game Records'!$J:$J,$H289)=""),"Total Players; ","")&amp;IF(AND(LOWER(INDEX('Game Records'!$D:$D,$H289)&amp;"")="finalized",LOWER(INDEX('Game Records'!$L:$L,$H289)&amp;"")&lt;&gt;"yes",INDEX('Game Records'!$U:$U,$H289)&lt;&gt;"Subscription",INDEX('Game Records'!$U:$U,$H289)&lt;&gt;"Free Game",INDEX('Game Records'!$U:$U,$H289)&lt;&gt;"Disqualified — Free Game",INDEX('Game Records'!$K:$K,$H289)=""),"Final Earned; ","")&amp;IF(AND(LOWER(INDEX('Game Records'!$D:$D,$H289)&amp;"")="finalized",INDEX('Game Records'!$U:$U,$H289)&lt;&gt;"Subscription",INDEX('Game Records'!$U:$U,$H289)&lt;&gt;"Free Game",INDEX('Game Records'!$U:$U,$H289)&lt;&gt;"Disqualified — Free Game",OR(INDEX('Game Records'!$L:$L,$H289)="",LOWER(INDEX('Game Records'!$L:$L,$H289)&amp;"")="n/a")),"Disqualified Status; ",""))</x:f>
        <x:v/>
      </x:c>
      <x:c r="G289" s="331" t="str">
        <x:f>IF($H289="","",IFERROR(INDEX('Game Records'!$M:$M,$H289),""))</x:f>
        <x:v/>
      </x:c>
      <x:c r="H289" s="104" t="str">
        <x:f>IF($H288="","",IFERROR(MATCH(1,INDEX((ROW('Game Records'!$U$5:$U$504)&gt;$H288)*(('Game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0" ht="24" customHeight="1">
      <x:c r="A290" s="332" t="str">
        <x:f>IF($H290="","",ROWS($A$5:A290))</x:f>
        <x:v/>
      </x:c>
      <x:c r="B290" s="332" t="str">
        <x:f>IF($H290="","","G-"&amp;TEXT($A290,"0000"))</x:f>
        <x:v/>
      </x:c>
      <x:c r="C290" s="331" t="str">
        <x:f>IF($H290="","",IFERROR(INDEX('Game Records'!$A:$A,$H290),""))</x:f>
        <x:v/>
      </x:c>
      <x:c r="D290" s="331" t="str">
        <x:f>IF($H290="","",IFERROR(INDEX('Game Records'!$U:$U,$H290),""))</x:f>
        <x:v/>
      </x:c>
      <x:c r="E290" s="331" t="str">
        <x:f>IF($H290="","",IF($F290="","No Highlighted Fields","Highlighted Fields Present"))</x:f>
        <x:v/>
      </x:c>
      <x:c r="F290" s="331" t="str">
        <x:f>IF($H290="","",IF(INDEX('Game Records'!$B:$B,$H290)="","Start Date; ","")&amp;IF(INDEX('Game Records'!$C:$C,$H290)="","End Date; ","")&amp;IF(AND(INDEX('Game Records'!$U:$U,$H290)&lt;&gt;"Subscription",INDEX('Game Records'!$U:$U,$H290)&lt;&gt;"Free Game",INDEX('Game Records'!$U:$U,$H290)&lt;&gt;"Disqualified — Free Game",OR(INDEX('Game Records'!$D:$D,$H290)="",LOWER(INDEX('Game Records'!$D:$D,$H290)&amp;"")="n/a")),"Entry Mode; ","")&amp;IF(AND(INDEX('Game Records'!$U:$U,$H290)&lt;&gt;"Subscription",INDEX('Game Records'!$U:$U,$H290)&lt;&gt;"Free Game",INDEX('Game Records'!$U:$U,$H290)&lt;&gt;"Disqualified — Free Game",OR(INDEX('Game Records'!$E:$E,$H290)="",LOWER(INDEX('Game Records'!$E:$E,$H290)&amp;"")="n/a")),"Game Type; ","")&amp;IF(INDEX('Game Records'!$F:$F,$H290)="","Payment Type; ","")&amp;IF(AND(INDEX('Game Records'!$U:$U,$H290)&lt;&gt;"Subscription",INDEX('Game Records'!$U:$U,$H290)&lt;&gt;"Free Game",INDEX('Game Records'!$U:$U,$H290)&lt;&gt;"Disqualified — Free Game",INDEX('Game Records'!$G:$G,$H290)=""),"Gross Pot; ","")&amp;IF(AND(INDEX('Game Records'!$U:$U,$H290)&lt;&gt;"Free Game",INDEX('Game Records'!$U:$U,$H290)&lt;&gt;"Disqualified — Free Game",INDEX('Game Records'!$H:$H,$H290)=""),"Entry Fee; ","")&amp;IF(AND(INDEX('Game Records'!$U:$U,$H290)&lt;&gt;"Subscription",INDEX('Game Records'!$U:$U,$H290)&lt;&gt;"Free Game",INDEX('Game Records'!$U:$U,$H290)&lt;&gt;"Disqualified — Free Game",INDEX('Game Records'!$I:$I,$H290)=""),"Eligible Players; ","")&amp;IF(AND(INDEX('Game Records'!$U:$U,$H290)&lt;&gt;"Subscription",INDEX('Game Records'!$U:$U,$H290)&lt;&gt;"Free Game",INDEX('Game Records'!$U:$U,$H290)&lt;&gt;"Disqualified — Free Game",INDEX('Game Records'!$J:$J,$H290)=""),"Total Players; ","")&amp;IF(AND(LOWER(INDEX('Game Records'!$D:$D,$H290)&amp;"")="finalized",LOWER(INDEX('Game Records'!$L:$L,$H290)&amp;"")&lt;&gt;"yes",INDEX('Game Records'!$U:$U,$H290)&lt;&gt;"Subscription",INDEX('Game Records'!$U:$U,$H290)&lt;&gt;"Free Game",INDEX('Game Records'!$U:$U,$H290)&lt;&gt;"Disqualified — Free Game",INDEX('Game Records'!$K:$K,$H290)=""),"Final Earned; ","")&amp;IF(AND(LOWER(INDEX('Game Records'!$D:$D,$H290)&amp;"")="finalized",INDEX('Game Records'!$U:$U,$H290)&lt;&gt;"Subscription",INDEX('Game Records'!$U:$U,$H290)&lt;&gt;"Free Game",INDEX('Game Records'!$U:$U,$H290)&lt;&gt;"Disqualified — Free Game",OR(INDEX('Game Records'!$L:$L,$H290)="",LOWER(INDEX('Game Records'!$L:$L,$H290)&amp;"")="n/a")),"Disqualified Status; ",""))</x:f>
        <x:v/>
      </x:c>
      <x:c r="G290" s="331" t="str">
        <x:f>IF($H290="","",IFERROR(INDEX('Game Records'!$M:$M,$H290),""))</x:f>
        <x:v/>
      </x:c>
      <x:c r="H290" s="104" t="str">
        <x:f>IF($H289="","",IFERROR(MATCH(1,INDEX((ROW('Game Records'!$U$5:$U$504)&gt;$H289)*(('Game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1" ht="24" customHeight="1">
      <x:c r="A291" s="332" t="str">
        <x:f>IF($H291="","",ROWS($A$5:A291))</x:f>
        <x:v/>
      </x:c>
      <x:c r="B291" s="332" t="str">
        <x:f>IF($H291="","","G-"&amp;TEXT($A291,"0000"))</x:f>
        <x:v/>
      </x:c>
      <x:c r="C291" s="331" t="str">
        <x:f>IF($H291="","",IFERROR(INDEX('Game Records'!$A:$A,$H291),""))</x:f>
        <x:v/>
      </x:c>
      <x:c r="D291" s="331" t="str">
        <x:f>IF($H291="","",IFERROR(INDEX('Game Records'!$U:$U,$H291),""))</x:f>
        <x:v/>
      </x:c>
      <x:c r="E291" s="331" t="str">
        <x:f>IF($H291="","",IF($F291="","No Highlighted Fields","Highlighted Fields Present"))</x:f>
        <x:v/>
      </x:c>
      <x:c r="F291" s="331" t="str">
        <x:f>IF($H291="","",IF(INDEX('Game Records'!$B:$B,$H291)="","Start Date; ","")&amp;IF(INDEX('Game Records'!$C:$C,$H291)="","End Date; ","")&amp;IF(AND(INDEX('Game Records'!$U:$U,$H291)&lt;&gt;"Subscription",INDEX('Game Records'!$U:$U,$H291)&lt;&gt;"Free Game",INDEX('Game Records'!$U:$U,$H291)&lt;&gt;"Disqualified — Free Game",OR(INDEX('Game Records'!$D:$D,$H291)="",LOWER(INDEX('Game Records'!$D:$D,$H291)&amp;"")="n/a")),"Entry Mode; ","")&amp;IF(AND(INDEX('Game Records'!$U:$U,$H291)&lt;&gt;"Subscription",INDEX('Game Records'!$U:$U,$H291)&lt;&gt;"Free Game",INDEX('Game Records'!$U:$U,$H291)&lt;&gt;"Disqualified — Free Game",OR(INDEX('Game Records'!$E:$E,$H291)="",LOWER(INDEX('Game Records'!$E:$E,$H291)&amp;"")="n/a")),"Game Type; ","")&amp;IF(INDEX('Game Records'!$F:$F,$H291)="","Payment Type; ","")&amp;IF(AND(INDEX('Game Records'!$U:$U,$H291)&lt;&gt;"Subscription",INDEX('Game Records'!$U:$U,$H291)&lt;&gt;"Free Game",INDEX('Game Records'!$U:$U,$H291)&lt;&gt;"Disqualified — Free Game",INDEX('Game Records'!$G:$G,$H291)=""),"Gross Pot; ","")&amp;IF(AND(INDEX('Game Records'!$U:$U,$H291)&lt;&gt;"Free Game",INDEX('Game Records'!$U:$U,$H291)&lt;&gt;"Disqualified — Free Game",INDEX('Game Records'!$H:$H,$H291)=""),"Entry Fee; ","")&amp;IF(AND(INDEX('Game Records'!$U:$U,$H291)&lt;&gt;"Subscription",INDEX('Game Records'!$U:$U,$H291)&lt;&gt;"Free Game",INDEX('Game Records'!$U:$U,$H291)&lt;&gt;"Disqualified — Free Game",INDEX('Game Records'!$I:$I,$H291)=""),"Eligible Players; ","")&amp;IF(AND(INDEX('Game Records'!$U:$U,$H291)&lt;&gt;"Subscription",INDEX('Game Records'!$U:$U,$H291)&lt;&gt;"Free Game",INDEX('Game Records'!$U:$U,$H291)&lt;&gt;"Disqualified — Free Game",INDEX('Game Records'!$J:$J,$H291)=""),"Total Players; ","")&amp;IF(AND(LOWER(INDEX('Game Records'!$D:$D,$H291)&amp;"")="finalized",LOWER(INDEX('Game Records'!$L:$L,$H291)&amp;"")&lt;&gt;"yes",INDEX('Game Records'!$U:$U,$H291)&lt;&gt;"Subscription",INDEX('Game Records'!$U:$U,$H291)&lt;&gt;"Free Game",INDEX('Game Records'!$U:$U,$H291)&lt;&gt;"Disqualified — Free Game",INDEX('Game Records'!$K:$K,$H291)=""),"Final Earned; ","")&amp;IF(AND(LOWER(INDEX('Game Records'!$D:$D,$H291)&amp;"")="finalized",INDEX('Game Records'!$U:$U,$H291)&lt;&gt;"Subscription",INDEX('Game Records'!$U:$U,$H291)&lt;&gt;"Free Game",INDEX('Game Records'!$U:$U,$H291)&lt;&gt;"Disqualified — Free Game",OR(INDEX('Game Records'!$L:$L,$H291)="",LOWER(INDEX('Game Records'!$L:$L,$H291)&amp;"")="n/a")),"Disqualified Status; ",""))</x:f>
        <x:v/>
      </x:c>
      <x:c r="G291" s="331" t="str">
        <x:f>IF($H291="","",IFERROR(INDEX('Game Records'!$M:$M,$H291),""))</x:f>
        <x:v/>
      </x:c>
      <x:c r="H291" s="104" t="str">
        <x:f>IF($H290="","",IFERROR(MATCH(1,INDEX((ROW('Game Records'!$U$5:$U$504)&gt;$H290)*(('Game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2" ht="24" customHeight="1">
      <x:c r="A292" s="332" t="str">
        <x:f>IF($H292="","",ROWS($A$5:A292))</x:f>
        <x:v/>
      </x:c>
      <x:c r="B292" s="332" t="str">
        <x:f>IF($H292="","","G-"&amp;TEXT($A292,"0000"))</x:f>
        <x:v/>
      </x:c>
      <x:c r="C292" s="331" t="str">
        <x:f>IF($H292="","",IFERROR(INDEX('Game Records'!$A:$A,$H292),""))</x:f>
        <x:v/>
      </x:c>
      <x:c r="D292" s="331" t="str">
        <x:f>IF($H292="","",IFERROR(INDEX('Game Records'!$U:$U,$H292),""))</x:f>
        <x:v/>
      </x:c>
      <x:c r="E292" s="331" t="str">
        <x:f>IF($H292="","",IF($F292="","No Highlighted Fields","Highlighted Fields Present"))</x:f>
        <x:v/>
      </x:c>
      <x:c r="F292" s="331" t="str">
        <x:f>IF($H292="","",IF(INDEX('Game Records'!$B:$B,$H292)="","Start Date; ","")&amp;IF(INDEX('Game Records'!$C:$C,$H292)="","End Date; ","")&amp;IF(AND(INDEX('Game Records'!$U:$U,$H292)&lt;&gt;"Subscription",INDEX('Game Records'!$U:$U,$H292)&lt;&gt;"Free Game",INDEX('Game Records'!$U:$U,$H292)&lt;&gt;"Disqualified — Free Game",OR(INDEX('Game Records'!$D:$D,$H292)="",LOWER(INDEX('Game Records'!$D:$D,$H292)&amp;"")="n/a")),"Entry Mode; ","")&amp;IF(AND(INDEX('Game Records'!$U:$U,$H292)&lt;&gt;"Subscription",INDEX('Game Records'!$U:$U,$H292)&lt;&gt;"Free Game",INDEX('Game Records'!$U:$U,$H292)&lt;&gt;"Disqualified — Free Game",OR(INDEX('Game Records'!$E:$E,$H292)="",LOWER(INDEX('Game Records'!$E:$E,$H292)&amp;"")="n/a")),"Game Type; ","")&amp;IF(INDEX('Game Records'!$F:$F,$H292)="","Payment Type; ","")&amp;IF(AND(INDEX('Game Records'!$U:$U,$H292)&lt;&gt;"Subscription",INDEX('Game Records'!$U:$U,$H292)&lt;&gt;"Free Game",INDEX('Game Records'!$U:$U,$H292)&lt;&gt;"Disqualified — Free Game",INDEX('Game Records'!$G:$G,$H292)=""),"Gross Pot; ","")&amp;IF(AND(INDEX('Game Records'!$U:$U,$H292)&lt;&gt;"Free Game",INDEX('Game Records'!$U:$U,$H292)&lt;&gt;"Disqualified — Free Game",INDEX('Game Records'!$H:$H,$H292)=""),"Entry Fee; ","")&amp;IF(AND(INDEX('Game Records'!$U:$U,$H292)&lt;&gt;"Subscription",INDEX('Game Records'!$U:$U,$H292)&lt;&gt;"Free Game",INDEX('Game Records'!$U:$U,$H292)&lt;&gt;"Disqualified — Free Game",INDEX('Game Records'!$I:$I,$H292)=""),"Eligible Players; ","")&amp;IF(AND(INDEX('Game Records'!$U:$U,$H292)&lt;&gt;"Subscription",INDEX('Game Records'!$U:$U,$H292)&lt;&gt;"Free Game",INDEX('Game Records'!$U:$U,$H292)&lt;&gt;"Disqualified — Free Game",INDEX('Game Records'!$J:$J,$H292)=""),"Total Players; ","")&amp;IF(AND(LOWER(INDEX('Game Records'!$D:$D,$H292)&amp;"")="finalized",LOWER(INDEX('Game Records'!$L:$L,$H292)&amp;"")&lt;&gt;"yes",INDEX('Game Records'!$U:$U,$H292)&lt;&gt;"Subscription",INDEX('Game Records'!$U:$U,$H292)&lt;&gt;"Free Game",INDEX('Game Records'!$U:$U,$H292)&lt;&gt;"Disqualified — Free Game",INDEX('Game Records'!$K:$K,$H292)=""),"Final Earned; ","")&amp;IF(AND(LOWER(INDEX('Game Records'!$D:$D,$H292)&amp;"")="finalized",INDEX('Game Records'!$U:$U,$H292)&lt;&gt;"Subscription",INDEX('Game Records'!$U:$U,$H292)&lt;&gt;"Free Game",INDEX('Game Records'!$U:$U,$H292)&lt;&gt;"Disqualified — Free Game",OR(INDEX('Game Records'!$L:$L,$H292)="",LOWER(INDEX('Game Records'!$L:$L,$H292)&amp;"")="n/a")),"Disqualified Status; ",""))</x:f>
        <x:v/>
      </x:c>
      <x:c r="G292" s="331" t="str">
        <x:f>IF($H292="","",IFERROR(INDEX('Game Records'!$M:$M,$H292),""))</x:f>
        <x:v/>
      </x:c>
      <x:c r="H292" s="104" t="str">
        <x:f>IF($H291="","",IFERROR(MATCH(1,INDEX((ROW('Game Records'!$U$5:$U$504)&gt;$H291)*(('Game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3" ht="24" customHeight="1">
      <x:c r="A293" s="332" t="str">
        <x:f>IF($H293="","",ROWS($A$5:A293))</x:f>
        <x:v/>
      </x:c>
      <x:c r="B293" s="332" t="str">
        <x:f>IF($H293="","","G-"&amp;TEXT($A293,"0000"))</x:f>
        <x:v/>
      </x:c>
      <x:c r="C293" s="331" t="str">
        <x:f>IF($H293="","",IFERROR(INDEX('Game Records'!$A:$A,$H293),""))</x:f>
        <x:v/>
      </x:c>
      <x:c r="D293" s="331" t="str">
        <x:f>IF($H293="","",IFERROR(INDEX('Game Records'!$U:$U,$H293),""))</x:f>
        <x:v/>
      </x:c>
      <x:c r="E293" s="331" t="str">
        <x:f>IF($H293="","",IF($F293="","No Highlighted Fields","Highlighted Fields Present"))</x:f>
        <x:v/>
      </x:c>
      <x:c r="F293" s="331" t="str">
        <x:f>IF($H293="","",IF(INDEX('Game Records'!$B:$B,$H293)="","Start Date; ","")&amp;IF(INDEX('Game Records'!$C:$C,$H293)="","End Date; ","")&amp;IF(AND(INDEX('Game Records'!$U:$U,$H293)&lt;&gt;"Subscription",INDEX('Game Records'!$U:$U,$H293)&lt;&gt;"Free Game",INDEX('Game Records'!$U:$U,$H293)&lt;&gt;"Disqualified — Free Game",OR(INDEX('Game Records'!$D:$D,$H293)="",LOWER(INDEX('Game Records'!$D:$D,$H293)&amp;"")="n/a")),"Entry Mode; ","")&amp;IF(AND(INDEX('Game Records'!$U:$U,$H293)&lt;&gt;"Subscription",INDEX('Game Records'!$U:$U,$H293)&lt;&gt;"Free Game",INDEX('Game Records'!$U:$U,$H293)&lt;&gt;"Disqualified — Free Game",OR(INDEX('Game Records'!$E:$E,$H293)="",LOWER(INDEX('Game Records'!$E:$E,$H293)&amp;"")="n/a")),"Game Type; ","")&amp;IF(INDEX('Game Records'!$F:$F,$H293)="","Payment Type; ","")&amp;IF(AND(INDEX('Game Records'!$U:$U,$H293)&lt;&gt;"Subscription",INDEX('Game Records'!$U:$U,$H293)&lt;&gt;"Free Game",INDEX('Game Records'!$U:$U,$H293)&lt;&gt;"Disqualified — Free Game",INDEX('Game Records'!$G:$G,$H293)=""),"Gross Pot; ","")&amp;IF(AND(INDEX('Game Records'!$U:$U,$H293)&lt;&gt;"Free Game",INDEX('Game Records'!$U:$U,$H293)&lt;&gt;"Disqualified — Free Game",INDEX('Game Records'!$H:$H,$H293)=""),"Entry Fee; ","")&amp;IF(AND(INDEX('Game Records'!$U:$U,$H293)&lt;&gt;"Subscription",INDEX('Game Records'!$U:$U,$H293)&lt;&gt;"Free Game",INDEX('Game Records'!$U:$U,$H293)&lt;&gt;"Disqualified — Free Game",INDEX('Game Records'!$I:$I,$H293)=""),"Eligible Players; ","")&amp;IF(AND(INDEX('Game Records'!$U:$U,$H293)&lt;&gt;"Subscription",INDEX('Game Records'!$U:$U,$H293)&lt;&gt;"Free Game",INDEX('Game Records'!$U:$U,$H293)&lt;&gt;"Disqualified — Free Game",INDEX('Game Records'!$J:$J,$H293)=""),"Total Players; ","")&amp;IF(AND(LOWER(INDEX('Game Records'!$D:$D,$H293)&amp;"")="finalized",LOWER(INDEX('Game Records'!$L:$L,$H293)&amp;"")&lt;&gt;"yes",INDEX('Game Records'!$U:$U,$H293)&lt;&gt;"Subscription",INDEX('Game Records'!$U:$U,$H293)&lt;&gt;"Free Game",INDEX('Game Records'!$U:$U,$H293)&lt;&gt;"Disqualified — Free Game",INDEX('Game Records'!$K:$K,$H293)=""),"Final Earned; ","")&amp;IF(AND(LOWER(INDEX('Game Records'!$D:$D,$H293)&amp;"")="finalized",INDEX('Game Records'!$U:$U,$H293)&lt;&gt;"Subscription",INDEX('Game Records'!$U:$U,$H293)&lt;&gt;"Free Game",INDEX('Game Records'!$U:$U,$H293)&lt;&gt;"Disqualified — Free Game",OR(INDEX('Game Records'!$L:$L,$H293)="",LOWER(INDEX('Game Records'!$L:$L,$H293)&amp;"")="n/a")),"Disqualified Status; ",""))</x:f>
        <x:v/>
      </x:c>
      <x:c r="G293" s="331" t="str">
        <x:f>IF($H293="","",IFERROR(INDEX('Game Records'!$M:$M,$H293),""))</x:f>
        <x:v/>
      </x:c>
      <x:c r="H293" s="104" t="str">
        <x:f>IF($H292="","",IFERROR(MATCH(1,INDEX((ROW('Game Records'!$U$5:$U$504)&gt;$H292)*(('Game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4" ht="24" customHeight="1">
      <x:c r="A294" s="332" t="str">
        <x:f>IF($H294="","",ROWS($A$5:A294))</x:f>
        <x:v/>
      </x:c>
      <x:c r="B294" s="332" t="str">
        <x:f>IF($H294="","","G-"&amp;TEXT($A294,"0000"))</x:f>
        <x:v/>
      </x:c>
      <x:c r="C294" s="331" t="str">
        <x:f>IF($H294="","",IFERROR(INDEX('Game Records'!$A:$A,$H294),""))</x:f>
        <x:v/>
      </x:c>
      <x:c r="D294" s="331" t="str">
        <x:f>IF($H294="","",IFERROR(INDEX('Game Records'!$U:$U,$H294),""))</x:f>
        <x:v/>
      </x:c>
      <x:c r="E294" s="331" t="str">
        <x:f>IF($H294="","",IF($F294="","No Highlighted Fields","Highlighted Fields Present"))</x:f>
        <x:v/>
      </x:c>
      <x:c r="F294" s="331" t="str">
        <x:f>IF($H294="","",IF(INDEX('Game Records'!$B:$B,$H294)="","Start Date; ","")&amp;IF(INDEX('Game Records'!$C:$C,$H294)="","End Date; ","")&amp;IF(AND(INDEX('Game Records'!$U:$U,$H294)&lt;&gt;"Subscription",INDEX('Game Records'!$U:$U,$H294)&lt;&gt;"Free Game",INDEX('Game Records'!$U:$U,$H294)&lt;&gt;"Disqualified — Free Game",OR(INDEX('Game Records'!$D:$D,$H294)="",LOWER(INDEX('Game Records'!$D:$D,$H294)&amp;"")="n/a")),"Entry Mode; ","")&amp;IF(AND(INDEX('Game Records'!$U:$U,$H294)&lt;&gt;"Subscription",INDEX('Game Records'!$U:$U,$H294)&lt;&gt;"Free Game",INDEX('Game Records'!$U:$U,$H294)&lt;&gt;"Disqualified — Free Game",OR(INDEX('Game Records'!$E:$E,$H294)="",LOWER(INDEX('Game Records'!$E:$E,$H294)&amp;"")="n/a")),"Game Type; ","")&amp;IF(INDEX('Game Records'!$F:$F,$H294)="","Payment Type; ","")&amp;IF(AND(INDEX('Game Records'!$U:$U,$H294)&lt;&gt;"Subscription",INDEX('Game Records'!$U:$U,$H294)&lt;&gt;"Free Game",INDEX('Game Records'!$U:$U,$H294)&lt;&gt;"Disqualified — Free Game",INDEX('Game Records'!$G:$G,$H294)=""),"Gross Pot; ","")&amp;IF(AND(INDEX('Game Records'!$U:$U,$H294)&lt;&gt;"Free Game",INDEX('Game Records'!$U:$U,$H294)&lt;&gt;"Disqualified — Free Game",INDEX('Game Records'!$H:$H,$H294)=""),"Entry Fee; ","")&amp;IF(AND(INDEX('Game Records'!$U:$U,$H294)&lt;&gt;"Subscription",INDEX('Game Records'!$U:$U,$H294)&lt;&gt;"Free Game",INDEX('Game Records'!$U:$U,$H294)&lt;&gt;"Disqualified — Free Game",INDEX('Game Records'!$I:$I,$H294)=""),"Eligible Players; ","")&amp;IF(AND(INDEX('Game Records'!$U:$U,$H294)&lt;&gt;"Subscription",INDEX('Game Records'!$U:$U,$H294)&lt;&gt;"Free Game",INDEX('Game Records'!$U:$U,$H294)&lt;&gt;"Disqualified — Free Game",INDEX('Game Records'!$J:$J,$H294)=""),"Total Players; ","")&amp;IF(AND(LOWER(INDEX('Game Records'!$D:$D,$H294)&amp;"")="finalized",LOWER(INDEX('Game Records'!$L:$L,$H294)&amp;"")&lt;&gt;"yes",INDEX('Game Records'!$U:$U,$H294)&lt;&gt;"Subscription",INDEX('Game Records'!$U:$U,$H294)&lt;&gt;"Free Game",INDEX('Game Records'!$U:$U,$H294)&lt;&gt;"Disqualified — Free Game",INDEX('Game Records'!$K:$K,$H294)=""),"Final Earned; ","")&amp;IF(AND(LOWER(INDEX('Game Records'!$D:$D,$H294)&amp;"")="finalized",INDEX('Game Records'!$U:$U,$H294)&lt;&gt;"Subscription",INDEX('Game Records'!$U:$U,$H294)&lt;&gt;"Free Game",INDEX('Game Records'!$U:$U,$H294)&lt;&gt;"Disqualified — Free Game",OR(INDEX('Game Records'!$L:$L,$H294)="",LOWER(INDEX('Game Records'!$L:$L,$H294)&amp;"")="n/a")),"Disqualified Status; ",""))</x:f>
        <x:v/>
      </x:c>
      <x:c r="G294" s="331" t="str">
        <x:f>IF($H294="","",IFERROR(INDEX('Game Records'!$M:$M,$H294),""))</x:f>
        <x:v/>
      </x:c>
      <x:c r="H294" s="104" t="str">
        <x:f>IF($H293="","",IFERROR(MATCH(1,INDEX((ROW('Game Records'!$U$5:$U$504)&gt;$H293)*(('Game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5" ht="24" customHeight="1">
      <x:c r="A295" s="332" t="str">
        <x:f>IF($H295="","",ROWS($A$5:A295))</x:f>
        <x:v/>
      </x:c>
      <x:c r="B295" s="332" t="str">
        <x:f>IF($H295="","","G-"&amp;TEXT($A295,"0000"))</x:f>
        <x:v/>
      </x:c>
      <x:c r="C295" s="331" t="str">
        <x:f>IF($H295="","",IFERROR(INDEX('Game Records'!$A:$A,$H295),""))</x:f>
        <x:v/>
      </x:c>
      <x:c r="D295" s="331" t="str">
        <x:f>IF($H295="","",IFERROR(INDEX('Game Records'!$U:$U,$H295),""))</x:f>
        <x:v/>
      </x:c>
      <x:c r="E295" s="331" t="str">
        <x:f>IF($H295="","",IF($F295="","No Highlighted Fields","Highlighted Fields Present"))</x:f>
        <x:v/>
      </x:c>
      <x:c r="F295" s="331" t="str">
        <x:f>IF($H295="","",IF(INDEX('Game Records'!$B:$B,$H295)="","Start Date; ","")&amp;IF(INDEX('Game Records'!$C:$C,$H295)="","End Date; ","")&amp;IF(AND(INDEX('Game Records'!$U:$U,$H295)&lt;&gt;"Subscription",INDEX('Game Records'!$U:$U,$H295)&lt;&gt;"Free Game",INDEX('Game Records'!$U:$U,$H295)&lt;&gt;"Disqualified — Free Game",OR(INDEX('Game Records'!$D:$D,$H295)="",LOWER(INDEX('Game Records'!$D:$D,$H295)&amp;"")="n/a")),"Entry Mode; ","")&amp;IF(AND(INDEX('Game Records'!$U:$U,$H295)&lt;&gt;"Subscription",INDEX('Game Records'!$U:$U,$H295)&lt;&gt;"Free Game",INDEX('Game Records'!$U:$U,$H295)&lt;&gt;"Disqualified — Free Game",OR(INDEX('Game Records'!$E:$E,$H295)="",LOWER(INDEX('Game Records'!$E:$E,$H295)&amp;"")="n/a")),"Game Type; ","")&amp;IF(INDEX('Game Records'!$F:$F,$H295)="","Payment Type; ","")&amp;IF(AND(INDEX('Game Records'!$U:$U,$H295)&lt;&gt;"Subscription",INDEX('Game Records'!$U:$U,$H295)&lt;&gt;"Free Game",INDEX('Game Records'!$U:$U,$H295)&lt;&gt;"Disqualified — Free Game",INDEX('Game Records'!$G:$G,$H295)=""),"Gross Pot; ","")&amp;IF(AND(INDEX('Game Records'!$U:$U,$H295)&lt;&gt;"Free Game",INDEX('Game Records'!$U:$U,$H295)&lt;&gt;"Disqualified — Free Game",INDEX('Game Records'!$H:$H,$H295)=""),"Entry Fee; ","")&amp;IF(AND(INDEX('Game Records'!$U:$U,$H295)&lt;&gt;"Subscription",INDEX('Game Records'!$U:$U,$H295)&lt;&gt;"Free Game",INDEX('Game Records'!$U:$U,$H295)&lt;&gt;"Disqualified — Free Game",INDEX('Game Records'!$I:$I,$H295)=""),"Eligible Players; ","")&amp;IF(AND(INDEX('Game Records'!$U:$U,$H295)&lt;&gt;"Subscription",INDEX('Game Records'!$U:$U,$H295)&lt;&gt;"Free Game",INDEX('Game Records'!$U:$U,$H295)&lt;&gt;"Disqualified — Free Game",INDEX('Game Records'!$J:$J,$H295)=""),"Total Players; ","")&amp;IF(AND(LOWER(INDEX('Game Records'!$D:$D,$H295)&amp;"")="finalized",LOWER(INDEX('Game Records'!$L:$L,$H295)&amp;"")&lt;&gt;"yes",INDEX('Game Records'!$U:$U,$H295)&lt;&gt;"Subscription",INDEX('Game Records'!$U:$U,$H295)&lt;&gt;"Free Game",INDEX('Game Records'!$U:$U,$H295)&lt;&gt;"Disqualified — Free Game",INDEX('Game Records'!$K:$K,$H295)=""),"Final Earned; ","")&amp;IF(AND(LOWER(INDEX('Game Records'!$D:$D,$H295)&amp;"")="finalized",INDEX('Game Records'!$U:$U,$H295)&lt;&gt;"Subscription",INDEX('Game Records'!$U:$U,$H295)&lt;&gt;"Free Game",INDEX('Game Records'!$U:$U,$H295)&lt;&gt;"Disqualified — Free Game",OR(INDEX('Game Records'!$L:$L,$H295)="",LOWER(INDEX('Game Records'!$L:$L,$H295)&amp;"")="n/a")),"Disqualified Status; ",""))</x:f>
        <x:v/>
      </x:c>
      <x:c r="G295" s="331" t="str">
        <x:f>IF($H295="","",IFERROR(INDEX('Game Records'!$M:$M,$H295),""))</x:f>
        <x:v/>
      </x:c>
      <x:c r="H295" s="104" t="str">
        <x:f>IF($H294="","",IFERROR(MATCH(1,INDEX((ROW('Game Records'!$U$5:$U$504)&gt;$H294)*(('Game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6" ht="24" customHeight="1">
      <x:c r="A296" s="332" t="str">
        <x:f>IF($H296="","",ROWS($A$5:A296))</x:f>
        <x:v/>
      </x:c>
      <x:c r="B296" s="332" t="str">
        <x:f>IF($H296="","","G-"&amp;TEXT($A296,"0000"))</x:f>
        <x:v/>
      </x:c>
      <x:c r="C296" s="331" t="str">
        <x:f>IF($H296="","",IFERROR(INDEX('Game Records'!$A:$A,$H296),""))</x:f>
        <x:v/>
      </x:c>
      <x:c r="D296" s="331" t="str">
        <x:f>IF($H296="","",IFERROR(INDEX('Game Records'!$U:$U,$H296),""))</x:f>
        <x:v/>
      </x:c>
      <x:c r="E296" s="331" t="str">
        <x:f>IF($H296="","",IF($F296="","No Highlighted Fields","Highlighted Fields Present"))</x:f>
        <x:v/>
      </x:c>
      <x:c r="F296" s="331" t="str">
        <x:f>IF($H296="","",IF(INDEX('Game Records'!$B:$B,$H296)="","Start Date; ","")&amp;IF(INDEX('Game Records'!$C:$C,$H296)="","End Date; ","")&amp;IF(AND(INDEX('Game Records'!$U:$U,$H296)&lt;&gt;"Subscription",INDEX('Game Records'!$U:$U,$H296)&lt;&gt;"Free Game",INDEX('Game Records'!$U:$U,$H296)&lt;&gt;"Disqualified — Free Game",OR(INDEX('Game Records'!$D:$D,$H296)="",LOWER(INDEX('Game Records'!$D:$D,$H296)&amp;"")="n/a")),"Entry Mode; ","")&amp;IF(AND(INDEX('Game Records'!$U:$U,$H296)&lt;&gt;"Subscription",INDEX('Game Records'!$U:$U,$H296)&lt;&gt;"Free Game",INDEX('Game Records'!$U:$U,$H296)&lt;&gt;"Disqualified — Free Game",OR(INDEX('Game Records'!$E:$E,$H296)="",LOWER(INDEX('Game Records'!$E:$E,$H296)&amp;"")="n/a")),"Game Type; ","")&amp;IF(INDEX('Game Records'!$F:$F,$H296)="","Payment Type; ","")&amp;IF(AND(INDEX('Game Records'!$U:$U,$H296)&lt;&gt;"Subscription",INDEX('Game Records'!$U:$U,$H296)&lt;&gt;"Free Game",INDEX('Game Records'!$U:$U,$H296)&lt;&gt;"Disqualified — Free Game",INDEX('Game Records'!$G:$G,$H296)=""),"Gross Pot; ","")&amp;IF(AND(INDEX('Game Records'!$U:$U,$H296)&lt;&gt;"Free Game",INDEX('Game Records'!$U:$U,$H296)&lt;&gt;"Disqualified — Free Game",INDEX('Game Records'!$H:$H,$H296)=""),"Entry Fee; ","")&amp;IF(AND(INDEX('Game Records'!$U:$U,$H296)&lt;&gt;"Subscription",INDEX('Game Records'!$U:$U,$H296)&lt;&gt;"Free Game",INDEX('Game Records'!$U:$U,$H296)&lt;&gt;"Disqualified — Free Game",INDEX('Game Records'!$I:$I,$H296)=""),"Eligible Players; ","")&amp;IF(AND(INDEX('Game Records'!$U:$U,$H296)&lt;&gt;"Subscription",INDEX('Game Records'!$U:$U,$H296)&lt;&gt;"Free Game",INDEX('Game Records'!$U:$U,$H296)&lt;&gt;"Disqualified — Free Game",INDEX('Game Records'!$J:$J,$H296)=""),"Total Players; ","")&amp;IF(AND(LOWER(INDEX('Game Records'!$D:$D,$H296)&amp;"")="finalized",LOWER(INDEX('Game Records'!$L:$L,$H296)&amp;"")&lt;&gt;"yes",INDEX('Game Records'!$U:$U,$H296)&lt;&gt;"Subscription",INDEX('Game Records'!$U:$U,$H296)&lt;&gt;"Free Game",INDEX('Game Records'!$U:$U,$H296)&lt;&gt;"Disqualified — Free Game",INDEX('Game Records'!$K:$K,$H296)=""),"Final Earned; ","")&amp;IF(AND(LOWER(INDEX('Game Records'!$D:$D,$H296)&amp;"")="finalized",INDEX('Game Records'!$U:$U,$H296)&lt;&gt;"Subscription",INDEX('Game Records'!$U:$U,$H296)&lt;&gt;"Free Game",INDEX('Game Records'!$U:$U,$H296)&lt;&gt;"Disqualified — Free Game",OR(INDEX('Game Records'!$L:$L,$H296)="",LOWER(INDEX('Game Records'!$L:$L,$H296)&amp;"")="n/a")),"Disqualified Status; ",""))</x:f>
        <x:v/>
      </x:c>
      <x:c r="G296" s="331" t="str">
        <x:f>IF($H296="","",IFERROR(INDEX('Game Records'!$M:$M,$H296),""))</x:f>
        <x:v/>
      </x:c>
      <x:c r="H296" s="104" t="str">
        <x:f>IF($H295="","",IFERROR(MATCH(1,INDEX((ROW('Game Records'!$U$5:$U$504)&gt;$H295)*(('Game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7" ht="24" customHeight="1">
      <x:c r="A297" s="332" t="str">
        <x:f>IF($H297="","",ROWS($A$5:A297))</x:f>
        <x:v/>
      </x:c>
      <x:c r="B297" s="332" t="str">
        <x:f>IF($H297="","","G-"&amp;TEXT($A297,"0000"))</x:f>
        <x:v/>
      </x:c>
      <x:c r="C297" s="331" t="str">
        <x:f>IF($H297="","",IFERROR(INDEX('Game Records'!$A:$A,$H297),""))</x:f>
        <x:v/>
      </x:c>
      <x:c r="D297" s="331" t="str">
        <x:f>IF($H297="","",IFERROR(INDEX('Game Records'!$U:$U,$H297),""))</x:f>
        <x:v/>
      </x:c>
      <x:c r="E297" s="331" t="str">
        <x:f>IF($H297="","",IF($F297="","No Highlighted Fields","Highlighted Fields Present"))</x:f>
        <x:v/>
      </x:c>
      <x:c r="F297" s="331" t="str">
        <x:f>IF($H297="","",IF(INDEX('Game Records'!$B:$B,$H297)="","Start Date; ","")&amp;IF(INDEX('Game Records'!$C:$C,$H297)="","End Date; ","")&amp;IF(AND(INDEX('Game Records'!$U:$U,$H297)&lt;&gt;"Subscription",INDEX('Game Records'!$U:$U,$H297)&lt;&gt;"Free Game",INDEX('Game Records'!$U:$U,$H297)&lt;&gt;"Disqualified — Free Game",OR(INDEX('Game Records'!$D:$D,$H297)="",LOWER(INDEX('Game Records'!$D:$D,$H297)&amp;"")="n/a")),"Entry Mode; ","")&amp;IF(AND(INDEX('Game Records'!$U:$U,$H297)&lt;&gt;"Subscription",INDEX('Game Records'!$U:$U,$H297)&lt;&gt;"Free Game",INDEX('Game Records'!$U:$U,$H297)&lt;&gt;"Disqualified — Free Game",OR(INDEX('Game Records'!$E:$E,$H297)="",LOWER(INDEX('Game Records'!$E:$E,$H297)&amp;"")="n/a")),"Game Type; ","")&amp;IF(INDEX('Game Records'!$F:$F,$H297)="","Payment Type; ","")&amp;IF(AND(INDEX('Game Records'!$U:$U,$H297)&lt;&gt;"Subscription",INDEX('Game Records'!$U:$U,$H297)&lt;&gt;"Free Game",INDEX('Game Records'!$U:$U,$H297)&lt;&gt;"Disqualified — Free Game",INDEX('Game Records'!$G:$G,$H297)=""),"Gross Pot; ","")&amp;IF(AND(INDEX('Game Records'!$U:$U,$H297)&lt;&gt;"Free Game",INDEX('Game Records'!$U:$U,$H297)&lt;&gt;"Disqualified — Free Game",INDEX('Game Records'!$H:$H,$H297)=""),"Entry Fee; ","")&amp;IF(AND(INDEX('Game Records'!$U:$U,$H297)&lt;&gt;"Subscription",INDEX('Game Records'!$U:$U,$H297)&lt;&gt;"Free Game",INDEX('Game Records'!$U:$U,$H297)&lt;&gt;"Disqualified — Free Game",INDEX('Game Records'!$I:$I,$H297)=""),"Eligible Players; ","")&amp;IF(AND(INDEX('Game Records'!$U:$U,$H297)&lt;&gt;"Subscription",INDEX('Game Records'!$U:$U,$H297)&lt;&gt;"Free Game",INDEX('Game Records'!$U:$U,$H297)&lt;&gt;"Disqualified — Free Game",INDEX('Game Records'!$J:$J,$H297)=""),"Total Players; ","")&amp;IF(AND(LOWER(INDEX('Game Records'!$D:$D,$H297)&amp;"")="finalized",LOWER(INDEX('Game Records'!$L:$L,$H297)&amp;"")&lt;&gt;"yes",INDEX('Game Records'!$U:$U,$H297)&lt;&gt;"Subscription",INDEX('Game Records'!$U:$U,$H297)&lt;&gt;"Free Game",INDEX('Game Records'!$U:$U,$H297)&lt;&gt;"Disqualified — Free Game",INDEX('Game Records'!$K:$K,$H297)=""),"Final Earned; ","")&amp;IF(AND(LOWER(INDEX('Game Records'!$D:$D,$H297)&amp;"")="finalized",INDEX('Game Records'!$U:$U,$H297)&lt;&gt;"Subscription",INDEX('Game Records'!$U:$U,$H297)&lt;&gt;"Free Game",INDEX('Game Records'!$U:$U,$H297)&lt;&gt;"Disqualified — Free Game",OR(INDEX('Game Records'!$L:$L,$H297)="",LOWER(INDEX('Game Records'!$L:$L,$H297)&amp;"")="n/a")),"Disqualified Status; ",""))</x:f>
        <x:v/>
      </x:c>
      <x:c r="G297" s="331" t="str">
        <x:f>IF($H297="","",IFERROR(INDEX('Game Records'!$M:$M,$H297),""))</x:f>
        <x:v/>
      </x:c>
      <x:c r="H297" s="104" t="str">
        <x:f>IF($H296="","",IFERROR(MATCH(1,INDEX((ROW('Game Records'!$U$5:$U$504)&gt;$H296)*(('Game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8" ht="24" customHeight="1">
      <x:c r="A298" s="332" t="str">
        <x:f>IF($H298="","",ROWS($A$5:A298))</x:f>
        <x:v/>
      </x:c>
      <x:c r="B298" s="332" t="str">
        <x:f>IF($H298="","","G-"&amp;TEXT($A298,"0000"))</x:f>
        <x:v/>
      </x:c>
      <x:c r="C298" s="331" t="str">
        <x:f>IF($H298="","",IFERROR(INDEX('Game Records'!$A:$A,$H298),""))</x:f>
        <x:v/>
      </x:c>
      <x:c r="D298" s="331" t="str">
        <x:f>IF($H298="","",IFERROR(INDEX('Game Records'!$U:$U,$H298),""))</x:f>
        <x:v/>
      </x:c>
      <x:c r="E298" s="331" t="str">
        <x:f>IF($H298="","",IF($F298="","No Highlighted Fields","Highlighted Fields Present"))</x:f>
        <x:v/>
      </x:c>
      <x:c r="F298" s="331" t="str">
        <x:f>IF($H298="","",IF(INDEX('Game Records'!$B:$B,$H298)="","Start Date; ","")&amp;IF(INDEX('Game Records'!$C:$C,$H298)="","End Date; ","")&amp;IF(AND(INDEX('Game Records'!$U:$U,$H298)&lt;&gt;"Subscription",INDEX('Game Records'!$U:$U,$H298)&lt;&gt;"Free Game",INDEX('Game Records'!$U:$U,$H298)&lt;&gt;"Disqualified — Free Game",OR(INDEX('Game Records'!$D:$D,$H298)="",LOWER(INDEX('Game Records'!$D:$D,$H298)&amp;"")="n/a")),"Entry Mode; ","")&amp;IF(AND(INDEX('Game Records'!$U:$U,$H298)&lt;&gt;"Subscription",INDEX('Game Records'!$U:$U,$H298)&lt;&gt;"Free Game",INDEX('Game Records'!$U:$U,$H298)&lt;&gt;"Disqualified — Free Game",OR(INDEX('Game Records'!$E:$E,$H298)="",LOWER(INDEX('Game Records'!$E:$E,$H298)&amp;"")="n/a")),"Game Type; ","")&amp;IF(INDEX('Game Records'!$F:$F,$H298)="","Payment Type; ","")&amp;IF(AND(INDEX('Game Records'!$U:$U,$H298)&lt;&gt;"Subscription",INDEX('Game Records'!$U:$U,$H298)&lt;&gt;"Free Game",INDEX('Game Records'!$U:$U,$H298)&lt;&gt;"Disqualified — Free Game",INDEX('Game Records'!$G:$G,$H298)=""),"Gross Pot; ","")&amp;IF(AND(INDEX('Game Records'!$U:$U,$H298)&lt;&gt;"Free Game",INDEX('Game Records'!$U:$U,$H298)&lt;&gt;"Disqualified — Free Game",INDEX('Game Records'!$H:$H,$H298)=""),"Entry Fee; ","")&amp;IF(AND(INDEX('Game Records'!$U:$U,$H298)&lt;&gt;"Subscription",INDEX('Game Records'!$U:$U,$H298)&lt;&gt;"Free Game",INDEX('Game Records'!$U:$U,$H298)&lt;&gt;"Disqualified — Free Game",INDEX('Game Records'!$I:$I,$H298)=""),"Eligible Players; ","")&amp;IF(AND(INDEX('Game Records'!$U:$U,$H298)&lt;&gt;"Subscription",INDEX('Game Records'!$U:$U,$H298)&lt;&gt;"Free Game",INDEX('Game Records'!$U:$U,$H298)&lt;&gt;"Disqualified — Free Game",INDEX('Game Records'!$J:$J,$H298)=""),"Total Players; ","")&amp;IF(AND(LOWER(INDEX('Game Records'!$D:$D,$H298)&amp;"")="finalized",LOWER(INDEX('Game Records'!$L:$L,$H298)&amp;"")&lt;&gt;"yes",INDEX('Game Records'!$U:$U,$H298)&lt;&gt;"Subscription",INDEX('Game Records'!$U:$U,$H298)&lt;&gt;"Free Game",INDEX('Game Records'!$U:$U,$H298)&lt;&gt;"Disqualified — Free Game",INDEX('Game Records'!$K:$K,$H298)=""),"Final Earned; ","")&amp;IF(AND(LOWER(INDEX('Game Records'!$D:$D,$H298)&amp;"")="finalized",INDEX('Game Records'!$U:$U,$H298)&lt;&gt;"Subscription",INDEX('Game Records'!$U:$U,$H298)&lt;&gt;"Free Game",INDEX('Game Records'!$U:$U,$H298)&lt;&gt;"Disqualified — Free Game",OR(INDEX('Game Records'!$L:$L,$H298)="",LOWER(INDEX('Game Records'!$L:$L,$H298)&amp;"")="n/a")),"Disqualified Status; ",""))</x:f>
        <x:v/>
      </x:c>
      <x:c r="G298" s="331" t="str">
        <x:f>IF($H298="","",IFERROR(INDEX('Game Records'!$M:$M,$H298),""))</x:f>
        <x:v/>
      </x:c>
      <x:c r="H298" s="104" t="str">
        <x:f>IF($H297="","",IFERROR(MATCH(1,INDEX((ROW('Game Records'!$U$5:$U$504)&gt;$H297)*(('Game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299" ht="24" customHeight="1">
      <x:c r="A299" s="332" t="str">
        <x:f>IF($H299="","",ROWS($A$5:A299))</x:f>
        <x:v/>
      </x:c>
      <x:c r="B299" s="332" t="str">
        <x:f>IF($H299="","","G-"&amp;TEXT($A299,"0000"))</x:f>
        <x:v/>
      </x:c>
      <x:c r="C299" s="331" t="str">
        <x:f>IF($H299="","",IFERROR(INDEX('Game Records'!$A:$A,$H299),""))</x:f>
        <x:v/>
      </x:c>
      <x:c r="D299" s="331" t="str">
        <x:f>IF($H299="","",IFERROR(INDEX('Game Records'!$U:$U,$H299),""))</x:f>
        <x:v/>
      </x:c>
      <x:c r="E299" s="331" t="str">
        <x:f>IF($H299="","",IF($F299="","No Highlighted Fields","Highlighted Fields Present"))</x:f>
        <x:v/>
      </x:c>
      <x:c r="F299" s="331" t="str">
        <x:f>IF($H299="","",IF(INDEX('Game Records'!$B:$B,$H299)="","Start Date; ","")&amp;IF(INDEX('Game Records'!$C:$C,$H299)="","End Date; ","")&amp;IF(AND(INDEX('Game Records'!$U:$U,$H299)&lt;&gt;"Subscription",INDEX('Game Records'!$U:$U,$H299)&lt;&gt;"Free Game",INDEX('Game Records'!$U:$U,$H299)&lt;&gt;"Disqualified — Free Game",OR(INDEX('Game Records'!$D:$D,$H299)="",LOWER(INDEX('Game Records'!$D:$D,$H299)&amp;"")="n/a")),"Entry Mode; ","")&amp;IF(AND(INDEX('Game Records'!$U:$U,$H299)&lt;&gt;"Subscription",INDEX('Game Records'!$U:$U,$H299)&lt;&gt;"Free Game",INDEX('Game Records'!$U:$U,$H299)&lt;&gt;"Disqualified — Free Game",OR(INDEX('Game Records'!$E:$E,$H299)="",LOWER(INDEX('Game Records'!$E:$E,$H299)&amp;"")="n/a")),"Game Type; ","")&amp;IF(INDEX('Game Records'!$F:$F,$H299)="","Payment Type; ","")&amp;IF(AND(INDEX('Game Records'!$U:$U,$H299)&lt;&gt;"Subscription",INDEX('Game Records'!$U:$U,$H299)&lt;&gt;"Free Game",INDEX('Game Records'!$U:$U,$H299)&lt;&gt;"Disqualified — Free Game",INDEX('Game Records'!$G:$G,$H299)=""),"Gross Pot; ","")&amp;IF(AND(INDEX('Game Records'!$U:$U,$H299)&lt;&gt;"Free Game",INDEX('Game Records'!$U:$U,$H299)&lt;&gt;"Disqualified — Free Game",INDEX('Game Records'!$H:$H,$H299)=""),"Entry Fee; ","")&amp;IF(AND(INDEX('Game Records'!$U:$U,$H299)&lt;&gt;"Subscription",INDEX('Game Records'!$U:$U,$H299)&lt;&gt;"Free Game",INDEX('Game Records'!$U:$U,$H299)&lt;&gt;"Disqualified — Free Game",INDEX('Game Records'!$I:$I,$H299)=""),"Eligible Players; ","")&amp;IF(AND(INDEX('Game Records'!$U:$U,$H299)&lt;&gt;"Subscription",INDEX('Game Records'!$U:$U,$H299)&lt;&gt;"Free Game",INDEX('Game Records'!$U:$U,$H299)&lt;&gt;"Disqualified — Free Game",INDEX('Game Records'!$J:$J,$H299)=""),"Total Players; ","")&amp;IF(AND(LOWER(INDEX('Game Records'!$D:$D,$H299)&amp;"")="finalized",LOWER(INDEX('Game Records'!$L:$L,$H299)&amp;"")&lt;&gt;"yes",INDEX('Game Records'!$U:$U,$H299)&lt;&gt;"Subscription",INDEX('Game Records'!$U:$U,$H299)&lt;&gt;"Free Game",INDEX('Game Records'!$U:$U,$H299)&lt;&gt;"Disqualified — Free Game",INDEX('Game Records'!$K:$K,$H299)=""),"Final Earned; ","")&amp;IF(AND(LOWER(INDEX('Game Records'!$D:$D,$H299)&amp;"")="finalized",INDEX('Game Records'!$U:$U,$H299)&lt;&gt;"Subscription",INDEX('Game Records'!$U:$U,$H299)&lt;&gt;"Free Game",INDEX('Game Records'!$U:$U,$H299)&lt;&gt;"Disqualified — Free Game",OR(INDEX('Game Records'!$L:$L,$H299)="",LOWER(INDEX('Game Records'!$L:$L,$H299)&amp;"")="n/a")),"Disqualified Status; ",""))</x:f>
        <x:v/>
      </x:c>
      <x:c r="G299" s="331" t="str">
        <x:f>IF($H299="","",IFERROR(INDEX('Game Records'!$M:$M,$H299),""))</x:f>
        <x:v/>
      </x:c>
      <x:c r="H299" s="104" t="str">
        <x:f>IF($H298="","",IFERROR(MATCH(1,INDEX((ROW('Game Records'!$U$5:$U$504)&gt;$H298)*(('Game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0" ht="24" customHeight="1">
      <x:c r="A300" s="332" t="str">
        <x:f>IF($H300="","",ROWS($A$5:A300))</x:f>
        <x:v/>
      </x:c>
      <x:c r="B300" s="332" t="str">
        <x:f>IF($H300="","","G-"&amp;TEXT($A300,"0000"))</x:f>
        <x:v/>
      </x:c>
      <x:c r="C300" s="331" t="str">
        <x:f>IF($H300="","",IFERROR(INDEX('Game Records'!$A:$A,$H300),""))</x:f>
        <x:v/>
      </x:c>
      <x:c r="D300" s="331" t="str">
        <x:f>IF($H300="","",IFERROR(INDEX('Game Records'!$U:$U,$H300),""))</x:f>
        <x:v/>
      </x:c>
      <x:c r="E300" s="331" t="str">
        <x:f>IF($H300="","",IF($F300="","No Highlighted Fields","Highlighted Fields Present"))</x:f>
        <x:v/>
      </x:c>
      <x:c r="F300" s="331" t="str">
        <x:f>IF($H300="","",IF(INDEX('Game Records'!$B:$B,$H300)="","Start Date; ","")&amp;IF(INDEX('Game Records'!$C:$C,$H300)="","End Date; ","")&amp;IF(AND(INDEX('Game Records'!$U:$U,$H300)&lt;&gt;"Subscription",INDEX('Game Records'!$U:$U,$H300)&lt;&gt;"Free Game",INDEX('Game Records'!$U:$U,$H300)&lt;&gt;"Disqualified — Free Game",OR(INDEX('Game Records'!$D:$D,$H300)="",LOWER(INDEX('Game Records'!$D:$D,$H300)&amp;"")="n/a")),"Entry Mode; ","")&amp;IF(AND(INDEX('Game Records'!$U:$U,$H300)&lt;&gt;"Subscription",INDEX('Game Records'!$U:$U,$H300)&lt;&gt;"Free Game",INDEX('Game Records'!$U:$U,$H300)&lt;&gt;"Disqualified — Free Game",OR(INDEX('Game Records'!$E:$E,$H300)="",LOWER(INDEX('Game Records'!$E:$E,$H300)&amp;"")="n/a")),"Game Type; ","")&amp;IF(INDEX('Game Records'!$F:$F,$H300)="","Payment Type; ","")&amp;IF(AND(INDEX('Game Records'!$U:$U,$H300)&lt;&gt;"Subscription",INDEX('Game Records'!$U:$U,$H300)&lt;&gt;"Free Game",INDEX('Game Records'!$U:$U,$H300)&lt;&gt;"Disqualified — Free Game",INDEX('Game Records'!$G:$G,$H300)=""),"Gross Pot; ","")&amp;IF(AND(INDEX('Game Records'!$U:$U,$H300)&lt;&gt;"Free Game",INDEX('Game Records'!$U:$U,$H300)&lt;&gt;"Disqualified — Free Game",INDEX('Game Records'!$H:$H,$H300)=""),"Entry Fee; ","")&amp;IF(AND(INDEX('Game Records'!$U:$U,$H300)&lt;&gt;"Subscription",INDEX('Game Records'!$U:$U,$H300)&lt;&gt;"Free Game",INDEX('Game Records'!$U:$U,$H300)&lt;&gt;"Disqualified — Free Game",INDEX('Game Records'!$I:$I,$H300)=""),"Eligible Players; ","")&amp;IF(AND(INDEX('Game Records'!$U:$U,$H300)&lt;&gt;"Subscription",INDEX('Game Records'!$U:$U,$H300)&lt;&gt;"Free Game",INDEX('Game Records'!$U:$U,$H300)&lt;&gt;"Disqualified — Free Game",INDEX('Game Records'!$J:$J,$H300)=""),"Total Players; ","")&amp;IF(AND(LOWER(INDEX('Game Records'!$D:$D,$H300)&amp;"")="finalized",LOWER(INDEX('Game Records'!$L:$L,$H300)&amp;"")&lt;&gt;"yes",INDEX('Game Records'!$U:$U,$H300)&lt;&gt;"Subscription",INDEX('Game Records'!$U:$U,$H300)&lt;&gt;"Free Game",INDEX('Game Records'!$U:$U,$H300)&lt;&gt;"Disqualified — Free Game",INDEX('Game Records'!$K:$K,$H300)=""),"Final Earned; ","")&amp;IF(AND(LOWER(INDEX('Game Records'!$D:$D,$H300)&amp;"")="finalized",INDEX('Game Records'!$U:$U,$H300)&lt;&gt;"Subscription",INDEX('Game Records'!$U:$U,$H300)&lt;&gt;"Free Game",INDEX('Game Records'!$U:$U,$H300)&lt;&gt;"Disqualified — Free Game",OR(INDEX('Game Records'!$L:$L,$H300)="",LOWER(INDEX('Game Records'!$L:$L,$H300)&amp;"")="n/a")),"Disqualified Status; ",""))</x:f>
        <x:v/>
      </x:c>
      <x:c r="G300" s="331" t="str">
        <x:f>IF($H300="","",IFERROR(INDEX('Game Records'!$M:$M,$H300),""))</x:f>
        <x:v/>
      </x:c>
      <x:c r="H300" s="104" t="str">
        <x:f>IF($H299="","",IFERROR(MATCH(1,INDEX((ROW('Game Records'!$U$5:$U$504)&gt;$H299)*(('Game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1" ht="24" customHeight="1">
      <x:c r="A301" s="332" t="str">
        <x:f>IF($H301="","",ROWS($A$5:A301))</x:f>
        <x:v/>
      </x:c>
      <x:c r="B301" s="332" t="str">
        <x:f>IF($H301="","","G-"&amp;TEXT($A301,"0000"))</x:f>
        <x:v/>
      </x:c>
      <x:c r="C301" s="331" t="str">
        <x:f>IF($H301="","",IFERROR(INDEX('Game Records'!$A:$A,$H301),""))</x:f>
        <x:v/>
      </x:c>
      <x:c r="D301" s="331" t="str">
        <x:f>IF($H301="","",IFERROR(INDEX('Game Records'!$U:$U,$H301),""))</x:f>
        <x:v/>
      </x:c>
      <x:c r="E301" s="331" t="str">
        <x:f>IF($H301="","",IF($F301="","No Highlighted Fields","Highlighted Fields Present"))</x:f>
        <x:v/>
      </x:c>
      <x:c r="F301" s="331" t="str">
        <x:f>IF($H301="","",IF(INDEX('Game Records'!$B:$B,$H301)="","Start Date; ","")&amp;IF(INDEX('Game Records'!$C:$C,$H301)="","End Date; ","")&amp;IF(AND(INDEX('Game Records'!$U:$U,$H301)&lt;&gt;"Subscription",INDEX('Game Records'!$U:$U,$H301)&lt;&gt;"Free Game",INDEX('Game Records'!$U:$U,$H301)&lt;&gt;"Disqualified — Free Game",OR(INDEX('Game Records'!$D:$D,$H301)="",LOWER(INDEX('Game Records'!$D:$D,$H301)&amp;"")="n/a")),"Entry Mode; ","")&amp;IF(AND(INDEX('Game Records'!$U:$U,$H301)&lt;&gt;"Subscription",INDEX('Game Records'!$U:$U,$H301)&lt;&gt;"Free Game",INDEX('Game Records'!$U:$U,$H301)&lt;&gt;"Disqualified — Free Game",OR(INDEX('Game Records'!$E:$E,$H301)="",LOWER(INDEX('Game Records'!$E:$E,$H301)&amp;"")="n/a")),"Game Type; ","")&amp;IF(INDEX('Game Records'!$F:$F,$H301)="","Payment Type; ","")&amp;IF(AND(INDEX('Game Records'!$U:$U,$H301)&lt;&gt;"Subscription",INDEX('Game Records'!$U:$U,$H301)&lt;&gt;"Free Game",INDEX('Game Records'!$U:$U,$H301)&lt;&gt;"Disqualified — Free Game",INDEX('Game Records'!$G:$G,$H301)=""),"Gross Pot; ","")&amp;IF(AND(INDEX('Game Records'!$U:$U,$H301)&lt;&gt;"Free Game",INDEX('Game Records'!$U:$U,$H301)&lt;&gt;"Disqualified — Free Game",INDEX('Game Records'!$H:$H,$H301)=""),"Entry Fee; ","")&amp;IF(AND(INDEX('Game Records'!$U:$U,$H301)&lt;&gt;"Subscription",INDEX('Game Records'!$U:$U,$H301)&lt;&gt;"Free Game",INDEX('Game Records'!$U:$U,$H301)&lt;&gt;"Disqualified — Free Game",INDEX('Game Records'!$I:$I,$H301)=""),"Eligible Players; ","")&amp;IF(AND(INDEX('Game Records'!$U:$U,$H301)&lt;&gt;"Subscription",INDEX('Game Records'!$U:$U,$H301)&lt;&gt;"Free Game",INDEX('Game Records'!$U:$U,$H301)&lt;&gt;"Disqualified — Free Game",INDEX('Game Records'!$J:$J,$H301)=""),"Total Players; ","")&amp;IF(AND(LOWER(INDEX('Game Records'!$D:$D,$H301)&amp;"")="finalized",LOWER(INDEX('Game Records'!$L:$L,$H301)&amp;"")&lt;&gt;"yes",INDEX('Game Records'!$U:$U,$H301)&lt;&gt;"Subscription",INDEX('Game Records'!$U:$U,$H301)&lt;&gt;"Free Game",INDEX('Game Records'!$U:$U,$H301)&lt;&gt;"Disqualified — Free Game",INDEX('Game Records'!$K:$K,$H301)=""),"Final Earned; ","")&amp;IF(AND(LOWER(INDEX('Game Records'!$D:$D,$H301)&amp;"")="finalized",INDEX('Game Records'!$U:$U,$H301)&lt;&gt;"Subscription",INDEX('Game Records'!$U:$U,$H301)&lt;&gt;"Free Game",INDEX('Game Records'!$U:$U,$H301)&lt;&gt;"Disqualified — Free Game",OR(INDEX('Game Records'!$L:$L,$H301)="",LOWER(INDEX('Game Records'!$L:$L,$H301)&amp;"")="n/a")),"Disqualified Status; ",""))</x:f>
        <x:v/>
      </x:c>
      <x:c r="G301" s="331" t="str">
        <x:f>IF($H301="","",IFERROR(INDEX('Game Records'!$M:$M,$H301),""))</x:f>
        <x:v/>
      </x:c>
      <x:c r="H301" s="104" t="str">
        <x:f>IF($H300="","",IFERROR(MATCH(1,INDEX((ROW('Game Records'!$U$5:$U$504)&gt;$H300)*(('Game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2" ht="24" customHeight="1">
      <x:c r="A302" s="332" t="str">
        <x:f>IF($H302="","",ROWS($A$5:A302))</x:f>
        <x:v/>
      </x:c>
      <x:c r="B302" s="332" t="str">
        <x:f>IF($H302="","","G-"&amp;TEXT($A302,"0000"))</x:f>
        <x:v/>
      </x:c>
      <x:c r="C302" s="331" t="str">
        <x:f>IF($H302="","",IFERROR(INDEX('Game Records'!$A:$A,$H302),""))</x:f>
        <x:v/>
      </x:c>
      <x:c r="D302" s="331" t="str">
        <x:f>IF($H302="","",IFERROR(INDEX('Game Records'!$U:$U,$H302),""))</x:f>
        <x:v/>
      </x:c>
      <x:c r="E302" s="331" t="str">
        <x:f>IF($H302="","",IF($F302="","No Highlighted Fields","Highlighted Fields Present"))</x:f>
        <x:v/>
      </x:c>
      <x:c r="F302" s="331" t="str">
        <x:f>IF($H302="","",IF(INDEX('Game Records'!$B:$B,$H302)="","Start Date; ","")&amp;IF(INDEX('Game Records'!$C:$C,$H302)="","End Date; ","")&amp;IF(AND(INDEX('Game Records'!$U:$U,$H302)&lt;&gt;"Subscription",INDEX('Game Records'!$U:$U,$H302)&lt;&gt;"Free Game",INDEX('Game Records'!$U:$U,$H302)&lt;&gt;"Disqualified — Free Game",OR(INDEX('Game Records'!$D:$D,$H302)="",LOWER(INDEX('Game Records'!$D:$D,$H302)&amp;"")="n/a")),"Entry Mode; ","")&amp;IF(AND(INDEX('Game Records'!$U:$U,$H302)&lt;&gt;"Subscription",INDEX('Game Records'!$U:$U,$H302)&lt;&gt;"Free Game",INDEX('Game Records'!$U:$U,$H302)&lt;&gt;"Disqualified — Free Game",OR(INDEX('Game Records'!$E:$E,$H302)="",LOWER(INDEX('Game Records'!$E:$E,$H302)&amp;"")="n/a")),"Game Type; ","")&amp;IF(INDEX('Game Records'!$F:$F,$H302)="","Payment Type; ","")&amp;IF(AND(INDEX('Game Records'!$U:$U,$H302)&lt;&gt;"Subscription",INDEX('Game Records'!$U:$U,$H302)&lt;&gt;"Free Game",INDEX('Game Records'!$U:$U,$H302)&lt;&gt;"Disqualified — Free Game",INDEX('Game Records'!$G:$G,$H302)=""),"Gross Pot; ","")&amp;IF(AND(INDEX('Game Records'!$U:$U,$H302)&lt;&gt;"Free Game",INDEX('Game Records'!$U:$U,$H302)&lt;&gt;"Disqualified — Free Game",INDEX('Game Records'!$H:$H,$H302)=""),"Entry Fee; ","")&amp;IF(AND(INDEX('Game Records'!$U:$U,$H302)&lt;&gt;"Subscription",INDEX('Game Records'!$U:$U,$H302)&lt;&gt;"Free Game",INDEX('Game Records'!$U:$U,$H302)&lt;&gt;"Disqualified — Free Game",INDEX('Game Records'!$I:$I,$H302)=""),"Eligible Players; ","")&amp;IF(AND(INDEX('Game Records'!$U:$U,$H302)&lt;&gt;"Subscription",INDEX('Game Records'!$U:$U,$H302)&lt;&gt;"Free Game",INDEX('Game Records'!$U:$U,$H302)&lt;&gt;"Disqualified — Free Game",INDEX('Game Records'!$J:$J,$H302)=""),"Total Players; ","")&amp;IF(AND(LOWER(INDEX('Game Records'!$D:$D,$H302)&amp;"")="finalized",LOWER(INDEX('Game Records'!$L:$L,$H302)&amp;"")&lt;&gt;"yes",INDEX('Game Records'!$U:$U,$H302)&lt;&gt;"Subscription",INDEX('Game Records'!$U:$U,$H302)&lt;&gt;"Free Game",INDEX('Game Records'!$U:$U,$H302)&lt;&gt;"Disqualified — Free Game",INDEX('Game Records'!$K:$K,$H302)=""),"Final Earned; ","")&amp;IF(AND(LOWER(INDEX('Game Records'!$D:$D,$H302)&amp;"")="finalized",INDEX('Game Records'!$U:$U,$H302)&lt;&gt;"Subscription",INDEX('Game Records'!$U:$U,$H302)&lt;&gt;"Free Game",INDEX('Game Records'!$U:$U,$H302)&lt;&gt;"Disqualified — Free Game",OR(INDEX('Game Records'!$L:$L,$H302)="",LOWER(INDEX('Game Records'!$L:$L,$H302)&amp;"")="n/a")),"Disqualified Status; ",""))</x:f>
        <x:v/>
      </x:c>
      <x:c r="G302" s="331" t="str">
        <x:f>IF($H302="","",IFERROR(INDEX('Game Records'!$M:$M,$H302),""))</x:f>
        <x:v/>
      </x:c>
      <x:c r="H302" s="104" t="str">
        <x:f>IF($H301="","",IFERROR(MATCH(1,INDEX((ROW('Game Records'!$U$5:$U$504)&gt;$H301)*(('Game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3" ht="24" customHeight="1">
      <x:c r="A303" s="332" t="str">
        <x:f>IF($H303="","",ROWS($A$5:A303))</x:f>
        <x:v/>
      </x:c>
      <x:c r="B303" s="332" t="str">
        <x:f>IF($H303="","","G-"&amp;TEXT($A303,"0000"))</x:f>
        <x:v/>
      </x:c>
      <x:c r="C303" s="331" t="str">
        <x:f>IF($H303="","",IFERROR(INDEX('Game Records'!$A:$A,$H303),""))</x:f>
        <x:v/>
      </x:c>
      <x:c r="D303" s="331" t="str">
        <x:f>IF($H303="","",IFERROR(INDEX('Game Records'!$U:$U,$H303),""))</x:f>
        <x:v/>
      </x:c>
      <x:c r="E303" s="331" t="str">
        <x:f>IF($H303="","",IF($F303="","No Highlighted Fields","Highlighted Fields Present"))</x:f>
        <x:v/>
      </x:c>
      <x:c r="F303" s="331" t="str">
        <x:f>IF($H303="","",IF(INDEX('Game Records'!$B:$B,$H303)="","Start Date; ","")&amp;IF(INDEX('Game Records'!$C:$C,$H303)="","End Date; ","")&amp;IF(AND(INDEX('Game Records'!$U:$U,$H303)&lt;&gt;"Subscription",INDEX('Game Records'!$U:$U,$H303)&lt;&gt;"Free Game",INDEX('Game Records'!$U:$U,$H303)&lt;&gt;"Disqualified — Free Game",OR(INDEX('Game Records'!$D:$D,$H303)="",LOWER(INDEX('Game Records'!$D:$D,$H303)&amp;"")="n/a")),"Entry Mode; ","")&amp;IF(AND(INDEX('Game Records'!$U:$U,$H303)&lt;&gt;"Subscription",INDEX('Game Records'!$U:$U,$H303)&lt;&gt;"Free Game",INDEX('Game Records'!$U:$U,$H303)&lt;&gt;"Disqualified — Free Game",OR(INDEX('Game Records'!$E:$E,$H303)="",LOWER(INDEX('Game Records'!$E:$E,$H303)&amp;"")="n/a")),"Game Type; ","")&amp;IF(INDEX('Game Records'!$F:$F,$H303)="","Payment Type; ","")&amp;IF(AND(INDEX('Game Records'!$U:$U,$H303)&lt;&gt;"Subscription",INDEX('Game Records'!$U:$U,$H303)&lt;&gt;"Free Game",INDEX('Game Records'!$U:$U,$H303)&lt;&gt;"Disqualified — Free Game",INDEX('Game Records'!$G:$G,$H303)=""),"Gross Pot; ","")&amp;IF(AND(INDEX('Game Records'!$U:$U,$H303)&lt;&gt;"Free Game",INDEX('Game Records'!$U:$U,$H303)&lt;&gt;"Disqualified — Free Game",INDEX('Game Records'!$H:$H,$H303)=""),"Entry Fee; ","")&amp;IF(AND(INDEX('Game Records'!$U:$U,$H303)&lt;&gt;"Subscription",INDEX('Game Records'!$U:$U,$H303)&lt;&gt;"Free Game",INDEX('Game Records'!$U:$U,$H303)&lt;&gt;"Disqualified — Free Game",INDEX('Game Records'!$I:$I,$H303)=""),"Eligible Players; ","")&amp;IF(AND(INDEX('Game Records'!$U:$U,$H303)&lt;&gt;"Subscription",INDEX('Game Records'!$U:$U,$H303)&lt;&gt;"Free Game",INDEX('Game Records'!$U:$U,$H303)&lt;&gt;"Disqualified — Free Game",INDEX('Game Records'!$J:$J,$H303)=""),"Total Players; ","")&amp;IF(AND(LOWER(INDEX('Game Records'!$D:$D,$H303)&amp;"")="finalized",LOWER(INDEX('Game Records'!$L:$L,$H303)&amp;"")&lt;&gt;"yes",INDEX('Game Records'!$U:$U,$H303)&lt;&gt;"Subscription",INDEX('Game Records'!$U:$U,$H303)&lt;&gt;"Free Game",INDEX('Game Records'!$U:$U,$H303)&lt;&gt;"Disqualified — Free Game",INDEX('Game Records'!$K:$K,$H303)=""),"Final Earned; ","")&amp;IF(AND(LOWER(INDEX('Game Records'!$D:$D,$H303)&amp;"")="finalized",INDEX('Game Records'!$U:$U,$H303)&lt;&gt;"Subscription",INDEX('Game Records'!$U:$U,$H303)&lt;&gt;"Free Game",INDEX('Game Records'!$U:$U,$H303)&lt;&gt;"Disqualified — Free Game",OR(INDEX('Game Records'!$L:$L,$H303)="",LOWER(INDEX('Game Records'!$L:$L,$H303)&amp;"")="n/a")),"Disqualified Status; ",""))</x:f>
        <x:v/>
      </x:c>
      <x:c r="G303" s="331" t="str">
        <x:f>IF($H303="","",IFERROR(INDEX('Game Records'!$M:$M,$H303),""))</x:f>
        <x:v/>
      </x:c>
      <x:c r="H303" s="104" t="str">
        <x:f>IF($H302="","",IFERROR(MATCH(1,INDEX((ROW('Game Records'!$U$5:$U$504)&gt;$H302)*(('Game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4" ht="24" customHeight="1">
      <x:c r="A304" s="332" t="str">
        <x:f>IF($H304="","",ROWS($A$5:A304))</x:f>
        <x:v/>
      </x:c>
      <x:c r="B304" s="332" t="str">
        <x:f>IF($H304="","","G-"&amp;TEXT($A304,"0000"))</x:f>
        <x:v/>
      </x:c>
      <x:c r="C304" s="331" t="str">
        <x:f>IF($H304="","",IFERROR(INDEX('Game Records'!$A:$A,$H304),""))</x:f>
        <x:v/>
      </x:c>
      <x:c r="D304" s="331" t="str">
        <x:f>IF($H304="","",IFERROR(INDEX('Game Records'!$U:$U,$H304),""))</x:f>
        <x:v/>
      </x:c>
      <x:c r="E304" s="331" t="str">
        <x:f>IF($H304="","",IF($F304="","No Highlighted Fields","Highlighted Fields Present"))</x:f>
        <x:v/>
      </x:c>
      <x:c r="F304" s="331" t="str">
        <x:f>IF($H304="","",IF(INDEX('Game Records'!$B:$B,$H304)="","Start Date; ","")&amp;IF(INDEX('Game Records'!$C:$C,$H304)="","End Date; ","")&amp;IF(AND(INDEX('Game Records'!$U:$U,$H304)&lt;&gt;"Subscription",INDEX('Game Records'!$U:$U,$H304)&lt;&gt;"Free Game",INDEX('Game Records'!$U:$U,$H304)&lt;&gt;"Disqualified — Free Game",OR(INDEX('Game Records'!$D:$D,$H304)="",LOWER(INDEX('Game Records'!$D:$D,$H304)&amp;"")="n/a")),"Entry Mode; ","")&amp;IF(AND(INDEX('Game Records'!$U:$U,$H304)&lt;&gt;"Subscription",INDEX('Game Records'!$U:$U,$H304)&lt;&gt;"Free Game",INDEX('Game Records'!$U:$U,$H304)&lt;&gt;"Disqualified — Free Game",OR(INDEX('Game Records'!$E:$E,$H304)="",LOWER(INDEX('Game Records'!$E:$E,$H304)&amp;"")="n/a")),"Game Type; ","")&amp;IF(INDEX('Game Records'!$F:$F,$H304)="","Payment Type; ","")&amp;IF(AND(INDEX('Game Records'!$U:$U,$H304)&lt;&gt;"Subscription",INDEX('Game Records'!$U:$U,$H304)&lt;&gt;"Free Game",INDEX('Game Records'!$U:$U,$H304)&lt;&gt;"Disqualified — Free Game",INDEX('Game Records'!$G:$G,$H304)=""),"Gross Pot; ","")&amp;IF(AND(INDEX('Game Records'!$U:$U,$H304)&lt;&gt;"Free Game",INDEX('Game Records'!$U:$U,$H304)&lt;&gt;"Disqualified — Free Game",INDEX('Game Records'!$H:$H,$H304)=""),"Entry Fee; ","")&amp;IF(AND(INDEX('Game Records'!$U:$U,$H304)&lt;&gt;"Subscription",INDEX('Game Records'!$U:$U,$H304)&lt;&gt;"Free Game",INDEX('Game Records'!$U:$U,$H304)&lt;&gt;"Disqualified — Free Game",INDEX('Game Records'!$I:$I,$H304)=""),"Eligible Players; ","")&amp;IF(AND(INDEX('Game Records'!$U:$U,$H304)&lt;&gt;"Subscription",INDEX('Game Records'!$U:$U,$H304)&lt;&gt;"Free Game",INDEX('Game Records'!$U:$U,$H304)&lt;&gt;"Disqualified — Free Game",INDEX('Game Records'!$J:$J,$H304)=""),"Total Players; ","")&amp;IF(AND(LOWER(INDEX('Game Records'!$D:$D,$H304)&amp;"")="finalized",LOWER(INDEX('Game Records'!$L:$L,$H304)&amp;"")&lt;&gt;"yes",INDEX('Game Records'!$U:$U,$H304)&lt;&gt;"Subscription",INDEX('Game Records'!$U:$U,$H304)&lt;&gt;"Free Game",INDEX('Game Records'!$U:$U,$H304)&lt;&gt;"Disqualified — Free Game",INDEX('Game Records'!$K:$K,$H304)=""),"Final Earned; ","")&amp;IF(AND(LOWER(INDEX('Game Records'!$D:$D,$H304)&amp;"")="finalized",INDEX('Game Records'!$U:$U,$H304)&lt;&gt;"Subscription",INDEX('Game Records'!$U:$U,$H304)&lt;&gt;"Free Game",INDEX('Game Records'!$U:$U,$H304)&lt;&gt;"Disqualified — Free Game",OR(INDEX('Game Records'!$L:$L,$H304)="",LOWER(INDEX('Game Records'!$L:$L,$H304)&amp;"")="n/a")),"Disqualified Status; ",""))</x:f>
        <x:v/>
      </x:c>
      <x:c r="G304" s="331" t="str">
        <x:f>IF($H304="","",IFERROR(INDEX('Game Records'!$M:$M,$H304),""))</x:f>
        <x:v/>
      </x:c>
      <x:c r="H304" s="104" t="str">
        <x:f>IF($H303="","",IFERROR(MATCH(1,INDEX((ROW('Game Records'!$U$5:$U$504)&gt;$H303)*(('Game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5" ht="24" customHeight="1">
      <x:c r="A305" s="332" t="str">
        <x:f>IF($H305="","",ROWS($A$5:A305))</x:f>
        <x:v/>
      </x:c>
      <x:c r="B305" s="332" t="str">
        <x:f>IF($H305="","","G-"&amp;TEXT($A305,"0000"))</x:f>
        <x:v/>
      </x:c>
      <x:c r="C305" s="331" t="str">
        <x:f>IF($H305="","",IFERROR(INDEX('Game Records'!$A:$A,$H305),""))</x:f>
        <x:v/>
      </x:c>
      <x:c r="D305" s="331" t="str">
        <x:f>IF($H305="","",IFERROR(INDEX('Game Records'!$U:$U,$H305),""))</x:f>
        <x:v/>
      </x:c>
      <x:c r="E305" s="331" t="str">
        <x:f>IF($H305="","",IF($F305="","No Highlighted Fields","Highlighted Fields Present"))</x:f>
        <x:v/>
      </x:c>
      <x:c r="F305" s="331" t="str">
        <x:f>IF($H305="","",IF(INDEX('Game Records'!$B:$B,$H305)="","Start Date; ","")&amp;IF(INDEX('Game Records'!$C:$C,$H305)="","End Date; ","")&amp;IF(AND(INDEX('Game Records'!$U:$U,$H305)&lt;&gt;"Subscription",INDEX('Game Records'!$U:$U,$H305)&lt;&gt;"Free Game",INDEX('Game Records'!$U:$U,$H305)&lt;&gt;"Disqualified — Free Game",OR(INDEX('Game Records'!$D:$D,$H305)="",LOWER(INDEX('Game Records'!$D:$D,$H305)&amp;"")="n/a")),"Entry Mode; ","")&amp;IF(AND(INDEX('Game Records'!$U:$U,$H305)&lt;&gt;"Subscription",INDEX('Game Records'!$U:$U,$H305)&lt;&gt;"Free Game",INDEX('Game Records'!$U:$U,$H305)&lt;&gt;"Disqualified — Free Game",OR(INDEX('Game Records'!$E:$E,$H305)="",LOWER(INDEX('Game Records'!$E:$E,$H305)&amp;"")="n/a")),"Game Type; ","")&amp;IF(INDEX('Game Records'!$F:$F,$H305)="","Payment Type; ","")&amp;IF(AND(INDEX('Game Records'!$U:$U,$H305)&lt;&gt;"Subscription",INDEX('Game Records'!$U:$U,$H305)&lt;&gt;"Free Game",INDEX('Game Records'!$U:$U,$H305)&lt;&gt;"Disqualified — Free Game",INDEX('Game Records'!$G:$G,$H305)=""),"Gross Pot; ","")&amp;IF(AND(INDEX('Game Records'!$U:$U,$H305)&lt;&gt;"Free Game",INDEX('Game Records'!$U:$U,$H305)&lt;&gt;"Disqualified — Free Game",INDEX('Game Records'!$H:$H,$H305)=""),"Entry Fee; ","")&amp;IF(AND(INDEX('Game Records'!$U:$U,$H305)&lt;&gt;"Subscription",INDEX('Game Records'!$U:$U,$H305)&lt;&gt;"Free Game",INDEX('Game Records'!$U:$U,$H305)&lt;&gt;"Disqualified — Free Game",INDEX('Game Records'!$I:$I,$H305)=""),"Eligible Players; ","")&amp;IF(AND(INDEX('Game Records'!$U:$U,$H305)&lt;&gt;"Subscription",INDEX('Game Records'!$U:$U,$H305)&lt;&gt;"Free Game",INDEX('Game Records'!$U:$U,$H305)&lt;&gt;"Disqualified — Free Game",INDEX('Game Records'!$J:$J,$H305)=""),"Total Players; ","")&amp;IF(AND(LOWER(INDEX('Game Records'!$D:$D,$H305)&amp;"")="finalized",LOWER(INDEX('Game Records'!$L:$L,$H305)&amp;"")&lt;&gt;"yes",INDEX('Game Records'!$U:$U,$H305)&lt;&gt;"Subscription",INDEX('Game Records'!$U:$U,$H305)&lt;&gt;"Free Game",INDEX('Game Records'!$U:$U,$H305)&lt;&gt;"Disqualified — Free Game",INDEX('Game Records'!$K:$K,$H305)=""),"Final Earned; ","")&amp;IF(AND(LOWER(INDEX('Game Records'!$D:$D,$H305)&amp;"")="finalized",INDEX('Game Records'!$U:$U,$H305)&lt;&gt;"Subscription",INDEX('Game Records'!$U:$U,$H305)&lt;&gt;"Free Game",INDEX('Game Records'!$U:$U,$H305)&lt;&gt;"Disqualified — Free Game",OR(INDEX('Game Records'!$L:$L,$H305)="",LOWER(INDEX('Game Records'!$L:$L,$H305)&amp;"")="n/a")),"Disqualified Status; ",""))</x:f>
        <x:v/>
      </x:c>
      <x:c r="G305" s="331" t="str">
        <x:f>IF($H305="","",IFERROR(INDEX('Game Records'!$M:$M,$H305),""))</x:f>
        <x:v/>
      </x:c>
      <x:c r="H305" s="104" t="str">
        <x:f>IF($H304="","",IFERROR(MATCH(1,INDEX((ROW('Game Records'!$U$5:$U$504)&gt;$H304)*(('Game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6" ht="24" customHeight="1">
      <x:c r="A306" s="332" t="str">
        <x:f>IF($H306="","",ROWS($A$5:A306))</x:f>
        <x:v/>
      </x:c>
      <x:c r="B306" s="332" t="str">
        <x:f>IF($H306="","","G-"&amp;TEXT($A306,"0000"))</x:f>
        <x:v/>
      </x:c>
      <x:c r="C306" s="331" t="str">
        <x:f>IF($H306="","",IFERROR(INDEX('Game Records'!$A:$A,$H306),""))</x:f>
        <x:v/>
      </x:c>
      <x:c r="D306" s="331" t="str">
        <x:f>IF($H306="","",IFERROR(INDEX('Game Records'!$U:$U,$H306),""))</x:f>
        <x:v/>
      </x:c>
      <x:c r="E306" s="331" t="str">
        <x:f>IF($H306="","",IF($F306="","No Highlighted Fields","Highlighted Fields Present"))</x:f>
        <x:v/>
      </x:c>
      <x:c r="F306" s="331" t="str">
        <x:f>IF($H306="","",IF(INDEX('Game Records'!$B:$B,$H306)="","Start Date; ","")&amp;IF(INDEX('Game Records'!$C:$C,$H306)="","End Date; ","")&amp;IF(AND(INDEX('Game Records'!$U:$U,$H306)&lt;&gt;"Subscription",INDEX('Game Records'!$U:$U,$H306)&lt;&gt;"Free Game",INDEX('Game Records'!$U:$U,$H306)&lt;&gt;"Disqualified — Free Game",OR(INDEX('Game Records'!$D:$D,$H306)="",LOWER(INDEX('Game Records'!$D:$D,$H306)&amp;"")="n/a")),"Entry Mode; ","")&amp;IF(AND(INDEX('Game Records'!$U:$U,$H306)&lt;&gt;"Subscription",INDEX('Game Records'!$U:$U,$H306)&lt;&gt;"Free Game",INDEX('Game Records'!$U:$U,$H306)&lt;&gt;"Disqualified — Free Game",OR(INDEX('Game Records'!$E:$E,$H306)="",LOWER(INDEX('Game Records'!$E:$E,$H306)&amp;"")="n/a")),"Game Type; ","")&amp;IF(INDEX('Game Records'!$F:$F,$H306)="","Payment Type; ","")&amp;IF(AND(INDEX('Game Records'!$U:$U,$H306)&lt;&gt;"Subscription",INDEX('Game Records'!$U:$U,$H306)&lt;&gt;"Free Game",INDEX('Game Records'!$U:$U,$H306)&lt;&gt;"Disqualified — Free Game",INDEX('Game Records'!$G:$G,$H306)=""),"Gross Pot; ","")&amp;IF(AND(INDEX('Game Records'!$U:$U,$H306)&lt;&gt;"Free Game",INDEX('Game Records'!$U:$U,$H306)&lt;&gt;"Disqualified — Free Game",INDEX('Game Records'!$H:$H,$H306)=""),"Entry Fee; ","")&amp;IF(AND(INDEX('Game Records'!$U:$U,$H306)&lt;&gt;"Subscription",INDEX('Game Records'!$U:$U,$H306)&lt;&gt;"Free Game",INDEX('Game Records'!$U:$U,$H306)&lt;&gt;"Disqualified — Free Game",INDEX('Game Records'!$I:$I,$H306)=""),"Eligible Players; ","")&amp;IF(AND(INDEX('Game Records'!$U:$U,$H306)&lt;&gt;"Subscription",INDEX('Game Records'!$U:$U,$H306)&lt;&gt;"Free Game",INDEX('Game Records'!$U:$U,$H306)&lt;&gt;"Disqualified — Free Game",INDEX('Game Records'!$J:$J,$H306)=""),"Total Players; ","")&amp;IF(AND(LOWER(INDEX('Game Records'!$D:$D,$H306)&amp;"")="finalized",LOWER(INDEX('Game Records'!$L:$L,$H306)&amp;"")&lt;&gt;"yes",INDEX('Game Records'!$U:$U,$H306)&lt;&gt;"Subscription",INDEX('Game Records'!$U:$U,$H306)&lt;&gt;"Free Game",INDEX('Game Records'!$U:$U,$H306)&lt;&gt;"Disqualified — Free Game",INDEX('Game Records'!$K:$K,$H306)=""),"Final Earned; ","")&amp;IF(AND(LOWER(INDEX('Game Records'!$D:$D,$H306)&amp;"")="finalized",INDEX('Game Records'!$U:$U,$H306)&lt;&gt;"Subscription",INDEX('Game Records'!$U:$U,$H306)&lt;&gt;"Free Game",INDEX('Game Records'!$U:$U,$H306)&lt;&gt;"Disqualified — Free Game",OR(INDEX('Game Records'!$L:$L,$H306)="",LOWER(INDEX('Game Records'!$L:$L,$H306)&amp;"")="n/a")),"Disqualified Status; ",""))</x:f>
        <x:v/>
      </x:c>
      <x:c r="G306" s="331" t="str">
        <x:f>IF($H306="","",IFERROR(INDEX('Game Records'!$M:$M,$H306),""))</x:f>
        <x:v/>
      </x:c>
      <x:c r="H306" s="104" t="str">
        <x:f>IF($H305="","",IFERROR(MATCH(1,INDEX((ROW('Game Records'!$U$5:$U$504)&gt;$H305)*(('Game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7" ht="24" customHeight="1">
      <x:c r="A307" s="332" t="str">
        <x:f>IF($H307="","",ROWS($A$5:A307))</x:f>
        <x:v/>
      </x:c>
      <x:c r="B307" s="332" t="str">
        <x:f>IF($H307="","","G-"&amp;TEXT($A307,"0000"))</x:f>
        <x:v/>
      </x:c>
      <x:c r="C307" s="331" t="str">
        <x:f>IF($H307="","",IFERROR(INDEX('Game Records'!$A:$A,$H307),""))</x:f>
        <x:v/>
      </x:c>
      <x:c r="D307" s="331" t="str">
        <x:f>IF($H307="","",IFERROR(INDEX('Game Records'!$U:$U,$H307),""))</x:f>
        <x:v/>
      </x:c>
      <x:c r="E307" s="331" t="str">
        <x:f>IF($H307="","",IF($F307="","No Highlighted Fields","Highlighted Fields Present"))</x:f>
        <x:v/>
      </x:c>
      <x:c r="F307" s="331" t="str">
        <x:f>IF($H307="","",IF(INDEX('Game Records'!$B:$B,$H307)="","Start Date; ","")&amp;IF(INDEX('Game Records'!$C:$C,$H307)="","End Date; ","")&amp;IF(AND(INDEX('Game Records'!$U:$U,$H307)&lt;&gt;"Subscription",INDEX('Game Records'!$U:$U,$H307)&lt;&gt;"Free Game",INDEX('Game Records'!$U:$U,$H307)&lt;&gt;"Disqualified — Free Game",OR(INDEX('Game Records'!$D:$D,$H307)="",LOWER(INDEX('Game Records'!$D:$D,$H307)&amp;"")="n/a")),"Entry Mode; ","")&amp;IF(AND(INDEX('Game Records'!$U:$U,$H307)&lt;&gt;"Subscription",INDEX('Game Records'!$U:$U,$H307)&lt;&gt;"Free Game",INDEX('Game Records'!$U:$U,$H307)&lt;&gt;"Disqualified — Free Game",OR(INDEX('Game Records'!$E:$E,$H307)="",LOWER(INDEX('Game Records'!$E:$E,$H307)&amp;"")="n/a")),"Game Type; ","")&amp;IF(INDEX('Game Records'!$F:$F,$H307)="","Payment Type; ","")&amp;IF(AND(INDEX('Game Records'!$U:$U,$H307)&lt;&gt;"Subscription",INDEX('Game Records'!$U:$U,$H307)&lt;&gt;"Free Game",INDEX('Game Records'!$U:$U,$H307)&lt;&gt;"Disqualified — Free Game",INDEX('Game Records'!$G:$G,$H307)=""),"Gross Pot; ","")&amp;IF(AND(INDEX('Game Records'!$U:$U,$H307)&lt;&gt;"Free Game",INDEX('Game Records'!$U:$U,$H307)&lt;&gt;"Disqualified — Free Game",INDEX('Game Records'!$H:$H,$H307)=""),"Entry Fee; ","")&amp;IF(AND(INDEX('Game Records'!$U:$U,$H307)&lt;&gt;"Subscription",INDEX('Game Records'!$U:$U,$H307)&lt;&gt;"Free Game",INDEX('Game Records'!$U:$U,$H307)&lt;&gt;"Disqualified — Free Game",INDEX('Game Records'!$I:$I,$H307)=""),"Eligible Players; ","")&amp;IF(AND(INDEX('Game Records'!$U:$U,$H307)&lt;&gt;"Subscription",INDEX('Game Records'!$U:$U,$H307)&lt;&gt;"Free Game",INDEX('Game Records'!$U:$U,$H307)&lt;&gt;"Disqualified — Free Game",INDEX('Game Records'!$J:$J,$H307)=""),"Total Players; ","")&amp;IF(AND(LOWER(INDEX('Game Records'!$D:$D,$H307)&amp;"")="finalized",LOWER(INDEX('Game Records'!$L:$L,$H307)&amp;"")&lt;&gt;"yes",INDEX('Game Records'!$U:$U,$H307)&lt;&gt;"Subscription",INDEX('Game Records'!$U:$U,$H307)&lt;&gt;"Free Game",INDEX('Game Records'!$U:$U,$H307)&lt;&gt;"Disqualified — Free Game",INDEX('Game Records'!$K:$K,$H307)=""),"Final Earned; ","")&amp;IF(AND(LOWER(INDEX('Game Records'!$D:$D,$H307)&amp;"")="finalized",INDEX('Game Records'!$U:$U,$H307)&lt;&gt;"Subscription",INDEX('Game Records'!$U:$U,$H307)&lt;&gt;"Free Game",INDEX('Game Records'!$U:$U,$H307)&lt;&gt;"Disqualified — Free Game",OR(INDEX('Game Records'!$L:$L,$H307)="",LOWER(INDEX('Game Records'!$L:$L,$H307)&amp;"")="n/a")),"Disqualified Status; ",""))</x:f>
        <x:v/>
      </x:c>
      <x:c r="G307" s="331" t="str">
        <x:f>IF($H307="","",IFERROR(INDEX('Game Records'!$M:$M,$H307),""))</x:f>
        <x:v/>
      </x:c>
      <x:c r="H307" s="104" t="str">
        <x:f>IF($H306="","",IFERROR(MATCH(1,INDEX((ROW('Game Records'!$U$5:$U$504)&gt;$H306)*(('Game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8" ht="24" customHeight="1">
      <x:c r="A308" s="332" t="str">
        <x:f>IF($H308="","",ROWS($A$5:A308))</x:f>
        <x:v/>
      </x:c>
      <x:c r="B308" s="332" t="str">
        <x:f>IF($H308="","","G-"&amp;TEXT($A308,"0000"))</x:f>
        <x:v/>
      </x:c>
      <x:c r="C308" s="331" t="str">
        <x:f>IF($H308="","",IFERROR(INDEX('Game Records'!$A:$A,$H308),""))</x:f>
        <x:v/>
      </x:c>
      <x:c r="D308" s="331" t="str">
        <x:f>IF($H308="","",IFERROR(INDEX('Game Records'!$U:$U,$H308),""))</x:f>
        <x:v/>
      </x:c>
      <x:c r="E308" s="331" t="str">
        <x:f>IF($H308="","",IF($F308="","No Highlighted Fields","Highlighted Fields Present"))</x:f>
        <x:v/>
      </x:c>
      <x:c r="F308" s="331" t="str">
        <x:f>IF($H308="","",IF(INDEX('Game Records'!$B:$B,$H308)="","Start Date; ","")&amp;IF(INDEX('Game Records'!$C:$C,$H308)="","End Date; ","")&amp;IF(AND(INDEX('Game Records'!$U:$U,$H308)&lt;&gt;"Subscription",INDEX('Game Records'!$U:$U,$H308)&lt;&gt;"Free Game",INDEX('Game Records'!$U:$U,$H308)&lt;&gt;"Disqualified — Free Game",OR(INDEX('Game Records'!$D:$D,$H308)="",LOWER(INDEX('Game Records'!$D:$D,$H308)&amp;"")="n/a")),"Entry Mode; ","")&amp;IF(AND(INDEX('Game Records'!$U:$U,$H308)&lt;&gt;"Subscription",INDEX('Game Records'!$U:$U,$H308)&lt;&gt;"Free Game",INDEX('Game Records'!$U:$U,$H308)&lt;&gt;"Disqualified — Free Game",OR(INDEX('Game Records'!$E:$E,$H308)="",LOWER(INDEX('Game Records'!$E:$E,$H308)&amp;"")="n/a")),"Game Type; ","")&amp;IF(INDEX('Game Records'!$F:$F,$H308)="","Payment Type; ","")&amp;IF(AND(INDEX('Game Records'!$U:$U,$H308)&lt;&gt;"Subscription",INDEX('Game Records'!$U:$U,$H308)&lt;&gt;"Free Game",INDEX('Game Records'!$U:$U,$H308)&lt;&gt;"Disqualified — Free Game",INDEX('Game Records'!$G:$G,$H308)=""),"Gross Pot; ","")&amp;IF(AND(INDEX('Game Records'!$U:$U,$H308)&lt;&gt;"Free Game",INDEX('Game Records'!$U:$U,$H308)&lt;&gt;"Disqualified — Free Game",INDEX('Game Records'!$H:$H,$H308)=""),"Entry Fee; ","")&amp;IF(AND(INDEX('Game Records'!$U:$U,$H308)&lt;&gt;"Subscription",INDEX('Game Records'!$U:$U,$H308)&lt;&gt;"Free Game",INDEX('Game Records'!$U:$U,$H308)&lt;&gt;"Disqualified — Free Game",INDEX('Game Records'!$I:$I,$H308)=""),"Eligible Players; ","")&amp;IF(AND(INDEX('Game Records'!$U:$U,$H308)&lt;&gt;"Subscription",INDEX('Game Records'!$U:$U,$H308)&lt;&gt;"Free Game",INDEX('Game Records'!$U:$U,$H308)&lt;&gt;"Disqualified — Free Game",INDEX('Game Records'!$J:$J,$H308)=""),"Total Players; ","")&amp;IF(AND(LOWER(INDEX('Game Records'!$D:$D,$H308)&amp;"")="finalized",LOWER(INDEX('Game Records'!$L:$L,$H308)&amp;"")&lt;&gt;"yes",INDEX('Game Records'!$U:$U,$H308)&lt;&gt;"Subscription",INDEX('Game Records'!$U:$U,$H308)&lt;&gt;"Free Game",INDEX('Game Records'!$U:$U,$H308)&lt;&gt;"Disqualified — Free Game",INDEX('Game Records'!$K:$K,$H308)=""),"Final Earned; ","")&amp;IF(AND(LOWER(INDEX('Game Records'!$D:$D,$H308)&amp;"")="finalized",INDEX('Game Records'!$U:$U,$H308)&lt;&gt;"Subscription",INDEX('Game Records'!$U:$U,$H308)&lt;&gt;"Free Game",INDEX('Game Records'!$U:$U,$H308)&lt;&gt;"Disqualified — Free Game",OR(INDEX('Game Records'!$L:$L,$H308)="",LOWER(INDEX('Game Records'!$L:$L,$H308)&amp;"")="n/a")),"Disqualified Status; ",""))</x:f>
        <x:v/>
      </x:c>
      <x:c r="G308" s="331" t="str">
        <x:f>IF($H308="","",IFERROR(INDEX('Game Records'!$M:$M,$H308),""))</x:f>
        <x:v/>
      </x:c>
      <x:c r="H308" s="104" t="str">
        <x:f>IF($H307="","",IFERROR(MATCH(1,INDEX((ROW('Game Records'!$U$5:$U$504)&gt;$H307)*(('Game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09" ht="24" customHeight="1">
      <x:c r="A309" s="332" t="str">
        <x:f>IF($H309="","",ROWS($A$5:A309))</x:f>
        <x:v/>
      </x:c>
      <x:c r="B309" s="332" t="str">
        <x:f>IF($H309="","","G-"&amp;TEXT($A309,"0000"))</x:f>
        <x:v/>
      </x:c>
      <x:c r="C309" s="331" t="str">
        <x:f>IF($H309="","",IFERROR(INDEX('Game Records'!$A:$A,$H309),""))</x:f>
        <x:v/>
      </x:c>
      <x:c r="D309" s="331" t="str">
        <x:f>IF($H309="","",IFERROR(INDEX('Game Records'!$U:$U,$H309),""))</x:f>
        <x:v/>
      </x:c>
      <x:c r="E309" s="331" t="str">
        <x:f>IF($H309="","",IF($F309="","No Highlighted Fields","Highlighted Fields Present"))</x:f>
        <x:v/>
      </x:c>
      <x:c r="F309" s="331" t="str">
        <x:f>IF($H309="","",IF(INDEX('Game Records'!$B:$B,$H309)="","Start Date; ","")&amp;IF(INDEX('Game Records'!$C:$C,$H309)="","End Date; ","")&amp;IF(AND(INDEX('Game Records'!$U:$U,$H309)&lt;&gt;"Subscription",INDEX('Game Records'!$U:$U,$H309)&lt;&gt;"Free Game",INDEX('Game Records'!$U:$U,$H309)&lt;&gt;"Disqualified — Free Game",OR(INDEX('Game Records'!$D:$D,$H309)="",LOWER(INDEX('Game Records'!$D:$D,$H309)&amp;"")="n/a")),"Entry Mode; ","")&amp;IF(AND(INDEX('Game Records'!$U:$U,$H309)&lt;&gt;"Subscription",INDEX('Game Records'!$U:$U,$H309)&lt;&gt;"Free Game",INDEX('Game Records'!$U:$U,$H309)&lt;&gt;"Disqualified — Free Game",OR(INDEX('Game Records'!$E:$E,$H309)="",LOWER(INDEX('Game Records'!$E:$E,$H309)&amp;"")="n/a")),"Game Type; ","")&amp;IF(INDEX('Game Records'!$F:$F,$H309)="","Payment Type; ","")&amp;IF(AND(INDEX('Game Records'!$U:$U,$H309)&lt;&gt;"Subscription",INDEX('Game Records'!$U:$U,$H309)&lt;&gt;"Free Game",INDEX('Game Records'!$U:$U,$H309)&lt;&gt;"Disqualified — Free Game",INDEX('Game Records'!$G:$G,$H309)=""),"Gross Pot; ","")&amp;IF(AND(INDEX('Game Records'!$U:$U,$H309)&lt;&gt;"Free Game",INDEX('Game Records'!$U:$U,$H309)&lt;&gt;"Disqualified — Free Game",INDEX('Game Records'!$H:$H,$H309)=""),"Entry Fee; ","")&amp;IF(AND(INDEX('Game Records'!$U:$U,$H309)&lt;&gt;"Subscription",INDEX('Game Records'!$U:$U,$H309)&lt;&gt;"Free Game",INDEX('Game Records'!$U:$U,$H309)&lt;&gt;"Disqualified — Free Game",INDEX('Game Records'!$I:$I,$H309)=""),"Eligible Players; ","")&amp;IF(AND(INDEX('Game Records'!$U:$U,$H309)&lt;&gt;"Subscription",INDEX('Game Records'!$U:$U,$H309)&lt;&gt;"Free Game",INDEX('Game Records'!$U:$U,$H309)&lt;&gt;"Disqualified — Free Game",INDEX('Game Records'!$J:$J,$H309)=""),"Total Players; ","")&amp;IF(AND(LOWER(INDEX('Game Records'!$D:$D,$H309)&amp;"")="finalized",LOWER(INDEX('Game Records'!$L:$L,$H309)&amp;"")&lt;&gt;"yes",INDEX('Game Records'!$U:$U,$H309)&lt;&gt;"Subscription",INDEX('Game Records'!$U:$U,$H309)&lt;&gt;"Free Game",INDEX('Game Records'!$U:$U,$H309)&lt;&gt;"Disqualified — Free Game",INDEX('Game Records'!$K:$K,$H309)=""),"Final Earned; ","")&amp;IF(AND(LOWER(INDEX('Game Records'!$D:$D,$H309)&amp;"")="finalized",INDEX('Game Records'!$U:$U,$H309)&lt;&gt;"Subscription",INDEX('Game Records'!$U:$U,$H309)&lt;&gt;"Free Game",INDEX('Game Records'!$U:$U,$H309)&lt;&gt;"Disqualified — Free Game",OR(INDEX('Game Records'!$L:$L,$H309)="",LOWER(INDEX('Game Records'!$L:$L,$H309)&amp;"")="n/a")),"Disqualified Status; ",""))</x:f>
        <x:v/>
      </x:c>
      <x:c r="G309" s="331" t="str">
        <x:f>IF($H309="","",IFERROR(INDEX('Game Records'!$M:$M,$H309),""))</x:f>
        <x:v/>
      </x:c>
      <x:c r="H309" s="104" t="str">
        <x:f>IF($H308="","",IFERROR(MATCH(1,INDEX((ROW('Game Records'!$U$5:$U$504)&gt;$H308)*(('Game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0" ht="24" customHeight="1">
      <x:c r="A310" s="332" t="str">
        <x:f>IF($H310="","",ROWS($A$5:A310))</x:f>
        <x:v/>
      </x:c>
      <x:c r="B310" s="332" t="str">
        <x:f>IF($H310="","","G-"&amp;TEXT($A310,"0000"))</x:f>
        <x:v/>
      </x:c>
      <x:c r="C310" s="331" t="str">
        <x:f>IF($H310="","",IFERROR(INDEX('Game Records'!$A:$A,$H310),""))</x:f>
        <x:v/>
      </x:c>
      <x:c r="D310" s="331" t="str">
        <x:f>IF($H310="","",IFERROR(INDEX('Game Records'!$U:$U,$H310),""))</x:f>
        <x:v/>
      </x:c>
      <x:c r="E310" s="331" t="str">
        <x:f>IF($H310="","",IF($F310="","No Highlighted Fields","Highlighted Fields Present"))</x:f>
        <x:v/>
      </x:c>
      <x:c r="F310" s="331" t="str">
        <x:f>IF($H310="","",IF(INDEX('Game Records'!$B:$B,$H310)="","Start Date; ","")&amp;IF(INDEX('Game Records'!$C:$C,$H310)="","End Date; ","")&amp;IF(AND(INDEX('Game Records'!$U:$U,$H310)&lt;&gt;"Subscription",INDEX('Game Records'!$U:$U,$H310)&lt;&gt;"Free Game",INDEX('Game Records'!$U:$U,$H310)&lt;&gt;"Disqualified — Free Game",OR(INDEX('Game Records'!$D:$D,$H310)="",LOWER(INDEX('Game Records'!$D:$D,$H310)&amp;"")="n/a")),"Entry Mode; ","")&amp;IF(AND(INDEX('Game Records'!$U:$U,$H310)&lt;&gt;"Subscription",INDEX('Game Records'!$U:$U,$H310)&lt;&gt;"Free Game",INDEX('Game Records'!$U:$U,$H310)&lt;&gt;"Disqualified — Free Game",OR(INDEX('Game Records'!$E:$E,$H310)="",LOWER(INDEX('Game Records'!$E:$E,$H310)&amp;"")="n/a")),"Game Type; ","")&amp;IF(INDEX('Game Records'!$F:$F,$H310)="","Payment Type; ","")&amp;IF(AND(INDEX('Game Records'!$U:$U,$H310)&lt;&gt;"Subscription",INDEX('Game Records'!$U:$U,$H310)&lt;&gt;"Free Game",INDEX('Game Records'!$U:$U,$H310)&lt;&gt;"Disqualified — Free Game",INDEX('Game Records'!$G:$G,$H310)=""),"Gross Pot; ","")&amp;IF(AND(INDEX('Game Records'!$U:$U,$H310)&lt;&gt;"Free Game",INDEX('Game Records'!$U:$U,$H310)&lt;&gt;"Disqualified — Free Game",INDEX('Game Records'!$H:$H,$H310)=""),"Entry Fee; ","")&amp;IF(AND(INDEX('Game Records'!$U:$U,$H310)&lt;&gt;"Subscription",INDEX('Game Records'!$U:$U,$H310)&lt;&gt;"Free Game",INDEX('Game Records'!$U:$U,$H310)&lt;&gt;"Disqualified — Free Game",INDEX('Game Records'!$I:$I,$H310)=""),"Eligible Players; ","")&amp;IF(AND(INDEX('Game Records'!$U:$U,$H310)&lt;&gt;"Subscription",INDEX('Game Records'!$U:$U,$H310)&lt;&gt;"Free Game",INDEX('Game Records'!$U:$U,$H310)&lt;&gt;"Disqualified — Free Game",INDEX('Game Records'!$J:$J,$H310)=""),"Total Players; ","")&amp;IF(AND(LOWER(INDEX('Game Records'!$D:$D,$H310)&amp;"")="finalized",LOWER(INDEX('Game Records'!$L:$L,$H310)&amp;"")&lt;&gt;"yes",INDEX('Game Records'!$U:$U,$H310)&lt;&gt;"Subscription",INDEX('Game Records'!$U:$U,$H310)&lt;&gt;"Free Game",INDEX('Game Records'!$U:$U,$H310)&lt;&gt;"Disqualified — Free Game",INDEX('Game Records'!$K:$K,$H310)=""),"Final Earned; ","")&amp;IF(AND(LOWER(INDEX('Game Records'!$D:$D,$H310)&amp;"")="finalized",INDEX('Game Records'!$U:$U,$H310)&lt;&gt;"Subscription",INDEX('Game Records'!$U:$U,$H310)&lt;&gt;"Free Game",INDEX('Game Records'!$U:$U,$H310)&lt;&gt;"Disqualified — Free Game",OR(INDEX('Game Records'!$L:$L,$H310)="",LOWER(INDEX('Game Records'!$L:$L,$H310)&amp;"")="n/a")),"Disqualified Status; ",""))</x:f>
        <x:v/>
      </x:c>
      <x:c r="G310" s="331" t="str">
        <x:f>IF($H310="","",IFERROR(INDEX('Game Records'!$M:$M,$H310),""))</x:f>
        <x:v/>
      </x:c>
      <x:c r="H310" s="104" t="str">
        <x:f>IF($H309="","",IFERROR(MATCH(1,INDEX((ROW('Game Records'!$U$5:$U$504)&gt;$H309)*(('Game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1" ht="24" customHeight="1">
      <x:c r="A311" s="332" t="str">
        <x:f>IF($H311="","",ROWS($A$5:A311))</x:f>
        <x:v/>
      </x:c>
      <x:c r="B311" s="332" t="str">
        <x:f>IF($H311="","","G-"&amp;TEXT($A311,"0000"))</x:f>
        <x:v/>
      </x:c>
      <x:c r="C311" s="331" t="str">
        <x:f>IF($H311="","",IFERROR(INDEX('Game Records'!$A:$A,$H311),""))</x:f>
        <x:v/>
      </x:c>
      <x:c r="D311" s="331" t="str">
        <x:f>IF($H311="","",IFERROR(INDEX('Game Records'!$U:$U,$H311),""))</x:f>
        <x:v/>
      </x:c>
      <x:c r="E311" s="331" t="str">
        <x:f>IF($H311="","",IF($F311="","No Highlighted Fields","Highlighted Fields Present"))</x:f>
        <x:v/>
      </x:c>
      <x:c r="F311" s="331" t="str">
        <x:f>IF($H311="","",IF(INDEX('Game Records'!$B:$B,$H311)="","Start Date; ","")&amp;IF(INDEX('Game Records'!$C:$C,$H311)="","End Date; ","")&amp;IF(AND(INDEX('Game Records'!$U:$U,$H311)&lt;&gt;"Subscription",INDEX('Game Records'!$U:$U,$H311)&lt;&gt;"Free Game",INDEX('Game Records'!$U:$U,$H311)&lt;&gt;"Disqualified — Free Game",OR(INDEX('Game Records'!$D:$D,$H311)="",LOWER(INDEX('Game Records'!$D:$D,$H311)&amp;"")="n/a")),"Entry Mode; ","")&amp;IF(AND(INDEX('Game Records'!$U:$U,$H311)&lt;&gt;"Subscription",INDEX('Game Records'!$U:$U,$H311)&lt;&gt;"Free Game",INDEX('Game Records'!$U:$U,$H311)&lt;&gt;"Disqualified — Free Game",OR(INDEX('Game Records'!$E:$E,$H311)="",LOWER(INDEX('Game Records'!$E:$E,$H311)&amp;"")="n/a")),"Game Type; ","")&amp;IF(INDEX('Game Records'!$F:$F,$H311)="","Payment Type; ","")&amp;IF(AND(INDEX('Game Records'!$U:$U,$H311)&lt;&gt;"Subscription",INDEX('Game Records'!$U:$U,$H311)&lt;&gt;"Free Game",INDEX('Game Records'!$U:$U,$H311)&lt;&gt;"Disqualified — Free Game",INDEX('Game Records'!$G:$G,$H311)=""),"Gross Pot; ","")&amp;IF(AND(INDEX('Game Records'!$U:$U,$H311)&lt;&gt;"Free Game",INDEX('Game Records'!$U:$U,$H311)&lt;&gt;"Disqualified — Free Game",INDEX('Game Records'!$H:$H,$H311)=""),"Entry Fee; ","")&amp;IF(AND(INDEX('Game Records'!$U:$U,$H311)&lt;&gt;"Subscription",INDEX('Game Records'!$U:$U,$H311)&lt;&gt;"Free Game",INDEX('Game Records'!$U:$U,$H311)&lt;&gt;"Disqualified — Free Game",INDEX('Game Records'!$I:$I,$H311)=""),"Eligible Players; ","")&amp;IF(AND(INDEX('Game Records'!$U:$U,$H311)&lt;&gt;"Subscription",INDEX('Game Records'!$U:$U,$H311)&lt;&gt;"Free Game",INDEX('Game Records'!$U:$U,$H311)&lt;&gt;"Disqualified — Free Game",INDEX('Game Records'!$J:$J,$H311)=""),"Total Players; ","")&amp;IF(AND(LOWER(INDEX('Game Records'!$D:$D,$H311)&amp;"")="finalized",LOWER(INDEX('Game Records'!$L:$L,$H311)&amp;"")&lt;&gt;"yes",INDEX('Game Records'!$U:$U,$H311)&lt;&gt;"Subscription",INDEX('Game Records'!$U:$U,$H311)&lt;&gt;"Free Game",INDEX('Game Records'!$U:$U,$H311)&lt;&gt;"Disqualified — Free Game",INDEX('Game Records'!$K:$K,$H311)=""),"Final Earned; ","")&amp;IF(AND(LOWER(INDEX('Game Records'!$D:$D,$H311)&amp;"")="finalized",INDEX('Game Records'!$U:$U,$H311)&lt;&gt;"Subscription",INDEX('Game Records'!$U:$U,$H311)&lt;&gt;"Free Game",INDEX('Game Records'!$U:$U,$H311)&lt;&gt;"Disqualified — Free Game",OR(INDEX('Game Records'!$L:$L,$H311)="",LOWER(INDEX('Game Records'!$L:$L,$H311)&amp;"")="n/a")),"Disqualified Status; ",""))</x:f>
        <x:v/>
      </x:c>
      <x:c r="G311" s="331" t="str">
        <x:f>IF($H311="","",IFERROR(INDEX('Game Records'!$M:$M,$H311),""))</x:f>
        <x:v/>
      </x:c>
      <x:c r="H311" s="104" t="str">
        <x:f>IF($H310="","",IFERROR(MATCH(1,INDEX((ROW('Game Records'!$U$5:$U$504)&gt;$H310)*(('Game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2" ht="24" customHeight="1">
      <x:c r="A312" s="332" t="str">
        <x:f>IF($H312="","",ROWS($A$5:A312))</x:f>
        <x:v/>
      </x:c>
      <x:c r="B312" s="332" t="str">
        <x:f>IF($H312="","","G-"&amp;TEXT($A312,"0000"))</x:f>
        <x:v/>
      </x:c>
      <x:c r="C312" s="331" t="str">
        <x:f>IF($H312="","",IFERROR(INDEX('Game Records'!$A:$A,$H312),""))</x:f>
        <x:v/>
      </x:c>
      <x:c r="D312" s="331" t="str">
        <x:f>IF($H312="","",IFERROR(INDEX('Game Records'!$U:$U,$H312),""))</x:f>
        <x:v/>
      </x:c>
      <x:c r="E312" s="331" t="str">
        <x:f>IF($H312="","",IF($F312="","No Highlighted Fields","Highlighted Fields Present"))</x:f>
        <x:v/>
      </x:c>
      <x:c r="F312" s="331" t="str">
        <x:f>IF($H312="","",IF(INDEX('Game Records'!$B:$B,$H312)="","Start Date; ","")&amp;IF(INDEX('Game Records'!$C:$C,$H312)="","End Date; ","")&amp;IF(AND(INDEX('Game Records'!$U:$U,$H312)&lt;&gt;"Subscription",INDEX('Game Records'!$U:$U,$H312)&lt;&gt;"Free Game",INDEX('Game Records'!$U:$U,$H312)&lt;&gt;"Disqualified — Free Game",OR(INDEX('Game Records'!$D:$D,$H312)="",LOWER(INDEX('Game Records'!$D:$D,$H312)&amp;"")="n/a")),"Entry Mode; ","")&amp;IF(AND(INDEX('Game Records'!$U:$U,$H312)&lt;&gt;"Subscription",INDEX('Game Records'!$U:$U,$H312)&lt;&gt;"Free Game",INDEX('Game Records'!$U:$U,$H312)&lt;&gt;"Disqualified — Free Game",OR(INDEX('Game Records'!$E:$E,$H312)="",LOWER(INDEX('Game Records'!$E:$E,$H312)&amp;"")="n/a")),"Game Type; ","")&amp;IF(INDEX('Game Records'!$F:$F,$H312)="","Payment Type; ","")&amp;IF(AND(INDEX('Game Records'!$U:$U,$H312)&lt;&gt;"Subscription",INDEX('Game Records'!$U:$U,$H312)&lt;&gt;"Free Game",INDEX('Game Records'!$U:$U,$H312)&lt;&gt;"Disqualified — Free Game",INDEX('Game Records'!$G:$G,$H312)=""),"Gross Pot; ","")&amp;IF(AND(INDEX('Game Records'!$U:$U,$H312)&lt;&gt;"Free Game",INDEX('Game Records'!$U:$U,$H312)&lt;&gt;"Disqualified — Free Game",INDEX('Game Records'!$H:$H,$H312)=""),"Entry Fee; ","")&amp;IF(AND(INDEX('Game Records'!$U:$U,$H312)&lt;&gt;"Subscription",INDEX('Game Records'!$U:$U,$H312)&lt;&gt;"Free Game",INDEX('Game Records'!$U:$U,$H312)&lt;&gt;"Disqualified — Free Game",INDEX('Game Records'!$I:$I,$H312)=""),"Eligible Players; ","")&amp;IF(AND(INDEX('Game Records'!$U:$U,$H312)&lt;&gt;"Subscription",INDEX('Game Records'!$U:$U,$H312)&lt;&gt;"Free Game",INDEX('Game Records'!$U:$U,$H312)&lt;&gt;"Disqualified — Free Game",INDEX('Game Records'!$J:$J,$H312)=""),"Total Players; ","")&amp;IF(AND(LOWER(INDEX('Game Records'!$D:$D,$H312)&amp;"")="finalized",LOWER(INDEX('Game Records'!$L:$L,$H312)&amp;"")&lt;&gt;"yes",INDEX('Game Records'!$U:$U,$H312)&lt;&gt;"Subscription",INDEX('Game Records'!$U:$U,$H312)&lt;&gt;"Free Game",INDEX('Game Records'!$U:$U,$H312)&lt;&gt;"Disqualified — Free Game",INDEX('Game Records'!$K:$K,$H312)=""),"Final Earned; ","")&amp;IF(AND(LOWER(INDEX('Game Records'!$D:$D,$H312)&amp;"")="finalized",INDEX('Game Records'!$U:$U,$H312)&lt;&gt;"Subscription",INDEX('Game Records'!$U:$U,$H312)&lt;&gt;"Free Game",INDEX('Game Records'!$U:$U,$H312)&lt;&gt;"Disqualified — Free Game",OR(INDEX('Game Records'!$L:$L,$H312)="",LOWER(INDEX('Game Records'!$L:$L,$H312)&amp;"")="n/a")),"Disqualified Status; ",""))</x:f>
        <x:v/>
      </x:c>
      <x:c r="G312" s="331" t="str">
        <x:f>IF($H312="","",IFERROR(INDEX('Game Records'!$M:$M,$H312),""))</x:f>
        <x:v/>
      </x:c>
      <x:c r="H312" s="104" t="str">
        <x:f>IF($H311="","",IFERROR(MATCH(1,INDEX((ROW('Game Records'!$U$5:$U$504)&gt;$H311)*(('Game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3" ht="24" customHeight="1">
      <x:c r="A313" s="332" t="str">
        <x:f>IF($H313="","",ROWS($A$5:A313))</x:f>
        <x:v/>
      </x:c>
      <x:c r="B313" s="332" t="str">
        <x:f>IF($H313="","","G-"&amp;TEXT($A313,"0000"))</x:f>
        <x:v/>
      </x:c>
      <x:c r="C313" s="331" t="str">
        <x:f>IF($H313="","",IFERROR(INDEX('Game Records'!$A:$A,$H313),""))</x:f>
        <x:v/>
      </x:c>
      <x:c r="D313" s="331" t="str">
        <x:f>IF($H313="","",IFERROR(INDEX('Game Records'!$U:$U,$H313),""))</x:f>
        <x:v/>
      </x:c>
      <x:c r="E313" s="331" t="str">
        <x:f>IF($H313="","",IF($F313="","No Highlighted Fields","Highlighted Fields Present"))</x:f>
        <x:v/>
      </x:c>
      <x:c r="F313" s="331" t="str">
        <x:f>IF($H313="","",IF(INDEX('Game Records'!$B:$B,$H313)="","Start Date; ","")&amp;IF(INDEX('Game Records'!$C:$C,$H313)="","End Date; ","")&amp;IF(AND(INDEX('Game Records'!$U:$U,$H313)&lt;&gt;"Subscription",INDEX('Game Records'!$U:$U,$H313)&lt;&gt;"Free Game",INDEX('Game Records'!$U:$U,$H313)&lt;&gt;"Disqualified — Free Game",OR(INDEX('Game Records'!$D:$D,$H313)="",LOWER(INDEX('Game Records'!$D:$D,$H313)&amp;"")="n/a")),"Entry Mode; ","")&amp;IF(AND(INDEX('Game Records'!$U:$U,$H313)&lt;&gt;"Subscription",INDEX('Game Records'!$U:$U,$H313)&lt;&gt;"Free Game",INDEX('Game Records'!$U:$U,$H313)&lt;&gt;"Disqualified — Free Game",OR(INDEX('Game Records'!$E:$E,$H313)="",LOWER(INDEX('Game Records'!$E:$E,$H313)&amp;"")="n/a")),"Game Type; ","")&amp;IF(INDEX('Game Records'!$F:$F,$H313)="","Payment Type; ","")&amp;IF(AND(INDEX('Game Records'!$U:$U,$H313)&lt;&gt;"Subscription",INDEX('Game Records'!$U:$U,$H313)&lt;&gt;"Free Game",INDEX('Game Records'!$U:$U,$H313)&lt;&gt;"Disqualified — Free Game",INDEX('Game Records'!$G:$G,$H313)=""),"Gross Pot; ","")&amp;IF(AND(INDEX('Game Records'!$U:$U,$H313)&lt;&gt;"Free Game",INDEX('Game Records'!$U:$U,$H313)&lt;&gt;"Disqualified — Free Game",INDEX('Game Records'!$H:$H,$H313)=""),"Entry Fee; ","")&amp;IF(AND(INDEX('Game Records'!$U:$U,$H313)&lt;&gt;"Subscription",INDEX('Game Records'!$U:$U,$H313)&lt;&gt;"Free Game",INDEX('Game Records'!$U:$U,$H313)&lt;&gt;"Disqualified — Free Game",INDEX('Game Records'!$I:$I,$H313)=""),"Eligible Players; ","")&amp;IF(AND(INDEX('Game Records'!$U:$U,$H313)&lt;&gt;"Subscription",INDEX('Game Records'!$U:$U,$H313)&lt;&gt;"Free Game",INDEX('Game Records'!$U:$U,$H313)&lt;&gt;"Disqualified — Free Game",INDEX('Game Records'!$J:$J,$H313)=""),"Total Players; ","")&amp;IF(AND(LOWER(INDEX('Game Records'!$D:$D,$H313)&amp;"")="finalized",LOWER(INDEX('Game Records'!$L:$L,$H313)&amp;"")&lt;&gt;"yes",INDEX('Game Records'!$U:$U,$H313)&lt;&gt;"Subscription",INDEX('Game Records'!$U:$U,$H313)&lt;&gt;"Free Game",INDEX('Game Records'!$U:$U,$H313)&lt;&gt;"Disqualified — Free Game",INDEX('Game Records'!$K:$K,$H313)=""),"Final Earned; ","")&amp;IF(AND(LOWER(INDEX('Game Records'!$D:$D,$H313)&amp;"")="finalized",INDEX('Game Records'!$U:$U,$H313)&lt;&gt;"Subscription",INDEX('Game Records'!$U:$U,$H313)&lt;&gt;"Free Game",INDEX('Game Records'!$U:$U,$H313)&lt;&gt;"Disqualified — Free Game",OR(INDEX('Game Records'!$L:$L,$H313)="",LOWER(INDEX('Game Records'!$L:$L,$H313)&amp;"")="n/a")),"Disqualified Status; ",""))</x:f>
        <x:v/>
      </x:c>
      <x:c r="G313" s="331" t="str">
        <x:f>IF($H313="","",IFERROR(INDEX('Game Records'!$M:$M,$H313),""))</x:f>
        <x:v/>
      </x:c>
      <x:c r="H313" s="104" t="str">
        <x:f>IF($H312="","",IFERROR(MATCH(1,INDEX((ROW('Game Records'!$U$5:$U$504)&gt;$H312)*(('Game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4" ht="24" customHeight="1">
      <x:c r="A314" s="332" t="str">
        <x:f>IF($H314="","",ROWS($A$5:A314))</x:f>
        <x:v/>
      </x:c>
      <x:c r="B314" s="332" t="str">
        <x:f>IF($H314="","","G-"&amp;TEXT($A314,"0000"))</x:f>
        <x:v/>
      </x:c>
      <x:c r="C314" s="331" t="str">
        <x:f>IF($H314="","",IFERROR(INDEX('Game Records'!$A:$A,$H314),""))</x:f>
        <x:v/>
      </x:c>
      <x:c r="D314" s="331" t="str">
        <x:f>IF($H314="","",IFERROR(INDEX('Game Records'!$U:$U,$H314),""))</x:f>
        <x:v/>
      </x:c>
      <x:c r="E314" s="331" t="str">
        <x:f>IF($H314="","",IF($F314="","No Highlighted Fields","Highlighted Fields Present"))</x:f>
        <x:v/>
      </x:c>
      <x:c r="F314" s="331" t="str">
        <x:f>IF($H314="","",IF(INDEX('Game Records'!$B:$B,$H314)="","Start Date; ","")&amp;IF(INDEX('Game Records'!$C:$C,$H314)="","End Date; ","")&amp;IF(AND(INDEX('Game Records'!$U:$U,$H314)&lt;&gt;"Subscription",INDEX('Game Records'!$U:$U,$H314)&lt;&gt;"Free Game",INDEX('Game Records'!$U:$U,$H314)&lt;&gt;"Disqualified — Free Game",OR(INDEX('Game Records'!$D:$D,$H314)="",LOWER(INDEX('Game Records'!$D:$D,$H314)&amp;"")="n/a")),"Entry Mode; ","")&amp;IF(AND(INDEX('Game Records'!$U:$U,$H314)&lt;&gt;"Subscription",INDEX('Game Records'!$U:$U,$H314)&lt;&gt;"Free Game",INDEX('Game Records'!$U:$U,$H314)&lt;&gt;"Disqualified — Free Game",OR(INDEX('Game Records'!$E:$E,$H314)="",LOWER(INDEX('Game Records'!$E:$E,$H314)&amp;"")="n/a")),"Game Type; ","")&amp;IF(INDEX('Game Records'!$F:$F,$H314)="","Payment Type; ","")&amp;IF(AND(INDEX('Game Records'!$U:$U,$H314)&lt;&gt;"Subscription",INDEX('Game Records'!$U:$U,$H314)&lt;&gt;"Free Game",INDEX('Game Records'!$U:$U,$H314)&lt;&gt;"Disqualified — Free Game",INDEX('Game Records'!$G:$G,$H314)=""),"Gross Pot; ","")&amp;IF(AND(INDEX('Game Records'!$U:$U,$H314)&lt;&gt;"Free Game",INDEX('Game Records'!$U:$U,$H314)&lt;&gt;"Disqualified — Free Game",INDEX('Game Records'!$H:$H,$H314)=""),"Entry Fee; ","")&amp;IF(AND(INDEX('Game Records'!$U:$U,$H314)&lt;&gt;"Subscription",INDEX('Game Records'!$U:$U,$H314)&lt;&gt;"Free Game",INDEX('Game Records'!$U:$U,$H314)&lt;&gt;"Disqualified — Free Game",INDEX('Game Records'!$I:$I,$H314)=""),"Eligible Players; ","")&amp;IF(AND(INDEX('Game Records'!$U:$U,$H314)&lt;&gt;"Subscription",INDEX('Game Records'!$U:$U,$H314)&lt;&gt;"Free Game",INDEX('Game Records'!$U:$U,$H314)&lt;&gt;"Disqualified — Free Game",INDEX('Game Records'!$J:$J,$H314)=""),"Total Players; ","")&amp;IF(AND(LOWER(INDEX('Game Records'!$D:$D,$H314)&amp;"")="finalized",LOWER(INDEX('Game Records'!$L:$L,$H314)&amp;"")&lt;&gt;"yes",INDEX('Game Records'!$U:$U,$H314)&lt;&gt;"Subscription",INDEX('Game Records'!$U:$U,$H314)&lt;&gt;"Free Game",INDEX('Game Records'!$U:$U,$H314)&lt;&gt;"Disqualified — Free Game",INDEX('Game Records'!$K:$K,$H314)=""),"Final Earned; ","")&amp;IF(AND(LOWER(INDEX('Game Records'!$D:$D,$H314)&amp;"")="finalized",INDEX('Game Records'!$U:$U,$H314)&lt;&gt;"Subscription",INDEX('Game Records'!$U:$U,$H314)&lt;&gt;"Free Game",INDEX('Game Records'!$U:$U,$H314)&lt;&gt;"Disqualified — Free Game",OR(INDEX('Game Records'!$L:$L,$H314)="",LOWER(INDEX('Game Records'!$L:$L,$H314)&amp;"")="n/a")),"Disqualified Status; ",""))</x:f>
        <x:v/>
      </x:c>
      <x:c r="G314" s="331" t="str">
        <x:f>IF($H314="","",IFERROR(INDEX('Game Records'!$M:$M,$H314),""))</x:f>
        <x:v/>
      </x:c>
      <x:c r="H314" s="104" t="str">
        <x:f>IF($H313="","",IFERROR(MATCH(1,INDEX((ROW('Game Records'!$U$5:$U$504)&gt;$H313)*(('Game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5" ht="24" customHeight="1">
      <x:c r="A315" s="332" t="str">
        <x:f>IF($H315="","",ROWS($A$5:A315))</x:f>
        <x:v/>
      </x:c>
      <x:c r="B315" s="332" t="str">
        <x:f>IF($H315="","","G-"&amp;TEXT($A315,"0000"))</x:f>
        <x:v/>
      </x:c>
      <x:c r="C315" s="331" t="str">
        <x:f>IF($H315="","",IFERROR(INDEX('Game Records'!$A:$A,$H315),""))</x:f>
        <x:v/>
      </x:c>
      <x:c r="D315" s="331" t="str">
        <x:f>IF($H315="","",IFERROR(INDEX('Game Records'!$U:$U,$H315),""))</x:f>
        <x:v/>
      </x:c>
      <x:c r="E315" s="331" t="str">
        <x:f>IF($H315="","",IF($F315="","No Highlighted Fields","Highlighted Fields Present"))</x:f>
        <x:v/>
      </x:c>
      <x:c r="F315" s="331" t="str">
        <x:f>IF($H315="","",IF(INDEX('Game Records'!$B:$B,$H315)="","Start Date; ","")&amp;IF(INDEX('Game Records'!$C:$C,$H315)="","End Date; ","")&amp;IF(AND(INDEX('Game Records'!$U:$U,$H315)&lt;&gt;"Subscription",INDEX('Game Records'!$U:$U,$H315)&lt;&gt;"Free Game",INDEX('Game Records'!$U:$U,$H315)&lt;&gt;"Disqualified — Free Game",OR(INDEX('Game Records'!$D:$D,$H315)="",LOWER(INDEX('Game Records'!$D:$D,$H315)&amp;"")="n/a")),"Entry Mode; ","")&amp;IF(AND(INDEX('Game Records'!$U:$U,$H315)&lt;&gt;"Subscription",INDEX('Game Records'!$U:$U,$H315)&lt;&gt;"Free Game",INDEX('Game Records'!$U:$U,$H315)&lt;&gt;"Disqualified — Free Game",OR(INDEX('Game Records'!$E:$E,$H315)="",LOWER(INDEX('Game Records'!$E:$E,$H315)&amp;"")="n/a")),"Game Type; ","")&amp;IF(INDEX('Game Records'!$F:$F,$H315)="","Payment Type; ","")&amp;IF(AND(INDEX('Game Records'!$U:$U,$H315)&lt;&gt;"Subscription",INDEX('Game Records'!$U:$U,$H315)&lt;&gt;"Free Game",INDEX('Game Records'!$U:$U,$H315)&lt;&gt;"Disqualified — Free Game",INDEX('Game Records'!$G:$G,$H315)=""),"Gross Pot; ","")&amp;IF(AND(INDEX('Game Records'!$U:$U,$H315)&lt;&gt;"Free Game",INDEX('Game Records'!$U:$U,$H315)&lt;&gt;"Disqualified — Free Game",INDEX('Game Records'!$H:$H,$H315)=""),"Entry Fee; ","")&amp;IF(AND(INDEX('Game Records'!$U:$U,$H315)&lt;&gt;"Subscription",INDEX('Game Records'!$U:$U,$H315)&lt;&gt;"Free Game",INDEX('Game Records'!$U:$U,$H315)&lt;&gt;"Disqualified — Free Game",INDEX('Game Records'!$I:$I,$H315)=""),"Eligible Players; ","")&amp;IF(AND(INDEX('Game Records'!$U:$U,$H315)&lt;&gt;"Subscription",INDEX('Game Records'!$U:$U,$H315)&lt;&gt;"Free Game",INDEX('Game Records'!$U:$U,$H315)&lt;&gt;"Disqualified — Free Game",INDEX('Game Records'!$J:$J,$H315)=""),"Total Players; ","")&amp;IF(AND(LOWER(INDEX('Game Records'!$D:$D,$H315)&amp;"")="finalized",LOWER(INDEX('Game Records'!$L:$L,$H315)&amp;"")&lt;&gt;"yes",INDEX('Game Records'!$U:$U,$H315)&lt;&gt;"Subscription",INDEX('Game Records'!$U:$U,$H315)&lt;&gt;"Free Game",INDEX('Game Records'!$U:$U,$H315)&lt;&gt;"Disqualified — Free Game",INDEX('Game Records'!$K:$K,$H315)=""),"Final Earned; ","")&amp;IF(AND(LOWER(INDEX('Game Records'!$D:$D,$H315)&amp;"")="finalized",INDEX('Game Records'!$U:$U,$H315)&lt;&gt;"Subscription",INDEX('Game Records'!$U:$U,$H315)&lt;&gt;"Free Game",INDEX('Game Records'!$U:$U,$H315)&lt;&gt;"Disqualified — Free Game",OR(INDEX('Game Records'!$L:$L,$H315)="",LOWER(INDEX('Game Records'!$L:$L,$H315)&amp;"")="n/a")),"Disqualified Status; ",""))</x:f>
        <x:v/>
      </x:c>
      <x:c r="G315" s="331" t="str">
        <x:f>IF($H315="","",IFERROR(INDEX('Game Records'!$M:$M,$H315),""))</x:f>
        <x:v/>
      </x:c>
      <x:c r="H315" s="104" t="str">
        <x:f>IF($H314="","",IFERROR(MATCH(1,INDEX((ROW('Game Records'!$U$5:$U$504)&gt;$H314)*(('Game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6" ht="24" customHeight="1">
      <x:c r="A316" s="332" t="str">
        <x:f>IF($H316="","",ROWS($A$5:A316))</x:f>
        <x:v/>
      </x:c>
      <x:c r="B316" s="332" t="str">
        <x:f>IF($H316="","","G-"&amp;TEXT($A316,"0000"))</x:f>
        <x:v/>
      </x:c>
      <x:c r="C316" s="331" t="str">
        <x:f>IF($H316="","",IFERROR(INDEX('Game Records'!$A:$A,$H316),""))</x:f>
        <x:v/>
      </x:c>
      <x:c r="D316" s="331" t="str">
        <x:f>IF($H316="","",IFERROR(INDEX('Game Records'!$U:$U,$H316),""))</x:f>
        <x:v/>
      </x:c>
      <x:c r="E316" s="331" t="str">
        <x:f>IF($H316="","",IF($F316="","No Highlighted Fields","Highlighted Fields Present"))</x:f>
        <x:v/>
      </x:c>
      <x:c r="F316" s="331" t="str">
        <x:f>IF($H316="","",IF(INDEX('Game Records'!$B:$B,$H316)="","Start Date; ","")&amp;IF(INDEX('Game Records'!$C:$C,$H316)="","End Date; ","")&amp;IF(AND(INDEX('Game Records'!$U:$U,$H316)&lt;&gt;"Subscription",INDEX('Game Records'!$U:$U,$H316)&lt;&gt;"Free Game",INDEX('Game Records'!$U:$U,$H316)&lt;&gt;"Disqualified — Free Game",OR(INDEX('Game Records'!$D:$D,$H316)="",LOWER(INDEX('Game Records'!$D:$D,$H316)&amp;"")="n/a")),"Entry Mode; ","")&amp;IF(AND(INDEX('Game Records'!$U:$U,$H316)&lt;&gt;"Subscription",INDEX('Game Records'!$U:$U,$H316)&lt;&gt;"Free Game",INDEX('Game Records'!$U:$U,$H316)&lt;&gt;"Disqualified — Free Game",OR(INDEX('Game Records'!$E:$E,$H316)="",LOWER(INDEX('Game Records'!$E:$E,$H316)&amp;"")="n/a")),"Game Type; ","")&amp;IF(INDEX('Game Records'!$F:$F,$H316)="","Payment Type; ","")&amp;IF(AND(INDEX('Game Records'!$U:$U,$H316)&lt;&gt;"Subscription",INDEX('Game Records'!$U:$U,$H316)&lt;&gt;"Free Game",INDEX('Game Records'!$U:$U,$H316)&lt;&gt;"Disqualified — Free Game",INDEX('Game Records'!$G:$G,$H316)=""),"Gross Pot; ","")&amp;IF(AND(INDEX('Game Records'!$U:$U,$H316)&lt;&gt;"Free Game",INDEX('Game Records'!$U:$U,$H316)&lt;&gt;"Disqualified — Free Game",INDEX('Game Records'!$H:$H,$H316)=""),"Entry Fee; ","")&amp;IF(AND(INDEX('Game Records'!$U:$U,$H316)&lt;&gt;"Subscription",INDEX('Game Records'!$U:$U,$H316)&lt;&gt;"Free Game",INDEX('Game Records'!$U:$U,$H316)&lt;&gt;"Disqualified — Free Game",INDEX('Game Records'!$I:$I,$H316)=""),"Eligible Players; ","")&amp;IF(AND(INDEX('Game Records'!$U:$U,$H316)&lt;&gt;"Subscription",INDEX('Game Records'!$U:$U,$H316)&lt;&gt;"Free Game",INDEX('Game Records'!$U:$U,$H316)&lt;&gt;"Disqualified — Free Game",INDEX('Game Records'!$J:$J,$H316)=""),"Total Players; ","")&amp;IF(AND(LOWER(INDEX('Game Records'!$D:$D,$H316)&amp;"")="finalized",LOWER(INDEX('Game Records'!$L:$L,$H316)&amp;"")&lt;&gt;"yes",INDEX('Game Records'!$U:$U,$H316)&lt;&gt;"Subscription",INDEX('Game Records'!$U:$U,$H316)&lt;&gt;"Free Game",INDEX('Game Records'!$U:$U,$H316)&lt;&gt;"Disqualified — Free Game",INDEX('Game Records'!$K:$K,$H316)=""),"Final Earned; ","")&amp;IF(AND(LOWER(INDEX('Game Records'!$D:$D,$H316)&amp;"")="finalized",INDEX('Game Records'!$U:$U,$H316)&lt;&gt;"Subscription",INDEX('Game Records'!$U:$U,$H316)&lt;&gt;"Free Game",INDEX('Game Records'!$U:$U,$H316)&lt;&gt;"Disqualified — Free Game",OR(INDEX('Game Records'!$L:$L,$H316)="",LOWER(INDEX('Game Records'!$L:$L,$H316)&amp;"")="n/a")),"Disqualified Status; ",""))</x:f>
        <x:v/>
      </x:c>
      <x:c r="G316" s="331" t="str">
        <x:f>IF($H316="","",IFERROR(INDEX('Game Records'!$M:$M,$H316),""))</x:f>
        <x:v/>
      </x:c>
      <x:c r="H316" s="104" t="str">
        <x:f>IF($H315="","",IFERROR(MATCH(1,INDEX((ROW('Game Records'!$U$5:$U$504)&gt;$H315)*(('Game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7" ht="24" customHeight="1">
      <x:c r="A317" s="332" t="str">
        <x:f>IF($H317="","",ROWS($A$5:A317))</x:f>
        <x:v/>
      </x:c>
      <x:c r="B317" s="332" t="str">
        <x:f>IF($H317="","","G-"&amp;TEXT($A317,"0000"))</x:f>
        <x:v/>
      </x:c>
      <x:c r="C317" s="331" t="str">
        <x:f>IF($H317="","",IFERROR(INDEX('Game Records'!$A:$A,$H317),""))</x:f>
        <x:v/>
      </x:c>
      <x:c r="D317" s="331" t="str">
        <x:f>IF($H317="","",IFERROR(INDEX('Game Records'!$U:$U,$H317),""))</x:f>
        <x:v/>
      </x:c>
      <x:c r="E317" s="331" t="str">
        <x:f>IF($H317="","",IF($F317="","No Highlighted Fields","Highlighted Fields Present"))</x:f>
        <x:v/>
      </x:c>
      <x:c r="F317" s="331" t="str">
        <x:f>IF($H317="","",IF(INDEX('Game Records'!$B:$B,$H317)="","Start Date; ","")&amp;IF(INDEX('Game Records'!$C:$C,$H317)="","End Date; ","")&amp;IF(AND(INDEX('Game Records'!$U:$U,$H317)&lt;&gt;"Subscription",INDEX('Game Records'!$U:$U,$H317)&lt;&gt;"Free Game",INDEX('Game Records'!$U:$U,$H317)&lt;&gt;"Disqualified — Free Game",OR(INDEX('Game Records'!$D:$D,$H317)="",LOWER(INDEX('Game Records'!$D:$D,$H317)&amp;"")="n/a")),"Entry Mode; ","")&amp;IF(AND(INDEX('Game Records'!$U:$U,$H317)&lt;&gt;"Subscription",INDEX('Game Records'!$U:$U,$H317)&lt;&gt;"Free Game",INDEX('Game Records'!$U:$U,$H317)&lt;&gt;"Disqualified — Free Game",OR(INDEX('Game Records'!$E:$E,$H317)="",LOWER(INDEX('Game Records'!$E:$E,$H317)&amp;"")="n/a")),"Game Type; ","")&amp;IF(INDEX('Game Records'!$F:$F,$H317)="","Payment Type; ","")&amp;IF(AND(INDEX('Game Records'!$U:$U,$H317)&lt;&gt;"Subscription",INDEX('Game Records'!$U:$U,$H317)&lt;&gt;"Free Game",INDEX('Game Records'!$U:$U,$H317)&lt;&gt;"Disqualified — Free Game",INDEX('Game Records'!$G:$G,$H317)=""),"Gross Pot; ","")&amp;IF(AND(INDEX('Game Records'!$U:$U,$H317)&lt;&gt;"Free Game",INDEX('Game Records'!$U:$U,$H317)&lt;&gt;"Disqualified — Free Game",INDEX('Game Records'!$H:$H,$H317)=""),"Entry Fee; ","")&amp;IF(AND(INDEX('Game Records'!$U:$U,$H317)&lt;&gt;"Subscription",INDEX('Game Records'!$U:$U,$H317)&lt;&gt;"Free Game",INDEX('Game Records'!$U:$U,$H317)&lt;&gt;"Disqualified — Free Game",INDEX('Game Records'!$I:$I,$H317)=""),"Eligible Players; ","")&amp;IF(AND(INDEX('Game Records'!$U:$U,$H317)&lt;&gt;"Subscription",INDEX('Game Records'!$U:$U,$H317)&lt;&gt;"Free Game",INDEX('Game Records'!$U:$U,$H317)&lt;&gt;"Disqualified — Free Game",INDEX('Game Records'!$J:$J,$H317)=""),"Total Players; ","")&amp;IF(AND(LOWER(INDEX('Game Records'!$D:$D,$H317)&amp;"")="finalized",LOWER(INDEX('Game Records'!$L:$L,$H317)&amp;"")&lt;&gt;"yes",INDEX('Game Records'!$U:$U,$H317)&lt;&gt;"Subscription",INDEX('Game Records'!$U:$U,$H317)&lt;&gt;"Free Game",INDEX('Game Records'!$U:$U,$H317)&lt;&gt;"Disqualified — Free Game",INDEX('Game Records'!$K:$K,$H317)=""),"Final Earned; ","")&amp;IF(AND(LOWER(INDEX('Game Records'!$D:$D,$H317)&amp;"")="finalized",INDEX('Game Records'!$U:$U,$H317)&lt;&gt;"Subscription",INDEX('Game Records'!$U:$U,$H317)&lt;&gt;"Free Game",INDEX('Game Records'!$U:$U,$H317)&lt;&gt;"Disqualified — Free Game",OR(INDEX('Game Records'!$L:$L,$H317)="",LOWER(INDEX('Game Records'!$L:$L,$H317)&amp;"")="n/a")),"Disqualified Status; ",""))</x:f>
        <x:v/>
      </x:c>
      <x:c r="G317" s="331" t="str">
        <x:f>IF($H317="","",IFERROR(INDEX('Game Records'!$M:$M,$H317),""))</x:f>
        <x:v/>
      </x:c>
      <x:c r="H317" s="104" t="str">
        <x:f>IF($H316="","",IFERROR(MATCH(1,INDEX((ROW('Game Records'!$U$5:$U$504)&gt;$H316)*(('Game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8" ht="24" customHeight="1">
      <x:c r="A318" s="332" t="str">
        <x:f>IF($H318="","",ROWS($A$5:A318))</x:f>
        <x:v/>
      </x:c>
      <x:c r="B318" s="332" t="str">
        <x:f>IF($H318="","","G-"&amp;TEXT($A318,"0000"))</x:f>
        <x:v/>
      </x:c>
      <x:c r="C318" s="331" t="str">
        <x:f>IF($H318="","",IFERROR(INDEX('Game Records'!$A:$A,$H318),""))</x:f>
        <x:v/>
      </x:c>
      <x:c r="D318" s="331" t="str">
        <x:f>IF($H318="","",IFERROR(INDEX('Game Records'!$U:$U,$H318),""))</x:f>
        <x:v/>
      </x:c>
      <x:c r="E318" s="331" t="str">
        <x:f>IF($H318="","",IF($F318="","No Highlighted Fields","Highlighted Fields Present"))</x:f>
        <x:v/>
      </x:c>
      <x:c r="F318" s="331" t="str">
        <x:f>IF($H318="","",IF(INDEX('Game Records'!$B:$B,$H318)="","Start Date; ","")&amp;IF(INDEX('Game Records'!$C:$C,$H318)="","End Date; ","")&amp;IF(AND(INDEX('Game Records'!$U:$U,$H318)&lt;&gt;"Subscription",INDEX('Game Records'!$U:$U,$H318)&lt;&gt;"Free Game",INDEX('Game Records'!$U:$U,$H318)&lt;&gt;"Disqualified — Free Game",OR(INDEX('Game Records'!$D:$D,$H318)="",LOWER(INDEX('Game Records'!$D:$D,$H318)&amp;"")="n/a")),"Entry Mode; ","")&amp;IF(AND(INDEX('Game Records'!$U:$U,$H318)&lt;&gt;"Subscription",INDEX('Game Records'!$U:$U,$H318)&lt;&gt;"Free Game",INDEX('Game Records'!$U:$U,$H318)&lt;&gt;"Disqualified — Free Game",OR(INDEX('Game Records'!$E:$E,$H318)="",LOWER(INDEX('Game Records'!$E:$E,$H318)&amp;"")="n/a")),"Game Type; ","")&amp;IF(INDEX('Game Records'!$F:$F,$H318)="","Payment Type; ","")&amp;IF(AND(INDEX('Game Records'!$U:$U,$H318)&lt;&gt;"Subscription",INDEX('Game Records'!$U:$U,$H318)&lt;&gt;"Free Game",INDEX('Game Records'!$U:$U,$H318)&lt;&gt;"Disqualified — Free Game",INDEX('Game Records'!$G:$G,$H318)=""),"Gross Pot; ","")&amp;IF(AND(INDEX('Game Records'!$U:$U,$H318)&lt;&gt;"Free Game",INDEX('Game Records'!$U:$U,$H318)&lt;&gt;"Disqualified — Free Game",INDEX('Game Records'!$H:$H,$H318)=""),"Entry Fee; ","")&amp;IF(AND(INDEX('Game Records'!$U:$U,$H318)&lt;&gt;"Subscription",INDEX('Game Records'!$U:$U,$H318)&lt;&gt;"Free Game",INDEX('Game Records'!$U:$U,$H318)&lt;&gt;"Disqualified — Free Game",INDEX('Game Records'!$I:$I,$H318)=""),"Eligible Players; ","")&amp;IF(AND(INDEX('Game Records'!$U:$U,$H318)&lt;&gt;"Subscription",INDEX('Game Records'!$U:$U,$H318)&lt;&gt;"Free Game",INDEX('Game Records'!$U:$U,$H318)&lt;&gt;"Disqualified — Free Game",INDEX('Game Records'!$J:$J,$H318)=""),"Total Players; ","")&amp;IF(AND(LOWER(INDEX('Game Records'!$D:$D,$H318)&amp;"")="finalized",LOWER(INDEX('Game Records'!$L:$L,$H318)&amp;"")&lt;&gt;"yes",INDEX('Game Records'!$U:$U,$H318)&lt;&gt;"Subscription",INDEX('Game Records'!$U:$U,$H318)&lt;&gt;"Free Game",INDEX('Game Records'!$U:$U,$H318)&lt;&gt;"Disqualified — Free Game",INDEX('Game Records'!$K:$K,$H318)=""),"Final Earned; ","")&amp;IF(AND(LOWER(INDEX('Game Records'!$D:$D,$H318)&amp;"")="finalized",INDEX('Game Records'!$U:$U,$H318)&lt;&gt;"Subscription",INDEX('Game Records'!$U:$U,$H318)&lt;&gt;"Free Game",INDEX('Game Records'!$U:$U,$H318)&lt;&gt;"Disqualified — Free Game",OR(INDEX('Game Records'!$L:$L,$H318)="",LOWER(INDEX('Game Records'!$L:$L,$H318)&amp;"")="n/a")),"Disqualified Status; ",""))</x:f>
        <x:v/>
      </x:c>
      <x:c r="G318" s="331" t="str">
        <x:f>IF($H318="","",IFERROR(INDEX('Game Records'!$M:$M,$H318),""))</x:f>
        <x:v/>
      </x:c>
      <x:c r="H318" s="104" t="str">
        <x:f>IF($H317="","",IFERROR(MATCH(1,INDEX((ROW('Game Records'!$U$5:$U$504)&gt;$H317)*(('Game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19" ht="24" customHeight="1">
      <x:c r="A319" s="332" t="str">
        <x:f>IF($H319="","",ROWS($A$5:A319))</x:f>
        <x:v/>
      </x:c>
      <x:c r="B319" s="332" t="str">
        <x:f>IF($H319="","","G-"&amp;TEXT($A319,"0000"))</x:f>
        <x:v/>
      </x:c>
      <x:c r="C319" s="331" t="str">
        <x:f>IF($H319="","",IFERROR(INDEX('Game Records'!$A:$A,$H319),""))</x:f>
        <x:v/>
      </x:c>
      <x:c r="D319" s="331" t="str">
        <x:f>IF($H319="","",IFERROR(INDEX('Game Records'!$U:$U,$H319),""))</x:f>
        <x:v/>
      </x:c>
      <x:c r="E319" s="331" t="str">
        <x:f>IF($H319="","",IF($F319="","No Highlighted Fields","Highlighted Fields Present"))</x:f>
        <x:v/>
      </x:c>
      <x:c r="F319" s="331" t="str">
        <x:f>IF($H319="","",IF(INDEX('Game Records'!$B:$B,$H319)="","Start Date; ","")&amp;IF(INDEX('Game Records'!$C:$C,$H319)="","End Date; ","")&amp;IF(AND(INDEX('Game Records'!$U:$U,$H319)&lt;&gt;"Subscription",INDEX('Game Records'!$U:$U,$H319)&lt;&gt;"Free Game",INDEX('Game Records'!$U:$U,$H319)&lt;&gt;"Disqualified — Free Game",OR(INDEX('Game Records'!$D:$D,$H319)="",LOWER(INDEX('Game Records'!$D:$D,$H319)&amp;"")="n/a")),"Entry Mode; ","")&amp;IF(AND(INDEX('Game Records'!$U:$U,$H319)&lt;&gt;"Subscription",INDEX('Game Records'!$U:$U,$H319)&lt;&gt;"Free Game",INDEX('Game Records'!$U:$U,$H319)&lt;&gt;"Disqualified — Free Game",OR(INDEX('Game Records'!$E:$E,$H319)="",LOWER(INDEX('Game Records'!$E:$E,$H319)&amp;"")="n/a")),"Game Type; ","")&amp;IF(INDEX('Game Records'!$F:$F,$H319)="","Payment Type; ","")&amp;IF(AND(INDEX('Game Records'!$U:$U,$H319)&lt;&gt;"Subscription",INDEX('Game Records'!$U:$U,$H319)&lt;&gt;"Free Game",INDEX('Game Records'!$U:$U,$H319)&lt;&gt;"Disqualified — Free Game",INDEX('Game Records'!$G:$G,$H319)=""),"Gross Pot; ","")&amp;IF(AND(INDEX('Game Records'!$U:$U,$H319)&lt;&gt;"Free Game",INDEX('Game Records'!$U:$U,$H319)&lt;&gt;"Disqualified — Free Game",INDEX('Game Records'!$H:$H,$H319)=""),"Entry Fee; ","")&amp;IF(AND(INDEX('Game Records'!$U:$U,$H319)&lt;&gt;"Subscription",INDEX('Game Records'!$U:$U,$H319)&lt;&gt;"Free Game",INDEX('Game Records'!$U:$U,$H319)&lt;&gt;"Disqualified — Free Game",INDEX('Game Records'!$I:$I,$H319)=""),"Eligible Players; ","")&amp;IF(AND(INDEX('Game Records'!$U:$U,$H319)&lt;&gt;"Subscription",INDEX('Game Records'!$U:$U,$H319)&lt;&gt;"Free Game",INDEX('Game Records'!$U:$U,$H319)&lt;&gt;"Disqualified — Free Game",INDEX('Game Records'!$J:$J,$H319)=""),"Total Players; ","")&amp;IF(AND(LOWER(INDEX('Game Records'!$D:$D,$H319)&amp;"")="finalized",LOWER(INDEX('Game Records'!$L:$L,$H319)&amp;"")&lt;&gt;"yes",INDEX('Game Records'!$U:$U,$H319)&lt;&gt;"Subscription",INDEX('Game Records'!$U:$U,$H319)&lt;&gt;"Free Game",INDEX('Game Records'!$U:$U,$H319)&lt;&gt;"Disqualified — Free Game",INDEX('Game Records'!$K:$K,$H319)=""),"Final Earned; ","")&amp;IF(AND(LOWER(INDEX('Game Records'!$D:$D,$H319)&amp;"")="finalized",INDEX('Game Records'!$U:$U,$H319)&lt;&gt;"Subscription",INDEX('Game Records'!$U:$U,$H319)&lt;&gt;"Free Game",INDEX('Game Records'!$U:$U,$H319)&lt;&gt;"Disqualified — Free Game",OR(INDEX('Game Records'!$L:$L,$H319)="",LOWER(INDEX('Game Records'!$L:$L,$H319)&amp;"")="n/a")),"Disqualified Status; ",""))</x:f>
        <x:v/>
      </x:c>
      <x:c r="G319" s="331" t="str">
        <x:f>IF($H319="","",IFERROR(INDEX('Game Records'!$M:$M,$H319),""))</x:f>
        <x:v/>
      </x:c>
      <x:c r="H319" s="104" t="str">
        <x:f>IF($H318="","",IFERROR(MATCH(1,INDEX((ROW('Game Records'!$U$5:$U$504)&gt;$H318)*(('Game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0" ht="24" customHeight="1">
      <x:c r="A320" s="332" t="str">
        <x:f>IF($H320="","",ROWS($A$5:A320))</x:f>
        <x:v/>
      </x:c>
      <x:c r="B320" s="332" t="str">
        <x:f>IF($H320="","","G-"&amp;TEXT($A320,"0000"))</x:f>
        <x:v/>
      </x:c>
      <x:c r="C320" s="331" t="str">
        <x:f>IF($H320="","",IFERROR(INDEX('Game Records'!$A:$A,$H320),""))</x:f>
        <x:v/>
      </x:c>
      <x:c r="D320" s="331" t="str">
        <x:f>IF($H320="","",IFERROR(INDEX('Game Records'!$U:$U,$H320),""))</x:f>
        <x:v/>
      </x:c>
      <x:c r="E320" s="331" t="str">
        <x:f>IF($H320="","",IF($F320="","No Highlighted Fields","Highlighted Fields Present"))</x:f>
        <x:v/>
      </x:c>
      <x:c r="F320" s="331" t="str">
        <x:f>IF($H320="","",IF(INDEX('Game Records'!$B:$B,$H320)="","Start Date; ","")&amp;IF(INDEX('Game Records'!$C:$C,$H320)="","End Date; ","")&amp;IF(AND(INDEX('Game Records'!$U:$U,$H320)&lt;&gt;"Subscription",INDEX('Game Records'!$U:$U,$H320)&lt;&gt;"Free Game",INDEX('Game Records'!$U:$U,$H320)&lt;&gt;"Disqualified — Free Game",OR(INDEX('Game Records'!$D:$D,$H320)="",LOWER(INDEX('Game Records'!$D:$D,$H320)&amp;"")="n/a")),"Entry Mode; ","")&amp;IF(AND(INDEX('Game Records'!$U:$U,$H320)&lt;&gt;"Subscription",INDEX('Game Records'!$U:$U,$H320)&lt;&gt;"Free Game",INDEX('Game Records'!$U:$U,$H320)&lt;&gt;"Disqualified — Free Game",OR(INDEX('Game Records'!$E:$E,$H320)="",LOWER(INDEX('Game Records'!$E:$E,$H320)&amp;"")="n/a")),"Game Type; ","")&amp;IF(INDEX('Game Records'!$F:$F,$H320)="","Payment Type; ","")&amp;IF(AND(INDEX('Game Records'!$U:$U,$H320)&lt;&gt;"Subscription",INDEX('Game Records'!$U:$U,$H320)&lt;&gt;"Free Game",INDEX('Game Records'!$U:$U,$H320)&lt;&gt;"Disqualified — Free Game",INDEX('Game Records'!$G:$G,$H320)=""),"Gross Pot; ","")&amp;IF(AND(INDEX('Game Records'!$U:$U,$H320)&lt;&gt;"Free Game",INDEX('Game Records'!$U:$U,$H320)&lt;&gt;"Disqualified — Free Game",INDEX('Game Records'!$H:$H,$H320)=""),"Entry Fee; ","")&amp;IF(AND(INDEX('Game Records'!$U:$U,$H320)&lt;&gt;"Subscription",INDEX('Game Records'!$U:$U,$H320)&lt;&gt;"Free Game",INDEX('Game Records'!$U:$U,$H320)&lt;&gt;"Disqualified — Free Game",INDEX('Game Records'!$I:$I,$H320)=""),"Eligible Players; ","")&amp;IF(AND(INDEX('Game Records'!$U:$U,$H320)&lt;&gt;"Subscription",INDEX('Game Records'!$U:$U,$H320)&lt;&gt;"Free Game",INDEX('Game Records'!$U:$U,$H320)&lt;&gt;"Disqualified — Free Game",INDEX('Game Records'!$J:$J,$H320)=""),"Total Players; ","")&amp;IF(AND(LOWER(INDEX('Game Records'!$D:$D,$H320)&amp;"")="finalized",LOWER(INDEX('Game Records'!$L:$L,$H320)&amp;"")&lt;&gt;"yes",INDEX('Game Records'!$U:$U,$H320)&lt;&gt;"Subscription",INDEX('Game Records'!$U:$U,$H320)&lt;&gt;"Free Game",INDEX('Game Records'!$U:$U,$H320)&lt;&gt;"Disqualified — Free Game",INDEX('Game Records'!$K:$K,$H320)=""),"Final Earned; ","")&amp;IF(AND(LOWER(INDEX('Game Records'!$D:$D,$H320)&amp;"")="finalized",INDEX('Game Records'!$U:$U,$H320)&lt;&gt;"Subscription",INDEX('Game Records'!$U:$U,$H320)&lt;&gt;"Free Game",INDEX('Game Records'!$U:$U,$H320)&lt;&gt;"Disqualified — Free Game",OR(INDEX('Game Records'!$L:$L,$H320)="",LOWER(INDEX('Game Records'!$L:$L,$H320)&amp;"")="n/a")),"Disqualified Status; ",""))</x:f>
        <x:v/>
      </x:c>
      <x:c r="G320" s="331" t="str">
        <x:f>IF($H320="","",IFERROR(INDEX('Game Records'!$M:$M,$H320),""))</x:f>
        <x:v/>
      </x:c>
      <x:c r="H320" s="104" t="str">
        <x:f>IF($H319="","",IFERROR(MATCH(1,INDEX((ROW('Game Records'!$U$5:$U$504)&gt;$H319)*(('Game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1" ht="24" customHeight="1">
      <x:c r="A321" s="332" t="str">
        <x:f>IF($H321="","",ROWS($A$5:A321))</x:f>
        <x:v/>
      </x:c>
      <x:c r="B321" s="332" t="str">
        <x:f>IF($H321="","","G-"&amp;TEXT($A321,"0000"))</x:f>
        <x:v/>
      </x:c>
      <x:c r="C321" s="331" t="str">
        <x:f>IF($H321="","",IFERROR(INDEX('Game Records'!$A:$A,$H321),""))</x:f>
        <x:v/>
      </x:c>
      <x:c r="D321" s="331" t="str">
        <x:f>IF($H321="","",IFERROR(INDEX('Game Records'!$U:$U,$H321),""))</x:f>
        <x:v/>
      </x:c>
      <x:c r="E321" s="331" t="str">
        <x:f>IF($H321="","",IF($F321="","No Highlighted Fields","Highlighted Fields Present"))</x:f>
        <x:v/>
      </x:c>
      <x:c r="F321" s="331" t="str">
        <x:f>IF($H321="","",IF(INDEX('Game Records'!$B:$B,$H321)="","Start Date; ","")&amp;IF(INDEX('Game Records'!$C:$C,$H321)="","End Date; ","")&amp;IF(AND(INDEX('Game Records'!$U:$U,$H321)&lt;&gt;"Subscription",INDEX('Game Records'!$U:$U,$H321)&lt;&gt;"Free Game",INDEX('Game Records'!$U:$U,$H321)&lt;&gt;"Disqualified — Free Game",OR(INDEX('Game Records'!$D:$D,$H321)="",LOWER(INDEX('Game Records'!$D:$D,$H321)&amp;"")="n/a")),"Entry Mode; ","")&amp;IF(AND(INDEX('Game Records'!$U:$U,$H321)&lt;&gt;"Subscription",INDEX('Game Records'!$U:$U,$H321)&lt;&gt;"Free Game",INDEX('Game Records'!$U:$U,$H321)&lt;&gt;"Disqualified — Free Game",OR(INDEX('Game Records'!$E:$E,$H321)="",LOWER(INDEX('Game Records'!$E:$E,$H321)&amp;"")="n/a")),"Game Type; ","")&amp;IF(INDEX('Game Records'!$F:$F,$H321)="","Payment Type; ","")&amp;IF(AND(INDEX('Game Records'!$U:$U,$H321)&lt;&gt;"Subscription",INDEX('Game Records'!$U:$U,$H321)&lt;&gt;"Free Game",INDEX('Game Records'!$U:$U,$H321)&lt;&gt;"Disqualified — Free Game",INDEX('Game Records'!$G:$G,$H321)=""),"Gross Pot; ","")&amp;IF(AND(INDEX('Game Records'!$U:$U,$H321)&lt;&gt;"Free Game",INDEX('Game Records'!$U:$U,$H321)&lt;&gt;"Disqualified — Free Game",INDEX('Game Records'!$H:$H,$H321)=""),"Entry Fee; ","")&amp;IF(AND(INDEX('Game Records'!$U:$U,$H321)&lt;&gt;"Subscription",INDEX('Game Records'!$U:$U,$H321)&lt;&gt;"Free Game",INDEX('Game Records'!$U:$U,$H321)&lt;&gt;"Disqualified — Free Game",INDEX('Game Records'!$I:$I,$H321)=""),"Eligible Players; ","")&amp;IF(AND(INDEX('Game Records'!$U:$U,$H321)&lt;&gt;"Subscription",INDEX('Game Records'!$U:$U,$H321)&lt;&gt;"Free Game",INDEX('Game Records'!$U:$U,$H321)&lt;&gt;"Disqualified — Free Game",INDEX('Game Records'!$J:$J,$H321)=""),"Total Players; ","")&amp;IF(AND(LOWER(INDEX('Game Records'!$D:$D,$H321)&amp;"")="finalized",LOWER(INDEX('Game Records'!$L:$L,$H321)&amp;"")&lt;&gt;"yes",INDEX('Game Records'!$U:$U,$H321)&lt;&gt;"Subscription",INDEX('Game Records'!$U:$U,$H321)&lt;&gt;"Free Game",INDEX('Game Records'!$U:$U,$H321)&lt;&gt;"Disqualified — Free Game",INDEX('Game Records'!$K:$K,$H321)=""),"Final Earned; ","")&amp;IF(AND(LOWER(INDEX('Game Records'!$D:$D,$H321)&amp;"")="finalized",INDEX('Game Records'!$U:$U,$H321)&lt;&gt;"Subscription",INDEX('Game Records'!$U:$U,$H321)&lt;&gt;"Free Game",INDEX('Game Records'!$U:$U,$H321)&lt;&gt;"Disqualified — Free Game",OR(INDEX('Game Records'!$L:$L,$H321)="",LOWER(INDEX('Game Records'!$L:$L,$H321)&amp;"")="n/a")),"Disqualified Status; ",""))</x:f>
        <x:v/>
      </x:c>
      <x:c r="G321" s="331" t="str">
        <x:f>IF($H321="","",IFERROR(INDEX('Game Records'!$M:$M,$H321),""))</x:f>
        <x:v/>
      </x:c>
      <x:c r="H321" s="104" t="str">
        <x:f>IF($H320="","",IFERROR(MATCH(1,INDEX((ROW('Game Records'!$U$5:$U$504)&gt;$H320)*(('Game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2" ht="24" customHeight="1">
      <x:c r="A322" s="332" t="str">
        <x:f>IF($H322="","",ROWS($A$5:A322))</x:f>
        <x:v/>
      </x:c>
      <x:c r="B322" s="332" t="str">
        <x:f>IF($H322="","","G-"&amp;TEXT($A322,"0000"))</x:f>
        <x:v/>
      </x:c>
      <x:c r="C322" s="331" t="str">
        <x:f>IF($H322="","",IFERROR(INDEX('Game Records'!$A:$A,$H322),""))</x:f>
        <x:v/>
      </x:c>
      <x:c r="D322" s="331" t="str">
        <x:f>IF($H322="","",IFERROR(INDEX('Game Records'!$U:$U,$H322),""))</x:f>
        <x:v/>
      </x:c>
      <x:c r="E322" s="331" t="str">
        <x:f>IF($H322="","",IF($F322="","No Highlighted Fields","Highlighted Fields Present"))</x:f>
        <x:v/>
      </x:c>
      <x:c r="F322" s="331" t="str">
        <x:f>IF($H322="","",IF(INDEX('Game Records'!$B:$B,$H322)="","Start Date; ","")&amp;IF(INDEX('Game Records'!$C:$C,$H322)="","End Date; ","")&amp;IF(AND(INDEX('Game Records'!$U:$U,$H322)&lt;&gt;"Subscription",INDEX('Game Records'!$U:$U,$H322)&lt;&gt;"Free Game",INDEX('Game Records'!$U:$U,$H322)&lt;&gt;"Disqualified — Free Game",OR(INDEX('Game Records'!$D:$D,$H322)="",LOWER(INDEX('Game Records'!$D:$D,$H322)&amp;"")="n/a")),"Entry Mode; ","")&amp;IF(AND(INDEX('Game Records'!$U:$U,$H322)&lt;&gt;"Subscription",INDEX('Game Records'!$U:$U,$H322)&lt;&gt;"Free Game",INDEX('Game Records'!$U:$U,$H322)&lt;&gt;"Disqualified — Free Game",OR(INDEX('Game Records'!$E:$E,$H322)="",LOWER(INDEX('Game Records'!$E:$E,$H322)&amp;"")="n/a")),"Game Type; ","")&amp;IF(INDEX('Game Records'!$F:$F,$H322)="","Payment Type; ","")&amp;IF(AND(INDEX('Game Records'!$U:$U,$H322)&lt;&gt;"Subscription",INDEX('Game Records'!$U:$U,$H322)&lt;&gt;"Free Game",INDEX('Game Records'!$U:$U,$H322)&lt;&gt;"Disqualified — Free Game",INDEX('Game Records'!$G:$G,$H322)=""),"Gross Pot; ","")&amp;IF(AND(INDEX('Game Records'!$U:$U,$H322)&lt;&gt;"Free Game",INDEX('Game Records'!$U:$U,$H322)&lt;&gt;"Disqualified — Free Game",INDEX('Game Records'!$H:$H,$H322)=""),"Entry Fee; ","")&amp;IF(AND(INDEX('Game Records'!$U:$U,$H322)&lt;&gt;"Subscription",INDEX('Game Records'!$U:$U,$H322)&lt;&gt;"Free Game",INDEX('Game Records'!$U:$U,$H322)&lt;&gt;"Disqualified — Free Game",INDEX('Game Records'!$I:$I,$H322)=""),"Eligible Players; ","")&amp;IF(AND(INDEX('Game Records'!$U:$U,$H322)&lt;&gt;"Subscription",INDEX('Game Records'!$U:$U,$H322)&lt;&gt;"Free Game",INDEX('Game Records'!$U:$U,$H322)&lt;&gt;"Disqualified — Free Game",INDEX('Game Records'!$J:$J,$H322)=""),"Total Players; ","")&amp;IF(AND(LOWER(INDEX('Game Records'!$D:$D,$H322)&amp;"")="finalized",LOWER(INDEX('Game Records'!$L:$L,$H322)&amp;"")&lt;&gt;"yes",INDEX('Game Records'!$U:$U,$H322)&lt;&gt;"Subscription",INDEX('Game Records'!$U:$U,$H322)&lt;&gt;"Free Game",INDEX('Game Records'!$U:$U,$H322)&lt;&gt;"Disqualified — Free Game",INDEX('Game Records'!$K:$K,$H322)=""),"Final Earned; ","")&amp;IF(AND(LOWER(INDEX('Game Records'!$D:$D,$H322)&amp;"")="finalized",INDEX('Game Records'!$U:$U,$H322)&lt;&gt;"Subscription",INDEX('Game Records'!$U:$U,$H322)&lt;&gt;"Free Game",INDEX('Game Records'!$U:$U,$H322)&lt;&gt;"Disqualified — Free Game",OR(INDEX('Game Records'!$L:$L,$H322)="",LOWER(INDEX('Game Records'!$L:$L,$H322)&amp;"")="n/a")),"Disqualified Status; ",""))</x:f>
        <x:v/>
      </x:c>
      <x:c r="G322" s="331" t="str">
        <x:f>IF($H322="","",IFERROR(INDEX('Game Records'!$M:$M,$H322),""))</x:f>
        <x:v/>
      </x:c>
      <x:c r="H322" s="104" t="str">
        <x:f>IF($H321="","",IFERROR(MATCH(1,INDEX((ROW('Game Records'!$U$5:$U$504)&gt;$H321)*(('Game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3" ht="24" customHeight="1">
      <x:c r="A323" s="332" t="str">
        <x:f>IF($H323="","",ROWS($A$5:A323))</x:f>
        <x:v/>
      </x:c>
      <x:c r="B323" s="332" t="str">
        <x:f>IF($H323="","","G-"&amp;TEXT($A323,"0000"))</x:f>
        <x:v/>
      </x:c>
      <x:c r="C323" s="331" t="str">
        <x:f>IF($H323="","",IFERROR(INDEX('Game Records'!$A:$A,$H323),""))</x:f>
        <x:v/>
      </x:c>
      <x:c r="D323" s="331" t="str">
        <x:f>IF($H323="","",IFERROR(INDEX('Game Records'!$U:$U,$H323),""))</x:f>
        <x:v/>
      </x:c>
      <x:c r="E323" s="331" t="str">
        <x:f>IF($H323="","",IF($F323="","No Highlighted Fields","Highlighted Fields Present"))</x:f>
        <x:v/>
      </x:c>
      <x:c r="F323" s="331" t="str">
        <x:f>IF($H323="","",IF(INDEX('Game Records'!$B:$B,$H323)="","Start Date; ","")&amp;IF(INDEX('Game Records'!$C:$C,$H323)="","End Date; ","")&amp;IF(AND(INDEX('Game Records'!$U:$U,$H323)&lt;&gt;"Subscription",INDEX('Game Records'!$U:$U,$H323)&lt;&gt;"Free Game",INDEX('Game Records'!$U:$U,$H323)&lt;&gt;"Disqualified — Free Game",OR(INDEX('Game Records'!$D:$D,$H323)="",LOWER(INDEX('Game Records'!$D:$D,$H323)&amp;"")="n/a")),"Entry Mode; ","")&amp;IF(AND(INDEX('Game Records'!$U:$U,$H323)&lt;&gt;"Subscription",INDEX('Game Records'!$U:$U,$H323)&lt;&gt;"Free Game",INDEX('Game Records'!$U:$U,$H323)&lt;&gt;"Disqualified — Free Game",OR(INDEX('Game Records'!$E:$E,$H323)="",LOWER(INDEX('Game Records'!$E:$E,$H323)&amp;"")="n/a")),"Game Type; ","")&amp;IF(INDEX('Game Records'!$F:$F,$H323)="","Payment Type; ","")&amp;IF(AND(INDEX('Game Records'!$U:$U,$H323)&lt;&gt;"Subscription",INDEX('Game Records'!$U:$U,$H323)&lt;&gt;"Free Game",INDEX('Game Records'!$U:$U,$H323)&lt;&gt;"Disqualified — Free Game",INDEX('Game Records'!$G:$G,$H323)=""),"Gross Pot; ","")&amp;IF(AND(INDEX('Game Records'!$U:$U,$H323)&lt;&gt;"Free Game",INDEX('Game Records'!$U:$U,$H323)&lt;&gt;"Disqualified — Free Game",INDEX('Game Records'!$H:$H,$H323)=""),"Entry Fee; ","")&amp;IF(AND(INDEX('Game Records'!$U:$U,$H323)&lt;&gt;"Subscription",INDEX('Game Records'!$U:$U,$H323)&lt;&gt;"Free Game",INDEX('Game Records'!$U:$U,$H323)&lt;&gt;"Disqualified — Free Game",INDEX('Game Records'!$I:$I,$H323)=""),"Eligible Players; ","")&amp;IF(AND(INDEX('Game Records'!$U:$U,$H323)&lt;&gt;"Subscription",INDEX('Game Records'!$U:$U,$H323)&lt;&gt;"Free Game",INDEX('Game Records'!$U:$U,$H323)&lt;&gt;"Disqualified — Free Game",INDEX('Game Records'!$J:$J,$H323)=""),"Total Players; ","")&amp;IF(AND(LOWER(INDEX('Game Records'!$D:$D,$H323)&amp;"")="finalized",LOWER(INDEX('Game Records'!$L:$L,$H323)&amp;"")&lt;&gt;"yes",INDEX('Game Records'!$U:$U,$H323)&lt;&gt;"Subscription",INDEX('Game Records'!$U:$U,$H323)&lt;&gt;"Free Game",INDEX('Game Records'!$U:$U,$H323)&lt;&gt;"Disqualified — Free Game",INDEX('Game Records'!$K:$K,$H323)=""),"Final Earned; ","")&amp;IF(AND(LOWER(INDEX('Game Records'!$D:$D,$H323)&amp;"")="finalized",INDEX('Game Records'!$U:$U,$H323)&lt;&gt;"Subscription",INDEX('Game Records'!$U:$U,$H323)&lt;&gt;"Free Game",INDEX('Game Records'!$U:$U,$H323)&lt;&gt;"Disqualified — Free Game",OR(INDEX('Game Records'!$L:$L,$H323)="",LOWER(INDEX('Game Records'!$L:$L,$H323)&amp;"")="n/a")),"Disqualified Status; ",""))</x:f>
        <x:v/>
      </x:c>
      <x:c r="G323" s="331" t="str">
        <x:f>IF($H323="","",IFERROR(INDEX('Game Records'!$M:$M,$H323),""))</x:f>
        <x:v/>
      </x:c>
      <x:c r="H323" s="104" t="str">
        <x:f>IF($H322="","",IFERROR(MATCH(1,INDEX((ROW('Game Records'!$U$5:$U$504)&gt;$H322)*(('Game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4" ht="24" customHeight="1">
      <x:c r="A324" s="332" t="str">
        <x:f>IF($H324="","",ROWS($A$5:A324))</x:f>
        <x:v/>
      </x:c>
      <x:c r="B324" s="332" t="str">
        <x:f>IF($H324="","","G-"&amp;TEXT($A324,"0000"))</x:f>
        <x:v/>
      </x:c>
      <x:c r="C324" s="331" t="str">
        <x:f>IF($H324="","",IFERROR(INDEX('Game Records'!$A:$A,$H324),""))</x:f>
        <x:v/>
      </x:c>
      <x:c r="D324" s="331" t="str">
        <x:f>IF($H324="","",IFERROR(INDEX('Game Records'!$U:$U,$H324),""))</x:f>
        <x:v/>
      </x:c>
      <x:c r="E324" s="331" t="str">
        <x:f>IF($H324="","",IF($F324="","No Highlighted Fields","Highlighted Fields Present"))</x:f>
        <x:v/>
      </x:c>
      <x:c r="F324" s="331" t="str">
        <x:f>IF($H324="","",IF(INDEX('Game Records'!$B:$B,$H324)="","Start Date; ","")&amp;IF(INDEX('Game Records'!$C:$C,$H324)="","End Date; ","")&amp;IF(AND(INDEX('Game Records'!$U:$U,$H324)&lt;&gt;"Subscription",INDEX('Game Records'!$U:$U,$H324)&lt;&gt;"Free Game",INDEX('Game Records'!$U:$U,$H324)&lt;&gt;"Disqualified — Free Game",OR(INDEX('Game Records'!$D:$D,$H324)="",LOWER(INDEX('Game Records'!$D:$D,$H324)&amp;"")="n/a")),"Entry Mode; ","")&amp;IF(AND(INDEX('Game Records'!$U:$U,$H324)&lt;&gt;"Subscription",INDEX('Game Records'!$U:$U,$H324)&lt;&gt;"Free Game",INDEX('Game Records'!$U:$U,$H324)&lt;&gt;"Disqualified — Free Game",OR(INDEX('Game Records'!$E:$E,$H324)="",LOWER(INDEX('Game Records'!$E:$E,$H324)&amp;"")="n/a")),"Game Type; ","")&amp;IF(INDEX('Game Records'!$F:$F,$H324)="","Payment Type; ","")&amp;IF(AND(INDEX('Game Records'!$U:$U,$H324)&lt;&gt;"Subscription",INDEX('Game Records'!$U:$U,$H324)&lt;&gt;"Free Game",INDEX('Game Records'!$U:$U,$H324)&lt;&gt;"Disqualified — Free Game",INDEX('Game Records'!$G:$G,$H324)=""),"Gross Pot; ","")&amp;IF(AND(INDEX('Game Records'!$U:$U,$H324)&lt;&gt;"Free Game",INDEX('Game Records'!$U:$U,$H324)&lt;&gt;"Disqualified — Free Game",INDEX('Game Records'!$H:$H,$H324)=""),"Entry Fee; ","")&amp;IF(AND(INDEX('Game Records'!$U:$U,$H324)&lt;&gt;"Subscription",INDEX('Game Records'!$U:$U,$H324)&lt;&gt;"Free Game",INDEX('Game Records'!$U:$U,$H324)&lt;&gt;"Disqualified — Free Game",INDEX('Game Records'!$I:$I,$H324)=""),"Eligible Players; ","")&amp;IF(AND(INDEX('Game Records'!$U:$U,$H324)&lt;&gt;"Subscription",INDEX('Game Records'!$U:$U,$H324)&lt;&gt;"Free Game",INDEX('Game Records'!$U:$U,$H324)&lt;&gt;"Disqualified — Free Game",INDEX('Game Records'!$J:$J,$H324)=""),"Total Players; ","")&amp;IF(AND(LOWER(INDEX('Game Records'!$D:$D,$H324)&amp;"")="finalized",LOWER(INDEX('Game Records'!$L:$L,$H324)&amp;"")&lt;&gt;"yes",INDEX('Game Records'!$U:$U,$H324)&lt;&gt;"Subscription",INDEX('Game Records'!$U:$U,$H324)&lt;&gt;"Free Game",INDEX('Game Records'!$U:$U,$H324)&lt;&gt;"Disqualified — Free Game",INDEX('Game Records'!$K:$K,$H324)=""),"Final Earned; ","")&amp;IF(AND(LOWER(INDEX('Game Records'!$D:$D,$H324)&amp;"")="finalized",INDEX('Game Records'!$U:$U,$H324)&lt;&gt;"Subscription",INDEX('Game Records'!$U:$U,$H324)&lt;&gt;"Free Game",INDEX('Game Records'!$U:$U,$H324)&lt;&gt;"Disqualified — Free Game",OR(INDEX('Game Records'!$L:$L,$H324)="",LOWER(INDEX('Game Records'!$L:$L,$H324)&amp;"")="n/a")),"Disqualified Status; ",""))</x:f>
        <x:v/>
      </x:c>
      <x:c r="G324" s="331" t="str">
        <x:f>IF($H324="","",IFERROR(INDEX('Game Records'!$M:$M,$H324),""))</x:f>
        <x:v/>
      </x:c>
      <x:c r="H324" s="104" t="str">
        <x:f>IF($H323="","",IFERROR(MATCH(1,INDEX((ROW('Game Records'!$U$5:$U$504)&gt;$H323)*(('Game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5" ht="24" customHeight="1">
      <x:c r="A325" s="332" t="str">
        <x:f>IF($H325="","",ROWS($A$5:A325))</x:f>
        <x:v/>
      </x:c>
      <x:c r="B325" s="332" t="str">
        <x:f>IF($H325="","","G-"&amp;TEXT($A325,"0000"))</x:f>
        <x:v/>
      </x:c>
      <x:c r="C325" s="331" t="str">
        <x:f>IF($H325="","",IFERROR(INDEX('Game Records'!$A:$A,$H325),""))</x:f>
        <x:v/>
      </x:c>
      <x:c r="D325" s="331" t="str">
        <x:f>IF($H325="","",IFERROR(INDEX('Game Records'!$U:$U,$H325),""))</x:f>
        <x:v/>
      </x:c>
      <x:c r="E325" s="331" t="str">
        <x:f>IF($H325="","",IF($F325="","No Highlighted Fields","Highlighted Fields Present"))</x:f>
        <x:v/>
      </x:c>
      <x:c r="F325" s="331" t="str">
        <x:f>IF($H325="","",IF(INDEX('Game Records'!$B:$B,$H325)="","Start Date; ","")&amp;IF(INDEX('Game Records'!$C:$C,$H325)="","End Date; ","")&amp;IF(AND(INDEX('Game Records'!$U:$U,$H325)&lt;&gt;"Subscription",INDEX('Game Records'!$U:$U,$H325)&lt;&gt;"Free Game",INDEX('Game Records'!$U:$U,$H325)&lt;&gt;"Disqualified — Free Game",OR(INDEX('Game Records'!$D:$D,$H325)="",LOWER(INDEX('Game Records'!$D:$D,$H325)&amp;"")="n/a")),"Entry Mode; ","")&amp;IF(AND(INDEX('Game Records'!$U:$U,$H325)&lt;&gt;"Subscription",INDEX('Game Records'!$U:$U,$H325)&lt;&gt;"Free Game",INDEX('Game Records'!$U:$U,$H325)&lt;&gt;"Disqualified — Free Game",OR(INDEX('Game Records'!$E:$E,$H325)="",LOWER(INDEX('Game Records'!$E:$E,$H325)&amp;"")="n/a")),"Game Type; ","")&amp;IF(INDEX('Game Records'!$F:$F,$H325)="","Payment Type; ","")&amp;IF(AND(INDEX('Game Records'!$U:$U,$H325)&lt;&gt;"Subscription",INDEX('Game Records'!$U:$U,$H325)&lt;&gt;"Free Game",INDEX('Game Records'!$U:$U,$H325)&lt;&gt;"Disqualified — Free Game",INDEX('Game Records'!$G:$G,$H325)=""),"Gross Pot; ","")&amp;IF(AND(INDEX('Game Records'!$U:$U,$H325)&lt;&gt;"Free Game",INDEX('Game Records'!$U:$U,$H325)&lt;&gt;"Disqualified — Free Game",INDEX('Game Records'!$H:$H,$H325)=""),"Entry Fee; ","")&amp;IF(AND(INDEX('Game Records'!$U:$U,$H325)&lt;&gt;"Subscription",INDEX('Game Records'!$U:$U,$H325)&lt;&gt;"Free Game",INDEX('Game Records'!$U:$U,$H325)&lt;&gt;"Disqualified — Free Game",INDEX('Game Records'!$I:$I,$H325)=""),"Eligible Players; ","")&amp;IF(AND(INDEX('Game Records'!$U:$U,$H325)&lt;&gt;"Subscription",INDEX('Game Records'!$U:$U,$H325)&lt;&gt;"Free Game",INDEX('Game Records'!$U:$U,$H325)&lt;&gt;"Disqualified — Free Game",INDEX('Game Records'!$J:$J,$H325)=""),"Total Players; ","")&amp;IF(AND(LOWER(INDEX('Game Records'!$D:$D,$H325)&amp;"")="finalized",LOWER(INDEX('Game Records'!$L:$L,$H325)&amp;"")&lt;&gt;"yes",INDEX('Game Records'!$U:$U,$H325)&lt;&gt;"Subscription",INDEX('Game Records'!$U:$U,$H325)&lt;&gt;"Free Game",INDEX('Game Records'!$U:$U,$H325)&lt;&gt;"Disqualified — Free Game",INDEX('Game Records'!$K:$K,$H325)=""),"Final Earned; ","")&amp;IF(AND(LOWER(INDEX('Game Records'!$D:$D,$H325)&amp;"")="finalized",INDEX('Game Records'!$U:$U,$H325)&lt;&gt;"Subscription",INDEX('Game Records'!$U:$U,$H325)&lt;&gt;"Free Game",INDEX('Game Records'!$U:$U,$H325)&lt;&gt;"Disqualified — Free Game",OR(INDEX('Game Records'!$L:$L,$H325)="",LOWER(INDEX('Game Records'!$L:$L,$H325)&amp;"")="n/a")),"Disqualified Status; ",""))</x:f>
        <x:v/>
      </x:c>
      <x:c r="G325" s="331" t="str">
        <x:f>IF($H325="","",IFERROR(INDEX('Game Records'!$M:$M,$H325),""))</x:f>
        <x:v/>
      </x:c>
      <x:c r="H325" s="104" t="str">
        <x:f>IF($H324="","",IFERROR(MATCH(1,INDEX((ROW('Game Records'!$U$5:$U$504)&gt;$H324)*(('Game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6" ht="24" customHeight="1">
      <x:c r="A326" s="332" t="str">
        <x:f>IF($H326="","",ROWS($A$5:A326))</x:f>
        <x:v/>
      </x:c>
      <x:c r="B326" s="332" t="str">
        <x:f>IF($H326="","","G-"&amp;TEXT($A326,"0000"))</x:f>
        <x:v/>
      </x:c>
      <x:c r="C326" s="331" t="str">
        <x:f>IF($H326="","",IFERROR(INDEX('Game Records'!$A:$A,$H326),""))</x:f>
        <x:v/>
      </x:c>
      <x:c r="D326" s="331" t="str">
        <x:f>IF($H326="","",IFERROR(INDEX('Game Records'!$U:$U,$H326),""))</x:f>
        <x:v/>
      </x:c>
      <x:c r="E326" s="331" t="str">
        <x:f>IF($H326="","",IF($F326="","No Highlighted Fields","Highlighted Fields Present"))</x:f>
        <x:v/>
      </x:c>
      <x:c r="F326" s="331" t="str">
        <x:f>IF($H326="","",IF(INDEX('Game Records'!$B:$B,$H326)="","Start Date; ","")&amp;IF(INDEX('Game Records'!$C:$C,$H326)="","End Date; ","")&amp;IF(AND(INDEX('Game Records'!$U:$U,$H326)&lt;&gt;"Subscription",INDEX('Game Records'!$U:$U,$H326)&lt;&gt;"Free Game",INDEX('Game Records'!$U:$U,$H326)&lt;&gt;"Disqualified — Free Game",OR(INDEX('Game Records'!$D:$D,$H326)="",LOWER(INDEX('Game Records'!$D:$D,$H326)&amp;"")="n/a")),"Entry Mode; ","")&amp;IF(AND(INDEX('Game Records'!$U:$U,$H326)&lt;&gt;"Subscription",INDEX('Game Records'!$U:$U,$H326)&lt;&gt;"Free Game",INDEX('Game Records'!$U:$U,$H326)&lt;&gt;"Disqualified — Free Game",OR(INDEX('Game Records'!$E:$E,$H326)="",LOWER(INDEX('Game Records'!$E:$E,$H326)&amp;"")="n/a")),"Game Type; ","")&amp;IF(INDEX('Game Records'!$F:$F,$H326)="","Payment Type; ","")&amp;IF(AND(INDEX('Game Records'!$U:$U,$H326)&lt;&gt;"Subscription",INDEX('Game Records'!$U:$U,$H326)&lt;&gt;"Free Game",INDEX('Game Records'!$U:$U,$H326)&lt;&gt;"Disqualified — Free Game",INDEX('Game Records'!$G:$G,$H326)=""),"Gross Pot; ","")&amp;IF(AND(INDEX('Game Records'!$U:$U,$H326)&lt;&gt;"Free Game",INDEX('Game Records'!$U:$U,$H326)&lt;&gt;"Disqualified — Free Game",INDEX('Game Records'!$H:$H,$H326)=""),"Entry Fee; ","")&amp;IF(AND(INDEX('Game Records'!$U:$U,$H326)&lt;&gt;"Subscription",INDEX('Game Records'!$U:$U,$H326)&lt;&gt;"Free Game",INDEX('Game Records'!$U:$U,$H326)&lt;&gt;"Disqualified — Free Game",INDEX('Game Records'!$I:$I,$H326)=""),"Eligible Players; ","")&amp;IF(AND(INDEX('Game Records'!$U:$U,$H326)&lt;&gt;"Subscription",INDEX('Game Records'!$U:$U,$H326)&lt;&gt;"Free Game",INDEX('Game Records'!$U:$U,$H326)&lt;&gt;"Disqualified — Free Game",INDEX('Game Records'!$J:$J,$H326)=""),"Total Players; ","")&amp;IF(AND(LOWER(INDEX('Game Records'!$D:$D,$H326)&amp;"")="finalized",LOWER(INDEX('Game Records'!$L:$L,$H326)&amp;"")&lt;&gt;"yes",INDEX('Game Records'!$U:$U,$H326)&lt;&gt;"Subscription",INDEX('Game Records'!$U:$U,$H326)&lt;&gt;"Free Game",INDEX('Game Records'!$U:$U,$H326)&lt;&gt;"Disqualified — Free Game",INDEX('Game Records'!$K:$K,$H326)=""),"Final Earned; ","")&amp;IF(AND(LOWER(INDEX('Game Records'!$D:$D,$H326)&amp;"")="finalized",INDEX('Game Records'!$U:$U,$H326)&lt;&gt;"Subscription",INDEX('Game Records'!$U:$U,$H326)&lt;&gt;"Free Game",INDEX('Game Records'!$U:$U,$H326)&lt;&gt;"Disqualified — Free Game",OR(INDEX('Game Records'!$L:$L,$H326)="",LOWER(INDEX('Game Records'!$L:$L,$H326)&amp;"")="n/a")),"Disqualified Status; ",""))</x:f>
        <x:v/>
      </x:c>
      <x:c r="G326" s="331" t="str">
        <x:f>IF($H326="","",IFERROR(INDEX('Game Records'!$M:$M,$H326),""))</x:f>
        <x:v/>
      </x:c>
      <x:c r="H326" s="104" t="str">
        <x:f>IF($H325="","",IFERROR(MATCH(1,INDEX((ROW('Game Records'!$U$5:$U$504)&gt;$H325)*(('Game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7" ht="24" customHeight="1">
      <x:c r="A327" s="332" t="str">
        <x:f>IF($H327="","",ROWS($A$5:A327))</x:f>
        <x:v/>
      </x:c>
      <x:c r="B327" s="332" t="str">
        <x:f>IF($H327="","","G-"&amp;TEXT($A327,"0000"))</x:f>
        <x:v/>
      </x:c>
      <x:c r="C327" s="331" t="str">
        <x:f>IF($H327="","",IFERROR(INDEX('Game Records'!$A:$A,$H327),""))</x:f>
        <x:v/>
      </x:c>
      <x:c r="D327" s="331" t="str">
        <x:f>IF($H327="","",IFERROR(INDEX('Game Records'!$U:$U,$H327),""))</x:f>
        <x:v/>
      </x:c>
      <x:c r="E327" s="331" t="str">
        <x:f>IF($H327="","",IF($F327="","No Highlighted Fields","Highlighted Fields Present"))</x:f>
        <x:v/>
      </x:c>
      <x:c r="F327" s="331" t="str">
        <x:f>IF($H327="","",IF(INDEX('Game Records'!$B:$B,$H327)="","Start Date; ","")&amp;IF(INDEX('Game Records'!$C:$C,$H327)="","End Date; ","")&amp;IF(AND(INDEX('Game Records'!$U:$U,$H327)&lt;&gt;"Subscription",INDEX('Game Records'!$U:$U,$H327)&lt;&gt;"Free Game",INDEX('Game Records'!$U:$U,$H327)&lt;&gt;"Disqualified — Free Game",OR(INDEX('Game Records'!$D:$D,$H327)="",LOWER(INDEX('Game Records'!$D:$D,$H327)&amp;"")="n/a")),"Entry Mode; ","")&amp;IF(AND(INDEX('Game Records'!$U:$U,$H327)&lt;&gt;"Subscription",INDEX('Game Records'!$U:$U,$H327)&lt;&gt;"Free Game",INDEX('Game Records'!$U:$U,$H327)&lt;&gt;"Disqualified — Free Game",OR(INDEX('Game Records'!$E:$E,$H327)="",LOWER(INDEX('Game Records'!$E:$E,$H327)&amp;"")="n/a")),"Game Type; ","")&amp;IF(INDEX('Game Records'!$F:$F,$H327)="","Payment Type; ","")&amp;IF(AND(INDEX('Game Records'!$U:$U,$H327)&lt;&gt;"Subscription",INDEX('Game Records'!$U:$U,$H327)&lt;&gt;"Free Game",INDEX('Game Records'!$U:$U,$H327)&lt;&gt;"Disqualified — Free Game",INDEX('Game Records'!$G:$G,$H327)=""),"Gross Pot; ","")&amp;IF(AND(INDEX('Game Records'!$U:$U,$H327)&lt;&gt;"Free Game",INDEX('Game Records'!$U:$U,$H327)&lt;&gt;"Disqualified — Free Game",INDEX('Game Records'!$H:$H,$H327)=""),"Entry Fee; ","")&amp;IF(AND(INDEX('Game Records'!$U:$U,$H327)&lt;&gt;"Subscription",INDEX('Game Records'!$U:$U,$H327)&lt;&gt;"Free Game",INDEX('Game Records'!$U:$U,$H327)&lt;&gt;"Disqualified — Free Game",INDEX('Game Records'!$I:$I,$H327)=""),"Eligible Players; ","")&amp;IF(AND(INDEX('Game Records'!$U:$U,$H327)&lt;&gt;"Subscription",INDEX('Game Records'!$U:$U,$H327)&lt;&gt;"Free Game",INDEX('Game Records'!$U:$U,$H327)&lt;&gt;"Disqualified — Free Game",INDEX('Game Records'!$J:$J,$H327)=""),"Total Players; ","")&amp;IF(AND(LOWER(INDEX('Game Records'!$D:$D,$H327)&amp;"")="finalized",LOWER(INDEX('Game Records'!$L:$L,$H327)&amp;"")&lt;&gt;"yes",INDEX('Game Records'!$U:$U,$H327)&lt;&gt;"Subscription",INDEX('Game Records'!$U:$U,$H327)&lt;&gt;"Free Game",INDEX('Game Records'!$U:$U,$H327)&lt;&gt;"Disqualified — Free Game",INDEX('Game Records'!$K:$K,$H327)=""),"Final Earned; ","")&amp;IF(AND(LOWER(INDEX('Game Records'!$D:$D,$H327)&amp;"")="finalized",INDEX('Game Records'!$U:$U,$H327)&lt;&gt;"Subscription",INDEX('Game Records'!$U:$U,$H327)&lt;&gt;"Free Game",INDEX('Game Records'!$U:$U,$H327)&lt;&gt;"Disqualified — Free Game",OR(INDEX('Game Records'!$L:$L,$H327)="",LOWER(INDEX('Game Records'!$L:$L,$H327)&amp;"")="n/a")),"Disqualified Status; ",""))</x:f>
        <x:v/>
      </x:c>
      <x:c r="G327" s="331" t="str">
        <x:f>IF($H327="","",IFERROR(INDEX('Game Records'!$M:$M,$H327),""))</x:f>
        <x:v/>
      </x:c>
      <x:c r="H327" s="104" t="str">
        <x:f>IF($H326="","",IFERROR(MATCH(1,INDEX((ROW('Game Records'!$U$5:$U$504)&gt;$H326)*(('Game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8" ht="24" customHeight="1">
      <x:c r="A328" s="332" t="str">
        <x:f>IF($H328="","",ROWS($A$5:A328))</x:f>
        <x:v/>
      </x:c>
      <x:c r="B328" s="332" t="str">
        <x:f>IF($H328="","","G-"&amp;TEXT($A328,"0000"))</x:f>
        <x:v/>
      </x:c>
      <x:c r="C328" s="331" t="str">
        <x:f>IF($H328="","",IFERROR(INDEX('Game Records'!$A:$A,$H328),""))</x:f>
        <x:v/>
      </x:c>
      <x:c r="D328" s="331" t="str">
        <x:f>IF($H328="","",IFERROR(INDEX('Game Records'!$U:$U,$H328),""))</x:f>
        <x:v/>
      </x:c>
      <x:c r="E328" s="331" t="str">
        <x:f>IF($H328="","",IF($F328="","No Highlighted Fields","Highlighted Fields Present"))</x:f>
        <x:v/>
      </x:c>
      <x:c r="F328" s="331" t="str">
        <x:f>IF($H328="","",IF(INDEX('Game Records'!$B:$B,$H328)="","Start Date; ","")&amp;IF(INDEX('Game Records'!$C:$C,$H328)="","End Date; ","")&amp;IF(AND(INDEX('Game Records'!$U:$U,$H328)&lt;&gt;"Subscription",INDEX('Game Records'!$U:$U,$H328)&lt;&gt;"Free Game",INDEX('Game Records'!$U:$U,$H328)&lt;&gt;"Disqualified — Free Game",OR(INDEX('Game Records'!$D:$D,$H328)="",LOWER(INDEX('Game Records'!$D:$D,$H328)&amp;"")="n/a")),"Entry Mode; ","")&amp;IF(AND(INDEX('Game Records'!$U:$U,$H328)&lt;&gt;"Subscription",INDEX('Game Records'!$U:$U,$H328)&lt;&gt;"Free Game",INDEX('Game Records'!$U:$U,$H328)&lt;&gt;"Disqualified — Free Game",OR(INDEX('Game Records'!$E:$E,$H328)="",LOWER(INDEX('Game Records'!$E:$E,$H328)&amp;"")="n/a")),"Game Type; ","")&amp;IF(INDEX('Game Records'!$F:$F,$H328)="","Payment Type; ","")&amp;IF(AND(INDEX('Game Records'!$U:$U,$H328)&lt;&gt;"Subscription",INDEX('Game Records'!$U:$U,$H328)&lt;&gt;"Free Game",INDEX('Game Records'!$U:$U,$H328)&lt;&gt;"Disqualified — Free Game",INDEX('Game Records'!$G:$G,$H328)=""),"Gross Pot; ","")&amp;IF(AND(INDEX('Game Records'!$U:$U,$H328)&lt;&gt;"Free Game",INDEX('Game Records'!$U:$U,$H328)&lt;&gt;"Disqualified — Free Game",INDEX('Game Records'!$H:$H,$H328)=""),"Entry Fee; ","")&amp;IF(AND(INDEX('Game Records'!$U:$U,$H328)&lt;&gt;"Subscription",INDEX('Game Records'!$U:$U,$H328)&lt;&gt;"Free Game",INDEX('Game Records'!$U:$U,$H328)&lt;&gt;"Disqualified — Free Game",INDEX('Game Records'!$I:$I,$H328)=""),"Eligible Players; ","")&amp;IF(AND(INDEX('Game Records'!$U:$U,$H328)&lt;&gt;"Subscription",INDEX('Game Records'!$U:$U,$H328)&lt;&gt;"Free Game",INDEX('Game Records'!$U:$U,$H328)&lt;&gt;"Disqualified — Free Game",INDEX('Game Records'!$J:$J,$H328)=""),"Total Players; ","")&amp;IF(AND(LOWER(INDEX('Game Records'!$D:$D,$H328)&amp;"")="finalized",LOWER(INDEX('Game Records'!$L:$L,$H328)&amp;"")&lt;&gt;"yes",INDEX('Game Records'!$U:$U,$H328)&lt;&gt;"Subscription",INDEX('Game Records'!$U:$U,$H328)&lt;&gt;"Free Game",INDEX('Game Records'!$U:$U,$H328)&lt;&gt;"Disqualified — Free Game",INDEX('Game Records'!$K:$K,$H328)=""),"Final Earned; ","")&amp;IF(AND(LOWER(INDEX('Game Records'!$D:$D,$H328)&amp;"")="finalized",INDEX('Game Records'!$U:$U,$H328)&lt;&gt;"Subscription",INDEX('Game Records'!$U:$U,$H328)&lt;&gt;"Free Game",INDEX('Game Records'!$U:$U,$H328)&lt;&gt;"Disqualified — Free Game",OR(INDEX('Game Records'!$L:$L,$H328)="",LOWER(INDEX('Game Records'!$L:$L,$H328)&amp;"")="n/a")),"Disqualified Status; ",""))</x:f>
        <x:v/>
      </x:c>
      <x:c r="G328" s="331" t="str">
        <x:f>IF($H328="","",IFERROR(INDEX('Game Records'!$M:$M,$H328),""))</x:f>
        <x:v/>
      </x:c>
      <x:c r="H328" s="104" t="str">
        <x:f>IF($H327="","",IFERROR(MATCH(1,INDEX((ROW('Game Records'!$U$5:$U$504)&gt;$H327)*(('Game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29" ht="24" customHeight="1">
      <x:c r="A329" s="332" t="str">
        <x:f>IF($H329="","",ROWS($A$5:A329))</x:f>
        <x:v/>
      </x:c>
      <x:c r="B329" s="332" t="str">
        <x:f>IF($H329="","","G-"&amp;TEXT($A329,"0000"))</x:f>
        <x:v/>
      </x:c>
      <x:c r="C329" s="331" t="str">
        <x:f>IF($H329="","",IFERROR(INDEX('Game Records'!$A:$A,$H329),""))</x:f>
        <x:v/>
      </x:c>
      <x:c r="D329" s="331" t="str">
        <x:f>IF($H329="","",IFERROR(INDEX('Game Records'!$U:$U,$H329),""))</x:f>
        <x:v/>
      </x:c>
      <x:c r="E329" s="331" t="str">
        <x:f>IF($H329="","",IF($F329="","No Highlighted Fields","Highlighted Fields Present"))</x:f>
        <x:v/>
      </x:c>
      <x:c r="F329" s="331" t="str">
        <x:f>IF($H329="","",IF(INDEX('Game Records'!$B:$B,$H329)="","Start Date; ","")&amp;IF(INDEX('Game Records'!$C:$C,$H329)="","End Date; ","")&amp;IF(AND(INDEX('Game Records'!$U:$U,$H329)&lt;&gt;"Subscription",INDEX('Game Records'!$U:$U,$H329)&lt;&gt;"Free Game",INDEX('Game Records'!$U:$U,$H329)&lt;&gt;"Disqualified — Free Game",OR(INDEX('Game Records'!$D:$D,$H329)="",LOWER(INDEX('Game Records'!$D:$D,$H329)&amp;"")="n/a")),"Entry Mode; ","")&amp;IF(AND(INDEX('Game Records'!$U:$U,$H329)&lt;&gt;"Subscription",INDEX('Game Records'!$U:$U,$H329)&lt;&gt;"Free Game",INDEX('Game Records'!$U:$U,$H329)&lt;&gt;"Disqualified — Free Game",OR(INDEX('Game Records'!$E:$E,$H329)="",LOWER(INDEX('Game Records'!$E:$E,$H329)&amp;"")="n/a")),"Game Type; ","")&amp;IF(INDEX('Game Records'!$F:$F,$H329)="","Payment Type; ","")&amp;IF(AND(INDEX('Game Records'!$U:$U,$H329)&lt;&gt;"Subscription",INDEX('Game Records'!$U:$U,$H329)&lt;&gt;"Free Game",INDEX('Game Records'!$U:$U,$H329)&lt;&gt;"Disqualified — Free Game",INDEX('Game Records'!$G:$G,$H329)=""),"Gross Pot; ","")&amp;IF(AND(INDEX('Game Records'!$U:$U,$H329)&lt;&gt;"Free Game",INDEX('Game Records'!$U:$U,$H329)&lt;&gt;"Disqualified — Free Game",INDEX('Game Records'!$H:$H,$H329)=""),"Entry Fee; ","")&amp;IF(AND(INDEX('Game Records'!$U:$U,$H329)&lt;&gt;"Subscription",INDEX('Game Records'!$U:$U,$H329)&lt;&gt;"Free Game",INDEX('Game Records'!$U:$U,$H329)&lt;&gt;"Disqualified — Free Game",INDEX('Game Records'!$I:$I,$H329)=""),"Eligible Players; ","")&amp;IF(AND(INDEX('Game Records'!$U:$U,$H329)&lt;&gt;"Subscription",INDEX('Game Records'!$U:$U,$H329)&lt;&gt;"Free Game",INDEX('Game Records'!$U:$U,$H329)&lt;&gt;"Disqualified — Free Game",INDEX('Game Records'!$J:$J,$H329)=""),"Total Players; ","")&amp;IF(AND(LOWER(INDEX('Game Records'!$D:$D,$H329)&amp;"")="finalized",LOWER(INDEX('Game Records'!$L:$L,$H329)&amp;"")&lt;&gt;"yes",INDEX('Game Records'!$U:$U,$H329)&lt;&gt;"Subscription",INDEX('Game Records'!$U:$U,$H329)&lt;&gt;"Free Game",INDEX('Game Records'!$U:$U,$H329)&lt;&gt;"Disqualified — Free Game",INDEX('Game Records'!$K:$K,$H329)=""),"Final Earned; ","")&amp;IF(AND(LOWER(INDEX('Game Records'!$D:$D,$H329)&amp;"")="finalized",INDEX('Game Records'!$U:$U,$H329)&lt;&gt;"Subscription",INDEX('Game Records'!$U:$U,$H329)&lt;&gt;"Free Game",INDEX('Game Records'!$U:$U,$H329)&lt;&gt;"Disqualified — Free Game",OR(INDEX('Game Records'!$L:$L,$H329)="",LOWER(INDEX('Game Records'!$L:$L,$H329)&amp;"")="n/a")),"Disqualified Status; ",""))</x:f>
        <x:v/>
      </x:c>
      <x:c r="G329" s="331" t="str">
        <x:f>IF($H329="","",IFERROR(INDEX('Game Records'!$M:$M,$H329),""))</x:f>
        <x:v/>
      </x:c>
      <x:c r="H329" s="104" t="str">
        <x:f>IF($H328="","",IFERROR(MATCH(1,INDEX((ROW('Game Records'!$U$5:$U$504)&gt;$H328)*(('Game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0" ht="24" customHeight="1">
      <x:c r="A330" s="332" t="str">
        <x:f>IF($H330="","",ROWS($A$5:A330))</x:f>
        <x:v/>
      </x:c>
      <x:c r="B330" s="332" t="str">
        <x:f>IF($H330="","","G-"&amp;TEXT($A330,"0000"))</x:f>
        <x:v/>
      </x:c>
      <x:c r="C330" s="331" t="str">
        <x:f>IF($H330="","",IFERROR(INDEX('Game Records'!$A:$A,$H330),""))</x:f>
        <x:v/>
      </x:c>
      <x:c r="D330" s="331" t="str">
        <x:f>IF($H330="","",IFERROR(INDEX('Game Records'!$U:$U,$H330),""))</x:f>
        <x:v/>
      </x:c>
      <x:c r="E330" s="331" t="str">
        <x:f>IF($H330="","",IF($F330="","No Highlighted Fields","Highlighted Fields Present"))</x:f>
        <x:v/>
      </x:c>
      <x:c r="F330" s="331" t="str">
        <x:f>IF($H330="","",IF(INDEX('Game Records'!$B:$B,$H330)="","Start Date; ","")&amp;IF(INDEX('Game Records'!$C:$C,$H330)="","End Date; ","")&amp;IF(AND(INDEX('Game Records'!$U:$U,$H330)&lt;&gt;"Subscription",INDEX('Game Records'!$U:$U,$H330)&lt;&gt;"Free Game",INDEX('Game Records'!$U:$U,$H330)&lt;&gt;"Disqualified — Free Game",OR(INDEX('Game Records'!$D:$D,$H330)="",LOWER(INDEX('Game Records'!$D:$D,$H330)&amp;"")="n/a")),"Entry Mode; ","")&amp;IF(AND(INDEX('Game Records'!$U:$U,$H330)&lt;&gt;"Subscription",INDEX('Game Records'!$U:$U,$H330)&lt;&gt;"Free Game",INDEX('Game Records'!$U:$U,$H330)&lt;&gt;"Disqualified — Free Game",OR(INDEX('Game Records'!$E:$E,$H330)="",LOWER(INDEX('Game Records'!$E:$E,$H330)&amp;"")="n/a")),"Game Type; ","")&amp;IF(INDEX('Game Records'!$F:$F,$H330)="","Payment Type; ","")&amp;IF(AND(INDEX('Game Records'!$U:$U,$H330)&lt;&gt;"Subscription",INDEX('Game Records'!$U:$U,$H330)&lt;&gt;"Free Game",INDEX('Game Records'!$U:$U,$H330)&lt;&gt;"Disqualified — Free Game",INDEX('Game Records'!$G:$G,$H330)=""),"Gross Pot; ","")&amp;IF(AND(INDEX('Game Records'!$U:$U,$H330)&lt;&gt;"Free Game",INDEX('Game Records'!$U:$U,$H330)&lt;&gt;"Disqualified — Free Game",INDEX('Game Records'!$H:$H,$H330)=""),"Entry Fee; ","")&amp;IF(AND(INDEX('Game Records'!$U:$U,$H330)&lt;&gt;"Subscription",INDEX('Game Records'!$U:$U,$H330)&lt;&gt;"Free Game",INDEX('Game Records'!$U:$U,$H330)&lt;&gt;"Disqualified — Free Game",INDEX('Game Records'!$I:$I,$H330)=""),"Eligible Players; ","")&amp;IF(AND(INDEX('Game Records'!$U:$U,$H330)&lt;&gt;"Subscription",INDEX('Game Records'!$U:$U,$H330)&lt;&gt;"Free Game",INDEX('Game Records'!$U:$U,$H330)&lt;&gt;"Disqualified — Free Game",INDEX('Game Records'!$J:$J,$H330)=""),"Total Players; ","")&amp;IF(AND(LOWER(INDEX('Game Records'!$D:$D,$H330)&amp;"")="finalized",LOWER(INDEX('Game Records'!$L:$L,$H330)&amp;"")&lt;&gt;"yes",INDEX('Game Records'!$U:$U,$H330)&lt;&gt;"Subscription",INDEX('Game Records'!$U:$U,$H330)&lt;&gt;"Free Game",INDEX('Game Records'!$U:$U,$H330)&lt;&gt;"Disqualified — Free Game",INDEX('Game Records'!$K:$K,$H330)=""),"Final Earned; ","")&amp;IF(AND(LOWER(INDEX('Game Records'!$D:$D,$H330)&amp;"")="finalized",INDEX('Game Records'!$U:$U,$H330)&lt;&gt;"Subscription",INDEX('Game Records'!$U:$U,$H330)&lt;&gt;"Free Game",INDEX('Game Records'!$U:$U,$H330)&lt;&gt;"Disqualified — Free Game",OR(INDEX('Game Records'!$L:$L,$H330)="",LOWER(INDEX('Game Records'!$L:$L,$H330)&amp;"")="n/a")),"Disqualified Status; ",""))</x:f>
        <x:v/>
      </x:c>
      <x:c r="G330" s="331" t="str">
        <x:f>IF($H330="","",IFERROR(INDEX('Game Records'!$M:$M,$H330),""))</x:f>
        <x:v/>
      </x:c>
      <x:c r="H330" s="104" t="str">
        <x:f>IF($H329="","",IFERROR(MATCH(1,INDEX((ROW('Game Records'!$U$5:$U$504)&gt;$H329)*(('Game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1" ht="24" customHeight="1">
      <x:c r="A331" s="332" t="str">
        <x:f>IF($H331="","",ROWS($A$5:A331))</x:f>
        <x:v/>
      </x:c>
      <x:c r="B331" s="332" t="str">
        <x:f>IF($H331="","","G-"&amp;TEXT($A331,"0000"))</x:f>
        <x:v/>
      </x:c>
      <x:c r="C331" s="331" t="str">
        <x:f>IF($H331="","",IFERROR(INDEX('Game Records'!$A:$A,$H331),""))</x:f>
        <x:v/>
      </x:c>
      <x:c r="D331" s="331" t="str">
        <x:f>IF($H331="","",IFERROR(INDEX('Game Records'!$U:$U,$H331),""))</x:f>
        <x:v/>
      </x:c>
      <x:c r="E331" s="331" t="str">
        <x:f>IF($H331="","",IF($F331="","No Highlighted Fields","Highlighted Fields Present"))</x:f>
        <x:v/>
      </x:c>
      <x:c r="F331" s="331" t="str">
        <x:f>IF($H331="","",IF(INDEX('Game Records'!$B:$B,$H331)="","Start Date; ","")&amp;IF(INDEX('Game Records'!$C:$C,$H331)="","End Date; ","")&amp;IF(AND(INDEX('Game Records'!$U:$U,$H331)&lt;&gt;"Subscription",INDEX('Game Records'!$U:$U,$H331)&lt;&gt;"Free Game",INDEX('Game Records'!$U:$U,$H331)&lt;&gt;"Disqualified — Free Game",OR(INDEX('Game Records'!$D:$D,$H331)="",LOWER(INDEX('Game Records'!$D:$D,$H331)&amp;"")="n/a")),"Entry Mode; ","")&amp;IF(AND(INDEX('Game Records'!$U:$U,$H331)&lt;&gt;"Subscription",INDEX('Game Records'!$U:$U,$H331)&lt;&gt;"Free Game",INDEX('Game Records'!$U:$U,$H331)&lt;&gt;"Disqualified — Free Game",OR(INDEX('Game Records'!$E:$E,$H331)="",LOWER(INDEX('Game Records'!$E:$E,$H331)&amp;"")="n/a")),"Game Type; ","")&amp;IF(INDEX('Game Records'!$F:$F,$H331)="","Payment Type; ","")&amp;IF(AND(INDEX('Game Records'!$U:$U,$H331)&lt;&gt;"Subscription",INDEX('Game Records'!$U:$U,$H331)&lt;&gt;"Free Game",INDEX('Game Records'!$U:$U,$H331)&lt;&gt;"Disqualified — Free Game",INDEX('Game Records'!$G:$G,$H331)=""),"Gross Pot; ","")&amp;IF(AND(INDEX('Game Records'!$U:$U,$H331)&lt;&gt;"Free Game",INDEX('Game Records'!$U:$U,$H331)&lt;&gt;"Disqualified — Free Game",INDEX('Game Records'!$H:$H,$H331)=""),"Entry Fee; ","")&amp;IF(AND(INDEX('Game Records'!$U:$U,$H331)&lt;&gt;"Subscription",INDEX('Game Records'!$U:$U,$H331)&lt;&gt;"Free Game",INDEX('Game Records'!$U:$U,$H331)&lt;&gt;"Disqualified — Free Game",INDEX('Game Records'!$I:$I,$H331)=""),"Eligible Players; ","")&amp;IF(AND(INDEX('Game Records'!$U:$U,$H331)&lt;&gt;"Subscription",INDEX('Game Records'!$U:$U,$H331)&lt;&gt;"Free Game",INDEX('Game Records'!$U:$U,$H331)&lt;&gt;"Disqualified — Free Game",INDEX('Game Records'!$J:$J,$H331)=""),"Total Players; ","")&amp;IF(AND(LOWER(INDEX('Game Records'!$D:$D,$H331)&amp;"")="finalized",LOWER(INDEX('Game Records'!$L:$L,$H331)&amp;"")&lt;&gt;"yes",INDEX('Game Records'!$U:$U,$H331)&lt;&gt;"Subscription",INDEX('Game Records'!$U:$U,$H331)&lt;&gt;"Free Game",INDEX('Game Records'!$U:$U,$H331)&lt;&gt;"Disqualified — Free Game",INDEX('Game Records'!$K:$K,$H331)=""),"Final Earned; ","")&amp;IF(AND(LOWER(INDEX('Game Records'!$D:$D,$H331)&amp;"")="finalized",INDEX('Game Records'!$U:$U,$H331)&lt;&gt;"Subscription",INDEX('Game Records'!$U:$U,$H331)&lt;&gt;"Free Game",INDEX('Game Records'!$U:$U,$H331)&lt;&gt;"Disqualified — Free Game",OR(INDEX('Game Records'!$L:$L,$H331)="",LOWER(INDEX('Game Records'!$L:$L,$H331)&amp;"")="n/a")),"Disqualified Status; ",""))</x:f>
        <x:v/>
      </x:c>
      <x:c r="G331" s="331" t="str">
        <x:f>IF($H331="","",IFERROR(INDEX('Game Records'!$M:$M,$H331),""))</x:f>
        <x:v/>
      </x:c>
      <x:c r="H331" s="104" t="str">
        <x:f>IF($H330="","",IFERROR(MATCH(1,INDEX((ROW('Game Records'!$U$5:$U$504)&gt;$H330)*(('Game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2" ht="24" customHeight="1">
      <x:c r="A332" s="332" t="str">
        <x:f>IF($H332="","",ROWS($A$5:A332))</x:f>
        <x:v/>
      </x:c>
      <x:c r="B332" s="332" t="str">
        <x:f>IF($H332="","","G-"&amp;TEXT($A332,"0000"))</x:f>
        <x:v/>
      </x:c>
      <x:c r="C332" s="331" t="str">
        <x:f>IF($H332="","",IFERROR(INDEX('Game Records'!$A:$A,$H332),""))</x:f>
        <x:v/>
      </x:c>
      <x:c r="D332" s="331" t="str">
        <x:f>IF($H332="","",IFERROR(INDEX('Game Records'!$U:$U,$H332),""))</x:f>
        <x:v/>
      </x:c>
      <x:c r="E332" s="331" t="str">
        <x:f>IF($H332="","",IF($F332="","No Highlighted Fields","Highlighted Fields Present"))</x:f>
        <x:v/>
      </x:c>
      <x:c r="F332" s="331" t="str">
        <x:f>IF($H332="","",IF(INDEX('Game Records'!$B:$B,$H332)="","Start Date; ","")&amp;IF(INDEX('Game Records'!$C:$C,$H332)="","End Date; ","")&amp;IF(AND(INDEX('Game Records'!$U:$U,$H332)&lt;&gt;"Subscription",INDEX('Game Records'!$U:$U,$H332)&lt;&gt;"Free Game",INDEX('Game Records'!$U:$U,$H332)&lt;&gt;"Disqualified — Free Game",OR(INDEX('Game Records'!$D:$D,$H332)="",LOWER(INDEX('Game Records'!$D:$D,$H332)&amp;"")="n/a")),"Entry Mode; ","")&amp;IF(AND(INDEX('Game Records'!$U:$U,$H332)&lt;&gt;"Subscription",INDEX('Game Records'!$U:$U,$H332)&lt;&gt;"Free Game",INDEX('Game Records'!$U:$U,$H332)&lt;&gt;"Disqualified — Free Game",OR(INDEX('Game Records'!$E:$E,$H332)="",LOWER(INDEX('Game Records'!$E:$E,$H332)&amp;"")="n/a")),"Game Type; ","")&amp;IF(INDEX('Game Records'!$F:$F,$H332)="","Payment Type; ","")&amp;IF(AND(INDEX('Game Records'!$U:$U,$H332)&lt;&gt;"Subscription",INDEX('Game Records'!$U:$U,$H332)&lt;&gt;"Free Game",INDEX('Game Records'!$U:$U,$H332)&lt;&gt;"Disqualified — Free Game",INDEX('Game Records'!$G:$G,$H332)=""),"Gross Pot; ","")&amp;IF(AND(INDEX('Game Records'!$U:$U,$H332)&lt;&gt;"Free Game",INDEX('Game Records'!$U:$U,$H332)&lt;&gt;"Disqualified — Free Game",INDEX('Game Records'!$H:$H,$H332)=""),"Entry Fee; ","")&amp;IF(AND(INDEX('Game Records'!$U:$U,$H332)&lt;&gt;"Subscription",INDEX('Game Records'!$U:$U,$H332)&lt;&gt;"Free Game",INDEX('Game Records'!$U:$U,$H332)&lt;&gt;"Disqualified — Free Game",INDEX('Game Records'!$I:$I,$H332)=""),"Eligible Players; ","")&amp;IF(AND(INDEX('Game Records'!$U:$U,$H332)&lt;&gt;"Subscription",INDEX('Game Records'!$U:$U,$H332)&lt;&gt;"Free Game",INDEX('Game Records'!$U:$U,$H332)&lt;&gt;"Disqualified — Free Game",INDEX('Game Records'!$J:$J,$H332)=""),"Total Players; ","")&amp;IF(AND(LOWER(INDEX('Game Records'!$D:$D,$H332)&amp;"")="finalized",LOWER(INDEX('Game Records'!$L:$L,$H332)&amp;"")&lt;&gt;"yes",INDEX('Game Records'!$U:$U,$H332)&lt;&gt;"Subscription",INDEX('Game Records'!$U:$U,$H332)&lt;&gt;"Free Game",INDEX('Game Records'!$U:$U,$H332)&lt;&gt;"Disqualified — Free Game",INDEX('Game Records'!$K:$K,$H332)=""),"Final Earned; ","")&amp;IF(AND(LOWER(INDEX('Game Records'!$D:$D,$H332)&amp;"")="finalized",INDEX('Game Records'!$U:$U,$H332)&lt;&gt;"Subscription",INDEX('Game Records'!$U:$U,$H332)&lt;&gt;"Free Game",INDEX('Game Records'!$U:$U,$H332)&lt;&gt;"Disqualified — Free Game",OR(INDEX('Game Records'!$L:$L,$H332)="",LOWER(INDEX('Game Records'!$L:$L,$H332)&amp;"")="n/a")),"Disqualified Status; ",""))</x:f>
        <x:v/>
      </x:c>
      <x:c r="G332" s="331" t="str">
        <x:f>IF($H332="","",IFERROR(INDEX('Game Records'!$M:$M,$H332),""))</x:f>
        <x:v/>
      </x:c>
      <x:c r="H332" s="104" t="str">
        <x:f>IF($H331="","",IFERROR(MATCH(1,INDEX((ROW('Game Records'!$U$5:$U$504)&gt;$H331)*(('Game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3" ht="24" customHeight="1">
      <x:c r="A333" s="332" t="str">
        <x:f>IF($H333="","",ROWS($A$5:A333))</x:f>
        <x:v/>
      </x:c>
      <x:c r="B333" s="332" t="str">
        <x:f>IF($H333="","","G-"&amp;TEXT($A333,"0000"))</x:f>
        <x:v/>
      </x:c>
      <x:c r="C333" s="331" t="str">
        <x:f>IF($H333="","",IFERROR(INDEX('Game Records'!$A:$A,$H333),""))</x:f>
        <x:v/>
      </x:c>
      <x:c r="D333" s="331" t="str">
        <x:f>IF($H333="","",IFERROR(INDEX('Game Records'!$U:$U,$H333),""))</x:f>
        <x:v/>
      </x:c>
      <x:c r="E333" s="331" t="str">
        <x:f>IF($H333="","",IF($F333="","No Highlighted Fields","Highlighted Fields Present"))</x:f>
        <x:v/>
      </x:c>
      <x:c r="F333" s="331" t="str">
        <x:f>IF($H333="","",IF(INDEX('Game Records'!$B:$B,$H333)="","Start Date; ","")&amp;IF(INDEX('Game Records'!$C:$C,$H333)="","End Date; ","")&amp;IF(AND(INDEX('Game Records'!$U:$U,$H333)&lt;&gt;"Subscription",INDEX('Game Records'!$U:$U,$H333)&lt;&gt;"Free Game",INDEX('Game Records'!$U:$U,$H333)&lt;&gt;"Disqualified — Free Game",OR(INDEX('Game Records'!$D:$D,$H333)="",LOWER(INDEX('Game Records'!$D:$D,$H333)&amp;"")="n/a")),"Entry Mode; ","")&amp;IF(AND(INDEX('Game Records'!$U:$U,$H333)&lt;&gt;"Subscription",INDEX('Game Records'!$U:$U,$H333)&lt;&gt;"Free Game",INDEX('Game Records'!$U:$U,$H333)&lt;&gt;"Disqualified — Free Game",OR(INDEX('Game Records'!$E:$E,$H333)="",LOWER(INDEX('Game Records'!$E:$E,$H333)&amp;"")="n/a")),"Game Type; ","")&amp;IF(INDEX('Game Records'!$F:$F,$H333)="","Payment Type; ","")&amp;IF(AND(INDEX('Game Records'!$U:$U,$H333)&lt;&gt;"Subscription",INDEX('Game Records'!$U:$U,$H333)&lt;&gt;"Free Game",INDEX('Game Records'!$U:$U,$H333)&lt;&gt;"Disqualified — Free Game",INDEX('Game Records'!$G:$G,$H333)=""),"Gross Pot; ","")&amp;IF(AND(INDEX('Game Records'!$U:$U,$H333)&lt;&gt;"Free Game",INDEX('Game Records'!$U:$U,$H333)&lt;&gt;"Disqualified — Free Game",INDEX('Game Records'!$H:$H,$H333)=""),"Entry Fee; ","")&amp;IF(AND(INDEX('Game Records'!$U:$U,$H333)&lt;&gt;"Subscription",INDEX('Game Records'!$U:$U,$H333)&lt;&gt;"Free Game",INDEX('Game Records'!$U:$U,$H333)&lt;&gt;"Disqualified — Free Game",INDEX('Game Records'!$I:$I,$H333)=""),"Eligible Players; ","")&amp;IF(AND(INDEX('Game Records'!$U:$U,$H333)&lt;&gt;"Subscription",INDEX('Game Records'!$U:$U,$H333)&lt;&gt;"Free Game",INDEX('Game Records'!$U:$U,$H333)&lt;&gt;"Disqualified — Free Game",INDEX('Game Records'!$J:$J,$H333)=""),"Total Players; ","")&amp;IF(AND(LOWER(INDEX('Game Records'!$D:$D,$H333)&amp;"")="finalized",LOWER(INDEX('Game Records'!$L:$L,$H333)&amp;"")&lt;&gt;"yes",INDEX('Game Records'!$U:$U,$H333)&lt;&gt;"Subscription",INDEX('Game Records'!$U:$U,$H333)&lt;&gt;"Free Game",INDEX('Game Records'!$U:$U,$H333)&lt;&gt;"Disqualified — Free Game",INDEX('Game Records'!$K:$K,$H333)=""),"Final Earned; ","")&amp;IF(AND(LOWER(INDEX('Game Records'!$D:$D,$H333)&amp;"")="finalized",INDEX('Game Records'!$U:$U,$H333)&lt;&gt;"Subscription",INDEX('Game Records'!$U:$U,$H333)&lt;&gt;"Free Game",INDEX('Game Records'!$U:$U,$H333)&lt;&gt;"Disqualified — Free Game",OR(INDEX('Game Records'!$L:$L,$H333)="",LOWER(INDEX('Game Records'!$L:$L,$H333)&amp;"")="n/a")),"Disqualified Status; ",""))</x:f>
        <x:v/>
      </x:c>
      <x:c r="G333" s="331" t="str">
        <x:f>IF($H333="","",IFERROR(INDEX('Game Records'!$M:$M,$H333),""))</x:f>
        <x:v/>
      </x:c>
      <x:c r="H333" s="104" t="str">
        <x:f>IF($H332="","",IFERROR(MATCH(1,INDEX((ROW('Game Records'!$U$5:$U$504)&gt;$H332)*(('Game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4" ht="24" customHeight="1">
      <x:c r="A334" s="332" t="str">
        <x:f>IF($H334="","",ROWS($A$5:A334))</x:f>
        <x:v/>
      </x:c>
      <x:c r="B334" s="332" t="str">
        <x:f>IF($H334="","","G-"&amp;TEXT($A334,"0000"))</x:f>
        <x:v/>
      </x:c>
      <x:c r="C334" s="331" t="str">
        <x:f>IF($H334="","",IFERROR(INDEX('Game Records'!$A:$A,$H334),""))</x:f>
        <x:v/>
      </x:c>
      <x:c r="D334" s="331" t="str">
        <x:f>IF($H334="","",IFERROR(INDEX('Game Records'!$U:$U,$H334),""))</x:f>
        <x:v/>
      </x:c>
      <x:c r="E334" s="331" t="str">
        <x:f>IF($H334="","",IF($F334="","No Highlighted Fields","Highlighted Fields Present"))</x:f>
        <x:v/>
      </x:c>
      <x:c r="F334" s="331" t="str">
        <x:f>IF($H334="","",IF(INDEX('Game Records'!$B:$B,$H334)="","Start Date; ","")&amp;IF(INDEX('Game Records'!$C:$C,$H334)="","End Date; ","")&amp;IF(AND(INDEX('Game Records'!$U:$U,$H334)&lt;&gt;"Subscription",INDEX('Game Records'!$U:$U,$H334)&lt;&gt;"Free Game",INDEX('Game Records'!$U:$U,$H334)&lt;&gt;"Disqualified — Free Game",OR(INDEX('Game Records'!$D:$D,$H334)="",LOWER(INDEX('Game Records'!$D:$D,$H334)&amp;"")="n/a")),"Entry Mode; ","")&amp;IF(AND(INDEX('Game Records'!$U:$U,$H334)&lt;&gt;"Subscription",INDEX('Game Records'!$U:$U,$H334)&lt;&gt;"Free Game",INDEX('Game Records'!$U:$U,$H334)&lt;&gt;"Disqualified — Free Game",OR(INDEX('Game Records'!$E:$E,$H334)="",LOWER(INDEX('Game Records'!$E:$E,$H334)&amp;"")="n/a")),"Game Type; ","")&amp;IF(INDEX('Game Records'!$F:$F,$H334)="","Payment Type; ","")&amp;IF(AND(INDEX('Game Records'!$U:$U,$H334)&lt;&gt;"Subscription",INDEX('Game Records'!$U:$U,$H334)&lt;&gt;"Free Game",INDEX('Game Records'!$U:$U,$H334)&lt;&gt;"Disqualified — Free Game",INDEX('Game Records'!$G:$G,$H334)=""),"Gross Pot; ","")&amp;IF(AND(INDEX('Game Records'!$U:$U,$H334)&lt;&gt;"Free Game",INDEX('Game Records'!$U:$U,$H334)&lt;&gt;"Disqualified — Free Game",INDEX('Game Records'!$H:$H,$H334)=""),"Entry Fee; ","")&amp;IF(AND(INDEX('Game Records'!$U:$U,$H334)&lt;&gt;"Subscription",INDEX('Game Records'!$U:$U,$H334)&lt;&gt;"Free Game",INDEX('Game Records'!$U:$U,$H334)&lt;&gt;"Disqualified — Free Game",INDEX('Game Records'!$I:$I,$H334)=""),"Eligible Players; ","")&amp;IF(AND(INDEX('Game Records'!$U:$U,$H334)&lt;&gt;"Subscription",INDEX('Game Records'!$U:$U,$H334)&lt;&gt;"Free Game",INDEX('Game Records'!$U:$U,$H334)&lt;&gt;"Disqualified — Free Game",INDEX('Game Records'!$J:$J,$H334)=""),"Total Players; ","")&amp;IF(AND(LOWER(INDEX('Game Records'!$D:$D,$H334)&amp;"")="finalized",LOWER(INDEX('Game Records'!$L:$L,$H334)&amp;"")&lt;&gt;"yes",INDEX('Game Records'!$U:$U,$H334)&lt;&gt;"Subscription",INDEX('Game Records'!$U:$U,$H334)&lt;&gt;"Free Game",INDEX('Game Records'!$U:$U,$H334)&lt;&gt;"Disqualified — Free Game",INDEX('Game Records'!$K:$K,$H334)=""),"Final Earned; ","")&amp;IF(AND(LOWER(INDEX('Game Records'!$D:$D,$H334)&amp;"")="finalized",INDEX('Game Records'!$U:$U,$H334)&lt;&gt;"Subscription",INDEX('Game Records'!$U:$U,$H334)&lt;&gt;"Free Game",INDEX('Game Records'!$U:$U,$H334)&lt;&gt;"Disqualified — Free Game",OR(INDEX('Game Records'!$L:$L,$H334)="",LOWER(INDEX('Game Records'!$L:$L,$H334)&amp;"")="n/a")),"Disqualified Status; ",""))</x:f>
        <x:v/>
      </x:c>
      <x:c r="G334" s="331" t="str">
        <x:f>IF($H334="","",IFERROR(INDEX('Game Records'!$M:$M,$H334),""))</x:f>
        <x:v/>
      </x:c>
      <x:c r="H334" s="104" t="str">
        <x:f>IF($H333="","",IFERROR(MATCH(1,INDEX((ROW('Game Records'!$U$5:$U$504)&gt;$H333)*(('Game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5" ht="24" customHeight="1">
      <x:c r="A335" s="332" t="str">
        <x:f>IF($H335="","",ROWS($A$5:A335))</x:f>
        <x:v/>
      </x:c>
      <x:c r="B335" s="332" t="str">
        <x:f>IF($H335="","","G-"&amp;TEXT($A335,"0000"))</x:f>
        <x:v/>
      </x:c>
      <x:c r="C335" s="331" t="str">
        <x:f>IF($H335="","",IFERROR(INDEX('Game Records'!$A:$A,$H335),""))</x:f>
        <x:v/>
      </x:c>
      <x:c r="D335" s="331" t="str">
        <x:f>IF($H335="","",IFERROR(INDEX('Game Records'!$U:$U,$H335),""))</x:f>
        <x:v/>
      </x:c>
      <x:c r="E335" s="331" t="str">
        <x:f>IF($H335="","",IF($F335="","No Highlighted Fields","Highlighted Fields Present"))</x:f>
        <x:v/>
      </x:c>
      <x:c r="F335" s="331" t="str">
        <x:f>IF($H335="","",IF(INDEX('Game Records'!$B:$B,$H335)="","Start Date; ","")&amp;IF(INDEX('Game Records'!$C:$C,$H335)="","End Date; ","")&amp;IF(AND(INDEX('Game Records'!$U:$U,$H335)&lt;&gt;"Subscription",INDEX('Game Records'!$U:$U,$H335)&lt;&gt;"Free Game",INDEX('Game Records'!$U:$U,$H335)&lt;&gt;"Disqualified — Free Game",OR(INDEX('Game Records'!$D:$D,$H335)="",LOWER(INDEX('Game Records'!$D:$D,$H335)&amp;"")="n/a")),"Entry Mode; ","")&amp;IF(AND(INDEX('Game Records'!$U:$U,$H335)&lt;&gt;"Subscription",INDEX('Game Records'!$U:$U,$H335)&lt;&gt;"Free Game",INDEX('Game Records'!$U:$U,$H335)&lt;&gt;"Disqualified — Free Game",OR(INDEX('Game Records'!$E:$E,$H335)="",LOWER(INDEX('Game Records'!$E:$E,$H335)&amp;"")="n/a")),"Game Type; ","")&amp;IF(INDEX('Game Records'!$F:$F,$H335)="","Payment Type; ","")&amp;IF(AND(INDEX('Game Records'!$U:$U,$H335)&lt;&gt;"Subscription",INDEX('Game Records'!$U:$U,$H335)&lt;&gt;"Free Game",INDEX('Game Records'!$U:$U,$H335)&lt;&gt;"Disqualified — Free Game",INDEX('Game Records'!$G:$G,$H335)=""),"Gross Pot; ","")&amp;IF(AND(INDEX('Game Records'!$U:$U,$H335)&lt;&gt;"Free Game",INDEX('Game Records'!$U:$U,$H335)&lt;&gt;"Disqualified — Free Game",INDEX('Game Records'!$H:$H,$H335)=""),"Entry Fee; ","")&amp;IF(AND(INDEX('Game Records'!$U:$U,$H335)&lt;&gt;"Subscription",INDEX('Game Records'!$U:$U,$H335)&lt;&gt;"Free Game",INDEX('Game Records'!$U:$U,$H335)&lt;&gt;"Disqualified — Free Game",INDEX('Game Records'!$I:$I,$H335)=""),"Eligible Players; ","")&amp;IF(AND(INDEX('Game Records'!$U:$U,$H335)&lt;&gt;"Subscription",INDEX('Game Records'!$U:$U,$H335)&lt;&gt;"Free Game",INDEX('Game Records'!$U:$U,$H335)&lt;&gt;"Disqualified — Free Game",INDEX('Game Records'!$J:$J,$H335)=""),"Total Players; ","")&amp;IF(AND(LOWER(INDEX('Game Records'!$D:$D,$H335)&amp;"")="finalized",LOWER(INDEX('Game Records'!$L:$L,$H335)&amp;"")&lt;&gt;"yes",INDEX('Game Records'!$U:$U,$H335)&lt;&gt;"Subscription",INDEX('Game Records'!$U:$U,$H335)&lt;&gt;"Free Game",INDEX('Game Records'!$U:$U,$H335)&lt;&gt;"Disqualified — Free Game",INDEX('Game Records'!$K:$K,$H335)=""),"Final Earned; ","")&amp;IF(AND(LOWER(INDEX('Game Records'!$D:$D,$H335)&amp;"")="finalized",INDEX('Game Records'!$U:$U,$H335)&lt;&gt;"Subscription",INDEX('Game Records'!$U:$U,$H335)&lt;&gt;"Free Game",INDEX('Game Records'!$U:$U,$H335)&lt;&gt;"Disqualified — Free Game",OR(INDEX('Game Records'!$L:$L,$H335)="",LOWER(INDEX('Game Records'!$L:$L,$H335)&amp;"")="n/a")),"Disqualified Status; ",""))</x:f>
        <x:v/>
      </x:c>
      <x:c r="G335" s="331" t="str">
        <x:f>IF($H335="","",IFERROR(INDEX('Game Records'!$M:$M,$H335),""))</x:f>
        <x:v/>
      </x:c>
      <x:c r="H335" s="104" t="str">
        <x:f>IF($H334="","",IFERROR(MATCH(1,INDEX((ROW('Game Records'!$U$5:$U$504)&gt;$H334)*(('Game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6" ht="24" customHeight="1">
      <x:c r="A336" s="332" t="str">
        <x:f>IF($H336="","",ROWS($A$5:A336))</x:f>
        <x:v/>
      </x:c>
      <x:c r="B336" s="332" t="str">
        <x:f>IF($H336="","","G-"&amp;TEXT($A336,"0000"))</x:f>
        <x:v/>
      </x:c>
      <x:c r="C336" s="331" t="str">
        <x:f>IF($H336="","",IFERROR(INDEX('Game Records'!$A:$A,$H336),""))</x:f>
        <x:v/>
      </x:c>
      <x:c r="D336" s="331" t="str">
        <x:f>IF($H336="","",IFERROR(INDEX('Game Records'!$U:$U,$H336),""))</x:f>
        <x:v/>
      </x:c>
      <x:c r="E336" s="331" t="str">
        <x:f>IF($H336="","",IF($F336="","No Highlighted Fields","Highlighted Fields Present"))</x:f>
        <x:v/>
      </x:c>
      <x:c r="F336" s="331" t="str">
        <x:f>IF($H336="","",IF(INDEX('Game Records'!$B:$B,$H336)="","Start Date; ","")&amp;IF(INDEX('Game Records'!$C:$C,$H336)="","End Date; ","")&amp;IF(AND(INDEX('Game Records'!$U:$U,$H336)&lt;&gt;"Subscription",INDEX('Game Records'!$U:$U,$H336)&lt;&gt;"Free Game",INDEX('Game Records'!$U:$U,$H336)&lt;&gt;"Disqualified — Free Game",OR(INDEX('Game Records'!$D:$D,$H336)="",LOWER(INDEX('Game Records'!$D:$D,$H336)&amp;"")="n/a")),"Entry Mode; ","")&amp;IF(AND(INDEX('Game Records'!$U:$U,$H336)&lt;&gt;"Subscription",INDEX('Game Records'!$U:$U,$H336)&lt;&gt;"Free Game",INDEX('Game Records'!$U:$U,$H336)&lt;&gt;"Disqualified — Free Game",OR(INDEX('Game Records'!$E:$E,$H336)="",LOWER(INDEX('Game Records'!$E:$E,$H336)&amp;"")="n/a")),"Game Type; ","")&amp;IF(INDEX('Game Records'!$F:$F,$H336)="","Payment Type; ","")&amp;IF(AND(INDEX('Game Records'!$U:$U,$H336)&lt;&gt;"Subscription",INDEX('Game Records'!$U:$U,$H336)&lt;&gt;"Free Game",INDEX('Game Records'!$U:$U,$H336)&lt;&gt;"Disqualified — Free Game",INDEX('Game Records'!$G:$G,$H336)=""),"Gross Pot; ","")&amp;IF(AND(INDEX('Game Records'!$U:$U,$H336)&lt;&gt;"Free Game",INDEX('Game Records'!$U:$U,$H336)&lt;&gt;"Disqualified — Free Game",INDEX('Game Records'!$H:$H,$H336)=""),"Entry Fee; ","")&amp;IF(AND(INDEX('Game Records'!$U:$U,$H336)&lt;&gt;"Subscription",INDEX('Game Records'!$U:$U,$H336)&lt;&gt;"Free Game",INDEX('Game Records'!$U:$U,$H336)&lt;&gt;"Disqualified — Free Game",INDEX('Game Records'!$I:$I,$H336)=""),"Eligible Players; ","")&amp;IF(AND(INDEX('Game Records'!$U:$U,$H336)&lt;&gt;"Subscription",INDEX('Game Records'!$U:$U,$H336)&lt;&gt;"Free Game",INDEX('Game Records'!$U:$U,$H336)&lt;&gt;"Disqualified — Free Game",INDEX('Game Records'!$J:$J,$H336)=""),"Total Players; ","")&amp;IF(AND(LOWER(INDEX('Game Records'!$D:$D,$H336)&amp;"")="finalized",LOWER(INDEX('Game Records'!$L:$L,$H336)&amp;"")&lt;&gt;"yes",INDEX('Game Records'!$U:$U,$H336)&lt;&gt;"Subscription",INDEX('Game Records'!$U:$U,$H336)&lt;&gt;"Free Game",INDEX('Game Records'!$U:$U,$H336)&lt;&gt;"Disqualified — Free Game",INDEX('Game Records'!$K:$K,$H336)=""),"Final Earned; ","")&amp;IF(AND(LOWER(INDEX('Game Records'!$D:$D,$H336)&amp;"")="finalized",INDEX('Game Records'!$U:$U,$H336)&lt;&gt;"Subscription",INDEX('Game Records'!$U:$U,$H336)&lt;&gt;"Free Game",INDEX('Game Records'!$U:$U,$H336)&lt;&gt;"Disqualified — Free Game",OR(INDEX('Game Records'!$L:$L,$H336)="",LOWER(INDEX('Game Records'!$L:$L,$H336)&amp;"")="n/a")),"Disqualified Status; ",""))</x:f>
        <x:v/>
      </x:c>
      <x:c r="G336" s="331" t="str">
        <x:f>IF($H336="","",IFERROR(INDEX('Game Records'!$M:$M,$H336),""))</x:f>
        <x:v/>
      </x:c>
      <x:c r="H336" s="104" t="str">
        <x:f>IF($H335="","",IFERROR(MATCH(1,INDEX((ROW('Game Records'!$U$5:$U$504)&gt;$H335)*(('Game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7" ht="24" customHeight="1">
      <x:c r="A337" s="332" t="str">
        <x:f>IF($H337="","",ROWS($A$5:A337))</x:f>
        <x:v/>
      </x:c>
      <x:c r="B337" s="332" t="str">
        <x:f>IF($H337="","","G-"&amp;TEXT($A337,"0000"))</x:f>
        <x:v/>
      </x:c>
      <x:c r="C337" s="331" t="str">
        <x:f>IF($H337="","",IFERROR(INDEX('Game Records'!$A:$A,$H337),""))</x:f>
        <x:v/>
      </x:c>
      <x:c r="D337" s="331" t="str">
        <x:f>IF($H337="","",IFERROR(INDEX('Game Records'!$U:$U,$H337),""))</x:f>
        <x:v/>
      </x:c>
      <x:c r="E337" s="331" t="str">
        <x:f>IF($H337="","",IF($F337="","No Highlighted Fields","Highlighted Fields Present"))</x:f>
        <x:v/>
      </x:c>
      <x:c r="F337" s="331" t="str">
        <x:f>IF($H337="","",IF(INDEX('Game Records'!$B:$B,$H337)="","Start Date; ","")&amp;IF(INDEX('Game Records'!$C:$C,$H337)="","End Date; ","")&amp;IF(AND(INDEX('Game Records'!$U:$U,$H337)&lt;&gt;"Subscription",INDEX('Game Records'!$U:$U,$H337)&lt;&gt;"Free Game",INDEX('Game Records'!$U:$U,$H337)&lt;&gt;"Disqualified — Free Game",OR(INDEX('Game Records'!$D:$D,$H337)="",LOWER(INDEX('Game Records'!$D:$D,$H337)&amp;"")="n/a")),"Entry Mode; ","")&amp;IF(AND(INDEX('Game Records'!$U:$U,$H337)&lt;&gt;"Subscription",INDEX('Game Records'!$U:$U,$H337)&lt;&gt;"Free Game",INDEX('Game Records'!$U:$U,$H337)&lt;&gt;"Disqualified — Free Game",OR(INDEX('Game Records'!$E:$E,$H337)="",LOWER(INDEX('Game Records'!$E:$E,$H337)&amp;"")="n/a")),"Game Type; ","")&amp;IF(INDEX('Game Records'!$F:$F,$H337)="","Payment Type; ","")&amp;IF(AND(INDEX('Game Records'!$U:$U,$H337)&lt;&gt;"Subscription",INDEX('Game Records'!$U:$U,$H337)&lt;&gt;"Free Game",INDEX('Game Records'!$U:$U,$H337)&lt;&gt;"Disqualified — Free Game",INDEX('Game Records'!$G:$G,$H337)=""),"Gross Pot; ","")&amp;IF(AND(INDEX('Game Records'!$U:$U,$H337)&lt;&gt;"Free Game",INDEX('Game Records'!$U:$U,$H337)&lt;&gt;"Disqualified — Free Game",INDEX('Game Records'!$H:$H,$H337)=""),"Entry Fee; ","")&amp;IF(AND(INDEX('Game Records'!$U:$U,$H337)&lt;&gt;"Subscription",INDEX('Game Records'!$U:$U,$H337)&lt;&gt;"Free Game",INDEX('Game Records'!$U:$U,$H337)&lt;&gt;"Disqualified — Free Game",INDEX('Game Records'!$I:$I,$H337)=""),"Eligible Players; ","")&amp;IF(AND(INDEX('Game Records'!$U:$U,$H337)&lt;&gt;"Subscription",INDEX('Game Records'!$U:$U,$H337)&lt;&gt;"Free Game",INDEX('Game Records'!$U:$U,$H337)&lt;&gt;"Disqualified — Free Game",INDEX('Game Records'!$J:$J,$H337)=""),"Total Players; ","")&amp;IF(AND(LOWER(INDEX('Game Records'!$D:$D,$H337)&amp;"")="finalized",LOWER(INDEX('Game Records'!$L:$L,$H337)&amp;"")&lt;&gt;"yes",INDEX('Game Records'!$U:$U,$H337)&lt;&gt;"Subscription",INDEX('Game Records'!$U:$U,$H337)&lt;&gt;"Free Game",INDEX('Game Records'!$U:$U,$H337)&lt;&gt;"Disqualified — Free Game",INDEX('Game Records'!$K:$K,$H337)=""),"Final Earned; ","")&amp;IF(AND(LOWER(INDEX('Game Records'!$D:$D,$H337)&amp;"")="finalized",INDEX('Game Records'!$U:$U,$H337)&lt;&gt;"Subscription",INDEX('Game Records'!$U:$U,$H337)&lt;&gt;"Free Game",INDEX('Game Records'!$U:$U,$H337)&lt;&gt;"Disqualified — Free Game",OR(INDEX('Game Records'!$L:$L,$H337)="",LOWER(INDEX('Game Records'!$L:$L,$H337)&amp;"")="n/a")),"Disqualified Status; ",""))</x:f>
        <x:v/>
      </x:c>
      <x:c r="G337" s="331" t="str">
        <x:f>IF($H337="","",IFERROR(INDEX('Game Records'!$M:$M,$H337),""))</x:f>
        <x:v/>
      </x:c>
      <x:c r="H337" s="104" t="str">
        <x:f>IF($H336="","",IFERROR(MATCH(1,INDEX((ROW('Game Records'!$U$5:$U$504)&gt;$H336)*(('Game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8" ht="24" customHeight="1">
      <x:c r="A338" s="332" t="str">
        <x:f>IF($H338="","",ROWS($A$5:A338))</x:f>
        <x:v/>
      </x:c>
      <x:c r="B338" s="332" t="str">
        <x:f>IF($H338="","","G-"&amp;TEXT($A338,"0000"))</x:f>
        <x:v/>
      </x:c>
      <x:c r="C338" s="331" t="str">
        <x:f>IF($H338="","",IFERROR(INDEX('Game Records'!$A:$A,$H338),""))</x:f>
        <x:v/>
      </x:c>
      <x:c r="D338" s="331" t="str">
        <x:f>IF($H338="","",IFERROR(INDEX('Game Records'!$U:$U,$H338),""))</x:f>
        <x:v/>
      </x:c>
      <x:c r="E338" s="331" t="str">
        <x:f>IF($H338="","",IF($F338="","No Highlighted Fields","Highlighted Fields Present"))</x:f>
        <x:v/>
      </x:c>
      <x:c r="F338" s="331" t="str">
        <x:f>IF($H338="","",IF(INDEX('Game Records'!$B:$B,$H338)="","Start Date; ","")&amp;IF(INDEX('Game Records'!$C:$C,$H338)="","End Date; ","")&amp;IF(AND(INDEX('Game Records'!$U:$U,$H338)&lt;&gt;"Subscription",INDEX('Game Records'!$U:$U,$H338)&lt;&gt;"Free Game",INDEX('Game Records'!$U:$U,$H338)&lt;&gt;"Disqualified — Free Game",OR(INDEX('Game Records'!$D:$D,$H338)="",LOWER(INDEX('Game Records'!$D:$D,$H338)&amp;"")="n/a")),"Entry Mode; ","")&amp;IF(AND(INDEX('Game Records'!$U:$U,$H338)&lt;&gt;"Subscription",INDEX('Game Records'!$U:$U,$H338)&lt;&gt;"Free Game",INDEX('Game Records'!$U:$U,$H338)&lt;&gt;"Disqualified — Free Game",OR(INDEX('Game Records'!$E:$E,$H338)="",LOWER(INDEX('Game Records'!$E:$E,$H338)&amp;"")="n/a")),"Game Type; ","")&amp;IF(INDEX('Game Records'!$F:$F,$H338)="","Payment Type; ","")&amp;IF(AND(INDEX('Game Records'!$U:$U,$H338)&lt;&gt;"Subscription",INDEX('Game Records'!$U:$U,$H338)&lt;&gt;"Free Game",INDEX('Game Records'!$U:$U,$H338)&lt;&gt;"Disqualified — Free Game",INDEX('Game Records'!$G:$G,$H338)=""),"Gross Pot; ","")&amp;IF(AND(INDEX('Game Records'!$U:$U,$H338)&lt;&gt;"Free Game",INDEX('Game Records'!$U:$U,$H338)&lt;&gt;"Disqualified — Free Game",INDEX('Game Records'!$H:$H,$H338)=""),"Entry Fee; ","")&amp;IF(AND(INDEX('Game Records'!$U:$U,$H338)&lt;&gt;"Subscription",INDEX('Game Records'!$U:$U,$H338)&lt;&gt;"Free Game",INDEX('Game Records'!$U:$U,$H338)&lt;&gt;"Disqualified — Free Game",INDEX('Game Records'!$I:$I,$H338)=""),"Eligible Players; ","")&amp;IF(AND(INDEX('Game Records'!$U:$U,$H338)&lt;&gt;"Subscription",INDEX('Game Records'!$U:$U,$H338)&lt;&gt;"Free Game",INDEX('Game Records'!$U:$U,$H338)&lt;&gt;"Disqualified — Free Game",INDEX('Game Records'!$J:$J,$H338)=""),"Total Players; ","")&amp;IF(AND(LOWER(INDEX('Game Records'!$D:$D,$H338)&amp;"")="finalized",LOWER(INDEX('Game Records'!$L:$L,$H338)&amp;"")&lt;&gt;"yes",INDEX('Game Records'!$U:$U,$H338)&lt;&gt;"Subscription",INDEX('Game Records'!$U:$U,$H338)&lt;&gt;"Free Game",INDEX('Game Records'!$U:$U,$H338)&lt;&gt;"Disqualified — Free Game",INDEX('Game Records'!$K:$K,$H338)=""),"Final Earned; ","")&amp;IF(AND(LOWER(INDEX('Game Records'!$D:$D,$H338)&amp;"")="finalized",INDEX('Game Records'!$U:$U,$H338)&lt;&gt;"Subscription",INDEX('Game Records'!$U:$U,$H338)&lt;&gt;"Free Game",INDEX('Game Records'!$U:$U,$H338)&lt;&gt;"Disqualified — Free Game",OR(INDEX('Game Records'!$L:$L,$H338)="",LOWER(INDEX('Game Records'!$L:$L,$H338)&amp;"")="n/a")),"Disqualified Status; ",""))</x:f>
        <x:v/>
      </x:c>
      <x:c r="G338" s="331" t="str">
        <x:f>IF($H338="","",IFERROR(INDEX('Game Records'!$M:$M,$H338),""))</x:f>
        <x:v/>
      </x:c>
      <x:c r="H338" s="104" t="str">
        <x:f>IF($H337="","",IFERROR(MATCH(1,INDEX((ROW('Game Records'!$U$5:$U$504)&gt;$H337)*(('Game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39" ht="24" customHeight="1">
      <x:c r="A339" s="332" t="str">
        <x:f>IF($H339="","",ROWS($A$5:A339))</x:f>
        <x:v/>
      </x:c>
      <x:c r="B339" s="332" t="str">
        <x:f>IF($H339="","","G-"&amp;TEXT($A339,"0000"))</x:f>
        <x:v/>
      </x:c>
      <x:c r="C339" s="331" t="str">
        <x:f>IF($H339="","",IFERROR(INDEX('Game Records'!$A:$A,$H339),""))</x:f>
        <x:v/>
      </x:c>
      <x:c r="D339" s="331" t="str">
        <x:f>IF($H339="","",IFERROR(INDEX('Game Records'!$U:$U,$H339),""))</x:f>
        <x:v/>
      </x:c>
      <x:c r="E339" s="331" t="str">
        <x:f>IF($H339="","",IF($F339="","No Highlighted Fields","Highlighted Fields Present"))</x:f>
        <x:v/>
      </x:c>
      <x:c r="F339" s="331" t="str">
        <x:f>IF($H339="","",IF(INDEX('Game Records'!$B:$B,$H339)="","Start Date; ","")&amp;IF(INDEX('Game Records'!$C:$C,$H339)="","End Date; ","")&amp;IF(AND(INDEX('Game Records'!$U:$U,$H339)&lt;&gt;"Subscription",INDEX('Game Records'!$U:$U,$H339)&lt;&gt;"Free Game",INDEX('Game Records'!$U:$U,$H339)&lt;&gt;"Disqualified — Free Game",OR(INDEX('Game Records'!$D:$D,$H339)="",LOWER(INDEX('Game Records'!$D:$D,$H339)&amp;"")="n/a")),"Entry Mode; ","")&amp;IF(AND(INDEX('Game Records'!$U:$U,$H339)&lt;&gt;"Subscription",INDEX('Game Records'!$U:$U,$H339)&lt;&gt;"Free Game",INDEX('Game Records'!$U:$U,$H339)&lt;&gt;"Disqualified — Free Game",OR(INDEX('Game Records'!$E:$E,$H339)="",LOWER(INDEX('Game Records'!$E:$E,$H339)&amp;"")="n/a")),"Game Type; ","")&amp;IF(INDEX('Game Records'!$F:$F,$H339)="","Payment Type; ","")&amp;IF(AND(INDEX('Game Records'!$U:$U,$H339)&lt;&gt;"Subscription",INDEX('Game Records'!$U:$U,$H339)&lt;&gt;"Free Game",INDEX('Game Records'!$U:$U,$H339)&lt;&gt;"Disqualified — Free Game",INDEX('Game Records'!$G:$G,$H339)=""),"Gross Pot; ","")&amp;IF(AND(INDEX('Game Records'!$U:$U,$H339)&lt;&gt;"Free Game",INDEX('Game Records'!$U:$U,$H339)&lt;&gt;"Disqualified — Free Game",INDEX('Game Records'!$H:$H,$H339)=""),"Entry Fee; ","")&amp;IF(AND(INDEX('Game Records'!$U:$U,$H339)&lt;&gt;"Subscription",INDEX('Game Records'!$U:$U,$H339)&lt;&gt;"Free Game",INDEX('Game Records'!$U:$U,$H339)&lt;&gt;"Disqualified — Free Game",INDEX('Game Records'!$I:$I,$H339)=""),"Eligible Players; ","")&amp;IF(AND(INDEX('Game Records'!$U:$U,$H339)&lt;&gt;"Subscription",INDEX('Game Records'!$U:$U,$H339)&lt;&gt;"Free Game",INDEX('Game Records'!$U:$U,$H339)&lt;&gt;"Disqualified — Free Game",INDEX('Game Records'!$J:$J,$H339)=""),"Total Players; ","")&amp;IF(AND(LOWER(INDEX('Game Records'!$D:$D,$H339)&amp;"")="finalized",LOWER(INDEX('Game Records'!$L:$L,$H339)&amp;"")&lt;&gt;"yes",INDEX('Game Records'!$U:$U,$H339)&lt;&gt;"Subscription",INDEX('Game Records'!$U:$U,$H339)&lt;&gt;"Free Game",INDEX('Game Records'!$U:$U,$H339)&lt;&gt;"Disqualified — Free Game",INDEX('Game Records'!$K:$K,$H339)=""),"Final Earned; ","")&amp;IF(AND(LOWER(INDEX('Game Records'!$D:$D,$H339)&amp;"")="finalized",INDEX('Game Records'!$U:$U,$H339)&lt;&gt;"Subscription",INDEX('Game Records'!$U:$U,$H339)&lt;&gt;"Free Game",INDEX('Game Records'!$U:$U,$H339)&lt;&gt;"Disqualified — Free Game",OR(INDEX('Game Records'!$L:$L,$H339)="",LOWER(INDEX('Game Records'!$L:$L,$H339)&amp;"")="n/a")),"Disqualified Status; ",""))</x:f>
        <x:v/>
      </x:c>
      <x:c r="G339" s="331" t="str">
        <x:f>IF($H339="","",IFERROR(INDEX('Game Records'!$M:$M,$H339),""))</x:f>
        <x:v/>
      </x:c>
      <x:c r="H339" s="104" t="str">
        <x:f>IF($H338="","",IFERROR(MATCH(1,INDEX((ROW('Game Records'!$U$5:$U$504)&gt;$H338)*(('Game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0" ht="24" customHeight="1">
      <x:c r="A340" s="332" t="str">
        <x:f>IF($H340="","",ROWS($A$5:A340))</x:f>
        <x:v/>
      </x:c>
      <x:c r="B340" s="332" t="str">
        <x:f>IF($H340="","","G-"&amp;TEXT($A340,"0000"))</x:f>
        <x:v/>
      </x:c>
      <x:c r="C340" s="331" t="str">
        <x:f>IF($H340="","",IFERROR(INDEX('Game Records'!$A:$A,$H340),""))</x:f>
        <x:v/>
      </x:c>
      <x:c r="D340" s="331" t="str">
        <x:f>IF($H340="","",IFERROR(INDEX('Game Records'!$U:$U,$H340),""))</x:f>
        <x:v/>
      </x:c>
      <x:c r="E340" s="331" t="str">
        <x:f>IF($H340="","",IF($F340="","No Highlighted Fields","Highlighted Fields Present"))</x:f>
        <x:v/>
      </x:c>
      <x:c r="F340" s="331" t="str">
        <x:f>IF($H340="","",IF(INDEX('Game Records'!$B:$B,$H340)="","Start Date; ","")&amp;IF(INDEX('Game Records'!$C:$C,$H340)="","End Date; ","")&amp;IF(AND(INDEX('Game Records'!$U:$U,$H340)&lt;&gt;"Subscription",INDEX('Game Records'!$U:$U,$H340)&lt;&gt;"Free Game",INDEX('Game Records'!$U:$U,$H340)&lt;&gt;"Disqualified — Free Game",OR(INDEX('Game Records'!$D:$D,$H340)="",LOWER(INDEX('Game Records'!$D:$D,$H340)&amp;"")="n/a")),"Entry Mode; ","")&amp;IF(AND(INDEX('Game Records'!$U:$U,$H340)&lt;&gt;"Subscription",INDEX('Game Records'!$U:$U,$H340)&lt;&gt;"Free Game",INDEX('Game Records'!$U:$U,$H340)&lt;&gt;"Disqualified — Free Game",OR(INDEX('Game Records'!$E:$E,$H340)="",LOWER(INDEX('Game Records'!$E:$E,$H340)&amp;"")="n/a")),"Game Type; ","")&amp;IF(INDEX('Game Records'!$F:$F,$H340)="","Payment Type; ","")&amp;IF(AND(INDEX('Game Records'!$U:$U,$H340)&lt;&gt;"Subscription",INDEX('Game Records'!$U:$U,$H340)&lt;&gt;"Free Game",INDEX('Game Records'!$U:$U,$H340)&lt;&gt;"Disqualified — Free Game",INDEX('Game Records'!$G:$G,$H340)=""),"Gross Pot; ","")&amp;IF(AND(INDEX('Game Records'!$U:$U,$H340)&lt;&gt;"Free Game",INDEX('Game Records'!$U:$U,$H340)&lt;&gt;"Disqualified — Free Game",INDEX('Game Records'!$H:$H,$H340)=""),"Entry Fee; ","")&amp;IF(AND(INDEX('Game Records'!$U:$U,$H340)&lt;&gt;"Subscription",INDEX('Game Records'!$U:$U,$H340)&lt;&gt;"Free Game",INDEX('Game Records'!$U:$U,$H340)&lt;&gt;"Disqualified — Free Game",INDEX('Game Records'!$I:$I,$H340)=""),"Eligible Players; ","")&amp;IF(AND(INDEX('Game Records'!$U:$U,$H340)&lt;&gt;"Subscription",INDEX('Game Records'!$U:$U,$H340)&lt;&gt;"Free Game",INDEX('Game Records'!$U:$U,$H340)&lt;&gt;"Disqualified — Free Game",INDEX('Game Records'!$J:$J,$H340)=""),"Total Players; ","")&amp;IF(AND(LOWER(INDEX('Game Records'!$D:$D,$H340)&amp;"")="finalized",LOWER(INDEX('Game Records'!$L:$L,$H340)&amp;"")&lt;&gt;"yes",INDEX('Game Records'!$U:$U,$H340)&lt;&gt;"Subscription",INDEX('Game Records'!$U:$U,$H340)&lt;&gt;"Free Game",INDEX('Game Records'!$U:$U,$H340)&lt;&gt;"Disqualified — Free Game",INDEX('Game Records'!$K:$K,$H340)=""),"Final Earned; ","")&amp;IF(AND(LOWER(INDEX('Game Records'!$D:$D,$H340)&amp;"")="finalized",INDEX('Game Records'!$U:$U,$H340)&lt;&gt;"Subscription",INDEX('Game Records'!$U:$U,$H340)&lt;&gt;"Free Game",INDEX('Game Records'!$U:$U,$H340)&lt;&gt;"Disqualified — Free Game",OR(INDEX('Game Records'!$L:$L,$H340)="",LOWER(INDEX('Game Records'!$L:$L,$H340)&amp;"")="n/a")),"Disqualified Status; ",""))</x:f>
        <x:v/>
      </x:c>
      <x:c r="G340" s="331" t="str">
        <x:f>IF($H340="","",IFERROR(INDEX('Game Records'!$M:$M,$H340),""))</x:f>
        <x:v/>
      </x:c>
      <x:c r="H340" s="104" t="str">
        <x:f>IF($H339="","",IFERROR(MATCH(1,INDEX((ROW('Game Records'!$U$5:$U$504)&gt;$H339)*(('Game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1" ht="24" customHeight="1">
      <x:c r="A341" s="332" t="str">
        <x:f>IF($H341="","",ROWS($A$5:A341))</x:f>
        <x:v/>
      </x:c>
      <x:c r="B341" s="332" t="str">
        <x:f>IF($H341="","","G-"&amp;TEXT($A341,"0000"))</x:f>
        <x:v/>
      </x:c>
      <x:c r="C341" s="331" t="str">
        <x:f>IF($H341="","",IFERROR(INDEX('Game Records'!$A:$A,$H341),""))</x:f>
        <x:v/>
      </x:c>
      <x:c r="D341" s="331" t="str">
        <x:f>IF($H341="","",IFERROR(INDEX('Game Records'!$U:$U,$H341),""))</x:f>
        <x:v/>
      </x:c>
      <x:c r="E341" s="331" t="str">
        <x:f>IF($H341="","",IF($F341="","No Highlighted Fields","Highlighted Fields Present"))</x:f>
        <x:v/>
      </x:c>
      <x:c r="F341" s="331" t="str">
        <x:f>IF($H341="","",IF(INDEX('Game Records'!$B:$B,$H341)="","Start Date; ","")&amp;IF(INDEX('Game Records'!$C:$C,$H341)="","End Date; ","")&amp;IF(AND(INDEX('Game Records'!$U:$U,$H341)&lt;&gt;"Subscription",INDEX('Game Records'!$U:$U,$H341)&lt;&gt;"Free Game",INDEX('Game Records'!$U:$U,$H341)&lt;&gt;"Disqualified — Free Game",OR(INDEX('Game Records'!$D:$D,$H341)="",LOWER(INDEX('Game Records'!$D:$D,$H341)&amp;"")="n/a")),"Entry Mode; ","")&amp;IF(AND(INDEX('Game Records'!$U:$U,$H341)&lt;&gt;"Subscription",INDEX('Game Records'!$U:$U,$H341)&lt;&gt;"Free Game",INDEX('Game Records'!$U:$U,$H341)&lt;&gt;"Disqualified — Free Game",OR(INDEX('Game Records'!$E:$E,$H341)="",LOWER(INDEX('Game Records'!$E:$E,$H341)&amp;"")="n/a")),"Game Type; ","")&amp;IF(INDEX('Game Records'!$F:$F,$H341)="","Payment Type; ","")&amp;IF(AND(INDEX('Game Records'!$U:$U,$H341)&lt;&gt;"Subscription",INDEX('Game Records'!$U:$U,$H341)&lt;&gt;"Free Game",INDEX('Game Records'!$U:$U,$H341)&lt;&gt;"Disqualified — Free Game",INDEX('Game Records'!$G:$G,$H341)=""),"Gross Pot; ","")&amp;IF(AND(INDEX('Game Records'!$U:$U,$H341)&lt;&gt;"Free Game",INDEX('Game Records'!$U:$U,$H341)&lt;&gt;"Disqualified — Free Game",INDEX('Game Records'!$H:$H,$H341)=""),"Entry Fee; ","")&amp;IF(AND(INDEX('Game Records'!$U:$U,$H341)&lt;&gt;"Subscription",INDEX('Game Records'!$U:$U,$H341)&lt;&gt;"Free Game",INDEX('Game Records'!$U:$U,$H341)&lt;&gt;"Disqualified — Free Game",INDEX('Game Records'!$I:$I,$H341)=""),"Eligible Players; ","")&amp;IF(AND(INDEX('Game Records'!$U:$U,$H341)&lt;&gt;"Subscription",INDEX('Game Records'!$U:$U,$H341)&lt;&gt;"Free Game",INDEX('Game Records'!$U:$U,$H341)&lt;&gt;"Disqualified — Free Game",INDEX('Game Records'!$J:$J,$H341)=""),"Total Players; ","")&amp;IF(AND(LOWER(INDEX('Game Records'!$D:$D,$H341)&amp;"")="finalized",LOWER(INDEX('Game Records'!$L:$L,$H341)&amp;"")&lt;&gt;"yes",INDEX('Game Records'!$U:$U,$H341)&lt;&gt;"Subscription",INDEX('Game Records'!$U:$U,$H341)&lt;&gt;"Free Game",INDEX('Game Records'!$U:$U,$H341)&lt;&gt;"Disqualified — Free Game",INDEX('Game Records'!$K:$K,$H341)=""),"Final Earned; ","")&amp;IF(AND(LOWER(INDEX('Game Records'!$D:$D,$H341)&amp;"")="finalized",INDEX('Game Records'!$U:$U,$H341)&lt;&gt;"Subscription",INDEX('Game Records'!$U:$U,$H341)&lt;&gt;"Free Game",INDEX('Game Records'!$U:$U,$H341)&lt;&gt;"Disqualified — Free Game",OR(INDEX('Game Records'!$L:$L,$H341)="",LOWER(INDEX('Game Records'!$L:$L,$H341)&amp;"")="n/a")),"Disqualified Status; ",""))</x:f>
        <x:v/>
      </x:c>
      <x:c r="G341" s="331" t="str">
        <x:f>IF($H341="","",IFERROR(INDEX('Game Records'!$M:$M,$H341),""))</x:f>
        <x:v/>
      </x:c>
      <x:c r="H341" s="104" t="str">
        <x:f>IF($H340="","",IFERROR(MATCH(1,INDEX((ROW('Game Records'!$U$5:$U$504)&gt;$H340)*(('Game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2" ht="24" customHeight="1">
      <x:c r="A342" s="332" t="str">
        <x:f>IF($H342="","",ROWS($A$5:A342))</x:f>
        <x:v/>
      </x:c>
      <x:c r="B342" s="332" t="str">
        <x:f>IF($H342="","","G-"&amp;TEXT($A342,"0000"))</x:f>
        <x:v/>
      </x:c>
      <x:c r="C342" s="331" t="str">
        <x:f>IF($H342="","",IFERROR(INDEX('Game Records'!$A:$A,$H342),""))</x:f>
        <x:v/>
      </x:c>
      <x:c r="D342" s="331" t="str">
        <x:f>IF($H342="","",IFERROR(INDEX('Game Records'!$U:$U,$H342),""))</x:f>
        <x:v/>
      </x:c>
      <x:c r="E342" s="331" t="str">
        <x:f>IF($H342="","",IF($F342="","No Highlighted Fields","Highlighted Fields Present"))</x:f>
        <x:v/>
      </x:c>
      <x:c r="F342" s="331" t="str">
        <x:f>IF($H342="","",IF(INDEX('Game Records'!$B:$B,$H342)="","Start Date; ","")&amp;IF(INDEX('Game Records'!$C:$C,$H342)="","End Date; ","")&amp;IF(AND(INDEX('Game Records'!$U:$U,$H342)&lt;&gt;"Subscription",INDEX('Game Records'!$U:$U,$H342)&lt;&gt;"Free Game",INDEX('Game Records'!$U:$U,$H342)&lt;&gt;"Disqualified — Free Game",OR(INDEX('Game Records'!$D:$D,$H342)="",LOWER(INDEX('Game Records'!$D:$D,$H342)&amp;"")="n/a")),"Entry Mode; ","")&amp;IF(AND(INDEX('Game Records'!$U:$U,$H342)&lt;&gt;"Subscription",INDEX('Game Records'!$U:$U,$H342)&lt;&gt;"Free Game",INDEX('Game Records'!$U:$U,$H342)&lt;&gt;"Disqualified — Free Game",OR(INDEX('Game Records'!$E:$E,$H342)="",LOWER(INDEX('Game Records'!$E:$E,$H342)&amp;"")="n/a")),"Game Type; ","")&amp;IF(INDEX('Game Records'!$F:$F,$H342)="","Payment Type; ","")&amp;IF(AND(INDEX('Game Records'!$U:$U,$H342)&lt;&gt;"Subscription",INDEX('Game Records'!$U:$U,$H342)&lt;&gt;"Free Game",INDEX('Game Records'!$U:$U,$H342)&lt;&gt;"Disqualified — Free Game",INDEX('Game Records'!$G:$G,$H342)=""),"Gross Pot; ","")&amp;IF(AND(INDEX('Game Records'!$U:$U,$H342)&lt;&gt;"Free Game",INDEX('Game Records'!$U:$U,$H342)&lt;&gt;"Disqualified — Free Game",INDEX('Game Records'!$H:$H,$H342)=""),"Entry Fee; ","")&amp;IF(AND(INDEX('Game Records'!$U:$U,$H342)&lt;&gt;"Subscription",INDEX('Game Records'!$U:$U,$H342)&lt;&gt;"Free Game",INDEX('Game Records'!$U:$U,$H342)&lt;&gt;"Disqualified — Free Game",INDEX('Game Records'!$I:$I,$H342)=""),"Eligible Players; ","")&amp;IF(AND(INDEX('Game Records'!$U:$U,$H342)&lt;&gt;"Subscription",INDEX('Game Records'!$U:$U,$H342)&lt;&gt;"Free Game",INDEX('Game Records'!$U:$U,$H342)&lt;&gt;"Disqualified — Free Game",INDEX('Game Records'!$J:$J,$H342)=""),"Total Players; ","")&amp;IF(AND(LOWER(INDEX('Game Records'!$D:$D,$H342)&amp;"")="finalized",LOWER(INDEX('Game Records'!$L:$L,$H342)&amp;"")&lt;&gt;"yes",INDEX('Game Records'!$U:$U,$H342)&lt;&gt;"Subscription",INDEX('Game Records'!$U:$U,$H342)&lt;&gt;"Free Game",INDEX('Game Records'!$U:$U,$H342)&lt;&gt;"Disqualified — Free Game",INDEX('Game Records'!$K:$K,$H342)=""),"Final Earned; ","")&amp;IF(AND(LOWER(INDEX('Game Records'!$D:$D,$H342)&amp;"")="finalized",INDEX('Game Records'!$U:$U,$H342)&lt;&gt;"Subscription",INDEX('Game Records'!$U:$U,$H342)&lt;&gt;"Free Game",INDEX('Game Records'!$U:$U,$H342)&lt;&gt;"Disqualified — Free Game",OR(INDEX('Game Records'!$L:$L,$H342)="",LOWER(INDEX('Game Records'!$L:$L,$H342)&amp;"")="n/a")),"Disqualified Status; ",""))</x:f>
        <x:v/>
      </x:c>
      <x:c r="G342" s="331" t="str">
        <x:f>IF($H342="","",IFERROR(INDEX('Game Records'!$M:$M,$H342),""))</x:f>
        <x:v/>
      </x:c>
      <x:c r="H342" s="104" t="str">
        <x:f>IF($H341="","",IFERROR(MATCH(1,INDEX((ROW('Game Records'!$U$5:$U$504)&gt;$H341)*(('Game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3" ht="24" customHeight="1">
      <x:c r="A343" s="332" t="str">
        <x:f>IF($H343="","",ROWS($A$5:A343))</x:f>
        <x:v/>
      </x:c>
      <x:c r="B343" s="332" t="str">
        <x:f>IF($H343="","","G-"&amp;TEXT($A343,"0000"))</x:f>
        <x:v/>
      </x:c>
      <x:c r="C343" s="331" t="str">
        <x:f>IF($H343="","",IFERROR(INDEX('Game Records'!$A:$A,$H343),""))</x:f>
        <x:v/>
      </x:c>
      <x:c r="D343" s="331" t="str">
        <x:f>IF($H343="","",IFERROR(INDEX('Game Records'!$U:$U,$H343),""))</x:f>
        <x:v/>
      </x:c>
      <x:c r="E343" s="331" t="str">
        <x:f>IF($H343="","",IF($F343="","No Highlighted Fields","Highlighted Fields Present"))</x:f>
        <x:v/>
      </x:c>
      <x:c r="F343" s="331" t="str">
        <x:f>IF($H343="","",IF(INDEX('Game Records'!$B:$B,$H343)="","Start Date; ","")&amp;IF(INDEX('Game Records'!$C:$C,$H343)="","End Date; ","")&amp;IF(AND(INDEX('Game Records'!$U:$U,$H343)&lt;&gt;"Subscription",INDEX('Game Records'!$U:$U,$H343)&lt;&gt;"Free Game",INDEX('Game Records'!$U:$U,$H343)&lt;&gt;"Disqualified — Free Game",OR(INDEX('Game Records'!$D:$D,$H343)="",LOWER(INDEX('Game Records'!$D:$D,$H343)&amp;"")="n/a")),"Entry Mode; ","")&amp;IF(AND(INDEX('Game Records'!$U:$U,$H343)&lt;&gt;"Subscription",INDEX('Game Records'!$U:$U,$H343)&lt;&gt;"Free Game",INDEX('Game Records'!$U:$U,$H343)&lt;&gt;"Disqualified — Free Game",OR(INDEX('Game Records'!$E:$E,$H343)="",LOWER(INDEX('Game Records'!$E:$E,$H343)&amp;"")="n/a")),"Game Type; ","")&amp;IF(INDEX('Game Records'!$F:$F,$H343)="","Payment Type; ","")&amp;IF(AND(INDEX('Game Records'!$U:$U,$H343)&lt;&gt;"Subscription",INDEX('Game Records'!$U:$U,$H343)&lt;&gt;"Free Game",INDEX('Game Records'!$U:$U,$H343)&lt;&gt;"Disqualified — Free Game",INDEX('Game Records'!$G:$G,$H343)=""),"Gross Pot; ","")&amp;IF(AND(INDEX('Game Records'!$U:$U,$H343)&lt;&gt;"Free Game",INDEX('Game Records'!$U:$U,$H343)&lt;&gt;"Disqualified — Free Game",INDEX('Game Records'!$H:$H,$H343)=""),"Entry Fee; ","")&amp;IF(AND(INDEX('Game Records'!$U:$U,$H343)&lt;&gt;"Subscription",INDEX('Game Records'!$U:$U,$H343)&lt;&gt;"Free Game",INDEX('Game Records'!$U:$U,$H343)&lt;&gt;"Disqualified — Free Game",INDEX('Game Records'!$I:$I,$H343)=""),"Eligible Players; ","")&amp;IF(AND(INDEX('Game Records'!$U:$U,$H343)&lt;&gt;"Subscription",INDEX('Game Records'!$U:$U,$H343)&lt;&gt;"Free Game",INDEX('Game Records'!$U:$U,$H343)&lt;&gt;"Disqualified — Free Game",INDEX('Game Records'!$J:$J,$H343)=""),"Total Players; ","")&amp;IF(AND(LOWER(INDEX('Game Records'!$D:$D,$H343)&amp;"")="finalized",LOWER(INDEX('Game Records'!$L:$L,$H343)&amp;"")&lt;&gt;"yes",INDEX('Game Records'!$U:$U,$H343)&lt;&gt;"Subscription",INDEX('Game Records'!$U:$U,$H343)&lt;&gt;"Free Game",INDEX('Game Records'!$U:$U,$H343)&lt;&gt;"Disqualified — Free Game",INDEX('Game Records'!$K:$K,$H343)=""),"Final Earned; ","")&amp;IF(AND(LOWER(INDEX('Game Records'!$D:$D,$H343)&amp;"")="finalized",INDEX('Game Records'!$U:$U,$H343)&lt;&gt;"Subscription",INDEX('Game Records'!$U:$U,$H343)&lt;&gt;"Free Game",INDEX('Game Records'!$U:$U,$H343)&lt;&gt;"Disqualified — Free Game",OR(INDEX('Game Records'!$L:$L,$H343)="",LOWER(INDEX('Game Records'!$L:$L,$H343)&amp;"")="n/a")),"Disqualified Status; ",""))</x:f>
        <x:v/>
      </x:c>
      <x:c r="G343" s="331" t="str">
        <x:f>IF($H343="","",IFERROR(INDEX('Game Records'!$M:$M,$H343),""))</x:f>
        <x:v/>
      </x:c>
      <x:c r="H343" s="104" t="str">
        <x:f>IF($H342="","",IFERROR(MATCH(1,INDEX((ROW('Game Records'!$U$5:$U$504)&gt;$H342)*(('Game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4" ht="24" customHeight="1">
      <x:c r="A344" s="332" t="str">
        <x:f>IF($H344="","",ROWS($A$5:A344))</x:f>
        <x:v/>
      </x:c>
      <x:c r="B344" s="332" t="str">
        <x:f>IF($H344="","","G-"&amp;TEXT($A344,"0000"))</x:f>
        <x:v/>
      </x:c>
      <x:c r="C344" s="331" t="str">
        <x:f>IF($H344="","",IFERROR(INDEX('Game Records'!$A:$A,$H344),""))</x:f>
        <x:v/>
      </x:c>
      <x:c r="D344" s="331" t="str">
        <x:f>IF($H344="","",IFERROR(INDEX('Game Records'!$U:$U,$H344),""))</x:f>
        <x:v/>
      </x:c>
      <x:c r="E344" s="331" t="str">
        <x:f>IF($H344="","",IF($F344="","No Highlighted Fields","Highlighted Fields Present"))</x:f>
        <x:v/>
      </x:c>
      <x:c r="F344" s="331" t="str">
        <x:f>IF($H344="","",IF(INDEX('Game Records'!$B:$B,$H344)="","Start Date; ","")&amp;IF(INDEX('Game Records'!$C:$C,$H344)="","End Date; ","")&amp;IF(AND(INDEX('Game Records'!$U:$U,$H344)&lt;&gt;"Subscription",INDEX('Game Records'!$U:$U,$H344)&lt;&gt;"Free Game",INDEX('Game Records'!$U:$U,$H344)&lt;&gt;"Disqualified — Free Game",OR(INDEX('Game Records'!$D:$D,$H344)="",LOWER(INDEX('Game Records'!$D:$D,$H344)&amp;"")="n/a")),"Entry Mode; ","")&amp;IF(AND(INDEX('Game Records'!$U:$U,$H344)&lt;&gt;"Subscription",INDEX('Game Records'!$U:$U,$H344)&lt;&gt;"Free Game",INDEX('Game Records'!$U:$U,$H344)&lt;&gt;"Disqualified — Free Game",OR(INDEX('Game Records'!$E:$E,$H344)="",LOWER(INDEX('Game Records'!$E:$E,$H344)&amp;"")="n/a")),"Game Type; ","")&amp;IF(INDEX('Game Records'!$F:$F,$H344)="","Payment Type; ","")&amp;IF(AND(INDEX('Game Records'!$U:$U,$H344)&lt;&gt;"Subscription",INDEX('Game Records'!$U:$U,$H344)&lt;&gt;"Free Game",INDEX('Game Records'!$U:$U,$H344)&lt;&gt;"Disqualified — Free Game",INDEX('Game Records'!$G:$G,$H344)=""),"Gross Pot; ","")&amp;IF(AND(INDEX('Game Records'!$U:$U,$H344)&lt;&gt;"Free Game",INDEX('Game Records'!$U:$U,$H344)&lt;&gt;"Disqualified — Free Game",INDEX('Game Records'!$H:$H,$H344)=""),"Entry Fee; ","")&amp;IF(AND(INDEX('Game Records'!$U:$U,$H344)&lt;&gt;"Subscription",INDEX('Game Records'!$U:$U,$H344)&lt;&gt;"Free Game",INDEX('Game Records'!$U:$U,$H344)&lt;&gt;"Disqualified — Free Game",INDEX('Game Records'!$I:$I,$H344)=""),"Eligible Players; ","")&amp;IF(AND(INDEX('Game Records'!$U:$U,$H344)&lt;&gt;"Subscription",INDEX('Game Records'!$U:$U,$H344)&lt;&gt;"Free Game",INDEX('Game Records'!$U:$U,$H344)&lt;&gt;"Disqualified — Free Game",INDEX('Game Records'!$J:$J,$H344)=""),"Total Players; ","")&amp;IF(AND(LOWER(INDEX('Game Records'!$D:$D,$H344)&amp;"")="finalized",LOWER(INDEX('Game Records'!$L:$L,$H344)&amp;"")&lt;&gt;"yes",INDEX('Game Records'!$U:$U,$H344)&lt;&gt;"Subscription",INDEX('Game Records'!$U:$U,$H344)&lt;&gt;"Free Game",INDEX('Game Records'!$U:$U,$H344)&lt;&gt;"Disqualified — Free Game",INDEX('Game Records'!$K:$K,$H344)=""),"Final Earned; ","")&amp;IF(AND(LOWER(INDEX('Game Records'!$D:$D,$H344)&amp;"")="finalized",INDEX('Game Records'!$U:$U,$H344)&lt;&gt;"Subscription",INDEX('Game Records'!$U:$U,$H344)&lt;&gt;"Free Game",INDEX('Game Records'!$U:$U,$H344)&lt;&gt;"Disqualified — Free Game",OR(INDEX('Game Records'!$L:$L,$H344)="",LOWER(INDEX('Game Records'!$L:$L,$H344)&amp;"")="n/a")),"Disqualified Status; ",""))</x:f>
        <x:v/>
      </x:c>
      <x:c r="G344" s="331" t="str">
        <x:f>IF($H344="","",IFERROR(INDEX('Game Records'!$M:$M,$H344),""))</x:f>
        <x:v/>
      </x:c>
      <x:c r="H344" s="104" t="str">
        <x:f>IF($H343="","",IFERROR(MATCH(1,INDEX((ROW('Game Records'!$U$5:$U$504)&gt;$H343)*(('Game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5" ht="24" customHeight="1">
      <x:c r="A345" s="332" t="str">
        <x:f>IF($H345="","",ROWS($A$5:A345))</x:f>
        <x:v/>
      </x:c>
      <x:c r="B345" s="332" t="str">
        <x:f>IF($H345="","","G-"&amp;TEXT($A345,"0000"))</x:f>
        <x:v/>
      </x:c>
      <x:c r="C345" s="331" t="str">
        <x:f>IF($H345="","",IFERROR(INDEX('Game Records'!$A:$A,$H345),""))</x:f>
        <x:v/>
      </x:c>
      <x:c r="D345" s="331" t="str">
        <x:f>IF($H345="","",IFERROR(INDEX('Game Records'!$U:$U,$H345),""))</x:f>
        <x:v/>
      </x:c>
      <x:c r="E345" s="331" t="str">
        <x:f>IF($H345="","",IF($F345="","No Highlighted Fields","Highlighted Fields Present"))</x:f>
        <x:v/>
      </x:c>
      <x:c r="F345" s="331" t="str">
        <x:f>IF($H345="","",IF(INDEX('Game Records'!$B:$B,$H345)="","Start Date; ","")&amp;IF(INDEX('Game Records'!$C:$C,$H345)="","End Date; ","")&amp;IF(AND(INDEX('Game Records'!$U:$U,$H345)&lt;&gt;"Subscription",INDEX('Game Records'!$U:$U,$H345)&lt;&gt;"Free Game",INDEX('Game Records'!$U:$U,$H345)&lt;&gt;"Disqualified — Free Game",OR(INDEX('Game Records'!$D:$D,$H345)="",LOWER(INDEX('Game Records'!$D:$D,$H345)&amp;"")="n/a")),"Entry Mode; ","")&amp;IF(AND(INDEX('Game Records'!$U:$U,$H345)&lt;&gt;"Subscription",INDEX('Game Records'!$U:$U,$H345)&lt;&gt;"Free Game",INDEX('Game Records'!$U:$U,$H345)&lt;&gt;"Disqualified — Free Game",OR(INDEX('Game Records'!$E:$E,$H345)="",LOWER(INDEX('Game Records'!$E:$E,$H345)&amp;"")="n/a")),"Game Type; ","")&amp;IF(INDEX('Game Records'!$F:$F,$H345)="","Payment Type; ","")&amp;IF(AND(INDEX('Game Records'!$U:$U,$H345)&lt;&gt;"Subscription",INDEX('Game Records'!$U:$U,$H345)&lt;&gt;"Free Game",INDEX('Game Records'!$U:$U,$H345)&lt;&gt;"Disqualified — Free Game",INDEX('Game Records'!$G:$G,$H345)=""),"Gross Pot; ","")&amp;IF(AND(INDEX('Game Records'!$U:$U,$H345)&lt;&gt;"Free Game",INDEX('Game Records'!$U:$U,$H345)&lt;&gt;"Disqualified — Free Game",INDEX('Game Records'!$H:$H,$H345)=""),"Entry Fee; ","")&amp;IF(AND(INDEX('Game Records'!$U:$U,$H345)&lt;&gt;"Subscription",INDEX('Game Records'!$U:$U,$H345)&lt;&gt;"Free Game",INDEX('Game Records'!$U:$U,$H345)&lt;&gt;"Disqualified — Free Game",INDEX('Game Records'!$I:$I,$H345)=""),"Eligible Players; ","")&amp;IF(AND(INDEX('Game Records'!$U:$U,$H345)&lt;&gt;"Subscription",INDEX('Game Records'!$U:$U,$H345)&lt;&gt;"Free Game",INDEX('Game Records'!$U:$U,$H345)&lt;&gt;"Disqualified — Free Game",INDEX('Game Records'!$J:$J,$H345)=""),"Total Players; ","")&amp;IF(AND(LOWER(INDEX('Game Records'!$D:$D,$H345)&amp;"")="finalized",LOWER(INDEX('Game Records'!$L:$L,$H345)&amp;"")&lt;&gt;"yes",INDEX('Game Records'!$U:$U,$H345)&lt;&gt;"Subscription",INDEX('Game Records'!$U:$U,$H345)&lt;&gt;"Free Game",INDEX('Game Records'!$U:$U,$H345)&lt;&gt;"Disqualified — Free Game",INDEX('Game Records'!$K:$K,$H345)=""),"Final Earned; ","")&amp;IF(AND(LOWER(INDEX('Game Records'!$D:$D,$H345)&amp;"")="finalized",INDEX('Game Records'!$U:$U,$H345)&lt;&gt;"Subscription",INDEX('Game Records'!$U:$U,$H345)&lt;&gt;"Free Game",INDEX('Game Records'!$U:$U,$H345)&lt;&gt;"Disqualified — Free Game",OR(INDEX('Game Records'!$L:$L,$H345)="",LOWER(INDEX('Game Records'!$L:$L,$H345)&amp;"")="n/a")),"Disqualified Status; ",""))</x:f>
        <x:v/>
      </x:c>
      <x:c r="G345" s="331" t="str">
        <x:f>IF($H345="","",IFERROR(INDEX('Game Records'!$M:$M,$H345),""))</x:f>
        <x:v/>
      </x:c>
      <x:c r="H345" s="104" t="str">
        <x:f>IF($H344="","",IFERROR(MATCH(1,INDEX((ROW('Game Records'!$U$5:$U$504)&gt;$H344)*(('Game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6" ht="24" customHeight="1">
      <x:c r="A346" s="332" t="str">
        <x:f>IF($H346="","",ROWS($A$5:A346))</x:f>
        <x:v/>
      </x:c>
      <x:c r="B346" s="332" t="str">
        <x:f>IF($H346="","","G-"&amp;TEXT($A346,"0000"))</x:f>
        <x:v/>
      </x:c>
      <x:c r="C346" s="331" t="str">
        <x:f>IF($H346="","",IFERROR(INDEX('Game Records'!$A:$A,$H346),""))</x:f>
        <x:v/>
      </x:c>
      <x:c r="D346" s="331" t="str">
        <x:f>IF($H346="","",IFERROR(INDEX('Game Records'!$U:$U,$H346),""))</x:f>
        <x:v/>
      </x:c>
      <x:c r="E346" s="331" t="str">
        <x:f>IF($H346="","",IF($F346="","No Highlighted Fields","Highlighted Fields Present"))</x:f>
        <x:v/>
      </x:c>
      <x:c r="F346" s="331" t="str">
        <x:f>IF($H346="","",IF(INDEX('Game Records'!$B:$B,$H346)="","Start Date; ","")&amp;IF(INDEX('Game Records'!$C:$C,$H346)="","End Date; ","")&amp;IF(AND(INDEX('Game Records'!$U:$U,$H346)&lt;&gt;"Subscription",INDEX('Game Records'!$U:$U,$H346)&lt;&gt;"Free Game",INDEX('Game Records'!$U:$U,$H346)&lt;&gt;"Disqualified — Free Game",OR(INDEX('Game Records'!$D:$D,$H346)="",LOWER(INDEX('Game Records'!$D:$D,$H346)&amp;"")="n/a")),"Entry Mode; ","")&amp;IF(AND(INDEX('Game Records'!$U:$U,$H346)&lt;&gt;"Subscription",INDEX('Game Records'!$U:$U,$H346)&lt;&gt;"Free Game",INDEX('Game Records'!$U:$U,$H346)&lt;&gt;"Disqualified — Free Game",OR(INDEX('Game Records'!$E:$E,$H346)="",LOWER(INDEX('Game Records'!$E:$E,$H346)&amp;"")="n/a")),"Game Type; ","")&amp;IF(INDEX('Game Records'!$F:$F,$H346)="","Payment Type; ","")&amp;IF(AND(INDEX('Game Records'!$U:$U,$H346)&lt;&gt;"Subscription",INDEX('Game Records'!$U:$U,$H346)&lt;&gt;"Free Game",INDEX('Game Records'!$U:$U,$H346)&lt;&gt;"Disqualified — Free Game",INDEX('Game Records'!$G:$G,$H346)=""),"Gross Pot; ","")&amp;IF(AND(INDEX('Game Records'!$U:$U,$H346)&lt;&gt;"Free Game",INDEX('Game Records'!$U:$U,$H346)&lt;&gt;"Disqualified — Free Game",INDEX('Game Records'!$H:$H,$H346)=""),"Entry Fee; ","")&amp;IF(AND(INDEX('Game Records'!$U:$U,$H346)&lt;&gt;"Subscription",INDEX('Game Records'!$U:$U,$H346)&lt;&gt;"Free Game",INDEX('Game Records'!$U:$U,$H346)&lt;&gt;"Disqualified — Free Game",INDEX('Game Records'!$I:$I,$H346)=""),"Eligible Players; ","")&amp;IF(AND(INDEX('Game Records'!$U:$U,$H346)&lt;&gt;"Subscription",INDEX('Game Records'!$U:$U,$H346)&lt;&gt;"Free Game",INDEX('Game Records'!$U:$U,$H346)&lt;&gt;"Disqualified — Free Game",INDEX('Game Records'!$J:$J,$H346)=""),"Total Players; ","")&amp;IF(AND(LOWER(INDEX('Game Records'!$D:$D,$H346)&amp;"")="finalized",LOWER(INDEX('Game Records'!$L:$L,$H346)&amp;"")&lt;&gt;"yes",INDEX('Game Records'!$U:$U,$H346)&lt;&gt;"Subscription",INDEX('Game Records'!$U:$U,$H346)&lt;&gt;"Free Game",INDEX('Game Records'!$U:$U,$H346)&lt;&gt;"Disqualified — Free Game",INDEX('Game Records'!$K:$K,$H346)=""),"Final Earned; ","")&amp;IF(AND(LOWER(INDEX('Game Records'!$D:$D,$H346)&amp;"")="finalized",INDEX('Game Records'!$U:$U,$H346)&lt;&gt;"Subscription",INDEX('Game Records'!$U:$U,$H346)&lt;&gt;"Free Game",INDEX('Game Records'!$U:$U,$H346)&lt;&gt;"Disqualified — Free Game",OR(INDEX('Game Records'!$L:$L,$H346)="",LOWER(INDEX('Game Records'!$L:$L,$H346)&amp;"")="n/a")),"Disqualified Status; ",""))</x:f>
        <x:v/>
      </x:c>
      <x:c r="G346" s="331" t="str">
        <x:f>IF($H346="","",IFERROR(INDEX('Game Records'!$M:$M,$H346),""))</x:f>
        <x:v/>
      </x:c>
      <x:c r="H346" s="104" t="str">
        <x:f>IF($H345="","",IFERROR(MATCH(1,INDEX((ROW('Game Records'!$U$5:$U$504)&gt;$H345)*(('Game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7" ht="24" customHeight="1">
      <x:c r="A347" s="332" t="str">
        <x:f>IF($H347="","",ROWS($A$5:A347))</x:f>
        <x:v/>
      </x:c>
      <x:c r="B347" s="332" t="str">
        <x:f>IF($H347="","","G-"&amp;TEXT($A347,"0000"))</x:f>
        <x:v/>
      </x:c>
      <x:c r="C347" s="331" t="str">
        <x:f>IF($H347="","",IFERROR(INDEX('Game Records'!$A:$A,$H347),""))</x:f>
        <x:v/>
      </x:c>
      <x:c r="D347" s="331" t="str">
        <x:f>IF($H347="","",IFERROR(INDEX('Game Records'!$U:$U,$H347),""))</x:f>
        <x:v/>
      </x:c>
      <x:c r="E347" s="331" t="str">
        <x:f>IF($H347="","",IF($F347="","No Highlighted Fields","Highlighted Fields Present"))</x:f>
        <x:v/>
      </x:c>
      <x:c r="F347" s="331" t="str">
        <x:f>IF($H347="","",IF(INDEX('Game Records'!$B:$B,$H347)="","Start Date; ","")&amp;IF(INDEX('Game Records'!$C:$C,$H347)="","End Date; ","")&amp;IF(AND(INDEX('Game Records'!$U:$U,$H347)&lt;&gt;"Subscription",INDEX('Game Records'!$U:$U,$H347)&lt;&gt;"Free Game",INDEX('Game Records'!$U:$U,$H347)&lt;&gt;"Disqualified — Free Game",OR(INDEX('Game Records'!$D:$D,$H347)="",LOWER(INDEX('Game Records'!$D:$D,$H347)&amp;"")="n/a")),"Entry Mode; ","")&amp;IF(AND(INDEX('Game Records'!$U:$U,$H347)&lt;&gt;"Subscription",INDEX('Game Records'!$U:$U,$H347)&lt;&gt;"Free Game",INDEX('Game Records'!$U:$U,$H347)&lt;&gt;"Disqualified — Free Game",OR(INDEX('Game Records'!$E:$E,$H347)="",LOWER(INDEX('Game Records'!$E:$E,$H347)&amp;"")="n/a")),"Game Type; ","")&amp;IF(INDEX('Game Records'!$F:$F,$H347)="","Payment Type; ","")&amp;IF(AND(INDEX('Game Records'!$U:$U,$H347)&lt;&gt;"Subscription",INDEX('Game Records'!$U:$U,$H347)&lt;&gt;"Free Game",INDEX('Game Records'!$U:$U,$H347)&lt;&gt;"Disqualified — Free Game",INDEX('Game Records'!$G:$G,$H347)=""),"Gross Pot; ","")&amp;IF(AND(INDEX('Game Records'!$U:$U,$H347)&lt;&gt;"Free Game",INDEX('Game Records'!$U:$U,$H347)&lt;&gt;"Disqualified — Free Game",INDEX('Game Records'!$H:$H,$H347)=""),"Entry Fee; ","")&amp;IF(AND(INDEX('Game Records'!$U:$U,$H347)&lt;&gt;"Subscription",INDEX('Game Records'!$U:$U,$H347)&lt;&gt;"Free Game",INDEX('Game Records'!$U:$U,$H347)&lt;&gt;"Disqualified — Free Game",INDEX('Game Records'!$I:$I,$H347)=""),"Eligible Players; ","")&amp;IF(AND(INDEX('Game Records'!$U:$U,$H347)&lt;&gt;"Subscription",INDEX('Game Records'!$U:$U,$H347)&lt;&gt;"Free Game",INDEX('Game Records'!$U:$U,$H347)&lt;&gt;"Disqualified — Free Game",INDEX('Game Records'!$J:$J,$H347)=""),"Total Players; ","")&amp;IF(AND(LOWER(INDEX('Game Records'!$D:$D,$H347)&amp;"")="finalized",LOWER(INDEX('Game Records'!$L:$L,$H347)&amp;"")&lt;&gt;"yes",INDEX('Game Records'!$U:$U,$H347)&lt;&gt;"Subscription",INDEX('Game Records'!$U:$U,$H347)&lt;&gt;"Free Game",INDEX('Game Records'!$U:$U,$H347)&lt;&gt;"Disqualified — Free Game",INDEX('Game Records'!$K:$K,$H347)=""),"Final Earned; ","")&amp;IF(AND(LOWER(INDEX('Game Records'!$D:$D,$H347)&amp;"")="finalized",INDEX('Game Records'!$U:$U,$H347)&lt;&gt;"Subscription",INDEX('Game Records'!$U:$U,$H347)&lt;&gt;"Free Game",INDEX('Game Records'!$U:$U,$H347)&lt;&gt;"Disqualified — Free Game",OR(INDEX('Game Records'!$L:$L,$H347)="",LOWER(INDEX('Game Records'!$L:$L,$H347)&amp;"")="n/a")),"Disqualified Status; ",""))</x:f>
        <x:v/>
      </x:c>
      <x:c r="G347" s="331" t="str">
        <x:f>IF($H347="","",IFERROR(INDEX('Game Records'!$M:$M,$H347),""))</x:f>
        <x:v/>
      </x:c>
      <x:c r="H347" s="104" t="str">
        <x:f>IF($H346="","",IFERROR(MATCH(1,INDEX((ROW('Game Records'!$U$5:$U$504)&gt;$H346)*(('Game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8" ht="24" customHeight="1">
      <x:c r="A348" s="332" t="str">
        <x:f>IF($H348="","",ROWS($A$5:A348))</x:f>
        <x:v/>
      </x:c>
      <x:c r="B348" s="332" t="str">
        <x:f>IF($H348="","","G-"&amp;TEXT($A348,"0000"))</x:f>
        <x:v/>
      </x:c>
      <x:c r="C348" s="331" t="str">
        <x:f>IF($H348="","",IFERROR(INDEX('Game Records'!$A:$A,$H348),""))</x:f>
        <x:v/>
      </x:c>
      <x:c r="D348" s="331" t="str">
        <x:f>IF($H348="","",IFERROR(INDEX('Game Records'!$U:$U,$H348),""))</x:f>
        <x:v/>
      </x:c>
      <x:c r="E348" s="331" t="str">
        <x:f>IF($H348="","",IF($F348="","No Highlighted Fields","Highlighted Fields Present"))</x:f>
        <x:v/>
      </x:c>
      <x:c r="F348" s="331" t="str">
        <x:f>IF($H348="","",IF(INDEX('Game Records'!$B:$B,$H348)="","Start Date; ","")&amp;IF(INDEX('Game Records'!$C:$C,$H348)="","End Date; ","")&amp;IF(AND(INDEX('Game Records'!$U:$U,$H348)&lt;&gt;"Subscription",INDEX('Game Records'!$U:$U,$H348)&lt;&gt;"Free Game",INDEX('Game Records'!$U:$U,$H348)&lt;&gt;"Disqualified — Free Game",OR(INDEX('Game Records'!$D:$D,$H348)="",LOWER(INDEX('Game Records'!$D:$D,$H348)&amp;"")="n/a")),"Entry Mode; ","")&amp;IF(AND(INDEX('Game Records'!$U:$U,$H348)&lt;&gt;"Subscription",INDEX('Game Records'!$U:$U,$H348)&lt;&gt;"Free Game",INDEX('Game Records'!$U:$U,$H348)&lt;&gt;"Disqualified — Free Game",OR(INDEX('Game Records'!$E:$E,$H348)="",LOWER(INDEX('Game Records'!$E:$E,$H348)&amp;"")="n/a")),"Game Type; ","")&amp;IF(INDEX('Game Records'!$F:$F,$H348)="","Payment Type; ","")&amp;IF(AND(INDEX('Game Records'!$U:$U,$H348)&lt;&gt;"Subscription",INDEX('Game Records'!$U:$U,$H348)&lt;&gt;"Free Game",INDEX('Game Records'!$U:$U,$H348)&lt;&gt;"Disqualified — Free Game",INDEX('Game Records'!$G:$G,$H348)=""),"Gross Pot; ","")&amp;IF(AND(INDEX('Game Records'!$U:$U,$H348)&lt;&gt;"Free Game",INDEX('Game Records'!$U:$U,$H348)&lt;&gt;"Disqualified — Free Game",INDEX('Game Records'!$H:$H,$H348)=""),"Entry Fee; ","")&amp;IF(AND(INDEX('Game Records'!$U:$U,$H348)&lt;&gt;"Subscription",INDEX('Game Records'!$U:$U,$H348)&lt;&gt;"Free Game",INDEX('Game Records'!$U:$U,$H348)&lt;&gt;"Disqualified — Free Game",INDEX('Game Records'!$I:$I,$H348)=""),"Eligible Players; ","")&amp;IF(AND(INDEX('Game Records'!$U:$U,$H348)&lt;&gt;"Subscription",INDEX('Game Records'!$U:$U,$H348)&lt;&gt;"Free Game",INDEX('Game Records'!$U:$U,$H348)&lt;&gt;"Disqualified — Free Game",INDEX('Game Records'!$J:$J,$H348)=""),"Total Players; ","")&amp;IF(AND(LOWER(INDEX('Game Records'!$D:$D,$H348)&amp;"")="finalized",LOWER(INDEX('Game Records'!$L:$L,$H348)&amp;"")&lt;&gt;"yes",INDEX('Game Records'!$U:$U,$H348)&lt;&gt;"Subscription",INDEX('Game Records'!$U:$U,$H348)&lt;&gt;"Free Game",INDEX('Game Records'!$U:$U,$H348)&lt;&gt;"Disqualified — Free Game",INDEX('Game Records'!$K:$K,$H348)=""),"Final Earned; ","")&amp;IF(AND(LOWER(INDEX('Game Records'!$D:$D,$H348)&amp;"")="finalized",INDEX('Game Records'!$U:$U,$H348)&lt;&gt;"Subscription",INDEX('Game Records'!$U:$U,$H348)&lt;&gt;"Free Game",INDEX('Game Records'!$U:$U,$H348)&lt;&gt;"Disqualified — Free Game",OR(INDEX('Game Records'!$L:$L,$H348)="",LOWER(INDEX('Game Records'!$L:$L,$H348)&amp;"")="n/a")),"Disqualified Status; ",""))</x:f>
        <x:v/>
      </x:c>
      <x:c r="G348" s="331" t="str">
        <x:f>IF($H348="","",IFERROR(INDEX('Game Records'!$M:$M,$H348),""))</x:f>
        <x:v/>
      </x:c>
      <x:c r="H348" s="104" t="str">
        <x:f>IF($H347="","",IFERROR(MATCH(1,INDEX((ROW('Game Records'!$U$5:$U$504)&gt;$H347)*(('Game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49" ht="24" customHeight="1">
      <x:c r="A349" s="332" t="str">
        <x:f>IF($H349="","",ROWS($A$5:A349))</x:f>
        <x:v/>
      </x:c>
      <x:c r="B349" s="332" t="str">
        <x:f>IF($H349="","","G-"&amp;TEXT($A349,"0000"))</x:f>
        <x:v/>
      </x:c>
      <x:c r="C349" s="331" t="str">
        <x:f>IF($H349="","",IFERROR(INDEX('Game Records'!$A:$A,$H349),""))</x:f>
        <x:v/>
      </x:c>
      <x:c r="D349" s="331" t="str">
        <x:f>IF($H349="","",IFERROR(INDEX('Game Records'!$U:$U,$H349),""))</x:f>
        <x:v/>
      </x:c>
      <x:c r="E349" s="331" t="str">
        <x:f>IF($H349="","",IF($F349="","No Highlighted Fields","Highlighted Fields Present"))</x:f>
        <x:v/>
      </x:c>
      <x:c r="F349" s="331" t="str">
        <x:f>IF($H349="","",IF(INDEX('Game Records'!$B:$B,$H349)="","Start Date; ","")&amp;IF(INDEX('Game Records'!$C:$C,$H349)="","End Date; ","")&amp;IF(AND(INDEX('Game Records'!$U:$U,$H349)&lt;&gt;"Subscription",INDEX('Game Records'!$U:$U,$H349)&lt;&gt;"Free Game",INDEX('Game Records'!$U:$U,$H349)&lt;&gt;"Disqualified — Free Game",OR(INDEX('Game Records'!$D:$D,$H349)="",LOWER(INDEX('Game Records'!$D:$D,$H349)&amp;"")="n/a")),"Entry Mode; ","")&amp;IF(AND(INDEX('Game Records'!$U:$U,$H349)&lt;&gt;"Subscription",INDEX('Game Records'!$U:$U,$H349)&lt;&gt;"Free Game",INDEX('Game Records'!$U:$U,$H349)&lt;&gt;"Disqualified — Free Game",OR(INDEX('Game Records'!$E:$E,$H349)="",LOWER(INDEX('Game Records'!$E:$E,$H349)&amp;"")="n/a")),"Game Type; ","")&amp;IF(INDEX('Game Records'!$F:$F,$H349)="","Payment Type; ","")&amp;IF(AND(INDEX('Game Records'!$U:$U,$H349)&lt;&gt;"Subscription",INDEX('Game Records'!$U:$U,$H349)&lt;&gt;"Free Game",INDEX('Game Records'!$U:$U,$H349)&lt;&gt;"Disqualified — Free Game",INDEX('Game Records'!$G:$G,$H349)=""),"Gross Pot; ","")&amp;IF(AND(INDEX('Game Records'!$U:$U,$H349)&lt;&gt;"Free Game",INDEX('Game Records'!$U:$U,$H349)&lt;&gt;"Disqualified — Free Game",INDEX('Game Records'!$H:$H,$H349)=""),"Entry Fee; ","")&amp;IF(AND(INDEX('Game Records'!$U:$U,$H349)&lt;&gt;"Subscription",INDEX('Game Records'!$U:$U,$H349)&lt;&gt;"Free Game",INDEX('Game Records'!$U:$U,$H349)&lt;&gt;"Disqualified — Free Game",INDEX('Game Records'!$I:$I,$H349)=""),"Eligible Players; ","")&amp;IF(AND(INDEX('Game Records'!$U:$U,$H349)&lt;&gt;"Subscription",INDEX('Game Records'!$U:$U,$H349)&lt;&gt;"Free Game",INDEX('Game Records'!$U:$U,$H349)&lt;&gt;"Disqualified — Free Game",INDEX('Game Records'!$J:$J,$H349)=""),"Total Players; ","")&amp;IF(AND(LOWER(INDEX('Game Records'!$D:$D,$H349)&amp;"")="finalized",LOWER(INDEX('Game Records'!$L:$L,$H349)&amp;"")&lt;&gt;"yes",INDEX('Game Records'!$U:$U,$H349)&lt;&gt;"Subscription",INDEX('Game Records'!$U:$U,$H349)&lt;&gt;"Free Game",INDEX('Game Records'!$U:$U,$H349)&lt;&gt;"Disqualified — Free Game",INDEX('Game Records'!$K:$K,$H349)=""),"Final Earned; ","")&amp;IF(AND(LOWER(INDEX('Game Records'!$D:$D,$H349)&amp;"")="finalized",INDEX('Game Records'!$U:$U,$H349)&lt;&gt;"Subscription",INDEX('Game Records'!$U:$U,$H349)&lt;&gt;"Free Game",INDEX('Game Records'!$U:$U,$H349)&lt;&gt;"Disqualified — Free Game",OR(INDEX('Game Records'!$L:$L,$H349)="",LOWER(INDEX('Game Records'!$L:$L,$H349)&amp;"")="n/a")),"Disqualified Status; ",""))</x:f>
        <x:v/>
      </x:c>
      <x:c r="G349" s="331" t="str">
        <x:f>IF($H349="","",IFERROR(INDEX('Game Records'!$M:$M,$H349),""))</x:f>
        <x:v/>
      </x:c>
      <x:c r="H349" s="104" t="str">
        <x:f>IF($H348="","",IFERROR(MATCH(1,INDEX((ROW('Game Records'!$U$5:$U$504)&gt;$H348)*(('Game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0" ht="24" customHeight="1">
      <x:c r="A350" s="332" t="str">
        <x:f>IF($H350="","",ROWS($A$5:A350))</x:f>
        <x:v/>
      </x:c>
      <x:c r="B350" s="332" t="str">
        <x:f>IF($H350="","","G-"&amp;TEXT($A350,"0000"))</x:f>
        <x:v/>
      </x:c>
      <x:c r="C350" s="331" t="str">
        <x:f>IF($H350="","",IFERROR(INDEX('Game Records'!$A:$A,$H350),""))</x:f>
        <x:v/>
      </x:c>
      <x:c r="D350" s="331" t="str">
        <x:f>IF($H350="","",IFERROR(INDEX('Game Records'!$U:$U,$H350),""))</x:f>
        <x:v/>
      </x:c>
      <x:c r="E350" s="331" t="str">
        <x:f>IF($H350="","",IF($F350="","No Highlighted Fields","Highlighted Fields Present"))</x:f>
        <x:v/>
      </x:c>
      <x:c r="F350" s="331" t="str">
        <x:f>IF($H350="","",IF(INDEX('Game Records'!$B:$B,$H350)="","Start Date; ","")&amp;IF(INDEX('Game Records'!$C:$C,$H350)="","End Date; ","")&amp;IF(AND(INDEX('Game Records'!$U:$U,$H350)&lt;&gt;"Subscription",INDEX('Game Records'!$U:$U,$H350)&lt;&gt;"Free Game",INDEX('Game Records'!$U:$U,$H350)&lt;&gt;"Disqualified — Free Game",OR(INDEX('Game Records'!$D:$D,$H350)="",LOWER(INDEX('Game Records'!$D:$D,$H350)&amp;"")="n/a")),"Entry Mode; ","")&amp;IF(AND(INDEX('Game Records'!$U:$U,$H350)&lt;&gt;"Subscription",INDEX('Game Records'!$U:$U,$H350)&lt;&gt;"Free Game",INDEX('Game Records'!$U:$U,$H350)&lt;&gt;"Disqualified — Free Game",OR(INDEX('Game Records'!$E:$E,$H350)="",LOWER(INDEX('Game Records'!$E:$E,$H350)&amp;"")="n/a")),"Game Type; ","")&amp;IF(INDEX('Game Records'!$F:$F,$H350)="","Payment Type; ","")&amp;IF(AND(INDEX('Game Records'!$U:$U,$H350)&lt;&gt;"Subscription",INDEX('Game Records'!$U:$U,$H350)&lt;&gt;"Free Game",INDEX('Game Records'!$U:$U,$H350)&lt;&gt;"Disqualified — Free Game",INDEX('Game Records'!$G:$G,$H350)=""),"Gross Pot; ","")&amp;IF(AND(INDEX('Game Records'!$U:$U,$H350)&lt;&gt;"Free Game",INDEX('Game Records'!$U:$U,$H350)&lt;&gt;"Disqualified — Free Game",INDEX('Game Records'!$H:$H,$H350)=""),"Entry Fee; ","")&amp;IF(AND(INDEX('Game Records'!$U:$U,$H350)&lt;&gt;"Subscription",INDEX('Game Records'!$U:$U,$H350)&lt;&gt;"Free Game",INDEX('Game Records'!$U:$U,$H350)&lt;&gt;"Disqualified — Free Game",INDEX('Game Records'!$I:$I,$H350)=""),"Eligible Players; ","")&amp;IF(AND(INDEX('Game Records'!$U:$U,$H350)&lt;&gt;"Subscription",INDEX('Game Records'!$U:$U,$H350)&lt;&gt;"Free Game",INDEX('Game Records'!$U:$U,$H350)&lt;&gt;"Disqualified — Free Game",INDEX('Game Records'!$J:$J,$H350)=""),"Total Players; ","")&amp;IF(AND(LOWER(INDEX('Game Records'!$D:$D,$H350)&amp;"")="finalized",LOWER(INDEX('Game Records'!$L:$L,$H350)&amp;"")&lt;&gt;"yes",INDEX('Game Records'!$U:$U,$H350)&lt;&gt;"Subscription",INDEX('Game Records'!$U:$U,$H350)&lt;&gt;"Free Game",INDEX('Game Records'!$U:$U,$H350)&lt;&gt;"Disqualified — Free Game",INDEX('Game Records'!$K:$K,$H350)=""),"Final Earned; ","")&amp;IF(AND(LOWER(INDEX('Game Records'!$D:$D,$H350)&amp;"")="finalized",INDEX('Game Records'!$U:$U,$H350)&lt;&gt;"Subscription",INDEX('Game Records'!$U:$U,$H350)&lt;&gt;"Free Game",INDEX('Game Records'!$U:$U,$H350)&lt;&gt;"Disqualified — Free Game",OR(INDEX('Game Records'!$L:$L,$H350)="",LOWER(INDEX('Game Records'!$L:$L,$H350)&amp;"")="n/a")),"Disqualified Status; ",""))</x:f>
        <x:v/>
      </x:c>
      <x:c r="G350" s="331" t="str">
        <x:f>IF($H350="","",IFERROR(INDEX('Game Records'!$M:$M,$H350),""))</x:f>
        <x:v/>
      </x:c>
      <x:c r="H350" s="104" t="str">
        <x:f>IF($H349="","",IFERROR(MATCH(1,INDEX((ROW('Game Records'!$U$5:$U$504)&gt;$H349)*(('Game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1" ht="24" customHeight="1">
      <x:c r="A351" s="332" t="str">
        <x:f>IF($H351="","",ROWS($A$5:A351))</x:f>
        <x:v/>
      </x:c>
      <x:c r="B351" s="332" t="str">
        <x:f>IF($H351="","","G-"&amp;TEXT($A351,"0000"))</x:f>
        <x:v/>
      </x:c>
      <x:c r="C351" s="331" t="str">
        <x:f>IF($H351="","",IFERROR(INDEX('Game Records'!$A:$A,$H351),""))</x:f>
        <x:v/>
      </x:c>
      <x:c r="D351" s="331" t="str">
        <x:f>IF($H351="","",IFERROR(INDEX('Game Records'!$U:$U,$H351),""))</x:f>
        <x:v/>
      </x:c>
      <x:c r="E351" s="331" t="str">
        <x:f>IF($H351="","",IF($F351="","No Highlighted Fields","Highlighted Fields Present"))</x:f>
        <x:v/>
      </x:c>
      <x:c r="F351" s="331" t="str">
        <x:f>IF($H351="","",IF(INDEX('Game Records'!$B:$B,$H351)="","Start Date; ","")&amp;IF(INDEX('Game Records'!$C:$C,$H351)="","End Date; ","")&amp;IF(AND(INDEX('Game Records'!$U:$U,$H351)&lt;&gt;"Subscription",INDEX('Game Records'!$U:$U,$H351)&lt;&gt;"Free Game",INDEX('Game Records'!$U:$U,$H351)&lt;&gt;"Disqualified — Free Game",OR(INDEX('Game Records'!$D:$D,$H351)="",LOWER(INDEX('Game Records'!$D:$D,$H351)&amp;"")="n/a")),"Entry Mode; ","")&amp;IF(AND(INDEX('Game Records'!$U:$U,$H351)&lt;&gt;"Subscription",INDEX('Game Records'!$U:$U,$H351)&lt;&gt;"Free Game",INDEX('Game Records'!$U:$U,$H351)&lt;&gt;"Disqualified — Free Game",OR(INDEX('Game Records'!$E:$E,$H351)="",LOWER(INDEX('Game Records'!$E:$E,$H351)&amp;"")="n/a")),"Game Type; ","")&amp;IF(INDEX('Game Records'!$F:$F,$H351)="","Payment Type; ","")&amp;IF(AND(INDEX('Game Records'!$U:$U,$H351)&lt;&gt;"Subscription",INDEX('Game Records'!$U:$U,$H351)&lt;&gt;"Free Game",INDEX('Game Records'!$U:$U,$H351)&lt;&gt;"Disqualified — Free Game",INDEX('Game Records'!$G:$G,$H351)=""),"Gross Pot; ","")&amp;IF(AND(INDEX('Game Records'!$U:$U,$H351)&lt;&gt;"Free Game",INDEX('Game Records'!$U:$U,$H351)&lt;&gt;"Disqualified — Free Game",INDEX('Game Records'!$H:$H,$H351)=""),"Entry Fee; ","")&amp;IF(AND(INDEX('Game Records'!$U:$U,$H351)&lt;&gt;"Subscription",INDEX('Game Records'!$U:$U,$H351)&lt;&gt;"Free Game",INDEX('Game Records'!$U:$U,$H351)&lt;&gt;"Disqualified — Free Game",INDEX('Game Records'!$I:$I,$H351)=""),"Eligible Players; ","")&amp;IF(AND(INDEX('Game Records'!$U:$U,$H351)&lt;&gt;"Subscription",INDEX('Game Records'!$U:$U,$H351)&lt;&gt;"Free Game",INDEX('Game Records'!$U:$U,$H351)&lt;&gt;"Disqualified — Free Game",INDEX('Game Records'!$J:$J,$H351)=""),"Total Players; ","")&amp;IF(AND(LOWER(INDEX('Game Records'!$D:$D,$H351)&amp;"")="finalized",LOWER(INDEX('Game Records'!$L:$L,$H351)&amp;"")&lt;&gt;"yes",INDEX('Game Records'!$U:$U,$H351)&lt;&gt;"Subscription",INDEX('Game Records'!$U:$U,$H351)&lt;&gt;"Free Game",INDEX('Game Records'!$U:$U,$H351)&lt;&gt;"Disqualified — Free Game",INDEX('Game Records'!$K:$K,$H351)=""),"Final Earned; ","")&amp;IF(AND(LOWER(INDEX('Game Records'!$D:$D,$H351)&amp;"")="finalized",INDEX('Game Records'!$U:$U,$H351)&lt;&gt;"Subscription",INDEX('Game Records'!$U:$U,$H351)&lt;&gt;"Free Game",INDEX('Game Records'!$U:$U,$H351)&lt;&gt;"Disqualified — Free Game",OR(INDEX('Game Records'!$L:$L,$H351)="",LOWER(INDEX('Game Records'!$L:$L,$H351)&amp;"")="n/a")),"Disqualified Status; ",""))</x:f>
        <x:v/>
      </x:c>
      <x:c r="G351" s="331" t="str">
        <x:f>IF($H351="","",IFERROR(INDEX('Game Records'!$M:$M,$H351),""))</x:f>
        <x:v/>
      </x:c>
      <x:c r="H351" s="104" t="str">
        <x:f>IF($H350="","",IFERROR(MATCH(1,INDEX((ROW('Game Records'!$U$5:$U$504)&gt;$H350)*(('Game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2" ht="24" customHeight="1">
      <x:c r="A352" s="332" t="str">
        <x:f>IF($H352="","",ROWS($A$5:A352))</x:f>
        <x:v/>
      </x:c>
      <x:c r="B352" s="332" t="str">
        <x:f>IF($H352="","","G-"&amp;TEXT($A352,"0000"))</x:f>
        <x:v/>
      </x:c>
      <x:c r="C352" s="331" t="str">
        <x:f>IF($H352="","",IFERROR(INDEX('Game Records'!$A:$A,$H352),""))</x:f>
        <x:v/>
      </x:c>
      <x:c r="D352" s="331" t="str">
        <x:f>IF($H352="","",IFERROR(INDEX('Game Records'!$U:$U,$H352),""))</x:f>
        <x:v/>
      </x:c>
      <x:c r="E352" s="331" t="str">
        <x:f>IF($H352="","",IF($F352="","No Highlighted Fields","Highlighted Fields Present"))</x:f>
        <x:v/>
      </x:c>
      <x:c r="F352" s="331" t="str">
        <x:f>IF($H352="","",IF(INDEX('Game Records'!$B:$B,$H352)="","Start Date; ","")&amp;IF(INDEX('Game Records'!$C:$C,$H352)="","End Date; ","")&amp;IF(AND(INDEX('Game Records'!$U:$U,$H352)&lt;&gt;"Subscription",INDEX('Game Records'!$U:$U,$H352)&lt;&gt;"Free Game",INDEX('Game Records'!$U:$U,$H352)&lt;&gt;"Disqualified — Free Game",OR(INDEX('Game Records'!$D:$D,$H352)="",LOWER(INDEX('Game Records'!$D:$D,$H352)&amp;"")="n/a")),"Entry Mode; ","")&amp;IF(AND(INDEX('Game Records'!$U:$U,$H352)&lt;&gt;"Subscription",INDEX('Game Records'!$U:$U,$H352)&lt;&gt;"Free Game",INDEX('Game Records'!$U:$U,$H352)&lt;&gt;"Disqualified — Free Game",OR(INDEX('Game Records'!$E:$E,$H352)="",LOWER(INDEX('Game Records'!$E:$E,$H352)&amp;"")="n/a")),"Game Type; ","")&amp;IF(INDEX('Game Records'!$F:$F,$H352)="","Payment Type; ","")&amp;IF(AND(INDEX('Game Records'!$U:$U,$H352)&lt;&gt;"Subscription",INDEX('Game Records'!$U:$U,$H352)&lt;&gt;"Free Game",INDEX('Game Records'!$U:$U,$H352)&lt;&gt;"Disqualified — Free Game",INDEX('Game Records'!$G:$G,$H352)=""),"Gross Pot; ","")&amp;IF(AND(INDEX('Game Records'!$U:$U,$H352)&lt;&gt;"Free Game",INDEX('Game Records'!$U:$U,$H352)&lt;&gt;"Disqualified — Free Game",INDEX('Game Records'!$H:$H,$H352)=""),"Entry Fee; ","")&amp;IF(AND(INDEX('Game Records'!$U:$U,$H352)&lt;&gt;"Subscription",INDEX('Game Records'!$U:$U,$H352)&lt;&gt;"Free Game",INDEX('Game Records'!$U:$U,$H352)&lt;&gt;"Disqualified — Free Game",INDEX('Game Records'!$I:$I,$H352)=""),"Eligible Players; ","")&amp;IF(AND(INDEX('Game Records'!$U:$U,$H352)&lt;&gt;"Subscription",INDEX('Game Records'!$U:$U,$H352)&lt;&gt;"Free Game",INDEX('Game Records'!$U:$U,$H352)&lt;&gt;"Disqualified — Free Game",INDEX('Game Records'!$J:$J,$H352)=""),"Total Players; ","")&amp;IF(AND(LOWER(INDEX('Game Records'!$D:$D,$H352)&amp;"")="finalized",LOWER(INDEX('Game Records'!$L:$L,$H352)&amp;"")&lt;&gt;"yes",INDEX('Game Records'!$U:$U,$H352)&lt;&gt;"Subscription",INDEX('Game Records'!$U:$U,$H352)&lt;&gt;"Free Game",INDEX('Game Records'!$U:$U,$H352)&lt;&gt;"Disqualified — Free Game",INDEX('Game Records'!$K:$K,$H352)=""),"Final Earned; ","")&amp;IF(AND(LOWER(INDEX('Game Records'!$D:$D,$H352)&amp;"")="finalized",INDEX('Game Records'!$U:$U,$H352)&lt;&gt;"Subscription",INDEX('Game Records'!$U:$U,$H352)&lt;&gt;"Free Game",INDEX('Game Records'!$U:$U,$H352)&lt;&gt;"Disqualified — Free Game",OR(INDEX('Game Records'!$L:$L,$H352)="",LOWER(INDEX('Game Records'!$L:$L,$H352)&amp;"")="n/a")),"Disqualified Status; ",""))</x:f>
        <x:v/>
      </x:c>
      <x:c r="G352" s="331" t="str">
        <x:f>IF($H352="","",IFERROR(INDEX('Game Records'!$M:$M,$H352),""))</x:f>
        <x:v/>
      </x:c>
      <x:c r="H352" s="104" t="str">
        <x:f>IF($H351="","",IFERROR(MATCH(1,INDEX((ROW('Game Records'!$U$5:$U$504)&gt;$H351)*(('Game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3" ht="24" customHeight="1">
      <x:c r="A353" s="332" t="str">
        <x:f>IF($H353="","",ROWS($A$5:A353))</x:f>
        <x:v/>
      </x:c>
      <x:c r="B353" s="332" t="str">
        <x:f>IF($H353="","","G-"&amp;TEXT($A353,"0000"))</x:f>
        <x:v/>
      </x:c>
      <x:c r="C353" s="331" t="str">
        <x:f>IF($H353="","",IFERROR(INDEX('Game Records'!$A:$A,$H353),""))</x:f>
        <x:v/>
      </x:c>
      <x:c r="D353" s="331" t="str">
        <x:f>IF($H353="","",IFERROR(INDEX('Game Records'!$U:$U,$H353),""))</x:f>
        <x:v/>
      </x:c>
      <x:c r="E353" s="331" t="str">
        <x:f>IF($H353="","",IF($F353="","No Highlighted Fields","Highlighted Fields Present"))</x:f>
        <x:v/>
      </x:c>
      <x:c r="F353" s="331" t="str">
        <x:f>IF($H353="","",IF(INDEX('Game Records'!$B:$B,$H353)="","Start Date; ","")&amp;IF(INDEX('Game Records'!$C:$C,$H353)="","End Date; ","")&amp;IF(AND(INDEX('Game Records'!$U:$U,$H353)&lt;&gt;"Subscription",INDEX('Game Records'!$U:$U,$H353)&lt;&gt;"Free Game",INDEX('Game Records'!$U:$U,$H353)&lt;&gt;"Disqualified — Free Game",OR(INDEX('Game Records'!$D:$D,$H353)="",LOWER(INDEX('Game Records'!$D:$D,$H353)&amp;"")="n/a")),"Entry Mode; ","")&amp;IF(AND(INDEX('Game Records'!$U:$U,$H353)&lt;&gt;"Subscription",INDEX('Game Records'!$U:$U,$H353)&lt;&gt;"Free Game",INDEX('Game Records'!$U:$U,$H353)&lt;&gt;"Disqualified — Free Game",OR(INDEX('Game Records'!$E:$E,$H353)="",LOWER(INDEX('Game Records'!$E:$E,$H353)&amp;"")="n/a")),"Game Type; ","")&amp;IF(INDEX('Game Records'!$F:$F,$H353)="","Payment Type; ","")&amp;IF(AND(INDEX('Game Records'!$U:$U,$H353)&lt;&gt;"Subscription",INDEX('Game Records'!$U:$U,$H353)&lt;&gt;"Free Game",INDEX('Game Records'!$U:$U,$H353)&lt;&gt;"Disqualified — Free Game",INDEX('Game Records'!$G:$G,$H353)=""),"Gross Pot; ","")&amp;IF(AND(INDEX('Game Records'!$U:$U,$H353)&lt;&gt;"Free Game",INDEX('Game Records'!$U:$U,$H353)&lt;&gt;"Disqualified — Free Game",INDEX('Game Records'!$H:$H,$H353)=""),"Entry Fee; ","")&amp;IF(AND(INDEX('Game Records'!$U:$U,$H353)&lt;&gt;"Subscription",INDEX('Game Records'!$U:$U,$H353)&lt;&gt;"Free Game",INDEX('Game Records'!$U:$U,$H353)&lt;&gt;"Disqualified — Free Game",INDEX('Game Records'!$I:$I,$H353)=""),"Eligible Players; ","")&amp;IF(AND(INDEX('Game Records'!$U:$U,$H353)&lt;&gt;"Subscription",INDEX('Game Records'!$U:$U,$H353)&lt;&gt;"Free Game",INDEX('Game Records'!$U:$U,$H353)&lt;&gt;"Disqualified — Free Game",INDEX('Game Records'!$J:$J,$H353)=""),"Total Players; ","")&amp;IF(AND(LOWER(INDEX('Game Records'!$D:$D,$H353)&amp;"")="finalized",LOWER(INDEX('Game Records'!$L:$L,$H353)&amp;"")&lt;&gt;"yes",INDEX('Game Records'!$U:$U,$H353)&lt;&gt;"Subscription",INDEX('Game Records'!$U:$U,$H353)&lt;&gt;"Free Game",INDEX('Game Records'!$U:$U,$H353)&lt;&gt;"Disqualified — Free Game",INDEX('Game Records'!$K:$K,$H353)=""),"Final Earned; ","")&amp;IF(AND(LOWER(INDEX('Game Records'!$D:$D,$H353)&amp;"")="finalized",INDEX('Game Records'!$U:$U,$H353)&lt;&gt;"Subscription",INDEX('Game Records'!$U:$U,$H353)&lt;&gt;"Free Game",INDEX('Game Records'!$U:$U,$H353)&lt;&gt;"Disqualified — Free Game",OR(INDEX('Game Records'!$L:$L,$H353)="",LOWER(INDEX('Game Records'!$L:$L,$H353)&amp;"")="n/a")),"Disqualified Status; ",""))</x:f>
        <x:v/>
      </x:c>
      <x:c r="G353" s="331" t="str">
        <x:f>IF($H353="","",IFERROR(INDEX('Game Records'!$M:$M,$H353),""))</x:f>
        <x:v/>
      </x:c>
      <x:c r="H353" s="104" t="str">
        <x:f>IF($H352="","",IFERROR(MATCH(1,INDEX((ROW('Game Records'!$U$5:$U$504)&gt;$H352)*(('Game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4" ht="24" customHeight="1">
      <x:c r="A354" s="332" t="str">
        <x:f>IF($H354="","",ROWS($A$5:A354))</x:f>
        <x:v/>
      </x:c>
      <x:c r="B354" s="332" t="str">
        <x:f>IF($H354="","","G-"&amp;TEXT($A354,"0000"))</x:f>
        <x:v/>
      </x:c>
      <x:c r="C354" s="331" t="str">
        <x:f>IF($H354="","",IFERROR(INDEX('Game Records'!$A:$A,$H354),""))</x:f>
        <x:v/>
      </x:c>
      <x:c r="D354" s="331" t="str">
        <x:f>IF($H354="","",IFERROR(INDEX('Game Records'!$U:$U,$H354),""))</x:f>
        <x:v/>
      </x:c>
      <x:c r="E354" s="331" t="str">
        <x:f>IF($H354="","",IF($F354="","No Highlighted Fields","Highlighted Fields Present"))</x:f>
        <x:v/>
      </x:c>
      <x:c r="F354" s="331" t="str">
        <x:f>IF($H354="","",IF(INDEX('Game Records'!$B:$B,$H354)="","Start Date; ","")&amp;IF(INDEX('Game Records'!$C:$C,$H354)="","End Date; ","")&amp;IF(AND(INDEX('Game Records'!$U:$U,$H354)&lt;&gt;"Subscription",INDEX('Game Records'!$U:$U,$H354)&lt;&gt;"Free Game",INDEX('Game Records'!$U:$U,$H354)&lt;&gt;"Disqualified — Free Game",OR(INDEX('Game Records'!$D:$D,$H354)="",LOWER(INDEX('Game Records'!$D:$D,$H354)&amp;"")="n/a")),"Entry Mode; ","")&amp;IF(AND(INDEX('Game Records'!$U:$U,$H354)&lt;&gt;"Subscription",INDEX('Game Records'!$U:$U,$H354)&lt;&gt;"Free Game",INDEX('Game Records'!$U:$U,$H354)&lt;&gt;"Disqualified — Free Game",OR(INDEX('Game Records'!$E:$E,$H354)="",LOWER(INDEX('Game Records'!$E:$E,$H354)&amp;"")="n/a")),"Game Type; ","")&amp;IF(INDEX('Game Records'!$F:$F,$H354)="","Payment Type; ","")&amp;IF(AND(INDEX('Game Records'!$U:$U,$H354)&lt;&gt;"Subscription",INDEX('Game Records'!$U:$U,$H354)&lt;&gt;"Free Game",INDEX('Game Records'!$U:$U,$H354)&lt;&gt;"Disqualified — Free Game",INDEX('Game Records'!$G:$G,$H354)=""),"Gross Pot; ","")&amp;IF(AND(INDEX('Game Records'!$U:$U,$H354)&lt;&gt;"Free Game",INDEX('Game Records'!$U:$U,$H354)&lt;&gt;"Disqualified — Free Game",INDEX('Game Records'!$H:$H,$H354)=""),"Entry Fee; ","")&amp;IF(AND(INDEX('Game Records'!$U:$U,$H354)&lt;&gt;"Subscription",INDEX('Game Records'!$U:$U,$H354)&lt;&gt;"Free Game",INDEX('Game Records'!$U:$U,$H354)&lt;&gt;"Disqualified — Free Game",INDEX('Game Records'!$I:$I,$H354)=""),"Eligible Players; ","")&amp;IF(AND(INDEX('Game Records'!$U:$U,$H354)&lt;&gt;"Subscription",INDEX('Game Records'!$U:$U,$H354)&lt;&gt;"Free Game",INDEX('Game Records'!$U:$U,$H354)&lt;&gt;"Disqualified — Free Game",INDEX('Game Records'!$J:$J,$H354)=""),"Total Players; ","")&amp;IF(AND(LOWER(INDEX('Game Records'!$D:$D,$H354)&amp;"")="finalized",LOWER(INDEX('Game Records'!$L:$L,$H354)&amp;"")&lt;&gt;"yes",INDEX('Game Records'!$U:$U,$H354)&lt;&gt;"Subscription",INDEX('Game Records'!$U:$U,$H354)&lt;&gt;"Free Game",INDEX('Game Records'!$U:$U,$H354)&lt;&gt;"Disqualified — Free Game",INDEX('Game Records'!$K:$K,$H354)=""),"Final Earned; ","")&amp;IF(AND(LOWER(INDEX('Game Records'!$D:$D,$H354)&amp;"")="finalized",INDEX('Game Records'!$U:$U,$H354)&lt;&gt;"Subscription",INDEX('Game Records'!$U:$U,$H354)&lt;&gt;"Free Game",INDEX('Game Records'!$U:$U,$H354)&lt;&gt;"Disqualified — Free Game",OR(INDEX('Game Records'!$L:$L,$H354)="",LOWER(INDEX('Game Records'!$L:$L,$H354)&amp;"")="n/a")),"Disqualified Status; ",""))</x:f>
        <x:v/>
      </x:c>
      <x:c r="G354" s="331" t="str">
        <x:f>IF($H354="","",IFERROR(INDEX('Game Records'!$M:$M,$H354),""))</x:f>
        <x:v/>
      </x:c>
      <x:c r="H354" s="104" t="str">
        <x:f>IF($H353="","",IFERROR(MATCH(1,INDEX((ROW('Game Records'!$U$5:$U$504)&gt;$H353)*(('Game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5" ht="24" customHeight="1">
      <x:c r="A355" s="332" t="str">
        <x:f>IF($H355="","",ROWS($A$5:A355))</x:f>
        <x:v/>
      </x:c>
      <x:c r="B355" s="332" t="str">
        <x:f>IF($H355="","","G-"&amp;TEXT($A355,"0000"))</x:f>
        <x:v/>
      </x:c>
      <x:c r="C355" s="331" t="str">
        <x:f>IF($H355="","",IFERROR(INDEX('Game Records'!$A:$A,$H355),""))</x:f>
        <x:v/>
      </x:c>
      <x:c r="D355" s="331" t="str">
        <x:f>IF($H355="","",IFERROR(INDEX('Game Records'!$U:$U,$H355),""))</x:f>
        <x:v/>
      </x:c>
      <x:c r="E355" s="331" t="str">
        <x:f>IF($H355="","",IF($F355="","No Highlighted Fields","Highlighted Fields Present"))</x:f>
        <x:v/>
      </x:c>
      <x:c r="F355" s="331" t="str">
        <x:f>IF($H355="","",IF(INDEX('Game Records'!$B:$B,$H355)="","Start Date; ","")&amp;IF(INDEX('Game Records'!$C:$C,$H355)="","End Date; ","")&amp;IF(AND(INDEX('Game Records'!$U:$U,$H355)&lt;&gt;"Subscription",INDEX('Game Records'!$U:$U,$H355)&lt;&gt;"Free Game",INDEX('Game Records'!$U:$U,$H355)&lt;&gt;"Disqualified — Free Game",OR(INDEX('Game Records'!$D:$D,$H355)="",LOWER(INDEX('Game Records'!$D:$D,$H355)&amp;"")="n/a")),"Entry Mode; ","")&amp;IF(AND(INDEX('Game Records'!$U:$U,$H355)&lt;&gt;"Subscription",INDEX('Game Records'!$U:$U,$H355)&lt;&gt;"Free Game",INDEX('Game Records'!$U:$U,$H355)&lt;&gt;"Disqualified — Free Game",OR(INDEX('Game Records'!$E:$E,$H355)="",LOWER(INDEX('Game Records'!$E:$E,$H355)&amp;"")="n/a")),"Game Type; ","")&amp;IF(INDEX('Game Records'!$F:$F,$H355)="","Payment Type; ","")&amp;IF(AND(INDEX('Game Records'!$U:$U,$H355)&lt;&gt;"Subscription",INDEX('Game Records'!$U:$U,$H355)&lt;&gt;"Free Game",INDEX('Game Records'!$U:$U,$H355)&lt;&gt;"Disqualified — Free Game",INDEX('Game Records'!$G:$G,$H355)=""),"Gross Pot; ","")&amp;IF(AND(INDEX('Game Records'!$U:$U,$H355)&lt;&gt;"Free Game",INDEX('Game Records'!$U:$U,$H355)&lt;&gt;"Disqualified — Free Game",INDEX('Game Records'!$H:$H,$H355)=""),"Entry Fee; ","")&amp;IF(AND(INDEX('Game Records'!$U:$U,$H355)&lt;&gt;"Subscription",INDEX('Game Records'!$U:$U,$H355)&lt;&gt;"Free Game",INDEX('Game Records'!$U:$U,$H355)&lt;&gt;"Disqualified — Free Game",INDEX('Game Records'!$I:$I,$H355)=""),"Eligible Players; ","")&amp;IF(AND(INDEX('Game Records'!$U:$U,$H355)&lt;&gt;"Subscription",INDEX('Game Records'!$U:$U,$H355)&lt;&gt;"Free Game",INDEX('Game Records'!$U:$U,$H355)&lt;&gt;"Disqualified — Free Game",INDEX('Game Records'!$J:$J,$H355)=""),"Total Players; ","")&amp;IF(AND(LOWER(INDEX('Game Records'!$D:$D,$H355)&amp;"")="finalized",LOWER(INDEX('Game Records'!$L:$L,$H355)&amp;"")&lt;&gt;"yes",INDEX('Game Records'!$U:$U,$H355)&lt;&gt;"Subscription",INDEX('Game Records'!$U:$U,$H355)&lt;&gt;"Free Game",INDEX('Game Records'!$U:$U,$H355)&lt;&gt;"Disqualified — Free Game",INDEX('Game Records'!$K:$K,$H355)=""),"Final Earned; ","")&amp;IF(AND(LOWER(INDEX('Game Records'!$D:$D,$H355)&amp;"")="finalized",INDEX('Game Records'!$U:$U,$H355)&lt;&gt;"Subscription",INDEX('Game Records'!$U:$U,$H355)&lt;&gt;"Free Game",INDEX('Game Records'!$U:$U,$H355)&lt;&gt;"Disqualified — Free Game",OR(INDEX('Game Records'!$L:$L,$H355)="",LOWER(INDEX('Game Records'!$L:$L,$H355)&amp;"")="n/a")),"Disqualified Status; ",""))</x:f>
        <x:v/>
      </x:c>
      <x:c r="G355" s="331" t="str">
        <x:f>IF($H355="","",IFERROR(INDEX('Game Records'!$M:$M,$H355),""))</x:f>
        <x:v/>
      </x:c>
      <x:c r="H355" s="104" t="str">
        <x:f>IF($H354="","",IFERROR(MATCH(1,INDEX((ROW('Game Records'!$U$5:$U$504)&gt;$H354)*(('Game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6" ht="24" customHeight="1">
      <x:c r="A356" s="332" t="str">
        <x:f>IF($H356="","",ROWS($A$5:A356))</x:f>
        <x:v/>
      </x:c>
      <x:c r="B356" s="332" t="str">
        <x:f>IF($H356="","","G-"&amp;TEXT($A356,"0000"))</x:f>
        <x:v/>
      </x:c>
      <x:c r="C356" s="331" t="str">
        <x:f>IF($H356="","",IFERROR(INDEX('Game Records'!$A:$A,$H356),""))</x:f>
        <x:v/>
      </x:c>
      <x:c r="D356" s="331" t="str">
        <x:f>IF($H356="","",IFERROR(INDEX('Game Records'!$U:$U,$H356),""))</x:f>
        <x:v/>
      </x:c>
      <x:c r="E356" s="331" t="str">
        <x:f>IF($H356="","",IF($F356="","No Highlighted Fields","Highlighted Fields Present"))</x:f>
        <x:v/>
      </x:c>
      <x:c r="F356" s="331" t="str">
        <x:f>IF($H356="","",IF(INDEX('Game Records'!$B:$B,$H356)="","Start Date; ","")&amp;IF(INDEX('Game Records'!$C:$C,$H356)="","End Date; ","")&amp;IF(AND(INDEX('Game Records'!$U:$U,$H356)&lt;&gt;"Subscription",INDEX('Game Records'!$U:$U,$H356)&lt;&gt;"Free Game",INDEX('Game Records'!$U:$U,$H356)&lt;&gt;"Disqualified — Free Game",OR(INDEX('Game Records'!$D:$D,$H356)="",LOWER(INDEX('Game Records'!$D:$D,$H356)&amp;"")="n/a")),"Entry Mode; ","")&amp;IF(AND(INDEX('Game Records'!$U:$U,$H356)&lt;&gt;"Subscription",INDEX('Game Records'!$U:$U,$H356)&lt;&gt;"Free Game",INDEX('Game Records'!$U:$U,$H356)&lt;&gt;"Disqualified — Free Game",OR(INDEX('Game Records'!$E:$E,$H356)="",LOWER(INDEX('Game Records'!$E:$E,$H356)&amp;"")="n/a")),"Game Type; ","")&amp;IF(INDEX('Game Records'!$F:$F,$H356)="","Payment Type; ","")&amp;IF(AND(INDEX('Game Records'!$U:$U,$H356)&lt;&gt;"Subscription",INDEX('Game Records'!$U:$U,$H356)&lt;&gt;"Free Game",INDEX('Game Records'!$U:$U,$H356)&lt;&gt;"Disqualified — Free Game",INDEX('Game Records'!$G:$G,$H356)=""),"Gross Pot; ","")&amp;IF(AND(INDEX('Game Records'!$U:$U,$H356)&lt;&gt;"Free Game",INDEX('Game Records'!$U:$U,$H356)&lt;&gt;"Disqualified — Free Game",INDEX('Game Records'!$H:$H,$H356)=""),"Entry Fee; ","")&amp;IF(AND(INDEX('Game Records'!$U:$U,$H356)&lt;&gt;"Subscription",INDEX('Game Records'!$U:$U,$H356)&lt;&gt;"Free Game",INDEX('Game Records'!$U:$U,$H356)&lt;&gt;"Disqualified — Free Game",INDEX('Game Records'!$I:$I,$H356)=""),"Eligible Players; ","")&amp;IF(AND(INDEX('Game Records'!$U:$U,$H356)&lt;&gt;"Subscription",INDEX('Game Records'!$U:$U,$H356)&lt;&gt;"Free Game",INDEX('Game Records'!$U:$U,$H356)&lt;&gt;"Disqualified — Free Game",INDEX('Game Records'!$J:$J,$H356)=""),"Total Players; ","")&amp;IF(AND(LOWER(INDEX('Game Records'!$D:$D,$H356)&amp;"")="finalized",LOWER(INDEX('Game Records'!$L:$L,$H356)&amp;"")&lt;&gt;"yes",INDEX('Game Records'!$U:$U,$H356)&lt;&gt;"Subscription",INDEX('Game Records'!$U:$U,$H356)&lt;&gt;"Free Game",INDEX('Game Records'!$U:$U,$H356)&lt;&gt;"Disqualified — Free Game",INDEX('Game Records'!$K:$K,$H356)=""),"Final Earned; ","")&amp;IF(AND(LOWER(INDEX('Game Records'!$D:$D,$H356)&amp;"")="finalized",INDEX('Game Records'!$U:$U,$H356)&lt;&gt;"Subscription",INDEX('Game Records'!$U:$U,$H356)&lt;&gt;"Free Game",INDEX('Game Records'!$U:$U,$H356)&lt;&gt;"Disqualified — Free Game",OR(INDEX('Game Records'!$L:$L,$H356)="",LOWER(INDEX('Game Records'!$L:$L,$H356)&amp;"")="n/a")),"Disqualified Status; ",""))</x:f>
        <x:v/>
      </x:c>
      <x:c r="G356" s="331" t="str">
        <x:f>IF($H356="","",IFERROR(INDEX('Game Records'!$M:$M,$H356),""))</x:f>
        <x:v/>
      </x:c>
      <x:c r="H356" s="104" t="str">
        <x:f>IF($H355="","",IFERROR(MATCH(1,INDEX((ROW('Game Records'!$U$5:$U$504)&gt;$H355)*(('Game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7" ht="24" customHeight="1">
      <x:c r="A357" s="332" t="str">
        <x:f>IF($H357="","",ROWS($A$5:A357))</x:f>
        <x:v/>
      </x:c>
      <x:c r="B357" s="332" t="str">
        <x:f>IF($H357="","","G-"&amp;TEXT($A357,"0000"))</x:f>
        <x:v/>
      </x:c>
      <x:c r="C357" s="331" t="str">
        <x:f>IF($H357="","",IFERROR(INDEX('Game Records'!$A:$A,$H357),""))</x:f>
        <x:v/>
      </x:c>
      <x:c r="D357" s="331" t="str">
        <x:f>IF($H357="","",IFERROR(INDEX('Game Records'!$U:$U,$H357),""))</x:f>
        <x:v/>
      </x:c>
      <x:c r="E357" s="331" t="str">
        <x:f>IF($H357="","",IF($F357="","No Highlighted Fields","Highlighted Fields Present"))</x:f>
        <x:v/>
      </x:c>
      <x:c r="F357" s="331" t="str">
        <x:f>IF($H357="","",IF(INDEX('Game Records'!$B:$B,$H357)="","Start Date; ","")&amp;IF(INDEX('Game Records'!$C:$C,$H357)="","End Date; ","")&amp;IF(AND(INDEX('Game Records'!$U:$U,$H357)&lt;&gt;"Subscription",INDEX('Game Records'!$U:$U,$H357)&lt;&gt;"Free Game",INDEX('Game Records'!$U:$U,$H357)&lt;&gt;"Disqualified — Free Game",OR(INDEX('Game Records'!$D:$D,$H357)="",LOWER(INDEX('Game Records'!$D:$D,$H357)&amp;"")="n/a")),"Entry Mode; ","")&amp;IF(AND(INDEX('Game Records'!$U:$U,$H357)&lt;&gt;"Subscription",INDEX('Game Records'!$U:$U,$H357)&lt;&gt;"Free Game",INDEX('Game Records'!$U:$U,$H357)&lt;&gt;"Disqualified — Free Game",OR(INDEX('Game Records'!$E:$E,$H357)="",LOWER(INDEX('Game Records'!$E:$E,$H357)&amp;"")="n/a")),"Game Type; ","")&amp;IF(INDEX('Game Records'!$F:$F,$H357)="","Payment Type; ","")&amp;IF(AND(INDEX('Game Records'!$U:$U,$H357)&lt;&gt;"Subscription",INDEX('Game Records'!$U:$U,$H357)&lt;&gt;"Free Game",INDEX('Game Records'!$U:$U,$H357)&lt;&gt;"Disqualified — Free Game",INDEX('Game Records'!$G:$G,$H357)=""),"Gross Pot; ","")&amp;IF(AND(INDEX('Game Records'!$U:$U,$H357)&lt;&gt;"Free Game",INDEX('Game Records'!$U:$U,$H357)&lt;&gt;"Disqualified — Free Game",INDEX('Game Records'!$H:$H,$H357)=""),"Entry Fee; ","")&amp;IF(AND(INDEX('Game Records'!$U:$U,$H357)&lt;&gt;"Subscription",INDEX('Game Records'!$U:$U,$H357)&lt;&gt;"Free Game",INDEX('Game Records'!$U:$U,$H357)&lt;&gt;"Disqualified — Free Game",INDEX('Game Records'!$I:$I,$H357)=""),"Eligible Players; ","")&amp;IF(AND(INDEX('Game Records'!$U:$U,$H357)&lt;&gt;"Subscription",INDEX('Game Records'!$U:$U,$H357)&lt;&gt;"Free Game",INDEX('Game Records'!$U:$U,$H357)&lt;&gt;"Disqualified — Free Game",INDEX('Game Records'!$J:$J,$H357)=""),"Total Players; ","")&amp;IF(AND(LOWER(INDEX('Game Records'!$D:$D,$H357)&amp;"")="finalized",LOWER(INDEX('Game Records'!$L:$L,$H357)&amp;"")&lt;&gt;"yes",INDEX('Game Records'!$U:$U,$H357)&lt;&gt;"Subscription",INDEX('Game Records'!$U:$U,$H357)&lt;&gt;"Free Game",INDEX('Game Records'!$U:$U,$H357)&lt;&gt;"Disqualified — Free Game",INDEX('Game Records'!$K:$K,$H357)=""),"Final Earned; ","")&amp;IF(AND(LOWER(INDEX('Game Records'!$D:$D,$H357)&amp;"")="finalized",INDEX('Game Records'!$U:$U,$H357)&lt;&gt;"Subscription",INDEX('Game Records'!$U:$U,$H357)&lt;&gt;"Free Game",INDEX('Game Records'!$U:$U,$H357)&lt;&gt;"Disqualified — Free Game",OR(INDEX('Game Records'!$L:$L,$H357)="",LOWER(INDEX('Game Records'!$L:$L,$H357)&amp;"")="n/a")),"Disqualified Status; ",""))</x:f>
        <x:v/>
      </x:c>
      <x:c r="G357" s="331" t="str">
        <x:f>IF($H357="","",IFERROR(INDEX('Game Records'!$M:$M,$H357),""))</x:f>
        <x:v/>
      </x:c>
      <x:c r="H357" s="104" t="str">
        <x:f>IF($H356="","",IFERROR(MATCH(1,INDEX((ROW('Game Records'!$U$5:$U$504)&gt;$H356)*(('Game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8" ht="24" customHeight="1">
      <x:c r="A358" s="332" t="str">
        <x:f>IF($H358="","",ROWS($A$5:A358))</x:f>
        <x:v/>
      </x:c>
      <x:c r="B358" s="332" t="str">
        <x:f>IF($H358="","","G-"&amp;TEXT($A358,"0000"))</x:f>
        <x:v/>
      </x:c>
      <x:c r="C358" s="331" t="str">
        <x:f>IF($H358="","",IFERROR(INDEX('Game Records'!$A:$A,$H358),""))</x:f>
        <x:v/>
      </x:c>
      <x:c r="D358" s="331" t="str">
        <x:f>IF($H358="","",IFERROR(INDEX('Game Records'!$U:$U,$H358),""))</x:f>
        <x:v/>
      </x:c>
      <x:c r="E358" s="331" t="str">
        <x:f>IF($H358="","",IF($F358="","No Highlighted Fields","Highlighted Fields Present"))</x:f>
        <x:v/>
      </x:c>
      <x:c r="F358" s="331" t="str">
        <x:f>IF($H358="","",IF(INDEX('Game Records'!$B:$B,$H358)="","Start Date; ","")&amp;IF(INDEX('Game Records'!$C:$C,$H358)="","End Date; ","")&amp;IF(AND(INDEX('Game Records'!$U:$U,$H358)&lt;&gt;"Subscription",INDEX('Game Records'!$U:$U,$H358)&lt;&gt;"Free Game",INDEX('Game Records'!$U:$U,$H358)&lt;&gt;"Disqualified — Free Game",OR(INDEX('Game Records'!$D:$D,$H358)="",LOWER(INDEX('Game Records'!$D:$D,$H358)&amp;"")="n/a")),"Entry Mode; ","")&amp;IF(AND(INDEX('Game Records'!$U:$U,$H358)&lt;&gt;"Subscription",INDEX('Game Records'!$U:$U,$H358)&lt;&gt;"Free Game",INDEX('Game Records'!$U:$U,$H358)&lt;&gt;"Disqualified — Free Game",OR(INDEX('Game Records'!$E:$E,$H358)="",LOWER(INDEX('Game Records'!$E:$E,$H358)&amp;"")="n/a")),"Game Type; ","")&amp;IF(INDEX('Game Records'!$F:$F,$H358)="","Payment Type; ","")&amp;IF(AND(INDEX('Game Records'!$U:$U,$H358)&lt;&gt;"Subscription",INDEX('Game Records'!$U:$U,$H358)&lt;&gt;"Free Game",INDEX('Game Records'!$U:$U,$H358)&lt;&gt;"Disqualified — Free Game",INDEX('Game Records'!$G:$G,$H358)=""),"Gross Pot; ","")&amp;IF(AND(INDEX('Game Records'!$U:$U,$H358)&lt;&gt;"Free Game",INDEX('Game Records'!$U:$U,$H358)&lt;&gt;"Disqualified — Free Game",INDEX('Game Records'!$H:$H,$H358)=""),"Entry Fee; ","")&amp;IF(AND(INDEX('Game Records'!$U:$U,$H358)&lt;&gt;"Subscription",INDEX('Game Records'!$U:$U,$H358)&lt;&gt;"Free Game",INDEX('Game Records'!$U:$U,$H358)&lt;&gt;"Disqualified — Free Game",INDEX('Game Records'!$I:$I,$H358)=""),"Eligible Players; ","")&amp;IF(AND(INDEX('Game Records'!$U:$U,$H358)&lt;&gt;"Subscription",INDEX('Game Records'!$U:$U,$H358)&lt;&gt;"Free Game",INDEX('Game Records'!$U:$U,$H358)&lt;&gt;"Disqualified — Free Game",INDEX('Game Records'!$J:$J,$H358)=""),"Total Players; ","")&amp;IF(AND(LOWER(INDEX('Game Records'!$D:$D,$H358)&amp;"")="finalized",LOWER(INDEX('Game Records'!$L:$L,$H358)&amp;"")&lt;&gt;"yes",INDEX('Game Records'!$U:$U,$H358)&lt;&gt;"Subscription",INDEX('Game Records'!$U:$U,$H358)&lt;&gt;"Free Game",INDEX('Game Records'!$U:$U,$H358)&lt;&gt;"Disqualified — Free Game",INDEX('Game Records'!$K:$K,$H358)=""),"Final Earned; ","")&amp;IF(AND(LOWER(INDEX('Game Records'!$D:$D,$H358)&amp;"")="finalized",INDEX('Game Records'!$U:$U,$H358)&lt;&gt;"Subscription",INDEX('Game Records'!$U:$U,$H358)&lt;&gt;"Free Game",INDEX('Game Records'!$U:$U,$H358)&lt;&gt;"Disqualified — Free Game",OR(INDEX('Game Records'!$L:$L,$H358)="",LOWER(INDEX('Game Records'!$L:$L,$H358)&amp;"")="n/a")),"Disqualified Status; ",""))</x:f>
        <x:v/>
      </x:c>
      <x:c r="G358" s="331" t="str">
        <x:f>IF($H358="","",IFERROR(INDEX('Game Records'!$M:$M,$H358),""))</x:f>
        <x:v/>
      </x:c>
      <x:c r="H358" s="104" t="str">
        <x:f>IF($H357="","",IFERROR(MATCH(1,INDEX((ROW('Game Records'!$U$5:$U$504)&gt;$H357)*(('Game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59" ht="24" customHeight="1">
      <x:c r="A359" s="332" t="str">
        <x:f>IF($H359="","",ROWS($A$5:A359))</x:f>
        <x:v/>
      </x:c>
      <x:c r="B359" s="332" t="str">
        <x:f>IF($H359="","","G-"&amp;TEXT($A359,"0000"))</x:f>
        <x:v/>
      </x:c>
      <x:c r="C359" s="331" t="str">
        <x:f>IF($H359="","",IFERROR(INDEX('Game Records'!$A:$A,$H359),""))</x:f>
        <x:v/>
      </x:c>
      <x:c r="D359" s="331" t="str">
        <x:f>IF($H359="","",IFERROR(INDEX('Game Records'!$U:$U,$H359),""))</x:f>
        <x:v/>
      </x:c>
      <x:c r="E359" s="331" t="str">
        <x:f>IF($H359="","",IF($F359="","No Highlighted Fields","Highlighted Fields Present"))</x:f>
        <x:v/>
      </x:c>
      <x:c r="F359" s="331" t="str">
        <x:f>IF($H359="","",IF(INDEX('Game Records'!$B:$B,$H359)="","Start Date; ","")&amp;IF(INDEX('Game Records'!$C:$C,$H359)="","End Date; ","")&amp;IF(AND(INDEX('Game Records'!$U:$U,$H359)&lt;&gt;"Subscription",INDEX('Game Records'!$U:$U,$H359)&lt;&gt;"Free Game",INDEX('Game Records'!$U:$U,$H359)&lt;&gt;"Disqualified — Free Game",OR(INDEX('Game Records'!$D:$D,$H359)="",LOWER(INDEX('Game Records'!$D:$D,$H359)&amp;"")="n/a")),"Entry Mode; ","")&amp;IF(AND(INDEX('Game Records'!$U:$U,$H359)&lt;&gt;"Subscription",INDEX('Game Records'!$U:$U,$H359)&lt;&gt;"Free Game",INDEX('Game Records'!$U:$U,$H359)&lt;&gt;"Disqualified — Free Game",OR(INDEX('Game Records'!$E:$E,$H359)="",LOWER(INDEX('Game Records'!$E:$E,$H359)&amp;"")="n/a")),"Game Type; ","")&amp;IF(INDEX('Game Records'!$F:$F,$H359)="","Payment Type; ","")&amp;IF(AND(INDEX('Game Records'!$U:$U,$H359)&lt;&gt;"Subscription",INDEX('Game Records'!$U:$U,$H359)&lt;&gt;"Free Game",INDEX('Game Records'!$U:$U,$H359)&lt;&gt;"Disqualified — Free Game",INDEX('Game Records'!$G:$G,$H359)=""),"Gross Pot; ","")&amp;IF(AND(INDEX('Game Records'!$U:$U,$H359)&lt;&gt;"Free Game",INDEX('Game Records'!$U:$U,$H359)&lt;&gt;"Disqualified — Free Game",INDEX('Game Records'!$H:$H,$H359)=""),"Entry Fee; ","")&amp;IF(AND(INDEX('Game Records'!$U:$U,$H359)&lt;&gt;"Subscription",INDEX('Game Records'!$U:$U,$H359)&lt;&gt;"Free Game",INDEX('Game Records'!$U:$U,$H359)&lt;&gt;"Disqualified — Free Game",INDEX('Game Records'!$I:$I,$H359)=""),"Eligible Players; ","")&amp;IF(AND(INDEX('Game Records'!$U:$U,$H359)&lt;&gt;"Subscription",INDEX('Game Records'!$U:$U,$H359)&lt;&gt;"Free Game",INDEX('Game Records'!$U:$U,$H359)&lt;&gt;"Disqualified — Free Game",INDEX('Game Records'!$J:$J,$H359)=""),"Total Players; ","")&amp;IF(AND(LOWER(INDEX('Game Records'!$D:$D,$H359)&amp;"")="finalized",LOWER(INDEX('Game Records'!$L:$L,$H359)&amp;"")&lt;&gt;"yes",INDEX('Game Records'!$U:$U,$H359)&lt;&gt;"Subscription",INDEX('Game Records'!$U:$U,$H359)&lt;&gt;"Free Game",INDEX('Game Records'!$U:$U,$H359)&lt;&gt;"Disqualified — Free Game",INDEX('Game Records'!$K:$K,$H359)=""),"Final Earned; ","")&amp;IF(AND(LOWER(INDEX('Game Records'!$D:$D,$H359)&amp;"")="finalized",INDEX('Game Records'!$U:$U,$H359)&lt;&gt;"Subscription",INDEX('Game Records'!$U:$U,$H359)&lt;&gt;"Free Game",INDEX('Game Records'!$U:$U,$H359)&lt;&gt;"Disqualified — Free Game",OR(INDEX('Game Records'!$L:$L,$H359)="",LOWER(INDEX('Game Records'!$L:$L,$H359)&amp;"")="n/a")),"Disqualified Status; ",""))</x:f>
        <x:v/>
      </x:c>
      <x:c r="G359" s="331" t="str">
        <x:f>IF($H359="","",IFERROR(INDEX('Game Records'!$M:$M,$H359),""))</x:f>
        <x:v/>
      </x:c>
      <x:c r="H359" s="104" t="str">
        <x:f>IF($H358="","",IFERROR(MATCH(1,INDEX((ROW('Game Records'!$U$5:$U$504)&gt;$H358)*(('Game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0" ht="24" customHeight="1">
      <x:c r="A360" s="332" t="str">
        <x:f>IF($H360="","",ROWS($A$5:A360))</x:f>
        <x:v/>
      </x:c>
      <x:c r="B360" s="332" t="str">
        <x:f>IF($H360="","","G-"&amp;TEXT($A360,"0000"))</x:f>
        <x:v/>
      </x:c>
      <x:c r="C360" s="331" t="str">
        <x:f>IF($H360="","",IFERROR(INDEX('Game Records'!$A:$A,$H360),""))</x:f>
        <x:v/>
      </x:c>
      <x:c r="D360" s="331" t="str">
        <x:f>IF($H360="","",IFERROR(INDEX('Game Records'!$U:$U,$H360),""))</x:f>
        <x:v/>
      </x:c>
      <x:c r="E360" s="331" t="str">
        <x:f>IF($H360="","",IF($F360="","No Highlighted Fields","Highlighted Fields Present"))</x:f>
        <x:v/>
      </x:c>
      <x:c r="F360" s="331" t="str">
        <x:f>IF($H360="","",IF(INDEX('Game Records'!$B:$B,$H360)="","Start Date; ","")&amp;IF(INDEX('Game Records'!$C:$C,$H360)="","End Date; ","")&amp;IF(AND(INDEX('Game Records'!$U:$U,$H360)&lt;&gt;"Subscription",INDEX('Game Records'!$U:$U,$H360)&lt;&gt;"Free Game",INDEX('Game Records'!$U:$U,$H360)&lt;&gt;"Disqualified — Free Game",OR(INDEX('Game Records'!$D:$D,$H360)="",LOWER(INDEX('Game Records'!$D:$D,$H360)&amp;"")="n/a")),"Entry Mode; ","")&amp;IF(AND(INDEX('Game Records'!$U:$U,$H360)&lt;&gt;"Subscription",INDEX('Game Records'!$U:$U,$H360)&lt;&gt;"Free Game",INDEX('Game Records'!$U:$U,$H360)&lt;&gt;"Disqualified — Free Game",OR(INDEX('Game Records'!$E:$E,$H360)="",LOWER(INDEX('Game Records'!$E:$E,$H360)&amp;"")="n/a")),"Game Type; ","")&amp;IF(INDEX('Game Records'!$F:$F,$H360)="","Payment Type; ","")&amp;IF(AND(INDEX('Game Records'!$U:$U,$H360)&lt;&gt;"Subscription",INDEX('Game Records'!$U:$U,$H360)&lt;&gt;"Free Game",INDEX('Game Records'!$U:$U,$H360)&lt;&gt;"Disqualified — Free Game",INDEX('Game Records'!$G:$G,$H360)=""),"Gross Pot; ","")&amp;IF(AND(INDEX('Game Records'!$U:$U,$H360)&lt;&gt;"Free Game",INDEX('Game Records'!$U:$U,$H360)&lt;&gt;"Disqualified — Free Game",INDEX('Game Records'!$H:$H,$H360)=""),"Entry Fee; ","")&amp;IF(AND(INDEX('Game Records'!$U:$U,$H360)&lt;&gt;"Subscription",INDEX('Game Records'!$U:$U,$H360)&lt;&gt;"Free Game",INDEX('Game Records'!$U:$U,$H360)&lt;&gt;"Disqualified — Free Game",INDEX('Game Records'!$I:$I,$H360)=""),"Eligible Players; ","")&amp;IF(AND(INDEX('Game Records'!$U:$U,$H360)&lt;&gt;"Subscription",INDEX('Game Records'!$U:$U,$H360)&lt;&gt;"Free Game",INDEX('Game Records'!$U:$U,$H360)&lt;&gt;"Disqualified — Free Game",INDEX('Game Records'!$J:$J,$H360)=""),"Total Players; ","")&amp;IF(AND(LOWER(INDEX('Game Records'!$D:$D,$H360)&amp;"")="finalized",LOWER(INDEX('Game Records'!$L:$L,$H360)&amp;"")&lt;&gt;"yes",INDEX('Game Records'!$U:$U,$H360)&lt;&gt;"Subscription",INDEX('Game Records'!$U:$U,$H360)&lt;&gt;"Free Game",INDEX('Game Records'!$U:$U,$H360)&lt;&gt;"Disqualified — Free Game",INDEX('Game Records'!$K:$K,$H360)=""),"Final Earned; ","")&amp;IF(AND(LOWER(INDEX('Game Records'!$D:$D,$H360)&amp;"")="finalized",INDEX('Game Records'!$U:$U,$H360)&lt;&gt;"Subscription",INDEX('Game Records'!$U:$U,$H360)&lt;&gt;"Free Game",INDEX('Game Records'!$U:$U,$H360)&lt;&gt;"Disqualified — Free Game",OR(INDEX('Game Records'!$L:$L,$H360)="",LOWER(INDEX('Game Records'!$L:$L,$H360)&amp;"")="n/a")),"Disqualified Status; ",""))</x:f>
        <x:v/>
      </x:c>
      <x:c r="G360" s="331" t="str">
        <x:f>IF($H360="","",IFERROR(INDEX('Game Records'!$M:$M,$H360),""))</x:f>
        <x:v/>
      </x:c>
      <x:c r="H360" s="104" t="str">
        <x:f>IF($H359="","",IFERROR(MATCH(1,INDEX((ROW('Game Records'!$U$5:$U$504)&gt;$H359)*(('Game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1" ht="24" customHeight="1">
      <x:c r="A361" s="332" t="str">
        <x:f>IF($H361="","",ROWS($A$5:A361))</x:f>
        <x:v/>
      </x:c>
      <x:c r="B361" s="332" t="str">
        <x:f>IF($H361="","","G-"&amp;TEXT($A361,"0000"))</x:f>
        <x:v/>
      </x:c>
      <x:c r="C361" s="331" t="str">
        <x:f>IF($H361="","",IFERROR(INDEX('Game Records'!$A:$A,$H361),""))</x:f>
        <x:v/>
      </x:c>
      <x:c r="D361" s="331" t="str">
        <x:f>IF($H361="","",IFERROR(INDEX('Game Records'!$U:$U,$H361),""))</x:f>
        <x:v/>
      </x:c>
      <x:c r="E361" s="331" t="str">
        <x:f>IF($H361="","",IF($F361="","No Highlighted Fields","Highlighted Fields Present"))</x:f>
        <x:v/>
      </x:c>
      <x:c r="F361" s="331" t="str">
        <x:f>IF($H361="","",IF(INDEX('Game Records'!$B:$B,$H361)="","Start Date; ","")&amp;IF(INDEX('Game Records'!$C:$C,$H361)="","End Date; ","")&amp;IF(AND(INDEX('Game Records'!$U:$U,$H361)&lt;&gt;"Subscription",INDEX('Game Records'!$U:$U,$H361)&lt;&gt;"Free Game",INDEX('Game Records'!$U:$U,$H361)&lt;&gt;"Disqualified — Free Game",OR(INDEX('Game Records'!$D:$D,$H361)="",LOWER(INDEX('Game Records'!$D:$D,$H361)&amp;"")="n/a")),"Entry Mode; ","")&amp;IF(AND(INDEX('Game Records'!$U:$U,$H361)&lt;&gt;"Subscription",INDEX('Game Records'!$U:$U,$H361)&lt;&gt;"Free Game",INDEX('Game Records'!$U:$U,$H361)&lt;&gt;"Disqualified — Free Game",OR(INDEX('Game Records'!$E:$E,$H361)="",LOWER(INDEX('Game Records'!$E:$E,$H361)&amp;"")="n/a")),"Game Type; ","")&amp;IF(INDEX('Game Records'!$F:$F,$H361)="","Payment Type; ","")&amp;IF(AND(INDEX('Game Records'!$U:$U,$H361)&lt;&gt;"Subscription",INDEX('Game Records'!$U:$U,$H361)&lt;&gt;"Free Game",INDEX('Game Records'!$U:$U,$H361)&lt;&gt;"Disqualified — Free Game",INDEX('Game Records'!$G:$G,$H361)=""),"Gross Pot; ","")&amp;IF(AND(INDEX('Game Records'!$U:$U,$H361)&lt;&gt;"Free Game",INDEX('Game Records'!$U:$U,$H361)&lt;&gt;"Disqualified — Free Game",INDEX('Game Records'!$H:$H,$H361)=""),"Entry Fee; ","")&amp;IF(AND(INDEX('Game Records'!$U:$U,$H361)&lt;&gt;"Subscription",INDEX('Game Records'!$U:$U,$H361)&lt;&gt;"Free Game",INDEX('Game Records'!$U:$U,$H361)&lt;&gt;"Disqualified — Free Game",INDEX('Game Records'!$I:$I,$H361)=""),"Eligible Players; ","")&amp;IF(AND(INDEX('Game Records'!$U:$U,$H361)&lt;&gt;"Subscription",INDEX('Game Records'!$U:$U,$H361)&lt;&gt;"Free Game",INDEX('Game Records'!$U:$U,$H361)&lt;&gt;"Disqualified — Free Game",INDEX('Game Records'!$J:$J,$H361)=""),"Total Players; ","")&amp;IF(AND(LOWER(INDEX('Game Records'!$D:$D,$H361)&amp;"")="finalized",LOWER(INDEX('Game Records'!$L:$L,$H361)&amp;"")&lt;&gt;"yes",INDEX('Game Records'!$U:$U,$H361)&lt;&gt;"Subscription",INDEX('Game Records'!$U:$U,$H361)&lt;&gt;"Free Game",INDEX('Game Records'!$U:$U,$H361)&lt;&gt;"Disqualified — Free Game",INDEX('Game Records'!$K:$K,$H361)=""),"Final Earned; ","")&amp;IF(AND(LOWER(INDEX('Game Records'!$D:$D,$H361)&amp;"")="finalized",INDEX('Game Records'!$U:$U,$H361)&lt;&gt;"Subscription",INDEX('Game Records'!$U:$U,$H361)&lt;&gt;"Free Game",INDEX('Game Records'!$U:$U,$H361)&lt;&gt;"Disqualified — Free Game",OR(INDEX('Game Records'!$L:$L,$H361)="",LOWER(INDEX('Game Records'!$L:$L,$H361)&amp;"")="n/a")),"Disqualified Status; ",""))</x:f>
        <x:v/>
      </x:c>
      <x:c r="G361" s="331" t="str">
        <x:f>IF($H361="","",IFERROR(INDEX('Game Records'!$M:$M,$H361),""))</x:f>
        <x:v/>
      </x:c>
      <x:c r="H361" s="104" t="str">
        <x:f>IF($H360="","",IFERROR(MATCH(1,INDEX((ROW('Game Records'!$U$5:$U$504)&gt;$H360)*(('Game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2" ht="24" customHeight="1">
      <x:c r="A362" s="332" t="str">
        <x:f>IF($H362="","",ROWS($A$5:A362))</x:f>
        <x:v/>
      </x:c>
      <x:c r="B362" s="332" t="str">
        <x:f>IF($H362="","","G-"&amp;TEXT($A362,"0000"))</x:f>
        <x:v/>
      </x:c>
      <x:c r="C362" s="331" t="str">
        <x:f>IF($H362="","",IFERROR(INDEX('Game Records'!$A:$A,$H362),""))</x:f>
        <x:v/>
      </x:c>
      <x:c r="D362" s="331" t="str">
        <x:f>IF($H362="","",IFERROR(INDEX('Game Records'!$U:$U,$H362),""))</x:f>
        <x:v/>
      </x:c>
      <x:c r="E362" s="331" t="str">
        <x:f>IF($H362="","",IF($F362="","No Highlighted Fields","Highlighted Fields Present"))</x:f>
        <x:v/>
      </x:c>
      <x:c r="F362" s="331" t="str">
        <x:f>IF($H362="","",IF(INDEX('Game Records'!$B:$B,$H362)="","Start Date; ","")&amp;IF(INDEX('Game Records'!$C:$C,$H362)="","End Date; ","")&amp;IF(AND(INDEX('Game Records'!$U:$U,$H362)&lt;&gt;"Subscription",INDEX('Game Records'!$U:$U,$H362)&lt;&gt;"Free Game",INDEX('Game Records'!$U:$U,$H362)&lt;&gt;"Disqualified — Free Game",OR(INDEX('Game Records'!$D:$D,$H362)="",LOWER(INDEX('Game Records'!$D:$D,$H362)&amp;"")="n/a")),"Entry Mode; ","")&amp;IF(AND(INDEX('Game Records'!$U:$U,$H362)&lt;&gt;"Subscription",INDEX('Game Records'!$U:$U,$H362)&lt;&gt;"Free Game",INDEX('Game Records'!$U:$U,$H362)&lt;&gt;"Disqualified — Free Game",OR(INDEX('Game Records'!$E:$E,$H362)="",LOWER(INDEX('Game Records'!$E:$E,$H362)&amp;"")="n/a")),"Game Type; ","")&amp;IF(INDEX('Game Records'!$F:$F,$H362)="","Payment Type; ","")&amp;IF(AND(INDEX('Game Records'!$U:$U,$H362)&lt;&gt;"Subscription",INDEX('Game Records'!$U:$U,$H362)&lt;&gt;"Free Game",INDEX('Game Records'!$U:$U,$H362)&lt;&gt;"Disqualified — Free Game",INDEX('Game Records'!$G:$G,$H362)=""),"Gross Pot; ","")&amp;IF(AND(INDEX('Game Records'!$U:$U,$H362)&lt;&gt;"Free Game",INDEX('Game Records'!$U:$U,$H362)&lt;&gt;"Disqualified — Free Game",INDEX('Game Records'!$H:$H,$H362)=""),"Entry Fee; ","")&amp;IF(AND(INDEX('Game Records'!$U:$U,$H362)&lt;&gt;"Subscription",INDEX('Game Records'!$U:$U,$H362)&lt;&gt;"Free Game",INDEX('Game Records'!$U:$U,$H362)&lt;&gt;"Disqualified — Free Game",INDEX('Game Records'!$I:$I,$H362)=""),"Eligible Players; ","")&amp;IF(AND(INDEX('Game Records'!$U:$U,$H362)&lt;&gt;"Subscription",INDEX('Game Records'!$U:$U,$H362)&lt;&gt;"Free Game",INDEX('Game Records'!$U:$U,$H362)&lt;&gt;"Disqualified — Free Game",INDEX('Game Records'!$J:$J,$H362)=""),"Total Players; ","")&amp;IF(AND(LOWER(INDEX('Game Records'!$D:$D,$H362)&amp;"")="finalized",LOWER(INDEX('Game Records'!$L:$L,$H362)&amp;"")&lt;&gt;"yes",INDEX('Game Records'!$U:$U,$H362)&lt;&gt;"Subscription",INDEX('Game Records'!$U:$U,$H362)&lt;&gt;"Free Game",INDEX('Game Records'!$U:$U,$H362)&lt;&gt;"Disqualified — Free Game",INDEX('Game Records'!$K:$K,$H362)=""),"Final Earned; ","")&amp;IF(AND(LOWER(INDEX('Game Records'!$D:$D,$H362)&amp;"")="finalized",INDEX('Game Records'!$U:$U,$H362)&lt;&gt;"Subscription",INDEX('Game Records'!$U:$U,$H362)&lt;&gt;"Free Game",INDEX('Game Records'!$U:$U,$H362)&lt;&gt;"Disqualified — Free Game",OR(INDEX('Game Records'!$L:$L,$H362)="",LOWER(INDEX('Game Records'!$L:$L,$H362)&amp;"")="n/a")),"Disqualified Status; ",""))</x:f>
        <x:v/>
      </x:c>
      <x:c r="G362" s="331" t="str">
        <x:f>IF($H362="","",IFERROR(INDEX('Game Records'!$M:$M,$H362),""))</x:f>
        <x:v/>
      </x:c>
      <x:c r="H362" s="104" t="str">
        <x:f>IF($H361="","",IFERROR(MATCH(1,INDEX((ROW('Game Records'!$U$5:$U$504)&gt;$H361)*(('Game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3" ht="24" customHeight="1">
      <x:c r="A363" s="332" t="str">
        <x:f>IF($H363="","",ROWS($A$5:A363))</x:f>
        <x:v/>
      </x:c>
      <x:c r="B363" s="332" t="str">
        <x:f>IF($H363="","","G-"&amp;TEXT($A363,"0000"))</x:f>
        <x:v/>
      </x:c>
      <x:c r="C363" s="331" t="str">
        <x:f>IF($H363="","",IFERROR(INDEX('Game Records'!$A:$A,$H363),""))</x:f>
        <x:v/>
      </x:c>
      <x:c r="D363" s="331" t="str">
        <x:f>IF($H363="","",IFERROR(INDEX('Game Records'!$U:$U,$H363),""))</x:f>
        <x:v/>
      </x:c>
      <x:c r="E363" s="331" t="str">
        <x:f>IF($H363="","",IF($F363="","No Highlighted Fields","Highlighted Fields Present"))</x:f>
        <x:v/>
      </x:c>
      <x:c r="F363" s="331" t="str">
        <x:f>IF($H363="","",IF(INDEX('Game Records'!$B:$B,$H363)="","Start Date; ","")&amp;IF(INDEX('Game Records'!$C:$C,$H363)="","End Date; ","")&amp;IF(AND(INDEX('Game Records'!$U:$U,$H363)&lt;&gt;"Subscription",INDEX('Game Records'!$U:$U,$H363)&lt;&gt;"Free Game",INDEX('Game Records'!$U:$U,$H363)&lt;&gt;"Disqualified — Free Game",OR(INDEX('Game Records'!$D:$D,$H363)="",LOWER(INDEX('Game Records'!$D:$D,$H363)&amp;"")="n/a")),"Entry Mode; ","")&amp;IF(AND(INDEX('Game Records'!$U:$U,$H363)&lt;&gt;"Subscription",INDEX('Game Records'!$U:$U,$H363)&lt;&gt;"Free Game",INDEX('Game Records'!$U:$U,$H363)&lt;&gt;"Disqualified — Free Game",OR(INDEX('Game Records'!$E:$E,$H363)="",LOWER(INDEX('Game Records'!$E:$E,$H363)&amp;"")="n/a")),"Game Type; ","")&amp;IF(INDEX('Game Records'!$F:$F,$H363)="","Payment Type; ","")&amp;IF(AND(INDEX('Game Records'!$U:$U,$H363)&lt;&gt;"Subscription",INDEX('Game Records'!$U:$U,$H363)&lt;&gt;"Free Game",INDEX('Game Records'!$U:$U,$H363)&lt;&gt;"Disqualified — Free Game",INDEX('Game Records'!$G:$G,$H363)=""),"Gross Pot; ","")&amp;IF(AND(INDEX('Game Records'!$U:$U,$H363)&lt;&gt;"Free Game",INDEX('Game Records'!$U:$U,$H363)&lt;&gt;"Disqualified — Free Game",INDEX('Game Records'!$H:$H,$H363)=""),"Entry Fee; ","")&amp;IF(AND(INDEX('Game Records'!$U:$U,$H363)&lt;&gt;"Subscription",INDEX('Game Records'!$U:$U,$H363)&lt;&gt;"Free Game",INDEX('Game Records'!$U:$U,$H363)&lt;&gt;"Disqualified — Free Game",INDEX('Game Records'!$I:$I,$H363)=""),"Eligible Players; ","")&amp;IF(AND(INDEX('Game Records'!$U:$U,$H363)&lt;&gt;"Subscription",INDEX('Game Records'!$U:$U,$H363)&lt;&gt;"Free Game",INDEX('Game Records'!$U:$U,$H363)&lt;&gt;"Disqualified — Free Game",INDEX('Game Records'!$J:$J,$H363)=""),"Total Players; ","")&amp;IF(AND(LOWER(INDEX('Game Records'!$D:$D,$H363)&amp;"")="finalized",LOWER(INDEX('Game Records'!$L:$L,$H363)&amp;"")&lt;&gt;"yes",INDEX('Game Records'!$U:$U,$H363)&lt;&gt;"Subscription",INDEX('Game Records'!$U:$U,$H363)&lt;&gt;"Free Game",INDEX('Game Records'!$U:$U,$H363)&lt;&gt;"Disqualified — Free Game",INDEX('Game Records'!$K:$K,$H363)=""),"Final Earned; ","")&amp;IF(AND(LOWER(INDEX('Game Records'!$D:$D,$H363)&amp;"")="finalized",INDEX('Game Records'!$U:$U,$H363)&lt;&gt;"Subscription",INDEX('Game Records'!$U:$U,$H363)&lt;&gt;"Free Game",INDEX('Game Records'!$U:$U,$H363)&lt;&gt;"Disqualified — Free Game",OR(INDEX('Game Records'!$L:$L,$H363)="",LOWER(INDEX('Game Records'!$L:$L,$H363)&amp;"")="n/a")),"Disqualified Status; ",""))</x:f>
        <x:v/>
      </x:c>
      <x:c r="G363" s="331" t="str">
        <x:f>IF($H363="","",IFERROR(INDEX('Game Records'!$M:$M,$H363),""))</x:f>
        <x:v/>
      </x:c>
      <x:c r="H363" s="104" t="str">
        <x:f>IF($H362="","",IFERROR(MATCH(1,INDEX((ROW('Game Records'!$U$5:$U$504)&gt;$H362)*(('Game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4" ht="24" customHeight="1">
      <x:c r="A364" s="332" t="str">
        <x:f>IF($H364="","",ROWS($A$5:A364))</x:f>
        <x:v/>
      </x:c>
      <x:c r="B364" s="332" t="str">
        <x:f>IF($H364="","","G-"&amp;TEXT($A364,"0000"))</x:f>
        <x:v/>
      </x:c>
      <x:c r="C364" s="331" t="str">
        <x:f>IF($H364="","",IFERROR(INDEX('Game Records'!$A:$A,$H364),""))</x:f>
        <x:v/>
      </x:c>
      <x:c r="D364" s="331" t="str">
        <x:f>IF($H364="","",IFERROR(INDEX('Game Records'!$U:$U,$H364),""))</x:f>
        <x:v/>
      </x:c>
      <x:c r="E364" s="331" t="str">
        <x:f>IF($H364="","",IF($F364="","No Highlighted Fields","Highlighted Fields Present"))</x:f>
        <x:v/>
      </x:c>
      <x:c r="F364" s="331" t="str">
        <x:f>IF($H364="","",IF(INDEX('Game Records'!$B:$B,$H364)="","Start Date; ","")&amp;IF(INDEX('Game Records'!$C:$C,$H364)="","End Date; ","")&amp;IF(AND(INDEX('Game Records'!$U:$U,$H364)&lt;&gt;"Subscription",INDEX('Game Records'!$U:$U,$H364)&lt;&gt;"Free Game",INDEX('Game Records'!$U:$U,$H364)&lt;&gt;"Disqualified — Free Game",OR(INDEX('Game Records'!$D:$D,$H364)="",LOWER(INDEX('Game Records'!$D:$D,$H364)&amp;"")="n/a")),"Entry Mode; ","")&amp;IF(AND(INDEX('Game Records'!$U:$U,$H364)&lt;&gt;"Subscription",INDEX('Game Records'!$U:$U,$H364)&lt;&gt;"Free Game",INDEX('Game Records'!$U:$U,$H364)&lt;&gt;"Disqualified — Free Game",OR(INDEX('Game Records'!$E:$E,$H364)="",LOWER(INDEX('Game Records'!$E:$E,$H364)&amp;"")="n/a")),"Game Type; ","")&amp;IF(INDEX('Game Records'!$F:$F,$H364)="","Payment Type; ","")&amp;IF(AND(INDEX('Game Records'!$U:$U,$H364)&lt;&gt;"Subscription",INDEX('Game Records'!$U:$U,$H364)&lt;&gt;"Free Game",INDEX('Game Records'!$U:$U,$H364)&lt;&gt;"Disqualified — Free Game",INDEX('Game Records'!$G:$G,$H364)=""),"Gross Pot; ","")&amp;IF(AND(INDEX('Game Records'!$U:$U,$H364)&lt;&gt;"Free Game",INDEX('Game Records'!$U:$U,$H364)&lt;&gt;"Disqualified — Free Game",INDEX('Game Records'!$H:$H,$H364)=""),"Entry Fee; ","")&amp;IF(AND(INDEX('Game Records'!$U:$U,$H364)&lt;&gt;"Subscription",INDEX('Game Records'!$U:$U,$H364)&lt;&gt;"Free Game",INDEX('Game Records'!$U:$U,$H364)&lt;&gt;"Disqualified — Free Game",INDEX('Game Records'!$I:$I,$H364)=""),"Eligible Players; ","")&amp;IF(AND(INDEX('Game Records'!$U:$U,$H364)&lt;&gt;"Subscription",INDEX('Game Records'!$U:$U,$H364)&lt;&gt;"Free Game",INDEX('Game Records'!$U:$U,$H364)&lt;&gt;"Disqualified — Free Game",INDEX('Game Records'!$J:$J,$H364)=""),"Total Players; ","")&amp;IF(AND(LOWER(INDEX('Game Records'!$D:$D,$H364)&amp;"")="finalized",LOWER(INDEX('Game Records'!$L:$L,$H364)&amp;"")&lt;&gt;"yes",INDEX('Game Records'!$U:$U,$H364)&lt;&gt;"Subscription",INDEX('Game Records'!$U:$U,$H364)&lt;&gt;"Free Game",INDEX('Game Records'!$U:$U,$H364)&lt;&gt;"Disqualified — Free Game",INDEX('Game Records'!$K:$K,$H364)=""),"Final Earned; ","")&amp;IF(AND(LOWER(INDEX('Game Records'!$D:$D,$H364)&amp;"")="finalized",INDEX('Game Records'!$U:$U,$H364)&lt;&gt;"Subscription",INDEX('Game Records'!$U:$U,$H364)&lt;&gt;"Free Game",INDEX('Game Records'!$U:$U,$H364)&lt;&gt;"Disqualified — Free Game",OR(INDEX('Game Records'!$L:$L,$H364)="",LOWER(INDEX('Game Records'!$L:$L,$H364)&amp;"")="n/a")),"Disqualified Status; ",""))</x:f>
        <x:v/>
      </x:c>
      <x:c r="G364" s="331" t="str">
        <x:f>IF($H364="","",IFERROR(INDEX('Game Records'!$M:$M,$H364),""))</x:f>
        <x:v/>
      </x:c>
      <x:c r="H364" s="104" t="str">
        <x:f>IF($H363="","",IFERROR(MATCH(1,INDEX((ROW('Game Records'!$U$5:$U$504)&gt;$H363)*(('Game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5" ht="24" customHeight="1">
      <x:c r="A365" s="332" t="str">
        <x:f>IF($H365="","",ROWS($A$5:A365))</x:f>
        <x:v/>
      </x:c>
      <x:c r="B365" s="332" t="str">
        <x:f>IF($H365="","","G-"&amp;TEXT($A365,"0000"))</x:f>
        <x:v/>
      </x:c>
      <x:c r="C365" s="331" t="str">
        <x:f>IF($H365="","",IFERROR(INDEX('Game Records'!$A:$A,$H365),""))</x:f>
        <x:v/>
      </x:c>
      <x:c r="D365" s="331" t="str">
        <x:f>IF($H365="","",IFERROR(INDEX('Game Records'!$U:$U,$H365),""))</x:f>
        <x:v/>
      </x:c>
      <x:c r="E365" s="331" t="str">
        <x:f>IF($H365="","",IF($F365="","No Highlighted Fields","Highlighted Fields Present"))</x:f>
        <x:v/>
      </x:c>
      <x:c r="F365" s="331" t="str">
        <x:f>IF($H365="","",IF(INDEX('Game Records'!$B:$B,$H365)="","Start Date; ","")&amp;IF(INDEX('Game Records'!$C:$C,$H365)="","End Date; ","")&amp;IF(AND(INDEX('Game Records'!$U:$U,$H365)&lt;&gt;"Subscription",INDEX('Game Records'!$U:$U,$H365)&lt;&gt;"Free Game",INDEX('Game Records'!$U:$U,$H365)&lt;&gt;"Disqualified — Free Game",OR(INDEX('Game Records'!$D:$D,$H365)="",LOWER(INDEX('Game Records'!$D:$D,$H365)&amp;"")="n/a")),"Entry Mode; ","")&amp;IF(AND(INDEX('Game Records'!$U:$U,$H365)&lt;&gt;"Subscription",INDEX('Game Records'!$U:$U,$H365)&lt;&gt;"Free Game",INDEX('Game Records'!$U:$U,$H365)&lt;&gt;"Disqualified — Free Game",OR(INDEX('Game Records'!$E:$E,$H365)="",LOWER(INDEX('Game Records'!$E:$E,$H365)&amp;"")="n/a")),"Game Type; ","")&amp;IF(INDEX('Game Records'!$F:$F,$H365)="","Payment Type; ","")&amp;IF(AND(INDEX('Game Records'!$U:$U,$H365)&lt;&gt;"Subscription",INDEX('Game Records'!$U:$U,$H365)&lt;&gt;"Free Game",INDEX('Game Records'!$U:$U,$H365)&lt;&gt;"Disqualified — Free Game",INDEX('Game Records'!$G:$G,$H365)=""),"Gross Pot; ","")&amp;IF(AND(INDEX('Game Records'!$U:$U,$H365)&lt;&gt;"Free Game",INDEX('Game Records'!$U:$U,$H365)&lt;&gt;"Disqualified — Free Game",INDEX('Game Records'!$H:$H,$H365)=""),"Entry Fee; ","")&amp;IF(AND(INDEX('Game Records'!$U:$U,$H365)&lt;&gt;"Subscription",INDEX('Game Records'!$U:$U,$H365)&lt;&gt;"Free Game",INDEX('Game Records'!$U:$U,$H365)&lt;&gt;"Disqualified — Free Game",INDEX('Game Records'!$I:$I,$H365)=""),"Eligible Players; ","")&amp;IF(AND(INDEX('Game Records'!$U:$U,$H365)&lt;&gt;"Subscription",INDEX('Game Records'!$U:$U,$H365)&lt;&gt;"Free Game",INDEX('Game Records'!$U:$U,$H365)&lt;&gt;"Disqualified — Free Game",INDEX('Game Records'!$J:$J,$H365)=""),"Total Players; ","")&amp;IF(AND(LOWER(INDEX('Game Records'!$D:$D,$H365)&amp;"")="finalized",LOWER(INDEX('Game Records'!$L:$L,$H365)&amp;"")&lt;&gt;"yes",INDEX('Game Records'!$U:$U,$H365)&lt;&gt;"Subscription",INDEX('Game Records'!$U:$U,$H365)&lt;&gt;"Free Game",INDEX('Game Records'!$U:$U,$H365)&lt;&gt;"Disqualified — Free Game",INDEX('Game Records'!$K:$K,$H365)=""),"Final Earned; ","")&amp;IF(AND(LOWER(INDEX('Game Records'!$D:$D,$H365)&amp;"")="finalized",INDEX('Game Records'!$U:$U,$H365)&lt;&gt;"Subscription",INDEX('Game Records'!$U:$U,$H365)&lt;&gt;"Free Game",INDEX('Game Records'!$U:$U,$H365)&lt;&gt;"Disqualified — Free Game",OR(INDEX('Game Records'!$L:$L,$H365)="",LOWER(INDEX('Game Records'!$L:$L,$H365)&amp;"")="n/a")),"Disqualified Status; ",""))</x:f>
        <x:v/>
      </x:c>
      <x:c r="G365" s="331" t="str">
        <x:f>IF($H365="","",IFERROR(INDEX('Game Records'!$M:$M,$H365),""))</x:f>
        <x:v/>
      </x:c>
      <x:c r="H365" s="104" t="str">
        <x:f>IF($H364="","",IFERROR(MATCH(1,INDEX((ROW('Game Records'!$U$5:$U$504)&gt;$H364)*(('Game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6" ht="24" customHeight="1">
      <x:c r="A366" s="332" t="str">
        <x:f>IF($H366="","",ROWS($A$5:A366))</x:f>
        <x:v/>
      </x:c>
      <x:c r="B366" s="332" t="str">
        <x:f>IF($H366="","","G-"&amp;TEXT($A366,"0000"))</x:f>
        <x:v/>
      </x:c>
      <x:c r="C366" s="331" t="str">
        <x:f>IF($H366="","",IFERROR(INDEX('Game Records'!$A:$A,$H366),""))</x:f>
        <x:v/>
      </x:c>
      <x:c r="D366" s="331" t="str">
        <x:f>IF($H366="","",IFERROR(INDEX('Game Records'!$U:$U,$H366),""))</x:f>
        <x:v/>
      </x:c>
      <x:c r="E366" s="331" t="str">
        <x:f>IF($H366="","",IF($F366="","No Highlighted Fields","Highlighted Fields Present"))</x:f>
        <x:v/>
      </x:c>
      <x:c r="F366" s="331" t="str">
        <x:f>IF($H366="","",IF(INDEX('Game Records'!$B:$B,$H366)="","Start Date; ","")&amp;IF(INDEX('Game Records'!$C:$C,$H366)="","End Date; ","")&amp;IF(AND(INDEX('Game Records'!$U:$U,$H366)&lt;&gt;"Subscription",INDEX('Game Records'!$U:$U,$H366)&lt;&gt;"Free Game",INDEX('Game Records'!$U:$U,$H366)&lt;&gt;"Disqualified — Free Game",OR(INDEX('Game Records'!$D:$D,$H366)="",LOWER(INDEX('Game Records'!$D:$D,$H366)&amp;"")="n/a")),"Entry Mode; ","")&amp;IF(AND(INDEX('Game Records'!$U:$U,$H366)&lt;&gt;"Subscription",INDEX('Game Records'!$U:$U,$H366)&lt;&gt;"Free Game",INDEX('Game Records'!$U:$U,$H366)&lt;&gt;"Disqualified — Free Game",OR(INDEX('Game Records'!$E:$E,$H366)="",LOWER(INDEX('Game Records'!$E:$E,$H366)&amp;"")="n/a")),"Game Type; ","")&amp;IF(INDEX('Game Records'!$F:$F,$H366)="","Payment Type; ","")&amp;IF(AND(INDEX('Game Records'!$U:$U,$H366)&lt;&gt;"Subscription",INDEX('Game Records'!$U:$U,$H366)&lt;&gt;"Free Game",INDEX('Game Records'!$U:$U,$H366)&lt;&gt;"Disqualified — Free Game",INDEX('Game Records'!$G:$G,$H366)=""),"Gross Pot; ","")&amp;IF(AND(INDEX('Game Records'!$U:$U,$H366)&lt;&gt;"Free Game",INDEX('Game Records'!$U:$U,$H366)&lt;&gt;"Disqualified — Free Game",INDEX('Game Records'!$H:$H,$H366)=""),"Entry Fee; ","")&amp;IF(AND(INDEX('Game Records'!$U:$U,$H366)&lt;&gt;"Subscription",INDEX('Game Records'!$U:$U,$H366)&lt;&gt;"Free Game",INDEX('Game Records'!$U:$U,$H366)&lt;&gt;"Disqualified — Free Game",INDEX('Game Records'!$I:$I,$H366)=""),"Eligible Players; ","")&amp;IF(AND(INDEX('Game Records'!$U:$U,$H366)&lt;&gt;"Subscription",INDEX('Game Records'!$U:$U,$H366)&lt;&gt;"Free Game",INDEX('Game Records'!$U:$U,$H366)&lt;&gt;"Disqualified — Free Game",INDEX('Game Records'!$J:$J,$H366)=""),"Total Players; ","")&amp;IF(AND(LOWER(INDEX('Game Records'!$D:$D,$H366)&amp;"")="finalized",LOWER(INDEX('Game Records'!$L:$L,$H366)&amp;"")&lt;&gt;"yes",INDEX('Game Records'!$U:$U,$H366)&lt;&gt;"Subscription",INDEX('Game Records'!$U:$U,$H366)&lt;&gt;"Free Game",INDEX('Game Records'!$U:$U,$H366)&lt;&gt;"Disqualified — Free Game",INDEX('Game Records'!$K:$K,$H366)=""),"Final Earned; ","")&amp;IF(AND(LOWER(INDEX('Game Records'!$D:$D,$H366)&amp;"")="finalized",INDEX('Game Records'!$U:$U,$H366)&lt;&gt;"Subscription",INDEX('Game Records'!$U:$U,$H366)&lt;&gt;"Free Game",INDEX('Game Records'!$U:$U,$H366)&lt;&gt;"Disqualified — Free Game",OR(INDEX('Game Records'!$L:$L,$H366)="",LOWER(INDEX('Game Records'!$L:$L,$H366)&amp;"")="n/a")),"Disqualified Status; ",""))</x:f>
        <x:v/>
      </x:c>
      <x:c r="G366" s="331" t="str">
        <x:f>IF($H366="","",IFERROR(INDEX('Game Records'!$M:$M,$H366),""))</x:f>
        <x:v/>
      </x:c>
      <x:c r="H366" s="104" t="str">
        <x:f>IF($H365="","",IFERROR(MATCH(1,INDEX((ROW('Game Records'!$U$5:$U$504)&gt;$H365)*(('Game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7" ht="24" customHeight="1">
      <x:c r="A367" s="332" t="str">
        <x:f>IF($H367="","",ROWS($A$5:A367))</x:f>
        <x:v/>
      </x:c>
      <x:c r="B367" s="332" t="str">
        <x:f>IF($H367="","","G-"&amp;TEXT($A367,"0000"))</x:f>
        <x:v/>
      </x:c>
      <x:c r="C367" s="331" t="str">
        <x:f>IF($H367="","",IFERROR(INDEX('Game Records'!$A:$A,$H367),""))</x:f>
        <x:v/>
      </x:c>
      <x:c r="D367" s="331" t="str">
        <x:f>IF($H367="","",IFERROR(INDEX('Game Records'!$U:$U,$H367),""))</x:f>
        <x:v/>
      </x:c>
      <x:c r="E367" s="331" t="str">
        <x:f>IF($H367="","",IF($F367="","No Highlighted Fields","Highlighted Fields Present"))</x:f>
        <x:v/>
      </x:c>
      <x:c r="F367" s="331" t="str">
        <x:f>IF($H367="","",IF(INDEX('Game Records'!$B:$B,$H367)="","Start Date; ","")&amp;IF(INDEX('Game Records'!$C:$C,$H367)="","End Date; ","")&amp;IF(AND(INDEX('Game Records'!$U:$U,$H367)&lt;&gt;"Subscription",INDEX('Game Records'!$U:$U,$H367)&lt;&gt;"Free Game",INDEX('Game Records'!$U:$U,$H367)&lt;&gt;"Disqualified — Free Game",OR(INDEX('Game Records'!$D:$D,$H367)="",LOWER(INDEX('Game Records'!$D:$D,$H367)&amp;"")="n/a")),"Entry Mode; ","")&amp;IF(AND(INDEX('Game Records'!$U:$U,$H367)&lt;&gt;"Subscription",INDEX('Game Records'!$U:$U,$H367)&lt;&gt;"Free Game",INDEX('Game Records'!$U:$U,$H367)&lt;&gt;"Disqualified — Free Game",OR(INDEX('Game Records'!$E:$E,$H367)="",LOWER(INDEX('Game Records'!$E:$E,$H367)&amp;"")="n/a")),"Game Type; ","")&amp;IF(INDEX('Game Records'!$F:$F,$H367)="","Payment Type; ","")&amp;IF(AND(INDEX('Game Records'!$U:$U,$H367)&lt;&gt;"Subscription",INDEX('Game Records'!$U:$U,$H367)&lt;&gt;"Free Game",INDEX('Game Records'!$U:$U,$H367)&lt;&gt;"Disqualified — Free Game",INDEX('Game Records'!$G:$G,$H367)=""),"Gross Pot; ","")&amp;IF(AND(INDEX('Game Records'!$U:$U,$H367)&lt;&gt;"Free Game",INDEX('Game Records'!$U:$U,$H367)&lt;&gt;"Disqualified — Free Game",INDEX('Game Records'!$H:$H,$H367)=""),"Entry Fee; ","")&amp;IF(AND(INDEX('Game Records'!$U:$U,$H367)&lt;&gt;"Subscription",INDEX('Game Records'!$U:$U,$H367)&lt;&gt;"Free Game",INDEX('Game Records'!$U:$U,$H367)&lt;&gt;"Disqualified — Free Game",INDEX('Game Records'!$I:$I,$H367)=""),"Eligible Players; ","")&amp;IF(AND(INDEX('Game Records'!$U:$U,$H367)&lt;&gt;"Subscription",INDEX('Game Records'!$U:$U,$H367)&lt;&gt;"Free Game",INDEX('Game Records'!$U:$U,$H367)&lt;&gt;"Disqualified — Free Game",INDEX('Game Records'!$J:$J,$H367)=""),"Total Players; ","")&amp;IF(AND(LOWER(INDEX('Game Records'!$D:$D,$H367)&amp;"")="finalized",LOWER(INDEX('Game Records'!$L:$L,$H367)&amp;"")&lt;&gt;"yes",INDEX('Game Records'!$U:$U,$H367)&lt;&gt;"Subscription",INDEX('Game Records'!$U:$U,$H367)&lt;&gt;"Free Game",INDEX('Game Records'!$U:$U,$H367)&lt;&gt;"Disqualified — Free Game",INDEX('Game Records'!$K:$K,$H367)=""),"Final Earned; ","")&amp;IF(AND(LOWER(INDEX('Game Records'!$D:$D,$H367)&amp;"")="finalized",INDEX('Game Records'!$U:$U,$H367)&lt;&gt;"Subscription",INDEX('Game Records'!$U:$U,$H367)&lt;&gt;"Free Game",INDEX('Game Records'!$U:$U,$H367)&lt;&gt;"Disqualified — Free Game",OR(INDEX('Game Records'!$L:$L,$H367)="",LOWER(INDEX('Game Records'!$L:$L,$H367)&amp;"")="n/a")),"Disqualified Status; ",""))</x:f>
        <x:v/>
      </x:c>
      <x:c r="G367" s="331" t="str">
        <x:f>IF($H367="","",IFERROR(INDEX('Game Records'!$M:$M,$H367),""))</x:f>
        <x:v/>
      </x:c>
      <x:c r="H367" s="104" t="str">
        <x:f>IF($H366="","",IFERROR(MATCH(1,INDEX((ROW('Game Records'!$U$5:$U$504)&gt;$H366)*(('Game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8" ht="24" customHeight="1">
      <x:c r="A368" s="332" t="str">
        <x:f>IF($H368="","",ROWS($A$5:A368))</x:f>
        <x:v/>
      </x:c>
      <x:c r="B368" s="332" t="str">
        <x:f>IF($H368="","","G-"&amp;TEXT($A368,"0000"))</x:f>
        <x:v/>
      </x:c>
      <x:c r="C368" s="331" t="str">
        <x:f>IF($H368="","",IFERROR(INDEX('Game Records'!$A:$A,$H368),""))</x:f>
        <x:v/>
      </x:c>
      <x:c r="D368" s="331" t="str">
        <x:f>IF($H368="","",IFERROR(INDEX('Game Records'!$U:$U,$H368),""))</x:f>
        <x:v/>
      </x:c>
      <x:c r="E368" s="331" t="str">
        <x:f>IF($H368="","",IF($F368="","No Highlighted Fields","Highlighted Fields Present"))</x:f>
        <x:v/>
      </x:c>
      <x:c r="F368" s="331" t="str">
        <x:f>IF($H368="","",IF(INDEX('Game Records'!$B:$B,$H368)="","Start Date; ","")&amp;IF(INDEX('Game Records'!$C:$C,$H368)="","End Date; ","")&amp;IF(AND(INDEX('Game Records'!$U:$U,$H368)&lt;&gt;"Subscription",INDEX('Game Records'!$U:$U,$H368)&lt;&gt;"Free Game",INDEX('Game Records'!$U:$U,$H368)&lt;&gt;"Disqualified — Free Game",OR(INDEX('Game Records'!$D:$D,$H368)="",LOWER(INDEX('Game Records'!$D:$D,$H368)&amp;"")="n/a")),"Entry Mode; ","")&amp;IF(AND(INDEX('Game Records'!$U:$U,$H368)&lt;&gt;"Subscription",INDEX('Game Records'!$U:$U,$H368)&lt;&gt;"Free Game",INDEX('Game Records'!$U:$U,$H368)&lt;&gt;"Disqualified — Free Game",OR(INDEX('Game Records'!$E:$E,$H368)="",LOWER(INDEX('Game Records'!$E:$E,$H368)&amp;"")="n/a")),"Game Type; ","")&amp;IF(INDEX('Game Records'!$F:$F,$H368)="","Payment Type; ","")&amp;IF(AND(INDEX('Game Records'!$U:$U,$H368)&lt;&gt;"Subscription",INDEX('Game Records'!$U:$U,$H368)&lt;&gt;"Free Game",INDEX('Game Records'!$U:$U,$H368)&lt;&gt;"Disqualified — Free Game",INDEX('Game Records'!$G:$G,$H368)=""),"Gross Pot; ","")&amp;IF(AND(INDEX('Game Records'!$U:$U,$H368)&lt;&gt;"Free Game",INDEX('Game Records'!$U:$U,$H368)&lt;&gt;"Disqualified — Free Game",INDEX('Game Records'!$H:$H,$H368)=""),"Entry Fee; ","")&amp;IF(AND(INDEX('Game Records'!$U:$U,$H368)&lt;&gt;"Subscription",INDEX('Game Records'!$U:$U,$H368)&lt;&gt;"Free Game",INDEX('Game Records'!$U:$U,$H368)&lt;&gt;"Disqualified — Free Game",INDEX('Game Records'!$I:$I,$H368)=""),"Eligible Players; ","")&amp;IF(AND(INDEX('Game Records'!$U:$U,$H368)&lt;&gt;"Subscription",INDEX('Game Records'!$U:$U,$H368)&lt;&gt;"Free Game",INDEX('Game Records'!$U:$U,$H368)&lt;&gt;"Disqualified — Free Game",INDEX('Game Records'!$J:$J,$H368)=""),"Total Players; ","")&amp;IF(AND(LOWER(INDEX('Game Records'!$D:$D,$H368)&amp;"")="finalized",LOWER(INDEX('Game Records'!$L:$L,$H368)&amp;"")&lt;&gt;"yes",INDEX('Game Records'!$U:$U,$H368)&lt;&gt;"Subscription",INDEX('Game Records'!$U:$U,$H368)&lt;&gt;"Free Game",INDEX('Game Records'!$U:$U,$H368)&lt;&gt;"Disqualified — Free Game",INDEX('Game Records'!$K:$K,$H368)=""),"Final Earned; ","")&amp;IF(AND(LOWER(INDEX('Game Records'!$D:$D,$H368)&amp;"")="finalized",INDEX('Game Records'!$U:$U,$H368)&lt;&gt;"Subscription",INDEX('Game Records'!$U:$U,$H368)&lt;&gt;"Free Game",INDEX('Game Records'!$U:$U,$H368)&lt;&gt;"Disqualified — Free Game",OR(INDEX('Game Records'!$L:$L,$H368)="",LOWER(INDEX('Game Records'!$L:$L,$H368)&amp;"")="n/a")),"Disqualified Status; ",""))</x:f>
        <x:v/>
      </x:c>
      <x:c r="G368" s="331" t="str">
        <x:f>IF($H368="","",IFERROR(INDEX('Game Records'!$M:$M,$H368),""))</x:f>
        <x:v/>
      </x:c>
      <x:c r="H368" s="104" t="str">
        <x:f>IF($H367="","",IFERROR(MATCH(1,INDEX((ROW('Game Records'!$U$5:$U$504)&gt;$H367)*(('Game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69" ht="24" customHeight="1">
      <x:c r="A369" s="332" t="str">
        <x:f>IF($H369="","",ROWS($A$5:A369))</x:f>
        <x:v/>
      </x:c>
      <x:c r="B369" s="332" t="str">
        <x:f>IF($H369="","","G-"&amp;TEXT($A369,"0000"))</x:f>
        <x:v/>
      </x:c>
      <x:c r="C369" s="331" t="str">
        <x:f>IF($H369="","",IFERROR(INDEX('Game Records'!$A:$A,$H369),""))</x:f>
        <x:v/>
      </x:c>
      <x:c r="D369" s="331" t="str">
        <x:f>IF($H369="","",IFERROR(INDEX('Game Records'!$U:$U,$H369),""))</x:f>
        <x:v/>
      </x:c>
      <x:c r="E369" s="331" t="str">
        <x:f>IF($H369="","",IF($F369="","No Highlighted Fields","Highlighted Fields Present"))</x:f>
        <x:v/>
      </x:c>
      <x:c r="F369" s="331" t="str">
        <x:f>IF($H369="","",IF(INDEX('Game Records'!$B:$B,$H369)="","Start Date; ","")&amp;IF(INDEX('Game Records'!$C:$C,$H369)="","End Date; ","")&amp;IF(AND(INDEX('Game Records'!$U:$U,$H369)&lt;&gt;"Subscription",INDEX('Game Records'!$U:$U,$H369)&lt;&gt;"Free Game",INDEX('Game Records'!$U:$U,$H369)&lt;&gt;"Disqualified — Free Game",OR(INDEX('Game Records'!$D:$D,$H369)="",LOWER(INDEX('Game Records'!$D:$D,$H369)&amp;"")="n/a")),"Entry Mode; ","")&amp;IF(AND(INDEX('Game Records'!$U:$U,$H369)&lt;&gt;"Subscription",INDEX('Game Records'!$U:$U,$H369)&lt;&gt;"Free Game",INDEX('Game Records'!$U:$U,$H369)&lt;&gt;"Disqualified — Free Game",OR(INDEX('Game Records'!$E:$E,$H369)="",LOWER(INDEX('Game Records'!$E:$E,$H369)&amp;"")="n/a")),"Game Type; ","")&amp;IF(INDEX('Game Records'!$F:$F,$H369)="","Payment Type; ","")&amp;IF(AND(INDEX('Game Records'!$U:$U,$H369)&lt;&gt;"Subscription",INDEX('Game Records'!$U:$U,$H369)&lt;&gt;"Free Game",INDEX('Game Records'!$U:$U,$H369)&lt;&gt;"Disqualified — Free Game",INDEX('Game Records'!$G:$G,$H369)=""),"Gross Pot; ","")&amp;IF(AND(INDEX('Game Records'!$U:$U,$H369)&lt;&gt;"Free Game",INDEX('Game Records'!$U:$U,$H369)&lt;&gt;"Disqualified — Free Game",INDEX('Game Records'!$H:$H,$H369)=""),"Entry Fee; ","")&amp;IF(AND(INDEX('Game Records'!$U:$U,$H369)&lt;&gt;"Subscription",INDEX('Game Records'!$U:$U,$H369)&lt;&gt;"Free Game",INDEX('Game Records'!$U:$U,$H369)&lt;&gt;"Disqualified — Free Game",INDEX('Game Records'!$I:$I,$H369)=""),"Eligible Players; ","")&amp;IF(AND(INDEX('Game Records'!$U:$U,$H369)&lt;&gt;"Subscription",INDEX('Game Records'!$U:$U,$H369)&lt;&gt;"Free Game",INDEX('Game Records'!$U:$U,$H369)&lt;&gt;"Disqualified — Free Game",INDEX('Game Records'!$J:$J,$H369)=""),"Total Players; ","")&amp;IF(AND(LOWER(INDEX('Game Records'!$D:$D,$H369)&amp;"")="finalized",LOWER(INDEX('Game Records'!$L:$L,$H369)&amp;"")&lt;&gt;"yes",INDEX('Game Records'!$U:$U,$H369)&lt;&gt;"Subscription",INDEX('Game Records'!$U:$U,$H369)&lt;&gt;"Free Game",INDEX('Game Records'!$U:$U,$H369)&lt;&gt;"Disqualified — Free Game",INDEX('Game Records'!$K:$K,$H369)=""),"Final Earned; ","")&amp;IF(AND(LOWER(INDEX('Game Records'!$D:$D,$H369)&amp;"")="finalized",INDEX('Game Records'!$U:$U,$H369)&lt;&gt;"Subscription",INDEX('Game Records'!$U:$U,$H369)&lt;&gt;"Free Game",INDEX('Game Records'!$U:$U,$H369)&lt;&gt;"Disqualified — Free Game",OR(INDEX('Game Records'!$L:$L,$H369)="",LOWER(INDEX('Game Records'!$L:$L,$H369)&amp;"")="n/a")),"Disqualified Status; ",""))</x:f>
        <x:v/>
      </x:c>
      <x:c r="G369" s="331" t="str">
        <x:f>IF($H369="","",IFERROR(INDEX('Game Records'!$M:$M,$H369),""))</x:f>
        <x:v/>
      </x:c>
      <x:c r="H369" s="104" t="str">
        <x:f>IF($H368="","",IFERROR(MATCH(1,INDEX((ROW('Game Records'!$U$5:$U$504)&gt;$H368)*(('Game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0" ht="24" customHeight="1">
      <x:c r="A370" s="332" t="str">
        <x:f>IF($H370="","",ROWS($A$5:A370))</x:f>
        <x:v/>
      </x:c>
      <x:c r="B370" s="332" t="str">
        <x:f>IF($H370="","","G-"&amp;TEXT($A370,"0000"))</x:f>
        <x:v/>
      </x:c>
      <x:c r="C370" s="331" t="str">
        <x:f>IF($H370="","",IFERROR(INDEX('Game Records'!$A:$A,$H370),""))</x:f>
        <x:v/>
      </x:c>
      <x:c r="D370" s="331" t="str">
        <x:f>IF($H370="","",IFERROR(INDEX('Game Records'!$U:$U,$H370),""))</x:f>
        <x:v/>
      </x:c>
      <x:c r="E370" s="331" t="str">
        <x:f>IF($H370="","",IF($F370="","No Highlighted Fields","Highlighted Fields Present"))</x:f>
        <x:v/>
      </x:c>
      <x:c r="F370" s="331" t="str">
        <x:f>IF($H370="","",IF(INDEX('Game Records'!$B:$B,$H370)="","Start Date; ","")&amp;IF(INDEX('Game Records'!$C:$C,$H370)="","End Date; ","")&amp;IF(AND(INDEX('Game Records'!$U:$U,$H370)&lt;&gt;"Subscription",INDEX('Game Records'!$U:$U,$H370)&lt;&gt;"Free Game",INDEX('Game Records'!$U:$U,$H370)&lt;&gt;"Disqualified — Free Game",OR(INDEX('Game Records'!$D:$D,$H370)="",LOWER(INDEX('Game Records'!$D:$D,$H370)&amp;"")="n/a")),"Entry Mode; ","")&amp;IF(AND(INDEX('Game Records'!$U:$U,$H370)&lt;&gt;"Subscription",INDEX('Game Records'!$U:$U,$H370)&lt;&gt;"Free Game",INDEX('Game Records'!$U:$U,$H370)&lt;&gt;"Disqualified — Free Game",OR(INDEX('Game Records'!$E:$E,$H370)="",LOWER(INDEX('Game Records'!$E:$E,$H370)&amp;"")="n/a")),"Game Type; ","")&amp;IF(INDEX('Game Records'!$F:$F,$H370)="","Payment Type; ","")&amp;IF(AND(INDEX('Game Records'!$U:$U,$H370)&lt;&gt;"Subscription",INDEX('Game Records'!$U:$U,$H370)&lt;&gt;"Free Game",INDEX('Game Records'!$U:$U,$H370)&lt;&gt;"Disqualified — Free Game",INDEX('Game Records'!$G:$G,$H370)=""),"Gross Pot; ","")&amp;IF(AND(INDEX('Game Records'!$U:$U,$H370)&lt;&gt;"Free Game",INDEX('Game Records'!$U:$U,$H370)&lt;&gt;"Disqualified — Free Game",INDEX('Game Records'!$H:$H,$H370)=""),"Entry Fee; ","")&amp;IF(AND(INDEX('Game Records'!$U:$U,$H370)&lt;&gt;"Subscription",INDEX('Game Records'!$U:$U,$H370)&lt;&gt;"Free Game",INDEX('Game Records'!$U:$U,$H370)&lt;&gt;"Disqualified — Free Game",INDEX('Game Records'!$I:$I,$H370)=""),"Eligible Players; ","")&amp;IF(AND(INDEX('Game Records'!$U:$U,$H370)&lt;&gt;"Subscription",INDEX('Game Records'!$U:$U,$H370)&lt;&gt;"Free Game",INDEX('Game Records'!$U:$U,$H370)&lt;&gt;"Disqualified — Free Game",INDEX('Game Records'!$J:$J,$H370)=""),"Total Players; ","")&amp;IF(AND(LOWER(INDEX('Game Records'!$D:$D,$H370)&amp;"")="finalized",LOWER(INDEX('Game Records'!$L:$L,$H370)&amp;"")&lt;&gt;"yes",INDEX('Game Records'!$U:$U,$H370)&lt;&gt;"Subscription",INDEX('Game Records'!$U:$U,$H370)&lt;&gt;"Free Game",INDEX('Game Records'!$U:$U,$H370)&lt;&gt;"Disqualified — Free Game",INDEX('Game Records'!$K:$K,$H370)=""),"Final Earned; ","")&amp;IF(AND(LOWER(INDEX('Game Records'!$D:$D,$H370)&amp;"")="finalized",INDEX('Game Records'!$U:$U,$H370)&lt;&gt;"Subscription",INDEX('Game Records'!$U:$U,$H370)&lt;&gt;"Free Game",INDEX('Game Records'!$U:$U,$H370)&lt;&gt;"Disqualified — Free Game",OR(INDEX('Game Records'!$L:$L,$H370)="",LOWER(INDEX('Game Records'!$L:$L,$H370)&amp;"")="n/a")),"Disqualified Status; ",""))</x:f>
        <x:v/>
      </x:c>
      <x:c r="G370" s="331" t="str">
        <x:f>IF($H370="","",IFERROR(INDEX('Game Records'!$M:$M,$H370),""))</x:f>
        <x:v/>
      </x:c>
      <x:c r="H370" s="104" t="str">
        <x:f>IF($H369="","",IFERROR(MATCH(1,INDEX((ROW('Game Records'!$U$5:$U$504)&gt;$H369)*(('Game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1" ht="24" customHeight="1">
      <x:c r="A371" s="332" t="str">
        <x:f>IF($H371="","",ROWS($A$5:A371))</x:f>
        <x:v/>
      </x:c>
      <x:c r="B371" s="332" t="str">
        <x:f>IF($H371="","","G-"&amp;TEXT($A371,"0000"))</x:f>
        <x:v/>
      </x:c>
      <x:c r="C371" s="331" t="str">
        <x:f>IF($H371="","",IFERROR(INDEX('Game Records'!$A:$A,$H371),""))</x:f>
        <x:v/>
      </x:c>
      <x:c r="D371" s="331" t="str">
        <x:f>IF($H371="","",IFERROR(INDEX('Game Records'!$U:$U,$H371),""))</x:f>
        <x:v/>
      </x:c>
      <x:c r="E371" s="331" t="str">
        <x:f>IF($H371="","",IF($F371="","No Highlighted Fields","Highlighted Fields Present"))</x:f>
        <x:v/>
      </x:c>
      <x:c r="F371" s="331" t="str">
        <x:f>IF($H371="","",IF(INDEX('Game Records'!$B:$B,$H371)="","Start Date; ","")&amp;IF(INDEX('Game Records'!$C:$C,$H371)="","End Date; ","")&amp;IF(AND(INDEX('Game Records'!$U:$U,$H371)&lt;&gt;"Subscription",INDEX('Game Records'!$U:$U,$H371)&lt;&gt;"Free Game",INDEX('Game Records'!$U:$U,$H371)&lt;&gt;"Disqualified — Free Game",OR(INDEX('Game Records'!$D:$D,$H371)="",LOWER(INDEX('Game Records'!$D:$D,$H371)&amp;"")="n/a")),"Entry Mode; ","")&amp;IF(AND(INDEX('Game Records'!$U:$U,$H371)&lt;&gt;"Subscription",INDEX('Game Records'!$U:$U,$H371)&lt;&gt;"Free Game",INDEX('Game Records'!$U:$U,$H371)&lt;&gt;"Disqualified — Free Game",OR(INDEX('Game Records'!$E:$E,$H371)="",LOWER(INDEX('Game Records'!$E:$E,$H371)&amp;"")="n/a")),"Game Type; ","")&amp;IF(INDEX('Game Records'!$F:$F,$H371)="","Payment Type; ","")&amp;IF(AND(INDEX('Game Records'!$U:$U,$H371)&lt;&gt;"Subscription",INDEX('Game Records'!$U:$U,$H371)&lt;&gt;"Free Game",INDEX('Game Records'!$U:$U,$H371)&lt;&gt;"Disqualified — Free Game",INDEX('Game Records'!$G:$G,$H371)=""),"Gross Pot; ","")&amp;IF(AND(INDEX('Game Records'!$U:$U,$H371)&lt;&gt;"Free Game",INDEX('Game Records'!$U:$U,$H371)&lt;&gt;"Disqualified — Free Game",INDEX('Game Records'!$H:$H,$H371)=""),"Entry Fee; ","")&amp;IF(AND(INDEX('Game Records'!$U:$U,$H371)&lt;&gt;"Subscription",INDEX('Game Records'!$U:$U,$H371)&lt;&gt;"Free Game",INDEX('Game Records'!$U:$U,$H371)&lt;&gt;"Disqualified — Free Game",INDEX('Game Records'!$I:$I,$H371)=""),"Eligible Players; ","")&amp;IF(AND(INDEX('Game Records'!$U:$U,$H371)&lt;&gt;"Subscription",INDEX('Game Records'!$U:$U,$H371)&lt;&gt;"Free Game",INDEX('Game Records'!$U:$U,$H371)&lt;&gt;"Disqualified — Free Game",INDEX('Game Records'!$J:$J,$H371)=""),"Total Players; ","")&amp;IF(AND(LOWER(INDEX('Game Records'!$D:$D,$H371)&amp;"")="finalized",LOWER(INDEX('Game Records'!$L:$L,$H371)&amp;"")&lt;&gt;"yes",INDEX('Game Records'!$U:$U,$H371)&lt;&gt;"Subscription",INDEX('Game Records'!$U:$U,$H371)&lt;&gt;"Free Game",INDEX('Game Records'!$U:$U,$H371)&lt;&gt;"Disqualified — Free Game",INDEX('Game Records'!$K:$K,$H371)=""),"Final Earned; ","")&amp;IF(AND(LOWER(INDEX('Game Records'!$D:$D,$H371)&amp;"")="finalized",INDEX('Game Records'!$U:$U,$H371)&lt;&gt;"Subscription",INDEX('Game Records'!$U:$U,$H371)&lt;&gt;"Free Game",INDEX('Game Records'!$U:$U,$H371)&lt;&gt;"Disqualified — Free Game",OR(INDEX('Game Records'!$L:$L,$H371)="",LOWER(INDEX('Game Records'!$L:$L,$H371)&amp;"")="n/a")),"Disqualified Status; ",""))</x:f>
        <x:v/>
      </x:c>
      <x:c r="G371" s="331" t="str">
        <x:f>IF($H371="","",IFERROR(INDEX('Game Records'!$M:$M,$H371),""))</x:f>
        <x:v/>
      </x:c>
      <x:c r="H371" s="104" t="str">
        <x:f>IF($H370="","",IFERROR(MATCH(1,INDEX((ROW('Game Records'!$U$5:$U$504)&gt;$H370)*(('Game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2" ht="24" customHeight="1">
      <x:c r="A372" s="332" t="str">
        <x:f>IF($H372="","",ROWS($A$5:A372))</x:f>
        <x:v/>
      </x:c>
      <x:c r="B372" s="332" t="str">
        <x:f>IF($H372="","","G-"&amp;TEXT($A372,"0000"))</x:f>
        <x:v/>
      </x:c>
      <x:c r="C372" s="331" t="str">
        <x:f>IF($H372="","",IFERROR(INDEX('Game Records'!$A:$A,$H372),""))</x:f>
        <x:v/>
      </x:c>
      <x:c r="D372" s="331" t="str">
        <x:f>IF($H372="","",IFERROR(INDEX('Game Records'!$U:$U,$H372),""))</x:f>
        <x:v/>
      </x:c>
      <x:c r="E372" s="331" t="str">
        <x:f>IF($H372="","",IF($F372="","No Highlighted Fields","Highlighted Fields Present"))</x:f>
        <x:v/>
      </x:c>
      <x:c r="F372" s="331" t="str">
        <x:f>IF($H372="","",IF(INDEX('Game Records'!$B:$B,$H372)="","Start Date; ","")&amp;IF(INDEX('Game Records'!$C:$C,$H372)="","End Date; ","")&amp;IF(AND(INDEX('Game Records'!$U:$U,$H372)&lt;&gt;"Subscription",INDEX('Game Records'!$U:$U,$H372)&lt;&gt;"Free Game",INDEX('Game Records'!$U:$U,$H372)&lt;&gt;"Disqualified — Free Game",OR(INDEX('Game Records'!$D:$D,$H372)="",LOWER(INDEX('Game Records'!$D:$D,$H372)&amp;"")="n/a")),"Entry Mode; ","")&amp;IF(AND(INDEX('Game Records'!$U:$U,$H372)&lt;&gt;"Subscription",INDEX('Game Records'!$U:$U,$H372)&lt;&gt;"Free Game",INDEX('Game Records'!$U:$U,$H372)&lt;&gt;"Disqualified — Free Game",OR(INDEX('Game Records'!$E:$E,$H372)="",LOWER(INDEX('Game Records'!$E:$E,$H372)&amp;"")="n/a")),"Game Type; ","")&amp;IF(INDEX('Game Records'!$F:$F,$H372)="","Payment Type; ","")&amp;IF(AND(INDEX('Game Records'!$U:$U,$H372)&lt;&gt;"Subscription",INDEX('Game Records'!$U:$U,$H372)&lt;&gt;"Free Game",INDEX('Game Records'!$U:$U,$H372)&lt;&gt;"Disqualified — Free Game",INDEX('Game Records'!$G:$G,$H372)=""),"Gross Pot; ","")&amp;IF(AND(INDEX('Game Records'!$U:$U,$H372)&lt;&gt;"Free Game",INDEX('Game Records'!$U:$U,$H372)&lt;&gt;"Disqualified — Free Game",INDEX('Game Records'!$H:$H,$H372)=""),"Entry Fee; ","")&amp;IF(AND(INDEX('Game Records'!$U:$U,$H372)&lt;&gt;"Subscription",INDEX('Game Records'!$U:$U,$H372)&lt;&gt;"Free Game",INDEX('Game Records'!$U:$U,$H372)&lt;&gt;"Disqualified — Free Game",INDEX('Game Records'!$I:$I,$H372)=""),"Eligible Players; ","")&amp;IF(AND(INDEX('Game Records'!$U:$U,$H372)&lt;&gt;"Subscription",INDEX('Game Records'!$U:$U,$H372)&lt;&gt;"Free Game",INDEX('Game Records'!$U:$U,$H372)&lt;&gt;"Disqualified — Free Game",INDEX('Game Records'!$J:$J,$H372)=""),"Total Players; ","")&amp;IF(AND(LOWER(INDEX('Game Records'!$D:$D,$H372)&amp;"")="finalized",LOWER(INDEX('Game Records'!$L:$L,$H372)&amp;"")&lt;&gt;"yes",INDEX('Game Records'!$U:$U,$H372)&lt;&gt;"Subscription",INDEX('Game Records'!$U:$U,$H372)&lt;&gt;"Free Game",INDEX('Game Records'!$U:$U,$H372)&lt;&gt;"Disqualified — Free Game",INDEX('Game Records'!$K:$K,$H372)=""),"Final Earned; ","")&amp;IF(AND(LOWER(INDEX('Game Records'!$D:$D,$H372)&amp;"")="finalized",INDEX('Game Records'!$U:$U,$H372)&lt;&gt;"Subscription",INDEX('Game Records'!$U:$U,$H372)&lt;&gt;"Free Game",INDEX('Game Records'!$U:$U,$H372)&lt;&gt;"Disqualified — Free Game",OR(INDEX('Game Records'!$L:$L,$H372)="",LOWER(INDEX('Game Records'!$L:$L,$H372)&amp;"")="n/a")),"Disqualified Status; ",""))</x:f>
        <x:v/>
      </x:c>
      <x:c r="G372" s="331" t="str">
        <x:f>IF($H372="","",IFERROR(INDEX('Game Records'!$M:$M,$H372),""))</x:f>
        <x:v/>
      </x:c>
      <x:c r="H372" s="104" t="str">
        <x:f>IF($H371="","",IFERROR(MATCH(1,INDEX((ROW('Game Records'!$U$5:$U$504)&gt;$H371)*(('Game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3" ht="24" customHeight="1">
      <x:c r="A373" s="332" t="str">
        <x:f>IF($H373="","",ROWS($A$5:A373))</x:f>
        <x:v/>
      </x:c>
      <x:c r="B373" s="332" t="str">
        <x:f>IF($H373="","","G-"&amp;TEXT($A373,"0000"))</x:f>
        <x:v/>
      </x:c>
      <x:c r="C373" s="331" t="str">
        <x:f>IF($H373="","",IFERROR(INDEX('Game Records'!$A:$A,$H373),""))</x:f>
        <x:v/>
      </x:c>
      <x:c r="D373" s="331" t="str">
        <x:f>IF($H373="","",IFERROR(INDEX('Game Records'!$U:$U,$H373),""))</x:f>
        <x:v/>
      </x:c>
      <x:c r="E373" s="331" t="str">
        <x:f>IF($H373="","",IF($F373="","No Highlighted Fields","Highlighted Fields Present"))</x:f>
        <x:v/>
      </x:c>
      <x:c r="F373" s="331" t="str">
        <x:f>IF($H373="","",IF(INDEX('Game Records'!$B:$B,$H373)="","Start Date; ","")&amp;IF(INDEX('Game Records'!$C:$C,$H373)="","End Date; ","")&amp;IF(AND(INDEX('Game Records'!$U:$U,$H373)&lt;&gt;"Subscription",INDEX('Game Records'!$U:$U,$H373)&lt;&gt;"Free Game",INDEX('Game Records'!$U:$U,$H373)&lt;&gt;"Disqualified — Free Game",OR(INDEX('Game Records'!$D:$D,$H373)="",LOWER(INDEX('Game Records'!$D:$D,$H373)&amp;"")="n/a")),"Entry Mode; ","")&amp;IF(AND(INDEX('Game Records'!$U:$U,$H373)&lt;&gt;"Subscription",INDEX('Game Records'!$U:$U,$H373)&lt;&gt;"Free Game",INDEX('Game Records'!$U:$U,$H373)&lt;&gt;"Disqualified — Free Game",OR(INDEX('Game Records'!$E:$E,$H373)="",LOWER(INDEX('Game Records'!$E:$E,$H373)&amp;"")="n/a")),"Game Type; ","")&amp;IF(INDEX('Game Records'!$F:$F,$H373)="","Payment Type; ","")&amp;IF(AND(INDEX('Game Records'!$U:$U,$H373)&lt;&gt;"Subscription",INDEX('Game Records'!$U:$U,$H373)&lt;&gt;"Free Game",INDEX('Game Records'!$U:$U,$H373)&lt;&gt;"Disqualified — Free Game",INDEX('Game Records'!$G:$G,$H373)=""),"Gross Pot; ","")&amp;IF(AND(INDEX('Game Records'!$U:$U,$H373)&lt;&gt;"Free Game",INDEX('Game Records'!$U:$U,$H373)&lt;&gt;"Disqualified — Free Game",INDEX('Game Records'!$H:$H,$H373)=""),"Entry Fee; ","")&amp;IF(AND(INDEX('Game Records'!$U:$U,$H373)&lt;&gt;"Subscription",INDEX('Game Records'!$U:$U,$H373)&lt;&gt;"Free Game",INDEX('Game Records'!$U:$U,$H373)&lt;&gt;"Disqualified — Free Game",INDEX('Game Records'!$I:$I,$H373)=""),"Eligible Players; ","")&amp;IF(AND(INDEX('Game Records'!$U:$U,$H373)&lt;&gt;"Subscription",INDEX('Game Records'!$U:$U,$H373)&lt;&gt;"Free Game",INDEX('Game Records'!$U:$U,$H373)&lt;&gt;"Disqualified — Free Game",INDEX('Game Records'!$J:$J,$H373)=""),"Total Players; ","")&amp;IF(AND(LOWER(INDEX('Game Records'!$D:$D,$H373)&amp;"")="finalized",LOWER(INDEX('Game Records'!$L:$L,$H373)&amp;"")&lt;&gt;"yes",INDEX('Game Records'!$U:$U,$H373)&lt;&gt;"Subscription",INDEX('Game Records'!$U:$U,$H373)&lt;&gt;"Free Game",INDEX('Game Records'!$U:$U,$H373)&lt;&gt;"Disqualified — Free Game",INDEX('Game Records'!$K:$K,$H373)=""),"Final Earned; ","")&amp;IF(AND(LOWER(INDEX('Game Records'!$D:$D,$H373)&amp;"")="finalized",INDEX('Game Records'!$U:$U,$H373)&lt;&gt;"Subscription",INDEX('Game Records'!$U:$U,$H373)&lt;&gt;"Free Game",INDEX('Game Records'!$U:$U,$H373)&lt;&gt;"Disqualified — Free Game",OR(INDEX('Game Records'!$L:$L,$H373)="",LOWER(INDEX('Game Records'!$L:$L,$H373)&amp;"")="n/a")),"Disqualified Status; ",""))</x:f>
        <x:v/>
      </x:c>
      <x:c r="G373" s="331" t="str">
        <x:f>IF($H373="","",IFERROR(INDEX('Game Records'!$M:$M,$H373),""))</x:f>
        <x:v/>
      </x:c>
      <x:c r="H373" s="104" t="str">
        <x:f>IF($H372="","",IFERROR(MATCH(1,INDEX((ROW('Game Records'!$U$5:$U$504)&gt;$H372)*(('Game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4" ht="24" customHeight="1">
      <x:c r="A374" s="332" t="str">
        <x:f>IF($H374="","",ROWS($A$5:A374))</x:f>
        <x:v/>
      </x:c>
      <x:c r="B374" s="332" t="str">
        <x:f>IF($H374="","","G-"&amp;TEXT($A374,"0000"))</x:f>
        <x:v/>
      </x:c>
      <x:c r="C374" s="331" t="str">
        <x:f>IF($H374="","",IFERROR(INDEX('Game Records'!$A:$A,$H374),""))</x:f>
        <x:v/>
      </x:c>
      <x:c r="D374" s="331" t="str">
        <x:f>IF($H374="","",IFERROR(INDEX('Game Records'!$U:$U,$H374),""))</x:f>
        <x:v/>
      </x:c>
      <x:c r="E374" s="331" t="str">
        <x:f>IF($H374="","",IF($F374="","No Highlighted Fields","Highlighted Fields Present"))</x:f>
        <x:v/>
      </x:c>
      <x:c r="F374" s="331" t="str">
        <x:f>IF($H374="","",IF(INDEX('Game Records'!$B:$B,$H374)="","Start Date; ","")&amp;IF(INDEX('Game Records'!$C:$C,$H374)="","End Date; ","")&amp;IF(AND(INDEX('Game Records'!$U:$U,$H374)&lt;&gt;"Subscription",INDEX('Game Records'!$U:$U,$H374)&lt;&gt;"Free Game",INDEX('Game Records'!$U:$U,$H374)&lt;&gt;"Disqualified — Free Game",OR(INDEX('Game Records'!$D:$D,$H374)="",LOWER(INDEX('Game Records'!$D:$D,$H374)&amp;"")="n/a")),"Entry Mode; ","")&amp;IF(AND(INDEX('Game Records'!$U:$U,$H374)&lt;&gt;"Subscription",INDEX('Game Records'!$U:$U,$H374)&lt;&gt;"Free Game",INDEX('Game Records'!$U:$U,$H374)&lt;&gt;"Disqualified — Free Game",OR(INDEX('Game Records'!$E:$E,$H374)="",LOWER(INDEX('Game Records'!$E:$E,$H374)&amp;"")="n/a")),"Game Type; ","")&amp;IF(INDEX('Game Records'!$F:$F,$H374)="","Payment Type; ","")&amp;IF(AND(INDEX('Game Records'!$U:$U,$H374)&lt;&gt;"Subscription",INDEX('Game Records'!$U:$U,$H374)&lt;&gt;"Free Game",INDEX('Game Records'!$U:$U,$H374)&lt;&gt;"Disqualified — Free Game",INDEX('Game Records'!$G:$G,$H374)=""),"Gross Pot; ","")&amp;IF(AND(INDEX('Game Records'!$U:$U,$H374)&lt;&gt;"Free Game",INDEX('Game Records'!$U:$U,$H374)&lt;&gt;"Disqualified — Free Game",INDEX('Game Records'!$H:$H,$H374)=""),"Entry Fee; ","")&amp;IF(AND(INDEX('Game Records'!$U:$U,$H374)&lt;&gt;"Subscription",INDEX('Game Records'!$U:$U,$H374)&lt;&gt;"Free Game",INDEX('Game Records'!$U:$U,$H374)&lt;&gt;"Disqualified — Free Game",INDEX('Game Records'!$I:$I,$H374)=""),"Eligible Players; ","")&amp;IF(AND(INDEX('Game Records'!$U:$U,$H374)&lt;&gt;"Subscription",INDEX('Game Records'!$U:$U,$H374)&lt;&gt;"Free Game",INDEX('Game Records'!$U:$U,$H374)&lt;&gt;"Disqualified — Free Game",INDEX('Game Records'!$J:$J,$H374)=""),"Total Players; ","")&amp;IF(AND(LOWER(INDEX('Game Records'!$D:$D,$H374)&amp;"")="finalized",LOWER(INDEX('Game Records'!$L:$L,$H374)&amp;"")&lt;&gt;"yes",INDEX('Game Records'!$U:$U,$H374)&lt;&gt;"Subscription",INDEX('Game Records'!$U:$U,$H374)&lt;&gt;"Free Game",INDEX('Game Records'!$U:$U,$H374)&lt;&gt;"Disqualified — Free Game",INDEX('Game Records'!$K:$K,$H374)=""),"Final Earned; ","")&amp;IF(AND(LOWER(INDEX('Game Records'!$D:$D,$H374)&amp;"")="finalized",INDEX('Game Records'!$U:$U,$H374)&lt;&gt;"Subscription",INDEX('Game Records'!$U:$U,$H374)&lt;&gt;"Free Game",INDEX('Game Records'!$U:$U,$H374)&lt;&gt;"Disqualified — Free Game",OR(INDEX('Game Records'!$L:$L,$H374)="",LOWER(INDEX('Game Records'!$L:$L,$H374)&amp;"")="n/a")),"Disqualified Status; ",""))</x:f>
        <x:v/>
      </x:c>
      <x:c r="G374" s="331" t="str">
        <x:f>IF($H374="","",IFERROR(INDEX('Game Records'!$M:$M,$H374),""))</x:f>
        <x:v/>
      </x:c>
      <x:c r="H374" s="104" t="str">
        <x:f>IF($H373="","",IFERROR(MATCH(1,INDEX((ROW('Game Records'!$U$5:$U$504)&gt;$H373)*(('Game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5" ht="24" customHeight="1">
      <x:c r="A375" s="332" t="str">
        <x:f>IF($H375="","",ROWS($A$5:A375))</x:f>
        <x:v/>
      </x:c>
      <x:c r="B375" s="332" t="str">
        <x:f>IF($H375="","","G-"&amp;TEXT($A375,"0000"))</x:f>
        <x:v/>
      </x:c>
      <x:c r="C375" s="331" t="str">
        <x:f>IF($H375="","",IFERROR(INDEX('Game Records'!$A:$A,$H375),""))</x:f>
        <x:v/>
      </x:c>
      <x:c r="D375" s="331" t="str">
        <x:f>IF($H375="","",IFERROR(INDEX('Game Records'!$U:$U,$H375),""))</x:f>
        <x:v/>
      </x:c>
      <x:c r="E375" s="331" t="str">
        <x:f>IF($H375="","",IF($F375="","No Highlighted Fields","Highlighted Fields Present"))</x:f>
        <x:v/>
      </x:c>
      <x:c r="F375" s="331" t="str">
        <x:f>IF($H375="","",IF(INDEX('Game Records'!$B:$B,$H375)="","Start Date; ","")&amp;IF(INDEX('Game Records'!$C:$C,$H375)="","End Date; ","")&amp;IF(AND(INDEX('Game Records'!$U:$U,$H375)&lt;&gt;"Subscription",INDEX('Game Records'!$U:$U,$H375)&lt;&gt;"Free Game",INDEX('Game Records'!$U:$U,$H375)&lt;&gt;"Disqualified — Free Game",OR(INDEX('Game Records'!$D:$D,$H375)="",LOWER(INDEX('Game Records'!$D:$D,$H375)&amp;"")="n/a")),"Entry Mode; ","")&amp;IF(AND(INDEX('Game Records'!$U:$U,$H375)&lt;&gt;"Subscription",INDEX('Game Records'!$U:$U,$H375)&lt;&gt;"Free Game",INDEX('Game Records'!$U:$U,$H375)&lt;&gt;"Disqualified — Free Game",OR(INDEX('Game Records'!$E:$E,$H375)="",LOWER(INDEX('Game Records'!$E:$E,$H375)&amp;"")="n/a")),"Game Type; ","")&amp;IF(INDEX('Game Records'!$F:$F,$H375)="","Payment Type; ","")&amp;IF(AND(INDEX('Game Records'!$U:$U,$H375)&lt;&gt;"Subscription",INDEX('Game Records'!$U:$U,$H375)&lt;&gt;"Free Game",INDEX('Game Records'!$U:$U,$H375)&lt;&gt;"Disqualified — Free Game",INDEX('Game Records'!$G:$G,$H375)=""),"Gross Pot; ","")&amp;IF(AND(INDEX('Game Records'!$U:$U,$H375)&lt;&gt;"Free Game",INDEX('Game Records'!$U:$U,$H375)&lt;&gt;"Disqualified — Free Game",INDEX('Game Records'!$H:$H,$H375)=""),"Entry Fee; ","")&amp;IF(AND(INDEX('Game Records'!$U:$U,$H375)&lt;&gt;"Subscription",INDEX('Game Records'!$U:$U,$H375)&lt;&gt;"Free Game",INDEX('Game Records'!$U:$U,$H375)&lt;&gt;"Disqualified — Free Game",INDEX('Game Records'!$I:$I,$H375)=""),"Eligible Players; ","")&amp;IF(AND(INDEX('Game Records'!$U:$U,$H375)&lt;&gt;"Subscription",INDEX('Game Records'!$U:$U,$H375)&lt;&gt;"Free Game",INDEX('Game Records'!$U:$U,$H375)&lt;&gt;"Disqualified — Free Game",INDEX('Game Records'!$J:$J,$H375)=""),"Total Players; ","")&amp;IF(AND(LOWER(INDEX('Game Records'!$D:$D,$H375)&amp;"")="finalized",LOWER(INDEX('Game Records'!$L:$L,$H375)&amp;"")&lt;&gt;"yes",INDEX('Game Records'!$U:$U,$H375)&lt;&gt;"Subscription",INDEX('Game Records'!$U:$U,$H375)&lt;&gt;"Free Game",INDEX('Game Records'!$U:$U,$H375)&lt;&gt;"Disqualified — Free Game",INDEX('Game Records'!$K:$K,$H375)=""),"Final Earned; ","")&amp;IF(AND(LOWER(INDEX('Game Records'!$D:$D,$H375)&amp;"")="finalized",INDEX('Game Records'!$U:$U,$H375)&lt;&gt;"Subscription",INDEX('Game Records'!$U:$U,$H375)&lt;&gt;"Free Game",INDEX('Game Records'!$U:$U,$H375)&lt;&gt;"Disqualified — Free Game",OR(INDEX('Game Records'!$L:$L,$H375)="",LOWER(INDEX('Game Records'!$L:$L,$H375)&amp;"")="n/a")),"Disqualified Status; ",""))</x:f>
        <x:v/>
      </x:c>
      <x:c r="G375" s="331" t="str">
        <x:f>IF($H375="","",IFERROR(INDEX('Game Records'!$M:$M,$H375),""))</x:f>
        <x:v/>
      </x:c>
      <x:c r="H375" s="104" t="str">
        <x:f>IF($H374="","",IFERROR(MATCH(1,INDEX((ROW('Game Records'!$U$5:$U$504)&gt;$H374)*(('Game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6" ht="24" customHeight="1">
      <x:c r="A376" s="332" t="str">
        <x:f>IF($H376="","",ROWS($A$5:A376))</x:f>
        <x:v/>
      </x:c>
      <x:c r="B376" s="332" t="str">
        <x:f>IF($H376="","","G-"&amp;TEXT($A376,"0000"))</x:f>
        <x:v/>
      </x:c>
      <x:c r="C376" s="331" t="str">
        <x:f>IF($H376="","",IFERROR(INDEX('Game Records'!$A:$A,$H376),""))</x:f>
        <x:v/>
      </x:c>
      <x:c r="D376" s="331" t="str">
        <x:f>IF($H376="","",IFERROR(INDEX('Game Records'!$U:$U,$H376),""))</x:f>
        <x:v/>
      </x:c>
      <x:c r="E376" s="331" t="str">
        <x:f>IF($H376="","",IF($F376="","No Highlighted Fields","Highlighted Fields Present"))</x:f>
        <x:v/>
      </x:c>
      <x:c r="F376" s="331" t="str">
        <x:f>IF($H376="","",IF(INDEX('Game Records'!$B:$B,$H376)="","Start Date; ","")&amp;IF(INDEX('Game Records'!$C:$C,$H376)="","End Date; ","")&amp;IF(AND(INDEX('Game Records'!$U:$U,$H376)&lt;&gt;"Subscription",INDEX('Game Records'!$U:$U,$H376)&lt;&gt;"Free Game",INDEX('Game Records'!$U:$U,$H376)&lt;&gt;"Disqualified — Free Game",OR(INDEX('Game Records'!$D:$D,$H376)="",LOWER(INDEX('Game Records'!$D:$D,$H376)&amp;"")="n/a")),"Entry Mode; ","")&amp;IF(AND(INDEX('Game Records'!$U:$U,$H376)&lt;&gt;"Subscription",INDEX('Game Records'!$U:$U,$H376)&lt;&gt;"Free Game",INDEX('Game Records'!$U:$U,$H376)&lt;&gt;"Disqualified — Free Game",OR(INDEX('Game Records'!$E:$E,$H376)="",LOWER(INDEX('Game Records'!$E:$E,$H376)&amp;"")="n/a")),"Game Type; ","")&amp;IF(INDEX('Game Records'!$F:$F,$H376)="","Payment Type; ","")&amp;IF(AND(INDEX('Game Records'!$U:$U,$H376)&lt;&gt;"Subscription",INDEX('Game Records'!$U:$U,$H376)&lt;&gt;"Free Game",INDEX('Game Records'!$U:$U,$H376)&lt;&gt;"Disqualified — Free Game",INDEX('Game Records'!$G:$G,$H376)=""),"Gross Pot; ","")&amp;IF(AND(INDEX('Game Records'!$U:$U,$H376)&lt;&gt;"Free Game",INDEX('Game Records'!$U:$U,$H376)&lt;&gt;"Disqualified — Free Game",INDEX('Game Records'!$H:$H,$H376)=""),"Entry Fee; ","")&amp;IF(AND(INDEX('Game Records'!$U:$U,$H376)&lt;&gt;"Subscription",INDEX('Game Records'!$U:$U,$H376)&lt;&gt;"Free Game",INDEX('Game Records'!$U:$U,$H376)&lt;&gt;"Disqualified — Free Game",INDEX('Game Records'!$I:$I,$H376)=""),"Eligible Players; ","")&amp;IF(AND(INDEX('Game Records'!$U:$U,$H376)&lt;&gt;"Subscription",INDEX('Game Records'!$U:$U,$H376)&lt;&gt;"Free Game",INDEX('Game Records'!$U:$U,$H376)&lt;&gt;"Disqualified — Free Game",INDEX('Game Records'!$J:$J,$H376)=""),"Total Players; ","")&amp;IF(AND(LOWER(INDEX('Game Records'!$D:$D,$H376)&amp;"")="finalized",LOWER(INDEX('Game Records'!$L:$L,$H376)&amp;"")&lt;&gt;"yes",INDEX('Game Records'!$U:$U,$H376)&lt;&gt;"Subscription",INDEX('Game Records'!$U:$U,$H376)&lt;&gt;"Free Game",INDEX('Game Records'!$U:$U,$H376)&lt;&gt;"Disqualified — Free Game",INDEX('Game Records'!$K:$K,$H376)=""),"Final Earned; ","")&amp;IF(AND(LOWER(INDEX('Game Records'!$D:$D,$H376)&amp;"")="finalized",INDEX('Game Records'!$U:$U,$H376)&lt;&gt;"Subscription",INDEX('Game Records'!$U:$U,$H376)&lt;&gt;"Free Game",INDEX('Game Records'!$U:$U,$H376)&lt;&gt;"Disqualified — Free Game",OR(INDEX('Game Records'!$L:$L,$H376)="",LOWER(INDEX('Game Records'!$L:$L,$H376)&amp;"")="n/a")),"Disqualified Status; ",""))</x:f>
        <x:v/>
      </x:c>
      <x:c r="G376" s="331" t="str">
        <x:f>IF($H376="","",IFERROR(INDEX('Game Records'!$M:$M,$H376),""))</x:f>
        <x:v/>
      </x:c>
      <x:c r="H376" s="104" t="str">
        <x:f>IF($H375="","",IFERROR(MATCH(1,INDEX((ROW('Game Records'!$U$5:$U$504)&gt;$H375)*(('Game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7" ht="24" customHeight="1">
      <x:c r="A377" s="332" t="str">
        <x:f>IF($H377="","",ROWS($A$5:A377))</x:f>
        <x:v/>
      </x:c>
      <x:c r="B377" s="332" t="str">
        <x:f>IF($H377="","","G-"&amp;TEXT($A377,"0000"))</x:f>
        <x:v/>
      </x:c>
      <x:c r="C377" s="331" t="str">
        <x:f>IF($H377="","",IFERROR(INDEX('Game Records'!$A:$A,$H377),""))</x:f>
        <x:v/>
      </x:c>
      <x:c r="D377" s="331" t="str">
        <x:f>IF($H377="","",IFERROR(INDEX('Game Records'!$U:$U,$H377),""))</x:f>
        <x:v/>
      </x:c>
      <x:c r="E377" s="331" t="str">
        <x:f>IF($H377="","",IF($F377="","No Highlighted Fields","Highlighted Fields Present"))</x:f>
        <x:v/>
      </x:c>
      <x:c r="F377" s="331" t="str">
        <x:f>IF($H377="","",IF(INDEX('Game Records'!$B:$B,$H377)="","Start Date; ","")&amp;IF(INDEX('Game Records'!$C:$C,$H377)="","End Date; ","")&amp;IF(AND(INDEX('Game Records'!$U:$U,$H377)&lt;&gt;"Subscription",INDEX('Game Records'!$U:$U,$H377)&lt;&gt;"Free Game",INDEX('Game Records'!$U:$U,$H377)&lt;&gt;"Disqualified — Free Game",OR(INDEX('Game Records'!$D:$D,$H377)="",LOWER(INDEX('Game Records'!$D:$D,$H377)&amp;"")="n/a")),"Entry Mode; ","")&amp;IF(AND(INDEX('Game Records'!$U:$U,$H377)&lt;&gt;"Subscription",INDEX('Game Records'!$U:$U,$H377)&lt;&gt;"Free Game",INDEX('Game Records'!$U:$U,$H377)&lt;&gt;"Disqualified — Free Game",OR(INDEX('Game Records'!$E:$E,$H377)="",LOWER(INDEX('Game Records'!$E:$E,$H377)&amp;"")="n/a")),"Game Type; ","")&amp;IF(INDEX('Game Records'!$F:$F,$H377)="","Payment Type; ","")&amp;IF(AND(INDEX('Game Records'!$U:$U,$H377)&lt;&gt;"Subscription",INDEX('Game Records'!$U:$U,$H377)&lt;&gt;"Free Game",INDEX('Game Records'!$U:$U,$H377)&lt;&gt;"Disqualified — Free Game",INDEX('Game Records'!$G:$G,$H377)=""),"Gross Pot; ","")&amp;IF(AND(INDEX('Game Records'!$U:$U,$H377)&lt;&gt;"Free Game",INDEX('Game Records'!$U:$U,$H377)&lt;&gt;"Disqualified — Free Game",INDEX('Game Records'!$H:$H,$H377)=""),"Entry Fee; ","")&amp;IF(AND(INDEX('Game Records'!$U:$U,$H377)&lt;&gt;"Subscription",INDEX('Game Records'!$U:$U,$H377)&lt;&gt;"Free Game",INDEX('Game Records'!$U:$U,$H377)&lt;&gt;"Disqualified — Free Game",INDEX('Game Records'!$I:$I,$H377)=""),"Eligible Players; ","")&amp;IF(AND(INDEX('Game Records'!$U:$U,$H377)&lt;&gt;"Subscription",INDEX('Game Records'!$U:$U,$H377)&lt;&gt;"Free Game",INDEX('Game Records'!$U:$U,$H377)&lt;&gt;"Disqualified — Free Game",INDEX('Game Records'!$J:$J,$H377)=""),"Total Players; ","")&amp;IF(AND(LOWER(INDEX('Game Records'!$D:$D,$H377)&amp;"")="finalized",LOWER(INDEX('Game Records'!$L:$L,$H377)&amp;"")&lt;&gt;"yes",INDEX('Game Records'!$U:$U,$H377)&lt;&gt;"Subscription",INDEX('Game Records'!$U:$U,$H377)&lt;&gt;"Free Game",INDEX('Game Records'!$U:$U,$H377)&lt;&gt;"Disqualified — Free Game",INDEX('Game Records'!$K:$K,$H377)=""),"Final Earned; ","")&amp;IF(AND(LOWER(INDEX('Game Records'!$D:$D,$H377)&amp;"")="finalized",INDEX('Game Records'!$U:$U,$H377)&lt;&gt;"Subscription",INDEX('Game Records'!$U:$U,$H377)&lt;&gt;"Free Game",INDEX('Game Records'!$U:$U,$H377)&lt;&gt;"Disqualified — Free Game",OR(INDEX('Game Records'!$L:$L,$H377)="",LOWER(INDEX('Game Records'!$L:$L,$H377)&amp;"")="n/a")),"Disqualified Status; ",""))</x:f>
        <x:v/>
      </x:c>
      <x:c r="G377" s="331" t="str">
        <x:f>IF($H377="","",IFERROR(INDEX('Game Records'!$M:$M,$H377),""))</x:f>
        <x:v/>
      </x:c>
      <x:c r="H377" s="104" t="str">
        <x:f>IF($H376="","",IFERROR(MATCH(1,INDEX((ROW('Game Records'!$U$5:$U$504)&gt;$H376)*(('Game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8" ht="24" customHeight="1">
      <x:c r="A378" s="332" t="str">
        <x:f>IF($H378="","",ROWS($A$5:A378))</x:f>
        <x:v/>
      </x:c>
      <x:c r="B378" s="332" t="str">
        <x:f>IF($H378="","","G-"&amp;TEXT($A378,"0000"))</x:f>
        <x:v/>
      </x:c>
      <x:c r="C378" s="331" t="str">
        <x:f>IF($H378="","",IFERROR(INDEX('Game Records'!$A:$A,$H378),""))</x:f>
        <x:v/>
      </x:c>
      <x:c r="D378" s="331" t="str">
        <x:f>IF($H378="","",IFERROR(INDEX('Game Records'!$U:$U,$H378),""))</x:f>
        <x:v/>
      </x:c>
      <x:c r="E378" s="331" t="str">
        <x:f>IF($H378="","",IF($F378="","No Highlighted Fields","Highlighted Fields Present"))</x:f>
        <x:v/>
      </x:c>
      <x:c r="F378" s="331" t="str">
        <x:f>IF($H378="","",IF(INDEX('Game Records'!$B:$B,$H378)="","Start Date; ","")&amp;IF(INDEX('Game Records'!$C:$C,$H378)="","End Date; ","")&amp;IF(AND(INDEX('Game Records'!$U:$U,$H378)&lt;&gt;"Subscription",INDEX('Game Records'!$U:$U,$H378)&lt;&gt;"Free Game",INDEX('Game Records'!$U:$U,$H378)&lt;&gt;"Disqualified — Free Game",OR(INDEX('Game Records'!$D:$D,$H378)="",LOWER(INDEX('Game Records'!$D:$D,$H378)&amp;"")="n/a")),"Entry Mode; ","")&amp;IF(AND(INDEX('Game Records'!$U:$U,$H378)&lt;&gt;"Subscription",INDEX('Game Records'!$U:$U,$H378)&lt;&gt;"Free Game",INDEX('Game Records'!$U:$U,$H378)&lt;&gt;"Disqualified — Free Game",OR(INDEX('Game Records'!$E:$E,$H378)="",LOWER(INDEX('Game Records'!$E:$E,$H378)&amp;"")="n/a")),"Game Type; ","")&amp;IF(INDEX('Game Records'!$F:$F,$H378)="","Payment Type; ","")&amp;IF(AND(INDEX('Game Records'!$U:$U,$H378)&lt;&gt;"Subscription",INDEX('Game Records'!$U:$U,$H378)&lt;&gt;"Free Game",INDEX('Game Records'!$U:$U,$H378)&lt;&gt;"Disqualified — Free Game",INDEX('Game Records'!$G:$G,$H378)=""),"Gross Pot; ","")&amp;IF(AND(INDEX('Game Records'!$U:$U,$H378)&lt;&gt;"Free Game",INDEX('Game Records'!$U:$U,$H378)&lt;&gt;"Disqualified — Free Game",INDEX('Game Records'!$H:$H,$H378)=""),"Entry Fee; ","")&amp;IF(AND(INDEX('Game Records'!$U:$U,$H378)&lt;&gt;"Subscription",INDEX('Game Records'!$U:$U,$H378)&lt;&gt;"Free Game",INDEX('Game Records'!$U:$U,$H378)&lt;&gt;"Disqualified — Free Game",INDEX('Game Records'!$I:$I,$H378)=""),"Eligible Players; ","")&amp;IF(AND(INDEX('Game Records'!$U:$U,$H378)&lt;&gt;"Subscription",INDEX('Game Records'!$U:$U,$H378)&lt;&gt;"Free Game",INDEX('Game Records'!$U:$U,$H378)&lt;&gt;"Disqualified — Free Game",INDEX('Game Records'!$J:$J,$H378)=""),"Total Players; ","")&amp;IF(AND(LOWER(INDEX('Game Records'!$D:$D,$H378)&amp;"")="finalized",LOWER(INDEX('Game Records'!$L:$L,$H378)&amp;"")&lt;&gt;"yes",INDEX('Game Records'!$U:$U,$H378)&lt;&gt;"Subscription",INDEX('Game Records'!$U:$U,$H378)&lt;&gt;"Free Game",INDEX('Game Records'!$U:$U,$H378)&lt;&gt;"Disqualified — Free Game",INDEX('Game Records'!$K:$K,$H378)=""),"Final Earned; ","")&amp;IF(AND(LOWER(INDEX('Game Records'!$D:$D,$H378)&amp;"")="finalized",INDEX('Game Records'!$U:$U,$H378)&lt;&gt;"Subscription",INDEX('Game Records'!$U:$U,$H378)&lt;&gt;"Free Game",INDEX('Game Records'!$U:$U,$H378)&lt;&gt;"Disqualified — Free Game",OR(INDEX('Game Records'!$L:$L,$H378)="",LOWER(INDEX('Game Records'!$L:$L,$H378)&amp;"")="n/a")),"Disqualified Status; ",""))</x:f>
        <x:v/>
      </x:c>
      <x:c r="G378" s="331" t="str">
        <x:f>IF($H378="","",IFERROR(INDEX('Game Records'!$M:$M,$H378),""))</x:f>
        <x:v/>
      </x:c>
      <x:c r="H378" s="104" t="str">
        <x:f>IF($H377="","",IFERROR(MATCH(1,INDEX((ROW('Game Records'!$U$5:$U$504)&gt;$H377)*(('Game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79" ht="24" customHeight="1">
      <x:c r="A379" s="332" t="str">
        <x:f>IF($H379="","",ROWS($A$5:A379))</x:f>
        <x:v/>
      </x:c>
      <x:c r="B379" s="332" t="str">
        <x:f>IF($H379="","","G-"&amp;TEXT($A379,"0000"))</x:f>
        <x:v/>
      </x:c>
      <x:c r="C379" s="331" t="str">
        <x:f>IF($H379="","",IFERROR(INDEX('Game Records'!$A:$A,$H379),""))</x:f>
        <x:v/>
      </x:c>
      <x:c r="D379" s="331" t="str">
        <x:f>IF($H379="","",IFERROR(INDEX('Game Records'!$U:$U,$H379),""))</x:f>
        <x:v/>
      </x:c>
      <x:c r="E379" s="331" t="str">
        <x:f>IF($H379="","",IF($F379="","No Highlighted Fields","Highlighted Fields Present"))</x:f>
        <x:v/>
      </x:c>
      <x:c r="F379" s="331" t="str">
        <x:f>IF($H379="","",IF(INDEX('Game Records'!$B:$B,$H379)="","Start Date; ","")&amp;IF(INDEX('Game Records'!$C:$C,$H379)="","End Date; ","")&amp;IF(AND(INDEX('Game Records'!$U:$U,$H379)&lt;&gt;"Subscription",INDEX('Game Records'!$U:$U,$H379)&lt;&gt;"Free Game",INDEX('Game Records'!$U:$U,$H379)&lt;&gt;"Disqualified — Free Game",OR(INDEX('Game Records'!$D:$D,$H379)="",LOWER(INDEX('Game Records'!$D:$D,$H379)&amp;"")="n/a")),"Entry Mode; ","")&amp;IF(AND(INDEX('Game Records'!$U:$U,$H379)&lt;&gt;"Subscription",INDEX('Game Records'!$U:$U,$H379)&lt;&gt;"Free Game",INDEX('Game Records'!$U:$U,$H379)&lt;&gt;"Disqualified — Free Game",OR(INDEX('Game Records'!$E:$E,$H379)="",LOWER(INDEX('Game Records'!$E:$E,$H379)&amp;"")="n/a")),"Game Type; ","")&amp;IF(INDEX('Game Records'!$F:$F,$H379)="","Payment Type; ","")&amp;IF(AND(INDEX('Game Records'!$U:$U,$H379)&lt;&gt;"Subscription",INDEX('Game Records'!$U:$U,$H379)&lt;&gt;"Free Game",INDEX('Game Records'!$U:$U,$H379)&lt;&gt;"Disqualified — Free Game",INDEX('Game Records'!$G:$G,$H379)=""),"Gross Pot; ","")&amp;IF(AND(INDEX('Game Records'!$U:$U,$H379)&lt;&gt;"Free Game",INDEX('Game Records'!$U:$U,$H379)&lt;&gt;"Disqualified — Free Game",INDEX('Game Records'!$H:$H,$H379)=""),"Entry Fee; ","")&amp;IF(AND(INDEX('Game Records'!$U:$U,$H379)&lt;&gt;"Subscription",INDEX('Game Records'!$U:$U,$H379)&lt;&gt;"Free Game",INDEX('Game Records'!$U:$U,$H379)&lt;&gt;"Disqualified — Free Game",INDEX('Game Records'!$I:$I,$H379)=""),"Eligible Players; ","")&amp;IF(AND(INDEX('Game Records'!$U:$U,$H379)&lt;&gt;"Subscription",INDEX('Game Records'!$U:$U,$H379)&lt;&gt;"Free Game",INDEX('Game Records'!$U:$U,$H379)&lt;&gt;"Disqualified — Free Game",INDEX('Game Records'!$J:$J,$H379)=""),"Total Players; ","")&amp;IF(AND(LOWER(INDEX('Game Records'!$D:$D,$H379)&amp;"")="finalized",LOWER(INDEX('Game Records'!$L:$L,$H379)&amp;"")&lt;&gt;"yes",INDEX('Game Records'!$U:$U,$H379)&lt;&gt;"Subscription",INDEX('Game Records'!$U:$U,$H379)&lt;&gt;"Free Game",INDEX('Game Records'!$U:$U,$H379)&lt;&gt;"Disqualified — Free Game",INDEX('Game Records'!$K:$K,$H379)=""),"Final Earned; ","")&amp;IF(AND(LOWER(INDEX('Game Records'!$D:$D,$H379)&amp;"")="finalized",INDEX('Game Records'!$U:$U,$H379)&lt;&gt;"Subscription",INDEX('Game Records'!$U:$U,$H379)&lt;&gt;"Free Game",INDEX('Game Records'!$U:$U,$H379)&lt;&gt;"Disqualified — Free Game",OR(INDEX('Game Records'!$L:$L,$H379)="",LOWER(INDEX('Game Records'!$L:$L,$H379)&amp;"")="n/a")),"Disqualified Status; ",""))</x:f>
        <x:v/>
      </x:c>
      <x:c r="G379" s="331" t="str">
        <x:f>IF($H379="","",IFERROR(INDEX('Game Records'!$M:$M,$H379),""))</x:f>
        <x:v/>
      </x:c>
      <x:c r="H379" s="104" t="str">
        <x:f>IF($H378="","",IFERROR(MATCH(1,INDEX((ROW('Game Records'!$U$5:$U$504)&gt;$H378)*(('Game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0" ht="24" customHeight="1">
      <x:c r="A380" s="332" t="str">
        <x:f>IF($H380="","",ROWS($A$5:A380))</x:f>
        <x:v/>
      </x:c>
      <x:c r="B380" s="332" t="str">
        <x:f>IF($H380="","","G-"&amp;TEXT($A380,"0000"))</x:f>
        <x:v/>
      </x:c>
      <x:c r="C380" s="331" t="str">
        <x:f>IF($H380="","",IFERROR(INDEX('Game Records'!$A:$A,$H380),""))</x:f>
        <x:v/>
      </x:c>
      <x:c r="D380" s="331" t="str">
        <x:f>IF($H380="","",IFERROR(INDEX('Game Records'!$U:$U,$H380),""))</x:f>
        <x:v/>
      </x:c>
      <x:c r="E380" s="331" t="str">
        <x:f>IF($H380="","",IF($F380="","No Highlighted Fields","Highlighted Fields Present"))</x:f>
        <x:v/>
      </x:c>
      <x:c r="F380" s="331" t="str">
        <x:f>IF($H380="","",IF(INDEX('Game Records'!$B:$B,$H380)="","Start Date; ","")&amp;IF(INDEX('Game Records'!$C:$C,$H380)="","End Date; ","")&amp;IF(AND(INDEX('Game Records'!$U:$U,$H380)&lt;&gt;"Subscription",INDEX('Game Records'!$U:$U,$H380)&lt;&gt;"Free Game",INDEX('Game Records'!$U:$U,$H380)&lt;&gt;"Disqualified — Free Game",OR(INDEX('Game Records'!$D:$D,$H380)="",LOWER(INDEX('Game Records'!$D:$D,$H380)&amp;"")="n/a")),"Entry Mode; ","")&amp;IF(AND(INDEX('Game Records'!$U:$U,$H380)&lt;&gt;"Subscription",INDEX('Game Records'!$U:$U,$H380)&lt;&gt;"Free Game",INDEX('Game Records'!$U:$U,$H380)&lt;&gt;"Disqualified — Free Game",OR(INDEX('Game Records'!$E:$E,$H380)="",LOWER(INDEX('Game Records'!$E:$E,$H380)&amp;"")="n/a")),"Game Type; ","")&amp;IF(INDEX('Game Records'!$F:$F,$H380)="","Payment Type; ","")&amp;IF(AND(INDEX('Game Records'!$U:$U,$H380)&lt;&gt;"Subscription",INDEX('Game Records'!$U:$U,$H380)&lt;&gt;"Free Game",INDEX('Game Records'!$U:$U,$H380)&lt;&gt;"Disqualified — Free Game",INDEX('Game Records'!$G:$G,$H380)=""),"Gross Pot; ","")&amp;IF(AND(INDEX('Game Records'!$U:$U,$H380)&lt;&gt;"Free Game",INDEX('Game Records'!$U:$U,$H380)&lt;&gt;"Disqualified — Free Game",INDEX('Game Records'!$H:$H,$H380)=""),"Entry Fee; ","")&amp;IF(AND(INDEX('Game Records'!$U:$U,$H380)&lt;&gt;"Subscription",INDEX('Game Records'!$U:$U,$H380)&lt;&gt;"Free Game",INDEX('Game Records'!$U:$U,$H380)&lt;&gt;"Disqualified — Free Game",INDEX('Game Records'!$I:$I,$H380)=""),"Eligible Players; ","")&amp;IF(AND(INDEX('Game Records'!$U:$U,$H380)&lt;&gt;"Subscription",INDEX('Game Records'!$U:$U,$H380)&lt;&gt;"Free Game",INDEX('Game Records'!$U:$U,$H380)&lt;&gt;"Disqualified — Free Game",INDEX('Game Records'!$J:$J,$H380)=""),"Total Players; ","")&amp;IF(AND(LOWER(INDEX('Game Records'!$D:$D,$H380)&amp;"")="finalized",LOWER(INDEX('Game Records'!$L:$L,$H380)&amp;"")&lt;&gt;"yes",INDEX('Game Records'!$U:$U,$H380)&lt;&gt;"Subscription",INDEX('Game Records'!$U:$U,$H380)&lt;&gt;"Free Game",INDEX('Game Records'!$U:$U,$H380)&lt;&gt;"Disqualified — Free Game",INDEX('Game Records'!$K:$K,$H380)=""),"Final Earned; ","")&amp;IF(AND(LOWER(INDEX('Game Records'!$D:$D,$H380)&amp;"")="finalized",INDEX('Game Records'!$U:$U,$H380)&lt;&gt;"Subscription",INDEX('Game Records'!$U:$U,$H380)&lt;&gt;"Free Game",INDEX('Game Records'!$U:$U,$H380)&lt;&gt;"Disqualified — Free Game",OR(INDEX('Game Records'!$L:$L,$H380)="",LOWER(INDEX('Game Records'!$L:$L,$H380)&amp;"")="n/a")),"Disqualified Status; ",""))</x:f>
        <x:v/>
      </x:c>
      <x:c r="G380" s="331" t="str">
        <x:f>IF($H380="","",IFERROR(INDEX('Game Records'!$M:$M,$H380),""))</x:f>
        <x:v/>
      </x:c>
      <x:c r="H380" s="104" t="str">
        <x:f>IF($H379="","",IFERROR(MATCH(1,INDEX((ROW('Game Records'!$U$5:$U$504)&gt;$H379)*(('Game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1" ht="24" customHeight="1">
      <x:c r="A381" s="332" t="str">
        <x:f>IF($H381="","",ROWS($A$5:A381))</x:f>
        <x:v/>
      </x:c>
      <x:c r="B381" s="332" t="str">
        <x:f>IF($H381="","","G-"&amp;TEXT($A381,"0000"))</x:f>
        <x:v/>
      </x:c>
      <x:c r="C381" s="331" t="str">
        <x:f>IF($H381="","",IFERROR(INDEX('Game Records'!$A:$A,$H381),""))</x:f>
        <x:v/>
      </x:c>
      <x:c r="D381" s="331" t="str">
        <x:f>IF($H381="","",IFERROR(INDEX('Game Records'!$U:$U,$H381),""))</x:f>
        <x:v/>
      </x:c>
      <x:c r="E381" s="331" t="str">
        <x:f>IF($H381="","",IF($F381="","No Highlighted Fields","Highlighted Fields Present"))</x:f>
        <x:v/>
      </x:c>
      <x:c r="F381" s="331" t="str">
        <x:f>IF($H381="","",IF(INDEX('Game Records'!$B:$B,$H381)="","Start Date; ","")&amp;IF(INDEX('Game Records'!$C:$C,$H381)="","End Date; ","")&amp;IF(AND(INDEX('Game Records'!$U:$U,$H381)&lt;&gt;"Subscription",INDEX('Game Records'!$U:$U,$H381)&lt;&gt;"Free Game",INDEX('Game Records'!$U:$U,$H381)&lt;&gt;"Disqualified — Free Game",OR(INDEX('Game Records'!$D:$D,$H381)="",LOWER(INDEX('Game Records'!$D:$D,$H381)&amp;"")="n/a")),"Entry Mode; ","")&amp;IF(AND(INDEX('Game Records'!$U:$U,$H381)&lt;&gt;"Subscription",INDEX('Game Records'!$U:$U,$H381)&lt;&gt;"Free Game",INDEX('Game Records'!$U:$U,$H381)&lt;&gt;"Disqualified — Free Game",OR(INDEX('Game Records'!$E:$E,$H381)="",LOWER(INDEX('Game Records'!$E:$E,$H381)&amp;"")="n/a")),"Game Type; ","")&amp;IF(INDEX('Game Records'!$F:$F,$H381)="","Payment Type; ","")&amp;IF(AND(INDEX('Game Records'!$U:$U,$H381)&lt;&gt;"Subscription",INDEX('Game Records'!$U:$U,$H381)&lt;&gt;"Free Game",INDEX('Game Records'!$U:$U,$H381)&lt;&gt;"Disqualified — Free Game",INDEX('Game Records'!$G:$G,$H381)=""),"Gross Pot; ","")&amp;IF(AND(INDEX('Game Records'!$U:$U,$H381)&lt;&gt;"Free Game",INDEX('Game Records'!$U:$U,$H381)&lt;&gt;"Disqualified — Free Game",INDEX('Game Records'!$H:$H,$H381)=""),"Entry Fee; ","")&amp;IF(AND(INDEX('Game Records'!$U:$U,$H381)&lt;&gt;"Subscription",INDEX('Game Records'!$U:$U,$H381)&lt;&gt;"Free Game",INDEX('Game Records'!$U:$U,$H381)&lt;&gt;"Disqualified — Free Game",INDEX('Game Records'!$I:$I,$H381)=""),"Eligible Players; ","")&amp;IF(AND(INDEX('Game Records'!$U:$U,$H381)&lt;&gt;"Subscription",INDEX('Game Records'!$U:$U,$H381)&lt;&gt;"Free Game",INDEX('Game Records'!$U:$U,$H381)&lt;&gt;"Disqualified — Free Game",INDEX('Game Records'!$J:$J,$H381)=""),"Total Players; ","")&amp;IF(AND(LOWER(INDEX('Game Records'!$D:$D,$H381)&amp;"")="finalized",LOWER(INDEX('Game Records'!$L:$L,$H381)&amp;"")&lt;&gt;"yes",INDEX('Game Records'!$U:$U,$H381)&lt;&gt;"Subscription",INDEX('Game Records'!$U:$U,$H381)&lt;&gt;"Free Game",INDEX('Game Records'!$U:$U,$H381)&lt;&gt;"Disqualified — Free Game",INDEX('Game Records'!$K:$K,$H381)=""),"Final Earned; ","")&amp;IF(AND(LOWER(INDEX('Game Records'!$D:$D,$H381)&amp;"")="finalized",INDEX('Game Records'!$U:$U,$H381)&lt;&gt;"Subscription",INDEX('Game Records'!$U:$U,$H381)&lt;&gt;"Free Game",INDEX('Game Records'!$U:$U,$H381)&lt;&gt;"Disqualified — Free Game",OR(INDEX('Game Records'!$L:$L,$H381)="",LOWER(INDEX('Game Records'!$L:$L,$H381)&amp;"")="n/a")),"Disqualified Status; ",""))</x:f>
        <x:v/>
      </x:c>
      <x:c r="G381" s="331" t="str">
        <x:f>IF($H381="","",IFERROR(INDEX('Game Records'!$M:$M,$H381),""))</x:f>
        <x:v/>
      </x:c>
      <x:c r="H381" s="104" t="str">
        <x:f>IF($H380="","",IFERROR(MATCH(1,INDEX((ROW('Game Records'!$U$5:$U$504)&gt;$H380)*(('Game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2" ht="24" customHeight="1">
      <x:c r="A382" s="332" t="str">
        <x:f>IF($H382="","",ROWS($A$5:A382))</x:f>
        <x:v/>
      </x:c>
      <x:c r="B382" s="332" t="str">
        <x:f>IF($H382="","","G-"&amp;TEXT($A382,"0000"))</x:f>
        <x:v/>
      </x:c>
      <x:c r="C382" s="331" t="str">
        <x:f>IF($H382="","",IFERROR(INDEX('Game Records'!$A:$A,$H382),""))</x:f>
        <x:v/>
      </x:c>
      <x:c r="D382" s="331" t="str">
        <x:f>IF($H382="","",IFERROR(INDEX('Game Records'!$U:$U,$H382),""))</x:f>
        <x:v/>
      </x:c>
      <x:c r="E382" s="331" t="str">
        <x:f>IF($H382="","",IF($F382="","No Highlighted Fields","Highlighted Fields Present"))</x:f>
        <x:v/>
      </x:c>
      <x:c r="F382" s="331" t="str">
        <x:f>IF($H382="","",IF(INDEX('Game Records'!$B:$B,$H382)="","Start Date; ","")&amp;IF(INDEX('Game Records'!$C:$C,$H382)="","End Date; ","")&amp;IF(AND(INDEX('Game Records'!$U:$U,$H382)&lt;&gt;"Subscription",INDEX('Game Records'!$U:$U,$H382)&lt;&gt;"Free Game",INDEX('Game Records'!$U:$U,$H382)&lt;&gt;"Disqualified — Free Game",OR(INDEX('Game Records'!$D:$D,$H382)="",LOWER(INDEX('Game Records'!$D:$D,$H382)&amp;"")="n/a")),"Entry Mode; ","")&amp;IF(AND(INDEX('Game Records'!$U:$U,$H382)&lt;&gt;"Subscription",INDEX('Game Records'!$U:$U,$H382)&lt;&gt;"Free Game",INDEX('Game Records'!$U:$U,$H382)&lt;&gt;"Disqualified — Free Game",OR(INDEX('Game Records'!$E:$E,$H382)="",LOWER(INDEX('Game Records'!$E:$E,$H382)&amp;"")="n/a")),"Game Type; ","")&amp;IF(INDEX('Game Records'!$F:$F,$H382)="","Payment Type; ","")&amp;IF(AND(INDEX('Game Records'!$U:$U,$H382)&lt;&gt;"Subscription",INDEX('Game Records'!$U:$U,$H382)&lt;&gt;"Free Game",INDEX('Game Records'!$U:$U,$H382)&lt;&gt;"Disqualified — Free Game",INDEX('Game Records'!$G:$G,$H382)=""),"Gross Pot; ","")&amp;IF(AND(INDEX('Game Records'!$U:$U,$H382)&lt;&gt;"Free Game",INDEX('Game Records'!$U:$U,$H382)&lt;&gt;"Disqualified — Free Game",INDEX('Game Records'!$H:$H,$H382)=""),"Entry Fee; ","")&amp;IF(AND(INDEX('Game Records'!$U:$U,$H382)&lt;&gt;"Subscription",INDEX('Game Records'!$U:$U,$H382)&lt;&gt;"Free Game",INDEX('Game Records'!$U:$U,$H382)&lt;&gt;"Disqualified — Free Game",INDEX('Game Records'!$I:$I,$H382)=""),"Eligible Players; ","")&amp;IF(AND(INDEX('Game Records'!$U:$U,$H382)&lt;&gt;"Subscription",INDEX('Game Records'!$U:$U,$H382)&lt;&gt;"Free Game",INDEX('Game Records'!$U:$U,$H382)&lt;&gt;"Disqualified — Free Game",INDEX('Game Records'!$J:$J,$H382)=""),"Total Players; ","")&amp;IF(AND(LOWER(INDEX('Game Records'!$D:$D,$H382)&amp;"")="finalized",LOWER(INDEX('Game Records'!$L:$L,$H382)&amp;"")&lt;&gt;"yes",INDEX('Game Records'!$U:$U,$H382)&lt;&gt;"Subscription",INDEX('Game Records'!$U:$U,$H382)&lt;&gt;"Free Game",INDEX('Game Records'!$U:$U,$H382)&lt;&gt;"Disqualified — Free Game",INDEX('Game Records'!$K:$K,$H382)=""),"Final Earned; ","")&amp;IF(AND(LOWER(INDEX('Game Records'!$D:$D,$H382)&amp;"")="finalized",INDEX('Game Records'!$U:$U,$H382)&lt;&gt;"Subscription",INDEX('Game Records'!$U:$U,$H382)&lt;&gt;"Free Game",INDEX('Game Records'!$U:$U,$H382)&lt;&gt;"Disqualified — Free Game",OR(INDEX('Game Records'!$L:$L,$H382)="",LOWER(INDEX('Game Records'!$L:$L,$H382)&amp;"")="n/a")),"Disqualified Status; ",""))</x:f>
        <x:v/>
      </x:c>
      <x:c r="G382" s="331" t="str">
        <x:f>IF($H382="","",IFERROR(INDEX('Game Records'!$M:$M,$H382),""))</x:f>
        <x:v/>
      </x:c>
      <x:c r="H382" s="104" t="str">
        <x:f>IF($H381="","",IFERROR(MATCH(1,INDEX((ROW('Game Records'!$U$5:$U$504)&gt;$H381)*(('Game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3" ht="24" customHeight="1">
      <x:c r="A383" s="332" t="str">
        <x:f>IF($H383="","",ROWS($A$5:A383))</x:f>
        <x:v/>
      </x:c>
      <x:c r="B383" s="332" t="str">
        <x:f>IF($H383="","","G-"&amp;TEXT($A383,"0000"))</x:f>
        <x:v/>
      </x:c>
      <x:c r="C383" s="331" t="str">
        <x:f>IF($H383="","",IFERROR(INDEX('Game Records'!$A:$A,$H383),""))</x:f>
        <x:v/>
      </x:c>
      <x:c r="D383" s="331" t="str">
        <x:f>IF($H383="","",IFERROR(INDEX('Game Records'!$U:$U,$H383),""))</x:f>
        <x:v/>
      </x:c>
      <x:c r="E383" s="331" t="str">
        <x:f>IF($H383="","",IF($F383="","No Highlighted Fields","Highlighted Fields Present"))</x:f>
        <x:v/>
      </x:c>
      <x:c r="F383" s="331" t="str">
        <x:f>IF($H383="","",IF(INDEX('Game Records'!$B:$B,$H383)="","Start Date; ","")&amp;IF(INDEX('Game Records'!$C:$C,$H383)="","End Date; ","")&amp;IF(AND(INDEX('Game Records'!$U:$U,$H383)&lt;&gt;"Subscription",INDEX('Game Records'!$U:$U,$H383)&lt;&gt;"Free Game",INDEX('Game Records'!$U:$U,$H383)&lt;&gt;"Disqualified — Free Game",OR(INDEX('Game Records'!$D:$D,$H383)="",LOWER(INDEX('Game Records'!$D:$D,$H383)&amp;"")="n/a")),"Entry Mode; ","")&amp;IF(AND(INDEX('Game Records'!$U:$U,$H383)&lt;&gt;"Subscription",INDEX('Game Records'!$U:$U,$H383)&lt;&gt;"Free Game",INDEX('Game Records'!$U:$U,$H383)&lt;&gt;"Disqualified — Free Game",OR(INDEX('Game Records'!$E:$E,$H383)="",LOWER(INDEX('Game Records'!$E:$E,$H383)&amp;"")="n/a")),"Game Type; ","")&amp;IF(INDEX('Game Records'!$F:$F,$H383)="","Payment Type; ","")&amp;IF(AND(INDEX('Game Records'!$U:$U,$H383)&lt;&gt;"Subscription",INDEX('Game Records'!$U:$U,$H383)&lt;&gt;"Free Game",INDEX('Game Records'!$U:$U,$H383)&lt;&gt;"Disqualified — Free Game",INDEX('Game Records'!$G:$G,$H383)=""),"Gross Pot; ","")&amp;IF(AND(INDEX('Game Records'!$U:$U,$H383)&lt;&gt;"Free Game",INDEX('Game Records'!$U:$U,$H383)&lt;&gt;"Disqualified — Free Game",INDEX('Game Records'!$H:$H,$H383)=""),"Entry Fee; ","")&amp;IF(AND(INDEX('Game Records'!$U:$U,$H383)&lt;&gt;"Subscription",INDEX('Game Records'!$U:$U,$H383)&lt;&gt;"Free Game",INDEX('Game Records'!$U:$U,$H383)&lt;&gt;"Disqualified — Free Game",INDEX('Game Records'!$I:$I,$H383)=""),"Eligible Players; ","")&amp;IF(AND(INDEX('Game Records'!$U:$U,$H383)&lt;&gt;"Subscription",INDEX('Game Records'!$U:$U,$H383)&lt;&gt;"Free Game",INDEX('Game Records'!$U:$U,$H383)&lt;&gt;"Disqualified — Free Game",INDEX('Game Records'!$J:$J,$H383)=""),"Total Players; ","")&amp;IF(AND(LOWER(INDEX('Game Records'!$D:$D,$H383)&amp;"")="finalized",LOWER(INDEX('Game Records'!$L:$L,$H383)&amp;"")&lt;&gt;"yes",INDEX('Game Records'!$U:$U,$H383)&lt;&gt;"Subscription",INDEX('Game Records'!$U:$U,$H383)&lt;&gt;"Free Game",INDEX('Game Records'!$U:$U,$H383)&lt;&gt;"Disqualified — Free Game",INDEX('Game Records'!$K:$K,$H383)=""),"Final Earned; ","")&amp;IF(AND(LOWER(INDEX('Game Records'!$D:$D,$H383)&amp;"")="finalized",INDEX('Game Records'!$U:$U,$H383)&lt;&gt;"Subscription",INDEX('Game Records'!$U:$U,$H383)&lt;&gt;"Free Game",INDEX('Game Records'!$U:$U,$H383)&lt;&gt;"Disqualified — Free Game",OR(INDEX('Game Records'!$L:$L,$H383)="",LOWER(INDEX('Game Records'!$L:$L,$H383)&amp;"")="n/a")),"Disqualified Status; ",""))</x:f>
        <x:v/>
      </x:c>
      <x:c r="G383" s="331" t="str">
        <x:f>IF($H383="","",IFERROR(INDEX('Game Records'!$M:$M,$H383),""))</x:f>
        <x:v/>
      </x:c>
      <x:c r="H383" s="104" t="str">
        <x:f>IF($H382="","",IFERROR(MATCH(1,INDEX((ROW('Game Records'!$U$5:$U$504)&gt;$H382)*(('Game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4" ht="24" customHeight="1">
      <x:c r="A384" s="332" t="str">
        <x:f>IF($H384="","",ROWS($A$5:A384))</x:f>
        <x:v/>
      </x:c>
      <x:c r="B384" s="332" t="str">
        <x:f>IF($H384="","","G-"&amp;TEXT($A384,"0000"))</x:f>
        <x:v/>
      </x:c>
      <x:c r="C384" s="331" t="str">
        <x:f>IF($H384="","",IFERROR(INDEX('Game Records'!$A:$A,$H384),""))</x:f>
        <x:v/>
      </x:c>
      <x:c r="D384" s="331" t="str">
        <x:f>IF($H384="","",IFERROR(INDEX('Game Records'!$U:$U,$H384),""))</x:f>
        <x:v/>
      </x:c>
      <x:c r="E384" s="331" t="str">
        <x:f>IF($H384="","",IF($F384="","No Highlighted Fields","Highlighted Fields Present"))</x:f>
        <x:v/>
      </x:c>
      <x:c r="F384" s="331" t="str">
        <x:f>IF($H384="","",IF(INDEX('Game Records'!$B:$B,$H384)="","Start Date; ","")&amp;IF(INDEX('Game Records'!$C:$C,$H384)="","End Date; ","")&amp;IF(AND(INDEX('Game Records'!$U:$U,$H384)&lt;&gt;"Subscription",INDEX('Game Records'!$U:$U,$H384)&lt;&gt;"Free Game",INDEX('Game Records'!$U:$U,$H384)&lt;&gt;"Disqualified — Free Game",OR(INDEX('Game Records'!$D:$D,$H384)="",LOWER(INDEX('Game Records'!$D:$D,$H384)&amp;"")="n/a")),"Entry Mode; ","")&amp;IF(AND(INDEX('Game Records'!$U:$U,$H384)&lt;&gt;"Subscription",INDEX('Game Records'!$U:$U,$H384)&lt;&gt;"Free Game",INDEX('Game Records'!$U:$U,$H384)&lt;&gt;"Disqualified — Free Game",OR(INDEX('Game Records'!$E:$E,$H384)="",LOWER(INDEX('Game Records'!$E:$E,$H384)&amp;"")="n/a")),"Game Type; ","")&amp;IF(INDEX('Game Records'!$F:$F,$H384)="","Payment Type; ","")&amp;IF(AND(INDEX('Game Records'!$U:$U,$H384)&lt;&gt;"Subscription",INDEX('Game Records'!$U:$U,$H384)&lt;&gt;"Free Game",INDEX('Game Records'!$U:$U,$H384)&lt;&gt;"Disqualified — Free Game",INDEX('Game Records'!$G:$G,$H384)=""),"Gross Pot; ","")&amp;IF(AND(INDEX('Game Records'!$U:$U,$H384)&lt;&gt;"Free Game",INDEX('Game Records'!$U:$U,$H384)&lt;&gt;"Disqualified — Free Game",INDEX('Game Records'!$H:$H,$H384)=""),"Entry Fee; ","")&amp;IF(AND(INDEX('Game Records'!$U:$U,$H384)&lt;&gt;"Subscription",INDEX('Game Records'!$U:$U,$H384)&lt;&gt;"Free Game",INDEX('Game Records'!$U:$U,$H384)&lt;&gt;"Disqualified — Free Game",INDEX('Game Records'!$I:$I,$H384)=""),"Eligible Players; ","")&amp;IF(AND(INDEX('Game Records'!$U:$U,$H384)&lt;&gt;"Subscription",INDEX('Game Records'!$U:$U,$H384)&lt;&gt;"Free Game",INDEX('Game Records'!$U:$U,$H384)&lt;&gt;"Disqualified — Free Game",INDEX('Game Records'!$J:$J,$H384)=""),"Total Players; ","")&amp;IF(AND(LOWER(INDEX('Game Records'!$D:$D,$H384)&amp;"")="finalized",LOWER(INDEX('Game Records'!$L:$L,$H384)&amp;"")&lt;&gt;"yes",INDEX('Game Records'!$U:$U,$H384)&lt;&gt;"Subscription",INDEX('Game Records'!$U:$U,$H384)&lt;&gt;"Free Game",INDEX('Game Records'!$U:$U,$H384)&lt;&gt;"Disqualified — Free Game",INDEX('Game Records'!$K:$K,$H384)=""),"Final Earned; ","")&amp;IF(AND(LOWER(INDEX('Game Records'!$D:$D,$H384)&amp;"")="finalized",INDEX('Game Records'!$U:$U,$H384)&lt;&gt;"Subscription",INDEX('Game Records'!$U:$U,$H384)&lt;&gt;"Free Game",INDEX('Game Records'!$U:$U,$H384)&lt;&gt;"Disqualified — Free Game",OR(INDEX('Game Records'!$L:$L,$H384)="",LOWER(INDEX('Game Records'!$L:$L,$H384)&amp;"")="n/a")),"Disqualified Status; ",""))</x:f>
        <x:v/>
      </x:c>
      <x:c r="G384" s="331" t="str">
        <x:f>IF($H384="","",IFERROR(INDEX('Game Records'!$M:$M,$H384),""))</x:f>
        <x:v/>
      </x:c>
      <x:c r="H384" s="104" t="str">
        <x:f>IF($H383="","",IFERROR(MATCH(1,INDEX((ROW('Game Records'!$U$5:$U$504)&gt;$H383)*(('Game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5" ht="24" customHeight="1">
      <x:c r="A385" s="332" t="str">
        <x:f>IF($H385="","",ROWS($A$5:A385))</x:f>
        <x:v/>
      </x:c>
      <x:c r="B385" s="332" t="str">
        <x:f>IF($H385="","","G-"&amp;TEXT($A385,"0000"))</x:f>
        <x:v/>
      </x:c>
      <x:c r="C385" s="331" t="str">
        <x:f>IF($H385="","",IFERROR(INDEX('Game Records'!$A:$A,$H385),""))</x:f>
        <x:v/>
      </x:c>
      <x:c r="D385" s="331" t="str">
        <x:f>IF($H385="","",IFERROR(INDEX('Game Records'!$U:$U,$H385),""))</x:f>
        <x:v/>
      </x:c>
      <x:c r="E385" s="331" t="str">
        <x:f>IF($H385="","",IF($F385="","No Highlighted Fields","Highlighted Fields Present"))</x:f>
        <x:v/>
      </x:c>
      <x:c r="F385" s="331" t="str">
        <x:f>IF($H385="","",IF(INDEX('Game Records'!$B:$B,$H385)="","Start Date; ","")&amp;IF(INDEX('Game Records'!$C:$C,$H385)="","End Date; ","")&amp;IF(AND(INDEX('Game Records'!$U:$U,$H385)&lt;&gt;"Subscription",INDEX('Game Records'!$U:$U,$H385)&lt;&gt;"Free Game",INDEX('Game Records'!$U:$U,$H385)&lt;&gt;"Disqualified — Free Game",OR(INDEX('Game Records'!$D:$D,$H385)="",LOWER(INDEX('Game Records'!$D:$D,$H385)&amp;"")="n/a")),"Entry Mode; ","")&amp;IF(AND(INDEX('Game Records'!$U:$U,$H385)&lt;&gt;"Subscription",INDEX('Game Records'!$U:$U,$H385)&lt;&gt;"Free Game",INDEX('Game Records'!$U:$U,$H385)&lt;&gt;"Disqualified — Free Game",OR(INDEX('Game Records'!$E:$E,$H385)="",LOWER(INDEX('Game Records'!$E:$E,$H385)&amp;"")="n/a")),"Game Type; ","")&amp;IF(INDEX('Game Records'!$F:$F,$H385)="","Payment Type; ","")&amp;IF(AND(INDEX('Game Records'!$U:$U,$H385)&lt;&gt;"Subscription",INDEX('Game Records'!$U:$U,$H385)&lt;&gt;"Free Game",INDEX('Game Records'!$U:$U,$H385)&lt;&gt;"Disqualified — Free Game",INDEX('Game Records'!$G:$G,$H385)=""),"Gross Pot; ","")&amp;IF(AND(INDEX('Game Records'!$U:$U,$H385)&lt;&gt;"Free Game",INDEX('Game Records'!$U:$U,$H385)&lt;&gt;"Disqualified — Free Game",INDEX('Game Records'!$H:$H,$H385)=""),"Entry Fee; ","")&amp;IF(AND(INDEX('Game Records'!$U:$U,$H385)&lt;&gt;"Subscription",INDEX('Game Records'!$U:$U,$H385)&lt;&gt;"Free Game",INDEX('Game Records'!$U:$U,$H385)&lt;&gt;"Disqualified — Free Game",INDEX('Game Records'!$I:$I,$H385)=""),"Eligible Players; ","")&amp;IF(AND(INDEX('Game Records'!$U:$U,$H385)&lt;&gt;"Subscription",INDEX('Game Records'!$U:$U,$H385)&lt;&gt;"Free Game",INDEX('Game Records'!$U:$U,$H385)&lt;&gt;"Disqualified — Free Game",INDEX('Game Records'!$J:$J,$H385)=""),"Total Players; ","")&amp;IF(AND(LOWER(INDEX('Game Records'!$D:$D,$H385)&amp;"")="finalized",LOWER(INDEX('Game Records'!$L:$L,$H385)&amp;"")&lt;&gt;"yes",INDEX('Game Records'!$U:$U,$H385)&lt;&gt;"Subscription",INDEX('Game Records'!$U:$U,$H385)&lt;&gt;"Free Game",INDEX('Game Records'!$U:$U,$H385)&lt;&gt;"Disqualified — Free Game",INDEX('Game Records'!$K:$K,$H385)=""),"Final Earned; ","")&amp;IF(AND(LOWER(INDEX('Game Records'!$D:$D,$H385)&amp;"")="finalized",INDEX('Game Records'!$U:$U,$H385)&lt;&gt;"Subscription",INDEX('Game Records'!$U:$U,$H385)&lt;&gt;"Free Game",INDEX('Game Records'!$U:$U,$H385)&lt;&gt;"Disqualified — Free Game",OR(INDEX('Game Records'!$L:$L,$H385)="",LOWER(INDEX('Game Records'!$L:$L,$H385)&amp;"")="n/a")),"Disqualified Status; ",""))</x:f>
        <x:v/>
      </x:c>
      <x:c r="G385" s="331" t="str">
        <x:f>IF($H385="","",IFERROR(INDEX('Game Records'!$M:$M,$H385),""))</x:f>
        <x:v/>
      </x:c>
      <x:c r="H385" s="104" t="str">
        <x:f>IF($H384="","",IFERROR(MATCH(1,INDEX((ROW('Game Records'!$U$5:$U$504)&gt;$H384)*(('Game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6" ht="24" customHeight="1">
      <x:c r="A386" s="332" t="str">
        <x:f>IF($H386="","",ROWS($A$5:A386))</x:f>
        <x:v/>
      </x:c>
      <x:c r="B386" s="332" t="str">
        <x:f>IF($H386="","","G-"&amp;TEXT($A386,"0000"))</x:f>
        <x:v/>
      </x:c>
      <x:c r="C386" s="331" t="str">
        <x:f>IF($H386="","",IFERROR(INDEX('Game Records'!$A:$A,$H386),""))</x:f>
        <x:v/>
      </x:c>
      <x:c r="D386" s="331" t="str">
        <x:f>IF($H386="","",IFERROR(INDEX('Game Records'!$U:$U,$H386),""))</x:f>
        <x:v/>
      </x:c>
      <x:c r="E386" s="331" t="str">
        <x:f>IF($H386="","",IF($F386="","No Highlighted Fields","Highlighted Fields Present"))</x:f>
        <x:v/>
      </x:c>
      <x:c r="F386" s="331" t="str">
        <x:f>IF($H386="","",IF(INDEX('Game Records'!$B:$B,$H386)="","Start Date; ","")&amp;IF(INDEX('Game Records'!$C:$C,$H386)="","End Date; ","")&amp;IF(AND(INDEX('Game Records'!$U:$U,$H386)&lt;&gt;"Subscription",INDEX('Game Records'!$U:$U,$H386)&lt;&gt;"Free Game",INDEX('Game Records'!$U:$U,$H386)&lt;&gt;"Disqualified — Free Game",OR(INDEX('Game Records'!$D:$D,$H386)="",LOWER(INDEX('Game Records'!$D:$D,$H386)&amp;"")="n/a")),"Entry Mode; ","")&amp;IF(AND(INDEX('Game Records'!$U:$U,$H386)&lt;&gt;"Subscription",INDEX('Game Records'!$U:$U,$H386)&lt;&gt;"Free Game",INDEX('Game Records'!$U:$U,$H386)&lt;&gt;"Disqualified — Free Game",OR(INDEX('Game Records'!$E:$E,$H386)="",LOWER(INDEX('Game Records'!$E:$E,$H386)&amp;"")="n/a")),"Game Type; ","")&amp;IF(INDEX('Game Records'!$F:$F,$H386)="","Payment Type; ","")&amp;IF(AND(INDEX('Game Records'!$U:$U,$H386)&lt;&gt;"Subscription",INDEX('Game Records'!$U:$U,$H386)&lt;&gt;"Free Game",INDEX('Game Records'!$U:$U,$H386)&lt;&gt;"Disqualified — Free Game",INDEX('Game Records'!$G:$G,$H386)=""),"Gross Pot; ","")&amp;IF(AND(INDEX('Game Records'!$U:$U,$H386)&lt;&gt;"Free Game",INDEX('Game Records'!$U:$U,$H386)&lt;&gt;"Disqualified — Free Game",INDEX('Game Records'!$H:$H,$H386)=""),"Entry Fee; ","")&amp;IF(AND(INDEX('Game Records'!$U:$U,$H386)&lt;&gt;"Subscription",INDEX('Game Records'!$U:$U,$H386)&lt;&gt;"Free Game",INDEX('Game Records'!$U:$U,$H386)&lt;&gt;"Disqualified — Free Game",INDEX('Game Records'!$I:$I,$H386)=""),"Eligible Players; ","")&amp;IF(AND(INDEX('Game Records'!$U:$U,$H386)&lt;&gt;"Subscription",INDEX('Game Records'!$U:$U,$H386)&lt;&gt;"Free Game",INDEX('Game Records'!$U:$U,$H386)&lt;&gt;"Disqualified — Free Game",INDEX('Game Records'!$J:$J,$H386)=""),"Total Players; ","")&amp;IF(AND(LOWER(INDEX('Game Records'!$D:$D,$H386)&amp;"")="finalized",LOWER(INDEX('Game Records'!$L:$L,$H386)&amp;"")&lt;&gt;"yes",INDEX('Game Records'!$U:$U,$H386)&lt;&gt;"Subscription",INDEX('Game Records'!$U:$U,$H386)&lt;&gt;"Free Game",INDEX('Game Records'!$U:$U,$H386)&lt;&gt;"Disqualified — Free Game",INDEX('Game Records'!$K:$K,$H386)=""),"Final Earned; ","")&amp;IF(AND(LOWER(INDEX('Game Records'!$D:$D,$H386)&amp;"")="finalized",INDEX('Game Records'!$U:$U,$H386)&lt;&gt;"Subscription",INDEX('Game Records'!$U:$U,$H386)&lt;&gt;"Free Game",INDEX('Game Records'!$U:$U,$H386)&lt;&gt;"Disqualified — Free Game",OR(INDEX('Game Records'!$L:$L,$H386)="",LOWER(INDEX('Game Records'!$L:$L,$H386)&amp;"")="n/a")),"Disqualified Status; ",""))</x:f>
        <x:v/>
      </x:c>
      <x:c r="G386" s="331" t="str">
        <x:f>IF($H386="","",IFERROR(INDEX('Game Records'!$M:$M,$H386),""))</x:f>
        <x:v/>
      </x:c>
      <x:c r="H386" s="104" t="str">
        <x:f>IF($H385="","",IFERROR(MATCH(1,INDEX((ROW('Game Records'!$U$5:$U$504)&gt;$H385)*(('Game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7" ht="24" customHeight="1">
      <x:c r="A387" s="332" t="str">
        <x:f>IF($H387="","",ROWS($A$5:A387))</x:f>
        <x:v/>
      </x:c>
      <x:c r="B387" s="332" t="str">
        <x:f>IF($H387="","","G-"&amp;TEXT($A387,"0000"))</x:f>
        <x:v/>
      </x:c>
      <x:c r="C387" s="331" t="str">
        <x:f>IF($H387="","",IFERROR(INDEX('Game Records'!$A:$A,$H387),""))</x:f>
        <x:v/>
      </x:c>
      <x:c r="D387" s="331" t="str">
        <x:f>IF($H387="","",IFERROR(INDEX('Game Records'!$U:$U,$H387),""))</x:f>
        <x:v/>
      </x:c>
      <x:c r="E387" s="331" t="str">
        <x:f>IF($H387="","",IF($F387="","No Highlighted Fields","Highlighted Fields Present"))</x:f>
        <x:v/>
      </x:c>
      <x:c r="F387" s="331" t="str">
        <x:f>IF($H387="","",IF(INDEX('Game Records'!$B:$B,$H387)="","Start Date; ","")&amp;IF(INDEX('Game Records'!$C:$C,$H387)="","End Date; ","")&amp;IF(AND(INDEX('Game Records'!$U:$U,$H387)&lt;&gt;"Subscription",INDEX('Game Records'!$U:$U,$H387)&lt;&gt;"Free Game",INDEX('Game Records'!$U:$U,$H387)&lt;&gt;"Disqualified — Free Game",OR(INDEX('Game Records'!$D:$D,$H387)="",LOWER(INDEX('Game Records'!$D:$D,$H387)&amp;"")="n/a")),"Entry Mode; ","")&amp;IF(AND(INDEX('Game Records'!$U:$U,$H387)&lt;&gt;"Subscription",INDEX('Game Records'!$U:$U,$H387)&lt;&gt;"Free Game",INDEX('Game Records'!$U:$U,$H387)&lt;&gt;"Disqualified — Free Game",OR(INDEX('Game Records'!$E:$E,$H387)="",LOWER(INDEX('Game Records'!$E:$E,$H387)&amp;"")="n/a")),"Game Type; ","")&amp;IF(INDEX('Game Records'!$F:$F,$H387)="","Payment Type; ","")&amp;IF(AND(INDEX('Game Records'!$U:$U,$H387)&lt;&gt;"Subscription",INDEX('Game Records'!$U:$U,$H387)&lt;&gt;"Free Game",INDEX('Game Records'!$U:$U,$H387)&lt;&gt;"Disqualified — Free Game",INDEX('Game Records'!$G:$G,$H387)=""),"Gross Pot; ","")&amp;IF(AND(INDEX('Game Records'!$U:$U,$H387)&lt;&gt;"Free Game",INDEX('Game Records'!$U:$U,$H387)&lt;&gt;"Disqualified — Free Game",INDEX('Game Records'!$H:$H,$H387)=""),"Entry Fee; ","")&amp;IF(AND(INDEX('Game Records'!$U:$U,$H387)&lt;&gt;"Subscription",INDEX('Game Records'!$U:$U,$H387)&lt;&gt;"Free Game",INDEX('Game Records'!$U:$U,$H387)&lt;&gt;"Disqualified — Free Game",INDEX('Game Records'!$I:$I,$H387)=""),"Eligible Players; ","")&amp;IF(AND(INDEX('Game Records'!$U:$U,$H387)&lt;&gt;"Subscription",INDEX('Game Records'!$U:$U,$H387)&lt;&gt;"Free Game",INDEX('Game Records'!$U:$U,$H387)&lt;&gt;"Disqualified — Free Game",INDEX('Game Records'!$J:$J,$H387)=""),"Total Players; ","")&amp;IF(AND(LOWER(INDEX('Game Records'!$D:$D,$H387)&amp;"")="finalized",LOWER(INDEX('Game Records'!$L:$L,$H387)&amp;"")&lt;&gt;"yes",INDEX('Game Records'!$U:$U,$H387)&lt;&gt;"Subscription",INDEX('Game Records'!$U:$U,$H387)&lt;&gt;"Free Game",INDEX('Game Records'!$U:$U,$H387)&lt;&gt;"Disqualified — Free Game",INDEX('Game Records'!$K:$K,$H387)=""),"Final Earned; ","")&amp;IF(AND(LOWER(INDEX('Game Records'!$D:$D,$H387)&amp;"")="finalized",INDEX('Game Records'!$U:$U,$H387)&lt;&gt;"Subscription",INDEX('Game Records'!$U:$U,$H387)&lt;&gt;"Free Game",INDEX('Game Records'!$U:$U,$H387)&lt;&gt;"Disqualified — Free Game",OR(INDEX('Game Records'!$L:$L,$H387)="",LOWER(INDEX('Game Records'!$L:$L,$H387)&amp;"")="n/a")),"Disqualified Status; ",""))</x:f>
        <x:v/>
      </x:c>
      <x:c r="G387" s="331" t="str">
        <x:f>IF($H387="","",IFERROR(INDEX('Game Records'!$M:$M,$H387),""))</x:f>
        <x:v/>
      </x:c>
      <x:c r="H387" s="104" t="str">
        <x:f>IF($H386="","",IFERROR(MATCH(1,INDEX((ROW('Game Records'!$U$5:$U$504)&gt;$H386)*(('Game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8" ht="24" customHeight="1">
      <x:c r="A388" s="332" t="str">
        <x:f>IF($H388="","",ROWS($A$5:A388))</x:f>
        <x:v/>
      </x:c>
      <x:c r="B388" s="332" t="str">
        <x:f>IF($H388="","","G-"&amp;TEXT($A388,"0000"))</x:f>
        <x:v/>
      </x:c>
      <x:c r="C388" s="331" t="str">
        <x:f>IF($H388="","",IFERROR(INDEX('Game Records'!$A:$A,$H388),""))</x:f>
        <x:v/>
      </x:c>
      <x:c r="D388" s="331" t="str">
        <x:f>IF($H388="","",IFERROR(INDEX('Game Records'!$U:$U,$H388),""))</x:f>
        <x:v/>
      </x:c>
      <x:c r="E388" s="331" t="str">
        <x:f>IF($H388="","",IF($F388="","No Highlighted Fields","Highlighted Fields Present"))</x:f>
        <x:v/>
      </x:c>
      <x:c r="F388" s="331" t="str">
        <x:f>IF($H388="","",IF(INDEX('Game Records'!$B:$B,$H388)="","Start Date; ","")&amp;IF(INDEX('Game Records'!$C:$C,$H388)="","End Date; ","")&amp;IF(AND(INDEX('Game Records'!$U:$U,$H388)&lt;&gt;"Subscription",INDEX('Game Records'!$U:$U,$H388)&lt;&gt;"Free Game",INDEX('Game Records'!$U:$U,$H388)&lt;&gt;"Disqualified — Free Game",OR(INDEX('Game Records'!$D:$D,$H388)="",LOWER(INDEX('Game Records'!$D:$D,$H388)&amp;"")="n/a")),"Entry Mode; ","")&amp;IF(AND(INDEX('Game Records'!$U:$U,$H388)&lt;&gt;"Subscription",INDEX('Game Records'!$U:$U,$H388)&lt;&gt;"Free Game",INDEX('Game Records'!$U:$U,$H388)&lt;&gt;"Disqualified — Free Game",OR(INDEX('Game Records'!$E:$E,$H388)="",LOWER(INDEX('Game Records'!$E:$E,$H388)&amp;"")="n/a")),"Game Type; ","")&amp;IF(INDEX('Game Records'!$F:$F,$H388)="","Payment Type; ","")&amp;IF(AND(INDEX('Game Records'!$U:$U,$H388)&lt;&gt;"Subscription",INDEX('Game Records'!$U:$U,$H388)&lt;&gt;"Free Game",INDEX('Game Records'!$U:$U,$H388)&lt;&gt;"Disqualified — Free Game",INDEX('Game Records'!$G:$G,$H388)=""),"Gross Pot; ","")&amp;IF(AND(INDEX('Game Records'!$U:$U,$H388)&lt;&gt;"Free Game",INDEX('Game Records'!$U:$U,$H388)&lt;&gt;"Disqualified — Free Game",INDEX('Game Records'!$H:$H,$H388)=""),"Entry Fee; ","")&amp;IF(AND(INDEX('Game Records'!$U:$U,$H388)&lt;&gt;"Subscription",INDEX('Game Records'!$U:$U,$H388)&lt;&gt;"Free Game",INDEX('Game Records'!$U:$U,$H388)&lt;&gt;"Disqualified — Free Game",INDEX('Game Records'!$I:$I,$H388)=""),"Eligible Players; ","")&amp;IF(AND(INDEX('Game Records'!$U:$U,$H388)&lt;&gt;"Subscription",INDEX('Game Records'!$U:$U,$H388)&lt;&gt;"Free Game",INDEX('Game Records'!$U:$U,$H388)&lt;&gt;"Disqualified — Free Game",INDEX('Game Records'!$J:$J,$H388)=""),"Total Players; ","")&amp;IF(AND(LOWER(INDEX('Game Records'!$D:$D,$H388)&amp;"")="finalized",LOWER(INDEX('Game Records'!$L:$L,$H388)&amp;"")&lt;&gt;"yes",INDEX('Game Records'!$U:$U,$H388)&lt;&gt;"Subscription",INDEX('Game Records'!$U:$U,$H388)&lt;&gt;"Free Game",INDEX('Game Records'!$U:$U,$H388)&lt;&gt;"Disqualified — Free Game",INDEX('Game Records'!$K:$K,$H388)=""),"Final Earned; ","")&amp;IF(AND(LOWER(INDEX('Game Records'!$D:$D,$H388)&amp;"")="finalized",INDEX('Game Records'!$U:$U,$H388)&lt;&gt;"Subscription",INDEX('Game Records'!$U:$U,$H388)&lt;&gt;"Free Game",INDEX('Game Records'!$U:$U,$H388)&lt;&gt;"Disqualified — Free Game",OR(INDEX('Game Records'!$L:$L,$H388)="",LOWER(INDEX('Game Records'!$L:$L,$H388)&amp;"")="n/a")),"Disqualified Status; ",""))</x:f>
        <x:v/>
      </x:c>
      <x:c r="G388" s="331" t="str">
        <x:f>IF($H388="","",IFERROR(INDEX('Game Records'!$M:$M,$H388),""))</x:f>
        <x:v/>
      </x:c>
      <x:c r="H388" s="104" t="str">
        <x:f>IF($H387="","",IFERROR(MATCH(1,INDEX((ROW('Game Records'!$U$5:$U$504)&gt;$H387)*(('Game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89" ht="24" customHeight="1">
      <x:c r="A389" s="332" t="str">
        <x:f>IF($H389="","",ROWS($A$5:A389))</x:f>
        <x:v/>
      </x:c>
      <x:c r="B389" s="332" t="str">
        <x:f>IF($H389="","","G-"&amp;TEXT($A389,"0000"))</x:f>
        <x:v/>
      </x:c>
      <x:c r="C389" s="331" t="str">
        <x:f>IF($H389="","",IFERROR(INDEX('Game Records'!$A:$A,$H389),""))</x:f>
        <x:v/>
      </x:c>
      <x:c r="D389" s="331" t="str">
        <x:f>IF($H389="","",IFERROR(INDEX('Game Records'!$U:$U,$H389),""))</x:f>
        <x:v/>
      </x:c>
      <x:c r="E389" s="331" t="str">
        <x:f>IF($H389="","",IF($F389="","No Highlighted Fields","Highlighted Fields Present"))</x:f>
        <x:v/>
      </x:c>
      <x:c r="F389" s="331" t="str">
        <x:f>IF($H389="","",IF(INDEX('Game Records'!$B:$B,$H389)="","Start Date; ","")&amp;IF(INDEX('Game Records'!$C:$C,$H389)="","End Date; ","")&amp;IF(AND(INDEX('Game Records'!$U:$U,$H389)&lt;&gt;"Subscription",INDEX('Game Records'!$U:$U,$H389)&lt;&gt;"Free Game",INDEX('Game Records'!$U:$U,$H389)&lt;&gt;"Disqualified — Free Game",OR(INDEX('Game Records'!$D:$D,$H389)="",LOWER(INDEX('Game Records'!$D:$D,$H389)&amp;"")="n/a")),"Entry Mode; ","")&amp;IF(AND(INDEX('Game Records'!$U:$U,$H389)&lt;&gt;"Subscription",INDEX('Game Records'!$U:$U,$H389)&lt;&gt;"Free Game",INDEX('Game Records'!$U:$U,$H389)&lt;&gt;"Disqualified — Free Game",OR(INDEX('Game Records'!$E:$E,$H389)="",LOWER(INDEX('Game Records'!$E:$E,$H389)&amp;"")="n/a")),"Game Type; ","")&amp;IF(INDEX('Game Records'!$F:$F,$H389)="","Payment Type; ","")&amp;IF(AND(INDEX('Game Records'!$U:$U,$H389)&lt;&gt;"Subscription",INDEX('Game Records'!$U:$U,$H389)&lt;&gt;"Free Game",INDEX('Game Records'!$U:$U,$H389)&lt;&gt;"Disqualified — Free Game",INDEX('Game Records'!$G:$G,$H389)=""),"Gross Pot; ","")&amp;IF(AND(INDEX('Game Records'!$U:$U,$H389)&lt;&gt;"Free Game",INDEX('Game Records'!$U:$U,$H389)&lt;&gt;"Disqualified — Free Game",INDEX('Game Records'!$H:$H,$H389)=""),"Entry Fee; ","")&amp;IF(AND(INDEX('Game Records'!$U:$U,$H389)&lt;&gt;"Subscription",INDEX('Game Records'!$U:$U,$H389)&lt;&gt;"Free Game",INDEX('Game Records'!$U:$U,$H389)&lt;&gt;"Disqualified — Free Game",INDEX('Game Records'!$I:$I,$H389)=""),"Eligible Players; ","")&amp;IF(AND(INDEX('Game Records'!$U:$U,$H389)&lt;&gt;"Subscription",INDEX('Game Records'!$U:$U,$H389)&lt;&gt;"Free Game",INDEX('Game Records'!$U:$U,$H389)&lt;&gt;"Disqualified — Free Game",INDEX('Game Records'!$J:$J,$H389)=""),"Total Players; ","")&amp;IF(AND(LOWER(INDEX('Game Records'!$D:$D,$H389)&amp;"")="finalized",LOWER(INDEX('Game Records'!$L:$L,$H389)&amp;"")&lt;&gt;"yes",INDEX('Game Records'!$U:$U,$H389)&lt;&gt;"Subscription",INDEX('Game Records'!$U:$U,$H389)&lt;&gt;"Free Game",INDEX('Game Records'!$U:$U,$H389)&lt;&gt;"Disqualified — Free Game",INDEX('Game Records'!$K:$K,$H389)=""),"Final Earned; ","")&amp;IF(AND(LOWER(INDEX('Game Records'!$D:$D,$H389)&amp;"")="finalized",INDEX('Game Records'!$U:$U,$H389)&lt;&gt;"Subscription",INDEX('Game Records'!$U:$U,$H389)&lt;&gt;"Free Game",INDEX('Game Records'!$U:$U,$H389)&lt;&gt;"Disqualified — Free Game",OR(INDEX('Game Records'!$L:$L,$H389)="",LOWER(INDEX('Game Records'!$L:$L,$H389)&amp;"")="n/a")),"Disqualified Status; ",""))</x:f>
        <x:v/>
      </x:c>
      <x:c r="G389" s="331" t="str">
        <x:f>IF($H389="","",IFERROR(INDEX('Game Records'!$M:$M,$H389),""))</x:f>
        <x:v/>
      </x:c>
      <x:c r="H389" s="104" t="str">
        <x:f>IF($H388="","",IFERROR(MATCH(1,INDEX((ROW('Game Records'!$U$5:$U$504)&gt;$H388)*(('Game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0" ht="24" customHeight="1">
      <x:c r="A390" s="332" t="str">
        <x:f>IF($H390="","",ROWS($A$5:A390))</x:f>
        <x:v/>
      </x:c>
      <x:c r="B390" s="332" t="str">
        <x:f>IF($H390="","","G-"&amp;TEXT($A390,"0000"))</x:f>
        <x:v/>
      </x:c>
      <x:c r="C390" s="331" t="str">
        <x:f>IF($H390="","",IFERROR(INDEX('Game Records'!$A:$A,$H390),""))</x:f>
        <x:v/>
      </x:c>
      <x:c r="D390" s="331" t="str">
        <x:f>IF($H390="","",IFERROR(INDEX('Game Records'!$U:$U,$H390),""))</x:f>
        <x:v/>
      </x:c>
      <x:c r="E390" s="331" t="str">
        <x:f>IF($H390="","",IF($F390="","No Highlighted Fields","Highlighted Fields Present"))</x:f>
        <x:v/>
      </x:c>
      <x:c r="F390" s="331" t="str">
        <x:f>IF($H390="","",IF(INDEX('Game Records'!$B:$B,$H390)="","Start Date; ","")&amp;IF(INDEX('Game Records'!$C:$C,$H390)="","End Date; ","")&amp;IF(AND(INDEX('Game Records'!$U:$U,$H390)&lt;&gt;"Subscription",INDEX('Game Records'!$U:$U,$H390)&lt;&gt;"Free Game",INDEX('Game Records'!$U:$U,$H390)&lt;&gt;"Disqualified — Free Game",OR(INDEX('Game Records'!$D:$D,$H390)="",LOWER(INDEX('Game Records'!$D:$D,$H390)&amp;"")="n/a")),"Entry Mode; ","")&amp;IF(AND(INDEX('Game Records'!$U:$U,$H390)&lt;&gt;"Subscription",INDEX('Game Records'!$U:$U,$H390)&lt;&gt;"Free Game",INDEX('Game Records'!$U:$U,$H390)&lt;&gt;"Disqualified — Free Game",OR(INDEX('Game Records'!$E:$E,$H390)="",LOWER(INDEX('Game Records'!$E:$E,$H390)&amp;"")="n/a")),"Game Type; ","")&amp;IF(INDEX('Game Records'!$F:$F,$H390)="","Payment Type; ","")&amp;IF(AND(INDEX('Game Records'!$U:$U,$H390)&lt;&gt;"Subscription",INDEX('Game Records'!$U:$U,$H390)&lt;&gt;"Free Game",INDEX('Game Records'!$U:$U,$H390)&lt;&gt;"Disqualified — Free Game",INDEX('Game Records'!$G:$G,$H390)=""),"Gross Pot; ","")&amp;IF(AND(INDEX('Game Records'!$U:$U,$H390)&lt;&gt;"Free Game",INDEX('Game Records'!$U:$U,$H390)&lt;&gt;"Disqualified — Free Game",INDEX('Game Records'!$H:$H,$H390)=""),"Entry Fee; ","")&amp;IF(AND(INDEX('Game Records'!$U:$U,$H390)&lt;&gt;"Subscription",INDEX('Game Records'!$U:$U,$H390)&lt;&gt;"Free Game",INDEX('Game Records'!$U:$U,$H390)&lt;&gt;"Disqualified — Free Game",INDEX('Game Records'!$I:$I,$H390)=""),"Eligible Players; ","")&amp;IF(AND(INDEX('Game Records'!$U:$U,$H390)&lt;&gt;"Subscription",INDEX('Game Records'!$U:$U,$H390)&lt;&gt;"Free Game",INDEX('Game Records'!$U:$U,$H390)&lt;&gt;"Disqualified — Free Game",INDEX('Game Records'!$J:$J,$H390)=""),"Total Players; ","")&amp;IF(AND(LOWER(INDEX('Game Records'!$D:$D,$H390)&amp;"")="finalized",LOWER(INDEX('Game Records'!$L:$L,$H390)&amp;"")&lt;&gt;"yes",INDEX('Game Records'!$U:$U,$H390)&lt;&gt;"Subscription",INDEX('Game Records'!$U:$U,$H390)&lt;&gt;"Free Game",INDEX('Game Records'!$U:$U,$H390)&lt;&gt;"Disqualified — Free Game",INDEX('Game Records'!$K:$K,$H390)=""),"Final Earned; ","")&amp;IF(AND(LOWER(INDEX('Game Records'!$D:$D,$H390)&amp;"")="finalized",INDEX('Game Records'!$U:$U,$H390)&lt;&gt;"Subscription",INDEX('Game Records'!$U:$U,$H390)&lt;&gt;"Free Game",INDEX('Game Records'!$U:$U,$H390)&lt;&gt;"Disqualified — Free Game",OR(INDEX('Game Records'!$L:$L,$H390)="",LOWER(INDEX('Game Records'!$L:$L,$H390)&amp;"")="n/a")),"Disqualified Status; ",""))</x:f>
        <x:v/>
      </x:c>
      <x:c r="G390" s="331" t="str">
        <x:f>IF($H390="","",IFERROR(INDEX('Game Records'!$M:$M,$H390),""))</x:f>
        <x:v/>
      </x:c>
      <x:c r="H390" s="104" t="str">
        <x:f>IF($H389="","",IFERROR(MATCH(1,INDEX((ROW('Game Records'!$U$5:$U$504)&gt;$H389)*(('Game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1" ht="24" customHeight="1">
      <x:c r="A391" s="332" t="str">
        <x:f>IF($H391="","",ROWS($A$5:A391))</x:f>
        <x:v/>
      </x:c>
      <x:c r="B391" s="332" t="str">
        <x:f>IF($H391="","","G-"&amp;TEXT($A391,"0000"))</x:f>
        <x:v/>
      </x:c>
      <x:c r="C391" s="331" t="str">
        <x:f>IF($H391="","",IFERROR(INDEX('Game Records'!$A:$A,$H391),""))</x:f>
        <x:v/>
      </x:c>
      <x:c r="D391" s="331" t="str">
        <x:f>IF($H391="","",IFERROR(INDEX('Game Records'!$U:$U,$H391),""))</x:f>
        <x:v/>
      </x:c>
      <x:c r="E391" s="331" t="str">
        <x:f>IF($H391="","",IF($F391="","No Highlighted Fields","Highlighted Fields Present"))</x:f>
        <x:v/>
      </x:c>
      <x:c r="F391" s="331" t="str">
        <x:f>IF($H391="","",IF(INDEX('Game Records'!$B:$B,$H391)="","Start Date; ","")&amp;IF(INDEX('Game Records'!$C:$C,$H391)="","End Date; ","")&amp;IF(AND(INDEX('Game Records'!$U:$U,$H391)&lt;&gt;"Subscription",INDEX('Game Records'!$U:$U,$H391)&lt;&gt;"Free Game",INDEX('Game Records'!$U:$U,$H391)&lt;&gt;"Disqualified — Free Game",OR(INDEX('Game Records'!$D:$D,$H391)="",LOWER(INDEX('Game Records'!$D:$D,$H391)&amp;"")="n/a")),"Entry Mode; ","")&amp;IF(AND(INDEX('Game Records'!$U:$U,$H391)&lt;&gt;"Subscription",INDEX('Game Records'!$U:$U,$H391)&lt;&gt;"Free Game",INDEX('Game Records'!$U:$U,$H391)&lt;&gt;"Disqualified — Free Game",OR(INDEX('Game Records'!$E:$E,$H391)="",LOWER(INDEX('Game Records'!$E:$E,$H391)&amp;"")="n/a")),"Game Type; ","")&amp;IF(INDEX('Game Records'!$F:$F,$H391)="","Payment Type; ","")&amp;IF(AND(INDEX('Game Records'!$U:$U,$H391)&lt;&gt;"Subscription",INDEX('Game Records'!$U:$U,$H391)&lt;&gt;"Free Game",INDEX('Game Records'!$U:$U,$H391)&lt;&gt;"Disqualified — Free Game",INDEX('Game Records'!$G:$G,$H391)=""),"Gross Pot; ","")&amp;IF(AND(INDEX('Game Records'!$U:$U,$H391)&lt;&gt;"Free Game",INDEX('Game Records'!$U:$U,$H391)&lt;&gt;"Disqualified — Free Game",INDEX('Game Records'!$H:$H,$H391)=""),"Entry Fee; ","")&amp;IF(AND(INDEX('Game Records'!$U:$U,$H391)&lt;&gt;"Subscription",INDEX('Game Records'!$U:$U,$H391)&lt;&gt;"Free Game",INDEX('Game Records'!$U:$U,$H391)&lt;&gt;"Disqualified — Free Game",INDEX('Game Records'!$I:$I,$H391)=""),"Eligible Players; ","")&amp;IF(AND(INDEX('Game Records'!$U:$U,$H391)&lt;&gt;"Subscription",INDEX('Game Records'!$U:$U,$H391)&lt;&gt;"Free Game",INDEX('Game Records'!$U:$U,$H391)&lt;&gt;"Disqualified — Free Game",INDEX('Game Records'!$J:$J,$H391)=""),"Total Players; ","")&amp;IF(AND(LOWER(INDEX('Game Records'!$D:$D,$H391)&amp;"")="finalized",LOWER(INDEX('Game Records'!$L:$L,$H391)&amp;"")&lt;&gt;"yes",INDEX('Game Records'!$U:$U,$H391)&lt;&gt;"Subscription",INDEX('Game Records'!$U:$U,$H391)&lt;&gt;"Free Game",INDEX('Game Records'!$U:$U,$H391)&lt;&gt;"Disqualified — Free Game",INDEX('Game Records'!$K:$K,$H391)=""),"Final Earned; ","")&amp;IF(AND(LOWER(INDEX('Game Records'!$D:$D,$H391)&amp;"")="finalized",INDEX('Game Records'!$U:$U,$H391)&lt;&gt;"Subscription",INDEX('Game Records'!$U:$U,$H391)&lt;&gt;"Free Game",INDEX('Game Records'!$U:$U,$H391)&lt;&gt;"Disqualified — Free Game",OR(INDEX('Game Records'!$L:$L,$H391)="",LOWER(INDEX('Game Records'!$L:$L,$H391)&amp;"")="n/a")),"Disqualified Status; ",""))</x:f>
        <x:v/>
      </x:c>
      <x:c r="G391" s="331" t="str">
        <x:f>IF($H391="","",IFERROR(INDEX('Game Records'!$M:$M,$H391),""))</x:f>
        <x:v/>
      </x:c>
      <x:c r="H391" s="104" t="str">
        <x:f>IF($H390="","",IFERROR(MATCH(1,INDEX((ROW('Game Records'!$U$5:$U$504)&gt;$H390)*(('Game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2" ht="24" customHeight="1">
      <x:c r="A392" s="332" t="str">
        <x:f>IF($H392="","",ROWS($A$5:A392))</x:f>
        <x:v/>
      </x:c>
      <x:c r="B392" s="332" t="str">
        <x:f>IF($H392="","","G-"&amp;TEXT($A392,"0000"))</x:f>
        <x:v/>
      </x:c>
      <x:c r="C392" s="331" t="str">
        <x:f>IF($H392="","",IFERROR(INDEX('Game Records'!$A:$A,$H392),""))</x:f>
        <x:v/>
      </x:c>
      <x:c r="D392" s="331" t="str">
        <x:f>IF($H392="","",IFERROR(INDEX('Game Records'!$U:$U,$H392),""))</x:f>
        <x:v/>
      </x:c>
      <x:c r="E392" s="331" t="str">
        <x:f>IF($H392="","",IF($F392="","No Highlighted Fields","Highlighted Fields Present"))</x:f>
        <x:v/>
      </x:c>
      <x:c r="F392" s="331" t="str">
        <x:f>IF($H392="","",IF(INDEX('Game Records'!$B:$B,$H392)="","Start Date; ","")&amp;IF(INDEX('Game Records'!$C:$C,$H392)="","End Date; ","")&amp;IF(AND(INDEX('Game Records'!$U:$U,$H392)&lt;&gt;"Subscription",INDEX('Game Records'!$U:$U,$H392)&lt;&gt;"Free Game",INDEX('Game Records'!$U:$U,$H392)&lt;&gt;"Disqualified — Free Game",OR(INDEX('Game Records'!$D:$D,$H392)="",LOWER(INDEX('Game Records'!$D:$D,$H392)&amp;"")="n/a")),"Entry Mode; ","")&amp;IF(AND(INDEX('Game Records'!$U:$U,$H392)&lt;&gt;"Subscription",INDEX('Game Records'!$U:$U,$H392)&lt;&gt;"Free Game",INDEX('Game Records'!$U:$U,$H392)&lt;&gt;"Disqualified — Free Game",OR(INDEX('Game Records'!$E:$E,$H392)="",LOWER(INDEX('Game Records'!$E:$E,$H392)&amp;"")="n/a")),"Game Type; ","")&amp;IF(INDEX('Game Records'!$F:$F,$H392)="","Payment Type; ","")&amp;IF(AND(INDEX('Game Records'!$U:$U,$H392)&lt;&gt;"Subscription",INDEX('Game Records'!$U:$U,$H392)&lt;&gt;"Free Game",INDEX('Game Records'!$U:$U,$H392)&lt;&gt;"Disqualified — Free Game",INDEX('Game Records'!$G:$G,$H392)=""),"Gross Pot; ","")&amp;IF(AND(INDEX('Game Records'!$U:$U,$H392)&lt;&gt;"Free Game",INDEX('Game Records'!$U:$U,$H392)&lt;&gt;"Disqualified — Free Game",INDEX('Game Records'!$H:$H,$H392)=""),"Entry Fee; ","")&amp;IF(AND(INDEX('Game Records'!$U:$U,$H392)&lt;&gt;"Subscription",INDEX('Game Records'!$U:$U,$H392)&lt;&gt;"Free Game",INDEX('Game Records'!$U:$U,$H392)&lt;&gt;"Disqualified — Free Game",INDEX('Game Records'!$I:$I,$H392)=""),"Eligible Players; ","")&amp;IF(AND(INDEX('Game Records'!$U:$U,$H392)&lt;&gt;"Subscription",INDEX('Game Records'!$U:$U,$H392)&lt;&gt;"Free Game",INDEX('Game Records'!$U:$U,$H392)&lt;&gt;"Disqualified — Free Game",INDEX('Game Records'!$J:$J,$H392)=""),"Total Players; ","")&amp;IF(AND(LOWER(INDEX('Game Records'!$D:$D,$H392)&amp;"")="finalized",LOWER(INDEX('Game Records'!$L:$L,$H392)&amp;"")&lt;&gt;"yes",INDEX('Game Records'!$U:$U,$H392)&lt;&gt;"Subscription",INDEX('Game Records'!$U:$U,$H392)&lt;&gt;"Free Game",INDEX('Game Records'!$U:$U,$H392)&lt;&gt;"Disqualified — Free Game",INDEX('Game Records'!$K:$K,$H392)=""),"Final Earned; ","")&amp;IF(AND(LOWER(INDEX('Game Records'!$D:$D,$H392)&amp;"")="finalized",INDEX('Game Records'!$U:$U,$H392)&lt;&gt;"Subscription",INDEX('Game Records'!$U:$U,$H392)&lt;&gt;"Free Game",INDEX('Game Records'!$U:$U,$H392)&lt;&gt;"Disqualified — Free Game",OR(INDEX('Game Records'!$L:$L,$H392)="",LOWER(INDEX('Game Records'!$L:$L,$H392)&amp;"")="n/a")),"Disqualified Status; ",""))</x:f>
        <x:v/>
      </x:c>
      <x:c r="G392" s="331" t="str">
        <x:f>IF($H392="","",IFERROR(INDEX('Game Records'!$M:$M,$H392),""))</x:f>
        <x:v/>
      </x:c>
      <x:c r="H392" s="104" t="str">
        <x:f>IF($H391="","",IFERROR(MATCH(1,INDEX((ROW('Game Records'!$U$5:$U$504)&gt;$H391)*(('Game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3" ht="24" customHeight="1">
      <x:c r="A393" s="332" t="str">
        <x:f>IF($H393="","",ROWS($A$5:A393))</x:f>
        <x:v/>
      </x:c>
      <x:c r="B393" s="332" t="str">
        <x:f>IF($H393="","","G-"&amp;TEXT($A393,"0000"))</x:f>
        <x:v/>
      </x:c>
      <x:c r="C393" s="331" t="str">
        <x:f>IF($H393="","",IFERROR(INDEX('Game Records'!$A:$A,$H393),""))</x:f>
        <x:v/>
      </x:c>
      <x:c r="D393" s="331" t="str">
        <x:f>IF($H393="","",IFERROR(INDEX('Game Records'!$U:$U,$H393),""))</x:f>
        <x:v/>
      </x:c>
      <x:c r="E393" s="331" t="str">
        <x:f>IF($H393="","",IF($F393="","No Highlighted Fields","Highlighted Fields Present"))</x:f>
        <x:v/>
      </x:c>
      <x:c r="F393" s="331" t="str">
        <x:f>IF($H393="","",IF(INDEX('Game Records'!$B:$B,$H393)="","Start Date; ","")&amp;IF(INDEX('Game Records'!$C:$C,$H393)="","End Date; ","")&amp;IF(AND(INDEX('Game Records'!$U:$U,$H393)&lt;&gt;"Subscription",INDEX('Game Records'!$U:$U,$H393)&lt;&gt;"Free Game",INDEX('Game Records'!$U:$U,$H393)&lt;&gt;"Disqualified — Free Game",OR(INDEX('Game Records'!$D:$D,$H393)="",LOWER(INDEX('Game Records'!$D:$D,$H393)&amp;"")="n/a")),"Entry Mode; ","")&amp;IF(AND(INDEX('Game Records'!$U:$U,$H393)&lt;&gt;"Subscription",INDEX('Game Records'!$U:$U,$H393)&lt;&gt;"Free Game",INDEX('Game Records'!$U:$U,$H393)&lt;&gt;"Disqualified — Free Game",OR(INDEX('Game Records'!$E:$E,$H393)="",LOWER(INDEX('Game Records'!$E:$E,$H393)&amp;"")="n/a")),"Game Type; ","")&amp;IF(INDEX('Game Records'!$F:$F,$H393)="","Payment Type; ","")&amp;IF(AND(INDEX('Game Records'!$U:$U,$H393)&lt;&gt;"Subscription",INDEX('Game Records'!$U:$U,$H393)&lt;&gt;"Free Game",INDEX('Game Records'!$U:$U,$H393)&lt;&gt;"Disqualified — Free Game",INDEX('Game Records'!$G:$G,$H393)=""),"Gross Pot; ","")&amp;IF(AND(INDEX('Game Records'!$U:$U,$H393)&lt;&gt;"Free Game",INDEX('Game Records'!$U:$U,$H393)&lt;&gt;"Disqualified — Free Game",INDEX('Game Records'!$H:$H,$H393)=""),"Entry Fee; ","")&amp;IF(AND(INDEX('Game Records'!$U:$U,$H393)&lt;&gt;"Subscription",INDEX('Game Records'!$U:$U,$H393)&lt;&gt;"Free Game",INDEX('Game Records'!$U:$U,$H393)&lt;&gt;"Disqualified — Free Game",INDEX('Game Records'!$I:$I,$H393)=""),"Eligible Players; ","")&amp;IF(AND(INDEX('Game Records'!$U:$U,$H393)&lt;&gt;"Subscription",INDEX('Game Records'!$U:$U,$H393)&lt;&gt;"Free Game",INDEX('Game Records'!$U:$U,$H393)&lt;&gt;"Disqualified — Free Game",INDEX('Game Records'!$J:$J,$H393)=""),"Total Players; ","")&amp;IF(AND(LOWER(INDEX('Game Records'!$D:$D,$H393)&amp;"")="finalized",LOWER(INDEX('Game Records'!$L:$L,$H393)&amp;"")&lt;&gt;"yes",INDEX('Game Records'!$U:$U,$H393)&lt;&gt;"Subscription",INDEX('Game Records'!$U:$U,$H393)&lt;&gt;"Free Game",INDEX('Game Records'!$U:$U,$H393)&lt;&gt;"Disqualified — Free Game",INDEX('Game Records'!$K:$K,$H393)=""),"Final Earned; ","")&amp;IF(AND(LOWER(INDEX('Game Records'!$D:$D,$H393)&amp;"")="finalized",INDEX('Game Records'!$U:$U,$H393)&lt;&gt;"Subscription",INDEX('Game Records'!$U:$U,$H393)&lt;&gt;"Free Game",INDEX('Game Records'!$U:$U,$H393)&lt;&gt;"Disqualified — Free Game",OR(INDEX('Game Records'!$L:$L,$H393)="",LOWER(INDEX('Game Records'!$L:$L,$H393)&amp;"")="n/a")),"Disqualified Status; ",""))</x:f>
        <x:v/>
      </x:c>
      <x:c r="G393" s="331" t="str">
        <x:f>IF($H393="","",IFERROR(INDEX('Game Records'!$M:$M,$H393),""))</x:f>
        <x:v/>
      </x:c>
      <x:c r="H393" s="104" t="str">
        <x:f>IF($H392="","",IFERROR(MATCH(1,INDEX((ROW('Game Records'!$U$5:$U$504)&gt;$H392)*(('Game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4" ht="24" customHeight="1">
      <x:c r="A394" s="332" t="str">
        <x:f>IF($H394="","",ROWS($A$5:A394))</x:f>
        <x:v/>
      </x:c>
      <x:c r="B394" s="332" t="str">
        <x:f>IF($H394="","","G-"&amp;TEXT($A394,"0000"))</x:f>
        <x:v/>
      </x:c>
      <x:c r="C394" s="331" t="str">
        <x:f>IF($H394="","",IFERROR(INDEX('Game Records'!$A:$A,$H394),""))</x:f>
        <x:v/>
      </x:c>
      <x:c r="D394" s="331" t="str">
        <x:f>IF($H394="","",IFERROR(INDEX('Game Records'!$U:$U,$H394),""))</x:f>
        <x:v/>
      </x:c>
      <x:c r="E394" s="331" t="str">
        <x:f>IF($H394="","",IF($F394="","No Highlighted Fields","Highlighted Fields Present"))</x:f>
        <x:v/>
      </x:c>
      <x:c r="F394" s="331" t="str">
        <x:f>IF($H394="","",IF(INDEX('Game Records'!$B:$B,$H394)="","Start Date; ","")&amp;IF(INDEX('Game Records'!$C:$C,$H394)="","End Date; ","")&amp;IF(AND(INDEX('Game Records'!$U:$U,$H394)&lt;&gt;"Subscription",INDEX('Game Records'!$U:$U,$H394)&lt;&gt;"Free Game",INDEX('Game Records'!$U:$U,$H394)&lt;&gt;"Disqualified — Free Game",OR(INDEX('Game Records'!$D:$D,$H394)="",LOWER(INDEX('Game Records'!$D:$D,$H394)&amp;"")="n/a")),"Entry Mode; ","")&amp;IF(AND(INDEX('Game Records'!$U:$U,$H394)&lt;&gt;"Subscription",INDEX('Game Records'!$U:$U,$H394)&lt;&gt;"Free Game",INDEX('Game Records'!$U:$U,$H394)&lt;&gt;"Disqualified — Free Game",OR(INDEX('Game Records'!$E:$E,$H394)="",LOWER(INDEX('Game Records'!$E:$E,$H394)&amp;"")="n/a")),"Game Type; ","")&amp;IF(INDEX('Game Records'!$F:$F,$H394)="","Payment Type; ","")&amp;IF(AND(INDEX('Game Records'!$U:$U,$H394)&lt;&gt;"Subscription",INDEX('Game Records'!$U:$U,$H394)&lt;&gt;"Free Game",INDEX('Game Records'!$U:$U,$H394)&lt;&gt;"Disqualified — Free Game",INDEX('Game Records'!$G:$G,$H394)=""),"Gross Pot; ","")&amp;IF(AND(INDEX('Game Records'!$U:$U,$H394)&lt;&gt;"Free Game",INDEX('Game Records'!$U:$U,$H394)&lt;&gt;"Disqualified — Free Game",INDEX('Game Records'!$H:$H,$H394)=""),"Entry Fee; ","")&amp;IF(AND(INDEX('Game Records'!$U:$U,$H394)&lt;&gt;"Subscription",INDEX('Game Records'!$U:$U,$H394)&lt;&gt;"Free Game",INDEX('Game Records'!$U:$U,$H394)&lt;&gt;"Disqualified — Free Game",INDEX('Game Records'!$I:$I,$H394)=""),"Eligible Players; ","")&amp;IF(AND(INDEX('Game Records'!$U:$U,$H394)&lt;&gt;"Subscription",INDEX('Game Records'!$U:$U,$H394)&lt;&gt;"Free Game",INDEX('Game Records'!$U:$U,$H394)&lt;&gt;"Disqualified — Free Game",INDEX('Game Records'!$J:$J,$H394)=""),"Total Players; ","")&amp;IF(AND(LOWER(INDEX('Game Records'!$D:$D,$H394)&amp;"")="finalized",LOWER(INDEX('Game Records'!$L:$L,$H394)&amp;"")&lt;&gt;"yes",INDEX('Game Records'!$U:$U,$H394)&lt;&gt;"Subscription",INDEX('Game Records'!$U:$U,$H394)&lt;&gt;"Free Game",INDEX('Game Records'!$U:$U,$H394)&lt;&gt;"Disqualified — Free Game",INDEX('Game Records'!$K:$K,$H394)=""),"Final Earned; ","")&amp;IF(AND(LOWER(INDEX('Game Records'!$D:$D,$H394)&amp;"")="finalized",INDEX('Game Records'!$U:$U,$H394)&lt;&gt;"Subscription",INDEX('Game Records'!$U:$U,$H394)&lt;&gt;"Free Game",INDEX('Game Records'!$U:$U,$H394)&lt;&gt;"Disqualified — Free Game",OR(INDEX('Game Records'!$L:$L,$H394)="",LOWER(INDEX('Game Records'!$L:$L,$H394)&amp;"")="n/a")),"Disqualified Status; ",""))</x:f>
        <x:v/>
      </x:c>
      <x:c r="G394" s="331" t="str">
        <x:f>IF($H394="","",IFERROR(INDEX('Game Records'!$M:$M,$H394),""))</x:f>
        <x:v/>
      </x:c>
      <x:c r="H394" s="104" t="str">
        <x:f>IF($H393="","",IFERROR(MATCH(1,INDEX((ROW('Game Records'!$U$5:$U$504)&gt;$H393)*(('Game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5" ht="24" customHeight="1">
      <x:c r="A395" s="332" t="str">
        <x:f>IF($H395="","",ROWS($A$5:A395))</x:f>
        <x:v/>
      </x:c>
      <x:c r="B395" s="332" t="str">
        <x:f>IF($H395="","","G-"&amp;TEXT($A395,"0000"))</x:f>
        <x:v/>
      </x:c>
      <x:c r="C395" s="331" t="str">
        <x:f>IF($H395="","",IFERROR(INDEX('Game Records'!$A:$A,$H395),""))</x:f>
        <x:v/>
      </x:c>
      <x:c r="D395" s="331" t="str">
        <x:f>IF($H395="","",IFERROR(INDEX('Game Records'!$U:$U,$H395),""))</x:f>
        <x:v/>
      </x:c>
      <x:c r="E395" s="331" t="str">
        <x:f>IF($H395="","",IF($F395="","No Highlighted Fields","Highlighted Fields Present"))</x:f>
        <x:v/>
      </x:c>
      <x:c r="F395" s="331" t="str">
        <x:f>IF($H395="","",IF(INDEX('Game Records'!$B:$B,$H395)="","Start Date; ","")&amp;IF(INDEX('Game Records'!$C:$C,$H395)="","End Date; ","")&amp;IF(AND(INDEX('Game Records'!$U:$U,$H395)&lt;&gt;"Subscription",INDEX('Game Records'!$U:$U,$H395)&lt;&gt;"Free Game",INDEX('Game Records'!$U:$U,$H395)&lt;&gt;"Disqualified — Free Game",OR(INDEX('Game Records'!$D:$D,$H395)="",LOWER(INDEX('Game Records'!$D:$D,$H395)&amp;"")="n/a")),"Entry Mode; ","")&amp;IF(AND(INDEX('Game Records'!$U:$U,$H395)&lt;&gt;"Subscription",INDEX('Game Records'!$U:$U,$H395)&lt;&gt;"Free Game",INDEX('Game Records'!$U:$U,$H395)&lt;&gt;"Disqualified — Free Game",OR(INDEX('Game Records'!$E:$E,$H395)="",LOWER(INDEX('Game Records'!$E:$E,$H395)&amp;"")="n/a")),"Game Type; ","")&amp;IF(INDEX('Game Records'!$F:$F,$H395)="","Payment Type; ","")&amp;IF(AND(INDEX('Game Records'!$U:$U,$H395)&lt;&gt;"Subscription",INDEX('Game Records'!$U:$U,$H395)&lt;&gt;"Free Game",INDEX('Game Records'!$U:$U,$H395)&lt;&gt;"Disqualified — Free Game",INDEX('Game Records'!$G:$G,$H395)=""),"Gross Pot; ","")&amp;IF(AND(INDEX('Game Records'!$U:$U,$H395)&lt;&gt;"Free Game",INDEX('Game Records'!$U:$U,$H395)&lt;&gt;"Disqualified — Free Game",INDEX('Game Records'!$H:$H,$H395)=""),"Entry Fee; ","")&amp;IF(AND(INDEX('Game Records'!$U:$U,$H395)&lt;&gt;"Subscription",INDEX('Game Records'!$U:$U,$H395)&lt;&gt;"Free Game",INDEX('Game Records'!$U:$U,$H395)&lt;&gt;"Disqualified — Free Game",INDEX('Game Records'!$I:$I,$H395)=""),"Eligible Players; ","")&amp;IF(AND(INDEX('Game Records'!$U:$U,$H395)&lt;&gt;"Subscription",INDEX('Game Records'!$U:$U,$H395)&lt;&gt;"Free Game",INDEX('Game Records'!$U:$U,$H395)&lt;&gt;"Disqualified — Free Game",INDEX('Game Records'!$J:$J,$H395)=""),"Total Players; ","")&amp;IF(AND(LOWER(INDEX('Game Records'!$D:$D,$H395)&amp;"")="finalized",LOWER(INDEX('Game Records'!$L:$L,$H395)&amp;"")&lt;&gt;"yes",INDEX('Game Records'!$U:$U,$H395)&lt;&gt;"Subscription",INDEX('Game Records'!$U:$U,$H395)&lt;&gt;"Free Game",INDEX('Game Records'!$U:$U,$H395)&lt;&gt;"Disqualified — Free Game",INDEX('Game Records'!$K:$K,$H395)=""),"Final Earned; ","")&amp;IF(AND(LOWER(INDEX('Game Records'!$D:$D,$H395)&amp;"")="finalized",INDEX('Game Records'!$U:$U,$H395)&lt;&gt;"Subscription",INDEX('Game Records'!$U:$U,$H395)&lt;&gt;"Free Game",INDEX('Game Records'!$U:$U,$H395)&lt;&gt;"Disqualified — Free Game",OR(INDEX('Game Records'!$L:$L,$H395)="",LOWER(INDEX('Game Records'!$L:$L,$H395)&amp;"")="n/a")),"Disqualified Status; ",""))</x:f>
        <x:v/>
      </x:c>
      <x:c r="G395" s="331" t="str">
        <x:f>IF($H395="","",IFERROR(INDEX('Game Records'!$M:$M,$H395),""))</x:f>
        <x:v/>
      </x:c>
      <x:c r="H395" s="104" t="str">
        <x:f>IF($H394="","",IFERROR(MATCH(1,INDEX((ROW('Game Records'!$U$5:$U$504)&gt;$H394)*(('Game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6" ht="24" customHeight="1">
      <x:c r="A396" s="332" t="str">
        <x:f>IF($H396="","",ROWS($A$5:A396))</x:f>
        <x:v/>
      </x:c>
      <x:c r="B396" s="332" t="str">
        <x:f>IF($H396="","","G-"&amp;TEXT($A396,"0000"))</x:f>
        <x:v/>
      </x:c>
      <x:c r="C396" s="331" t="str">
        <x:f>IF($H396="","",IFERROR(INDEX('Game Records'!$A:$A,$H396),""))</x:f>
        <x:v/>
      </x:c>
      <x:c r="D396" s="331" t="str">
        <x:f>IF($H396="","",IFERROR(INDEX('Game Records'!$U:$U,$H396),""))</x:f>
        <x:v/>
      </x:c>
      <x:c r="E396" s="331" t="str">
        <x:f>IF($H396="","",IF($F396="","No Highlighted Fields","Highlighted Fields Present"))</x:f>
        <x:v/>
      </x:c>
      <x:c r="F396" s="331" t="str">
        <x:f>IF($H396="","",IF(INDEX('Game Records'!$B:$B,$H396)="","Start Date; ","")&amp;IF(INDEX('Game Records'!$C:$C,$H396)="","End Date; ","")&amp;IF(AND(INDEX('Game Records'!$U:$U,$H396)&lt;&gt;"Subscription",INDEX('Game Records'!$U:$U,$H396)&lt;&gt;"Free Game",INDEX('Game Records'!$U:$U,$H396)&lt;&gt;"Disqualified — Free Game",OR(INDEX('Game Records'!$D:$D,$H396)="",LOWER(INDEX('Game Records'!$D:$D,$H396)&amp;"")="n/a")),"Entry Mode; ","")&amp;IF(AND(INDEX('Game Records'!$U:$U,$H396)&lt;&gt;"Subscription",INDEX('Game Records'!$U:$U,$H396)&lt;&gt;"Free Game",INDEX('Game Records'!$U:$U,$H396)&lt;&gt;"Disqualified — Free Game",OR(INDEX('Game Records'!$E:$E,$H396)="",LOWER(INDEX('Game Records'!$E:$E,$H396)&amp;"")="n/a")),"Game Type; ","")&amp;IF(INDEX('Game Records'!$F:$F,$H396)="","Payment Type; ","")&amp;IF(AND(INDEX('Game Records'!$U:$U,$H396)&lt;&gt;"Subscription",INDEX('Game Records'!$U:$U,$H396)&lt;&gt;"Free Game",INDEX('Game Records'!$U:$U,$H396)&lt;&gt;"Disqualified — Free Game",INDEX('Game Records'!$G:$G,$H396)=""),"Gross Pot; ","")&amp;IF(AND(INDEX('Game Records'!$U:$U,$H396)&lt;&gt;"Free Game",INDEX('Game Records'!$U:$U,$H396)&lt;&gt;"Disqualified — Free Game",INDEX('Game Records'!$H:$H,$H396)=""),"Entry Fee; ","")&amp;IF(AND(INDEX('Game Records'!$U:$U,$H396)&lt;&gt;"Subscription",INDEX('Game Records'!$U:$U,$H396)&lt;&gt;"Free Game",INDEX('Game Records'!$U:$U,$H396)&lt;&gt;"Disqualified — Free Game",INDEX('Game Records'!$I:$I,$H396)=""),"Eligible Players; ","")&amp;IF(AND(INDEX('Game Records'!$U:$U,$H396)&lt;&gt;"Subscription",INDEX('Game Records'!$U:$U,$H396)&lt;&gt;"Free Game",INDEX('Game Records'!$U:$U,$H396)&lt;&gt;"Disqualified — Free Game",INDEX('Game Records'!$J:$J,$H396)=""),"Total Players; ","")&amp;IF(AND(LOWER(INDEX('Game Records'!$D:$D,$H396)&amp;"")="finalized",LOWER(INDEX('Game Records'!$L:$L,$H396)&amp;"")&lt;&gt;"yes",INDEX('Game Records'!$U:$U,$H396)&lt;&gt;"Subscription",INDEX('Game Records'!$U:$U,$H396)&lt;&gt;"Free Game",INDEX('Game Records'!$U:$U,$H396)&lt;&gt;"Disqualified — Free Game",INDEX('Game Records'!$K:$K,$H396)=""),"Final Earned; ","")&amp;IF(AND(LOWER(INDEX('Game Records'!$D:$D,$H396)&amp;"")="finalized",INDEX('Game Records'!$U:$U,$H396)&lt;&gt;"Subscription",INDEX('Game Records'!$U:$U,$H396)&lt;&gt;"Free Game",INDEX('Game Records'!$U:$U,$H396)&lt;&gt;"Disqualified — Free Game",OR(INDEX('Game Records'!$L:$L,$H396)="",LOWER(INDEX('Game Records'!$L:$L,$H396)&amp;"")="n/a")),"Disqualified Status; ",""))</x:f>
        <x:v/>
      </x:c>
      <x:c r="G396" s="331" t="str">
        <x:f>IF($H396="","",IFERROR(INDEX('Game Records'!$M:$M,$H396),""))</x:f>
        <x:v/>
      </x:c>
      <x:c r="H396" s="104" t="str">
        <x:f>IF($H395="","",IFERROR(MATCH(1,INDEX((ROW('Game Records'!$U$5:$U$504)&gt;$H395)*(('Game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7" ht="24" customHeight="1">
      <x:c r="A397" s="332" t="str">
        <x:f>IF($H397="","",ROWS($A$5:A397))</x:f>
        <x:v/>
      </x:c>
      <x:c r="B397" s="332" t="str">
        <x:f>IF($H397="","","G-"&amp;TEXT($A397,"0000"))</x:f>
        <x:v/>
      </x:c>
      <x:c r="C397" s="331" t="str">
        <x:f>IF($H397="","",IFERROR(INDEX('Game Records'!$A:$A,$H397),""))</x:f>
        <x:v/>
      </x:c>
      <x:c r="D397" s="331" t="str">
        <x:f>IF($H397="","",IFERROR(INDEX('Game Records'!$U:$U,$H397),""))</x:f>
        <x:v/>
      </x:c>
      <x:c r="E397" s="331" t="str">
        <x:f>IF($H397="","",IF($F397="","No Highlighted Fields","Highlighted Fields Present"))</x:f>
        <x:v/>
      </x:c>
      <x:c r="F397" s="331" t="str">
        <x:f>IF($H397="","",IF(INDEX('Game Records'!$B:$B,$H397)="","Start Date; ","")&amp;IF(INDEX('Game Records'!$C:$C,$H397)="","End Date; ","")&amp;IF(AND(INDEX('Game Records'!$U:$U,$H397)&lt;&gt;"Subscription",INDEX('Game Records'!$U:$U,$H397)&lt;&gt;"Free Game",INDEX('Game Records'!$U:$U,$H397)&lt;&gt;"Disqualified — Free Game",OR(INDEX('Game Records'!$D:$D,$H397)="",LOWER(INDEX('Game Records'!$D:$D,$H397)&amp;"")="n/a")),"Entry Mode; ","")&amp;IF(AND(INDEX('Game Records'!$U:$U,$H397)&lt;&gt;"Subscription",INDEX('Game Records'!$U:$U,$H397)&lt;&gt;"Free Game",INDEX('Game Records'!$U:$U,$H397)&lt;&gt;"Disqualified — Free Game",OR(INDEX('Game Records'!$E:$E,$H397)="",LOWER(INDEX('Game Records'!$E:$E,$H397)&amp;"")="n/a")),"Game Type; ","")&amp;IF(INDEX('Game Records'!$F:$F,$H397)="","Payment Type; ","")&amp;IF(AND(INDEX('Game Records'!$U:$U,$H397)&lt;&gt;"Subscription",INDEX('Game Records'!$U:$U,$H397)&lt;&gt;"Free Game",INDEX('Game Records'!$U:$U,$H397)&lt;&gt;"Disqualified — Free Game",INDEX('Game Records'!$G:$G,$H397)=""),"Gross Pot; ","")&amp;IF(AND(INDEX('Game Records'!$U:$U,$H397)&lt;&gt;"Free Game",INDEX('Game Records'!$U:$U,$H397)&lt;&gt;"Disqualified — Free Game",INDEX('Game Records'!$H:$H,$H397)=""),"Entry Fee; ","")&amp;IF(AND(INDEX('Game Records'!$U:$U,$H397)&lt;&gt;"Subscription",INDEX('Game Records'!$U:$U,$H397)&lt;&gt;"Free Game",INDEX('Game Records'!$U:$U,$H397)&lt;&gt;"Disqualified — Free Game",INDEX('Game Records'!$I:$I,$H397)=""),"Eligible Players; ","")&amp;IF(AND(INDEX('Game Records'!$U:$U,$H397)&lt;&gt;"Subscription",INDEX('Game Records'!$U:$U,$H397)&lt;&gt;"Free Game",INDEX('Game Records'!$U:$U,$H397)&lt;&gt;"Disqualified — Free Game",INDEX('Game Records'!$J:$J,$H397)=""),"Total Players; ","")&amp;IF(AND(LOWER(INDEX('Game Records'!$D:$D,$H397)&amp;"")="finalized",LOWER(INDEX('Game Records'!$L:$L,$H397)&amp;"")&lt;&gt;"yes",INDEX('Game Records'!$U:$U,$H397)&lt;&gt;"Subscription",INDEX('Game Records'!$U:$U,$H397)&lt;&gt;"Free Game",INDEX('Game Records'!$U:$U,$H397)&lt;&gt;"Disqualified — Free Game",INDEX('Game Records'!$K:$K,$H397)=""),"Final Earned; ","")&amp;IF(AND(LOWER(INDEX('Game Records'!$D:$D,$H397)&amp;"")="finalized",INDEX('Game Records'!$U:$U,$H397)&lt;&gt;"Subscription",INDEX('Game Records'!$U:$U,$H397)&lt;&gt;"Free Game",INDEX('Game Records'!$U:$U,$H397)&lt;&gt;"Disqualified — Free Game",OR(INDEX('Game Records'!$L:$L,$H397)="",LOWER(INDEX('Game Records'!$L:$L,$H397)&amp;"")="n/a")),"Disqualified Status; ",""))</x:f>
        <x:v/>
      </x:c>
      <x:c r="G397" s="331" t="str">
        <x:f>IF($H397="","",IFERROR(INDEX('Game Records'!$M:$M,$H397),""))</x:f>
        <x:v/>
      </x:c>
      <x:c r="H397" s="104" t="str">
        <x:f>IF($H396="","",IFERROR(MATCH(1,INDEX((ROW('Game Records'!$U$5:$U$504)&gt;$H396)*(('Game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8" ht="24" customHeight="1">
      <x:c r="A398" s="332" t="str">
        <x:f>IF($H398="","",ROWS($A$5:A398))</x:f>
        <x:v/>
      </x:c>
      <x:c r="B398" s="332" t="str">
        <x:f>IF($H398="","","G-"&amp;TEXT($A398,"0000"))</x:f>
        <x:v/>
      </x:c>
      <x:c r="C398" s="331" t="str">
        <x:f>IF($H398="","",IFERROR(INDEX('Game Records'!$A:$A,$H398),""))</x:f>
        <x:v/>
      </x:c>
      <x:c r="D398" s="331" t="str">
        <x:f>IF($H398="","",IFERROR(INDEX('Game Records'!$U:$U,$H398),""))</x:f>
        <x:v/>
      </x:c>
      <x:c r="E398" s="331" t="str">
        <x:f>IF($H398="","",IF($F398="","No Highlighted Fields","Highlighted Fields Present"))</x:f>
        <x:v/>
      </x:c>
      <x:c r="F398" s="331" t="str">
        <x:f>IF($H398="","",IF(INDEX('Game Records'!$B:$B,$H398)="","Start Date; ","")&amp;IF(INDEX('Game Records'!$C:$C,$H398)="","End Date; ","")&amp;IF(AND(INDEX('Game Records'!$U:$U,$H398)&lt;&gt;"Subscription",INDEX('Game Records'!$U:$U,$H398)&lt;&gt;"Free Game",INDEX('Game Records'!$U:$U,$H398)&lt;&gt;"Disqualified — Free Game",OR(INDEX('Game Records'!$D:$D,$H398)="",LOWER(INDEX('Game Records'!$D:$D,$H398)&amp;"")="n/a")),"Entry Mode; ","")&amp;IF(AND(INDEX('Game Records'!$U:$U,$H398)&lt;&gt;"Subscription",INDEX('Game Records'!$U:$U,$H398)&lt;&gt;"Free Game",INDEX('Game Records'!$U:$U,$H398)&lt;&gt;"Disqualified — Free Game",OR(INDEX('Game Records'!$E:$E,$H398)="",LOWER(INDEX('Game Records'!$E:$E,$H398)&amp;"")="n/a")),"Game Type; ","")&amp;IF(INDEX('Game Records'!$F:$F,$H398)="","Payment Type; ","")&amp;IF(AND(INDEX('Game Records'!$U:$U,$H398)&lt;&gt;"Subscription",INDEX('Game Records'!$U:$U,$H398)&lt;&gt;"Free Game",INDEX('Game Records'!$U:$U,$H398)&lt;&gt;"Disqualified — Free Game",INDEX('Game Records'!$G:$G,$H398)=""),"Gross Pot; ","")&amp;IF(AND(INDEX('Game Records'!$U:$U,$H398)&lt;&gt;"Free Game",INDEX('Game Records'!$U:$U,$H398)&lt;&gt;"Disqualified — Free Game",INDEX('Game Records'!$H:$H,$H398)=""),"Entry Fee; ","")&amp;IF(AND(INDEX('Game Records'!$U:$U,$H398)&lt;&gt;"Subscription",INDEX('Game Records'!$U:$U,$H398)&lt;&gt;"Free Game",INDEX('Game Records'!$U:$U,$H398)&lt;&gt;"Disqualified — Free Game",INDEX('Game Records'!$I:$I,$H398)=""),"Eligible Players; ","")&amp;IF(AND(INDEX('Game Records'!$U:$U,$H398)&lt;&gt;"Subscription",INDEX('Game Records'!$U:$U,$H398)&lt;&gt;"Free Game",INDEX('Game Records'!$U:$U,$H398)&lt;&gt;"Disqualified — Free Game",INDEX('Game Records'!$J:$J,$H398)=""),"Total Players; ","")&amp;IF(AND(LOWER(INDEX('Game Records'!$D:$D,$H398)&amp;"")="finalized",LOWER(INDEX('Game Records'!$L:$L,$H398)&amp;"")&lt;&gt;"yes",INDEX('Game Records'!$U:$U,$H398)&lt;&gt;"Subscription",INDEX('Game Records'!$U:$U,$H398)&lt;&gt;"Free Game",INDEX('Game Records'!$U:$U,$H398)&lt;&gt;"Disqualified — Free Game",INDEX('Game Records'!$K:$K,$H398)=""),"Final Earned; ","")&amp;IF(AND(LOWER(INDEX('Game Records'!$D:$D,$H398)&amp;"")="finalized",INDEX('Game Records'!$U:$U,$H398)&lt;&gt;"Subscription",INDEX('Game Records'!$U:$U,$H398)&lt;&gt;"Free Game",INDEX('Game Records'!$U:$U,$H398)&lt;&gt;"Disqualified — Free Game",OR(INDEX('Game Records'!$L:$L,$H398)="",LOWER(INDEX('Game Records'!$L:$L,$H398)&amp;"")="n/a")),"Disqualified Status; ",""))</x:f>
        <x:v/>
      </x:c>
      <x:c r="G398" s="331" t="str">
        <x:f>IF($H398="","",IFERROR(INDEX('Game Records'!$M:$M,$H398),""))</x:f>
        <x:v/>
      </x:c>
      <x:c r="H398" s="104" t="str">
        <x:f>IF($H397="","",IFERROR(MATCH(1,INDEX((ROW('Game Records'!$U$5:$U$504)&gt;$H397)*(('Game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399" ht="24" customHeight="1">
      <x:c r="A399" s="332" t="str">
        <x:f>IF($H399="","",ROWS($A$5:A399))</x:f>
        <x:v/>
      </x:c>
      <x:c r="B399" s="332" t="str">
        <x:f>IF($H399="","","G-"&amp;TEXT($A399,"0000"))</x:f>
        <x:v/>
      </x:c>
      <x:c r="C399" s="331" t="str">
        <x:f>IF($H399="","",IFERROR(INDEX('Game Records'!$A:$A,$H399),""))</x:f>
        <x:v/>
      </x:c>
      <x:c r="D399" s="331" t="str">
        <x:f>IF($H399="","",IFERROR(INDEX('Game Records'!$U:$U,$H399),""))</x:f>
        <x:v/>
      </x:c>
      <x:c r="E399" s="331" t="str">
        <x:f>IF($H399="","",IF($F399="","No Highlighted Fields","Highlighted Fields Present"))</x:f>
        <x:v/>
      </x:c>
      <x:c r="F399" s="331" t="str">
        <x:f>IF($H399="","",IF(INDEX('Game Records'!$B:$B,$H399)="","Start Date; ","")&amp;IF(INDEX('Game Records'!$C:$C,$H399)="","End Date; ","")&amp;IF(AND(INDEX('Game Records'!$U:$U,$H399)&lt;&gt;"Subscription",INDEX('Game Records'!$U:$U,$H399)&lt;&gt;"Free Game",INDEX('Game Records'!$U:$U,$H399)&lt;&gt;"Disqualified — Free Game",OR(INDEX('Game Records'!$D:$D,$H399)="",LOWER(INDEX('Game Records'!$D:$D,$H399)&amp;"")="n/a")),"Entry Mode; ","")&amp;IF(AND(INDEX('Game Records'!$U:$U,$H399)&lt;&gt;"Subscription",INDEX('Game Records'!$U:$U,$H399)&lt;&gt;"Free Game",INDEX('Game Records'!$U:$U,$H399)&lt;&gt;"Disqualified — Free Game",OR(INDEX('Game Records'!$E:$E,$H399)="",LOWER(INDEX('Game Records'!$E:$E,$H399)&amp;"")="n/a")),"Game Type; ","")&amp;IF(INDEX('Game Records'!$F:$F,$H399)="","Payment Type; ","")&amp;IF(AND(INDEX('Game Records'!$U:$U,$H399)&lt;&gt;"Subscription",INDEX('Game Records'!$U:$U,$H399)&lt;&gt;"Free Game",INDEX('Game Records'!$U:$U,$H399)&lt;&gt;"Disqualified — Free Game",INDEX('Game Records'!$G:$G,$H399)=""),"Gross Pot; ","")&amp;IF(AND(INDEX('Game Records'!$U:$U,$H399)&lt;&gt;"Free Game",INDEX('Game Records'!$U:$U,$H399)&lt;&gt;"Disqualified — Free Game",INDEX('Game Records'!$H:$H,$H399)=""),"Entry Fee; ","")&amp;IF(AND(INDEX('Game Records'!$U:$U,$H399)&lt;&gt;"Subscription",INDEX('Game Records'!$U:$U,$H399)&lt;&gt;"Free Game",INDEX('Game Records'!$U:$U,$H399)&lt;&gt;"Disqualified — Free Game",INDEX('Game Records'!$I:$I,$H399)=""),"Eligible Players; ","")&amp;IF(AND(INDEX('Game Records'!$U:$U,$H399)&lt;&gt;"Subscription",INDEX('Game Records'!$U:$U,$H399)&lt;&gt;"Free Game",INDEX('Game Records'!$U:$U,$H399)&lt;&gt;"Disqualified — Free Game",INDEX('Game Records'!$J:$J,$H399)=""),"Total Players; ","")&amp;IF(AND(LOWER(INDEX('Game Records'!$D:$D,$H399)&amp;"")="finalized",LOWER(INDEX('Game Records'!$L:$L,$H399)&amp;"")&lt;&gt;"yes",INDEX('Game Records'!$U:$U,$H399)&lt;&gt;"Subscription",INDEX('Game Records'!$U:$U,$H399)&lt;&gt;"Free Game",INDEX('Game Records'!$U:$U,$H399)&lt;&gt;"Disqualified — Free Game",INDEX('Game Records'!$K:$K,$H399)=""),"Final Earned; ","")&amp;IF(AND(LOWER(INDEX('Game Records'!$D:$D,$H399)&amp;"")="finalized",INDEX('Game Records'!$U:$U,$H399)&lt;&gt;"Subscription",INDEX('Game Records'!$U:$U,$H399)&lt;&gt;"Free Game",INDEX('Game Records'!$U:$U,$H399)&lt;&gt;"Disqualified — Free Game",OR(INDEX('Game Records'!$L:$L,$H399)="",LOWER(INDEX('Game Records'!$L:$L,$H399)&amp;"")="n/a")),"Disqualified Status; ",""))</x:f>
        <x:v/>
      </x:c>
      <x:c r="G399" s="331" t="str">
        <x:f>IF($H399="","",IFERROR(INDEX('Game Records'!$M:$M,$H399),""))</x:f>
        <x:v/>
      </x:c>
      <x:c r="H399" s="104" t="str">
        <x:f>IF($H398="","",IFERROR(MATCH(1,INDEX((ROW('Game Records'!$U$5:$U$504)&gt;$H398)*(('Game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0" ht="24" customHeight="1">
      <x:c r="A400" s="332" t="str">
        <x:f>IF($H400="","",ROWS($A$5:A400))</x:f>
        <x:v/>
      </x:c>
      <x:c r="B400" s="332" t="str">
        <x:f>IF($H400="","","G-"&amp;TEXT($A400,"0000"))</x:f>
        <x:v/>
      </x:c>
      <x:c r="C400" s="331" t="str">
        <x:f>IF($H400="","",IFERROR(INDEX('Game Records'!$A:$A,$H400),""))</x:f>
        <x:v/>
      </x:c>
      <x:c r="D400" s="331" t="str">
        <x:f>IF($H400="","",IFERROR(INDEX('Game Records'!$U:$U,$H400),""))</x:f>
        <x:v/>
      </x:c>
      <x:c r="E400" s="331" t="str">
        <x:f>IF($H400="","",IF($F400="","No Highlighted Fields","Highlighted Fields Present"))</x:f>
        <x:v/>
      </x:c>
      <x:c r="F400" s="331" t="str">
        <x:f>IF($H400="","",IF(INDEX('Game Records'!$B:$B,$H400)="","Start Date; ","")&amp;IF(INDEX('Game Records'!$C:$C,$H400)="","End Date; ","")&amp;IF(AND(INDEX('Game Records'!$U:$U,$H400)&lt;&gt;"Subscription",INDEX('Game Records'!$U:$U,$H400)&lt;&gt;"Free Game",INDEX('Game Records'!$U:$U,$H400)&lt;&gt;"Disqualified — Free Game",OR(INDEX('Game Records'!$D:$D,$H400)="",LOWER(INDEX('Game Records'!$D:$D,$H400)&amp;"")="n/a")),"Entry Mode; ","")&amp;IF(AND(INDEX('Game Records'!$U:$U,$H400)&lt;&gt;"Subscription",INDEX('Game Records'!$U:$U,$H400)&lt;&gt;"Free Game",INDEX('Game Records'!$U:$U,$H400)&lt;&gt;"Disqualified — Free Game",OR(INDEX('Game Records'!$E:$E,$H400)="",LOWER(INDEX('Game Records'!$E:$E,$H400)&amp;"")="n/a")),"Game Type; ","")&amp;IF(INDEX('Game Records'!$F:$F,$H400)="","Payment Type; ","")&amp;IF(AND(INDEX('Game Records'!$U:$U,$H400)&lt;&gt;"Subscription",INDEX('Game Records'!$U:$U,$H400)&lt;&gt;"Free Game",INDEX('Game Records'!$U:$U,$H400)&lt;&gt;"Disqualified — Free Game",INDEX('Game Records'!$G:$G,$H400)=""),"Gross Pot; ","")&amp;IF(AND(INDEX('Game Records'!$U:$U,$H400)&lt;&gt;"Free Game",INDEX('Game Records'!$U:$U,$H400)&lt;&gt;"Disqualified — Free Game",INDEX('Game Records'!$H:$H,$H400)=""),"Entry Fee; ","")&amp;IF(AND(INDEX('Game Records'!$U:$U,$H400)&lt;&gt;"Subscription",INDEX('Game Records'!$U:$U,$H400)&lt;&gt;"Free Game",INDEX('Game Records'!$U:$U,$H400)&lt;&gt;"Disqualified — Free Game",INDEX('Game Records'!$I:$I,$H400)=""),"Eligible Players; ","")&amp;IF(AND(INDEX('Game Records'!$U:$U,$H400)&lt;&gt;"Subscription",INDEX('Game Records'!$U:$U,$H400)&lt;&gt;"Free Game",INDEX('Game Records'!$U:$U,$H400)&lt;&gt;"Disqualified — Free Game",INDEX('Game Records'!$J:$J,$H400)=""),"Total Players; ","")&amp;IF(AND(LOWER(INDEX('Game Records'!$D:$D,$H400)&amp;"")="finalized",LOWER(INDEX('Game Records'!$L:$L,$H400)&amp;"")&lt;&gt;"yes",INDEX('Game Records'!$U:$U,$H400)&lt;&gt;"Subscription",INDEX('Game Records'!$U:$U,$H400)&lt;&gt;"Free Game",INDEX('Game Records'!$U:$U,$H400)&lt;&gt;"Disqualified — Free Game",INDEX('Game Records'!$K:$K,$H400)=""),"Final Earned; ","")&amp;IF(AND(LOWER(INDEX('Game Records'!$D:$D,$H400)&amp;"")="finalized",INDEX('Game Records'!$U:$U,$H400)&lt;&gt;"Subscription",INDEX('Game Records'!$U:$U,$H400)&lt;&gt;"Free Game",INDEX('Game Records'!$U:$U,$H400)&lt;&gt;"Disqualified — Free Game",OR(INDEX('Game Records'!$L:$L,$H400)="",LOWER(INDEX('Game Records'!$L:$L,$H400)&amp;"")="n/a")),"Disqualified Status; ",""))</x:f>
        <x:v/>
      </x:c>
      <x:c r="G400" s="331" t="str">
        <x:f>IF($H400="","",IFERROR(INDEX('Game Records'!$M:$M,$H400),""))</x:f>
        <x:v/>
      </x:c>
      <x:c r="H400" s="104" t="str">
        <x:f>IF($H399="","",IFERROR(MATCH(1,INDEX((ROW('Game Records'!$U$5:$U$504)&gt;$H399)*(('Game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1" ht="24" customHeight="1">
      <x:c r="A401" s="332" t="str">
        <x:f>IF($H401="","",ROWS($A$5:A401))</x:f>
        <x:v/>
      </x:c>
      <x:c r="B401" s="332" t="str">
        <x:f>IF($H401="","","G-"&amp;TEXT($A401,"0000"))</x:f>
        <x:v/>
      </x:c>
      <x:c r="C401" s="331" t="str">
        <x:f>IF($H401="","",IFERROR(INDEX('Game Records'!$A:$A,$H401),""))</x:f>
        <x:v/>
      </x:c>
      <x:c r="D401" s="331" t="str">
        <x:f>IF($H401="","",IFERROR(INDEX('Game Records'!$U:$U,$H401),""))</x:f>
        <x:v/>
      </x:c>
      <x:c r="E401" s="331" t="str">
        <x:f>IF($H401="","",IF($F401="","No Highlighted Fields","Highlighted Fields Present"))</x:f>
        <x:v/>
      </x:c>
      <x:c r="F401" s="331" t="str">
        <x:f>IF($H401="","",IF(INDEX('Game Records'!$B:$B,$H401)="","Start Date; ","")&amp;IF(INDEX('Game Records'!$C:$C,$H401)="","End Date; ","")&amp;IF(AND(INDEX('Game Records'!$U:$U,$H401)&lt;&gt;"Subscription",INDEX('Game Records'!$U:$U,$H401)&lt;&gt;"Free Game",INDEX('Game Records'!$U:$U,$H401)&lt;&gt;"Disqualified — Free Game",OR(INDEX('Game Records'!$D:$D,$H401)="",LOWER(INDEX('Game Records'!$D:$D,$H401)&amp;"")="n/a")),"Entry Mode; ","")&amp;IF(AND(INDEX('Game Records'!$U:$U,$H401)&lt;&gt;"Subscription",INDEX('Game Records'!$U:$U,$H401)&lt;&gt;"Free Game",INDEX('Game Records'!$U:$U,$H401)&lt;&gt;"Disqualified — Free Game",OR(INDEX('Game Records'!$E:$E,$H401)="",LOWER(INDEX('Game Records'!$E:$E,$H401)&amp;"")="n/a")),"Game Type; ","")&amp;IF(INDEX('Game Records'!$F:$F,$H401)="","Payment Type; ","")&amp;IF(AND(INDEX('Game Records'!$U:$U,$H401)&lt;&gt;"Subscription",INDEX('Game Records'!$U:$U,$H401)&lt;&gt;"Free Game",INDEX('Game Records'!$U:$U,$H401)&lt;&gt;"Disqualified — Free Game",INDEX('Game Records'!$G:$G,$H401)=""),"Gross Pot; ","")&amp;IF(AND(INDEX('Game Records'!$U:$U,$H401)&lt;&gt;"Free Game",INDEX('Game Records'!$U:$U,$H401)&lt;&gt;"Disqualified — Free Game",INDEX('Game Records'!$H:$H,$H401)=""),"Entry Fee; ","")&amp;IF(AND(INDEX('Game Records'!$U:$U,$H401)&lt;&gt;"Subscription",INDEX('Game Records'!$U:$U,$H401)&lt;&gt;"Free Game",INDEX('Game Records'!$U:$U,$H401)&lt;&gt;"Disqualified — Free Game",INDEX('Game Records'!$I:$I,$H401)=""),"Eligible Players; ","")&amp;IF(AND(INDEX('Game Records'!$U:$U,$H401)&lt;&gt;"Subscription",INDEX('Game Records'!$U:$U,$H401)&lt;&gt;"Free Game",INDEX('Game Records'!$U:$U,$H401)&lt;&gt;"Disqualified — Free Game",INDEX('Game Records'!$J:$J,$H401)=""),"Total Players; ","")&amp;IF(AND(LOWER(INDEX('Game Records'!$D:$D,$H401)&amp;"")="finalized",LOWER(INDEX('Game Records'!$L:$L,$H401)&amp;"")&lt;&gt;"yes",INDEX('Game Records'!$U:$U,$H401)&lt;&gt;"Subscription",INDEX('Game Records'!$U:$U,$H401)&lt;&gt;"Free Game",INDEX('Game Records'!$U:$U,$H401)&lt;&gt;"Disqualified — Free Game",INDEX('Game Records'!$K:$K,$H401)=""),"Final Earned; ","")&amp;IF(AND(LOWER(INDEX('Game Records'!$D:$D,$H401)&amp;"")="finalized",INDEX('Game Records'!$U:$U,$H401)&lt;&gt;"Subscription",INDEX('Game Records'!$U:$U,$H401)&lt;&gt;"Free Game",INDEX('Game Records'!$U:$U,$H401)&lt;&gt;"Disqualified — Free Game",OR(INDEX('Game Records'!$L:$L,$H401)="",LOWER(INDEX('Game Records'!$L:$L,$H401)&amp;"")="n/a")),"Disqualified Status; ",""))</x:f>
        <x:v/>
      </x:c>
      <x:c r="G401" s="331" t="str">
        <x:f>IF($H401="","",IFERROR(INDEX('Game Records'!$M:$M,$H401),""))</x:f>
        <x:v/>
      </x:c>
      <x:c r="H401" s="104" t="str">
        <x:f>IF($H400="","",IFERROR(MATCH(1,INDEX((ROW('Game Records'!$U$5:$U$504)&gt;$H400)*(('Game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2" ht="24" customHeight="1">
      <x:c r="A402" s="332" t="str">
        <x:f>IF($H402="","",ROWS($A$5:A402))</x:f>
        <x:v/>
      </x:c>
      <x:c r="B402" s="332" t="str">
        <x:f>IF($H402="","","G-"&amp;TEXT($A402,"0000"))</x:f>
        <x:v/>
      </x:c>
      <x:c r="C402" s="331" t="str">
        <x:f>IF($H402="","",IFERROR(INDEX('Game Records'!$A:$A,$H402),""))</x:f>
        <x:v/>
      </x:c>
      <x:c r="D402" s="331" t="str">
        <x:f>IF($H402="","",IFERROR(INDEX('Game Records'!$U:$U,$H402),""))</x:f>
        <x:v/>
      </x:c>
      <x:c r="E402" s="331" t="str">
        <x:f>IF($H402="","",IF($F402="","No Highlighted Fields","Highlighted Fields Present"))</x:f>
        <x:v/>
      </x:c>
      <x:c r="F402" s="331" t="str">
        <x:f>IF($H402="","",IF(INDEX('Game Records'!$B:$B,$H402)="","Start Date; ","")&amp;IF(INDEX('Game Records'!$C:$C,$H402)="","End Date; ","")&amp;IF(AND(INDEX('Game Records'!$U:$U,$H402)&lt;&gt;"Subscription",INDEX('Game Records'!$U:$U,$H402)&lt;&gt;"Free Game",INDEX('Game Records'!$U:$U,$H402)&lt;&gt;"Disqualified — Free Game",OR(INDEX('Game Records'!$D:$D,$H402)="",LOWER(INDEX('Game Records'!$D:$D,$H402)&amp;"")="n/a")),"Entry Mode; ","")&amp;IF(AND(INDEX('Game Records'!$U:$U,$H402)&lt;&gt;"Subscription",INDEX('Game Records'!$U:$U,$H402)&lt;&gt;"Free Game",INDEX('Game Records'!$U:$U,$H402)&lt;&gt;"Disqualified — Free Game",OR(INDEX('Game Records'!$E:$E,$H402)="",LOWER(INDEX('Game Records'!$E:$E,$H402)&amp;"")="n/a")),"Game Type; ","")&amp;IF(INDEX('Game Records'!$F:$F,$H402)="","Payment Type; ","")&amp;IF(AND(INDEX('Game Records'!$U:$U,$H402)&lt;&gt;"Subscription",INDEX('Game Records'!$U:$U,$H402)&lt;&gt;"Free Game",INDEX('Game Records'!$U:$U,$H402)&lt;&gt;"Disqualified — Free Game",INDEX('Game Records'!$G:$G,$H402)=""),"Gross Pot; ","")&amp;IF(AND(INDEX('Game Records'!$U:$U,$H402)&lt;&gt;"Free Game",INDEX('Game Records'!$U:$U,$H402)&lt;&gt;"Disqualified — Free Game",INDEX('Game Records'!$H:$H,$H402)=""),"Entry Fee; ","")&amp;IF(AND(INDEX('Game Records'!$U:$U,$H402)&lt;&gt;"Subscription",INDEX('Game Records'!$U:$U,$H402)&lt;&gt;"Free Game",INDEX('Game Records'!$U:$U,$H402)&lt;&gt;"Disqualified — Free Game",INDEX('Game Records'!$I:$I,$H402)=""),"Eligible Players; ","")&amp;IF(AND(INDEX('Game Records'!$U:$U,$H402)&lt;&gt;"Subscription",INDEX('Game Records'!$U:$U,$H402)&lt;&gt;"Free Game",INDEX('Game Records'!$U:$U,$H402)&lt;&gt;"Disqualified — Free Game",INDEX('Game Records'!$J:$J,$H402)=""),"Total Players; ","")&amp;IF(AND(LOWER(INDEX('Game Records'!$D:$D,$H402)&amp;"")="finalized",LOWER(INDEX('Game Records'!$L:$L,$H402)&amp;"")&lt;&gt;"yes",INDEX('Game Records'!$U:$U,$H402)&lt;&gt;"Subscription",INDEX('Game Records'!$U:$U,$H402)&lt;&gt;"Free Game",INDEX('Game Records'!$U:$U,$H402)&lt;&gt;"Disqualified — Free Game",INDEX('Game Records'!$K:$K,$H402)=""),"Final Earned; ","")&amp;IF(AND(LOWER(INDEX('Game Records'!$D:$D,$H402)&amp;"")="finalized",INDEX('Game Records'!$U:$U,$H402)&lt;&gt;"Subscription",INDEX('Game Records'!$U:$U,$H402)&lt;&gt;"Free Game",INDEX('Game Records'!$U:$U,$H402)&lt;&gt;"Disqualified — Free Game",OR(INDEX('Game Records'!$L:$L,$H402)="",LOWER(INDEX('Game Records'!$L:$L,$H402)&amp;"")="n/a")),"Disqualified Status; ",""))</x:f>
        <x:v/>
      </x:c>
      <x:c r="G402" s="331" t="str">
        <x:f>IF($H402="","",IFERROR(INDEX('Game Records'!$M:$M,$H402),""))</x:f>
        <x:v/>
      </x:c>
      <x:c r="H402" s="104" t="str">
        <x:f>IF($H401="","",IFERROR(MATCH(1,INDEX((ROW('Game Records'!$U$5:$U$504)&gt;$H401)*(('Game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3" ht="24" customHeight="1">
      <x:c r="A403" s="332" t="str">
        <x:f>IF($H403="","",ROWS($A$5:A403))</x:f>
        <x:v/>
      </x:c>
      <x:c r="B403" s="332" t="str">
        <x:f>IF($H403="","","G-"&amp;TEXT($A403,"0000"))</x:f>
        <x:v/>
      </x:c>
      <x:c r="C403" s="331" t="str">
        <x:f>IF($H403="","",IFERROR(INDEX('Game Records'!$A:$A,$H403),""))</x:f>
        <x:v/>
      </x:c>
      <x:c r="D403" s="331" t="str">
        <x:f>IF($H403="","",IFERROR(INDEX('Game Records'!$U:$U,$H403),""))</x:f>
        <x:v/>
      </x:c>
      <x:c r="E403" s="331" t="str">
        <x:f>IF($H403="","",IF($F403="","No Highlighted Fields","Highlighted Fields Present"))</x:f>
        <x:v/>
      </x:c>
      <x:c r="F403" s="331" t="str">
        <x:f>IF($H403="","",IF(INDEX('Game Records'!$B:$B,$H403)="","Start Date; ","")&amp;IF(INDEX('Game Records'!$C:$C,$H403)="","End Date; ","")&amp;IF(AND(INDEX('Game Records'!$U:$U,$H403)&lt;&gt;"Subscription",INDEX('Game Records'!$U:$U,$H403)&lt;&gt;"Free Game",INDEX('Game Records'!$U:$U,$H403)&lt;&gt;"Disqualified — Free Game",OR(INDEX('Game Records'!$D:$D,$H403)="",LOWER(INDEX('Game Records'!$D:$D,$H403)&amp;"")="n/a")),"Entry Mode; ","")&amp;IF(AND(INDEX('Game Records'!$U:$U,$H403)&lt;&gt;"Subscription",INDEX('Game Records'!$U:$U,$H403)&lt;&gt;"Free Game",INDEX('Game Records'!$U:$U,$H403)&lt;&gt;"Disqualified — Free Game",OR(INDEX('Game Records'!$E:$E,$H403)="",LOWER(INDEX('Game Records'!$E:$E,$H403)&amp;"")="n/a")),"Game Type; ","")&amp;IF(INDEX('Game Records'!$F:$F,$H403)="","Payment Type; ","")&amp;IF(AND(INDEX('Game Records'!$U:$U,$H403)&lt;&gt;"Subscription",INDEX('Game Records'!$U:$U,$H403)&lt;&gt;"Free Game",INDEX('Game Records'!$U:$U,$H403)&lt;&gt;"Disqualified — Free Game",INDEX('Game Records'!$G:$G,$H403)=""),"Gross Pot; ","")&amp;IF(AND(INDEX('Game Records'!$U:$U,$H403)&lt;&gt;"Free Game",INDEX('Game Records'!$U:$U,$H403)&lt;&gt;"Disqualified — Free Game",INDEX('Game Records'!$H:$H,$H403)=""),"Entry Fee; ","")&amp;IF(AND(INDEX('Game Records'!$U:$U,$H403)&lt;&gt;"Subscription",INDEX('Game Records'!$U:$U,$H403)&lt;&gt;"Free Game",INDEX('Game Records'!$U:$U,$H403)&lt;&gt;"Disqualified — Free Game",INDEX('Game Records'!$I:$I,$H403)=""),"Eligible Players; ","")&amp;IF(AND(INDEX('Game Records'!$U:$U,$H403)&lt;&gt;"Subscription",INDEX('Game Records'!$U:$U,$H403)&lt;&gt;"Free Game",INDEX('Game Records'!$U:$U,$H403)&lt;&gt;"Disqualified — Free Game",INDEX('Game Records'!$J:$J,$H403)=""),"Total Players; ","")&amp;IF(AND(LOWER(INDEX('Game Records'!$D:$D,$H403)&amp;"")="finalized",LOWER(INDEX('Game Records'!$L:$L,$H403)&amp;"")&lt;&gt;"yes",INDEX('Game Records'!$U:$U,$H403)&lt;&gt;"Subscription",INDEX('Game Records'!$U:$U,$H403)&lt;&gt;"Free Game",INDEX('Game Records'!$U:$U,$H403)&lt;&gt;"Disqualified — Free Game",INDEX('Game Records'!$K:$K,$H403)=""),"Final Earned; ","")&amp;IF(AND(LOWER(INDEX('Game Records'!$D:$D,$H403)&amp;"")="finalized",INDEX('Game Records'!$U:$U,$H403)&lt;&gt;"Subscription",INDEX('Game Records'!$U:$U,$H403)&lt;&gt;"Free Game",INDEX('Game Records'!$U:$U,$H403)&lt;&gt;"Disqualified — Free Game",OR(INDEX('Game Records'!$L:$L,$H403)="",LOWER(INDEX('Game Records'!$L:$L,$H403)&amp;"")="n/a")),"Disqualified Status; ",""))</x:f>
        <x:v/>
      </x:c>
      <x:c r="G403" s="331" t="str">
        <x:f>IF($H403="","",IFERROR(INDEX('Game Records'!$M:$M,$H403),""))</x:f>
        <x:v/>
      </x:c>
      <x:c r="H403" s="104" t="str">
        <x:f>IF($H402="","",IFERROR(MATCH(1,INDEX((ROW('Game Records'!$U$5:$U$504)&gt;$H402)*(('Game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4" ht="24" customHeight="1">
      <x:c r="A404" s="332" t="str">
        <x:f>IF($H404="","",ROWS($A$5:A404))</x:f>
        <x:v/>
      </x:c>
      <x:c r="B404" s="332" t="str">
        <x:f>IF($H404="","","G-"&amp;TEXT($A404,"0000"))</x:f>
        <x:v/>
      </x:c>
      <x:c r="C404" s="331" t="str">
        <x:f>IF($H404="","",IFERROR(INDEX('Game Records'!$A:$A,$H404),""))</x:f>
        <x:v/>
      </x:c>
      <x:c r="D404" s="331" t="str">
        <x:f>IF($H404="","",IFERROR(INDEX('Game Records'!$U:$U,$H404),""))</x:f>
        <x:v/>
      </x:c>
      <x:c r="E404" s="331" t="str">
        <x:f>IF($H404="","",IF($F404="","No Highlighted Fields","Highlighted Fields Present"))</x:f>
        <x:v/>
      </x:c>
      <x:c r="F404" s="331" t="str">
        <x:f>IF($H404="","",IF(INDEX('Game Records'!$B:$B,$H404)="","Start Date; ","")&amp;IF(INDEX('Game Records'!$C:$C,$H404)="","End Date; ","")&amp;IF(AND(INDEX('Game Records'!$U:$U,$H404)&lt;&gt;"Subscription",INDEX('Game Records'!$U:$U,$H404)&lt;&gt;"Free Game",INDEX('Game Records'!$U:$U,$H404)&lt;&gt;"Disqualified — Free Game",OR(INDEX('Game Records'!$D:$D,$H404)="",LOWER(INDEX('Game Records'!$D:$D,$H404)&amp;"")="n/a")),"Entry Mode; ","")&amp;IF(AND(INDEX('Game Records'!$U:$U,$H404)&lt;&gt;"Subscription",INDEX('Game Records'!$U:$U,$H404)&lt;&gt;"Free Game",INDEX('Game Records'!$U:$U,$H404)&lt;&gt;"Disqualified — Free Game",OR(INDEX('Game Records'!$E:$E,$H404)="",LOWER(INDEX('Game Records'!$E:$E,$H404)&amp;"")="n/a")),"Game Type; ","")&amp;IF(INDEX('Game Records'!$F:$F,$H404)="","Payment Type; ","")&amp;IF(AND(INDEX('Game Records'!$U:$U,$H404)&lt;&gt;"Subscription",INDEX('Game Records'!$U:$U,$H404)&lt;&gt;"Free Game",INDEX('Game Records'!$U:$U,$H404)&lt;&gt;"Disqualified — Free Game",INDEX('Game Records'!$G:$G,$H404)=""),"Gross Pot; ","")&amp;IF(AND(INDEX('Game Records'!$U:$U,$H404)&lt;&gt;"Free Game",INDEX('Game Records'!$U:$U,$H404)&lt;&gt;"Disqualified — Free Game",INDEX('Game Records'!$H:$H,$H404)=""),"Entry Fee; ","")&amp;IF(AND(INDEX('Game Records'!$U:$U,$H404)&lt;&gt;"Subscription",INDEX('Game Records'!$U:$U,$H404)&lt;&gt;"Free Game",INDEX('Game Records'!$U:$U,$H404)&lt;&gt;"Disqualified — Free Game",INDEX('Game Records'!$I:$I,$H404)=""),"Eligible Players; ","")&amp;IF(AND(INDEX('Game Records'!$U:$U,$H404)&lt;&gt;"Subscription",INDEX('Game Records'!$U:$U,$H404)&lt;&gt;"Free Game",INDEX('Game Records'!$U:$U,$H404)&lt;&gt;"Disqualified — Free Game",INDEX('Game Records'!$J:$J,$H404)=""),"Total Players; ","")&amp;IF(AND(LOWER(INDEX('Game Records'!$D:$D,$H404)&amp;"")="finalized",LOWER(INDEX('Game Records'!$L:$L,$H404)&amp;"")&lt;&gt;"yes",INDEX('Game Records'!$U:$U,$H404)&lt;&gt;"Subscription",INDEX('Game Records'!$U:$U,$H404)&lt;&gt;"Free Game",INDEX('Game Records'!$U:$U,$H404)&lt;&gt;"Disqualified — Free Game",INDEX('Game Records'!$K:$K,$H404)=""),"Final Earned; ","")&amp;IF(AND(LOWER(INDEX('Game Records'!$D:$D,$H404)&amp;"")="finalized",INDEX('Game Records'!$U:$U,$H404)&lt;&gt;"Subscription",INDEX('Game Records'!$U:$U,$H404)&lt;&gt;"Free Game",INDEX('Game Records'!$U:$U,$H404)&lt;&gt;"Disqualified — Free Game",OR(INDEX('Game Records'!$L:$L,$H404)="",LOWER(INDEX('Game Records'!$L:$L,$H404)&amp;"")="n/a")),"Disqualified Status; ",""))</x:f>
        <x:v/>
      </x:c>
      <x:c r="G404" s="331" t="str">
        <x:f>IF($H404="","",IFERROR(INDEX('Game Records'!$M:$M,$H404),""))</x:f>
        <x:v/>
      </x:c>
      <x:c r="H404" s="104" t="str">
        <x:f>IF($H403="","",IFERROR(MATCH(1,INDEX((ROW('Game Records'!$U$5:$U$504)&gt;$H403)*(('Game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5" ht="24" customHeight="1">
      <x:c r="A405" s="332" t="str">
        <x:f>IF($H405="","",ROWS($A$5:A405))</x:f>
        <x:v/>
      </x:c>
      <x:c r="B405" s="332" t="str">
        <x:f>IF($H405="","","G-"&amp;TEXT($A405,"0000"))</x:f>
        <x:v/>
      </x:c>
      <x:c r="C405" s="331" t="str">
        <x:f>IF($H405="","",IFERROR(INDEX('Game Records'!$A:$A,$H405),""))</x:f>
        <x:v/>
      </x:c>
      <x:c r="D405" s="331" t="str">
        <x:f>IF($H405="","",IFERROR(INDEX('Game Records'!$U:$U,$H405),""))</x:f>
        <x:v/>
      </x:c>
      <x:c r="E405" s="331" t="str">
        <x:f>IF($H405="","",IF($F405="","No Highlighted Fields","Highlighted Fields Present"))</x:f>
        <x:v/>
      </x:c>
      <x:c r="F405" s="331" t="str">
        <x:f>IF($H405="","",IF(INDEX('Game Records'!$B:$B,$H405)="","Start Date; ","")&amp;IF(INDEX('Game Records'!$C:$C,$H405)="","End Date; ","")&amp;IF(AND(INDEX('Game Records'!$U:$U,$H405)&lt;&gt;"Subscription",INDEX('Game Records'!$U:$U,$H405)&lt;&gt;"Free Game",INDEX('Game Records'!$U:$U,$H405)&lt;&gt;"Disqualified — Free Game",OR(INDEX('Game Records'!$D:$D,$H405)="",LOWER(INDEX('Game Records'!$D:$D,$H405)&amp;"")="n/a")),"Entry Mode; ","")&amp;IF(AND(INDEX('Game Records'!$U:$U,$H405)&lt;&gt;"Subscription",INDEX('Game Records'!$U:$U,$H405)&lt;&gt;"Free Game",INDEX('Game Records'!$U:$U,$H405)&lt;&gt;"Disqualified — Free Game",OR(INDEX('Game Records'!$E:$E,$H405)="",LOWER(INDEX('Game Records'!$E:$E,$H405)&amp;"")="n/a")),"Game Type; ","")&amp;IF(INDEX('Game Records'!$F:$F,$H405)="","Payment Type; ","")&amp;IF(AND(INDEX('Game Records'!$U:$U,$H405)&lt;&gt;"Subscription",INDEX('Game Records'!$U:$U,$H405)&lt;&gt;"Free Game",INDEX('Game Records'!$U:$U,$H405)&lt;&gt;"Disqualified — Free Game",INDEX('Game Records'!$G:$G,$H405)=""),"Gross Pot; ","")&amp;IF(AND(INDEX('Game Records'!$U:$U,$H405)&lt;&gt;"Free Game",INDEX('Game Records'!$U:$U,$H405)&lt;&gt;"Disqualified — Free Game",INDEX('Game Records'!$H:$H,$H405)=""),"Entry Fee; ","")&amp;IF(AND(INDEX('Game Records'!$U:$U,$H405)&lt;&gt;"Subscription",INDEX('Game Records'!$U:$U,$H405)&lt;&gt;"Free Game",INDEX('Game Records'!$U:$U,$H405)&lt;&gt;"Disqualified — Free Game",INDEX('Game Records'!$I:$I,$H405)=""),"Eligible Players; ","")&amp;IF(AND(INDEX('Game Records'!$U:$U,$H405)&lt;&gt;"Subscription",INDEX('Game Records'!$U:$U,$H405)&lt;&gt;"Free Game",INDEX('Game Records'!$U:$U,$H405)&lt;&gt;"Disqualified — Free Game",INDEX('Game Records'!$J:$J,$H405)=""),"Total Players; ","")&amp;IF(AND(LOWER(INDEX('Game Records'!$D:$D,$H405)&amp;"")="finalized",LOWER(INDEX('Game Records'!$L:$L,$H405)&amp;"")&lt;&gt;"yes",INDEX('Game Records'!$U:$U,$H405)&lt;&gt;"Subscription",INDEX('Game Records'!$U:$U,$H405)&lt;&gt;"Free Game",INDEX('Game Records'!$U:$U,$H405)&lt;&gt;"Disqualified — Free Game",INDEX('Game Records'!$K:$K,$H405)=""),"Final Earned; ","")&amp;IF(AND(LOWER(INDEX('Game Records'!$D:$D,$H405)&amp;"")="finalized",INDEX('Game Records'!$U:$U,$H405)&lt;&gt;"Subscription",INDEX('Game Records'!$U:$U,$H405)&lt;&gt;"Free Game",INDEX('Game Records'!$U:$U,$H405)&lt;&gt;"Disqualified — Free Game",OR(INDEX('Game Records'!$L:$L,$H405)="",LOWER(INDEX('Game Records'!$L:$L,$H405)&amp;"")="n/a")),"Disqualified Status; ",""))</x:f>
        <x:v/>
      </x:c>
      <x:c r="G405" s="331" t="str">
        <x:f>IF($H405="","",IFERROR(INDEX('Game Records'!$M:$M,$H405),""))</x:f>
        <x:v/>
      </x:c>
      <x:c r="H405" s="104" t="str">
        <x:f>IF($H404="","",IFERROR(MATCH(1,INDEX((ROW('Game Records'!$U$5:$U$504)&gt;$H404)*(('Game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6" ht="24" customHeight="1">
      <x:c r="A406" s="332" t="str">
        <x:f>IF($H406="","",ROWS($A$5:A406))</x:f>
        <x:v/>
      </x:c>
      <x:c r="B406" s="332" t="str">
        <x:f>IF($H406="","","G-"&amp;TEXT($A406,"0000"))</x:f>
        <x:v/>
      </x:c>
      <x:c r="C406" s="331" t="str">
        <x:f>IF($H406="","",IFERROR(INDEX('Game Records'!$A:$A,$H406),""))</x:f>
        <x:v/>
      </x:c>
      <x:c r="D406" s="331" t="str">
        <x:f>IF($H406="","",IFERROR(INDEX('Game Records'!$U:$U,$H406),""))</x:f>
        <x:v/>
      </x:c>
      <x:c r="E406" s="331" t="str">
        <x:f>IF($H406="","",IF($F406="","No Highlighted Fields","Highlighted Fields Present"))</x:f>
        <x:v/>
      </x:c>
      <x:c r="F406" s="331" t="str">
        <x:f>IF($H406="","",IF(INDEX('Game Records'!$B:$B,$H406)="","Start Date; ","")&amp;IF(INDEX('Game Records'!$C:$C,$H406)="","End Date; ","")&amp;IF(AND(INDEX('Game Records'!$U:$U,$H406)&lt;&gt;"Subscription",INDEX('Game Records'!$U:$U,$H406)&lt;&gt;"Free Game",INDEX('Game Records'!$U:$U,$H406)&lt;&gt;"Disqualified — Free Game",OR(INDEX('Game Records'!$D:$D,$H406)="",LOWER(INDEX('Game Records'!$D:$D,$H406)&amp;"")="n/a")),"Entry Mode; ","")&amp;IF(AND(INDEX('Game Records'!$U:$U,$H406)&lt;&gt;"Subscription",INDEX('Game Records'!$U:$U,$H406)&lt;&gt;"Free Game",INDEX('Game Records'!$U:$U,$H406)&lt;&gt;"Disqualified — Free Game",OR(INDEX('Game Records'!$E:$E,$H406)="",LOWER(INDEX('Game Records'!$E:$E,$H406)&amp;"")="n/a")),"Game Type; ","")&amp;IF(INDEX('Game Records'!$F:$F,$H406)="","Payment Type; ","")&amp;IF(AND(INDEX('Game Records'!$U:$U,$H406)&lt;&gt;"Subscription",INDEX('Game Records'!$U:$U,$H406)&lt;&gt;"Free Game",INDEX('Game Records'!$U:$U,$H406)&lt;&gt;"Disqualified — Free Game",INDEX('Game Records'!$G:$G,$H406)=""),"Gross Pot; ","")&amp;IF(AND(INDEX('Game Records'!$U:$U,$H406)&lt;&gt;"Free Game",INDEX('Game Records'!$U:$U,$H406)&lt;&gt;"Disqualified — Free Game",INDEX('Game Records'!$H:$H,$H406)=""),"Entry Fee; ","")&amp;IF(AND(INDEX('Game Records'!$U:$U,$H406)&lt;&gt;"Subscription",INDEX('Game Records'!$U:$U,$H406)&lt;&gt;"Free Game",INDEX('Game Records'!$U:$U,$H406)&lt;&gt;"Disqualified — Free Game",INDEX('Game Records'!$I:$I,$H406)=""),"Eligible Players; ","")&amp;IF(AND(INDEX('Game Records'!$U:$U,$H406)&lt;&gt;"Subscription",INDEX('Game Records'!$U:$U,$H406)&lt;&gt;"Free Game",INDEX('Game Records'!$U:$U,$H406)&lt;&gt;"Disqualified — Free Game",INDEX('Game Records'!$J:$J,$H406)=""),"Total Players; ","")&amp;IF(AND(LOWER(INDEX('Game Records'!$D:$D,$H406)&amp;"")="finalized",LOWER(INDEX('Game Records'!$L:$L,$H406)&amp;"")&lt;&gt;"yes",INDEX('Game Records'!$U:$U,$H406)&lt;&gt;"Subscription",INDEX('Game Records'!$U:$U,$H406)&lt;&gt;"Free Game",INDEX('Game Records'!$U:$U,$H406)&lt;&gt;"Disqualified — Free Game",INDEX('Game Records'!$K:$K,$H406)=""),"Final Earned; ","")&amp;IF(AND(LOWER(INDEX('Game Records'!$D:$D,$H406)&amp;"")="finalized",INDEX('Game Records'!$U:$U,$H406)&lt;&gt;"Subscription",INDEX('Game Records'!$U:$U,$H406)&lt;&gt;"Free Game",INDEX('Game Records'!$U:$U,$H406)&lt;&gt;"Disqualified — Free Game",OR(INDEX('Game Records'!$L:$L,$H406)="",LOWER(INDEX('Game Records'!$L:$L,$H406)&amp;"")="n/a")),"Disqualified Status; ",""))</x:f>
        <x:v/>
      </x:c>
      <x:c r="G406" s="331" t="str">
        <x:f>IF($H406="","",IFERROR(INDEX('Game Records'!$M:$M,$H406),""))</x:f>
        <x:v/>
      </x:c>
      <x:c r="H406" s="104" t="str">
        <x:f>IF($H405="","",IFERROR(MATCH(1,INDEX((ROW('Game Records'!$U$5:$U$504)&gt;$H405)*(('Game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7" ht="24" customHeight="1">
      <x:c r="A407" s="332" t="str">
        <x:f>IF($H407="","",ROWS($A$5:A407))</x:f>
        <x:v/>
      </x:c>
      <x:c r="B407" s="332" t="str">
        <x:f>IF($H407="","","G-"&amp;TEXT($A407,"0000"))</x:f>
        <x:v/>
      </x:c>
      <x:c r="C407" s="331" t="str">
        <x:f>IF($H407="","",IFERROR(INDEX('Game Records'!$A:$A,$H407),""))</x:f>
        <x:v/>
      </x:c>
      <x:c r="D407" s="331" t="str">
        <x:f>IF($H407="","",IFERROR(INDEX('Game Records'!$U:$U,$H407),""))</x:f>
        <x:v/>
      </x:c>
      <x:c r="E407" s="331" t="str">
        <x:f>IF($H407="","",IF($F407="","No Highlighted Fields","Highlighted Fields Present"))</x:f>
        <x:v/>
      </x:c>
      <x:c r="F407" s="331" t="str">
        <x:f>IF($H407="","",IF(INDEX('Game Records'!$B:$B,$H407)="","Start Date; ","")&amp;IF(INDEX('Game Records'!$C:$C,$H407)="","End Date; ","")&amp;IF(AND(INDEX('Game Records'!$U:$U,$H407)&lt;&gt;"Subscription",INDEX('Game Records'!$U:$U,$H407)&lt;&gt;"Free Game",INDEX('Game Records'!$U:$U,$H407)&lt;&gt;"Disqualified — Free Game",OR(INDEX('Game Records'!$D:$D,$H407)="",LOWER(INDEX('Game Records'!$D:$D,$H407)&amp;"")="n/a")),"Entry Mode; ","")&amp;IF(AND(INDEX('Game Records'!$U:$U,$H407)&lt;&gt;"Subscription",INDEX('Game Records'!$U:$U,$H407)&lt;&gt;"Free Game",INDEX('Game Records'!$U:$U,$H407)&lt;&gt;"Disqualified — Free Game",OR(INDEX('Game Records'!$E:$E,$H407)="",LOWER(INDEX('Game Records'!$E:$E,$H407)&amp;"")="n/a")),"Game Type; ","")&amp;IF(INDEX('Game Records'!$F:$F,$H407)="","Payment Type; ","")&amp;IF(AND(INDEX('Game Records'!$U:$U,$H407)&lt;&gt;"Subscription",INDEX('Game Records'!$U:$U,$H407)&lt;&gt;"Free Game",INDEX('Game Records'!$U:$U,$H407)&lt;&gt;"Disqualified — Free Game",INDEX('Game Records'!$G:$G,$H407)=""),"Gross Pot; ","")&amp;IF(AND(INDEX('Game Records'!$U:$U,$H407)&lt;&gt;"Free Game",INDEX('Game Records'!$U:$U,$H407)&lt;&gt;"Disqualified — Free Game",INDEX('Game Records'!$H:$H,$H407)=""),"Entry Fee; ","")&amp;IF(AND(INDEX('Game Records'!$U:$U,$H407)&lt;&gt;"Subscription",INDEX('Game Records'!$U:$U,$H407)&lt;&gt;"Free Game",INDEX('Game Records'!$U:$U,$H407)&lt;&gt;"Disqualified — Free Game",INDEX('Game Records'!$I:$I,$H407)=""),"Eligible Players; ","")&amp;IF(AND(INDEX('Game Records'!$U:$U,$H407)&lt;&gt;"Subscription",INDEX('Game Records'!$U:$U,$H407)&lt;&gt;"Free Game",INDEX('Game Records'!$U:$U,$H407)&lt;&gt;"Disqualified — Free Game",INDEX('Game Records'!$J:$J,$H407)=""),"Total Players; ","")&amp;IF(AND(LOWER(INDEX('Game Records'!$D:$D,$H407)&amp;"")="finalized",LOWER(INDEX('Game Records'!$L:$L,$H407)&amp;"")&lt;&gt;"yes",INDEX('Game Records'!$U:$U,$H407)&lt;&gt;"Subscription",INDEX('Game Records'!$U:$U,$H407)&lt;&gt;"Free Game",INDEX('Game Records'!$U:$U,$H407)&lt;&gt;"Disqualified — Free Game",INDEX('Game Records'!$K:$K,$H407)=""),"Final Earned; ","")&amp;IF(AND(LOWER(INDEX('Game Records'!$D:$D,$H407)&amp;"")="finalized",INDEX('Game Records'!$U:$U,$H407)&lt;&gt;"Subscription",INDEX('Game Records'!$U:$U,$H407)&lt;&gt;"Free Game",INDEX('Game Records'!$U:$U,$H407)&lt;&gt;"Disqualified — Free Game",OR(INDEX('Game Records'!$L:$L,$H407)="",LOWER(INDEX('Game Records'!$L:$L,$H407)&amp;"")="n/a")),"Disqualified Status; ",""))</x:f>
        <x:v/>
      </x:c>
      <x:c r="G407" s="331" t="str">
        <x:f>IF($H407="","",IFERROR(INDEX('Game Records'!$M:$M,$H407),""))</x:f>
        <x:v/>
      </x:c>
      <x:c r="H407" s="104" t="str">
        <x:f>IF($H406="","",IFERROR(MATCH(1,INDEX((ROW('Game Records'!$U$5:$U$504)&gt;$H406)*(('Game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8" ht="24" customHeight="1">
      <x:c r="A408" s="332" t="str">
        <x:f>IF($H408="","",ROWS($A$5:A408))</x:f>
        <x:v/>
      </x:c>
      <x:c r="B408" s="332" t="str">
        <x:f>IF($H408="","","G-"&amp;TEXT($A408,"0000"))</x:f>
        <x:v/>
      </x:c>
      <x:c r="C408" s="331" t="str">
        <x:f>IF($H408="","",IFERROR(INDEX('Game Records'!$A:$A,$H408),""))</x:f>
        <x:v/>
      </x:c>
      <x:c r="D408" s="331" t="str">
        <x:f>IF($H408="","",IFERROR(INDEX('Game Records'!$U:$U,$H408),""))</x:f>
        <x:v/>
      </x:c>
      <x:c r="E408" s="331" t="str">
        <x:f>IF($H408="","",IF($F408="","No Highlighted Fields","Highlighted Fields Present"))</x:f>
        <x:v/>
      </x:c>
      <x:c r="F408" s="331" t="str">
        <x:f>IF($H408="","",IF(INDEX('Game Records'!$B:$B,$H408)="","Start Date; ","")&amp;IF(INDEX('Game Records'!$C:$C,$H408)="","End Date; ","")&amp;IF(AND(INDEX('Game Records'!$U:$U,$H408)&lt;&gt;"Subscription",INDEX('Game Records'!$U:$U,$H408)&lt;&gt;"Free Game",INDEX('Game Records'!$U:$U,$H408)&lt;&gt;"Disqualified — Free Game",OR(INDEX('Game Records'!$D:$D,$H408)="",LOWER(INDEX('Game Records'!$D:$D,$H408)&amp;"")="n/a")),"Entry Mode; ","")&amp;IF(AND(INDEX('Game Records'!$U:$U,$H408)&lt;&gt;"Subscription",INDEX('Game Records'!$U:$U,$H408)&lt;&gt;"Free Game",INDEX('Game Records'!$U:$U,$H408)&lt;&gt;"Disqualified — Free Game",OR(INDEX('Game Records'!$E:$E,$H408)="",LOWER(INDEX('Game Records'!$E:$E,$H408)&amp;"")="n/a")),"Game Type; ","")&amp;IF(INDEX('Game Records'!$F:$F,$H408)="","Payment Type; ","")&amp;IF(AND(INDEX('Game Records'!$U:$U,$H408)&lt;&gt;"Subscription",INDEX('Game Records'!$U:$U,$H408)&lt;&gt;"Free Game",INDEX('Game Records'!$U:$U,$H408)&lt;&gt;"Disqualified — Free Game",INDEX('Game Records'!$G:$G,$H408)=""),"Gross Pot; ","")&amp;IF(AND(INDEX('Game Records'!$U:$U,$H408)&lt;&gt;"Free Game",INDEX('Game Records'!$U:$U,$H408)&lt;&gt;"Disqualified — Free Game",INDEX('Game Records'!$H:$H,$H408)=""),"Entry Fee; ","")&amp;IF(AND(INDEX('Game Records'!$U:$U,$H408)&lt;&gt;"Subscription",INDEX('Game Records'!$U:$U,$H408)&lt;&gt;"Free Game",INDEX('Game Records'!$U:$U,$H408)&lt;&gt;"Disqualified — Free Game",INDEX('Game Records'!$I:$I,$H408)=""),"Eligible Players; ","")&amp;IF(AND(INDEX('Game Records'!$U:$U,$H408)&lt;&gt;"Subscription",INDEX('Game Records'!$U:$U,$H408)&lt;&gt;"Free Game",INDEX('Game Records'!$U:$U,$H408)&lt;&gt;"Disqualified — Free Game",INDEX('Game Records'!$J:$J,$H408)=""),"Total Players; ","")&amp;IF(AND(LOWER(INDEX('Game Records'!$D:$D,$H408)&amp;"")="finalized",LOWER(INDEX('Game Records'!$L:$L,$H408)&amp;"")&lt;&gt;"yes",INDEX('Game Records'!$U:$U,$H408)&lt;&gt;"Subscription",INDEX('Game Records'!$U:$U,$H408)&lt;&gt;"Free Game",INDEX('Game Records'!$U:$U,$H408)&lt;&gt;"Disqualified — Free Game",INDEX('Game Records'!$K:$K,$H408)=""),"Final Earned; ","")&amp;IF(AND(LOWER(INDEX('Game Records'!$D:$D,$H408)&amp;"")="finalized",INDEX('Game Records'!$U:$U,$H408)&lt;&gt;"Subscription",INDEX('Game Records'!$U:$U,$H408)&lt;&gt;"Free Game",INDEX('Game Records'!$U:$U,$H408)&lt;&gt;"Disqualified — Free Game",OR(INDEX('Game Records'!$L:$L,$H408)="",LOWER(INDEX('Game Records'!$L:$L,$H408)&amp;"")="n/a")),"Disqualified Status; ",""))</x:f>
        <x:v/>
      </x:c>
      <x:c r="G408" s="331" t="str">
        <x:f>IF($H408="","",IFERROR(INDEX('Game Records'!$M:$M,$H408),""))</x:f>
        <x:v/>
      </x:c>
      <x:c r="H408" s="104" t="str">
        <x:f>IF($H407="","",IFERROR(MATCH(1,INDEX((ROW('Game Records'!$U$5:$U$504)&gt;$H407)*(('Game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09" ht="24" customHeight="1">
      <x:c r="A409" s="332" t="str">
        <x:f>IF($H409="","",ROWS($A$5:A409))</x:f>
        <x:v/>
      </x:c>
      <x:c r="B409" s="332" t="str">
        <x:f>IF($H409="","","G-"&amp;TEXT($A409,"0000"))</x:f>
        <x:v/>
      </x:c>
      <x:c r="C409" s="331" t="str">
        <x:f>IF($H409="","",IFERROR(INDEX('Game Records'!$A:$A,$H409),""))</x:f>
        <x:v/>
      </x:c>
      <x:c r="D409" s="331" t="str">
        <x:f>IF($H409="","",IFERROR(INDEX('Game Records'!$U:$U,$H409),""))</x:f>
        <x:v/>
      </x:c>
      <x:c r="E409" s="331" t="str">
        <x:f>IF($H409="","",IF($F409="","No Highlighted Fields","Highlighted Fields Present"))</x:f>
        <x:v/>
      </x:c>
      <x:c r="F409" s="331" t="str">
        <x:f>IF($H409="","",IF(INDEX('Game Records'!$B:$B,$H409)="","Start Date; ","")&amp;IF(INDEX('Game Records'!$C:$C,$H409)="","End Date; ","")&amp;IF(AND(INDEX('Game Records'!$U:$U,$H409)&lt;&gt;"Subscription",INDEX('Game Records'!$U:$U,$H409)&lt;&gt;"Free Game",INDEX('Game Records'!$U:$U,$H409)&lt;&gt;"Disqualified — Free Game",OR(INDEX('Game Records'!$D:$D,$H409)="",LOWER(INDEX('Game Records'!$D:$D,$H409)&amp;"")="n/a")),"Entry Mode; ","")&amp;IF(AND(INDEX('Game Records'!$U:$U,$H409)&lt;&gt;"Subscription",INDEX('Game Records'!$U:$U,$H409)&lt;&gt;"Free Game",INDEX('Game Records'!$U:$U,$H409)&lt;&gt;"Disqualified — Free Game",OR(INDEX('Game Records'!$E:$E,$H409)="",LOWER(INDEX('Game Records'!$E:$E,$H409)&amp;"")="n/a")),"Game Type; ","")&amp;IF(INDEX('Game Records'!$F:$F,$H409)="","Payment Type; ","")&amp;IF(AND(INDEX('Game Records'!$U:$U,$H409)&lt;&gt;"Subscription",INDEX('Game Records'!$U:$U,$H409)&lt;&gt;"Free Game",INDEX('Game Records'!$U:$U,$H409)&lt;&gt;"Disqualified — Free Game",INDEX('Game Records'!$G:$G,$H409)=""),"Gross Pot; ","")&amp;IF(AND(INDEX('Game Records'!$U:$U,$H409)&lt;&gt;"Free Game",INDEX('Game Records'!$U:$U,$H409)&lt;&gt;"Disqualified — Free Game",INDEX('Game Records'!$H:$H,$H409)=""),"Entry Fee; ","")&amp;IF(AND(INDEX('Game Records'!$U:$U,$H409)&lt;&gt;"Subscription",INDEX('Game Records'!$U:$U,$H409)&lt;&gt;"Free Game",INDEX('Game Records'!$U:$U,$H409)&lt;&gt;"Disqualified — Free Game",INDEX('Game Records'!$I:$I,$H409)=""),"Eligible Players; ","")&amp;IF(AND(INDEX('Game Records'!$U:$U,$H409)&lt;&gt;"Subscription",INDEX('Game Records'!$U:$U,$H409)&lt;&gt;"Free Game",INDEX('Game Records'!$U:$U,$H409)&lt;&gt;"Disqualified — Free Game",INDEX('Game Records'!$J:$J,$H409)=""),"Total Players; ","")&amp;IF(AND(LOWER(INDEX('Game Records'!$D:$D,$H409)&amp;"")="finalized",LOWER(INDEX('Game Records'!$L:$L,$H409)&amp;"")&lt;&gt;"yes",INDEX('Game Records'!$U:$U,$H409)&lt;&gt;"Subscription",INDEX('Game Records'!$U:$U,$H409)&lt;&gt;"Free Game",INDEX('Game Records'!$U:$U,$H409)&lt;&gt;"Disqualified — Free Game",INDEX('Game Records'!$K:$K,$H409)=""),"Final Earned; ","")&amp;IF(AND(LOWER(INDEX('Game Records'!$D:$D,$H409)&amp;"")="finalized",INDEX('Game Records'!$U:$U,$H409)&lt;&gt;"Subscription",INDEX('Game Records'!$U:$U,$H409)&lt;&gt;"Free Game",INDEX('Game Records'!$U:$U,$H409)&lt;&gt;"Disqualified — Free Game",OR(INDEX('Game Records'!$L:$L,$H409)="",LOWER(INDEX('Game Records'!$L:$L,$H409)&amp;"")="n/a")),"Disqualified Status; ",""))</x:f>
        <x:v/>
      </x:c>
      <x:c r="G409" s="331" t="str">
        <x:f>IF($H409="","",IFERROR(INDEX('Game Records'!$M:$M,$H409),""))</x:f>
        <x:v/>
      </x:c>
      <x:c r="H409" s="104" t="str">
        <x:f>IF($H408="","",IFERROR(MATCH(1,INDEX((ROW('Game Records'!$U$5:$U$504)&gt;$H408)*(('Game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0" ht="24" customHeight="1">
      <x:c r="A410" s="332" t="str">
        <x:f>IF($H410="","",ROWS($A$5:A410))</x:f>
        <x:v/>
      </x:c>
      <x:c r="B410" s="332" t="str">
        <x:f>IF($H410="","","G-"&amp;TEXT($A410,"0000"))</x:f>
        <x:v/>
      </x:c>
      <x:c r="C410" s="331" t="str">
        <x:f>IF($H410="","",IFERROR(INDEX('Game Records'!$A:$A,$H410),""))</x:f>
        <x:v/>
      </x:c>
      <x:c r="D410" s="331" t="str">
        <x:f>IF($H410="","",IFERROR(INDEX('Game Records'!$U:$U,$H410),""))</x:f>
        <x:v/>
      </x:c>
      <x:c r="E410" s="331" t="str">
        <x:f>IF($H410="","",IF($F410="","No Highlighted Fields","Highlighted Fields Present"))</x:f>
        <x:v/>
      </x:c>
      <x:c r="F410" s="331" t="str">
        <x:f>IF($H410="","",IF(INDEX('Game Records'!$B:$B,$H410)="","Start Date; ","")&amp;IF(INDEX('Game Records'!$C:$C,$H410)="","End Date; ","")&amp;IF(AND(INDEX('Game Records'!$U:$U,$H410)&lt;&gt;"Subscription",INDEX('Game Records'!$U:$U,$H410)&lt;&gt;"Free Game",INDEX('Game Records'!$U:$U,$H410)&lt;&gt;"Disqualified — Free Game",OR(INDEX('Game Records'!$D:$D,$H410)="",LOWER(INDEX('Game Records'!$D:$D,$H410)&amp;"")="n/a")),"Entry Mode; ","")&amp;IF(AND(INDEX('Game Records'!$U:$U,$H410)&lt;&gt;"Subscription",INDEX('Game Records'!$U:$U,$H410)&lt;&gt;"Free Game",INDEX('Game Records'!$U:$U,$H410)&lt;&gt;"Disqualified — Free Game",OR(INDEX('Game Records'!$E:$E,$H410)="",LOWER(INDEX('Game Records'!$E:$E,$H410)&amp;"")="n/a")),"Game Type; ","")&amp;IF(INDEX('Game Records'!$F:$F,$H410)="","Payment Type; ","")&amp;IF(AND(INDEX('Game Records'!$U:$U,$H410)&lt;&gt;"Subscription",INDEX('Game Records'!$U:$U,$H410)&lt;&gt;"Free Game",INDEX('Game Records'!$U:$U,$H410)&lt;&gt;"Disqualified — Free Game",INDEX('Game Records'!$G:$G,$H410)=""),"Gross Pot; ","")&amp;IF(AND(INDEX('Game Records'!$U:$U,$H410)&lt;&gt;"Free Game",INDEX('Game Records'!$U:$U,$H410)&lt;&gt;"Disqualified — Free Game",INDEX('Game Records'!$H:$H,$H410)=""),"Entry Fee; ","")&amp;IF(AND(INDEX('Game Records'!$U:$U,$H410)&lt;&gt;"Subscription",INDEX('Game Records'!$U:$U,$H410)&lt;&gt;"Free Game",INDEX('Game Records'!$U:$U,$H410)&lt;&gt;"Disqualified — Free Game",INDEX('Game Records'!$I:$I,$H410)=""),"Eligible Players; ","")&amp;IF(AND(INDEX('Game Records'!$U:$U,$H410)&lt;&gt;"Subscription",INDEX('Game Records'!$U:$U,$H410)&lt;&gt;"Free Game",INDEX('Game Records'!$U:$U,$H410)&lt;&gt;"Disqualified — Free Game",INDEX('Game Records'!$J:$J,$H410)=""),"Total Players; ","")&amp;IF(AND(LOWER(INDEX('Game Records'!$D:$D,$H410)&amp;"")="finalized",LOWER(INDEX('Game Records'!$L:$L,$H410)&amp;"")&lt;&gt;"yes",INDEX('Game Records'!$U:$U,$H410)&lt;&gt;"Subscription",INDEX('Game Records'!$U:$U,$H410)&lt;&gt;"Free Game",INDEX('Game Records'!$U:$U,$H410)&lt;&gt;"Disqualified — Free Game",INDEX('Game Records'!$K:$K,$H410)=""),"Final Earned; ","")&amp;IF(AND(LOWER(INDEX('Game Records'!$D:$D,$H410)&amp;"")="finalized",INDEX('Game Records'!$U:$U,$H410)&lt;&gt;"Subscription",INDEX('Game Records'!$U:$U,$H410)&lt;&gt;"Free Game",INDEX('Game Records'!$U:$U,$H410)&lt;&gt;"Disqualified — Free Game",OR(INDEX('Game Records'!$L:$L,$H410)="",LOWER(INDEX('Game Records'!$L:$L,$H410)&amp;"")="n/a")),"Disqualified Status; ",""))</x:f>
        <x:v/>
      </x:c>
      <x:c r="G410" s="331" t="str">
        <x:f>IF($H410="","",IFERROR(INDEX('Game Records'!$M:$M,$H410),""))</x:f>
        <x:v/>
      </x:c>
      <x:c r="H410" s="104" t="str">
        <x:f>IF($H409="","",IFERROR(MATCH(1,INDEX((ROW('Game Records'!$U$5:$U$504)&gt;$H409)*(('Game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1" ht="24" customHeight="1">
      <x:c r="A411" s="332" t="str">
        <x:f>IF($H411="","",ROWS($A$5:A411))</x:f>
        <x:v/>
      </x:c>
      <x:c r="B411" s="332" t="str">
        <x:f>IF($H411="","","G-"&amp;TEXT($A411,"0000"))</x:f>
        <x:v/>
      </x:c>
      <x:c r="C411" s="331" t="str">
        <x:f>IF($H411="","",IFERROR(INDEX('Game Records'!$A:$A,$H411),""))</x:f>
        <x:v/>
      </x:c>
      <x:c r="D411" s="331" t="str">
        <x:f>IF($H411="","",IFERROR(INDEX('Game Records'!$U:$U,$H411),""))</x:f>
        <x:v/>
      </x:c>
      <x:c r="E411" s="331" t="str">
        <x:f>IF($H411="","",IF($F411="","No Highlighted Fields","Highlighted Fields Present"))</x:f>
        <x:v/>
      </x:c>
      <x:c r="F411" s="331" t="str">
        <x:f>IF($H411="","",IF(INDEX('Game Records'!$B:$B,$H411)="","Start Date; ","")&amp;IF(INDEX('Game Records'!$C:$C,$H411)="","End Date; ","")&amp;IF(AND(INDEX('Game Records'!$U:$U,$H411)&lt;&gt;"Subscription",INDEX('Game Records'!$U:$U,$H411)&lt;&gt;"Free Game",INDEX('Game Records'!$U:$U,$H411)&lt;&gt;"Disqualified — Free Game",OR(INDEX('Game Records'!$D:$D,$H411)="",LOWER(INDEX('Game Records'!$D:$D,$H411)&amp;"")="n/a")),"Entry Mode; ","")&amp;IF(AND(INDEX('Game Records'!$U:$U,$H411)&lt;&gt;"Subscription",INDEX('Game Records'!$U:$U,$H411)&lt;&gt;"Free Game",INDEX('Game Records'!$U:$U,$H411)&lt;&gt;"Disqualified — Free Game",OR(INDEX('Game Records'!$E:$E,$H411)="",LOWER(INDEX('Game Records'!$E:$E,$H411)&amp;"")="n/a")),"Game Type; ","")&amp;IF(INDEX('Game Records'!$F:$F,$H411)="","Payment Type; ","")&amp;IF(AND(INDEX('Game Records'!$U:$U,$H411)&lt;&gt;"Subscription",INDEX('Game Records'!$U:$U,$H411)&lt;&gt;"Free Game",INDEX('Game Records'!$U:$U,$H411)&lt;&gt;"Disqualified — Free Game",INDEX('Game Records'!$G:$G,$H411)=""),"Gross Pot; ","")&amp;IF(AND(INDEX('Game Records'!$U:$U,$H411)&lt;&gt;"Free Game",INDEX('Game Records'!$U:$U,$H411)&lt;&gt;"Disqualified — Free Game",INDEX('Game Records'!$H:$H,$H411)=""),"Entry Fee; ","")&amp;IF(AND(INDEX('Game Records'!$U:$U,$H411)&lt;&gt;"Subscription",INDEX('Game Records'!$U:$U,$H411)&lt;&gt;"Free Game",INDEX('Game Records'!$U:$U,$H411)&lt;&gt;"Disqualified — Free Game",INDEX('Game Records'!$I:$I,$H411)=""),"Eligible Players; ","")&amp;IF(AND(INDEX('Game Records'!$U:$U,$H411)&lt;&gt;"Subscription",INDEX('Game Records'!$U:$U,$H411)&lt;&gt;"Free Game",INDEX('Game Records'!$U:$U,$H411)&lt;&gt;"Disqualified — Free Game",INDEX('Game Records'!$J:$J,$H411)=""),"Total Players; ","")&amp;IF(AND(LOWER(INDEX('Game Records'!$D:$D,$H411)&amp;"")="finalized",LOWER(INDEX('Game Records'!$L:$L,$H411)&amp;"")&lt;&gt;"yes",INDEX('Game Records'!$U:$U,$H411)&lt;&gt;"Subscription",INDEX('Game Records'!$U:$U,$H411)&lt;&gt;"Free Game",INDEX('Game Records'!$U:$U,$H411)&lt;&gt;"Disqualified — Free Game",INDEX('Game Records'!$K:$K,$H411)=""),"Final Earned; ","")&amp;IF(AND(LOWER(INDEX('Game Records'!$D:$D,$H411)&amp;"")="finalized",INDEX('Game Records'!$U:$U,$H411)&lt;&gt;"Subscription",INDEX('Game Records'!$U:$U,$H411)&lt;&gt;"Free Game",INDEX('Game Records'!$U:$U,$H411)&lt;&gt;"Disqualified — Free Game",OR(INDEX('Game Records'!$L:$L,$H411)="",LOWER(INDEX('Game Records'!$L:$L,$H411)&amp;"")="n/a")),"Disqualified Status; ",""))</x:f>
        <x:v/>
      </x:c>
      <x:c r="G411" s="331" t="str">
        <x:f>IF($H411="","",IFERROR(INDEX('Game Records'!$M:$M,$H411),""))</x:f>
        <x:v/>
      </x:c>
      <x:c r="H411" s="104" t="str">
        <x:f>IF($H410="","",IFERROR(MATCH(1,INDEX((ROW('Game Records'!$U$5:$U$504)&gt;$H410)*(('Game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2" ht="24" customHeight="1">
      <x:c r="A412" s="332" t="str">
        <x:f>IF($H412="","",ROWS($A$5:A412))</x:f>
        <x:v/>
      </x:c>
      <x:c r="B412" s="332" t="str">
        <x:f>IF($H412="","","G-"&amp;TEXT($A412,"0000"))</x:f>
        <x:v/>
      </x:c>
      <x:c r="C412" s="331" t="str">
        <x:f>IF($H412="","",IFERROR(INDEX('Game Records'!$A:$A,$H412),""))</x:f>
        <x:v/>
      </x:c>
      <x:c r="D412" s="331" t="str">
        <x:f>IF($H412="","",IFERROR(INDEX('Game Records'!$U:$U,$H412),""))</x:f>
        <x:v/>
      </x:c>
      <x:c r="E412" s="331" t="str">
        <x:f>IF($H412="","",IF($F412="","No Highlighted Fields","Highlighted Fields Present"))</x:f>
        <x:v/>
      </x:c>
      <x:c r="F412" s="331" t="str">
        <x:f>IF($H412="","",IF(INDEX('Game Records'!$B:$B,$H412)="","Start Date; ","")&amp;IF(INDEX('Game Records'!$C:$C,$H412)="","End Date; ","")&amp;IF(AND(INDEX('Game Records'!$U:$U,$H412)&lt;&gt;"Subscription",INDEX('Game Records'!$U:$U,$H412)&lt;&gt;"Free Game",INDEX('Game Records'!$U:$U,$H412)&lt;&gt;"Disqualified — Free Game",OR(INDEX('Game Records'!$D:$D,$H412)="",LOWER(INDEX('Game Records'!$D:$D,$H412)&amp;"")="n/a")),"Entry Mode; ","")&amp;IF(AND(INDEX('Game Records'!$U:$U,$H412)&lt;&gt;"Subscription",INDEX('Game Records'!$U:$U,$H412)&lt;&gt;"Free Game",INDEX('Game Records'!$U:$U,$H412)&lt;&gt;"Disqualified — Free Game",OR(INDEX('Game Records'!$E:$E,$H412)="",LOWER(INDEX('Game Records'!$E:$E,$H412)&amp;"")="n/a")),"Game Type; ","")&amp;IF(INDEX('Game Records'!$F:$F,$H412)="","Payment Type; ","")&amp;IF(AND(INDEX('Game Records'!$U:$U,$H412)&lt;&gt;"Subscription",INDEX('Game Records'!$U:$U,$H412)&lt;&gt;"Free Game",INDEX('Game Records'!$U:$U,$H412)&lt;&gt;"Disqualified — Free Game",INDEX('Game Records'!$G:$G,$H412)=""),"Gross Pot; ","")&amp;IF(AND(INDEX('Game Records'!$U:$U,$H412)&lt;&gt;"Free Game",INDEX('Game Records'!$U:$U,$H412)&lt;&gt;"Disqualified — Free Game",INDEX('Game Records'!$H:$H,$H412)=""),"Entry Fee; ","")&amp;IF(AND(INDEX('Game Records'!$U:$U,$H412)&lt;&gt;"Subscription",INDEX('Game Records'!$U:$U,$H412)&lt;&gt;"Free Game",INDEX('Game Records'!$U:$U,$H412)&lt;&gt;"Disqualified — Free Game",INDEX('Game Records'!$I:$I,$H412)=""),"Eligible Players; ","")&amp;IF(AND(INDEX('Game Records'!$U:$U,$H412)&lt;&gt;"Subscription",INDEX('Game Records'!$U:$U,$H412)&lt;&gt;"Free Game",INDEX('Game Records'!$U:$U,$H412)&lt;&gt;"Disqualified — Free Game",INDEX('Game Records'!$J:$J,$H412)=""),"Total Players; ","")&amp;IF(AND(LOWER(INDEX('Game Records'!$D:$D,$H412)&amp;"")="finalized",LOWER(INDEX('Game Records'!$L:$L,$H412)&amp;"")&lt;&gt;"yes",INDEX('Game Records'!$U:$U,$H412)&lt;&gt;"Subscription",INDEX('Game Records'!$U:$U,$H412)&lt;&gt;"Free Game",INDEX('Game Records'!$U:$U,$H412)&lt;&gt;"Disqualified — Free Game",INDEX('Game Records'!$K:$K,$H412)=""),"Final Earned; ","")&amp;IF(AND(LOWER(INDEX('Game Records'!$D:$D,$H412)&amp;"")="finalized",INDEX('Game Records'!$U:$U,$H412)&lt;&gt;"Subscription",INDEX('Game Records'!$U:$U,$H412)&lt;&gt;"Free Game",INDEX('Game Records'!$U:$U,$H412)&lt;&gt;"Disqualified — Free Game",OR(INDEX('Game Records'!$L:$L,$H412)="",LOWER(INDEX('Game Records'!$L:$L,$H412)&amp;"")="n/a")),"Disqualified Status; ",""))</x:f>
        <x:v/>
      </x:c>
      <x:c r="G412" s="331" t="str">
        <x:f>IF($H412="","",IFERROR(INDEX('Game Records'!$M:$M,$H412),""))</x:f>
        <x:v/>
      </x:c>
      <x:c r="H412" s="104" t="str">
        <x:f>IF($H411="","",IFERROR(MATCH(1,INDEX((ROW('Game Records'!$U$5:$U$504)&gt;$H411)*(('Game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3" ht="24" customHeight="1">
      <x:c r="A413" s="332" t="str">
        <x:f>IF($H413="","",ROWS($A$5:A413))</x:f>
        <x:v/>
      </x:c>
      <x:c r="B413" s="332" t="str">
        <x:f>IF($H413="","","G-"&amp;TEXT($A413,"0000"))</x:f>
        <x:v/>
      </x:c>
      <x:c r="C413" s="331" t="str">
        <x:f>IF($H413="","",IFERROR(INDEX('Game Records'!$A:$A,$H413),""))</x:f>
        <x:v/>
      </x:c>
      <x:c r="D413" s="331" t="str">
        <x:f>IF($H413="","",IFERROR(INDEX('Game Records'!$U:$U,$H413),""))</x:f>
        <x:v/>
      </x:c>
      <x:c r="E413" s="331" t="str">
        <x:f>IF($H413="","",IF($F413="","No Highlighted Fields","Highlighted Fields Present"))</x:f>
        <x:v/>
      </x:c>
      <x:c r="F413" s="331" t="str">
        <x:f>IF($H413="","",IF(INDEX('Game Records'!$B:$B,$H413)="","Start Date; ","")&amp;IF(INDEX('Game Records'!$C:$C,$H413)="","End Date; ","")&amp;IF(AND(INDEX('Game Records'!$U:$U,$H413)&lt;&gt;"Subscription",INDEX('Game Records'!$U:$U,$H413)&lt;&gt;"Free Game",INDEX('Game Records'!$U:$U,$H413)&lt;&gt;"Disqualified — Free Game",OR(INDEX('Game Records'!$D:$D,$H413)="",LOWER(INDEX('Game Records'!$D:$D,$H413)&amp;"")="n/a")),"Entry Mode; ","")&amp;IF(AND(INDEX('Game Records'!$U:$U,$H413)&lt;&gt;"Subscription",INDEX('Game Records'!$U:$U,$H413)&lt;&gt;"Free Game",INDEX('Game Records'!$U:$U,$H413)&lt;&gt;"Disqualified — Free Game",OR(INDEX('Game Records'!$E:$E,$H413)="",LOWER(INDEX('Game Records'!$E:$E,$H413)&amp;"")="n/a")),"Game Type; ","")&amp;IF(INDEX('Game Records'!$F:$F,$H413)="","Payment Type; ","")&amp;IF(AND(INDEX('Game Records'!$U:$U,$H413)&lt;&gt;"Subscription",INDEX('Game Records'!$U:$U,$H413)&lt;&gt;"Free Game",INDEX('Game Records'!$U:$U,$H413)&lt;&gt;"Disqualified — Free Game",INDEX('Game Records'!$G:$G,$H413)=""),"Gross Pot; ","")&amp;IF(AND(INDEX('Game Records'!$U:$U,$H413)&lt;&gt;"Free Game",INDEX('Game Records'!$U:$U,$H413)&lt;&gt;"Disqualified — Free Game",INDEX('Game Records'!$H:$H,$H413)=""),"Entry Fee; ","")&amp;IF(AND(INDEX('Game Records'!$U:$U,$H413)&lt;&gt;"Subscription",INDEX('Game Records'!$U:$U,$H413)&lt;&gt;"Free Game",INDEX('Game Records'!$U:$U,$H413)&lt;&gt;"Disqualified — Free Game",INDEX('Game Records'!$I:$I,$H413)=""),"Eligible Players; ","")&amp;IF(AND(INDEX('Game Records'!$U:$U,$H413)&lt;&gt;"Subscription",INDEX('Game Records'!$U:$U,$H413)&lt;&gt;"Free Game",INDEX('Game Records'!$U:$U,$H413)&lt;&gt;"Disqualified — Free Game",INDEX('Game Records'!$J:$J,$H413)=""),"Total Players; ","")&amp;IF(AND(LOWER(INDEX('Game Records'!$D:$D,$H413)&amp;"")="finalized",LOWER(INDEX('Game Records'!$L:$L,$H413)&amp;"")&lt;&gt;"yes",INDEX('Game Records'!$U:$U,$H413)&lt;&gt;"Subscription",INDEX('Game Records'!$U:$U,$H413)&lt;&gt;"Free Game",INDEX('Game Records'!$U:$U,$H413)&lt;&gt;"Disqualified — Free Game",INDEX('Game Records'!$K:$K,$H413)=""),"Final Earned; ","")&amp;IF(AND(LOWER(INDEX('Game Records'!$D:$D,$H413)&amp;"")="finalized",INDEX('Game Records'!$U:$U,$H413)&lt;&gt;"Subscription",INDEX('Game Records'!$U:$U,$H413)&lt;&gt;"Free Game",INDEX('Game Records'!$U:$U,$H413)&lt;&gt;"Disqualified — Free Game",OR(INDEX('Game Records'!$L:$L,$H413)="",LOWER(INDEX('Game Records'!$L:$L,$H413)&amp;"")="n/a")),"Disqualified Status; ",""))</x:f>
        <x:v/>
      </x:c>
      <x:c r="G413" s="331" t="str">
        <x:f>IF($H413="","",IFERROR(INDEX('Game Records'!$M:$M,$H413),""))</x:f>
        <x:v/>
      </x:c>
      <x:c r="H413" s="104" t="str">
        <x:f>IF($H412="","",IFERROR(MATCH(1,INDEX((ROW('Game Records'!$U$5:$U$504)&gt;$H412)*(('Game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4" ht="24" customHeight="1">
      <x:c r="A414" s="332" t="str">
        <x:f>IF($H414="","",ROWS($A$5:A414))</x:f>
        <x:v/>
      </x:c>
      <x:c r="B414" s="332" t="str">
        <x:f>IF($H414="","","G-"&amp;TEXT($A414,"0000"))</x:f>
        <x:v/>
      </x:c>
      <x:c r="C414" s="331" t="str">
        <x:f>IF($H414="","",IFERROR(INDEX('Game Records'!$A:$A,$H414),""))</x:f>
        <x:v/>
      </x:c>
      <x:c r="D414" s="331" t="str">
        <x:f>IF($H414="","",IFERROR(INDEX('Game Records'!$U:$U,$H414),""))</x:f>
        <x:v/>
      </x:c>
      <x:c r="E414" s="331" t="str">
        <x:f>IF($H414="","",IF($F414="","No Highlighted Fields","Highlighted Fields Present"))</x:f>
        <x:v/>
      </x:c>
      <x:c r="F414" s="331" t="str">
        <x:f>IF($H414="","",IF(INDEX('Game Records'!$B:$B,$H414)="","Start Date; ","")&amp;IF(INDEX('Game Records'!$C:$C,$H414)="","End Date; ","")&amp;IF(AND(INDEX('Game Records'!$U:$U,$H414)&lt;&gt;"Subscription",INDEX('Game Records'!$U:$U,$H414)&lt;&gt;"Free Game",INDEX('Game Records'!$U:$U,$H414)&lt;&gt;"Disqualified — Free Game",OR(INDEX('Game Records'!$D:$D,$H414)="",LOWER(INDEX('Game Records'!$D:$D,$H414)&amp;"")="n/a")),"Entry Mode; ","")&amp;IF(AND(INDEX('Game Records'!$U:$U,$H414)&lt;&gt;"Subscription",INDEX('Game Records'!$U:$U,$H414)&lt;&gt;"Free Game",INDEX('Game Records'!$U:$U,$H414)&lt;&gt;"Disqualified — Free Game",OR(INDEX('Game Records'!$E:$E,$H414)="",LOWER(INDEX('Game Records'!$E:$E,$H414)&amp;"")="n/a")),"Game Type; ","")&amp;IF(INDEX('Game Records'!$F:$F,$H414)="","Payment Type; ","")&amp;IF(AND(INDEX('Game Records'!$U:$U,$H414)&lt;&gt;"Subscription",INDEX('Game Records'!$U:$U,$H414)&lt;&gt;"Free Game",INDEX('Game Records'!$U:$U,$H414)&lt;&gt;"Disqualified — Free Game",INDEX('Game Records'!$G:$G,$H414)=""),"Gross Pot; ","")&amp;IF(AND(INDEX('Game Records'!$U:$U,$H414)&lt;&gt;"Free Game",INDEX('Game Records'!$U:$U,$H414)&lt;&gt;"Disqualified — Free Game",INDEX('Game Records'!$H:$H,$H414)=""),"Entry Fee; ","")&amp;IF(AND(INDEX('Game Records'!$U:$U,$H414)&lt;&gt;"Subscription",INDEX('Game Records'!$U:$U,$H414)&lt;&gt;"Free Game",INDEX('Game Records'!$U:$U,$H414)&lt;&gt;"Disqualified — Free Game",INDEX('Game Records'!$I:$I,$H414)=""),"Eligible Players; ","")&amp;IF(AND(INDEX('Game Records'!$U:$U,$H414)&lt;&gt;"Subscription",INDEX('Game Records'!$U:$U,$H414)&lt;&gt;"Free Game",INDEX('Game Records'!$U:$U,$H414)&lt;&gt;"Disqualified — Free Game",INDEX('Game Records'!$J:$J,$H414)=""),"Total Players; ","")&amp;IF(AND(LOWER(INDEX('Game Records'!$D:$D,$H414)&amp;"")="finalized",LOWER(INDEX('Game Records'!$L:$L,$H414)&amp;"")&lt;&gt;"yes",INDEX('Game Records'!$U:$U,$H414)&lt;&gt;"Subscription",INDEX('Game Records'!$U:$U,$H414)&lt;&gt;"Free Game",INDEX('Game Records'!$U:$U,$H414)&lt;&gt;"Disqualified — Free Game",INDEX('Game Records'!$K:$K,$H414)=""),"Final Earned; ","")&amp;IF(AND(LOWER(INDEX('Game Records'!$D:$D,$H414)&amp;"")="finalized",INDEX('Game Records'!$U:$U,$H414)&lt;&gt;"Subscription",INDEX('Game Records'!$U:$U,$H414)&lt;&gt;"Free Game",INDEX('Game Records'!$U:$U,$H414)&lt;&gt;"Disqualified — Free Game",OR(INDEX('Game Records'!$L:$L,$H414)="",LOWER(INDEX('Game Records'!$L:$L,$H414)&amp;"")="n/a")),"Disqualified Status; ",""))</x:f>
        <x:v/>
      </x:c>
      <x:c r="G414" s="331" t="str">
        <x:f>IF($H414="","",IFERROR(INDEX('Game Records'!$M:$M,$H414),""))</x:f>
        <x:v/>
      </x:c>
      <x:c r="H414" s="104" t="str">
        <x:f>IF($H413="","",IFERROR(MATCH(1,INDEX((ROW('Game Records'!$U$5:$U$504)&gt;$H413)*(('Game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5" ht="24" customHeight="1">
      <x:c r="A415" s="332" t="str">
        <x:f>IF($H415="","",ROWS($A$5:A415))</x:f>
        <x:v/>
      </x:c>
      <x:c r="B415" s="332" t="str">
        <x:f>IF($H415="","","G-"&amp;TEXT($A415,"0000"))</x:f>
        <x:v/>
      </x:c>
      <x:c r="C415" s="331" t="str">
        <x:f>IF($H415="","",IFERROR(INDEX('Game Records'!$A:$A,$H415),""))</x:f>
        <x:v/>
      </x:c>
      <x:c r="D415" s="331" t="str">
        <x:f>IF($H415="","",IFERROR(INDEX('Game Records'!$U:$U,$H415),""))</x:f>
        <x:v/>
      </x:c>
      <x:c r="E415" s="331" t="str">
        <x:f>IF($H415="","",IF($F415="","No Highlighted Fields","Highlighted Fields Present"))</x:f>
        <x:v/>
      </x:c>
      <x:c r="F415" s="331" t="str">
        <x:f>IF($H415="","",IF(INDEX('Game Records'!$B:$B,$H415)="","Start Date; ","")&amp;IF(INDEX('Game Records'!$C:$C,$H415)="","End Date; ","")&amp;IF(AND(INDEX('Game Records'!$U:$U,$H415)&lt;&gt;"Subscription",INDEX('Game Records'!$U:$U,$H415)&lt;&gt;"Free Game",INDEX('Game Records'!$U:$U,$H415)&lt;&gt;"Disqualified — Free Game",OR(INDEX('Game Records'!$D:$D,$H415)="",LOWER(INDEX('Game Records'!$D:$D,$H415)&amp;"")="n/a")),"Entry Mode; ","")&amp;IF(AND(INDEX('Game Records'!$U:$U,$H415)&lt;&gt;"Subscription",INDEX('Game Records'!$U:$U,$H415)&lt;&gt;"Free Game",INDEX('Game Records'!$U:$U,$H415)&lt;&gt;"Disqualified — Free Game",OR(INDEX('Game Records'!$E:$E,$H415)="",LOWER(INDEX('Game Records'!$E:$E,$H415)&amp;"")="n/a")),"Game Type; ","")&amp;IF(INDEX('Game Records'!$F:$F,$H415)="","Payment Type; ","")&amp;IF(AND(INDEX('Game Records'!$U:$U,$H415)&lt;&gt;"Subscription",INDEX('Game Records'!$U:$U,$H415)&lt;&gt;"Free Game",INDEX('Game Records'!$U:$U,$H415)&lt;&gt;"Disqualified — Free Game",INDEX('Game Records'!$G:$G,$H415)=""),"Gross Pot; ","")&amp;IF(AND(INDEX('Game Records'!$U:$U,$H415)&lt;&gt;"Free Game",INDEX('Game Records'!$U:$U,$H415)&lt;&gt;"Disqualified — Free Game",INDEX('Game Records'!$H:$H,$H415)=""),"Entry Fee; ","")&amp;IF(AND(INDEX('Game Records'!$U:$U,$H415)&lt;&gt;"Subscription",INDEX('Game Records'!$U:$U,$H415)&lt;&gt;"Free Game",INDEX('Game Records'!$U:$U,$H415)&lt;&gt;"Disqualified — Free Game",INDEX('Game Records'!$I:$I,$H415)=""),"Eligible Players; ","")&amp;IF(AND(INDEX('Game Records'!$U:$U,$H415)&lt;&gt;"Subscription",INDEX('Game Records'!$U:$U,$H415)&lt;&gt;"Free Game",INDEX('Game Records'!$U:$U,$H415)&lt;&gt;"Disqualified — Free Game",INDEX('Game Records'!$J:$J,$H415)=""),"Total Players; ","")&amp;IF(AND(LOWER(INDEX('Game Records'!$D:$D,$H415)&amp;"")="finalized",LOWER(INDEX('Game Records'!$L:$L,$H415)&amp;"")&lt;&gt;"yes",INDEX('Game Records'!$U:$U,$H415)&lt;&gt;"Subscription",INDEX('Game Records'!$U:$U,$H415)&lt;&gt;"Free Game",INDEX('Game Records'!$U:$U,$H415)&lt;&gt;"Disqualified — Free Game",INDEX('Game Records'!$K:$K,$H415)=""),"Final Earned; ","")&amp;IF(AND(LOWER(INDEX('Game Records'!$D:$D,$H415)&amp;"")="finalized",INDEX('Game Records'!$U:$U,$H415)&lt;&gt;"Subscription",INDEX('Game Records'!$U:$U,$H415)&lt;&gt;"Free Game",INDEX('Game Records'!$U:$U,$H415)&lt;&gt;"Disqualified — Free Game",OR(INDEX('Game Records'!$L:$L,$H415)="",LOWER(INDEX('Game Records'!$L:$L,$H415)&amp;"")="n/a")),"Disqualified Status; ",""))</x:f>
        <x:v/>
      </x:c>
      <x:c r="G415" s="331" t="str">
        <x:f>IF($H415="","",IFERROR(INDEX('Game Records'!$M:$M,$H415),""))</x:f>
        <x:v/>
      </x:c>
      <x:c r="H415" s="104" t="str">
        <x:f>IF($H414="","",IFERROR(MATCH(1,INDEX((ROW('Game Records'!$U$5:$U$504)&gt;$H414)*(('Game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6" ht="24" customHeight="1">
      <x:c r="A416" s="332" t="str">
        <x:f>IF($H416="","",ROWS($A$5:A416))</x:f>
        <x:v/>
      </x:c>
      <x:c r="B416" s="332" t="str">
        <x:f>IF($H416="","","G-"&amp;TEXT($A416,"0000"))</x:f>
        <x:v/>
      </x:c>
      <x:c r="C416" s="331" t="str">
        <x:f>IF($H416="","",IFERROR(INDEX('Game Records'!$A:$A,$H416),""))</x:f>
        <x:v/>
      </x:c>
      <x:c r="D416" s="331" t="str">
        <x:f>IF($H416="","",IFERROR(INDEX('Game Records'!$U:$U,$H416),""))</x:f>
        <x:v/>
      </x:c>
      <x:c r="E416" s="331" t="str">
        <x:f>IF($H416="","",IF($F416="","No Highlighted Fields","Highlighted Fields Present"))</x:f>
        <x:v/>
      </x:c>
      <x:c r="F416" s="331" t="str">
        <x:f>IF($H416="","",IF(INDEX('Game Records'!$B:$B,$H416)="","Start Date; ","")&amp;IF(INDEX('Game Records'!$C:$C,$H416)="","End Date; ","")&amp;IF(AND(INDEX('Game Records'!$U:$U,$H416)&lt;&gt;"Subscription",INDEX('Game Records'!$U:$U,$H416)&lt;&gt;"Free Game",INDEX('Game Records'!$U:$U,$H416)&lt;&gt;"Disqualified — Free Game",OR(INDEX('Game Records'!$D:$D,$H416)="",LOWER(INDEX('Game Records'!$D:$D,$H416)&amp;"")="n/a")),"Entry Mode; ","")&amp;IF(AND(INDEX('Game Records'!$U:$U,$H416)&lt;&gt;"Subscription",INDEX('Game Records'!$U:$U,$H416)&lt;&gt;"Free Game",INDEX('Game Records'!$U:$U,$H416)&lt;&gt;"Disqualified — Free Game",OR(INDEX('Game Records'!$E:$E,$H416)="",LOWER(INDEX('Game Records'!$E:$E,$H416)&amp;"")="n/a")),"Game Type; ","")&amp;IF(INDEX('Game Records'!$F:$F,$H416)="","Payment Type; ","")&amp;IF(AND(INDEX('Game Records'!$U:$U,$H416)&lt;&gt;"Subscription",INDEX('Game Records'!$U:$U,$H416)&lt;&gt;"Free Game",INDEX('Game Records'!$U:$U,$H416)&lt;&gt;"Disqualified — Free Game",INDEX('Game Records'!$G:$G,$H416)=""),"Gross Pot; ","")&amp;IF(AND(INDEX('Game Records'!$U:$U,$H416)&lt;&gt;"Free Game",INDEX('Game Records'!$U:$U,$H416)&lt;&gt;"Disqualified — Free Game",INDEX('Game Records'!$H:$H,$H416)=""),"Entry Fee; ","")&amp;IF(AND(INDEX('Game Records'!$U:$U,$H416)&lt;&gt;"Subscription",INDEX('Game Records'!$U:$U,$H416)&lt;&gt;"Free Game",INDEX('Game Records'!$U:$U,$H416)&lt;&gt;"Disqualified — Free Game",INDEX('Game Records'!$I:$I,$H416)=""),"Eligible Players; ","")&amp;IF(AND(INDEX('Game Records'!$U:$U,$H416)&lt;&gt;"Subscription",INDEX('Game Records'!$U:$U,$H416)&lt;&gt;"Free Game",INDEX('Game Records'!$U:$U,$H416)&lt;&gt;"Disqualified — Free Game",INDEX('Game Records'!$J:$J,$H416)=""),"Total Players; ","")&amp;IF(AND(LOWER(INDEX('Game Records'!$D:$D,$H416)&amp;"")="finalized",LOWER(INDEX('Game Records'!$L:$L,$H416)&amp;"")&lt;&gt;"yes",INDEX('Game Records'!$U:$U,$H416)&lt;&gt;"Subscription",INDEX('Game Records'!$U:$U,$H416)&lt;&gt;"Free Game",INDEX('Game Records'!$U:$U,$H416)&lt;&gt;"Disqualified — Free Game",INDEX('Game Records'!$K:$K,$H416)=""),"Final Earned; ","")&amp;IF(AND(LOWER(INDEX('Game Records'!$D:$D,$H416)&amp;"")="finalized",INDEX('Game Records'!$U:$U,$H416)&lt;&gt;"Subscription",INDEX('Game Records'!$U:$U,$H416)&lt;&gt;"Free Game",INDEX('Game Records'!$U:$U,$H416)&lt;&gt;"Disqualified — Free Game",OR(INDEX('Game Records'!$L:$L,$H416)="",LOWER(INDEX('Game Records'!$L:$L,$H416)&amp;"")="n/a")),"Disqualified Status; ",""))</x:f>
        <x:v/>
      </x:c>
      <x:c r="G416" s="331" t="str">
        <x:f>IF($H416="","",IFERROR(INDEX('Game Records'!$M:$M,$H416),""))</x:f>
        <x:v/>
      </x:c>
      <x:c r="H416" s="104" t="str">
        <x:f>IF($H415="","",IFERROR(MATCH(1,INDEX((ROW('Game Records'!$U$5:$U$504)&gt;$H415)*(('Game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7" ht="24" customHeight="1">
      <x:c r="A417" s="332" t="str">
        <x:f>IF($H417="","",ROWS($A$5:A417))</x:f>
        <x:v/>
      </x:c>
      <x:c r="B417" s="332" t="str">
        <x:f>IF($H417="","","G-"&amp;TEXT($A417,"0000"))</x:f>
        <x:v/>
      </x:c>
      <x:c r="C417" s="331" t="str">
        <x:f>IF($H417="","",IFERROR(INDEX('Game Records'!$A:$A,$H417),""))</x:f>
        <x:v/>
      </x:c>
      <x:c r="D417" s="331" t="str">
        <x:f>IF($H417="","",IFERROR(INDEX('Game Records'!$U:$U,$H417),""))</x:f>
        <x:v/>
      </x:c>
      <x:c r="E417" s="331" t="str">
        <x:f>IF($H417="","",IF($F417="","No Highlighted Fields","Highlighted Fields Present"))</x:f>
        <x:v/>
      </x:c>
      <x:c r="F417" s="331" t="str">
        <x:f>IF($H417="","",IF(INDEX('Game Records'!$B:$B,$H417)="","Start Date; ","")&amp;IF(INDEX('Game Records'!$C:$C,$H417)="","End Date; ","")&amp;IF(AND(INDEX('Game Records'!$U:$U,$H417)&lt;&gt;"Subscription",INDEX('Game Records'!$U:$U,$H417)&lt;&gt;"Free Game",INDEX('Game Records'!$U:$U,$H417)&lt;&gt;"Disqualified — Free Game",OR(INDEX('Game Records'!$D:$D,$H417)="",LOWER(INDEX('Game Records'!$D:$D,$H417)&amp;"")="n/a")),"Entry Mode; ","")&amp;IF(AND(INDEX('Game Records'!$U:$U,$H417)&lt;&gt;"Subscription",INDEX('Game Records'!$U:$U,$H417)&lt;&gt;"Free Game",INDEX('Game Records'!$U:$U,$H417)&lt;&gt;"Disqualified — Free Game",OR(INDEX('Game Records'!$E:$E,$H417)="",LOWER(INDEX('Game Records'!$E:$E,$H417)&amp;"")="n/a")),"Game Type; ","")&amp;IF(INDEX('Game Records'!$F:$F,$H417)="","Payment Type; ","")&amp;IF(AND(INDEX('Game Records'!$U:$U,$H417)&lt;&gt;"Subscription",INDEX('Game Records'!$U:$U,$H417)&lt;&gt;"Free Game",INDEX('Game Records'!$U:$U,$H417)&lt;&gt;"Disqualified — Free Game",INDEX('Game Records'!$G:$G,$H417)=""),"Gross Pot; ","")&amp;IF(AND(INDEX('Game Records'!$U:$U,$H417)&lt;&gt;"Free Game",INDEX('Game Records'!$U:$U,$H417)&lt;&gt;"Disqualified — Free Game",INDEX('Game Records'!$H:$H,$H417)=""),"Entry Fee; ","")&amp;IF(AND(INDEX('Game Records'!$U:$U,$H417)&lt;&gt;"Subscription",INDEX('Game Records'!$U:$U,$H417)&lt;&gt;"Free Game",INDEX('Game Records'!$U:$U,$H417)&lt;&gt;"Disqualified — Free Game",INDEX('Game Records'!$I:$I,$H417)=""),"Eligible Players; ","")&amp;IF(AND(INDEX('Game Records'!$U:$U,$H417)&lt;&gt;"Subscription",INDEX('Game Records'!$U:$U,$H417)&lt;&gt;"Free Game",INDEX('Game Records'!$U:$U,$H417)&lt;&gt;"Disqualified — Free Game",INDEX('Game Records'!$J:$J,$H417)=""),"Total Players; ","")&amp;IF(AND(LOWER(INDEX('Game Records'!$D:$D,$H417)&amp;"")="finalized",LOWER(INDEX('Game Records'!$L:$L,$H417)&amp;"")&lt;&gt;"yes",INDEX('Game Records'!$U:$U,$H417)&lt;&gt;"Subscription",INDEX('Game Records'!$U:$U,$H417)&lt;&gt;"Free Game",INDEX('Game Records'!$U:$U,$H417)&lt;&gt;"Disqualified — Free Game",INDEX('Game Records'!$K:$K,$H417)=""),"Final Earned; ","")&amp;IF(AND(LOWER(INDEX('Game Records'!$D:$D,$H417)&amp;"")="finalized",INDEX('Game Records'!$U:$U,$H417)&lt;&gt;"Subscription",INDEX('Game Records'!$U:$U,$H417)&lt;&gt;"Free Game",INDEX('Game Records'!$U:$U,$H417)&lt;&gt;"Disqualified — Free Game",OR(INDEX('Game Records'!$L:$L,$H417)="",LOWER(INDEX('Game Records'!$L:$L,$H417)&amp;"")="n/a")),"Disqualified Status; ",""))</x:f>
        <x:v/>
      </x:c>
      <x:c r="G417" s="331" t="str">
        <x:f>IF($H417="","",IFERROR(INDEX('Game Records'!$M:$M,$H417),""))</x:f>
        <x:v/>
      </x:c>
      <x:c r="H417" s="104" t="str">
        <x:f>IF($H416="","",IFERROR(MATCH(1,INDEX((ROW('Game Records'!$U$5:$U$504)&gt;$H416)*(('Game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8" ht="24" customHeight="1">
      <x:c r="A418" s="332" t="str">
        <x:f>IF($H418="","",ROWS($A$5:A418))</x:f>
        <x:v/>
      </x:c>
      <x:c r="B418" s="332" t="str">
        <x:f>IF($H418="","","G-"&amp;TEXT($A418,"0000"))</x:f>
        <x:v/>
      </x:c>
      <x:c r="C418" s="331" t="str">
        <x:f>IF($H418="","",IFERROR(INDEX('Game Records'!$A:$A,$H418),""))</x:f>
        <x:v/>
      </x:c>
      <x:c r="D418" s="331" t="str">
        <x:f>IF($H418="","",IFERROR(INDEX('Game Records'!$U:$U,$H418),""))</x:f>
        <x:v/>
      </x:c>
      <x:c r="E418" s="331" t="str">
        <x:f>IF($H418="","",IF($F418="","No Highlighted Fields","Highlighted Fields Present"))</x:f>
        <x:v/>
      </x:c>
      <x:c r="F418" s="331" t="str">
        <x:f>IF($H418="","",IF(INDEX('Game Records'!$B:$B,$H418)="","Start Date; ","")&amp;IF(INDEX('Game Records'!$C:$C,$H418)="","End Date; ","")&amp;IF(AND(INDEX('Game Records'!$U:$U,$H418)&lt;&gt;"Subscription",INDEX('Game Records'!$U:$U,$H418)&lt;&gt;"Free Game",INDEX('Game Records'!$U:$U,$H418)&lt;&gt;"Disqualified — Free Game",OR(INDEX('Game Records'!$D:$D,$H418)="",LOWER(INDEX('Game Records'!$D:$D,$H418)&amp;"")="n/a")),"Entry Mode; ","")&amp;IF(AND(INDEX('Game Records'!$U:$U,$H418)&lt;&gt;"Subscription",INDEX('Game Records'!$U:$U,$H418)&lt;&gt;"Free Game",INDEX('Game Records'!$U:$U,$H418)&lt;&gt;"Disqualified — Free Game",OR(INDEX('Game Records'!$E:$E,$H418)="",LOWER(INDEX('Game Records'!$E:$E,$H418)&amp;"")="n/a")),"Game Type; ","")&amp;IF(INDEX('Game Records'!$F:$F,$H418)="","Payment Type; ","")&amp;IF(AND(INDEX('Game Records'!$U:$U,$H418)&lt;&gt;"Subscription",INDEX('Game Records'!$U:$U,$H418)&lt;&gt;"Free Game",INDEX('Game Records'!$U:$U,$H418)&lt;&gt;"Disqualified — Free Game",INDEX('Game Records'!$G:$G,$H418)=""),"Gross Pot; ","")&amp;IF(AND(INDEX('Game Records'!$U:$U,$H418)&lt;&gt;"Free Game",INDEX('Game Records'!$U:$U,$H418)&lt;&gt;"Disqualified — Free Game",INDEX('Game Records'!$H:$H,$H418)=""),"Entry Fee; ","")&amp;IF(AND(INDEX('Game Records'!$U:$U,$H418)&lt;&gt;"Subscription",INDEX('Game Records'!$U:$U,$H418)&lt;&gt;"Free Game",INDEX('Game Records'!$U:$U,$H418)&lt;&gt;"Disqualified — Free Game",INDEX('Game Records'!$I:$I,$H418)=""),"Eligible Players; ","")&amp;IF(AND(INDEX('Game Records'!$U:$U,$H418)&lt;&gt;"Subscription",INDEX('Game Records'!$U:$U,$H418)&lt;&gt;"Free Game",INDEX('Game Records'!$U:$U,$H418)&lt;&gt;"Disqualified — Free Game",INDEX('Game Records'!$J:$J,$H418)=""),"Total Players; ","")&amp;IF(AND(LOWER(INDEX('Game Records'!$D:$D,$H418)&amp;"")="finalized",LOWER(INDEX('Game Records'!$L:$L,$H418)&amp;"")&lt;&gt;"yes",INDEX('Game Records'!$U:$U,$H418)&lt;&gt;"Subscription",INDEX('Game Records'!$U:$U,$H418)&lt;&gt;"Free Game",INDEX('Game Records'!$U:$U,$H418)&lt;&gt;"Disqualified — Free Game",INDEX('Game Records'!$K:$K,$H418)=""),"Final Earned; ","")&amp;IF(AND(LOWER(INDEX('Game Records'!$D:$D,$H418)&amp;"")="finalized",INDEX('Game Records'!$U:$U,$H418)&lt;&gt;"Subscription",INDEX('Game Records'!$U:$U,$H418)&lt;&gt;"Free Game",INDEX('Game Records'!$U:$U,$H418)&lt;&gt;"Disqualified — Free Game",OR(INDEX('Game Records'!$L:$L,$H418)="",LOWER(INDEX('Game Records'!$L:$L,$H418)&amp;"")="n/a")),"Disqualified Status; ",""))</x:f>
        <x:v/>
      </x:c>
      <x:c r="G418" s="331" t="str">
        <x:f>IF($H418="","",IFERROR(INDEX('Game Records'!$M:$M,$H418),""))</x:f>
        <x:v/>
      </x:c>
      <x:c r="H418" s="104" t="str">
        <x:f>IF($H417="","",IFERROR(MATCH(1,INDEX((ROW('Game Records'!$U$5:$U$504)&gt;$H417)*(('Game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19" ht="24" customHeight="1">
      <x:c r="A419" s="332" t="str">
        <x:f>IF($H419="","",ROWS($A$5:A419))</x:f>
        <x:v/>
      </x:c>
      <x:c r="B419" s="332" t="str">
        <x:f>IF($H419="","","G-"&amp;TEXT($A419,"0000"))</x:f>
        <x:v/>
      </x:c>
      <x:c r="C419" s="331" t="str">
        <x:f>IF($H419="","",IFERROR(INDEX('Game Records'!$A:$A,$H419),""))</x:f>
        <x:v/>
      </x:c>
      <x:c r="D419" s="331" t="str">
        <x:f>IF($H419="","",IFERROR(INDEX('Game Records'!$U:$U,$H419),""))</x:f>
        <x:v/>
      </x:c>
      <x:c r="E419" s="331" t="str">
        <x:f>IF($H419="","",IF($F419="","No Highlighted Fields","Highlighted Fields Present"))</x:f>
        <x:v/>
      </x:c>
      <x:c r="F419" s="331" t="str">
        <x:f>IF($H419="","",IF(INDEX('Game Records'!$B:$B,$H419)="","Start Date; ","")&amp;IF(INDEX('Game Records'!$C:$C,$H419)="","End Date; ","")&amp;IF(AND(INDEX('Game Records'!$U:$U,$H419)&lt;&gt;"Subscription",INDEX('Game Records'!$U:$U,$H419)&lt;&gt;"Free Game",INDEX('Game Records'!$U:$U,$H419)&lt;&gt;"Disqualified — Free Game",OR(INDEX('Game Records'!$D:$D,$H419)="",LOWER(INDEX('Game Records'!$D:$D,$H419)&amp;"")="n/a")),"Entry Mode; ","")&amp;IF(AND(INDEX('Game Records'!$U:$U,$H419)&lt;&gt;"Subscription",INDEX('Game Records'!$U:$U,$H419)&lt;&gt;"Free Game",INDEX('Game Records'!$U:$U,$H419)&lt;&gt;"Disqualified — Free Game",OR(INDEX('Game Records'!$E:$E,$H419)="",LOWER(INDEX('Game Records'!$E:$E,$H419)&amp;"")="n/a")),"Game Type; ","")&amp;IF(INDEX('Game Records'!$F:$F,$H419)="","Payment Type; ","")&amp;IF(AND(INDEX('Game Records'!$U:$U,$H419)&lt;&gt;"Subscription",INDEX('Game Records'!$U:$U,$H419)&lt;&gt;"Free Game",INDEX('Game Records'!$U:$U,$H419)&lt;&gt;"Disqualified — Free Game",INDEX('Game Records'!$G:$G,$H419)=""),"Gross Pot; ","")&amp;IF(AND(INDEX('Game Records'!$U:$U,$H419)&lt;&gt;"Free Game",INDEX('Game Records'!$U:$U,$H419)&lt;&gt;"Disqualified — Free Game",INDEX('Game Records'!$H:$H,$H419)=""),"Entry Fee; ","")&amp;IF(AND(INDEX('Game Records'!$U:$U,$H419)&lt;&gt;"Subscription",INDEX('Game Records'!$U:$U,$H419)&lt;&gt;"Free Game",INDEX('Game Records'!$U:$U,$H419)&lt;&gt;"Disqualified — Free Game",INDEX('Game Records'!$I:$I,$H419)=""),"Eligible Players; ","")&amp;IF(AND(INDEX('Game Records'!$U:$U,$H419)&lt;&gt;"Subscription",INDEX('Game Records'!$U:$U,$H419)&lt;&gt;"Free Game",INDEX('Game Records'!$U:$U,$H419)&lt;&gt;"Disqualified — Free Game",INDEX('Game Records'!$J:$J,$H419)=""),"Total Players; ","")&amp;IF(AND(LOWER(INDEX('Game Records'!$D:$D,$H419)&amp;"")="finalized",LOWER(INDEX('Game Records'!$L:$L,$H419)&amp;"")&lt;&gt;"yes",INDEX('Game Records'!$U:$U,$H419)&lt;&gt;"Subscription",INDEX('Game Records'!$U:$U,$H419)&lt;&gt;"Free Game",INDEX('Game Records'!$U:$U,$H419)&lt;&gt;"Disqualified — Free Game",INDEX('Game Records'!$K:$K,$H419)=""),"Final Earned; ","")&amp;IF(AND(LOWER(INDEX('Game Records'!$D:$D,$H419)&amp;"")="finalized",INDEX('Game Records'!$U:$U,$H419)&lt;&gt;"Subscription",INDEX('Game Records'!$U:$U,$H419)&lt;&gt;"Free Game",INDEX('Game Records'!$U:$U,$H419)&lt;&gt;"Disqualified — Free Game",OR(INDEX('Game Records'!$L:$L,$H419)="",LOWER(INDEX('Game Records'!$L:$L,$H419)&amp;"")="n/a")),"Disqualified Status; ",""))</x:f>
        <x:v/>
      </x:c>
      <x:c r="G419" s="331" t="str">
        <x:f>IF($H419="","",IFERROR(INDEX('Game Records'!$M:$M,$H419),""))</x:f>
        <x:v/>
      </x:c>
      <x:c r="H419" s="104" t="str">
        <x:f>IF($H418="","",IFERROR(MATCH(1,INDEX((ROW('Game Records'!$U$5:$U$504)&gt;$H418)*(('Game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0" ht="24" customHeight="1">
      <x:c r="A420" s="332" t="str">
        <x:f>IF($H420="","",ROWS($A$5:A420))</x:f>
        <x:v/>
      </x:c>
      <x:c r="B420" s="332" t="str">
        <x:f>IF($H420="","","G-"&amp;TEXT($A420,"0000"))</x:f>
        <x:v/>
      </x:c>
      <x:c r="C420" s="331" t="str">
        <x:f>IF($H420="","",IFERROR(INDEX('Game Records'!$A:$A,$H420),""))</x:f>
        <x:v/>
      </x:c>
      <x:c r="D420" s="331" t="str">
        <x:f>IF($H420="","",IFERROR(INDEX('Game Records'!$U:$U,$H420),""))</x:f>
        <x:v/>
      </x:c>
      <x:c r="E420" s="331" t="str">
        <x:f>IF($H420="","",IF($F420="","No Highlighted Fields","Highlighted Fields Present"))</x:f>
        <x:v/>
      </x:c>
      <x:c r="F420" s="331" t="str">
        <x:f>IF($H420="","",IF(INDEX('Game Records'!$B:$B,$H420)="","Start Date; ","")&amp;IF(INDEX('Game Records'!$C:$C,$H420)="","End Date; ","")&amp;IF(AND(INDEX('Game Records'!$U:$U,$H420)&lt;&gt;"Subscription",INDEX('Game Records'!$U:$U,$H420)&lt;&gt;"Free Game",INDEX('Game Records'!$U:$U,$H420)&lt;&gt;"Disqualified — Free Game",OR(INDEX('Game Records'!$D:$D,$H420)="",LOWER(INDEX('Game Records'!$D:$D,$H420)&amp;"")="n/a")),"Entry Mode; ","")&amp;IF(AND(INDEX('Game Records'!$U:$U,$H420)&lt;&gt;"Subscription",INDEX('Game Records'!$U:$U,$H420)&lt;&gt;"Free Game",INDEX('Game Records'!$U:$U,$H420)&lt;&gt;"Disqualified — Free Game",OR(INDEX('Game Records'!$E:$E,$H420)="",LOWER(INDEX('Game Records'!$E:$E,$H420)&amp;"")="n/a")),"Game Type; ","")&amp;IF(INDEX('Game Records'!$F:$F,$H420)="","Payment Type; ","")&amp;IF(AND(INDEX('Game Records'!$U:$U,$H420)&lt;&gt;"Subscription",INDEX('Game Records'!$U:$U,$H420)&lt;&gt;"Free Game",INDEX('Game Records'!$U:$U,$H420)&lt;&gt;"Disqualified — Free Game",INDEX('Game Records'!$G:$G,$H420)=""),"Gross Pot; ","")&amp;IF(AND(INDEX('Game Records'!$U:$U,$H420)&lt;&gt;"Free Game",INDEX('Game Records'!$U:$U,$H420)&lt;&gt;"Disqualified — Free Game",INDEX('Game Records'!$H:$H,$H420)=""),"Entry Fee; ","")&amp;IF(AND(INDEX('Game Records'!$U:$U,$H420)&lt;&gt;"Subscription",INDEX('Game Records'!$U:$U,$H420)&lt;&gt;"Free Game",INDEX('Game Records'!$U:$U,$H420)&lt;&gt;"Disqualified — Free Game",INDEX('Game Records'!$I:$I,$H420)=""),"Eligible Players; ","")&amp;IF(AND(INDEX('Game Records'!$U:$U,$H420)&lt;&gt;"Subscription",INDEX('Game Records'!$U:$U,$H420)&lt;&gt;"Free Game",INDEX('Game Records'!$U:$U,$H420)&lt;&gt;"Disqualified — Free Game",INDEX('Game Records'!$J:$J,$H420)=""),"Total Players; ","")&amp;IF(AND(LOWER(INDEX('Game Records'!$D:$D,$H420)&amp;"")="finalized",LOWER(INDEX('Game Records'!$L:$L,$H420)&amp;"")&lt;&gt;"yes",INDEX('Game Records'!$U:$U,$H420)&lt;&gt;"Subscription",INDEX('Game Records'!$U:$U,$H420)&lt;&gt;"Free Game",INDEX('Game Records'!$U:$U,$H420)&lt;&gt;"Disqualified — Free Game",INDEX('Game Records'!$K:$K,$H420)=""),"Final Earned; ","")&amp;IF(AND(LOWER(INDEX('Game Records'!$D:$D,$H420)&amp;"")="finalized",INDEX('Game Records'!$U:$U,$H420)&lt;&gt;"Subscription",INDEX('Game Records'!$U:$U,$H420)&lt;&gt;"Free Game",INDEX('Game Records'!$U:$U,$H420)&lt;&gt;"Disqualified — Free Game",OR(INDEX('Game Records'!$L:$L,$H420)="",LOWER(INDEX('Game Records'!$L:$L,$H420)&amp;"")="n/a")),"Disqualified Status; ",""))</x:f>
        <x:v/>
      </x:c>
      <x:c r="G420" s="331" t="str">
        <x:f>IF($H420="","",IFERROR(INDEX('Game Records'!$M:$M,$H420),""))</x:f>
        <x:v/>
      </x:c>
      <x:c r="H420" s="104" t="str">
        <x:f>IF($H419="","",IFERROR(MATCH(1,INDEX((ROW('Game Records'!$U$5:$U$504)&gt;$H419)*(('Game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1" ht="24" customHeight="1">
      <x:c r="A421" s="332" t="str">
        <x:f>IF($H421="","",ROWS($A$5:A421))</x:f>
        <x:v/>
      </x:c>
      <x:c r="B421" s="332" t="str">
        <x:f>IF($H421="","","G-"&amp;TEXT($A421,"0000"))</x:f>
        <x:v/>
      </x:c>
      <x:c r="C421" s="331" t="str">
        <x:f>IF($H421="","",IFERROR(INDEX('Game Records'!$A:$A,$H421),""))</x:f>
        <x:v/>
      </x:c>
      <x:c r="D421" s="331" t="str">
        <x:f>IF($H421="","",IFERROR(INDEX('Game Records'!$U:$U,$H421),""))</x:f>
        <x:v/>
      </x:c>
      <x:c r="E421" s="331" t="str">
        <x:f>IF($H421="","",IF($F421="","No Highlighted Fields","Highlighted Fields Present"))</x:f>
        <x:v/>
      </x:c>
      <x:c r="F421" s="331" t="str">
        <x:f>IF($H421="","",IF(INDEX('Game Records'!$B:$B,$H421)="","Start Date; ","")&amp;IF(INDEX('Game Records'!$C:$C,$H421)="","End Date; ","")&amp;IF(AND(INDEX('Game Records'!$U:$U,$H421)&lt;&gt;"Subscription",INDEX('Game Records'!$U:$U,$H421)&lt;&gt;"Free Game",INDEX('Game Records'!$U:$U,$H421)&lt;&gt;"Disqualified — Free Game",OR(INDEX('Game Records'!$D:$D,$H421)="",LOWER(INDEX('Game Records'!$D:$D,$H421)&amp;"")="n/a")),"Entry Mode; ","")&amp;IF(AND(INDEX('Game Records'!$U:$U,$H421)&lt;&gt;"Subscription",INDEX('Game Records'!$U:$U,$H421)&lt;&gt;"Free Game",INDEX('Game Records'!$U:$U,$H421)&lt;&gt;"Disqualified — Free Game",OR(INDEX('Game Records'!$E:$E,$H421)="",LOWER(INDEX('Game Records'!$E:$E,$H421)&amp;"")="n/a")),"Game Type; ","")&amp;IF(INDEX('Game Records'!$F:$F,$H421)="","Payment Type; ","")&amp;IF(AND(INDEX('Game Records'!$U:$U,$H421)&lt;&gt;"Subscription",INDEX('Game Records'!$U:$U,$H421)&lt;&gt;"Free Game",INDEX('Game Records'!$U:$U,$H421)&lt;&gt;"Disqualified — Free Game",INDEX('Game Records'!$G:$G,$H421)=""),"Gross Pot; ","")&amp;IF(AND(INDEX('Game Records'!$U:$U,$H421)&lt;&gt;"Free Game",INDEX('Game Records'!$U:$U,$H421)&lt;&gt;"Disqualified — Free Game",INDEX('Game Records'!$H:$H,$H421)=""),"Entry Fee; ","")&amp;IF(AND(INDEX('Game Records'!$U:$U,$H421)&lt;&gt;"Subscription",INDEX('Game Records'!$U:$U,$H421)&lt;&gt;"Free Game",INDEX('Game Records'!$U:$U,$H421)&lt;&gt;"Disqualified — Free Game",INDEX('Game Records'!$I:$I,$H421)=""),"Eligible Players; ","")&amp;IF(AND(INDEX('Game Records'!$U:$U,$H421)&lt;&gt;"Subscription",INDEX('Game Records'!$U:$U,$H421)&lt;&gt;"Free Game",INDEX('Game Records'!$U:$U,$H421)&lt;&gt;"Disqualified — Free Game",INDEX('Game Records'!$J:$J,$H421)=""),"Total Players; ","")&amp;IF(AND(LOWER(INDEX('Game Records'!$D:$D,$H421)&amp;"")="finalized",LOWER(INDEX('Game Records'!$L:$L,$H421)&amp;"")&lt;&gt;"yes",INDEX('Game Records'!$U:$U,$H421)&lt;&gt;"Subscription",INDEX('Game Records'!$U:$U,$H421)&lt;&gt;"Free Game",INDEX('Game Records'!$U:$U,$H421)&lt;&gt;"Disqualified — Free Game",INDEX('Game Records'!$K:$K,$H421)=""),"Final Earned; ","")&amp;IF(AND(LOWER(INDEX('Game Records'!$D:$D,$H421)&amp;"")="finalized",INDEX('Game Records'!$U:$U,$H421)&lt;&gt;"Subscription",INDEX('Game Records'!$U:$U,$H421)&lt;&gt;"Free Game",INDEX('Game Records'!$U:$U,$H421)&lt;&gt;"Disqualified — Free Game",OR(INDEX('Game Records'!$L:$L,$H421)="",LOWER(INDEX('Game Records'!$L:$L,$H421)&amp;"")="n/a")),"Disqualified Status; ",""))</x:f>
        <x:v/>
      </x:c>
      <x:c r="G421" s="331" t="str">
        <x:f>IF($H421="","",IFERROR(INDEX('Game Records'!$M:$M,$H421),""))</x:f>
        <x:v/>
      </x:c>
      <x:c r="H421" s="104" t="str">
        <x:f>IF($H420="","",IFERROR(MATCH(1,INDEX((ROW('Game Records'!$U$5:$U$504)&gt;$H420)*(('Game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2" ht="24" customHeight="1">
      <x:c r="A422" s="332" t="str">
        <x:f>IF($H422="","",ROWS($A$5:A422))</x:f>
        <x:v/>
      </x:c>
      <x:c r="B422" s="332" t="str">
        <x:f>IF($H422="","","G-"&amp;TEXT($A422,"0000"))</x:f>
        <x:v/>
      </x:c>
      <x:c r="C422" s="331" t="str">
        <x:f>IF($H422="","",IFERROR(INDEX('Game Records'!$A:$A,$H422),""))</x:f>
        <x:v/>
      </x:c>
      <x:c r="D422" s="331" t="str">
        <x:f>IF($H422="","",IFERROR(INDEX('Game Records'!$U:$U,$H422),""))</x:f>
        <x:v/>
      </x:c>
      <x:c r="E422" s="331" t="str">
        <x:f>IF($H422="","",IF($F422="","No Highlighted Fields","Highlighted Fields Present"))</x:f>
        <x:v/>
      </x:c>
      <x:c r="F422" s="331" t="str">
        <x:f>IF($H422="","",IF(INDEX('Game Records'!$B:$B,$H422)="","Start Date; ","")&amp;IF(INDEX('Game Records'!$C:$C,$H422)="","End Date; ","")&amp;IF(AND(INDEX('Game Records'!$U:$U,$H422)&lt;&gt;"Subscription",INDEX('Game Records'!$U:$U,$H422)&lt;&gt;"Free Game",INDEX('Game Records'!$U:$U,$H422)&lt;&gt;"Disqualified — Free Game",OR(INDEX('Game Records'!$D:$D,$H422)="",LOWER(INDEX('Game Records'!$D:$D,$H422)&amp;"")="n/a")),"Entry Mode; ","")&amp;IF(AND(INDEX('Game Records'!$U:$U,$H422)&lt;&gt;"Subscription",INDEX('Game Records'!$U:$U,$H422)&lt;&gt;"Free Game",INDEX('Game Records'!$U:$U,$H422)&lt;&gt;"Disqualified — Free Game",OR(INDEX('Game Records'!$E:$E,$H422)="",LOWER(INDEX('Game Records'!$E:$E,$H422)&amp;"")="n/a")),"Game Type; ","")&amp;IF(INDEX('Game Records'!$F:$F,$H422)="","Payment Type; ","")&amp;IF(AND(INDEX('Game Records'!$U:$U,$H422)&lt;&gt;"Subscription",INDEX('Game Records'!$U:$U,$H422)&lt;&gt;"Free Game",INDEX('Game Records'!$U:$U,$H422)&lt;&gt;"Disqualified — Free Game",INDEX('Game Records'!$G:$G,$H422)=""),"Gross Pot; ","")&amp;IF(AND(INDEX('Game Records'!$U:$U,$H422)&lt;&gt;"Free Game",INDEX('Game Records'!$U:$U,$H422)&lt;&gt;"Disqualified — Free Game",INDEX('Game Records'!$H:$H,$H422)=""),"Entry Fee; ","")&amp;IF(AND(INDEX('Game Records'!$U:$U,$H422)&lt;&gt;"Subscription",INDEX('Game Records'!$U:$U,$H422)&lt;&gt;"Free Game",INDEX('Game Records'!$U:$U,$H422)&lt;&gt;"Disqualified — Free Game",INDEX('Game Records'!$I:$I,$H422)=""),"Eligible Players; ","")&amp;IF(AND(INDEX('Game Records'!$U:$U,$H422)&lt;&gt;"Subscription",INDEX('Game Records'!$U:$U,$H422)&lt;&gt;"Free Game",INDEX('Game Records'!$U:$U,$H422)&lt;&gt;"Disqualified — Free Game",INDEX('Game Records'!$J:$J,$H422)=""),"Total Players; ","")&amp;IF(AND(LOWER(INDEX('Game Records'!$D:$D,$H422)&amp;"")="finalized",LOWER(INDEX('Game Records'!$L:$L,$H422)&amp;"")&lt;&gt;"yes",INDEX('Game Records'!$U:$U,$H422)&lt;&gt;"Subscription",INDEX('Game Records'!$U:$U,$H422)&lt;&gt;"Free Game",INDEX('Game Records'!$U:$U,$H422)&lt;&gt;"Disqualified — Free Game",INDEX('Game Records'!$K:$K,$H422)=""),"Final Earned; ","")&amp;IF(AND(LOWER(INDEX('Game Records'!$D:$D,$H422)&amp;"")="finalized",INDEX('Game Records'!$U:$U,$H422)&lt;&gt;"Subscription",INDEX('Game Records'!$U:$U,$H422)&lt;&gt;"Free Game",INDEX('Game Records'!$U:$U,$H422)&lt;&gt;"Disqualified — Free Game",OR(INDEX('Game Records'!$L:$L,$H422)="",LOWER(INDEX('Game Records'!$L:$L,$H422)&amp;"")="n/a")),"Disqualified Status; ",""))</x:f>
        <x:v/>
      </x:c>
      <x:c r="G422" s="331" t="str">
        <x:f>IF($H422="","",IFERROR(INDEX('Game Records'!$M:$M,$H422),""))</x:f>
        <x:v/>
      </x:c>
      <x:c r="H422" s="104" t="str">
        <x:f>IF($H421="","",IFERROR(MATCH(1,INDEX((ROW('Game Records'!$U$5:$U$504)&gt;$H421)*(('Game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3" ht="24" customHeight="1">
      <x:c r="A423" s="332" t="str">
        <x:f>IF($H423="","",ROWS($A$5:A423))</x:f>
        <x:v/>
      </x:c>
      <x:c r="B423" s="332" t="str">
        <x:f>IF($H423="","","G-"&amp;TEXT($A423,"0000"))</x:f>
        <x:v/>
      </x:c>
      <x:c r="C423" s="331" t="str">
        <x:f>IF($H423="","",IFERROR(INDEX('Game Records'!$A:$A,$H423),""))</x:f>
        <x:v/>
      </x:c>
      <x:c r="D423" s="331" t="str">
        <x:f>IF($H423="","",IFERROR(INDEX('Game Records'!$U:$U,$H423),""))</x:f>
        <x:v/>
      </x:c>
      <x:c r="E423" s="331" t="str">
        <x:f>IF($H423="","",IF($F423="","No Highlighted Fields","Highlighted Fields Present"))</x:f>
        <x:v/>
      </x:c>
      <x:c r="F423" s="331" t="str">
        <x:f>IF($H423="","",IF(INDEX('Game Records'!$B:$B,$H423)="","Start Date; ","")&amp;IF(INDEX('Game Records'!$C:$C,$H423)="","End Date; ","")&amp;IF(AND(INDEX('Game Records'!$U:$U,$H423)&lt;&gt;"Subscription",INDEX('Game Records'!$U:$U,$H423)&lt;&gt;"Free Game",INDEX('Game Records'!$U:$U,$H423)&lt;&gt;"Disqualified — Free Game",OR(INDEX('Game Records'!$D:$D,$H423)="",LOWER(INDEX('Game Records'!$D:$D,$H423)&amp;"")="n/a")),"Entry Mode; ","")&amp;IF(AND(INDEX('Game Records'!$U:$U,$H423)&lt;&gt;"Subscription",INDEX('Game Records'!$U:$U,$H423)&lt;&gt;"Free Game",INDEX('Game Records'!$U:$U,$H423)&lt;&gt;"Disqualified — Free Game",OR(INDEX('Game Records'!$E:$E,$H423)="",LOWER(INDEX('Game Records'!$E:$E,$H423)&amp;"")="n/a")),"Game Type; ","")&amp;IF(INDEX('Game Records'!$F:$F,$H423)="","Payment Type; ","")&amp;IF(AND(INDEX('Game Records'!$U:$U,$H423)&lt;&gt;"Subscription",INDEX('Game Records'!$U:$U,$H423)&lt;&gt;"Free Game",INDEX('Game Records'!$U:$U,$H423)&lt;&gt;"Disqualified — Free Game",INDEX('Game Records'!$G:$G,$H423)=""),"Gross Pot; ","")&amp;IF(AND(INDEX('Game Records'!$U:$U,$H423)&lt;&gt;"Free Game",INDEX('Game Records'!$U:$U,$H423)&lt;&gt;"Disqualified — Free Game",INDEX('Game Records'!$H:$H,$H423)=""),"Entry Fee; ","")&amp;IF(AND(INDEX('Game Records'!$U:$U,$H423)&lt;&gt;"Subscription",INDEX('Game Records'!$U:$U,$H423)&lt;&gt;"Free Game",INDEX('Game Records'!$U:$U,$H423)&lt;&gt;"Disqualified — Free Game",INDEX('Game Records'!$I:$I,$H423)=""),"Eligible Players; ","")&amp;IF(AND(INDEX('Game Records'!$U:$U,$H423)&lt;&gt;"Subscription",INDEX('Game Records'!$U:$U,$H423)&lt;&gt;"Free Game",INDEX('Game Records'!$U:$U,$H423)&lt;&gt;"Disqualified — Free Game",INDEX('Game Records'!$J:$J,$H423)=""),"Total Players; ","")&amp;IF(AND(LOWER(INDEX('Game Records'!$D:$D,$H423)&amp;"")="finalized",LOWER(INDEX('Game Records'!$L:$L,$H423)&amp;"")&lt;&gt;"yes",INDEX('Game Records'!$U:$U,$H423)&lt;&gt;"Subscription",INDEX('Game Records'!$U:$U,$H423)&lt;&gt;"Free Game",INDEX('Game Records'!$U:$U,$H423)&lt;&gt;"Disqualified — Free Game",INDEX('Game Records'!$K:$K,$H423)=""),"Final Earned; ","")&amp;IF(AND(LOWER(INDEX('Game Records'!$D:$D,$H423)&amp;"")="finalized",INDEX('Game Records'!$U:$U,$H423)&lt;&gt;"Subscription",INDEX('Game Records'!$U:$U,$H423)&lt;&gt;"Free Game",INDEX('Game Records'!$U:$U,$H423)&lt;&gt;"Disqualified — Free Game",OR(INDEX('Game Records'!$L:$L,$H423)="",LOWER(INDEX('Game Records'!$L:$L,$H423)&amp;"")="n/a")),"Disqualified Status; ",""))</x:f>
        <x:v/>
      </x:c>
      <x:c r="G423" s="331" t="str">
        <x:f>IF($H423="","",IFERROR(INDEX('Game Records'!$M:$M,$H423),""))</x:f>
        <x:v/>
      </x:c>
      <x:c r="H423" s="104" t="str">
        <x:f>IF($H422="","",IFERROR(MATCH(1,INDEX((ROW('Game Records'!$U$5:$U$504)&gt;$H422)*(('Game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4" ht="24" customHeight="1">
      <x:c r="A424" s="332" t="str">
        <x:f>IF($H424="","",ROWS($A$5:A424))</x:f>
        <x:v/>
      </x:c>
      <x:c r="B424" s="332" t="str">
        <x:f>IF($H424="","","G-"&amp;TEXT($A424,"0000"))</x:f>
        <x:v/>
      </x:c>
      <x:c r="C424" s="331" t="str">
        <x:f>IF($H424="","",IFERROR(INDEX('Game Records'!$A:$A,$H424),""))</x:f>
        <x:v/>
      </x:c>
      <x:c r="D424" s="331" t="str">
        <x:f>IF($H424="","",IFERROR(INDEX('Game Records'!$U:$U,$H424),""))</x:f>
        <x:v/>
      </x:c>
      <x:c r="E424" s="331" t="str">
        <x:f>IF($H424="","",IF($F424="","No Highlighted Fields","Highlighted Fields Present"))</x:f>
        <x:v/>
      </x:c>
      <x:c r="F424" s="331" t="str">
        <x:f>IF($H424="","",IF(INDEX('Game Records'!$B:$B,$H424)="","Start Date; ","")&amp;IF(INDEX('Game Records'!$C:$C,$H424)="","End Date; ","")&amp;IF(AND(INDEX('Game Records'!$U:$U,$H424)&lt;&gt;"Subscription",INDEX('Game Records'!$U:$U,$H424)&lt;&gt;"Free Game",INDEX('Game Records'!$U:$U,$H424)&lt;&gt;"Disqualified — Free Game",OR(INDEX('Game Records'!$D:$D,$H424)="",LOWER(INDEX('Game Records'!$D:$D,$H424)&amp;"")="n/a")),"Entry Mode; ","")&amp;IF(AND(INDEX('Game Records'!$U:$U,$H424)&lt;&gt;"Subscription",INDEX('Game Records'!$U:$U,$H424)&lt;&gt;"Free Game",INDEX('Game Records'!$U:$U,$H424)&lt;&gt;"Disqualified — Free Game",OR(INDEX('Game Records'!$E:$E,$H424)="",LOWER(INDEX('Game Records'!$E:$E,$H424)&amp;"")="n/a")),"Game Type; ","")&amp;IF(INDEX('Game Records'!$F:$F,$H424)="","Payment Type; ","")&amp;IF(AND(INDEX('Game Records'!$U:$U,$H424)&lt;&gt;"Subscription",INDEX('Game Records'!$U:$U,$H424)&lt;&gt;"Free Game",INDEX('Game Records'!$U:$U,$H424)&lt;&gt;"Disqualified — Free Game",INDEX('Game Records'!$G:$G,$H424)=""),"Gross Pot; ","")&amp;IF(AND(INDEX('Game Records'!$U:$U,$H424)&lt;&gt;"Free Game",INDEX('Game Records'!$U:$U,$H424)&lt;&gt;"Disqualified — Free Game",INDEX('Game Records'!$H:$H,$H424)=""),"Entry Fee; ","")&amp;IF(AND(INDEX('Game Records'!$U:$U,$H424)&lt;&gt;"Subscription",INDEX('Game Records'!$U:$U,$H424)&lt;&gt;"Free Game",INDEX('Game Records'!$U:$U,$H424)&lt;&gt;"Disqualified — Free Game",INDEX('Game Records'!$I:$I,$H424)=""),"Eligible Players; ","")&amp;IF(AND(INDEX('Game Records'!$U:$U,$H424)&lt;&gt;"Subscription",INDEX('Game Records'!$U:$U,$H424)&lt;&gt;"Free Game",INDEX('Game Records'!$U:$U,$H424)&lt;&gt;"Disqualified — Free Game",INDEX('Game Records'!$J:$J,$H424)=""),"Total Players; ","")&amp;IF(AND(LOWER(INDEX('Game Records'!$D:$D,$H424)&amp;"")="finalized",LOWER(INDEX('Game Records'!$L:$L,$H424)&amp;"")&lt;&gt;"yes",INDEX('Game Records'!$U:$U,$H424)&lt;&gt;"Subscription",INDEX('Game Records'!$U:$U,$H424)&lt;&gt;"Free Game",INDEX('Game Records'!$U:$U,$H424)&lt;&gt;"Disqualified — Free Game",INDEX('Game Records'!$K:$K,$H424)=""),"Final Earned; ","")&amp;IF(AND(LOWER(INDEX('Game Records'!$D:$D,$H424)&amp;"")="finalized",INDEX('Game Records'!$U:$U,$H424)&lt;&gt;"Subscription",INDEX('Game Records'!$U:$U,$H424)&lt;&gt;"Free Game",INDEX('Game Records'!$U:$U,$H424)&lt;&gt;"Disqualified — Free Game",OR(INDEX('Game Records'!$L:$L,$H424)="",LOWER(INDEX('Game Records'!$L:$L,$H424)&amp;"")="n/a")),"Disqualified Status; ",""))</x:f>
        <x:v/>
      </x:c>
      <x:c r="G424" s="331" t="str">
        <x:f>IF($H424="","",IFERROR(INDEX('Game Records'!$M:$M,$H424),""))</x:f>
        <x:v/>
      </x:c>
      <x:c r="H424" s="104" t="str">
        <x:f>IF($H423="","",IFERROR(MATCH(1,INDEX((ROW('Game Records'!$U$5:$U$504)&gt;$H423)*(('Game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5" ht="24" customHeight="1">
      <x:c r="A425" s="332" t="str">
        <x:f>IF($H425="","",ROWS($A$5:A425))</x:f>
        <x:v/>
      </x:c>
      <x:c r="B425" s="332" t="str">
        <x:f>IF($H425="","","G-"&amp;TEXT($A425,"0000"))</x:f>
        <x:v/>
      </x:c>
      <x:c r="C425" s="331" t="str">
        <x:f>IF($H425="","",IFERROR(INDEX('Game Records'!$A:$A,$H425),""))</x:f>
        <x:v/>
      </x:c>
      <x:c r="D425" s="331" t="str">
        <x:f>IF($H425="","",IFERROR(INDEX('Game Records'!$U:$U,$H425),""))</x:f>
        <x:v/>
      </x:c>
      <x:c r="E425" s="331" t="str">
        <x:f>IF($H425="","",IF($F425="","No Highlighted Fields","Highlighted Fields Present"))</x:f>
        <x:v/>
      </x:c>
      <x:c r="F425" s="331" t="str">
        <x:f>IF($H425="","",IF(INDEX('Game Records'!$B:$B,$H425)="","Start Date; ","")&amp;IF(INDEX('Game Records'!$C:$C,$H425)="","End Date; ","")&amp;IF(AND(INDEX('Game Records'!$U:$U,$H425)&lt;&gt;"Subscription",INDEX('Game Records'!$U:$U,$H425)&lt;&gt;"Free Game",INDEX('Game Records'!$U:$U,$H425)&lt;&gt;"Disqualified — Free Game",OR(INDEX('Game Records'!$D:$D,$H425)="",LOWER(INDEX('Game Records'!$D:$D,$H425)&amp;"")="n/a")),"Entry Mode; ","")&amp;IF(AND(INDEX('Game Records'!$U:$U,$H425)&lt;&gt;"Subscription",INDEX('Game Records'!$U:$U,$H425)&lt;&gt;"Free Game",INDEX('Game Records'!$U:$U,$H425)&lt;&gt;"Disqualified — Free Game",OR(INDEX('Game Records'!$E:$E,$H425)="",LOWER(INDEX('Game Records'!$E:$E,$H425)&amp;"")="n/a")),"Game Type; ","")&amp;IF(INDEX('Game Records'!$F:$F,$H425)="","Payment Type; ","")&amp;IF(AND(INDEX('Game Records'!$U:$U,$H425)&lt;&gt;"Subscription",INDEX('Game Records'!$U:$U,$H425)&lt;&gt;"Free Game",INDEX('Game Records'!$U:$U,$H425)&lt;&gt;"Disqualified — Free Game",INDEX('Game Records'!$G:$G,$H425)=""),"Gross Pot; ","")&amp;IF(AND(INDEX('Game Records'!$U:$U,$H425)&lt;&gt;"Free Game",INDEX('Game Records'!$U:$U,$H425)&lt;&gt;"Disqualified — Free Game",INDEX('Game Records'!$H:$H,$H425)=""),"Entry Fee; ","")&amp;IF(AND(INDEX('Game Records'!$U:$U,$H425)&lt;&gt;"Subscription",INDEX('Game Records'!$U:$U,$H425)&lt;&gt;"Free Game",INDEX('Game Records'!$U:$U,$H425)&lt;&gt;"Disqualified — Free Game",INDEX('Game Records'!$I:$I,$H425)=""),"Eligible Players; ","")&amp;IF(AND(INDEX('Game Records'!$U:$U,$H425)&lt;&gt;"Subscription",INDEX('Game Records'!$U:$U,$H425)&lt;&gt;"Free Game",INDEX('Game Records'!$U:$U,$H425)&lt;&gt;"Disqualified — Free Game",INDEX('Game Records'!$J:$J,$H425)=""),"Total Players; ","")&amp;IF(AND(LOWER(INDEX('Game Records'!$D:$D,$H425)&amp;"")="finalized",LOWER(INDEX('Game Records'!$L:$L,$H425)&amp;"")&lt;&gt;"yes",INDEX('Game Records'!$U:$U,$H425)&lt;&gt;"Subscription",INDEX('Game Records'!$U:$U,$H425)&lt;&gt;"Free Game",INDEX('Game Records'!$U:$U,$H425)&lt;&gt;"Disqualified — Free Game",INDEX('Game Records'!$K:$K,$H425)=""),"Final Earned; ","")&amp;IF(AND(LOWER(INDEX('Game Records'!$D:$D,$H425)&amp;"")="finalized",INDEX('Game Records'!$U:$U,$H425)&lt;&gt;"Subscription",INDEX('Game Records'!$U:$U,$H425)&lt;&gt;"Free Game",INDEX('Game Records'!$U:$U,$H425)&lt;&gt;"Disqualified — Free Game",OR(INDEX('Game Records'!$L:$L,$H425)="",LOWER(INDEX('Game Records'!$L:$L,$H425)&amp;"")="n/a")),"Disqualified Status; ",""))</x:f>
        <x:v/>
      </x:c>
      <x:c r="G425" s="331" t="str">
        <x:f>IF($H425="","",IFERROR(INDEX('Game Records'!$M:$M,$H425),""))</x:f>
        <x:v/>
      </x:c>
      <x:c r="H425" s="104" t="str">
        <x:f>IF($H424="","",IFERROR(MATCH(1,INDEX((ROW('Game Records'!$U$5:$U$504)&gt;$H424)*(('Game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6" ht="24" customHeight="1">
      <x:c r="A426" s="332" t="str">
        <x:f>IF($H426="","",ROWS($A$5:A426))</x:f>
        <x:v/>
      </x:c>
      <x:c r="B426" s="332" t="str">
        <x:f>IF($H426="","","G-"&amp;TEXT($A426,"0000"))</x:f>
        <x:v/>
      </x:c>
      <x:c r="C426" s="331" t="str">
        <x:f>IF($H426="","",IFERROR(INDEX('Game Records'!$A:$A,$H426),""))</x:f>
        <x:v/>
      </x:c>
      <x:c r="D426" s="331" t="str">
        <x:f>IF($H426="","",IFERROR(INDEX('Game Records'!$U:$U,$H426),""))</x:f>
        <x:v/>
      </x:c>
      <x:c r="E426" s="331" t="str">
        <x:f>IF($H426="","",IF($F426="","No Highlighted Fields","Highlighted Fields Present"))</x:f>
        <x:v/>
      </x:c>
      <x:c r="F426" s="331" t="str">
        <x:f>IF($H426="","",IF(INDEX('Game Records'!$B:$B,$H426)="","Start Date; ","")&amp;IF(INDEX('Game Records'!$C:$C,$H426)="","End Date; ","")&amp;IF(AND(INDEX('Game Records'!$U:$U,$H426)&lt;&gt;"Subscription",INDEX('Game Records'!$U:$U,$H426)&lt;&gt;"Free Game",INDEX('Game Records'!$U:$U,$H426)&lt;&gt;"Disqualified — Free Game",OR(INDEX('Game Records'!$D:$D,$H426)="",LOWER(INDEX('Game Records'!$D:$D,$H426)&amp;"")="n/a")),"Entry Mode; ","")&amp;IF(AND(INDEX('Game Records'!$U:$U,$H426)&lt;&gt;"Subscription",INDEX('Game Records'!$U:$U,$H426)&lt;&gt;"Free Game",INDEX('Game Records'!$U:$U,$H426)&lt;&gt;"Disqualified — Free Game",OR(INDEX('Game Records'!$E:$E,$H426)="",LOWER(INDEX('Game Records'!$E:$E,$H426)&amp;"")="n/a")),"Game Type; ","")&amp;IF(INDEX('Game Records'!$F:$F,$H426)="","Payment Type; ","")&amp;IF(AND(INDEX('Game Records'!$U:$U,$H426)&lt;&gt;"Subscription",INDEX('Game Records'!$U:$U,$H426)&lt;&gt;"Free Game",INDEX('Game Records'!$U:$U,$H426)&lt;&gt;"Disqualified — Free Game",INDEX('Game Records'!$G:$G,$H426)=""),"Gross Pot; ","")&amp;IF(AND(INDEX('Game Records'!$U:$U,$H426)&lt;&gt;"Free Game",INDEX('Game Records'!$U:$U,$H426)&lt;&gt;"Disqualified — Free Game",INDEX('Game Records'!$H:$H,$H426)=""),"Entry Fee; ","")&amp;IF(AND(INDEX('Game Records'!$U:$U,$H426)&lt;&gt;"Subscription",INDEX('Game Records'!$U:$U,$H426)&lt;&gt;"Free Game",INDEX('Game Records'!$U:$U,$H426)&lt;&gt;"Disqualified — Free Game",INDEX('Game Records'!$I:$I,$H426)=""),"Eligible Players; ","")&amp;IF(AND(INDEX('Game Records'!$U:$U,$H426)&lt;&gt;"Subscription",INDEX('Game Records'!$U:$U,$H426)&lt;&gt;"Free Game",INDEX('Game Records'!$U:$U,$H426)&lt;&gt;"Disqualified — Free Game",INDEX('Game Records'!$J:$J,$H426)=""),"Total Players; ","")&amp;IF(AND(LOWER(INDEX('Game Records'!$D:$D,$H426)&amp;"")="finalized",LOWER(INDEX('Game Records'!$L:$L,$H426)&amp;"")&lt;&gt;"yes",INDEX('Game Records'!$U:$U,$H426)&lt;&gt;"Subscription",INDEX('Game Records'!$U:$U,$H426)&lt;&gt;"Free Game",INDEX('Game Records'!$U:$U,$H426)&lt;&gt;"Disqualified — Free Game",INDEX('Game Records'!$K:$K,$H426)=""),"Final Earned; ","")&amp;IF(AND(LOWER(INDEX('Game Records'!$D:$D,$H426)&amp;"")="finalized",INDEX('Game Records'!$U:$U,$H426)&lt;&gt;"Subscription",INDEX('Game Records'!$U:$U,$H426)&lt;&gt;"Free Game",INDEX('Game Records'!$U:$U,$H426)&lt;&gt;"Disqualified — Free Game",OR(INDEX('Game Records'!$L:$L,$H426)="",LOWER(INDEX('Game Records'!$L:$L,$H426)&amp;"")="n/a")),"Disqualified Status; ",""))</x:f>
        <x:v/>
      </x:c>
      <x:c r="G426" s="331" t="str">
        <x:f>IF($H426="","",IFERROR(INDEX('Game Records'!$M:$M,$H426),""))</x:f>
        <x:v/>
      </x:c>
      <x:c r="H426" s="104" t="str">
        <x:f>IF($H425="","",IFERROR(MATCH(1,INDEX((ROW('Game Records'!$U$5:$U$504)&gt;$H425)*(('Game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7" ht="24" customHeight="1">
      <x:c r="A427" s="332" t="str">
        <x:f>IF($H427="","",ROWS($A$5:A427))</x:f>
        <x:v/>
      </x:c>
      <x:c r="B427" s="332" t="str">
        <x:f>IF($H427="","","G-"&amp;TEXT($A427,"0000"))</x:f>
        <x:v/>
      </x:c>
      <x:c r="C427" s="331" t="str">
        <x:f>IF($H427="","",IFERROR(INDEX('Game Records'!$A:$A,$H427),""))</x:f>
        <x:v/>
      </x:c>
      <x:c r="D427" s="331" t="str">
        <x:f>IF($H427="","",IFERROR(INDEX('Game Records'!$U:$U,$H427),""))</x:f>
        <x:v/>
      </x:c>
      <x:c r="E427" s="331" t="str">
        <x:f>IF($H427="","",IF($F427="","No Highlighted Fields","Highlighted Fields Present"))</x:f>
        <x:v/>
      </x:c>
      <x:c r="F427" s="331" t="str">
        <x:f>IF($H427="","",IF(INDEX('Game Records'!$B:$B,$H427)="","Start Date; ","")&amp;IF(INDEX('Game Records'!$C:$C,$H427)="","End Date; ","")&amp;IF(AND(INDEX('Game Records'!$U:$U,$H427)&lt;&gt;"Subscription",INDEX('Game Records'!$U:$U,$H427)&lt;&gt;"Free Game",INDEX('Game Records'!$U:$U,$H427)&lt;&gt;"Disqualified — Free Game",OR(INDEX('Game Records'!$D:$D,$H427)="",LOWER(INDEX('Game Records'!$D:$D,$H427)&amp;"")="n/a")),"Entry Mode; ","")&amp;IF(AND(INDEX('Game Records'!$U:$U,$H427)&lt;&gt;"Subscription",INDEX('Game Records'!$U:$U,$H427)&lt;&gt;"Free Game",INDEX('Game Records'!$U:$U,$H427)&lt;&gt;"Disqualified — Free Game",OR(INDEX('Game Records'!$E:$E,$H427)="",LOWER(INDEX('Game Records'!$E:$E,$H427)&amp;"")="n/a")),"Game Type; ","")&amp;IF(INDEX('Game Records'!$F:$F,$H427)="","Payment Type; ","")&amp;IF(AND(INDEX('Game Records'!$U:$U,$H427)&lt;&gt;"Subscription",INDEX('Game Records'!$U:$U,$H427)&lt;&gt;"Free Game",INDEX('Game Records'!$U:$U,$H427)&lt;&gt;"Disqualified — Free Game",INDEX('Game Records'!$G:$G,$H427)=""),"Gross Pot; ","")&amp;IF(AND(INDEX('Game Records'!$U:$U,$H427)&lt;&gt;"Free Game",INDEX('Game Records'!$U:$U,$H427)&lt;&gt;"Disqualified — Free Game",INDEX('Game Records'!$H:$H,$H427)=""),"Entry Fee; ","")&amp;IF(AND(INDEX('Game Records'!$U:$U,$H427)&lt;&gt;"Subscription",INDEX('Game Records'!$U:$U,$H427)&lt;&gt;"Free Game",INDEX('Game Records'!$U:$U,$H427)&lt;&gt;"Disqualified — Free Game",INDEX('Game Records'!$I:$I,$H427)=""),"Eligible Players; ","")&amp;IF(AND(INDEX('Game Records'!$U:$U,$H427)&lt;&gt;"Subscription",INDEX('Game Records'!$U:$U,$H427)&lt;&gt;"Free Game",INDEX('Game Records'!$U:$U,$H427)&lt;&gt;"Disqualified — Free Game",INDEX('Game Records'!$J:$J,$H427)=""),"Total Players; ","")&amp;IF(AND(LOWER(INDEX('Game Records'!$D:$D,$H427)&amp;"")="finalized",LOWER(INDEX('Game Records'!$L:$L,$H427)&amp;"")&lt;&gt;"yes",INDEX('Game Records'!$U:$U,$H427)&lt;&gt;"Subscription",INDEX('Game Records'!$U:$U,$H427)&lt;&gt;"Free Game",INDEX('Game Records'!$U:$U,$H427)&lt;&gt;"Disqualified — Free Game",INDEX('Game Records'!$K:$K,$H427)=""),"Final Earned; ","")&amp;IF(AND(LOWER(INDEX('Game Records'!$D:$D,$H427)&amp;"")="finalized",INDEX('Game Records'!$U:$U,$H427)&lt;&gt;"Subscription",INDEX('Game Records'!$U:$U,$H427)&lt;&gt;"Free Game",INDEX('Game Records'!$U:$U,$H427)&lt;&gt;"Disqualified — Free Game",OR(INDEX('Game Records'!$L:$L,$H427)="",LOWER(INDEX('Game Records'!$L:$L,$H427)&amp;"")="n/a")),"Disqualified Status; ",""))</x:f>
        <x:v/>
      </x:c>
      <x:c r="G427" s="331" t="str">
        <x:f>IF($H427="","",IFERROR(INDEX('Game Records'!$M:$M,$H427),""))</x:f>
        <x:v/>
      </x:c>
      <x:c r="H427" s="104" t="str">
        <x:f>IF($H426="","",IFERROR(MATCH(1,INDEX((ROW('Game Records'!$U$5:$U$504)&gt;$H426)*(('Game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8" ht="24" customHeight="1">
      <x:c r="A428" s="332" t="str">
        <x:f>IF($H428="","",ROWS($A$5:A428))</x:f>
        <x:v/>
      </x:c>
      <x:c r="B428" s="332" t="str">
        <x:f>IF($H428="","","G-"&amp;TEXT($A428,"0000"))</x:f>
        <x:v/>
      </x:c>
      <x:c r="C428" s="331" t="str">
        <x:f>IF($H428="","",IFERROR(INDEX('Game Records'!$A:$A,$H428),""))</x:f>
        <x:v/>
      </x:c>
      <x:c r="D428" s="331" t="str">
        <x:f>IF($H428="","",IFERROR(INDEX('Game Records'!$U:$U,$H428),""))</x:f>
        <x:v/>
      </x:c>
      <x:c r="E428" s="331" t="str">
        <x:f>IF($H428="","",IF($F428="","No Highlighted Fields","Highlighted Fields Present"))</x:f>
        <x:v/>
      </x:c>
      <x:c r="F428" s="331" t="str">
        <x:f>IF($H428="","",IF(INDEX('Game Records'!$B:$B,$H428)="","Start Date; ","")&amp;IF(INDEX('Game Records'!$C:$C,$H428)="","End Date; ","")&amp;IF(AND(INDEX('Game Records'!$U:$U,$H428)&lt;&gt;"Subscription",INDEX('Game Records'!$U:$U,$H428)&lt;&gt;"Free Game",INDEX('Game Records'!$U:$U,$H428)&lt;&gt;"Disqualified — Free Game",OR(INDEX('Game Records'!$D:$D,$H428)="",LOWER(INDEX('Game Records'!$D:$D,$H428)&amp;"")="n/a")),"Entry Mode; ","")&amp;IF(AND(INDEX('Game Records'!$U:$U,$H428)&lt;&gt;"Subscription",INDEX('Game Records'!$U:$U,$H428)&lt;&gt;"Free Game",INDEX('Game Records'!$U:$U,$H428)&lt;&gt;"Disqualified — Free Game",OR(INDEX('Game Records'!$E:$E,$H428)="",LOWER(INDEX('Game Records'!$E:$E,$H428)&amp;"")="n/a")),"Game Type; ","")&amp;IF(INDEX('Game Records'!$F:$F,$H428)="","Payment Type; ","")&amp;IF(AND(INDEX('Game Records'!$U:$U,$H428)&lt;&gt;"Subscription",INDEX('Game Records'!$U:$U,$H428)&lt;&gt;"Free Game",INDEX('Game Records'!$U:$U,$H428)&lt;&gt;"Disqualified — Free Game",INDEX('Game Records'!$G:$G,$H428)=""),"Gross Pot; ","")&amp;IF(AND(INDEX('Game Records'!$U:$U,$H428)&lt;&gt;"Free Game",INDEX('Game Records'!$U:$U,$H428)&lt;&gt;"Disqualified — Free Game",INDEX('Game Records'!$H:$H,$H428)=""),"Entry Fee; ","")&amp;IF(AND(INDEX('Game Records'!$U:$U,$H428)&lt;&gt;"Subscription",INDEX('Game Records'!$U:$U,$H428)&lt;&gt;"Free Game",INDEX('Game Records'!$U:$U,$H428)&lt;&gt;"Disqualified — Free Game",INDEX('Game Records'!$I:$I,$H428)=""),"Eligible Players; ","")&amp;IF(AND(INDEX('Game Records'!$U:$U,$H428)&lt;&gt;"Subscription",INDEX('Game Records'!$U:$U,$H428)&lt;&gt;"Free Game",INDEX('Game Records'!$U:$U,$H428)&lt;&gt;"Disqualified — Free Game",INDEX('Game Records'!$J:$J,$H428)=""),"Total Players; ","")&amp;IF(AND(LOWER(INDEX('Game Records'!$D:$D,$H428)&amp;"")="finalized",LOWER(INDEX('Game Records'!$L:$L,$H428)&amp;"")&lt;&gt;"yes",INDEX('Game Records'!$U:$U,$H428)&lt;&gt;"Subscription",INDEX('Game Records'!$U:$U,$H428)&lt;&gt;"Free Game",INDEX('Game Records'!$U:$U,$H428)&lt;&gt;"Disqualified — Free Game",INDEX('Game Records'!$K:$K,$H428)=""),"Final Earned; ","")&amp;IF(AND(LOWER(INDEX('Game Records'!$D:$D,$H428)&amp;"")="finalized",INDEX('Game Records'!$U:$U,$H428)&lt;&gt;"Subscription",INDEX('Game Records'!$U:$U,$H428)&lt;&gt;"Free Game",INDEX('Game Records'!$U:$U,$H428)&lt;&gt;"Disqualified — Free Game",OR(INDEX('Game Records'!$L:$L,$H428)="",LOWER(INDEX('Game Records'!$L:$L,$H428)&amp;"")="n/a")),"Disqualified Status; ",""))</x:f>
        <x:v/>
      </x:c>
      <x:c r="G428" s="331" t="str">
        <x:f>IF($H428="","",IFERROR(INDEX('Game Records'!$M:$M,$H428),""))</x:f>
        <x:v/>
      </x:c>
      <x:c r="H428" s="104" t="str">
        <x:f>IF($H427="","",IFERROR(MATCH(1,INDEX((ROW('Game Records'!$U$5:$U$504)&gt;$H427)*(('Game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29" ht="24" customHeight="1">
      <x:c r="A429" s="332" t="str">
        <x:f>IF($H429="","",ROWS($A$5:A429))</x:f>
        <x:v/>
      </x:c>
      <x:c r="B429" s="332" t="str">
        <x:f>IF($H429="","","G-"&amp;TEXT($A429,"0000"))</x:f>
        <x:v/>
      </x:c>
      <x:c r="C429" s="331" t="str">
        <x:f>IF($H429="","",IFERROR(INDEX('Game Records'!$A:$A,$H429),""))</x:f>
        <x:v/>
      </x:c>
      <x:c r="D429" s="331" t="str">
        <x:f>IF($H429="","",IFERROR(INDEX('Game Records'!$U:$U,$H429),""))</x:f>
        <x:v/>
      </x:c>
      <x:c r="E429" s="331" t="str">
        <x:f>IF($H429="","",IF($F429="","No Highlighted Fields","Highlighted Fields Present"))</x:f>
        <x:v/>
      </x:c>
      <x:c r="F429" s="331" t="str">
        <x:f>IF($H429="","",IF(INDEX('Game Records'!$B:$B,$H429)="","Start Date; ","")&amp;IF(INDEX('Game Records'!$C:$C,$H429)="","End Date; ","")&amp;IF(AND(INDEX('Game Records'!$U:$U,$H429)&lt;&gt;"Subscription",INDEX('Game Records'!$U:$U,$H429)&lt;&gt;"Free Game",INDEX('Game Records'!$U:$U,$H429)&lt;&gt;"Disqualified — Free Game",OR(INDEX('Game Records'!$D:$D,$H429)="",LOWER(INDEX('Game Records'!$D:$D,$H429)&amp;"")="n/a")),"Entry Mode; ","")&amp;IF(AND(INDEX('Game Records'!$U:$U,$H429)&lt;&gt;"Subscription",INDEX('Game Records'!$U:$U,$H429)&lt;&gt;"Free Game",INDEX('Game Records'!$U:$U,$H429)&lt;&gt;"Disqualified — Free Game",OR(INDEX('Game Records'!$E:$E,$H429)="",LOWER(INDEX('Game Records'!$E:$E,$H429)&amp;"")="n/a")),"Game Type; ","")&amp;IF(INDEX('Game Records'!$F:$F,$H429)="","Payment Type; ","")&amp;IF(AND(INDEX('Game Records'!$U:$U,$H429)&lt;&gt;"Subscription",INDEX('Game Records'!$U:$U,$H429)&lt;&gt;"Free Game",INDEX('Game Records'!$U:$U,$H429)&lt;&gt;"Disqualified — Free Game",INDEX('Game Records'!$G:$G,$H429)=""),"Gross Pot; ","")&amp;IF(AND(INDEX('Game Records'!$U:$U,$H429)&lt;&gt;"Free Game",INDEX('Game Records'!$U:$U,$H429)&lt;&gt;"Disqualified — Free Game",INDEX('Game Records'!$H:$H,$H429)=""),"Entry Fee; ","")&amp;IF(AND(INDEX('Game Records'!$U:$U,$H429)&lt;&gt;"Subscription",INDEX('Game Records'!$U:$U,$H429)&lt;&gt;"Free Game",INDEX('Game Records'!$U:$U,$H429)&lt;&gt;"Disqualified — Free Game",INDEX('Game Records'!$I:$I,$H429)=""),"Eligible Players; ","")&amp;IF(AND(INDEX('Game Records'!$U:$U,$H429)&lt;&gt;"Subscription",INDEX('Game Records'!$U:$U,$H429)&lt;&gt;"Free Game",INDEX('Game Records'!$U:$U,$H429)&lt;&gt;"Disqualified — Free Game",INDEX('Game Records'!$J:$J,$H429)=""),"Total Players; ","")&amp;IF(AND(LOWER(INDEX('Game Records'!$D:$D,$H429)&amp;"")="finalized",LOWER(INDEX('Game Records'!$L:$L,$H429)&amp;"")&lt;&gt;"yes",INDEX('Game Records'!$U:$U,$H429)&lt;&gt;"Subscription",INDEX('Game Records'!$U:$U,$H429)&lt;&gt;"Free Game",INDEX('Game Records'!$U:$U,$H429)&lt;&gt;"Disqualified — Free Game",INDEX('Game Records'!$K:$K,$H429)=""),"Final Earned; ","")&amp;IF(AND(LOWER(INDEX('Game Records'!$D:$D,$H429)&amp;"")="finalized",INDEX('Game Records'!$U:$U,$H429)&lt;&gt;"Subscription",INDEX('Game Records'!$U:$U,$H429)&lt;&gt;"Free Game",INDEX('Game Records'!$U:$U,$H429)&lt;&gt;"Disqualified — Free Game",OR(INDEX('Game Records'!$L:$L,$H429)="",LOWER(INDEX('Game Records'!$L:$L,$H429)&amp;"")="n/a")),"Disqualified Status; ",""))</x:f>
        <x:v/>
      </x:c>
      <x:c r="G429" s="331" t="str">
        <x:f>IF($H429="","",IFERROR(INDEX('Game Records'!$M:$M,$H429),""))</x:f>
        <x:v/>
      </x:c>
      <x:c r="H429" s="104" t="str">
        <x:f>IF($H428="","",IFERROR(MATCH(1,INDEX((ROW('Game Records'!$U$5:$U$504)&gt;$H428)*(('Game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0" ht="24" customHeight="1">
      <x:c r="A430" s="332" t="str">
        <x:f>IF($H430="","",ROWS($A$5:A430))</x:f>
        <x:v/>
      </x:c>
      <x:c r="B430" s="332" t="str">
        <x:f>IF($H430="","","G-"&amp;TEXT($A430,"0000"))</x:f>
        <x:v/>
      </x:c>
      <x:c r="C430" s="331" t="str">
        <x:f>IF($H430="","",IFERROR(INDEX('Game Records'!$A:$A,$H430),""))</x:f>
        <x:v/>
      </x:c>
      <x:c r="D430" s="331" t="str">
        <x:f>IF($H430="","",IFERROR(INDEX('Game Records'!$U:$U,$H430),""))</x:f>
        <x:v/>
      </x:c>
      <x:c r="E430" s="331" t="str">
        <x:f>IF($H430="","",IF($F430="","No Highlighted Fields","Highlighted Fields Present"))</x:f>
        <x:v/>
      </x:c>
      <x:c r="F430" s="331" t="str">
        <x:f>IF($H430="","",IF(INDEX('Game Records'!$B:$B,$H430)="","Start Date; ","")&amp;IF(INDEX('Game Records'!$C:$C,$H430)="","End Date; ","")&amp;IF(AND(INDEX('Game Records'!$U:$U,$H430)&lt;&gt;"Subscription",INDEX('Game Records'!$U:$U,$H430)&lt;&gt;"Free Game",INDEX('Game Records'!$U:$U,$H430)&lt;&gt;"Disqualified — Free Game",OR(INDEX('Game Records'!$D:$D,$H430)="",LOWER(INDEX('Game Records'!$D:$D,$H430)&amp;"")="n/a")),"Entry Mode; ","")&amp;IF(AND(INDEX('Game Records'!$U:$U,$H430)&lt;&gt;"Subscription",INDEX('Game Records'!$U:$U,$H430)&lt;&gt;"Free Game",INDEX('Game Records'!$U:$U,$H430)&lt;&gt;"Disqualified — Free Game",OR(INDEX('Game Records'!$E:$E,$H430)="",LOWER(INDEX('Game Records'!$E:$E,$H430)&amp;"")="n/a")),"Game Type; ","")&amp;IF(INDEX('Game Records'!$F:$F,$H430)="","Payment Type; ","")&amp;IF(AND(INDEX('Game Records'!$U:$U,$H430)&lt;&gt;"Subscription",INDEX('Game Records'!$U:$U,$H430)&lt;&gt;"Free Game",INDEX('Game Records'!$U:$U,$H430)&lt;&gt;"Disqualified — Free Game",INDEX('Game Records'!$G:$G,$H430)=""),"Gross Pot; ","")&amp;IF(AND(INDEX('Game Records'!$U:$U,$H430)&lt;&gt;"Free Game",INDEX('Game Records'!$U:$U,$H430)&lt;&gt;"Disqualified — Free Game",INDEX('Game Records'!$H:$H,$H430)=""),"Entry Fee; ","")&amp;IF(AND(INDEX('Game Records'!$U:$U,$H430)&lt;&gt;"Subscription",INDEX('Game Records'!$U:$U,$H430)&lt;&gt;"Free Game",INDEX('Game Records'!$U:$U,$H430)&lt;&gt;"Disqualified — Free Game",INDEX('Game Records'!$I:$I,$H430)=""),"Eligible Players; ","")&amp;IF(AND(INDEX('Game Records'!$U:$U,$H430)&lt;&gt;"Subscription",INDEX('Game Records'!$U:$U,$H430)&lt;&gt;"Free Game",INDEX('Game Records'!$U:$U,$H430)&lt;&gt;"Disqualified — Free Game",INDEX('Game Records'!$J:$J,$H430)=""),"Total Players; ","")&amp;IF(AND(LOWER(INDEX('Game Records'!$D:$D,$H430)&amp;"")="finalized",LOWER(INDEX('Game Records'!$L:$L,$H430)&amp;"")&lt;&gt;"yes",INDEX('Game Records'!$U:$U,$H430)&lt;&gt;"Subscription",INDEX('Game Records'!$U:$U,$H430)&lt;&gt;"Free Game",INDEX('Game Records'!$U:$U,$H430)&lt;&gt;"Disqualified — Free Game",INDEX('Game Records'!$K:$K,$H430)=""),"Final Earned; ","")&amp;IF(AND(LOWER(INDEX('Game Records'!$D:$D,$H430)&amp;"")="finalized",INDEX('Game Records'!$U:$U,$H430)&lt;&gt;"Subscription",INDEX('Game Records'!$U:$U,$H430)&lt;&gt;"Free Game",INDEX('Game Records'!$U:$U,$H430)&lt;&gt;"Disqualified — Free Game",OR(INDEX('Game Records'!$L:$L,$H430)="",LOWER(INDEX('Game Records'!$L:$L,$H430)&amp;"")="n/a")),"Disqualified Status; ",""))</x:f>
        <x:v/>
      </x:c>
      <x:c r="G430" s="331" t="str">
        <x:f>IF($H430="","",IFERROR(INDEX('Game Records'!$M:$M,$H430),""))</x:f>
        <x:v/>
      </x:c>
      <x:c r="H430" s="104" t="str">
        <x:f>IF($H429="","",IFERROR(MATCH(1,INDEX((ROW('Game Records'!$U$5:$U$504)&gt;$H429)*(('Game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1" ht="24" customHeight="1">
      <x:c r="A431" s="332" t="str">
        <x:f>IF($H431="","",ROWS($A$5:A431))</x:f>
        <x:v/>
      </x:c>
      <x:c r="B431" s="332" t="str">
        <x:f>IF($H431="","","G-"&amp;TEXT($A431,"0000"))</x:f>
        <x:v/>
      </x:c>
      <x:c r="C431" s="331" t="str">
        <x:f>IF($H431="","",IFERROR(INDEX('Game Records'!$A:$A,$H431),""))</x:f>
        <x:v/>
      </x:c>
      <x:c r="D431" s="331" t="str">
        <x:f>IF($H431="","",IFERROR(INDEX('Game Records'!$U:$U,$H431),""))</x:f>
        <x:v/>
      </x:c>
      <x:c r="E431" s="331" t="str">
        <x:f>IF($H431="","",IF($F431="","No Highlighted Fields","Highlighted Fields Present"))</x:f>
        <x:v/>
      </x:c>
      <x:c r="F431" s="331" t="str">
        <x:f>IF($H431="","",IF(INDEX('Game Records'!$B:$B,$H431)="","Start Date; ","")&amp;IF(INDEX('Game Records'!$C:$C,$H431)="","End Date; ","")&amp;IF(AND(INDEX('Game Records'!$U:$U,$H431)&lt;&gt;"Subscription",INDEX('Game Records'!$U:$U,$H431)&lt;&gt;"Free Game",INDEX('Game Records'!$U:$U,$H431)&lt;&gt;"Disqualified — Free Game",OR(INDEX('Game Records'!$D:$D,$H431)="",LOWER(INDEX('Game Records'!$D:$D,$H431)&amp;"")="n/a")),"Entry Mode; ","")&amp;IF(AND(INDEX('Game Records'!$U:$U,$H431)&lt;&gt;"Subscription",INDEX('Game Records'!$U:$U,$H431)&lt;&gt;"Free Game",INDEX('Game Records'!$U:$U,$H431)&lt;&gt;"Disqualified — Free Game",OR(INDEX('Game Records'!$E:$E,$H431)="",LOWER(INDEX('Game Records'!$E:$E,$H431)&amp;"")="n/a")),"Game Type; ","")&amp;IF(INDEX('Game Records'!$F:$F,$H431)="","Payment Type; ","")&amp;IF(AND(INDEX('Game Records'!$U:$U,$H431)&lt;&gt;"Subscription",INDEX('Game Records'!$U:$U,$H431)&lt;&gt;"Free Game",INDEX('Game Records'!$U:$U,$H431)&lt;&gt;"Disqualified — Free Game",INDEX('Game Records'!$G:$G,$H431)=""),"Gross Pot; ","")&amp;IF(AND(INDEX('Game Records'!$U:$U,$H431)&lt;&gt;"Free Game",INDEX('Game Records'!$U:$U,$H431)&lt;&gt;"Disqualified — Free Game",INDEX('Game Records'!$H:$H,$H431)=""),"Entry Fee; ","")&amp;IF(AND(INDEX('Game Records'!$U:$U,$H431)&lt;&gt;"Subscription",INDEX('Game Records'!$U:$U,$H431)&lt;&gt;"Free Game",INDEX('Game Records'!$U:$U,$H431)&lt;&gt;"Disqualified — Free Game",INDEX('Game Records'!$I:$I,$H431)=""),"Eligible Players; ","")&amp;IF(AND(INDEX('Game Records'!$U:$U,$H431)&lt;&gt;"Subscription",INDEX('Game Records'!$U:$U,$H431)&lt;&gt;"Free Game",INDEX('Game Records'!$U:$U,$H431)&lt;&gt;"Disqualified — Free Game",INDEX('Game Records'!$J:$J,$H431)=""),"Total Players; ","")&amp;IF(AND(LOWER(INDEX('Game Records'!$D:$D,$H431)&amp;"")="finalized",LOWER(INDEX('Game Records'!$L:$L,$H431)&amp;"")&lt;&gt;"yes",INDEX('Game Records'!$U:$U,$H431)&lt;&gt;"Subscription",INDEX('Game Records'!$U:$U,$H431)&lt;&gt;"Free Game",INDEX('Game Records'!$U:$U,$H431)&lt;&gt;"Disqualified — Free Game",INDEX('Game Records'!$K:$K,$H431)=""),"Final Earned; ","")&amp;IF(AND(LOWER(INDEX('Game Records'!$D:$D,$H431)&amp;"")="finalized",INDEX('Game Records'!$U:$U,$H431)&lt;&gt;"Subscription",INDEX('Game Records'!$U:$U,$H431)&lt;&gt;"Free Game",INDEX('Game Records'!$U:$U,$H431)&lt;&gt;"Disqualified — Free Game",OR(INDEX('Game Records'!$L:$L,$H431)="",LOWER(INDEX('Game Records'!$L:$L,$H431)&amp;"")="n/a")),"Disqualified Status; ",""))</x:f>
        <x:v/>
      </x:c>
      <x:c r="G431" s="331" t="str">
        <x:f>IF($H431="","",IFERROR(INDEX('Game Records'!$M:$M,$H431),""))</x:f>
        <x:v/>
      </x:c>
      <x:c r="H431" s="104" t="str">
        <x:f>IF($H430="","",IFERROR(MATCH(1,INDEX((ROW('Game Records'!$U$5:$U$504)&gt;$H430)*(('Game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2" ht="24" customHeight="1">
      <x:c r="A432" s="332" t="str">
        <x:f>IF($H432="","",ROWS($A$5:A432))</x:f>
        <x:v/>
      </x:c>
      <x:c r="B432" s="332" t="str">
        <x:f>IF($H432="","","G-"&amp;TEXT($A432,"0000"))</x:f>
        <x:v/>
      </x:c>
      <x:c r="C432" s="331" t="str">
        <x:f>IF($H432="","",IFERROR(INDEX('Game Records'!$A:$A,$H432),""))</x:f>
        <x:v/>
      </x:c>
      <x:c r="D432" s="331" t="str">
        <x:f>IF($H432="","",IFERROR(INDEX('Game Records'!$U:$U,$H432),""))</x:f>
        <x:v/>
      </x:c>
      <x:c r="E432" s="331" t="str">
        <x:f>IF($H432="","",IF($F432="","No Highlighted Fields","Highlighted Fields Present"))</x:f>
        <x:v/>
      </x:c>
      <x:c r="F432" s="331" t="str">
        <x:f>IF($H432="","",IF(INDEX('Game Records'!$B:$B,$H432)="","Start Date; ","")&amp;IF(INDEX('Game Records'!$C:$C,$H432)="","End Date; ","")&amp;IF(AND(INDEX('Game Records'!$U:$U,$H432)&lt;&gt;"Subscription",INDEX('Game Records'!$U:$U,$H432)&lt;&gt;"Free Game",INDEX('Game Records'!$U:$U,$H432)&lt;&gt;"Disqualified — Free Game",OR(INDEX('Game Records'!$D:$D,$H432)="",LOWER(INDEX('Game Records'!$D:$D,$H432)&amp;"")="n/a")),"Entry Mode; ","")&amp;IF(AND(INDEX('Game Records'!$U:$U,$H432)&lt;&gt;"Subscription",INDEX('Game Records'!$U:$U,$H432)&lt;&gt;"Free Game",INDEX('Game Records'!$U:$U,$H432)&lt;&gt;"Disqualified — Free Game",OR(INDEX('Game Records'!$E:$E,$H432)="",LOWER(INDEX('Game Records'!$E:$E,$H432)&amp;"")="n/a")),"Game Type; ","")&amp;IF(INDEX('Game Records'!$F:$F,$H432)="","Payment Type; ","")&amp;IF(AND(INDEX('Game Records'!$U:$U,$H432)&lt;&gt;"Subscription",INDEX('Game Records'!$U:$U,$H432)&lt;&gt;"Free Game",INDEX('Game Records'!$U:$U,$H432)&lt;&gt;"Disqualified — Free Game",INDEX('Game Records'!$G:$G,$H432)=""),"Gross Pot; ","")&amp;IF(AND(INDEX('Game Records'!$U:$U,$H432)&lt;&gt;"Free Game",INDEX('Game Records'!$U:$U,$H432)&lt;&gt;"Disqualified — Free Game",INDEX('Game Records'!$H:$H,$H432)=""),"Entry Fee; ","")&amp;IF(AND(INDEX('Game Records'!$U:$U,$H432)&lt;&gt;"Subscription",INDEX('Game Records'!$U:$U,$H432)&lt;&gt;"Free Game",INDEX('Game Records'!$U:$U,$H432)&lt;&gt;"Disqualified — Free Game",INDEX('Game Records'!$I:$I,$H432)=""),"Eligible Players; ","")&amp;IF(AND(INDEX('Game Records'!$U:$U,$H432)&lt;&gt;"Subscription",INDEX('Game Records'!$U:$U,$H432)&lt;&gt;"Free Game",INDEX('Game Records'!$U:$U,$H432)&lt;&gt;"Disqualified — Free Game",INDEX('Game Records'!$J:$J,$H432)=""),"Total Players; ","")&amp;IF(AND(LOWER(INDEX('Game Records'!$D:$D,$H432)&amp;"")="finalized",LOWER(INDEX('Game Records'!$L:$L,$H432)&amp;"")&lt;&gt;"yes",INDEX('Game Records'!$U:$U,$H432)&lt;&gt;"Subscription",INDEX('Game Records'!$U:$U,$H432)&lt;&gt;"Free Game",INDEX('Game Records'!$U:$U,$H432)&lt;&gt;"Disqualified — Free Game",INDEX('Game Records'!$K:$K,$H432)=""),"Final Earned; ","")&amp;IF(AND(LOWER(INDEX('Game Records'!$D:$D,$H432)&amp;"")="finalized",INDEX('Game Records'!$U:$U,$H432)&lt;&gt;"Subscription",INDEX('Game Records'!$U:$U,$H432)&lt;&gt;"Free Game",INDEX('Game Records'!$U:$U,$H432)&lt;&gt;"Disqualified — Free Game",OR(INDEX('Game Records'!$L:$L,$H432)="",LOWER(INDEX('Game Records'!$L:$L,$H432)&amp;"")="n/a")),"Disqualified Status; ",""))</x:f>
        <x:v/>
      </x:c>
      <x:c r="G432" s="331" t="str">
        <x:f>IF($H432="","",IFERROR(INDEX('Game Records'!$M:$M,$H432),""))</x:f>
        <x:v/>
      </x:c>
      <x:c r="H432" s="104" t="str">
        <x:f>IF($H431="","",IFERROR(MATCH(1,INDEX((ROW('Game Records'!$U$5:$U$504)&gt;$H431)*(('Game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3" ht="24" customHeight="1">
      <x:c r="A433" s="332" t="str">
        <x:f>IF($H433="","",ROWS($A$5:A433))</x:f>
        <x:v/>
      </x:c>
      <x:c r="B433" s="332" t="str">
        <x:f>IF($H433="","","G-"&amp;TEXT($A433,"0000"))</x:f>
        <x:v/>
      </x:c>
      <x:c r="C433" s="331" t="str">
        <x:f>IF($H433="","",IFERROR(INDEX('Game Records'!$A:$A,$H433),""))</x:f>
        <x:v/>
      </x:c>
      <x:c r="D433" s="331" t="str">
        <x:f>IF($H433="","",IFERROR(INDEX('Game Records'!$U:$U,$H433),""))</x:f>
        <x:v/>
      </x:c>
      <x:c r="E433" s="331" t="str">
        <x:f>IF($H433="","",IF($F433="","No Highlighted Fields","Highlighted Fields Present"))</x:f>
        <x:v/>
      </x:c>
      <x:c r="F433" s="331" t="str">
        <x:f>IF($H433="","",IF(INDEX('Game Records'!$B:$B,$H433)="","Start Date; ","")&amp;IF(INDEX('Game Records'!$C:$C,$H433)="","End Date; ","")&amp;IF(AND(INDEX('Game Records'!$U:$U,$H433)&lt;&gt;"Subscription",INDEX('Game Records'!$U:$U,$H433)&lt;&gt;"Free Game",INDEX('Game Records'!$U:$U,$H433)&lt;&gt;"Disqualified — Free Game",OR(INDEX('Game Records'!$D:$D,$H433)="",LOWER(INDEX('Game Records'!$D:$D,$H433)&amp;"")="n/a")),"Entry Mode; ","")&amp;IF(AND(INDEX('Game Records'!$U:$U,$H433)&lt;&gt;"Subscription",INDEX('Game Records'!$U:$U,$H433)&lt;&gt;"Free Game",INDEX('Game Records'!$U:$U,$H433)&lt;&gt;"Disqualified — Free Game",OR(INDEX('Game Records'!$E:$E,$H433)="",LOWER(INDEX('Game Records'!$E:$E,$H433)&amp;"")="n/a")),"Game Type; ","")&amp;IF(INDEX('Game Records'!$F:$F,$H433)="","Payment Type; ","")&amp;IF(AND(INDEX('Game Records'!$U:$U,$H433)&lt;&gt;"Subscription",INDEX('Game Records'!$U:$U,$H433)&lt;&gt;"Free Game",INDEX('Game Records'!$U:$U,$H433)&lt;&gt;"Disqualified — Free Game",INDEX('Game Records'!$G:$G,$H433)=""),"Gross Pot; ","")&amp;IF(AND(INDEX('Game Records'!$U:$U,$H433)&lt;&gt;"Free Game",INDEX('Game Records'!$U:$U,$H433)&lt;&gt;"Disqualified — Free Game",INDEX('Game Records'!$H:$H,$H433)=""),"Entry Fee; ","")&amp;IF(AND(INDEX('Game Records'!$U:$U,$H433)&lt;&gt;"Subscription",INDEX('Game Records'!$U:$U,$H433)&lt;&gt;"Free Game",INDEX('Game Records'!$U:$U,$H433)&lt;&gt;"Disqualified — Free Game",INDEX('Game Records'!$I:$I,$H433)=""),"Eligible Players; ","")&amp;IF(AND(INDEX('Game Records'!$U:$U,$H433)&lt;&gt;"Subscription",INDEX('Game Records'!$U:$U,$H433)&lt;&gt;"Free Game",INDEX('Game Records'!$U:$U,$H433)&lt;&gt;"Disqualified — Free Game",INDEX('Game Records'!$J:$J,$H433)=""),"Total Players; ","")&amp;IF(AND(LOWER(INDEX('Game Records'!$D:$D,$H433)&amp;"")="finalized",LOWER(INDEX('Game Records'!$L:$L,$H433)&amp;"")&lt;&gt;"yes",INDEX('Game Records'!$U:$U,$H433)&lt;&gt;"Subscription",INDEX('Game Records'!$U:$U,$H433)&lt;&gt;"Free Game",INDEX('Game Records'!$U:$U,$H433)&lt;&gt;"Disqualified — Free Game",INDEX('Game Records'!$K:$K,$H433)=""),"Final Earned; ","")&amp;IF(AND(LOWER(INDEX('Game Records'!$D:$D,$H433)&amp;"")="finalized",INDEX('Game Records'!$U:$U,$H433)&lt;&gt;"Subscription",INDEX('Game Records'!$U:$U,$H433)&lt;&gt;"Free Game",INDEX('Game Records'!$U:$U,$H433)&lt;&gt;"Disqualified — Free Game",OR(INDEX('Game Records'!$L:$L,$H433)="",LOWER(INDEX('Game Records'!$L:$L,$H433)&amp;"")="n/a")),"Disqualified Status; ",""))</x:f>
        <x:v/>
      </x:c>
      <x:c r="G433" s="331" t="str">
        <x:f>IF($H433="","",IFERROR(INDEX('Game Records'!$M:$M,$H433),""))</x:f>
        <x:v/>
      </x:c>
      <x:c r="H433" s="104" t="str">
        <x:f>IF($H432="","",IFERROR(MATCH(1,INDEX((ROW('Game Records'!$U$5:$U$504)&gt;$H432)*(('Game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4" ht="24" customHeight="1">
      <x:c r="A434" s="332" t="str">
        <x:f>IF($H434="","",ROWS($A$5:A434))</x:f>
        <x:v/>
      </x:c>
      <x:c r="B434" s="332" t="str">
        <x:f>IF($H434="","","G-"&amp;TEXT($A434,"0000"))</x:f>
        <x:v/>
      </x:c>
      <x:c r="C434" s="331" t="str">
        <x:f>IF($H434="","",IFERROR(INDEX('Game Records'!$A:$A,$H434),""))</x:f>
        <x:v/>
      </x:c>
      <x:c r="D434" s="331" t="str">
        <x:f>IF($H434="","",IFERROR(INDEX('Game Records'!$U:$U,$H434),""))</x:f>
        <x:v/>
      </x:c>
      <x:c r="E434" s="331" t="str">
        <x:f>IF($H434="","",IF($F434="","No Highlighted Fields","Highlighted Fields Present"))</x:f>
        <x:v/>
      </x:c>
      <x:c r="F434" s="331" t="str">
        <x:f>IF($H434="","",IF(INDEX('Game Records'!$B:$B,$H434)="","Start Date; ","")&amp;IF(INDEX('Game Records'!$C:$C,$H434)="","End Date; ","")&amp;IF(AND(INDEX('Game Records'!$U:$U,$H434)&lt;&gt;"Subscription",INDEX('Game Records'!$U:$U,$H434)&lt;&gt;"Free Game",INDEX('Game Records'!$U:$U,$H434)&lt;&gt;"Disqualified — Free Game",OR(INDEX('Game Records'!$D:$D,$H434)="",LOWER(INDEX('Game Records'!$D:$D,$H434)&amp;"")="n/a")),"Entry Mode; ","")&amp;IF(AND(INDEX('Game Records'!$U:$U,$H434)&lt;&gt;"Subscription",INDEX('Game Records'!$U:$U,$H434)&lt;&gt;"Free Game",INDEX('Game Records'!$U:$U,$H434)&lt;&gt;"Disqualified — Free Game",OR(INDEX('Game Records'!$E:$E,$H434)="",LOWER(INDEX('Game Records'!$E:$E,$H434)&amp;"")="n/a")),"Game Type; ","")&amp;IF(INDEX('Game Records'!$F:$F,$H434)="","Payment Type; ","")&amp;IF(AND(INDEX('Game Records'!$U:$U,$H434)&lt;&gt;"Subscription",INDEX('Game Records'!$U:$U,$H434)&lt;&gt;"Free Game",INDEX('Game Records'!$U:$U,$H434)&lt;&gt;"Disqualified — Free Game",INDEX('Game Records'!$G:$G,$H434)=""),"Gross Pot; ","")&amp;IF(AND(INDEX('Game Records'!$U:$U,$H434)&lt;&gt;"Free Game",INDEX('Game Records'!$U:$U,$H434)&lt;&gt;"Disqualified — Free Game",INDEX('Game Records'!$H:$H,$H434)=""),"Entry Fee; ","")&amp;IF(AND(INDEX('Game Records'!$U:$U,$H434)&lt;&gt;"Subscription",INDEX('Game Records'!$U:$U,$H434)&lt;&gt;"Free Game",INDEX('Game Records'!$U:$U,$H434)&lt;&gt;"Disqualified — Free Game",INDEX('Game Records'!$I:$I,$H434)=""),"Eligible Players; ","")&amp;IF(AND(INDEX('Game Records'!$U:$U,$H434)&lt;&gt;"Subscription",INDEX('Game Records'!$U:$U,$H434)&lt;&gt;"Free Game",INDEX('Game Records'!$U:$U,$H434)&lt;&gt;"Disqualified — Free Game",INDEX('Game Records'!$J:$J,$H434)=""),"Total Players; ","")&amp;IF(AND(LOWER(INDEX('Game Records'!$D:$D,$H434)&amp;"")="finalized",LOWER(INDEX('Game Records'!$L:$L,$H434)&amp;"")&lt;&gt;"yes",INDEX('Game Records'!$U:$U,$H434)&lt;&gt;"Subscription",INDEX('Game Records'!$U:$U,$H434)&lt;&gt;"Free Game",INDEX('Game Records'!$U:$U,$H434)&lt;&gt;"Disqualified — Free Game",INDEX('Game Records'!$K:$K,$H434)=""),"Final Earned; ","")&amp;IF(AND(LOWER(INDEX('Game Records'!$D:$D,$H434)&amp;"")="finalized",INDEX('Game Records'!$U:$U,$H434)&lt;&gt;"Subscription",INDEX('Game Records'!$U:$U,$H434)&lt;&gt;"Free Game",INDEX('Game Records'!$U:$U,$H434)&lt;&gt;"Disqualified — Free Game",OR(INDEX('Game Records'!$L:$L,$H434)="",LOWER(INDEX('Game Records'!$L:$L,$H434)&amp;"")="n/a")),"Disqualified Status; ",""))</x:f>
        <x:v/>
      </x:c>
      <x:c r="G434" s="331" t="str">
        <x:f>IF($H434="","",IFERROR(INDEX('Game Records'!$M:$M,$H434),""))</x:f>
        <x:v/>
      </x:c>
      <x:c r="H434" s="104" t="str">
        <x:f>IF($H433="","",IFERROR(MATCH(1,INDEX((ROW('Game Records'!$U$5:$U$504)&gt;$H433)*(('Game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5" ht="24" customHeight="1">
      <x:c r="A435" s="332" t="str">
        <x:f>IF($H435="","",ROWS($A$5:A435))</x:f>
        <x:v/>
      </x:c>
      <x:c r="B435" s="332" t="str">
        <x:f>IF($H435="","","G-"&amp;TEXT($A435,"0000"))</x:f>
        <x:v/>
      </x:c>
      <x:c r="C435" s="331" t="str">
        <x:f>IF($H435="","",IFERROR(INDEX('Game Records'!$A:$A,$H435),""))</x:f>
        <x:v/>
      </x:c>
      <x:c r="D435" s="331" t="str">
        <x:f>IF($H435="","",IFERROR(INDEX('Game Records'!$U:$U,$H435),""))</x:f>
        <x:v/>
      </x:c>
      <x:c r="E435" s="331" t="str">
        <x:f>IF($H435="","",IF($F435="","No Highlighted Fields","Highlighted Fields Present"))</x:f>
        <x:v/>
      </x:c>
      <x:c r="F435" s="331" t="str">
        <x:f>IF($H435="","",IF(INDEX('Game Records'!$B:$B,$H435)="","Start Date; ","")&amp;IF(INDEX('Game Records'!$C:$C,$H435)="","End Date; ","")&amp;IF(AND(INDEX('Game Records'!$U:$U,$H435)&lt;&gt;"Subscription",INDEX('Game Records'!$U:$U,$H435)&lt;&gt;"Free Game",INDEX('Game Records'!$U:$U,$H435)&lt;&gt;"Disqualified — Free Game",OR(INDEX('Game Records'!$D:$D,$H435)="",LOWER(INDEX('Game Records'!$D:$D,$H435)&amp;"")="n/a")),"Entry Mode; ","")&amp;IF(AND(INDEX('Game Records'!$U:$U,$H435)&lt;&gt;"Subscription",INDEX('Game Records'!$U:$U,$H435)&lt;&gt;"Free Game",INDEX('Game Records'!$U:$U,$H435)&lt;&gt;"Disqualified — Free Game",OR(INDEX('Game Records'!$E:$E,$H435)="",LOWER(INDEX('Game Records'!$E:$E,$H435)&amp;"")="n/a")),"Game Type; ","")&amp;IF(INDEX('Game Records'!$F:$F,$H435)="","Payment Type; ","")&amp;IF(AND(INDEX('Game Records'!$U:$U,$H435)&lt;&gt;"Subscription",INDEX('Game Records'!$U:$U,$H435)&lt;&gt;"Free Game",INDEX('Game Records'!$U:$U,$H435)&lt;&gt;"Disqualified — Free Game",INDEX('Game Records'!$G:$G,$H435)=""),"Gross Pot; ","")&amp;IF(AND(INDEX('Game Records'!$U:$U,$H435)&lt;&gt;"Free Game",INDEX('Game Records'!$U:$U,$H435)&lt;&gt;"Disqualified — Free Game",INDEX('Game Records'!$H:$H,$H435)=""),"Entry Fee; ","")&amp;IF(AND(INDEX('Game Records'!$U:$U,$H435)&lt;&gt;"Subscription",INDEX('Game Records'!$U:$U,$H435)&lt;&gt;"Free Game",INDEX('Game Records'!$U:$U,$H435)&lt;&gt;"Disqualified — Free Game",INDEX('Game Records'!$I:$I,$H435)=""),"Eligible Players; ","")&amp;IF(AND(INDEX('Game Records'!$U:$U,$H435)&lt;&gt;"Subscription",INDEX('Game Records'!$U:$U,$H435)&lt;&gt;"Free Game",INDEX('Game Records'!$U:$U,$H435)&lt;&gt;"Disqualified — Free Game",INDEX('Game Records'!$J:$J,$H435)=""),"Total Players; ","")&amp;IF(AND(LOWER(INDEX('Game Records'!$D:$D,$H435)&amp;"")="finalized",LOWER(INDEX('Game Records'!$L:$L,$H435)&amp;"")&lt;&gt;"yes",INDEX('Game Records'!$U:$U,$H435)&lt;&gt;"Subscription",INDEX('Game Records'!$U:$U,$H435)&lt;&gt;"Free Game",INDEX('Game Records'!$U:$U,$H435)&lt;&gt;"Disqualified — Free Game",INDEX('Game Records'!$K:$K,$H435)=""),"Final Earned; ","")&amp;IF(AND(LOWER(INDEX('Game Records'!$D:$D,$H435)&amp;"")="finalized",INDEX('Game Records'!$U:$U,$H435)&lt;&gt;"Subscription",INDEX('Game Records'!$U:$U,$H435)&lt;&gt;"Free Game",INDEX('Game Records'!$U:$U,$H435)&lt;&gt;"Disqualified — Free Game",OR(INDEX('Game Records'!$L:$L,$H435)="",LOWER(INDEX('Game Records'!$L:$L,$H435)&amp;"")="n/a")),"Disqualified Status; ",""))</x:f>
        <x:v/>
      </x:c>
      <x:c r="G435" s="331" t="str">
        <x:f>IF($H435="","",IFERROR(INDEX('Game Records'!$M:$M,$H435),""))</x:f>
        <x:v/>
      </x:c>
      <x:c r="H435" s="104" t="str">
        <x:f>IF($H434="","",IFERROR(MATCH(1,INDEX((ROW('Game Records'!$U$5:$U$504)&gt;$H434)*(('Game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6" ht="24" customHeight="1">
      <x:c r="A436" s="332" t="str">
        <x:f>IF($H436="","",ROWS($A$5:A436))</x:f>
        <x:v/>
      </x:c>
      <x:c r="B436" s="332" t="str">
        <x:f>IF($H436="","","G-"&amp;TEXT($A436,"0000"))</x:f>
        <x:v/>
      </x:c>
      <x:c r="C436" s="331" t="str">
        <x:f>IF($H436="","",IFERROR(INDEX('Game Records'!$A:$A,$H436),""))</x:f>
        <x:v/>
      </x:c>
      <x:c r="D436" s="331" t="str">
        <x:f>IF($H436="","",IFERROR(INDEX('Game Records'!$U:$U,$H436),""))</x:f>
        <x:v/>
      </x:c>
      <x:c r="E436" s="331" t="str">
        <x:f>IF($H436="","",IF($F436="","No Highlighted Fields","Highlighted Fields Present"))</x:f>
        <x:v/>
      </x:c>
      <x:c r="F436" s="331" t="str">
        <x:f>IF($H436="","",IF(INDEX('Game Records'!$B:$B,$H436)="","Start Date; ","")&amp;IF(INDEX('Game Records'!$C:$C,$H436)="","End Date; ","")&amp;IF(AND(INDEX('Game Records'!$U:$U,$H436)&lt;&gt;"Subscription",INDEX('Game Records'!$U:$U,$H436)&lt;&gt;"Free Game",INDEX('Game Records'!$U:$U,$H436)&lt;&gt;"Disqualified — Free Game",OR(INDEX('Game Records'!$D:$D,$H436)="",LOWER(INDEX('Game Records'!$D:$D,$H436)&amp;"")="n/a")),"Entry Mode; ","")&amp;IF(AND(INDEX('Game Records'!$U:$U,$H436)&lt;&gt;"Subscription",INDEX('Game Records'!$U:$U,$H436)&lt;&gt;"Free Game",INDEX('Game Records'!$U:$U,$H436)&lt;&gt;"Disqualified — Free Game",OR(INDEX('Game Records'!$E:$E,$H436)="",LOWER(INDEX('Game Records'!$E:$E,$H436)&amp;"")="n/a")),"Game Type; ","")&amp;IF(INDEX('Game Records'!$F:$F,$H436)="","Payment Type; ","")&amp;IF(AND(INDEX('Game Records'!$U:$U,$H436)&lt;&gt;"Subscription",INDEX('Game Records'!$U:$U,$H436)&lt;&gt;"Free Game",INDEX('Game Records'!$U:$U,$H436)&lt;&gt;"Disqualified — Free Game",INDEX('Game Records'!$G:$G,$H436)=""),"Gross Pot; ","")&amp;IF(AND(INDEX('Game Records'!$U:$U,$H436)&lt;&gt;"Free Game",INDEX('Game Records'!$U:$U,$H436)&lt;&gt;"Disqualified — Free Game",INDEX('Game Records'!$H:$H,$H436)=""),"Entry Fee; ","")&amp;IF(AND(INDEX('Game Records'!$U:$U,$H436)&lt;&gt;"Subscription",INDEX('Game Records'!$U:$U,$H436)&lt;&gt;"Free Game",INDEX('Game Records'!$U:$U,$H436)&lt;&gt;"Disqualified — Free Game",INDEX('Game Records'!$I:$I,$H436)=""),"Eligible Players; ","")&amp;IF(AND(INDEX('Game Records'!$U:$U,$H436)&lt;&gt;"Subscription",INDEX('Game Records'!$U:$U,$H436)&lt;&gt;"Free Game",INDEX('Game Records'!$U:$U,$H436)&lt;&gt;"Disqualified — Free Game",INDEX('Game Records'!$J:$J,$H436)=""),"Total Players; ","")&amp;IF(AND(LOWER(INDEX('Game Records'!$D:$D,$H436)&amp;"")="finalized",LOWER(INDEX('Game Records'!$L:$L,$H436)&amp;"")&lt;&gt;"yes",INDEX('Game Records'!$U:$U,$H436)&lt;&gt;"Subscription",INDEX('Game Records'!$U:$U,$H436)&lt;&gt;"Free Game",INDEX('Game Records'!$U:$U,$H436)&lt;&gt;"Disqualified — Free Game",INDEX('Game Records'!$K:$K,$H436)=""),"Final Earned; ","")&amp;IF(AND(LOWER(INDEX('Game Records'!$D:$D,$H436)&amp;"")="finalized",INDEX('Game Records'!$U:$U,$H436)&lt;&gt;"Subscription",INDEX('Game Records'!$U:$U,$H436)&lt;&gt;"Free Game",INDEX('Game Records'!$U:$U,$H436)&lt;&gt;"Disqualified — Free Game",OR(INDEX('Game Records'!$L:$L,$H436)="",LOWER(INDEX('Game Records'!$L:$L,$H436)&amp;"")="n/a")),"Disqualified Status; ",""))</x:f>
        <x:v/>
      </x:c>
      <x:c r="G436" s="331" t="str">
        <x:f>IF($H436="","",IFERROR(INDEX('Game Records'!$M:$M,$H436),""))</x:f>
        <x:v/>
      </x:c>
      <x:c r="H436" s="104" t="str">
        <x:f>IF($H435="","",IFERROR(MATCH(1,INDEX((ROW('Game Records'!$U$5:$U$504)&gt;$H435)*(('Game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7" ht="24" customHeight="1">
      <x:c r="A437" s="332" t="str">
        <x:f>IF($H437="","",ROWS($A$5:A437))</x:f>
        <x:v/>
      </x:c>
      <x:c r="B437" s="332" t="str">
        <x:f>IF($H437="","","G-"&amp;TEXT($A437,"0000"))</x:f>
        <x:v/>
      </x:c>
      <x:c r="C437" s="331" t="str">
        <x:f>IF($H437="","",IFERROR(INDEX('Game Records'!$A:$A,$H437),""))</x:f>
        <x:v/>
      </x:c>
      <x:c r="D437" s="331" t="str">
        <x:f>IF($H437="","",IFERROR(INDEX('Game Records'!$U:$U,$H437),""))</x:f>
        <x:v/>
      </x:c>
      <x:c r="E437" s="331" t="str">
        <x:f>IF($H437="","",IF($F437="","No Highlighted Fields","Highlighted Fields Present"))</x:f>
        <x:v/>
      </x:c>
      <x:c r="F437" s="331" t="str">
        <x:f>IF($H437="","",IF(INDEX('Game Records'!$B:$B,$H437)="","Start Date; ","")&amp;IF(INDEX('Game Records'!$C:$C,$H437)="","End Date; ","")&amp;IF(AND(INDEX('Game Records'!$U:$U,$H437)&lt;&gt;"Subscription",INDEX('Game Records'!$U:$U,$H437)&lt;&gt;"Free Game",INDEX('Game Records'!$U:$U,$H437)&lt;&gt;"Disqualified — Free Game",OR(INDEX('Game Records'!$D:$D,$H437)="",LOWER(INDEX('Game Records'!$D:$D,$H437)&amp;"")="n/a")),"Entry Mode; ","")&amp;IF(AND(INDEX('Game Records'!$U:$U,$H437)&lt;&gt;"Subscription",INDEX('Game Records'!$U:$U,$H437)&lt;&gt;"Free Game",INDEX('Game Records'!$U:$U,$H437)&lt;&gt;"Disqualified — Free Game",OR(INDEX('Game Records'!$E:$E,$H437)="",LOWER(INDEX('Game Records'!$E:$E,$H437)&amp;"")="n/a")),"Game Type; ","")&amp;IF(INDEX('Game Records'!$F:$F,$H437)="","Payment Type; ","")&amp;IF(AND(INDEX('Game Records'!$U:$U,$H437)&lt;&gt;"Subscription",INDEX('Game Records'!$U:$U,$H437)&lt;&gt;"Free Game",INDEX('Game Records'!$U:$U,$H437)&lt;&gt;"Disqualified — Free Game",INDEX('Game Records'!$G:$G,$H437)=""),"Gross Pot; ","")&amp;IF(AND(INDEX('Game Records'!$U:$U,$H437)&lt;&gt;"Free Game",INDEX('Game Records'!$U:$U,$H437)&lt;&gt;"Disqualified — Free Game",INDEX('Game Records'!$H:$H,$H437)=""),"Entry Fee; ","")&amp;IF(AND(INDEX('Game Records'!$U:$U,$H437)&lt;&gt;"Subscription",INDEX('Game Records'!$U:$U,$H437)&lt;&gt;"Free Game",INDEX('Game Records'!$U:$U,$H437)&lt;&gt;"Disqualified — Free Game",INDEX('Game Records'!$I:$I,$H437)=""),"Eligible Players; ","")&amp;IF(AND(INDEX('Game Records'!$U:$U,$H437)&lt;&gt;"Subscription",INDEX('Game Records'!$U:$U,$H437)&lt;&gt;"Free Game",INDEX('Game Records'!$U:$U,$H437)&lt;&gt;"Disqualified — Free Game",INDEX('Game Records'!$J:$J,$H437)=""),"Total Players; ","")&amp;IF(AND(LOWER(INDEX('Game Records'!$D:$D,$H437)&amp;"")="finalized",LOWER(INDEX('Game Records'!$L:$L,$H437)&amp;"")&lt;&gt;"yes",INDEX('Game Records'!$U:$U,$H437)&lt;&gt;"Subscription",INDEX('Game Records'!$U:$U,$H437)&lt;&gt;"Free Game",INDEX('Game Records'!$U:$U,$H437)&lt;&gt;"Disqualified — Free Game",INDEX('Game Records'!$K:$K,$H437)=""),"Final Earned; ","")&amp;IF(AND(LOWER(INDEX('Game Records'!$D:$D,$H437)&amp;"")="finalized",INDEX('Game Records'!$U:$U,$H437)&lt;&gt;"Subscription",INDEX('Game Records'!$U:$U,$H437)&lt;&gt;"Free Game",INDEX('Game Records'!$U:$U,$H437)&lt;&gt;"Disqualified — Free Game",OR(INDEX('Game Records'!$L:$L,$H437)="",LOWER(INDEX('Game Records'!$L:$L,$H437)&amp;"")="n/a")),"Disqualified Status; ",""))</x:f>
        <x:v/>
      </x:c>
      <x:c r="G437" s="331" t="str">
        <x:f>IF($H437="","",IFERROR(INDEX('Game Records'!$M:$M,$H437),""))</x:f>
        <x:v/>
      </x:c>
      <x:c r="H437" s="104" t="str">
        <x:f>IF($H436="","",IFERROR(MATCH(1,INDEX((ROW('Game Records'!$U$5:$U$504)&gt;$H436)*(('Game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8" ht="24" customHeight="1">
      <x:c r="A438" s="332" t="str">
        <x:f>IF($H438="","",ROWS($A$5:A438))</x:f>
        <x:v/>
      </x:c>
      <x:c r="B438" s="332" t="str">
        <x:f>IF($H438="","","G-"&amp;TEXT($A438,"0000"))</x:f>
        <x:v/>
      </x:c>
      <x:c r="C438" s="331" t="str">
        <x:f>IF($H438="","",IFERROR(INDEX('Game Records'!$A:$A,$H438),""))</x:f>
        <x:v/>
      </x:c>
      <x:c r="D438" s="331" t="str">
        <x:f>IF($H438="","",IFERROR(INDEX('Game Records'!$U:$U,$H438),""))</x:f>
        <x:v/>
      </x:c>
      <x:c r="E438" s="331" t="str">
        <x:f>IF($H438="","",IF($F438="","No Highlighted Fields","Highlighted Fields Present"))</x:f>
        <x:v/>
      </x:c>
      <x:c r="F438" s="331" t="str">
        <x:f>IF($H438="","",IF(INDEX('Game Records'!$B:$B,$H438)="","Start Date; ","")&amp;IF(INDEX('Game Records'!$C:$C,$H438)="","End Date; ","")&amp;IF(AND(INDEX('Game Records'!$U:$U,$H438)&lt;&gt;"Subscription",INDEX('Game Records'!$U:$U,$H438)&lt;&gt;"Free Game",INDEX('Game Records'!$U:$U,$H438)&lt;&gt;"Disqualified — Free Game",OR(INDEX('Game Records'!$D:$D,$H438)="",LOWER(INDEX('Game Records'!$D:$D,$H438)&amp;"")="n/a")),"Entry Mode; ","")&amp;IF(AND(INDEX('Game Records'!$U:$U,$H438)&lt;&gt;"Subscription",INDEX('Game Records'!$U:$U,$H438)&lt;&gt;"Free Game",INDEX('Game Records'!$U:$U,$H438)&lt;&gt;"Disqualified — Free Game",OR(INDEX('Game Records'!$E:$E,$H438)="",LOWER(INDEX('Game Records'!$E:$E,$H438)&amp;"")="n/a")),"Game Type; ","")&amp;IF(INDEX('Game Records'!$F:$F,$H438)="","Payment Type; ","")&amp;IF(AND(INDEX('Game Records'!$U:$U,$H438)&lt;&gt;"Subscription",INDEX('Game Records'!$U:$U,$H438)&lt;&gt;"Free Game",INDEX('Game Records'!$U:$U,$H438)&lt;&gt;"Disqualified — Free Game",INDEX('Game Records'!$G:$G,$H438)=""),"Gross Pot; ","")&amp;IF(AND(INDEX('Game Records'!$U:$U,$H438)&lt;&gt;"Free Game",INDEX('Game Records'!$U:$U,$H438)&lt;&gt;"Disqualified — Free Game",INDEX('Game Records'!$H:$H,$H438)=""),"Entry Fee; ","")&amp;IF(AND(INDEX('Game Records'!$U:$U,$H438)&lt;&gt;"Subscription",INDEX('Game Records'!$U:$U,$H438)&lt;&gt;"Free Game",INDEX('Game Records'!$U:$U,$H438)&lt;&gt;"Disqualified — Free Game",INDEX('Game Records'!$I:$I,$H438)=""),"Eligible Players; ","")&amp;IF(AND(INDEX('Game Records'!$U:$U,$H438)&lt;&gt;"Subscription",INDEX('Game Records'!$U:$U,$H438)&lt;&gt;"Free Game",INDEX('Game Records'!$U:$U,$H438)&lt;&gt;"Disqualified — Free Game",INDEX('Game Records'!$J:$J,$H438)=""),"Total Players; ","")&amp;IF(AND(LOWER(INDEX('Game Records'!$D:$D,$H438)&amp;"")="finalized",LOWER(INDEX('Game Records'!$L:$L,$H438)&amp;"")&lt;&gt;"yes",INDEX('Game Records'!$U:$U,$H438)&lt;&gt;"Subscription",INDEX('Game Records'!$U:$U,$H438)&lt;&gt;"Free Game",INDEX('Game Records'!$U:$U,$H438)&lt;&gt;"Disqualified — Free Game",INDEX('Game Records'!$K:$K,$H438)=""),"Final Earned; ","")&amp;IF(AND(LOWER(INDEX('Game Records'!$D:$D,$H438)&amp;"")="finalized",INDEX('Game Records'!$U:$U,$H438)&lt;&gt;"Subscription",INDEX('Game Records'!$U:$U,$H438)&lt;&gt;"Free Game",INDEX('Game Records'!$U:$U,$H438)&lt;&gt;"Disqualified — Free Game",OR(INDEX('Game Records'!$L:$L,$H438)="",LOWER(INDEX('Game Records'!$L:$L,$H438)&amp;"")="n/a")),"Disqualified Status; ",""))</x:f>
        <x:v/>
      </x:c>
      <x:c r="G438" s="331" t="str">
        <x:f>IF($H438="","",IFERROR(INDEX('Game Records'!$M:$M,$H438),""))</x:f>
        <x:v/>
      </x:c>
      <x:c r="H438" s="104" t="str">
        <x:f>IF($H437="","",IFERROR(MATCH(1,INDEX((ROW('Game Records'!$U$5:$U$504)&gt;$H437)*(('Game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39" ht="24" customHeight="1">
      <x:c r="A439" s="332" t="str">
        <x:f>IF($H439="","",ROWS($A$5:A439))</x:f>
        <x:v/>
      </x:c>
      <x:c r="B439" s="332" t="str">
        <x:f>IF($H439="","","G-"&amp;TEXT($A439,"0000"))</x:f>
        <x:v/>
      </x:c>
      <x:c r="C439" s="331" t="str">
        <x:f>IF($H439="","",IFERROR(INDEX('Game Records'!$A:$A,$H439),""))</x:f>
        <x:v/>
      </x:c>
      <x:c r="D439" s="331" t="str">
        <x:f>IF($H439="","",IFERROR(INDEX('Game Records'!$U:$U,$H439),""))</x:f>
        <x:v/>
      </x:c>
      <x:c r="E439" s="331" t="str">
        <x:f>IF($H439="","",IF($F439="","No Highlighted Fields","Highlighted Fields Present"))</x:f>
        <x:v/>
      </x:c>
      <x:c r="F439" s="331" t="str">
        <x:f>IF($H439="","",IF(INDEX('Game Records'!$B:$B,$H439)="","Start Date; ","")&amp;IF(INDEX('Game Records'!$C:$C,$H439)="","End Date; ","")&amp;IF(AND(INDEX('Game Records'!$U:$U,$H439)&lt;&gt;"Subscription",INDEX('Game Records'!$U:$U,$H439)&lt;&gt;"Free Game",INDEX('Game Records'!$U:$U,$H439)&lt;&gt;"Disqualified — Free Game",OR(INDEX('Game Records'!$D:$D,$H439)="",LOWER(INDEX('Game Records'!$D:$D,$H439)&amp;"")="n/a")),"Entry Mode; ","")&amp;IF(AND(INDEX('Game Records'!$U:$U,$H439)&lt;&gt;"Subscription",INDEX('Game Records'!$U:$U,$H439)&lt;&gt;"Free Game",INDEX('Game Records'!$U:$U,$H439)&lt;&gt;"Disqualified — Free Game",OR(INDEX('Game Records'!$E:$E,$H439)="",LOWER(INDEX('Game Records'!$E:$E,$H439)&amp;"")="n/a")),"Game Type; ","")&amp;IF(INDEX('Game Records'!$F:$F,$H439)="","Payment Type; ","")&amp;IF(AND(INDEX('Game Records'!$U:$U,$H439)&lt;&gt;"Subscription",INDEX('Game Records'!$U:$U,$H439)&lt;&gt;"Free Game",INDEX('Game Records'!$U:$U,$H439)&lt;&gt;"Disqualified — Free Game",INDEX('Game Records'!$G:$G,$H439)=""),"Gross Pot; ","")&amp;IF(AND(INDEX('Game Records'!$U:$U,$H439)&lt;&gt;"Free Game",INDEX('Game Records'!$U:$U,$H439)&lt;&gt;"Disqualified — Free Game",INDEX('Game Records'!$H:$H,$H439)=""),"Entry Fee; ","")&amp;IF(AND(INDEX('Game Records'!$U:$U,$H439)&lt;&gt;"Subscription",INDEX('Game Records'!$U:$U,$H439)&lt;&gt;"Free Game",INDEX('Game Records'!$U:$U,$H439)&lt;&gt;"Disqualified — Free Game",INDEX('Game Records'!$I:$I,$H439)=""),"Eligible Players; ","")&amp;IF(AND(INDEX('Game Records'!$U:$U,$H439)&lt;&gt;"Subscription",INDEX('Game Records'!$U:$U,$H439)&lt;&gt;"Free Game",INDEX('Game Records'!$U:$U,$H439)&lt;&gt;"Disqualified — Free Game",INDEX('Game Records'!$J:$J,$H439)=""),"Total Players; ","")&amp;IF(AND(LOWER(INDEX('Game Records'!$D:$D,$H439)&amp;"")="finalized",LOWER(INDEX('Game Records'!$L:$L,$H439)&amp;"")&lt;&gt;"yes",INDEX('Game Records'!$U:$U,$H439)&lt;&gt;"Subscription",INDEX('Game Records'!$U:$U,$H439)&lt;&gt;"Free Game",INDEX('Game Records'!$U:$U,$H439)&lt;&gt;"Disqualified — Free Game",INDEX('Game Records'!$K:$K,$H439)=""),"Final Earned; ","")&amp;IF(AND(LOWER(INDEX('Game Records'!$D:$D,$H439)&amp;"")="finalized",INDEX('Game Records'!$U:$U,$H439)&lt;&gt;"Subscription",INDEX('Game Records'!$U:$U,$H439)&lt;&gt;"Free Game",INDEX('Game Records'!$U:$U,$H439)&lt;&gt;"Disqualified — Free Game",OR(INDEX('Game Records'!$L:$L,$H439)="",LOWER(INDEX('Game Records'!$L:$L,$H439)&amp;"")="n/a")),"Disqualified Status; ",""))</x:f>
        <x:v/>
      </x:c>
      <x:c r="G439" s="331" t="str">
        <x:f>IF($H439="","",IFERROR(INDEX('Game Records'!$M:$M,$H439),""))</x:f>
        <x:v/>
      </x:c>
      <x:c r="H439" s="104" t="str">
        <x:f>IF($H438="","",IFERROR(MATCH(1,INDEX((ROW('Game Records'!$U$5:$U$504)&gt;$H438)*(('Game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0" ht="24" customHeight="1">
      <x:c r="A440" s="332" t="str">
        <x:f>IF($H440="","",ROWS($A$5:A440))</x:f>
        <x:v/>
      </x:c>
      <x:c r="B440" s="332" t="str">
        <x:f>IF($H440="","","G-"&amp;TEXT($A440,"0000"))</x:f>
        <x:v/>
      </x:c>
      <x:c r="C440" s="331" t="str">
        <x:f>IF($H440="","",IFERROR(INDEX('Game Records'!$A:$A,$H440),""))</x:f>
        <x:v/>
      </x:c>
      <x:c r="D440" s="331" t="str">
        <x:f>IF($H440="","",IFERROR(INDEX('Game Records'!$U:$U,$H440),""))</x:f>
        <x:v/>
      </x:c>
      <x:c r="E440" s="331" t="str">
        <x:f>IF($H440="","",IF($F440="","No Highlighted Fields","Highlighted Fields Present"))</x:f>
        <x:v/>
      </x:c>
      <x:c r="F440" s="331" t="str">
        <x:f>IF($H440="","",IF(INDEX('Game Records'!$B:$B,$H440)="","Start Date; ","")&amp;IF(INDEX('Game Records'!$C:$C,$H440)="","End Date; ","")&amp;IF(AND(INDEX('Game Records'!$U:$U,$H440)&lt;&gt;"Subscription",INDEX('Game Records'!$U:$U,$H440)&lt;&gt;"Free Game",INDEX('Game Records'!$U:$U,$H440)&lt;&gt;"Disqualified — Free Game",OR(INDEX('Game Records'!$D:$D,$H440)="",LOWER(INDEX('Game Records'!$D:$D,$H440)&amp;"")="n/a")),"Entry Mode; ","")&amp;IF(AND(INDEX('Game Records'!$U:$U,$H440)&lt;&gt;"Subscription",INDEX('Game Records'!$U:$U,$H440)&lt;&gt;"Free Game",INDEX('Game Records'!$U:$U,$H440)&lt;&gt;"Disqualified — Free Game",OR(INDEX('Game Records'!$E:$E,$H440)="",LOWER(INDEX('Game Records'!$E:$E,$H440)&amp;"")="n/a")),"Game Type; ","")&amp;IF(INDEX('Game Records'!$F:$F,$H440)="","Payment Type; ","")&amp;IF(AND(INDEX('Game Records'!$U:$U,$H440)&lt;&gt;"Subscription",INDEX('Game Records'!$U:$U,$H440)&lt;&gt;"Free Game",INDEX('Game Records'!$U:$U,$H440)&lt;&gt;"Disqualified — Free Game",INDEX('Game Records'!$G:$G,$H440)=""),"Gross Pot; ","")&amp;IF(AND(INDEX('Game Records'!$U:$U,$H440)&lt;&gt;"Free Game",INDEX('Game Records'!$U:$U,$H440)&lt;&gt;"Disqualified — Free Game",INDEX('Game Records'!$H:$H,$H440)=""),"Entry Fee; ","")&amp;IF(AND(INDEX('Game Records'!$U:$U,$H440)&lt;&gt;"Subscription",INDEX('Game Records'!$U:$U,$H440)&lt;&gt;"Free Game",INDEX('Game Records'!$U:$U,$H440)&lt;&gt;"Disqualified — Free Game",INDEX('Game Records'!$I:$I,$H440)=""),"Eligible Players; ","")&amp;IF(AND(INDEX('Game Records'!$U:$U,$H440)&lt;&gt;"Subscription",INDEX('Game Records'!$U:$U,$H440)&lt;&gt;"Free Game",INDEX('Game Records'!$U:$U,$H440)&lt;&gt;"Disqualified — Free Game",INDEX('Game Records'!$J:$J,$H440)=""),"Total Players; ","")&amp;IF(AND(LOWER(INDEX('Game Records'!$D:$D,$H440)&amp;"")="finalized",LOWER(INDEX('Game Records'!$L:$L,$H440)&amp;"")&lt;&gt;"yes",INDEX('Game Records'!$U:$U,$H440)&lt;&gt;"Subscription",INDEX('Game Records'!$U:$U,$H440)&lt;&gt;"Free Game",INDEX('Game Records'!$U:$U,$H440)&lt;&gt;"Disqualified — Free Game",INDEX('Game Records'!$K:$K,$H440)=""),"Final Earned; ","")&amp;IF(AND(LOWER(INDEX('Game Records'!$D:$D,$H440)&amp;"")="finalized",INDEX('Game Records'!$U:$U,$H440)&lt;&gt;"Subscription",INDEX('Game Records'!$U:$U,$H440)&lt;&gt;"Free Game",INDEX('Game Records'!$U:$U,$H440)&lt;&gt;"Disqualified — Free Game",OR(INDEX('Game Records'!$L:$L,$H440)="",LOWER(INDEX('Game Records'!$L:$L,$H440)&amp;"")="n/a")),"Disqualified Status; ",""))</x:f>
        <x:v/>
      </x:c>
      <x:c r="G440" s="331" t="str">
        <x:f>IF($H440="","",IFERROR(INDEX('Game Records'!$M:$M,$H440),""))</x:f>
        <x:v/>
      </x:c>
      <x:c r="H440" s="104" t="str">
        <x:f>IF($H439="","",IFERROR(MATCH(1,INDEX((ROW('Game Records'!$U$5:$U$504)&gt;$H439)*(('Game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1" ht="24" customHeight="1">
      <x:c r="A441" s="332" t="str">
        <x:f>IF($H441="","",ROWS($A$5:A441))</x:f>
        <x:v/>
      </x:c>
      <x:c r="B441" s="332" t="str">
        <x:f>IF($H441="","","G-"&amp;TEXT($A441,"0000"))</x:f>
        <x:v/>
      </x:c>
      <x:c r="C441" s="331" t="str">
        <x:f>IF($H441="","",IFERROR(INDEX('Game Records'!$A:$A,$H441),""))</x:f>
        <x:v/>
      </x:c>
      <x:c r="D441" s="331" t="str">
        <x:f>IF($H441="","",IFERROR(INDEX('Game Records'!$U:$U,$H441),""))</x:f>
        <x:v/>
      </x:c>
      <x:c r="E441" s="331" t="str">
        <x:f>IF($H441="","",IF($F441="","No Highlighted Fields","Highlighted Fields Present"))</x:f>
        <x:v/>
      </x:c>
      <x:c r="F441" s="331" t="str">
        <x:f>IF($H441="","",IF(INDEX('Game Records'!$B:$B,$H441)="","Start Date; ","")&amp;IF(INDEX('Game Records'!$C:$C,$H441)="","End Date; ","")&amp;IF(AND(INDEX('Game Records'!$U:$U,$H441)&lt;&gt;"Subscription",INDEX('Game Records'!$U:$U,$H441)&lt;&gt;"Free Game",INDEX('Game Records'!$U:$U,$H441)&lt;&gt;"Disqualified — Free Game",OR(INDEX('Game Records'!$D:$D,$H441)="",LOWER(INDEX('Game Records'!$D:$D,$H441)&amp;"")="n/a")),"Entry Mode; ","")&amp;IF(AND(INDEX('Game Records'!$U:$U,$H441)&lt;&gt;"Subscription",INDEX('Game Records'!$U:$U,$H441)&lt;&gt;"Free Game",INDEX('Game Records'!$U:$U,$H441)&lt;&gt;"Disqualified — Free Game",OR(INDEX('Game Records'!$E:$E,$H441)="",LOWER(INDEX('Game Records'!$E:$E,$H441)&amp;"")="n/a")),"Game Type; ","")&amp;IF(INDEX('Game Records'!$F:$F,$H441)="","Payment Type; ","")&amp;IF(AND(INDEX('Game Records'!$U:$U,$H441)&lt;&gt;"Subscription",INDEX('Game Records'!$U:$U,$H441)&lt;&gt;"Free Game",INDEX('Game Records'!$U:$U,$H441)&lt;&gt;"Disqualified — Free Game",INDEX('Game Records'!$G:$G,$H441)=""),"Gross Pot; ","")&amp;IF(AND(INDEX('Game Records'!$U:$U,$H441)&lt;&gt;"Free Game",INDEX('Game Records'!$U:$U,$H441)&lt;&gt;"Disqualified — Free Game",INDEX('Game Records'!$H:$H,$H441)=""),"Entry Fee; ","")&amp;IF(AND(INDEX('Game Records'!$U:$U,$H441)&lt;&gt;"Subscription",INDEX('Game Records'!$U:$U,$H441)&lt;&gt;"Free Game",INDEX('Game Records'!$U:$U,$H441)&lt;&gt;"Disqualified — Free Game",INDEX('Game Records'!$I:$I,$H441)=""),"Eligible Players; ","")&amp;IF(AND(INDEX('Game Records'!$U:$U,$H441)&lt;&gt;"Subscription",INDEX('Game Records'!$U:$U,$H441)&lt;&gt;"Free Game",INDEX('Game Records'!$U:$U,$H441)&lt;&gt;"Disqualified — Free Game",INDEX('Game Records'!$J:$J,$H441)=""),"Total Players; ","")&amp;IF(AND(LOWER(INDEX('Game Records'!$D:$D,$H441)&amp;"")="finalized",LOWER(INDEX('Game Records'!$L:$L,$H441)&amp;"")&lt;&gt;"yes",INDEX('Game Records'!$U:$U,$H441)&lt;&gt;"Subscription",INDEX('Game Records'!$U:$U,$H441)&lt;&gt;"Free Game",INDEX('Game Records'!$U:$U,$H441)&lt;&gt;"Disqualified — Free Game",INDEX('Game Records'!$K:$K,$H441)=""),"Final Earned; ","")&amp;IF(AND(LOWER(INDEX('Game Records'!$D:$D,$H441)&amp;"")="finalized",INDEX('Game Records'!$U:$U,$H441)&lt;&gt;"Subscription",INDEX('Game Records'!$U:$U,$H441)&lt;&gt;"Free Game",INDEX('Game Records'!$U:$U,$H441)&lt;&gt;"Disqualified — Free Game",OR(INDEX('Game Records'!$L:$L,$H441)="",LOWER(INDEX('Game Records'!$L:$L,$H441)&amp;"")="n/a")),"Disqualified Status; ",""))</x:f>
        <x:v/>
      </x:c>
      <x:c r="G441" s="331" t="str">
        <x:f>IF($H441="","",IFERROR(INDEX('Game Records'!$M:$M,$H441),""))</x:f>
        <x:v/>
      </x:c>
      <x:c r="H441" s="104" t="str">
        <x:f>IF($H440="","",IFERROR(MATCH(1,INDEX((ROW('Game Records'!$U$5:$U$504)&gt;$H440)*(('Game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2" ht="24" customHeight="1">
      <x:c r="A442" s="332" t="str">
        <x:f>IF($H442="","",ROWS($A$5:A442))</x:f>
        <x:v/>
      </x:c>
      <x:c r="B442" s="332" t="str">
        <x:f>IF($H442="","","G-"&amp;TEXT($A442,"0000"))</x:f>
        <x:v/>
      </x:c>
      <x:c r="C442" s="331" t="str">
        <x:f>IF($H442="","",IFERROR(INDEX('Game Records'!$A:$A,$H442),""))</x:f>
        <x:v/>
      </x:c>
      <x:c r="D442" s="331" t="str">
        <x:f>IF($H442="","",IFERROR(INDEX('Game Records'!$U:$U,$H442),""))</x:f>
        <x:v/>
      </x:c>
      <x:c r="E442" s="331" t="str">
        <x:f>IF($H442="","",IF($F442="","No Highlighted Fields","Highlighted Fields Present"))</x:f>
        <x:v/>
      </x:c>
      <x:c r="F442" s="331" t="str">
        <x:f>IF($H442="","",IF(INDEX('Game Records'!$B:$B,$H442)="","Start Date; ","")&amp;IF(INDEX('Game Records'!$C:$C,$H442)="","End Date; ","")&amp;IF(AND(INDEX('Game Records'!$U:$U,$H442)&lt;&gt;"Subscription",INDEX('Game Records'!$U:$U,$H442)&lt;&gt;"Free Game",INDEX('Game Records'!$U:$U,$H442)&lt;&gt;"Disqualified — Free Game",OR(INDEX('Game Records'!$D:$D,$H442)="",LOWER(INDEX('Game Records'!$D:$D,$H442)&amp;"")="n/a")),"Entry Mode; ","")&amp;IF(AND(INDEX('Game Records'!$U:$U,$H442)&lt;&gt;"Subscription",INDEX('Game Records'!$U:$U,$H442)&lt;&gt;"Free Game",INDEX('Game Records'!$U:$U,$H442)&lt;&gt;"Disqualified — Free Game",OR(INDEX('Game Records'!$E:$E,$H442)="",LOWER(INDEX('Game Records'!$E:$E,$H442)&amp;"")="n/a")),"Game Type; ","")&amp;IF(INDEX('Game Records'!$F:$F,$H442)="","Payment Type; ","")&amp;IF(AND(INDEX('Game Records'!$U:$U,$H442)&lt;&gt;"Subscription",INDEX('Game Records'!$U:$U,$H442)&lt;&gt;"Free Game",INDEX('Game Records'!$U:$U,$H442)&lt;&gt;"Disqualified — Free Game",INDEX('Game Records'!$G:$G,$H442)=""),"Gross Pot; ","")&amp;IF(AND(INDEX('Game Records'!$U:$U,$H442)&lt;&gt;"Free Game",INDEX('Game Records'!$U:$U,$H442)&lt;&gt;"Disqualified — Free Game",INDEX('Game Records'!$H:$H,$H442)=""),"Entry Fee; ","")&amp;IF(AND(INDEX('Game Records'!$U:$U,$H442)&lt;&gt;"Subscription",INDEX('Game Records'!$U:$U,$H442)&lt;&gt;"Free Game",INDEX('Game Records'!$U:$U,$H442)&lt;&gt;"Disqualified — Free Game",INDEX('Game Records'!$I:$I,$H442)=""),"Eligible Players; ","")&amp;IF(AND(INDEX('Game Records'!$U:$U,$H442)&lt;&gt;"Subscription",INDEX('Game Records'!$U:$U,$H442)&lt;&gt;"Free Game",INDEX('Game Records'!$U:$U,$H442)&lt;&gt;"Disqualified — Free Game",INDEX('Game Records'!$J:$J,$H442)=""),"Total Players; ","")&amp;IF(AND(LOWER(INDEX('Game Records'!$D:$D,$H442)&amp;"")="finalized",LOWER(INDEX('Game Records'!$L:$L,$H442)&amp;"")&lt;&gt;"yes",INDEX('Game Records'!$U:$U,$H442)&lt;&gt;"Subscription",INDEX('Game Records'!$U:$U,$H442)&lt;&gt;"Free Game",INDEX('Game Records'!$U:$U,$H442)&lt;&gt;"Disqualified — Free Game",INDEX('Game Records'!$K:$K,$H442)=""),"Final Earned; ","")&amp;IF(AND(LOWER(INDEX('Game Records'!$D:$D,$H442)&amp;"")="finalized",INDEX('Game Records'!$U:$U,$H442)&lt;&gt;"Subscription",INDEX('Game Records'!$U:$U,$H442)&lt;&gt;"Free Game",INDEX('Game Records'!$U:$U,$H442)&lt;&gt;"Disqualified — Free Game",OR(INDEX('Game Records'!$L:$L,$H442)="",LOWER(INDEX('Game Records'!$L:$L,$H442)&amp;"")="n/a")),"Disqualified Status; ",""))</x:f>
        <x:v/>
      </x:c>
      <x:c r="G442" s="331" t="str">
        <x:f>IF($H442="","",IFERROR(INDEX('Game Records'!$M:$M,$H442),""))</x:f>
        <x:v/>
      </x:c>
      <x:c r="H442" s="104" t="str">
        <x:f>IF($H441="","",IFERROR(MATCH(1,INDEX((ROW('Game Records'!$U$5:$U$504)&gt;$H441)*(('Game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3" ht="24" customHeight="1">
      <x:c r="A443" s="332" t="str">
        <x:f>IF($H443="","",ROWS($A$5:A443))</x:f>
        <x:v/>
      </x:c>
      <x:c r="B443" s="332" t="str">
        <x:f>IF($H443="","","G-"&amp;TEXT($A443,"0000"))</x:f>
        <x:v/>
      </x:c>
      <x:c r="C443" s="331" t="str">
        <x:f>IF($H443="","",IFERROR(INDEX('Game Records'!$A:$A,$H443),""))</x:f>
        <x:v/>
      </x:c>
      <x:c r="D443" s="331" t="str">
        <x:f>IF($H443="","",IFERROR(INDEX('Game Records'!$U:$U,$H443),""))</x:f>
        <x:v/>
      </x:c>
      <x:c r="E443" s="331" t="str">
        <x:f>IF($H443="","",IF($F443="","No Highlighted Fields","Highlighted Fields Present"))</x:f>
        <x:v/>
      </x:c>
      <x:c r="F443" s="331" t="str">
        <x:f>IF($H443="","",IF(INDEX('Game Records'!$B:$B,$H443)="","Start Date; ","")&amp;IF(INDEX('Game Records'!$C:$C,$H443)="","End Date; ","")&amp;IF(AND(INDEX('Game Records'!$U:$U,$H443)&lt;&gt;"Subscription",INDEX('Game Records'!$U:$U,$H443)&lt;&gt;"Free Game",INDEX('Game Records'!$U:$U,$H443)&lt;&gt;"Disqualified — Free Game",OR(INDEX('Game Records'!$D:$D,$H443)="",LOWER(INDEX('Game Records'!$D:$D,$H443)&amp;"")="n/a")),"Entry Mode; ","")&amp;IF(AND(INDEX('Game Records'!$U:$U,$H443)&lt;&gt;"Subscription",INDEX('Game Records'!$U:$U,$H443)&lt;&gt;"Free Game",INDEX('Game Records'!$U:$U,$H443)&lt;&gt;"Disqualified — Free Game",OR(INDEX('Game Records'!$E:$E,$H443)="",LOWER(INDEX('Game Records'!$E:$E,$H443)&amp;"")="n/a")),"Game Type; ","")&amp;IF(INDEX('Game Records'!$F:$F,$H443)="","Payment Type; ","")&amp;IF(AND(INDEX('Game Records'!$U:$U,$H443)&lt;&gt;"Subscription",INDEX('Game Records'!$U:$U,$H443)&lt;&gt;"Free Game",INDEX('Game Records'!$U:$U,$H443)&lt;&gt;"Disqualified — Free Game",INDEX('Game Records'!$G:$G,$H443)=""),"Gross Pot; ","")&amp;IF(AND(INDEX('Game Records'!$U:$U,$H443)&lt;&gt;"Free Game",INDEX('Game Records'!$U:$U,$H443)&lt;&gt;"Disqualified — Free Game",INDEX('Game Records'!$H:$H,$H443)=""),"Entry Fee; ","")&amp;IF(AND(INDEX('Game Records'!$U:$U,$H443)&lt;&gt;"Subscription",INDEX('Game Records'!$U:$U,$H443)&lt;&gt;"Free Game",INDEX('Game Records'!$U:$U,$H443)&lt;&gt;"Disqualified — Free Game",INDEX('Game Records'!$I:$I,$H443)=""),"Eligible Players; ","")&amp;IF(AND(INDEX('Game Records'!$U:$U,$H443)&lt;&gt;"Subscription",INDEX('Game Records'!$U:$U,$H443)&lt;&gt;"Free Game",INDEX('Game Records'!$U:$U,$H443)&lt;&gt;"Disqualified — Free Game",INDEX('Game Records'!$J:$J,$H443)=""),"Total Players; ","")&amp;IF(AND(LOWER(INDEX('Game Records'!$D:$D,$H443)&amp;"")="finalized",LOWER(INDEX('Game Records'!$L:$L,$H443)&amp;"")&lt;&gt;"yes",INDEX('Game Records'!$U:$U,$H443)&lt;&gt;"Subscription",INDEX('Game Records'!$U:$U,$H443)&lt;&gt;"Free Game",INDEX('Game Records'!$U:$U,$H443)&lt;&gt;"Disqualified — Free Game",INDEX('Game Records'!$K:$K,$H443)=""),"Final Earned; ","")&amp;IF(AND(LOWER(INDEX('Game Records'!$D:$D,$H443)&amp;"")="finalized",INDEX('Game Records'!$U:$U,$H443)&lt;&gt;"Subscription",INDEX('Game Records'!$U:$U,$H443)&lt;&gt;"Free Game",INDEX('Game Records'!$U:$U,$H443)&lt;&gt;"Disqualified — Free Game",OR(INDEX('Game Records'!$L:$L,$H443)="",LOWER(INDEX('Game Records'!$L:$L,$H443)&amp;"")="n/a")),"Disqualified Status; ",""))</x:f>
        <x:v/>
      </x:c>
      <x:c r="G443" s="331" t="str">
        <x:f>IF($H443="","",IFERROR(INDEX('Game Records'!$M:$M,$H443),""))</x:f>
        <x:v/>
      </x:c>
      <x:c r="H443" s="104" t="str">
        <x:f>IF($H442="","",IFERROR(MATCH(1,INDEX((ROW('Game Records'!$U$5:$U$504)&gt;$H442)*(('Game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4" ht="24" customHeight="1">
      <x:c r="A444" s="332" t="str">
        <x:f>IF($H444="","",ROWS($A$5:A444))</x:f>
        <x:v/>
      </x:c>
      <x:c r="B444" s="332" t="str">
        <x:f>IF($H444="","","G-"&amp;TEXT($A444,"0000"))</x:f>
        <x:v/>
      </x:c>
      <x:c r="C444" s="331" t="str">
        <x:f>IF($H444="","",IFERROR(INDEX('Game Records'!$A:$A,$H444),""))</x:f>
        <x:v/>
      </x:c>
      <x:c r="D444" s="331" t="str">
        <x:f>IF($H444="","",IFERROR(INDEX('Game Records'!$U:$U,$H444),""))</x:f>
        <x:v/>
      </x:c>
      <x:c r="E444" s="331" t="str">
        <x:f>IF($H444="","",IF($F444="","No Highlighted Fields","Highlighted Fields Present"))</x:f>
        <x:v/>
      </x:c>
      <x:c r="F444" s="331" t="str">
        <x:f>IF($H444="","",IF(INDEX('Game Records'!$B:$B,$H444)="","Start Date; ","")&amp;IF(INDEX('Game Records'!$C:$C,$H444)="","End Date; ","")&amp;IF(AND(INDEX('Game Records'!$U:$U,$H444)&lt;&gt;"Subscription",INDEX('Game Records'!$U:$U,$H444)&lt;&gt;"Free Game",INDEX('Game Records'!$U:$U,$H444)&lt;&gt;"Disqualified — Free Game",OR(INDEX('Game Records'!$D:$D,$H444)="",LOWER(INDEX('Game Records'!$D:$D,$H444)&amp;"")="n/a")),"Entry Mode; ","")&amp;IF(AND(INDEX('Game Records'!$U:$U,$H444)&lt;&gt;"Subscription",INDEX('Game Records'!$U:$U,$H444)&lt;&gt;"Free Game",INDEX('Game Records'!$U:$U,$H444)&lt;&gt;"Disqualified — Free Game",OR(INDEX('Game Records'!$E:$E,$H444)="",LOWER(INDEX('Game Records'!$E:$E,$H444)&amp;"")="n/a")),"Game Type; ","")&amp;IF(INDEX('Game Records'!$F:$F,$H444)="","Payment Type; ","")&amp;IF(AND(INDEX('Game Records'!$U:$U,$H444)&lt;&gt;"Subscription",INDEX('Game Records'!$U:$U,$H444)&lt;&gt;"Free Game",INDEX('Game Records'!$U:$U,$H444)&lt;&gt;"Disqualified — Free Game",INDEX('Game Records'!$G:$G,$H444)=""),"Gross Pot; ","")&amp;IF(AND(INDEX('Game Records'!$U:$U,$H444)&lt;&gt;"Free Game",INDEX('Game Records'!$U:$U,$H444)&lt;&gt;"Disqualified — Free Game",INDEX('Game Records'!$H:$H,$H444)=""),"Entry Fee; ","")&amp;IF(AND(INDEX('Game Records'!$U:$U,$H444)&lt;&gt;"Subscription",INDEX('Game Records'!$U:$U,$H444)&lt;&gt;"Free Game",INDEX('Game Records'!$U:$U,$H444)&lt;&gt;"Disqualified — Free Game",INDEX('Game Records'!$I:$I,$H444)=""),"Eligible Players; ","")&amp;IF(AND(INDEX('Game Records'!$U:$U,$H444)&lt;&gt;"Subscription",INDEX('Game Records'!$U:$U,$H444)&lt;&gt;"Free Game",INDEX('Game Records'!$U:$U,$H444)&lt;&gt;"Disqualified — Free Game",INDEX('Game Records'!$J:$J,$H444)=""),"Total Players; ","")&amp;IF(AND(LOWER(INDEX('Game Records'!$D:$D,$H444)&amp;"")="finalized",LOWER(INDEX('Game Records'!$L:$L,$H444)&amp;"")&lt;&gt;"yes",INDEX('Game Records'!$U:$U,$H444)&lt;&gt;"Subscription",INDEX('Game Records'!$U:$U,$H444)&lt;&gt;"Free Game",INDEX('Game Records'!$U:$U,$H444)&lt;&gt;"Disqualified — Free Game",INDEX('Game Records'!$K:$K,$H444)=""),"Final Earned; ","")&amp;IF(AND(LOWER(INDEX('Game Records'!$D:$D,$H444)&amp;"")="finalized",INDEX('Game Records'!$U:$U,$H444)&lt;&gt;"Subscription",INDEX('Game Records'!$U:$U,$H444)&lt;&gt;"Free Game",INDEX('Game Records'!$U:$U,$H444)&lt;&gt;"Disqualified — Free Game",OR(INDEX('Game Records'!$L:$L,$H444)="",LOWER(INDEX('Game Records'!$L:$L,$H444)&amp;"")="n/a")),"Disqualified Status; ",""))</x:f>
        <x:v/>
      </x:c>
      <x:c r="G444" s="331" t="str">
        <x:f>IF($H444="","",IFERROR(INDEX('Game Records'!$M:$M,$H444),""))</x:f>
        <x:v/>
      </x:c>
      <x:c r="H444" s="104" t="str">
        <x:f>IF($H443="","",IFERROR(MATCH(1,INDEX((ROW('Game Records'!$U$5:$U$504)&gt;$H443)*(('Game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5" ht="24" customHeight="1">
      <x:c r="A445" s="332" t="str">
        <x:f>IF($H445="","",ROWS($A$5:A445))</x:f>
        <x:v/>
      </x:c>
      <x:c r="B445" s="332" t="str">
        <x:f>IF($H445="","","G-"&amp;TEXT($A445,"0000"))</x:f>
        <x:v/>
      </x:c>
      <x:c r="C445" s="331" t="str">
        <x:f>IF($H445="","",IFERROR(INDEX('Game Records'!$A:$A,$H445),""))</x:f>
        <x:v/>
      </x:c>
      <x:c r="D445" s="331" t="str">
        <x:f>IF($H445="","",IFERROR(INDEX('Game Records'!$U:$U,$H445),""))</x:f>
        <x:v/>
      </x:c>
      <x:c r="E445" s="331" t="str">
        <x:f>IF($H445="","",IF($F445="","No Highlighted Fields","Highlighted Fields Present"))</x:f>
        <x:v/>
      </x:c>
      <x:c r="F445" s="331" t="str">
        <x:f>IF($H445="","",IF(INDEX('Game Records'!$B:$B,$H445)="","Start Date; ","")&amp;IF(INDEX('Game Records'!$C:$C,$H445)="","End Date; ","")&amp;IF(AND(INDEX('Game Records'!$U:$U,$H445)&lt;&gt;"Subscription",INDEX('Game Records'!$U:$U,$H445)&lt;&gt;"Free Game",INDEX('Game Records'!$U:$U,$H445)&lt;&gt;"Disqualified — Free Game",OR(INDEX('Game Records'!$D:$D,$H445)="",LOWER(INDEX('Game Records'!$D:$D,$H445)&amp;"")="n/a")),"Entry Mode; ","")&amp;IF(AND(INDEX('Game Records'!$U:$U,$H445)&lt;&gt;"Subscription",INDEX('Game Records'!$U:$U,$H445)&lt;&gt;"Free Game",INDEX('Game Records'!$U:$U,$H445)&lt;&gt;"Disqualified — Free Game",OR(INDEX('Game Records'!$E:$E,$H445)="",LOWER(INDEX('Game Records'!$E:$E,$H445)&amp;"")="n/a")),"Game Type; ","")&amp;IF(INDEX('Game Records'!$F:$F,$H445)="","Payment Type; ","")&amp;IF(AND(INDEX('Game Records'!$U:$U,$H445)&lt;&gt;"Subscription",INDEX('Game Records'!$U:$U,$H445)&lt;&gt;"Free Game",INDEX('Game Records'!$U:$U,$H445)&lt;&gt;"Disqualified — Free Game",INDEX('Game Records'!$G:$G,$H445)=""),"Gross Pot; ","")&amp;IF(AND(INDEX('Game Records'!$U:$U,$H445)&lt;&gt;"Free Game",INDEX('Game Records'!$U:$U,$H445)&lt;&gt;"Disqualified — Free Game",INDEX('Game Records'!$H:$H,$H445)=""),"Entry Fee; ","")&amp;IF(AND(INDEX('Game Records'!$U:$U,$H445)&lt;&gt;"Subscription",INDEX('Game Records'!$U:$U,$H445)&lt;&gt;"Free Game",INDEX('Game Records'!$U:$U,$H445)&lt;&gt;"Disqualified — Free Game",INDEX('Game Records'!$I:$I,$H445)=""),"Eligible Players; ","")&amp;IF(AND(INDEX('Game Records'!$U:$U,$H445)&lt;&gt;"Subscription",INDEX('Game Records'!$U:$U,$H445)&lt;&gt;"Free Game",INDEX('Game Records'!$U:$U,$H445)&lt;&gt;"Disqualified — Free Game",INDEX('Game Records'!$J:$J,$H445)=""),"Total Players; ","")&amp;IF(AND(LOWER(INDEX('Game Records'!$D:$D,$H445)&amp;"")="finalized",LOWER(INDEX('Game Records'!$L:$L,$H445)&amp;"")&lt;&gt;"yes",INDEX('Game Records'!$U:$U,$H445)&lt;&gt;"Subscription",INDEX('Game Records'!$U:$U,$H445)&lt;&gt;"Free Game",INDEX('Game Records'!$U:$U,$H445)&lt;&gt;"Disqualified — Free Game",INDEX('Game Records'!$K:$K,$H445)=""),"Final Earned; ","")&amp;IF(AND(LOWER(INDEX('Game Records'!$D:$D,$H445)&amp;"")="finalized",INDEX('Game Records'!$U:$U,$H445)&lt;&gt;"Subscription",INDEX('Game Records'!$U:$U,$H445)&lt;&gt;"Free Game",INDEX('Game Records'!$U:$U,$H445)&lt;&gt;"Disqualified — Free Game",OR(INDEX('Game Records'!$L:$L,$H445)="",LOWER(INDEX('Game Records'!$L:$L,$H445)&amp;"")="n/a")),"Disqualified Status; ",""))</x:f>
        <x:v/>
      </x:c>
      <x:c r="G445" s="331" t="str">
        <x:f>IF($H445="","",IFERROR(INDEX('Game Records'!$M:$M,$H445),""))</x:f>
        <x:v/>
      </x:c>
      <x:c r="H445" s="104" t="str">
        <x:f>IF($H444="","",IFERROR(MATCH(1,INDEX((ROW('Game Records'!$U$5:$U$504)&gt;$H444)*(('Game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6" ht="24" customHeight="1">
      <x:c r="A446" s="332" t="str">
        <x:f>IF($H446="","",ROWS($A$5:A446))</x:f>
        <x:v/>
      </x:c>
      <x:c r="B446" s="332" t="str">
        <x:f>IF($H446="","","G-"&amp;TEXT($A446,"0000"))</x:f>
        <x:v/>
      </x:c>
      <x:c r="C446" s="331" t="str">
        <x:f>IF($H446="","",IFERROR(INDEX('Game Records'!$A:$A,$H446),""))</x:f>
        <x:v/>
      </x:c>
      <x:c r="D446" s="331" t="str">
        <x:f>IF($H446="","",IFERROR(INDEX('Game Records'!$U:$U,$H446),""))</x:f>
        <x:v/>
      </x:c>
      <x:c r="E446" s="331" t="str">
        <x:f>IF($H446="","",IF($F446="","No Highlighted Fields","Highlighted Fields Present"))</x:f>
        <x:v/>
      </x:c>
      <x:c r="F446" s="331" t="str">
        <x:f>IF($H446="","",IF(INDEX('Game Records'!$B:$B,$H446)="","Start Date; ","")&amp;IF(INDEX('Game Records'!$C:$C,$H446)="","End Date; ","")&amp;IF(AND(INDEX('Game Records'!$U:$U,$H446)&lt;&gt;"Subscription",INDEX('Game Records'!$U:$U,$H446)&lt;&gt;"Free Game",INDEX('Game Records'!$U:$U,$H446)&lt;&gt;"Disqualified — Free Game",OR(INDEX('Game Records'!$D:$D,$H446)="",LOWER(INDEX('Game Records'!$D:$D,$H446)&amp;"")="n/a")),"Entry Mode; ","")&amp;IF(AND(INDEX('Game Records'!$U:$U,$H446)&lt;&gt;"Subscription",INDEX('Game Records'!$U:$U,$H446)&lt;&gt;"Free Game",INDEX('Game Records'!$U:$U,$H446)&lt;&gt;"Disqualified — Free Game",OR(INDEX('Game Records'!$E:$E,$H446)="",LOWER(INDEX('Game Records'!$E:$E,$H446)&amp;"")="n/a")),"Game Type; ","")&amp;IF(INDEX('Game Records'!$F:$F,$H446)="","Payment Type; ","")&amp;IF(AND(INDEX('Game Records'!$U:$U,$H446)&lt;&gt;"Subscription",INDEX('Game Records'!$U:$U,$H446)&lt;&gt;"Free Game",INDEX('Game Records'!$U:$U,$H446)&lt;&gt;"Disqualified — Free Game",INDEX('Game Records'!$G:$G,$H446)=""),"Gross Pot; ","")&amp;IF(AND(INDEX('Game Records'!$U:$U,$H446)&lt;&gt;"Free Game",INDEX('Game Records'!$U:$U,$H446)&lt;&gt;"Disqualified — Free Game",INDEX('Game Records'!$H:$H,$H446)=""),"Entry Fee; ","")&amp;IF(AND(INDEX('Game Records'!$U:$U,$H446)&lt;&gt;"Subscription",INDEX('Game Records'!$U:$U,$H446)&lt;&gt;"Free Game",INDEX('Game Records'!$U:$U,$H446)&lt;&gt;"Disqualified — Free Game",INDEX('Game Records'!$I:$I,$H446)=""),"Eligible Players; ","")&amp;IF(AND(INDEX('Game Records'!$U:$U,$H446)&lt;&gt;"Subscription",INDEX('Game Records'!$U:$U,$H446)&lt;&gt;"Free Game",INDEX('Game Records'!$U:$U,$H446)&lt;&gt;"Disqualified — Free Game",INDEX('Game Records'!$J:$J,$H446)=""),"Total Players; ","")&amp;IF(AND(LOWER(INDEX('Game Records'!$D:$D,$H446)&amp;"")="finalized",LOWER(INDEX('Game Records'!$L:$L,$H446)&amp;"")&lt;&gt;"yes",INDEX('Game Records'!$U:$U,$H446)&lt;&gt;"Subscription",INDEX('Game Records'!$U:$U,$H446)&lt;&gt;"Free Game",INDEX('Game Records'!$U:$U,$H446)&lt;&gt;"Disqualified — Free Game",INDEX('Game Records'!$K:$K,$H446)=""),"Final Earned; ","")&amp;IF(AND(LOWER(INDEX('Game Records'!$D:$D,$H446)&amp;"")="finalized",INDEX('Game Records'!$U:$U,$H446)&lt;&gt;"Subscription",INDEX('Game Records'!$U:$U,$H446)&lt;&gt;"Free Game",INDEX('Game Records'!$U:$U,$H446)&lt;&gt;"Disqualified — Free Game",OR(INDEX('Game Records'!$L:$L,$H446)="",LOWER(INDEX('Game Records'!$L:$L,$H446)&amp;"")="n/a")),"Disqualified Status; ",""))</x:f>
        <x:v/>
      </x:c>
      <x:c r="G446" s="331" t="str">
        <x:f>IF($H446="","",IFERROR(INDEX('Game Records'!$M:$M,$H446),""))</x:f>
        <x:v/>
      </x:c>
      <x:c r="H446" s="104" t="str">
        <x:f>IF($H445="","",IFERROR(MATCH(1,INDEX((ROW('Game Records'!$U$5:$U$504)&gt;$H445)*(('Game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7" ht="24" customHeight="1">
      <x:c r="A447" s="332" t="str">
        <x:f>IF($H447="","",ROWS($A$5:A447))</x:f>
        <x:v/>
      </x:c>
      <x:c r="B447" s="332" t="str">
        <x:f>IF($H447="","","G-"&amp;TEXT($A447,"0000"))</x:f>
        <x:v/>
      </x:c>
      <x:c r="C447" s="331" t="str">
        <x:f>IF($H447="","",IFERROR(INDEX('Game Records'!$A:$A,$H447),""))</x:f>
        <x:v/>
      </x:c>
      <x:c r="D447" s="331" t="str">
        <x:f>IF($H447="","",IFERROR(INDEX('Game Records'!$U:$U,$H447),""))</x:f>
        <x:v/>
      </x:c>
      <x:c r="E447" s="331" t="str">
        <x:f>IF($H447="","",IF($F447="","No Highlighted Fields","Highlighted Fields Present"))</x:f>
        <x:v/>
      </x:c>
      <x:c r="F447" s="331" t="str">
        <x:f>IF($H447="","",IF(INDEX('Game Records'!$B:$B,$H447)="","Start Date; ","")&amp;IF(INDEX('Game Records'!$C:$C,$H447)="","End Date; ","")&amp;IF(AND(INDEX('Game Records'!$U:$U,$H447)&lt;&gt;"Subscription",INDEX('Game Records'!$U:$U,$H447)&lt;&gt;"Free Game",INDEX('Game Records'!$U:$U,$H447)&lt;&gt;"Disqualified — Free Game",OR(INDEX('Game Records'!$D:$D,$H447)="",LOWER(INDEX('Game Records'!$D:$D,$H447)&amp;"")="n/a")),"Entry Mode; ","")&amp;IF(AND(INDEX('Game Records'!$U:$U,$H447)&lt;&gt;"Subscription",INDEX('Game Records'!$U:$U,$H447)&lt;&gt;"Free Game",INDEX('Game Records'!$U:$U,$H447)&lt;&gt;"Disqualified — Free Game",OR(INDEX('Game Records'!$E:$E,$H447)="",LOWER(INDEX('Game Records'!$E:$E,$H447)&amp;"")="n/a")),"Game Type; ","")&amp;IF(INDEX('Game Records'!$F:$F,$H447)="","Payment Type; ","")&amp;IF(AND(INDEX('Game Records'!$U:$U,$H447)&lt;&gt;"Subscription",INDEX('Game Records'!$U:$U,$H447)&lt;&gt;"Free Game",INDEX('Game Records'!$U:$U,$H447)&lt;&gt;"Disqualified — Free Game",INDEX('Game Records'!$G:$G,$H447)=""),"Gross Pot; ","")&amp;IF(AND(INDEX('Game Records'!$U:$U,$H447)&lt;&gt;"Free Game",INDEX('Game Records'!$U:$U,$H447)&lt;&gt;"Disqualified — Free Game",INDEX('Game Records'!$H:$H,$H447)=""),"Entry Fee; ","")&amp;IF(AND(INDEX('Game Records'!$U:$U,$H447)&lt;&gt;"Subscription",INDEX('Game Records'!$U:$U,$H447)&lt;&gt;"Free Game",INDEX('Game Records'!$U:$U,$H447)&lt;&gt;"Disqualified — Free Game",INDEX('Game Records'!$I:$I,$H447)=""),"Eligible Players; ","")&amp;IF(AND(INDEX('Game Records'!$U:$U,$H447)&lt;&gt;"Subscription",INDEX('Game Records'!$U:$U,$H447)&lt;&gt;"Free Game",INDEX('Game Records'!$U:$U,$H447)&lt;&gt;"Disqualified — Free Game",INDEX('Game Records'!$J:$J,$H447)=""),"Total Players; ","")&amp;IF(AND(LOWER(INDEX('Game Records'!$D:$D,$H447)&amp;"")="finalized",LOWER(INDEX('Game Records'!$L:$L,$H447)&amp;"")&lt;&gt;"yes",INDEX('Game Records'!$U:$U,$H447)&lt;&gt;"Subscription",INDEX('Game Records'!$U:$U,$H447)&lt;&gt;"Free Game",INDEX('Game Records'!$U:$U,$H447)&lt;&gt;"Disqualified — Free Game",INDEX('Game Records'!$K:$K,$H447)=""),"Final Earned; ","")&amp;IF(AND(LOWER(INDEX('Game Records'!$D:$D,$H447)&amp;"")="finalized",INDEX('Game Records'!$U:$U,$H447)&lt;&gt;"Subscription",INDEX('Game Records'!$U:$U,$H447)&lt;&gt;"Free Game",INDEX('Game Records'!$U:$U,$H447)&lt;&gt;"Disqualified — Free Game",OR(INDEX('Game Records'!$L:$L,$H447)="",LOWER(INDEX('Game Records'!$L:$L,$H447)&amp;"")="n/a")),"Disqualified Status; ",""))</x:f>
        <x:v/>
      </x:c>
      <x:c r="G447" s="331" t="str">
        <x:f>IF($H447="","",IFERROR(INDEX('Game Records'!$M:$M,$H447),""))</x:f>
        <x:v/>
      </x:c>
      <x:c r="H447" s="104" t="str">
        <x:f>IF($H446="","",IFERROR(MATCH(1,INDEX((ROW('Game Records'!$U$5:$U$504)&gt;$H446)*(('Game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8" ht="24" customHeight="1">
      <x:c r="A448" s="332" t="str">
        <x:f>IF($H448="","",ROWS($A$5:A448))</x:f>
        <x:v/>
      </x:c>
      <x:c r="B448" s="332" t="str">
        <x:f>IF($H448="","","G-"&amp;TEXT($A448,"0000"))</x:f>
        <x:v/>
      </x:c>
      <x:c r="C448" s="331" t="str">
        <x:f>IF($H448="","",IFERROR(INDEX('Game Records'!$A:$A,$H448),""))</x:f>
        <x:v/>
      </x:c>
      <x:c r="D448" s="331" t="str">
        <x:f>IF($H448="","",IFERROR(INDEX('Game Records'!$U:$U,$H448),""))</x:f>
        <x:v/>
      </x:c>
      <x:c r="E448" s="331" t="str">
        <x:f>IF($H448="","",IF($F448="","No Highlighted Fields","Highlighted Fields Present"))</x:f>
        <x:v/>
      </x:c>
      <x:c r="F448" s="331" t="str">
        <x:f>IF($H448="","",IF(INDEX('Game Records'!$B:$B,$H448)="","Start Date; ","")&amp;IF(INDEX('Game Records'!$C:$C,$H448)="","End Date; ","")&amp;IF(AND(INDEX('Game Records'!$U:$U,$H448)&lt;&gt;"Subscription",INDEX('Game Records'!$U:$U,$H448)&lt;&gt;"Free Game",INDEX('Game Records'!$U:$U,$H448)&lt;&gt;"Disqualified — Free Game",OR(INDEX('Game Records'!$D:$D,$H448)="",LOWER(INDEX('Game Records'!$D:$D,$H448)&amp;"")="n/a")),"Entry Mode; ","")&amp;IF(AND(INDEX('Game Records'!$U:$U,$H448)&lt;&gt;"Subscription",INDEX('Game Records'!$U:$U,$H448)&lt;&gt;"Free Game",INDEX('Game Records'!$U:$U,$H448)&lt;&gt;"Disqualified — Free Game",OR(INDEX('Game Records'!$E:$E,$H448)="",LOWER(INDEX('Game Records'!$E:$E,$H448)&amp;"")="n/a")),"Game Type; ","")&amp;IF(INDEX('Game Records'!$F:$F,$H448)="","Payment Type; ","")&amp;IF(AND(INDEX('Game Records'!$U:$U,$H448)&lt;&gt;"Subscription",INDEX('Game Records'!$U:$U,$H448)&lt;&gt;"Free Game",INDEX('Game Records'!$U:$U,$H448)&lt;&gt;"Disqualified — Free Game",INDEX('Game Records'!$G:$G,$H448)=""),"Gross Pot; ","")&amp;IF(AND(INDEX('Game Records'!$U:$U,$H448)&lt;&gt;"Free Game",INDEX('Game Records'!$U:$U,$H448)&lt;&gt;"Disqualified — Free Game",INDEX('Game Records'!$H:$H,$H448)=""),"Entry Fee; ","")&amp;IF(AND(INDEX('Game Records'!$U:$U,$H448)&lt;&gt;"Subscription",INDEX('Game Records'!$U:$U,$H448)&lt;&gt;"Free Game",INDEX('Game Records'!$U:$U,$H448)&lt;&gt;"Disqualified — Free Game",INDEX('Game Records'!$I:$I,$H448)=""),"Eligible Players; ","")&amp;IF(AND(INDEX('Game Records'!$U:$U,$H448)&lt;&gt;"Subscription",INDEX('Game Records'!$U:$U,$H448)&lt;&gt;"Free Game",INDEX('Game Records'!$U:$U,$H448)&lt;&gt;"Disqualified — Free Game",INDEX('Game Records'!$J:$J,$H448)=""),"Total Players; ","")&amp;IF(AND(LOWER(INDEX('Game Records'!$D:$D,$H448)&amp;"")="finalized",LOWER(INDEX('Game Records'!$L:$L,$H448)&amp;"")&lt;&gt;"yes",INDEX('Game Records'!$U:$U,$H448)&lt;&gt;"Subscription",INDEX('Game Records'!$U:$U,$H448)&lt;&gt;"Free Game",INDEX('Game Records'!$U:$U,$H448)&lt;&gt;"Disqualified — Free Game",INDEX('Game Records'!$K:$K,$H448)=""),"Final Earned; ","")&amp;IF(AND(LOWER(INDEX('Game Records'!$D:$D,$H448)&amp;"")="finalized",INDEX('Game Records'!$U:$U,$H448)&lt;&gt;"Subscription",INDEX('Game Records'!$U:$U,$H448)&lt;&gt;"Free Game",INDEX('Game Records'!$U:$U,$H448)&lt;&gt;"Disqualified — Free Game",OR(INDEX('Game Records'!$L:$L,$H448)="",LOWER(INDEX('Game Records'!$L:$L,$H448)&amp;"")="n/a")),"Disqualified Status; ",""))</x:f>
        <x:v/>
      </x:c>
      <x:c r="G448" s="331" t="str">
        <x:f>IF($H448="","",IFERROR(INDEX('Game Records'!$M:$M,$H448),""))</x:f>
        <x:v/>
      </x:c>
      <x:c r="H448" s="104" t="str">
        <x:f>IF($H447="","",IFERROR(MATCH(1,INDEX((ROW('Game Records'!$U$5:$U$504)&gt;$H447)*(('Game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49" ht="24" customHeight="1">
      <x:c r="A449" s="332" t="str">
        <x:f>IF($H449="","",ROWS($A$5:A449))</x:f>
        <x:v/>
      </x:c>
      <x:c r="B449" s="332" t="str">
        <x:f>IF($H449="","","G-"&amp;TEXT($A449,"0000"))</x:f>
        <x:v/>
      </x:c>
      <x:c r="C449" s="331" t="str">
        <x:f>IF($H449="","",IFERROR(INDEX('Game Records'!$A:$A,$H449),""))</x:f>
        <x:v/>
      </x:c>
      <x:c r="D449" s="331" t="str">
        <x:f>IF($H449="","",IFERROR(INDEX('Game Records'!$U:$U,$H449),""))</x:f>
        <x:v/>
      </x:c>
      <x:c r="E449" s="331" t="str">
        <x:f>IF($H449="","",IF($F449="","No Highlighted Fields","Highlighted Fields Present"))</x:f>
        <x:v/>
      </x:c>
      <x:c r="F449" s="331" t="str">
        <x:f>IF($H449="","",IF(INDEX('Game Records'!$B:$B,$H449)="","Start Date; ","")&amp;IF(INDEX('Game Records'!$C:$C,$H449)="","End Date; ","")&amp;IF(AND(INDEX('Game Records'!$U:$U,$H449)&lt;&gt;"Subscription",INDEX('Game Records'!$U:$U,$H449)&lt;&gt;"Free Game",INDEX('Game Records'!$U:$U,$H449)&lt;&gt;"Disqualified — Free Game",OR(INDEX('Game Records'!$D:$D,$H449)="",LOWER(INDEX('Game Records'!$D:$D,$H449)&amp;"")="n/a")),"Entry Mode; ","")&amp;IF(AND(INDEX('Game Records'!$U:$U,$H449)&lt;&gt;"Subscription",INDEX('Game Records'!$U:$U,$H449)&lt;&gt;"Free Game",INDEX('Game Records'!$U:$U,$H449)&lt;&gt;"Disqualified — Free Game",OR(INDEX('Game Records'!$E:$E,$H449)="",LOWER(INDEX('Game Records'!$E:$E,$H449)&amp;"")="n/a")),"Game Type; ","")&amp;IF(INDEX('Game Records'!$F:$F,$H449)="","Payment Type; ","")&amp;IF(AND(INDEX('Game Records'!$U:$U,$H449)&lt;&gt;"Subscription",INDEX('Game Records'!$U:$U,$H449)&lt;&gt;"Free Game",INDEX('Game Records'!$U:$U,$H449)&lt;&gt;"Disqualified — Free Game",INDEX('Game Records'!$G:$G,$H449)=""),"Gross Pot; ","")&amp;IF(AND(INDEX('Game Records'!$U:$U,$H449)&lt;&gt;"Free Game",INDEX('Game Records'!$U:$U,$H449)&lt;&gt;"Disqualified — Free Game",INDEX('Game Records'!$H:$H,$H449)=""),"Entry Fee; ","")&amp;IF(AND(INDEX('Game Records'!$U:$U,$H449)&lt;&gt;"Subscription",INDEX('Game Records'!$U:$U,$H449)&lt;&gt;"Free Game",INDEX('Game Records'!$U:$U,$H449)&lt;&gt;"Disqualified — Free Game",INDEX('Game Records'!$I:$I,$H449)=""),"Eligible Players; ","")&amp;IF(AND(INDEX('Game Records'!$U:$U,$H449)&lt;&gt;"Subscription",INDEX('Game Records'!$U:$U,$H449)&lt;&gt;"Free Game",INDEX('Game Records'!$U:$U,$H449)&lt;&gt;"Disqualified — Free Game",INDEX('Game Records'!$J:$J,$H449)=""),"Total Players; ","")&amp;IF(AND(LOWER(INDEX('Game Records'!$D:$D,$H449)&amp;"")="finalized",LOWER(INDEX('Game Records'!$L:$L,$H449)&amp;"")&lt;&gt;"yes",INDEX('Game Records'!$U:$U,$H449)&lt;&gt;"Subscription",INDEX('Game Records'!$U:$U,$H449)&lt;&gt;"Free Game",INDEX('Game Records'!$U:$U,$H449)&lt;&gt;"Disqualified — Free Game",INDEX('Game Records'!$K:$K,$H449)=""),"Final Earned; ","")&amp;IF(AND(LOWER(INDEX('Game Records'!$D:$D,$H449)&amp;"")="finalized",INDEX('Game Records'!$U:$U,$H449)&lt;&gt;"Subscription",INDEX('Game Records'!$U:$U,$H449)&lt;&gt;"Free Game",INDEX('Game Records'!$U:$U,$H449)&lt;&gt;"Disqualified — Free Game",OR(INDEX('Game Records'!$L:$L,$H449)="",LOWER(INDEX('Game Records'!$L:$L,$H449)&amp;"")="n/a")),"Disqualified Status; ",""))</x:f>
        <x:v/>
      </x:c>
      <x:c r="G449" s="331" t="str">
        <x:f>IF($H449="","",IFERROR(INDEX('Game Records'!$M:$M,$H449),""))</x:f>
        <x:v/>
      </x:c>
      <x:c r="H449" s="104" t="str">
        <x:f>IF($H448="","",IFERROR(MATCH(1,INDEX((ROW('Game Records'!$U$5:$U$504)&gt;$H448)*(('Game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0" ht="24" customHeight="1">
      <x:c r="A450" s="332" t="str">
        <x:f>IF($H450="","",ROWS($A$5:A450))</x:f>
        <x:v/>
      </x:c>
      <x:c r="B450" s="332" t="str">
        <x:f>IF($H450="","","G-"&amp;TEXT($A450,"0000"))</x:f>
        <x:v/>
      </x:c>
      <x:c r="C450" s="331" t="str">
        <x:f>IF($H450="","",IFERROR(INDEX('Game Records'!$A:$A,$H450),""))</x:f>
        <x:v/>
      </x:c>
      <x:c r="D450" s="331" t="str">
        <x:f>IF($H450="","",IFERROR(INDEX('Game Records'!$U:$U,$H450),""))</x:f>
        <x:v/>
      </x:c>
      <x:c r="E450" s="331" t="str">
        <x:f>IF($H450="","",IF($F450="","No Highlighted Fields","Highlighted Fields Present"))</x:f>
        <x:v/>
      </x:c>
      <x:c r="F450" s="331" t="str">
        <x:f>IF($H450="","",IF(INDEX('Game Records'!$B:$B,$H450)="","Start Date; ","")&amp;IF(INDEX('Game Records'!$C:$C,$H450)="","End Date; ","")&amp;IF(AND(INDEX('Game Records'!$U:$U,$H450)&lt;&gt;"Subscription",INDEX('Game Records'!$U:$U,$H450)&lt;&gt;"Free Game",INDEX('Game Records'!$U:$U,$H450)&lt;&gt;"Disqualified — Free Game",OR(INDEX('Game Records'!$D:$D,$H450)="",LOWER(INDEX('Game Records'!$D:$D,$H450)&amp;"")="n/a")),"Entry Mode; ","")&amp;IF(AND(INDEX('Game Records'!$U:$U,$H450)&lt;&gt;"Subscription",INDEX('Game Records'!$U:$U,$H450)&lt;&gt;"Free Game",INDEX('Game Records'!$U:$U,$H450)&lt;&gt;"Disqualified — Free Game",OR(INDEX('Game Records'!$E:$E,$H450)="",LOWER(INDEX('Game Records'!$E:$E,$H450)&amp;"")="n/a")),"Game Type; ","")&amp;IF(INDEX('Game Records'!$F:$F,$H450)="","Payment Type; ","")&amp;IF(AND(INDEX('Game Records'!$U:$U,$H450)&lt;&gt;"Subscription",INDEX('Game Records'!$U:$U,$H450)&lt;&gt;"Free Game",INDEX('Game Records'!$U:$U,$H450)&lt;&gt;"Disqualified — Free Game",INDEX('Game Records'!$G:$G,$H450)=""),"Gross Pot; ","")&amp;IF(AND(INDEX('Game Records'!$U:$U,$H450)&lt;&gt;"Free Game",INDEX('Game Records'!$U:$U,$H450)&lt;&gt;"Disqualified — Free Game",INDEX('Game Records'!$H:$H,$H450)=""),"Entry Fee; ","")&amp;IF(AND(INDEX('Game Records'!$U:$U,$H450)&lt;&gt;"Subscription",INDEX('Game Records'!$U:$U,$H450)&lt;&gt;"Free Game",INDEX('Game Records'!$U:$U,$H450)&lt;&gt;"Disqualified — Free Game",INDEX('Game Records'!$I:$I,$H450)=""),"Eligible Players; ","")&amp;IF(AND(INDEX('Game Records'!$U:$U,$H450)&lt;&gt;"Subscription",INDEX('Game Records'!$U:$U,$H450)&lt;&gt;"Free Game",INDEX('Game Records'!$U:$U,$H450)&lt;&gt;"Disqualified — Free Game",INDEX('Game Records'!$J:$J,$H450)=""),"Total Players; ","")&amp;IF(AND(LOWER(INDEX('Game Records'!$D:$D,$H450)&amp;"")="finalized",LOWER(INDEX('Game Records'!$L:$L,$H450)&amp;"")&lt;&gt;"yes",INDEX('Game Records'!$U:$U,$H450)&lt;&gt;"Subscription",INDEX('Game Records'!$U:$U,$H450)&lt;&gt;"Free Game",INDEX('Game Records'!$U:$U,$H450)&lt;&gt;"Disqualified — Free Game",INDEX('Game Records'!$K:$K,$H450)=""),"Final Earned; ","")&amp;IF(AND(LOWER(INDEX('Game Records'!$D:$D,$H450)&amp;"")="finalized",INDEX('Game Records'!$U:$U,$H450)&lt;&gt;"Subscription",INDEX('Game Records'!$U:$U,$H450)&lt;&gt;"Free Game",INDEX('Game Records'!$U:$U,$H450)&lt;&gt;"Disqualified — Free Game",OR(INDEX('Game Records'!$L:$L,$H450)="",LOWER(INDEX('Game Records'!$L:$L,$H450)&amp;"")="n/a")),"Disqualified Status; ",""))</x:f>
        <x:v/>
      </x:c>
      <x:c r="G450" s="331" t="str">
        <x:f>IF($H450="","",IFERROR(INDEX('Game Records'!$M:$M,$H450),""))</x:f>
        <x:v/>
      </x:c>
      <x:c r="H450" s="104" t="str">
        <x:f>IF($H449="","",IFERROR(MATCH(1,INDEX((ROW('Game Records'!$U$5:$U$504)&gt;$H449)*(('Game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1" ht="24" customHeight="1">
      <x:c r="A451" s="332" t="str">
        <x:f>IF($H451="","",ROWS($A$5:A451))</x:f>
        <x:v/>
      </x:c>
      <x:c r="B451" s="332" t="str">
        <x:f>IF($H451="","","G-"&amp;TEXT($A451,"0000"))</x:f>
        <x:v/>
      </x:c>
      <x:c r="C451" s="331" t="str">
        <x:f>IF($H451="","",IFERROR(INDEX('Game Records'!$A:$A,$H451),""))</x:f>
        <x:v/>
      </x:c>
      <x:c r="D451" s="331" t="str">
        <x:f>IF($H451="","",IFERROR(INDEX('Game Records'!$U:$U,$H451),""))</x:f>
        <x:v/>
      </x:c>
      <x:c r="E451" s="331" t="str">
        <x:f>IF($H451="","",IF($F451="","No Highlighted Fields","Highlighted Fields Present"))</x:f>
        <x:v/>
      </x:c>
      <x:c r="F451" s="331" t="str">
        <x:f>IF($H451="","",IF(INDEX('Game Records'!$B:$B,$H451)="","Start Date; ","")&amp;IF(INDEX('Game Records'!$C:$C,$H451)="","End Date; ","")&amp;IF(AND(INDEX('Game Records'!$U:$U,$H451)&lt;&gt;"Subscription",INDEX('Game Records'!$U:$U,$H451)&lt;&gt;"Free Game",INDEX('Game Records'!$U:$U,$H451)&lt;&gt;"Disqualified — Free Game",OR(INDEX('Game Records'!$D:$D,$H451)="",LOWER(INDEX('Game Records'!$D:$D,$H451)&amp;"")="n/a")),"Entry Mode; ","")&amp;IF(AND(INDEX('Game Records'!$U:$U,$H451)&lt;&gt;"Subscription",INDEX('Game Records'!$U:$U,$H451)&lt;&gt;"Free Game",INDEX('Game Records'!$U:$U,$H451)&lt;&gt;"Disqualified — Free Game",OR(INDEX('Game Records'!$E:$E,$H451)="",LOWER(INDEX('Game Records'!$E:$E,$H451)&amp;"")="n/a")),"Game Type; ","")&amp;IF(INDEX('Game Records'!$F:$F,$H451)="","Payment Type; ","")&amp;IF(AND(INDEX('Game Records'!$U:$U,$H451)&lt;&gt;"Subscription",INDEX('Game Records'!$U:$U,$H451)&lt;&gt;"Free Game",INDEX('Game Records'!$U:$U,$H451)&lt;&gt;"Disqualified — Free Game",INDEX('Game Records'!$G:$G,$H451)=""),"Gross Pot; ","")&amp;IF(AND(INDEX('Game Records'!$U:$U,$H451)&lt;&gt;"Free Game",INDEX('Game Records'!$U:$U,$H451)&lt;&gt;"Disqualified — Free Game",INDEX('Game Records'!$H:$H,$H451)=""),"Entry Fee; ","")&amp;IF(AND(INDEX('Game Records'!$U:$U,$H451)&lt;&gt;"Subscription",INDEX('Game Records'!$U:$U,$H451)&lt;&gt;"Free Game",INDEX('Game Records'!$U:$U,$H451)&lt;&gt;"Disqualified — Free Game",INDEX('Game Records'!$I:$I,$H451)=""),"Eligible Players; ","")&amp;IF(AND(INDEX('Game Records'!$U:$U,$H451)&lt;&gt;"Subscription",INDEX('Game Records'!$U:$U,$H451)&lt;&gt;"Free Game",INDEX('Game Records'!$U:$U,$H451)&lt;&gt;"Disqualified — Free Game",INDEX('Game Records'!$J:$J,$H451)=""),"Total Players; ","")&amp;IF(AND(LOWER(INDEX('Game Records'!$D:$D,$H451)&amp;"")="finalized",LOWER(INDEX('Game Records'!$L:$L,$H451)&amp;"")&lt;&gt;"yes",INDEX('Game Records'!$U:$U,$H451)&lt;&gt;"Subscription",INDEX('Game Records'!$U:$U,$H451)&lt;&gt;"Free Game",INDEX('Game Records'!$U:$U,$H451)&lt;&gt;"Disqualified — Free Game",INDEX('Game Records'!$K:$K,$H451)=""),"Final Earned; ","")&amp;IF(AND(LOWER(INDEX('Game Records'!$D:$D,$H451)&amp;"")="finalized",INDEX('Game Records'!$U:$U,$H451)&lt;&gt;"Subscription",INDEX('Game Records'!$U:$U,$H451)&lt;&gt;"Free Game",INDEX('Game Records'!$U:$U,$H451)&lt;&gt;"Disqualified — Free Game",OR(INDEX('Game Records'!$L:$L,$H451)="",LOWER(INDEX('Game Records'!$L:$L,$H451)&amp;"")="n/a")),"Disqualified Status; ",""))</x:f>
        <x:v/>
      </x:c>
      <x:c r="G451" s="331" t="str">
        <x:f>IF($H451="","",IFERROR(INDEX('Game Records'!$M:$M,$H451),""))</x:f>
        <x:v/>
      </x:c>
      <x:c r="H451" s="104" t="str">
        <x:f>IF($H450="","",IFERROR(MATCH(1,INDEX((ROW('Game Records'!$U$5:$U$504)&gt;$H450)*(('Game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2" ht="24" customHeight="1">
      <x:c r="A452" s="332" t="str">
        <x:f>IF($H452="","",ROWS($A$5:A452))</x:f>
        <x:v/>
      </x:c>
      <x:c r="B452" s="332" t="str">
        <x:f>IF($H452="","","G-"&amp;TEXT($A452,"0000"))</x:f>
        <x:v/>
      </x:c>
      <x:c r="C452" s="331" t="str">
        <x:f>IF($H452="","",IFERROR(INDEX('Game Records'!$A:$A,$H452),""))</x:f>
        <x:v/>
      </x:c>
      <x:c r="D452" s="331" t="str">
        <x:f>IF($H452="","",IFERROR(INDEX('Game Records'!$U:$U,$H452),""))</x:f>
        <x:v/>
      </x:c>
      <x:c r="E452" s="331" t="str">
        <x:f>IF($H452="","",IF($F452="","No Highlighted Fields","Highlighted Fields Present"))</x:f>
        <x:v/>
      </x:c>
      <x:c r="F452" s="331" t="str">
        <x:f>IF($H452="","",IF(INDEX('Game Records'!$B:$B,$H452)="","Start Date; ","")&amp;IF(INDEX('Game Records'!$C:$C,$H452)="","End Date; ","")&amp;IF(AND(INDEX('Game Records'!$U:$U,$H452)&lt;&gt;"Subscription",INDEX('Game Records'!$U:$U,$H452)&lt;&gt;"Free Game",INDEX('Game Records'!$U:$U,$H452)&lt;&gt;"Disqualified — Free Game",OR(INDEX('Game Records'!$D:$D,$H452)="",LOWER(INDEX('Game Records'!$D:$D,$H452)&amp;"")="n/a")),"Entry Mode; ","")&amp;IF(AND(INDEX('Game Records'!$U:$U,$H452)&lt;&gt;"Subscription",INDEX('Game Records'!$U:$U,$H452)&lt;&gt;"Free Game",INDEX('Game Records'!$U:$U,$H452)&lt;&gt;"Disqualified — Free Game",OR(INDEX('Game Records'!$E:$E,$H452)="",LOWER(INDEX('Game Records'!$E:$E,$H452)&amp;"")="n/a")),"Game Type; ","")&amp;IF(INDEX('Game Records'!$F:$F,$H452)="","Payment Type; ","")&amp;IF(AND(INDEX('Game Records'!$U:$U,$H452)&lt;&gt;"Subscription",INDEX('Game Records'!$U:$U,$H452)&lt;&gt;"Free Game",INDEX('Game Records'!$U:$U,$H452)&lt;&gt;"Disqualified — Free Game",INDEX('Game Records'!$G:$G,$H452)=""),"Gross Pot; ","")&amp;IF(AND(INDEX('Game Records'!$U:$U,$H452)&lt;&gt;"Free Game",INDEX('Game Records'!$U:$U,$H452)&lt;&gt;"Disqualified — Free Game",INDEX('Game Records'!$H:$H,$H452)=""),"Entry Fee; ","")&amp;IF(AND(INDEX('Game Records'!$U:$U,$H452)&lt;&gt;"Subscription",INDEX('Game Records'!$U:$U,$H452)&lt;&gt;"Free Game",INDEX('Game Records'!$U:$U,$H452)&lt;&gt;"Disqualified — Free Game",INDEX('Game Records'!$I:$I,$H452)=""),"Eligible Players; ","")&amp;IF(AND(INDEX('Game Records'!$U:$U,$H452)&lt;&gt;"Subscription",INDEX('Game Records'!$U:$U,$H452)&lt;&gt;"Free Game",INDEX('Game Records'!$U:$U,$H452)&lt;&gt;"Disqualified — Free Game",INDEX('Game Records'!$J:$J,$H452)=""),"Total Players; ","")&amp;IF(AND(LOWER(INDEX('Game Records'!$D:$D,$H452)&amp;"")="finalized",LOWER(INDEX('Game Records'!$L:$L,$H452)&amp;"")&lt;&gt;"yes",INDEX('Game Records'!$U:$U,$H452)&lt;&gt;"Subscription",INDEX('Game Records'!$U:$U,$H452)&lt;&gt;"Free Game",INDEX('Game Records'!$U:$U,$H452)&lt;&gt;"Disqualified — Free Game",INDEX('Game Records'!$K:$K,$H452)=""),"Final Earned; ","")&amp;IF(AND(LOWER(INDEX('Game Records'!$D:$D,$H452)&amp;"")="finalized",INDEX('Game Records'!$U:$U,$H452)&lt;&gt;"Subscription",INDEX('Game Records'!$U:$U,$H452)&lt;&gt;"Free Game",INDEX('Game Records'!$U:$U,$H452)&lt;&gt;"Disqualified — Free Game",OR(INDEX('Game Records'!$L:$L,$H452)="",LOWER(INDEX('Game Records'!$L:$L,$H452)&amp;"")="n/a")),"Disqualified Status; ",""))</x:f>
        <x:v/>
      </x:c>
      <x:c r="G452" s="331" t="str">
        <x:f>IF($H452="","",IFERROR(INDEX('Game Records'!$M:$M,$H452),""))</x:f>
        <x:v/>
      </x:c>
      <x:c r="H452" s="104" t="str">
        <x:f>IF($H451="","",IFERROR(MATCH(1,INDEX((ROW('Game Records'!$U$5:$U$504)&gt;$H451)*(('Game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3" ht="24" customHeight="1">
      <x:c r="A453" s="332" t="str">
        <x:f>IF($H453="","",ROWS($A$5:A453))</x:f>
        <x:v/>
      </x:c>
      <x:c r="B453" s="332" t="str">
        <x:f>IF($H453="","","G-"&amp;TEXT($A453,"0000"))</x:f>
        <x:v/>
      </x:c>
      <x:c r="C453" s="331" t="str">
        <x:f>IF($H453="","",IFERROR(INDEX('Game Records'!$A:$A,$H453),""))</x:f>
        <x:v/>
      </x:c>
      <x:c r="D453" s="331" t="str">
        <x:f>IF($H453="","",IFERROR(INDEX('Game Records'!$U:$U,$H453),""))</x:f>
        <x:v/>
      </x:c>
      <x:c r="E453" s="331" t="str">
        <x:f>IF($H453="","",IF($F453="","No Highlighted Fields","Highlighted Fields Present"))</x:f>
        <x:v/>
      </x:c>
      <x:c r="F453" s="331" t="str">
        <x:f>IF($H453="","",IF(INDEX('Game Records'!$B:$B,$H453)="","Start Date; ","")&amp;IF(INDEX('Game Records'!$C:$C,$H453)="","End Date; ","")&amp;IF(AND(INDEX('Game Records'!$U:$U,$H453)&lt;&gt;"Subscription",INDEX('Game Records'!$U:$U,$H453)&lt;&gt;"Free Game",INDEX('Game Records'!$U:$U,$H453)&lt;&gt;"Disqualified — Free Game",OR(INDEX('Game Records'!$D:$D,$H453)="",LOWER(INDEX('Game Records'!$D:$D,$H453)&amp;"")="n/a")),"Entry Mode; ","")&amp;IF(AND(INDEX('Game Records'!$U:$U,$H453)&lt;&gt;"Subscription",INDEX('Game Records'!$U:$U,$H453)&lt;&gt;"Free Game",INDEX('Game Records'!$U:$U,$H453)&lt;&gt;"Disqualified — Free Game",OR(INDEX('Game Records'!$E:$E,$H453)="",LOWER(INDEX('Game Records'!$E:$E,$H453)&amp;"")="n/a")),"Game Type; ","")&amp;IF(INDEX('Game Records'!$F:$F,$H453)="","Payment Type; ","")&amp;IF(AND(INDEX('Game Records'!$U:$U,$H453)&lt;&gt;"Subscription",INDEX('Game Records'!$U:$U,$H453)&lt;&gt;"Free Game",INDEX('Game Records'!$U:$U,$H453)&lt;&gt;"Disqualified — Free Game",INDEX('Game Records'!$G:$G,$H453)=""),"Gross Pot; ","")&amp;IF(AND(INDEX('Game Records'!$U:$U,$H453)&lt;&gt;"Free Game",INDEX('Game Records'!$U:$U,$H453)&lt;&gt;"Disqualified — Free Game",INDEX('Game Records'!$H:$H,$H453)=""),"Entry Fee; ","")&amp;IF(AND(INDEX('Game Records'!$U:$U,$H453)&lt;&gt;"Subscription",INDEX('Game Records'!$U:$U,$H453)&lt;&gt;"Free Game",INDEX('Game Records'!$U:$U,$H453)&lt;&gt;"Disqualified — Free Game",INDEX('Game Records'!$I:$I,$H453)=""),"Eligible Players; ","")&amp;IF(AND(INDEX('Game Records'!$U:$U,$H453)&lt;&gt;"Subscription",INDEX('Game Records'!$U:$U,$H453)&lt;&gt;"Free Game",INDEX('Game Records'!$U:$U,$H453)&lt;&gt;"Disqualified — Free Game",INDEX('Game Records'!$J:$J,$H453)=""),"Total Players; ","")&amp;IF(AND(LOWER(INDEX('Game Records'!$D:$D,$H453)&amp;"")="finalized",LOWER(INDEX('Game Records'!$L:$L,$H453)&amp;"")&lt;&gt;"yes",INDEX('Game Records'!$U:$U,$H453)&lt;&gt;"Subscription",INDEX('Game Records'!$U:$U,$H453)&lt;&gt;"Free Game",INDEX('Game Records'!$U:$U,$H453)&lt;&gt;"Disqualified — Free Game",INDEX('Game Records'!$K:$K,$H453)=""),"Final Earned; ","")&amp;IF(AND(LOWER(INDEX('Game Records'!$D:$D,$H453)&amp;"")="finalized",INDEX('Game Records'!$U:$U,$H453)&lt;&gt;"Subscription",INDEX('Game Records'!$U:$U,$H453)&lt;&gt;"Free Game",INDEX('Game Records'!$U:$U,$H453)&lt;&gt;"Disqualified — Free Game",OR(INDEX('Game Records'!$L:$L,$H453)="",LOWER(INDEX('Game Records'!$L:$L,$H453)&amp;"")="n/a")),"Disqualified Status; ",""))</x:f>
        <x:v/>
      </x:c>
      <x:c r="G453" s="331" t="str">
        <x:f>IF($H453="","",IFERROR(INDEX('Game Records'!$M:$M,$H453),""))</x:f>
        <x:v/>
      </x:c>
      <x:c r="H453" s="104" t="str">
        <x:f>IF($H452="","",IFERROR(MATCH(1,INDEX((ROW('Game Records'!$U$5:$U$504)&gt;$H452)*(('Game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4" ht="24" customHeight="1">
      <x:c r="A454" s="332" t="str">
        <x:f>IF($H454="","",ROWS($A$5:A454))</x:f>
        <x:v/>
      </x:c>
      <x:c r="B454" s="332" t="str">
        <x:f>IF($H454="","","G-"&amp;TEXT($A454,"0000"))</x:f>
        <x:v/>
      </x:c>
      <x:c r="C454" s="331" t="str">
        <x:f>IF($H454="","",IFERROR(INDEX('Game Records'!$A:$A,$H454),""))</x:f>
        <x:v/>
      </x:c>
      <x:c r="D454" s="331" t="str">
        <x:f>IF($H454="","",IFERROR(INDEX('Game Records'!$U:$U,$H454),""))</x:f>
        <x:v/>
      </x:c>
      <x:c r="E454" s="331" t="str">
        <x:f>IF($H454="","",IF($F454="","No Highlighted Fields","Highlighted Fields Present"))</x:f>
        <x:v/>
      </x:c>
      <x:c r="F454" s="331" t="str">
        <x:f>IF($H454="","",IF(INDEX('Game Records'!$B:$B,$H454)="","Start Date; ","")&amp;IF(INDEX('Game Records'!$C:$C,$H454)="","End Date; ","")&amp;IF(AND(INDEX('Game Records'!$U:$U,$H454)&lt;&gt;"Subscription",INDEX('Game Records'!$U:$U,$H454)&lt;&gt;"Free Game",INDEX('Game Records'!$U:$U,$H454)&lt;&gt;"Disqualified — Free Game",OR(INDEX('Game Records'!$D:$D,$H454)="",LOWER(INDEX('Game Records'!$D:$D,$H454)&amp;"")="n/a")),"Entry Mode; ","")&amp;IF(AND(INDEX('Game Records'!$U:$U,$H454)&lt;&gt;"Subscription",INDEX('Game Records'!$U:$U,$H454)&lt;&gt;"Free Game",INDEX('Game Records'!$U:$U,$H454)&lt;&gt;"Disqualified — Free Game",OR(INDEX('Game Records'!$E:$E,$H454)="",LOWER(INDEX('Game Records'!$E:$E,$H454)&amp;"")="n/a")),"Game Type; ","")&amp;IF(INDEX('Game Records'!$F:$F,$H454)="","Payment Type; ","")&amp;IF(AND(INDEX('Game Records'!$U:$U,$H454)&lt;&gt;"Subscription",INDEX('Game Records'!$U:$U,$H454)&lt;&gt;"Free Game",INDEX('Game Records'!$U:$U,$H454)&lt;&gt;"Disqualified — Free Game",INDEX('Game Records'!$G:$G,$H454)=""),"Gross Pot; ","")&amp;IF(AND(INDEX('Game Records'!$U:$U,$H454)&lt;&gt;"Free Game",INDEX('Game Records'!$U:$U,$H454)&lt;&gt;"Disqualified — Free Game",INDEX('Game Records'!$H:$H,$H454)=""),"Entry Fee; ","")&amp;IF(AND(INDEX('Game Records'!$U:$U,$H454)&lt;&gt;"Subscription",INDEX('Game Records'!$U:$U,$H454)&lt;&gt;"Free Game",INDEX('Game Records'!$U:$U,$H454)&lt;&gt;"Disqualified — Free Game",INDEX('Game Records'!$I:$I,$H454)=""),"Eligible Players; ","")&amp;IF(AND(INDEX('Game Records'!$U:$U,$H454)&lt;&gt;"Subscription",INDEX('Game Records'!$U:$U,$H454)&lt;&gt;"Free Game",INDEX('Game Records'!$U:$U,$H454)&lt;&gt;"Disqualified — Free Game",INDEX('Game Records'!$J:$J,$H454)=""),"Total Players; ","")&amp;IF(AND(LOWER(INDEX('Game Records'!$D:$D,$H454)&amp;"")="finalized",LOWER(INDEX('Game Records'!$L:$L,$H454)&amp;"")&lt;&gt;"yes",INDEX('Game Records'!$U:$U,$H454)&lt;&gt;"Subscription",INDEX('Game Records'!$U:$U,$H454)&lt;&gt;"Free Game",INDEX('Game Records'!$U:$U,$H454)&lt;&gt;"Disqualified — Free Game",INDEX('Game Records'!$K:$K,$H454)=""),"Final Earned; ","")&amp;IF(AND(LOWER(INDEX('Game Records'!$D:$D,$H454)&amp;"")="finalized",INDEX('Game Records'!$U:$U,$H454)&lt;&gt;"Subscription",INDEX('Game Records'!$U:$U,$H454)&lt;&gt;"Free Game",INDEX('Game Records'!$U:$U,$H454)&lt;&gt;"Disqualified — Free Game",OR(INDEX('Game Records'!$L:$L,$H454)="",LOWER(INDEX('Game Records'!$L:$L,$H454)&amp;"")="n/a")),"Disqualified Status; ",""))</x:f>
        <x:v/>
      </x:c>
      <x:c r="G454" s="331" t="str">
        <x:f>IF($H454="","",IFERROR(INDEX('Game Records'!$M:$M,$H454),""))</x:f>
        <x:v/>
      </x:c>
      <x:c r="H454" s="104" t="str">
        <x:f>IF($H453="","",IFERROR(MATCH(1,INDEX((ROW('Game Records'!$U$5:$U$504)&gt;$H453)*(('Game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5" ht="24" customHeight="1">
      <x:c r="A455" s="332" t="str">
        <x:f>IF($H455="","",ROWS($A$5:A455))</x:f>
        <x:v/>
      </x:c>
      <x:c r="B455" s="332" t="str">
        <x:f>IF($H455="","","G-"&amp;TEXT($A455,"0000"))</x:f>
        <x:v/>
      </x:c>
      <x:c r="C455" s="331" t="str">
        <x:f>IF($H455="","",IFERROR(INDEX('Game Records'!$A:$A,$H455),""))</x:f>
        <x:v/>
      </x:c>
      <x:c r="D455" s="331" t="str">
        <x:f>IF($H455="","",IFERROR(INDEX('Game Records'!$U:$U,$H455),""))</x:f>
        <x:v/>
      </x:c>
      <x:c r="E455" s="331" t="str">
        <x:f>IF($H455="","",IF($F455="","No Highlighted Fields","Highlighted Fields Present"))</x:f>
        <x:v/>
      </x:c>
      <x:c r="F455" s="331" t="str">
        <x:f>IF($H455="","",IF(INDEX('Game Records'!$B:$B,$H455)="","Start Date; ","")&amp;IF(INDEX('Game Records'!$C:$C,$H455)="","End Date; ","")&amp;IF(AND(INDEX('Game Records'!$U:$U,$H455)&lt;&gt;"Subscription",INDEX('Game Records'!$U:$U,$H455)&lt;&gt;"Free Game",INDEX('Game Records'!$U:$U,$H455)&lt;&gt;"Disqualified — Free Game",OR(INDEX('Game Records'!$D:$D,$H455)="",LOWER(INDEX('Game Records'!$D:$D,$H455)&amp;"")="n/a")),"Entry Mode; ","")&amp;IF(AND(INDEX('Game Records'!$U:$U,$H455)&lt;&gt;"Subscription",INDEX('Game Records'!$U:$U,$H455)&lt;&gt;"Free Game",INDEX('Game Records'!$U:$U,$H455)&lt;&gt;"Disqualified — Free Game",OR(INDEX('Game Records'!$E:$E,$H455)="",LOWER(INDEX('Game Records'!$E:$E,$H455)&amp;"")="n/a")),"Game Type; ","")&amp;IF(INDEX('Game Records'!$F:$F,$H455)="","Payment Type; ","")&amp;IF(AND(INDEX('Game Records'!$U:$U,$H455)&lt;&gt;"Subscription",INDEX('Game Records'!$U:$U,$H455)&lt;&gt;"Free Game",INDEX('Game Records'!$U:$U,$H455)&lt;&gt;"Disqualified — Free Game",INDEX('Game Records'!$G:$G,$H455)=""),"Gross Pot; ","")&amp;IF(AND(INDEX('Game Records'!$U:$U,$H455)&lt;&gt;"Free Game",INDEX('Game Records'!$U:$U,$H455)&lt;&gt;"Disqualified — Free Game",INDEX('Game Records'!$H:$H,$H455)=""),"Entry Fee; ","")&amp;IF(AND(INDEX('Game Records'!$U:$U,$H455)&lt;&gt;"Subscription",INDEX('Game Records'!$U:$U,$H455)&lt;&gt;"Free Game",INDEX('Game Records'!$U:$U,$H455)&lt;&gt;"Disqualified — Free Game",INDEX('Game Records'!$I:$I,$H455)=""),"Eligible Players; ","")&amp;IF(AND(INDEX('Game Records'!$U:$U,$H455)&lt;&gt;"Subscription",INDEX('Game Records'!$U:$U,$H455)&lt;&gt;"Free Game",INDEX('Game Records'!$U:$U,$H455)&lt;&gt;"Disqualified — Free Game",INDEX('Game Records'!$J:$J,$H455)=""),"Total Players; ","")&amp;IF(AND(LOWER(INDEX('Game Records'!$D:$D,$H455)&amp;"")="finalized",LOWER(INDEX('Game Records'!$L:$L,$H455)&amp;"")&lt;&gt;"yes",INDEX('Game Records'!$U:$U,$H455)&lt;&gt;"Subscription",INDEX('Game Records'!$U:$U,$H455)&lt;&gt;"Free Game",INDEX('Game Records'!$U:$U,$H455)&lt;&gt;"Disqualified — Free Game",INDEX('Game Records'!$K:$K,$H455)=""),"Final Earned; ","")&amp;IF(AND(LOWER(INDEX('Game Records'!$D:$D,$H455)&amp;"")="finalized",INDEX('Game Records'!$U:$U,$H455)&lt;&gt;"Subscription",INDEX('Game Records'!$U:$U,$H455)&lt;&gt;"Free Game",INDEX('Game Records'!$U:$U,$H455)&lt;&gt;"Disqualified — Free Game",OR(INDEX('Game Records'!$L:$L,$H455)="",LOWER(INDEX('Game Records'!$L:$L,$H455)&amp;"")="n/a")),"Disqualified Status; ",""))</x:f>
        <x:v/>
      </x:c>
      <x:c r="G455" s="331" t="str">
        <x:f>IF($H455="","",IFERROR(INDEX('Game Records'!$M:$M,$H455),""))</x:f>
        <x:v/>
      </x:c>
      <x:c r="H455" s="104" t="str">
        <x:f>IF($H454="","",IFERROR(MATCH(1,INDEX((ROW('Game Records'!$U$5:$U$504)&gt;$H454)*(('Game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6" ht="24" customHeight="1">
      <x:c r="A456" s="332" t="str">
        <x:f>IF($H456="","",ROWS($A$5:A456))</x:f>
        <x:v/>
      </x:c>
      <x:c r="B456" s="332" t="str">
        <x:f>IF($H456="","","G-"&amp;TEXT($A456,"0000"))</x:f>
        <x:v/>
      </x:c>
      <x:c r="C456" s="331" t="str">
        <x:f>IF($H456="","",IFERROR(INDEX('Game Records'!$A:$A,$H456),""))</x:f>
        <x:v/>
      </x:c>
      <x:c r="D456" s="331" t="str">
        <x:f>IF($H456="","",IFERROR(INDEX('Game Records'!$U:$U,$H456),""))</x:f>
        <x:v/>
      </x:c>
      <x:c r="E456" s="331" t="str">
        <x:f>IF($H456="","",IF($F456="","No Highlighted Fields","Highlighted Fields Present"))</x:f>
        <x:v/>
      </x:c>
      <x:c r="F456" s="331" t="str">
        <x:f>IF($H456="","",IF(INDEX('Game Records'!$B:$B,$H456)="","Start Date; ","")&amp;IF(INDEX('Game Records'!$C:$C,$H456)="","End Date; ","")&amp;IF(AND(INDEX('Game Records'!$U:$U,$H456)&lt;&gt;"Subscription",INDEX('Game Records'!$U:$U,$H456)&lt;&gt;"Free Game",INDEX('Game Records'!$U:$U,$H456)&lt;&gt;"Disqualified — Free Game",OR(INDEX('Game Records'!$D:$D,$H456)="",LOWER(INDEX('Game Records'!$D:$D,$H456)&amp;"")="n/a")),"Entry Mode; ","")&amp;IF(AND(INDEX('Game Records'!$U:$U,$H456)&lt;&gt;"Subscription",INDEX('Game Records'!$U:$U,$H456)&lt;&gt;"Free Game",INDEX('Game Records'!$U:$U,$H456)&lt;&gt;"Disqualified — Free Game",OR(INDEX('Game Records'!$E:$E,$H456)="",LOWER(INDEX('Game Records'!$E:$E,$H456)&amp;"")="n/a")),"Game Type; ","")&amp;IF(INDEX('Game Records'!$F:$F,$H456)="","Payment Type; ","")&amp;IF(AND(INDEX('Game Records'!$U:$U,$H456)&lt;&gt;"Subscription",INDEX('Game Records'!$U:$U,$H456)&lt;&gt;"Free Game",INDEX('Game Records'!$U:$U,$H456)&lt;&gt;"Disqualified — Free Game",INDEX('Game Records'!$G:$G,$H456)=""),"Gross Pot; ","")&amp;IF(AND(INDEX('Game Records'!$U:$U,$H456)&lt;&gt;"Free Game",INDEX('Game Records'!$U:$U,$H456)&lt;&gt;"Disqualified — Free Game",INDEX('Game Records'!$H:$H,$H456)=""),"Entry Fee; ","")&amp;IF(AND(INDEX('Game Records'!$U:$U,$H456)&lt;&gt;"Subscription",INDEX('Game Records'!$U:$U,$H456)&lt;&gt;"Free Game",INDEX('Game Records'!$U:$U,$H456)&lt;&gt;"Disqualified — Free Game",INDEX('Game Records'!$I:$I,$H456)=""),"Eligible Players; ","")&amp;IF(AND(INDEX('Game Records'!$U:$U,$H456)&lt;&gt;"Subscription",INDEX('Game Records'!$U:$U,$H456)&lt;&gt;"Free Game",INDEX('Game Records'!$U:$U,$H456)&lt;&gt;"Disqualified — Free Game",INDEX('Game Records'!$J:$J,$H456)=""),"Total Players; ","")&amp;IF(AND(LOWER(INDEX('Game Records'!$D:$D,$H456)&amp;"")="finalized",LOWER(INDEX('Game Records'!$L:$L,$H456)&amp;"")&lt;&gt;"yes",INDEX('Game Records'!$U:$U,$H456)&lt;&gt;"Subscription",INDEX('Game Records'!$U:$U,$H456)&lt;&gt;"Free Game",INDEX('Game Records'!$U:$U,$H456)&lt;&gt;"Disqualified — Free Game",INDEX('Game Records'!$K:$K,$H456)=""),"Final Earned; ","")&amp;IF(AND(LOWER(INDEX('Game Records'!$D:$D,$H456)&amp;"")="finalized",INDEX('Game Records'!$U:$U,$H456)&lt;&gt;"Subscription",INDEX('Game Records'!$U:$U,$H456)&lt;&gt;"Free Game",INDEX('Game Records'!$U:$U,$H456)&lt;&gt;"Disqualified — Free Game",OR(INDEX('Game Records'!$L:$L,$H456)="",LOWER(INDEX('Game Records'!$L:$L,$H456)&amp;"")="n/a")),"Disqualified Status; ",""))</x:f>
        <x:v/>
      </x:c>
      <x:c r="G456" s="331" t="str">
        <x:f>IF($H456="","",IFERROR(INDEX('Game Records'!$M:$M,$H456),""))</x:f>
        <x:v/>
      </x:c>
      <x:c r="H456" s="104" t="str">
        <x:f>IF($H455="","",IFERROR(MATCH(1,INDEX((ROW('Game Records'!$U$5:$U$504)&gt;$H455)*(('Game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7" ht="24" customHeight="1">
      <x:c r="A457" s="332" t="str">
        <x:f>IF($H457="","",ROWS($A$5:A457))</x:f>
        <x:v/>
      </x:c>
      <x:c r="B457" s="332" t="str">
        <x:f>IF($H457="","","G-"&amp;TEXT($A457,"0000"))</x:f>
        <x:v/>
      </x:c>
      <x:c r="C457" s="331" t="str">
        <x:f>IF($H457="","",IFERROR(INDEX('Game Records'!$A:$A,$H457),""))</x:f>
        <x:v/>
      </x:c>
      <x:c r="D457" s="331" t="str">
        <x:f>IF($H457="","",IFERROR(INDEX('Game Records'!$U:$U,$H457),""))</x:f>
        <x:v/>
      </x:c>
      <x:c r="E457" s="331" t="str">
        <x:f>IF($H457="","",IF($F457="","No Highlighted Fields","Highlighted Fields Present"))</x:f>
        <x:v/>
      </x:c>
      <x:c r="F457" s="331" t="str">
        <x:f>IF($H457="","",IF(INDEX('Game Records'!$B:$B,$H457)="","Start Date; ","")&amp;IF(INDEX('Game Records'!$C:$C,$H457)="","End Date; ","")&amp;IF(AND(INDEX('Game Records'!$U:$U,$H457)&lt;&gt;"Subscription",INDEX('Game Records'!$U:$U,$H457)&lt;&gt;"Free Game",INDEX('Game Records'!$U:$U,$H457)&lt;&gt;"Disqualified — Free Game",OR(INDEX('Game Records'!$D:$D,$H457)="",LOWER(INDEX('Game Records'!$D:$D,$H457)&amp;"")="n/a")),"Entry Mode; ","")&amp;IF(AND(INDEX('Game Records'!$U:$U,$H457)&lt;&gt;"Subscription",INDEX('Game Records'!$U:$U,$H457)&lt;&gt;"Free Game",INDEX('Game Records'!$U:$U,$H457)&lt;&gt;"Disqualified — Free Game",OR(INDEX('Game Records'!$E:$E,$H457)="",LOWER(INDEX('Game Records'!$E:$E,$H457)&amp;"")="n/a")),"Game Type; ","")&amp;IF(INDEX('Game Records'!$F:$F,$H457)="","Payment Type; ","")&amp;IF(AND(INDEX('Game Records'!$U:$U,$H457)&lt;&gt;"Subscription",INDEX('Game Records'!$U:$U,$H457)&lt;&gt;"Free Game",INDEX('Game Records'!$U:$U,$H457)&lt;&gt;"Disqualified — Free Game",INDEX('Game Records'!$G:$G,$H457)=""),"Gross Pot; ","")&amp;IF(AND(INDEX('Game Records'!$U:$U,$H457)&lt;&gt;"Free Game",INDEX('Game Records'!$U:$U,$H457)&lt;&gt;"Disqualified — Free Game",INDEX('Game Records'!$H:$H,$H457)=""),"Entry Fee; ","")&amp;IF(AND(INDEX('Game Records'!$U:$U,$H457)&lt;&gt;"Subscription",INDEX('Game Records'!$U:$U,$H457)&lt;&gt;"Free Game",INDEX('Game Records'!$U:$U,$H457)&lt;&gt;"Disqualified — Free Game",INDEX('Game Records'!$I:$I,$H457)=""),"Eligible Players; ","")&amp;IF(AND(INDEX('Game Records'!$U:$U,$H457)&lt;&gt;"Subscription",INDEX('Game Records'!$U:$U,$H457)&lt;&gt;"Free Game",INDEX('Game Records'!$U:$U,$H457)&lt;&gt;"Disqualified — Free Game",INDEX('Game Records'!$J:$J,$H457)=""),"Total Players; ","")&amp;IF(AND(LOWER(INDEX('Game Records'!$D:$D,$H457)&amp;"")="finalized",LOWER(INDEX('Game Records'!$L:$L,$H457)&amp;"")&lt;&gt;"yes",INDEX('Game Records'!$U:$U,$H457)&lt;&gt;"Subscription",INDEX('Game Records'!$U:$U,$H457)&lt;&gt;"Free Game",INDEX('Game Records'!$U:$U,$H457)&lt;&gt;"Disqualified — Free Game",INDEX('Game Records'!$K:$K,$H457)=""),"Final Earned; ","")&amp;IF(AND(LOWER(INDEX('Game Records'!$D:$D,$H457)&amp;"")="finalized",INDEX('Game Records'!$U:$U,$H457)&lt;&gt;"Subscription",INDEX('Game Records'!$U:$U,$H457)&lt;&gt;"Free Game",INDEX('Game Records'!$U:$U,$H457)&lt;&gt;"Disqualified — Free Game",OR(INDEX('Game Records'!$L:$L,$H457)="",LOWER(INDEX('Game Records'!$L:$L,$H457)&amp;"")="n/a")),"Disqualified Status; ",""))</x:f>
        <x:v/>
      </x:c>
      <x:c r="G457" s="331" t="str">
        <x:f>IF($H457="","",IFERROR(INDEX('Game Records'!$M:$M,$H457),""))</x:f>
        <x:v/>
      </x:c>
      <x:c r="H457" s="104" t="str">
        <x:f>IF($H456="","",IFERROR(MATCH(1,INDEX((ROW('Game Records'!$U$5:$U$504)&gt;$H456)*(('Game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8" ht="24" customHeight="1">
      <x:c r="A458" s="332" t="str">
        <x:f>IF($H458="","",ROWS($A$5:A458))</x:f>
        <x:v/>
      </x:c>
      <x:c r="B458" s="332" t="str">
        <x:f>IF($H458="","","G-"&amp;TEXT($A458,"0000"))</x:f>
        <x:v/>
      </x:c>
      <x:c r="C458" s="331" t="str">
        <x:f>IF($H458="","",IFERROR(INDEX('Game Records'!$A:$A,$H458),""))</x:f>
        <x:v/>
      </x:c>
      <x:c r="D458" s="331" t="str">
        <x:f>IF($H458="","",IFERROR(INDEX('Game Records'!$U:$U,$H458),""))</x:f>
        <x:v/>
      </x:c>
      <x:c r="E458" s="331" t="str">
        <x:f>IF($H458="","",IF($F458="","No Highlighted Fields","Highlighted Fields Present"))</x:f>
        <x:v/>
      </x:c>
      <x:c r="F458" s="331" t="str">
        <x:f>IF($H458="","",IF(INDEX('Game Records'!$B:$B,$H458)="","Start Date; ","")&amp;IF(INDEX('Game Records'!$C:$C,$H458)="","End Date; ","")&amp;IF(AND(INDEX('Game Records'!$U:$U,$H458)&lt;&gt;"Subscription",INDEX('Game Records'!$U:$U,$H458)&lt;&gt;"Free Game",INDEX('Game Records'!$U:$U,$H458)&lt;&gt;"Disqualified — Free Game",OR(INDEX('Game Records'!$D:$D,$H458)="",LOWER(INDEX('Game Records'!$D:$D,$H458)&amp;"")="n/a")),"Entry Mode; ","")&amp;IF(AND(INDEX('Game Records'!$U:$U,$H458)&lt;&gt;"Subscription",INDEX('Game Records'!$U:$U,$H458)&lt;&gt;"Free Game",INDEX('Game Records'!$U:$U,$H458)&lt;&gt;"Disqualified — Free Game",OR(INDEX('Game Records'!$E:$E,$H458)="",LOWER(INDEX('Game Records'!$E:$E,$H458)&amp;"")="n/a")),"Game Type; ","")&amp;IF(INDEX('Game Records'!$F:$F,$H458)="","Payment Type; ","")&amp;IF(AND(INDEX('Game Records'!$U:$U,$H458)&lt;&gt;"Subscription",INDEX('Game Records'!$U:$U,$H458)&lt;&gt;"Free Game",INDEX('Game Records'!$U:$U,$H458)&lt;&gt;"Disqualified — Free Game",INDEX('Game Records'!$G:$G,$H458)=""),"Gross Pot; ","")&amp;IF(AND(INDEX('Game Records'!$U:$U,$H458)&lt;&gt;"Free Game",INDEX('Game Records'!$U:$U,$H458)&lt;&gt;"Disqualified — Free Game",INDEX('Game Records'!$H:$H,$H458)=""),"Entry Fee; ","")&amp;IF(AND(INDEX('Game Records'!$U:$U,$H458)&lt;&gt;"Subscription",INDEX('Game Records'!$U:$U,$H458)&lt;&gt;"Free Game",INDEX('Game Records'!$U:$U,$H458)&lt;&gt;"Disqualified — Free Game",INDEX('Game Records'!$I:$I,$H458)=""),"Eligible Players; ","")&amp;IF(AND(INDEX('Game Records'!$U:$U,$H458)&lt;&gt;"Subscription",INDEX('Game Records'!$U:$U,$H458)&lt;&gt;"Free Game",INDEX('Game Records'!$U:$U,$H458)&lt;&gt;"Disqualified — Free Game",INDEX('Game Records'!$J:$J,$H458)=""),"Total Players; ","")&amp;IF(AND(LOWER(INDEX('Game Records'!$D:$D,$H458)&amp;"")="finalized",LOWER(INDEX('Game Records'!$L:$L,$H458)&amp;"")&lt;&gt;"yes",INDEX('Game Records'!$U:$U,$H458)&lt;&gt;"Subscription",INDEX('Game Records'!$U:$U,$H458)&lt;&gt;"Free Game",INDEX('Game Records'!$U:$U,$H458)&lt;&gt;"Disqualified — Free Game",INDEX('Game Records'!$K:$K,$H458)=""),"Final Earned; ","")&amp;IF(AND(LOWER(INDEX('Game Records'!$D:$D,$H458)&amp;"")="finalized",INDEX('Game Records'!$U:$U,$H458)&lt;&gt;"Subscription",INDEX('Game Records'!$U:$U,$H458)&lt;&gt;"Free Game",INDEX('Game Records'!$U:$U,$H458)&lt;&gt;"Disqualified — Free Game",OR(INDEX('Game Records'!$L:$L,$H458)="",LOWER(INDEX('Game Records'!$L:$L,$H458)&amp;"")="n/a")),"Disqualified Status; ",""))</x:f>
        <x:v/>
      </x:c>
      <x:c r="G458" s="331" t="str">
        <x:f>IF($H458="","",IFERROR(INDEX('Game Records'!$M:$M,$H458),""))</x:f>
        <x:v/>
      </x:c>
      <x:c r="H458" s="104" t="str">
        <x:f>IF($H457="","",IFERROR(MATCH(1,INDEX((ROW('Game Records'!$U$5:$U$504)&gt;$H457)*(('Game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59" ht="24" customHeight="1">
      <x:c r="A459" s="332" t="str">
        <x:f>IF($H459="","",ROWS($A$5:A459))</x:f>
        <x:v/>
      </x:c>
      <x:c r="B459" s="332" t="str">
        <x:f>IF($H459="","","G-"&amp;TEXT($A459,"0000"))</x:f>
        <x:v/>
      </x:c>
      <x:c r="C459" s="331" t="str">
        <x:f>IF($H459="","",IFERROR(INDEX('Game Records'!$A:$A,$H459),""))</x:f>
        <x:v/>
      </x:c>
      <x:c r="D459" s="331" t="str">
        <x:f>IF($H459="","",IFERROR(INDEX('Game Records'!$U:$U,$H459),""))</x:f>
        <x:v/>
      </x:c>
      <x:c r="E459" s="331" t="str">
        <x:f>IF($H459="","",IF($F459="","No Highlighted Fields","Highlighted Fields Present"))</x:f>
        <x:v/>
      </x:c>
      <x:c r="F459" s="331" t="str">
        <x:f>IF($H459="","",IF(INDEX('Game Records'!$B:$B,$H459)="","Start Date; ","")&amp;IF(INDEX('Game Records'!$C:$C,$H459)="","End Date; ","")&amp;IF(AND(INDEX('Game Records'!$U:$U,$H459)&lt;&gt;"Subscription",INDEX('Game Records'!$U:$U,$H459)&lt;&gt;"Free Game",INDEX('Game Records'!$U:$U,$H459)&lt;&gt;"Disqualified — Free Game",OR(INDEX('Game Records'!$D:$D,$H459)="",LOWER(INDEX('Game Records'!$D:$D,$H459)&amp;"")="n/a")),"Entry Mode; ","")&amp;IF(AND(INDEX('Game Records'!$U:$U,$H459)&lt;&gt;"Subscription",INDEX('Game Records'!$U:$U,$H459)&lt;&gt;"Free Game",INDEX('Game Records'!$U:$U,$H459)&lt;&gt;"Disqualified — Free Game",OR(INDEX('Game Records'!$E:$E,$H459)="",LOWER(INDEX('Game Records'!$E:$E,$H459)&amp;"")="n/a")),"Game Type; ","")&amp;IF(INDEX('Game Records'!$F:$F,$H459)="","Payment Type; ","")&amp;IF(AND(INDEX('Game Records'!$U:$U,$H459)&lt;&gt;"Subscription",INDEX('Game Records'!$U:$U,$H459)&lt;&gt;"Free Game",INDEX('Game Records'!$U:$U,$H459)&lt;&gt;"Disqualified — Free Game",INDEX('Game Records'!$G:$G,$H459)=""),"Gross Pot; ","")&amp;IF(AND(INDEX('Game Records'!$U:$U,$H459)&lt;&gt;"Free Game",INDEX('Game Records'!$U:$U,$H459)&lt;&gt;"Disqualified — Free Game",INDEX('Game Records'!$H:$H,$H459)=""),"Entry Fee; ","")&amp;IF(AND(INDEX('Game Records'!$U:$U,$H459)&lt;&gt;"Subscription",INDEX('Game Records'!$U:$U,$H459)&lt;&gt;"Free Game",INDEX('Game Records'!$U:$U,$H459)&lt;&gt;"Disqualified — Free Game",INDEX('Game Records'!$I:$I,$H459)=""),"Eligible Players; ","")&amp;IF(AND(INDEX('Game Records'!$U:$U,$H459)&lt;&gt;"Subscription",INDEX('Game Records'!$U:$U,$H459)&lt;&gt;"Free Game",INDEX('Game Records'!$U:$U,$H459)&lt;&gt;"Disqualified — Free Game",INDEX('Game Records'!$J:$J,$H459)=""),"Total Players; ","")&amp;IF(AND(LOWER(INDEX('Game Records'!$D:$D,$H459)&amp;"")="finalized",LOWER(INDEX('Game Records'!$L:$L,$H459)&amp;"")&lt;&gt;"yes",INDEX('Game Records'!$U:$U,$H459)&lt;&gt;"Subscription",INDEX('Game Records'!$U:$U,$H459)&lt;&gt;"Free Game",INDEX('Game Records'!$U:$U,$H459)&lt;&gt;"Disqualified — Free Game",INDEX('Game Records'!$K:$K,$H459)=""),"Final Earned; ","")&amp;IF(AND(LOWER(INDEX('Game Records'!$D:$D,$H459)&amp;"")="finalized",INDEX('Game Records'!$U:$U,$H459)&lt;&gt;"Subscription",INDEX('Game Records'!$U:$U,$H459)&lt;&gt;"Free Game",INDEX('Game Records'!$U:$U,$H459)&lt;&gt;"Disqualified — Free Game",OR(INDEX('Game Records'!$L:$L,$H459)="",LOWER(INDEX('Game Records'!$L:$L,$H459)&amp;"")="n/a")),"Disqualified Status; ",""))</x:f>
        <x:v/>
      </x:c>
      <x:c r="G459" s="331" t="str">
        <x:f>IF($H459="","",IFERROR(INDEX('Game Records'!$M:$M,$H459),""))</x:f>
        <x:v/>
      </x:c>
      <x:c r="H459" s="104" t="str">
        <x:f>IF($H458="","",IFERROR(MATCH(1,INDEX((ROW('Game Records'!$U$5:$U$504)&gt;$H458)*(('Game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0" ht="24" customHeight="1">
      <x:c r="A460" s="332" t="str">
        <x:f>IF($H460="","",ROWS($A$5:A460))</x:f>
        <x:v/>
      </x:c>
      <x:c r="B460" s="332" t="str">
        <x:f>IF($H460="","","G-"&amp;TEXT($A460,"0000"))</x:f>
        <x:v/>
      </x:c>
      <x:c r="C460" s="331" t="str">
        <x:f>IF($H460="","",IFERROR(INDEX('Game Records'!$A:$A,$H460),""))</x:f>
        <x:v/>
      </x:c>
      <x:c r="D460" s="331" t="str">
        <x:f>IF($H460="","",IFERROR(INDEX('Game Records'!$U:$U,$H460),""))</x:f>
        <x:v/>
      </x:c>
      <x:c r="E460" s="331" t="str">
        <x:f>IF($H460="","",IF($F460="","No Highlighted Fields","Highlighted Fields Present"))</x:f>
        <x:v/>
      </x:c>
      <x:c r="F460" s="331" t="str">
        <x:f>IF($H460="","",IF(INDEX('Game Records'!$B:$B,$H460)="","Start Date; ","")&amp;IF(INDEX('Game Records'!$C:$C,$H460)="","End Date; ","")&amp;IF(AND(INDEX('Game Records'!$U:$U,$H460)&lt;&gt;"Subscription",INDEX('Game Records'!$U:$U,$H460)&lt;&gt;"Free Game",INDEX('Game Records'!$U:$U,$H460)&lt;&gt;"Disqualified — Free Game",OR(INDEX('Game Records'!$D:$D,$H460)="",LOWER(INDEX('Game Records'!$D:$D,$H460)&amp;"")="n/a")),"Entry Mode; ","")&amp;IF(AND(INDEX('Game Records'!$U:$U,$H460)&lt;&gt;"Subscription",INDEX('Game Records'!$U:$U,$H460)&lt;&gt;"Free Game",INDEX('Game Records'!$U:$U,$H460)&lt;&gt;"Disqualified — Free Game",OR(INDEX('Game Records'!$E:$E,$H460)="",LOWER(INDEX('Game Records'!$E:$E,$H460)&amp;"")="n/a")),"Game Type; ","")&amp;IF(INDEX('Game Records'!$F:$F,$H460)="","Payment Type; ","")&amp;IF(AND(INDEX('Game Records'!$U:$U,$H460)&lt;&gt;"Subscription",INDEX('Game Records'!$U:$U,$H460)&lt;&gt;"Free Game",INDEX('Game Records'!$U:$U,$H460)&lt;&gt;"Disqualified — Free Game",INDEX('Game Records'!$G:$G,$H460)=""),"Gross Pot; ","")&amp;IF(AND(INDEX('Game Records'!$U:$U,$H460)&lt;&gt;"Free Game",INDEX('Game Records'!$U:$U,$H460)&lt;&gt;"Disqualified — Free Game",INDEX('Game Records'!$H:$H,$H460)=""),"Entry Fee; ","")&amp;IF(AND(INDEX('Game Records'!$U:$U,$H460)&lt;&gt;"Subscription",INDEX('Game Records'!$U:$U,$H460)&lt;&gt;"Free Game",INDEX('Game Records'!$U:$U,$H460)&lt;&gt;"Disqualified — Free Game",INDEX('Game Records'!$I:$I,$H460)=""),"Eligible Players; ","")&amp;IF(AND(INDEX('Game Records'!$U:$U,$H460)&lt;&gt;"Subscription",INDEX('Game Records'!$U:$U,$H460)&lt;&gt;"Free Game",INDEX('Game Records'!$U:$U,$H460)&lt;&gt;"Disqualified — Free Game",INDEX('Game Records'!$J:$J,$H460)=""),"Total Players; ","")&amp;IF(AND(LOWER(INDEX('Game Records'!$D:$D,$H460)&amp;"")="finalized",LOWER(INDEX('Game Records'!$L:$L,$H460)&amp;"")&lt;&gt;"yes",INDEX('Game Records'!$U:$U,$H460)&lt;&gt;"Subscription",INDEX('Game Records'!$U:$U,$H460)&lt;&gt;"Free Game",INDEX('Game Records'!$U:$U,$H460)&lt;&gt;"Disqualified — Free Game",INDEX('Game Records'!$K:$K,$H460)=""),"Final Earned; ","")&amp;IF(AND(LOWER(INDEX('Game Records'!$D:$D,$H460)&amp;"")="finalized",INDEX('Game Records'!$U:$U,$H460)&lt;&gt;"Subscription",INDEX('Game Records'!$U:$U,$H460)&lt;&gt;"Free Game",INDEX('Game Records'!$U:$U,$H460)&lt;&gt;"Disqualified — Free Game",OR(INDEX('Game Records'!$L:$L,$H460)="",LOWER(INDEX('Game Records'!$L:$L,$H460)&amp;"")="n/a")),"Disqualified Status; ",""))</x:f>
        <x:v/>
      </x:c>
      <x:c r="G460" s="331" t="str">
        <x:f>IF($H460="","",IFERROR(INDEX('Game Records'!$M:$M,$H460),""))</x:f>
        <x:v/>
      </x:c>
      <x:c r="H460" s="104" t="str">
        <x:f>IF($H459="","",IFERROR(MATCH(1,INDEX((ROW('Game Records'!$U$5:$U$504)&gt;$H459)*(('Game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1" ht="24" customHeight="1">
      <x:c r="A461" s="332" t="str">
        <x:f>IF($H461="","",ROWS($A$5:A461))</x:f>
        <x:v/>
      </x:c>
      <x:c r="B461" s="332" t="str">
        <x:f>IF($H461="","","G-"&amp;TEXT($A461,"0000"))</x:f>
        <x:v/>
      </x:c>
      <x:c r="C461" s="331" t="str">
        <x:f>IF($H461="","",IFERROR(INDEX('Game Records'!$A:$A,$H461),""))</x:f>
        <x:v/>
      </x:c>
      <x:c r="D461" s="331" t="str">
        <x:f>IF($H461="","",IFERROR(INDEX('Game Records'!$U:$U,$H461),""))</x:f>
        <x:v/>
      </x:c>
      <x:c r="E461" s="331" t="str">
        <x:f>IF($H461="","",IF($F461="","No Highlighted Fields","Highlighted Fields Present"))</x:f>
        <x:v/>
      </x:c>
      <x:c r="F461" s="331" t="str">
        <x:f>IF($H461="","",IF(INDEX('Game Records'!$B:$B,$H461)="","Start Date; ","")&amp;IF(INDEX('Game Records'!$C:$C,$H461)="","End Date; ","")&amp;IF(AND(INDEX('Game Records'!$U:$U,$H461)&lt;&gt;"Subscription",INDEX('Game Records'!$U:$U,$H461)&lt;&gt;"Free Game",INDEX('Game Records'!$U:$U,$H461)&lt;&gt;"Disqualified — Free Game",OR(INDEX('Game Records'!$D:$D,$H461)="",LOWER(INDEX('Game Records'!$D:$D,$H461)&amp;"")="n/a")),"Entry Mode; ","")&amp;IF(AND(INDEX('Game Records'!$U:$U,$H461)&lt;&gt;"Subscription",INDEX('Game Records'!$U:$U,$H461)&lt;&gt;"Free Game",INDEX('Game Records'!$U:$U,$H461)&lt;&gt;"Disqualified — Free Game",OR(INDEX('Game Records'!$E:$E,$H461)="",LOWER(INDEX('Game Records'!$E:$E,$H461)&amp;"")="n/a")),"Game Type; ","")&amp;IF(INDEX('Game Records'!$F:$F,$H461)="","Payment Type; ","")&amp;IF(AND(INDEX('Game Records'!$U:$U,$H461)&lt;&gt;"Subscription",INDEX('Game Records'!$U:$U,$H461)&lt;&gt;"Free Game",INDEX('Game Records'!$U:$U,$H461)&lt;&gt;"Disqualified — Free Game",INDEX('Game Records'!$G:$G,$H461)=""),"Gross Pot; ","")&amp;IF(AND(INDEX('Game Records'!$U:$U,$H461)&lt;&gt;"Free Game",INDEX('Game Records'!$U:$U,$H461)&lt;&gt;"Disqualified — Free Game",INDEX('Game Records'!$H:$H,$H461)=""),"Entry Fee; ","")&amp;IF(AND(INDEX('Game Records'!$U:$U,$H461)&lt;&gt;"Subscription",INDEX('Game Records'!$U:$U,$H461)&lt;&gt;"Free Game",INDEX('Game Records'!$U:$U,$H461)&lt;&gt;"Disqualified — Free Game",INDEX('Game Records'!$I:$I,$H461)=""),"Eligible Players; ","")&amp;IF(AND(INDEX('Game Records'!$U:$U,$H461)&lt;&gt;"Subscription",INDEX('Game Records'!$U:$U,$H461)&lt;&gt;"Free Game",INDEX('Game Records'!$U:$U,$H461)&lt;&gt;"Disqualified — Free Game",INDEX('Game Records'!$J:$J,$H461)=""),"Total Players; ","")&amp;IF(AND(LOWER(INDEX('Game Records'!$D:$D,$H461)&amp;"")="finalized",LOWER(INDEX('Game Records'!$L:$L,$H461)&amp;"")&lt;&gt;"yes",INDEX('Game Records'!$U:$U,$H461)&lt;&gt;"Subscription",INDEX('Game Records'!$U:$U,$H461)&lt;&gt;"Free Game",INDEX('Game Records'!$U:$U,$H461)&lt;&gt;"Disqualified — Free Game",INDEX('Game Records'!$K:$K,$H461)=""),"Final Earned; ","")&amp;IF(AND(LOWER(INDEX('Game Records'!$D:$D,$H461)&amp;"")="finalized",INDEX('Game Records'!$U:$U,$H461)&lt;&gt;"Subscription",INDEX('Game Records'!$U:$U,$H461)&lt;&gt;"Free Game",INDEX('Game Records'!$U:$U,$H461)&lt;&gt;"Disqualified — Free Game",OR(INDEX('Game Records'!$L:$L,$H461)="",LOWER(INDEX('Game Records'!$L:$L,$H461)&amp;"")="n/a")),"Disqualified Status; ",""))</x:f>
        <x:v/>
      </x:c>
      <x:c r="G461" s="331" t="str">
        <x:f>IF($H461="","",IFERROR(INDEX('Game Records'!$M:$M,$H461),""))</x:f>
        <x:v/>
      </x:c>
      <x:c r="H461" s="104" t="str">
        <x:f>IF($H460="","",IFERROR(MATCH(1,INDEX((ROW('Game Records'!$U$5:$U$504)&gt;$H460)*(('Game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2" ht="24" customHeight="1">
      <x:c r="A462" s="332" t="str">
        <x:f>IF($H462="","",ROWS($A$5:A462))</x:f>
        <x:v/>
      </x:c>
      <x:c r="B462" s="332" t="str">
        <x:f>IF($H462="","","G-"&amp;TEXT($A462,"0000"))</x:f>
        <x:v/>
      </x:c>
      <x:c r="C462" s="331" t="str">
        <x:f>IF($H462="","",IFERROR(INDEX('Game Records'!$A:$A,$H462),""))</x:f>
        <x:v/>
      </x:c>
      <x:c r="D462" s="331" t="str">
        <x:f>IF($H462="","",IFERROR(INDEX('Game Records'!$U:$U,$H462),""))</x:f>
        <x:v/>
      </x:c>
      <x:c r="E462" s="331" t="str">
        <x:f>IF($H462="","",IF($F462="","No Highlighted Fields","Highlighted Fields Present"))</x:f>
        <x:v/>
      </x:c>
      <x:c r="F462" s="331" t="str">
        <x:f>IF($H462="","",IF(INDEX('Game Records'!$B:$B,$H462)="","Start Date; ","")&amp;IF(INDEX('Game Records'!$C:$C,$H462)="","End Date; ","")&amp;IF(AND(INDEX('Game Records'!$U:$U,$H462)&lt;&gt;"Subscription",INDEX('Game Records'!$U:$U,$H462)&lt;&gt;"Free Game",INDEX('Game Records'!$U:$U,$H462)&lt;&gt;"Disqualified — Free Game",OR(INDEX('Game Records'!$D:$D,$H462)="",LOWER(INDEX('Game Records'!$D:$D,$H462)&amp;"")="n/a")),"Entry Mode; ","")&amp;IF(AND(INDEX('Game Records'!$U:$U,$H462)&lt;&gt;"Subscription",INDEX('Game Records'!$U:$U,$H462)&lt;&gt;"Free Game",INDEX('Game Records'!$U:$U,$H462)&lt;&gt;"Disqualified — Free Game",OR(INDEX('Game Records'!$E:$E,$H462)="",LOWER(INDEX('Game Records'!$E:$E,$H462)&amp;"")="n/a")),"Game Type; ","")&amp;IF(INDEX('Game Records'!$F:$F,$H462)="","Payment Type; ","")&amp;IF(AND(INDEX('Game Records'!$U:$U,$H462)&lt;&gt;"Subscription",INDEX('Game Records'!$U:$U,$H462)&lt;&gt;"Free Game",INDEX('Game Records'!$U:$U,$H462)&lt;&gt;"Disqualified — Free Game",INDEX('Game Records'!$G:$G,$H462)=""),"Gross Pot; ","")&amp;IF(AND(INDEX('Game Records'!$U:$U,$H462)&lt;&gt;"Free Game",INDEX('Game Records'!$U:$U,$H462)&lt;&gt;"Disqualified — Free Game",INDEX('Game Records'!$H:$H,$H462)=""),"Entry Fee; ","")&amp;IF(AND(INDEX('Game Records'!$U:$U,$H462)&lt;&gt;"Subscription",INDEX('Game Records'!$U:$U,$H462)&lt;&gt;"Free Game",INDEX('Game Records'!$U:$U,$H462)&lt;&gt;"Disqualified — Free Game",INDEX('Game Records'!$I:$I,$H462)=""),"Eligible Players; ","")&amp;IF(AND(INDEX('Game Records'!$U:$U,$H462)&lt;&gt;"Subscription",INDEX('Game Records'!$U:$U,$H462)&lt;&gt;"Free Game",INDEX('Game Records'!$U:$U,$H462)&lt;&gt;"Disqualified — Free Game",INDEX('Game Records'!$J:$J,$H462)=""),"Total Players; ","")&amp;IF(AND(LOWER(INDEX('Game Records'!$D:$D,$H462)&amp;"")="finalized",LOWER(INDEX('Game Records'!$L:$L,$H462)&amp;"")&lt;&gt;"yes",INDEX('Game Records'!$U:$U,$H462)&lt;&gt;"Subscription",INDEX('Game Records'!$U:$U,$H462)&lt;&gt;"Free Game",INDEX('Game Records'!$U:$U,$H462)&lt;&gt;"Disqualified — Free Game",INDEX('Game Records'!$K:$K,$H462)=""),"Final Earned; ","")&amp;IF(AND(LOWER(INDEX('Game Records'!$D:$D,$H462)&amp;"")="finalized",INDEX('Game Records'!$U:$U,$H462)&lt;&gt;"Subscription",INDEX('Game Records'!$U:$U,$H462)&lt;&gt;"Free Game",INDEX('Game Records'!$U:$U,$H462)&lt;&gt;"Disqualified — Free Game",OR(INDEX('Game Records'!$L:$L,$H462)="",LOWER(INDEX('Game Records'!$L:$L,$H462)&amp;"")="n/a")),"Disqualified Status; ",""))</x:f>
        <x:v/>
      </x:c>
      <x:c r="G462" s="331" t="str">
        <x:f>IF($H462="","",IFERROR(INDEX('Game Records'!$M:$M,$H462),""))</x:f>
        <x:v/>
      </x:c>
      <x:c r="H462" s="104" t="str">
        <x:f>IF($H461="","",IFERROR(MATCH(1,INDEX((ROW('Game Records'!$U$5:$U$504)&gt;$H461)*(('Game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3" ht="24" customHeight="1">
      <x:c r="A463" s="332" t="str">
        <x:f>IF($H463="","",ROWS($A$5:A463))</x:f>
        <x:v/>
      </x:c>
      <x:c r="B463" s="332" t="str">
        <x:f>IF($H463="","","G-"&amp;TEXT($A463,"0000"))</x:f>
        <x:v/>
      </x:c>
      <x:c r="C463" s="331" t="str">
        <x:f>IF($H463="","",IFERROR(INDEX('Game Records'!$A:$A,$H463),""))</x:f>
        <x:v/>
      </x:c>
      <x:c r="D463" s="331" t="str">
        <x:f>IF($H463="","",IFERROR(INDEX('Game Records'!$U:$U,$H463),""))</x:f>
        <x:v/>
      </x:c>
      <x:c r="E463" s="331" t="str">
        <x:f>IF($H463="","",IF($F463="","No Highlighted Fields","Highlighted Fields Present"))</x:f>
        <x:v/>
      </x:c>
      <x:c r="F463" s="331" t="str">
        <x:f>IF($H463="","",IF(INDEX('Game Records'!$B:$B,$H463)="","Start Date; ","")&amp;IF(INDEX('Game Records'!$C:$C,$H463)="","End Date; ","")&amp;IF(AND(INDEX('Game Records'!$U:$U,$H463)&lt;&gt;"Subscription",INDEX('Game Records'!$U:$U,$H463)&lt;&gt;"Free Game",INDEX('Game Records'!$U:$U,$H463)&lt;&gt;"Disqualified — Free Game",OR(INDEX('Game Records'!$D:$D,$H463)="",LOWER(INDEX('Game Records'!$D:$D,$H463)&amp;"")="n/a")),"Entry Mode; ","")&amp;IF(AND(INDEX('Game Records'!$U:$U,$H463)&lt;&gt;"Subscription",INDEX('Game Records'!$U:$U,$H463)&lt;&gt;"Free Game",INDEX('Game Records'!$U:$U,$H463)&lt;&gt;"Disqualified — Free Game",OR(INDEX('Game Records'!$E:$E,$H463)="",LOWER(INDEX('Game Records'!$E:$E,$H463)&amp;"")="n/a")),"Game Type; ","")&amp;IF(INDEX('Game Records'!$F:$F,$H463)="","Payment Type; ","")&amp;IF(AND(INDEX('Game Records'!$U:$U,$H463)&lt;&gt;"Subscription",INDEX('Game Records'!$U:$U,$H463)&lt;&gt;"Free Game",INDEX('Game Records'!$U:$U,$H463)&lt;&gt;"Disqualified — Free Game",INDEX('Game Records'!$G:$G,$H463)=""),"Gross Pot; ","")&amp;IF(AND(INDEX('Game Records'!$U:$U,$H463)&lt;&gt;"Free Game",INDEX('Game Records'!$U:$U,$H463)&lt;&gt;"Disqualified — Free Game",INDEX('Game Records'!$H:$H,$H463)=""),"Entry Fee; ","")&amp;IF(AND(INDEX('Game Records'!$U:$U,$H463)&lt;&gt;"Subscription",INDEX('Game Records'!$U:$U,$H463)&lt;&gt;"Free Game",INDEX('Game Records'!$U:$U,$H463)&lt;&gt;"Disqualified — Free Game",INDEX('Game Records'!$I:$I,$H463)=""),"Eligible Players; ","")&amp;IF(AND(INDEX('Game Records'!$U:$U,$H463)&lt;&gt;"Subscription",INDEX('Game Records'!$U:$U,$H463)&lt;&gt;"Free Game",INDEX('Game Records'!$U:$U,$H463)&lt;&gt;"Disqualified — Free Game",INDEX('Game Records'!$J:$J,$H463)=""),"Total Players; ","")&amp;IF(AND(LOWER(INDEX('Game Records'!$D:$D,$H463)&amp;"")="finalized",LOWER(INDEX('Game Records'!$L:$L,$H463)&amp;"")&lt;&gt;"yes",INDEX('Game Records'!$U:$U,$H463)&lt;&gt;"Subscription",INDEX('Game Records'!$U:$U,$H463)&lt;&gt;"Free Game",INDEX('Game Records'!$U:$U,$H463)&lt;&gt;"Disqualified — Free Game",INDEX('Game Records'!$K:$K,$H463)=""),"Final Earned; ","")&amp;IF(AND(LOWER(INDEX('Game Records'!$D:$D,$H463)&amp;"")="finalized",INDEX('Game Records'!$U:$U,$H463)&lt;&gt;"Subscription",INDEX('Game Records'!$U:$U,$H463)&lt;&gt;"Free Game",INDEX('Game Records'!$U:$U,$H463)&lt;&gt;"Disqualified — Free Game",OR(INDEX('Game Records'!$L:$L,$H463)="",LOWER(INDEX('Game Records'!$L:$L,$H463)&amp;"")="n/a")),"Disqualified Status; ",""))</x:f>
        <x:v/>
      </x:c>
      <x:c r="G463" s="331" t="str">
        <x:f>IF($H463="","",IFERROR(INDEX('Game Records'!$M:$M,$H463),""))</x:f>
        <x:v/>
      </x:c>
      <x:c r="H463" s="104" t="str">
        <x:f>IF($H462="","",IFERROR(MATCH(1,INDEX((ROW('Game Records'!$U$5:$U$504)&gt;$H462)*(('Game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4" ht="24" customHeight="1">
      <x:c r="A464" s="332" t="str">
        <x:f>IF($H464="","",ROWS($A$5:A464))</x:f>
        <x:v/>
      </x:c>
      <x:c r="B464" s="332" t="str">
        <x:f>IF($H464="","","G-"&amp;TEXT($A464,"0000"))</x:f>
        <x:v/>
      </x:c>
      <x:c r="C464" s="331" t="str">
        <x:f>IF($H464="","",IFERROR(INDEX('Game Records'!$A:$A,$H464),""))</x:f>
        <x:v/>
      </x:c>
      <x:c r="D464" s="331" t="str">
        <x:f>IF($H464="","",IFERROR(INDEX('Game Records'!$U:$U,$H464),""))</x:f>
        <x:v/>
      </x:c>
      <x:c r="E464" s="331" t="str">
        <x:f>IF($H464="","",IF($F464="","No Highlighted Fields","Highlighted Fields Present"))</x:f>
        <x:v/>
      </x:c>
      <x:c r="F464" s="331" t="str">
        <x:f>IF($H464="","",IF(INDEX('Game Records'!$B:$B,$H464)="","Start Date; ","")&amp;IF(INDEX('Game Records'!$C:$C,$H464)="","End Date; ","")&amp;IF(AND(INDEX('Game Records'!$U:$U,$H464)&lt;&gt;"Subscription",INDEX('Game Records'!$U:$U,$H464)&lt;&gt;"Free Game",INDEX('Game Records'!$U:$U,$H464)&lt;&gt;"Disqualified — Free Game",OR(INDEX('Game Records'!$D:$D,$H464)="",LOWER(INDEX('Game Records'!$D:$D,$H464)&amp;"")="n/a")),"Entry Mode; ","")&amp;IF(AND(INDEX('Game Records'!$U:$U,$H464)&lt;&gt;"Subscription",INDEX('Game Records'!$U:$U,$H464)&lt;&gt;"Free Game",INDEX('Game Records'!$U:$U,$H464)&lt;&gt;"Disqualified — Free Game",OR(INDEX('Game Records'!$E:$E,$H464)="",LOWER(INDEX('Game Records'!$E:$E,$H464)&amp;"")="n/a")),"Game Type; ","")&amp;IF(INDEX('Game Records'!$F:$F,$H464)="","Payment Type; ","")&amp;IF(AND(INDEX('Game Records'!$U:$U,$H464)&lt;&gt;"Subscription",INDEX('Game Records'!$U:$U,$H464)&lt;&gt;"Free Game",INDEX('Game Records'!$U:$U,$H464)&lt;&gt;"Disqualified — Free Game",INDEX('Game Records'!$G:$G,$H464)=""),"Gross Pot; ","")&amp;IF(AND(INDEX('Game Records'!$U:$U,$H464)&lt;&gt;"Free Game",INDEX('Game Records'!$U:$U,$H464)&lt;&gt;"Disqualified — Free Game",INDEX('Game Records'!$H:$H,$H464)=""),"Entry Fee; ","")&amp;IF(AND(INDEX('Game Records'!$U:$U,$H464)&lt;&gt;"Subscription",INDEX('Game Records'!$U:$U,$H464)&lt;&gt;"Free Game",INDEX('Game Records'!$U:$U,$H464)&lt;&gt;"Disqualified — Free Game",INDEX('Game Records'!$I:$I,$H464)=""),"Eligible Players; ","")&amp;IF(AND(INDEX('Game Records'!$U:$U,$H464)&lt;&gt;"Subscription",INDEX('Game Records'!$U:$U,$H464)&lt;&gt;"Free Game",INDEX('Game Records'!$U:$U,$H464)&lt;&gt;"Disqualified — Free Game",INDEX('Game Records'!$J:$J,$H464)=""),"Total Players; ","")&amp;IF(AND(LOWER(INDEX('Game Records'!$D:$D,$H464)&amp;"")="finalized",LOWER(INDEX('Game Records'!$L:$L,$H464)&amp;"")&lt;&gt;"yes",INDEX('Game Records'!$U:$U,$H464)&lt;&gt;"Subscription",INDEX('Game Records'!$U:$U,$H464)&lt;&gt;"Free Game",INDEX('Game Records'!$U:$U,$H464)&lt;&gt;"Disqualified — Free Game",INDEX('Game Records'!$K:$K,$H464)=""),"Final Earned; ","")&amp;IF(AND(LOWER(INDEX('Game Records'!$D:$D,$H464)&amp;"")="finalized",INDEX('Game Records'!$U:$U,$H464)&lt;&gt;"Subscription",INDEX('Game Records'!$U:$U,$H464)&lt;&gt;"Free Game",INDEX('Game Records'!$U:$U,$H464)&lt;&gt;"Disqualified — Free Game",OR(INDEX('Game Records'!$L:$L,$H464)="",LOWER(INDEX('Game Records'!$L:$L,$H464)&amp;"")="n/a")),"Disqualified Status; ",""))</x:f>
        <x:v/>
      </x:c>
      <x:c r="G464" s="331" t="str">
        <x:f>IF($H464="","",IFERROR(INDEX('Game Records'!$M:$M,$H464),""))</x:f>
        <x:v/>
      </x:c>
      <x:c r="H464" s="104" t="str">
        <x:f>IF($H463="","",IFERROR(MATCH(1,INDEX((ROW('Game Records'!$U$5:$U$504)&gt;$H463)*(('Game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5" ht="24" customHeight="1">
      <x:c r="A465" s="332" t="str">
        <x:f>IF($H465="","",ROWS($A$5:A465))</x:f>
        <x:v/>
      </x:c>
      <x:c r="B465" s="332" t="str">
        <x:f>IF($H465="","","G-"&amp;TEXT($A465,"0000"))</x:f>
        <x:v/>
      </x:c>
      <x:c r="C465" s="331" t="str">
        <x:f>IF($H465="","",IFERROR(INDEX('Game Records'!$A:$A,$H465),""))</x:f>
        <x:v/>
      </x:c>
      <x:c r="D465" s="331" t="str">
        <x:f>IF($H465="","",IFERROR(INDEX('Game Records'!$U:$U,$H465),""))</x:f>
        <x:v/>
      </x:c>
      <x:c r="E465" s="331" t="str">
        <x:f>IF($H465="","",IF($F465="","No Highlighted Fields","Highlighted Fields Present"))</x:f>
        <x:v/>
      </x:c>
      <x:c r="F465" s="331" t="str">
        <x:f>IF($H465="","",IF(INDEX('Game Records'!$B:$B,$H465)="","Start Date; ","")&amp;IF(INDEX('Game Records'!$C:$C,$H465)="","End Date; ","")&amp;IF(AND(INDEX('Game Records'!$U:$U,$H465)&lt;&gt;"Subscription",INDEX('Game Records'!$U:$U,$H465)&lt;&gt;"Free Game",INDEX('Game Records'!$U:$U,$H465)&lt;&gt;"Disqualified — Free Game",OR(INDEX('Game Records'!$D:$D,$H465)="",LOWER(INDEX('Game Records'!$D:$D,$H465)&amp;"")="n/a")),"Entry Mode; ","")&amp;IF(AND(INDEX('Game Records'!$U:$U,$H465)&lt;&gt;"Subscription",INDEX('Game Records'!$U:$U,$H465)&lt;&gt;"Free Game",INDEX('Game Records'!$U:$U,$H465)&lt;&gt;"Disqualified — Free Game",OR(INDEX('Game Records'!$E:$E,$H465)="",LOWER(INDEX('Game Records'!$E:$E,$H465)&amp;"")="n/a")),"Game Type; ","")&amp;IF(INDEX('Game Records'!$F:$F,$H465)="","Payment Type; ","")&amp;IF(AND(INDEX('Game Records'!$U:$U,$H465)&lt;&gt;"Subscription",INDEX('Game Records'!$U:$U,$H465)&lt;&gt;"Free Game",INDEX('Game Records'!$U:$U,$H465)&lt;&gt;"Disqualified — Free Game",INDEX('Game Records'!$G:$G,$H465)=""),"Gross Pot; ","")&amp;IF(AND(INDEX('Game Records'!$U:$U,$H465)&lt;&gt;"Free Game",INDEX('Game Records'!$U:$U,$H465)&lt;&gt;"Disqualified — Free Game",INDEX('Game Records'!$H:$H,$H465)=""),"Entry Fee; ","")&amp;IF(AND(INDEX('Game Records'!$U:$U,$H465)&lt;&gt;"Subscription",INDEX('Game Records'!$U:$U,$H465)&lt;&gt;"Free Game",INDEX('Game Records'!$U:$U,$H465)&lt;&gt;"Disqualified — Free Game",INDEX('Game Records'!$I:$I,$H465)=""),"Eligible Players; ","")&amp;IF(AND(INDEX('Game Records'!$U:$U,$H465)&lt;&gt;"Subscription",INDEX('Game Records'!$U:$U,$H465)&lt;&gt;"Free Game",INDEX('Game Records'!$U:$U,$H465)&lt;&gt;"Disqualified — Free Game",INDEX('Game Records'!$J:$J,$H465)=""),"Total Players; ","")&amp;IF(AND(LOWER(INDEX('Game Records'!$D:$D,$H465)&amp;"")="finalized",LOWER(INDEX('Game Records'!$L:$L,$H465)&amp;"")&lt;&gt;"yes",INDEX('Game Records'!$U:$U,$H465)&lt;&gt;"Subscription",INDEX('Game Records'!$U:$U,$H465)&lt;&gt;"Free Game",INDEX('Game Records'!$U:$U,$H465)&lt;&gt;"Disqualified — Free Game",INDEX('Game Records'!$K:$K,$H465)=""),"Final Earned; ","")&amp;IF(AND(LOWER(INDEX('Game Records'!$D:$D,$H465)&amp;"")="finalized",INDEX('Game Records'!$U:$U,$H465)&lt;&gt;"Subscription",INDEX('Game Records'!$U:$U,$H465)&lt;&gt;"Free Game",INDEX('Game Records'!$U:$U,$H465)&lt;&gt;"Disqualified — Free Game",OR(INDEX('Game Records'!$L:$L,$H465)="",LOWER(INDEX('Game Records'!$L:$L,$H465)&amp;"")="n/a")),"Disqualified Status; ",""))</x:f>
        <x:v/>
      </x:c>
      <x:c r="G465" s="331" t="str">
        <x:f>IF($H465="","",IFERROR(INDEX('Game Records'!$M:$M,$H465),""))</x:f>
        <x:v/>
      </x:c>
      <x:c r="H465" s="104" t="str">
        <x:f>IF($H464="","",IFERROR(MATCH(1,INDEX((ROW('Game Records'!$U$5:$U$504)&gt;$H464)*(('Game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6" ht="24" customHeight="1">
      <x:c r="A466" s="332" t="str">
        <x:f>IF($H466="","",ROWS($A$5:A466))</x:f>
        <x:v/>
      </x:c>
      <x:c r="B466" s="332" t="str">
        <x:f>IF($H466="","","G-"&amp;TEXT($A466,"0000"))</x:f>
        <x:v/>
      </x:c>
      <x:c r="C466" s="331" t="str">
        <x:f>IF($H466="","",IFERROR(INDEX('Game Records'!$A:$A,$H466),""))</x:f>
        <x:v/>
      </x:c>
      <x:c r="D466" s="331" t="str">
        <x:f>IF($H466="","",IFERROR(INDEX('Game Records'!$U:$U,$H466),""))</x:f>
        <x:v/>
      </x:c>
      <x:c r="E466" s="331" t="str">
        <x:f>IF($H466="","",IF($F466="","No Highlighted Fields","Highlighted Fields Present"))</x:f>
        <x:v/>
      </x:c>
      <x:c r="F466" s="331" t="str">
        <x:f>IF($H466="","",IF(INDEX('Game Records'!$B:$B,$H466)="","Start Date; ","")&amp;IF(INDEX('Game Records'!$C:$C,$H466)="","End Date; ","")&amp;IF(AND(INDEX('Game Records'!$U:$U,$H466)&lt;&gt;"Subscription",INDEX('Game Records'!$U:$U,$H466)&lt;&gt;"Free Game",INDEX('Game Records'!$U:$U,$H466)&lt;&gt;"Disqualified — Free Game",OR(INDEX('Game Records'!$D:$D,$H466)="",LOWER(INDEX('Game Records'!$D:$D,$H466)&amp;"")="n/a")),"Entry Mode; ","")&amp;IF(AND(INDEX('Game Records'!$U:$U,$H466)&lt;&gt;"Subscription",INDEX('Game Records'!$U:$U,$H466)&lt;&gt;"Free Game",INDEX('Game Records'!$U:$U,$H466)&lt;&gt;"Disqualified — Free Game",OR(INDEX('Game Records'!$E:$E,$H466)="",LOWER(INDEX('Game Records'!$E:$E,$H466)&amp;"")="n/a")),"Game Type; ","")&amp;IF(INDEX('Game Records'!$F:$F,$H466)="","Payment Type; ","")&amp;IF(AND(INDEX('Game Records'!$U:$U,$H466)&lt;&gt;"Subscription",INDEX('Game Records'!$U:$U,$H466)&lt;&gt;"Free Game",INDEX('Game Records'!$U:$U,$H466)&lt;&gt;"Disqualified — Free Game",INDEX('Game Records'!$G:$G,$H466)=""),"Gross Pot; ","")&amp;IF(AND(INDEX('Game Records'!$U:$U,$H466)&lt;&gt;"Free Game",INDEX('Game Records'!$U:$U,$H466)&lt;&gt;"Disqualified — Free Game",INDEX('Game Records'!$H:$H,$H466)=""),"Entry Fee; ","")&amp;IF(AND(INDEX('Game Records'!$U:$U,$H466)&lt;&gt;"Subscription",INDEX('Game Records'!$U:$U,$H466)&lt;&gt;"Free Game",INDEX('Game Records'!$U:$U,$H466)&lt;&gt;"Disqualified — Free Game",INDEX('Game Records'!$I:$I,$H466)=""),"Eligible Players; ","")&amp;IF(AND(INDEX('Game Records'!$U:$U,$H466)&lt;&gt;"Subscription",INDEX('Game Records'!$U:$U,$H466)&lt;&gt;"Free Game",INDEX('Game Records'!$U:$U,$H466)&lt;&gt;"Disqualified — Free Game",INDEX('Game Records'!$J:$J,$H466)=""),"Total Players; ","")&amp;IF(AND(LOWER(INDEX('Game Records'!$D:$D,$H466)&amp;"")="finalized",LOWER(INDEX('Game Records'!$L:$L,$H466)&amp;"")&lt;&gt;"yes",INDEX('Game Records'!$U:$U,$H466)&lt;&gt;"Subscription",INDEX('Game Records'!$U:$U,$H466)&lt;&gt;"Free Game",INDEX('Game Records'!$U:$U,$H466)&lt;&gt;"Disqualified — Free Game",INDEX('Game Records'!$K:$K,$H466)=""),"Final Earned; ","")&amp;IF(AND(LOWER(INDEX('Game Records'!$D:$D,$H466)&amp;"")="finalized",INDEX('Game Records'!$U:$U,$H466)&lt;&gt;"Subscription",INDEX('Game Records'!$U:$U,$H466)&lt;&gt;"Free Game",INDEX('Game Records'!$U:$U,$H466)&lt;&gt;"Disqualified — Free Game",OR(INDEX('Game Records'!$L:$L,$H466)="",LOWER(INDEX('Game Records'!$L:$L,$H466)&amp;"")="n/a")),"Disqualified Status; ",""))</x:f>
        <x:v/>
      </x:c>
      <x:c r="G466" s="331" t="str">
        <x:f>IF($H466="","",IFERROR(INDEX('Game Records'!$M:$M,$H466),""))</x:f>
        <x:v/>
      </x:c>
      <x:c r="H466" s="104" t="str">
        <x:f>IF($H465="","",IFERROR(MATCH(1,INDEX((ROW('Game Records'!$U$5:$U$504)&gt;$H465)*(('Game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7" ht="24" customHeight="1">
      <x:c r="A467" s="332" t="str">
        <x:f>IF($H467="","",ROWS($A$5:A467))</x:f>
        <x:v/>
      </x:c>
      <x:c r="B467" s="332" t="str">
        <x:f>IF($H467="","","G-"&amp;TEXT($A467,"0000"))</x:f>
        <x:v/>
      </x:c>
      <x:c r="C467" s="331" t="str">
        <x:f>IF($H467="","",IFERROR(INDEX('Game Records'!$A:$A,$H467),""))</x:f>
        <x:v/>
      </x:c>
      <x:c r="D467" s="331" t="str">
        <x:f>IF($H467="","",IFERROR(INDEX('Game Records'!$U:$U,$H467),""))</x:f>
        <x:v/>
      </x:c>
      <x:c r="E467" s="331" t="str">
        <x:f>IF($H467="","",IF($F467="","No Highlighted Fields","Highlighted Fields Present"))</x:f>
        <x:v/>
      </x:c>
      <x:c r="F467" s="331" t="str">
        <x:f>IF($H467="","",IF(INDEX('Game Records'!$B:$B,$H467)="","Start Date; ","")&amp;IF(INDEX('Game Records'!$C:$C,$H467)="","End Date; ","")&amp;IF(AND(INDEX('Game Records'!$U:$U,$H467)&lt;&gt;"Subscription",INDEX('Game Records'!$U:$U,$H467)&lt;&gt;"Free Game",INDEX('Game Records'!$U:$U,$H467)&lt;&gt;"Disqualified — Free Game",OR(INDEX('Game Records'!$D:$D,$H467)="",LOWER(INDEX('Game Records'!$D:$D,$H467)&amp;"")="n/a")),"Entry Mode; ","")&amp;IF(AND(INDEX('Game Records'!$U:$U,$H467)&lt;&gt;"Subscription",INDEX('Game Records'!$U:$U,$H467)&lt;&gt;"Free Game",INDEX('Game Records'!$U:$U,$H467)&lt;&gt;"Disqualified — Free Game",OR(INDEX('Game Records'!$E:$E,$H467)="",LOWER(INDEX('Game Records'!$E:$E,$H467)&amp;"")="n/a")),"Game Type; ","")&amp;IF(INDEX('Game Records'!$F:$F,$H467)="","Payment Type; ","")&amp;IF(AND(INDEX('Game Records'!$U:$U,$H467)&lt;&gt;"Subscription",INDEX('Game Records'!$U:$U,$H467)&lt;&gt;"Free Game",INDEX('Game Records'!$U:$U,$H467)&lt;&gt;"Disqualified — Free Game",INDEX('Game Records'!$G:$G,$H467)=""),"Gross Pot; ","")&amp;IF(AND(INDEX('Game Records'!$U:$U,$H467)&lt;&gt;"Free Game",INDEX('Game Records'!$U:$U,$H467)&lt;&gt;"Disqualified — Free Game",INDEX('Game Records'!$H:$H,$H467)=""),"Entry Fee; ","")&amp;IF(AND(INDEX('Game Records'!$U:$U,$H467)&lt;&gt;"Subscription",INDEX('Game Records'!$U:$U,$H467)&lt;&gt;"Free Game",INDEX('Game Records'!$U:$U,$H467)&lt;&gt;"Disqualified — Free Game",INDEX('Game Records'!$I:$I,$H467)=""),"Eligible Players; ","")&amp;IF(AND(INDEX('Game Records'!$U:$U,$H467)&lt;&gt;"Subscription",INDEX('Game Records'!$U:$U,$H467)&lt;&gt;"Free Game",INDEX('Game Records'!$U:$U,$H467)&lt;&gt;"Disqualified — Free Game",INDEX('Game Records'!$J:$J,$H467)=""),"Total Players; ","")&amp;IF(AND(LOWER(INDEX('Game Records'!$D:$D,$H467)&amp;"")="finalized",LOWER(INDEX('Game Records'!$L:$L,$H467)&amp;"")&lt;&gt;"yes",INDEX('Game Records'!$U:$U,$H467)&lt;&gt;"Subscription",INDEX('Game Records'!$U:$U,$H467)&lt;&gt;"Free Game",INDEX('Game Records'!$U:$U,$H467)&lt;&gt;"Disqualified — Free Game",INDEX('Game Records'!$K:$K,$H467)=""),"Final Earned; ","")&amp;IF(AND(LOWER(INDEX('Game Records'!$D:$D,$H467)&amp;"")="finalized",INDEX('Game Records'!$U:$U,$H467)&lt;&gt;"Subscription",INDEX('Game Records'!$U:$U,$H467)&lt;&gt;"Free Game",INDEX('Game Records'!$U:$U,$H467)&lt;&gt;"Disqualified — Free Game",OR(INDEX('Game Records'!$L:$L,$H467)="",LOWER(INDEX('Game Records'!$L:$L,$H467)&amp;"")="n/a")),"Disqualified Status; ",""))</x:f>
        <x:v/>
      </x:c>
      <x:c r="G467" s="331" t="str">
        <x:f>IF($H467="","",IFERROR(INDEX('Game Records'!$M:$M,$H467),""))</x:f>
        <x:v/>
      </x:c>
      <x:c r="H467" s="104" t="str">
        <x:f>IF($H466="","",IFERROR(MATCH(1,INDEX((ROW('Game Records'!$U$5:$U$504)&gt;$H466)*(('Game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8" ht="24" customHeight="1">
      <x:c r="A468" s="332" t="str">
        <x:f>IF($H468="","",ROWS($A$5:A468))</x:f>
        <x:v/>
      </x:c>
      <x:c r="B468" s="332" t="str">
        <x:f>IF($H468="","","G-"&amp;TEXT($A468,"0000"))</x:f>
        <x:v/>
      </x:c>
      <x:c r="C468" s="331" t="str">
        <x:f>IF($H468="","",IFERROR(INDEX('Game Records'!$A:$A,$H468),""))</x:f>
        <x:v/>
      </x:c>
      <x:c r="D468" s="331" t="str">
        <x:f>IF($H468="","",IFERROR(INDEX('Game Records'!$U:$U,$H468),""))</x:f>
        <x:v/>
      </x:c>
      <x:c r="E468" s="331" t="str">
        <x:f>IF($H468="","",IF($F468="","No Highlighted Fields","Highlighted Fields Present"))</x:f>
        <x:v/>
      </x:c>
      <x:c r="F468" s="331" t="str">
        <x:f>IF($H468="","",IF(INDEX('Game Records'!$B:$B,$H468)="","Start Date; ","")&amp;IF(INDEX('Game Records'!$C:$C,$H468)="","End Date; ","")&amp;IF(AND(INDEX('Game Records'!$U:$U,$H468)&lt;&gt;"Subscription",INDEX('Game Records'!$U:$U,$H468)&lt;&gt;"Free Game",INDEX('Game Records'!$U:$U,$H468)&lt;&gt;"Disqualified — Free Game",OR(INDEX('Game Records'!$D:$D,$H468)="",LOWER(INDEX('Game Records'!$D:$D,$H468)&amp;"")="n/a")),"Entry Mode; ","")&amp;IF(AND(INDEX('Game Records'!$U:$U,$H468)&lt;&gt;"Subscription",INDEX('Game Records'!$U:$U,$H468)&lt;&gt;"Free Game",INDEX('Game Records'!$U:$U,$H468)&lt;&gt;"Disqualified — Free Game",OR(INDEX('Game Records'!$E:$E,$H468)="",LOWER(INDEX('Game Records'!$E:$E,$H468)&amp;"")="n/a")),"Game Type; ","")&amp;IF(INDEX('Game Records'!$F:$F,$H468)="","Payment Type; ","")&amp;IF(AND(INDEX('Game Records'!$U:$U,$H468)&lt;&gt;"Subscription",INDEX('Game Records'!$U:$U,$H468)&lt;&gt;"Free Game",INDEX('Game Records'!$U:$U,$H468)&lt;&gt;"Disqualified — Free Game",INDEX('Game Records'!$G:$G,$H468)=""),"Gross Pot; ","")&amp;IF(AND(INDEX('Game Records'!$U:$U,$H468)&lt;&gt;"Free Game",INDEX('Game Records'!$U:$U,$H468)&lt;&gt;"Disqualified — Free Game",INDEX('Game Records'!$H:$H,$H468)=""),"Entry Fee; ","")&amp;IF(AND(INDEX('Game Records'!$U:$U,$H468)&lt;&gt;"Subscription",INDEX('Game Records'!$U:$U,$H468)&lt;&gt;"Free Game",INDEX('Game Records'!$U:$U,$H468)&lt;&gt;"Disqualified — Free Game",INDEX('Game Records'!$I:$I,$H468)=""),"Eligible Players; ","")&amp;IF(AND(INDEX('Game Records'!$U:$U,$H468)&lt;&gt;"Subscription",INDEX('Game Records'!$U:$U,$H468)&lt;&gt;"Free Game",INDEX('Game Records'!$U:$U,$H468)&lt;&gt;"Disqualified — Free Game",INDEX('Game Records'!$J:$J,$H468)=""),"Total Players; ","")&amp;IF(AND(LOWER(INDEX('Game Records'!$D:$D,$H468)&amp;"")="finalized",LOWER(INDEX('Game Records'!$L:$L,$H468)&amp;"")&lt;&gt;"yes",INDEX('Game Records'!$U:$U,$H468)&lt;&gt;"Subscription",INDEX('Game Records'!$U:$U,$H468)&lt;&gt;"Free Game",INDEX('Game Records'!$U:$U,$H468)&lt;&gt;"Disqualified — Free Game",INDEX('Game Records'!$K:$K,$H468)=""),"Final Earned; ","")&amp;IF(AND(LOWER(INDEX('Game Records'!$D:$D,$H468)&amp;"")="finalized",INDEX('Game Records'!$U:$U,$H468)&lt;&gt;"Subscription",INDEX('Game Records'!$U:$U,$H468)&lt;&gt;"Free Game",INDEX('Game Records'!$U:$U,$H468)&lt;&gt;"Disqualified — Free Game",OR(INDEX('Game Records'!$L:$L,$H468)="",LOWER(INDEX('Game Records'!$L:$L,$H468)&amp;"")="n/a")),"Disqualified Status; ",""))</x:f>
        <x:v/>
      </x:c>
      <x:c r="G468" s="331" t="str">
        <x:f>IF($H468="","",IFERROR(INDEX('Game Records'!$M:$M,$H468),""))</x:f>
        <x:v/>
      </x:c>
      <x:c r="H468" s="104" t="str">
        <x:f>IF($H467="","",IFERROR(MATCH(1,INDEX((ROW('Game Records'!$U$5:$U$504)&gt;$H467)*(('Game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69" ht="24" customHeight="1">
      <x:c r="A469" s="332" t="str">
        <x:f>IF($H469="","",ROWS($A$5:A469))</x:f>
        <x:v/>
      </x:c>
      <x:c r="B469" s="332" t="str">
        <x:f>IF($H469="","","G-"&amp;TEXT($A469,"0000"))</x:f>
        <x:v/>
      </x:c>
      <x:c r="C469" s="331" t="str">
        <x:f>IF($H469="","",IFERROR(INDEX('Game Records'!$A:$A,$H469),""))</x:f>
        <x:v/>
      </x:c>
      <x:c r="D469" s="331" t="str">
        <x:f>IF($H469="","",IFERROR(INDEX('Game Records'!$U:$U,$H469),""))</x:f>
        <x:v/>
      </x:c>
      <x:c r="E469" s="331" t="str">
        <x:f>IF($H469="","",IF($F469="","No Highlighted Fields","Highlighted Fields Present"))</x:f>
        <x:v/>
      </x:c>
      <x:c r="F469" s="331" t="str">
        <x:f>IF($H469="","",IF(INDEX('Game Records'!$B:$B,$H469)="","Start Date; ","")&amp;IF(INDEX('Game Records'!$C:$C,$H469)="","End Date; ","")&amp;IF(AND(INDEX('Game Records'!$U:$U,$H469)&lt;&gt;"Subscription",INDEX('Game Records'!$U:$U,$H469)&lt;&gt;"Free Game",INDEX('Game Records'!$U:$U,$H469)&lt;&gt;"Disqualified — Free Game",OR(INDEX('Game Records'!$D:$D,$H469)="",LOWER(INDEX('Game Records'!$D:$D,$H469)&amp;"")="n/a")),"Entry Mode; ","")&amp;IF(AND(INDEX('Game Records'!$U:$U,$H469)&lt;&gt;"Subscription",INDEX('Game Records'!$U:$U,$H469)&lt;&gt;"Free Game",INDEX('Game Records'!$U:$U,$H469)&lt;&gt;"Disqualified — Free Game",OR(INDEX('Game Records'!$E:$E,$H469)="",LOWER(INDEX('Game Records'!$E:$E,$H469)&amp;"")="n/a")),"Game Type; ","")&amp;IF(INDEX('Game Records'!$F:$F,$H469)="","Payment Type; ","")&amp;IF(AND(INDEX('Game Records'!$U:$U,$H469)&lt;&gt;"Subscription",INDEX('Game Records'!$U:$U,$H469)&lt;&gt;"Free Game",INDEX('Game Records'!$U:$U,$H469)&lt;&gt;"Disqualified — Free Game",INDEX('Game Records'!$G:$G,$H469)=""),"Gross Pot; ","")&amp;IF(AND(INDEX('Game Records'!$U:$U,$H469)&lt;&gt;"Free Game",INDEX('Game Records'!$U:$U,$H469)&lt;&gt;"Disqualified — Free Game",INDEX('Game Records'!$H:$H,$H469)=""),"Entry Fee; ","")&amp;IF(AND(INDEX('Game Records'!$U:$U,$H469)&lt;&gt;"Subscription",INDEX('Game Records'!$U:$U,$H469)&lt;&gt;"Free Game",INDEX('Game Records'!$U:$U,$H469)&lt;&gt;"Disqualified — Free Game",INDEX('Game Records'!$I:$I,$H469)=""),"Eligible Players; ","")&amp;IF(AND(INDEX('Game Records'!$U:$U,$H469)&lt;&gt;"Subscription",INDEX('Game Records'!$U:$U,$H469)&lt;&gt;"Free Game",INDEX('Game Records'!$U:$U,$H469)&lt;&gt;"Disqualified — Free Game",INDEX('Game Records'!$J:$J,$H469)=""),"Total Players; ","")&amp;IF(AND(LOWER(INDEX('Game Records'!$D:$D,$H469)&amp;"")="finalized",LOWER(INDEX('Game Records'!$L:$L,$H469)&amp;"")&lt;&gt;"yes",INDEX('Game Records'!$U:$U,$H469)&lt;&gt;"Subscription",INDEX('Game Records'!$U:$U,$H469)&lt;&gt;"Free Game",INDEX('Game Records'!$U:$U,$H469)&lt;&gt;"Disqualified — Free Game",INDEX('Game Records'!$K:$K,$H469)=""),"Final Earned; ","")&amp;IF(AND(LOWER(INDEX('Game Records'!$D:$D,$H469)&amp;"")="finalized",INDEX('Game Records'!$U:$U,$H469)&lt;&gt;"Subscription",INDEX('Game Records'!$U:$U,$H469)&lt;&gt;"Free Game",INDEX('Game Records'!$U:$U,$H469)&lt;&gt;"Disqualified — Free Game",OR(INDEX('Game Records'!$L:$L,$H469)="",LOWER(INDEX('Game Records'!$L:$L,$H469)&amp;"")="n/a")),"Disqualified Status; ",""))</x:f>
        <x:v/>
      </x:c>
      <x:c r="G469" s="331" t="str">
        <x:f>IF($H469="","",IFERROR(INDEX('Game Records'!$M:$M,$H469),""))</x:f>
        <x:v/>
      </x:c>
      <x:c r="H469" s="104" t="str">
        <x:f>IF($H468="","",IFERROR(MATCH(1,INDEX((ROW('Game Records'!$U$5:$U$504)&gt;$H468)*(('Game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0" ht="24" customHeight="1">
      <x:c r="A470" s="332" t="str">
        <x:f>IF($H470="","",ROWS($A$5:A470))</x:f>
        <x:v/>
      </x:c>
      <x:c r="B470" s="332" t="str">
        <x:f>IF($H470="","","G-"&amp;TEXT($A470,"0000"))</x:f>
        <x:v/>
      </x:c>
      <x:c r="C470" s="331" t="str">
        <x:f>IF($H470="","",IFERROR(INDEX('Game Records'!$A:$A,$H470),""))</x:f>
        <x:v/>
      </x:c>
      <x:c r="D470" s="331" t="str">
        <x:f>IF($H470="","",IFERROR(INDEX('Game Records'!$U:$U,$H470),""))</x:f>
        <x:v/>
      </x:c>
      <x:c r="E470" s="331" t="str">
        <x:f>IF($H470="","",IF($F470="","No Highlighted Fields","Highlighted Fields Present"))</x:f>
        <x:v/>
      </x:c>
      <x:c r="F470" s="331" t="str">
        <x:f>IF($H470="","",IF(INDEX('Game Records'!$B:$B,$H470)="","Start Date; ","")&amp;IF(INDEX('Game Records'!$C:$C,$H470)="","End Date; ","")&amp;IF(AND(INDEX('Game Records'!$U:$U,$H470)&lt;&gt;"Subscription",INDEX('Game Records'!$U:$U,$H470)&lt;&gt;"Free Game",INDEX('Game Records'!$U:$U,$H470)&lt;&gt;"Disqualified — Free Game",OR(INDEX('Game Records'!$D:$D,$H470)="",LOWER(INDEX('Game Records'!$D:$D,$H470)&amp;"")="n/a")),"Entry Mode; ","")&amp;IF(AND(INDEX('Game Records'!$U:$U,$H470)&lt;&gt;"Subscription",INDEX('Game Records'!$U:$U,$H470)&lt;&gt;"Free Game",INDEX('Game Records'!$U:$U,$H470)&lt;&gt;"Disqualified — Free Game",OR(INDEX('Game Records'!$E:$E,$H470)="",LOWER(INDEX('Game Records'!$E:$E,$H470)&amp;"")="n/a")),"Game Type; ","")&amp;IF(INDEX('Game Records'!$F:$F,$H470)="","Payment Type; ","")&amp;IF(AND(INDEX('Game Records'!$U:$U,$H470)&lt;&gt;"Subscription",INDEX('Game Records'!$U:$U,$H470)&lt;&gt;"Free Game",INDEX('Game Records'!$U:$U,$H470)&lt;&gt;"Disqualified — Free Game",INDEX('Game Records'!$G:$G,$H470)=""),"Gross Pot; ","")&amp;IF(AND(INDEX('Game Records'!$U:$U,$H470)&lt;&gt;"Free Game",INDEX('Game Records'!$U:$U,$H470)&lt;&gt;"Disqualified — Free Game",INDEX('Game Records'!$H:$H,$H470)=""),"Entry Fee; ","")&amp;IF(AND(INDEX('Game Records'!$U:$U,$H470)&lt;&gt;"Subscription",INDEX('Game Records'!$U:$U,$H470)&lt;&gt;"Free Game",INDEX('Game Records'!$U:$U,$H470)&lt;&gt;"Disqualified — Free Game",INDEX('Game Records'!$I:$I,$H470)=""),"Eligible Players; ","")&amp;IF(AND(INDEX('Game Records'!$U:$U,$H470)&lt;&gt;"Subscription",INDEX('Game Records'!$U:$U,$H470)&lt;&gt;"Free Game",INDEX('Game Records'!$U:$U,$H470)&lt;&gt;"Disqualified — Free Game",INDEX('Game Records'!$J:$J,$H470)=""),"Total Players; ","")&amp;IF(AND(LOWER(INDEX('Game Records'!$D:$D,$H470)&amp;"")="finalized",LOWER(INDEX('Game Records'!$L:$L,$H470)&amp;"")&lt;&gt;"yes",INDEX('Game Records'!$U:$U,$H470)&lt;&gt;"Subscription",INDEX('Game Records'!$U:$U,$H470)&lt;&gt;"Free Game",INDEX('Game Records'!$U:$U,$H470)&lt;&gt;"Disqualified — Free Game",INDEX('Game Records'!$K:$K,$H470)=""),"Final Earned; ","")&amp;IF(AND(LOWER(INDEX('Game Records'!$D:$D,$H470)&amp;"")="finalized",INDEX('Game Records'!$U:$U,$H470)&lt;&gt;"Subscription",INDEX('Game Records'!$U:$U,$H470)&lt;&gt;"Free Game",INDEX('Game Records'!$U:$U,$H470)&lt;&gt;"Disqualified — Free Game",OR(INDEX('Game Records'!$L:$L,$H470)="",LOWER(INDEX('Game Records'!$L:$L,$H470)&amp;"")="n/a")),"Disqualified Status; ",""))</x:f>
        <x:v/>
      </x:c>
      <x:c r="G470" s="331" t="str">
        <x:f>IF($H470="","",IFERROR(INDEX('Game Records'!$M:$M,$H470),""))</x:f>
        <x:v/>
      </x:c>
      <x:c r="H470" s="104" t="str">
        <x:f>IF($H469="","",IFERROR(MATCH(1,INDEX((ROW('Game Records'!$U$5:$U$504)&gt;$H469)*(('Game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1" ht="24" customHeight="1">
      <x:c r="A471" s="332" t="str">
        <x:f>IF($H471="","",ROWS($A$5:A471))</x:f>
        <x:v/>
      </x:c>
      <x:c r="B471" s="332" t="str">
        <x:f>IF($H471="","","G-"&amp;TEXT($A471,"0000"))</x:f>
        <x:v/>
      </x:c>
      <x:c r="C471" s="331" t="str">
        <x:f>IF($H471="","",IFERROR(INDEX('Game Records'!$A:$A,$H471),""))</x:f>
        <x:v/>
      </x:c>
      <x:c r="D471" s="331" t="str">
        <x:f>IF($H471="","",IFERROR(INDEX('Game Records'!$U:$U,$H471),""))</x:f>
        <x:v/>
      </x:c>
      <x:c r="E471" s="331" t="str">
        <x:f>IF($H471="","",IF($F471="","No Highlighted Fields","Highlighted Fields Present"))</x:f>
        <x:v/>
      </x:c>
      <x:c r="F471" s="331" t="str">
        <x:f>IF($H471="","",IF(INDEX('Game Records'!$B:$B,$H471)="","Start Date; ","")&amp;IF(INDEX('Game Records'!$C:$C,$H471)="","End Date; ","")&amp;IF(AND(INDEX('Game Records'!$U:$U,$H471)&lt;&gt;"Subscription",INDEX('Game Records'!$U:$U,$H471)&lt;&gt;"Free Game",INDEX('Game Records'!$U:$U,$H471)&lt;&gt;"Disqualified — Free Game",OR(INDEX('Game Records'!$D:$D,$H471)="",LOWER(INDEX('Game Records'!$D:$D,$H471)&amp;"")="n/a")),"Entry Mode; ","")&amp;IF(AND(INDEX('Game Records'!$U:$U,$H471)&lt;&gt;"Subscription",INDEX('Game Records'!$U:$U,$H471)&lt;&gt;"Free Game",INDEX('Game Records'!$U:$U,$H471)&lt;&gt;"Disqualified — Free Game",OR(INDEX('Game Records'!$E:$E,$H471)="",LOWER(INDEX('Game Records'!$E:$E,$H471)&amp;"")="n/a")),"Game Type; ","")&amp;IF(INDEX('Game Records'!$F:$F,$H471)="","Payment Type; ","")&amp;IF(AND(INDEX('Game Records'!$U:$U,$H471)&lt;&gt;"Subscription",INDEX('Game Records'!$U:$U,$H471)&lt;&gt;"Free Game",INDEX('Game Records'!$U:$U,$H471)&lt;&gt;"Disqualified — Free Game",INDEX('Game Records'!$G:$G,$H471)=""),"Gross Pot; ","")&amp;IF(AND(INDEX('Game Records'!$U:$U,$H471)&lt;&gt;"Free Game",INDEX('Game Records'!$U:$U,$H471)&lt;&gt;"Disqualified — Free Game",INDEX('Game Records'!$H:$H,$H471)=""),"Entry Fee; ","")&amp;IF(AND(INDEX('Game Records'!$U:$U,$H471)&lt;&gt;"Subscription",INDEX('Game Records'!$U:$U,$H471)&lt;&gt;"Free Game",INDEX('Game Records'!$U:$U,$H471)&lt;&gt;"Disqualified — Free Game",INDEX('Game Records'!$I:$I,$H471)=""),"Eligible Players; ","")&amp;IF(AND(INDEX('Game Records'!$U:$U,$H471)&lt;&gt;"Subscription",INDEX('Game Records'!$U:$U,$H471)&lt;&gt;"Free Game",INDEX('Game Records'!$U:$U,$H471)&lt;&gt;"Disqualified — Free Game",INDEX('Game Records'!$J:$J,$H471)=""),"Total Players; ","")&amp;IF(AND(LOWER(INDEX('Game Records'!$D:$D,$H471)&amp;"")="finalized",LOWER(INDEX('Game Records'!$L:$L,$H471)&amp;"")&lt;&gt;"yes",INDEX('Game Records'!$U:$U,$H471)&lt;&gt;"Subscription",INDEX('Game Records'!$U:$U,$H471)&lt;&gt;"Free Game",INDEX('Game Records'!$U:$U,$H471)&lt;&gt;"Disqualified — Free Game",INDEX('Game Records'!$K:$K,$H471)=""),"Final Earned; ","")&amp;IF(AND(LOWER(INDEX('Game Records'!$D:$D,$H471)&amp;"")="finalized",INDEX('Game Records'!$U:$U,$H471)&lt;&gt;"Subscription",INDEX('Game Records'!$U:$U,$H471)&lt;&gt;"Free Game",INDEX('Game Records'!$U:$U,$H471)&lt;&gt;"Disqualified — Free Game",OR(INDEX('Game Records'!$L:$L,$H471)="",LOWER(INDEX('Game Records'!$L:$L,$H471)&amp;"")="n/a")),"Disqualified Status; ",""))</x:f>
        <x:v/>
      </x:c>
      <x:c r="G471" s="331" t="str">
        <x:f>IF($H471="","",IFERROR(INDEX('Game Records'!$M:$M,$H471),""))</x:f>
        <x:v/>
      </x:c>
      <x:c r="H471" s="104" t="str">
        <x:f>IF($H470="","",IFERROR(MATCH(1,INDEX((ROW('Game Records'!$U$5:$U$504)&gt;$H470)*(('Game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2" ht="24" customHeight="1">
      <x:c r="A472" s="332" t="str">
        <x:f>IF($H472="","",ROWS($A$5:A472))</x:f>
        <x:v/>
      </x:c>
      <x:c r="B472" s="332" t="str">
        <x:f>IF($H472="","","G-"&amp;TEXT($A472,"0000"))</x:f>
        <x:v/>
      </x:c>
      <x:c r="C472" s="331" t="str">
        <x:f>IF($H472="","",IFERROR(INDEX('Game Records'!$A:$A,$H472),""))</x:f>
        <x:v/>
      </x:c>
      <x:c r="D472" s="331" t="str">
        <x:f>IF($H472="","",IFERROR(INDEX('Game Records'!$U:$U,$H472),""))</x:f>
        <x:v/>
      </x:c>
      <x:c r="E472" s="331" t="str">
        <x:f>IF($H472="","",IF($F472="","No Highlighted Fields","Highlighted Fields Present"))</x:f>
        <x:v/>
      </x:c>
      <x:c r="F472" s="331" t="str">
        <x:f>IF($H472="","",IF(INDEX('Game Records'!$B:$B,$H472)="","Start Date; ","")&amp;IF(INDEX('Game Records'!$C:$C,$H472)="","End Date; ","")&amp;IF(AND(INDEX('Game Records'!$U:$U,$H472)&lt;&gt;"Subscription",INDEX('Game Records'!$U:$U,$H472)&lt;&gt;"Free Game",INDEX('Game Records'!$U:$U,$H472)&lt;&gt;"Disqualified — Free Game",OR(INDEX('Game Records'!$D:$D,$H472)="",LOWER(INDEX('Game Records'!$D:$D,$H472)&amp;"")="n/a")),"Entry Mode; ","")&amp;IF(AND(INDEX('Game Records'!$U:$U,$H472)&lt;&gt;"Subscription",INDEX('Game Records'!$U:$U,$H472)&lt;&gt;"Free Game",INDEX('Game Records'!$U:$U,$H472)&lt;&gt;"Disqualified — Free Game",OR(INDEX('Game Records'!$E:$E,$H472)="",LOWER(INDEX('Game Records'!$E:$E,$H472)&amp;"")="n/a")),"Game Type; ","")&amp;IF(INDEX('Game Records'!$F:$F,$H472)="","Payment Type; ","")&amp;IF(AND(INDEX('Game Records'!$U:$U,$H472)&lt;&gt;"Subscription",INDEX('Game Records'!$U:$U,$H472)&lt;&gt;"Free Game",INDEX('Game Records'!$U:$U,$H472)&lt;&gt;"Disqualified — Free Game",INDEX('Game Records'!$G:$G,$H472)=""),"Gross Pot; ","")&amp;IF(AND(INDEX('Game Records'!$U:$U,$H472)&lt;&gt;"Free Game",INDEX('Game Records'!$U:$U,$H472)&lt;&gt;"Disqualified — Free Game",INDEX('Game Records'!$H:$H,$H472)=""),"Entry Fee; ","")&amp;IF(AND(INDEX('Game Records'!$U:$U,$H472)&lt;&gt;"Subscription",INDEX('Game Records'!$U:$U,$H472)&lt;&gt;"Free Game",INDEX('Game Records'!$U:$U,$H472)&lt;&gt;"Disqualified — Free Game",INDEX('Game Records'!$I:$I,$H472)=""),"Eligible Players; ","")&amp;IF(AND(INDEX('Game Records'!$U:$U,$H472)&lt;&gt;"Subscription",INDEX('Game Records'!$U:$U,$H472)&lt;&gt;"Free Game",INDEX('Game Records'!$U:$U,$H472)&lt;&gt;"Disqualified — Free Game",INDEX('Game Records'!$J:$J,$H472)=""),"Total Players; ","")&amp;IF(AND(LOWER(INDEX('Game Records'!$D:$D,$H472)&amp;"")="finalized",LOWER(INDEX('Game Records'!$L:$L,$H472)&amp;"")&lt;&gt;"yes",INDEX('Game Records'!$U:$U,$H472)&lt;&gt;"Subscription",INDEX('Game Records'!$U:$U,$H472)&lt;&gt;"Free Game",INDEX('Game Records'!$U:$U,$H472)&lt;&gt;"Disqualified — Free Game",INDEX('Game Records'!$K:$K,$H472)=""),"Final Earned; ","")&amp;IF(AND(LOWER(INDEX('Game Records'!$D:$D,$H472)&amp;"")="finalized",INDEX('Game Records'!$U:$U,$H472)&lt;&gt;"Subscription",INDEX('Game Records'!$U:$U,$H472)&lt;&gt;"Free Game",INDEX('Game Records'!$U:$U,$H472)&lt;&gt;"Disqualified — Free Game",OR(INDEX('Game Records'!$L:$L,$H472)="",LOWER(INDEX('Game Records'!$L:$L,$H472)&amp;"")="n/a")),"Disqualified Status; ",""))</x:f>
        <x:v/>
      </x:c>
      <x:c r="G472" s="331" t="str">
        <x:f>IF($H472="","",IFERROR(INDEX('Game Records'!$M:$M,$H472),""))</x:f>
        <x:v/>
      </x:c>
      <x:c r="H472" s="104" t="str">
        <x:f>IF($H471="","",IFERROR(MATCH(1,INDEX((ROW('Game Records'!$U$5:$U$504)&gt;$H471)*(('Game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3" ht="24" customHeight="1">
      <x:c r="A473" s="332" t="str">
        <x:f>IF($H473="","",ROWS($A$5:A473))</x:f>
        <x:v/>
      </x:c>
      <x:c r="B473" s="332" t="str">
        <x:f>IF($H473="","","G-"&amp;TEXT($A473,"0000"))</x:f>
        <x:v/>
      </x:c>
      <x:c r="C473" s="331" t="str">
        <x:f>IF($H473="","",IFERROR(INDEX('Game Records'!$A:$A,$H473),""))</x:f>
        <x:v/>
      </x:c>
      <x:c r="D473" s="331" t="str">
        <x:f>IF($H473="","",IFERROR(INDEX('Game Records'!$U:$U,$H473),""))</x:f>
        <x:v/>
      </x:c>
      <x:c r="E473" s="331" t="str">
        <x:f>IF($H473="","",IF($F473="","No Highlighted Fields","Highlighted Fields Present"))</x:f>
        <x:v/>
      </x:c>
      <x:c r="F473" s="331" t="str">
        <x:f>IF($H473="","",IF(INDEX('Game Records'!$B:$B,$H473)="","Start Date; ","")&amp;IF(INDEX('Game Records'!$C:$C,$H473)="","End Date; ","")&amp;IF(AND(INDEX('Game Records'!$U:$U,$H473)&lt;&gt;"Subscription",INDEX('Game Records'!$U:$U,$H473)&lt;&gt;"Free Game",INDEX('Game Records'!$U:$U,$H473)&lt;&gt;"Disqualified — Free Game",OR(INDEX('Game Records'!$D:$D,$H473)="",LOWER(INDEX('Game Records'!$D:$D,$H473)&amp;"")="n/a")),"Entry Mode; ","")&amp;IF(AND(INDEX('Game Records'!$U:$U,$H473)&lt;&gt;"Subscription",INDEX('Game Records'!$U:$U,$H473)&lt;&gt;"Free Game",INDEX('Game Records'!$U:$U,$H473)&lt;&gt;"Disqualified — Free Game",OR(INDEX('Game Records'!$E:$E,$H473)="",LOWER(INDEX('Game Records'!$E:$E,$H473)&amp;"")="n/a")),"Game Type; ","")&amp;IF(INDEX('Game Records'!$F:$F,$H473)="","Payment Type; ","")&amp;IF(AND(INDEX('Game Records'!$U:$U,$H473)&lt;&gt;"Subscription",INDEX('Game Records'!$U:$U,$H473)&lt;&gt;"Free Game",INDEX('Game Records'!$U:$U,$H473)&lt;&gt;"Disqualified — Free Game",INDEX('Game Records'!$G:$G,$H473)=""),"Gross Pot; ","")&amp;IF(AND(INDEX('Game Records'!$U:$U,$H473)&lt;&gt;"Free Game",INDEX('Game Records'!$U:$U,$H473)&lt;&gt;"Disqualified — Free Game",INDEX('Game Records'!$H:$H,$H473)=""),"Entry Fee; ","")&amp;IF(AND(INDEX('Game Records'!$U:$U,$H473)&lt;&gt;"Subscription",INDEX('Game Records'!$U:$U,$H473)&lt;&gt;"Free Game",INDEX('Game Records'!$U:$U,$H473)&lt;&gt;"Disqualified — Free Game",INDEX('Game Records'!$I:$I,$H473)=""),"Eligible Players; ","")&amp;IF(AND(INDEX('Game Records'!$U:$U,$H473)&lt;&gt;"Subscription",INDEX('Game Records'!$U:$U,$H473)&lt;&gt;"Free Game",INDEX('Game Records'!$U:$U,$H473)&lt;&gt;"Disqualified — Free Game",INDEX('Game Records'!$J:$J,$H473)=""),"Total Players; ","")&amp;IF(AND(LOWER(INDEX('Game Records'!$D:$D,$H473)&amp;"")="finalized",LOWER(INDEX('Game Records'!$L:$L,$H473)&amp;"")&lt;&gt;"yes",INDEX('Game Records'!$U:$U,$H473)&lt;&gt;"Subscription",INDEX('Game Records'!$U:$U,$H473)&lt;&gt;"Free Game",INDEX('Game Records'!$U:$U,$H473)&lt;&gt;"Disqualified — Free Game",INDEX('Game Records'!$K:$K,$H473)=""),"Final Earned; ","")&amp;IF(AND(LOWER(INDEX('Game Records'!$D:$D,$H473)&amp;"")="finalized",INDEX('Game Records'!$U:$U,$H473)&lt;&gt;"Subscription",INDEX('Game Records'!$U:$U,$H473)&lt;&gt;"Free Game",INDEX('Game Records'!$U:$U,$H473)&lt;&gt;"Disqualified — Free Game",OR(INDEX('Game Records'!$L:$L,$H473)="",LOWER(INDEX('Game Records'!$L:$L,$H473)&amp;"")="n/a")),"Disqualified Status; ",""))</x:f>
        <x:v/>
      </x:c>
      <x:c r="G473" s="331" t="str">
        <x:f>IF($H473="","",IFERROR(INDEX('Game Records'!$M:$M,$H473),""))</x:f>
        <x:v/>
      </x:c>
      <x:c r="H473" s="104" t="str">
        <x:f>IF($H472="","",IFERROR(MATCH(1,INDEX((ROW('Game Records'!$U$5:$U$504)&gt;$H472)*(('Game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4" ht="24" customHeight="1">
      <x:c r="A474" s="332" t="str">
        <x:f>IF($H474="","",ROWS($A$5:A474))</x:f>
        <x:v/>
      </x:c>
      <x:c r="B474" s="332" t="str">
        <x:f>IF($H474="","","G-"&amp;TEXT($A474,"0000"))</x:f>
        <x:v/>
      </x:c>
      <x:c r="C474" s="331" t="str">
        <x:f>IF($H474="","",IFERROR(INDEX('Game Records'!$A:$A,$H474),""))</x:f>
        <x:v/>
      </x:c>
      <x:c r="D474" s="331" t="str">
        <x:f>IF($H474="","",IFERROR(INDEX('Game Records'!$U:$U,$H474),""))</x:f>
        <x:v/>
      </x:c>
      <x:c r="E474" s="331" t="str">
        <x:f>IF($H474="","",IF($F474="","No Highlighted Fields","Highlighted Fields Present"))</x:f>
        <x:v/>
      </x:c>
      <x:c r="F474" s="331" t="str">
        <x:f>IF($H474="","",IF(INDEX('Game Records'!$B:$B,$H474)="","Start Date; ","")&amp;IF(INDEX('Game Records'!$C:$C,$H474)="","End Date; ","")&amp;IF(AND(INDEX('Game Records'!$U:$U,$H474)&lt;&gt;"Subscription",INDEX('Game Records'!$U:$U,$H474)&lt;&gt;"Free Game",INDEX('Game Records'!$U:$U,$H474)&lt;&gt;"Disqualified — Free Game",OR(INDEX('Game Records'!$D:$D,$H474)="",LOWER(INDEX('Game Records'!$D:$D,$H474)&amp;"")="n/a")),"Entry Mode; ","")&amp;IF(AND(INDEX('Game Records'!$U:$U,$H474)&lt;&gt;"Subscription",INDEX('Game Records'!$U:$U,$H474)&lt;&gt;"Free Game",INDEX('Game Records'!$U:$U,$H474)&lt;&gt;"Disqualified — Free Game",OR(INDEX('Game Records'!$E:$E,$H474)="",LOWER(INDEX('Game Records'!$E:$E,$H474)&amp;"")="n/a")),"Game Type; ","")&amp;IF(INDEX('Game Records'!$F:$F,$H474)="","Payment Type; ","")&amp;IF(AND(INDEX('Game Records'!$U:$U,$H474)&lt;&gt;"Subscription",INDEX('Game Records'!$U:$U,$H474)&lt;&gt;"Free Game",INDEX('Game Records'!$U:$U,$H474)&lt;&gt;"Disqualified — Free Game",INDEX('Game Records'!$G:$G,$H474)=""),"Gross Pot; ","")&amp;IF(AND(INDEX('Game Records'!$U:$U,$H474)&lt;&gt;"Free Game",INDEX('Game Records'!$U:$U,$H474)&lt;&gt;"Disqualified — Free Game",INDEX('Game Records'!$H:$H,$H474)=""),"Entry Fee; ","")&amp;IF(AND(INDEX('Game Records'!$U:$U,$H474)&lt;&gt;"Subscription",INDEX('Game Records'!$U:$U,$H474)&lt;&gt;"Free Game",INDEX('Game Records'!$U:$U,$H474)&lt;&gt;"Disqualified — Free Game",INDEX('Game Records'!$I:$I,$H474)=""),"Eligible Players; ","")&amp;IF(AND(INDEX('Game Records'!$U:$U,$H474)&lt;&gt;"Subscription",INDEX('Game Records'!$U:$U,$H474)&lt;&gt;"Free Game",INDEX('Game Records'!$U:$U,$H474)&lt;&gt;"Disqualified — Free Game",INDEX('Game Records'!$J:$J,$H474)=""),"Total Players; ","")&amp;IF(AND(LOWER(INDEX('Game Records'!$D:$D,$H474)&amp;"")="finalized",LOWER(INDEX('Game Records'!$L:$L,$H474)&amp;"")&lt;&gt;"yes",INDEX('Game Records'!$U:$U,$H474)&lt;&gt;"Subscription",INDEX('Game Records'!$U:$U,$H474)&lt;&gt;"Free Game",INDEX('Game Records'!$U:$U,$H474)&lt;&gt;"Disqualified — Free Game",INDEX('Game Records'!$K:$K,$H474)=""),"Final Earned; ","")&amp;IF(AND(LOWER(INDEX('Game Records'!$D:$D,$H474)&amp;"")="finalized",INDEX('Game Records'!$U:$U,$H474)&lt;&gt;"Subscription",INDEX('Game Records'!$U:$U,$H474)&lt;&gt;"Free Game",INDEX('Game Records'!$U:$U,$H474)&lt;&gt;"Disqualified — Free Game",OR(INDEX('Game Records'!$L:$L,$H474)="",LOWER(INDEX('Game Records'!$L:$L,$H474)&amp;"")="n/a")),"Disqualified Status; ",""))</x:f>
        <x:v/>
      </x:c>
      <x:c r="G474" s="331" t="str">
        <x:f>IF($H474="","",IFERROR(INDEX('Game Records'!$M:$M,$H474),""))</x:f>
        <x:v/>
      </x:c>
      <x:c r="H474" s="104" t="str">
        <x:f>IF($H473="","",IFERROR(MATCH(1,INDEX((ROW('Game Records'!$U$5:$U$504)&gt;$H473)*(('Game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5" ht="24" customHeight="1">
      <x:c r="A475" s="332" t="str">
        <x:f>IF($H475="","",ROWS($A$5:A475))</x:f>
        <x:v/>
      </x:c>
      <x:c r="B475" s="332" t="str">
        <x:f>IF($H475="","","G-"&amp;TEXT($A475,"0000"))</x:f>
        <x:v/>
      </x:c>
      <x:c r="C475" s="331" t="str">
        <x:f>IF($H475="","",IFERROR(INDEX('Game Records'!$A:$A,$H475),""))</x:f>
        <x:v/>
      </x:c>
      <x:c r="D475" s="331" t="str">
        <x:f>IF($H475="","",IFERROR(INDEX('Game Records'!$U:$U,$H475),""))</x:f>
        <x:v/>
      </x:c>
      <x:c r="E475" s="331" t="str">
        <x:f>IF($H475="","",IF($F475="","No Highlighted Fields","Highlighted Fields Present"))</x:f>
        <x:v/>
      </x:c>
      <x:c r="F475" s="331" t="str">
        <x:f>IF($H475="","",IF(INDEX('Game Records'!$B:$B,$H475)="","Start Date; ","")&amp;IF(INDEX('Game Records'!$C:$C,$H475)="","End Date; ","")&amp;IF(AND(INDEX('Game Records'!$U:$U,$H475)&lt;&gt;"Subscription",INDEX('Game Records'!$U:$U,$H475)&lt;&gt;"Free Game",INDEX('Game Records'!$U:$U,$H475)&lt;&gt;"Disqualified — Free Game",OR(INDEX('Game Records'!$D:$D,$H475)="",LOWER(INDEX('Game Records'!$D:$D,$H475)&amp;"")="n/a")),"Entry Mode; ","")&amp;IF(AND(INDEX('Game Records'!$U:$U,$H475)&lt;&gt;"Subscription",INDEX('Game Records'!$U:$U,$H475)&lt;&gt;"Free Game",INDEX('Game Records'!$U:$U,$H475)&lt;&gt;"Disqualified — Free Game",OR(INDEX('Game Records'!$E:$E,$H475)="",LOWER(INDEX('Game Records'!$E:$E,$H475)&amp;"")="n/a")),"Game Type; ","")&amp;IF(INDEX('Game Records'!$F:$F,$H475)="","Payment Type; ","")&amp;IF(AND(INDEX('Game Records'!$U:$U,$H475)&lt;&gt;"Subscription",INDEX('Game Records'!$U:$U,$H475)&lt;&gt;"Free Game",INDEX('Game Records'!$U:$U,$H475)&lt;&gt;"Disqualified — Free Game",INDEX('Game Records'!$G:$G,$H475)=""),"Gross Pot; ","")&amp;IF(AND(INDEX('Game Records'!$U:$U,$H475)&lt;&gt;"Free Game",INDEX('Game Records'!$U:$U,$H475)&lt;&gt;"Disqualified — Free Game",INDEX('Game Records'!$H:$H,$H475)=""),"Entry Fee; ","")&amp;IF(AND(INDEX('Game Records'!$U:$U,$H475)&lt;&gt;"Subscription",INDEX('Game Records'!$U:$U,$H475)&lt;&gt;"Free Game",INDEX('Game Records'!$U:$U,$H475)&lt;&gt;"Disqualified — Free Game",INDEX('Game Records'!$I:$I,$H475)=""),"Eligible Players; ","")&amp;IF(AND(INDEX('Game Records'!$U:$U,$H475)&lt;&gt;"Subscription",INDEX('Game Records'!$U:$U,$H475)&lt;&gt;"Free Game",INDEX('Game Records'!$U:$U,$H475)&lt;&gt;"Disqualified — Free Game",INDEX('Game Records'!$J:$J,$H475)=""),"Total Players; ","")&amp;IF(AND(LOWER(INDEX('Game Records'!$D:$D,$H475)&amp;"")="finalized",LOWER(INDEX('Game Records'!$L:$L,$H475)&amp;"")&lt;&gt;"yes",INDEX('Game Records'!$U:$U,$H475)&lt;&gt;"Subscription",INDEX('Game Records'!$U:$U,$H475)&lt;&gt;"Free Game",INDEX('Game Records'!$U:$U,$H475)&lt;&gt;"Disqualified — Free Game",INDEX('Game Records'!$K:$K,$H475)=""),"Final Earned; ","")&amp;IF(AND(LOWER(INDEX('Game Records'!$D:$D,$H475)&amp;"")="finalized",INDEX('Game Records'!$U:$U,$H475)&lt;&gt;"Subscription",INDEX('Game Records'!$U:$U,$H475)&lt;&gt;"Free Game",INDEX('Game Records'!$U:$U,$H475)&lt;&gt;"Disqualified — Free Game",OR(INDEX('Game Records'!$L:$L,$H475)="",LOWER(INDEX('Game Records'!$L:$L,$H475)&amp;"")="n/a")),"Disqualified Status; ",""))</x:f>
        <x:v/>
      </x:c>
      <x:c r="G475" s="331" t="str">
        <x:f>IF($H475="","",IFERROR(INDEX('Game Records'!$M:$M,$H475),""))</x:f>
        <x:v/>
      </x:c>
      <x:c r="H475" s="104" t="str">
        <x:f>IF($H474="","",IFERROR(MATCH(1,INDEX((ROW('Game Records'!$U$5:$U$504)&gt;$H474)*(('Game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6" ht="24" customHeight="1">
      <x:c r="A476" s="332" t="str">
        <x:f>IF($H476="","",ROWS($A$5:A476))</x:f>
        <x:v/>
      </x:c>
      <x:c r="B476" s="332" t="str">
        <x:f>IF($H476="","","G-"&amp;TEXT($A476,"0000"))</x:f>
        <x:v/>
      </x:c>
      <x:c r="C476" s="331" t="str">
        <x:f>IF($H476="","",IFERROR(INDEX('Game Records'!$A:$A,$H476),""))</x:f>
        <x:v/>
      </x:c>
      <x:c r="D476" s="331" t="str">
        <x:f>IF($H476="","",IFERROR(INDEX('Game Records'!$U:$U,$H476),""))</x:f>
        <x:v/>
      </x:c>
      <x:c r="E476" s="331" t="str">
        <x:f>IF($H476="","",IF($F476="","No Highlighted Fields","Highlighted Fields Present"))</x:f>
        <x:v/>
      </x:c>
      <x:c r="F476" s="331" t="str">
        <x:f>IF($H476="","",IF(INDEX('Game Records'!$B:$B,$H476)="","Start Date; ","")&amp;IF(INDEX('Game Records'!$C:$C,$H476)="","End Date; ","")&amp;IF(AND(INDEX('Game Records'!$U:$U,$H476)&lt;&gt;"Subscription",INDEX('Game Records'!$U:$U,$H476)&lt;&gt;"Free Game",INDEX('Game Records'!$U:$U,$H476)&lt;&gt;"Disqualified — Free Game",OR(INDEX('Game Records'!$D:$D,$H476)="",LOWER(INDEX('Game Records'!$D:$D,$H476)&amp;"")="n/a")),"Entry Mode; ","")&amp;IF(AND(INDEX('Game Records'!$U:$U,$H476)&lt;&gt;"Subscription",INDEX('Game Records'!$U:$U,$H476)&lt;&gt;"Free Game",INDEX('Game Records'!$U:$U,$H476)&lt;&gt;"Disqualified — Free Game",OR(INDEX('Game Records'!$E:$E,$H476)="",LOWER(INDEX('Game Records'!$E:$E,$H476)&amp;"")="n/a")),"Game Type; ","")&amp;IF(INDEX('Game Records'!$F:$F,$H476)="","Payment Type; ","")&amp;IF(AND(INDEX('Game Records'!$U:$U,$H476)&lt;&gt;"Subscription",INDEX('Game Records'!$U:$U,$H476)&lt;&gt;"Free Game",INDEX('Game Records'!$U:$U,$H476)&lt;&gt;"Disqualified — Free Game",INDEX('Game Records'!$G:$G,$H476)=""),"Gross Pot; ","")&amp;IF(AND(INDEX('Game Records'!$U:$U,$H476)&lt;&gt;"Free Game",INDEX('Game Records'!$U:$U,$H476)&lt;&gt;"Disqualified — Free Game",INDEX('Game Records'!$H:$H,$H476)=""),"Entry Fee; ","")&amp;IF(AND(INDEX('Game Records'!$U:$U,$H476)&lt;&gt;"Subscription",INDEX('Game Records'!$U:$U,$H476)&lt;&gt;"Free Game",INDEX('Game Records'!$U:$U,$H476)&lt;&gt;"Disqualified — Free Game",INDEX('Game Records'!$I:$I,$H476)=""),"Eligible Players; ","")&amp;IF(AND(INDEX('Game Records'!$U:$U,$H476)&lt;&gt;"Subscription",INDEX('Game Records'!$U:$U,$H476)&lt;&gt;"Free Game",INDEX('Game Records'!$U:$U,$H476)&lt;&gt;"Disqualified — Free Game",INDEX('Game Records'!$J:$J,$H476)=""),"Total Players; ","")&amp;IF(AND(LOWER(INDEX('Game Records'!$D:$D,$H476)&amp;"")="finalized",LOWER(INDEX('Game Records'!$L:$L,$H476)&amp;"")&lt;&gt;"yes",INDEX('Game Records'!$U:$U,$H476)&lt;&gt;"Subscription",INDEX('Game Records'!$U:$U,$H476)&lt;&gt;"Free Game",INDEX('Game Records'!$U:$U,$H476)&lt;&gt;"Disqualified — Free Game",INDEX('Game Records'!$K:$K,$H476)=""),"Final Earned; ","")&amp;IF(AND(LOWER(INDEX('Game Records'!$D:$D,$H476)&amp;"")="finalized",INDEX('Game Records'!$U:$U,$H476)&lt;&gt;"Subscription",INDEX('Game Records'!$U:$U,$H476)&lt;&gt;"Free Game",INDEX('Game Records'!$U:$U,$H476)&lt;&gt;"Disqualified — Free Game",OR(INDEX('Game Records'!$L:$L,$H476)="",LOWER(INDEX('Game Records'!$L:$L,$H476)&amp;"")="n/a")),"Disqualified Status; ",""))</x:f>
        <x:v/>
      </x:c>
      <x:c r="G476" s="331" t="str">
        <x:f>IF($H476="","",IFERROR(INDEX('Game Records'!$M:$M,$H476),""))</x:f>
        <x:v/>
      </x:c>
      <x:c r="H476" s="104" t="str">
        <x:f>IF($H475="","",IFERROR(MATCH(1,INDEX((ROW('Game Records'!$U$5:$U$504)&gt;$H475)*(('Game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7" ht="24" customHeight="1">
      <x:c r="A477" s="332" t="str">
        <x:f>IF($H477="","",ROWS($A$5:A477))</x:f>
        <x:v/>
      </x:c>
      <x:c r="B477" s="332" t="str">
        <x:f>IF($H477="","","G-"&amp;TEXT($A477,"0000"))</x:f>
        <x:v/>
      </x:c>
      <x:c r="C477" s="331" t="str">
        <x:f>IF($H477="","",IFERROR(INDEX('Game Records'!$A:$A,$H477),""))</x:f>
        <x:v/>
      </x:c>
      <x:c r="D477" s="331" t="str">
        <x:f>IF($H477="","",IFERROR(INDEX('Game Records'!$U:$U,$H477),""))</x:f>
        <x:v/>
      </x:c>
      <x:c r="E477" s="331" t="str">
        <x:f>IF($H477="","",IF($F477="","No Highlighted Fields","Highlighted Fields Present"))</x:f>
        <x:v/>
      </x:c>
      <x:c r="F477" s="331" t="str">
        <x:f>IF($H477="","",IF(INDEX('Game Records'!$B:$B,$H477)="","Start Date; ","")&amp;IF(INDEX('Game Records'!$C:$C,$H477)="","End Date; ","")&amp;IF(AND(INDEX('Game Records'!$U:$U,$H477)&lt;&gt;"Subscription",INDEX('Game Records'!$U:$U,$H477)&lt;&gt;"Free Game",INDEX('Game Records'!$U:$U,$H477)&lt;&gt;"Disqualified — Free Game",OR(INDEX('Game Records'!$D:$D,$H477)="",LOWER(INDEX('Game Records'!$D:$D,$H477)&amp;"")="n/a")),"Entry Mode; ","")&amp;IF(AND(INDEX('Game Records'!$U:$U,$H477)&lt;&gt;"Subscription",INDEX('Game Records'!$U:$U,$H477)&lt;&gt;"Free Game",INDEX('Game Records'!$U:$U,$H477)&lt;&gt;"Disqualified — Free Game",OR(INDEX('Game Records'!$E:$E,$H477)="",LOWER(INDEX('Game Records'!$E:$E,$H477)&amp;"")="n/a")),"Game Type; ","")&amp;IF(INDEX('Game Records'!$F:$F,$H477)="","Payment Type; ","")&amp;IF(AND(INDEX('Game Records'!$U:$U,$H477)&lt;&gt;"Subscription",INDEX('Game Records'!$U:$U,$H477)&lt;&gt;"Free Game",INDEX('Game Records'!$U:$U,$H477)&lt;&gt;"Disqualified — Free Game",INDEX('Game Records'!$G:$G,$H477)=""),"Gross Pot; ","")&amp;IF(AND(INDEX('Game Records'!$U:$U,$H477)&lt;&gt;"Free Game",INDEX('Game Records'!$U:$U,$H477)&lt;&gt;"Disqualified — Free Game",INDEX('Game Records'!$H:$H,$H477)=""),"Entry Fee; ","")&amp;IF(AND(INDEX('Game Records'!$U:$U,$H477)&lt;&gt;"Subscription",INDEX('Game Records'!$U:$U,$H477)&lt;&gt;"Free Game",INDEX('Game Records'!$U:$U,$H477)&lt;&gt;"Disqualified — Free Game",INDEX('Game Records'!$I:$I,$H477)=""),"Eligible Players; ","")&amp;IF(AND(INDEX('Game Records'!$U:$U,$H477)&lt;&gt;"Subscription",INDEX('Game Records'!$U:$U,$H477)&lt;&gt;"Free Game",INDEX('Game Records'!$U:$U,$H477)&lt;&gt;"Disqualified — Free Game",INDEX('Game Records'!$J:$J,$H477)=""),"Total Players; ","")&amp;IF(AND(LOWER(INDEX('Game Records'!$D:$D,$H477)&amp;"")="finalized",LOWER(INDEX('Game Records'!$L:$L,$H477)&amp;"")&lt;&gt;"yes",INDEX('Game Records'!$U:$U,$H477)&lt;&gt;"Subscription",INDEX('Game Records'!$U:$U,$H477)&lt;&gt;"Free Game",INDEX('Game Records'!$U:$U,$H477)&lt;&gt;"Disqualified — Free Game",INDEX('Game Records'!$K:$K,$H477)=""),"Final Earned; ","")&amp;IF(AND(LOWER(INDEX('Game Records'!$D:$D,$H477)&amp;"")="finalized",INDEX('Game Records'!$U:$U,$H477)&lt;&gt;"Subscription",INDEX('Game Records'!$U:$U,$H477)&lt;&gt;"Free Game",INDEX('Game Records'!$U:$U,$H477)&lt;&gt;"Disqualified — Free Game",OR(INDEX('Game Records'!$L:$L,$H477)="",LOWER(INDEX('Game Records'!$L:$L,$H477)&amp;"")="n/a")),"Disqualified Status; ",""))</x:f>
        <x:v/>
      </x:c>
      <x:c r="G477" s="331" t="str">
        <x:f>IF($H477="","",IFERROR(INDEX('Game Records'!$M:$M,$H477),""))</x:f>
        <x:v/>
      </x:c>
      <x:c r="H477" s="104" t="str">
        <x:f>IF($H476="","",IFERROR(MATCH(1,INDEX((ROW('Game Records'!$U$5:$U$504)&gt;$H476)*(('Game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8" ht="24" customHeight="1">
      <x:c r="A478" s="332" t="str">
        <x:f>IF($H478="","",ROWS($A$5:A478))</x:f>
        <x:v/>
      </x:c>
      <x:c r="B478" s="332" t="str">
        <x:f>IF($H478="","","G-"&amp;TEXT($A478,"0000"))</x:f>
        <x:v/>
      </x:c>
      <x:c r="C478" s="331" t="str">
        <x:f>IF($H478="","",IFERROR(INDEX('Game Records'!$A:$A,$H478),""))</x:f>
        <x:v/>
      </x:c>
      <x:c r="D478" s="331" t="str">
        <x:f>IF($H478="","",IFERROR(INDEX('Game Records'!$U:$U,$H478),""))</x:f>
        <x:v/>
      </x:c>
      <x:c r="E478" s="331" t="str">
        <x:f>IF($H478="","",IF($F478="","No Highlighted Fields","Highlighted Fields Present"))</x:f>
        <x:v/>
      </x:c>
      <x:c r="F478" s="331" t="str">
        <x:f>IF($H478="","",IF(INDEX('Game Records'!$B:$B,$H478)="","Start Date; ","")&amp;IF(INDEX('Game Records'!$C:$C,$H478)="","End Date; ","")&amp;IF(AND(INDEX('Game Records'!$U:$U,$H478)&lt;&gt;"Subscription",INDEX('Game Records'!$U:$U,$H478)&lt;&gt;"Free Game",INDEX('Game Records'!$U:$U,$H478)&lt;&gt;"Disqualified — Free Game",OR(INDEX('Game Records'!$D:$D,$H478)="",LOWER(INDEX('Game Records'!$D:$D,$H478)&amp;"")="n/a")),"Entry Mode; ","")&amp;IF(AND(INDEX('Game Records'!$U:$U,$H478)&lt;&gt;"Subscription",INDEX('Game Records'!$U:$U,$H478)&lt;&gt;"Free Game",INDEX('Game Records'!$U:$U,$H478)&lt;&gt;"Disqualified — Free Game",OR(INDEX('Game Records'!$E:$E,$H478)="",LOWER(INDEX('Game Records'!$E:$E,$H478)&amp;"")="n/a")),"Game Type; ","")&amp;IF(INDEX('Game Records'!$F:$F,$H478)="","Payment Type; ","")&amp;IF(AND(INDEX('Game Records'!$U:$U,$H478)&lt;&gt;"Subscription",INDEX('Game Records'!$U:$U,$H478)&lt;&gt;"Free Game",INDEX('Game Records'!$U:$U,$H478)&lt;&gt;"Disqualified — Free Game",INDEX('Game Records'!$G:$G,$H478)=""),"Gross Pot; ","")&amp;IF(AND(INDEX('Game Records'!$U:$U,$H478)&lt;&gt;"Free Game",INDEX('Game Records'!$U:$U,$H478)&lt;&gt;"Disqualified — Free Game",INDEX('Game Records'!$H:$H,$H478)=""),"Entry Fee; ","")&amp;IF(AND(INDEX('Game Records'!$U:$U,$H478)&lt;&gt;"Subscription",INDEX('Game Records'!$U:$U,$H478)&lt;&gt;"Free Game",INDEX('Game Records'!$U:$U,$H478)&lt;&gt;"Disqualified — Free Game",INDEX('Game Records'!$I:$I,$H478)=""),"Eligible Players; ","")&amp;IF(AND(INDEX('Game Records'!$U:$U,$H478)&lt;&gt;"Subscription",INDEX('Game Records'!$U:$U,$H478)&lt;&gt;"Free Game",INDEX('Game Records'!$U:$U,$H478)&lt;&gt;"Disqualified — Free Game",INDEX('Game Records'!$J:$J,$H478)=""),"Total Players; ","")&amp;IF(AND(LOWER(INDEX('Game Records'!$D:$D,$H478)&amp;"")="finalized",LOWER(INDEX('Game Records'!$L:$L,$H478)&amp;"")&lt;&gt;"yes",INDEX('Game Records'!$U:$U,$H478)&lt;&gt;"Subscription",INDEX('Game Records'!$U:$U,$H478)&lt;&gt;"Free Game",INDEX('Game Records'!$U:$U,$H478)&lt;&gt;"Disqualified — Free Game",INDEX('Game Records'!$K:$K,$H478)=""),"Final Earned; ","")&amp;IF(AND(LOWER(INDEX('Game Records'!$D:$D,$H478)&amp;"")="finalized",INDEX('Game Records'!$U:$U,$H478)&lt;&gt;"Subscription",INDEX('Game Records'!$U:$U,$H478)&lt;&gt;"Free Game",INDEX('Game Records'!$U:$U,$H478)&lt;&gt;"Disqualified — Free Game",OR(INDEX('Game Records'!$L:$L,$H478)="",LOWER(INDEX('Game Records'!$L:$L,$H478)&amp;"")="n/a")),"Disqualified Status; ",""))</x:f>
        <x:v/>
      </x:c>
      <x:c r="G478" s="331" t="str">
        <x:f>IF($H478="","",IFERROR(INDEX('Game Records'!$M:$M,$H478),""))</x:f>
        <x:v/>
      </x:c>
      <x:c r="H478" s="104" t="str">
        <x:f>IF($H477="","",IFERROR(MATCH(1,INDEX((ROW('Game Records'!$U$5:$U$504)&gt;$H477)*(('Game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79" ht="24" customHeight="1">
      <x:c r="A479" s="332" t="str">
        <x:f>IF($H479="","",ROWS($A$5:A479))</x:f>
        <x:v/>
      </x:c>
      <x:c r="B479" s="332" t="str">
        <x:f>IF($H479="","","G-"&amp;TEXT($A479,"0000"))</x:f>
        <x:v/>
      </x:c>
      <x:c r="C479" s="331" t="str">
        <x:f>IF($H479="","",IFERROR(INDEX('Game Records'!$A:$A,$H479),""))</x:f>
        <x:v/>
      </x:c>
      <x:c r="D479" s="331" t="str">
        <x:f>IF($H479="","",IFERROR(INDEX('Game Records'!$U:$U,$H479),""))</x:f>
        <x:v/>
      </x:c>
      <x:c r="E479" s="331" t="str">
        <x:f>IF($H479="","",IF($F479="","No Highlighted Fields","Highlighted Fields Present"))</x:f>
        <x:v/>
      </x:c>
      <x:c r="F479" s="331" t="str">
        <x:f>IF($H479="","",IF(INDEX('Game Records'!$B:$B,$H479)="","Start Date; ","")&amp;IF(INDEX('Game Records'!$C:$C,$H479)="","End Date; ","")&amp;IF(AND(INDEX('Game Records'!$U:$U,$H479)&lt;&gt;"Subscription",INDEX('Game Records'!$U:$U,$H479)&lt;&gt;"Free Game",INDEX('Game Records'!$U:$U,$H479)&lt;&gt;"Disqualified — Free Game",OR(INDEX('Game Records'!$D:$D,$H479)="",LOWER(INDEX('Game Records'!$D:$D,$H479)&amp;"")="n/a")),"Entry Mode; ","")&amp;IF(AND(INDEX('Game Records'!$U:$U,$H479)&lt;&gt;"Subscription",INDEX('Game Records'!$U:$U,$H479)&lt;&gt;"Free Game",INDEX('Game Records'!$U:$U,$H479)&lt;&gt;"Disqualified — Free Game",OR(INDEX('Game Records'!$E:$E,$H479)="",LOWER(INDEX('Game Records'!$E:$E,$H479)&amp;"")="n/a")),"Game Type; ","")&amp;IF(INDEX('Game Records'!$F:$F,$H479)="","Payment Type; ","")&amp;IF(AND(INDEX('Game Records'!$U:$U,$H479)&lt;&gt;"Subscription",INDEX('Game Records'!$U:$U,$H479)&lt;&gt;"Free Game",INDEX('Game Records'!$U:$U,$H479)&lt;&gt;"Disqualified — Free Game",INDEX('Game Records'!$G:$G,$H479)=""),"Gross Pot; ","")&amp;IF(AND(INDEX('Game Records'!$U:$U,$H479)&lt;&gt;"Free Game",INDEX('Game Records'!$U:$U,$H479)&lt;&gt;"Disqualified — Free Game",INDEX('Game Records'!$H:$H,$H479)=""),"Entry Fee; ","")&amp;IF(AND(INDEX('Game Records'!$U:$U,$H479)&lt;&gt;"Subscription",INDEX('Game Records'!$U:$U,$H479)&lt;&gt;"Free Game",INDEX('Game Records'!$U:$U,$H479)&lt;&gt;"Disqualified — Free Game",INDEX('Game Records'!$I:$I,$H479)=""),"Eligible Players; ","")&amp;IF(AND(INDEX('Game Records'!$U:$U,$H479)&lt;&gt;"Subscription",INDEX('Game Records'!$U:$U,$H479)&lt;&gt;"Free Game",INDEX('Game Records'!$U:$U,$H479)&lt;&gt;"Disqualified — Free Game",INDEX('Game Records'!$J:$J,$H479)=""),"Total Players; ","")&amp;IF(AND(LOWER(INDEX('Game Records'!$D:$D,$H479)&amp;"")="finalized",LOWER(INDEX('Game Records'!$L:$L,$H479)&amp;"")&lt;&gt;"yes",INDEX('Game Records'!$U:$U,$H479)&lt;&gt;"Subscription",INDEX('Game Records'!$U:$U,$H479)&lt;&gt;"Free Game",INDEX('Game Records'!$U:$U,$H479)&lt;&gt;"Disqualified — Free Game",INDEX('Game Records'!$K:$K,$H479)=""),"Final Earned; ","")&amp;IF(AND(LOWER(INDEX('Game Records'!$D:$D,$H479)&amp;"")="finalized",INDEX('Game Records'!$U:$U,$H479)&lt;&gt;"Subscription",INDEX('Game Records'!$U:$U,$H479)&lt;&gt;"Free Game",INDEX('Game Records'!$U:$U,$H479)&lt;&gt;"Disqualified — Free Game",OR(INDEX('Game Records'!$L:$L,$H479)="",LOWER(INDEX('Game Records'!$L:$L,$H479)&amp;"")="n/a")),"Disqualified Status; ",""))</x:f>
        <x:v/>
      </x:c>
      <x:c r="G479" s="331" t="str">
        <x:f>IF($H479="","",IFERROR(INDEX('Game Records'!$M:$M,$H479),""))</x:f>
        <x:v/>
      </x:c>
      <x:c r="H479" s="104" t="str">
        <x:f>IF($H478="","",IFERROR(MATCH(1,INDEX((ROW('Game Records'!$U$5:$U$504)&gt;$H478)*(('Game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0" ht="24" customHeight="1">
      <x:c r="A480" s="332" t="str">
        <x:f>IF($H480="","",ROWS($A$5:A480))</x:f>
        <x:v/>
      </x:c>
      <x:c r="B480" s="332" t="str">
        <x:f>IF($H480="","","G-"&amp;TEXT($A480,"0000"))</x:f>
        <x:v/>
      </x:c>
      <x:c r="C480" s="331" t="str">
        <x:f>IF($H480="","",IFERROR(INDEX('Game Records'!$A:$A,$H480),""))</x:f>
        <x:v/>
      </x:c>
      <x:c r="D480" s="331" t="str">
        <x:f>IF($H480="","",IFERROR(INDEX('Game Records'!$U:$U,$H480),""))</x:f>
        <x:v/>
      </x:c>
      <x:c r="E480" s="331" t="str">
        <x:f>IF($H480="","",IF($F480="","No Highlighted Fields","Highlighted Fields Present"))</x:f>
        <x:v/>
      </x:c>
      <x:c r="F480" s="331" t="str">
        <x:f>IF($H480="","",IF(INDEX('Game Records'!$B:$B,$H480)="","Start Date; ","")&amp;IF(INDEX('Game Records'!$C:$C,$H480)="","End Date; ","")&amp;IF(AND(INDEX('Game Records'!$U:$U,$H480)&lt;&gt;"Subscription",INDEX('Game Records'!$U:$U,$H480)&lt;&gt;"Free Game",INDEX('Game Records'!$U:$U,$H480)&lt;&gt;"Disqualified — Free Game",OR(INDEX('Game Records'!$D:$D,$H480)="",LOWER(INDEX('Game Records'!$D:$D,$H480)&amp;"")="n/a")),"Entry Mode; ","")&amp;IF(AND(INDEX('Game Records'!$U:$U,$H480)&lt;&gt;"Subscription",INDEX('Game Records'!$U:$U,$H480)&lt;&gt;"Free Game",INDEX('Game Records'!$U:$U,$H480)&lt;&gt;"Disqualified — Free Game",OR(INDEX('Game Records'!$E:$E,$H480)="",LOWER(INDEX('Game Records'!$E:$E,$H480)&amp;"")="n/a")),"Game Type; ","")&amp;IF(INDEX('Game Records'!$F:$F,$H480)="","Payment Type; ","")&amp;IF(AND(INDEX('Game Records'!$U:$U,$H480)&lt;&gt;"Subscription",INDEX('Game Records'!$U:$U,$H480)&lt;&gt;"Free Game",INDEX('Game Records'!$U:$U,$H480)&lt;&gt;"Disqualified — Free Game",INDEX('Game Records'!$G:$G,$H480)=""),"Gross Pot; ","")&amp;IF(AND(INDEX('Game Records'!$U:$U,$H480)&lt;&gt;"Free Game",INDEX('Game Records'!$U:$U,$H480)&lt;&gt;"Disqualified — Free Game",INDEX('Game Records'!$H:$H,$H480)=""),"Entry Fee; ","")&amp;IF(AND(INDEX('Game Records'!$U:$U,$H480)&lt;&gt;"Subscription",INDEX('Game Records'!$U:$U,$H480)&lt;&gt;"Free Game",INDEX('Game Records'!$U:$U,$H480)&lt;&gt;"Disqualified — Free Game",INDEX('Game Records'!$I:$I,$H480)=""),"Eligible Players; ","")&amp;IF(AND(INDEX('Game Records'!$U:$U,$H480)&lt;&gt;"Subscription",INDEX('Game Records'!$U:$U,$H480)&lt;&gt;"Free Game",INDEX('Game Records'!$U:$U,$H480)&lt;&gt;"Disqualified — Free Game",INDEX('Game Records'!$J:$J,$H480)=""),"Total Players; ","")&amp;IF(AND(LOWER(INDEX('Game Records'!$D:$D,$H480)&amp;"")="finalized",LOWER(INDEX('Game Records'!$L:$L,$H480)&amp;"")&lt;&gt;"yes",INDEX('Game Records'!$U:$U,$H480)&lt;&gt;"Subscription",INDEX('Game Records'!$U:$U,$H480)&lt;&gt;"Free Game",INDEX('Game Records'!$U:$U,$H480)&lt;&gt;"Disqualified — Free Game",INDEX('Game Records'!$K:$K,$H480)=""),"Final Earned; ","")&amp;IF(AND(LOWER(INDEX('Game Records'!$D:$D,$H480)&amp;"")="finalized",INDEX('Game Records'!$U:$U,$H480)&lt;&gt;"Subscription",INDEX('Game Records'!$U:$U,$H480)&lt;&gt;"Free Game",INDEX('Game Records'!$U:$U,$H480)&lt;&gt;"Disqualified — Free Game",OR(INDEX('Game Records'!$L:$L,$H480)="",LOWER(INDEX('Game Records'!$L:$L,$H480)&amp;"")="n/a")),"Disqualified Status; ",""))</x:f>
        <x:v/>
      </x:c>
      <x:c r="G480" s="331" t="str">
        <x:f>IF($H480="","",IFERROR(INDEX('Game Records'!$M:$M,$H480),""))</x:f>
        <x:v/>
      </x:c>
      <x:c r="H480" s="104" t="str">
        <x:f>IF($H479="","",IFERROR(MATCH(1,INDEX((ROW('Game Records'!$U$5:$U$504)&gt;$H479)*(('Game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1" ht="24" customHeight="1">
      <x:c r="A481" s="332" t="str">
        <x:f>IF($H481="","",ROWS($A$5:A481))</x:f>
        <x:v/>
      </x:c>
      <x:c r="B481" s="332" t="str">
        <x:f>IF($H481="","","G-"&amp;TEXT($A481,"0000"))</x:f>
        <x:v/>
      </x:c>
      <x:c r="C481" s="331" t="str">
        <x:f>IF($H481="","",IFERROR(INDEX('Game Records'!$A:$A,$H481),""))</x:f>
        <x:v/>
      </x:c>
      <x:c r="D481" s="331" t="str">
        <x:f>IF($H481="","",IFERROR(INDEX('Game Records'!$U:$U,$H481),""))</x:f>
        <x:v/>
      </x:c>
      <x:c r="E481" s="331" t="str">
        <x:f>IF($H481="","",IF($F481="","No Highlighted Fields","Highlighted Fields Present"))</x:f>
        <x:v/>
      </x:c>
      <x:c r="F481" s="331" t="str">
        <x:f>IF($H481="","",IF(INDEX('Game Records'!$B:$B,$H481)="","Start Date; ","")&amp;IF(INDEX('Game Records'!$C:$C,$H481)="","End Date; ","")&amp;IF(AND(INDEX('Game Records'!$U:$U,$H481)&lt;&gt;"Subscription",INDEX('Game Records'!$U:$U,$H481)&lt;&gt;"Free Game",INDEX('Game Records'!$U:$U,$H481)&lt;&gt;"Disqualified — Free Game",OR(INDEX('Game Records'!$D:$D,$H481)="",LOWER(INDEX('Game Records'!$D:$D,$H481)&amp;"")="n/a")),"Entry Mode; ","")&amp;IF(AND(INDEX('Game Records'!$U:$U,$H481)&lt;&gt;"Subscription",INDEX('Game Records'!$U:$U,$H481)&lt;&gt;"Free Game",INDEX('Game Records'!$U:$U,$H481)&lt;&gt;"Disqualified — Free Game",OR(INDEX('Game Records'!$E:$E,$H481)="",LOWER(INDEX('Game Records'!$E:$E,$H481)&amp;"")="n/a")),"Game Type; ","")&amp;IF(INDEX('Game Records'!$F:$F,$H481)="","Payment Type; ","")&amp;IF(AND(INDEX('Game Records'!$U:$U,$H481)&lt;&gt;"Subscription",INDEX('Game Records'!$U:$U,$H481)&lt;&gt;"Free Game",INDEX('Game Records'!$U:$U,$H481)&lt;&gt;"Disqualified — Free Game",INDEX('Game Records'!$G:$G,$H481)=""),"Gross Pot; ","")&amp;IF(AND(INDEX('Game Records'!$U:$U,$H481)&lt;&gt;"Free Game",INDEX('Game Records'!$U:$U,$H481)&lt;&gt;"Disqualified — Free Game",INDEX('Game Records'!$H:$H,$H481)=""),"Entry Fee; ","")&amp;IF(AND(INDEX('Game Records'!$U:$U,$H481)&lt;&gt;"Subscription",INDEX('Game Records'!$U:$U,$H481)&lt;&gt;"Free Game",INDEX('Game Records'!$U:$U,$H481)&lt;&gt;"Disqualified — Free Game",INDEX('Game Records'!$I:$I,$H481)=""),"Eligible Players; ","")&amp;IF(AND(INDEX('Game Records'!$U:$U,$H481)&lt;&gt;"Subscription",INDEX('Game Records'!$U:$U,$H481)&lt;&gt;"Free Game",INDEX('Game Records'!$U:$U,$H481)&lt;&gt;"Disqualified — Free Game",INDEX('Game Records'!$J:$J,$H481)=""),"Total Players; ","")&amp;IF(AND(LOWER(INDEX('Game Records'!$D:$D,$H481)&amp;"")="finalized",LOWER(INDEX('Game Records'!$L:$L,$H481)&amp;"")&lt;&gt;"yes",INDEX('Game Records'!$U:$U,$H481)&lt;&gt;"Subscription",INDEX('Game Records'!$U:$U,$H481)&lt;&gt;"Free Game",INDEX('Game Records'!$U:$U,$H481)&lt;&gt;"Disqualified — Free Game",INDEX('Game Records'!$K:$K,$H481)=""),"Final Earned; ","")&amp;IF(AND(LOWER(INDEX('Game Records'!$D:$D,$H481)&amp;"")="finalized",INDEX('Game Records'!$U:$U,$H481)&lt;&gt;"Subscription",INDEX('Game Records'!$U:$U,$H481)&lt;&gt;"Free Game",INDEX('Game Records'!$U:$U,$H481)&lt;&gt;"Disqualified — Free Game",OR(INDEX('Game Records'!$L:$L,$H481)="",LOWER(INDEX('Game Records'!$L:$L,$H481)&amp;"")="n/a")),"Disqualified Status; ",""))</x:f>
        <x:v/>
      </x:c>
      <x:c r="G481" s="331" t="str">
        <x:f>IF($H481="","",IFERROR(INDEX('Game Records'!$M:$M,$H481),""))</x:f>
        <x:v/>
      </x:c>
      <x:c r="H481" s="104" t="str">
        <x:f>IF($H480="","",IFERROR(MATCH(1,INDEX((ROW('Game Records'!$U$5:$U$504)&gt;$H480)*(('Game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2" ht="24" customHeight="1">
      <x:c r="A482" s="332" t="str">
        <x:f>IF($H482="","",ROWS($A$5:A482))</x:f>
        <x:v/>
      </x:c>
      <x:c r="B482" s="332" t="str">
        <x:f>IF($H482="","","G-"&amp;TEXT($A482,"0000"))</x:f>
        <x:v/>
      </x:c>
      <x:c r="C482" s="331" t="str">
        <x:f>IF($H482="","",IFERROR(INDEX('Game Records'!$A:$A,$H482),""))</x:f>
        <x:v/>
      </x:c>
      <x:c r="D482" s="331" t="str">
        <x:f>IF($H482="","",IFERROR(INDEX('Game Records'!$U:$U,$H482),""))</x:f>
        <x:v/>
      </x:c>
      <x:c r="E482" s="331" t="str">
        <x:f>IF($H482="","",IF($F482="","No Highlighted Fields","Highlighted Fields Present"))</x:f>
        <x:v/>
      </x:c>
      <x:c r="F482" s="331" t="str">
        <x:f>IF($H482="","",IF(INDEX('Game Records'!$B:$B,$H482)="","Start Date; ","")&amp;IF(INDEX('Game Records'!$C:$C,$H482)="","End Date; ","")&amp;IF(AND(INDEX('Game Records'!$U:$U,$H482)&lt;&gt;"Subscription",INDEX('Game Records'!$U:$U,$H482)&lt;&gt;"Free Game",INDEX('Game Records'!$U:$U,$H482)&lt;&gt;"Disqualified — Free Game",OR(INDEX('Game Records'!$D:$D,$H482)="",LOWER(INDEX('Game Records'!$D:$D,$H482)&amp;"")="n/a")),"Entry Mode; ","")&amp;IF(AND(INDEX('Game Records'!$U:$U,$H482)&lt;&gt;"Subscription",INDEX('Game Records'!$U:$U,$H482)&lt;&gt;"Free Game",INDEX('Game Records'!$U:$U,$H482)&lt;&gt;"Disqualified — Free Game",OR(INDEX('Game Records'!$E:$E,$H482)="",LOWER(INDEX('Game Records'!$E:$E,$H482)&amp;"")="n/a")),"Game Type; ","")&amp;IF(INDEX('Game Records'!$F:$F,$H482)="","Payment Type; ","")&amp;IF(AND(INDEX('Game Records'!$U:$U,$H482)&lt;&gt;"Subscription",INDEX('Game Records'!$U:$U,$H482)&lt;&gt;"Free Game",INDEX('Game Records'!$U:$U,$H482)&lt;&gt;"Disqualified — Free Game",INDEX('Game Records'!$G:$G,$H482)=""),"Gross Pot; ","")&amp;IF(AND(INDEX('Game Records'!$U:$U,$H482)&lt;&gt;"Free Game",INDEX('Game Records'!$U:$U,$H482)&lt;&gt;"Disqualified — Free Game",INDEX('Game Records'!$H:$H,$H482)=""),"Entry Fee; ","")&amp;IF(AND(INDEX('Game Records'!$U:$U,$H482)&lt;&gt;"Subscription",INDEX('Game Records'!$U:$U,$H482)&lt;&gt;"Free Game",INDEX('Game Records'!$U:$U,$H482)&lt;&gt;"Disqualified — Free Game",INDEX('Game Records'!$I:$I,$H482)=""),"Eligible Players; ","")&amp;IF(AND(INDEX('Game Records'!$U:$U,$H482)&lt;&gt;"Subscription",INDEX('Game Records'!$U:$U,$H482)&lt;&gt;"Free Game",INDEX('Game Records'!$U:$U,$H482)&lt;&gt;"Disqualified — Free Game",INDEX('Game Records'!$J:$J,$H482)=""),"Total Players; ","")&amp;IF(AND(LOWER(INDEX('Game Records'!$D:$D,$H482)&amp;"")="finalized",LOWER(INDEX('Game Records'!$L:$L,$H482)&amp;"")&lt;&gt;"yes",INDEX('Game Records'!$U:$U,$H482)&lt;&gt;"Subscription",INDEX('Game Records'!$U:$U,$H482)&lt;&gt;"Free Game",INDEX('Game Records'!$U:$U,$H482)&lt;&gt;"Disqualified — Free Game",INDEX('Game Records'!$K:$K,$H482)=""),"Final Earned; ","")&amp;IF(AND(LOWER(INDEX('Game Records'!$D:$D,$H482)&amp;"")="finalized",INDEX('Game Records'!$U:$U,$H482)&lt;&gt;"Subscription",INDEX('Game Records'!$U:$U,$H482)&lt;&gt;"Free Game",INDEX('Game Records'!$U:$U,$H482)&lt;&gt;"Disqualified — Free Game",OR(INDEX('Game Records'!$L:$L,$H482)="",LOWER(INDEX('Game Records'!$L:$L,$H482)&amp;"")="n/a")),"Disqualified Status; ",""))</x:f>
        <x:v/>
      </x:c>
      <x:c r="G482" s="331" t="str">
        <x:f>IF($H482="","",IFERROR(INDEX('Game Records'!$M:$M,$H482),""))</x:f>
        <x:v/>
      </x:c>
      <x:c r="H482" s="104" t="str">
        <x:f>IF($H481="","",IFERROR(MATCH(1,INDEX((ROW('Game Records'!$U$5:$U$504)&gt;$H481)*(('Game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3" ht="24" customHeight="1">
      <x:c r="A483" s="332" t="str">
        <x:f>IF($H483="","",ROWS($A$5:A483))</x:f>
        <x:v/>
      </x:c>
      <x:c r="B483" s="332" t="str">
        <x:f>IF($H483="","","G-"&amp;TEXT($A483,"0000"))</x:f>
        <x:v/>
      </x:c>
      <x:c r="C483" s="331" t="str">
        <x:f>IF($H483="","",IFERROR(INDEX('Game Records'!$A:$A,$H483),""))</x:f>
        <x:v/>
      </x:c>
      <x:c r="D483" s="331" t="str">
        <x:f>IF($H483="","",IFERROR(INDEX('Game Records'!$U:$U,$H483),""))</x:f>
        <x:v/>
      </x:c>
      <x:c r="E483" s="331" t="str">
        <x:f>IF($H483="","",IF($F483="","No Highlighted Fields","Highlighted Fields Present"))</x:f>
        <x:v/>
      </x:c>
      <x:c r="F483" s="331" t="str">
        <x:f>IF($H483="","",IF(INDEX('Game Records'!$B:$B,$H483)="","Start Date; ","")&amp;IF(INDEX('Game Records'!$C:$C,$H483)="","End Date; ","")&amp;IF(AND(INDEX('Game Records'!$U:$U,$H483)&lt;&gt;"Subscription",INDEX('Game Records'!$U:$U,$H483)&lt;&gt;"Free Game",INDEX('Game Records'!$U:$U,$H483)&lt;&gt;"Disqualified — Free Game",OR(INDEX('Game Records'!$D:$D,$H483)="",LOWER(INDEX('Game Records'!$D:$D,$H483)&amp;"")="n/a")),"Entry Mode; ","")&amp;IF(AND(INDEX('Game Records'!$U:$U,$H483)&lt;&gt;"Subscription",INDEX('Game Records'!$U:$U,$H483)&lt;&gt;"Free Game",INDEX('Game Records'!$U:$U,$H483)&lt;&gt;"Disqualified — Free Game",OR(INDEX('Game Records'!$E:$E,$H483)="",LOWER(INDEX('Game Records'!$E:$E,$H483)&amp;"")="n/a")),"Game Type; ","")&amp;IF(INDEX('Game Records'!$F:$F,$H483)="","Payment Type; ","")&amp;IF(AND(INDEX('Game Records'!$U:$U,$H483)&lt;&gt;"Subscription",INDEX('Game Records'!$U:$U,$H483)&lt;&gt;"Free Game",INDEX('Game Records'!$U:$U,$H483)&lt;&gt;"Disqualified — Free Game",INDEX('Game Records'!$G:$G,$H483)=""),"Gross Pot; ","")&amp;IF(AND(INDEX('Game Records'!$U:$U,$H483)&lt;&gt;"Free Game",INDEX('Game Records'!$U:$U,$H483)&lt;&gt;"Disqualified — Free Game",INDEX('Game Records'!$H:$H,$H483)=""),"Entry Fee; ","")&amp;IF(AND(INDEX('Game Records'!$U:$U,$H483)&lt;&gt;"Subscription",INDEX('Game Records'!$U:$U,$H483)&lt;&gt;"Free Game",INDEX('Game Records'!$U:$U,$H483)&lt;&gt;"Disqualified — Free Game",INDEX('Game Records'!$I:$I,$H483)=""),"Eligible Players; ","")&amp;IF(AND(INDEX('Game Records'!$U:$U,$H483)&lt;&gt;"Subscription",INDEX('Game Records'!$U:$U,$H483)&lt;&gt;"Free Game",INDEX('Game Records'!$U:$U,$H483)&lt;&gt;"Disqualified — Free Game",INDEX('Game Records'!$J:$J,$H483)=""),"Total Players; ","")&amp;IF(AND(LOWER(INDEX('Game Records'!$D:$D,$H483)&amp;"")="finalized",LOWER(INDEX('Game Records'!$L:$L,$H483)&amp;"")&lt;&gt;"yes",INDEX('Game Records'!$U:$U,$H483)&lt;&gt;"Subscription",INDEX('Game Records'!$U:$U,$H483)&lt;&gt;"Free Game",INDEX('Game Records'!$U:$U,$H483)&lt;&gt;"Disqualified — Free Game",INDEX('Game Records'!$K:$K,$H483)=""),"Final Earned; ","")&amp;IF(AND(LOWER(INDEX('Game Records'!$D:$D,$H483)&amp;"")="finalized",INDEX('Game Records'!$U:$U,$H483)&lt;&gt;"Subscription",INDEX('Game Records'!$U:$U,$H483)&lt;&gt;"Free Game",INDEX('Game Records'!$U:$U,$H483)&lt;&gt;"Disqualified — Free Game",OR(INDEX('Game Records'!$L:$L,$H483)="",LOWER(INDEX('Game Records'!$L:$L,$H483)&amp;"")="n/a")),"Disqualified Status; ",""))</x:f>
        <x:v/>
      </x:c>
      <x:c r="G483" s="331" t="str">
        <x:f>IF($H483="","",IFERROR(INDEX('Game Records'!$M:$M,$H483),""))</x:f>
        <x:v/>
      </x:c>
      <x:c r="H483" s="104" t="str">
        <x:f>IF($H482="","",IFERROR(MATCH(1,INDEX((ROW('Game Records'!$U$5:$U$504)&gt;$H482)*(('Game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4" ht="24" customHeight="1">
      <x:c r="A484" s="332" t="str">
        <x:f>IF($H484="","",ROWS($A$5:A484))</x:f>
        <x:v/>
      </x:c>
      <x:c r="B484" s="332" t="str">
        <x:f>IF($H484="","","G-"&amp;TEXT($A484,"0000"))</x:f>
        <x:v/>
      </x:c>
      <x:c r="C484" s="331" t="str">
        <x:f>IF($H484="","",IFERROR(INDEX('Game Records'!$A:$A,$H484),""))</x:f>
        <x:v/>
      </x:c>
      <x:c r="D484" s="331" t="str">
        <x:f>IF($H484="","",IFERROR(INDEX('Game Records'!$U:$U,$H484),""))</x:f>
        <x:v/>
      </x:c>
      <x:c r="E484" s="331" t="str">
        <x:f>IF($H484="","",IF($F484="","No Highlighted Fields","Highlighted Fields Present"))</x:f>
        <x:v/>
      </x:c>
      <x:c r="F484" s="331" t="str">
        <x:f>IF($H484="","",IF(INDEX('Game Records'!$B:$B,$H484)="","Start Date; ","")&amp;IF(INDEX('Game Records'!$C:$C,$H484)="","End Date; ","")&amp;IF(AND(INDEX('Game Records'!$U:$U,$H484)&lt;&gt;"Subscription",INDEX('Game Records'!$U:$U,$H484)&lt;&gt;"Free Game",INDEX('Game Records'!$U:$U,$H484)&lt;&gt;"Disqualified — Free Game",OR(INDEX('Game Records'!$D:$D,$H484)="",LOWER(INDEX('Game Records'!$D:$D,$H484)&amp;"")="n/a")),"Entry Mode; ","")&amp;IF(AND(INDEX('Game Records'!$U:$U,$H484)&lt;&gt;"Subscription",INDEX('Game Records'!$U:$U,$H484)&lt;&gt;"Free Game",INDEX('Game Records'!$U:$U,$H484)&lt;&gt;"Disqualified — Free Game",OR(INDEX('Game Records'!$E:$E,$H484)="",LOWER(INDEX('Game Records'!$E:$E,$H484)&amp;"")="n/a")),"Game Type; ","")&amp;IF(INDEX('Game Records'!$F:$F,$H484)="","Payment Type; ","")&amp;IF(AND(INDEX('Game Records'!$U:$U,$H484)&lt;&gt;"Subscription",INDEX('Game Records'!$U:$U,$H484)&lt;&gt;"Free Game",INDEX('Game Records'!$U:$U,$H484)&lt;&gt;"Disqualified — Free Game",INDEX('Game Records'!$G:$G,$H484)=""),"Gross Pot; ","")&amp;IF(AND(INDEX('Game Records'!$U:$U,$H484)&lt;&gt;"Free Game",INDEX('Game Records'!$U:$U,$H484)&lt;&gt;"Disqualified — Free Game",INDEX('Game Records'!$H:$H,$H484)=""),"Entry Fee; ","")&amp;IF(AND(INDEX('Game Records'!$U:$U,$H484)&lt;&gt;"Subscription",INDEX('Game Records'!$U:$U,$H484)&lt;&gt;"Free Game",INDEX('Game Records'!$U:$U,$H484)&lt;&gt;"Disqualified — Free Game",INDEX('Game Records'!$I:$I,$H484)=""),"Eligible Players; ","")&amp;IF(AND(INDEX('Game Records'!$U:$U,$H484)&lt;&gt;"Subscription",INDEX('Game Records'!$U:$U,$H484)&lt;&gt;"Free Game",INDEX('Game Records'!$U:$U,$H484)&lt;&gt;"Disqualified — Free Game",INDEX('Game Records'!$J:$J,$H484)=""),"Total Players; ","")&amp;IF(AND(LOWER(INDEX('Game Records'!$D:$D,$H484)&amp;"")="finalized",LOWER(INDEX('Game Records'!$L:$L,$H484)&amp;"")&lt;&gt;"yes",INDEX('Game Records'!$U:$U,$H484)&lt;&gt;"Subscription",INDEX('Game Records'!$U:$U,$H484)&lt;&gt;"Free Game",INDEX('Game Records'!$U:$U,$H484)&lt;&gt;"Disqualified — Free Game",INDEX('Game Records'!$K:$K,$H484)=""),"Final Earned; ","")&amp;IF(AND(LOWER(INDEX('Game Records'!$D:$D,$H484)&amp;"")="finalized",INDEX('Game Records'!$U:$U,$H484)&lt;&gt;"Subscription",INDEX('Game Records'!$U:$U,$H484)&lt;&gt;"Free Game",INDEX('Game Records'!$U:$U,$H484)&lt;&gt;"Disqualified — Free Game",OR(INDEX('Game Records'!$L:$L,$H484)="",LOWER(INDEX('Game Records'!$L:$L,$H484)&amp;"")="n/a")),"Disqualified Status; ",""))</x:f>
        <x:v/>
      </x:c>
      <x:c r="G484" s="331" t="str">
        <x:f>IF($H484="","",IFERROR(INDEX('Game Records'!$M:$M,$H484),""))</x:f>
        <x:v/>
      </x:c>
      <x:c r="H484" s="104" t="str">
        <x:f>IF($H483="","",IFERROR(MATCH(1,INDEX((ROW('Game Records'!$U$5:$U$504)&gt;$H483)*(('Game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5" ht="24" customHeight="1">
      <x:c r="A485" s="332" t="str">
        <x:f>IF($H485="","",ROWS($A$5:A485))</x:f>
        <x:v/>
      </x:c>
      <x:c r="B485" s="332" t="str">
        <x:f>IF($H485="","","G-"&amp;TEXT($A485,"0000"))</x:f>
        <x:v/>
      </x:c>
      <x:c r="C485" s="331" t="str">
        <x:f>IF($H485="","",IFERROR(INDEX('Game Records'!$A:$A,$H485),""))</x:f>
        <x:v/>
      </x:c>
      <x:c r="D485" s="331" t="str">
        <x:f>IF($H485="","",IFERROR(INDEX('Game Records'!$U:$U,$H485),""))</x:f>
        <x:v/>
      </x:c>
      <x:c r="E485" s="331" t="str">
        <x:f>IF($H485="","",IF($F485="","No Highlighted Fields","Highlighted Fields Present"))</x:f>
        <x:v/>
      </x:c>
      <x:c r="F485" s="331" t="str">
        <x:f>IF($H485="","",IF(INDEX('Game Records'!$B:$B,$H485)="","Start Date; ","")&amp;IF(INDEX('Game Records'!$C:$C,$H485)="","End Date; ","")&amp;IF(AND(INDEX('Game Records'!$U:$U,$H485)&lt;&gt;"Subscription",INDEX('Game Records'!$U:$U,$H485)&lt;&gt;"Free Game",INDEX('Game Records'!$U:$U,$H485)&lt;&gt;"Disqualified — Free Game",OR(INDEX('Game Records'!$D:$D,$H485)="",LOWER(INDEX('Game Records'!$D:$D,$H485)&amp;"")="n/a")),"Entry Mode; ","")&amp;IF(AND(INDEX('Game Records'!$U:$U,$H485)&lt;&gt;"Subscription",INDEX('Game Records'!$U:$U,$H485)&lt;&gt;"Free Game",INDEX('Game Records'!$U:$U,$H485)&lt;&gt;"Disqualified — Free Game",OR(INDEX('Game Records'!$E:$E,$H485)="",LOWER(INDEX('Game Records'!$E:$E,$H485)&amp;"")="n/a")),"Game Type; ","")&amp;IF(INDEX('Game Records'!$F:$F,$H485)="","Payment Type; ","")&amp;IF(AND(INDEX('Game Records'!$U:$U,$H485)&lt;&gt;"Subscription",INDEX('Game Records'!$U:$U,$H485)&lt;&gt;"Free Game",INDEX('Game Records'!$U:$U,$H485)&lt;&gt;"Disqualified — Free Game",INDEX('Game Records'!$G:$G,$H485)=""),"Gross Pot; ","")&amp;IF(AND(INDEX('Game Records'!$U:$U,$H485)&lt;&gt;"Free Game",INDEX('Game Records'!$U:$U,$H485)&lt;&gt;"Disqualified — Free Game",INDEX('Game Records'!$H:$H,$H485)=""),"Entry Fee; ","")&amp;IF(AND(INDEX('Game Records'!$U:$U,$H485)&lt;&gt;"Subscription",INDEX('Game Records'!$U:$U,$H485)&lt;&gt;"Free Game",INDEX('Game Records'!$U:$U,$H485)&lt;&gt;"Disqualified — Free Game",INDEX('Game Records'!$I:$I,$H485)=""),"Eligible Players; ","")&amp;IF(AND(INDEX('Game Records'!$U:$U,$H485)&lt;&gt;"Subscription",INDEX('Game Records'!$U:$U,$H485)&lt;&gt;"Free Game",INDEX('Game Records'!$U:$U,$H485)&lt;&gt;"Disqualified — Free Game",INDEX('Game Records'!$J:$J,$H485)=""),"Total Players; ","")&amp;IF(AND(LOWER(INDEX('Game Records'!$D:$D,$H485)&amp;"")="finalized",LOWER(INDEX('Game Records'!$L:$L,$H485)&amp;"")&lt;&gt;"yes",INDEX('Game Records'!$U:$U,$H485)&lt;&gt;"Subscription",INDEX('Game Records'!$U:$U,$H485)&lt;&gt;"Free Game",INDEX('Game Records'!$U:$U,$H485)&lt;&gt;"Disqualified — Free Game",INDEX('Game Records'!$K:$K,$H485)=""),"Final Earned; ","")&amp;IF(AND(LOWER(INDEX('Game Records'!$D:$D,$H485)&amp;"")="finalized",INDEX('Game Records'!$U:$U,$H485)&lt;&gt;"Subscription",INDEX('Game Records'!$U:$U,$H485)&lt;&gt;"Free Game",INDEX('Game Records'!$U:$U,$H485)&lt;&gt;"Disqualified — Free Game",OR(INDEX('Game Records'!$L:$L,$H485)="",LOWER(INDEX('Game Records'!$L:$L,$H485)&amp;"")="n/a")),"Disqualified Status; ",""))</x:f>
        <x:v/>
      </x:c>
      <x:c r="G485" s="331" t="str">
        <x:f>IF($H485="","",IFERROR(INDEX('Game Records'!$M:$M,$H485),""))</x:f>
        <x:v/>
      </x:c>
      <x:c r="H485" s="104" t="str">
        <x:f>IF($H484="","",IFERROR(MATCH(1,INDEX((ROW('Game Records'!$U$5:$U$504)&gt;$H484)*(('Game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6" ht="24" customHeight="1">
      <x:c r="A486" s="332" t="str">
        <x:f>IF($H486="","",ROWS($A$5:A486))</x:f>
        <x:v/>
      </x:c>
      <x:c r="B486" s="332" t="str">
        <x:f>IF($H486="","","G-"&amp;TEXT($A486,"0000"))</x:f>
        <x:v/>
      </x:c>
      <x:c r="C486" s="331" t="str">
        <x:f>IF($H486="","",IFERROR(INDEX('Game Records'!$A:$A,$H486),""))</x:f>
        <x:v/>
      </x:c>
      <x:c r="D486" s="331" t="str">
        <x:f>IF($H486="","",IFERROR(INDEX('Game Records'!$U:$U,$H486),""))</x:f>
        <x:v/>
      </x:c>
      <x:c r="E486" s="331" t="str">
        <x:f>IF($H486="","",IF($F486="","No Highlighted Fields","Highlighted Fields Present"))</x:f>
        <x:v/>
      </x:c>
      <x:c r="F486" s="331" t="str">
        <x:f>IF($H486="","",IF(INDEX('Game Records'!$B:$B,$H486)="","Start Date; ","")&amp;IF(INDEX('Game Records'!$C:$C,$H486)="","End Date; ","")&amp;IF(AND(INDEX('Game Records'!$U:$U,$H486)&lt;&gt;"Subscription",INDEX('Game Records'!$U:$U,$H486)&lt;&gt;"Free Game",INDEX('Game Records'!$U:$U,$H486)&lt;&gt;"Disqualified — Free Game",OR(INDEX('Game Records'!$D:$D,$H486)="",LOWER(INDEX('Game Records'!$D:$D,$H486)&amp;"")="n/a")),"Entry Mode; ","")&amp;IF(AND(INDEX('Game Records'!$U:$U,$H486)&lt;&gt;"Subscription",INDEX('Game Records'!$U:$U,$H486)&lt;&gt;"Free Game",INDEX('Game Records'!$U:$U,$H486)&lt;&gt;"Disqualified — Free Game",OR(INDEX('Game Records'!$E:$E,$H486)="",LOWER(INDEX('Game Records'!$E:$E,$H486)&amp;"")="n/a")),"Game Type; ","")&amp;IF(INDEX('Game Records'!$F:$F,$H486)="","Payment Type; ","")&amp;IF(AND(INDEX('Game Records'!$U:$U,$H486)&lt;&gt;"Subscription",INDEX('Game Records'!$U:$U,$H486)&lt;&gt;"Free Game",INDEX('Game Records'!$U:$U,$H486)&lt;&gt;"Disqualified — Free Game",INDEX('Game Records'!$G:$G,$H486)=""),"Gross Pot; ","")&amp;IF(AND(INDEX('Game Records'!$U:$U,$H486)&lt;&gt;"Free Game",INDEX('Game Records'!$U:$U,$H486)&lt;&gt;"Disqualified — Free Game",INDEX('Game Records'!$H:$H,$H486)=""),"Entry Fee; ","")&amp;IF(AND(INDEX('Game Records'!$U:$U,$H486)&lt;&gt;"Subscription",INDEX('Game Records'!$U:$U,$H486)&lt;&gt;"Free Game",INDEX('Game Records'!$U:$U,$H486)&lt;&gt;"Disqualified — Free Game",INDEX('Game Records'!$I:$I,$H486)=""),"Eligible Players; ","")&amp;IF(AND(INDEX('Game Records'!$U:$U,$H486)&lt;&gt;"Subscription",INDEX('Game Records'!$U:$U,$H486)&lt;&gt;"Free Game",INDEX('Game Records'!$U:$U,$H486)&lt;&gt;"Disqualified — Free Game",INDEX('Game Records'!$J:$J,$H486)=""),"Total Players; ","")&amp;IF(AND(LOWER(INDEX('Game Records'!$D:$D,$H486)&amp;"")="finalized",LOWER(INDEX('Game Records'!$L:$L,$H486)&amp;"")&lt;&gt;"yes",INDEX('Game Records'!$U:$U,$H486)&lt;&gt;"Subscription",INDEX('Game Records'!$U:$U,$H486)&lt;&gt;"Free Game",INDEX('Game Records'!$U:$U,$H486)&lt;&gt;"Disqualified — Free Game",INDEX('Game Records'!$K:$K,$H486)=""),"Final Earned; ","")&amp;IF(AND(LOWER(INDEX('Game Records'!$D:$D,$H486)&amp;"")="finalized",INDEX('Game Records'!$U:$U,$H486)&lt;&gt;"Subscription",INDEX('Game Records'!$U:$U,$H486)&lt;&gt;"Free Game",INDEX('Game Records'!$U:$U,$H486)&lt;&gt;"Disqualified — Free Game",OR(INDEX('Game Records'!$L:$L,$H486)="",LOWER(INDEX('Game Records'!$L:$L,$H486)&amp;"")="n/a")),"Disqualified Status; ",""))</x:f>
        <x:v/>
      </x:c>
      <x:c r="G486" s="331" t="str">
        <x:f>IF($H486="","",IFERROR(INDEX('Game Records'!$M:$M,$H486),""))</x:f>
        <x:v/>
      </x:c>
      <x:c r="H486" s="104" t="str">
        <x:f>IF($H485="","",IFERROR(MATCH(1,INDEX((ROW('Game Records'!$U$5:$U$504)&gt;$H485)*(('Game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7" ht="24" customHeight="1">
      <x:c r="A487" s="332" t="str">
        <x:f>IF($H487="","",ROWS($A$5:A487))</x:f>
        <x:v/>
      </x:c>
      <x:c r="B487" s="332" t="str">
        <x:f>IF($H487="","","G-"&amp;TEXT($A487,"0000"))</x:f>
        <x:v/>
      </x:c>
      <x:c r="C487" s="331" t="str">
        <x:f>IF($H487="","",IFERROR(INDEX('Game Records'!$A:$A,$H487),""))</x:f>
        <x:v/>
      </x:c>
      <x:c r="D487" s="331" t="str">
        <x:f>IF($H487="","",IFERROR(INDEX('Game Records'!$U:$U,$H487),""))</x:f>
        <x:v/>
      </x:c>
      <x:c r="E487" s="331" t="str">
        <x:f>IF($H487="","",IF($F487="","No Highlighted Fields","Highlighted Fields Present"))</x:f>
        <x:v/>
      </x:c>
      <x:c r="F487" s="331" t="str">
        <x:f>IF($H487="","",IF(INDEX('Game Records'!$B:$B,$H487)="","Start Date; ","")&amp;IF(INDEX('Game Records'!$C:$C,$H487)="","End Date; ","")&amp;IF(AND(INDEX('Game Records'!$U:$U,$H487)&lt;&gt;"Subscription",INDEX('Game Records'!$U:$U,$H487)&lt;&gt;"Free Game",INDEX('Game Records'!$U:$U,$H487)&lt;&gt;"Disqualified — Free Game",OR(INDEX('Game Records'!$D:$D,$H487)="",LOWER(INDEX('Game Records'!$D:$D,$H487)&amp;"")="n/a")),"Entry Mode; ","")&amp;IF(AND(INDEX('Game Records'!$U:$U,$H487)&lt;&gt;"Subscription",INDEX('Game Records'!$U:$U,$H487)&lt;&gt;"Free Game",INDEX('Game Records'!$U:$U,$H487)&lt;&gt;"Disqualified — Free Game",OR(INDEX('Game Records'!$E:$E,$H487)="",LOWER(INDEX('Game Records'!$E:$E,$H487)&amp;"")="n/a")),"Game Type; ","")&amp;IF(INDEX('Game Records'!$F:$F,$H487)="","Payment Type; ","")&amp;IF(AND(INDEX('Game Records'!$U:$U,$H487)&lt;&gt;"Subscription",INDEX('Game Records'!$U:$U,$H487)&lt;&gt;"Free Game",INDEX('Game Records'!$U:$U,$H487)&lt;&gt;"Disqualified — Free Game",INDEX('Game Records'!$G:$G,$H487)=""),"Gross Pot; ","")&amp;IF(AND(INDEX('Game Records'!$U:$U,$H487)&lt;&gt;"Free Game",INDEX('Game Records'!$U:$U,$H487)&lt;&gt;"Disqualified — Free Game",INDEX('Game Records'!$H:$H,$H487)=""),"Entry Fee; ","")&amp;IF(AND(INDEX('Game Records'!$U:$U,$H487)&lt;&gt;"Subscription",INDEX('Game Records'!$U:$U,$H487)&lt;&gt;"Free Game",INDEX('Game Records'!$U:$U,$H487)&lt;&gt;"Disqualified — Free Game",INDEX('Game Records'!$I:$I,$H487)=""),"Eligible Players; ","")&amp;IF(AND(INDEX('Game Records'!$U:$U,$H487)&lt;&gt;"Subscription",INDEX('Game Records'!$U:$U,$H487)&lt;&gt;"Free Game",INDEX('Game Records'!$U:$U,$H487)&lt;&gt;"Disqualified — Free Game",INDEX('Game Records'!$J:$J,$H487)=""),"Total Players; ","")&amp;IF(AND(LOWER(INDEX('Game Records'!$D:$D,$H487)&amp;"")="finalized",LOWER(INDEX('Game Records'!$L:$L,$H487)&amp;"")&lt;&gt;"yes",INDEX('Game Records'!$U:$U,$H487)&lt;&gt;"Subscription",INDEX('Game Records'!$U:$U,$H487)&lt;&gt;"Free Game",INDEX('Game Records'!$U:$U,$H487)&lt;&gt;"Disqualified — Free Game",INDEX('Game Records'!$K:$K,$H487)=""),"Final Earned; ","")&amp;IF(AND(LOWER(INDEX('Game Records'!$D:$D,$H487)&amp;"")="finalized",INDEX('Game Records'!$U:$U,$H487)&lt;&gt;"Subscription",INDEX('Game Records'!$U:$U,$H487)&lt;&gt;"Free Game",INDEX('Game Records'!$U:$U,$H487)&lt;&gt;"Disqualified — Free Game",OR(INDEX('Game Records'!$L:$L,$H487)="",LOWER(INDEX('Game Records'!$L:$L,$H487)&amp;"")="n/a")),"Disqualified Status; ",""))</x:f>
        <x:v/>
      </x:c>
      <x:c r="G487" s="331" t="str">
        <x:f>IF($H487="","",IFERROR(INDEX('Game Records'!$M:$M,$H487),""))</x:f>
        <x:v/>
      </x:c>
      <x:c r="H487" s="104" t="str">
        <x:f>IF($H486="","",IFERROR(MATCH(1,INDEX((ROW('Game Records'!$U$5:$U$504)&gt;$H486)*(('Game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8" ht="24" customHeight="1">
      <x:c r="A488" s="332" t="str">
        <x:f>IF($H488="","",ROWS($A$5:A488))</x:f>
        <x:v/>
      </x:c>
      <x:c r="B488" s="332" t="str">
        <x:f>IF($H488="","","G-"&amp;TEXT($A488,"0000"))</x:f>
        <x:v/>
      </x:c>
      <x:c r="C488" s="331" t="str">
        <x:f>IF($H488="","",IFERROR(INDEX('Game Records'!$A:$A,$H488),""))</x:f>
        <x:v/>
      </x:c>
      <x:c r="D488" s="331" t="str">
        <x:f>IF($H488="","",IFERROR(INDEX('Game Records'!$U:$U,$H488),""))</x:f>
        <x:v/>
      </x:c>
      <x:c r="E488" s="331" t="str">
        <x:f>IF($H488="","",IF($F488="","No Highlighted Fields","Highlighted Fields Present"))</x:f>
        <x:v/>
      </x:c>
      <x:c r="F488" s="331" t="str">
        <x:f>IF($H488="","",IF(INDEX('Game Records'!$B:$B,$H488)="","Start Date; ","")&amp;IF(INDEX('Game Records'!$C:$C,$H488)="","End Date; ","")&amp;IF(AND(INDEX('Game Records'!$U:$U,$H488)&lt;&gt;"Subscription",INDEX('Game Records'!$U:$U,$H488)&lt;&gt;"Free Game",INDEX('Game Records'!$U:$U,$H488)&lt;&gt;"Disqualified — Free Game",OR(INDEX('Game Records'!$D:$D,$H488)="",LOWER(INDEX('Game Records'!$D:$D,$H488)&amp;"")="n/a")),"Entry Mode; ","")&amp;IF(AND(INDEX('Game Records'!$U:$U,$H488)&lt;&gt;"Subscription",INDEX('Game Records'!$U:$U,$H488)&lt;&gt;"Free Game",INDEX('Game Records'!$U:$U,$H488)&lt;&gt;"Disqualified — Free Game",OR(INDEX('Game Records'!$E:$E,$H488)="",LOWER(INDEX('Game Records'!$E:$E,$H488)&amp;"")="n/a")),"Game Type; ","")&amp;IF(INDEX('Game Records'!$F:$F,$H488)="","Payment Type; ","")&amp;IF(AND(INDEX('Game Records'!$U:$U,$H488)&lt;&gt;"Subscription",INDEX('Game Records'!$U:$U,$H488)&lt;&gt;"Free Game",INDEX('Game Records'!$U:$U,$H488)&lt;&gt;"Disqualified — Free Game",INDEX('Game Records'!$G:$G,$H488)=""),"Gross Pot; ","")&amp;IF(AND(INDEX('Game Records'!$U:$U,$H488)&lt;&gt;"Free Game",INDEX('Game Records'!$U:$U,$H488)&lt;&gt;"Disqualified — Free Game",INDEX('Game Records'!$H:$H,$H488)=""),"Entry Fee; ","")&amp;IF(AND(INDEX('Game Records'!$U:$U,$H488)&lt;&gt;"Subscription",INDEX('Game Records'!$U:$U,$H488)&lt;&gt;"Free Game",INDEX('Game Records'!$U:$U,$H488)&lt;&gt;"Disqualified — Free Game",INDEX('Game Records'!$I:$I,$H488)=""),"Eligible Players; ","")&amp;IF(AND(INDEX('Game Records'!$U:$U,$H488)&lt;&gt;"Subscription",INDEX('Game Records'!$U:$U,$H488)&lt;&gt;"Free Game",INDEX('Game Records'!$U:$U,$H488)&lt;&gt;"Disqualified — Free Game",INDEX('Game Records'!$J:$J,$H488)=""),"Total Players; ","")&amp;IF(AND(LOWER(INDEX('Game Records'!$D:$D,$H488)&amp;"")="finalized",LOWER(INDEX('Game Records'!$L:$L,$H488)&amp;"")&lt;&gt;"yes",INDEX('Game Records'!$U:$U,$H488)&lt;&gt;"Subscription",INDEX('Game Records'!$U:$U,$H488)&lt;&gt;"Free Game",INDEX('Game Records'!$U:$U,$H488)&lt;&gt;"Disqualified — Free Game",INDEX('Game Records'!$K:$K,$H488)=""),"Final Earned; ","")&amp;IF(AND(LOWER(INDEX('Game Records'!$D:$D,$H488)&amp;"")="finalized",INDEX('Game Records'!$U:$U,$H488)&lt;&gt;"Subscription",INDEX('Game Records'!$U:$U,$H488)&lt;&gt;"Free Game",INDEX('Game Records'!$U:$U,$H488)&lt;&gt;"Disqualified — Free Game",OR(INDEX('Game Records'!$L:$L,$H488)="",LOWER(INDEX('Game Records'!$L:$L,$H488)&amp;"")="n/a")),"Disqualified Status; ",""))</x:f>
        <x:v/>
      </x:c>
      <x:c r="G488" s="331" t="str">
        <x:f>IF($H488="","",IFERROR(INDEX('Game Records'!$M:$M,$H488),""))</x:f>
        <x:v/>
      </x:c>
      <x:c r="H488" s="104" t="str">
        <x:f>IF($H487="","",IFERROR(MATCH(1,INDEX((ROW('Game Records'!$U$5:$U$504)&gt;$H487)*(('Game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89" ht="24" customHeight="1">
      <x:c r="A489" s="332" t="str">
        <x:f>IF($H489="","",ROWS($A$5:A489))</x:f>
        <x:v/>
      </x:c>
      <x:c r="B489" s="332" t="str">
        <x:f>IF($H489="","","G-"&amp;TEXT($A489,"0000"))</x:f>
        <x:v/>
      </x:c>
      <x:c r="C489" s="331" t="str">
        <x:f>IF($H489="","",IFERROR(INDEX('Game Records'!$A:$A,$H489),""))</x:f>
        <x:v/>
      </x:c>
      <x:c r="D489" s="331" t="str">
        <x:f>IF($H489="","",IFERROR(INDEX('Game Records'!$U:$U,$H489),""))</x:f>
        <x:v/>
      </x:c>
      <x:c r="E489" s="331" t="str">
        <x:f>IF($H489="","",IF($F489="","No Highlighted Fields","Highlighted Fields Present"))</x:f>
        <x:v/>
      </x:c>
      <x:c r="F489" s="331" t="str">
        <x:f>IF($H489="","",IF(INDEX('Game Records'!$B:$B,$H489)="","Start Date; ","")&amp;IF(INDEX('Game Records'!$C:$C,$H489)="","End Date; ","")&amp;IF(AND(INDEX('Game Records'!$U:$U,$H489)&lt;&gt;"Subscription",INDEX('Game Records'!$U:$U,$H489)&lt;&gt;"Free Game",INDEX('Game Records'!$U:$U,$H489)&lt;&gt;"Disqualified — Free Game",OR(INDEX('Game Records'!$D:$D,$H489)="",LOWER(INDEX('Game Records'!$D:$D,$H489)&amp;"")="n/a")),"Entry Mode; ","")&amp;IF(AND(INDEX('Game Records'!$U:$U,$H489)&lt;&gt;"Subscription",INDEX('Game Records'!$U:$U,$H489)&lt;&gt;"Free Game",INDEX('Game Records'!$U:$U,$H489)&lt;&gt;"Disqualified — Free Game",OR(INDEX('Game Records'!$E:$E,$H489)="",LOWER(INDEX('Game Records'!$E:$E,$H489)&amp;"")="n/a")),"Game Type; ","")&amp;IF(INDEX('Game Records'!$F:$F,$H489)="","Payment Type; ","")&amp;IF(AND(INDEX('Game Records'!$U:$U,$H489)&lt;&gt;"Subscription",INDEX('Game Records'!$U:$U,$H489)&lt;&gt;"Free Game",INDEX('Game Records'!$U:$U,$H489)&lt;&gt;"Disqualified — Free Game",INDEX('Game Records'!$G:$G,$H489)=""),"Gross Pot; ","")&amp;IF(AND(INDEX('Game Records'!$U:$U,$H489)&lt;&gt;"Free Game",INDEX('Game Records'!$U:$U,$H489)&lt;&gt;"Disqualified — Free Game",INDEX('Game Records'!$H:$H,$H489)=""),"Entry Fee; ","")&amp;IF(AND(INDEX('Game Records'!$U:$U,$H489)&lt;&gt;"Subscription",INDEX('Game Records'!$U:$U,$H489)&lt;&gt;"Free Game",INDEX('Game Records'!$U:$U,$H489)&lt;&gt;"Disqualified — Free Game",INDEX('Game Records'!$I:$I,$H489)=""),"Eligible Players; ","")&amp;IF(AND(INDEX('Game Records'!$U:$U,$H489)&lt;&gt;"Subscription",INDEX('Game Records'!$U:$U,$H489)&lt;&gt;"Free Game",INDEX('Game Records'!$U:$U,$H489)&lt;&gt;"Disqualified — Free Game",INDEX('Game Records'!$J:$J,$H489)=""),"Total Players; ","")&amp;IF(AND(LOWER(INDEX('Game Records'!$D:$D,$H489)&amp;"")="finalized",LOWER(INDEX('Game Records'!$L:$L,$H489)&amp;"")&lt;&gt;"yes",INDEX('Game Records'!$U:$U,$H489)&lt;&gt;"Subscription",INDEX('Game Records'!$U:$U,$H489)&lt;&gt;"Free Game",INDEX('Game Records'!$U:$U,$H489)&lt;&gt;"Disqualified — Free Game",INDEX('Game Records'!$K:$K,$H489)=""),"Final Earned; ","")&amp;IF(AND(LOWER(INDEX('Game Records'!$D:$D,$H489)&amp;"")="finalized",INDEX('Game Records'!$U:$U,$H489)&lt;&gt;"Subscription",INDEX('Game Records'!$U:$U,$H489)&lt;&gt;"Free Game",INDEX('Game Records'!$U:$U,$H489)&lt;&gt;"Disqualified — Free Game",OR(INDEX('Game Records'!$L:$L,$H489)="",LOWER(INDEX('Game Records'!$L:$L,$H489)&amp;"")="n/a")),"Disqualified Status; ",""))</x:f>
        <x:v/>
      </x:c>
      <x:c r="G489" s="331" t="str">
        <x:f>IF($H489="","",IFERROR(INDEX('Game Records'!$M:$M,$H489),""))</x:f>
        <x:v/>
      </x:c>
      <x:c r="H489" s="104" t="str">
        <x:f>IF($H488="","",IFERROR(MATCH(1,INDEX((ROW('Game Records'!$U$5:$U$504)&gt;$H488)*(('Game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0" ht="24" customHeight="1">
      <x:c r="A490" s="332" t="str">
        <x:f>IF($H490="","",ROWS($A$5:A490))</x:f>
        <x:v/>
      </x:c>
      <x:c r="B490" s="332" t="str">
        <x:f>IF($H490="","","G-"&amp;TEXT($A490,"0000"))</x:f>
        <x:v/>
      </x:c>
      <x:c r="C490" s="331" t="str">
        <x:f>IF($H490="","",IFERROR(INDEX('Game Records'!$A:$A,$H490),""))</x:f>
        <x:v/>
      </x:c>
      <x:c r="D490" s="331" t="str">
        <x:f>IF($H490="","",IFERROR(INDEX('Game Records'!$U:$U,$H490),""))</x:f>
        <x:v/>
      </x:c>
      <x:c r="E490" s="331" t="str">
        <x:f>IF($H490="","",IF($F490="","No Highlighted Fields","Highlighted Fields Present"))</x:f>
        <x:v/>
      </x:c>
      <x:c r="F490" s="331" t="str">
        <x:f>IF($H490="","",IF(INDEX('Game Records'!$B:$B,$H490)="","Start Date; ","")&amp;IF(INDEX('Game Records'!$C:$C,$H490)="","End Date; ","")&amp;IF(AND(INDEX('Game Records'!$U:$U,$H490)&lt;&gt;"Subscription",INDEX('Game Records'!$U:$U,$H490)&lt;&gt;"Free Game",INDEX('Game Records'!$U:$U,$H490)&lt;&gt;"Disqualified — Free Game",OR(INDEX('Game Records'!$D:$D,$H490)="",LOWER(INDEX('Game Records'!$D:$D,$H490)&amp;"")="n/a")),"Entry Mode; ","")&amp;IF(AND(INDEX('Game Records'!$U:$U,$H490)&lt;&gt;"Subscription",INDEX('Game Records'!$U:$U,$H490)&lt;&gt;"Free Game",INDEX('Game Records'!$U:$U,$H490)&lt;&gt;"Disqualified — Free Game",OR(INDEX('Game Records'!$E:$E,$H490)="",LOWER(INDEX('Game Records'!$E:$E,$H490)&amp;"")="n/a")),"Game Type; ","")&amp;IF(INDEX('Game Records'!$F:$F,$H490)="","Payment Type; ","")&amp;IF(AND(INDEX('Game Records'!$U:$U,$H490)&lt;&gt;"Subscription",INDEX('Game Records'!$U:$U,$H490)&lt;&gt;"Free Game",INDEX('Game Records'!$U:$U,$H490)&lt;&gt;"Disqualified — Free Game",INDEX('Game Records'!$G:$G,$H490)=""),"Gross Pot; ","")&amp;IF(AND(INDEX('Game Records'!$U:$U,$H490)&lt;&gt;"Free Game",INDEX('Game Records'!$U:$U,$H490)&lt;&gt;"Disqualified — Free Game",INDEX('Game Records'!$H:$H,$H490)=""),"Entry Fee; ","")&amp;IF(AND(INDEX('Game Records'!$U:$U,$H490)&lt;&gt;"Subscription",INDEX('Game Records'!$U:$U,$H490)&lt;&gt;"Free Game",INDEX('Game Records'!$U:$U,$H490)&lt;&gt;"Disqualified — Free Game",INDEX('Game Records'!$I:$I,$H490)=""),"Eligible Players; ","")&amp;IF(AND(INDEX('Game Records'!$U:$U,$H490)&lt;&gt;"Subscription",INDEX('Game Records'!$U:$U,$H490)&lt;&gt;"Free Game",INDEX('Game Records'!$U:$U,$H490)&lt;&gt;"Disqualified — Free Game",INDEX('Game Records'!$J:$J,$H490)=""),"Total Players; ","")&amp;IF(AND(LOWER(INDEX('Game Records'!$D:$D,$H490)&amp;"")="finalized",LOWER(INDEX('Game Records'!$L:$L,$H490)&amp;"")&lt;&gt;"yes",INDEX('Game Records'!$U:$U,$H490)&lt;&gt;"Subscription",INDEX('Game Records'!$U:$U,$H490)&lt;&gt;"Free Game",INDEX('Game Records'!$U:$U,$H490)&lt;&gt;"Disqualified — Free Game",INDEX('Game Records'!$K:$K,$H490)=""),"Final Earned; ","")&amp;IF(AND(LOWER(INDEX('Game Records'!$D:$D,$H490)&amp;"")="finalized",INDEX('Game Records'!$U:$U,$H490)&lt;&gt;"Subscription",INDEX('Game Records'!$U:$U,$H490)&lt;&gt;"Free Game",INDEX('Game Records'!$U:$U,$H490)&lt;&gt;"Disqualified — Free Game",OR(INDEX('Game Records'!$L:$L,$H490)="",LOWER(INDEX('Game Records'!$L:$L,$H490)&amp;"")="n/a")),"Disqualified Status; ",""))</x:f>
        <x:v/>
      </x:c>
      <x:c r="G490" s="331" t="str">
        <x:f>IF($H490="","",IFERROR(INDEX('Game Records'!$M:$M,$H490),""))</x:f>
        <x:v/>
      </x:c>
      <x:c r="H490" s="104" t="str">
        <x:f>IF($H489="","",IFERROR(MATCH(1,INDEX((ROW('Game Records'!$U$5:$U$504)&gt;$H489)*(('Game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1" ht="24" customHeight="1">
      <x:c r="A491" s="332" t="str">
        <x:f>IF($H491="","",ROWS($A$5:A491))</x:f>
        <x:v/>
      </x:c>
      <x:c r="B491" s="332" t="str">
        <x:f>IF($H491="","","G-"&amp;TEXT($A491,"0000"))</x:f>
        <x:v/>
      </x:c>
      <x:c r="C491" s="331" t="str">
        <x:f>IF($H491="","",IFERROR(INDEX('Game Records'!$A:$A,$H491),""))</x:f>
        <x:v/>
      </x:c>
      <x:c r="D491" s="331" t="str">
        <x:f>IF($H491="","",IFERROR(INDEX('Game Records'!$U:$U,$H491),""))</x:f>
        <x:v/>
      </x:c>
      <x:c r="E491" s="331" t="str">
        <x:f>IF($H491="","",IF($F491="","No Highlighted Fields","Highlighted Fields Present"))</x:f>
        <x:v/>
      </x:c>
      <x:c r="F491" s="331" t="str">
        <x:f>IF($H491="","",IF(INDEX('Game Records'!$B:$B,$H491)="","Start Date; ","")&amp;IF(INDEX('Game Records'!$C:$C,$H491)="","End Date; ","")&amp;IF(AND(INDEX('Game Records'!$U:$U,$H491)&lt;&gt;"Subscription",INDEX('Game Records'!$U:$U,$H491)&lt;&gt;"Free Game",INDEX('Game Records'!$U:$U,$H491)&lt;&gt;"Disqualified — Free Game",OR(INDEX('Game Records'!$D:$D,$H491)="",LOWER(INDEX('Game Records'!$D:$D,$H491)&amp;"")="n/a")),"Entry Mode; ","")&amp;IF(AND(INDEX('Game Records'!$U:$U,$H491)&lt;&gt;"Subscription",INDEX('Game Records'!$U:$U,$H491)&lt;&gt;"Free Game",INDEX('Game Records'!$U:$U,$H491)&lt;&gt;"Disqualified — Free Game",OR(INDEX('Game Records'!$E:$E,$H491)="",LOWER(INDEX('Game Records'!$E:$E,$H491)&amp;"")="n/a")),"Game Type; ","")&amp;IF(INDEX('Game Records'!$F:$F,$H491)="","Payment Type; ","")&amp;IF(AND(INDEX('Game Records'!$U:$U,$H491)&lt;&gt;"Subscription",INDEX('Game Records'!$U:$U,$H491)&lt;&gt;"Free Game",INDEX('Game Records'!$U:$U,$H491)&lt;&gt;"Disqualified — Free Game",INDEX('Game Records'!$G:$G,$H491)=""),"Gross Pot; ","")&amp;IF(AND(INDEX('Game Records'!$U:$U,$H491)&lt;&gt;"Free Game",INDEX('Game Records'!$U:$U,$H491)&lt;&gt;"Disqualified — Free Game",INDEX('Game Records'!$H:$H,$H491)=""),"Entry Fee; ","")&amp;IF(AND(INDEX('Game Records'!$U:$U,$H491)&lt;&gt;"Subscription",INDEX('Game Records'!$U:$U,$H491)&lt;&gt;"Free Game",INDEX('Game Records'!$U:$U,$H491)&lt;&gt;"Disqualified — Free Game",INDEX('Game Records'!$I:$I,$H491)=""),"Eligible Players; ","")&amp;IF(AND(INDEX('Game Records'!$U:$U,$H491)&lt;&gt;"Subscription",INDEX('Game Records'!$U:$U,$H491)&lt;&gt;"Free Game",INDEX('Game Records'!$U:$U,$H491)&lt;&gt;"Disqualified — Free Game",INDEX('Game Records'!$J:$J,$H491)=""),"Total Players; ","")&amp;IF(AND(LOWER(INDEX('Game Records'!$D:$D,$H491)&amp;"")="finalized",LOWER(INDEX('Game Records'!$L:$L,$H491)&amp;"")&lt;&gt;"yes",INDEX('Game Records'!$U:$U,$H491)&lt;&gt;"Subscription",INDEX('Game Records'!$U:$U,$H491)&lt;&gt;"Free Game",INDEX('Game Records'!$U:$U,$H491)&lt;&gt;"Disqualified — Free Game",INDEX('Game Records'!$K:$K,$H491)=""),"Final Earned; ","")&amp;IF(AND(LOWER(INDEX('Game Records'!$D:$D,$H491)&amp;"")="finalized",INDEX('Game Records'!$U:$U,$H491)&lt;&gt;"Subscription",INDEX('Game Records'!$U:$U,$H491)&lt;&gt;"Free Game",INDEX('Game Records'!$U:$U,$H491)&lt;&gt;"Disqualified — Free Game",OR(INDEX('Game Records'!$L:$L,$H491)="",LOWER(INDEX('Game Records'!$L:$L,$H491)&amp;"")="n/a")),"Disqualified Status; ",""))</x:f>
        <x:v/>
      </x:c>
      <x:c r="G491" s="331" t="str">
        <x:f>IF($H491="","",IFERROR(INDEX('Game Records'!$M:$M,$H491),""))</x:f>
        <x:v/>
      </x:c>
      <x:c r="H491" s="104" t="str">
        <x:f>IF($H490="","",IFERROR(MATCH(1,INDEX((ROW('Game Records'!$U$5:$U$504)&gt;$H490)*(('Game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2" ht="24" customHeight="1">
      <x:c r="A492" s="332" t="str">
        <x:f>IF($H492="","",ROWS($A$5:A492))</x:f>
        <x:v/>
      </x:c>
      <x:c r="B492" s="332" t="str">
        <x:f>IF($H492="","","G-"&amp;TEXT($A492,"0000"))</x:f>
        <x:v/>
      </x:c>
      <x:c r="C492" s="331" t="str">
        <x:f>IF($H492="","",IFERROR(INDEX('Game Records'!$A:$A,$H492),""))</x:f>
        <x:v/>
      </x:c>
      <x:c r="D492" s="331" t="str">
        <x:f>IF($H492="","",IFERROR(INDEX('Game Records'!$U:$U,$H492),""))</x:f>
        <x:v/>
      </x:c>
      <x:c r="E492" s="331" t="str">
        <x:f>IF($H492="","",IF($F492="","No Highlighted Fields","Highlighted Fields Present"))</x:f>
        <x:v/>
      </x:c>
      <x:c r="F492" s="331" t="str">
        <x:f>IF($H492="","",IF(INDEX('Game Records'!$B:$B,$H492)="","Start Date; ","")&amp;IF(INDEX('Game Records'!$C:$C,$H492)="","End Date; ","")&amp;IF(AND(INDEX('Game Records'!$U:$U,$H492)&lt;&gt;"Subscription",INDEX('Game Records'!$U:$U,$H492)&lt;&gt;"Free Game",INDEX('Game Records'!$U:$U,$H492)&lt;&gt;"Disqualified — Free Game",OR(INDEX('Game Records'!$D:$D,$H492)="",LOWER(INDEX('Game Records'!$D:$D,$H492)&amp;"")="n/a")),"Entry Mode; ","")&amp;IF(AND(INDEX('Game Records'!$U:$U,$H492)&lt;&gt;"Subscription",INDEX('Game Records'!$U:$U,$H492)&lt;&gt;"Free Game",INDEX('Game Records'!$U:$U,$H492)&lt;&gt;"Disqualified — Free Game",OR(INDEX('Game Records'!$E:$E,$H492)="",LOWER(INDEX('Game Records'!$E:$E,$H492)&amp;"")="n/a")),"Game Type; ","")&amp;IF(INDEX('Game Records'!$F:$F,$H492)="","Payment Type; ","")&amp;IF(AND(INDEX('Game Records'!$U:$U,$H492)&lt;&gt;"Subscription",INDEX('Game Records'!$U:$U,$H492)&lt;&gt;"Free Game",INDEX('Game Records'!$U:$U,$H492)&lt;&gt;"Disqualified — Free Game",INDEX('Game Records'!$G:$G,$H492)=""),"Gross Pot; ","")&amp;IF(AND(INDEX('Game Records'!$U:$U,$H492)&lt;&gt;"Free Game",INDEX('Game Records'!$U:$U,$H492)&lt;&gt;"Disqualified — Free Game",INDEX('Game Records'!$H:$H,$H492)=""),"Entry Fee; ","")&amp;IF(AND(INDEX('Game Records'!$U:$U,$H492)&lt;&gt;"Subscription",INDEX('Game Records'!$U:$U,$H492)&lt;&gt;"Free Game",INDEX('Game Records'!$U:$U,$H492)&lt;&gt;"Disqualified — Free Game",INDEX('Game Records'!$I:$I,$H492)=""),"Eligible Players; ","")&amp;IF(AND(INDEX('Game Records'!$U:$U,$H492)&lt;&gt;"Subscription",INDEX('Game Records'!$U:$U,$H492)&lt;&gt;"Free Game",INDEX('Game Records'!$U:$U,$H492)&lt;&gt;"Disqualified — Free Game",INDEX('Game Records'!$J:$J,$H492)=""),"Total Players; ","")&amp;IF(AND(LOWER(INDEX('Game Records'!$D:$D,$H492)&amp;"")="finalized",LOWER(INDEX('Game Records'!$L:$L,$H492)&amp;"")&lt;&gt;"yes",INDEX('Game Records'!$U:$U,$H492)&lt;&gt;"Subscription",INDEX('Game Records'!$U:$U,$H492)&lt;&gt;"Free Game",INDEX('Game Records'!$U:$U,$H492)&lt;&gt;"Disqualified — Free Game",INDEX('Game Records'!$K:$K,$H492)=""),"Final Earned; ","")&amp;IF(AND(LOWER(INDEX('Game Records'!$D:$D,$H492)&amp;"")="finalized",INDEX('Game Records'!$U:$U,$H492)&lt;&gt;"Subscription",INDEX('Game Records'!$U:$U,$H492)&lt;&gt;"Free Game",INDEX('Game Records'!$U:$U,$H492)&lt;&gt;"Disqualified — Free Game",OR(INDEX('Game Records'!$L:$L,$H492)="",LOWER(INDEX('Game Records'!$L:$L,$H492)&amp;"")="n/a")),"Disqualified Status; ",""))</x:f>
        <x:v/>
      </x:c>
      <x:c r="G492" s="331" t="str">
        <x:f>IF($H492="","",IFERROR(INDEX('Game Records'!$M:$M,$H492),""))</x:f>
        <x:v/>
      </x:c>
      <x:c r="H492" s="104" t="str">
        <x:f>IF($H491="","",IFERROR(MATCH(1,INDEX((ROW('Game Records'!$U$5:$U$504)&gt;$H491)*(('Game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3" ht="24" customHeight="1">
      <x:c r="A493" s="332" t="str">
        <x:f>IF($H493="","",ROWS($A$5:A493))</x:f>
        <x:v/>
      </x:c>
      <x:c r="B493" s="332" t="str">
        <x:f>IF($H493="","","G-"&amp;TEXT($A493,"0000"))</x:f>
        <x:v/>
      </x:c>
      <x:c r="C493" s="331" t="str">
        <x:f>IF($H493="","",IFERROR(INDEX('Game Records'!$A:$A,$H493),""))</x:f>
        <x:v/>
      </x:c>
      <x:c r="D493" s="331" t="str">
        <x:f>IF($H493="","",IFERROR(INDEX('Game Records'!$U:$U,$H493),""))</x:f>
        <x:v/>
      </x:c>
      <x:c r="E493" s="331" t="str">
        <x:f>IF($H493="","",IF($F493="","No Highlighted Fields","Highlighted Fields Present"))</x:f>
        <x:v/>
      </x:c>
      <x:c r="F493" s="331" t="str">
        <x:f>IF($H493="","",IF(INDEX('Game Records'!$B:$B,$H493)="","Start Date; ","")&amp;IF(INDEX('Game Records'!$C:$C,$H493)="","End Date; ","")&amp;IF(AND(INDEX('Game Records'!$U:$U,$H493)&lt;&gt;"Subscription",INDEX('Game Records'!$U:$U,$H493)&lt;&gt;"Free Game",INDEX('Game Records'!$U:$U,$H493)&lt;&gt;"Disqualified — Free Game",OR(INDEX('Game Records'!$D:$D,$H493)="",LOWER(INDEX('Game Records'!$D:$D,$H493)&amp;"")="n/a")),"Entry Mode; ","")&amp;IF(AND(INDEX('Game Records'!$U:$U,$H493)&lt;&gt;"Subscription",INDEX('Game Records'!$U:$U,$H493)&lt;&gt;"Free Game",INDEX('Game Records'!$U:$U,$H493)&lt;&gt;"Disqualified — Free Game",OR(INDEX('Game Records'!$E:$E,$H493)="",LOWER(INDEX('Game Records'!$E:$E,$H493)&amp;"")="n/a")),"Game Type; ","")&amp;IF(INDEX('Game Records'!$F:$F,$H493)="","Payment Type; ","")&amp;IF(AND(INDEX('Game Records'!$U:$U,$H493)&lt;&gt;"Subscription",INDEX('Game Records'!$U:$U,$H493)&lt;&gt;"Free Game",INDEX('Game Records'!$U:$U,$H493)&lt;&gt;"Disqualified — Free Game",INDEX('Game Records'!$G:$G,$H493)=""),"Gross Pot; ","")&amp;IF(AND(INDEX('Game Records'!$U:$U,$H493)&lt;&gt;"Free Game",INDEX('Game Records'!$U:$U,$H493)&lt;&gt;"Disqualified — Free Game",INDEX('Game Records'!$H:$H,$H493)=""),"Entry Fee; ","")&amp;IF(AND(INDEX('Game Records'!$U:$U,$H493)&lt;&gt;"Subscription",INDEX('Game Records'!$U:$U,$H493)&lt;&gt;"Free Game",INDEX('Game Records'!$U:$U,$H493)&lt;&gt;"Disqualified — Free Game",INDEX('Game Records'!$I:$I,$H493)=""),"Eligible Players; ","")&amp;IF(AND(INDEX('Game Records'!$U:$U,$H493)&lt;&gt;"Subscription",INDEX('Game Records'!$U:$U,$H493)&lt;&gt;"Free Game",INDEX('Game Records'!$U:$U,$H493)&lt;&gt;"Disqualified — Free Game",INDEX('Game Records'!$J:$J,$H493)=""),"Total Players; ","")&amp;IF(AND(LOWER(INDEX('Game Records'!$D:$D,$H493)&amp;"")="finalized",LOWER(INDEX('Game Records'!$L:$L,$H493)&amp;"")&lt;&gt;"yes",INDEX('Game Records'!$U:$U,$H493)&lt;&gt;"Subscription",INDEX('Game Records'!$U:$U,$H493)&lt;&gt;"Free Game",INDEX('Game Records'!$U:$U,$H493)&lt;&gt;"Disqualified — Free Game",INDEX('Game Records'!$K:$K,$H493)=""),"Final Earned; ","")&amp;IF(AND(LOWER(INDEX('Game Records'!$D:$D,$H493)&amp;"")="finalized",INDEX('Game Records'!$U:$U,$H493)&lt;&gt;"Subscription",INDEX('Game Records'!$U:$U,$H493)&lt;&gt;"Free Game",INDEX('Game Records'!$U:$U,$H493)&lt;&gt;"Disqualified — Free Game",OR(INDEX('Game Records'!$L:$L,$H493)="",LOWER(INDEX('Game Records'!$L:$L,$H493)&amp;"")="n/a")),"Disqualified Status; ",""))</x:f>
        <x:v/>
      </x:c>
      <x:c r="G493" s="331" t="str">
        <x:f>IF($H493="","",IFERROR(INDEX('Game Records'!$M:$M,$H493),""))</x:f>
        <x:v/>
      </x:c>
      <x:c r="H493" s="104" t="str">
        <x:f>IF($H492="","",IFERROR(MATCH(1,INDEX((ROW('Game Records'!$U$5:$U$504)&gt;$H492)*(('Game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4" ht="24" customHeight="1">
      <x:c r="A494" s="332" t="str">
        <x:f>IF($H494="","",ROWS($A$5:A494))</x:f>
        <x:v/>
      </x:c>
      <x:c r="B494" s="332" t="str">
        <x:f>IF($H494="","","G-"&amp;TEXT($A494,"0000"))</x:f>
        <x:v/>
      </x:c>
      <x:c r="C494" s="331" t="str">
        <x:f>IF($H494="","",IFERROR(INDEX('Game Records'!$A:$A,$H494),""))</x:f>
        <x:v/>
      </x:c>
      <x:c r="D494" s="331" t="str">
        <x:f>IF($H494="","",IFERROR(INDEX('Game Records'!$U:$U,$H494),""))</x:f>
        <x:v/>
      </x:c>
      <x:c r="E494" s="331" t="str">
        <x:f>IF($H494="","",IF($F494="","No Highlighted Fields","Highlighted Fields Present"))</x:f>
        <x:v/>
      </x:c>
      <x:c r="F494" s="331" t="str">
        <x:f>IF($H494="","",IF(INDEX('Game Records'!$B:$B,$H494)="","Start Date; ","")&amp;IF(INDEX('Game Records'!$C:$C,$H494)="","End Date; ","")&amp;IF(AND(INDEX('Game Records'!$U:$U,$H494)&lt;&gt;"Subscription",INDEX('Game Records'!$U:$U,$H494)&lt;&gt;"Free Game",INDEX('Game Records'!$U:$U,$H494)&lt;&gt;"Disqualified — Free Game",OR(INDEX('Game Records'!$D:$D,$H494)="",LOWER(INDEX('Game Records'!$D:$D,$H494)&amp;"")="n/a")),"Entry Mode; ","")&amp;IF(AND(INDEX('Game Records'!$U:$U,$H494)&lt;&gt;"Subscription",INDEX('Game Records'!$U:$U,$H494)&lt;&gt;"Free Game",INDEX('Game Records'!$U:$U,$H494)&lt;&gt;"Disqualified — Free Game",OR(INDEX('Game Records'!$E:$E,$H494)="",LOWER(INDEX('Game Records'!$E:$E,$H494)&amp;"")="n/a")),"Game Type; ","")&amp;IF(INDEX('Game Records'!$F:$F,$H494)="","Payment Type; ","")&amp;IF(AND(INDEX('Game Records'!$U:$U,$H494)&lt;&gt;"Subscription",INDEX('Game Records'!$U:$U,$H494)&lt;&gt;"Free Game",INDEX('Game Records'!$U:$U,$H494)&lt;&gt;"Disqualified — Free Game",INDEX('Game Records'!$G:$G,$H494)=""),"Gross Pot; ","")&amp;IF(AND(INDEX('Game Records'!$U:$U,$H494)&lt;&gt;"Free Game",INDEX('Game Records'!$U:$U,$H494)&lt;&gt;"Disqualified — Free Game",INDEX('Game Records'!$H:$H,$H494)=""),"Entry Fee; ","")&amp;IF(AND(INDEX('Game Records'!$U:$U,$H494)&lt;&gt;"Subscription",INDEX('Game Records'!$U:$U,$H494)&lt;&gt;"Free Game",INDEX('Game Records'!$U:$U,$H494)&lt;&gt;"Disqualified — Free Game",INDEX('Game Records'!$I:$I,$H494)=""),"Eligible Players; ","")&amp;IF(AND(INDEX('Game Records'!$U:$U,$H494)&lt;&gt;"Subscription",INDEX('Game Records'!$U:$U,$H494)&lt;&gt;"Free Game",INDEX('Game Records'!$U:$U,$H494)&lt;&gt;"Disqualified — Free Game",INDEX('Game Records'!$J:$J,$H494)=""),"Total Players; ","")&amp;IF(AND(LOWER(INDEX('Game Records'!$D:$D,$H494)&amp;"")="finalized",LOWER(INDEX('Game Records'!$L:$L,$H494)&amp;"")&lt;&gt;"yes",INDEX('Game Records'!$U:$U,$H494)&lt;&gt;"Subscription",INDEX('Game Records'!$U:$U,$H494)&lt;&gt;"Free Game",INDEX('Game Records'!$U:$U,$H494)&lt;&gt;"Disqualified — Free Game",INDEX('Game Records'!$K:$K,$H494)=""),"Final Earned; ","")&amp;IF(AND(LOWER(INDEX('Game Records'!$D:$D,$H494)&amp;"")="finalized",INDEX('Game Records'!$U:$U,$H494)&lt;&gt;"Subscription",INDEX('Game Records'!$U:$U,$H494)&lt;&gt;"Free Game",INDEX('Game Records'!$U:$U,$H494)&lt;&gt;"Disqualified — Free Game",OR(INDEX('Game Records'!$L:$L,$H494)="",LOWER(INDEX('Game Records'!$L:$L,$H494)&amp;"")="n/a")),"Disqualified Status; ",""))</x:f>
        <x:v/>
      </x:c>
      <x:c r="G494" s="331" t="str">
        <x:f>IF($H494="","",IFERROR(INDEX('Game Records'!$M:$M,$H494),""))</x:f>
        <x:v/>
      </x:c>
      <x:c r="H494" s="104" t="str">
        <x:f>IF($H493="","",IFERROR(MATCH(1,INDEX((ROW('Game Records'!$U$5:$U$504)&gt;$H493)*(('Game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5" ht="24" customHeight="1">
      <x:c r="A495" s="332" t="str">
        <x:f>IF($H495="","",ROWS($A$5:A495))</x:f>
        <x:v/>
      </x:c>
      <x:c r="B495" s="332" t="str">
        <x:f>IF($H495="","","G-"&amp;TEXT($A495,"0000"))</x:f>
        <x:v/>
      </x:c>
      <x:c r="C495" s="331" t="str">
        <x:f>IF($H495="","",IFERROR(INDEX('Game Records'!$A:$A,$H495),""))</x:f>
        <x:v/>
      </x:c>
      <x:c r="D495" s="331" t="str">
        <x:f>IF($H495="","",IFERROR(INDEX('Game Records'!$U:$U,$H495),""))</x:f>
        <x:v/>
      </x:c>
      <x:c r="E495" s="331" t="str">
        <x:f>IF($H495="","",IF($F495="","No Highlighted Fields","Highlighted Fields Present"))</x:f>
        <x:v/>
      </x:c>
      <x:c r="F495" s="331" t="str">
        <x:f>IF($H495="","",IF(INDEX('Game Records'!$B:$B,$H495)="","Start Date; ","")&amp;IF(INDEX('Game Records'!$C:$C,$H495)="","End Date; ","")&amp;IF(AND(INDEX('Game Records'!$U:$U,$H495)&lt;&gt;"Subscription",INDEX('Game Records'!$U:$U,$H495)&lt;&gt;"Free Game",INDEX('Game Records'!$U:$U,$H495)&lt;&gt;"Disqualified — Free Game",OR(INDEX('Game Records'!$D:$D,$H495)="",LOWER(INDEX('Game Records'!$D:$D,$H495)&amp;"")="n/a")),"Entry Mode; ","")&amp;IF(AND(INDEX('Game Records'!$U:$U,$H495)&lt;&gt;"Subscription",INDEX('Game Records'!$U:$U,$H495)&lt;&gt;"Free Game",INDEX('Game Records'!$U:$U,$H495)&lt;&gt;"Disqualified — Free Game",OR(INDEX('Game Records'!$E:$E,$H495)="",LOWER(INDEX('Game Records'!$E:$E,$H495)&amp;"")="n/a")),"Game Type; ","")&amp;IF(INDEX('Game Records'!$F:$F,$H495)="","Payment Type; ","")&amp;IF(AND(INDEX('Game Records'!$U:$U,$H495)&lt;&gt;"Subscription",INDEX('Game Records'!$U:$U,$H495)&lt;&gt;"Free Game",INDEX('Game Records'!$U:$U,$H495)&lt;&gt;"Disqualified — Free Game",INDEX('Game Records'!$G:$G,$H495)=""),"Gross Pot; ","")&amp;IF(AND(INDEX('Game Records'!$U:$U,$H495)&lt;&gt;"Free Game",INDEX('Game Records'!$U:$U,$H495)&lt;&gt;"Disqualified — Free Game",INDEX('Game Records'!$H:$H,$H495)=""),"Entry Fee; ","")&amp;IF(AND(INDEX('Game Records'!$U:$U,$H495)&lt;&gt;"Subscription",INDEX('Game Records'!$U:$U,$H495)&lt;&gt;"Free Game",INDEX('Game Records'!$U:$U,$H495)&lt;&gt;"Disqualified — Free Game",INDEX('Game Records'!$I:$I,$H495)=""),"Eligible Players; ","")&amp;IF(AND(INDEX('Game Records'!$U:$U,$H495)&lt;&gt;"Subscription",INDEX('Game Records'!$U:$U,$H495)&lt;&gt;"Free Game",INDEX('Game Records'!$U:$U,$H495)&lt;&gt;"Disqualified — Free Game",INDEX('Game Records'!$J:$J,$H495)=""),"Total Players; ","")&amp;IF(AND(LOWER(INDEX('Game Records'!$D:$D,$H495)&amp;"")="finalized",LOWER(INDEX('Game Records'!$L:$L,$H495)&amp;"")&lt;&gt;"yes",INDEX('Game Records'!$U:$U,$H495)&lt;&gt;"Subscription",INDEX('Game Records'!$U:$U,$H495)&lt;&gt;"Free Game",INDEX('Game Records'!$U:$U,$H495)&lt;&gt;"Disqualified — Free Game",INDEX('Game Records'!$K:$K,$H495)=""),"Final Earned; ","")&amp;IF(AND(LOWER(INDEX('Game Records'!$D:$D,$H495)&amp;"")="finalized",INDEX('Game Records'!$U:$U,$H495)&lt;&gt;"Subscription",INDEX('Game Records'!$U:$U,$H495)&lt;&gt;"Free Game",INDEX('Game Records'!$U:$U,$H495)&lt;&gt;"Disqualified — Free Game",OR(INDEX('Game Records'!$L:$L,$H495)="",LOWER(INDEX('Game Records'!$L:$L,$H495)&amp;"")="n/a")),"Disqualified Status; ",""))</x:f>
        <x:v/>
      </x:c>
      <x:c r="G495" s="331" t="str">
        <x:f>IF($H495="","",IFERROR(INDEX('Game Records'!$M:$M,$H495),""))</x:f>
        <x:v/>
      </x:c>
      <x:c r="H495" s="104" t="str">
        <x:f>IF($H494="","",IFERROR(MATCH(1,INDEX((ROW('Game Records'!$U$5:$U$504)&gt;$H494)*(('Game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6" ht="24" customHeight="1">
      <x:c r="A496" s="332" t="str">
        <x:f>IF($H496="","",ROWS($A$5:A496))</x:f>
        <x:v/>
      </x:c>
      <x:c r="B496" s="332" t="str">
        <x:f>IF($H496="","","G-"&amp;TEXT($A496,"0000"))</x:f>
        <x:v/>
      </x:c>
      <x:c r="C496" s="331" t="str">
        <x:f>IF($H496="","",IFERROR(INDEX('Game Records'!$A:$A,$H496),""))</x:f>
        <x:v/>
      </x:c>
      <x:c r="D496" s="331" t="str">
        <x:f>IF($H496="","",IFERROR(INDEX('Game Records'!$U:$U,$H496),""))</x:f>
        <x:v/>
      </x:c>
      <x:c r="E496" s="331" t="str">
        <x:f>IF($H496="","",IF($F496="","No Highlighted Fields","Highlighted Fields Present"))</x:f>
        <x:v/>
      </x:c>
      <x:c r="F496" s="331" t="str">
        <x:f>IF($H496="","",IF(INDEX('Game Records'!$B:$B,$H496)="","Start Date; ","")&amp;IF(INDEX('Game Records'!$C:$C,$H496)="","End Date; ","")&amp;IF(AND(INDEX('Game Records'!$U:$U,$H496)&lt;&gt;"Subscription",INDEX('Game Records'!$U:$U,$H496)&lt;&gt;"Free Game",INDEX('Game Records'!$U:$U,$H496)&lt;&gt;"Disqualified — Free Game",OR(INDEX('Game Records'!$D:$D,$H496)="",LOWER(INDEX('Game Records'!$D:$D,$H496)&amp;"")="n/a")),"Entry Mode; ","")&amp;IF(AND(INDEX('Game Records'!$U:$U,$H496)&lt;&gt;"Subscription",INDEX('Game Records'!$U:$U,$H496)&lt;&gt;"Free Game",INDEX('Game Records'!$U:$U,$H496)&lt;&gt;"Disqualified — Free Game",OR(INDEX('Game Records'!$E:$E,$H496)="",LOWER(INDEX('Game Records'!$E:$E,$H496)&amp;"")="n/a")),"Game Type; ","")&amp;IF(INDEX('Game Records'!$F:$F,$H496)="","Payment Type; ","")&amp;IF(AND(INDEX('Game Records'!$U:$U,$H496)&lt;&gt;"Subscription",INDEX('Game Records'!$U:$U,$H496)&lt;&gt;"Free Game",INDEX('Game Records'!$U:$U,$H496)&lt;&gt;"Disqualified — Free Game",INDEX('Game Records'!$G:$G,$H496)=""),"Gross Pot; ","")&amp;IF(AND(INDEX('Game Records'!$U:$U,$H496)&lt;&gt;"Free Game",INDEX('Game Records'!$U:$U,$H496)&lt;&gt;"Disqualified — Free Game",INDEX('Game Records'!$H:$H,$H496)=""),"Entry Fee; ","")&amp;IF(AND(INDEX('Game Records'!$U:$U,$H496)&lt;&gt;"Subscription",INDEX('Game Records'!$U:$U,$H496)&lt;&gt;"Free Game",INDEX('Game Records'!$U:$U,$H496)&lt;&gt;"Disqualified — Free Game",INDEX('Game Records'!$I:$I,$H496)=""),"Eligible Players; ","")&amp;IF(AND(INDEX('Game Records'!$U:$U,$H496)&lt;&gt;"Subscription",INDEX('Game Records'!$U:$U,$H496)&lt;&gt;"Free Game",INDEX('Game Records'!$U:$U,$H496)&lt;&gt;"Disqualified — Free Game",INDEX('Game Records'!$J:$J,$H496)=""),"Total Players; ","")&amp;IF(AND(LOWER(INDEX('Game Records'!$D:$D,$H496)&amp;"")="finalized",LOWER(INDEX('Game Records'!$L:$L,$H496)&amp;"")&lt;&gt;"yes",INDEX('Game Records'!$U:$U,$H496)&lt;&gt;"Subscription",INDEX('Game Records'!$U:$U,$H496)&lt;&gt;"Free Game",INDEX('Game Records'!$U:$U,$H496)&lt;&gt;"Disqualified — Free Game",INDEX('Game Records'!$K:$K,$H496)=""),"Final Earned; ","")&amp;IF(AND(LOWER(INDEX('Game Records'!$D:$D,$H496)&amp;"")="finalized",INDEX('Game Records'!$U:$U,$H496)&lt;&gt;"Subscription",INDEX('Game Records'!$U:$U,$H496)&lt;&gt;"Free Game",INDEX('Game Records'!$U:$U,$H496)&lt;&gt;"Disqualified — Free Game",OR(INDEX('Game Records'!$L:$L,$H496)="",LOWER(INDEX('Game Records'!$L:$L,$H496)&amp;"")="n/a")),"Disqualified Status; ",""))</x:f>
        <x:v/>
      </x:c>
      <x:c r="G496" s="331" t="str">
        <x:f>IF($H496="","",IFERROR(INDEX('Game Records'!$M:$M,$H496),""))</x:f>
        <x:v/>
      </x:c>
      <x:c r="H496" s="104" t="str">
        <x:f>IF($H495="","",IFERROR(MATCH(1,INDEX((ROW('Game Records'!$U$5:$U$504)&gt;$H495)*(('Game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7" ht="24" customHeight="1">
      <x:c r="A497" s="332" t="str">
        <x:f>IF($H497="","",ROWS($A$5:A497))</x:f>
        <x:v/>
      </x:c>
      <x:c r="B497" s="332" t="str">
        <x:f>IF($H497="","","G-"&amp;TEXT($A497,"0000"))</x:f>
        <x:v/>
      </x:c>
      <x:c r="C497" s="331" t="str">
        <x:f>IF($H497="","",IFERROR(INDEX('Game Records'!$A:$A,$H497),""))</x:f>
        <x:v/>
      </x:c>
      <x:c r="D497" s="331" t="str">
        <x:f>IF($H497="","",IFERROR(INDEX('Game Records'!$U:$U,$H497),""))</x:f>
        <x:v/>
      </x:c>
      <x:c r="E497" s="331" t="str">
        <x:f>IF($H497="","",IF($F497="","No Highlighted Fields","Highlighted Fields Present"))</x:f>
        <x:v/>
      </x:c>
      <x:c r="F497" s="331" t="str">
        <x:f>IF($H497="","",IF(INDEX('Game Records'!$B:$B,$H497)="","Start Date; ","")&amp;IF(INDEX('Game Records'!$C:$C,$H497)="","End Date; ","")&amp;IF(AND(INDEX('Game Records'!$U:$U,$H497)&lt;&gt;"Subscription",INDEX('Game Records'!$U:$U,$H497)&lt;&gt;"Free Game",INDEX('Game Records'!$U:$U,$H497)&lt;&gt;"Disqualified — Free Game",OR(INDEX('Game Records'!$D:$D,$H497)="",LOWER(INDEX('Game Records'!$D:$D,$H497)&amp;"")="n/a")),"Entry Mode; ","")&amp;IF(AND(INDEX('Game Records'!$U:$U,$H497)&lt;&gt;"Subscription",INDEX('Game Records'!$U:$U,$H497)&lt;&gt;"Free Game",INDEX('Game Records'!$U:$U,$H497)&lt;&gt;"Disqualified — Free Game",OR(INDEX('Game Records'!$E:$E,$H497)="",LOWER(INDEX('Game Records'!$E:$E,$H497)&amp;"")="n/a")),"Game Type; ","")&amp;IF(INDEX('Game Records'!$F:$F,$H497)="","Payment Type; ","")&amp;IF(AND(INDEX('Game Records'!$U:$U,$H497)&lt;&gt;"Subscription",INDEX('Game Records'!$U:$U,$H497)&lt;&gt;"Free Game",INDEX('Game Records'!$U:$U,$H497)&lt;&gt;"Disqualified — Free Game",INDEX('Game Records'!$G:$G,$H497)=""),"Gross Pot; ","")&amp;IF(AND(INDEX('Game Records'!$U:$U,$H497)&lt;&gt;"Free Game",INDEX('Game Records'!$U:$U,$H497)&lt;&gt;"Disqualified — Free Game",INDEX('Game Records'!$H:$H,$H497)=""),"Entry Fee; ","")&amp;IF(AND(INDEX('Game Records'!$U:$U,$H497)&lt;&gt;"Subscription",INDEX('Game Records'!$U:$U,$H497)&lt;&gt;"Free Game",INDEX('Game Records'!$U:$U,$H497)&lt;&gt;"Disqualified — Free Game",INDEX('Game Records'!$I:$I,$H497)=""),"Eligible Players; ","")&amp;IF(AND(INDEX('Game Records'!$U:$U,$H497)&lt;&gt;"Subscription",INDEX('Game Records'!$U:$U,$H497)&lt;&gt;"Free Game",INDEX('Game Records'!$U:$U,$H497)&lt;&gt;"Disqualified — Free Game",INDEX('Game Records'!$J:$J,$H497)=""),"Total Players; ","")&amp;IF(AND(LOWER(INDEX('Game Records'!$D:$D,$H497)&amp;"")="finalized",LOWER(INDEX('Game Records'!$L:$L,$H497)&amp;"")&lt;&gt;"yes",INDEX('Game Records'!$U:$U,$H497)&lt;&gt;"Subscription",INDEX('Game Records'!$U:$U,$H497)&lt;&gt;"Free Game",INDEX('Game Records'!$U:$U,$H497)&lt;&gt;"Disqualified — Free Game",INDEX('Game Records'!$K:$K,$H497)=""),"Final Earned; ","")&amp;IF(AND(LOWER(INDEX('Game Records'!$D:$D,$H497)&amp;"")="finalized",INDEX('Game Records'!$U:$U,$H497)&lt;&gt;"Subscription",INDEX('Game Records'!$U:$U,$H497)&lt;&gt;"Free Game",INDEX('Game Records'!$U:$U,$H497)&lt;&gt;"Disqualified — Free Game",OR(INDEX('Game Records'!$L:$L,$H497)="",LOWER(INDEX('Game Records'!$L:$L,$H497)&amp;"")="n/a")),"Disqualified Status; ",""))</x:f>
        <x:v/>
      </x:c>
      <x:c r="G497" s="331" t="str">
        <x:f>IF($H497="","",IFERROR(INDEX('Game Records'!$M:$M,$H497),""))</x:f>
        <x:v/>
      </x:c>
      <x:c r="H497" s="104" t="str">
        <x:f>IF($H496="","",IFERROR(MATCH(1,INDEX((ROW('Game Records'!$U$5:$U$504)&gt;$H496)*(('Game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8" ht="24" customHeight="1">
      <x:c r="A498" s="332" t="str">
        <x:f>IF($H498="","",ROWS($A$5:A498))</x:f>
        <x:v/>
      </x:c>
      <x:c r="B498" s="332" t="str">
        <x:f>IF($H498="","","G-"&amp;TEXT($A498,"0000"))</x:f>
        <x:v/>
      </x:c>
      <x:c r="C498" s="331" t="str">
        <x:f>IF($H498="","",IFERROR(INDEX('Game Records'!$A:$A,$H498),""))</x:f>
        <x:v/>
      </x:c>
      <x:c r="D498" s="331" t="str">
        <x:f>IF($H498="","",IFERROR(INDEX('Game Records'!$U:$U,$H498),""))</x:f>
        <x:v/>
      </x:c>
      <x:c r="E498" s="331" t="str">
        <x:f>IF($H498="","",IF($F498="","No Highlighted Fields","Highlighted Fields Present"))</x:f>
        <x:v/>
      </x:c>
      <x:c r="F498" s="331" t="str">
        <x:f>IF($H498="","",IF(INDEX('Game Records'!$B:$B,$H498)="","Start Date; ","")&amp;IF(INDEX('Game Records'!$C:$C,$H498)="","End Date; ","")&amp;IF(AND(INDEX('Game Records'!$U:$U,$H498)&lt;&gt;"Subscription",INDEX('Game Records'!$U:$U,$H498)&lt;&gt;"Free Game",INDEX('Game Records'!$U:$U,$H498)&lt;&gt;"Disqualified — Free Game",OR(INDEX('Game Records'!$D:$D,$H498)="",LOWER(INDEX('Game Records'!$D:$D,$H498)&amp;"")="n/a")),"Entry Mode; ","")&amp;IF(AND(INDEX('Game Records'!$U:$U,$H498)&lt;&gt;"Subscription",INDEX('Game Records'!$U:$U,$H498)&lt;&gt;"Free Game",INDEX('Game Records'!$U:$U,$H498)&lt;&gt;"Disqualified — Free Game",OR(INDEX('Game Records'!$E:$E,$H498)="",LOWER(INDEX('Game Records'!$E:$E,$H498)&amp;"")="n/a")),"Game Type; ","")&amp;IF(INDEX('Game Records'!$F:$F,$H498)="","Payment Type; ","")&amp;IF(AND(INDEX('Game Records'!$U:$U,$H498)&lt;&gt;"Subscription",INDEX('Game Records'!$U:$U,$H498)&lt;&gt;"Free Game",INDEX('Game Records'!$U:$U,$H498)&lt;&gt;"Disqualified — Free Game",INDEX('Game Records'!$G:$G,$H498)=""),"Gross Pot; ","")&amp;IF(AND(INDEX('Game Records'!$U:$U,$H498)&lt;&gt;"Free Game",INDEX('Game Records'!$U:$U,$H498)&lt;&gt;"Disqualified — Free Game",INDEX('Game Records'!$H:$H,$H498)=""),"Entry Fee; ","")&amp;IF(AND(INDEX('Game Records'!$U:$U,$H498)&lt;&gt;"Subscription",INDEX('Game Records'!$U:$U,$H498)&lt;&gt;"Free Game",INDEX('Game Records'!$U:$U,$H498)&lt;&gt;"Disqualified — Free Game",INDEX('Game Records'!$I:$I,$H498)=""),"Eligible Players; ","")&amp;IF(AND(INDEX('Game Records'!$U:$U,$H498)&lt;&gt;"Subscription",INDEX('Game Records'!$U:$U,$H498)&lt;&gt;"Free Game",INDEX('Game Records'!$U:$U,$H498)&lt;&gt;"Disqualified — Free Game",INDEX('Game Records'!$J:$J,$H498)=""),"Total Players; ","")&amp;IF(AND(LOWER(INDEX('Game Records'!$D:$D,$H498)&amp;"")="finalized",LOWER(INDEX('Game Records'!$L:$L,$H498)&amp;"")&lt;&gt;"yes",INDEX('Game Records'!$U:$U,$H498)&lt;&gt;"Subscription",INDEX('Game Records'!$U:$U,$H498)&lt;&gt;"Free Game",INDEX('Game Records'!$U:$U,$H498)&lt;&gt;"Disqualified — Free Game",INDEX('Game Records'!$K:$K,$H498)=""),"Final Earned; ","")&amp;IF(AND(LOWER(INDEX('Game Records'!$D:$D,$H498)&amp;"")="finalized",INDEX('Game Records'!$U:$U,$H498)&lt;&gt;"Subscription",INDEX('Game Records'!$U:$U,$H498)&lt;&gt;"Free Game",INDEX('Game Records'!$U:$U,$H498)&lt;&gt;"Disqualified — Free Game",OR(INDEX('Game Records'!$L:$L,$H498)="",LOWER(INDEX('Game Records'!$L:$L,$H498)&amp;"")="n/a")),"Disqualified Status; ",""))</x:f>
        <x:v/>
      </x:c>
      <x:c r="G498" s="331" t="str">
        <x:f>IF($H498="","",IFERROR(INDEX('Game Records'!$M:$M,$H498),""))</x:f>
        <x:v/>
      </x:c>
      <x:c r="H498" s="104" t="str">
        <x:f>IF($H497="","",IFERROR(MATCH(1,INDEX((ROW('Game Records'!$U$5:$U$504)&gt;$H497)*(('Game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499" ht="24" customHeight="1">
      <x:c r="A499" s="332" t="str">
        <x:f>IF($H499="","",ROWS($A$5:A499))</x:f>
        <x:v/>
      </x:c>
      <x:c r="B499" s="332" t="str">
        <x:f>IF($H499="","","G-"&amp;TEXT($A499,"0000"))</x:f>
        <x:v/>
      </x:c>
      <x:c r="C499" s="331" t="str">
        <x:f>IF($H499="","",IFERROR(INDEX('Game Records'!$A:$A,$H499),""))</x:f>
        <x:v/>
      </x:c>
      <x:c r="D499" s="331" t="str">
        <x:f>IF($H499="","",IFERROR(INDEX('Game Records'!$U:$U,$H499),""))</x:f>
        <x:v/>
      </x:c>
      <x:c r="E499" s="331" t="str">
        <x:f>IF($H499="","",IF($F499="","No Highlighted Fields","Highlighted Fields Present"))</x:f>
        <x:v/>
      </x:c>
      <x:c r="F499" s="331" t="str">
        <x:f>IF($H499="","",IF(INDEX('Game Records'!$B:$B,$H499)="","Start Date; ","")&amp;IF(INDEX('Game Records'!$C:$C,$H499)="","End Date; ","")&amp;IF(AND(INDEX('Game Records'!$U:$U,$H499)&lt;&gt;"Subscription",INDEX('Game Records'!$U:$U,$H499)&lt;&gt;"Free Game",INDEX('Game Records'!$U:$U,$H499)&lt;&gt;"Disqualified — Free Game",OR(INDEX('Game Records'!$D:$D,$H499)="",LOWER(INDEX('Game Records'!$D:$D,$H499)&amp;"")="n/a")),"Entry Mode; ","")&amp;IF(AND(INDEX('Game Records'!$U:$U,$H499)&lt;&gt;"Subscription",INDEX('Game Records'!$U:$U,$H499)&lt;&gt;"Free Game",INDEX('Game Records'!$U:$U,$H499)&lt;&gt;"Disqualified — Free Game",OR(INDEX('Game Records'!$E:$E,$H499)="",LOWER(INDEX('Game Records'!$E:$E,$H499)&amp;"")="n/a")),"Game Type; ","")&amp;IF(INDEX('Game Records'!$F:$F,$H499)="","Payment Type; ","")&amp;IF(AND(INDEX('Game Records'!$U:$U,$H499)&lt;&gt;"Subscription",INDEX('Game Records'!$U:$U,$H499)&lt;&gt;"Free Game",INDEX('Game Records'!$U:$U,$H499)&lt;&gt;"Disqualified — Free Game",INDEX('Game Records'!$G:$G,$H499)=""),"Gross Pot; ","")&amp;IF(AND(INDEX('Game Records'!$U:$U,$H499)&lt;&gt;"Free Game",INDEX('Game Records'!$U:$U,$H499)&lt;&gt;"Disqualified — Free Game",INDEX('Game Records'!$H:$H,$H499)=""),"Entry Fee; ","")&amp;IF(AND(INDEX('Game Records'!$U:$U,$H499)&lt;&gt;"Subscription",INDEX('Game Records'!$U:$U,$H499)&lt;&gt;"Free Game",INDEX('Game Records'!$U:$U,$H499)&lt;&gt;"Disqualified — Free Game",INDEX('Game Records'!$I:$I,$H499)=""),"Eligible Players; ","")&amp;IF(AND(INDEX('Game Records'!$U:$U,$H499)&lt;&gt;"Subscription",INDEX('Game Records'!$U:$U,$H499)&lt;&gt;"Free Game",INDEX('Game Records'!$U:$U,$H499)&lt;&gt;"Disqualified — Free Game",INDEX('Game Records'!$J:$J,$H499)=""),"Total Players; ","")&amp;IF(AND(LOWER(INDEX('Game Records'!$D:$D,$H499)&amp;"")="finalized",LOWER(INDEX('Game Records'!$L:$L,$H499)&amp;"")&lt;&gt;"yes",INDEX('Game Records'!$U:$U,$H499)&lt;&gt;"Subscription",INDEX('Game Records'!$U:$U,$H499)&lt;&gt;"Free Game",INDEX('Game Records'!$U:$U,$H499)&lt;&gt;"Disqualified — Free Game",INDEX('Game Records'!$K:$K,$H499)=""),"Final Earned; ","")&amp;IF(AND(LOWER(INDEX('Game Records'!$D:$D,$H499)&amp;"")="finalized",INDEX('Game Records'!$U:$U,$H499)&lt;&gt;"Subscription",INDEX('Game Records'!$U:$U,$H499)&lt;&gt;"Free Game",INDEX('Game Records'!$U:$U,$H499)&lt;&gt;"Disqualified — Free Game",OR(INDEX('Game Records'!$L:$L,$H499)="",LOWER(INDEX('Game Records'!$L:$L,$H499)&amp;"")="n/a")),"Disqualified Status; ",""))</x:f>
        <x:v/>
      </x:c>
      <x:c r="G499" s="331" t="str">
        <x:f>IF($H499="","",IFERROR(INDEX('Game Records'!$M:$M,$H499),""))</x:f>
        <x:v/>
      </x:c>
      <x:c r="H499" s="104" t="str">
        <x:f>IF($H498="","",IFERROR(MATCH(1,INDEX((ROW('Game Records'!$U$5:$U$504)&gt;$H498)*(('Game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0" ht="24" customHeight="1">
      <x:c r="A500" s="332" t="str">
        <x:f>IF($H500="","",ROWS($A$5:A500))</x:f>
        <x:v/>
      </x:c>
      <x:c r="B500" s="332" t="str">
        <x:f>IF($H500="","","G-"&amp;TEXT($A500,"0000"))</x:f>
        <x:v/>
      </x:c>
      <x:c r="C500" s="331" t="str">
        <x:f>IF($H500="","",IFERROR(INDEX('Game Records'!$A:$A,$H500),""))</x:f>
        <x:v/>
      </x:c>
      <x:c r="D500" s="331" t="str">
        <x:f>IF($H500="","",IFERROR(INDEX('Game Records'!$U:$U,$H500),""))</x:f>
        <x:v/>
      </x:c>
      <x:c r="E500" s="331" t="str">
        <x:f>IF($H500="","",IF($F500="","No Highlighted Fields","Highlighted Fields Present"))</x:f>
        <x:v/>
      </x:c>
      <x:c r="F500" s="331" t="str">
        <x:f>IF($H500="","",IF(INDEX('Game Records'!$B:$B,$H500)="","Start Date; ","")&amp;IF(INDEX('Game Records'!$C:$C,$H500)="","End Date; ","")&amp;IF(AND(INDEX('Game Records'!$U:$U,$H500)&lt;&gt;"Subscription",INDEX('Game Records'!$U:$U,$H500)&lt;&gt;"Free Game",INDEX('Game Records'!$U:$U,$H500)&lt;&gt;"Disqualified — Free Game",OR(INDEX('Game Records'!$D:$D,$H500)="",LOWER(INDEX('Game Records'!$D:$D,$H500)&amp;"")="n/a")),"Entry Mode; ","")&amp;IF(AND(INDEX('Game Records'!$U:$U,$H500)&lt;&gt;"Subscription",INDEX('Game Records'!$U:$U,$H500)&lt;&gt;"Free Game",INDEX('Game Records'!$U:$U,$H500)&lt;&gt;"Disqualified — Free Game",OR(INDEX('Game Records'!$E:$E,$H500)="",LOWER(INDEX('Game Records'!$E:$E,$H500)&amp;"")="n/a")),"Game Type; ","")&amp;IF(INDEX('Game Records'!$F:$F,$H500)="","Payment Type; ","")&amp;IF(AND(INDEX('Game Records'!$U:$U,$H500)&lt;&gt;"Subscription",INDEX('Game Records'!$U:$U,$H500)&lt;&gt;"Free Game",INDEX('Game Records'!$U:$U,$H500)&lt;&gt;"Disqualified — Free Game",INDEX('Game Records'!$G:$G,$H500)=""),"Gross Pot; ","")&amp;IF(AND(INDEX('Game Records'!$U:$U,$H500)&lt;&gt;"Free Game",INDEX('Game Records'!$U:$U,$H500)&lt;&gt;"Disqualified — Free Game",INDEX('Game Records'!$H:$H,$H500)=""),"Entry Fee; ","")&amp;IF(AND(INDEX('Game Records'!$U:$U,$H500)&lt;&gt;"Subscription",INDEX('Game Records'!$U:$U,$H500)&lt;&gt;"Free Game",INDEX('Game Records'!$U:$U,$H500)&lt;&gt;"Disqualified — Free Game",INDEX('Game Records'!$I:$I,$H500)=""),"Eligible Players; ","")&amp;IF(AND(INDEX('Game Records'!$U:$U,$H500)&lt;&gt;"Subscription",INDEX('Game Records'!$U:$U,$H500)&lt;&gt;"Free Game",INDEX('Game Records'!$U:$U,$H500)&lt;&gt;"Disqualified — Free Game",INDEX('Game Records'!$J:$J,$H500)=""),"Total Players; ","")&amp;IF(AND(LOWER(INDEX('Game Records'!$D:$D,$H500)&amp;"")="finalized",LOWER(INDEX('Game Records'!$L:$L,$H500)&amp;"")&lt;&gt;"yes",INDEX('Game Records'!$U:$U,$H500)&lt;&gt;"Subscription",INDEX('Game Records'!$U:$U,$H500)&lt;&gt;"Free Game",INDEX('Game Records'!$U:$U,$H500)&lt;&gt;"Disqualified — Free Game",INDEX('Game Records'!$K:$K,$H500)=""),"Final Earned; ","")&amp;IF(AND(LOWER(INDEX('Game Records'!$D:$D,$H500)&amp;"")="finalized",INDEX('Game Records'!$U:$U,$H500)&lt;&gt;"Subscription",INDEX('Game Records'!$U:$U,$H500)&lt;&gt;"Free Game",INDEX('Game Records'!$U:$U,$H500)&lt;&gt;"Disqualified — Free Game",OR(INDEX('Game Records'!$L:$L,$H500)="",LOWER(INDEX('Game Records'!$L:$L,$H500)&amp;"")="n/a")),"Disqualified Status; ",""))</x:f>
        <x:v/>
      </x:c>
      <x:c r="G500" s="331" t="str">
        <x:f>IF($H500="","",IFERROR(INDEX('Game Records'!$M:$M,$H500),""))</x:f>
        <x:v/>
      </x:c>
      <x:c r="H500" s="104" t="str">
        <x:f>IF($H499="","",IFERROR(MATCH(1,INDEX((ROW('Game Records'!$U$5:$U$504)&gt;$H499)*(('Game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1" ht="24" customHeight="1">
      <x:c r="A501" s="332" t="str">
        <x:f>IF($H501="","",ROWS($A$5:A501))</x:f>
        <x:v/>
      </x:c>
      <x:c r="B501" s="332" t="str">
        <x:f>IF($H501="","","G-"&amp;TEXT($A501,"0000"))</x:f>
        <x:v/>
      </x:c>
      <x:c r="C501" s="331" t="str">
        <x:f>IF($H501="","",IFERROR(INDEX('Game Records'!$A:$A,$H501),""))</x:f>
        <x:v/>
      </x:c>
      <x:c r="D501" s="331" t="str">
        <x:f>IF($H501="","",IFERROR(INDEX('Game Records'!$U:$U,$H501),""))</x:f>
        <x:v/>
      </x:c>
      <x:c r="E501" s="331" t="str">
        <x:f>IF($H501="","",IF($F501="","No Highlighted Fields","Highlighted Fields Present"))</x:f>
        <x:v/>
      </x:c>
      <x:c r="F501" s="331" t="str">
        <x:f>IF($H501="","",IF(INDEX('Game Records'!$B:$B,$H501)="","Start Date; ","")&amp;IF(INDEX('Game Records'!$C:$C,$H501)="","End Date; ","")&amp;IF(AND(INDEX('Game Records'!$U:$U,$H501)&lt;&gt;"Subscription",INDEX('Game Records'!$U:$U,$H501)&lt;&gt;"Free Game",INDEX('Game Records'!$U:$U,$H501)&lt;&gt;"Disqualified — Free Game",OR(INDEX('Game Records'!$D:$D,$H501)="",LOWER(INDEX('Game Records'!$D:$D,$H501)&amp;"")="n/a")),"Entry Mode; ","")&amp;IF(AND(INDEX('Game Records'!$U:$U,$H501)&lt;&gt;"Subscription",INDEX('Game Records'!$U:$U,$H501)&lt;&gt;"Free Game",INDEX('Game Records'!$U:$U,$H501)&lt;&gt;"Disqualified — Free Game",OR(INDEX('Game Records'!$E:$E,$H501)="",LOWER(INDEX('Game Records'!$E:$E,$H501)&amp;"")="n/a")),"Game Type; ","")&amp;IF(INDEX('Game Records'!$F:$F,$H501)="","Payment Type; ","")&amp;IF(AND(INDEX('Game Records'!$U:$U,$H501)&lt;&gt;"Subscription",INDEX('Game Records'!$U:$U,$H501)&lt;&gt;"Free Game",INDEX('Game Records'!$U:$U,$H501)&lt;&gt;"Disqualified — Free Game",INDEX('Game Records'!$G:$G,$H501)=""),"Gross Pot; ","")&amp;IF(AND(INDEX('Game Records'!$U:$U,$H501)&lt;&gt;"Free Game",INDEX('Game Records'!$U:$U,$H501)&lt;&gt;"Disqualified — Free Game",INDEX('Game Records'!$H:$H,$H501)=""),"Entry Fee; ","")&amp;IF(AND(INDEX('Game Records'!$U:$U,$H501)&lt;&gt;"Subscription",INDEX('Game Records'!$U:$U,$H501)&lt;&gt;"Free Game",INDEX('Game Records'!$U:$U,$H501)&lt;&gt;"Disqualified — Free Game",INDEX('Game Records'!$I:$I,$H501)=""),"Eligible Players; ","")&amp;IF(AND(INDEX('Game Records'!$U:$U,$H501)&lt;&gt;"Subscription",INDEX('Game Records'!$U:$U,$H501)&lt;&gt;"Free Game",INDEX('Game Records'!$U:$U,$H501)&lt;&gt;"Disqualified — Free Game",INDEX('Game Records'!$J:$J,$H501)=""),"Total Players; ","")&amp;IF(AND(LOWER(INDEX('Game Records'!$D:$D,$H501)&amp;"")="finalized",LOWER(INDEX('Game Records'!$L:$L,$H501)&amp;"")&lt;&gt;"yes",INDEX('Game Records'!$U:$U,$H501)&lt;&gt;"Subscription",INDEX('Game Records'!$U:$U,$H501)&lt;&gt;"Free Game",INDEX('Game Records'!$U:$U,$H501)&lt;&gt;"Disqualified — Free Game",INDEX('Game Records'!$K:$K,$H501)=""),"Final Earned; ","")&amp;IF(AND(LOWER(INDEX('Game Records'!$D:$D,$H501)&amp;"")="finalized",INDEX('Game Records'!$U:$U,$H501)&lt;&gt;"Subscription",INDEX('Game Records'!$U:$U,$H501)&lt;&gt;"Free Game",INDEX('Game Records'!$U:$U,$H501)&lt;&gt;"Disqualified — Free Game",OR(INDEX('Game Records'!$L:$L,$H501)="",LOWER(INDEX('Game Records'!$L:$L,$H501)&amp;"")="n/a")),"Disqualified Status; ",""))</x:f>
        <x:v/>
      </x:c>
      <x:c r="G501" s="331" t="str">
        <x:f>IF($H501="","",IFERROR(INDEX('Game Records'!$M:$M,$H501),""))</x:f>
        <x:v/>
      </x:c>
      <x:c r="H501" s="104" t="str">
        <x:f>IF($H500="","",IFERROR(MATCH(1,INDEX((ROW('Game Records'!$U$5:$U$504)&gt;$H500)*(('Game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2" ht="24" customHeight="1">
      <x:c r="A502" s="332" t="str">
        <x:f>IF($H502="","",ROWS($A$5:A502))</x:f>
        <x:v/>
      </x:c>
      <x:c r="B502" s="332" t="str">
        <x:f>IF($H502="","","G-"&amp;TEXT($A502,"0000"))</x:f>
        <x:v/>
      </x:c>
      <x:c r="C502" s="331" t="str">
        <x:f>IF($H502="","",IFERROR(INDEX('Game Records'!$A:$A,$H502),""))</x:f>
        <x:v/>
      </x:c>
      <x:c r="D502" s="331" t="str">
        <x:f>IF($H502="","",IFERROR(INDEX('Game Records'!$U:$U,$H502),""))</x:f>
        <x:v/>
      </x:c>
      <x:c r="E502" s="331" t="str">
        <x:f>IF($H502="","",IF($F502="","No Highlighted Fields","Highlighted Fields Present"))</x:f>
        <x:v/>
      </x:c>
      <x:c r="F502" s="331" t="str">
        <x:f>IF($H502="","",IF(INDEX('Game Records'!$B:$B,$H502)="","Start Date; ","")&amp;IF(INDEX('Game Records'!$C:$C,$H502)="","End Date; ","")&amp;IF(AND(INDEX('Game Records'!$U:$U,$H502)&lt;&gt;"Subscription",INDEX('Game Records'!$U:$U,$H502)&lt;&gt;"Free Game",INDEX('Game Records'!$U:$U,$H502)&lt;&gt;"Disqualified — Free Game",OR(INDEX('Game Records'!$D:$D,$H502)="",LOWER(INDEX('Game Records'!$D:$D,$H502)&amp;"")="n/a")),"Entry Mode; ","")&amp;IF(AND(INDEX('Game Records'!$U:$U,$H502)&lt;&gt;"Subscription",INDEX('Game Records'!$U:$U,$H502)&lt;&gt;"Free Game",INDEX('Game Records'!$U:$U,$H502)&lt;&gt;"Disqualified — Free Game",OR(INDEX('Game Records'!$E:$E,$H502)="",LOWER(INDEX('Game Records'!$E:$E,$H502)&amp;"")="n/a")),"Game Type; ","")&amp;IF(INDEX('Game Records'!$F:$F,$H502)="","Payment Type; ","")&amp;IF(AND(INDEX('Game Records'!$U:$U,$H502)&lt;&gt;"Subscription",INDEX('Game Records'!$U:$U,$H502)&lt;&gt;"Free Game",INDEX('Game Records'!$U:$U,$H502)&lt;&gt;"Disqualified — Free Game",INDEX('Game Records'!$G:$G,$H502)=""),"Gross Pot; ","")&amp;IF(AND(INDEX('Game Records'!$U:$U,$H502)&lt;&gt;"Free Game",INDEX('Game Records'!$U:$U,$H502)&lt;&gt;"Disqualified — Free Game",INDEX('Game Records'!$H:$H,$H502)=""),"Entry Fee; ","")&amp;IF(AND(INDEX('Game Records'!$U:$U,$H502)&lt;&gt;"Subscription",INDEX('Game Records'!$U:$U,$H502)&lt;&gt;"Free Game",INDEX('Game Records'!$U:$U,$H502)&lt;&gt;"Disqualified — Free Game",INDEX('Game Records'!$I:$I,$H502)=""),"Eligible Players; ","")&amp;IF(AND(INDEX('Game Records'!$U:$U,$H502)&lt;&gt;"Subscription",INDEX('Game Records'!$U:$U,$H502)&lt;&gt;"Free Game",INDEX('Game Records'!$U:$U,$H502)&lt;&gt;"Disqualified — Free Game",INDEX('Game Records'!$J:$J,$H502)=""),"Total Players; ","")&amp;IF(AND(LOWER(INDEX('Game Records'!$D:$D,$H502)&amp;"")="finalized",LOWER(INDEX('Game Records'!$L:$L,$H502)&amp;"")&lt;&gt;"yes",INDEX('Game Records'!$U:$U,$H502)&lt;&gt;"Subscription",INDEX('Game Records'!$U:$U,$H502)&lt;&gt;"Free Game",INDEX('Game Records'!$U:$U,$H502)&lt;&gt;"Disqualified — Free Game",INDEX('Game Records'!$K:$K,$H502)=""),"Final Earned; ","")&amp;IF(AND(LOWER(INDEX('Game Records'!$D:$D,$H502)&amp;"")="finalized",INDEX('Game Records'!$U:$U,$H502)&lt;&gt;"Subscription",INDEX('Game Records'!$U:$U,$H502)&lt;&gt;"Free Game",INDEX('Game Records'!$U:$U,$H502)&lt;&gt;"Disqualified — Free Game",OR(INDEX('Game Records'!$L:$L,$H502)="",LOWER(INDEX('Game Records'!$L:$L,$H502)&amp;"")="n/a")),"Disqualified Status; ",""))</x:f>
        <x:v/>
      </x:c>
      <x:c r="G502" s="331" t="str">
        <x:f>IF($H502="","",IFERROR(INDEX('Game Records'!$M:$M,$H502),""))</x:f>
        <x:v/>
      </x:c>
      <x:c r="H502" s="104" t="str">
        <x:f>IF($H501="","",IFERROR(MATCH(1,INDEX((ROW('Game Records'!$U$5:$U$504)&gt;$H501)*(('Game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3" ht="24" customHeight="1">
      <x:c r="A503" s="332" t="str">
        <x:f>IF($H503="","",ROWS($A$5:A503))</x:f>
        <x:v/>
      </x:c>
      <x:c r="B503" s="332" t="str">
        <x:f>IF($H503="","","G-"&amp;TEXT($A503,"0000"))</x:f>
        <x:v/>
      </x:c>
      <x:c r="C503" s="331" t="str">
        <x:f>IF($H503="","",IFERROR(INDEX('Game Records'!$A:$A,$H503),""))</x:f>
        <x:v/>
      </x:c>
      <x:c r="D503" s="331" t="str">
        <x:f>IF($H503="","",IFERROR(INDEX('Game Records'!$U:$U,$H503),""))</x:f>
        <x:v/>
      </x:c>
      <x:c r="E503" s="331" t="str">
        <x:f>IF($H503="","",IF($F503="","No Highlighted Fields","Highlighted Fields Present"))</x:f>
        <x:v/>
      </x:c>
      <x:c r="F503" s="331" t="str">
        <x:f>IF($H503="","",IF(INDEX('Game Records'!$B:$B,$H503)="","Start Date; ","")&amp;IF(INDEX('Game Records'!$C:$C,$H503)="","End Date; ","")&amp;IF(AND(INDEX('Game Records'!$U:$U,$H503)&lt;&gt;"Subscription",INDEX('Game Records'!$U:$U,$H503)&lt;&gt;"Free Game",INDEX('Game Records'!$U:$U,$H503)&lt;&gt;"Disqualified — Free Game",OR(INDEX('Game Records'!$D:$D,$H503)="",LOWER(INDEX('Game Records'!$D:$D,$H503)&amp;"")="n/a")),"Entry Mode; ","")&amp;IF(AND(INDEX('Game Records'!$U:$U,$H503)&lt;&gt;"Subscription",INDEX('Game Records'!$U:$U,$H503)&lt;&gt;"Free Game",INDEX('Game Records'!$U:$U,$H503)&lt;&gt;"Disqualified — Free Game",OR(INDEX('Game Records'!$E:$E,$H503)="",LOWER(INDEX('Game Records'!$E:$E,$H503)&amp;"")="n/a")),"Game Type; ","")&amp;IF(INDEX('Game Records'!$F:$F,$H503)="","Payment Type; ","")&amp;IF(AND(INDEX('Game Records'!$U:$U,$H503)&lt;&gt;"Subscription",INDEX('Game Records'!$U:$U,$H503)&lt;&gt;"Free Game",INDEX('Game Records'!$U:$U,$H503)&lt;&gt;"Disqualified — Free Game",INDEX('Game Records'!$G:$G,$H503)=""),"Gross Pot; ","")&amp;IF(AND(INDEX('Game Records'!$U:$U,$H503)&lt;&gt;"Free Game",INDEX('Game Records'!$U:$U,$H503)&lt;&gt;"Disqualified — Free Game",INDEX('Game Records'!$H:$H,$H503)=""),"Entry Fee; ","")&amp;IF(AND(INDEX('Game Records'!$U:$U,$H503)&lt;&gt;"Subscription",INDEX('Game Records'!$U:$U,$H503)&lt;&gt;"Free Game",INDEX('Game Records'!$U:$U,$H503)&lt;&gt;"Disqualified — Free Game",INDEX('Game Records'!$I:$I,$H503)=""),"Eligible Players; ","")&amp;IF(AND(INDEX('Game Records'!$U:$U,$H503)&lt;&gt;"Subscription",INDEX('Game Records'!$U:$U,$H503)&lt;&gt;"Free Game",INDEX('Game Records'!$U:$U,$H503)&lt;&gt;"Disqualified — Free Game",INDEX('Game Records'!$J:$J,$H503)=""),"Total Players; ","")&amp;IF(AND(LOWER(INDEX('Game Records'!$D:$D,$H503)&amp;"")="finalized",LOWER(INDEX('Game Records'!$L:$L,$H503)&amp;"")&lt;&gt;"yes",INDEX('Game Records'!$U:$U,$H503)&lt;&gt;"Subscription",INDEX('Game Records'!$U:$U,$H503)&lt;&gt;"Free Game",INDEX('Game Records'!$U:$U,$H503)&lt;&gt;"Disqualified — Free Game",INDEX('Game Records'!$K:$K,$H503)=""),"Final Earned; ","")&amp;IF(AND(LOWER(INDEX('Game Records'!$D:$D,$H503)&amp;"")="finalized",INDEX('Game Records'!$U:$U,$H503)&lt;&gt;"Subscription",INDEX('Game Records'!$U:$U,$H503)&lt;&gt;"Free Game",INDEX('Game Records'!$U:$U,$H503)&lt;&gt;"Disqualified — Free Game",OR(INDEX('Game Records'!$L:$L,$H503)="",LOWER(INDEX('Game Records'!$L:$L,$H503)&amp;"")="n/a")),"Disqualified Status; ",""))</x:f>
        <x:v/>
      </x:c>
      <x:c r="G503" s="331" t="str">
        <x:f>IF($H503="","",IFERROR(INDEX('Game Records'!$M:$M,$H503),""))</x:f>
        <x:v/>
      </x:c>
      <x:c r="H503" s="104" t="str">
        <x:f>IF($H502="","",IFERROR(MATCH(1,INDEX((ROW('Game Records'!$U$5:$U$504)&gt;$H502)*(('Game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row r="504" ht="24" customHeight="1">
      <x:c r="A504" s="332" t="str">
        <x:f>IF($H504="","",ROWS($A$5:A504))</x:f>
        <x:v/>
      </x:c>
      <x:c r="B504" s="332" t="str">
        <x:f>IF($H504="","","G-"&amp;TEXT($A504,"0000"))</x:f>
        <x:v/>
      </x:c>
      <x:c r="C504" s="331" t="str">
        <x:f>IF($H504="","",IFERROR(INDEX('Game Records'!$A:$A,$H504),""))</x:f>
        <x:v/>
      </x:c>
      <x:c r="D504" s="331" t="str">
        <x:f>IF($H504="","",IFERROR(INDEX('Game Records'!$U:$U,$H504),""))</x:f>
        <x:v/>
      </x:c>
      <x:c r="E504" s="331" t="str">
        <x:f>IF($H504="","",IF($F504="","No Highlighted Fields","Highlighted Fields Present"))</x:f>
        <x:v/>
      </x:c>
      <x:c r="F504" s="331" t="str">
        <x:f>IF($H504="","",IF(INDEX('Game Records'!$B:$B,$H504)="","Start Date; ","")&amp;IF(INDEX('Game Records'!$C:$C,$H504)="","End Date; ","")&amp;IF(AND(INDEX('Game Records'!$U:$U,$H504)&lt;&gt;"Subscription",INDEX('Game Records'!$U:$U,$H504)&lt;&gt;"Free Game",INDEX('Game Records'!$U:$U,$H504)&lt;&gt;"Disqualified — Free Game",OR(INDEX('Game Records'!$D:$D,$H504)="",LOWER(INDEX('Game Records'!$D:$D,$H504)&amp;"")="n/a")),"Entry Mode; ","")&amp;IF(AND(INDEX('Game Records'!$U:$U,$H504)&lt;&gt;"Subscription",INDEX('Game Records'!$U:$U,$H504)&lt;&gt;"Free Game",INDEX('Game Records'!$U:$U,$H504)&lt;&gt;"Disqualified — Free Game",OR(INDEX('Game Records'!$E:$E,$H504)="",LOWER(INDEX('Game Records'!$E:$E,$H504)&amp;"")="n/a")),"Game Type; ","")&amp;IF(INDEX('Game Records'!$F:$F,$H504)="","Payment Type; ","")&amp;IF(AND(INDEX('Game Records'!$U:$U,$H504)&lt;&gt;"Subscription",INDEX('Game Records'!$U:$U,$H504)&lt;&gt;"Free Game",INDEX('Game Records'!$U:$U,$H504)&lt;&gt;"Disqualified — Free Game",INDEX('Game Records'!$G:$G,$H504)=""),"Gross Pot; ","")&amp;IF(AND(INDEX('Game Records'!$U:$U,$H504)&lt;&gt;"Free Game",INDEX('Game Records'!$U:$U,$H504)&lt;&gt;"Disqualified — Free Game",INDEX('Game Records'!$H:$H,$H504)=""),"Entry Fee; ","")&amp;IF(AND(INDEX('Game Records'!$U:$U,$H504)&lt;&gt;"Subscription",INDEX('Game Records'!$U:$U,$H504)&lt;&gt;"Free Game",INDEX('Game Records'!$U:$U,$H504)&lt;&gt;"Disqualified — Free Game",INDEX('Game Records'!$I:$I,$H504)=""),"Eligible Players; ","")&amp;IF(AND(INDEX('Game Records'!$U:$U,$H504)&lt;&gt;"Subscription",INDEX('Game Records'!$U:$U,$H504)&lt;&gt;"Free Game",INDEX('Game Records'!$U:$U,$H504)&lt;&gt;"Disqualified — Free Game",INDEX('Game Records'!$J:$J,$H504)=""),"Total Players; ","")&amp;IF(AND(LOWER(INDEX('Game Records'!$D:$D,$H504)&amp;"")="finalized",LOWER(INDEX('Game Records'!$L:$L,$H504)&amp;"")&lt;&gt;"yes",INDEX('Game Records'!$U:$U,$H504)&lt;&gt;"Subscription",INDEX('Game Records'!$U:$U,$H504)&lt;&gt;"Free Game",INDEX('Game Records'!$U:$U,$H504)&lt;&gt;"Disqualified — Free Game",INDEX('Game Records'!$K:$K,$H504)=""),"Final Earned; ","")&amp;IF(AND(LOWER(INDEX('Game Records'!$D:$D,$H504)&amp;"")="finalized",INDEX('Game Records'!$U:$U,$H504)&lt;&gt;"Subscription",INDEX('Game Records'!$U:$U,$H504)&lt;&gt;"Free Game",INDEX('Game Records'!$U:$U,$H504)&lt;&gt;"Disqualified — Free Game",OR(INDEX('Game Records'!$L:$L,$H504)="",LOWER(INDEX('Game Records'!$L:$L,$H504)&amp;"")="n/a")),"Disqualified Status; ",""))</x:f>
        <x:v/>
      </x:c>
      <x:c r="G504" s="331" t="str">
        <x:f>IF($H504="","",IFERROR(INDEX('Game Records'!$M:$M,$H504),""))</x:f>
        <x:v/>
      </x:c>
      <x:c r="H504" s="104" t="str">
        <x:f>IF($H503="","",IFERROR(MATCH(1,INDEX((ROW('Game Records'!$U$5:$U$504)&gt;$H503)*(('Game Records'!$A$5:$A$504&lt;&gt;"")+('Game Records'!$B$5:$B$504&lt;&gt;"")+('Game Records'!$C$5:$C$504&lt;&gt;"")+('Game Records'!$D$5:$D$504&lt;&gt;"")+('Game Records'!$E$5:$E$504&lt;&gt;"")+('Game Records'!$F$5:$F$504&lt;&gt;"")+('Game Records'!$G$5:$G$504&lt;&gt;"")+('Game Records'!$H$5:$H$504&lt;&gt;"")+('Game Records'!$I$5:$I$504&lt;&gt;"")+('Game Records'!$J$5:$J$504&lt;&gt;"")+('Game Records'!$K$5:$K$504&lt;&gt;"")+('Game Records'!$L$5:$L$504&lt;&gt;"")+('Game Records'!$M$5:$M$504&lt;&gt;"")&gt;0)*('Game Records'!$U$5:$U$504&lt;&gt;"Subscription"),0),0)+4,""))</x:f>
        <x:v/>
      </x:c>
    </x:row>
  </x:sheetData>
  <x:mergeCells>
    <x:mergeCell ref="A1:G1"/>
    <x:mergeCell ref="A2:G2"/>
  </x:mergeCells>
  <x:conditionalFormatting sqref="D5:D500">
    <x:cfRule type="expression" dxfId="16" priority="1">
      <x:formula>$D5="Highlighted Fields Present"</x:formula>
    </x:cfRule>
    <x:cfRule type="expression" dxfId="17" priority="2">
      <x:formula>$D5="No Highlighted Fields"</x:formula>
    </x:cfRule>
  </x:conditionalFormatting>
  <x:conditionalFormatting sqref="A5:G504">
    <x:cfRule type="expression" dxfId="20" priority="3">
      <x:formula>AND($A5&lt;&gt;"",MOD($A5,2)=1)</x:formula>
    </x:cfRule>
    <x:cfRule type="expression" dxfId="21" priority="4">
      <x:formula>AND($A5&lt;&gt;"",MOD($A5,2)=0)</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27" hidden="0" customWidth="1"/>
    <x:col min="2" max="2" width="13" hidden="0" customWidth="1"/>
    <x:col min="3" max="3" width="24" hidden="0" customWidth="1"/>
    <x:col min="4" max="4" width="27" hidden="0" customWidth="1"/>
    <x:col min="5" max="5" width="15" hidden="0" customWidth="1"/>
    <x:col min="6" max="6" width="42" hidden="0" customWidth="1"/>
  </x:cols>
  <x:sheetData>
    <x:row r="1" ht="30" hidden="0" customHeight="1">
      <x:c r="A1" s="200" t="str">
        <x:v>StepCat Live Summary Dashboard — v246.3.6</x:v>
      </x:c>
      <x:c r="B1" s="200"/>
      <x:c r="C1" s="200"/>
      <x:c r="D1" s="200"/>
      <x:c r="E1" s="200"/>
      <x:c r="F1" s="200"/>
    </x:row>
    <x:row r="2" ht="15" hidden="0" customHeight="1">
      <x:c r="A2" s="104"/>
      <x:c r="B2" s="104"/>
      <x:c r="C2" s="104"/>
      <x:c r="D2" s="104"/>
      <x:c r="E2" s="104"/>
      <x:c r="F2" s="104"/>
    </x:row>
    <x:row r="3" ht="15" hidden="0" customHeight="1">
      <x:c r="A3" s="310" t="str">
        <x:v>Game Result</x:v>
      </x:c>
      <x:c r="B3" s="310" t="str">
        <x:v>Game Count</x:v>
      </x:c>
      <x:c r="C3" s="310" t="str">
        <x:v>Share of Paid Games</x:v>
      </x:c>
      <x:c r="D3" s="310" t="str">
        <x:v>Cash / Credit Total</x:v>
      </x:c>
      <x:c r="E3" s="310" t="str">
        <x:v>Amount</x:v>
      </x:c>
      <x:c r="F3" s="310" t="str">
        <x:v>What It Represents</x:v>
      </x:c>
    </x:row>
    <x:row r="4" ht="15" hidden="0" customHeight="1">
      <x:c r="A4" s="126" t="str">
        <x:v>Profit Games</x:v>
      </x:c>
      <x:c r="B4" s="126" t="n">
        <x:f>COUNTIF('Game Records'!$U$5:$U$504,"Profit")</x:f>
        <x:v>0</x:v>
      </x:c>
      <x:c r="C4" s="128" t="n">
        <x:f>IF($B$7=0,0,B4/$B$7)</x:f>
        <x:v>0</x:v>
      </x:c>
      <x:c r="D4" s="126" t="str">
        <x:v>Running Net Game Profit</x:v>
      </x:c>
      <x:c r="E4" s="130" t="n">
        <x:f>Instructions!$B$29+SUM('Game Records'!$W$5:$W$504)</x:f>
        <x:v>0</x:v>
      </x:c>
      <x:c r="F4" s="126" t="str">
        <x:v>Gross profit minus lost entry fees</x:v>
      </x:c>
    </x:row>
    <x:row r="5" ht="26.399999618530273" hidden="0" customHeight="1">
      <x:c r="A5" s="126" t="str">
        <x:v>Draw Games</x:v>
      </x:c>
      <x:c r="B5" s="126" t="n">
        <x:f>COUNTIF('Game Records'!$U$5:$U$504,"Draw")</x:f>
        <x:v>0</x:v>
      </x:c>
      <x:c r="C5" s="128" t="n">
        <x:f>IF($B$7=0,0,B5/$B$7)</x:f>
        <x:v>0</x:v>
      </x:c>
      <x:c r="D5" s="126" t="str">
        <x:v>Gross Profit Earned</x:v>
      </x:c>
      <x:c r="E5" s="130" t="n">
        <x:f>SUM('Game Records'!$Q$5:$Q$504)</x:f>
        <x:v>0</x:v>
      </x:c>
      <x:c r="F5" s="126" t="str">
        <x:v>Positive paid-game cash profit only, before lost fees or membership costs</x:v>
      </x:c>
    </x:row>
    <x:row r="6" ht="15" hidden="0" customHeight="1">
      <x:c r="A6" s="126" t="str">
        <x:v>Disqualified Games</x:v>
      </x:c>
      <x:c r="B6" s="126" t="n">
        <x:f>COUNTIF('Game Records'!$U$5:$U$504,"Disqualified")</x:f>
        <x:v>0</x:v>
      </x:c>
      <x:c r="C6" s="128" t="n">
        <x:f>IF($B$7=0,0,B6/$B$7)</x:f>
        <x:v>0</x:v>
      </x:c>
      <x:c r="D6" s="126" t="str">
        <x:v>Total Lost Entry Fees</x:v>
      </x:c>
      <x:c r="E6" s="130" t="n">
        <x:f>SUM('Game Records'!$S$5:$S$504)</x:f>
        <x:v>0</x:v>
      </x:c>
      <x:c r="F6" s="126" t="str">
        <x:v>Full entry fees lost from disqualification</x:v>
      </x:c>
    </x:row>
    <x:row r="7" ht="26.399999618530273" hidden="0" customHeight="1">
      <x:c r="A7" s="126" t="str">
        <x:v>Current Workbook Paid Games</x:v>
      </x:c>
      <x:c r="B7" s="126" t="n">
        <x:f>SUM(B4:B6)</x:f>
        <x:v>0</x:v>
      </x:c>
      <x:c r="C7" s="128" t="n">
        <x:f>IF(B7=0,0,1)</x:f>
        <x:v>0</x:v>
      </x:c>
      <x:c r="D7" s="126" t="str">
        <x:v>Membership Fees</x:v>
      </x:c>
      <x:c r="E7" s="130" t="n">
        <x:f>Instructions!$B$30+SUMIFS('Game Records'!$H$5:$H$504,'Game Records'!$U$5:$U$504,"Subscription")</x:f>
        <x:v>0</x:v>
      </x:c>
      <x:c r="F7" s="126" t="str">
        <x:v>Annual membership cost, tracked as a separate non-game expense</x:v>
      </x:c>
    </x:row>
    <x:row r="8" ht="26.399999618530273" hidden="0" customHeight="1">
      <x:c r="A8" s="126" t="str">
        <x:v>Prior Completed Games (reference)</x:v>
      </x:c>
      <x:c r="B8" s="132" t="n">
        <x:f>Instructions!$B$31</x:f>
        <x:v>0</x:v>
      </x:c>
      <x:c r="C8" s="126"/>
      <x:c r="D8" s="126" t="str">
        <x:v>Actual Running Net Profit</x:v>
      </x:c>
      <x:c r="E8" s="130" t="n">
        <x:f>E4-E7</x:f>
        <x:v>0</x:v>
      </x:c>
      <x:c r="F8" s="126" t="str">
        <x:v>Running cash net game profit minus current and carried-over membership costs</x:v>
      </x:c>
    </x:row>
    <x:row r="9" ht="26.399999618530273" hidden="0" customHeight="1">
      <x:c r="A9" s="126" t="str">
        <x:v>Completed Free Games (separate credit)</x:v>
      </x:c>
      <x:c r="B9" s="914" t="n">
        <x:f>COUNTIFS('Game Records'!$D$5:$D$504,"Finalized",'Game Records'!$U$5:$U$504,"Free Game")+COUNTIFS('Game Records'!$D$5:$D$504,"Finalized",'Game Records'!$U$5:$U$504,"Disqualified — Free Game")</x:f>
        <x:v>0</x:v>
      </x:c>
      <x:c r="C9" s="913" t="str">
        <x:v>Separate</x:v>
      </x:c>
      <x:c r="D9" s="126" t="str">
        <x:v>Free Game Chips Earned</x:v>
      </x:c>
      <x:c r="E9" s="983" t="n">
        <x:f>SUMIFS('Game Records'!$K$5:$K$504,'Game Records'!$D$5:$D$504,"Finalized",'Game Records'!$U$5:$U$504,"Free Game",'Game Records'!$K$5:$K$504,"&lt;&gt;",'Game Records'!$K$5:$K$504,"&gt;=0")</x:f>
        <x:v>0</x:v>
      </x:c>
      <x:c r="F9" s="126" t="str">
        <x:v>Non-cash chips/game credit earned from Free Games; excluded from every cash profit total</x:v>
      </x:c>
    </x:row>
    <x:row r="10" ht="15" hidden="0" customHeight="1">
      <x:c r="A10" s="104"/>
      <x:c r="B10" s="104"/>
      <x:c r="C10" s="104"/>
      <x:c r="D10" s="104"/>
      <x:c r="E10" s="104"/>
      <x:c r="F10" s="104"/>
    </x:row>
    <x:row r="11" ht="15" hidden="0" customHeight="1">
      <x:c r="A11" s="104"/>
      <x:c r="B11" s="104"/>
      <x:c r="C11" s="104"/>
      <x:c r="D11" s="104"/>
      <x:c r="E11" s="104"/>
      <x:c r="F11" s="104"/>
    </x:row>
    <x:row r="12" ht="15" hidden="0" customHeight="1">
      <x:c r="A12" s="104"/>
      <x:c r="B12" s="104"/>
      <x:c r="C12" s="104"/>
      <x:c r="D12" s="104"/>
      <x:c r="E12" s="104"/>
      <x:c r="F12" s="104"/>
    </x:row>
    <x:row r="13" ht="15" hidden="0" customHeight="1">
      <x:c r="A13" s="104"/>
      <x:c r="B13" s="104"/>
      <x:c r="C13" s="104"/>
      <x:c r="D13" s="104"/>
      <x:c r="E13" s="104"/>
      <x:c r="F13" s="104"/>
    </x:row>
    <x:row r="14" ht="15" hidden="0" customHeight="1">
      <x:c r="A14" s="104"/>
      <x:c r="B14" s="104"/>
      <x:c r="C14" s="104"/>
      <x:c r="D14" s="104"/>
      <x:c r="E14" s="104"/>
      <x:c r="F14" s="104"/>
    </x:row>
    <x:row r="15" ht="15" hidden="0" customHeight="1">
      <x:c r="A15" s="104"/>
      <x:c r="B15" s="104"/>
      <x:c r="C15" s="104"/>
      <x:c r="D15" s="104"/>
      <x:c r="E15" s="104"/>
      <x:c r="F15" s="104"/>
    </x:row>
    <x:row r="16" ht="15" hidden="0" customHeight="1">
      <x:c r="A16" s="104"/>
      <x:c r="B16" s="104"/>
      <x:c r="C16" s="104"/>
      <x:c r="D16" s="104"/>
      <x:c r="E16" s="104"/>
      <x:c r="F16" s="104"/>
    </x:row>
    <x:row r="17" ht="15" hidden="0" customHeight="1">
      <x:c r="A17" s="104"/>
      <x:c r="B17" s="104"/>
      <x:c r="C17" s="104"/>
      <x:c r="D17" s="104"/>
      <x:c r="E17" s="104"/>
      <x:c r="F17" s="104"/>
    </x:row>
    <x:row r="18" ht="15" hidden="0" customHeight="1">
      <x:c r="A18" s="104"/>
      <x:c r="B18" s="104"/>
      <x:c r="C18" s="104"/>
      <x:c r="D18" s="104"/>
      <x:c r="E18" s="104"/>
      <x:c r="F18" s="104"/>
    </x:row>
    <x:row r="19" ht="15" hidden="0" customHeight="1">
      <x:c r="A19" s="104"/>
      <x:c r="B19" s="104"/>
      <x:c r="C19" s="104"/>
      <x:c r="D19" s="104"/>
      <x:c r="E19" s="104"/>
      <x:c r="F19" s="104"/>
    </x:row>
    <x:row r="20" ht="15" hidden="0" customHeight="1">
      <x:c r="A20" s="104"/>
      <x:c r="B20" s="104"/>
      <x:c r="C20" s="104"/>
      <x:c r="D20" s="104"/>
      <x:c r="E20" s="104"/>
      <x:c r="F20" s="104"/>
    </x:row>
    <x:row r="21" ht="15" hidden="0" customHeight="1">
      <x:c r="A21" s="104"/>
      <x:c r="B21" s="104"/>
      <x:c r="C21" s="104"/>
      <x:c r="D21" s="104"/>
      <x:c r="E21" s="104"/>
      <x:c r="F21" s="104"/>
    </x:row>
    <x:row r="22" ht="15" hidden="0" customHeight="1">
      <x:c r="A22" s="104"/>
      <x:c r="B22" s="104"/>
      <x:c r="C22" s="104"/>
      <x:c r="D22" s="104"/>
      <x:c r="E22" s="104"/>
      <x:c r="F22" s="104"/>
    </x:row>
    <x:row r="23" ht="15" hidden="0" customHeight="1">
      <x:c r="A23" s="104"/>
      <x:c r="B23" s="104"/>
      <x:c r="C23" s="104"/>
      <x:c r="D23" s="104"/>
      <x:c r="E23" s="104"/>
      <x:c r="F23" s="104"/>
    </x:row>
    <x:row r="24" ht="15" hidden="0" customHeight="1">
      <x:c r="A24" s="104"/>
      <x:c r="B24" s="104"/>
      <x:c r="C24" s="104"/>
      <x:c r="D24" s="104"/>
      <x:c r="E24" s="104"/>
      <x:c r="F24" s="104"/>
    </x:row>
    <x:row r="25" ht="15" hidden="0" customHeight="1">
      <x:c r="A25" s="104"/>
      <x:c r="B25" s="104"/>
      <x:c r="C25" s="104"/>
      <x:c r="D25" s="104"/>
      <x:c r="E25" s="104"/>
      <x:c r="F25" s="104"/>
    </x:row>
    <x:row r="26" ht="15" hidden="0" customHeight="1">
      <x:c r="A26" s="104"/>
      <x:c r="B26" s="104"/>
      <x:c r="C26" s="104"/>
      <x:c r="D26" s="104"/>
      <x:c r="E26" s="104"/>
      <x:c r="F26" s="104"/>
    </x:row>
    <x:row r="27" ht="15" hidden="0" customHeight="1">
      <x:c r="A27" s="104"/>
      <x:c r="B27" s="104"/>
      <x:c r="C27" s="104"/>
      <x:c r="D27" s="104"/>
      <x:c r="E27" s="104"/>
      <x:c r="F27" s="104"/>
    </x:row>
    <x:row r="28" ht="15" hidden="0" customHeight="1">
      <x:c r="A28" s="104"/>
      <x:c r="B28" s="104"/>
      <x:c r="C28" s="104"/>
      <x:c r="D28" s="104"/>
      <x:c r="E28" s="104"/>
      <x:c r="F28" s="104"/>
    </x:row>
    <x:row r="29" ht="15" hidden="0" customHeight="1">
      <x:c r="A29" s="104"/>
      <x:c r="B29" s="104"/>
      <x:c r="C29" s="104"/>
      <x:c r="D29" s="104"/>
      <x:c r="E29" s="104"/>
      <x:c r="F29" s="104"/>
    </x:row>
    <x:row r="30" ht="15" hidden="0" customHeight="1">
      <x:c r="A30" s="104"/>
      <x:c r="B30" s="104"/>
      <x:c r="C30" s="104"/>
      <x:c r="D30" s="104"/>
      <x:c r="E30" s="104"/>
      <x:c r="F30" s="104"/>
    </x:row>
    <x:row r="31" ht="15" hidden="0" customHeight="1">
      <x:c r="A31" s="310" t="str">
        <x:v>Running Tally</x:v>
      </x:c>
      <x:c r="B31" s="310" t="str">
        <x:v>Exact Count</x:v>
      </x:c>
      <x:c r="C31" s="310" t="str">
        <x:v>Share</x:v>
      </x:c>
      <x:c r="D31" s="104"/>
      <x:c r="E31" s="104"/>
      <x:c r="F31" s="104"/>
    </x:row>
    <x:row r="32" ht="15" hidden="0" customHeight="1">
      <x:c r="A32" s="126" t="str">
        <x:v>Profit</x:v>
      </x:c>
      <x:c r="B32" s="126" t="n">
        <x:f>B4</x:f>
        <x:v>0</x:v>
      </x:c>
      <x:c r="C32" s="128" t="n">
        <x:f>C4</x:f>
        <x:v>0</x:v>
      </x:c>
      <x:c r="D32" s="104"/>
      <x:c r="E32" s="104"/>
      <x:c r="F32" s="104"/>
    </x:row>
    <x:row r="33" ht="15" hidden="0" customHeight="1">
      <x:c r="A33" s="126" t="str">
        <x:v>Draw</x:v>
      </x:c>
      <x:c r="B33" s="126" t="n">
        <x:f>B5</x:f>
        <x:v>0</x:v>
      </x:c>
      <x:c r="C33" s="128" t="n">
        <x:f>C5</x:f>
        <x:v>0</x:v>
      </x:c>
      <x:c r="D33" s="104"/>
      <x:c r="E33" s="104"/>
      <x:c r="F33" s="104"/>
    </x:row>
    <x:row r="34" ht="15" hidden="0" customHeight="1">
      <x:c r="A34" s="126" t="str">
        <x:v>Disqualified / Lost Entry Fee</x:v>
      </x:c>
      <x:c r="B34" s="126" t="n">
        <x:f>B6</x:f>
        <x:v>0</x:v>
      </x:c>
      <x:c r="C34" s="128" t="n">
        <x:f>C6</x:f>
        <x:v>0</x:v>
      </x:c>
      <x:c r="D34" s="104"/>
      <x:c r="E34" s="104"/>
      <x:c r="F34" s="104"/>
    </x:row>
    <x:row r="35" ht="15" hidden="0" customHeight="1">
      <x:c r="A35" s="126" t="str">
        <x:v>Free Game (separate credit)</x:v>
      </x:c>
      <x:c r="B35" s="914" t="n">
        <x:f>B9</x:f>
        <x:v>0</x:v>
      </x:c>
      <x:c r="C35" s="915" t="str">
        <x:v>Separate</x:v>
      </x:c>
      <x:c r="D35" s="104"/>
      <x:c r="E35" s="104"/>
      <x:c r="F35" s="104"/>
    </x:row>
    <x:row r="36" ht="15" hidden="0" customHeight="1">
      <x:c r="A36" s="126" t="str">
        <x:v>Total Paid Games</x:v>
      </x:c>
      <x:c r="B36" s="914" t="n">
        <x:f>B7</x:f>
        <x:v>0</x:v>
      </x:c>
      <x:c r="C36" s="915" t="n">
        <x:f>C7</x:f>
        <x:v>0</x:v>
      </x:c>
      <x:c r="D36" s="104"/>
      <x:c r="E36" s="104"/>
      <x:c r="F36" s="104"/>
    </x:row>
  </x:sheetData>
  <x:mergeCells>
    <x:mergeCell ref="A1:F1"/>
  </x:mergeCells>
  <x:conditionalFormatting sqref="A4:C4">
    <x:cfRule type="expression" dxfId="22" priority="1">
      <x:formula>$B4&gt;0</x:formula>
    </x:cfRule>
  </x:conditionalFormatting>
  <x:conditionalFormatting sqref="A5:C5">
    <x:cfRule type="expression" dxfId="23" priority="2">
      <x:formula>$B5&gt;0</x:formula>
    </x:cfRule>
  </x:conditionalFormatting>
  <x:conditionalFormatting sqref="A6:C6">
    <x:cfRule type="expression" dxfId="24" priority="3">
      <x:formula>$B6&gt;0</x:formula>
    </x:cfRule>
  </x:conditionalFormatting>
  <x:conditionalFormatting sqref="A9:C9">
    <x:cfRule type="expression" dxfId="25" priority="4">
      <x:formula>$B9&gt;0</x:formula>
    </x:cfRule>
  </x:conditionalFormatting>
  <x:conditionalFormatting sqref="A32:C32">
    <x:cfRule type="expression" dxfId="26" priority="5">
      <x:formula>$B32&gt;0</x:formula>
    </x:cfRule>
  </x:conditionalFormatting>
  <x:conditionalFormatting sqref="A33:C33">
    <x:cfRule type="expression" dxfId="27" priority="6">
      <x:formula>$B33&gt;0</x:formula>
    </x:cfRule>
  </x:conditionalFormatting>
  <x:conditionalFormatting sqref="A34:C34">
    <x:cfRule type="expression" dxfId="28" priority="7">
      <x:formula>$B34&gt;0</x:formula>
    </x:cfRule>
  </x:conditionalFormatting>
  <x:conditionalFormatting sqref="A35:C35">
    <x:cfRule type="expression" dxfId="29" priority="8">
      <x:formula>$B35&gt;0</x:formula>
    </x:cfRule>
  </x:conditionalFormatting>
  <x:pageMargins left="0.7" right="0.7" top="0.75" bottom="0.75" header="0.3" footer="0.3"/>
</x:worksheet>
</file>

<file path=xl/worksheets/sheet5.xml><?xml version="1.0" encoding="utf-8"?>
<x:worksheet xmlns:x="http://schemas.openxmlformats.org/spreadsheetml/2006/main">
  <x:sheetFormatPr defaultRowHeight="15"/>
  <x:cols>
    <x:col min="1" max="1" width="29" hidden="0" customWidth="1"/>
    <x:col min="2" max="2" width="18" hidden="0" customWidth="1"/>
    <x:col min="3" max="3" width="24" hidden="0" customWidth="1"/>
    <x:col min="4" max="4" width="15" hidden="0" customWidth="1"/>
    <x:col min="5" max="5" width="15" hidden="0" customWidth="1"/>
  </x:cols>
  <x:sheetData>
    <x:row r="1" ht="38.400001525878906" hidden="0" customHeight="1">
      <x:c r="A1" s="486" t="str">
        <x:v>Paid Game Performance — v246.3.6</x:v>
      </x:c>
      <x:c r="B1" s="486"/>
      <x:c r="C1" s="486"/>
      <x:c r="D1" s="486"/>
      <x:c r="E1" s="486"/>
    </x:row>
    <x:row r="2" ht="48" hidden="0" customHeight="1">
      <x:c r="A2" s="591" t="str">
        <x:v>Compares paid completed Member, Non-Member, and Unclassified games. Subscriptions are excluded; Free Games appear in the separate section below.</x:v>
      </x:c>
      <x:c r="B2" s="591"/>
      <x:c r="C2" s="591"/>
      <x:c r="D2" s="591"/>
      <x:c r="E2" s="591"/>
    </x:row>
    <x:row r="3" ht="15" hidden="0" customHeight="1">
      <x:c r="A3" s="310" t="str">
        <x:v>Metric</x:v>
      </x:c>
      <x:c r="B3" s="310" t="str">
        <x:v>Member</x:v>
      </x:c>
      <x:c r="C3" s="310" t="str">
        <x:v>Non-Member</x:v>
      </x:c>
      <x:c r="D3" s="310" t="str">
        <x:v>Unclassified</x:v>
      </x:c>
      <x:c r="E3" s="310" t="str">
        <x:v>All Paid Games</x:v>
      </x:c>
    </x:row>
    <x:row r="4" ht="15" hidden="0" customHeight="1">
      <x:c r="A4" s="126" t="str">
        <x:v>Completed Games</x:v>
      </x:c>
      <x:c r="B4" s="126" t="n">
        <x:f>COUNTIFS('Game Records'!$E$5:$E$504,"Member",'Game Records'!$U$5:$U$504,"&lt;&gt;Subscription",'Game Records'!$U$5:$U$504,"&lt;&gt;Free Game",'Game Records'!$U$5:$U$504,"&lt;&gt;Disqualified — Free Game",'Game Records'!$U$5:$U$504,"&lt;&gt;")</x:f>
        <x:v>0</x:v>
      </x:c>
      <x:c r="C4" s="126" t="n">
        <x:f>COUNTIFS('Game Records'!$E$5:$E$504,"Non-Member",'Game Records'!$U$5:$U$504,"&lt;&gt;Subscription",'Game Records'!$U$5:$U$504,"&lt;&gt;Free Game",'Game Records'!$U$5:$U$504,"&lt;&gt;Disqualified — Free Game",'Game Records'!$U$5:$U$504,"&lt;&gt;")</x:f>
        <x:v>0</x:v>
      </x:c>
      <x:c r="D4" s="126" t="n">
        <x:f>SUMPRODUCT(('Game Records'!$U$5:$U$504&lt;&gt;"")*('Game Records'!$U$5:$U$504&lt;&gt;"Subscription")*('Game Records'!$U$5:$U$504&lt;&gt;"Free Game")*('Game Records'!$U$5:$U$504&lt;&gt;"Disqualified — Free Game")*('Game Records'!$E$5:$E$504&lt;&gt;"Member")*('Game Records'!$E$5:$E$504&lt;&gt;"Non-Member"))</x:f>
        <x:v>0</x:v>
      </x:c>
      <x:c r="E4" s="126" t="n">
        <x:f>SUM(B4:D4)</x:f>
        <x:v>0</x:v>
      </x:c>
    </x:row>
    <x:row r="5" ht="15" hidden="0" customHeight="1">
      <x:c r="A5" s="126" t="str">
        <x:v>Profit Games</x:v>
      </x:c>
      <x:c r="B5" s="126" t="n">
        <x:f>COUNTIFS('Game Records'!$E$5:$E$504,"Member",'Game Records'!$U$5:$U$504,"Profit")</x:f>
        <x:v>0</x:v>
      </x:c>
      <x:c r="C5" s="126" t="n">
        <x:f>COUNTIFS('Game Records'!$E$5:$E$504,"Non-Member",'Game Records'!$U$5:$U$504,"Profit")</x:f>
        <x:v>0</x:v>
      </x:c>
      <x:c r="D5" s="126" t="n">
        <x:f>SUMPRODUCT(('Game Records'!$U$5:$U$504="Profit")*('Game Records'!$E$5:$E$504&lt;&gt;"Member")*('Game Records'!$E$5:$E$504&lt;&gt;"Non-Member"))</x:f>
        <x:v>0</x:v>
      </x:c>
      <x:c r="E5" s="126" t="n">
        <x:f>SUM(B5:D5)</x:f>
        <x:v>0</x:v>
      </x:c>
    </x:row>
    <x:row r="6" ht="15" hidden="0" customHeight="1">
      <x:c r="A6" s="126" t="str">
        <x:v>Profit Rate</x:v>
      </x:c>
      <x:c r="B6" s="128" t="n">
        <x:f>IF(B4=0,0,B5/B4)</x:f>
        <x:v>0</x:v>
      </x:c>
      <x:c r="C6" s="128" t="n">
        <x:f>IF(C4=0,0,C5/C4)</x:f>
        <x:v>0</x:v>
      </x:c>
      <x:c r="D6" s="128" t="n">
        <x:f>IF(D4=0,0,D5/D4)</x:f>
        <x:v>0</x:v>
      </x:c>
      <x:c r="E6" s="128" t="n">
        <x:f>IF(E4=0,0,E5/E4)</x:f>
        <x:v>0</x:v>
      </x:c>
    </x:row>
    <x:row r="7" ht="15" hidden="0" customHeight="1">
      <x:c r="A7" s="126" t="str">
        <x:v>Draw Rate</x:v>
      </x:c>
      <x:c r="B7" s="128" t="n">
        <x:f>IF(B4=0,0,COUNTIFS('Game Records'!$E$5:$E$504,"Member",'Game Records'!$U$5:$U$504,"Draw")/B4)</x:f>
        <x:v>0</x:v>
      </x:c>
      <x:c r="C7" s="128" t="n">
        <x:f>IF(C4=0,0,COUNTIFS('Game Records'!$E$5:$E$504,"Non-Member",'Game Records'!$U$5:$U$504,"Draw")/C4)</x:f>
        <x:v>0</x:v>
      </x:c>
      <x:c r="D7" s="128" t="n">
        <x:f>IF(D4=0,0,SUMPRODUCT(('Game Records'!$U$5:$U$504="Draw")*('Game Records'!$E$5:$E$504&lt;&gt;"Member")*('Game Records'!$E$5:$E$504&lt;&gt;"Non-Member"))/D4)</x:f>
        <x:v>0</x:v>
      </x:c>
      <x:c r="E7" s="128" t="n">
        <x:f>IF(E4=0,0,COUNTIF('Game Records'!$U$5:$U$504,"Draw")/E4)</x:f>
        <x:v>0</x:v>
      </x:c>
    </x:row>
    <x:row r="8" ht="15" hidden="0" customHeight="1">
      <x:c r="A8" s="126" t="str">
        <x:v>Disqualification Rate</x:v>
      </x:c>
      <x:c r="B8" s="128" t="n">
        <x:f>IF(B4=0,0,COUNTIFS('Game Records'!$E$5:$E$504,"Member",'Game Records'!$U$5:$U$504,"Disqualified")/B4)</x:f>
        <x:v>0</x:v>
      </x:c>
      <x:c r="C8" s="128" t="n">
        <x:f>IF(C4=0,0,COUNTIFS('Game Records'!$E$5:$E$504,"Non-Member",'Game Records'!$U$5:$U$504,"Disqualified")/C4)</x:f>
        <x:v>0</x:v>
      </x:c>
      <x:c r="D8" s="128" t="n">
        <x:f>IF(D4=0,0,SUMPRODUCT(('Game Records'!$U$5:$U$504="Disqualified")*('Game Records'!$E$5:$E$504&lt;&gt;"Member")*('Game Records'!$E$5:$E$504&lt;&gt;"Non-Member"))/D4)</x:f>
        <x:v>0</x:v>
      </x:c>
      <x:c r="E8" s="128" t="n">
        <x:f>IF(E4=0,0,COUNTIF('Game Records'!$U$5:$U$504,"Disqualified")/E4)</x:f>
        <x:v>0</x:v>
      </x:c>
    </x:row>
    <x:row r="9" ht="15" hidden="0" customHeight="1">
      <x:c r="A9" s="126" t="str">
        <x:v>Average Net Profit</x:v>
      </x:c>
      <x:c r="B9" s="130" t="n">
        <x:f>IF(B4=0,0,B11/B4)</x:f>
        <x:v>0</x:v>
      </x:c>
      <x:c r="C9" s="130" t="n">
        <x:f>IF(C4=0,0,C11/C4)</x:f>
        <x:v>0</x:v>
      </x:c>
      <x:c r="D9" s="130" t="n">
        <x:f>IF(D4=0,0,D11/D4)</x:f>
        <x:v>0</x:v>
      </x:c>
      <x:c r="E9" s="130" t="n">
        <x:f>IF(E4=0,0,E11/E4)</x:f>
        <x:v>0</x:v>
      </x:c>
    </x:row>
    <x:row r="10" ht="15" hidden="0" customHeight="1">
      <x:c r="A10" s="126" t="str">
        <x:v>Average ROI</x:v>
      </x:c>
      <x:c r="B10" s="128" t="n">
        <x:f>IF(B4=0,0,SUMIFS('Game Records'!$T$5:$T$504,'Game Records'!$E$5:$E$504,"Member",'Game Records'!$U$5:$U$504,"&lt;&gt;Subscription",'Game Records'!$U$5:$U$504,"&lt;&gt;Free Game",'Game Records'!$U$5:$U$504,"&lt;&gt;Disqualified — Free Game")/B4)</x:f>
        <x:v>0</x:v>
      </x:c>
      <x:c r="C10" s="128" t="n">
        <x:f>IF(C4=0,0,SUMIFS('Game Records'!$T$5:$T$504,'Game Records'!$E$5:$E$504,"Non-Member",'Game Records'!$U$5:$U$504,"&lt;&gt;Subscription",'Game Records'!$U$5:$U$504,"&lt;&gt;Free Game",'Game Records'!$U$5:$U$504,"&lt;&gt;Disqualified — Free Game")/C4)</x:f>
        <x:v>0</x:v>
      </x:c>
      <x:c r="D10" s="128" t="n">
        <x:f>IF(D4=0,0,SUMIFS('Game Records'!$T$5:$T$504,'Game Records'!$U$5:$U$504,"&lt;&gt;Subscription",'Game Records'!$U$5:$U$504,"&lt;&gt;Free Game",'Game Records'!$U$5:$U$504,"&lt;&gt;Disqualified — Free Game",'Game Records'!$E$5:$E$504,"&lt;&gt;Member",'Game Records'!$E$5:$E$504,"&lt;&gt;Non-Member")/D4)</x:f>
        <x:v>0</x:v>
      </x:c>
      <x:c r="E10" s="128" t="n">
        <x:f>IF(E4=0,0,SUMIFS('Game Records'!$T$5:$T$504,'Game Records'!$U$5:$U$504,"&lt;&gt;Subscription",'Game Records'!$U$5:$U$504,"&lt;&gt;Free Game",'Game Records'!$U$5:$U$504,"&lt;&gt;Disqualified — Free Game")/E4)</x:f>
        <x:v>0</x:v>
      </x:c>
    </x:row>
    <x:row r="11" ht="15" hidden="0" customHeight="1">
      <x:c r="A11" s="126" t="str">
        <x:v>Total Net Profit</x:v>
      </x:c>
      <x:c r="B11" s="130" t="n">
        <x:f>SUMIFS('Game Records'!$W$5:$W$504,'Game Records'!$E$5:$E$504,"Member",'Game Records'!$U$5:$U$504,"&lt;&gt;Subscription",'Game Records'!$U$5:$U$504,"&lt;&gt;Free Game",'Game Records'!$U$5:$U$504,"&lt;&gt;Disqualified — Free Game")</x:f>
        <x:v>0</x:v>
      </x:c>
      <x:c r="C11" s="130" t="n">
        <x:f>SUMIFS('Game Records'!$W$5:$W$504,'Game Records'!$E$5:$E$504,"Non-Member",'Game Records'!$U$5:$U$504,"&lt;&gt;Subscription",'Game Records'!$U$5:$U$504,"&lt;&gt;Free Game",'Game Records'!$U$5:$U$504,"&lt;&gt;Disqualified — Free Game")</x:f>
        <x:v>0</x:v>
      </x:c>
      <x:c r="D11" s="130" t="n">
        <x:f>SUMPRODUCT(('Game Records'!$U$5:$U$504&lt;&gt;"Subscription")*('Game Records'!$U$5:$U$504&lt;&gt;"Free Game")*('Game Records'!$U$5:$U$504&lt;&gt;"Disqualified — Free Game")*('Game Records'!$E$5:$E$504&lt;&gt;"Member")*('Game Records'!$E$5:$E$504&lt;&gt;"Non-Member")*'Game Records'!$W$5:$W$504)</x:f>
        <x:v>0</x:v>
      </x:c>
      <x:c r="E11" s="130" t="n">
        <x:f>SUMIFS('Game Records'!$W$5:$W$504,'Game Records'!$U$5:$U$504,"&lt;&gt;Subscription",'Game Records'!$U$5:$U$504,"&lt;&gt;Free Game",'Game Records'!$U$5:$U$504,"&lt;&gt;Disqualified — Free Game")</x:f>
        <x:v>0</x:v>
      </x:c>
    </x:row>
    <x:row r="12" ht="15" hidden="0" customHeight="1">
      <x:c r="A12" s="126" t="str">
        <x:v>Unclassified Games</x:v>
      </x:c>
      <x:c r="B12" s="126" t="n">
        <x:v>0</x:v>
      </x:c>
      <x:c r="C12" s="126" t="n">
        <x:v>0</x:v>
      </x:c>
      <x:c r="D12" s="126" t="n">
        <x:f>D4</x:f>
        <x:v>0</x:v>
      </x:c>
      <x:c r="E12" s="126" t="n">
        <x:f>D4</x:f>
        <x:v>0</x:v>
      </x:c>
    </x:row>
    <x:row r="13" ht="15" hidden="0" customHeight="1">
      <x:c r="A13" s="104"/>
      <x:c r="B13" s="104"/>
      <x:c r="C13" s="104"/>
      <x:c r="D13" s="104"/>
      <x:c r="E13" s="104"/>
    </x:row>
    <x:row r="14" ht="15" hidden="0" customHeight="1">
      <x:c r="A14" s="104"/>
      <x:c r="B14" s="104"/>
      <x:c r="C14" s="104"/>
      <x:c r="D14" s="104"/>
      <x:c r="E14" s="104"/>
    </x:row>
    <x:row r="15" ht="19.200000762939453" hidden="0" customHeight="1">
      <x:c r="A15" s="486" t="str">
        <x:v>Free Game Chip Performance</x:v>
      </x:c>
      <x:c r="B15" s="486"/>
      <x:c r="C15" s="486"/>
      <x:c r="D15" s="486"/>
      <x:c r="E15" s="486"/>
    </x:row>
    <x:row r="16" ht="36" hidden="0" customHeight="1">
      <x:c r="A16" s="591" t="str">
        <x:v>Free Games are completed step challenges that award non-cash chips/game credit. They remain separate from paid-game ROI, paid-result averages, and all cash profit totals.</x:v>
      </x:c>
      <x:c r="B16" s="591"/>
      <x:c r="C16" s="591"/>
      <x:c r="D16" s="591"/>
      <x:c r="E16" s="591"/>
    </x:row>
    <x:row r="17" ht="15" hidden="0" customHeight="1">
      <x:c r="A17" s="310" t="str">
        <x:v>Metric</x:v>
      </x:c>
      <x:c r="B17" s="310" t="str">
        <x:v>Free Game Chips</x:v>
      </x:c>
      <x:c r="C17" s="310" t="str">
        <x:v>What It Represents</x:v>
      </x:c>
      <x:c r="D17" s="310"/>
      <x:c r="E17" s="310"/>
    </x:row>
    <x:row r="18" ht="39.599998474121094" hidden="0" customHeight="1">
      <x:c r="A18" s="509" t="str">
        <x:v>Completed Free Games</x:v>
      </x:c>
      <x:c r="B18" s="914" t="n">
        <x:f>COUNTIFS('Game Records'!$D$5:$D$504,"Finalized",'Game Records'!$U$5:$U$504,"Free Game")+COUNTIFS('Game Records'!$D$5:$D$504,"Finalized",'Game Records'!$U$5:$U$504,"Disqualified — Free Game")</x:f>
        <x:v>0</x:v>
      </x:c>
      <x:c r="C18" s="509" t="str">
        <x:v>All finalized Free Game and Disqualified — Free Game records.</x:v>
      </x:c>
      <x:c r="D18" s="509"/>
      <x:c r="E18" s="509"/>
    </x:row>
    <x:row r="19" ht="26.399999618530273" hidden="0" customHeight="1">
      <x:c r="A19" s="509" t="str">
        <x:v>Non-disqualified Free Games</x:v>
      </x:c>
      <x:c r="B19" s="914" t="n">
        <x:f>COUNTIFS('Game Records'!$D$5:$D$504,"Finalized",'Game Records'!$U$5:$U$504,"Free Game")</x:f>
        <x:v>0</x:v>
      </x:c>
      <x:c r="C19" s="509" t="str">
        <x:v>Free Games completed without disqualification.</x:v>
      </x:c>
      <x:c r="D19" s="509"/>
      <x:c r="E19" s="509"/>
    </x:row>
    <x:row r="20" ht="39.599998474121094" hidden="0" customHeight="1">
      <x:c r="A20" s="509" t="str">
        <x:v>Disqualified Free Games</x:v>
      </x:c>
      <x:c r="B20" s="914" t="n">
        <x:f>COUNTIFS('Game Records'!$D$5:$D$504,"Finalized",'Game Records'!$U$5:$U$504,"Disqualified — Free Game")</x:f>
        <x:v>0</x:v>
      </x:c>
      <x:c r="C20" s="509" t="str">
        <x:v>Free Games whose disqualification status was recorded.</x:v>
      </x:c>
      <x:c r="D20" s="509"/>
      <x:c r="E20" s="509"/>
    </x:row>
    <x:row r="21" ht="39.599998474121094" hidden="0" customHeight="1">
      <x:c r="A21" s="509" t="str">
        <x:v>Disqualification Rate</x:v>
      </x:c>
      <x:c r="B21" s="915" t="n">
        <x:f>IF(B18=0,0,B20/B18)</x:f>
        <x:v>0</x:v>
      </x:c>
      <x:c r="C21" s="509" t="str">
        <x:v>Disqualified Free Games divided by all completed Free Games.</x:v>
      </x:c>
      <x:c r="D21" s="509"/>
      <x:c r="E21" s="509"/>
    </x:row>
    <x:row r="22" ht="39.599998474121094" hidden="0" customHeight="1">
      <x:c r="A22" s="509" t="str">
        <x:v>Average Chips Earned</x:v>
      </x:c>
      <x:c r="B22" s="984" t="n">
        <x:f>IF((COUNTIFS('Game Records'!$D$5:$D$504,"Finalized",'Game Records'!$U$5:$U$504,"Free Game",'Game Records'!$K$5:$K$504,"&lt;&gt;",'Game Records'!$K$5:$K$504,"&gt;=0")+COUNTIFS('Game Records'!$D$5:$D$504,"Finalized",'Game Records'!$U$5:$U$504,"Disqualified — Free Game"))=0,0,(SUMIFS('Game Records'!$K$5:$K$504,'Game Records'!$D$5:$D$504,"Finalized",'Game Records'!$U$5:$U$504,"Free Game",'Game Records'!$K$5:$K$504,"&lt;&gt;",'Game Records'!$K$5:$K$504,"&gt;=0"))/(COUNTIFS('Game Records'!$D$5:$D$504,"Finalized",'Game Records'!$U$5:$U$504,"Free Game",'Game Records'!$K$5:$K$504,"&lt;&gt;",'Game Records'!$K$5:$K$504,"&gt;=0")+COUNTIFS('Game Records'!$D$5:$D$504,"Finalized",'Game Records'!$U$5:$U$504,"Disqualified — Free Game")))</x:f>
        <x:v>0</x:v>
      </x:c>
      <x:c r="C22" s="509" t="str">
        <x:v>Average of recorded chip amounts only; unknown blanks are excluded, while recorded 0.00-chip results remain included.</x:v>
      </x:c>
      <x:c r="D22" s="509"/>
      <x:c r="E22" s="509"/>
    </x:row>
    <x:row r="23" ht="39.599998474121094" hidden="0" customHeight="1">
      <x:c r="A23" s="509" t="str">
        <x:v>Total Chips Earned</x:v>
      </x:c>
      <x:c r="B23" s="984" t="n">
        <x:f>SUMIFS('Game Records'!$K$5:$K$504,'Game Records'!$D$5:$D$504,"Finalized",'Game Records'!$U$5:$U$504,"Free Game",'Game Records'!$K$5:$K$504,"&lt;&gt;",'Game Records'!$K$5:$K$504,"&gt;=0")</x:f>
        <x:v>0</x:v>
      </x:c>
      <x:c r="C23" s="509" t="str">
        <x:v>Combined non-cash chips/game credit; excluded from overall cash running net profit.</x:v>
      </x:c>
      <x:c r="D23" s="509"/>
      <x:c r="E23" s="509"/>
    </x:row>
    <x:row r="24" ht="39.599998474121094" hidden="0" customHeight="1">
      <x:c r="A24" s="509" t="str">
        <x:v>Average Eliminated Players</x:v>
      </x:c>
      <x:c r="B24" s="948"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Records'!$X$5:$X$504,'Game Records'!$D$5:$D$504,"Finalized",'Game Records'!$U$5:$U$504,"Free Game")+SUMIFS('Game Records'!$X$5:$X$504,'Game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4" s="509" t="str">
        <x:v>Average eliminated-player count when player totals are available.</x:v>
      </x:c>
      <x:c r="D24" s="509"/>
      <x:c r="E24" s="509"/>
    </x:row>
    <x:row r="25" ht="26.399999618530273" hidden="0" customHeight="1">
      <x:c r="A25" s="509" t="str">
        <x:v>Average Elimination Rate</x:v>
      </x:c>
      <x:c r="B25" s="915" t="n">
        <x:f>IF((COUNTIFS('Game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Records'!$J$5:$J$504,"&gt;=0"))=0,0,(SUMIFS('Game Records'!$Y$5:$Y$504,'Game Records'!$D$5:$D$504,"Finalized",'Game Records'!$U$5:$U$504,"Free Game")+SUMIFS('Game Records'!$Y$5:$Y$504,'Game Records'!$D$5:$D$504,"Finalized",'Game Records'!$U$5:$U$504,"Disqualified — Free Game"))/(COUNTIFS('Game Records'!$D$5:$D$504,"Finalized",'Game Records'!$U$5:$U$504,"Free Game",'Game Records'!$I$5:$I$504,"&lt;&gt;",'Game Records'!$I$5:$I$504,"&gt;=0",'Game Records'!$J$5:$J$504,"&lt;&gt;",'Game Records'!$J$5:$J$504,"&gt;=0")+COUNTIFS('Game Records'!$D$5:$D$504,"Finalized",'Game Records'!$U$5:$U$504,"Disqualified — Free Game",'Game Records'!$I$5:$I$504,"&lt;&gt;",'Game Records'!$I$5:$I$504,"&gt;=0",'Game Records'!$J$5:$J$504,"&lt;&gt;",'Game Records'!$J$5:$J$504,"&gt;=0")))</x:f>
        <x:v>0</x:v>
      </x:c>
      <x:c r="C25" s="509" t="str">
        <x:v>Average elimination rate when player totals are available.</x:v>
      </x:c>
      <x:c r="D25" s="509"/>
      <x:c r="E25" s="509"/>
    </x:row>
    <x:row r="26" ht="26.399999618530273" hidden="0" customHeight="1">
      <x:c r="A26" s="509" t="str">
        <x:v>Average ROI</x:v>
      </x:c>
      <x:c r="B26" s="913" t="str">
        <x:v>N/A</x:v>
      </x:c>
      <x:c r="C26" s="509" t="str">
        <x:v>N/A because Free Games have a $0.00 Entry Fee.</x:v>
      </x:c>
      <x:c r="D26" s="509"/>
      <x:c r="E26" s="509"/>
    </x:row>
    <x:row r="27" ht="39.599998474121094" hidden="0" customHeight="1">
      <x:c r="A27" s="509" t="str">
        <x:v>All Completed Games</x:v>
      </x:c>
      <x:c r="B27" s="914" t="n">
        <x:f>E4+B18</x:f>
        <x:v>0</x:v>
      </x:c>
      <x:c r="C27" s="509" t="str">
        <x:v>All Paid Games plus completed Free Games; Subscription rows are excluded.</x:v>
      </x:c>
      <x:c r="D27" s="509"/>
      <x:c r="E27" s="509"/>
    </x:row>
  </x:sheetData>
  <x:mergeCells>
    <x:mergeCell ref="A2:E2"/>
    <x:mergeCell ref="A1:E1"/>
    <x:mergeCell ref="A15:E15"/>
    <x:mergeCell ref="A16:E16"/>
    <x:mergeCell ref="C17:E17"/>
    <x:mergeCell ref="C18:E18"/>
    <x:mergeCell ref="C19:E19"/>
    <x:mergeCell ref="C20:E20"/>
    <x:mergeCell ref="C21:E21"/>
    <x:mergeCell ref="C22:E22"/>
    <x:mergeCell ref="C23:E23"/>
    <x:mergeCell ref="C24:E24"/>
    <x:mergeCell ref="C25:E25"/>
    <x:mergeCell ref="C26:E26"/>
    <x:mergeCell ref="C27:E27"/>
  </x:mergeCells>
  <x:pageMargins left="0.7" right="0.7" top="0.75" bottom="0.75" header="0.3" footer="0.3"/>
</x:worksheet>
</file>

<file path=xl/worksheets/sheet6.xml><?xml version="1.0" encoding="utf-8"?>
<x:worksheet xmlns:x="http://schemas.openxmlformats.org/spreadsheetml/2006/main">
  <x:sheetFormatPr defaultRowHeight="15"/>
  <x:cols>
    <x:col min="1" max="1" width="27" hidden="0" customWidth="1"/>
    <x:col min="2" max="2" width="33" hidden="0" customWidth="1"/>
    <x:col min="3" max="3" width="17" hidden="0" customWidth="1"/>
    <x:col min="4" max="4" width="33" hidden="0" customWidth="1"/>
  </x:cols>
  <x:sheetData>
    <x:row r="1" ht="38.400001525878906" hidden="0" customHeight="1">
      <x:c r="A1" s="486" t="str">
        <x:v>Best Results — Live Reference Table — v246.3.6</x:v>
      </x:c>
      <x:c r="B1" s="486"/>
      <x:c r="C1" s="486"/>
      <x:c r="D1" s="486"/>
    </x:row>
    <x:row r="2" ht="48" hidden="0" customHeight="1">
      <x:c r="A2" s="591" t="str">
        <x:v>Shows the strongest results found in Game Records. Values update automatically when records are added or changed.</x:v>
      </x:c>
      <x:c r="B2" s="591"/>
      <x:c r="C2" s="591"/>
      <x:c r="D2" s="591"/>
    </x:row>
    <x:row r="3" ht="15" hidden="0" customHeight="1">
      <x:c r="A3" s="310" t="str">
        <x:v>Metric</x:v>
      </x:c>
      <x:c r="B3" s="310" t="str">
        <x:v>Game</x:v>
      </x:c>
      <x:c r="C3" s="310" t="str">
        <x:v>Value</x:v>
      </x:c>
      <x:c r="D3" s="310" t="str">
        <x:v>Meaning</x:v>
      </x:c>
    </x:row>
    <x:row r="4" ht="15" hidden="0" customHeight="1">
      <x:c r="A4" s="126" t="str">
        <x:v>Highest Net Profit</x:v>
      </x:c>
      <x:c r="B4" s="126" t="str">
        <x:f>IFERROR(INDEX('Game Records'!$A$5:$A$504,MATCH(MAX('Game Records'!$W$5:$W$504),'Game Records'!$W$5:$W$504,0)),"")</x:f>
      </x:c>
      <x:c r="C4" s="130" t="n">
        <x:f>MAX('Game Records'!$W$5:$W$504)</x:f>
        <x:v>0</x:v>
      </x:c>
      <x:c r="D4" s="126" t="str">
        <x:v>Largest positive game result</x:v>
      </x:c>
    </x:row>
    <x:row r="5" ht="15" hidden="0" customHeight="1">
      <x:c r="A5" s="126" t="str">
        <x:v>Highest ROI</x:v>
      </x:c>
      <x:c r="B5" s="126" t="str">
        <x:f>IFERROR(INDEX('Game Records'!$A$5:$A$504,MATCH(MAX('Game Records'!$T$5:$T$504),'Game Records'!$T$5:$T$504,0)),"")</x:f>
      </x:c>
      <x:c r="C5" s="128" t="n">
        <x:f>MAX('Game Records'!$T$5:$T$504)</x:f>
        <x:v>0</x:v>
      </x:c>
      <x:c r="D5" s="126" t="str">
        <x:v>Best return on Entry Fee</x:v>
      </x:c>
    </x:row>
    <x:row r="6" ht="15" hidden="0" customHeight="1">
      <x:c r="A6" s="126" t="str">
        <x:v>Largest Lost Entry Fee</x:v>
      </x:c>
      <x:c r="B6" s="126" t="str">
        <x:f>IFERROR(INDEX('Game Records'!$A$5:$A$504,MATCH(MAX('Game Records'!$S$5:$S$504),'Game Records'!$S$5:$S$504,0)),"")</x:f>
      </x:c>
      <x:c r="C6" s="130" t="n">
        <x:f>MAX('Game Records'!$S$5:$S$504)</x:f>
        <x:v>0</x:v>
      </x:c>
      <x:c r="D6" s="126" t="str">
        <x:v>Largest full-entry loss</x:v>
      </x:c>
    </x:row>
    <x:row r="7" ht="15" hidden="0" customHeight="1">
      <x:c r="A7" s="126" t="str">
        <x:v>Lowest Elimination Rate</x:v>
      </x:c>
      <x:c r="B7" s="126" t="str">
        <x:f>IFERROR(INDEX('Game Records'!$A$5:$A$504,MATCH(C7,'Game Records'!$Y$5:$Y$504,0)),"")</x:f>
      </x:c>
      <x:c r="C7" s="128" t="n">
        <x:f>MIN(IF('Game Records'!$Y$5:$Y$504&gt;0,'Game Records'!$Y$5:$Y$504))</x:f>
        <x:v>0</x:v>
      </x:c>
      <x:c r="D7" s="126" t="str">
        <x:v>Best recorded elimination rate</x:v>
      </x:c>
    </x:row>
    <x:row r="8" ht="15" hidden="0" customHeight="1">
      <x:c r="A8" s="126" t="str">
        <x:v>Longest Challenge</x:v>
      </x:c>
      <x:c r="B8" s="126" t="str">
        <x:f>IFERROR(INDEX('Game Records'!$A$5:$A$504,MATCH(MAX('Game Records'!$V$5:$V$504),'Game Records'!$V$5:$V$504,0)),"")</x:f>
      </x:c>
      <x:c r="C8" s="132" t="n">
        <x:f>MAX('Game Records'!$V$5:$V$504)</x:f>
        <x:v>0</x:v>
      </x:c>
      <x:c r="D8" s="126" t="str">
        <x:v>Most weeks completed</x:v>
      </x:c>
    </x:row>
  </x:sheetData>
  <x:mergeCells>
    <x:mergeCell ref="A2:D2"/>
    <x:mergeCell ref="A1:D1"/>
  </x:mergeCells>
  <x:pageMargins left="0.7" right="0.7" top="0.75" bottom="0.75" header="0.3" footer="0.3"/>
</x:worksheet>
</file>